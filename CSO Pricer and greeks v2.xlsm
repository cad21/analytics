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petroineos.local\DFS\User Home Drive\chrisdaplet\Documents\"/>
    </mc:Choice>
  </mc:AlternateContent>
  <bookViews>
    <workbookView xWindow="0" yWindow="0" windowWidth="19200" windowHeight="12870" activeTab="3"/>
  </bookViews>
  <sheets>
    <sheet name="CSO" sheetId="1" r:id="rId1"/>
    <sheet name="Sheet1" sheetId="4" r:id="rId2"/>
    <sheet name="underlying" sheetId="2" r:id="rId3"/>
    <sheet name="Greeks - FD" sheetId="3" r:id="rId4"/>
  </sheets>
  <functionGroups builtInGroupCount="18"/>
  <definedNames>
    <definedName name="_xlnm._FilterDatabase" localSheetId="0" hidden="1">CSO!$A$1:$R$4259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" i="4" l="1"/>
  <c r="B3" i="4"/>
  <c r="M20" i="4"/>
  <c r="E3" i="4"/>
  <c r="J21" i="4"/>
  <c r="J3" i="4"/>
  <c r="J18" i="4" l="1"/>
  <c r="N7" i="3"/>
  <c r="O7" i="3"/>
  <c r="B12" i="3"/>
  <c r="D6" i="3"/>
  <c r="B11" i="3"/>
  <c r="C6" i="3"/>
  <c r="A6" i="3"/>
  <c r="B6" i="3"/>
  <c r="T152" i="1"/>
  <c r="E12" i="3" l="1"/>
  <c r="E6" i="3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3596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1464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E544" i="1"/>
  <c r="E542" i="1"/>
  <c r="E540" i="1"/>
  <c r="E538" i="1"/>
  <c r="E536" i="1"/>
  <c r="E534" i="1"/>
  <c r="E532" i="1"/>
  <c r="E530" i="1"/>
  <c r="E528" i="1"/>
  <c r="E526" i="1"/>
  <c r="E524" i="1"/>
  <c r="E522" i="1"/>
  <c r="E520" i="1"/>
  <c r="E518" i="1"/>
  <c r="E516" i="1"/>
  <c r="E514" i="1"/>
  <c r="E512" i="1"/>
  <c r="E510" i="1"/>
  <c r="E547" i="1"/>
  <c r="E545" i="1"/>
  <c r="E543" i="1"/>
  <c r="E541" i="1"/>
  <c r="E539" i="1"/>
  <c r="E537" i="1"/>
  <c r="E535" i="1"/>
  <c r="E533" i="1"/>
  <c r="E531" i="1"/>
  <c r="E529" i="1"/>
  <c r="E527" i="1"/>
  <c r="E525" i="1"/>
  <c r="E523" i="1"/>
  <c r="E521" i="1"/>
  <c r="E519" i="1"/>
  <c r="E517" i="1"/>
  <c r="E515" i="1"/>
  <c r="E513" i="1"/>
  <c r="E511" i="1"/>
  <c r="E996" i="1"/>
  <c r="E994" i="1"/>
  <c r="E992" i="1"/>
  <c r="E990" i="1"/>
  <c r="E988" i="1"/>
  <c r="E986" i="1"/>
  <c r="E984" i="1"/>
  <c r="E982" i="1"/>
  <c r="E980" i="1"/>
  <c r="E978" i="1"/>
  <c r="E976" i="1"/>
  <c r="E974" i="1"/>
  <c r="E972" i="1"/>
  <c r="E970" i="1"/>
  <c r="E964" i="1"/>
  <c r="E968" i="1"/>
  <c r="E966" i="1"/>
  <c r="E997" i="1"/>
  <c r="E995" i="1"/>
  <c r="E993" i="1"/>
  <c r="E991" i="1"/>
  <c r="E989" i="1"/>
  <c r="E987" i="1"/>
  <c r="E985" i="1"/>
  <c r="E983" i="1"/>
  <c r="E981" i="1"/>
  <c r="E979" i="1"/>
  <c r="E977" i="1"/>
  <c r="E975" i="1"/>
  <c r="E973" i="1"/>
  <c r="E971" i="1"/>
  <c r="E965" i="1"/>
  <c r="E969" i="1"/>
  <c r="E967" i="1"/>
  <c r="E1398" i="1"/>
  <c r="E1396" i="1"/>
  <c r="E1394" i="1"/>
  <c r="E1392" i="1"/>
  <c r="E1390" i="1"/>
  <c r="E1388" i="1"/>
  <c r="E1386" i="1"/>
  <c r="E1384" i="1"/>
  <c r="E1382" i="1"/>
  <c r="E1380" i="1"/>
  <c r="E1378" i="1"/>
  <c r="E1376" i="1"/>
  <c r="E1374" i="1"/>
  <c r="E1372" i="1"/>
  <c r="E1370" i="1"/>
  <c r="E1368" i="1"/>
  <c r="E1399" i="1"/>
  <c r="E1397" i="1"/>
  <c r="E1395" i="1"/>
  <c r="E1393" i="1"/>
  <c r="E1391" i="1"/>
  <c r="E1389" i="1"/>
  <c r="E1387" i="1"/>
  <c r="E1385" i="1"/>
  <c r="E1383" i="1"/>
  <c r="E1381" i="1"/>
  <c r="E1379" i="1"/>
  <c r="E1377" i="1"/>
  <c r="E1375" i="1"/>
  <c r="E1373" i="1"/>
  <c r="E1371" i="1"/>
  <c r="E1369" i="1"/>
  <c r="E54" i="1"/>
  <c r="E52" i="1"/>
  <c r="E50" i="1"/>
  <c r="E48" i="1"/>
  <c r="E46" i="1"/>
  <c r="E44" i="1"/>
  <c r="E42" i="1"/>
  <c r="E40" i="1"/>
  <c r="E38" i="1"/>
  <c r="E36" i="1"/>
  <c r="E34" i="1"/>
  <c r="E32" i="1"/>
  <c r="E30" i="1"/>
  <c r="E28" i="1"/>
  <c r="E26" i="1"/>
  <c r="E24" i="1"/>
  <c r="E22" i="1"/>
  <c r="E20" i="1"/>
  <c r="E18" i="1"/>
  <c r="E16" i="1"/>
  <c r="E14" i="1"/>
  <c r="E12" i="1"/>
  <c r="E10" i="1"/>
  <c r="E8" i="1"/>
  <c r="E6" i="1"/>
  <c r="E4" i="1"/>
  <c r="E2" i="1"/>
  <c r="E55" i="1"/>
  <c r="E53" i="1"/>
  <c r="E51" i="1"/>
  <c r="E49" i="1"/>
  <c r="E47" i="1"/>
  <c r="E45" i="1"/>
  <c r="E43" i="1"/>
  <c r="E41" i="1"/>
  <c r="E39" i="1"/>
  <c r="E37" i="1"/>
  <c r="E35" i="1"/>
  <c r="E33" i="1"/>
  <c r="E31" i="1"/>
  <c r="E29" i="1"/>
  <c r="E27" i="1"/>
  <c r="E25" i="1"/>
  <c r="E23" i="1"/>
  <c r="E21" i="1"/>
  <c r="E19" i="1"/>
  <c r="E17" i="1"/>
  <c r="E15" i="1"/>
  <c r="E13" i="1"/>
  <c r="E11" i="1"/>
  <c r="E9" i="1"/>
  <c r="E7" i="1"/>
  <c r="E5" i="1"/>
  <c r="E3" i="1"/>
  <c r="E584" i="1"/>
  <c r="E582" i="1"/>
  <c r="E580" i="1"/>
  <c r="E578" i="1"/>
  <c r="E576" i="1"/>
  <c r="E574" i="1"/>
  <c r="E572" i="1"/>
  <c r="E570" i="1"/>
  <c r="E568" i="1"/>
  <c r="E566" i="1"/>
  <c r="E564" i="1"/>
  <c r="E562" i="1"/>
  <c r="E560" i="1"/>
  <c r="E558" i="1"/>
  <c r="E556" i="1"/>
  <c r="E554" i="1"/>
  <c r="E552" i="1"/>
  <c r="E550" i="1"/>
  <c r="E548" i="1"/>
  <c r="E585" i="1"/>
  <c r="E583" i="1"/>
  <c r="E581" i="1"/>
  <c r="E579" i="1"/>
  <c r="E577" i="1"/>
  <c r="E575" i="1"/>
  <c r="E573" i="1"/>
  <c r="E571" i="1"/>
  <c r="E569" i="1"/>
  <c r="E567" i="1"/>
  <c r="E565" i="1"/>
  <c r="E563" i="1"/>
  <c r="E561" i="1"/>
  <c r="E559" i="1"/>
  <c r="E557" i="1"/>
  <c r="E555" i="1"/>
  <c r="E553" i="1"/>
  <c r="E551" i="1"/>
  <c r="E549" i="1"/>
  <c r="E1030" i="1"/>
  <c r="E1028" i="1"/>
  <c r="E1026" i="1"/>
  <c r="E1024" i="1"/>
  <c r="E1022" i="1"/>
  <c r="E1020" i="1"/>
  <c r="E1018" i="1"/>
  <c r="E1016" i="1"/>
  <c r="E1014" i="1"/>
  <c r="E1012" i="1"/>
  <c r="E1010" i="1"/>
  <c r="E1008" i="1"/>
  <c r="E1006" i="1"/>
  <c r="E1004" i="1"/>
  <c r="E998" i="1"/>
  <c r="E1002" i="1"/>
  <c r="E1000" i="1"/>
  <c r="E1031" i="1"/>
  <c r="E1029" i="1"/>
  <c r="E1027" i="1"/>
  <c r="E1025" i="1"/>
  <c r="E1023" i="1"/>
  <c r="E1021" i="1"/>
  <c r="E1019" i="1"/>
  <c r="E1017" i="1"/>
  <c r="E1015" i="1"/>
  <c r="E1013" i="1"/>
  <c r="E1011" i="1"/>
  <c r="E1009" i="1"/>
  <c r="E1007" i="1"/>
  <c r="E1005" i="1"/>
  <c r="E999" i="1"/>
  <c r="E1003" i="1"/>
  <c r="E1001" i="1"/>
  <c r="E1430" i="1"/>
  <c r="E1428" i="1"/>
  <c r="E1426" i="1"/>
  <c r="E1424" i="1"/>
  <c r="E1422" i="1"/>
  <c r="E1420" i="1"/>
  <c r="E1418" i="1"/>
  <c r="E1416" i="1"/>
  <c r="E1414" i="1"/>
  <c r="E1412" i="1"/>
  <c r="E1410" i="1"/>
  <c r="E1408" i="1"/>
  <c r="E1406" i="1"/>
  <c r="E1404" i="1"/>
  <c r="E1402" i="1"/>
  <c r="E1400" i="1"/>
  <c r="E1431" i="1"/>
  <c r="E1429" i="1"/>
  <c r="E1427" i="1"/>
  <c r="E1425" i="1"/>
  <c r="E1423" i="1"/>
  <c r="E1421" i="1"/>
  <c r="E1419" i="1"/>
  <c r="E1417" i="1"/>
  <c r="E1415" i="1"/>
  <c r="E1413" i="1"/>
  <c r="E1411" i="1"/>
  <c r="E1409" i="1"/>
  <c r="E1407" i="1"/>
  <c r="E1405" i="1"/>
  <c r="E1403" i="1"/>
  <c r="E1401" i="1"/>
  <c r="E154" i="1"/>
  <c r="E152" i="1"/>
  <c r="E150" i="1"/>
  <c r="E148" i="1"/>
  <c r="E146" i="1"/>
  <c r="E144" i="1"/>
  <c r="E142" i="1"/>
  <c r="E140" i="1"/>
  <c r="E138" i="1"/>
  <c r="E136" i="1"/>
  <c r="E134" i="1"/>
  <c r="E132" i="1"/>
  <c r="E130" i="1"/>
  <c r="E128" i="1"/>
  <c r="E126" i="1"/>
  <c r="E124" i="1"/>
  <c r="E122" i="1"/>
  <c r="E120" i="1"/>
  <c r="E118" i="1"/>
  <c r="E116" i="1"/>
  <c r="E114" i="1"/>
  <c r="E106" i="1"/>
  <c r="E112" i="1"/>
  <c r="E110" i="1"/>
  <c r="E108" i="1"/>
  <c r="E155" i="1"/>
  <c r="E153" i="1"/>
  <c r="E151" i="1"/>
  <c r="E149" i="1"/>
  <c r="E147" i="1"/>
  <c r="E145" i="1"/>
  <c r="E143" i="1"/>
  <c r="E141" i="1"/>
  <c r="E139" i="1"/>
  <c r="E137" i="1"/>
  <c r="E135" i="1"/>
  <c r="E133" i="1"/>
  <c r="E131" i="1"/>
  <c r="E129" i="1"/>
  <c r="E127" i="1"/>
  <c r="E125" i="1"/>
  <c r="E123" i="1"/>
  <c r="E121" i="1"/>
  <c r="E119" i="1"/>
  <c r="E117" i="1"/>
  <c r="E115" i="1"/>
  <c r="E107" i="1"/>
  <c r="E113" i="1"/>
  <c r="E111" i="1"/>
  <c r="E109" i="1"/>
  <c r="E662" i="1"/>
  <c r="E660" i="1"/>
  <c r="E658" i="1"/>
  <c r="E656" i="1"/>
  <c r="E654" i="1"/>
  <c r="E652" i="1"/>
  <c r="E650" i="1"/>
  <c r="E648" i="1"/>
  <c r="E646" i="1"/>
  <c r="E644" i="1"/>
  <c r="E642" i="1"/>
  <c r="E640" i="1"/>
  <c r="E638" i="1"/>
  <c r="E636" i="1"/>
  <c r="E634" i="1"/>
  <c r="E632" i="1"/>
  <c r="E626" i="1"/>
  <c r="E630" i="1"/>
  <c r="E628" i="1"/>
  <c r="E663" i="1"/>
  <c r="E661" i="1"/>
  <c r="E659" i="1"/>
  <c r="E657" i="1"/>
  <c r="E655" i="1"/>
  <c r="E653" i="1"/>
  <c r="E651" i="1"/>
  <c r="E649" i="1"/>
  <c r="E647" i="1"/>
  <c r="E645" i="1"/>
  <c r="E643" i="1"/>
  <c r="E641" i="1"/>
  <c r="E639" i="1"/>
  <c r="E637" i="1"/>
  <c r="E635" i="1"/>
  <c r="E633" i="1"/>
  <c r="E627" i="1"/>
  <c r="E631" i="1"/>
  <c r="E629" i="1"/>
  <c r="E1100" i="1"/>
  <c r="E1098" i="1"/>
  <c r="E1096" i="1"/>
  <c r="E1094" i="1"/>
  <c r="E1092" i="1"/>
  <c r="E1090" i="1"/>
  <c r="E1088" i="1"/>
  <c r="E1086" i="1"/>
  <c r="E1084" i="1"/>
  <c r="E1082" i="1"/>
  <c r="E1080" i="1"/>
  <c r="E1078" i="1"/>
  <c r="E1076" i="1"/>
  <c r="E1074" i="1"/>
  <c r="E1072" i="1"/>
  <c r="E1070" i="1"/>
  <c r="E1068" i="1"/>
  <c r="E1101" i="1"/>
  <c r="E1099" i="1"/>
  <c r="E1097" i="1"/>
  <c r="E1095" i="1"/>
  <c r="E1093" i="1"/>
  <c r="E1091" i="1"/>
  <c r="E1089" i="1"/>
  <c r="E1087" i="1"/>
  <c r="E1085" i="1"/>
  <c r="E1083" i="1"/>
  <c r="E1081" i="1"/>
  <c r="E1079" i="1"/>
  <c r="E1077" i="1"/>
  <c r="E1075" i="1"/>
  <c r="E1073" i="1"/>
  <c r="E1071" i="1"/>
  <c r="E1069" i="1"/>
  <c r="E104" i="1"/>
  <c r="E102" i="1"/>
  <c r="E100" i="1"/>
  <c r="E98" i="1"/>
  <c r="E96" i="1"/>
  <c r="E94" i="1"/>
  <c r="E92" i="1"/>
  <c r="E90" i="1"/>
  <c r="E88" i="1"/>
  <c r="E86" i="1"/>
  <c r="E84" i="1"/>
  <c r="E82" i="1"/>
  <c r="E80" i="1"/>
  <c r="E78" i="1"/>
  <c r="E76" i="1"/>
  <c r="E74" i="1"/>
  <c r="E72" i="1"/>
  <c r="E70" i="1"/>
  <c r="E68" i="1"/>
  <c r="E66" i="1"/>
  <c r="E64" i="1"/>
  <c r="E62" i="1"/>
  <c r="E60" i="1"/>
  <c r="E58" i="1"/>
  <c r="E56" i="1"/>
  <c r="E105" i="1"/>
  <c r="E103" i="1"/>
  <c r="E101" i="1"/>
  <c r="E99" i="1"/>
  <c r="E97" i="1"/>
  <c r="E95" i="1"/>
  <c r="E93" i="1"/>
  <c r="E91" i="1"/>
  <c r="E89" i="1"/>
  <c r="E87" i="1"/>
  <c r="E85" i="1"/>
  <c r="E83" i="1"/>
  <c r="E81" i="1"/>
  <c r="E79" i="1"/>
  <c r="E77" i="1"/>
  <c r="E75" i="1"/>
  <c r="E73" i="1"/>
  <c r="E71" i="1"/>
  <c r="E69" i="1"/>
  <c r="E67" i="1"/>
  <c r="E65" i="1"/>
  <c r="E63" i="1"/>
  <c r="E61" i="1"/>
  <c r="E59" i="1"/>
  <c r="E57" i="1"/>
  <c r="E624" i="1"/>
  <c r="E622" i="1"/>
  <c r="E620" i="1"/>
  <c r="E618" i="1"/>
  <c r="E616" i="1"/>
  <c r="E614" i="1"/>
  <c r="E612" i="1"/>
  <c r="E610" i="1"/>
  <c r="E608" i="1"/>
  <c r="E606" i="1"/>
  <c r="E604" i="1"/>
  <c r="E602" i="1"/>
  <c r="E600" i="1"/>
  <c r="E598" i="1"/>
  <c r="E596" i="1"/>
  <c r="E594" i="1"/>
  <c r="E592" i="1"/>
  <c r="E590" i="1"/>
  <c r="E588" i="1"/>
  <c r="E586" i="1"/>
  <c r="E625" i="1"/>
  <c r="E623" i="1"/>
  <c r="E621" i="1"/>
  <c r="E619" i="1"/>
  <c r="E617" i="1"/>
  <c r="E615" i="1"/>
  <c r="E613" i="1"/>
  <c r="E611" i="1"/>
  <c r="E609" i="1"/>
  <c r="E607" i="1"/>
  <c r="E605" i="1"/>
  <c r="E603" i="1"/>
  <c r="E601" i="1"/>
  <c r="E599" i="1"/>
  <c r="E597" i="1"/>
  <c r="E595" i="1"/>
  <c r="E593" i="1"/>
  <c r="E591" i="1"/>
  <c r="E589" i="1"/>
  <c r="E587" i="1"/>
  <c r="E1066" i="1"/>
  <c r="E1064" i="1"/>
  <c r="E1062" i="1"/>
  <c r="E1060" i="1"/>
  <c r="E1058" i="1"/>
  <c r="E1056" i="1"/>
  <c r="E1054" i="1"/>
  <c r="E1052" i="1"/>
  <c r="E1050" i="1"/>
  <c r="E1048" i="1"/>
  <c r="E1046" i="1"/>
  <c r="E1044" i="1"/>
  <c r="E1042" i="1"/>
  <c r="E1040" i="1"/>
  <c r="E1038" i="1"/>
  <c r="E1032" i="1"/>
  <c r="E1036" i="1"/>
  <c r="E1034" i="1"/>
  <c r="E1067" i="1"/>
  <c r="E1065" i="1"/>
  <c r="E1063" i="1"/>
  <c r="E1061" i="1"/>
  <c r="E1059" i="1"/>
  <c r="E1057" i="1"/>
  <c r="E1055" i="1"/>
  <c r="E1053" i="1"/>
  <c r="E1051" i="1"/>
  <c r="E1049" i="1"/>
  <c r="E1047" i="1"/>
  <c r="E1045" i="1"/>
  <c r="E1043" i="1"/>
  <c r="E1041" i="1"/>
  <c r="E1039" i="1"/>
  <c r="E1033" i="1"/>
  <c r="E1037" i="1"/>
  <c r="E1035" i="1"/>
  <c r="E1462" i="1"/>
  <c r="E1460" i="1"/>
  <c r="E1458" i="1"/>
  <c r="E1456" i="1"/>
  <c r="E1454" i="1"/>
  <c r="E1452" i="1"/>
  <c r="E1450" i="1"/>
  <c r="E1448" i="1"/>
  <c r="E1446" i="1"/>
  <c r="E1444" i="1"/>
  <c r="E1442" i="1"/>
  <c r="E1440" i="1"/>
  <c r="E1438" i="1"/>
  <c r="E1436" i="1"/>
  <c r="E1434" i="1"/>
  <c r="E1432" i="1"/>
  <c r="E1463" i="1"/>
  <c r="E1461" i="1"/>
  <c r="E1459" i="1"/>
  <c r="E1457" i="1"/>
  <c r="E1455" i="1"/>
  <c r="E1453" i="1"/>
  <c r="E1451" i="1"/>
  <c r="E1449" i="1"/>
  <c r="E1447" i="1"/>
  <c r="E1445" i="1"/>
  <c r="E1443" i="1"/>
  <c r="E1441" i="1"/>
  <c r="E1439" i="1"/>
  <c r="E1437" i="1"/>
  <c r="E1435" i="1"/>
  <c r="E1433" i="1"/>
  <c r="E204" i="1"/>
  <c r="E202" i="1"/>
  <c r="E200" i="1"/>
  <c r="E198" i="1"/>
  <c r="E196" i="1"/>
  <c r="E194" i="1"/>
  <c r="E192" i="1"/>
  <c r="E190" i="1"/>
  <c r="E188" i="1"/>
  <c r="E186" i="1"/>
  <c r="E184" i="1"/>
  <c r="E182" i="1"/>
  <c r="E180" i="1"/>
  <c r="E178" i="1"/>
  <c r="E176" i="1"/>
  <c r="E174" i="1"/>
  <c r="E172" i="1"/>
  <c r="E170" i="1"/>
  <c r="E168" i="1"/>
  <c r="E166" i="1"/>
  <c r="E164" i="1"/>
  <c r="E156" i="1"/>
  <c r="E162" i="1"/>
  <c r="E160" i="1"/>
  <c r="E158" i="1"/>
  <c r="E205" i="1"/>
  <c r="E203" i="1"/>
  <c r="E201" i="1"/>
  <c r="E199" i="1"/>
  <c r="E197" i="1"/>
  <c r="E195" i="1"/>
  <c r="E193" i="1"/>
  <c r="E191" i="1"/>
  <c r="E189" i="1"/>
  <c r="E187" i="1"/>
  <c r="E185" i="1"/>
  <c r="E183" i="1"/>
  <c r="E181" i="1"/>
  <c r="E179" i="1"/>
  <c r="E177" i="1"/>
  <c r="E175" i="1"/>
  <c r="E173" i="1"/>
  <c r="E171" i="1"/>
  <c r="E169" i="1"/>
  <c r="E167" i="1"/>
  <c r="E165" i="1"/>
  <c r="E157" i="1"/>
  <c r="E163" i="1"/>
  <c r="E161" i="1"/>
  <c r="E159" i="1"/>
  <c r="E700" i="1"/>
  <c r="E698" i="1"/>
  <c r="E696" i="1"/>
  <c r="E694" i="1"/>
  <c r="E692" i="1"/>
  <c r="E690" i="1"/>
  <c r="E688" i="1"/>
  <c r="E686" i="1"/>
  <c r="E684" i="1"/>
  <c r="E682" i="1"/>
  <c r="E680" i="1"/>
  <c r="E678" i="1"/>
  <c r="E676" i="1"/>
  <c r="E674" i="1"/>
  <c r="E672" i="1"/>
  <c r="E670" i="1"/>
  <c r="E664" i="1"/>
  <c r="E668" i="1"/>
  <c r="E666" i="1"/>
  <c r="E701" i="1"/>
  <c r="E699" i="1"/>
  <c r="E697" i="1"/>
  <c r="E695" i="1"/>
  <c r="E693" i="1"/>
  <c r="E691" i="1"/>
  <c r="E689" i="1"/>
  <c r="E687" i="1"/>
  <c r="E685" i="1"/>
  <c r="E683" i="1"/>
  <c r="E681" i="1"/>
  <c r="E679" i="1"/>
  <c r="E677" i="1"/>
  <c r="E675" i="1"/>
  <c r="E673" i="1"/>
  <c r="E671" i="1"/>
  <c r="E665" i="1"/>
  <c r="E669" i="1"/>
  <c r="E667" i="1"/>
  <c r="E1134" i="1"/>
  <c r="E1132" i="1"/>
  <c r="E1130" i="1"/>
  <c r="E1128" i="1"/>
  <c r="E1126" i="1"/>
  <c r="E1124" i="1"/>
  <c r="E1122" i="1"/>
  <c r="E1120" i="1"/>
  <c r="E1118" i="1"/>
  <c r="E1116" i="1"/>
  <c r="E1114" i="1"/>
  <c r="E1112" i="1"/>
  <c r="E1110" i="1"/>
  <c r="E1108" i="1"/>
  <c r="E1106" i="1"/>
  <c r="E1104" i="1"/>
  <c r="E1102" i="1"/>
  <c r="E1135" i="1"/>
  <c r="E1133" i="1"/>
  <c r="E1131" i="1"/>
  <c r="E1129" i="1"/>
  <c r="E1127" i="1"/>
  <c r="E1125" i="1"/>
  <c r="E1123" i="1"/>
  <c r="E1121" i="1"/>
  <c r="E1119" i="1"/>
  <c r="E1117" i="1"/>
  <c r="E1115" i="1"/>
  <c r="E1113" i="1"/>
  <c r="E1111" i="1"/>
  <c r="E1109" i="1"/>
  <c r="E1107" i="1"/>
  <c r="E1105" i="1"/>
  <c r="E1103" i="1"/>
  <c r="E252" i="1"/>
  <c r="E250" i="1"/>
  <c r="E248" i="1"/>
  <c r="E246" i="1"/>
  <c r="E244" i="1"/>
  <c r="E242" i="1"/>
  <c r="E240" i="1"/>
  <c r="E238" i="1"/>
  <c r="E236" i="1"/>
  <c r="E234" i="1"/>
  <c r="E232" i="1"/>
  <c r="E230" i="1"/>
  <c r="E228" i="1"/>
  <c r="E226" i="1"/>
  <c r="E224" i="1"/>
  <c r="E222" i="1"/>
  <c r="E220" i="1"/>
  <c r="E218" i="1"/>
  <c r="E216" i="1"/>
  <c r="E214" i="1"/>
  <c r="E206" i="1"/>
  <c r="E212" i="1"/>
  <c r="E210" i="1"/>
  <c r="E208" i="1"/>
  <c r="E253" i="1"/>
  <c r="E251" i="1"/>
  <c r="E249" i="1"/>
  <c r="E247" i="1"/>
  <c r="E245" i="1"/>
  <c r="E243" i="1"/>
  <c r="E241" i="1"/>
  <c r="E239" i="1"/>
  <c r="E237" i="1"/>
  <c r="E235" i="1"/>
  <c r="E233" i="1"/>
  <c r="E231" i="1"/>
  <c r="E229" i="1"/>
  <c r="E227" i="1"/>
  <c r="E225" i="1"/>
  <c r="E223" i="1"/>
  <c r="E221" i="1"/>
  <c r="E219" i="1"/>
  <c r="E217" i="1"/>
  <c r="E215" i="1"/>
  <c r="E207" i="1"/>
  <c r="E213" i="1"/>
  <c r="E211" i="1"/>
  <c r="E209" i="1"/>
  <c r="E738" i="1"/>
  <c r="E736" i="1"/>
  <c r="E734" i="1"/>
  <c r="E732" i="1"/>
  <c r="E730" i="1"/>
  <c r="E728" i="1"/>
  <c r="E726" i="1"/>
  <c r="E724" i="1"/>
  <c r="E722" i="1"/>
  <c r="E720" i="1"/>
  <c r="E718" i="1"/>
  <c r="E716" i="1"/>
  <c r="E714" i="1"/>
  <c r="E712" i="1"/>
  <c r="E710" i="1"/>
  <c r="E708" i="1"/>
  <c r="E702" i="1"/>
  <c r="E706" i="1"/>
  <c r="E704" i="1"/>
  <c r="E739" i="1"/>
  <c r="E737" i="1"/>
  <c r="E735" i="1"/>
  <c r="E733" i="1"/>
  <c r="E731" i="1"/>
  <c r="E729" i="1"/>
  <c r="E727" i="1"/>
  <c r="E725" i="1"/>
  <c r="E723" i="1"/>
  <c r="E721" i="1"/>
  <c r="E719" i="1"/>
  <c r="E717" i="1"/>
  <c r="E715" i="1"/>
  <c r="E713" i="1"/>
  <c r="E711" i="1"/>
  <c r="E709" i="1"/>
  <c r="E703" i="1"/>
  <c r="E707" i="1"/>
  <c r="E705" i="1"/>
  <c r="E1170" i="1"/>
  <c r="E1168" i="1"/>
  <c r="E1166" i="1"/>
  <c r="E1164" i="1"/>
  <c r="E1162" i="1"/>
  <c r="E1160" i="1"/>
  <c r="E1158" i="1"/>
  <c r="E1156" i="1"/>
  <c r="E1154" i="1"/>
  <c r="E1152" i="1"/>
  <c r="E1150" i="1"/>
  <c r="E1148" i="1"/>
  <c r="E1146" i="1"/>
  <c r="E1144" i="1"/>
  <c r="E1142" i="1"/>
  <c r="E1140" i="1"/>
  <c r="E1138" i="1"/>
  <c r="E1136" i="1"/>
  <c r="E1171" i="1"/>
  <c r="E1169" i="1"/>
  <c r="E1167" i="1"/>
  <c r="E1165" i="1"/>
  <c r="E1163" i="1"/>
  <c r="E1161" i="1"/>
  <c r="E1159" i="1"/>
  <c r="E1157" i="1"/>
  <c r="E1155" i="1"/>
  <c r="E1153" i="1"/>
  <c r="E1151" i="1"/>
  <c r="E1149" i="1"/>
  <c r="E1147" i="1"/>
  <c r="E1145" i="1"/>
  <c r="E1143" i="1"/>
  <c r="E1141" i="1"/>
  <c r="E1139" i="1"/>
  <c r="E1137" i="1"/>
  <c r="E298" i="1"/>
  <c r="E296" i="1"/>
  <c r="E294" i="1"/>
  <c r="E292" i="1"/>
  <c r="E290" i="1"/>
  <c r="E288" i="1"/>
  <c r="E286" i="1"/>
  <c r="E284" i="1"/>
  <c r="E282" i="1"/>
  <c r="E280" i="1"/>
  <c r="E278" i="1"/>
  <c r="E276" i="1"/>
  <c r="E274" i="1"/>
  <c r="E272" i="1"/>
  <c r="E270" i="1"/>
  <c r="E268" i="1"/>
  <c r="E266" i="1"/>
  <c r="E264" i="1"/>
  <c r="E262" i="1"/>
  <c r="E260" i="1"/>
  <c r="E258" i="1"/>
  <c r="E256" i="1"/>
  <c r="E254" i="1"/>
  <c r="E299" i="1"/>
  <c r="E297" i="1"/>
  <c r="E295" i="1"/>
  <c r="E293" i="1"/>
  <c r="E291" i="1"/>
  <c r="E289" i="1"/>
  <c r="E287" i="1"/>
  <c r="E285" i="1"/>
  <c r="E283" i="1"/>
  <c r="E281" i="1"/>
  <c r="E279" i="1"/>
  <c r="E277" i="1"/>
  <c r="E275" i="1"/>
  <c r="E273" i="1"/>
  <c r="E271" i="1"/>
  <c r="E269" i="1"/>
  <c r="E267" i="1"/>
  <c r="E265" i="1"/>
  <c r="E263" i="1"/>
  <c r="E261" i="1"/>
  <c r="E259" i="1"/>
  <c r="E257" i="1"/>
  <c r="E255" i="1"/>
  <c r="E778" i="1"/>
  <c r="E776" i="1"/>
  <c r="E774" i="1"/>
  <c r="E772" i="1"/>
  <c r="E770" i="1"/>
  <c r="E768" i="1"/>
  <c r="E766" i="1"/>
  <c r="E764" i="1"/>
  <c r="E762" i="1"/>
  <c r="E760" i="1"/>
  <c r="E758" i="1"/>
  <c r="E756" i="1"/>
  <c r="E754" i="1"/>
  <c r="E752" i="1"/>
  <c r="E750" i="1"/>
  <c r="E748" i="1"/>
  <c r="E746" i="1"/>
  <c r="E740" i="1"/>
  <c r="E744" i="1"/>
  <c r="E742" i="1"/>
  <c r="E779" i="1"/>
  <c r="E777" i="1"/>
  <c r="E775" i="1"/>
  <c r="E773" i="1"/>
  <c r="E771" i="1"/>
  <c r="E769" i="1"/>
  <c r="E767" i="1"/>
  <c r="E765" i="1"/>
  <c r="E763" i="1"/>
  <c r="E761" i="1"/>
  <c r="E759" i="1"/>
  <c r="E757" i="1"/>
  <c r="E755" i="1"/>
  <c r="E753" i="1"/>
  <c r="E751" i="1"/>
  <c r="E749" i="1"/>
  <c r="E747" i="1"/>
  <c r="E741" i="1"/>
  <c r="E745" i="1"/>
  <c r="E743" i="1"/>
  <c r="E1204" i="1"/>
  <c r="E1202" i="1"/>
  <c r="E1200" i="1"/>
  <c r="E1198" i="1"/>
  <c r="E1196" i="1"/>
  <c r="E1194" i="1"/>
  <c r="E1192" i="1"/>
  <c r="E1190" i="1"/>
  <c r="E1188" i="1"/>
  <c r="E1186" i="1"/>
  <c r="E1184" i="1"/>
  <c r="E1182" i="1"/>
  <c r="E1180" i="1"/>
  <c r="E1178" i="1"/>
  <c r="E1176" i="1"/>
  <c r="E1174" i="1"/>
  <c r="E1172" i="1"/>
  <c r="E1205" i="1"/>
  <c r="E1203" i="1"/>
  <c r="E1201" i="1"/>
  <c r="E1199" i="1"/>
  <c r="E1197" i="1"/>
  <c r="E1195" i="1"/>
  <c r="E1193" i="1"/>
  <c r="E1191" i="1"/>
  <c r="E1189" i="1"/>
  <c r="E1187" i="1"/>
  <c r="E1185" i="1"/>
  <c r="E1183" i="1"/>
  <c r="E1181" i="1"/>
  <c r="E1179" i="1"/>
  <c r="E1177" i="1"/>
  <c r="E1175" i="1"/>
  <c r="E1173" i="1"/>
  <c r="E342" i="1"/>
  <c r="E340" i="1"/>
  <c r="E338" i="1"/>
  <c r="E336" i="1"/>
  <c r="E334" i="1"/>
  <c r="E332" i="1"/>
  <c r="E330" i="1"/>
  <c r="E328" i="1"/>
  <c r="E326" i="1"/>
  <c r="E324" i="1"/>
  <c r="E322" i="1"/>
  <c r="E320" i="1"/>
  <c r="E318" i="1"/>
  <c r="E316" i="1"/>
  <c r="E314" i="1"/>
  <c r="E312" i="1"/>
  <c r="E310" i="1"/>
  <c r="E308" i="1"/>
  <c r="E306" i="1"/>
  <c r="E304" i="1"/>
  <c r="E302" i="1"/>
  <c r="E300" i="1"/>
  <c r="E343" i="1"/>
  <c r="E341" i="1"/>
  <c r="E339" i="1"/>
  <c r="E337" i="1"/>
  <c r="E335" i="1"/>
  <c r="E333" i="1"/>
  <c r="E331" i="1"/>
  <c r="E329" i="1"/>
  <c r="E327" i="1"/>
  <c r="E325" i="1"/>
  <c r="E323" i="1"/>
  <c r="E321" i="1"/>
  <c r="E319" i="1"/>
  <c r="E317" i="1"/>
  <c r="E315" i="1"/>
  <c r="E313" i="1"/>
  <c r="E311" i="1"/>
  <c r="E309" i="1"/>
  <c r="E307" i="1"/>
  <c r="E305" i="1"/>
  <c r="E303" i="1"/>
  <c r="E301" i="1"/>
  <c r="E816" i="1"/>
  <c r="E814" i="1"/>
  <c r="E812" i="1"/>
  <c r="E810" i="1"/>
  <c r="E808" i="1"/>
  <c r="E806" i="1"/>
  <c r="E804" i="1"/>
  <c r="E802" i="1"/>
  <c r="E800" i="1"/>
  <c r="E798" i="1"/>
  <c r="E796" i="1"/>
  <c r="E794" i="1"/>
  <c r="E792" i="1"/>
  <c r="E790" i="1"/>
  <c r="E788" i="1"/>
  <c r="E786" i="1"/>
  <c r="E780" i="1"/>
  <c r="E784" i="1"/>
  <c r="E782" i="1"/>
  <c r="E817" i="1"/>
  <c r="E815" i="1"/>
  <c r="E813" i="1"/>
  <c r="E811" i="1"/>
  <c r="E809" i="1"/>
  <c r="E807" i="1"/>
  <c r="E805" i="1"/>
  <c r="E803" i="1"/>
  <c r="E801" i="1"/>
  <c r="E799" i="1"/>
  <c r="E797" i="1"/>
  <c r="E795" i="1"/>
  <c r="E793" i="1"/>
  <c r="E791" i="1"/>
  <c r="E789" i="1"/>
  <c r="E787" i="1"/>
  <c r="E781" i="1"/>
  <c r="E785" i="1"/>
  <c r="E783" i="1"/>
  <c r="E1238" i="1"/>
  <c r="E1236" i="1"/>
  <c r="E1234" i="1"/>
  <c r="E1232" i="1"/>
  <c r="E1230" i="1"/>
  <c r="E1228" i="1"/>
  <c r="E1226" i="1"/>
  <c r="E1224" i="1"/>
  <c r="E1222" i="1"/>
  <c r="E1220" i="1"/>
  <c r="E1218" i="1"/>
  <c r="E1216" i="1"/>
  <c r="E1214" i="1"/>
  <c r="E1212" i="1"/>
  <c r="E1210" i="1"/>
  <c r="E1208" i="1"/>
  <c r="E1206" i="1"/>
  <c r="E1239" i="1"/>
  <c r="E1237" i="1"/>
  <c r="E1235" i="1"/>
  <c r="E1233" i="1"/>
  <c r="E1231" i="1"/>
  <c r="E1229" i="1"/>
  <c r="E1227" i="1"/>
  <c r="E1225" i="1"/>
  <c r="E1223" i="1"/>
  <c r="E1221" i="1"/>
  <c r="E1219" i="1"/>
  <c r="E1217" i="1"/>
  <c r="E1215" i="1"/>
  <c r="E1213" i="1"/>
  <c r="E1211" i="1"/>
  <c r="E1209" i="1"/>
  <c r="E1207" i="1"/>
  <c r="E384" i="1"/>
  <c r="E382" i="1"/>
  <c r="E380" i="1"/>
  <c r="E378" i="1"/>
  <c r="E376" i="1"/>
  <c r="E374" i="1"/>
  <c r="E372" i="1"/>
  <c r="E370" i="1"/>
  <c r="E368" i="1"/>
  <c r="E366" i="1"/>
  <c r="E364" i="1"/>
  <c r="E362" i="1"/>
  <c r="E360" i="1"/>
  <c r="E358" i="1"/>
  <c r="E356" i="1"/>
  <c r="E354" i="1"/>
  <c r="E352" i="1"/>
  <c r="E350" i="1"/>
  <c r="E348" i="1"/>
  <c r="E346" i="1"/>
  <c r="E344" i="1"/>
  <c r="E385" i="1"/>
  <c r="E383" i="1"/>
  <c r="E381" i="1"/>
  <c r="E379" i="1"/>
  <c r="E377" i="1"/>
  <c r="E375" i="1"/>
  <c r="E373" i="1"/>
  <c r="E371" i="1"/>
  <c r="E369" i="1"/>
  <c r="E367" i="1"/>
  <c r="E365" i="1"/>
  <c r="E363" i="1"/>
  <c r="E361" i="1"/>
  <c r="E359" i="1"/>
  <c r="E357" i="1"/>
  <c r="E355" i="1"/>
  <c r="E353" i="1"/>
  <c r="E351" i="1"/>
  <c r="E349" i="1"/>
  <c r="E347" i="1"/>
  <c r="E345" i="1"/>
  <c r="E854" i="1"/>
  <c r="E852" i="1"/>
  <c r="E850" i="1"/>
  <c r="E848" i="1"/>
  <c r="E846" i="1"/>
  <c r="E844" i="1"/>
  <c r="E842" i="1"/>
  <c r="E840" i="1"/>
  <c r="E838" i="1"/>
  <c r="E836" i="1"/>
  <c r="E834" i="1"/>
  <c r="E832" i="1"/>
  <c r="E830" i="1"/>
  <c r="E828" i="1"/>
  <c r="E826" i="1"/>
  <c r="E824" i="1"/>
  <c r="E818" i="1"/>
  <c r="E822" i="1"/>
  <c r="E820" i="1"/>
  <c r="E855" i="1"/>
  <c r="E853" i="1"/>
  <c r="E851" i="1"/>
  <c r="E849" i="1"/>
  <c r="E847" i="1"/>
  <c r="E845" i="1"/>
  <c r="E843" i="1"/>
  <c r="E841" i="1"/>
  <c r="E839" i="1"/>
  <c r="E837" i="1"/>
  <c r="E835" i="1"/>
  <c r="E833" i="1"/>
  <c r="E831" i="1"/>
  <c r="E829" i="1"/>
  <c r="E827" i="1"/>
  <c r="E825" i="1"/>
  <c r="E819" i="1"/>
  <c r="E823" i="1"/>
  <c r="E821" i="1"/>
  <c r="E1270" i="1"/>
  <c r="E1268" i="1"/>
  <c r="E1266" i="1"/>
  <c r="E1264" i="1"/>
  <c r="E1262" i="1"/>
  <c r="E1260" i="1"/>
  <c r="E1258" i="1"/>
  <c r="E1256" i="1"/>
  <c r="E1254" i="1"/>
  <c r="E1252" i="1"/>
  <c r="E1250" i="1"/>
  <c r="E1248" i="1"/>
  <c r="E1246" i="1"/>
  <c r="E1244" i="1"/>
  <c r="E1242" i="1"/>
  <c r="E1240" i="1"/>
  <c r="E1271" i="1"/>
  <c r="E1269" i="1"/>
  <c r="E1267" i="1"/>
  <c r="E1265" i="1"/>
  <c r="E1263" i="1"/>
  <c r="E1261" i="1"/>
  <c r="E1259" i="1"/>
  <c r="E1257" i="1"/>
  <c r="E1255" i="1"/>
  <c r="E1253" i="1"/>
  <c r="E1251" i="1"/>
  <c r="E1249" i="1"/>
  <c r="E1247" i="1"/>
  <c r="E1245" i="1"/>
  <c r="E1243" i="1"/>
  <c r="E1241" i="1"/>
  <c r="E426" i="1"/>
  <c r="E424" i="1"/>
  <c r="E422" i="1"/>
  <c r="E420" i="1"/>
  <c r="E418" i="1"/>
  <c r="E416" i="1"/>
  <c r="E414" i="1"/>
  <c r="E412" i="1"/>
  <c r="E410" i="1"/>
  <c r="E408" i="1"/>
  <c r="E406" i="1"/>
  <c r="E404" i="1"/>
  <c r="E402" i="1"/>
  <c r="E400" i="1"/>
  <c r="E398" i="1"/>
  <c r="E396" i="1"/>
  <c r="E394" i="1"/>
  <c r="E392" i="1"/>
  <c r="E390" i="1"/>
  <c r="E388" i="1"/>
  <c r="E386" i="1"/>
  <c r="E427" i="1"/>
  <c r="E425" i="1"/>
  <c r="E423" i="1"/>
  <c r="E421" i="1"/>
  <c r="E419" i="1"/>
  <c r="E417" i="1"/>
  <c r="E415" i="1"/>
  <c r="E413" i="1"/>
  <c r="E411" i="1"/>
  <c r="E409" i="1"/>
  <c r="E407" i="1"/>
  <c r="E405" i="1"/>
  <c r="E403" i="1"/>
  <c r="E401" i="1"/>
  <c r="E399" i="1"/>
  <c r="E397" i="1"/>
  <c r="E395" i="1"/>
  <c r="E393" i="1"/>
  <c r="E391" i="1"/>
  <c r="E389" i="1"/>
  <c r="E387" i="1"/>
  <c r="E890" i="1"/>
  <c r="E888" i="1"/>
  <c r="E886" i="1"/>
  <c r="E884" i="1"/>
  <c r="E882" i="1"/>
  <c r="E880" i="1"/>
  <c r="E878" i="1"/>
  <c r="E876" i="1"/>
  <c r="E874" i="1"/>
  <c r="E872" i="1"/>
  <c r="E870" i="1"/>
  <c r="E868" i="1"/>
  <c r="E866" i="1"/>
  <c r="E864" i="1"/>
  <c r="E862" i="1"/>
  <c r="E856" i="1"/>
  <c r="E860" i="1"/>
  <c r="E858" i="1"/>
  <c r="E891" i="1"/>
  <c r="E889" i="1"/>
  <c r="E887" i="1"/>
  <c r="E885" i="1"/>
  <c r="E883" i="1"/>
  <c r="E881" i="1"/>
  <c r="E879" i="1"/>
  <c r="E877" i="1"/>
  <c r="E875" i="1"/>
  <c r="E873" i="1"/>
  <c r="E871" i="1"/>
  <c r="E869" i="1"/>
  <c r="E867" i="1"/>
  <c r="E865" i="1"/>
  <c r="E863" i="1"/>
  <c r="E857" i="1"/>
  <c r="E861" i="1"/>
  <c r="E859" i="1"/>
  <c r="E1302" i="1"/>
  <c r="E1300" i="1"/>
  <c r="E1298" i="1"/>
  <c r="E1296" i="1"/>
  <c r="E1294" i="1"/>
  <c r="E1292" i="1"/>
  <c r="E1290" i="1"/>
  <c r="E1288" i="1"/>
  <c r="E1286" i="1"/>
  <c r="E1284" i="1"/>
  <c r="E1282" i="1"/>
  <c r="E1280" i="1"/>
  <c r="E1278" i="1"/>
  <c r="E1276" i="1"/>
  <c r="E1274" i="1"/>
  <c r="E1272" i="1"/>
  <c r="E1303" i="1"/>
  <c r="E1301" i="1"/>
  <c r="E1299" i="1"/>
  <c r="E1297" i="1"/>
  <c r="E1295" i="1"/>
  <c r="E1293" i="1"/>
  <c r="E1291" i="1"/>
  <c r="E1289" i="1"/>
  <c r="E1287" i="1"/>
  <c r="E1285" i="1"/>
  <c r="E1283" i="1"/>
  <c r="E1281" i="1"/>
  <c r="E1279" i="1"/>
  <c r="E1277" i="1"/>
  <c r="E1275" i="1"/>
  <c r="E1273" i="1"/>
  <c r="E468" i="1"/>
  <c r="E466" i="1"/>
  <c r="E464" i="1"/>
  <c r="E462" i="1"/>
  <c r="E460" i="1"/>
  <c r="E458" i="1"/>
  <c r="E456" i="1"/>
  <c r="E454" i="1"/>
  <c r="E452" i="1"/>
  <c r="E450" i="1"/>
  <c r="E448" i="1"/>
  <c r="E446" i="1"/>
  <c r="E444" i="1"/>
  <c r="E442" i="1"/>
  <c r="E440" i="1"/>
  <c r="E438" i="1"/>
  <c r="E436" i="1"/>
  <c r="E434" i="1"/>
  <c r="E432" i="1"/>
  <c r="E430" i="1"/>
  <c r="E428" i="1"/>
  <c r="E469" i="1"/>
  <c r="E467" i="1"/>
  <c r="E465" i="1"/>
  <c r="E463" i="1"/>
  <c r="E461" i="1"/>
  <c r="E459" i="1"/>
  <c r="E457" i="1"/>
  <c r="E455" i="1"/>
  <c r="E453" i="1"/>
  <c r="E451" i="1"/>
  <c r="E449" i="1"/>
  <c r="E447" i="1"/>
  <c r="E445" i="1"/>
  <c r="E443" i="1"/>
  <c r="E441" i="1"/>
  <c r="E439" i="1"/>
  <c r="E437" i="1"/>
  <c r="E435" i="1"/>
  <c r="E433" i="1"/>
  <c r="E431" i="1"/>
  <c r="E429" i="1"/>
  <c r="E926" i="1"/>
  <c r="E924" i="1"/>
  <c r="E922" i="1"/>
  <c r="E920" i="1"/>
  <c r="E918" i="1"/>
  <c r="E916" i="1"/>
  <c r="E914" i="1"/>
  <c r="E912" i="1"/>
  <c r="E910" i="1"/>
  <c r="E908" i="1"/>
  <c r="E906" i="1"/>
  <c r="E904" i="1"/>
  <c r="E902" i="1"/>
  <c r="E900" i="1"/>
  <c r="E898" i="1"/>
  <c r="E892" i="1"/>
  <c r="E896" i="1"/>
  <c r="E894" i="1"/>
  <c r="E927" i="1"/>
  <c r="E925" i="1"/>
  <c r="E923" i="1"/>
  <c r="E921" i="1"/>
  <c r="E919" i="1"/>
  <c r="E917" i="1"/>
  <c r="E915" i="1"/>
  <c r="E913" i="1"/>
  <c r="E911" i="1"/>
  <c r="E909" i="1"/>
  <c r="E907" i="1"/>
  <c r="E905" i="1"/>
  <c r="E903" i="1"/>
  <c r="E901" i="1"/>
  <c r="E899" i="1"/>
  <c r="E893" i="1"/>
  <c r="E897" i="1"/>
  <c r="E895" i="1"/>
  <c r="E1334" i="1"/>
  <c r="E1332" i="1"/>
  <c r="E1330" i="1"/>
  <c r="E1328" i="1"/>
  <c r="E1326" i="1"/>
  <c r="E1324" i="1"/>
  <c r="E1322" i="1"/>
  <c r="E1320" i="1"/>
  <c r="E1318" i="1"/>
  <c r="E1316" i="1"/>
  <c r="E1314" i="1"/>
  <c r="E1312" i="1"/>
  <c r="E1310" i="1"/>
  <c r="E1308" i="1"/>
  <c r="E1306" i="1"/>
  <c r="E1304" i="1"/>
  <c r="E1335" i="1"/>
  <c r="E1333" i="1"/>
  <c r="E1331" i="1"/>
  <c r="E1329" i="1"/>
  <c r="E1327" i="1"/>
  <c r="E1325" i="1"/>
  <c r="E1323" i="1"/>
  <c r="E1321" i="1"/>
  <c r="E1319" i="1"/>
  <c r="E1317" i="1"/>
  <c r="E1315" i="1"/>
  <c r="E1313" i="1"/>
  <c r="E1311" i="1"/>
  <c r="E1309" i="1"/>
  <c r="E1307" i="1"/>
  <c r="E1305" i="1"/>
  <c r="E508" i="1"/>
  <c r="E506" i="1"/>
  <c r="E504" i="1"/>
  <c r="E502" i="1"/>
  <c r="E500" i="1"/>
  <c r="E498" i="1"/>
  <c r="E496" i="1"/>
  <c r="E494" i="1"/>
  <c r="E492" i="1"/>
  <c r="E490" i="1"/>
  <c r="E488" i="1"/>
  <c r="E486" i="1"/>
  <c r="E484" i="1"/>
  <c r="E482" i="1"/>
  <c r="E480" i="1"/>
  <c r="E478" i="1"/>
  <c r="E476" i="1"/>
  <c r="E474" i="1"/>
  <c r="E472" i="1"/>
  <c r="E470" i="1"/>
  <c r="E509" i="1"/>
  <c r="E507" i="1"/>
  <c r="E505" i="1"/>
  <c r="E503" i="1"/>
  <c r="E501" i="1"/>
  <c r="E499" i="1"/>
  <c r="E497" i="1"/>
  <c r="E495" i="1"/>
  <c r="E493" i="1"/>
  <c r="E491" i="1"/>
  <c r="E489" i="1"/>
  <c r="E487" i="1"/>
  <c r="E485" i="1"/>
  <c r="E483" i="1"/>
  <c r="E481" i="1"/>
  <c r="E479" i="1"/>
  <c r="E477" i="1"/>
  <c r="E475" i="1"/>
  <c r="E473" i="1"/>
  <c r="E471" i="1"/>
  <c r="E962" i="1"/>
  <c r="E960" i="1"/>
  <c r="E958" i="1"/>
  <c r="E956" i="1"/>
  <c r="E954" i="1"/>
  <c r="E952" i="1"/>
  <c r="E950" i="1"/>
  <c r="E948" i="1"/>
  <c r="E946" i="1"/>
  <c r="E944" i="1"/>
  <c r="E942" i="1"/>
  <c r="E940" i="1"/>
  <c r="E938" i="1"/>
  <c r="E936" i="1"/>
  <c r="E934" i="1"/>
  <c r="E928" i="1"/>
  <c r="E932" i="1"/>
  <c r="E930" i="1"/>
  <c r="E963" i="1"/>
  <c r="E961" i="1"/>
  <c r="E959" i="1"/>
  <c r="E957" i="1"/>
  <c r="E955" i="1"/>
  <c r="E953" i="1"/>
  <c r="E951" i="1"/>
  <c r="E949" i="1"/>
  <c r="E947" i="1"/>
  <c r="E945" i="1"/>
  <c r="E943" i="1"/>
  <c r="E941" i="1"/>
  <c r="E939" i="1"/>
  <c r="E937" i="1"/>
  <c r="E935" i="1"/>
  <c r="E929" i="1"/>
  <c r="E933" i="1"/>
  <c r="E931" i="1"/>
  <c r="E1366" i="1"/>
  <c r="E1364" i="1"/>
  <c r="E1362" i="1"/>
  <c r="E1360" i="1"/>
  <c r="E1358" i="1"/>
  <c r="E1356" i="1"/>
  <c r="E1354" i="1"/>
  <c r="E1352" i="1"/>
  <c r="E1350" i="1"/>
  <c r="E1348" i="1"/>
  <c r="E1346" i="1"/>
  <c r="E1344" i="1"/>
  <c r="E1342" i="1"/>
  <c r="E1340" i="1"/>
  <c r="E1338" i="1"/>
  <c r="E1336" i="1"/>
  <c r="E1367" i="1"/>
  <c r="E1365" i="1"/>
  <c r="E1363" i="1"/>
  <c r="E1361" i="1"/>
  <c r="E1359" i="1"/>
  <c r="E1357" i="1"/>
  <c r="E1355" i="1"/>
  <c r="E1353" i="1"/>
  <c r="E1351" i="1"/>
  <c r="E1349" i="1"/>
  <c r="E1347" i="1"/>
  <c r="E1345" i="1"/>
  <c r="E1343" i="1"/>
  <c r="E1341" i="1"/>
  <c r="E1339" i="1"/>
  <c r="E1337" i="1"/>
  <c r="E1640" i="1"/>
  <c r="E1638" i="1"/>
  <c r="E1636" i="1"/>
  <c r="E1634" i="1"/>
  <c r="E1562" i="1"/>
  <c r="E1560" i="1"/>
  <c r="E1558" i="1"/>
  <c r="E1632" i="1"/>
  <c r="E1556" i="1"/>
  <c r="E1630" i="1"/>
  <c r="E1628" i="1"/>
  <c r="E1626" i="1"/>
  <c r="E1624" i="1"/>
  <c r="E1622" i="1"/>
  <c r="E1620" i="1"/>
  <c r="E1618" i="1"/>
  <c r="E1616" i="1"/>
  <c r="E1614" i="1"/>
  <c r="E1612" i="1"/>
  <c r="E1610" i="1"/>
  <c r="E1608" i="1"/>
  <c r="E1606" i="1"/>
  <c r="E1604" i="1"/>
  <c r="E1602" i="1"/>
  <c r="E1600" i="1"/>
  <c r="E1598" i="1"/>
  <c r="E1596" i="1"/>
  <c r="E1594" i="1"/>
  <c r="E1592" i="1"/>
  <c r="E1590" i="1"/>
  <c r="E1588" i="1"/>
  <c r="E1586" i="1"/>
  <c r="E1584" i="1"/>
  <c r="E1582" i="1"/>
  <c r="E1580" i="1"/>
  <c r="E1578" i="1"/>
  <c r="E1576" i="1"/>
  <c r="E1574" i="1"/>
  <c r="E1572" i="1"/>
  <c r="E1570" i="1"/>
  <c r="E1568" i="1"/>
  <c r="E1566" i="1"/>
  <c r="E1564" i="1"/>
  <c r="E1641" i="1"/>
  <c r="E1639" i="1"/>
  <c r="E1637" i="1"/>
  <c r="E1563" i="1"/>
  <c r="E1635" i="1"/>
  <c r="E1561" i="1"/>
  <c r="E1559" i="1"/>
  <c r="E1633" i="1"/>
  <c r="E1557" i="1"/>
  <c r="E1631" i="1"/>
  <c r="E1629" i="1"/>
  <c r="E1627" i="1"/>
  <c r="E1625" i="1"/>
  <c r="E1623" i="1"/>
  <c r="E1621" i="1"/>
  <c r="E1619" i="1"/>
  <c r="E1617" i="1"/>
  <c r="E1615" i="1"/>
  <c r="E1613" i="1"/>
  <c r="E1611" i="1"/>
  <c r="E1609" i="1"/>
  <c r="E1607" i="1"/>
  <c r="E1605" i="1"/>
  <c r="E1603" i="1"/>
  <c r="E1601" i="1"/>
  <c r="E1599" i="1"/>
  <c r="E1597" i="1"/>
  <c r="E1595" i="1"/>
  <c r="E1593" i="1"/>
  <c r="E1591" i="1"/>
  <c r="E1589" i="1"/>
  <c r="E1587" i="1"/>
  <c r="E1585" i="1"/>
  <c r="E1583" i="1"/>
  <c r="E1581" i="1"/>
  <c r="E1579" i="1"/>
  <c r="E1577" i="1"/>
  <c r="E1575" i="1"/>
  <c r="E1573" i="1"/>
  <c r="E1571" i="1"/>
  <c r="E1569" i="1"/>
  <c r="E1567" i="1"/>
  <c r="E1565" i="1"/>
  <c r="E2478" i="1"/>
  <c r="E2476" i="1"/>
  <c r="E2474" i="1"/>
  <c r="E2472" i="1"/>
  <c r="E2470" i="1"/>
  <c r="E2468" i="1"/>
  <c r="E2466" i="1"/>
  <c r="E2464" i="1"/>
  <c r="E2462" i="1"/>
  <c r="E2460" i="1"/>
  <c r="E2458" i="1"/>
  <c r="E2456" i="1"/>
  <c r="E2454" i="1"/>
  <c r="E2452" i="1"/>
  <c r="E2450" i="1"/>
  <c r="E2448" i="1"/>
  <c r="E2446" i="1"/>
  <c r="E2444" i="1"/>
  <c r="E2442" i="1"/>
  <c r="E2440" i="1"/>
  <c r="E2438" i="1"/>
  <c r="E2436" i="1"/>
  <c r="E2434" i="1"/>
  <c r="E2432" i="1"/>
  <c r="E2430" i="1"/>
  <c r="E2428" i="1"/>
  <c r="E2426" i="1"/>
  <c r="E2424" i="1"/>
  <c r="E2422" i="1"/>
  <c r="E2420" i="1"/>
  <c r="E2479" i="1"/>
  <c r="E2477" i="1"/>
  <c r="E2475" i="1"/>
  <c r="E2473" i="1"/>
  <c r="E2471" i="1"/>
  <c r="E2469" i="1"/>
  <c r="E2467" i="1"/>
  <c r="E2465" i="1"/>
  <c r="E2463" i="1"/>
  <c r="E2461" i="1"/>
  <c r="E2459" i="1"/>
  <c r="E2457" i="1"/>
  <c r="E2455" i="1"/>
  <c r="E2453" i="1"/>
  <c r="E2451" i="1"/>
  <c r="E2449" i="1"/>
  <c r="E2447" i="1"/>
  <c r="E2445" i="1"/>
  <c r="E2443" i="1"/>
  <c r="E2441" i="1"/>
  <c r="E2439" i="1"/>
  <c r="E2437" i="1"/>
  <c r="E2435" i="1"/>
  <c r="E2433" i="1"/>
  <c r="E2431" i="1"/>
  <c r="E2429" i="1"/>
  <c r="E2427" i="1"/>
  <c r="E2425" i="1"/>
  <c r="E2423" i="1"/>
  <c r="E2421" i="1"/>
  <c r="E3138" i="1"/>
  <c r="E3136" i="1"/>
  <c r="E3134" i="1"/>
  <c r="E3132" i="1"/>
  <c r="E3130" i="1"/>
  <c r="E3128" i="1"/>
  <c r="E3126" i="1"/>
  <c r="E3124" i="1"/>
  <c r="E3122" i="1"/>
  <c r="E3120" i="1"/>
  <c r="E3118" i="1"/>
  <c r="E3116" i="1"/>
  <c r="E3114" i="1"/>
  <c r="E3112" i="1"/>
  <c r="E3110" i="1"/>
  <c r="E3108" i="1"/>
  <c r="E3106" i="1"/>
  <c r="E3104" i="1"/>
  <c r="E3102" i="1"/>
  <c r="E3100" i="1"/>
  <c r="E3098" i="1"/>
  <c r="E3096" i="1"/>
  <c r="E3094" i="1"/>
  <c r="E3092" i="1"/>
  <c r="E3090" i="1"/>
  <c r="E3088" i="1"/>
  <c r="E3139" i="1"/>
  <c r="E3137" i="1"/>
  <c r="E3135" i="1"/>
  <c r="E3133" i="1"/>
  <c r="E3131" i="1"/>
  <c r="E3129" i="1"/>
  <c r="E3127" i="1"/>
  <c r="E3125" i="1"/>
  <c r="E3123" i="1"/>
  <c r="E3121" i="1"/>
  <c r="E3119" i="1"/>
  <c r="E3117" i="1"/>
  <c r="E3115" i="1"/>
  <c r="E3113" i="1"/>
  <c r="E3111" i="1"/>
  <c r="E3109" i="1"/>
  <c r="E3107" i="1"/>
  <c r="E3105" i="1"/>
  <c r="E3103" i="1"/>
  <c r="E3101" i="1"/>
  <c r="E3099" i="1"/>
  <c r="E3097" i="1"/>
  <c r="E3095" i="1"/>
  <c r="E3093" i="1"/>
  <c r="E3091" i="1"/>
  <c r="E3089" i="1"/>
  <c r="E1726" i="1"/>
  <c r="E1724" i="1"/>
  <c r="E1722" i="1"/>
  <c r="E1720" i="1"/>
  <c r="E1648" i="1"/>
  <c r="E1646" i="1"/>
  <c r="E1644" i="1"/>
  <c r="E1718" i="1"/>
  <c r="E1642" i="1"/>
  <c r="E1716" i="1"/>
  <c r="E1714" i="1"/>
  <c r="E1712" i="1"/>
  <c r="E1710" i="1"/>
  <c r="E1708" i="1"/>
  <c r="E1706" i="1"/>
  <c r="E1704" i="1"/>
  <c r="E1702" i="1"/>
  <c r="E1700" i="1"/>
  <c r="E1698" i="1"/>
  <c r="E1696" i="1"/>
  <c r="E1694" i="1"/>
  <c r="E1692" i="1"/>
  <c r="E1690" i="1"/>
  <c r="E1688" i="1"/>
  <c r="E1686" i="1"/>
  <c r="E1684" i="1"/>
  <c r="E1682" i="1"/>
  <c r="E1680" i="1"/>
  <c r="E1678" i="1"/>
  <c r="E1676" i="1"/>
  <c r="E1674" i="1"/>
  <c r="E1672" i="1"/>
  <c r="E1670" i="1"/>
  <c r="E1668" i="1"/>
  <c r="E1666" i="1"/>
  <c r="E1664" i="1"/>
  <c r="E1662" i="1"/>
  <c r="E1660" i="1"/>
  <c r="E1658" i="1"/>
  <c r="E1656" i="1"/>
  <c r="E1654" i="1"/>
  <c r="E1652" i="1"/>
  <c r="E1650" i="1"/>
  <c r="E1727" i="1"/>
  <c r="E1725" i="1"/>
  <c r="E1723" i="1"/>
  <c r="E1649" i="1"/>
  <c r="E1721" i="1"/>
  <c r="E1647" i="1"/>
  <c r="E1645" i="1"/>
  <c r="E1719" i="1"/>
  <c r="E1643" i="1"/>
  <c r="E1717" i="1"/>
  <c r="E1715" i="1"/>
  <c r="E1713" i="1"/>
  <c r="E1711" i="1"/>
  <c r="E1709" i="1"/>
  <c r="E1707" i="1"/>
  <c r="E1705" i="1"/>
  <c r="E1703" i="1"/>
  <c r="E1701" i="1"/>
  <c r="E1699" i="1"/>
  <c r="E1697" i="1"/>
  <c r="E1695" i="1"/>
  <c r="E1693" i="1"/>
  <c r="E1691" i="1"/>
  <c r="E1689" i="1"/>
  <c r="E1687" i="1"/>
  <c r="E1685" i="1"/>
  <c r="E1683" i="1"/>
  <c r="E1681" i="1"/>
  <c r="E1679" i="1"/>
  <c r="E1677" i="1"/>
  <c r="E1675" i="1"/>
  <c r="E1673" i="1"/>
  <c r="E1671" i="1"/>
  <c r="E1669" i="1"/>
  <c r="E1667" i="1"/>
  <c r="E1665" i="1"/>
  <c r="E1663" i="1"/>
  <c r="E1661" i="1"/>
  <c r="E1659" i="1"/>
  <c r="E1657" i="1"/>
  <c r="E1655" i="1"/>
  <c r="E1653" i="1"/>
  <c r="E1651" i="1"/>
  <c r="E2538" i="1"/>
  <c r="E2536" i="1"/>
  <c r="E2534" i="1"/>
  <c r="E2532" i="1"/>
  <c r="E2530" i="1"/>
  <c r="E2528" i="1"/>
  <c r="E2526" i="1"/>
  <c r="E2524" i="1"/>
  <c r="E2522" i="1"/>
  <c r="E2520" i="1"/>
  <c r="E2518" i="1"/>
  <c r="E2516" i="1"/>
  <c r="E2514" i="1"/>
  <c r="E2512" i="1"/>
  <c r="E2510" i="1"/>
  <c r="E2508" i="1"/>
  <c r="E2506" i="1"/>
  <c r="E2504" i="1"/>
  <c r="E2502" i="1"/>
  <c r="E2500" i="1"/>
  <c r="E2498" i="1"/>
  <c r="E2496" i="1"/>
  <c r="E2494" i="1"/>
  <c r="E2492" i="1"/>
  <c r="E2490" i="1"/>
  <c r="E2488" i="1"/>
  <c r="E2486" i="1"/>
  <c r="E2484" i="1"/>
  <c r="E2482" i="1"/>
  <c r="E2480" i="1"/>
  <c r="E2539" i="1"/>
  <c r="E2537" i="1"/>
  <c r="E2535" i="1"/>
  <c r="E2533" i="1"/>
  <c r="E2531" i="1"/>
  <c r="E2529" i="1"/>
  <c r="E2527" i="1"/>
  <c r="E2525" i="1"/>
  <c r="E2523" i="1"/>
  <c r="E2521" i="1"/>
  <c r="E2519" i="1"/>
  <c r="E2517" i="1"/>
  <c r="E2515" i="1"/>
  <c r="E2513" i="1"/>
  <c r="E2511" i="1"/>
  <c r="E2509" i="1"/>
  <c r="E2507" i="1"/>
  <c r="E2505" i="1"/>
  <c r="E2503" i="1"/>
  <c r="E2501" i="1"/>
  <c r="E2499" i="1"/>
  <c r="E2497" i="1"/>
  <c r="E2495" i="1"/>
  <c r="E2493" i="1"/>
  <c r="E2491" i="1"/>
  <c r="E2489" i="1"/>
  <c r="E2487" i="1"/>
  <c r="E2485" i="1"/>
  <c r="E2483" i="1"/>
  <c r="E2481" i="1"/>
  <c r="E3190" i="1"/>
  <c r="E3188" i="1"/>
  <c r="E3186" i="1"/>
  <c r="E3184" i="1"/>
  <c r="E3182" i="1"/>
  <c r="E3180" i="1"/>
  <c r="E3178" i="1"/>
  <c r="E3176" i="1"/>
  <c r="E3174" i="1"/>
  <c r="E3172" i="1"/>
  <c r="E3170" i="1"/>
  <c r="E3168" i="1"/>
  <c r="E3166" i="1"/>
  <c r="E3164" i="1"/>
  <c r="E3162" i="1"/>
  <c r="E3160" i="1"/>
  <c r="E3158" i="1"/>
  <c r="E3156" i="1"/>
  <c r="E3154" i="1"/>
  <c r="E3152" i="1"/>
  <c r="E3150" i="1"/>
  <c r="E3148" i="1"/>
  <c r="E3146" i="1"/>
  <c r="E3144" i="1"/>
  <c r="E3142" i="1"/>
  <c r="E3140" i="1"/>
  <c r="E3191" i="1"/>
  <c r="E3189" i="1"/>
  <c r="E3187" i="1"/>
  <c r="E3185" i="1"/>
  <c r="E3183" i="1"/>
  <c r="E3181" i="1"/>
  <c r="E3179" i="1"/>
  <c r="E3177" i="1"/>
  <c r="E3175" i="1"/>
  <c r="E3173" i="1"/>
  <c r="E3171" i="1"/>
  <c r="E3169" i="1"/>
  <c r="E3167" i="1"/>
  <c r="E3165" i="1"/>
  <c r="E3163" i="1"/>
  <c r="E3161" i="1"/>
  <c r="E3159" i="1"/>
  <c r="E3157" i="1"/>
  <c r="E3155" i="1"/>
  <c r="E3153" i="1"/>
  <c r="E3151" i="1"/>
  <c r="E3149" i="1"/>
  <c r="E3147" i="1"/>
  <c r="E3145" i="1"/>
  <c r="E3143" i="1"/>
  <c r="E3141" i="1"/>
  <c r="E1888" i="1"/>
  <c r="E1886" i="1"/>
  <c r="E1884" i="1"/>
  <c r="E1882" i="1"/>
  <c r="E1816" i="1"/>
  <c r="E1814" i="1"/>
  <c r="E1880" i="1"/>
  <c r="E1878" i="1"/>
  <c r="E1876" i="1"/>
  <c r="E1874" i="1"/>
  <c r="E1872" i="1"/>
  <c r="E1870" i="1"/>
  <c r="E1868" i="1"/>
  <c r="E1866" i="1"/>
  <c r="E1864" i="1"/>
  <c r="E1862" i="1"/>
  <c r="E1860" i="1"/>
  <c r="E1858" i="1"/>
  <c r="E1856" i="1"/>
  <c r="E1854" i="1"/>
  <c r="E1852" i="1"/>
  <c r="E1850" i="1"/>
  <c r="E1848" i="1"/>
  <c r="E1846" i="1"/>
  <c r="E1844" i="1"/>
  <c r="E1842" i="1"/>
  <c r="E1840" i="1"/>
  <c r="E1838" i="1"/>
  <c r="E1836" i="1"/>
  <c r="E1834" i="1"/>
  <c r="E1832" i="1"/>
  <c r="E1830" i="1"/>
  <c r="E1828" i="1"/>
  <c r="E1826" i="1"/>
  <c r="E1824" i="1"/>
  <c r="E1822" i="1"/>
  <c r="E1820" i="1"/>
  <c r="E1818" i="1"/>
  <c r="E1889" i="1"/>
  <c r="E1887" i="1"/>
  <c r="E1885" i="1"/>
  <c r="E1817" i="1"/>
  <c r="E1883" i="1"/>
  <c r="E1815" i="1"/>
  <c r="E1881" i="1"/>
  <c r="E1879" i="1"/>
  <c r="E1877" i="1"/>
  <c r="E1875" i="1"/>
  <c r="E1873" i="1"/>
  <c r="E1871" i="1"/>
  <c r="E1869" i="1"/>
  <c r="E1867" i="1"/>
  <c r="E1865" i="1"/>
  <c r="E1863" i="1"/>
  <c r="E1861" i="1"/>
  <c r="E1859" i="1"/>
  <c r="E1857" i="1"/>
  <c r="E1855" i="1"/>
  <c r="E1853" i="1"/>
  <c r="E1851" i="1"/>
  <c r="E1849" i="1"/>
  <c r="E1847" i="1"/>
  <c r="E1845" i="1"/>
  <c r="E1843" i="1"/>
  <c r="E1841" i="1"/>
  <c r="E1839" i="1"/>
  <c r="E1837" i="1"/>
  <c r="E1835" i="1"/>
  <c r="E1833" i="1"/>
  <c r="E1831" i="1"/>
  <c r="E1829" i="1"/>
  <c r="E1827" i="1"/>
  <c r="E1825" i="1"/>
  <c r="E1823" i="1"/>
  <c r="E1821" i="1"/>
  <c r="E1819" i="1"/>
  <c r="E2654" i="1"/>
  <c r="E2652" i="1"/>
  <c r="E2650" i="1"/>
  <c r="E2648" i="1"/>
  <c r="E2646" i="1"/>
  <c r="E2644" i="1"/>
  <c r="E2642" i="1"/>
  <c r="E2640" i="1"/>
  <c r="E2638" i="1"/>
  <c r="E2636" i="1"/>
  <c r="E2634" i="1"/>
  <c r="E2632" i="1"/>
  <c r="E2630" i="1"/>
  <c r="E2628" i="1"/>
  <c r="E2626" i="1"/>
  <c r="E2624" i="1"/>
  <c r="E2622" i="1"/>
  <c r="E2620" i="1"/>
  <c r="E2618" i="1"/>
  <c r="E2616" i="1"/>
  <c r="E2614" i="1"/>
  <c r="E2612" i="1"/>
  <c r="E2610" i="1"/>
  <c r="E2608" i="1"/>
  <c r="E2606" i="1"/>
  <c r="E2604" i="1"/>
  <c r="E2602" i="1"/>
  <c r="E2600" i="1"/>
  <c r="E2655" i="1"/>
  <c r="E2653" i="1"/>
  <c r="E2651" i="1"/>
  <c r="E2649" i="1"/>
  <c r="E2647" i="1"/>
  <c r="E2645" i="1"/>
  <c r="E2643" i="1"/>
  <c r="E2641" i="1"/>
  <c r="E2639" i="1"/>
  <c r="E2637" i="1"/>
  <c r="E2635" i="1"/>
  <c r="E2633" i="1"/>
  <c r="E2631" i="1"/>
  <c r="E2629" i="1"/>
  <c r="E2627" i="1"/>
  <c r="E2625" i="1"/>
  <c r="E2623" i="1"/>
  <c r="E2621" i="1"/>
  <c r="E2619" i="1"/>
  <c r="E2617" i="1"/>
  <c r="E2615" i="1"/>
  <c r="E2613" i="1"/>
  <c r="E2611" i="1"/>
  <c r="E2609" i="1"/>
  <c r="E2607" i="1"/>
  <c r="E2605" i="1"/>
  <c r="E2603" i="1"/>
  <c r="E2601" i="1"/>
  <c r="E3292" i="1"/>
  <c r="E3290" i="1"/>
  <c r="E3288" i="1"/>
  <c r="E3286" i="1"/>
  <c r="E3284" i="1"/>
  <c r="E3282" i="1"/>
  <c r="E3280" i="1"/>
  <c r="E3278" i="1"/>
  <c r="E3276" i="1"/>
  <c r="E3274" i="1"/>
  <c r="E3272" i="1"/>
  <c r="E3270" i="1"/>
  <c r="E3268" i="1"/>
  <c r="E3266" i="1"/>
  <c r="E3264" i="1"/>
  <c r="E3262" i="1"/>
  <c r="E3260" i="1"/>
  <c r="E3258" i="1"/>
  <c r="E3256" i="1"/>
  <c r="E3254" i="1"/>
  <c r="E3252" i="1"/>
  <c r="E3250" i="1"/>
  <c r="E3248" i="1"/>
  <c r="E3246" i="1"/>
  <c r="E3293" i="1"/>
  <c r="E3291" i="1"/>
  <c r="E3289" i="1"/>
  <c r="E3287" i="1"/>
  <c r="E3285" i="1"/>
  <c r="E3283" i="1"/>
  <c r="E3281" i="1"/>
  <c r="E3279" i="1"/>
  <c r="E3277" i="1"/>
  <c r="E3275" i="1"/>
  <c r="E3273" i="1"/>
  <c r="E3271" i="1"/>
  <c r="E3269" i="1"/>
  <c r="E3267" i="1"/>
  <c r="E3265" i="1"/>
  <c r="E3263" i="1"/>
  <c r="E3261" i="1"/>
  <c r="E3259" i="1"/>
  <c r="E3257" i="1"/>
  <c r="E3255" i="1"/>
  <c r="E3253" i="1"/>
  <c r="E3251" i="1"/>
  <c r="E3249" i="1"/>
  <c r="E3247" i="1"/>
  <c r="E1812" i="1"/>
  <c r="E1810" i="1"/>
  <c r="E1808" i="1"/>
  <c r="E1806" i="1"/>
  <c r="E1734" i="1"/>
  <c r="E1732" i="1"/>
  <c r="E1730" i="1"/>
  <c r="E1804" i="1"/>
  <c r="E1728" i="1"/>
  <c r="E1802" i="1"/>
  <c r="E1800" i="1"/>
  <c r="E1798" i="1"/>
  <c r="E1796" i="1"/>
  <c r="E1794" i="1"/>
  <c r="E1792" i="1"/>
  <c r="E1790" i="1"/>
  <c r="E1788" i="1"/>
  <c r="E1786" i="1"/>
  <c r="E1784" i="1"/>
  <c r="E1782" i="1"/>
  <c r="E1780" i="1"/>
  <c r="E1778" i="1"/>
  <c r="E1776" i="1"/>
  <c r="E1774" i="1"/>
  <c r="E1772" i="1"/>
  <c r="E1770" i="1"/>
  <c r="E1768" i="1"/>
  <c r="E1766" i="1"/>
  <c r="E1764" i="1"/>
  <c r="E1762" i="1"/>
  <c r="E1760" i="1"/>
  <c r="E1758" i="1"/>
  <c r="E1756" i="1"/>
  <c r="E1754" i="1"/>
  <c r="E1752" i="1"/>
  <c r="E1750" i="1"/>
  <c r="E1748" i="1"/>
  <c r="E1746" i="1"/>
  <c r="E1744" i="1"/>
  <c r="E1742" i="1"/>
  <c r="E1740" i="1"/>
  <c r="E1738" i="1"/>
  <c r="E1736" i="1"/>
  <c r="E1813" i="1"/>
  <c r="E1811" i="1"/>
  <c r="E1809" i="1"/>
  <c r="E1735" i="1"/>
  <c r="E1807" i="1"/>
  <c r="E1733" i="1"/>
  <c r="E1731" i="1"/>
  <c r="E1805" i="1"/>
  <c r="E1729" i="1"/>
  <c r="E1803" i="1"/>
  <c r="E1801" i="1"/>
  <c r="E1799" i="1"/>
  <c r="E1797" i="1"/>
  <c r="E1795" i="1"/>
  <c r="E1793" i="1"/>
  <c r="E1791" i="1"/>
  <c r="E1789" i="1"/>
  <c r="E1787" i="1"/>
  <c r="E1785" i="1"/>
  <c r="E1783" i="1"/>
  <c r="E1781" i="1"/>
  <c r="E1779" i="1"/>
  <c r="E1777" i="1"/>
  <c r="E1775" i="1"/>
  <c r="E1773" i="1"/>
  <c r="E1771" i="1"/>
  <c r="E1769" i="1"/>
  <c r="E1767" i="1"/>
  <c r="E1765" i="1"/>
  <c r="E1763" i="1"/>
  <c r="E1761" i="1"/>
  <c r="E1759" i="1"/>
  <c r="E1757" i="1"/>
  <c r="E1755" i="1"/>
  <c r="E1753" i="1"/>
  <c r="E1751" i="1"/>
  <c r="E1749" i="1"/>
  <c r="E1747" i="1"/>
  <c r="E1745" i="1"/>
  <c r="E1743" i="1"/>
  <c r="E1741" i="1"/>
  <c r="E1739" i="1"/>
  <c r="E1737" i="1"/>
  <c r="E2598" i="1"/>
  <c r="E2596" i="1"/>
  <c r="E2594" i="1"/>
  <c r="E2592" i="1"/>
  <c r="E2590" i="1"/>
  <c r="E2588" i="1"/>
  <c r="E2586" i="1"/>
  <c r="E2584" i="1"/>
  <c r="E2582" i="1"/>
  <c r="E2580" i="1"/>
  <c r="E2578" i="1"/>
  <c r="E2576" i="1"/>
  <c r="E2574" i="1"/>
  <c r="E2572" i="1"/>
  <c r="E2570" i="1"/>
  <c r="E2568" i="1"/>
  <c r="E2566" i="1"/>
  <c r="E2564" i="1"/>
  <c r="E2562" i="1"/>
  <c r="E2560" i="1"/>
  <c r="E2558" i="1"/>
  <c r="E2556" i="1"/>
  <c r="E2554" i="1"/>
  <c r="E2552" i="1"/>
  <c r="E2550" i="1"/>
  <c r="E2548" i="1"/>
  <c r="E2546" i="1"/>
  <c r="E2544" i="1"/>
  <c r="E2542" i="1"/>
  <c r="E2540" i="1"/>
  <c r="E2599" i="1"/>
  <c r="E2597" i="1"/>
  <c r="E2595" i="1"/>
  <c r="E2593" i="1"/>
  <c r="E2591" i="1"/>
  <c r="E2589" i="1"/>
  <c r="E2587" i="1"/>
  <c r="E2585" i="1"/>
  <c r="E2583" i="1"/>
  <c r="E2581" i="1"/>
  <c r="E2579" i="1"/>
  <c r="E2577" i="1"/>
  <c r="E2575" i="1"/>
  <c r="E2573" i="1"/>
  <c r="E2571" i="1"/>
  <c r="E2569" i="1"/>
  <c r="E2567" i="1"/>
  <c r="E2565" i="1"/>
  <c r="E2563" i="1"/>
  <c r="E2561" i="1"/>
  <c r="E2559" i="1"/>
  <c r="E2557" i="1"/>
  <c r="E2555" i="1"/>
  <c r="E2553" i="1"/>
  <c r="E2551" i="1"/>
  <c r="E2549" i="1"/>
  <c r="E2547" i="1"/>
  <c r="E2545" i="1"/>
  <c r="E2543" i="1"/>
  <c r="E2541" i="1"/>
  <c r="E3244" i="1"/>
  <c r="E3242" i="1"/>
  <c r="E3240" i="1"/>
  <c r="E3238" i="1"/>
  <c r="E3236" i="1"/>
  <c r="E3234" i="1"/>
  <c r="E3232" i="1"/>
  <c r="E3230" i="1"/>
  <c r="E3228" i="1"/>
  <c r="E3226" i="1"/>
  <c r="E3224" i="1"/>
  <c r="E3222" i="1"/>
  <c r="E3220" i="1"/>
  <c r="E3218" i="1"/>
  <c r="E3216" i="1"/>
  <c r="E3214" i="1"/>
  <c r="E3212" i="1"/>
  <c r="E3210" i="1"/>
  <c r="E3208" i="1"/>
  <c r="E3206" i="1"/>
  <c r="E3204" i="1"/>
  <c r="E3202" i="1"/>
  <c r="E3200" i="1"/>
  <c r="E3198" i="1"/>
  <c r="E3196" i="1"/>
  <c r="E3194" i="1"/>
  <c r="E3192" i="1"/>
  <c r="E3245" i="1"/>
  <c r="E3243" i="1"/>
  <c r="E3241" i="1"/>
  <c r="E3239" i="1"/>
  <c r="E3237" i="1"/>
  <c r="E3235" i="1"/>
  <c r="E3233" i="1"/>
  <c r="E3231" i="1"/>
  <c r="E3229" i="1"/>
  <c r="E3227" i="1"/>
  <c r="E3225" i="1"/>
  <c r="E3223" i="1"/>
  <c r="E3221" i="1"/>
  <c r="E3219" i="1"/>
  <c r="E3217" i="1"/>
  <c r="E3215" i="1"/>
  <c r="E3213" i="1"/>
  <c r="E3211" i="1"/>
  <c r="E3209" i="1"/>
  <c r="E3207" i="1"/>
  <c r="E3205" i="1"/>
  <c r="E3203" i="1"/>
  <c r="E3201" i="1"/>
  <c r="E3199" i="1"/>
  <c r="E3197" i="1"/>
  <c r="E3195" i="1"/>
  <c r="E3193" i="1"/>
  <c r="E1960" i="1"/>
  <c r="E1958" i="1"/>
  <c r="E1956" i="1"/>
  <c r="E1954" i="1"/>
  <c r="E1892" i="1"/>
  <c r="E1890" i="1"/>
  <c r="E1952" i="1"/>
  <c r="E1950" i="1"/>
  <c r="E1948" i="1"/>
  <c r="E1946" i="1"/>
  <c r="E1944" i="1"/>
  <c r="E1942" i="1"/>
  <c r="E1940" i="1"/>
  <c r="E1938" i="1"/>
  <c r="E1936" i="1"/>
  <c r="E1934" i="1"/>
  <c r="E1932" i="1"/>
  <c r="E1930" i="1"/>
  <c r="E1928" i="1"/>
  <c r="E1926" i="1"/>
  <c r="E1924" i="1"/>
  <c r="E1922" i="1"/>
  <c r="E1920" i="1"/>
  <c r="E1918" i="1"/>
  <c r="E1916" i="1"/>
  <c r="E1914" i="1"/>
  <c r="E1912" i="1"/>
  <c r="E1910" i="1"/>
  <c r="E1908" i="1"/>
  <c r="E1906" i="1"/>
  <c r="E1904" i="1"/>
  <c r="E1902" i="1"/>
  <c r="E1900" i="1"/>
  <c r="E1898" i="1"/>
  <c r="E1896" i="1"/>
  <c r="E1894" i="1"/>
  <c r="E1961" i="1"/>
  <c r="E1959" i="1"/>
  <c r="E1957" i="1"/>
  <c r="E1893" i="1"/>
  <c r="E1955" i="1"/>
  <c r="E1891" i="1"/>
  <c r="E1953" i="1"/>
  <c r="E1951" i="1"/>
  <c r="E1949" i="1"/>
  <c r="E1947" i="1"/>
  <c r="E1945" i="1"/>
  <c r="E1943" i="1"/>
  <c r="E1941" i="1"/>
  <c r="E1939" i="1"/>
  <c r="E1937" i="1"/>
  <c r="E1935" i="1"/>
  <c r="E1933" i="1"/>
  <c r="E1931" i="1"/>
  <c r="E1929" i="1"/>
  <c r="E1927" i="1"/>
  <c r="E1925" i="1"/>
  <c r="E1923" i="1"/>
  <c r="E1921" i="1"/>
  <c r="E1919" i="1"/>
  <c r="E1917" i="1"/>
  <c r="E1915" i="1"/>
  <c r="E1913" i="1"/>
  <c r="E1911" i="1"/>
  <c r="E1909" i="1"/>
  <c r="E1907" i="1"/>
  <c r="E1905" i="1"/>
  <c r="E1903" i="1"/>
  <c r="E1901" i="1"/>
  <c r="E1899" i="1"/>
  <c r="E1897" i="1"/>
  <c r="E1895" i="1"/>
  <c r="E2710" i="1"/>
  <c r="E2708" i="1"/>
  <c r="E2706" i="1"/>
  <c r="E2704" i="1"/>
  <c r="E2702" i="1"/>
  <c r="E2700" i="1"/>
  <c r="E2698" i="1"/>
  <c r="E2696" i="1"/>
  <c r="E2694" i="1"/>
  <c r="E2692" i="1"/>
  <c r="E2690" i="1"/>
  <c r="E2688" i="1"/>
  <c r="E2686" i="1"/>
  <c r="E2684" i="1"/>
  <c r="E2682" i="1"/>
  <c r="E2680" i="1"/>
  <c r="E2678" i="1"/>
  <c r="E2676" i="1"/>
  <c r="E2674" i="1"/>
  <c r="E2672" i="1"/>
  <c r="E2670" i="1"/>
  <c r="E2668" i="1"/>
  <c r="E2666" i="1"/>
  <c r="E2664" i="1"/>
  <c r="E2662" i="1"/>
  <c r="E2660" i="1"/>
  <c r="E2658" i="1"/>
  <c r="E2656" i="1"/>
  <c r="E2711" i="1"/>
  <c r="E2709" i="1"/>
  <c r="E2707" i="1"/>
  <c r="E2705" i="1"/>
  <c r="E2703" i="1"/>
  <c r="E2701" i="1"/>
  <c r="E2699" i="1"/>
  <c r="E2697" i="1"/>
  <c r="E2695" i="1"/>
  <c r="E2693" i="1"/>
  <c r="E2691" i="1"/>
  <c r="E2689" i="1"/>
  <c r="E2687" i="1"/>
  <c r="E2685" i="1"/>
  <c r="E2683" i="1"/>
  <c r="E2681" i="1"/>
  <c r="E2679" i="1"/>
  <c r="E2677" i="1"/>
  <c r="E2675" i="1"/>
  <c r="E2673" i="1"/>
  <c r="E2671" i="1"/>
  <c r="E2669" i="1"/>
  <c r="E2667" i="1"/>
  <c r="E2665" i="1"/>
  <c r="E2663" i="1"/>
  <c r="E2661" i="1"/>
  <c r="E2659" i="1"/>
  <c r="E2657" i="1"/>
  <c r="E3340" i="1"/>
  <c r="E3338" i="1"/>
  <c r="E3336" i="1"/>
  <c r="E3334" i="1"/>
  <c r="E3332" i="1"/>
  <c r="E3330" i="1"/>
  <c r="E3328" i="1"/>
  <c r="E3326" i="1"/>
  <c r="E3324" i="1"/>
  <c r="E3322" i="1"/>
  <c r="E3320" i="1"/>
  <c r="E3318" i="1"/>
  <c r="E3316" i="1"/>
  <c r="E3314" i="1"/>
  <c r="E3312" i="1"/>
  <c r="E3310" i="1"/>
  <c r="E3308" i="1"/>
  <c r="E3306" i="1"/>
  <c r="E3304" i="1"/>
  <c r="E3302" i="1"/>
  <c r="E3300" i="1"/>
  <c r="E3298" i="1"/>
  <c r="E3296" i="1"/>
  <c r="E3294" i="1"/>
  <c r="E3341" i="1"/>
  <c r="E3339" i="1"/>
  <c r="E3337" i="1"/>
  <c r="E3335" i="1"/>
  <c r="E3333" i="1"/>
  <c r="E3331" i="1"/>
  <c r="E3329" i="1"/>
  <c r="E3327" i="1"/>
  <c r="E3325" i="1"/>
  <c r="E3323" i="1"/>
  <c r="E3321" i="1"/>
  <c r="E3319" i="1"/>
  <c r="E3317" i="1"/>
  <c r="E3315" i="1"/>
  <c r="E3313" i="1"/>
  <c r="E3311" i="1"/>
  <c r="E3309" i="1"/>
  <c r="E3307" i="1"/>
  <c r="E3305" i="1"/>
  <c r="E3303" i="1"/>
  <c r="E3301" i="1"/>
  <c r="E3299" i="1"/>
  <c r="E3297" i="1"/>
  <c r="E3295" i="1"/>
  <c r="E2030" i="1"/>
  <c r="E2028" i="1"/>
  <c r="E2026" i="1"/>
  <c r="E2024" i="1"/>
  <c r="E1964" i="1"/>
  <c r="E1962" i="1"/>
  <c r="E2022" i="1"/>
  <c r="E2020" i="1"/>
  <c r="E2018" i="1"/>
  <c r="E2016" i="1"/>
  <c r="E2014" i="1"/>
  <c r="E2012" i="1"/>
  <c r="E2010" i="1"/>
  <c r="E2008" i="1"/>
  <c r="E2006" i="1"/>
  <c r="E2004" i="1"/>
  <c r="E2002" i="1"/>
  <c r="E2000" i="1"/>
  <c r="E1998" i="1"/>
  <c r="E1996" i="1"/>
  <c r="E1994" i="1"/>
  <c r="E1992" i="1"/>
  <c r="E1990" i="1"/>
  <c r="E1988" i="1"/>
  <c r="E1986" i="1"/>
  <c r="E1984" i="1"/>
  <c r="E1982" i="1"/>
  <c r="E1980" i="1"/>
  <c r="E1978" i="1"/>
  <c r="E1976" i="1"/>
  <c r="E1974" i="1"/>
  <c r="E1972" i="1"/>
  <c r="E1970" i="1"/>
  <c r="E1968" i="1"/>
  <c r="E1966" i="1"/>
  <c r="E2031" i="1"/>
  <c r="E2029" i="1"/>
  <c r="E2027" i="1"/>
  <c r="E1965" i="1"/>
  <c r="E2025" i="1"/>
  <c r="E1963" i="1"/>
  <c r="E2023" i="1"/>
  <c r="E2021" i="1"/>
  <c r="E2019" i="1"/>
  <c r="E2017" i="1"/>
  <c r="E2015" i="1"/>
  <c r="E2013" i="1"/>
  <c r="E2011" i="1"/>
  <c r="E2009" i="1"/>
  <c r="E2007" i="1"/>
  <c r="E2005" i="1"/>
  <c r="E2003" i="1"/>
  <c r="E2001" i="1"/>
  <c r="E1999" i="1"/>
  <c r="E1997" i="1"/>
  <c r="E1995" i="1"/>
  <c r="E1993" i="1"/>
  <c r="E1991" i="1"/>
  <c r="E1989" i="1"/>
  <c r="E1987" i="1"/>
  <c r="E1985" i="1"/>
  <c r="E1983" i="1"/>
  <c r="E1981" i="1"/>
  <c r="E1979" i="1"/>
  <c r="E1977" i="1"/>
  <c r="E1975" i="1"/>
  <c r="E1973" i="1"/>
  <c r="E1971" i="1"/>
  <c r="E1969" i="1"/>
  <c r="E1967" i="1"/>
  <c r="E2766" i="1"/>
  <c r="E2764" i="1"/>
  <c r="E2762" i="1"/>
  <c r="E2760" i="1"/>
  <c r="E2758" i="1"/>
  <c r="E2756" i="1"/>
  <c r="E2754" i="1"/>
  <c r="E2752" i="1"/>
  <c r="E2750" i="1"/>
  <c r="E2748" i="1"/>
  <c r="E2746" i="1"/>
  <c r="E2744" i="1"/>
  <c r="E2742" i="1"/>
  <c r="E2740" i="1"/>
  <c r="E2738" i="1"/>
  <c r="E2736" i="1"/>
  <c r="E2734" i="1"/>
  <c r="E2732" i="1"/>
  <c r="E2730" i="1"/>
  <c r="E2728" i="1"/>
  <c r="E2726" i="1"/>
  <c r="E2724" i="1"/>
  <c r="E2722" i="1"/>
  <c r="E2720" i="1"/>
  <c r="E2718" i="1"/>
  <c r="E2716" i="1"/>
  <c r="E2714" i="1"/>
  <c r="E2712" i="1"/>
  <c r="E2767" i="1"/>
  <c r="E2765" i="1"/>
  <c r="E2763" i="1"/>
  <c r="E2761" i="1"/>
  <c r="E2759" i="1"/>
  <c r="E2757" i="1"/>
  <c r="E2755" i="1"/>
  <c r="E2753" i="1"/>
  <c r="E2751" i="1"/>
  <c r="E2749" i="1"/>
  <c r="E2747" i="1"/>
  <c r="E2745" i="1"/>
  <c r="E2743" i="1"/>
  <c r="E2741" i="1"/>
  <c r="E2739" i="1"/>
  <c r="E2737" i="1"/>
  <c r="E2735" i="1"/>
  <c r="E2733" i="1"/>
  <c r="E2731" i="1"/>
  <c r="E2729" i="1"/>
  <c r="E2727" i="1"/>
  <c r="E2725" i="1"/>
  <c r="E2723" i="1"/>
  <c r="E2721" i="1"/>
  <c r="E2719" i="1"/>
  <c r="E2717" i="1"/>
  <c r="E2715" i="1"/>
  <c r="E2713" i="1"/>
  <c r="E3386" i="1"/>
  <c r="E3384" i="1"/>
  <c r="E3382" i="1"/>
  <c r="E3380" i="1"/>
  <c r="E3378" i="1"/>
  <c r="E3376" i="1"/>
  <c r="E3374" i="1"/>
  <c r="E3372" i="1"/>
  <c r="E3370" i="1"/>
  <c r="E3368" i="1"/>
  <c r="E3366" i="1"/>
  <c r="E3364" i="1"/>
  <c r="E3362" i="1"/>
  <c r="E3360" i="1"/>
  <c r="E3358" i="1"/>
  <c r="E3356" i="1"/>
  <c r="E3354" i="1"/>
  <c r="E3352" i="1"/>
  <c r="E3350" i="1"/>
  <c r="E3348" i="1"/>
  <c r="E3346" i="1"/>
  <c r="E3344" i="1"/>
  <c r="E3342" i="1"/>
  <c r="E3387" i="1"/>
  <c r="E3385" i="1"/>
  <c r="E3383" i="1"/>
  <c r="E3381" i="1"/>
  <c r="E3379" i="1"/>
  <c r="E3377" i="1"/>
  <c r="E3375" i="1"/>
  <c r="E3373" i="1"/>
  <c r="E3371" i="1"/>
  <c r="E3369" i="1"/>
  <c r="E3367" i="1"/>
  <c r="E3365" i="1"/>
  <c r="E3363" i="1"/>
  <c r="E3361" i="1"/>
  <c r="E3359" i="1"/>
  <c r="E3357" i="1"/>
  <c r="E3355" i="1"/>
  <c r="E3353" i="1"/>
  <c r="E3351" i="1"/>
  <c r="E3349" i="1"/>
  <c r="E3347" i="1"/>
  <c r="E3345" i="1"/>
  <c r="E3343" i="1"/>
  <c r="E2094" i="1"/>
  <c r="E2092" i="1"/>
  <c r="E2090" i="1"/>
  <c r="E2088" i="1"/>
  <c r="E2032" i="1"/>
  <c r="E2086" i="1"/>
  <c r="E2084" i="1"/>
  <c r="E2082" i="1"/>
  <c r="E2080" i="1"/>
  <c r="E2078" i="1"/>
  <c r="E2076" i="1"/>
  <c r="E2074" i="1"/>
  <c r="E2072" i="1"/>
  <c r="E2070" i="1"/>
  <c r="E2068" i="1"/>
  <c r="E2066" i="1"/>
  <c r="E2064" i="1"/>
  <c r="E2062" i="1"/>
  <c r="E2060" i="1"/>
  <c r="E2058" i="1"/>
  <c r="E2056" i="1"/>
  <c r="E2054" i="1"/>
  <c r="E2052" i="1"/>
  <c r="E2050" i="1"/>
  <c r="E2048" i="1"/>
  <c r="E2046" i="1"/>
  <c r="E2044" i="1"/>
  <c r="E2042" i="1"/>
  <c r="E2040" i="1"/>
  <c r="E2038" i="1"/>
  <c r="E2036" i="1"/>
  <c r="E2034" i="1"/>
  <c r="E2095" i="1"/>
  <c r="E2093" i="1"/>
  <c r="E2091" i="1"/>
  <c r="E2033" i="1"/>
  <c r="E2089" i="1"/>
  <c r="E2087" i="1"/>
  <c r="E2085" i="1"/>
  <c r="E2083" i="1"/>
  <c r="E2081" i="1"/>
  <c r="E2079" i="1"/>
  <c r="E2077" i="1"/>
  <c r="E2075" i="1"/>
  <c r="E2073" i="1"/>
  <c r="E2071" i="1"/>
  <c r="E2069" i="1"/>
  <c r="E2067" i="1"/>
  <c r="E2065" i="1"/>
  <c r="E2063" i="1"/>
  <c r="E2061" i="1"/>
  <c r="E2059" i="1"/>
  <c r="E2057" i="1"/>
  <c r="E2055" i="1"/>
  <c r="E2053" i="1"/>
  <c r="E2051" i="1"/>
  <c r="E2049" i="1"/>
  <c r="E2047" i="1"/>
  <c r="E2045" i="1"/>
  <c r="E2043" i="1"/>
  <c r="E2041" i="1"/>
  <c r="E2039" i="1"/>
  <c r="E2037" i="1"/>
  <c r="E2035" i="1"/>
  <c r="E2822" i="1"/>
  <c r="E2820" i="1"/>
  <c r="E2818" i="1"/>
  <c r="E2816" i="1"/>
  <c r="E2814" i="1"/>
  <c r="E2812" i="1"/>
  <c r="E2810" i="1"/>
  <c r="E2808" i="1"/>
  <c r="E2806" i="1"/>
  <c r="E2804" i="1"/>
  <c r="E2802" i="1"/>
  <c r="E2800" i="1"/>
  <c r="E2798" i="1"/>
  <c r="E2796" i="1"/>
  <c r="E2794" i="1"/>
  <c r="E2792" i="1"/>
  <c r="E2790" i="1"/>
  <c r="E2788" i="1"/>
  <c r="E2786" i="1"/>
  <c r="E2784" i="1"/>
  <c r="E2782" i="1"/>
  <c r="E2780" i="1"/>
  <c r="E2778" i="1"/>
  <c r="E2776" i="1"/>
  <c r="E2774" i="1"/>
  <c r="E2772" i="1"/>
  <c r="E2770" i="1"/>
  <c r="E2768" i="1"/>
  <c r="E2823" i="1"/>
  <c r="E2821" i="1"/>
  <c r="E2819" i="1"/>
  <c r="E2817" i="1"/>
  <c r="E2815" i="1"/>
  <c r="E2813" i="1"/>
  <c r="E2811" i="1"/>
  <c r="E2809" i="1"/>
  <c r="E2807" i="1"/>
  <c r="E2805" i="1"/>
  <c r="E2803" i="1"/>
  <c r="E2801" i="1"/>
  <c r="E2799" i="1"/>
  <c r="E2797" i="1"/>
  <c r="E2795" i="1"/>
  <c r="E2793" i="1"/>
  <c r="E2791" i="1"/>
  <c r="E2789" i="1"/>
  <c r="E2787" i="1"/>
  <c r="E2785" i="1"/>
  <c r="E2783" i="1"/>
  <c r="E2781" i="1"/>
  <c r="E2779" i="1"/>
  <c r="E2777" i="1"/>
  <c r="E2775" i="1"/>
  <c r="E2773" i="1"/>
  <c r="E2771" i="1"/>
  <c r="E2769" i="1"/>
  <c r="E3430" i="1"/>
  <c r="E3428" i="1"/>
  <c r="E3426" i="1"/>
  <c r="E3424" i="1"/>
  <c r="E3422" i="1"/>
  <c r="E3420" i="1"/>
  <c r="E3418" i="1"/>
  <c r="E3416" i="1"/>
  <c r="E3414" i="1"/>
  <c r="E3412" i="1"/>
  <c r="E3410" i="1"/>
  <c r="E3408" i="1"/>
  <c r="E3406" i="1"/>
  <c r="E3404" i="1"/>
  <c r="E3402" i="1"/>
  <c r="E3400" i="1"/>
  <c r="E3398" i="1"/>
  <c r="E3396" i="1"/>
  <c r="E3394" i="1"/>
  <c r="E3392" i="1"/>
  <c r="E3390" i="1"/>
  <c r="E3388" i="1"/>
  <c r="E3431" i="1"/>
  <c r="E3429" i="1"/>
  <c r="E3427" i="1"/>
  <c r="E3425" i="1"/>
  <c r="E3423" i="1"/>
  <c r="E3421" i="1"/>
  <c r="E3419" i="1"/>
  <c r="E3417" i="1"/>
  <c r="E3415" i="1"/>
  <c r="E3413" i="1"/>
  <c r="E3411" i="1"/>
  <c r="E3409" i="1"/>
  <c r="E3407" i="1"/>
  <c r="E3405" i="1"/>
  <c r="E3403" i="1"/>
  <c r="E3401" i="1"/>
  <c r="E3399" i="1"/>
  <c r="E3397" i="1"/>
  <c r="E3395" i="1"/>
  <c r="E3393" i="1"/>
  <c r="E3391" i="1"/>
  <c r="E3389" i="1"/>
  <c r="E2158" i="1"/>
  <c r="E2156" i="1"/>
  <c r="E2154" i="1"/>
  <c r="E2152" i="1"/>
  <c r="E2096" i="1"/>
  <c r="E2150" i="1"/>
  <c r="E2148" i="1"/>
  <c r="E2146" i="1"/>
  <c r="E2144" i="1"/>
  <c r="E2142" i="1"/>
  <c r="E2140" i="1"/>
  <c r="E2138" i="1"/>
  <c r="E2136" i="1"/>
  <c r="E2134" i="1"/>
  <c r="E2132" i="1"/>
  <c r="E2130" i="1"/>
  <c r="E2128" i="1"/>
  <c r="E2126" i="1"/>
  <c r="E2124" i="1"/>
  <c r="E2122" i="1"/>
  <c r="E2120" i="1"/>
  <c r="E2118" i="1"/>
  <c r="E2116" i="1"/>
  <c r="E2114" i="1"/>
  <c r="E2112" i="1"/>
  <c r="E2110" i="1"/>
  <c r="E2108" i="1"/>
  <c r="E2106" i="1"/>
  <c r="E2104" i="1"/>
  <c r="E2102" i="1"/>
  <c r="E2100" i="1"/>
  <c r="E2098" i="1"/>
  <c r="E2159" i="1"/>
  <c r="E2157" i="1"/>
  <c r="E2155" i="1"/>
  <c r="E2097" i="1"/>
  <c r="E2153" i="1"/>
  <c r="E2151" i="1"/>
  <c r="E2149" i="1"/>
  <c r="E2147" i="1"/>
  <c r="E2145" i="1"/>
  <c r="E2143" i="1"/>
  <c r="E2141" i="1"/>
  <c r="E2139" i="1"/>
  <c r="E2137" i="1"/>
  <c r="E2135" i="1"/>
  <c r="E2133" i="1"/>
  <c r="E2131" i="1"/>
  <c r="E2129" i="1"/>
  <c r="E2127" i="1"/>
  <c r="E2125" i="1"/>
  <c r="E2123" i="1"/>
  <c r="E2121" i="1"/>
  <c r="E2119" i="1"/>
  <c r="E2117" i="1"/>
  <c r="E2115" i="1"/>
  <c r="E2113" i="1"/>
  <c r="E2111" i="1"/>
  <c r="E2109" i="1"/>
  <c r="E2107" i="1"/>
  <c r="E2105" i="1"/>
  <c r="E2103" i="1"/>
  <c r="E2101" i="1"/>
  <c r="E2099" i="1"/>
  <c r="E2878" i="1"/>
  <c r="E2876" i="1"/>
  <c r="E2874" i="1"/>
  <c r="E2872" i="1"/>
  <c r="E2870" i="1"/>
  <c r="E2868" i="1"/>
  <c r="E2866" i="1"/>
  <c r="E2864" i="1"/>
  <c r="E2862" i="1"/>
  <c r="E2860" i="1"/>
  <c r="E2858" i="1"/>
  <c r="E2856" i="1"/>
  <c r="E2854" i="1"/>
  <c r="E2852" i="1"/>
  <c r="E2850" i="1"/>
  <c r="E2848" i="1"/>
  <c r="E2846" i="1"/>
  <c r="E2844" i="1"/>
  <c r="E2842" i="1"/>
  <c r="E2840" i="1"/>
  <c r="E2838" i="1"/>
  <c r="E2836" i="1"/>
  <c r="E2834" i="1"/>
  <c r="E2832" i="1"/>
  <c r="E2830" i="1"/>
  <c r="E2828" i="1"/>
  <c r="E2826" i="1"/>
  <c r="E2824" i="1"/>
  <c r="E2879" i="1"/>
  <c r="E2877" i="1"/>
  <c r="E2875" i="1"/>
  <c r="E2873" i="1"/>
  <c r="E2871" i="1"/>
  <c r="E2869" i="1"/>
  <c r="E2867" i="1"/>
  <c r="E2865" i="1"/>
  <c r="E2863" i="1"/>
  <c r="E2861" i="1"/>
  <c r="E2859" i="1"/>
  <c r="E2857" i="1"/>
  <c r="E2855" i="1"/>
  <c r="E2853" i="1"/>
  <c r="E2851" i="1"/>
  <c r="E2849" i="1"/>
  <c r="E2847" i="1"/>
  <c r="E2845" i="1"/>
  <c r="E2843" i="1"/>
  <c r="E2841" i="1"/>
  <c r="E2839" i="1"/>
  <c r="E2837" i="1"/>
  <c r="E2835" i="1"/>
  <c r="E2833" i="1"/>
  <c r="E2831" i="1"/>
  <c r="E2829" i="1"/>
  <c r="E2827" i="1"/>
  <c r="E2825" i="1"/>
  <c r="E3472" i="1"/>
  <c r="E3470" i="1"/>
  <c r="E3468" i="1"/>
  <c r="E3466" i="1"/>
  <c r="E3464" i="1"/>
  <c r="E3462" i="1"/>
  <c r="E3460" i="1"/>
  <c r="E3458" i="1"/>
  <c r="E3456" i="1"/>
  <c r="E3454" i="1"/>
  <c r="E3452" i="1"/>
  <c r="E3450" i="1"/>
  <c r="E3448" i="1"/>
  <c r="E3446" i="1"/>
  <c r="E3444" i="1"/>
  <c r="E3442" i="1"/>
  <c r="E3440" i="1"/>
  <c r="E3438" i="1"/>
  <c r="E3436" i="1"/>
  <c r="E3434" i="1"/>
  <c r="E3432" i="1"/>
  <c r="E3473" i="1"/>
  <c r="E3471" i="1"/>
  <c r="E3469" i="1"/>
  <c r="E3467" i="1"/>
  <c r="E3465" i="1"/>
  <c r="E3463" i="1"/>
  <c r="E3461" i="1"/>
  <c r="E3459" i="1"/>
  <c r="E3457" i="1"/>
  <c r="E3455" i="1"/>
  <c r="E3453" i="1"/>
  <c r="E3451" i="1"/>
  <c r="E3449" i="1"/>
  <c r="E3447" i="1"/>
  <c r="E3445" i="1"/>
  <c r="E3443" i="1"/>
  <c r="E3441" i="1"/>
  <c r="E3439" i="1"/>
  <c r="E3437" i="1"/>
  <c r="E3435" i="1"/>
  <c r="E3433" i="1"/>
  <c r="E2230" i="1"/>
  <c r="E2228" i="1"/>
  <c r="E2226" i="1"/>
  <c r="E2224" i="1"/>
  <c r="E2162" i="1"/>
  <c r="E2160" i="1"/>
  <c r="E2222" i="1"/>
  <c r="E2220" i="1"/>
  <c r="E2218" i="1"/>
  <c r="E2216" i="1"/>
  <c r="E2214" i="1"/>
  <c r="E2212" i="1"/>
  <c r="E2210" i="1"/>
  <c r="E2208" i="1"/>
  <c r="E2206" i="1"/>
  <c r="E2204" i="1"/>
  <c r="E2202" i="1"/>
  <c r="E2200" i="1"/>
  <c r="E2198" i="1"/>
  <c r="E2196" i="1"/>
  <c r="E2194" i="1"/>
  <c r="E2192" i="1"/>
  <c r="E2190" i="1"/>
  <c r="E2188" i="1"/>
  <c r="E2186" i="1"/>
  <c r="E2184" i="1"/>
  <c r="E2182" i="1"/>
  <c r="E2180" i="1"/>
  <c r="E2178" i="1"/>
  <c r="E2176" i="1"/>
  <c r="E2174" i="1"/>
  <c r="E2172" i="1"/>
  <c r="E2170" i="1"/>
  <c r="E2168" i="1"/>
  <c r="E2166" i="1"/>
  <c r="E2164" i="1"/>
  <c r="E2231" i="1"/>
  <c r="E2229" i="1"/>
  <c r="E2227" i="1"/>
  <c r="E2163" i="1"/>
  <c r="E2225" i="1"/>
  <c r="E2161" i="1"/>
  <c r="E2223" i="1"/>
  <c r="E2221" i="1"/>
  <c r="E2219" i="1"/>
  <c r="E2217" i="1"/>
  <c r="E2215" i="1"/>
  <c r="E2213" i="1"/>
  <c r="E2211" i="1"/>
  <c r="E2209" i="1"/>
  <c r="E2207" i="1"/>
  <c r="E2205" i="1"/>
  <c r="E2203" i="1"/>
  <c r="E2201" i="1"/>
  <c r="E2199" i="1"/>
  <c r="E2197" i="1"/>
  <c r="E2195" i="1"/>
  <c r="E2193" i="1"/>
  <c r="E2191" i="1"/>
  <c r="E2189" i="1"/>
  <c r="E2187" i="1"/>
  <c r="E2185" i="1"/>
  <c r="E2183" i="1"/>
  <c r="E2181" i="1"/>
  <c r="E2179" i="1"/>
  <c r="E2177" i="1"/>
  <c r="E2175" i="1"/>
  <c r="E2173" i="1"/>
  <c r="E2171" i="1"/>
  <c r="E2169" i="1"/>
  <c r="E2167" i="1"/>
  <c r="E2165" i="1"/>
  <c r="E2930" i="1"/>
  <c r="E2928" i="1"/>
  <c r="E2926" i="1"/>
  <c r="E2924" i="1"/>
  <c r="E2922" i="1"/>
  <c r="E2920" i="1"/>
  <c r="E2918" i="1"/>
  <c r="E2916" i="1"/>
  <c r="E2914" i="1"/>
  <c r="E2912" i="1"/>
  <c r="E2910" i="1"/>
  <c r="E2908" i="1"/>
  <c r="E2906" i="1"/>
  <c r="E2904" i="1"/>
  <c r="E2902" i="1"/>
  <c r="E2900" i="1"/>
  <c r="E2898" i="1"/>
  <c r="E2896" i="1"/>
  <c r="E2894" i="1"/>
  <c r="E2892" i="1"/>
  <c r="E2890" i="1"/>
  <c r="E2888" i="1"/>
  <c r="E2886" i="1"/>
  <c r="E2884" i="1"/>
  <c r="E2882" i="1"/>
  <c r="E2880" i="1"/>
  <c r="E2931" i="1"/>
  <c r="E2929" i="1"/>
  <c r="E2927" i="1"/>
  <c r="E2925" i="1"/>
  <c r="E2923" i="1"/>
  <c r="E2921" i="1"/>
  <c r="E2919" i="1"/>
  <c r="E2917" i="1"/>
  <c r="E2915" i="1"/>
  <c r="E2913" i="1"/>
  <c r="E2911" i="1"/>
  <c r="E2909" i="1"/>
  <c r="E2907" i="1"/>
  <c r="E2905" i="1"/>
  <c r="E2903" i="1"/>
  <c r="E2901" i="1"/>
  <c r="E2899" i="1"/>
  <c r="E2897" i="1"/>
  <c r="E2895" i="1"/>
  <c r="E2893" i="1"/>
  <c r="E2891" i="1"/>
  <c r="E2889" i="1"/>
  <c r="E2887" i="1"/>
  <c r="E2885" i="1"/>
  <c r="E2883" i="1"/>
  <c r="E2881" i="1"/>
  <c r="E3514" i="1"/>
  <c r="E3512" i="1"/>
  <c r="E3510" i="1"/>
  <c r="E3508" i="1"/>
  <c r="E3506" i="1"/>
  <c r="E3504" i="1"/>
  <c r="E3502" i="1"/>
  <c r="E3500" i="1"/>
  <c r="E3498" i="1"/>
  <c r="E3496" i="1"/>
  <c r="E3494" i="1"/>
  <c r="E3492" i="1"/>
  <c r="E3490" i="1"/>
  <c r="E3488" i="1"/>
  <c r="E3486" i="1"/>
  <c r="E3484" i="1"/>
  <c r="E3482" i="1"/>
  <c r="E3480" i="1"/>
  <c r="E3478" i="1"/>
  <c r="E3476" i="1"/>
  <c r="E3474" i="1"/>
  <c r="E3515" i="1"/>
  <c r="E3513" i="1"/>
  <c r="E3511" i="1"/>
  <c r="E3509" i="1"/>
  <c r="E3507" i="1"/>
  <c r="E3505" i="1"/>
  <c r="E3503" i="1"/>
  <c r="E3501" i="1"/>
  <c r="E3499" i="1"/>
  <c r="E3497" i="1"/>
  <c r="E3495" i="1"/>
  <c r="E3493" i="1"/>
  <c r="E3491" i="1"/>
  <c r="E3489" i="1"/>
  <c r="E3487" i="1"/>
  <c r="E3485" i="1"/>
  <c r="E3483" i="1"/>
  <c r="E3481" i="1"/>
  <c r="E3479" i="1"/>
  <c r="E3477" i="1"/>
  <c r="E3475" i="1"/>
  <c r="E2298" i="1"/>
  <c r="E2296" i="1"/>
  <c r="E2294" i="1"/>
  <c r="E2292" i="1"/>
  <c r="E2232" i="1"/>
  <c r="E2290" i="1"/>
  <c r="E2288" i="1"/>
  <c r="E2286" i="1"/>
  <c r="E2284" i="1"/>
  <c r="E2282" i="1"/>
  <c r="E2280" i="1"/>
  <c r="E2278" i="1"/>
  <c r="E2276" i="1"/>
  <c r="E2274" i="1"/>
  <c r="E2272" i="1"/>
  <c r="E2270" i="1"/>
  <c r="E2268" i="1"/>
  <c r="E2266" i="1"/>
  <c r="E2264" i="1"/>
  <c r="E2262" i="1"/>
  <c r="E2260" i="1"/>
  <c r="E2258" i="1"/>
  <c r="E2256" i="1"/>
  <c r="E2254" i="1"/>
  <c r="E2252" i="1"/>
  <c r="E2250" i="1"/>
  <c r="E2248" i="1"/>
  <c r="E2246" i="1"/>
  <c r="E2244" i="1"/>
  <c r="E2242" i="1"/>
  <c r="E2240" i="1"/>
  <c r="E2238" i="1"/>
  <c r="E2236" i="1"/>
  <c r="E2234" i="1"/>
  <c r="E2299" i="1"/>
  <c r="E2297" i="1"/>
  <c r="E2295" i="1"/>
  <c r="E2233" i="1"/>
  <c r="E2293" i="1"/>
  <c r="E2291" i="1"/>
  <c r="E2289" i="1"/>
  <c r="E2287" i="1"/>
  <c r="E2285" i="1"/>
  <c r="E2283" i="1"/>
  <c r="E2281" i="1"/>
  <c r="E2279" i="1"/>
  <c r="E2277" i="1"/>
  <c r="E2275" i="1"/>
  <c r="E2273" i="1"/>
  <c r="E2271" i="1"/>
  <c r="E2269" i="1"/>
  <c r="E2267" i="1"/>
  <c r="E2265" i="1"/>
  <c r="E2263" i="1"/>
  <c r="E2261" i="1"/>
  <c r="E2259" i="1"/>
  <c r="E2257" i="1"/>
  <c r="E2255" i="1"/>
  <c r="E2253" i="1"/>
  <c r="E2251" i="1"/>
  <c r="E2249" i="1"/>
  <c r="E2247" i="1"/>
  <c r="E2245" i="1"/>
  <c r="E2243" i="1"/>
  <c r="E2241" i="1"/>
  <c r="E2239" i="1"/>
  <c r="E2237" i="1"/>
  <c r="E2235" i="1"/>
  <c r="E2982" i="1"/>
  <c r="E2980" i="1"/>
  <c r="E2978" i="1"/>
  <c r="E2976" i="1"/>
  <c r="E2974" i="1"/>
  <c r="E2972" i="1"/>
  <c r="E2970" i="1"/>
  <c r="E2968" i="1"/>
  <c r="E2966" i="1"/>
  <c r="E2964" i="1"/>
  <c r="E2962" i="1"/>
  <c r="E2960" i="1"/>
  <c r="E2958" i="1"/>
  <c r="E2956" i="1"/>
  <c r="E2954" i="1"/>
  <c r="E2952" i="1"/>
  <c r="E2950" i="1"/>
  <c r="E2948" i="1"/>
  <c r="E2946" i="1"/>
  <c r="E2944" i="1"/>
  <c r="E2942" i="1"/>
  <c r="E2940" i="1"/>
  <c r="E2938" i="1"/>
  <c r="E2936" i="1"/>
  <c r="E2934" i="1"/>
  <c r="E2932" i="1"/>
  <c r="E2983" i="1"/>
  <c r="E2981" i="1"/>
  <c r="E2979" i="1"/>
  <c r="E2977" i="1"/>
  <c r="E2975" i="1"/>
  <c r="E2973" i="1"/>
  <c r="E2971" i="1"/>
  <c r="E2969" i="1"/>
  <c r="E2967" i="1"/>
  <c r="E2965" i="1"/>
  <c r="E2963" i="1"/>
  <c r="E2961" i="1"/>
  <c r="E2959" i="1"/>
  <c r="E2957" i="1"/>
  <c r="E2955" i="1"/>
  <c r="E2953" i="1"/>
  <c r="E2951" i="1"/>
  <c r="E2949" i="1"/>
  <c r="E2947" i="1"/>
  <c r="E2945" i="1"/>
  <c r="E2943" i="1"/>
  <c r="E2941" i="1"/>
  <c r="E2939" i="1"/>
  <c r="E2937" i="1"/>
  <c r="E2935" i="1"/>
  <c r="E2933" i="1"/>
  <c r="E3556" i="1"/>
  <c r="E3554" i="1"/>
  <c r="E3552" i="1"/>
  <c r="E3550" i="1"/>
  <c r="E3548" i="1"/>
  <c r="E3546" i="1"/>
  <c r="E3544" i="1"/>
  <c r="E3542" i="1"/>
  <c r="E3540" i="1"/>
  <c r="E3538" i="1"/>
  <c r="E3536" i="1"/>
  <c r="E3534" i="1"/>
  <c r="E3532" i="1"/>
  <c r="E3530" i="1"/>
  <c r="E3528" i="1"/>
  <c r="E3526" i="1"/>
  <c r="E3524" i="1"/>
  <c r="E3522" i="1"/>
  <c r="E3520" i="1"/>
  <c r="E3518" i="1"/>
  <c r="E3516" i="1"/>
  <c r="E3557" i="1"/>
  <c r="E3555" i="1"/>
  <c r="E3553" i="1"/>
  <c r="E3551" i="1"/>
  <c r="E3549" i="1"/>
  <c r="E3547" i="1"/>
  <c r="E3545" i="1"/>
  <c r="E3543" i="1"/>
  <c r="E3541" i="1"/>
  <c r="E3539" i="1"/>
  <c r="E3537" i="1"/>
  <c r="E3535" i="1"/>
  <c r="E3533" i="1"/>
  <c r="E3531" i="1"/>
  <c r="E3529" i="1"/>
  <c r="E3527" i="1"/>
  <c r="E3525" i="1"/>
  <c r="E3523" i="1"/>
  <c r="E3521" i="1"/>
  <c r="E3519" i="1"/>
  <c r="E3517" i="1"/>
  <c r="E2358" i="1"/>
  <c r="E2356" i="1"/>
  <c r="E2354" i="1"/>
  <c r="E2352" i="1"/>
  <c r="E2350" i="1"/>
  <c r="E2348" i="1"/>
  <c r="E2346" i="1"/>
  <c r="E2344" i="1"/>
  <c r="E2342" i="1"/>
  <c r="E2340" i="1"/>
  <c r="E2338" i="1"/>
  <c r="E2336" i="1"/>
  <c r="E2334" i="1"/>
  <c r="E2332" i="1"/>
  <c r="E2330" i="1"/>
  <c r="E2328" i="1"/>
  <c r="E2326" i="1"/>
  <c r="E2324" i="1"/>
  <c r="E2322" i="1"/>
  <c r="E2320" i="1"/>
  <c r="E2318" i="1"/>
  <c r="E2316" i="1"/>
  <c r="E2314" i="1"/>
  <c r="E2312" i="1"/>
  <c r="E2310" i="1"/>
  <c r="E2308" i="1"/>
  <c r="E2306" i="1"/>
  <c r="E2304" i="1"/>
  <c r="E2302" i="1"/>
  <c r="E2300" i="1"/>
  <c r="E2359" i="1"/>
  <c r="E2357" i="1"/>
  <c r="E2355" i="1"/>
  <c r="E2353" i="1"/>
  <c r="E2351" i="1"/>
  <c r="E2349" i="1"/>
  <c r="E2347" i="1"/>
  <c r="E2345" i="1"/>
  <c r="E2343" i="1"/>
  <c r="E2341" i="1"/>
  <c r="E2339" i="1"/>
  <c r="E2337" i="1"/>
  <c r="E2335" i="1"/>
  <c r="E2333" i="1"/>
  <c r="E2331" i="1"/>
  <c r="E2329" i="1"/>
  <c r="E2327" i="1"/>
  <c r="E2325" i="1"/>
  <c r="E2323" i="1"/>
  <c r="E2321" i="1"/>
  <c r="E2319" i="1"/>
  <c r="E2317" i="1"/>
  <c r="E2315" i="1"/>
  <c r="E2313" i="1"/>
  <c r="E2311" i="1"/>
  <c r="E2309" i="1"/>
  <c r="E2307" i="1"/>
  <c r="E2305" i="1"/>
  <c r="E2303" i="1"/>
  <c r="E2301" i="1"/>
  <c r="E3034" i="1"/>
  <c r="E3032" i="1"/>
  <c r="E3030" i="1"/>
  <c r="E3028" i="1"/>
  <c r="E3026" i="1"/>
  <c r="E3024" i="1"/>
  <c r="E3022" i="1"/>
  <c r="E3020" i="1"/>
  <c r="E3018" i="1"/>
  <c r="E3016" i="1"/>
  <c r="E3014" i="1"/>
  <c r="E3012" i="1"/>
  <c r="E3010" i="1"/>
  <c r="E3008" i="1"/>
  <c r="E3006" i="1"/>
  <c r="E3004" i="1"/>
  <c r="E3002" i="1"/>
  <c r="E3000" i="1"/>
  <c r="E2998" i="1"/>
  <c r="E2996" i="1"/>
  <c r="E2994" i="1"/>
  <c r="E2992" i="1"/>
  <c r="E2990" i="1"/>
  <c r="E2988" i="1"/>
  <c r="E2986" i="1"/>
  <c r="E2984" i="1"/>
  <c r="E3035" i="1"/>
  <c r="E3033" i="1"/>
  <c r="E3031" i="1"/>
  <c r="E3029" i="1"/>
  <c r="E3027" i="1"/>
  <c r="E3025" i="1"/>
  <c r="E3023" i="1"/>
  <c r="E3021" i="1"/>
  <c r="E3019" i="1"/>
  <c r="E3017" i="1"/>
  <c r="E3015" i="1"/>
  <c r="E3013" i="1"/>
  <c r="E3011" i="1"/>
  <c r="E3009" i="1"/>
  <c r="E3007" i="1"/>
  <c r="E3005" i="1"/>
  <c r="E3003" i="1"/>
  <c r="E3001" i="1"/>
  <c r="E2999" i="1"/>
  <c r="E2997" i="1"/>
  <c r="E2995" i="1"/>
  <c r="E2993" i="1"/>
  <c r="E2991" i="1"/>
  <c r="E2989" i="1"/>
  <c r="E2987" i="1"/>
  <c r="E2985" i="1"/>
  <c r="E3594" i="1"/>
  <c r="E3592" i="1"/>
  <c r="E3590" i="1"/>
  <c r="E3588" i="1"/>
  <c r="E3586" i="1"/>
  <c r="E3584" i="1"/>
  <c r="E3582" i="1"/>
  <c r="E3580" i="1"/>
  <c r="E3578" i="1"/>
  <c r="E3576" i="1"/>
  <c r="E3574" i="1"/>
  <c r="E3572" i="1"/>
  <c r="E3570" i="1"/>
  <c r="E3568" i="1"/>
  <c r="E3566" i="1"/>
  <c r="E3564" i="1"/>
  <c r="E3562" i="1"/>
  <c r="E3560" i="1"/>
  <c r="E3558" i="1"/>
  <c r="E3595" i="1"/>
  <c r="E3593" i="1"/>
  <c r="E3591" i="1"/>
  <c r="E3589" i="1"/>
  <c r="E3587" i="1"/>
  <c r="E3585" i="1"/>
  <c r="E3583" i="1"/>
  <c r="E3581" i="1"/>
  <c r="E3579" i="1"/>
  <c r="E3577" i="1"/>
  <c r="E3575" i="1"/>
  <c r="E3573" i="1"/>
  <c r="E3571" i="1"/>
  <c r="E3569" i="1"/>
  <c r="E3567" i="1"/>
  <c r="E3565" i="1"/>
  <c r="E3563" i="1"/>
  <c r="E3561" i="1"/>
  <c r="E3559" i="1"/>
  <c r="E1554" i="1"/>
  <c r="E1552" i="1"/>
  <c r="E1550" i="1"/>
  <c r="E1548" i="1"/>
  <c r="E1476" i="1"/>
  <c r="E1474" i="1"/>
  <c r="E1472" i="1"/>
  <c r="E1470" i="1"/>
  <c r="E1468" i="1"/>
  <c r="E1466" i="1"/>
  <c r="E1546" i="1"/>
  <c r="E1464" i="1"/>
  <c r="E1544" i="1"/>
  <c r="E1542" i="1"/>
  <c r="E1540" i="1"/>
  <c r="E1538" i="1"/>
  <c r="E1536" i="1"/>
  <c r="E1534" i="1"/>
  <c r="E1532" i="1"/>
  <c r="E1530" i="1"/>
  <c r="E1528" i="1"/>
  <c r="E1526" i="1"/>
  <c r="E1524" i="1"/>
  <c r="E1522" i="1"/>
  <c r="E1520" i="1"/>
  <c r="E1518" i="1"/>
  <c r="E1516" i="1"/>
  <c r="E1514" i="1"/>
  <c r="E1512" i="1"/>
  <c r="E1510" i="1"/>
  <c r="E1508" i="1"/>
  <c r="E1506" i="1"/>
  <c r="E1504" i="1"/>
  <c r="E1502" i="1"/>
  <c r="E1500" i="1"/>
  <c r="E1498" i="1"/>
  <c r="E1496" i="1"/>
  <c r="E1494" i="1"/>
  <c r="E1492" i="1"/>
  <c r="E1490" i="1"/>
  <c r="E1488" i="1"/>
  <c r="E1486" i="1"/>
  <c r="E1484" i="1"/>
  <c r="E1482" i="1"/>
  <c r="E1480" i="1"/>
  <c r="E1478" i="1"/>
  <c r="E1555" i="1"/>
  <c r="E1553" i="1"/>
  <c r="E1551" i="1"/>
  <c r="E1477" i="1"/>
  <c r="E1549" i="1"/>
  <c r="E1475" i="1"/>
  <c r="E1473" i="1"/>
  <c r="E1471" i="1"/>
  <c r="E1469" i="1"/>
  <c r="E1467" i="1"/>
  <c r="E1547" i="1"/>
  <c r="E1465" i="1"/>
  <c r="E1545" i="1"/>
  <c r="E1543" i="1"/>
  <c r="E1541" i="1"/>
  <c r="E1539" i="1"/>
  <c r="E1537" i="1"/>
  <c r="E1535" i="1"/>
  <c r="E1533" i="1"/>
  <c r="E1531" i="1"/>
  <c r="E1529" i="1"/>
  <c r="E1527" i="1"/>
  <c r="E1525" i="1"/>
  <c r="E1523" i="1"/>
  <c r="E1521" i="1"/>
  <c r="E1519" i="1"/>
  <c r="E1517" i="1"/>
  <c r="E1515" i="1"/>
  <c r="E1513" i="1"/>
  <c r="E1511" i="1"/>
  <c r="E1509" i="1"/>
  <c r="E1507" i="1"/>
  <c r="E1505" i="1"/>
  <c r="E1503" i="1"/>
  <c r="E1501" i="1"/>
  <c r="E1499" i="1"/>
  <c r="E1497" i="1"/>
  <c r="E1495" i="1"/>
  <c r="E1493" i="1"/>
  <c r="E1491" i="1"/>
  <c r="E1489" i="1"/>
  <c r="E1487" i="1"/>
  <c r="E1485" i="1"/>
  <c r="E1483" i="1"/>
  <c r="E1481" i="1"/>
  <c r="E1479" i="1"/>
  <c r="E2418" i="1"/>
  <c r="E2416" i="1"/>
  <c r="E2414" i="1"/>
  <c r="E2412" i="1"/>
  <c r="E2410" i="1"/>
  <c r="E2408" i="1"/>
  <c r="E2406" i="1"/>
  <c r="E2404" i="1"/>
  <c r="E2402" i="1"/>
  <c r="E2400" i="1"/>
  <c r="E2398" i="1"/>
  <c r="E2396" i="1"/>
  <c r="E2394" i="1"/>
  <c r="E2392" i="1"/>
  <c r="E2390" i="1"/>
  <c r="E2388" i="1"/>
  <c r="E2386" i="1"/>
  <c r="E2384" i="1"/>
  <c r="E2382" i="1"/>
  <c r="E2380" i="1"/>
  <c r="E2378" i="1"/>
  <c r="E2376" i="1"/>
  <c r="E2374" i="1"/>
  <c r="E2372" i="1"/>
  <c r="E2370" i="1"/>
  <c r="E2368" i="1"/>
  <c r="E2366" i="1"/>
  <c r="E2364" i="1"/>
  <c r="E2362" i="1"/>
  <c r="E2360" i="1"/>
  <c r="E2419" i="1"/>
  <c r="E2417" i="1"/>
  <c r="E2415" i="1"/>
  <c r="E2413" i="1"/>
  <c r="E2411" i="1"/>
  <c r="E2409" i="1"/>
  <c r="E2407" i="1"/>
  <c r="E2405" i="1"/>
  <c r="E2403" i="1"/>
  <c r="E2401" i="1"/>
  <c r="E2399" i="1"/>
  <c r="E2397" i="1"/>
  <c r="E2395" i="1"/>
  <c r="E2393" i="1"/>
  <c r="E2391" i="1"/>
  <c r="E2389" i="1"/>
  <c r="E2387" i="1"/>
  <c r="E2385" i="1"/>
  <c r="E2383" i="1"/>
  <c r="E2381" i="1"/>
  <c r="E2379" i="1"/>
  <c r="E2377" i="1"/>
  <c r="E2375" i="1"/>
  <c r="E2373" i="1"/>
  <c r="E2371" i="1"/>
  <c r="E2369" i="1"/>
  <c r="E2367" i="1"/>
  <c r="E2365" i="1"/>
  <c r="E2363" i="1"/>
  <c r="E2361" i="1"/>
  <c r="E3086" i="1"/>
  <c r="E3084" i="1"/>
  <c r="E3082" i="1"/>
  <c r="E3080" i="1"/>
  <c r="E3078" i="1"/>
  <c r="E3076" i="1"/>
  <c r="E3074" i="1"/>
  <c r="E3072" i="1"/>
  <c r="E3070" i="1"/>
  <c r="E3068" i="1"/>
  <c r="E3066" i="1"/>
  <c r="E3064" i="1"/>
  <c r="E3062" i="1"/>
  <c r="E3060" i="1"/>
  <c r="E3058" i="1"/>
  <c r="E3056" i="1"/>
  <c r="E3054" i="1"/>
  <c r="E3052" i="1"/>
  <c r="E3050" i="1"/>
  <c r="E3048" i="1"/>
  <c r="E3046" i="1"/>
  <c r="E3044" i="1"/>
  <c r="E3042" i="1"/>
  <c r="E3040" i="1"/>
  <c r="E3038" i="1"/>
  <c r="E3036" i="1"/>
  <c r="E3087" i="1"/>
  <c r="E3085" i="1"/>
  <c r="E3083" i="1"/>
  <c r="E3081" i="1"/>
  <c r="E3079" i="1"/>
  <c r="E3077" i="1"/>
  <c r="E3075" i="1"/>
  <c r="E3073" i="1"/>
  <c r="E3071" i="1"/>
  <c r="E3069" i="1"/>
  <c r="E3067" i="1"/>
  <c r="E3065" i="1"/>
  <c r="E3063" i="1"/>
  <c r="E3061" i="1"/>
  <c r="E3059" i="1"/>
  <c r="E3057" i="1"/>
  <c r="E3055" i="1"/>
  <c r="E3053" i="1"/>
  <c r="E3051" i="1"/>
  <c r="E3049" i="1"/>
  <c r="E3047" i="1"/>
  <c r="E3045" i="1"/>
  <c r="E3043" i="1"/>
  <c r="E3041" i="1"/>
  <c r="E3039" i="1"/>
  <c r="E3037" i="1"/>
  <c r="E3650" i="1"/>
  <c r="E3648" i="1"/>
  <c r="E3646" i="1"/>
  <c r="E3644" i="1"/>
  <c r="E3642" i="1"/>
  <c r="E3640" i="1"/>
  <c r="E3638" i="1"/>
  <c r="E3636" i="1"/>
  <c r="E3634" i="1"/>
  <c r="E3632" i="1"/>
  <c r="E3630" i="1"/>
  <c r="E3628" i="1"/>
  <c r="E3626" i="1"/>
  <c r="E3624" i="1"/>
  <c r="E3622" i="1"/>
  <c r="E3620" i="1"/>
  <c r="E3618" i="1"/>
  <c r="E3616" i="1"/>
  <c r="E3614" i="1"/>
  <c r="E3612" i="1"/>
  <c r="E3610" i="1"/>
  <c r="E3608" i="1"/>
  <c r="E3606" i="1"/>
  <c r="E3604" i="1"/>
  <c r="E3602" i="1"/>
  <c r="E3600" i="1"/>
  <c r="E3598" i="1"/>
  <c r="E3596" i="1"/>
  <c r="E3651" i="1"/>
  <c r="E3649" i="1"/>
  <c r="E3647" i="1"/>
  <c r="E3645" i="1"/>
  <c r="E3643" i="1"/>
  <c r="E3641" i="1"/>
  <c r="E3639" i="1"/>
  <c r="E3637" i="1"/>
  <c r="E3635" i="1"/>
  <c r="E3633" i="1"/>
  <c r="E3631" i="1"/>
  <c r="E3629" i="1"/>
  <c r="E3627" i="1"/>
  <c r="E3625" i="1"/>
  <c r="E3623" i="1"/>
  <c r="E3621" i="1"/>
  <c r="E3619" i="1"/>
  <c r="E3617" i="1"/>
  <c r="E3615" i="1"/>
  <c r="E3613" i="1"/>
  <c r="E3611" i="1"/>
  <c r="E3609" i="1"/>
  <c r="E3607" i="1"/>
  <c r="E3605" i="1"/>
  <c r="E3603" i="1"/>
  <c r="E3601" i="1"/>
  <c r="E3599" i="1"/>
  <c r="E3597" i="1"/>
  <c r="E4178" i="1"/>
  <c r="E4176" i="1"/>
  <c r="E4174" i="1"/>
  <c r="E4172" i="1"/>
  <c r="E4170" i="1"/>
  <c r="E4168" i="1"/>
  <c r="E4166" i="1"/>
  <c r="E4164" i="1"/>
  <c r="E4162" i="1"/>
  <c r="E4160" i="1"/>
  <c r="E4158" i="1"/>
  <c r="E4156" i="1"/>
  <c r="E4154" i="1"/>
  <c r="E4152" i="1"/>
  <c r="E4150" i="1"/>
  <c r="E4148" i="1"/>
  <c r="E4146" i="1"/>
  <c r="E4144" i="1"/>
  <c r="E4142" i="1"/>
  <c r="E4140" i="1"/>
  <c r="E4179" i="1"/>
  <c r="E4177" i="1"/>
  <c r="E4175" i="1"/>
  <c r="E4173" i="1"/>
  <c r="E4171" i="1"/>
  <c r="E4169" i="1"/>
  <c r="E4167" i="1"/>
  <c r="E4165" i="1"/>
  <c r="E4163" i="1"/>
  <c r="E4161" i="1"/>
  <c r="E4159" i="1"/>
  <c r="E4157" i="1"/>
  <c r="E4155" i="1"/>
  <c r="E4153" i="1"/>
  <c r="E4151" i="1"/>
  <c r="E4149" i="1"/>
  <c r="E4147" i="1"/>
  <c r="E4145" i="1"/>
  <c r="E4143" i="1"/>
  <c r="E4141" i="1"/>
  <c r="E3706" i="1"/>
  <c r="E3704" i="1"/>
  <c r="E3702" i="1"/>
  <c r="E3700" i="1"/>
  <c r="E3698" i="1"/>
  <c r="E3696" i="1"/>
  <c r="E3694" i="1"/>
  <c r="E3692" i="1"/>
  <c r="E3690" i="1"/>
  <c r="E3688" i="1"/>
  <c r="E3686" i="1"/>
  <c r="E3684" i="1"/>
  <c r="E3682" i="1"/>
  <c r="E3680" i="1"/>
  <c r="E3678" i="1"/>
  <c r="E3676" i="1"/>
  <c r="E3674" i="1"/>
  <c r="E3672" i="1"/>
  <c r="E3670" i="1"/>
  <c r="E3668" i="1"/>
  <c r="E3666" i="1"/>
  <c r="E3664" i="1"/>
  <c r="E3662" i="1"/>
  <c r="E3660" i="1"/>
  <c r="E3658" i="1"/>
  <c r="E3656" i="1"/>
  <c r="E3654" i="1"/>
  <c r="E3652" i="1"/>
  <c r="E3707" i="1"/>
  <c r="E3705" i="1"/>
  <c r="E3703" i="1"/>
  <c r="E3701" i="1"/>
  <c r="E3699" i="1"/>
  <c r="E3697" i="1"/>
  <c r="E3695" i="1"/>
  <c r="E3693" i="1"/>
  <c r="E3691" i="1"/>
  <c r="E3689" i="1"/>
  <c r="E3687" i="1"/>
  <c r="E3685" i="1"/>
  <c r="E3683" i="1"/>
  <c r="E3681" i="1"/>
  <c r="E3679" i="1"/>
  <c r="E3677" i="1"/>
  <c r="E3675" i="1"/>
  <c r="E3673" i="1"/>
  <c r="E3671" i="1"/>
  <c r="E3669" i="1"/>
  <c r="E3667" i="1"/>
  <c r="E3665" i="1"/>
  <c r="E3663" i="1"/>
  <c r="E3661" i="1"/>
  <c r="E3659" i="1"/>
  <c r="E3657" i="1"/>
  <c r="E3655" i="1"/>
  <c r="E3653" i="1"/>
  <c r="E4218" i="1"/>
  <c r="E4216" i="1"/>
  <c r="E4214" i="1"/>
  <c r="E4212" i="1"/>
  <c r="E4210" i="1"/>
  <c r="E4208" i="1"/>
  <c r="E4206" i="1"/>
  <c r="E4204" i="1"/>
  <c r="E4202" i="1"/>
  <c r="E4200" i="1"/>
  <c r="E4198" i="1"/>
  <c r="E4196" i="1"/>
  <c r="E4194" i="1"/>
  <c r="E4192" i="1"/>
  <c r="E4190" i="1"/>
  <c r="E4188" i="1"/>
  <c r="E4186" i="1"/>
  <c r="E4184" i="1"/>
  <c r="E4182" i="1"/>
  <c r="E4180" i="1"/>
  <c r="E4219" i="1"/>
  <c r="E4217" i="1"/>
  <c r="E4215" i="1"/>
  <c r="E4213" i="1"/>
  <c r="E4211" i="1"/>
  <c r="E4209" i="1"/>
  <c r="E4207" i="1"/>
  <c r="E4205" i="1"/>
  <c r="E4203" i="1"/>
  <c r="E4201" i="1"/>
  <c r="E4199" i="1"/>
  <c r="E4197" i="1"/>
  <c r="E4195" i="1"/>
  <c r="E4193" i="1"/>
  <c r="E4191" i="1"/>
  <c r="E4189" i="1"/>
  <c r="E4187" i="1"/>
  <c r="E4185" i="1"/>
  <c r="E4183" i="1"/>
  <c r="E4181" i="1"/>
  <c r="E3806" i="1"/>
  <c r="E3804" i="1"/>
  <c r="E3802" i="1"/>
  <c r="E3800" i="1"/>
  <c r="E3798" i="1"/>
  <c r="E3796" i="1"/>
  <c r="E3794" i="1"/>
  <c r="E3792" i="1"/>
  <c r="E3790" i="1"/>
  <c r="E3788" i="1"/>
  <c r="E3786" i="1"/>
  <c r="E3784" i="1"/>
  <c r="E3782" i="1"/>
  <c r="E3780" i="1"/>
  <c r="E3778" i="1"/>
  <c r="E3776" i="1"/>
  <c r="E3774" i="1"/>
  <c r="E3772" i="1"/>
  <c r="E3770" i="1"/>
  <c r="E3768" i="1"/>
  <c r="E3766" i="1"/>
  <c r="E3764" i="1"/>
  <c r="E3762" i="1"/>
  <c r="E3760" i="1"/>
  <c r="E3807" i="1"/>
  <c r="E3805" i="1"/>
  <c r="E3803" i="1"/>
  <c r="E3801" i="1"/>
  <c r="E3799" i="1"/>
  <c r="E3797" i="1"/>
  <c r="E3795" i="1"/>
  <c r="E3793" i="1"/>
  <c r="E3791" i="1"/>
  <c r="E3789" i="1"/>
  <c r="E3787" i="1"/>
  <c r="E3785" i="1"/>
  <c r="E3783" i="1"/>
  <c r="E3781" i="1"/>
  <c r="E3779" i="1"/>
  <c r="E3777" i="1"/>
  <c r="E3775" i="1"/>
  <c r="E3773" i="1"/>
  <c r="E3771" i="1"/>
  <c r="E3769" i="1"/>
  <c r="E3767" i="1"/>
  <c r="E3765" i="1"/>
  <c r="E3763" i="1"/>
  <c r="E3761" i="1"/>
  <c r="E3758" i="1"/>
  <c r="E3756" i="1"/>
  <c r="E3754" i="1"/>
  <c r="E3752" i="1"/>
  <c r="E3750" i="1"/>
  <c r="E3748" i="1"/>
  <c r="E3746" i="1"/>
  <c r="E3744" i="1"/>
  <c r="E3742" i="1"/>
  <c r="E3740" i="1"/>
  <c r="E3738" i="1"/>
  <c r="E3736" i="1"/>
  <c r="E3734" i="1"/>
  <c r="E3732" i="1"/>
  <c r="E3730" i="1"/>
  <c r="E3728" i="1"/>
  <c r="E3726" i="1"/>
  <c r="E3724" i="1"/>
  <c r="E3722" i="1"/>
  <c r="E3720" i="1"/>
  <c r="E3718" i="1"/>
  <c r="E3716" i="1"/>
  <c r="E3714" i="1"/>
  <c r="E3712" i="1"/>
  <c r="E3710" i="1"/>
  <c r="E3708" i="1"/>
  <c r="E3759" i="1"/>
  <c r="E3757" i="1"/>
  <c r="E3755" i="1"/>
  <c r="E3753" i="1"/>
  <c r="E3751" i="1"/>
  <c r="E3749" i="1"/>
  <c r="E3747" i="1"/>
  <c r="E3745" i="1"/>
  <c r="E3743" i="1"/>
  <c r="E3741" i="1"/>
  <c r="E3739" i="1"/>
  <c r="E3737" i="1"/>
  <c r="E3735" i="1"/>
  <c r="E3733" i="1"/>
  <c r="E3731" i="1"/>
  <c r="E3729" i="1"/>
  <c r="E3727" i="1"/>
  <c r="E3725" i="1"/>
  <c r="E3723" i="1"/>
  <c r="E3721" i="1"/>
  <c r="E3719" i="1"/>
  <c r="E3717" i="1"/>
  <c r="E3715" i="1"/>
  <c r="E3713" i="1"/>
  <c r="E3711" i="1"/>
  <c r="E3709" i="1"/>
  <c r="E4258" i="1"/>
  <c r="E4256" i="1"/>
  <c r="E4254" i="1"/>
  <c r="E4252" i="1"/>
  <c r="E4250" i="1"/>
  <c r="E4248" i="1"/>
  <c r="E4246" i="1"/>
  <c r="E4244" i="1"/>
  <c r="E4242" i="1"/>
  <c r="E4240" i="1"/>
  <c r="E4238" i="1"/>
  <c r="E4236" i="1"/>
  <c r="E4234" i="1"/>
  <c r="E4232" i="1"/>
  <c r="E4230" i="1"/>
  <c r="E4228" i="1"/>
  <c r="E4226" i="1"/>
  <c r="E4224" i="1"/>
  <c r="E4222" i="1"/>
  <c r="E4220" i="1"/>
  <c r="E4259" i="1"/>
  <c r="E4257" i="1"/>
  <c r="E4255" i="1"/>
  <c r="E4253" i="1"/>
  <c r="E4251" i="1"/>
  <c r="E4249" i="1"/>
  <c r="E4247" i="1"/>
  <c r="E4245" i="1"/>
  <c r="E4243" i="1"/>
  <c r="E4241" i="1"/>
  <c r="E4239" i="1"/>
  <c r="E4237" i="1"/>
  <c r="E4235" i="1"/>
  <c r="E4233" i="1"/>
  <c r="E4231" i="1"/>
  <c r="E4229" i="1"/>
  <c r="E4227" i="1"/>
  <c r="E4225" i="1"/>
  <c r="E4223" i="1"/>
  <c r="E4221" i="1"/>
  <c r="E3852" i="1"/>
  <c r="E3850" i="1"/>
  <c r="E3848" i="1"/>
  <c r="E3846" i="1"/>
  <c r="E3844" i="1"/>
  <c r="E3842" i="1"/>
  <c r="E3840" i="1"/>
  <c r="E3838" i="1"/>
  <c r="E3836" i="1"/>
  <c r="E3834" i="1"/>
  <c r="E3832" i="1"/>
  <c r="E3830" i="1"/>
  <c r="E3828" i="1"/>
  <c r="E3826" i="1"/>
  <c r="E3824" i="1"/>
  <c r="E3822" i="1"/>
  <c r="E3820" i="1"/>
  <c r="E3818" i="1"/>
  <c r="E3816" i="1"/>
  <c r="E3814" i="1"/>
  <c r="E3812" i="1"/>
  <c r="E3810" i="1"/>
  <c r="E3808" i="1"/>
  <c r="E3853" i="1"/>
  <c r="E3851" i="1"/>
  <c r="E3849" i="1"/>
  <c r="E3847" i="1"/>
  <c r="E3845" i="1"/>
  <c r="E3843" i="1"/>
  <c r="E3841" i="1"/>
  <c r="E3839" i="1"/>
  <c r="E3837" i="1"/>
  <c r="E3835" i="1"/>
  <c r="E3833" i="1"/>
  <c r="E3831" i="1"/>
  <c r="E3829" i="1"/>
  <c r="E3827" i="1"/>
  <c r="E3825" i="1"/>
  <c r="E3823" i="1"/>
  <c r="E3821" i="1"/>
  <c r="E3819" i="1"/>
  <c r="E3817" i="1"/>
  <c r="E3815" i="1"/>
  <c r="E3813" i="1"/>
  <c r="E3811" i="1"/>
  <c r="E3809" i="1"/>
  <c r="E3898" i="1"/>
  <c r="E3896" i="1"/>
  <c r="E3894" i="1"/>
  <c r="E3892" i="1"/>
  <c r="E3890" i="1"/>
  <c r="E3888" i="1"/>
  <c r="E3886" i="1"/>
  <c r="E3884" i="1"/>
  <c r="E3882" i="1"/>
  <c r="E3880" i="1"/>
  <c r="E3878" i="1"/>
  <c r="E3876" i="1"/>
  <c r="E3874" i="1"/>
  <c r="E3872" i="1"/>
  <c r="E3870" i="1"/>
  <c r="E3868" i="1"/>
  <c r="E3866" i="1"/>
  <c r="E3864" i="1"/>
  <c r="E3862" i="1"/>
  <c r="E3860" i="1"/>
  <c r="E3858" i="1"/>
  <c r="E3856" i="1"/>
  <c r="E3854" i="1"/>
  <c r="E3899" i="1"/>
  <c r="E3897" i="1"/>
  <c r="E3895" i="1"/>
  <c r="E3893" i="1"/>
  <c r="E3891" i="1"/>
  <c r="E3889" i="1"/>
  <c r="E3887" i="1"/>
  <c r="E3885" i="1"/>
  <c r="E3883" i="1"/>
  <c r="E3881" i="1"/>
  <c r="E3879" i="1"/>
  <c r="E3877" i="1"/>
  <c r="E3875" i="1"/>
  <c r="E3873" i="1"/>
  <c r="E3871" i="1"/>
  <c r="E3869" i="1"/>
  <c r="E3867" i="1"/>
  <c r="E3865" i="1"/>
  <c r="E3863" i="1"/>
  <c r="E3861" i="1"/>
  <c r="E3859" i="1"/>
  <c r="E3857" i="1"/>
  <c r="E3855" i="1"/>
  <c r="E3938" i="1"/>
  <c r="E3936" i="1"/>
  <c r="E3934" i="1"/>
  <c r="E3932" i="1"/>
  <c r="E3930" i="1"/>
  <c r="E3928" i="1"/>
  <c r="E3926" i="1"/>
  <c r="E3924" i="1"/>
  <c r="E3922" i="1"/>
  <c r="E3920" i="1"/>
  <c r="E3918" i="1"/>
  <c r="E3916" i="1"/>
  <c r="E3914" i="1"/>
  <c r="E3912" i="1"/>
  <c r="E3910" i="1"/>
  <c r="E3908" i="1"/>
  <c r="E3906" i="1"/>
  <c r="E3904" i="1"/>
  <c r="E3902" i="1"/>
  <c r="E3900" i="1"/>
  <c r="E3939" i="1"/>
  <c r="E3937" i="1"/>
  <c r="E3935" i="1"/>
  <c r="E3933" i="1"/>
  <c r="E3931" i="1"/>
  <c r="E3929" i="1"/>
  <c r="E3927" i="1"/>
  <c r="E3925" i="1"/>
  <c r="E3923" i="1"/>
  <c r="E3921" i="1"/>
  <c r="E3919" i="1"/>
  <c r="E3917" i="1"/>
  <c r="E3915" i="1"/>
  <c r="E3913" i="1"/>
  <c r="E3911" i="1"/>
  <c r="E3909" i="1"/>
  <c r="E3907" i="1"/>
  <c r="E3905" i="1"/>
  <c r="E3903" i="1"/>
  <c r="E3901" i="1"/>
  <c r="E3978" i="1"/>
  <c r="E3976" i="1"/>
  <c r="E3974" i="1"/>
  <c r="E3972" i="1"/>
  <c r="E3970" i="1"/>
  <c r="E3968" i="1"/>
  <c r="E3966" i="1"/>
  <c r="E3964" i="1"/>
  <c r="E3962" i="1"/>
  <c r="E3960" i="1"/>
  <c r="E3958" i="1"/>
  <c r="E3956" i="1"/>
  <c r="E3954" i="1"/>
  <c r="E3952" i="1"/>
  <c r="E3950" i="1"/>
  <c r="E3948" i="1"/>
  <c r="E3946" i="1"/>
  <c r="E3944" i="1"/>
  <c r="E3942" i="1"/>
  <c r="E3940" i="1"/>
  <c r="E3979" i="1"/>
  <c r="E3977" i="1"/>
  <c r="E3975" i="1"/>
  <c r="E3973" i="1"/>
  <c r="E3971" i="1"/>
  <c r="E3969" i="1"/>
  <c r="E3967" i="1"/>
  <c r="E3965" i="1"/>
  <c r="E3963" i="1"/>
  <c r="E3961" i="1"/>
  <c r="E3959" i="1"/>
  <c r="E3957" i="1"/>
  <c r="E3955" i="1"/>
  <c r="E3953" i="1"/>
  <c r="E3951" i="1"/>
  <c r="E3949" i="1"/>
  <c r="E3947" i="1"/>
  <c r="E3945" i="1"/>
  <c r="E3943" i="1"/>
  <c r="E3941" i="1"/>
  <c r="E4018" i="1"/>
  <c r="E4016" i="1"/>
  <c r="E4014" i="1"/>
  <c r="E4012" i="1"/>
  <c r="E4010" i="1"/>
  <c r="E4008" i="1"/>
  <c r="E4006" i="1"/>
  <c r="E4004" i="1"/>
  <c r="E4002" i="1"/>
  <c r="E4000" i="1"/>
  <c r="E3998" i="1"/>
  <c r="E3996" i="1"/>
  <c r="E3994" i="1"/>
  <c r="E3992" i="1"/>
  <c r="E3990" i="1"/>
  <c r="E3988" i="1"/>
  <c r="E3986" i="1"/>
  <c r="E3984" i="1"/>
  <c r="E3982" i="1"/>
  <c r="E3980" i="1"/>
  <c r="E4019" i="1"/>
  <c r="E4017" i="1"/>
  <c r="E4015" i="1"/>
  <c r="E4013" i="1"/>
  <c r="E4011" i="1"/>
  <c r="E4009" i="1"/>
  <c r="E4007" i="1"/>
  <c r="E4005" i="1"/>
  <c r="E4003" i="1"/>
  <c r="E4001" i="1"/>
  <c r="E3999" i="1"/>
  <c r="E3997" i="1"/>
  <c r="E3995" i="1"/>
  <c r="E3993" i="1"/>
  <c r="E3991" i="1"/>
  <c r="E3989" i="1"/>
  <c r="E3987" i="1"/>
  <c r="E3985" i="1"/>
  <c r="E3983" i="1"/>
  <c r="E3981" i="1"/>
  <c r="E4058" i="1"/>
  <c r="E4056" i="1"/>
  <c r="E4054" i="1"/>
  <c r="E4052" i="1"/>
  <c r="E4050" i="1"/>
  <c r="E4048" i="1"/>
  <c r="E4046" i="1"/>
  <c r="E4044" i="1"/>
  <c r="E4042" i="1"/>
  <c r="E4040" i="1"/>
  <c r="E4038" i="1"/>
  <c r="E4036" i="1"/>
  <c r="E4034" i="1"/>
  <c r="E4032" i="1"/>
  <c r="E4030" i="1"/>
  <c r="E4028" i="1"/>
  <c r="E4026" i="1"/>
  <c r="E4024" i="1"/>
  <c r="E4022" i="1"/>
  <c r="E4020" i="1"/>
  <c r="E4059" i="1"/>
  <c r="E4057" i="1"/>
  <c r="E4055" i="1"/>
  <c r="E4053" i="1"/>
  <c r="E4051" i="1"/>
  <c r="E4049" i="1"/>
  <c r="E4047" i="1"/>
  <c r="E4045" i="1"/>
  <c r="E4043" i="1"/>
  <c r="E4041" i="1"/>
  <c r="E4039" i="1"/>
  <c r="E4037" i="1"/>
  <c r="E4035" i="1"/>
  <c r="E4033" i="1"/>
  <c r="E4031" i="1"/>
  <c r="E4029" i="1"/>
  <c r="E4027" i="1"/>
  <c r="E4025" i="1"/>
  <c r="E4023" i="1"/>
  <c r="E4021" i="1"/>
  <c r="E4098" i="1"/>
  <c r="E4096" i="1"/>
  <c r="E4094" i="1"/>
  <c r="E4092" i="1"/>
  <c r="E4090" i="1"/>
  <c r="E4088" i="1"/>
  <c r="E4086" i="1"/>
  <c r="E4084" i="1"/>
  <c r="E4082" i="1"/>
  <c r="E4080" i="1"/>
  <c r="E4078" i="1"/>
  <c r="E4076" i="1"/>
  <c r="E4074" i="1"/>
  <c r="E4072" i="1"/>
  <c r="E4070" i="1"/>
  <c r="E4068" i="1"/>
  <c r="E4066" i="1"/>
  <c r="E4064" i="1"/>
  <c r="E4062" i="1"/>
  <c r="E4060" i="1"/>
  <c r="E4099" i="1"/>
  <c r="E4097" i="1"/>
  <c r="E4095" i="1"/>
  <c r="E4093" i="1"/>
  <c r="E4091" i="1"/>
  <c r="E4089" i="1"/>
  <c r="E4087" i="1"/>
  <c r="E4085" i="1"/>
  <c r="E4083" i="1"/>
  <c r="E4081" i="1"/>
  <c r="E4079" i="1"/>
  <c r="E4077" i="1"/>
  <c r="E4075" i="1"/>
  <c r="E4073" i="1"/>
  <c r="E4071" i="1"/>
  <c r="E4069" i="1"/>
  <c r="E4067" i="1"/>
  <c r="E4065" i="1"/>
  <c r="E4063" i="1"/>
  <c r="E4061" i="1"/>
  <c r="E4138" i="1"/>
  <c r="E4136" i="1"/>
  <c r="E4134" i="1"/>
  <c r="E4132" i="1"/>
  <c r="E4130" i="1"/>
  <c r="E4128" i="1"/>
  <c r="E4126" i="1"/>
  <c r="E4124" i="1"/>
  <c r="E4122" i="1"/>
  <c r="E4120" i="1"/>
  <c r="E4118" i="1"/>
  <c r="E4116" i="1"/>
  <c r="E4114" i="1"/>
  <c r="E4112" i="1"/>
  <c r="E4110" i="1"/>
  <c r="E4108" i="1"/>
  <c r="E4106" i="1"/>
  <c r="E4104" i="1"/>
  <c r="E4102" i="1"/>
  <c r="E4100" i="1"/>
  <c r="E4139" i="1"/>
  <c r="E4137" i="1"/>
  <c r="E4135" i="1"/>
  <c r="E4133" i="1"/>
  <c r="E4131" i="1"/>
  <c r="E4129" i="1"/>
  <c r="E4127" i="1"/>
  <c r="E4125" i="1"/>
  <c r="E4123" i="1"/>
  <c r="E4121" i="1"/>
  <c r="E4119" i="1"/>
  <c r="E4117" i="1"/>
  <c r="E4115" i="1"/>
  <c r="E4113" i="1"/>
  <c r="E4111" i="1"/>
  <c r="E4109" i="1"/>
  <c r="E4107" i="1"/>
  <c r="E4105" i="1"/>
  <c r="E4103" i="1"/>
  <c r="E4101" i="1"/>
  <c r="E546" i="1"/>
  <c r="L50" i="2"/>
  <c r="O2" i="1"/>
  <c r="L89" i="2"/>
  <c r="L41" i="2"/>
  <c r="L42" i="2"/>
  <c r="L43" i="2"/>
  <c r="L44" i="2"/>
  <c r="L45" i="2"/>
  <c r="L46" i="2"/>
  <c r="L47" i="2"/>
  <c r="L48" i="2"/>
  <c r="L49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40" i="2"/>
  <c r="L12" i="2"/>
  <c r="L16" i="2"/>
  <c r="L32" i="2"/>
  <c r="K3" i="2"/>
  <c r="L3" i="2" s="1"/>
  <c r="K4" i="2"/>
  <c r="L4" i="2" s="1"/>
  <c r="K5" i="2"/>
  <c r="L5" i="2" s="1"/>
  <c r="K6" i="2"/>
  <c r="L6" i="2" s="1"/>
  <c r="P217" i="1" s="1"/>
  <c r="K7" i="2"/>
  <c r="L7" i="2" s="1"/>
  <c r="K8" i="2"/>
  <c r="L8" i="2" s="1"/>
  <c r="K9" i="2"/>
  <c r="L9" i="2" s="1"/>
  <c r="K10" i="2"/>
  <c r="L10" i="2" s="1"/>
  <c r="P387" i="1" s="1"/>
  <c r="K11" i="2"/>
  <c r="L11" i="2" s="1"/>
  <c r="K12" i="2"/>
  <c r="K13" i="2"/>
  <c r="L13" i="2" s="1"/>
  <c r="K14" i="2"/>
  <c r="L14" i="2" s="1"/>
  <c r="P551" i="1" s="1"/>
  <c r="K15" i="2"/>
  <c r="L15" i="2" s="1"/>
  <c r="K16" i="2"/>
  <c r="K17" i="2"/>
  <c r="L17" i="2" s="1"/>
  <c r="K18" i="2"/>
  <c r="L18" i="2" s="1"/>
  <c r="P711" i="1" s="1"/>
  <c r="K19" i="2"/>
  <c r="L19" i="2" s="1"/>
  <c r="K20" i="2"/>
  <c r="L20" i="2" s="1"/>
  <c r="K21" i="2"/>
  <c r="L21" i="2" s="1"/>
  <c r="K22" i="2"/>
  <c r="L22" i="2" s="1"/>
  <c r="P860" i="1" s="1"/>
  <c r="K23" i="2"/>
  <c r="L23" i="2" s="1"/>
  <c r="K24" i="2"/>
  <c r="L24" i="2" s="1"/>
  <c r="K25" i="2"/>
  <c r="L25" i="2" s="1"/>
  <c r="K26" i="2"/>
  <c r="L26" i="2" s="1"/>
  <c r="P998" i="1" s="1"/>
  <c r="K27" i="2"/>
  <c r="L27" i="2" s="1"/>
  <c r="K28" i="2"/>
  <c r="L28" i="2" s="1"/>
  <c r="K29" i="2"/>
  <c r="L29" i="2" s="1"/>
  <c r="K30" i="2"/>
  <c r="L30" i="2" s="1"/>
  <c r="P1139" i="1" s="1"/>
  <c r="K31" i="2"/>
  <c r="L31" i="2" s="1"/>
  <c r="K32" i="2"/>
  <c r="K33" i="2"/>
  <c r="L33" i="2" s="1"/>
  <c r="K34" i="2"/>
  <c r="L34" i="2" s="1"/>
  <c r="P1273" i="1" s="1"/>
  <c r="K35" i="2"/>
  <c r="L35" i="2" s="1"/>
  <c r="K36" i="2"/>
  <c r="L36" i="2" s="1"/>
  <c r="K37" i="2"/>
  <c r="L37" i="2" s="1"/>
  <c r="K38" i="2"/>
  <c r="L38" i="2" s="1"/>
  <c r="P1401" i="1" s="1"/>
  <c r="K39" i="2"/>
  <c r="L39" i="2" s="1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L76" i="2" s="1"/>
  <c r="K77" i="2"/>
  <c r="L77" i="2" s="1"/>
  <c r="K78" i="2"/>
  <c r="L78" i="2" s="1"/>
  <c r="K79" i="2"/>
  <c r="L79" i="2" s="1"/>
  <c r="K80" i="2"/>
  <c r="L80" i="2" s="1"/>
  <c r="K81" i="2"/>
  <c r="L81" i="2" s="1"/>
  <c r="K82" i="2"/>
  <c r="L82" i="2" s="1"/>
  <c r="K83" i="2"/>
  <c r="L83" i="2" s="1"/>
  <c r="K84" i="2"/>
  <c r="L84" i="2" s="1"/>
  <c r="K85" i="2"/>
  <c r="L85" i="2" s="1"/>
  <c r="K86" i="2"/>
  <c r="L86" i="2" s="1"/>
  <c r="K87" i="2"/>
  <c r="L87" i="2" s="1"/>
  <c r="K88" i="2"/>
  <c r="L88" i="2" s="1"/>
  <c r="K89" i="2"/>
  <c r="K90" i="2"/>
  <c r="L90" i="2" s="1"/>
  <c r="L2" i="2"/>
  <c r="K2" i="2"/>
  <c r="Q1761" i="1"/>
  <c r="Q1966" i="1"/>
  <c r="Q1717" i="1"/>
  <c r="Q1922" i="1"/>
  <c r="Q1737" i="1"/>
  <c r="Q1942" i="1"/>
  <c r="Q1501" i="1"/>
  <c r="Q1518" i="1"/>
  <c r="Q1503" i="1"/>
  <c r="Q1474" i="1"/>
  <c r="Q1494" i="1"/>
  <c r="Q1479" i="1"/>
  <c r="Q1841" i="1"/>
  <c r="Q1534" i="1"/>
  <c r="Q2046" i="1"/>
  <c r="Q1519" i="1"/>
  <c r="Q1797" i="1"/>
  <c r="Q1490" i="1"/>
  <c r="Q2002" i="1"/>
  <c r="Q1475" i="1"/>
  <c r="Q1817" i="1"/>
  <c r="Q1510" i="1"/>
  <c r="Q2022" i="1"/>
  <c r="Q1495" i="1"/>
  <c r="Q1921" i="1"/>
  <c r="Q1614" i="1"/>
  <c r="Q2126" i="1"/>
  <c r="Q1599" i="1"/>
  <c r="Q1877" i="1"/>
  <c r="Q1570" i="1"/>
  <c r="Q2082" i="1"/>
  <c r="Q1555" i="1"/>
  <c r="Q1897" i="1"/>
  <c r="Q1590" i="1"/>
  <c r="Q2102" i="1"/>
  <c r="Q1575" i="1"/>
  <c r="Q1917" i="1"/>
  <c r="Q1585" i="1"/>
  <c r="Q1646" i="1"/>
  <c r="Q1631" i="1"/>
  <c r="Q1602" i="1"/>
  <c r="Q1587" i="1"/>
  <c r="Q1622" i="1"/>
  <c r="Q1607" i="1"/>
  <c r="Q1905" i="1"/>
  <c r="Q1598" i="1"/>
  <c r="Q2110" i="1"/>
  <c r="Q1583" i="1"/>
  <c r="Q1861" i="1"/>
  <c r="Q1554" i="1"/>
  <c r="Q2066" i="1"/>
  <c r="Q1539" i="1"/>
  <c r="Q1881" i="1"/>
  <c r="Q1574" i="1"/>
  <c r="Q2086" i="1"/>
  <c r="Q1559" i="1"/>
  <c r="Q1985" i="1"/>
  <c r="Q1678" i="1"/>
  <c r="Q2190" i="1"/>
  <c r="Q1663" i="1"/>
  <c r="Q1941" i="1"/>
  <c r="Q1634" i="1"/>
  <c r="Q2146" i="1"/>
  <c r="Q1619" i="1"/>
  <c r="Q1961" i="1"/>
  <c r="Q1521" i="1"/>
  <c r="Q2017" i="1"/>
  <c r="Q1838" i="1"/>
  <c r="Q1567" i="1"/>
  <c r="Q1973" i="1"/>
  <c r="Q1794" i="1"/>
  <c r="Q1523" i="1"/>
  <c r="Q1993" i="1"/>
  <c r="Q1814" i="1"/>
  <c r="Q1543" i="1"/>
  <c r="Q1774" i="1"/>
  <c r="Q1781" i="1"/>
  <c r="Q2242" i="1"/>
  <c r="Q1750" i="1"/>
  <c r="Q2097" i="1"/>
  <c r="Q1918" i="1"/>
  <c r="Q1647" i="1"/>
  <c r="Q2053" i="1"/>
  <c r="Q1874" i="1"/>
  <c r="Q1603" i="1"/>
  <c r="Q2073" i="1"/>
  <c r="Q1894" i="1"/>
  <c r="Q1623" i="1"/>
  <c r="Q1465" i="1"/>
  <c r="Q2177" i="1"/>
  <c r="Q1998" i="1"/>
  <c r="Q1477" i="1"/>
  <c r="Q2133" i="1"/>
  <c r="Q1954" i="1"/>
  <c r="Q1513" i="1"/>
  <c r="Q2153" i="1"/>
  <c r="Q1974" i="1"/>
  <c r="Q1533" i="1"/>
  <c r="Q2173" i="1"/>
  <c r="Q1902" i="1"/>
  <c r="Q1909" i="1"/>
  <c r="Q1878" i="1"/>
  <c r="Q2161" i="1"/>
  <c r="Q1982" i="1"/>
  <c r="Q2117" i="1"/>
  <c r="Q1938" i="1"/>
  <c r="Q1481" i="1"/>
  <c r="Q2137" i="1"/>
  <c r="Q1958" i="1"/>
  <c r="Q1569" i="1"/>
  <c r="Q2062" i="1"/>
  <c r="Q1557" i="1"/>
  <c r="Q2197" i="1"/>
  <c r="Q2018" i="1"/>
  <c r="Q1577" i="1"/>
  <c r="Q1910" i="1"/>
  <c r="Q1725" i="1"/>
  <c r="S152" i="1"/>
  <c r="Q1649" i="1"/>
  <c r="Q1469" i="1"/>
  <c r="Q2145" i="1"/>
  <c r="Q2094" i="1"/>
  <c r="Q1695" i="1"/>
  <c r="Q2101" i="1"/>
  <c r="Q2050" i="1"/>
  <c r="Q2121" i="1"/>
  <c r="Q2070" i="1"/>
  <c r="Q1537" i="1"/>
  <c r="Q2030" i="1"/>
  <c r="Q2037" i="1"/>
  <c r="Q1545" i="1"/>
  <c r="Q2006" i="1"/>
  <c r="Q1553" i="1"/>
  <c r="Q2174" i="1"/>
  <c r="Q1541" i="1"/>
  <c r="Q2181" i="1"/>
  <c r="Q2130" i="1"/>
  <c r="Q1561" i="1"/>
  <c r="Q2150" i="1"/>
  <c r="Q1665" i="1"/>
  <c r="Q1486" i="1"/>
  <c r="Q2254" i="1"/>
  <c r="Q1621" i="1"/>
  <c r="Q2210" i="1"/>
  <c r="Q1641" i="1"/>
  <c r="Q2230" i="1"/>
  <c r="Q1661" i="1"/>
  <c r="Q1697" i="1"/>
  <c r="Q2158" i="1"/>
  <c r="Q2165" i="1"/>
  <c r="Q1673" i="1"/>
  <c r="Q2134" i="1"/>
  <c r="Q1633" i="1"/>
  <c r="Q1470" i="1"/>
  <c r="Q2238" i="1"/>
  <c r="Q1605" i="1"/>
  <c r="Q2194" i="1"/>
  <c r="Q1625" i="1"/>
  <c r="Q2214" i="1"/>
  <c r="Q1729" i="1"/>
  <c r="Q1550" i="1"/>
  <c r="Q2318" i="1"/>
  <c r="Q1685" i="1"/>
  <c r="Q1506" i="1"/>
  <c r="Q2274" i="1"/>
  <c r="Q1705" i="1"/>
  <c r="Q1526" i="1"/>
  <c r="Q2038" i="1"/>
  <c r="Q1511" i="1"/>
  <c r="Q1853" i="1"/>
  <c r="Q2065" i="1"/>
  <c r="Q2021" i="1"/>
  <c r="Q2041" i="1"/>
  <c r="Q1677" i="1"/>
  <c r="Q1498" i="1"/>
  <c r="Q2010" i="1"/>
  <c r="Q1739" i="1"/>
  <c r="Q2251" i="1"/>
  <c r="Q2297" i="1"/>
  <c r="Q1743" i="1"/>
  <c r="Q2255" i="1"/>
  <c r="Q2301" i="1"/>
  <c r="Q2129" i="1"/>
  <c r="Q2085" i="1"/>
  <c r="Q2105" i="1"/>
  <c r="Q1693" i="1"/>
  <c r="Q1514" i="1"/>
  <c r="Q2026" i="1"/>
  <c r="Q1755" i="1"/>
  <c r="Q2267" i="1"/>
  <c r="Q1970" i="1"/>
  <c r="Q1933" i="1"/>
  <c r="Q2202" i="1"/>
  <c r="Q2489" i="1"/>
  <c r="Q2493" i="1"/>
  <c r="Q2078" i="1"/>
  <c r="Q2054" i="1"/>
  <c r="Q1706" i="1"/>
  <c r="Q1947" i="1"/>
  <c r="Q1540" i="1"/>
  <c r="Q2377" i="1"/>
  <c r="Q1823" i="1"/>
  <c r="Q1544" i="1"/>
  <c r="Q2381" i="1"/>
  <c r="Q1891" i="1"/>
  <c r="Q2061" i="1"/>
  <c r="Q1617" i="1"/>
  <c r="Q1582" i="1"/>
  <c r="Q2222" i="1"/>
  <c r="Q1589" i="1"/>
  <c r="Q1538" i="1"/>
  <c r="Q2178" i="1"/>
  <c r="Q1609" i="1"/>
  <c r="Q1558" i="1"/>
  <c r="Q2198" i="1"/>
  <c r="Q1505" i="1"/>
  <c r="Q1825" i="1"/>
  <c r="Q2286" i="1"/>
  <c r="Q1730" i="1"/>
  <c r="Q1801" i="1"/>
  <c r="Q2262" i="1"/>
  <c r="Q1713" i="1"/>
  <c r="Q1662" i="1"/>
  <c r="Q2302" i="1"/>
  <c r="Q1669" i="1"/>
  <c r="Q1618" i="1"/>
  <c r="Q2258" i="1"/>
  <c r="Q1689" i="1"/>
  <c r="Q1638" i="1"/>
  <c r="Q2278" i="1"/>
  <c r="Q1793" i="1"/>
  <c r="Q1742" i="1"/>
  <c r="Q1749" i="1"/>
  <c r="Q1698" i="1"/>
  <c r="Q2338" i="1"/>
  <c r="Q1769" i="1"/>
  <c r="Q1718" i="1"/>
  <c r="Q1789" i="1"/>
  <c r="Q1953" i="1"/>
  <c r="Q1858" i="1"/>
  <c r="Q1929" i="1"/>
  <c r="Q1777" i="1"/>
  <c r="Q1726" i="1"/>
  <c r="Q1733" i="1"/>
  <c r="Q1682" i="1"/>
  <c r="Q2322" i="1"/>
  <c r="Q1753" i="1"/>
  <c r="Q1702" i="1"/>
  <c r="Q1865" i="1"/>
  <c r="Q1525" i="1"/>
  <c r="Q1945" i="1"/>
  <c r="Q1471" i="1"/>
  <c r="Q2025" i="1"/>
  <c r="Q1653" i="1"/>
  <c r="Q2009" i="1"/>
  <c r="Q1806" i="1"/>
  <c r="Q1813" i="1"/>
  <c r="Q1654" i="1"/>
  <c r="Q1639" i="1"/>
  <c r="Q1758" i="1"/>
  <c r="Q2226" i="1"/>
  <c r="Q1493" i="1"/>
  <c r="Q1626" i="1"/>
  <c r="Q2266" i="1"/>
  <c r="Q2123" i="1"/>
  <c r="Q1588" i="1"/>
  <c r="Q2553" i="1"/>
  <c r="Q2127" i="1"/>
  <c r="Q1592" i="1"/>
  <c r="Q2557" i="1"/>
  <c r="Q1601" i="1"/>
  <c r="Q1778" i="1"/>
  <c r="Q2310" i="1"/>
  <c r="Q2154" i="1"/>
  <c r="Q2011" i="1"/>
  <c r="Q1785" i="1"/>
  <c r="Q1690" i="1"/>
  <c r="Q2187" i="1"/>
  <c r="Q1671" i="1"/>
  <c r="Q1656" i="1"/>
  <c r="Q1873" i="1"/>
  <c r="Q1613" i="1"/>
  <c r="Q2218" i="1"/>
  <c r="Q2505" i="1"/>
  <c r="Q2079" i="1"/>
  <c r="Q2509" i="1"/>
  <c r="Q1886" i="1"/>
  <c r="Q1657" i="1"/>
  <c r="Q1709" i="1"/>
  <c r="Q1658" i="1"/>
  <c r="Q2170" i="1"/>
  <c r="Q1899" i="1"/>
  <c r="Q1620" i="1"/>
  <c r="Q2457" i="1"/>
  <c r="Q1903" i="1"/>
  <c r="Q1624" i="1"/>
  <c r="Q2461" i="1"/>
  <c r="Q1971" i="1"/>
  <c r="Q2206" i="1"/>
  <c r="Q2162" i="1"/>
  <c r="Q2182" i="1"/>
  <c r="Q1997" i="1"/>
  <c r="Q1738" i="1"/>
  <c r="Q2250" i="1"/>
  <c r="Q1979" i="1"/>
  <c r="Q1700" i="1"/>
  <c r="Q2537" i="1"/>
  <c r="Q1983" i="1"/>
  <c r="Q1704" i="1"/>
  <c r="Q2541" i="1"/>
  <c r="Q2051" i="1"/>
  <c r="Q1675" i="1"/>
  <c r="Q1804" i="1"/>
  <c r="Q1659" i="1"/>
  <c r="Q2183" i="1"/>
  <c r="Q2229" i="1"/>
  <c r="Q2701" i="1"/>
  <c r="Q3213" i="1"/>
  <c r="Q2686" i="1"/>
  <c r="Q2721" i="1"/>
  <c r="Q3233" i="1"/>
  <c r="Q2706" i="1"/>
  <c r="Q2745" i="1"/>
  <c r="Q2003" i="1"/>
  <c r="Q2209" i="1"/>
  <c r="Q1751" i="1"/>
  <c r="Q2263" i="1"/>
  <c r="Q1472" i="1"/>
  <c r="Q2309" i="1"/>
  <c r="Q2781" i="1"/>
  <c r="Q3293" i="1"/>
  <c r="Q2766" i="1"/>
  <c r="Q2801" i="1"/>
  <c r="Q3313" i="1"/>
  <c r="Q2786" i="1"/>
  <c r="Q2825" i="1"/>
  <c r="Q2019" i="1"/>
  <c r="Q2225" i="1"/>
  <c r="Q1767" i="1"/>
  <c r="Q2279" i="1"/>
  <c r="Q1488" i="1"/>
  <c r="Q2325" i="1"/>
  <c r="Q2797" i="1"/>
  <c r="Q3309" i="1"/>
  <c r="Q2782" i="1"/>
  <c r="Q2817" i="1"/>
  <c r="Q3329" i="1"/>
  <c r="Q2802" i="1"/>
  <c r="Q2841" i="1"/>
  <c r="Q1875" i="1"/>
  <c r="Q1852" i="1"/>
  <c r="Q1719" i="1"/>
  <c r="Q2231" i="1"/>
  <c r="Q2277" i="1"/>
  <c r="Q2749" i="1"/>
  <c r="Q3261" i="1"/>
  <c r="Q2734" i="1"/>
  <c r="Q2769" i="1"/>
  <c r="Q3281" i="1"/>
  <c r="Q2754" i="1"/>
  <c r="Q2793" i="1"/>
  <c r="Q1487" i="1"/>
  <c r="Q1818" i="1"/>
  <c r="Q2059" i="1"/>
  <c r="Q1780" i="1"/>
  <c r="Q2063" i="1"/>
  <c r="Q1784" i="1"/>
  <c r="Q1507" i="1"/>
  <c r="Q2125" i="1"/>
  <c r="Q2346" i="1"/>
  <c r="Q1860" i="1"/>
  <c r="Q1531" i="1"/>
  <c r="Q2143" i="1"/>
  <c r="Q1864" i="1"/>
  <c r="Q1699" i="1"/>
  <c r="Q1630" i="1"/>
  <c r="Q1586" i="1"/>
  <c r="Q1606" i="1"/>
  <c r="Q1805" i="1"/>
  <c r="Q1594" i="1"/>
  <c r="Q2106" i="1"/>
  <c r="Q1835" i="1"/>
  <c r="Q1556" i="1"/>
  <c r="Q2393" i="1"/>
  <c r="Q1839" i="1"/>
  <c r="Q1560" i="1"/>
  <c r="Q2397" i="1"/>
  <c r="Q1907" i="1"/>
  <c r="Q1950" i="1"/>
  <c r="Q1906" i="1"/>
  <c r="Q1926" i="1"/>
  <c r="Q1901" i="1"/>
  <c r="Q1674" i="1"/>
  <c r="Q2186" i="1"/>
  <c r="Q1915" i="1"/>
  <c r="Q1636" i="1"/>
  <c r="Q2473" i="1"/>
  <c r="Q1919" i="1"/>
  <c r="Q1640" i="1"/>
  <c r="Q2477" i="1"/>
  <c r="Q1987" i="1"/>
  <c r="Q1740" i="1"/>
  <c r="Q2119" i="1"/>
  <c r="Q1840" i="1"/>
  <c r="Q2637" i="1"/>
  <c r="Q3149" i="1"/>
  <c r="Q2622" i="1"/>
  <c r="Q2657" i="1"/>
  <c r="Q3169" i="1"/>
  <c r="Q2642" i="1"/>
  <c r="Q2681" i="1"/>
  <c r="Q1747" i="1"/>
  <c r="Q1820" i="1"/>
  <c r="Q1683" i="1"/>
  <c r="Q2199" i="1"/>
  <c r="Q2245" i="1"/>
  <c r="Q2717" i="1"/>
  <c r="Q3229" i="1"/>
  <c r="Q2702" i="1"/>
  <c r="Q2737" i="1"/>
  <c r="Q3249" i="1"/>
  <c r="Q2722" i="1"/>
  <c r="Q2761" i="1"/>
  <c r="Q1811" i="1"/>
  <c r="Q1836" i="1"/>
  <c r="Q1703" i="1"/>
  <c r="Q2215" i="1"/>
  <c r="Q2261" i="1"/>
  <c r="Q2733" i="1"/>
  <c r="Q3245" i="1"/>
  <c r="Q2718" i="1"/>
  <c r="Q2753" i="1"/>
  <c r="Q3265" i="1"/>
  <c r="Q2738" i="1"/>
  <c r="Q2777" i="1"/>
  <c r="Q3289" i="1"/>
  <c r="Q1788" i="1"/>
  <c r="Q1627" i="1"/>
  <c r="Q2167" i="1"/>
  <c r="Q2213" i="1"/>
  <c r="Q2685" i="1"/>
  <c r="Q3197" i="1"/>
  <c r="Q2670" i="1"/>
  <c r="Q2705" i="1"/>
  <c r="Q3217" i="1"/>
  <c r="Q2690" i="1"/>
  <c r="Q1845" i="1"/>
  <c r="Q1686" i="1"/>
  <c r="Q1986" i="1"/>
  <c r="Q1925" i="1"/>
  <c r="Q1766" i="1"/>
  <c r="Q2005" i="1"/>
  <c r="Q1846" i="1"/>
  <c r="Q1489" i="1"/>
  <c r="Q2114" i="1"/>
  <c r="Q1989" i="1"/>
  <c r="Q1830" i="1"/>
  <c r="Q1934" i="1"/>
  <c r="Q2069" i="1"/>
  <c r="Q1491" i="1"/>
  <c r="Q1782" i="1"/>
  <c r="Q1597" i="1"/>
  <c r="Q2270" i="1"/>
  <c r="Q1529" i="1"/>
  <c r="Q1837" i="1"/>
  <c r="Q1754" i="1"/>
  <c r="Q1716" i="1"/>
  <c r="Q1467" i="1"/>
  <c r="Q1720" i="1"/>
  <c r="Q1822" i="1"/>
  <c r="Q2290" i="1"/>
  <c r="Q1517" i="1"/>
  <c r="Q1642" i="1"/>
  <c r="Q2282" i="1"/>
  <c r="Q2139" i="1"/>
  <c r="Q1809" i="1"/>
  <c r="Q1990" i="1"/>
  <c r="Q1946" i="1"/>
  <c r="Q1935" i="1"/>
  <c r="Q2237" i="1"/>
  <c r="Q1829" i="1"/>
  <c r="Q1949" i="1"/>
  <c r="Q1687" i="1"/>
  <c r="Q1668" i="1"/>
  <c r="Q2633" i="1"/>
  <c r="Q2207" i="1"/>
  <c r="Q1672" i="1"/>
  <c r="Q1547" i="1"/>
  <c r="Q1637" i="1"/>
  <c r="Q2169" i="1"/>
  <c r="Q1885" i="1"/>
  <c r="Q1786" i="1"/>
  <c r="Q2298" i="1"/>
  <c r="Q2027" i="1"/>
  <c r="Q1748" i="1"/>
  <c r="Q2585" i="1"/>
  <c r="Q2031" i="1"/>
  <c r="Q1752" i="1"/>
  <c r="Q2099" i="1"/>
  <c r="Q1679" i="1"/>
  <c r="Q1635" i="1"/>
  <c r="Q2157" i="1"/>
  <c r="Q1866" i="1"/>
  <c r="Q2107" i="1"/>
  <c r="Q1828" i="1"/>
  <c r="Q2111" i="1"/>
  <c r="Q1832" i="1"/>
  <c r="Q1655" i="1"/>
  <c r="Q2179" i="1"/>
  <c r="Q2083" i="1"/>
  <c r="Q2257" i="1"/>
  <c r="Q1799" i="1"/>
  <c r="Q2311" i="1"/>
  <c r="Q1520" i="1"/>
  <c r="Q2357" i="1"/>
  <c r="Q2829" i="1"/>
  <c r="Q3341" i="1"/>
  <c r="Q2814" i="1"/>
  <c r="Q2849" i="1"/>
  <c r="Q3361" i="1"/>
  <c r="Q2834" i="1"/>
  <c r="Q2873" i="1"/>
  <c r="Q2211" i="1"/>
  <c r="Q1500" i="1"/>
  <c r="Q2337" i="1"/>
  <c r="Q1879" i="1"/>
  <c r="Q1600" i="1"/>
  <c r="Q2437" i="1"/>
  <c r="Q2909" i="1"/>
  <c r="Q3421" i="1"/>
  <c r="Q2382" i="1"/>
  <c r="Q2894" i="1"/>
  <c r="Q2929" i="1"/>
  <c r="Q3441" i="1"/>
  <c r="Q2402" i="1"/>
  <c r="Q2914" i="1"/>
  <c r="Q2953" i="1"/>
  <c r="Q2227" i="1"/>
  <c r="Q1516" i="1"/>
  <c r="Q2353" i="1"/>
  <c r="Q1895" i="1"/>
  <c r="Q1616" i="1"/>
  <c r="Q2453" i="1"/>
  <c r="Q2925" i="1"/>
  <c r="Q3437" i="1"/>
  <c r="Q2398" i="1"/>
  <c r="Q2910" i="1"/>
  <c r="Q2945" i="1"/>
  <c r="Q3457" i="1"/>
  <c r="Q2418" i="1"/>
  <c r="Q2930" i="1"/>
  <c r="Q2969" i="1"/>
  <c r="Q2163" i="1"/>
  <c r="Q1468" i="1"/>
  <c r="Q2305" i="1"/>
  <c r="Q1847" i="1"/>
  <c r="Q1568" i="1"/>
  <c r="Q2405" i="1"/>
  <c r="Q2877" i="1"/>
  <c r="Q3389" i="1"/>
  <c r="Q2350" i="1"/>
  <c r="Q2862" i="1"/>
  <c r="Q2897" i="1"/>
  <c r="Q3409" i="1"/>
  <c r="Q2370" i="1"/>
  <c r="Q2882" i="1"/>
  <c r="Q1757" i="1"/>
  <c r="Q2074" i="1"/>
  <c r="Q2315" i="1"/>
  <c r="Q2361" i="1"/>
  <c r="Q2319" i="1"/>
  <c r="Q2365" i="1"/>
  <c r="Q1566" i="1"/>
  <c r="Q1542" i="1"/>
  <c r="Q1578" i="1"/>
  <c r="Q1819" i="1"/>
  <c r="Q1476" i="1"/>
  <c r="Q2313" i="1"/>
  <c r="Q1759" i="1"/>
  <c r="Q2271" i="1"/>
  <c r="Q1480" i="1"/>
  <c r="Q2317" i="1"/>
  <c r="Q1827" i="1"/>
  <c r="Q2142" i="1"/>
  <c r="Q2098" i="1"/>
  <c r="Q2118" i="1"/>
  <c r="Q1965" i="1"/>
  <c r="Q1722" i="1"/>
  <c r="Q2234" i="1"/>
  <c r="Q1963" i="1"/>
  <c r="Q1684" i="1"/>
  <c r="Q2521" i="1"/>
  <c r="Q1967" i="1"/>
  <c r="Q1688" i="1"/>
  <c r="Q2525" i="1"/>
  <c r="Q2035" i="1"/>
  <c r="Q2077" i="1"/>
  <c r="Q1802" i="1"/>
  <c r="Q2314" i="1"/>
  <c r="Q2043" i="1"/>
  <c r="Q1764" i="1"/>
  <c r="Q2601" i="1"/>
  <c r="Q2047" i="1"/>
  <c r="Q1768" i="1"/>
  <c r="Q2115" i="1"/>
  <c r="Q1939" i="1"/>
  <c r="Q1868" i="1"/>
  <c r="Q1735" i="1"/>
  <c r="Q2247" i="1"/>
  <c r="Q2293" i="1"/>
  <c r="Q2765" i="1"/>
  <c r="Q3277" i="1"/>
  <c r="Q2750" i="1"/>
  <c r="Q2785" i="1"/>
  <c r="Q3297" i="1"/>
  <c r="Q2770" i="1"/>
  <c r="Q2809" i="1"/>
  <c r="Q2131" i="1"/>
  <c r="Q2273" i="1"/>
  <c r="Q1815" i="1"/>
  <c r="Q2327" i="1"/>
  <c r="Q1536" i="1"/>
  <c r="Q2373" i="1"/>
  <c r="Q2845" i="1"/>
  <c r="Q3357" i="1"/>
  <c r="Q2830" i="1"/>
  <c r="Q2865" i="1"/>
  <c r="Q3377" i="1"/>
  <c r="Q2850" i="1"/>
  <c r="Q2889" i="1"/>
  <c r="Q2147" i="1"/>
  <c r="Q2289" i="1"/>
  <c r="Q1831" i="1"/>
  <c r="Q1552" i="1"/>
  <c r="Q2389" i="1"/>
  <c r="Q2861" i="1"/>
  <c r="Q3373" i="1"/>
  <c r="Q2846" i="1"/>
  <c r="Q2881" i="1"/>
  <c r="Q3393" i="1"/>
  <c r="Q2354" i="1"/>
  <c r="Q2866" i="1"/>
  <c r="Q2905" i="1"/>
  <c r="Q2067" i="1"/>
  <c r="Q2241" i="1"/>
  <c r="Q1889" i="1"/>
  <c r="Q1666" i="1"/>
  <c r="Q2326" i="1"/>
  <c r="Q2057" i="1"/>
  <c r="Q1969" i="1"/>
  <c r="Q1746" i="1"/>
  <c r="Q2049" i="1"/>
  <c r="Q1826" i="1"/>
  <c r="Q2185" i="1"/>
  <c r="Q2033" i="1"/>
  <c r="Q1810" i="1"/>
  <c r="Q2342" i="1"/>
  <c r="Q1857" i="1"/>
  <c r="Q1762" i="1"/>
  <c r="Q1833" i="1"/>
  <c r="Q2166" i="1"/>
  <c r="Q1981" i="1"/>
  <c r="Q1509" i="1"/>
  <c r="Q1734" i="1"/>
  <c r="Q2013" i="1"/>
  <c r="Q1882" i="1"/>
  <c r="Q1867" i="1"/>
  <c r="Q1844" i="1"/>
  <c r="Q1871" i="1"/>
  <c r="Q1848" i="1"/>
  <c r="Q2334" i="1"/>
  <c r="Q1593" i="1"/>
  <c r="Q1869" i="1"/>
  <c r="Q1770" i="1"/>
  <c r="Q1515" i="1"/>
  <c r="Q2014" i="1"/>
  <c r="Q1581" i="1"/>
  <c r="Q1667" i="1"/>
  <c r="Q1652" i="1"/>
  <c r="Q2191" i="1"/>
  <c r="Q2034" i="1"/>
  <c r="Q2203" i="1"/>
  <c r="Q1796" i="1"/>
  <c r="Q1691" i="1"/>
  <c r="Q1800" i="1"/>
  <c r="Q1763" i="1"/>
  <c r="Q1681" i="1"/>
  <c r="Q2149" i="1"/>
  <c r="Q1862" i="1"/>
  <c r="Q1914" i="1"/>
  <c r="Q1579" i="1"/>
  <c r="Q2155" i="1"/>
  <c r="Q2201" i="1"/>
  <c r="Q1595" i="1"/>
  <c r="Q2159" i="1"/>
  <c r="Q2205" i="1"/>
  <c r="Q1715" i="1"/>
  <c r="Q2001" i="1"/>
  <c r="Q1957" i="1"/>
  <c r="Q1977" i="1"/>
  <c r="Q1645" i="1"/>
  <c r="Q1482" i="1"/>
  <c r="Q1994" i="1"/>
  <c r="Q1723" i="1"/>
  <c r="Q2235" i="1"/>
  <c r="Q2281" i="1"/>
  <c r="Q1727" i="1"/>
  <c r="Q2239" i="1"/>
  <c r="Q2285" i="1"/>
  <c r="Q1795" i="1"/>
  <c r="Q2307" i="1"/>
  <c r="Q2275" i="1"/>
  <c r="Q1548" i="1"/>
  <c r="Q2385" i="1"/>
  <c r="Q1927" i="1"/>
  <c r="Q1648" i="1"/>
  <c r="Q2485" i="1"/>
  <c r="Q2957" i="1"/>
  <c r="Q3469" i="1"/>
  <c r="Q2430" i="1"/>
  <c r="Q2942" i="1"/>
  <c r="Q2977" i="1"/>
  <c r="Q3489" i="1"/>
  <c r="Q2450" i="1"/>
  <c r="Q2962" i="1"/>
  <c r="Q3001" i="1"/>
  <c r="Q1628" i="1"/>
  <c r="Q2465" i="1"/>
  <c r="Q2007" i="1"/>
  <c r="Q1728" i="1"/>
  <c r="Q2565" i="1"/>
  <c r="Q3037" i="1"/>
  <c r="Q3549" i="1"/>
  <c r="Q2510" i="1"/>
  <c r="Q3022" i="1"/>
  <c r="Q3057" i="1"/>
  <c r="Q3569" i="1"/>
  <c r="Q2530" i="1"/>
  <c r="Q3042" i="1"/>
  <c r="Q3081" i="1"/>
  <c r="Q1644" i="1"/>
  <c r="Q2481" i="1"/>
  <c r="Q2023" i="1"/>
  <c r="Q1744" i="1"/>
  <c r="Q2581" i="1"/>
  <c r="Q3053" i="1"/>
  <c r="Q3565" i="1"/>
  <c r="Q2526" i="1"/>
  <c r="Q3038" i="1"/>
  <c r="Q3073" i="1"/>
  <c r="Q3585" i="1"/>
  <c r="Q2546" i="1"/>
  <c r="Q3058" i="1"/>
  <c r="Q3097" i="1"/>
  <c r="Q1596" i="1"/>
  <c r="Q2433" i="1"/>
  <c r="Q1975" i="1"/>
  <c r="Q1696" i="1"/>
  <c r="Q2533" i="1"/>
  <c r="Q3005" i="1"/>
  <c r="Q3517" i="1"/>
  <c r="Q2478" i="1"/>
  <c r="Q2990" i="1"/>
  <c r="Q3025" i="1"/>
  <c r="Q3537" i="1"/>
  <c r="Q2498" i="1"/>
  <c r="Q3010" i="1"/>
  <c r="Q2093" i="1"/>
  <c r="Q2330" i="1"/>
  <c r="Q2617" i="1"/>
  <c r="Q1483" i="1"/>
  <c r="Q1551" i="1"/>
  <c r="Q1527" i="1"/>
  <c r="Q1834" i="1"/>
  <c r="Q2075" i="1"/>
  <c r="Q1604" i="1"/>
  <c r="Q2441" i="1"/>
  <c r="Q1887" i="1"/>
  <c r="Q1608" i="1"/>
  <c r="Q2445" i="1"/>
  <c r="Q1955" i="1"/>
  <c r="Q1615" i="1"/>
  <c r="Q1571" i="1"/>
  <c r="Q1591" i="1"/>
  <c r="Q2141" i="1"/>
  <c r="Q1850" i="1"/>
  <c r="Q2091" i="1"/>
  <c r="Q1812" i="1"/>
  <c r="Q2095" i="1"/>
  <c r="Q1816" i="1"/>
  <c r="Q1611" i="1"/>
  <c r="Q1745" i="1"/>
  <c r="Q1701" i="1"/>
  <c r="Q1721" i="1"/>
  <c r="Q1565" i="1"/>
  <c r="Q1930" i="1"/>
  <c r="Q1643" i="1"/>
  <c r="Q2171" i="1"/>
  <c r="Q2217" i="1"/>
  <c r="Q1651" i="1"/>
  <c r="Q2175" i="1"/>
  <c r="Q2221" i="1"/>
  <c r="Q1731" i="1"/>
  <c r="Q2243" i="1"/>
  <c r="Q2195" i="1"/>
  <c r="Q1484" i="1"/>
  <c r="Q1710" i="1"/>
  <c r="Q2306" i="1"/>
  <c r="Q1485" i="1"/>
  <c r="Q2081" i="1"/>
  <c r="Q1790" i="1"/>
  <c r="Q1473" i="1"/>
  <c r="Q1870" i="1"/>
  <c r="Q2045" i="1"/>
  <c r="Q1854" i="1"/>
  <c r="Q2113" i="1"/>
  <c r="Q1535" i="1"/>
  <c r="Q1890" i="1"/>
  <c r="Q2089" i="1"/>
  <c r="Q2294" i="1"/>
  <c r="Q2109" i="1"/>
  <c r="Q1497" i="1"/>
  <c r="Q1714" i="1"/>
  <c r="Q2246" i="1"/>
  <c r="Q2189" i="1"/>
  <c r="Q2138" i="1"/>
  <c r="Q1995" i="1"/>
  <c r="Q2425" i="1"/>
  <c r="Q1999" i="1"/>
  <c r="Q2429" i="1"/>
  <c r="Q1573" i="1"/>
  <c r="Q1798" i="1"/>
  <c r="Q2029" i="1"/>
  <c r="Q1898" i="1"/>
  <c r="Q1883" i="1"/>
  <c r="Q1765" i="1"/>
  <c r="Q1931" i="1"/>
  <c r="Q2233" i="1"/>
  <c r="Q1849" i="1"/>
  <c r="Q1962" i="1"/>
  <c r="Q2249" i="1"/>
  <c r="Q1951" i="1"/>
  <c r="Q2253" i="1"/>
  <c r="Q2193" i="1"/>
  <c r="Q1842" i="1"/>
  <c r="Q1549" i="1"/>
  <c r="Q1530" i="1"/>
  <c r="Q2042" i="1"/>
  <c r="Q1771" i="1"/>
  <c r="Q2283" i="1"/>
  <c r="Q1492" i="1"/>
  <c r="Q2329" i="1"/>
  <c r="Q1775" i="1"/>
  <c r="Q2287" i="1"/>
  <c r="Q1496" i="1"/>
  <c r="Q2333" i="1"/>
  <c r="Q1843" i="1"/>
  <c r="Q1694" i="1"/>
  <c r="Q1650" i="1"/>
  <c r="Q1670" i="1"/>
  <c r="Q1821" i="1"/>
  <c r="Q1610" i="1"/>
  <c r="Q2122" i="1"/>
  <c r="Q1851" i="1"/>
  <c r="Q1572" i="1"/>
  <c r="Q2409" i="1"/>
  <c r="Q1855" i="1"/>
  <c r="Q1576" i="1"/>
  <c r="Q2413" i="1"/>
  <c r="Q1923" i="1"/>
  <c r="Q1676" i="1"/>
  <c r="Q2513" i="1"/>
  <c r="Q2055" i="1"/>
  <c r="Q1776" i="1"/>
  <c r="Q2613" i="1"/>
  <c r="Q3085" i="1"/>
  <c r="Q2558" i="1"/>
  <c r="Q3070" i="1"/>
  <c r="Q3105" i="1"/>
  <c r="Q2578" i="1"/>
  <c r="Q2593" i="1"/>
  <c r="Q3129" i="1"/>
  <c r="Q1756" i="1"/>
  <c r="Q1499" i="1"/>
  <c r="Q2135" i="1"/>
  <c r="Q1856" i="1"/>
  <c r="Q2653" i="1"/>
  <c r="Q3165" i="1"/>
  <c r="Q2638" i="1"/>
  <c r="Q2673" i="1"/>
  <c r="Q3185" i="1"/>
  <c r="Q2658" i="1"/>
  <c r="Q2697" i="1"/>
  <c r="Q3209" i="1"/>
  <c r="Q1772" i="1"/>
  <c r="Q1563" i="1"/>
  <c r="Q2151" i="1"/>
  <c r="Q1872" i="1"/>
  <c r="Q2669" i="1"/>
  <c r="Q3181" i="1"/>
  <c r="Q2654" i="1"/>
  <c r="Q2689" i="1"/>
  <c r="Q3201" i="1"/>
  <c r="Q2674" i="1"/>
  <c r="Q2713" i="1"/>
  <c r="Q3225" i="1"/>
  <c r="Q1724" i="1"/>
  <c r="Q2103" i="1"/>
  <c r="Q1824" i="1"/>
  <c r="Q2605" i="1"/>
  <c r="Q3133" i="1"/>
  <c r="Q2606" i="1"/>
  <c r="Q2641" i="1"/>
  <c r="Q3153" i="1"/>
  <c r="Q2626" i="1"/>
  <c r="Q2665" i="1"/>
  <c r="Q1502" i="1"/>
  <c r="Q1478" i="1"/>
  <c r="Q1562" i="1"/>
  <c r="Q1803" i="1"/>
  <c r="Q1524" i="1"/>
  <c r="Q1807" i="1"/>
  <c r="Q1528" i="1"/>
  <c r="Q1522" i="1"/>
  <c r="Q1773" i="1"/>
  <c r="Q2090" i="1"/>
  <c r="Q1732" i="1"/>
  <c r="Q2569" i="1"/>
  <c r="Q2015" i="1"/>
  <c r="Q1736" i="1"/>
  <c r="Q2573" i="1"/>
  <c r="Q1937" i="1"/>
  <c r="Q1893" i="1"/>
  <c r="Q1913" i="1"/>
  <c r="Q1629" i="1"/>
  <c r="Q1466" i="1"/>
  <c r="Q1978" i="1"/>
  <c r="Q1707" i="1"/>
  <c r="Q2219" i="1"/>
  <c r="Q2265" i="1"/>
  <c r="Q1711" i="1"/>
  <c r="Q2223" i="1"/>
  <c r="Q2269" i="1"/>
  <c r="Q1779" i="1"/>
  <c r="Q1741" i="1"/>
  <c r="Q1546" i="1"/>
  <c r="Q2058" i="1"/>
  <c r="Q1787" i="1"/>
  <c r="Q2299" i="1"/>
  <c r="Q1508" i="1"/>
  <c r="Q2345" i="1"/>
  <c r="Q1791" i="1"/>
  <c r="Q2303" i="1"/>
  <c r="Q1512" i="1"/>
  <c r="Q2349" i="1"/>
  <c r="Q1859" i="1"/>
  <c r="Q1612" i="1"/>
  <c r="Q2449" i="1"/>
  <c r="Q1991" i="1"/>
  <c r="Q1712" i="1"/>
  <c r="Q2549" i="1"/>
  <c r="Q3021" i="1"/>
  <c r="Q3533" i="1"/>
  <c r="Q2494" i="1"/>
  <c r="Q3006" i="1"/>
  <c r="Q3041" i="1"/>
  <c r="Q3553" i="1"/>
  <c r="Q2514" i="1"/>
  <c r="Q3026" i="1"/>
  <c r="Q3065" i="1"/>
  <c r="Q1692" i="1"/>
  <c r="Q2529" i="1"/>
  <c r="Q2071" i="1"/>
  <c r="Q1792" i="1"/>
  <c r="Q2629" i="1"/>
  <c r="Q3101" i="1"/>
  <c r="Q2574" i="1"/>
  <c r="Q2577" i="1"/>
  <c r="Q3121" i="1"/>
  <c r="Q2594" i="1"/>
  <c r="Q2625" i="1"/>
  <c r="Q3145" i="1"/>
  <c r="Q1708" i="1"/>
  <c r="Q2545" i="1"/>
  <c r="Q2087" i="1"/>
  <c r="Q1808" i="1"/>
  <c r="Q2561" i="1"/>
  <c r="Q3117" i="1"/>
  <c r="Q2590" i="1"/>
  <c r="Q2609" i="1"/>
  <c r="Q3137" i="1"/>
  <c r="Q2610" i="1"/>
  <c r="Q2649" i="1"/>
  <c r="Q3161" i="1"/>
  <c r="Q1660" i="1"/>
  <c r="Q2497" i="1"/>
  <c r="Q2039" i="1"/>
  <c r="Q1760" i="1"/>
  <c r="Q2597" i="1"/>
  <c r="Q3069" i="1"/>
  <c r="Q3581" i="1"/>
  <c r="Q2542" i="1"/>
  <c r="Q3054" i="1"/>
  <c r="Q3089" i="1"/>
  <c r="Q2562" i="1"/>
  <c r="Q3074" i="1"/>
  <c r="Q3113" i="1"/>
  <c r="Q2634" i="1"/>
  <c r="Q2741" i="1"/>
  <c r="Q3126" i="1"/>
  <c r="Q2619" i="1"/>
  <c r="Q3131" i="1"/>
  <c r="Q3141" i="1"/>
  <c r="Q3226" i="1"/>
  <c r="Q3082" i="1"/>
  <c r="Q3574" i="1"/>
  <c r="Q2555" i="1"/>
  <c r="Q3579" i="1"/>
  <c r="Q2885" i="1"/>
  <c r="Q2783" i="1"/>
  <c r="Q3295" i="1"/>
  <c r="Q3378" i="1"/>
  <c r="Q2359" i="1"/>
  <c r="Q2871" i="1"/>
  <c r="Q3383" i="1"/>
  <c r="Q1908" i="1"/>
  <c r="Q2376" i="1"/>
  <c r="Q2888" i="1"/>
  <c r="Q3400" i="1"/>
  <c r="Q3305" i="1"/>
  <c r="Q2778" i="1"/>
  <c r="Q3317" i="1"/>
  <c r="Q3270" i="1"/>
  <c r="Q2763" i="1"/>
  <c r="Q3275" i="1"/>
  <c r="Q3370" i="1"/>
  <c r="Q2351" i="1"/>
  <c r="Q2863" i="1"/>
  <c r="Q3375" i="1"/>
  <c r="Q1900" i="1"/>
  <c r="Q2518" i="1"/>
  <c r="Q3458" i="1"/>
  <c r="Q2321" i="1"/>
  <c r="Q2421" i="1"/>
  <c r="Q2878" i="1"/>
  <c r="Q2898" i="1"/>
  <c r="Q2401" i="1"/>
  <c r="Q2501" i="1"/>
  <c r="Q2958" i="1"/>
  <c r="Q2978" i="1"/>
  <c r="Q2417" i="1"/>
  <c r="Q2517" i="1"/>
  <c r="Q2974" i="1"/>
  <c r="Q2994" i="1"/>
  <c r="Q2369" i="1"/>
  <c r="Q2469" i="1"/>
  <c r="Q3453" i="1"/>
  <c r="Q2926" i="1"/>
  <c r="Q3473" i="1"/>
  <c r="Q2946" i="1"/>
  <c r="Q3273" i="1"/>
  <c r="Q2378" i="1"/>
  <c r="Q3018" i="1"/>
  <c r="Q3254" i="1"/>
  <c r="Q2491" i="1"/>
  <c r="Q3259" i="1"/>
  <c r="Q2621" i="1"/>
  <c r="Q3354" i="1"/>
  <c r="Q3049" i="1"/>
  <c r="Q2826" i="1"/>
  <c r="Q3067" i="1"/>
  <c r="Q2527" i="1"/>
  <c r="Q3167" i="1"/>
  <c r="Q2725" i="1"/>
  <c r="Q3250" i="1"/>
  <c r="Q2615" i="1"/>
  <c r="Q3255" i="1"/>
  <c r="Q3157" i="1"/>
  <c r="Q3235" i="1"/>
  <c r="Q2504" i="1"/>
  <c r="Q3144" i="1"/>
  <c r="Q2394" i="1"/>
  <c r="Q3034" i="1"/>
  <c r="Q3142" i="1"/>
  <c r="Q2507" i="1"/>
  <c r="Q3147" i="1"/>
  <c r="Q2693" i="1"/>
  <c r="Q3242" i="1"/>
  <c r="Q2607" i="1"/>
  <c r="Q3247" i="1"/>
  <c r="Q3045" i="1"/>
  <c r="Q3330" i="1"/>
  <c r="Q2567" i="1"/>
  <c r="Q3079" i="1"/>
  <c r="Q3591" i="1"/>
  <c r="Q2116" i="1"/>
  <c r="Q2531" i="1"/>
  <c r="Q2056" i="1"/>
  <c r="Q2584" i="1"/>
  <c r="Q3096" i="1"/>
  <c r="Q3241" i="1"/>
  <c r="Q2730" i="1"/>
  <c r="Q3125" i="1"/>
  <c r="Q3222" i="1"/>
  <c r="Q2715" i="1"/>
  <c r="Q3227" i="1"/>
  <c r="Q3525" i="1"/>
  <c r="Q3322" i="1"/>
  <c r="Q2815" i="1"/>
  <c r="Q3327" i="1"/>
  <c r="Q3410" i="1"/>
  <c r="Q2391" i="1"/>
  <c r="Q2903" i="1"/>
  <c r="Q3415" i="1"/>
  <c r="Q1940" i="1"/>
  <c r="Q2408" i="1"/>
  <c r="Q2920" i="1"/>
  <c r="Q3432" i="1"/>
  <c r="Q3529" i="1"/>
  <c r="Q2490" i="1"/>
  <c r="Q3002" i="1"/>
  <c r="Q2662" i="1"/>
  <c r="Q3494" i="1"/>
  <c r="Q2475" i="1"/>
  <c r="Q2987" i="1"/>
  <c r="Q3499" i="1"/>
  <c r="Q2024" i="1"/>
  <c r="Q3062" i="1"/>
  <c r="Q3594" i="1"/>
  <c r="Q2575" i="1"/>
  <c r="Q3087" i="1"/>
  <c r="Q2917" i="1"/>
  <c r="Q3170" i="1"/>
  <c r="Q2663" i="1"/>
  <c r="Q3175" i="1"/>
  <c r="Q2374" i="1"/>
  <c r="Q2915" i="1"/>
  <c r="Q2168" i="1"/>
  <c r="Q2680" i="1"/>
  <c r="Q3192" i="1"/>
  <c r="Q3310" i="1"/>
  <c r="Q3315" i="1"/>
  <c r="Q2268" i="1"/>
  <c r="Q2780" i="1"/>
  <c r="Q3292" i="1"/>
  <c r="Q2997" i="1"/>
  <c r="Q2683" i="1"/>
  <c r="Q3397" i="1"/>
  <c r="Q2335" i="1"/>
  <c r="Q2847" i="1"/>
  <c r="Q3359" i="1"/>
  <c r="Q1884" i="1"/>
  <c r="Q2454" i="1"/>
  <c r="Q3442" i="1"/>
  <c r="Q2423" i="1"/>
  <c r="Q2935" i="1"/>
  <c r="Q3447" i="1"/>
  <c r="Q1972" i="1"/>
  <c r="Q2440" i="1"/>
  <c r="Q2952" i="1"/>
  <c r="Q3464" i="1"/>
  <c r="Q3369" i="1"/>
  <c r="Q2842" i="1"/>
  <c r="Q3573" i="1"/>
  <c r="Q3334" i="1"/>
  <c r="Q2827" i="1"/>
  <c r="Q3339" i="1"/>
  <c r="Q2422" i="1"/>
  <c r="Q3434" i="1"/>
  <c r="Q2415" i="1"/>
  <c r="Q2927" i="1"/>
  <c r="Q3439" i="1"/>
  <c r="Q1964" i="1"/>
  <c r="Q2774" i="1"/>
  <c r="Q3522" i="1"/>
  <c r="Q2503" i="1"/>
  <c r="Q3015" i="1"/>
  <c r="Q3527" i="1"/>
  <c r="Q2052" i="1"/>
  <c r="Q2520" i="1"/>
  <c r="Q3032" i="1"/>
  <c r="Q3544" i="1"/>
  <c r="Q2666" i="1"/>
  <c r="Q2869" i="1"/>
  <c r="Q3158" i="1"/>
  <c r="Q2651" i="1"/>
  <c r="Q3163" i="1"/>
  <c r="Q3269" i="1"/>
  <c r="Q3258" i="1"/>
  <c r="Q2751" i="1"/>
  <c r="Q3263" i="1"/>
  <c r="Q3346" i="1"/>
  <c r="Q2839" i="1"/>
  <c r="Q3351" i="1"/>
  <c r="Q1876" i="1"/>
  <c r="Q2344" i="1"/>
  <c r="Q2856" i="1"/>
  <c r="Q3368" i="1"/>
  <c r="Q3465" i="1"/>
  <c r="Q2426" i="1"/>
  <c r="Q2938" i="1"/>
  <c r="Q2406" i="1"/>
  <c r="Q3430" i="1"/>
  <c r="Q2411" i="1"/>
  <c r="Q2923" i="1"/>
  <c r="Q3435" i="1"/>
  <c r="Q1960" i="1"/>
  <c r="Q2806" i="1"/>
  <c r="Q3530" i="1"/>
  <c r="Q2511" i="1"/>
  <c r="Q3023" i="1"/>
  <c r="Q3535" i="1"/>
  <c r="Q2661" i="1"/>
  <c r="Q3106" i="1"/>
  <c r="Q2599" i="1"/>
  <c r="Q3111" i="1"/>
  <c r="Q2901" i="1"/>
  <c r="Q2659" i="1"/>
  <c r="Q2096" i="1"/>
  <c r="Q2616" i="1"/>
  <c r="Q3128" i="1"/>
  <c r="Q2950" i="1"/>
  <c r="Q3059" i="1"/>
  <c r="Q2204" i="1"/>
  <c r="Q2716" i="1"/>
  <c r="Q3228" i="1"/>
  <c r="Q3518" i="1"/>
  <c r="Q3523" i="1"/>
  <c r="Q2320" i="1"/>
  <c r="Q2832" i="1"/>
  <c r="Q3344" i="1"/>
  <c r="Q3285" i="1"/>
  <c r="Q2128" i="1"/>
  <c r="Q3152" i="1"/>
  <c r="Q3214" i="1"/>
  <c r="Q2000" i="1"/>
  <c r="Q2564" i="1"/>
  <c r="Q3076" i="1"/>
  <c r="Q3588" i="1"/>
  <c r="Q1401" i="1"/>
  <c r="Q3374" i="1"/>
  <c r="Q3379" i="1"/>
  <c r="Q2284" i="1"/>
  <c r="Q2796" i="1"/>
  <c r="Q3308" i="1"/>
  <c r="Q1863" i="1"/>
  <c r="Q2893" i="1"/>
  <c r="Q2913" i="1"/>
  <c r="Q2937" i="1"/>
  <c r="Q1943" i="1"/>
  <c r="Q2973" i="1"/>
  <c r="Q2993" i="1"/>
  <c r="Q3017" i="1"/>
  <c r="Q1959" i="1"/>
  <c r="Q2989" i="1"/>
  <c r="Q3009" i="1"/>
  <c r="Q3033" i="1"/>
  <c r="Q1783" i="1"/>
  <c r="Q1504" i="1"/>
  <c r="Q2813" i="1"/>
  <c r="Q2833" i="1"/>
  <c r="Q2729" i="1"/>
  <c r="Q3417" i="1"/>
  <c r="Q2506" i="1"/>
  <c r="Q3253" i="1"/>
  <c r="Q3382" i="1"/>
  <c r="Q2747" i="1"/>
  <c r="Q3387" i="1"/>
  <c r="Q3482" i="1"/>
  <c r="Q3353" i="1"/>
  <c r="Q3509" i="1"/>
  <c r="Q3323" i="1"/>
  <c r="Q2358" i="1"/>
  <c r="Q2655" i="1"/>
  <c r="Q3423" i="1"/>
  <c r="Q3237" i="1"/>
  <c r="Q3506" i="1"/>
  <c r="Q2743" i="1"/>
  <c r="Q3511" i="1"/>
  <c r="Q3230" i="1"/>
  <c r="Q2632" i="1"/>
  <c r="Q3272" i="1"/>
  <c r="Q3433" i="1"/>
  <c r="Q2522" i="1"/>
  <c r="Q2805" i="1"/>
  <c r="Q3398" i="1"/>
  <c r="Q2635" i="1"/>
  <c r="Q3403" i="1"/>
  <c r="Q3205" i="1"/>
  <c r="Q3498" i="1"/>
  <c r="Q2735" i="1"/>
  <c r="Q3503" i="1"/>
  <c r="Q3557" i="1"/>
  <c r="Q3586" i="1"/>
  <c r="Q2695" i="1"/>
  <c r="Q3207" i="1"/>
  <c r="Q2886" i="1"/>
  <c r="Q3043" i="1"/>
  <c r="Q2200" i="1"/>
  <c r="Q2712" i="1"/>
  <c r="Q3224" i="1"/>
  <c r="Q3385" i="1"/>
  <c r="Q2858" i="1"/>
  <c r="Q3350" i="1"/>
  <c r="Q2331" i="1"/>
  <c r="Q2843" i="1"/>
  <c r="Q3355" i="1"/>
  <c r="Q1880" i="1"/>
  <c r="Q2486" i="1"/>
  <c r="Q3450" i="1"/>
  <c r="Q2431" i="1"/>
  <c r="Q2943" i="1"/>
  <c r="Q3455" i="1"/>
  <c r="Q1980" i="1"/>
  <c r="Q2838" i="1"/>
  <c r="Q3538" i="1"/>
  <c r="Q2519" i="1"/>
  <c r="Q3031" i="1"/>
  <c r="Q3543" i="1"/>
  <c r="Q2068" i="1"/>
  <c r="Q2339" i="1"/>
  <c r="Q1888" i="1"/>
  <c r="Q2536" i="1"/>
  <c r="Q3048" i="1"/>
  <c r="Q3560" i="1"/>
  <c r="Q2618" i="1"/>
  <c r="Q2677" i="1"/>
  <c r="Q3110" i="1"/>
  <c r="Q2603" i="1"/>
  <c r="Q3115" i="1"/>
  <c r="Q3077" i="1"/>
  <c r="Q3210" i="1"/>
  <c r="Q2703" i="1"/>
  <c r="Q3215" i="1"/>
  <c r="Q3429" i="1"/>
  <c r="Q3298" i="1"/>
  <c r="Q2791" i="1"/>
  <c r="Q3303" i="1"/>
  <c r="Q3422" i="1"/>
  <c r="Q3427" i="1"/>
  <c r="Q2296" i="1"/>
  <c r="Q2808" i="1"/>
  <c r="Q3320" i="1"/>
  <c r="Q2396" i="1"/>
  <c r="Q2908" i="1"/>
  <c r="Q3420" i="1"/>
  <c r="Q2921" i="1"/>
  <c r="Q2442" i="1"/>
  <c r="Q2470" i="1"/>
  <c r="Q2939" i="1"/>
  <c r="Q2870" i="1"/>
  <c r="Q2463" i="1"/>
  <c r="Q2975" i="1"/>
  <c r="Q3487" i="1"/>
  <c r="Q2012" i="1"/>
  <c r="Q2966" i="1"/>
  <c r="Q3570" i="1"/>
  <c r="Q2551" i="1"/>
  <c r="Q3063" i="1"/>
  <c r="Q3575" i="1"/>
  <c r="Q2100" i="1"/>
  <c r="Q2467" i="1"/>
  <c r="Q2016" i="1"/>
  <c r="Q2568" i="1"/>
  <c r="Q3080" i="1"/>
  <c r="Q3592" i="1"/>
  <c r="Q3497" i="1"/>
  <c r="Q2458" i="1"/>
  <c r="Q2970" i="1"/>
  <c r="Q2534" i="1"/>
  <c r="Q3462" i="1"/>
  <c r="Q2443" i="1"/>
  <c r="Q2955" i="1"/>
  <c r="Q3467" i="1"/>
  <c r="Q1992" i="1"/>
  <c r="Q2934" i="1"/>
  <c r="Q3562" i="1"/>
  <c r="Q2543" i="1"/>
  <c r="Q3055" i="1"/>
  <c r="Q3567" i="1"/>
  <c r="Q2789" i="1"/>
  <c r="Q3138" i="1"/>
  <c r="Q2631" i="1"/>
  <c r="Q3143" i="1"/>
  <c r="Q3413" i="1"/>
  <c r="Q2787" i="1"/>
  <c r="Q2136" i="1"/>
  <c r="Q2648" i="1"/>
  <c r="Q3160" i="1"/>
  <c r="Q3321" i="1"/>
  <c r="Q2794" i="1"/>
  <c r="Q3381" i="1"/>
  <c r="Q3286" i="1"/>
  <c r="Q2779" i="1"/>
  <c r="Q3291" i="1"/>
  <c r="Q3386" i="1"/>
  <c r="Q2367" i="1"/>
  <c r="Q2879" i="1"/>
  <c r="Q3391" i="1"/>
  <c r="Q1916" i="1"/>
  <c r="Q2582" i="1"/>
  <c r="Q3474" i="1"/>
  <c r="Q2455" i="1"/>
  <c r="Q2967" i="1"/>
  <c r="Q3479" i="1"/>
  <c r="Q2004" i="1"/>
  <c r="Q2472" i="1"/>
  <c r="Q2984" i="1"/>
  <c r="Q3496" i="1"/>
  <c r="Q3593" i="1"/>
  <c r="Q2554" i="1"/>
  <c r="Q3066" i="1"/>
  <c r="Q2918" i="1"/>
  <c r="Q3558" i="1"/>
  <c r="Q2539" i="1"/>
  <c r="Q3051" i="1"/>
  <c r="Q3563" i="1"/>
  <c r="Q2821" i="1"/>
  <c r="Q3146" i="1"/>
  <c r="Q2639" i="1"/>
  <c r="Q3151" i="1"/>
  <c r="Q3173" i="1"/>
  <c r="Q3234" i="1"/>
  <c r="Q2727" i="1"/>
  <c r="Q3239" i="1"/>
  <c r="Q3166" i="1"/>
  <c r="Q3171" i="1"/>
  <c r="Q2232" i="1"/>
  <c r="Q2744" i="1"/>
  <c r="Q3256" i="1"/>
  <c r="Q3566" i="1"/>
  <c r="Q3571" i="1"/>
  <c r="Q2332" i="1"/>
  <c r="Q2844" i="1"/>
  <c r="Q3356" i="1"/>
  <c r="Q2448" i="1"/>
  <c r="Q2960" i="1"/>
  <c r="Q3472" i="1"/>
  <c r="Q2451" i="1"/>
  <c r="Q2384" i="1"/>
  <c r="Q3408" i="1"/>
  <c r="Q1139" i="1"/>
  <c r="Q2180" i="1"/>
  <c r="Q2692" i="1"/>
  <c r="Q3204" i="1"/>
  <c r="Q2412" i="1"/>
  <c r="Q2924" i="1"/>
  <c r="Q3436" i="1"/>
  <c r="Q3405" i="1"/>
  <c r="Q3425" i="1"/>
  <c r="Q2291" i="1"/>
  <c r="Q3485" i="1"/>
  <c r="Q3505" i="1"/>
  <c r="Q2323" i="1"/>
  <c r="Q3501" i="1"/>
  <c r="Q3521" i="1"/>
  <c r="Q2259" i="1"/>
  <c r="Q1911" i="1"/>
  <c r="Q1632" i="1"/>
  <c r="Q2941" i="1"/>
  <c r="Q2414" i="1"/>
  <c r="Q2961" i="1"/>
  <c r="Q2434" i="1"/>
  <c r="Q2857" i="1"/>
  <c r="Q3545" i="1"/>
  <c r="Q2762" i="1"/>
  <c r="Q3510" i="1"/>
  <c r="Q2875" i="1"/>
  <c r="Q3515" i="1"/>
  <c r="Q2614" i="1"/>
  <c r="Q2982" i="1"/>
  <c r="Q3162" i="1"/>
  <c r="Q2911" i="1"/>
  <c r="Q3551" i="1"/>
  <c r="Q2710" i="1"/>
  <c r="Q2999" i="1"/>
  <c r="Q2120" i="1"/>
  <c r="Q2760" i="1"/>
  <c r="Q3528" i="1"/>
  <c r="Q3561" i="1"/>
  <c r="Q2650" i="1"/>
  <c r="Q3526" i="1"/>
  <c r="Q2891" i="1"/>
  <c r="Q3531" i="1"/>
  <c r="Q2678" i="1"/>
  <c r="Q2991" i="1"/>
  <c r="Q3030" i="1"/>
  <c r="Q2823" i="1"/>
  <c r="Q3335" i="1"/>
  <c r="Q3550" i="1"/>
  <c r="Q3555" i="1"/>
  <c r="Q2328" i="1"/>
  <c r="Q2840" i="1"/>
  <c r="Q3352" i="1"/>
  <c r="Q3513" i="1"/>
  <c r="Q2474" i="1"/>
  <c r="Q2986" i="1"/>
  <c r="Q2598" i="1"/>
  <c r="Q3478" i="1"/>
  <c r="Q2459" i="1"/>
  <c r="Q2971" i="1"/>
  <c r="Q3483" i="1"/>
  <c r="Q2008" i="1"/>
  <c r="Q2998" i="1"/>
  <c r="Q3578" i="1"/>
  <c r="Q2559" i="1"/>
  <c r="Q3071" i="1"/>
  <c r="Q3583" i="1"/>
  <c r="Q2853" i="1"/>
  <c r="Q3154" i="1"/>
  <c r="Q2647" i="1"/>
  <c r="Q3159" i="1"/>
  <c r="Q2851" i="1"/>
  <c r="Q2152" i="1"/>
  <c r="Q2664" i="1"/>
  <c r="Q3176" i="1"/>
  <c r="Q3257" i="1"/>
  <c r="Q2746" i="1"/>
  <c r="Q3189" i="1"/>
  <c r="Q3238" i="1"/>
  <c r="Q2731" i="1"/>
  <c r="Q3243" i="1"/>
  <c r="Q3589" i="1"/>
  <c r="Q3338" i="1"/>
  <c r="Q2831" i="1"/>
  <c r="Q3343" i="1"/>
  <c r="Q2390" i="1"/>
  <c r="Q3426" i="1"/>
  <c r="Q2407" i="1"/>
  <c r="Q2919" i="1"/>
  <c r="Q3431" i="1"/>
  <c r="Q1956" i="1"/>
  <c r="Q2424" i="1"/>
  <c r="Q2936" i="1"/>
  <c r="Q3448" i="1"/>
  <c r="Q2524" i="1"/>
  <c r="Q3036" i="1"/>
  <c r="Q3548" i="1"/>
  <c r="Q3177" i="1"/>
  <c r="Q2698" i="1"/>
  <c r="Q3190" i="1"/>
  <c r="Q3195" i="1"/>
  <c r="Q3290" i="1"/>
  <c r="Q2591" i="1"/>
  <c r="Q3103" i="1"/>
  <c r="Q2981" i="1"/>
  <c r="Q3186" i="1"/>
  <c r="Q2679" i="1"/>
  <c r="Q3191" i="1"/>
  <c r="Q2630" i="1"/>
  <c r="Q2979" i="1"/>
  <c r="Q2184" i="1"/>
  <c r="Q2696" i="1"/>
  <c r="Q3208" i="1"/>
  <c r="Q2586" i="1"/>
  <c r="Q3098" i="1"/>
  <c r="Q3046" i="1"/>
  <c r="Q3590" i="1"/>
  <c r="Q2571" i="1"/>
  <c r="Q3083" i="1"/>
  <c r="Q3595" i="1"/>
  <c r="Q2949" i="1"/>
  <c r="Q3178" i="1"/>
  <c r="Q2671" i="1"/>
  <c r="Q3183" i="1"/>
  <c r="Q3301" i="1"/>
  <c r="Q3266" i="1"/>
  <c r="Q2759" i="1"/>
  <c r="Q3271" i="1"/>
  <c r="Q3294" i="1"/>
  <c r="Q3299" i="1"/>
  <c r="Q2264" i="1"/>
  <c r="Q2776" i="1"/>
  <c r="Q3288" i="1"/>
  <c r="Q3449" i="1"/>
  <c r="Q2410" i="1"/>
  <c r="Q2922" i="1"/>
  <c r="Q3414" i="1"/>
  <c r="Q2395" i="1"/>
  <c r="Q2907" i="1"/>
  <c r="Q3419" i="1"/>
  <c r="Q1944" i="1"/>
  <c r="Q2742" i="1"/>
  <c r="Q3514" i="1"/>
  <c r="Q2495" i="1"/>
  <c r="Q3007" i="1"/>
  <c r="Q3519" i="1"/>
  <c r="Q2044" i="1"/>
  <c r="Q3086" i="1"/>
  <c r="Q2583" i="1"/>
  <c r="Q3095" i="1"/>
  <c r="Q2645" i="1"/>
  <c r="Q2595" i="1"/>
  <c r="Q2076" i="1"/>
  <c r="Q2600" i="1"/>
  <c r="Q3112" i="1"/>
  <c r="Q2682" i="1"/>
  <c r="Q2933" i="1"/>
  <c r="Q3174" i="1"/>
  <c r="Q2667" i="1"/>
  <c r="Q3179" i="1"/>
  <c r="Q3333" i="1"/>
  <c r="Q3274" i="1"/>
  <c r="Q2767" i="1"/>
  <c r="Q3279" i="1"/>
  <c r="Q3362" i="1"/>
  <c r="Q2343" i="1"/>
  <c r="Q2855" i="1"/>
  <c r="Q3367" i="1"/>
  <c r="Q1892" i="1"/>
  <c r="Q2360" i="1"/>
  <c r="Q2872" i="1"/>
  <c r="Q3384" i="1"/>
  <c r="Q2460" i="1"/>
  <c r="Q2972" i="1"/>
  <c r="Q3484" i="1"/>
  <c r="Q2499" i="1"/>
  <c r="Q2040" i="1"/>
  <c r="Q2576" i="1"/>
  <c r="Q3088" i="1"/>
  <c r="Q2566" i="1"/>
  <c r="Q2963" i="1"/>
  <c r="Q2755" i="1"/>
  <c r="Q2640" i="1"/>
  <c r="Q3219" i="1"/>
  <c r="Q2308" i="1"/>
  <c r="Q2820" i="1"/>
  <c r="Q3332" i="1"/>
  <c r="Q551" i="1"/>
  <c r="Q2355" i="1"/>
  <c r="Q1904" i="1"/>
  <c r="Q2540" i="1"/>
  <c r="Q3052" i="1"/>
  <c r="Q3564" i="1"/>
  <c r="Q3541" i="1"/>
  <c r="Q2819" i="1"/>
  <c r="Q2144" i="1"/>
  <c r="Q2656" i="1"/>
  <c r="Q3168" i="1"/>
  <c r="Q387" i="1"/>
  <c r="Q3278" i="1"/>
  <c r="Q3283" i="1"/>
  <c r="Q2260" i="1"/>
  <c r="Q1584" i="1"/>
  <c r="Q2366" i="1"/>
  <c r="Q2386" i="1"/>
  <c r="Q1564" i="1"/>
  <c r="Q1664" i="1"/>
  <c r="Q2446" i="1"/>
  <c r="Q2466" i="1"/>
  <c r="Q1580" i="1"/>
  <c r="Q1680" i="1"/>
  <c r="Q2462" i="1"/>
  <c r="Q2482" i="1"/>
  <c r="Q1532" i="1"/>
  <c r="Q2295" i="1"/>
  <c r="Q2341" i="1"/>
  <c r="Q3325" i="1"/>
  <c r="Q2798" i="1"/>
  <c r="Q3345" i="1"/>
  <c r="Q2818" i="1"/>
  <c r="Q2985" i="1"/>
  <c r="Q2890" i="1"/>
  <c r="Q2726" i="1"/>
  <c r="Q2363" i="1"/>
  <c r="Q3003" i="1"/>
  <c r="Q1912" i="1"/>
  <c r="Q3094" i="1"/>
  <c r="Q2570" i="1"/>
  <c r="Q3318" i="1"/>
  <c r="Q2811" i="1"/>
  <c r="Q3418" i="1"/>
  <c r="Q2399" i="1"/>
  <c r="Q3039" i="1"/>
  <c r="Q1948" i="1"/>
  <c r="Q3122" i="1"/>
  <c r="Q2487" i="1"/>
  <c r="Q3127" i="1"/>
  <c r="Q2036" i="1"/>
  <c r="Q2723" i="1"/>
  <c r="Q2248" i="1"/>
  <c r="Q3016" i="1"/>
  <c r="Q2906" i="1"/>
  <c r="Q2790" i="1"/>
  <c r="Q2379" i="1"/>
  <c r="Q3019" i="1"/>
  <c r="Q1928" i="1"/>
  <c r="Q3114" i="1"/>
  <c r="Q2479" i="1"/>
  <c r="Q3119" i="1"/>
  <c r="Q2028" i="1"/>
  <c r="Q3202" i="1"/>
  <c r="Q2439" i="1"/>
  <c r="Q2951" i="1"/>
  <c r="Q3463" i="1"/>
  <c r="Q1988" i="1"/>
  <c r="Q2456" i="1"/>
  <c r="Q2968" i="1"/>
  <c r="Q3480" i="1"/>
  <c r="Q2602" i="1"/>
  <c r="Q2589" i="1"/>
  <c r="Q3090" i="1"/>
  <c r="Q2587" i="1"/>
  <c r="Q3099" i="1"/>
  <c r="Q3013" i="1"/>
  <c r="Q3194" i="1"/>
  <c r="Q2687" i="1"/>
  <c r="Q3199" i="1"/>
  <c r="Q3365" i="1"/>
  <c r="Q3282" i="1"/>
  <c r="Q2775" i="1"/>
  <c r="Q3287" i="1"/>
  <c r="Q3358" i="1"/>
  <c r="Q3363" i="1"/>
  <c r="Q2280" i="1"/>
  <c r="Q2792" i="1"/>
  <c r="Q3304" i="1"/>
  <c r="Q3401" i="1"/>
  <c r="Q2362" i="1"/>
  <c r="Q2874" i="1"/>
  <c r="Q3366" i="1"/>
  <c r="Q2347" i="1"/>
  <c r="Q2859" i="1"/>
  <c r="Q3371" i="1"/>
  <c r="Q1896" i="1"/>
  <c r="Q2550" i="1"/>
  <c r="Q3466" i="1"/>
  <c r="Q2447" i="1"/>
  <c r="Q2959" i="1"/>
  <c r="Q3471" i="1"/>
  <c r="Q1996" i="1"/>
  <c r="Q2902" i="1"/>
  <c r="Q3554" i="1"/>
  <c r="Q2535" i="1"/>
  <c r="Q3047" i="1"/>
  <c r="Q3559" i="1"/>
  <c r="Q2084" i="1"/>
  <c r="Q2403" i="1"/>
  <c r="Q1952" i="1"/>
  <c r="Q2552" i="1"/>
  <c r="Q3064" i="1"/>
  <c r="Q3576" i="1"/>
  <c r="Q3477" i="1"/>
  <c r="Q2803" i="1"/>
  <c r="Q2140" i="1"/>
  <c r="Q2652" i="1"/>
  <c r="Q3164" i="1"/>
  <c r="Q3481" i="1"/>
  <c r="Q2954" i="1"/>
  <c r="Q3446" i="1"/>
  <c r="Q2427" i="1"/>
  <c r="Q3451" i="1"/>
  <c r="Q1976" i="1"/>
  <c r="Q3546" i="1"/>
  <c r="Q2719" i="1"/>
  <c r="Q3231" i="1"/>
  <c r="Q3493" i="1"/>
  <c r="Q3314" i="1"/>
  <c r="Q2807" i="1"/>
  <c r="Q3319" i="1"/>
  <c r="Q3486" i="1"/>
  <c r="Q3491" i="1"/>
  <c r="Q2312" i="1"/>
  <c r="Q2824" i="1"/>
  <c r="Q3336" i="1"/>
  <c r="Q3193" i="1"/>
  <c r="Q2714" i="1"/>
  <c r="Q3061" i="1"/>
  <c r="Q3206" i="1"/>
  <c r="Q2699" i="1"/>
  <c r="Q3211" i="1"/>
  <c r="Q3461" i="1"/>
  <c r="Q3306" i="1"/>
  <c r="Q2799" i="1"/>
  <c r="Q3311" i="1"/>
  <c r="Q3394" i="1"/>
  <c r="Q2375" i="1"/>
  <c r="Q2887" i="1"/>
  <c r="Q3399" i="1"/>
  <c r="Q1924" i="1"/>
  <c r="Q217" i="1"/>
  <c r="Q2392" i="1"/>
  <c r="Q2904" i="1"/>
  <c r="Q3416" i="1"/>
  <c r="Q3577" i="1"/>
  <c r="Q2538" i="1"/>
  <c r="Q3050" i="1"/>
  <c r="Q2854" i="1"/>
  <c r="Q3542" i="1"/>
  <c r="Q2523" i="1"/>
  <c r="Q3035" i="1"/>
  <c r="Q3547" i="1"/>
  <c r="Q2757" i="1"/>
  <c r="Q3130" i="1"/>
  <c r="Q2623" i="1"/>
  <c r="Q3135" i="1"/>
  <c r="Q3109" i="1"/>
  <c r="Q3218" i="1"/>
  <c r="Q2711" i="1"/>
  <c r="Q3223" i="1"/>
  <c r="Q3102" i="1"/>
  <c r="Q3107" i="1"/>
  <c r="Q2216" i="1"/>
  <c r="Q2728" i="1"/>
  <c r="Q3240" i="1"/>
  <c r="Q3337" i="1"/>
  <c r="Q2810" i="1"/>
  <c r="Q3445" i="1"/>
  <c r="Q3302" i="1"/>
  <c r="Q2795" i="1"/>
  <c r="Q3307" i="1"/>
  <c r="Q3402" i="1"/>
  <c r="Q2383" i="1"/>
  <c r="Q2895" i="1"/>
  <c r="Q3407" i="1"/>
  <c r="Q1932" i="1"/>
  <c r="Q2646" i="1"/>
  <c r="Q3490" i="1"/>
  <c r="Q2471" i="1"/>
  <c r="Q2983" i="1"/>
  <c r="Q3495" i="1"/>
  <c r="Q2020" i="1"/>
  <c r="Q2488" i="1"/>
  <c r="Q3000" i="1"/>
  <c r="Q3512" i="1"/>
  <c r="Q2547" i="1"/>
  <c r="Q2060" i="1"/>
  <c r="Q2588" i="1"/>
  <c r="Q3100" i="1"/>
  <c r="Q2758" i="1"/>
  <c r="Q3011" i="1"/>
  <c r="Q2192" i="1"/>
  <c r="Q2704" i="1"/>
  <c r="Q3216" i="1"/>
  <c r="Q3470" i="1"/>
  <c r="Q3475" i="1"/>
  <c r="Q2896" i="1"/>
  <c r="Q2436" i="1"/>
  <c r="Q2948" i="1"/>
  <c r="Q3460" i="1"/>
  <c r="Q1273" i="1"/>
  <c r="Q2867" i="1"/>
  <c r="Q2156" i="1"/>
  <c r="Q2668" i="1"/>
  <c r="Q3180" i="1"/>
  <c r="Q3326" i="1"/>
  <c r="Q3331" i="1"/>
  <c r="Q2272" i="1"/>
  <c r="Q2784" i="1"/>
  <c r="Q3296" i="1"/>
  <c r="Q2388" i="1"/>
  <c r="Q2900" i="1"/>
  <c r="Q3412" i="1"/>
  <c r="Q3221" i="1"/>
  <c r="Q2739" i="1"/>
  <c r="Q2124" i="1"/>
  <c r="Q2636" i="1"/>
  <c r="Q3148" i="1"/>
  <c r="Q3198" i="1"/>
  <c r="Q3203" i="1"/>
  <c r="Q2240" i="1"/>
  <c r="Q2752" i="1"/>
  <c r="Q3264" i="1"/>
  <c r="Q2356" i="1"/>
  <c r="Q2868" i="1"/>
  <c r="Q3380" i="1"/>
  <c r="Q2684" i="1"/>
  <c r="Q2800" i="1"/>
  <c r="Q2916" i="1"/>
  <c r="Q3187" i="1"/>
  <c r="Q711" i="1"/>
  <c r="Q3040" i="1"/>
  <c r="Q3349" i="1"/>
  <c r="Q2132" i="1"/>
  <c r="Q3028" i="1"/>
  <c r="Q3246" i="1"/>
  <c r="Q2508" i="1"/>
  <c r="Q3276" i="1"/>
  <c r="Q2624" i="1"/>
  <c r="Q3392" i="1"/>
  <c r="Q2092" i="1"/>
  <c r="Q2740" i="1"/>
  <c r="Q3508" i="1"/>
  <c r="Q2931" i="1"/>
  <c r="Q3312" i="1"/>
  <c r="Q3440" i="1"/>
  <c r="Q3182" i="1"/>
  <c r="Q2864" i="1"/>
  <c r="Q2788" i="1"/>
  <c r="Q2965" i="1"/>
  <c r="Q3132" i="1"/>
  <c r="Q3134" i="1"/>
  <c r="Q3248" i="1"/>
  <c r="Q3364" i="1"/>
  <c r="Q3262" i="1"/>
  <c r="Q2256" i="1"/>
  <c r="Q3280" i="1"/>
  <c r="Q2112" i="1"/>
  <c r="Q2628" i="1"/>
  <c r="Q3140" i="1"/>
  <c r="Q2348" i="1"/>
  <c r="Q2860" i="1"/>
  <c r="Q3372" i="1"/>
  <c r="Q2464" i="1"/>
  <c r="Q2976" i="1"/>
  <c r="Q3488" i="1"/>
  <c r="Q2515" i="1"/>
  <c r="Q2048" i="1"/>
  <c r="Q2580" i="1"/>
  <c r="Q3092" i="1"/>
  <c r="Q3502" i="1"/>
  <c r="Q3507" i="1"/>
  <c r="Q2316" i="1"/>
  <c r="Q2828" i="1"/>
  <c r="Q3340" i="1"/>
  <c r="Q2432" i="1"/>
  <c r="Q2944" i="1"/>
  <c r="Q3456" i="1"/>
  <c r="Q2387" i="1"/>
  <c r="Q1936" i="1"/>
  <c r="Q2548" i="1"/>
  <c r="Q3060" i="1"/>
  <c r="Q3572" i="1"/>
  <c r="Q3452" i="1"/>
  <c r="Q3568" i="1"/>
  <c r="Q3580" i="1"/>
  <c r="Q998" i="1"/>
  <c r="Q2773" i="1"/>
  <c r="Q3236" i="1"/>
  <c r="Q2928" i="1"/>
  <c r="Q2480" i="1"/>
  <c r="Q2400" i="1"/>
  <c r="Q3424" i="1"/>
  <c r="Q2516" i="1"/>
  <c r="Q3156" i="1"/>
  <c r="Q2764" i="1"/>
  <c r="Q3404" i="1"/>
  <c r="Q2108" i="1"/>
  <c r="Q2880" i="1"/>
  <c r="Q3520" i="1"/>
  <c r="Q2643" i="1"/>
  <c r="Q2228" i="1"/>
  <c r="Q2996" i="1"/>
  <c r="Q2172" i="1"/>
  <c r="Q3390" i="1"/>
  <c r="Q2404" i="1"/>
  <c r="Q3443" i="1"/>
  <c r="Q2236" i="1"/>
  <c r="Q3376" i="1"/>
  <c r="Q2468" i="1"/>
  <c r="Q2416" i="1"/>
  <c r="Q2675" i="1"/>
  <c r="Q3139" i="1"/>
  <c r="Q2512" i="1"/>
  <c r="Q3536" i="1"/>
  <c r="Q2707" i="1"/>
  <c r="Q2244" i="1"/>
  <c r="Q2756" i="1"/>
  <c r="Q3268" i="1"/>
  <c r="Q2476" i="1"/>
  <c r="Q2988" i="1"/>
  <c r="Q3500" i="1"/>
  <c r="Q2563" i="1"/>
  <c r="Q2064" i="1"/>
  <c r="Q2592" i="1"/>
  <c r="Q3104" i="1"/>
  <c r="Q2822" i="1"/>
  <c r="Q3027" i="1"/>
  <c r="Q2196" i="1"/>
  <c r="Q2708" i="1"/>
  <c r="Q3220" i="1"/>
  <c r="Q2444" i="1"/>
  <c r="Q2956" i="1"/>
  <c r="Q3468" i="1"/>
  <c r="Q2435" i="1"/>
  <c r="Q1984" i="1"/>
  <c r="Q2560" i="1"/>
  <c r="Q3072" i="1"/>
  <c r="Q3584" i="1"/>
  <c r="Q2899" i="1"/>
  <c r="Q2164" i="1"/>
  <c r="Q2676" i="1"/>
  <c r="Q3188" i="1"/>
  <c r="Q1920" i="1"/>
  <c r="Q2148" i="1"/>
  <c r="Q3556" i="1"/>
  <c r="Q3516" i="1"/>
  <c r="Q2627" i="1"/>
  <c r="Q3091" i="1"/>
  <c r="Q2556" i="1"/>
  <c r="Q2364" i="1"/>
  <c r="Q2528" i="1"/>
  <c r="Q3552" i="1"/>
  <c r="Q2771" i="1"/>
  <c r="Q2644" i="1"/>
  <c r="Q3284" i="1"/>
  <c r="Q2252" i="1"/>
  <c r="Q2892" i="1"/>
  <c r="Q3532" i="1"/>
  <c r="Q2691" i="1"/>
  <c r="Q2368" i="1"/>
  <c r="Q3008" i="1"/>
  <c r="Q2837" i="1"/>
  <c r="Q3155" i="1"/>
  <c r="Q2484" i="1"/>
  <c r="Q3124" i="1"/>
  <c r="Q3196" i="1"/>
  <c r="Q3395" i="1"/>
  <c r="Q3428" i="1"/>
  <c r="Q3068" i="1"/>
  <c r="Q2532" i="1"/>
  <c r="Q2748" i="1"/>
  <c r="Q2980" i="1"/>
  <c r="Q1968" i="1"/>
  <c r="Q2104" i="1"/>
  <c r="Q2224" i="1"/>
  <c r="Q2340" i="1"/>
  <c r="Q3267" i="1"/>
  <c r="Q2768" i="1"/>
  <c r="Q2372" i="1"/>
  <c r="Q2884" i="1"/>
  <c r="Q3396" i="1"/>
  <c r="Q2709" i="1"/>
  <c r="Q2611" i="1"/>
  <c r="Q2080" i="1"/>
  <c r="Q2604" i="1"/>
  <c r="Q3116" i="1"/>
  <c r="Q3014" i="1"/>
  <c r="Q3075" i="1"/>
  <c r="Q2208" i="1"/>
  <c r="Q2720" i="1"/>
  <c r="Q3232" i="1"/>
  <c r="Q3534" i="1"/>
  <c r="Q3539" i="1"/>
  <c r="Q2324" i="1"/>
  <c r="Q2836" i="1"/>
  <c r="Q3348" i="1"/>
  <c r="Q2483" i="1"/>
  <c r="Q2032" i="1"/>
  <c r="Q2572" i="1"/>
  <c r="Q3084" i="1"/>
  <c r="Q1464" i="1"/>
  <c r="Q2502" i="1"/>
  <c r="Q2947" i="1"/>
  <c r="Q2176" i="1"/>
  <c r="Q2688" i="1"/>
  <c r="Q3200" i="1"/>
  <c r="Q3406" i="1"/>
  <c r="Q3411" i="1"/>
  <c r="Q2292" i="1"/>
  <c r="Q2804" i="1"/>
  <c r="Q3316" i="1"/>
  <c r="Q2428" i="1"/>
  <c r="Q2544" i="1"/>
  <c r="Q2660" i="1"/>
  <c r="Q2419" i="1"/>
  <c r="Q2672" i="1"/>
  <c r="Q860" i="1"/>
  <c r="Q2088" i="1"/>
  <c r="Q2212" i="1"/>
  <c r="Q2876" i="1"/>
  <c r="Q2992" i="1"/>
  <c r="Q3108" i="1"/>
  <c r="Q2912" i="1"/>
  <c r="Q2772" i="1"/>
  <c r="Q3540" i="1"/>
  <c r="Q3251" i="1"/>
  <c r="Q2380" i="1"/>
  <c r="Q3020" i="1"/>
  <c r="Q3029" i="1"/>
  <c r="Q2496" i="1"/>
  <c r="Q3136" i="1"/>
  <c r="Q3150" i="1"/>
  <c r="Q2612" i="1"/>
  <c r="Q3252" i="1"/>
  <c r="Q2438" i="1"/>
  <c r="Q2288" i="1"/>
  <c r="Q3260" i="1"/>
  <c r="Q2352" i="1"/>
  <c r="Q3492" i="1"/>
  <c r="Q3324" i="1"/>
  <c r="Q3342" i="1"/>
  <c r="Q2620" i="1"/>
  <c r="Q2736" i="1"/>
  <c r="Q2852" i="1"/>
  <c r="Q2160" i="1"/>
  <c r="Q3024" i="1"/>
  <c r="Q3093" i="1"/>
  <c r="Q2500" i="1"/>
  <c r="Q3012" i="1"/>
  <c r="Q3524" i="1"/>
  <c r="Q3118" i="1"/>
  <c r="Q3123" i="1"/>
  <c r="Q2220" i="1"/>
  <c r="Q2732" i="1"/>
  <c r="Q3244" i="1"/>
  <c r="Q3582" i="1"/>
  <c r="Q3587" i="1"/>
  <c r="Q2336" i="1"/>
  <c r="Q2848" i="1"/>
  <c r="Q3360" i="1"/>
  <c r="Q2452" i="1"/>
  <c r="Q2964" i="1"/>
  <c r="Q3476" i="1"/>
  <c r="Q2694" i="1"/>
  <c r="Q2995" i="1"/>
  <c r="Q2188" i="1"/>
  <c r="Q2700" i="1"/>
  <c r="Q3212" i="1"/>
  <c r="Q3454" i="1"/>
  <c r="Q3459" i="1"/>
  <c r="Q2304" i="1"/>
  <c r="Q2816" i="1"/>
  <c r="Q3328" i="1"/>
  <c r="Q2420" i="1"/>
  <c r="Q2932" i="1"/>
  <c r="Q3444" i="1"/>
  <c r="Q2940" i="1"/>
  <c r="Q3056" i="1"/>
  <c r="Q3172" i="1"/>
  <c r="Q2300" i="1"/>
  <c r="Q2492" i="1"/>
  <c r="Q2608" i="1"/>
  <c r="Q2724" i="1"/>
  <c r="Q2883" i="1"/>
  <c r="Q3300" i="1"/>
  <c r="Q3388" i="1"/>
  <c r="Q3504" i="1"/>
  <c r="Q2579" i="1"/>
  <c r="Q3184" i="1"/>
  <c r="Q3044" i="1"/>
  <c r="Q2371" i="1"/>
  <c r="Q2835" i="1"/>
  <c r="Q3347" i="1"/>
  <c r="Q3004" i="1"/>
  <c r="Q3120" i="1"/>
  <c r="Q3078" i="1"/>
  <c r="Q3438" i="1"/>
  <c r="Q2072" i="1"/>
  <c r="Q2596" i="1"/>
  <c r="Q2276" i="1"/>
  <c r="Q2812" i="1"/>
  <c r="P3981" i="1" l="1"/>
  <c r="P3985" i="1"/>
  <c r="P3989" i="1"/>
  <c r="P3993" i="1"/>
  <c r="P3997" i="1"/>
  <c r="P4001" i="1"/>
  <c r="P4005" i="1"/>
  <c r="P4009" i="1"/>
  <c r="P4013" i="1"/>
  <c r="P4017" i="1"/>
  <c r="P3982" i="1"/>
  <c r="P3986" i="1"/>
  <c r="P3990" i="1"/>
  <c r="P3994" i="1"/>
  <c r="P3998" i="1"/>
  <c r="P4002" i="1"/>
  <c r="P4006" i="1"/>
  <c r="P4010" i="1"/>
  <c r="P4014" i="1"/>
  <c r="P4018" i="1"/>
  <c r="P3980" i="1"/>
  <c r="P3984" i="1"/>
  <c r="P3988" i="1"/>
  <c r="P3992" i="1"/>
  <c r="P3996" i="1"/>
  <c r="P4000" i="1"/>
  <c r="P4004" i="1"/>
  <c r="P4008" i="1"/>
  <c r="P4012" i="1"/>
  <c r="P4016" i="1"/>
  <c r="P3983" i="1"/>
  <c r="P3999" i="1"/>
  <c r="P4015" i="1"/>
  <c r="P3987" i="1"/>
  <c r="P4003" i="1"/>
  <c r="P4019" i="1"/>
  <c r="P3991" i="1"/>
  <c r="P4007" i="1"/>
  <c r="P3995" i="1"/>
  <c r="P4011" i="1"/>
  <c r="P1068" i="1"/>
  <c r="P1072" i="1"/>
  <c r="P1076" i="1"/>
  <c r="P1080" i="1"/>
  <c r="P1084" i="1"/>
  <c r="P1088" i="1"/>
  <c r="P1092" i="1"/>
  <c r="P1096" i="1"/>
  <c r="P1100" i="1"/>
  <c r="P1069" i="1"/>
  <c r="P1074" i="1"/>
  <c r="P1079" i="1"/>
  <c r="P1085" i="1"/>
  <c r="P1090" i="1"/>
  <c r="P1095" i="1"/>
  <c r="P1101" i="1"/>
  <c r="P1070" i="1"/>
  <c r="P1075" i="1"/>
  <c r="P1081" i="1"/>
  <c r="P1086" i="1"/>
  <c r="P1091" i="1"/>
  <c r="P1097" i="1"/>
  <c r="P1071" i="1"/>
  <c r="P1077" i="1"/>
  <c r="P1082" i="1"/>
  <c r="P1087" i="1"/>
  <c r="P1093" i="1"/>
  <c r="P1098" i="1"/>
  <c r="P1073" i="1"/>
  <c r="P1078" i="1"/>
  <c r="P1083" i="1"/>
  <c r="P1089" i="1"/>
  <c r="P1094" i="1"/>
  <c r="P1099" i="1"/>
  <c r="P929" i="1"/>
  <c r="P933" i="1"/>
  <c r="P937" i="1"/>
  <c r="P941" i="1"/>
  <c r="P945" i="1"/>
  <c r="P949" i="1"/>
  <c r="P953" i="1"/>
  <c r="P957" i="1"/>
  <c r="P961" i="1"/>
  <c r="P928" i="1"/>
  <c r="P932" i="1"/>
  <c r="P936" i="1"/>
  <c r="P940" i="1"/>
  <c r="P944" i="1"/>
  <c r="P948" i="1"/>
  <c r="P952" i="1"/>
  <c r="P956" i="1"/>
  <c r="P960" i="1"/>
  <c r="P931" i="1"/>
  <c r="P939" i="1"/>
  <c r="P947" i="1"/>
  <c r="P955" i="1"/>
  <c r="P963" i="1"/>
  <c r="P934" i="1"/>
  <c r="P942" i="1"/>
  <c r="P950" i="1"/>
  <c r="P958" i="1"/>
  <c r="P935" i="1"/>
  <c r="P943" i="1"/>
  <c r="P951" i="1"/>
  <c r="P959" i="1"/>
  <c r="P930" i="1"/>
  <c r="P938" i="1"/>
  <c r="P946" i="1"/>
  <c r="P954" i="1"/>
  <c r="P962" i="1"/>
  <c r="P300" i="1"/>
  <c r="P304" i="1"/>
  <c r="P308" i="1"/>
  <c r="P312" i="1"/>
  <c r="P316" i="1"/>
  <c r="P320" i="1"/>
  <c r="P324" i="1"/>
  <c r="P328" i="1"/>
  <c r="P332" i="1"/>
  <c r="P336" i="1"/>
  <c r="P340" i="1"/>
  <c r="P303" i="1"/>
  <c r="P309" i="1"/>
  <c r="P314" i="1"/>
  <c r="P319" i="1"/>
  <c r="P325" i="1"/>
  <c r="P330" i="1"/>
  <c r="P335" i="1"/>
  <c r="P341" i="1"/>
  <c r="P301" i="1"/>
  <c r="P307" i="1"/>
  <c r="P315" i="1"/>
  <c r="P322" i="1"/>
  <c r="P329" i="1"/>
  <c r="P337" i="1"/>
  <c r="P343" i="1"/>
  <c r="P306" i="1"/>
  <c r="P313" i="1"/>
  <c r="P321" i="1"/>
  <c r="P327" i="1"/>
  <c r="P334" i="1"/>
  <c r="P342" i="1"/>
  <c r="P311" i="1"/>
  <c r="P326" i="1"/>
  <c r="P339" i="1"/>
  <c r="P302" i="1"/>
  <c r="P317" i="1"/>
  <c r="P331" i="1"/>
  <c r="P305" i="1"/>
  <c r="P318" i="1"/>
  <c r="P333" i="1"/>
  <c r="P310" i="1"/>
  <c r="P323" i="1"/>
  <c r="P338" i="1"/>
  <c r="P4" i="1"/>
  <c r="P8" i="1"/>
  <c r="P12" i="1"/>
  <c r="P16" i="1"/>
  <c r="P20" i="1"/>
  <c r="P24" i="1"/>
  <c r="P28" i="1"/>
  <c r="P32" i="1"/>
  <c r="P36" i="1"/>
  <c r="P40" i="1"/>
  <c r="P44" i="1"/>
  <c r="P48" i="1"/>
  <c r="P52" i="1"/>
  <c r="P3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" i="1"/>
  <c r="P13" i="1"/>
  <c r="P21" i="1"/>
  <c r="P29" i="1"/>
  <c r="P37" i="1"/>
  <c r="P45" i="1"/>
  <c r="P53" i="1"/>
  <c r="P9" i="1"/>
  <c r="P18" i="1"/>
  <c r="P30" i="1"/>
  <c r="P41" i="1"/>
  <c r="P50" i="1"/>
  <c r="P14" i="1"/>
  <c r="P26" i="1"/>
  <c r="P42" i="1"/>
  <c r="P10" i="1"/>
  <c r="P25" i="1"/>
  <c r="P38" i="1"/>
  <c r="P54" i="1"/>
  <c r="P2" i="1"/>
  <c r="P22" i="1"/>
  <c r="P49" i="1"/>
  <c r="P33" i="1"/>
  <c r="P6" i="1"/>
  <c r="P34" i="1"/>
  <c r="P17" i="1"/>
  <c r="P46" i="1"/>
  <c r="P4101" i="1"/>
  <c r="P4105" i="1"/>
  <c r="P4109" i="1"/>
  <c r="P4113" i="1"/>
  <c r="P4117" i="1"/>
  <c r="P4121" i="1"/>
  <c r="P4125" i="1"/>
  <c r="P4129" i="1"/>
  <c r="P4133" i="1"/>
  <c r="P4137" i="1"/>
  <c r="P4102" i="1"/>
  <c r="P4106" i="1"/>
  <c r="P4110" i="1"/>
  <c r="P4114" i="1"/>
  <c r="P4118" i="1"/>
  <c r="P4122" i="1"/>
  <c r="P4126" i="1"/>
  <c r="P4130" i="1"/>
  <c r="P4134" i="1"/>
  <c r="P4138" i="1"/>
  <c r="P4100" i="1"/>
  <c r="P4104" i="1"/>
  <c r="P4108" i="1"/>
  <c r="P4112" i="1"/>
  <c r="P4116" i="1"/>
  <c r="P4120" i="1"/>
  <c r="P4124" i="1"/>
  <c r="P4128" i="1"/>
  <c r="P4132" i="1"/>
  <c r="P4136" i="1"/>
  <c r="P4111" i="1"/>
  <c r="P4127" i="1"/>
  <c r="P4115" i="1"/>
  <c r="P4131" i="1"/>
  <c r="P4103" i="1"/>
  <c r="P4119" i="1"/>
  <c r="P4135" i="1"/>
  <c r="P4107" i="1"/>
  <c r="P4123" i="1"/>
  <c r="P4139" i="1"/>
  <c r="P3941" i="1"/>
  <c r="P3945" i="1"/>
  <c r="P3949" i="1"/>
  <c r="P3953" i="1"/>
  <c r="P3957" i="1"/>
  <c r="P3961" i="1"/>
  <c r="P3965" i="1"/>
  <c r="P3969" i="1"/>
  <c r="P3973" i="1"/>
  <c r="P3977" i="1"/>
  <c r="P3942" i="1"/>
  <c r="P3946" i="1"/>
  <c r="P3950" i="1"/>
  <c r="P3954" i="1"/>
  <c r="P3958" i="1"/>
  <c r="P3962" i="1"/>
  <c r="P3966" i="1"/>
  <c r="P3970" i="1"/>
  <c r="P3974" i="1"/>
  <c r="P3978" i="1"/>
  <c r="P3940" i="1"/>
  <c r="P3944" i="1"/>
  <c r="P3948" i="1"/>
  <c r="P3952" i="1"/>
  <c r="P3956" i="1"/>
  <c r="P3960" i="1"/>
  <c r="P3964" i="1"/>
  <c r="P3968" i="1"/>
  <c r="P3972" i="1"/>
  <c r="P3976" i="1"/>
  <c r="P3951" i="1"/>
  <c r="P3967" i="1"/>
  <c r="P3955" i="1"/>
  <c r="P3971" i="1"/>
  <c r="P3943" i="1"/>
  <c r="P3959" i="1"/>
  <c r="P3975" i="1"/>
  <c r="P3947" i="1"/>
  <c r="P3963" i="1"/>
  <c r="P3979" i="1"/>
  <c r="P3763" i="1"/>
  <c r="P3767" i="1"/>
  <c r="P3771" i="1"/>
  <c r="P3775" i="1"/>
  <c r="P3779" i="1"/>
  <c r="P3783" i="1"/>
  <c r="P3787" i="1"/>
  <c r="P3791" i="1"/>
  <c r="P3795" i="1"/>
  <c r="P3799" i="1"/>
  <c r="P3803" i="1"/>
  <c r="P3807" i="1"/>
  <c r="P3760" i="1"/>
  <c r="P3764" i="1"/>
  <c r="P3768" i="1"/>
  <c r="P3772" i="1"/>
  <c r="P3776" i="1"/>
  <c r="P3780" i="1"/>
  <c r="P3784" i="1"/>
  <c r="P3788" i="1"/>
  <c r="P3792" i="1"/>
  <c r="P3796" i="1"/>
  <c r="P3800" i="1"/>
  <c r="P3804" i="1"/>
  <c r="P3762" i="1"/>
  <c r="P3766" i="1"/>
  <c r="P3770" i="1"/>
  <c r="P3774" i="1"/>
  <c r="P3778" i="1"/>
  <c r="P3782" i="1"/>
  <c r="P3786" i="1"/>
  <c r="P3790" i="1"/>
  <c r="P3794" i="1"/>
  <c r="P3798" i="1"/>
  <c r="P3802" i="1"/>
  <c r="P3806" i="1"/>
  <c r="P3765" i="1"/>
  <c r="P3781" i="1"/>
  <c r="P3797" i="1"/>
  <c r="P3769" i="1"/>
  <c r="P3785" i="1"/>
  <c r="P3801" i="1"/>
  <c r="P3761" i="1"/>
  <c r="P3777" i="1"/>
  <c r="P3793" i="1"/>
  <c r="P3773" i="1"/>
  <c r="P3789" i="1"/>
  <c r="P3805" i="1"/>
  <c r="P1432" i="1"/>
  <c r="P1436" i="1"/>
  <c r="P1440" i="1"/>
  <c r="P1444" i="1"/>
  <c r="P1448" i="1"/>
  <c r="P1452" i="1"/>
  <c r="P1456" i="1"/>
  <c r="P1460" i="1"/>
  <c r="P1437" i="1"/>
  <c r="P1442" i="1"/>
  <c r="P1447" i="1"/>
  <c r="P1453" i="1"/>
  <c r="P1458" i="1"/>
  <c r="P1463" i="1"/>
  <c r="P1433" i="1"/>
  <c r="P1438" i="1"/>
  <c r="P1443" i="1"/>
  <c r="P1449" i="1"/>
  <c r="P1454" i="1"/>
  <c r="P1459" i="1"/>
  <c r="P1434" i="1"/>
  <c r="P1439" i="1"/>
  <c r="P1445" i="1"/>
  <c r="P1450" i="1"/>
  <c r="P1455" i="1"/>
  <c r="P1461" i="1"/>
  <c r="P1435" i="1"/>
  <c r="P1441" i="1"/>
  <c r="P1446" i="1"/>
  <c r="P1451" i="1"/>
  <c r="P1457" i="1"/>
  <c r="P1462" i="1"/>
  <c r="P1304" i="1"/>
  <c r="P1308" i="1"/>
  <c r="P1312" i="1"/>
  <c r="P1316" i="1"/>
  <c r="P1320" i="1"/>
  <c r="P1324" i="1"/>
  <c r="P1328" i="1"/>
  <c r="P1332" i="1"/>
  <c r="P1309" i="1"/>
  <c r="P1314" i="1"/>
  <c r="P1319" i="1"/>
  <c r="P1325" i="1"/>
  <c r="P1330" i="1"/>
  <c r="P1335" i="1"/>
  <c r="P1305" i="1"/>
  <c r="P1310" i="1"/>
  <c r="P1315" i="1"/>
  <c r="P1321" i="1"/>
  <c r="P1326" i="1"/>
  <c r="P1331" i="1"/>
  <c r="P1306" i="1"/>
  <c r="P1311" i="1"/>
  <c r="P1317" i="1"/>
  <c r="P1322" i="1"/>
  <c r="P1327" i="1"/>
  <c r="P1333" i="1"/>
  <c r="P1307" i="1"/>
  <c r="P1313" i="1"/>
  <c r="P1318" i="1"/>
  <c r="P1323" i="1"/>
  <c r="P1329" i="1"/>
  <c r="P1334" i="1"/>
  <c r="P1172" i="1"/>
  <c r="P1176" i="1"/>
  <c r="P1180" i="1"/>
  <c r="P1184" i="1"/>
  <c r="P1188" i="1"/>
  <c r="P1192" i="1"/>
  <c r="P1196" i="1"/>
  <c r="P1200" i="1"/>
  <c r="P1204" i="1"/>
  <c r="P1175" i="1"/>
  <c r="P1181" i="1"/>
  <c r="P1186" i="1"/>
  <c r="P1191" i="1"/>
  <c r="P1197" i="1"/>
  <c r="P1202" i="1"/>
  <c r="P1177" i="1"/>
  <c r="P1182" i="1"/>
  <c r="P1187" i="1"/>
  <c r="P1193" i="1"/>
  <c r="P1198" i="1"/>
  <c r="P1203" i="1"/>
  <c r="P1173" i="1"/>
  <c r="P1178" i="1"/>
  <c r="P1183" i="1"/>
  <c r="P1189" i="1"/>
  <c r="P1194" i="1"/>
  <c r="P1199" i="1"/>
  <c r="P1205" i="1"/>
  <c r="P1174" i="1"/>
  <c r="P1179" i="1"/>
  <c r="P1185" i="1"/>
  <c r="P1190" i="1"/>
  <c r="P1195" i="1"/>
  <c r="P1201" i="1"/>
  <c r="P1033" i="1"/>
  <c r="P1037" i="1"/>
  <c r="P1032" i="1"/>
  <c r="P1036" i="1"/>
  <c r="P1040" i="1"/>
  <c r="P1044" i="1"/>
  <c r="P1048" i="1"/>
  <c r="P1052" i="1"/>
  <c r="P1056" i="1"/>
  <c r="P1060" i="1"/>
  <c r="P1064" i="1"/>
  <c r="P1035" i="1"/>
  <c r="P1042" i="1"/>
  <c r="P1047" i="1"/>
  <c r="P1053" i="1"/>
  <c r="P1058" i="1"/>
  <c r="P1063" i="1"/>
  <c r="P1038" i="1"/>
  <c r="P1043" i="1"/>
  <c r="P1049" i="1"/>
  <c r="P1054" i="1"/>
  <c r="P1059" i="1"/>
  <c r="P1065" i="1"/>
  <c r="P1039" i="1"/>
  <c r="P1045" i="1"/>
  <c r="P1050" i="1"/>
  <c r="P1055" i="1"/>
  <c r="P1061" i="1"/>
  <c r="P1066" i="1"/>
  <c r="P1034" i="1"/>
  <c r="P1041" i="1"/>
  <c r="P1046" i="1"/>
  <c r="P1051" i="1"/>
  <c r="P1057" i="1"/>
  <c r="P1062" i="1"/>
  <c r="P1067" i="1"/>
  <c r="P893" i="1"/>
  <c r="P897" i="1"/>
  <c r="P901" i="1"/>
  <c r="P905" i="1"/>
  <c r="P909" i="1"/>
  <c r="P913" i="1"/>
  <c r="P917" i="1"/>
  <c r="P921" i="1"/>
  <c r="P925" i="1"/>
  <c r="P892" i="1"/>
  <c r="P896" i="1"/>
  <c r="P900" i="1"/>
  <c r="P904" i="1"/>
  <c r="P908" i="1"/>
  <c r="P912" i="1"/>
  <c r="P916" i="1"/>
  <c r="P920" i="1"/>
  <c r="P924" i="1"/>
  <c r="P899" i="1"/>
  <c r="P907" i="1"/>
  <c r="P915" i="1"/>
  <c r="P923" i="1"/>
  <c r="P894" i="1"/>
  <c r="P902" i="1"/>
  <c r="P910" i="1"/>
  <c r="P918" i="1"/>
  <c r="P926" i="1"/>
  <c r="P895" i="1"/>
  <c r="P903" i="1"/>
  <c r="P911" i="1"/>
  <c r="P919" i="1"/>
  <c r="P927" i="1"/>
  <c r="P898" i="1"/>
  <c r="P906" i="1"/>
  <c r="P914" i="1"/>
  <c r="P922" i="1"/>
  <c r="P742" i="1"/>
  <c r="P746" i="1"/>
  <c r="P750" i="1"/>
  <c r="P754" i="1"/>
  <c r="P758" i="1"/>
  <c r="P762" i="1"/>
  <c r="P766" i="1"/>
  <c r="P770" i="1"/>
  <c r="P774" i="1"/>
  <c r="P778" i="1"/>
  <c r="P741" i="1"/>
  <c r="P747" i="1"/>
  <c r="P752" i="1"/>
  <c r="P757" i="1"/>
  <c r="P763" i="1"/>
  <c r="P768" i="1"/>
  <c r="P773" i="1"/>
  <c r="P779" i="1"/>
  <c r="P740" i="1"/>
  <c r="P745" i="1"/>
  <c r="P751" i="1"/>
  <c r="P756" i="1"/>
  <c r="P761" i="1"/>
  <c r="P767" i="1"/>
  <c r="P772" i="1"/>
  <c r="P777" i="1"/>
  <c r="P749" i="1"/>
  <c r="P760" i="1"/>
  <c r="P771" i="1"/>
  <c r="P743" i="1"/>
  <c r="P753" i="1"/>
  <c r="P764" i="1"/>
  <c r="P775" i="1"/>
  <c r="P744" i="1"/>
  <c r="P755" i="1"/>
  <c r="P765" i="1"/>
  <c r="P776" i="1"/>
  <c r="P748" i="1"/>
  <c r="P759" i="1"/>
  <c r="P769" i="1"/>
  <c r="P586" i="1"/>
  <c r="P590" i="1"/>
  <c r="P594" i="1"/>
  <c r="P598" i="1"/>
  <c r="P602" i="1"/>
  <c r="P606" i="1"/>
  <c r="P610" i="1"/>
  <c r="P614" i="1"/>
  <c r="P618" i="1"/>
  <c r="P622" i="1"/>
  <c r="P587" i="1"/>
  <c r="P592" i="1"/>
  <c r="P597" i="1"/>
  <c r="P603" i="1"/>
  <c r="P608" i="1"/>
  <c r="P613" i="1"/>
  <c r="P619" i="1"/>
  <c r="P624" i="1"/>
  <c r="P591" i="1"/>
  <c r="P596" i="1"/>
  <c r="P601" i="1"/>
  <c r="P607" i="1"/>
  <c r="P612" i="1"/>
  <c r="P617" i="1"/>
  <c r="P623" i="1"/>
  <c r="P589" i="1"/>
  <c r="P600" i="1"/>
  <c r="P611" i="1"/>
  <c r="P621" i="1"/>
  <c r="P593" i="1"/>
  <c r="P604" i="1"/>
  <c r="P615" i="1"/>
  <c r="P625" i="1"/>
  <c r="P595" i="1"/>
  <c r="P605" i="1"/>
  <c r="P616" i="1"/>
  <c r="P588" i="1"/>
  <c r="P599" i="1"/>
  <c r="P609" i="1"/>
  <c r="P620" i="1"/>
  <c r="P428" i="1"/>
  <c r="P432" i="1"/>
  <c r="P436" i="1"/>
  <c r="P440" i="1"/>
  <c r="P431" i="1"/>
  <c r="P437" i="1"/>
  <c r="P442" i="1"/>
  <c r="P446" i="1"/>
  <c r="P450" i="1"/>
  <c r="P454" i="1"/>
  <c r="P458" i="1"/>
  <c r="P462" i="1"/>
  <c r="P466" i="1"/>
  <c r="P429" i="1"/>
  <c r="P435" i="1"/>
  <c r="P443" i="1"/>
  <c r="P448" i="1"/>
  <c r="P453" i="1"/>
  <c r="P459" i="1"/>
  <c r="P464" i="1"/>
  <c r="P469" i="1"/>
  <c r="P434" i="1"/>
  <c r="P441" i="1"/>
  <c r="P447" i="1"/>
  <c r="P452" i="1"/>
  <c r="P457" i="1"/>
  <c r="P463" i="1"/>
  <c r="P468" i="1"/>
  <c r="P439" i="1"/>
  <c r="P451" i="1"/>
  <c r="P461" i="1"/>
  <c r="P430" i="1"/>
  <c r="P444" i="1"/>
  <c r="P455" i="1"/>
  <c r="P465" i="1"/>
  <c r="P433" i="1"/>
  <c r="P445" i="1"/>
  <c r="P456" i="1"/>
  <c r="P467" i="1"/>
  <c r="P438" i="1"/>
  <c r="P449" i="1"/>
  <c r="P460" i="1"/>
  <c r="P256" i="1"/>
  <c r="P260" i="1"/>
  <c r="P264" i="1"/>
  <c r="P268" i="1"/>
  <c r="P272" i="1"/>
  <c r="P276" i="1"/>
  <c r="P280" i="1"/>
  <c r="P284" i="1"/>
  <c r="P288" i="1"/>
  <c r="P292" i="1"/>
  <c r="P296" i="1"/>
  <c r="P255" i="1"/>
  <c r="P261" i="1"/>
  <c r="P266" i="1"/>
  <c r="P271" i="1"/>
  <c r="P277" i="1"/>
  <c r="P282" i="1"/>
  <c r="P287" i="1"/>
  <c r="P293" i="1"/>
  <c r="P298" i="1"/>
  <c r="P258" i="1"/>
  <c r="P265" i="1"/>
  <c r="P273" i="1"/>
  <c r="P279" i="1"/>
  <c r="P286" i="1"/>
  <c r="P294" i="1"/>
  <c r="P257" i="1"/>
  <c r="P263" i="1"/>
  <c r="P270" i="1"/>
  <c r="P278" i="1"/>
  <c r="P285" i="1"/>
  <c r="P291" i="1"/>
  <c r="P299" i="1"/>
  <c r="P254" i="1"/>
  <c r="P269" i="1"/>
  <c r="P283" i="1"/>
  <c r="P297" i="1"/>
  <c r="P259" i="1"/>
  <c r="P274" i="1"/>
  <c r="P289" i="1"/>
  <c r="P262" i="1"/>
  <c r="P275" i="1"/>
  <c r="P290" i="1"/>
  <c r="P267" i="1"/>
  <c r="P281" i="1"/>
  <c r="P295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59" i="1"/>
  <c r="P63" i="1"/>
  <c r="P67" i="1"/>
  <c r="P71" i="1"/>
  <c r="P75" i="1"/>
  <c r="P79" i="1"/>
  <c r="P83" i="1"/>
  <c r="P87" i="1"/>
  <c r="P91" i="1"/>
  <c r="P95" i="1"/>
  <c r="P99" i="1"/>
  <c r="P103" i="1"/>
  <c r="P61" i="1"/>
  <c r="P69" i="1"/>
  <c r="P77" i="1"/>
  <c r="P85" i="1"/>
  <c r="P93" i="1"/>
  <c r="P101" i="1"/>
  <c r="P62" i="1"/>
  <c r="P73" i="1"/>
  <c r="P82" i="1"/>
  <c r="P94" i="1"/>
  <c r="P105" i="1"/>
  <c r="P57" i="1"/>
  <c r="P70" i="1"/>
  <c r="P86" i="1"/>
  <c r="P98" i="1"/>
  <c r="P66" i="1"/>
  <c r="P81" i="1"/>
  <c r="P97" i="1"/>
  <c r="P78" i="1"/>
  <c r="P58" i="1"/>
  <c r="P89" i="1"/>
  <c r="P65" i="1"/>
  <c r="P90" i="1"/>
  <c r="P74" i="1"/>
  <c r="P102" i="1"/>
  <c r="P3855" i="1"/>
  <c r="P3859" i="1"/>
  <c r="P3863" i="1"/>
  <c r="P3867" i="1"/>
  <c r="P3871" i="1"/>
  <c r="P3875" i="1"/>
  <c r="P3879" i="1"/>
  <c r="P3883" i="1"/>
  <c r="P3887" i="1"/>
  <c r="P3891" i="1"/>
  <c r="P3895" i="1"/>
  <c r="P3899" i="1"/>
  <c r="P3856" i="1"/>
  <c r="P3860" i="1"/>
  <c r="P3864" i="1"/>
  <c r="P3868" i="1"/>
  <c r="P3872" i="1"/>
  <c r="P3876" i="1"/>
  <c r="P3880" i="1"/>
  <c r="P3884" i="1"/>
  <c r="P3888" i="1"/>
  <c r="P3892" i="1"/>
  <c r="P3896" i="1"/>
  <c r="P3854" i="1"/>
  <c r="P3858" i="1"/>
  <c r="P3862" i="1"/>
  <c r="P3866" i="1"/>
  <c r="P3870" i="1"/>
  <c r="P3874" i="1"/>
  <c r="P3878" i="1"/>
  <c r="P3882" i="1"/>
  <c r="P3886" i="1"/>
  <c r="P3890" i="1"/>
  <c r="P3894" i="1"/>
  <c r="P3898" i="1"/>
  <c r="P3861" i="1"/>
  <c r="P3877" i="1"/>
  <c r="P3893" i="1"/>
  <c r="P3865" i="1"/>
  <c r="P3881" i="1"/>
  <c r="P3897" i="1"/>
  <c r="P3857" i="1"/>
  <c r="P3873" i="1"/>
  <c r="P3889" i="1"/>
  <c r="P3885" i="1"/>
  <c r="P3869" i="1"/>
  <c r="P626" i="1"/>
  <c r="P630" i="1"/>
  <c r="P634" i="1"/>
  <c r="P638" i="1"/>
  <c r="P642" i="1"/>
  <c r="P646" i="1"/>
  <c r="P650" i="1"/>
  <c r="P654" i="1"/>
  <c r="P658" i="1"/>
  <c r="P662" i="1"/>
  <c r="P629" i="1"/>
  <c r="P635" i="1"/>
  <c r="P640" i="1"/>
  <c r="P645" i="1"/>
  <c r="P651" i="1"/>
  <c r="P656" i="1"/>
  <c r="P661" i="1"/>
  <c r="P628" i="1"/>
  <c r="P633" i="1"/>
  <c r="P639" i="1"/>
  <c r="P644" i="1"/>
  <c r="P649" i="1"/>
  <c r="P655" i="1"/>
  <c r="P660" i="1"/>
  <c r="P632" i="1"/>
  <c r="P643" i="1"/>
  <c r="P653" i="1"/>
  <c r="P636" i="1"/>
  <c r="P647" i="1"/>
  <c r="P657" i="1"/>
  <c r="P627" i="1"/>
  <c r="P637" i="1"/>
  <c r="P648" i="1"/>
  <c r="P659" i="1"/>
  <c r="P631" i="1"/>
  <c r="P641" i="1"/>
  <c r="P652" i="1"/>
  <c r="P663" i="1"/>
  <c r="P4181" i="1"/>
  <c r="P4182" i="1"/>
  <c r="P4186" i="1"/>
  <c r="P4180" i="1"/>
  <c r="P4184" i="1"/>
  <c r="P4188" i="1"/>
  <c r="P4192" i="1"/>
  <c r="P4196" i="1"/>
  <c r="P4200" i="1"/>
  <c r="P4204" i="1"/>
  <c r="P4208" i="1"/>
  <c r="P4212" i="1"/>
  <c r="P4216" i="1"/>
  <c r="P4187" i="1"/>
  <c r="P4193" i="1"/>
  <c r="P4198" i="1"/>
  <c r="P4203" i="1"/>
  <c r="P4209" i="1"/>
  <c r="P4214" i="1"/>
  <c r="P4219" i="1"/>
  <c r="P4189" i="1"/>
  <c r="P4194" i="1"/>
  <c r="P4199" i="1"/>
  <c r="P4205" i="1"/>
  <c r="P4210" i="1"/>
  <c r="P4215" i="1"/>
  <c r="P4183" i="1"/>
  <c r="P4190" i="1"/>
  <c r="P4195" i="1"/>
  <c r="P4201" i="1"/>
  <c r="P4206" i="1"/>
  <c r="P4211" i="1"/>
  <c r="P4217" i="1"/>
  <c r="P4185" i="1"/>
  <c r="P4191" i="1"/>
  <c r="P4197" i="1"/>
  <c r="P4202" i="1"/>
  <c r="P4207" i="1"/>
  <c r="P4213" i="1"/>
  <c r="P4218" i="1"/>
  <c r="P1208" i="1"/>
  <c r="P1212" i="1"/>
  <c r="P1216" i="1"/>
  <c r="P1220" i="1"/>
  <c r="P1224" i="1"/>
  <c r="P1228" i="1"/>
  <c r="P1232" i="1"/>
  <c r="P1236" i="1"/>
  <c r="P1207" i="1"/>
  <c r="P1213" i="1"/>
  <c r="P1218" i="1"/>
  <c r="P1223" i="1"/>
  <c r="P1229" i="1"/>
  <c r="P1234" i="1"/>
  <c r="P1239" i="1"/>
  <c r="P1209" i="1"/>
  <c r="P1214" i="1"/>
  <c r="P1219" i="1"/>
  <c r="P1225" i="1"/>
  <c r="P1230" i="1"/>
  <c r="P1235" i="1"/>
  <c r="P1210" i="1"/>
  <c r="P1215" i="1"/>
  <c r="P1221" i="1"/>
  <c r="P1226" i="1"/>
  <c r="P1231" i="1"/>
  <c r="P1237" i="1"/>
  <c r="P1206" i="1"/>
  <c r="P1211" i="1"/>
  <c r="P1217" i="1"/>
  <c r="P1222" i="1"/>
  <c r="P1227" i="1"/>
  <c r="P1233" i="1"/>
  <c r="P1238" i="1"/>
  <c r="P470" i="1"/>
  <c r="P474" i="1"/>
  <c r="P478" i="1"/>
  <c r="P482" i="1"/>
  <c r="P486" i="1"/>
  <c r="P490" i="1"/>
  <c r="P494" i="1"/>
  <c r="P498" i="1"/>
  <c r="P502" i="1"/>
  <c r="P506" i="1"/>
  <c r="P475" i="1"/>
  <c r="P480" i="1"/>
  <c r="P485" i="1"/>
  <c r="P491" i="1"/>
  <c r="P496" i="1"/>
  <c r="P501" i="1"/>
  <c r="P507" i="1"/>
  <c r="P473" i="1"/>
  <c r="P479" i="1"/>
  <c r="P484" i="1"/>
  <c r="P489" i="1"/>
  <c r="P495" i="1"/>
  <c r="P500" i="1"/>
  <c r="P505" i="1"/>
  <c r="P472" i="1"/>
  <c r="P483" i="1"/>
  <c r="P493" i="1"/>
  <c r="P504" i="1"/>
  <c r="P476" i="1"/>
  <c r="P487" i="1"/>
  <c r="P497" i="1"/>
  <c r="P508" i="1"/>
  <c r="P477" i="1"/>
  <c r="P488" i="1"/>
  <c r="P499" i="1"/>
  <c r="P509" i="1"/>
  <c r="P471" i="1"/>
  <c r="P481" i="1"/>
  <c r="P492" i="1"/>
  <c r="P503" i="1"/>
  <c r="P4021" i="1"/>
  <c r="P4025" i="1"/>
  <c r="P4029" i="1"/>
  <c r="P4033" i="1"/>
  <c r="P4037" i="1"/>
  <c r="P4041" i="1"/>
  <c r="P4045" i="1"/>
  <c r="P4049" i="1"/>
  <c r="P4053" i="1"/>
  <c r="P4057" i="1"/>
  <c r="P4022" i="1"/>
  <c r="P4026" i="1"/>
  <c r="P4030" i="1"/>
  <c r="P4034" i="1"/>
  <c r="P4038" i="1"/>
  <c r="P4042" i="1"/>
  <c r="P4046" i="1"/>
  <c r="P4050" i="1"/>
  <c r="P4054" i="1"/>
  <c r="P4058" i="1"/>
  <c r="P4020" i="1"/>
  <c r="P4024" i="1"/>
  <c r="P4028" i="1"/>
  <c r="P4032" i="1"/>
  <c r="P4036" i="1"/>
  <c r="P4040" i="1"/>
  <c r="P4044" i="1"/>
  <c r="P4048" i="1"/>
  <c r="P4052" i="1"/>
  <c r="P4056" i="1"/>
  <c r="P4031" i="1"/>
  <c r="P4047" i="1"/>
  <c r="P4035" i="1"/>
  <c r="P4051" i="1"/>
  <c r="P4023" i="1"/>
  <c r="P4039" i="1"/>
  <c r="P4055" i="1"/>
  <c r="P4027" i="1"/>
  <c r="P4043" i="1"/>
  <c r="P4059" i="1"/>
  <c r="P3655" i="1"/>
  <c r="P3659" i="1"/>
  <c r="P3663" i="1"/>
  <c r="P3667" i="1"/>
  <c r="P3671" i="1"/>
  <c r="P3675" i="1"/>
  <c r="P3679" i="1"/>
  <c r="P3683" i="1"/>
  <c r="P3687" i="1"/>
  <c r="P3691" i="1"/>
  <c r="P3695" i="1"/>
  <c r="P3699" i="1"/>
  <c r="P3703" i="1"/>
  <c r="P3707" i="1"/>
  <c r="P3652" i="1"/>
  <c r="P3656" i="1"/>
  <c r="P3660" i="1"/>
  <c r="P3664" i="1"/>
  <c r="P3668" i="1"/>
  <c r="P3672" i="1"/>
  <c r="P3676" i="1"/>
  <c r="P3680" i="1"/>
  <c r="P3684" i="1"/>
  <c r="P3688" i="1"/>
  <c r="P3692" i="1"/>
  <c r="P3696" i="1"/>
  <c r="P3700" i="1"/>
  <c r="P3704" i="1"/>
  <c r="P3654" i="1"/>
  <c r="P3658" i="1"/>
  <c r="P3662" i="1"/>
  <c r="P3666" i="1"/>
  <c r="P3670" i="1"/>
  <c r="P3674" i="1"/>
  <c r="P3678" i="1"/>
  <c r="P3682" i="1"/>
  <c r="P3686" i="1"/>
  <c r="P3690" i="1"/>
  <c r="P3694" i="1"/>
  <c r="P3698" i="1"/>
  <c r="P3702" i="1"/>
  <c r="P3706" i="1"/>
  <c r="P3653" i="1"/>
  <c r="P3669" i="1"/>
  <c r="P3685" i="1"/>
  <c r="P3701" i="1"/>
  <c r="P3657" i="1"/>
  <c r="P3673" i="1"/>
  <c r="P3689" i="1"/>
  <c r="P3705" i="1"/>
  <c r="P3665" i="1"/>
  <c r="P3681" i="1"/>
  <c r="P3697" i="1"/>
  <c r="P3693" i="1"/>
  <c r="P3661" i="1"/>
  <c r="P3677" i="1"/>
  <c r="P1368" i="1"/>
  <c r="P1372" i="1"/>
  <c r="P1376" i="1"/>
  <c r="P1380" i="1"/>
  <c r="P1384" i="1"/>
  <c r="P1388" i="1"/>
  <c r="P1392" i="1"/>
  <c r="P1396" i="1"/>
  <c r="P1373" i="1"/>
  <c r="P1378" i="1"/>
  <c r="P1383" i="1"/>
  <c r="P1389" i="1"/>
  <c r="P1394" i="1"/>
  <c r="P1399" i="1"/>
  <c r="P1369" i="1"/>
  <c r="P1374" i="1"/>
  <c r="P1379" i="1"/>
  <c r="P1385" i="1"/>
  <c r="P1390" i="1"/>
  <c r="P1395" i="1"/>
  <c r="P1370" i="1"/>
  <c r="P1375" i="1"/>
  <c r="P1381" i="1"/>
  <c r="P1386" i="1"/>
  <c r="P1391" i="1"/>
  <c r="P1397" i="1"/>
  <c r="P1371" i="1"/>
  <c r="P1377" i="1"/>
  <c r="P1382" i="1"/>
  <c r="P1387" i="1"/>
  <c r="P1393" i="1"/>
  <c r="P1398" i="1"/>
  <c r="P1240" i="1"/>
  <c r="P1244" i="1"/>
  <c r="P1248" i="1"/>
  <c r="P1252" i="1"/>
  <c r="P1256" i="1"/>
  <c r="P1260" i="1"/>
  <c r="P1264" i="1"/>
  <c r="P1268" i="1"/>
  <c r="P1245" i="1"/>
  <c r="P1250" i="1"/>
  <c r="P1255" i="1"/>
  <c r="P1261" i="1"/>
  <c r="P1266" i="1"/>
  <c r="P1271" i="1"/>
  <c r="P1241" i="1"/>
  <c r="P1246" i="1"/>
  <c r="P1251" i="1"/>
  <c r="P1257" i="1"/>
  <c r="P1262" i="1"/>
  <c r="P1267" i="1"/>
  <c r="P1242" i="1"/>
  <c r="P1247" i="1"/>
  <c r="P1253" i="1"/>
  <c r="P1258" i="1"/>
  <c r="P1263" i="1"/>
  <c r="P1269" i="1"/>
  <c r="P1243" i="1"/>
  <c r="P1249" i="1"/>
  <c r="P1254" i="1"/>
  <c r="P1259" i="1"/>
  <c r="P1265" i="1"/>
  <c r="P1270" i="1"/>
  <c r="P1104" i="1"/>
  <c r="P1108" i="1"/>
  <c r="P1112" i="1"/>
  <c r="P1116" i="1"/>
  <c r="P1120" i="1"/>
  <c r="P1124" i="1"/>
  <c r="P1128" i="1"/>
  <c r="P1132" i="1"/>
  <c r="P1106" i="1"/>
  <c r="P1111" i="1"/>
  <c r="P1117" i="1"/>
  <c r="P1122" i="1"/>
  <c r="P1127" i="1"/>
  <c r="P1133" i="1"/>
  <c r="P1102" i="1"/>
  <c r="P1107" i="1"/>
  <c r="P1113" i="1"/>
  <c r="P1118" i="1"/>
  <c r="P1123" i="1"/>
  <c r="P1129" i="1"/>
  <c r="P1134" i="1"/>
  <c r="P1103" i="1"/>
  <c r="P1109" i="1"/>
  <c r="P1114" i="1"/>
  <c r="P1119" i="1"/>
  <c r="P1125" i="1"/>
  <c r="P1130" i="1"/>
  <c r="P1135" i="1"/>
  <c r="P1105" i="1"/>
  <c r="P1110" i="1"/>
  <c r="P1115" i="1"/>
  <c r="P1121" i="1"/>
  <c r="P1126" i="1"/>
  <c r="P1131" i="1"/>
  <c r="P965" i="1"/>
  <c r="P969" i="1"/>
  <c r="P973" i="1"/>
  <c r="P977" i="1"/>
  <c r="P981" i="1"/>
  <c r="P985" i="1"/>
  <c r="P989" i="1"/>
  <c r="P993" i="1"/>
  <c r="P997" i="1"/>
  <c r="P964" i="1"/>
  <c r="P968" i="1"/>
  <c r="P972" i="1"/>
  <c r="P976" i="1"/>
  <c r="P980" i="1"/>
  <c r="P984" i="1"/>
  <c r="P988" i="1"/>
  <c r="P992" i="1"/>
  <c r="P996" i="1"/>
  <c r="P971" i="1"/>
  <c r="P979" i="1"/>
  <c r="P987" i="1"/>
  <c r="P995" i="1"/>
  <c r="P966" i="1"/>
  <c r="P974" i="1"/>
  <c r="P982" i="1"/>
  <c r="P990" i="1"/>
  <c r="P967" i="1"/>
  <c r="P975" i="1"/>
  <c r="P983" i="1"/>
  <c r="P991" i="1"/>
  <c r="P970" i="1"/>
  <c r="P978" i="1"/>
  <c r="P986" i="1"/>
  <c r="P994" i="1"/>
  <c r="P818" i="1"/>
  <c r="P822" i="1"/>
  <c r="P826" i="1"/>
  <c r="P830" i="1"/>
  <c r="P834" i="1"/>
  <c r="P838" i="1"/>
  <c r="P842" i="1"/>
  <c r="P846" i="1"/>
  <c r="P850" i="1"/>
  <c r="P854" i="1"/>
  <c r="P821" i="1"/>
  <c r="P827" i="1"/>
  <c r="P832" i="1"/>
  <c r="P837" i="1"/>
  <c r="P843" i="1"/>
  <c r="P848" i="1"/>
  <c r="P853" i="1"/>
  <c r="P820" i="1"/>
  <c r="P825" i="1"/>
  <c r="P831" i="1"/>
  <c r="P836" i="1"/>
  <c r="P841" i="1"/>
  <c r="P847" i="1"/>
  <c r="P852" i="1"/>
  <c r="P824" i="1"/>
  <c r="P835" i="1"/>
  <c r="P845" i="1"/>
  <c r="P828" i="1"/>
  <c r="P839" i="1"/>
  <c r="P849" i="1"/>
  <c r="P819" i="1"/>
  <c r="P829" i="1"/>
  <c r="P840" i="1"/>
  <c r="P851" i="1"/>
  <c r="P823" i="1"/>
  <c r="P833" i="1"/>
  <c r="P844" i="1"/>
  <c r="P855" i="1"/>
  <c r="P666" i="1"/>
  <c r="P670" i="1"/>
  <c r="P674" i="1"/>
  <c r="P678" i="1"/>
  <c r="P682" i="1"/>
  <c r="P686" i="1"/>
  <c r="P690" i="1"/>
  <c r="P694" i="1"/>
  <c r="P698" i="1"/>
  <c r="P667" i="1"/>
  <c r="P672" i="1"/>
  <c r="P677" i="1"/>
  <c r="P683" i="1"/>
  <c r="P688" i="1"/>
  <c r="P693" i="1"/>
  <c r="P699" i="1"/>
  <c r="P665" i="1"/>
  <c r="P671" i="1"/>
  <c r="P676" i="1"/>
  <c r="P681" i="1"/>
  <c r="P687" i="1"/>
  <c r="P692" i="1"/>
  <c r="P697" i="1"/>
  <c r="P664" i="1"/>
  <c r="P675" i="1"/>
  <c r="P685" i="1"/>
  <c r="P696" i="1"/>
  <c r="P668" i="1"/>
  <c r="P679" i="1"/>
  <c r="P689" i="1"/>
  <c r="P700" i="1"/>
  <c r="P669" i="1"/>
  <c r="P680" i="1"/>
  <c r="P691" i="1"/>
  <c r="P701" i="1"/>
  <c r="P673" i="1"/>
  <c r="P684" i="1"/>
  <c r="P695" i="1"/>
  <c r="P510" i="1"/>
  <c r="P514" i="1"/>
  <c r="P518" i="1"/>
  <c r="P522" i="1"/>
  <c r="P526" i="1"/>
  <c r="P530" i="1"/>
  <c r="P534" i="1"/>
  <c r="P538" i="1"/>
  <c r="P542" i="1"/>
  <c r="P546" i="1"/>
  <c r="P512" i="1"/>
  <c r="P517" i="1"/>
  <c r="P523" i="1"/>
  <c r="P528" i="1"/>
  <c r="P533" i="1"/>
  <c r="P539" i="1"/>
  <c r="P544" i="1"/>
  <c r="P511" i="1"/>
  <c r="P516" i="1"/>
  <c r="P521" i="1"/>
  <c r="P527" i="1"/>
  <c r="P532" i="1"/>
  <c r="P537" i="1"/>
  <c r="P543" i="1"/>
  <c r="P515" i="1"/>
  <c r="P525" i="1"/>
  <c r="P536" i="1"/>
  <c r="P547" i="1"/>
  <c r="P519" i="1"/>
  <c r="P529" i="1"/>
  <c r="P540" i="1"/>
  <c r="P520" i="1"/>
  <c r="P531" i="1"/>
  <c r="P541" i="1"/>
  <c r="P513" i="1"/>
  <c r="P524" i="1"/>
  <c r="P535" i="1"/>
  <c r="P545" i="1"/>
  <c r="P344" i="1"/>
  <c r="P348" i="1"/>
  <c r="P352" i="1"/>
  <c r="P356" i="1"/>
  <c r="P360" i="1"/>
  <c r="P364" i="1"/>
  <c r="P368" i="1"/>
  <c r="P372" i="1"/>
  <c r="P376" i="1"/>
  <c r="P380" i="1"/>
  <c r="P384" i="1"/>
  <c r="P346" i="1"/>
  <c r="P351" i="1"/>
  <c r="P357" i="1"/>
  <c r="P362" i="1"/>
  <c r="P367" i="1"/>
  <c r="P373" i="1"/>
  <c r="P378" i="1"/>
  <c r="P383" i="1"/>
  <c r="P350" i="1"/>
  <c r="P358" i="1"/>
  <c r="P365" i="1"/>
  <c r="P371" i="1"/>
  <c r="P379" i="1"/>
  <c r="P349" i="1"/>
  <c r="P355" i="1"/>
  <c r="P363" i="1"/>
  <c r="P370" i="1"/>
  <c r="P377" i="1"/>
  <c r="P385" i="1"/>
  <c r="P354" i="1"/>
  <c r="P369" i="1"/>
  <c r="P382" i="1"/>
  <c r="P345" i="1"/>
  <c r="P359" i="1"/>
  <c r="P374" i="1"/>
  <c r="P347" i="1"/>
  <c r="P361" i="1"/>
  <c r="P375" i="1"/>
  <c r="P353" i="1"/>
  <c r="P366" i="1"/>
  <c r="P381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157" i="1"/>
  <c r="P165" i="1"/>
  <c r="P173" i="1"/>
  <c r="P181" i="1"/>
  <c r="P189" i="1"/>
  <c r="P197" i="1"/>
  <c r="P204" i="1"/>
  <c r="P158" i="1"/>
  <c r="P169" i="1"/>
  <c r="P178" i="1"/>
  <c r="P190" i="1"/>
  <c r="P201" i="1"/>
  <c r="P170" i="1"/>
  <c r="P185" i="1"/>
  <c r="P198" i="1"/>
  <c r="P166" i="1"/>
  <c r="P182" i="1"/>
  <c r="P194" i="1"/>
  <c r="P162" i="1"/>
  <c r="P193" i="1"/>
  <c r="P174" i="1"/>
  <c r="P202" i="1"/>
  <c r="P177" i="1"/>
  <c r="P205" i="1"/>
  <c r="P161" i="1"/>
  <c r="P186" i="1"/>
  <c r="P4141" i="1"/>
  <c r="P4145" i="1"/>
  <c r="P4149" i="1"/>
  <c r="P4153" i="1"/>
  <c r="P4157" i="1"/>
  <c r="P4161" i="1"/>
  <c r="P4165" i="1"/>
  <c r="P4169" i="1"/>
  <c r="P4173" i="1"/>
  <c r="P4177" i="1"/>
  <c r="P4142" i="1"/>
  <c r="P4146" i="1"/>
  <c r="P4150" i="1"/>
  <c r="P4154" i="1"/>
  <c r="P4158" i="1"/>
  <c r="P4162" i="1"/>
  <c r="P4166" i="1"/>
  <c r="P4170" i="1"/>
  <c r="P4174" i="1"/>
  <c r="P4178" i="1"/>
  <c r="P4140" i="1"/>
  <c r="P4144" i="1"/>
  <c r="P4148" i="1"/>
  <c r="P4152" i="1"/>
  <c r="P4156" i="1"/>
  <c r="P4160" i="1"/>
  <c r="P4164" i="1"/>
  <c r="P4168" i="1"/>
  <c r="P4172" i="1"/>
  <c r="P4176" i="1"/>
  <c r="P4143" i="1"/>
  <c r="P4159" i="1"/>
  <c r="P4175" i="1"/>
  <c r="P4147" i="1"/>
  <c r="P4163" i="1"/>
  <c r="P4179" i="1"/>
  <c r="P4151" i="1"/>
  <c r="P4167" i="1"/>
  <c r="P4155" i="1"/>
  <c r="P4171" i="1"/>
  <c r="P3811" i="1"/>
  <c r="P3815" i="1"/>
  <c r="P3819" i="1"/>
  <c r="P3823" i="1"/>
  <c r="P3827" i="1"/>
  <c r="P3831" i="1"/>
  <c r="P3835" i="1"/>
  <c r="P3839" i="1"/>
  <c r="P3843" i="1"/>
  <c r="P3847" i="1"/>
  <c r="P3851" i="1"/>
  <c r="P3808" i="1"/>
  <c r="P3812" i="1"/>
  <c r="P3816" i="1"/>
  <c r="P3820" i="1"/>
  <c r="P3824" i="1"/>
  <c r="P3828" i="1"/>
  <c r="P3832" i="1"/>
  <c r="P3836" i="1"/>
  <c r="P3840" i="1"/>
  <c r="P3844" i="1"/>
  <c r="P3848" i="1"/>
  <c r="P3852" i="1"/>
  <c r="P3810" i="1"/>
  <c r="P3814" i="1"/>
  <c r="P3818" i="1"/>
  <c r="P3822" i="1"/>
  <c r="P3826" i="1"/>
  <c r="P3830" i="1"/>
  <c r="P3834" i="1"/>
  <c r="P3838" i="1"/>
  <c r="P3842" i="1"/>
  <c r="P3846" i="1"/>
  <c r="P3850" i="1"/>
  <c r="P3813" i="1"/>
  <c r="P3829" i="1"/>
  <c r="P3845" i="1"/>
  <c r="P3817" i="1"/>
  <c r="P3833" i="1"/>
  <c r="P3849" i="1"/>
  <c r="P3809" i="1"/>
  <c r="P3825" i="1"/>
  <c r="P3841" i="1"/>
  <c r="P3821" i="1"/>
  <c r="P3837" i="1"/>
  <c r="P3853" i="1"/>
  <c r="P3599" i="1"/>
  <c r="P3603" i="1"/>
  <c r="P3607" i="1"/>
  <c r="P3611" i="1"/>
  <c r="P3615" i="1"/>
  <c r="P3619" i="1"/>
  <c r="P3623" i="1"/>
  <c r="P3627" i="1"/>
  <c r="P3631" i="1"/>
  <c r="P3635" i="1"/>
  <c r="P3639" i="1"/>
  <c r="P3643" i="1"/>
  <c r="P3647" i="1"/>
  <c r="P3651" i="1"/>
  <c r="P3600" i="1"/>
  <c r="P3604" i="1"/>
  <c r="P3608" i="1"/>
  <c r="P3612" i="1"/>
  <c r="P3616" i="1"/>
  <c r="P3620" i="1"/>
  <c r="P3624" i="1"/>
  <c r="P3628" i="1"/>
  <c r="P3632" i="1"/>
  <c r="P3636" i="1"/>
  <c r="P3640" i="1"/>
  <c r="P3644" i="1"/>
  <c r="P3648" i="1"/>
  <c r="P3598" i="1"/>
  <c r="P3602" i="1"/>
  <c r="P3606" i="1"/>
  <c r="P3610" i="1"/>
  <c r="P3614" i="1"/>
  <c r="P3618" i="1"/>
  <c r="P3622" i="1"/>
  <c r="P3626" i="1"/>
  <c r="P3630" i="1"/>
  <c r="P3634" i="1"/>
  <c r="P3638" i="1"/>
  <c r="P3642" i="1"/>
  <c r="P3646" i="1"/>
  <c r="P3650" i="1"/>
  <c r="P3605" i="1"/>
  <c r="P3621" i="1"/>
  <c r="P3637" i="1"/>
  <c r="P3609" i="1"/>
  <c r="P3625" i="1"/>
  <c r="P3641" i="1"/>
  <c r="P3601" i="1"/>
  <c r="P3617" i="1"/>
  <c r="P3633" i="1"/>
  <c r="P3649" i="1"/>
  <c r="P3596" i="1"/>
  <c r="P3629" i="1"/>
  <c r="P3645" i="1"/>
  <c r="P3597" i="1"/>
  <c r="P3613" i="1"/>
  <c r="P1336" i="1"/>
  <c r="P1340" i="1"/>
  <c r="P1344" i="1"/>
  <c r="P1348" i="1"/>
  <c r="P1352" i="1"/>
  <c r="P1356" i="1"/>
  <c r="P1360" i="1"/>
  <c r="P1364" i="1"/>
  <c r="P1341" i="1"/>
  <c r="P1346" i="1"/>
  <c r="P1351" i="1"/>
  <c r="P1357" i="1"/>
  <c r="P1362" i="1"/>
  <c r="P1367" i="1"/>
  <c r="P1337" i="1"/>
  <c r="P1342" i="1"/>
  <c r="P1347" i="1"/>
  <c r="P1353" i="1"/>
  <c r="P1358" i="1"/>
  <c r="P1363" i="1"/>
  <c r="P1338" i="1"/>
  <c r="P1343" i="1"/>
  <c r="P1349" i="1"/>
  <c r="P1354" i="1"/>
  <c r="P1359" i="1"/>
  <c r="P1365" i="1"/>
  <c r="P1339" i="1"/>
  <c r="P1345" i="1"/>
  <c r="P1350" i="1"/>
  <c r="P1355" i="1"/>
  <c r="P1361" i="1"/>
  <c r="P1366" i="1"/>
  <c r="P782" i="1"/>
  <c r="P786" i="1"/>
  <c r="P790" i="1"/>
  <c r="P794" i="1"/>
  <c r="P798" i="1"/>
  <c r="P802" i="1"/>
  <c r="P806" i="1"/>
  <c r="P810" i="1"/>
  <c r="P814" i="1"/>
  <c r="P784" i="1"/>
  <c r="P789" i="1"/>
  <c r="P795" i="1"/>
  <c r="P800" i="1"/>
  <c r="P805" i="1"/>
  <c r="P811" i="1"/>
  <c r="P816" i="1"/>
  <c r="P783" i="1"/>
  <c r="P788" i="1"/>
  <c r="P793" i="1"/>
  <c r="P799" i="1"/>
  <c r="P804" i="1"/>
  <c r="P809" i="1"/>
  <c r="P815" i="1"/>
  <c r="P781" i="1"/>
  <c r="P792" i="1"/>
  <c r="P803" i="1"/>
  <c r="P813" i="1"/>
  <c r="P785" i="1"/>
  <c r="P796" i="1"/>
  <c r="P807" i="1"/>
  <c r="P817" i="1"/>
  <c r="P787" i="1"/>
  <c r="P797" i="1"/>
  <c r="P808" i="1"/>
  <c r="P780" i="1"/>
  <c r="P791" i="1"/>
  <c r="P801" i="1"/>
  <c r="P812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09" i="1"/>
  <c r="P117" i="1"/>
  <c r="P125" i="1"/>
  <c r="P133" i="1"/>
  <c r="P141" i="1"/>
  <c r="P149" i="1"/>
  <c r="P114" i="1"/>
  <c r="P126" i="1"/>
  <c r="P137" i="1"/>
  <c r="P146" i="1"/>
  <c r="P113" i="1"/>
  <c r="P129" i="1"/>
  <c r="P142" i="1"/>
  <c r="P154" i="1"/>
  <c r="P110" i="1"/>
  <c r="P122" i="1"/>
  <c r="P138" i="1"/>
  <c r="P153" i="1"/>
  <c r="P106" i="1"/>
  <c r="P134" i="1"/>
  <c r="P118" i="1"/>
  <c r="P145" i="1"/>
  <c r="P121" i="1"/>
  <c r="P150" i="1"/>
  <c r="P130" i="1"/>
  <c r="P1430" i="1"/>
  <c r="P1425" i="1"/>
  <c r="P1419" i="1"/>
  <c r="P1414" i="1"/>
  <c r="P1409" i="1"/>
  <c r="P1403" i="1"/>
  <c r="P1302" i="1"/>
  <c r="P1297" i="1"/>
  <c r="P1291" i="1"/>
  <c r="P1286" i="1"/>
  <c r="P1281" i="1"/>
  <c r="P1275" i="1"/>
  <c r="P1169" i="1"/>
  <c r="P1163" i="1"/>
  <c r="P1158" i="1"/>
  <c r="P1153" i="1"/>
  <c r="P1147" i="1"/>
  <c r="P1142" i="1"/>
  <c r="P1137" i="1"/>
  <c r="P1026" i="1"/>
  <c r="P1018" i="1"/>
  <c r="P1010" i="1"/>
  <c r="P1002" i="1"/>
  <c r="P890" i="1"/>
  <c r="P882" i="1"/>
  <c r="P874" i="1"/>
  <c r="P865" i="1"/>
  <c r="P737" i="1"/>
  <c r="P727" i="1"/>
  <c r="P716" i="1"/>
  <c r="P705" i="1"/>
  <c r="P577" i="1"/>
  <c r="P567" i="1"/>
  <c r="P556" i="1"/>
  <c r="P423" i="1"/>
  <c r="P409" i="1"/>
  <c r="P395" i="1"/>
  <c r="P253" i="1"/>
  <c r="P238" i="1"/>
  <c r="P225" i="1"/>
  <c r="P210" i="1"/>
  <c r="P1429" i="1"/>
  <c r="P1423" i="1"/>
  <c r="P1418" i="1"/>
  <c r="P1413" i="1"/>
  <c r="P1407" i="1"/>
  <c r="P1402" i="1"/>
  <c r="P1301" i="1"/>
  <c r="P1295" i="1"/>
  <c r="P1290" i="1"/>
  <c r="P1285" i="1"/>
  <c r="P1279" i="1"/>
  <c r="P1274" i="1"/>
  <c r="P1167" i="1"/>
  <c r="P1162" i="1"/>
  <c r="P1157" i="1"/>
  <c r="P1151" i="1"/>
  <c r="P1146" i="1"/>
  <c r="P1141" i="1"/>
  <c r="P1031" i="1"/>
  <c r="P1023" i="1"/>
  <c r="P1015" i="1"/>
  <c r="P1007" i="1"/>
  <c r="P999" i="1"/>
  <c r="P887" i="1"/>
  <c r="P879" i="1"/>
  <c r="P871" i="1"/>
  <c r="P861" i="1"/>
  <c r="P733" i="1"/>
  <c r="P723" i="1"/>
  <c r="P712" i="1"/>
  <c r="P584" i="1"/>
  <c r="P573" i="1"/>
  <c r="P563" i="1"/>
  <c r="P552" i="1"/>
  <c r="P418" i="1"/>
  <c r="P403" i="1"/>
  <c r="P390" i="1"/>
  <c r="P247" i="1"/>
  <c r="P233" i="1"/>
  <c r="P219" i="1"/>
  <c r="P1427" i="1"/>
  <c r="P1422" i="1"/>
  <c r="P1417" i="1"/>
  <c r="P1411" i="1"/>
  <c r="P1406" i="1"/>
  <c r="P1299" i="1"/>
  <c r="P1294" i="1"/>
  <c r="P1289" i="1"/>
  <c r="P1283" i="1"/>
  <c r="P1278" i="1"/>
  <c r="P1171" i="1"/>
  <c r="P1166" i="1"/>
  <c r="P1161" i="1"/>
  <c r="P1155" i="1"/>
  <c r="P1150" i="1"/>
  <c r="P1145" i="1"/>
  <c r="P1030" i="1"/>
  <c r="P1022" i="1"/>
  <c r="P1014" i="1"/>
  <c r="P1006" i="1"/>
  <c r="P886" i="1"/>
  <c r="P878" i="1"/>
  <c r="P870" i="1"/>
  <c r="P732" i="1"/>
  <c r="P721" i="1"/>
  <c r="P583" i="1"/>
  <c r="P572" i="1"/>
  <c r="P561" i="1"/>
  <c r="P417" i="1"/>
  <c r="P402" i="1"/>
  <c r="P246" i="1"/>
  <c r="P231" i="1"/>
  <c r="P4220" i="1"/>
  <c r="P4224" i="1"/>
  <c r="P4228" i="1"/>
  <c r="P4232" i="1"/>
  <c r="P4236" i="1"/>
  <c r="P4240" i="1"/>
  <c r="P4244" i="1"/>
  <c r="P4248" i="1"/>
  <c r="P4252" i="1"/>
  <c r="P4256" i="1"/>
  <c r="P4225" i="1"/>
  <c r="P4230" i="1"/>
  <c r="P4235" i="1"/>
  <c r="P4241" i="1"/>
  <c r="P4246" i="1"/>
  <c r="P4251" i="1"/>
  <c r="P4257" i="1"/>
  <c r="P4221" i="1"/>
  <c r="P4226" i="1"/>
  <c r="P4231" i="1"/>
  <c r="P4237" i="1"/>
  <c r="P4242" i="1"/>
  <c r="P4247" i="1"/>
  <c r="P4253" i="1"/>
  <c r="P4258" i="1"/>
  <c r="P4222" i="1"/>
  <c r="P4227" i="1"/>
  <c r="P4233" i="1"/>
  <c r="P4238" i="1"/>
  <c r="P4243" i="1"/>
  <c r="P4249" i="1"/>
  <c r="P4254" i="1"/>
  <c r="P4259" i="1"/>
  <c r="P4223" i="1"/>
  <c r="P4229" i="1"/>
  <c r="P4234" i="1"/>
  <c r="P4239" i="1"/>
  <c r="P4245" i="1"/>
  <c r="P4250" i="1"/>
  <c r="P4255" i="1"/>
  <c r="P4061" i="1"/>
  <c r="P4065" i="1"/>
  <c r="P4069" i="1"/>
  <c r="P4073" i="1"/>
  <c r="P4077" i="1"/>
  <c r="P4081" i="1"/>
  <c r="P4085" i="1"/>
  <c r="P4089" i="1"/>
  <c r="P4093" i="1"/>
  <c r="P4097" i="1"/>
  <c r="P4062" i="1"/>
  <c r="P4066" i="1"/>
  <c r="P4070" i="1"/>
  <c r="P4074" i="1"/>
  <c r="P4078" i="1"/>
  <c r="P4082" i="1"/>
  <c r="P4086" i="1"/>
  <c r="P4090" i="1"/>
  <c r="P4094" i="1"/>
  <c r="P4098" i="1"/>
  <c r="P4060" i="1"/>
  <c r="P4064" i="1"/>
  <c r="P4068" i="1"/>
  <c r="P4072" i="1"/>
  <c r="P4076" i="1"/>
  <c r="P4080" i="1"/>
  <c r="P4084" i="1"/>
  <c r="P4088" i="1"/>
  <c r="P4092" i="1"/>
  <c r="P4096" i="1"/>
  <c r="P4063" i="1"/>
  <c r="P4079" i="1"/>
  <c r="P4095" i="1"/>
  <c r="P4067" i="1"/>
  <c r="P4083" i="1"/>
  <c r="P4099" i="1"/>
  <c r="P4071" i="1"/>
  <c r="P4087" i="1"/>
  <c r="P4075" i="1"/>
  <c r="P4091" i="1"/>
  <c r="P3903" i="1"/>
  <c r="P3907" i="1"/>
  <c r="P3911" i="1"/>
  <c r="P3915" i="1"/>
  <c r="P3919" i="1"/>
  <c r="P3923" i="1"/>
  <c r="P3927" i="1"/>
  <c r="P3931" i="1"/>
  <c r="P3935" i="1"/>
  <c r="P3900" i="1"/>
  <c r="P3904" i="1"/>
  <c r="P3908" i="1"/>
  <c r="P3912" i="1"/>
  <c r="P3916" i="1"/>
  <c r="P3902" i="1"/>
  <c r="P3906" i="1"/>
  <c r="P3910" i="1"/>
  <c r="P3914" i="1"/>
  <c r="P3918" i="1"/>
  <c r="P3922" i="1"/>
  <c r="P3926" i="1"/>
  <c r="P3930" i="1"/>
  <c r="P3934" i="1"/>
  <c r="P3909" i="1"/>
  <c r="P3921" i="1"/>
  <c r="P3929" i="1"/>
  <c r="P3937" i="1"/>
  <c r="P3913" i="1"/>
  <c r="P3924" i="1"/>
  <c r="P3932" i="1"/>
  <c r="P3938" i="1"/>
  <c r="P3905" i="1"/>
  <c r="P3920" i="1"/>
  <c r="P3928" i="1"/>
  <c r="P3936" i="1"/>
  <c r="P3933" i="1"/>
  <c r="P3901" i="1"/>
  <c r="P3939" i="1"/>
  <c r="P3917" i="1"/>
  <c r="P3925" i="1"/>
  <c r="P3711" i="1"/>
  <c r="P3715" i="1"/>
  <c r="P3719" i="1"/>
  <c r="P3723" i="1"/>
  <c r="P3727" i="1"/>
  <c r="P3731" i="1"/>
  <c r="P3735" i="1"/>
  <c r="P3739" i="1"/>
  <c r="P3743" i="1"/>
  <c r="P3747" i="1"/>
  <c r="P3751" i="1"/>
  <c r="P3755" i="1"/>
  <c r="P3759" i="1"/>
  <c r="P3708" i="1"/>
  <c r="P3712" i="1"/>
  <c r="P3716" i="1"/>
  <c r="P3720" i="1"/>
  <c r="P3724" i="1"/>
  <c r="P3728" i="1"/>
  <c r="P3732" i="1"/>
  <c r="P3736" i="1"/>
  <c r="P3740" i="1"/>
  <c r="P3744" i="1"/>
  <c r="P3748" i="1"/>
  <c r="P3752" i="1"/>
  <c r="P3756" i="1"/>
  <c r="P3710" i="1"/>
  <c r="P3714" i="1"/>
  <c r="P3718" i="1"/>
  <c r="P3722" i="1"/>
  <c r="P3726" i="1"/>
  <c r="P3730" i="1"/>
  <c r="P3734" i="1"/>
  <c r="P3738" i="1"/>
  <c r="P3742" i="1"/>
  <c r="P3746" i="1"/>
  <c r="P3750" i="1"/>
  <c r="P3754" i="1"/>
  <c r="P3758" i="1"/>
  <c r="P3717" i="1"/>
  <c r="P3733" i="1"/>
  <c r="P3749" i="1"/>
  <c r="P3721" i="1"/>
  <c r="P3737" i="1"/>
  <c r="P3753" i="1"/>
  <c r="P3713" i="1"/>
  <c r="P3729" i="1"/>
  <c r="P3745" i="1"/>
  <c r="P3757" i="1"/>
  <c r="P3709" i="1"/>
  <c r="P3725" i="1"/>
  <c r="P3741" i="1"/>
  <c r="P1400" i="1"/>
  <c r="P1404" i="1"/>
  <c r="P1408" i="1"/>
  <c r="P1412" i="1"/>
  <c r="P1416" i="1"/>
  <c r="P1420" i="1"/>
  <c r="P1424" i="1"/>
  <c r="P1428" i="1"/>
  <c r="P1272" i="1"/>
  <c r="P1276" i="1"/>
  <c r="P1280" i="1"/>
  <c r="P1284" i="1"/>
  <c r="P1288" i="1"/>
  <c r="P1292" i="1"/>
  <c r="P1296" i="1"/>
  <c r="P1300" i="1"/>
  <c r="P1136" i="1"/>
  <c r="P1140" i="1"/>
  <c r="P1144" i="1"/>
  <c r="P1148" i="1"/>
  <c r="P1152" i="1"/>
  <c r="P1156" i="1"/>
  <c r="P1160" i="1"/>
  <c r="P1164" i="1"/>
  <c r="P1168" i="1"/>
  <c r="P1001" i="1"/>
  <c r="P1005" i="1"/>
  <c r="P1009" i="1"/>
  <c r="P1013" i="1"/>
  <c r="P1017" i="1"/>
  <c r="P1021" i="1"/>
  <c r="P1025" i="1"/>
  <c r="P1029" i="1"/>
  <c r="P1000" i="1"/>
  <c r="P1004" i="1"/>
  <c r="P1008" i="1"/>
  <c r="P1012" i="1"/>
  <c r="P1016" i="1"/>
  <c r="P1020" i="1"/>
  <c r="P1024" i="1"/>
  <c r="P1028" i="1"/>
  <c r="P858" i="1"/>
  <c r="P862" i="1"/>
  <c r="P866" i="1"/>
  <c r="P859" i="1"/>
  <c r="P864" i="1"/>
  <c r="P869" i="1"/>
  <c r="P873" i="1"/>
  <c r="P877" i="1"/>
  <c r="P881" i="1"/>
  <c r="P885" i="1"/>
  <c r="P889" i="1"/>
  <c r="P857" i="1"/>
  <c r="P863" i="1"/>
  <c r="P868" i="1"/>
  <c r="P872" i="1"/>
  <c r="P876" i="1"/>
  <c r="P880" i="1"/>
  <c r="P884" i="1"/>
  <c r="P888" i="1"/>
  <c r="P702" i="1"/>
  <c r="P706" i="1"/>
  <c r="P710" i="1"/>
  <c r="P714" i="1"/>
  <c r="P718" i="1"/>
  <c r="P722" i="1"/>
  <c r="P726" i="1"/>
  <c r="P730" i="1"/>
  <c r="P734" i="1"/>
  <c r="P738" i="1"/>
  <c r="P704" i="1"/>
  <c r="P709" i="1"/>
  <c r="P715" i="1"/>
  <c r="P720" i="1"/>
  <c r="P725" i="1"/>
  <c r="P731" i="1"/>
  <c r="P736" i="1"/>
  <c r="P703" i="1"/>
  <c r="P708" i="1"/>
  <c r="P713" i="1"/>
  <c r="P719" i="1"/>
  <c r="P724" i="1"/>
  <c r="P729" i="1"/>
  <c r="P735" i="1"/>
  <c r="P550" i="1"/>
  <c r="P554" i="1"/>
  <c r="P558" i="1"/>
  <c r="P562" i="1"/>
  <c r="P566" i="1"/>
  <c r="P570" i="1"/>
  <c r="P574" i="1"/>
  <c r="P578" i="1"/>
  <c r="P582" i="1"/>
  <c r="P549" i="1"/>
  <c r="P555" i="1"/>
  <c r="P560" i="1"/>
  <c r="P565" i="1"/>
  <c r="P571" i="1"/>
  <c r="P576" i="1"/>
  <c r="P581" i="1"/>
  <c r="P548" i="1"/>
  <c r="P553" i="1"/>
  <c r="P559" i="1"/>
  <c r="P564" i="1"/>
  <c r="P569" i="1"/>
  <c r="P575" i="1"/>
  <c r="P580" i="1"/>
  <c r="P585" i="1"/>
  <c r="P388" i="1"/>
  <c r="P392" i="1"/>
  <c r="P396" i="1"/>
  <c r="P400" i="1"/>
  <c r="P404" i="1"/>
  <c r="P408" i="1"/>
  <c r="P412" i="1"/>
  <c r="P416" i="1"/>
  <c r="P420" i="1"/>
  <c r="P424" i="1"/>
  <c r="P389" i="1"/>
  <c r="P394" i="1"/>
  <c r="P399" i="1"/>
  <c r="P405" i="1"/>
  <c r="P410" i="1"/>
  <c r="P415" i="1"/>
  <c r="P421" i="1"/>
  <c r="P426" i="1"/>
  <c r="P386" i="1"/>
  <c r="P393" i="1"/>
  <c r="P401" i="1"/>
  <c r="P407" i="1"/>
  <c r="P414" i="1"/>
  <c r="P422" i="1"/>
  <c r="P391" i="1"/>
  <c r="P398" i="1"/>
  <c r="P406" i="1"/>
  <c r="P413" i="1"/>
  <c r="P419" i="1"/>
  <c r="P427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07" i="1"/>
  <c r="P213" i="1"/>
  <c r="P218" i="1"/>
  <c r="P223" i="1"/>
  <c r="P229" i="1"/>
  <c r="P234" i="1"/>
  <c r="P239" i="1"/>
  <c r="P245" i="1"/>
  <c r="P250" i="1"/>
  <c r="P209" i="1"/>
  <c r="P215" i="1"/>
  <c r="P222" i="1"/>
  <c r="P230" i="1"/>
  <c r="P237" i="1"/>
  <c r="P243" i="1"/>
  <c r="P251" i="1"/>
  <c r="P206" i="1"/>
  <c r="P214" i="1"/>
  <c r="P221" i="1"/>
  <c r="P227" i="1"/>
  <c r="P235" i="1"/>
  <c r="P242" i="1"/>
  <c r="P249" i="1"/>
  <c r="P1431" i="1"/>
  <c r="P1426" i="1"/>
  <c r="P1421" i="1"/>
  <c r="P1415" i="1"/>
  <c r="P1410" i="1"/>
  <c r="P1405" i="1"/>
  <c r="P1303" i="1"/>
  <c r="P1298" i="1"/>
  <c r="P1293" i="1"/>
  <c r="P1287" i="1"/>
  <c r="P1282" i="1"/>
  <c r="P1277" i="1"/>
  <c r="P1170" i="1"/>
  <c r="P1165" i="1"/>
  <c r="P1159" i="1"/>
  <c r="P1154" i="1"/>
  <c r="P1149" i="1"/>
  <c r="P1143" i="1"/>
  <c r="P1138" i="1"/>
  <c r="P1027" i="1"/>
  <c r="P1019" i="1"/>
  <c r="P1011" i="1"/>
  <c r="P1003" i="1"/>
  <c r="P891" i="1"/>
  <c r="P883" i="1"/>
  <c r="P875" i="1"/>
  <c r="P867" i="1"/>
  <c r="P856" i="1"/>
  <c r="P739" i="1"/>
  <c r="P728" i="1"/>
  <c r="P717" i="1"/>
  <c r="P707" i="1"/>
  <c r="P579" i="1"/>
  <c r="P568" i="1"/>
  <c r="P557" i="1"/>
  <c r="P425" i="1"/>
  <c r="P411" i="1"/>
  <c r="P397" i="1"/>
  <c r="P241" i="1"/>
  <c r="P226" i="1"/>
  <c r="P211" i="1"/>
  <c r="R3044" i="1"/>
  <c r="R2276" i="1"/>
  <c r="R3184" i="1"/>
  <c r="R2160" i="1"/>
  <c r="R2812" i="1"/>
  <c r="R3364" i="1"/>
  <c r="R3108" i="1"/>
  <c r="R2852" i="1"/>
  <c r="R2596" i="1"/>
  <c r="R2340" i="1"/>
  <c r="R2072" i="1"/>
  <c r="R2579" i="1"/>
  <c r="R3504" i="1"/>
  <c r="R3248" i="1"/>
  <c r="R2992" i="1"/>
  <c r="R2736" i="1"/>
  <c r="R2480" i="1"/>
  <c r="R2224" i="1"/>
  <c r="R3139" i="1"/>
  <c r="R3134" i="1"/>
  <c r="R3388" i="1"/>
  <c r="R3132" i="1"/>
  <c r="R2876" i="1"/>
  <c r="R2620" i="1"/>
  <c r="R2364" i="1"/>
  <c r="R2104" i="1"/>
  <c r="R2675" i="1"/>
  <c r="R2965" i="1"/>
  <c r="R3300" i="1"/>
  <c r="R2788" i="1"/>
  <c r="R3342" i="1"/>
  <c r="R2928" i="1"/>
  <c r="R2416" i="1"/>
  <c r="R2883" i="1"/>
  <c r="R3324" i="1"/>
  <c r="R2556" i="1"/>
  <c r="R1968" i="1"/>
  <c r="R3438" i="1"/>
  <c r="R711" i="1"/>
  <c r="R3492" i="1"/>
  <c r="R3236" i="1"/>
  <c r="R2980" i="1"/>
  <c r="R2724" i="1"/>
  <c r="R2468" i="1"/>
  <c r="R2212" i="1"/>
  <c r="R3091" i="1"/>
  <c r="R3078" i="1"/>
  <c r="R3376" i="1"/>
  <c r="R3120" i="1"/>
  <c r="R2864" i="1"/>
  <c r="R2608" i="1"/>
  <c r="R2352" i="1"/>
  <c r="R2088" i="1"/>
  <c r="R2627" i="1"/>
  <c r="R2773" i="1"/>
  <c r="R3516" i="1"/>
  <c r="R3260" i="1"/>
  <c r="R3004" i="1"/>
  <c r="R2748" i="1"/>
  <c r="R2492" i="1"/>
  <c r="R2236" i="1"/>
  <c r="R3187" i="1"/>
  <c r="R3182" i="1"/>
  <c r="R998" i="1"/>
  <c r="R860" i="1"/>
  <c r="R3556" i="1"/>
  <c r="R2532" i="1"/>
  <c r="R3347" i="1"/>
  <c r="R3440" i="1"/>
  <c r="R2672" i="1"/>
  <c r="R3580" i="1"/>
  <c r="R3068" i="1"/>
  <c r="R2300" i="1"/>
  <c r="R3443" i="1"/>
  <c r="R2419" i="1"/>
  <c r="R3428" i="1"/>
  <c r="R3172" i="1"/>
  <c r="R2916" i="1"/>
  <c r="R2660" i="1"/>
  <c r="R2404" i="1"/>
  <c r="R2148" i="1"/>
  <c r="R2835" i="1"/>
  <c r="R3568" i="1"/>
  <c r="R3312" i="1"/>
  <c r="R3056" i="1"/>
  <c r="R2800" i="1"/>
  <c r="R2544" i="1"/>
  <c r="R2288" i="1"/>
  <c r="R1920" i="1"/>
  <c r="R3395" i="1"/>
  <c r="R2371" i="1"/>
  <c r="R3390" i="1"/>
  <c r="R3452" i="1"/>
  <c r="R3196" i="1"/>
  <c r="R2940" i="1"/>
  <c r="R2684" i="1"/>
  <c r="R2428" i="1"/>
  <c r="R2172" i="1"/>
  <c r="R2931" i="1"/>
  <c r="R2438" i="1"/>
  <c r="R3572" i="1"/>
  <c r="R3508" i="1"/>
  <c r="R3444" i="1"/>
  <c r="R3380" i="1"/>
  <c r="R3316" i="1"/>
  <c r="R3252" i="1"/>
  <c r="R3188" i="1"/>
  <c r="R3124" i="1"/>
  <c r="R3060" i="1"/>
  <c r="R2996" i="1"/>
  <c r="R2932" i="1"/>
  <c r="R2868" i="1"/>
  <c r="R2804" i="1"/>
  <c r="R2740" i="1"/>
  <c r="R2676" i="1"/>
  <c r="R2612" i="1"/>
  <c r="R2548" i="1"/>
  <c r="R2484" i="1"/>
  <c r="R2420" i="1"/>
  <c r="R2356" i="1"/>
  <c r="R2292" i="1"/>
  <c r="R2228" i="1"/>
  <c r="R2164" i="1"/>
  <c r="R2092" i="1"/>
  <c r="R1936" i="1"/>
  <c r="R3411" i="1"/>
  <c r="R3155" i="1"/>
  <c r="R2899" i="1"/>
  <c r="R2643" i="1"/>
  <c r="R2387" i="1"/>
  <c r="R3406" i="1"/>
  <c r="R3150" i="1"/>
  <c r="R2837" i="1"/>
  <c r="R3584" i="1"/>
  <c r="R3520" i="1"/>
  <c r="R3456" i="1"/>
  <c r="R3392" i="1"/>
  <c r="R3328" i="1"/>
  <c r="R3264" i="1"/>
  <c r="R3200" i="1"/>
  <c r="R3136" i="1"/>
  <c r="R3072" i="1"/>
  <c r="R3008" i="1"/>
  <c r="R2944" i="1"/>
  <c r="R2880" i="1"/>
  <c r="R2816" i="1"/>
  <c r="R2752" i="1"/>
  <c r="R2688" i="1"/>
  <c r="R2624" i="1"/>
  <c r="R2560" i="1"/>
  <c r="R2496" i="1"/>
  <c r="R2432" i="1"/>
  <c r="R2368" i="1"/>
  <c r="R2304" i="1"/>
  <c r="R2240" i="1"/>
  <c r="R2176" i="1"/>
  <c r="R2108" i="1"/>
  <c r="R1984" i="1"/>
  <c r="R3459" i="1"/>
  <c r="R3203" i="1"/>
  <c r="R2947" i="1"/>
  <c r="R2691" i="1"/>
  <c r="R2435" i="1"/>
  <c r="R3454" i="1"/>
  <c r="R3198" i="1"/>
  <c r="R2502" i="1"/>
  <c r="R3029" i="1"/>
  <c r="R1464" i="1"/>
  <c r="R3532" i="1"/>
  <c r="R3468" i="1"/>
  <c r="R3404" i="1"/>
  <c r="R3340" i="1"/>
  <c r="R3276" i="1"/>
  <c r="R3212" i="1"/>
  <c r="R3148" i="1"/>
  <c r="R3084" i="1"/>
  <c r="R3020" i="1"/>
  <c r="R2956" i="1"/>
  <c r="R2892" i="1"/>
  <c r="R2828" i="1"/>
  <c r="R2764" i="1"/>
  <c r="R2700" i="1"/>
  <c r="R2636" i="1"/>
  <c r="R2572" i="1"/>
  <c r="R2508" i="1"/>
  <c r="R2444" i="1"/>
  <c r="R2380" i="1"/>
  <c r="R2316" i="1"/>
  <c r="R2252" i="1"/>
  <c r="R2188" i="1"/>
  <c r="R2124" i="1"/>
  <c r="R2032" i="1"/>
  <c r="R3507" i="1"/>
  <c r="R3251" i="1"/>
  <c r="R2995" i="1"/>
  <c r="R2739" i="1"/>
  <c r="R2483" i="1"/>
  <c r="R3502" i="1"/>
  <c r="R3246" i="1"/>
  <c r="R2694" i="1"/>
  <c r="R3221" i="1"/>
  <c r="R3540" i="1"/>
  <c r="R3476" i="1"/>
  <c r="R3412" i="1"/>
  <c r="R3348" i="1"/>
  <c r="R3284" i="1"/>
  <c r="R3220" i="1"/>
  <c r="R3156" i="1"/>
  <c r="R3092" i="1"/>
  <c r="R3028" i="1"/>
  <c r="R2964" i="1"/>
  <c r="R2900" i="1"/>
  <c r="R2836" i="1"/>
  <c r="R2772" i="1"/>
  <c r="R2708" i="1"/>
  <c r="R2644" i="1"/>
  <c r="R2580" i="1"/>
  <c r="R2516" i="1"/>
  <c r="R2452" i="1"/>
  <c r="R2388" i="1"/>
  <c r="R2324" i="1"/>
  <c r="R2260" i="1"/>
  <c r="R2196" i="1"/>
  <c r="R2132" i="1"/>
  <c r="R2048" i="1"/>
  <c r="R3539" i="1"/>
  <c r="R3283" i="1"/>
  <c r="R3027" i="1"/>
  <c r="R2771" i="1"/>
  <c r="R2515" i="1"/>
  <c r="R3534" i="1"/>
  <c r="R3278" i="1"/>
  <c r="R2822" i="1"/>
  <c r="R3349" i="1"/>
  <c r="R387" i="1"/>
  <c r="R3552" i="1"/>
  <c r="R3488" i="1"/>
  <c r="R3424" i="1"/>
  <c r="R3360" i="1"/>
  <c r="R3296" i="1"/>
  <c r="R3232" i="1"/>
  <c r="R3168" i="1"/>
  <c r="R3104" i="1"/>
  <c r="R3040" i="1"/>
  <c r="R2976" i="1"/>
  <c r="R2912" i="1"/>
  <c r="R2848" i="1"/>
  <c r="R2784" i="1"/>
  <c r="R2720" i="1"/>
  <c r="R2656" i="1"/>
  <c r="R2592" i="1"/>
  <c r="R2528" i="1"/>
  <c r="R2464" i="1"/>
  <c r="R2400" i="1"/>
  <c r="R2336" i="1"/>
  <c r="R2272" i="1"/>
  <c r="R2208" i="1"/>
  <c r="R2144" i="1"/>
  <c r="R2064" i="1"/>
  <c r="R3587" i="1"/>
  <c r="R3331" i="1"/>
  <c r="R3075" i="1"/>
  <c r="R2819" i="1"/>
  <c r="R2563" i="1"/>
  <c r="R3582" i="1"/>
  <c r="R3326" i="1"/>
  <c r="R3014" i="1"/>
  <c r="R3541" i="1"/>
  <c r="R3564" i="1"/>
  <c r="R3500" i="1"/>
  <c r="R3436" i="1"/>
  <c r="R3372" i="1"/>
  <c r="R3308" i="1"/>
  <c r="R3244" i="1"/>
  <c r="R3180" i="1"/>
  <c r="R3116" i="1"/>
  <c r="R3052" i="1"/>
  <c r="R2988" i="1"/>
  <c r="R2924" i="1"/>
  <c r="R2860" i="1"/>
  <c r="R2796" i="1"/>
  <c r="R2732" i="1"/>
  <c r="R2668" i="1"/>
  <c r="R2604" i="1"/>
  <c r="R2540" i="1"/>
  <c r="R2476" i="1"/>
  <c r="R2412" i="1"/>
  <c r="R2348" i="1"/>
  <c r="R2284" i="1"/>
  <c r="R2220" i="1"/>
  <c r="R2156" i="1"/>
  <c r="R2080" i="1"/>
  <c r="R1904" i="1"/>
  <c r="R3379" i="1"/>
  <c r="R3123" i="1"/>
  <c r="R2867" i="1"/>
  <c r="R2611" i="1"/>
  <c r="R2355" i="1"/>
  <c r="R3374" i="1"/>
  <c r="R3118" i="1"/>
  <c r="R2709" i="1"/>
  <c r="R1401" i="1"/>
  <c r="R1273" i="1"/>
  <c r="R551" i="1"/>
  <c r="R3588" i="1"/>
  <c r="R3524" i="1"/>
  <c r="R3460" i="1"/>
  <c r="R3396" i="1"/>
  <c r="R3332" i="1"/>
  <c r="R3268" i="1"/>
  <c r="R3204" i="1"/>
  <c r="R3140" i="1"/>
  <c r="R3076" i="1"/>
  <c r="R3012" i="1"/>
  <c r="R2948" i="1"/>
  <c r="R2884" i="1"/>
  <c r="R2820" i="1"/>
  <c r="R2756" i="1"/>
  <c r="R2692" i="1"/>
  <c r="R2628" i="1"/>
  <c r="R2564" i="1"/>
  <c r="R2500" i="1"/>
  <c r="R2436" i="1"/>
  <c r="R2372" i="1"/>
  <c r="R2308" i="1"/>
  <c r="R2244" i="1"/>
  <c r="R2180" i="1"/>
  <c r="R2112" i="1"/>
  <c r="R2000" i="1"/>
  <c r="R3475" i="1"/>
  <c r="R3219" i="1"/>
  <c r="R2963" i="1"/>
  <c r="R2707" i="1"/>
  <c r="R2451" i="1"/>
  <c r="R3470" i="1"/>
  <c r="R3214" i="1"/>
  <c r="R2566" i="1"/>
  <c r="R3093" i="1"/>
  <c r="R1139" i="1"/>
  <c r="R3536" i="1"/>
  <c r="R3472" i="1"/>
  <c r="R3408" i="1"/>
  <c r="R3344" i="1"/>
  <c r="R3280" i="1"/>
  <c r="R3216" i="1"/>
  <c r="R3152" i="1"/>
  <c r="R3088" i="1"/>
  <c r="R3024" i="1"/>
  <c r="R2960" i="1"/>
  <c r="R2896" i="1"/>
  <c r="R2832" i="1"/>
  <c r="R2768" i="1"/>
  <c r="R2704" i="1"/>
  <c r="R2640" i="1"/>
  <c r="R2576" i="1"/>
  <c r="R2512" i="1"/>
  <c r="R2448" i="1"/>
  <c r="R2384" i="1"/>
  <c r="R2320" i="1"/>
  <c r="R2256" i="1"/>
  <c r="R2192" i="1"/>
  <c r="R2128" i="1"/>
  <c r="R2040" i="1"/>
  <c r="R3523" i="1"/>
  <c r="R3267" i="1"/>
  <c r="R3011" i="1"/>
  <c r="R2755" i="1"/>
  <c r="R2499" i="1"/>
  <c r="R3518" i="1"/>
  <c r="R3262" i="1"/>
  <c r="R2758" i="1"/>
  <c r="R3285" i="1"/>
  <c r="R3548" i="1"/>
  <c r="R3484" i="1"/>
  <c r="R3420" i="1"/>
  <c r="R3356" i="1"/>
  <c r="R3292" i="1"/>
  <c r="R3228" i="1"/>
  <c r="R3164" i="1"/>
  <c r="R3100" i="1"/>
  <c r="R3036" i="1"/>
  <c r="R2972" i="1"/>
  <c r="R2908" i="1"/>
  <c r="R2844" i="1"/>
  <c r="R2780" i="1"/>
  <c r="R2716" i="1"/>
  <c r="R2652" i="1"/>
  <c r="R2588" i="1"/>
  <c r="R2524" i="1"/>
  <c r="R2460" i="1"/>
  <c r="R2396" i="1"/>
  <c r="R2332" i="1"/>
  <c r="R2268" i="1"/>
  <c r="R2204" i="1"/>
  <c r="R2140" i="1"/>
  <c r="R2060" i="1"/>
  <c r="R3571" i="1"/>
  <c r="R3315" i="1"/>
  <c r="R3059" i="1"/>
  <c r="R2803" i="1"/>
  <c r="R2547" i="1"/>
  <c r="R3566" i="1"/>
  <c r="R3310" i="1"/>
  <c r="R2950" i="1"/>
  <c r="R3477" i="1"/>
  <c r="R3576" i="1"/>
  <c r="R3512" i="1"/>
  <c r="R3448" i="1"/>
  <c r="R3384" i="1"/>
  <c r="R3320" i="1"/>
  <c r="R3256" i="1"/>
  <c r="R3192" i="1"/>
  <c r="R3128" i="1"/>
  <c r="R3064" i="1"/>
  <c r="R3000" i="1"/>
  <c r="R2936" i="1"/>
  <c r="R2872" i="1"/>
  <c r="R2808" i="1"/>
  <c r="R2744" i="1"/>
  <c r="R2680" i="1"/>
  <c r="R2616" i="1"/>
  <c r="R2552" i="1"/>
  <c r="R2488" i="1"/>
  <c r="R2424" i="1"/>
  <c r="R2360" i="1"/>
  <c r="R2296" i="1"/>
  <c r="R2232" i="1"/>
  <c r="R2168" i="1"/>
  <c r="R2096" i="1"/>
  <c r="R1952" i="1"/>
  <c r="R3427" i="1"/>
  <c r="R3171" i="1"/>
  <c r="R2915" i="1"/>
  <c r="R2659" i="1"/>
  <c r="R2403" i="1"/>
  <c r="R3422" i="1"/>
  <c r="R3166" i="1"/>
  <c r="R2374" i="1"/>
  <c r="R2901" i="1"/>
  <c r="R2084" i="1"/>
  <c r="R2020" i="1"/>
  <c r="R1956" i="1"/>
  <c r="R1892" i="1"/>
  <c r="R3559" i="1"/>
  <c r="R3495" i="1"/>
  <c r="R3431" i="1"/>
  <c r="R3367" i="1"/>
  <c r="R3303" i="1"/>
  <c r="R3239" i="1"/>
  <c r="R3175" i="1"/>
  <c r="R3111" i="1"/>
  <c r="R3047" i="1"/>
  <c r="R2983" i="1"/>
  <c r="R2919" i="1"/>
  <c r="R2855" i="1"/>
  <c r="R2791" i="1"/>
  <c r="R2727" i="1"/>
  <c r="R2663" i="1"/>
  <c r="R2599" i="1"/>
  <c r="R2535" i="1"/>
  <c r="R2471" i="1"/>
  <c r="R2407" i="1"/>
  <c r="R2343" i="1"/>
  <c r="R3554" i="1"/>
  <c r="R3490" i="1"/>
  <c r="R3426" i="1"/>
  <c r="R3362" i="1"/>
  <c r="R3298" i="1"/>
  <c r="R3234" i="1"/>
  <c r="R3170" i="1"/>
  <c r="R3106" i="1"/>
  <c r="R2902" i="1"/>
  <c r="R2646" i="1"/>
  <c r="R2390" i="1"/>
  <c r="R3429" i="1"/>
  <c r="R3173" i="1"/>
  <c r="R2917" i="1"/>
  <c r="R2661" i="1"/>
  <c r="R1996" i="1"/>
  <c r="R1932" i="1"/>
  <c r="R3535" i="1"/>
  <c r="R3471" i="1"/>
  <c r="R3407" i="1"/>
  <c r="R3343" i="1"/>
  <c r="R3279" i="1"/>
  <c r="R3215" i="1"/>
  <c r="R3151" i="1"/>
  <c r="R3087" i="1"/>
  <c r="R3023" i="1"/>
  <c r="R2959" i="1"/>
  <c r="R2895" i="1"/>
  <c r="R2831" i="1"/>
  <c r="R2767" i="1"/>
  <c r="R2703" i="1"/>
  <c r="R2639" i="1"/>
  <c r="R2575" i="1"/>
  <c r="R2511" i="1"/>
  <c r="R2447" i="1"/>
  <c r="R2383" i="1"/>
  <c r="R3594" i="1"/>
  <c r="R3530" i="1"/>
  <c r="R3466" i="1"/>
  <c r="R3402" i="1"/>
  <c r="R3338" i="1"/>
  <c r="R3274" i="1"/>
  <c r="R3210" i="1"/>
  <c r="R3146" i="1"/>
  <c r="R3062" i="1"/>
  <c r="R2806" i="1"/>
  <c r="R2550" i="1"/>
  <c r="R3589" i="1"/>
  <c r="R3333" i="1"/>
  <c r="R3077" i="1"/>
  <c r="R2821" i="1"/>
  <c r="R2024" i="1"/>
  <c r="R1960" i="1"/>
  <c r="R1896" i="1"/>
  <c r="R3563" i="1"/>
  <c r="R3499" i="1"/>
  <c r="R3435" i="1"/>
  <c r="R3371" i="1"/>
  <c r="R3307" i="1"/>
  <c r="R3243" i="1"/>
  <c r="R3179" i="1"/>
  <c r="R3115" i="1"/>
  <c r="R3051" i="1"/>
  <c r="R2987" i="1"/>
  <c r="R2923" i="1"/>
  <c r="R2859" i="1"/>
  <c r="R2795" i="1"/>
  <c r="R2731" i="1"/>
  <c r="R2667" i="1"/>
  <c r="R2603" i="1"/>
  <c r="R2539" i="1"/>
  <c r="R2475" i="1"/>
  <c r="R2411" i="1"/>
  <c r="R2347" i="1"/>
  <c r="R3558" i="1"/>
  <c r="R3494" i="1"/>
  <c r="R3430" i="1"/>
  <c r="R3366" i="1"/>
  <c r="R3302" i="1"/>
  <c r="R3238" i="1"/>
  <c r="R3174" i="1"/>
  <c r="R3110" i="1"/>
  <c r="R2918" i="1"/>
  <c r="R2662" i="1"/>
  <c r="R2406" i="1"/>
  <c r="R3445" i="1"/>
  <c r="R3189" i="1"/>
  <c r="R2933" i="1"/>
  <c r="R2677" i="1"/>
  <c r="R3066" i="1"/>
  <c r="R3002" i="1"/>
  <c r="R2938" i="1"/>
  <c r="R2874" i="1"/>
  <c r="R2810" i="1"/>
  <c r="R2746" i="1"/>
  <c r="R2682" i="1"/>
  <c r="R2618" i="1"/>
  <c r="R2554" i="1"/>
  <c r="R2490" i="1"/>
  <c r="R2426" i="1"/>
  <c r="R2362" i="1"/>
  <c r="R3593" i="1"/>
  <c r="R3529" i="1"/>
  <c r="R3465" i="1"/>
  <c r="R3401" i="1"/>
  <c r="R3337" i="1"/>
  <c r="R3257" i="1"/>
  <c r="R3560" i="1"/>
  <c r="R3496" i="1"/>
  <c r="R3432" i="1"/>
  <c r="R3368" i="1"/>
  <c r="R3304" i="1"/>
  <c r="R3240" i="1"/>
  <c r="R3176" i="1"/>
  <c r="R3112" i="1"/>
  <c r="R3048" i="1"/>
  <c r="R2984" i="1"/>
  <c r="R2920" i="1"/>
  <c r="R2856" i="1"/>
  <c r="R2792" i="1"/>
  <c r="R2728" i="1"/>
  <c r="R2664" i="1"/>
  <c r="R2600" i="1"/>
  <c r="R2536" i="1"/>
  <c r="R2472" i="1"/>
  <c r="R2408" i="1"/>
  <c r="R2344" i="1"/>
  <c r="R2280" i="1"/>
  <c r="R2216" i="1"/>
  <c r="R2152" i="1"/>
  <c r="R2076" i="1"/>
  <c r="R1888" i="1"/>
  <c r="R3363" i="1"/>
  <c r="R3107" i="1"/>
  <c r="R2851" i="1"/>
  <c r="R2595" i="1"/>
  <c r="R2339" i="1"/>
  <c r="R3358" i="1"/>
  <c r="R3102" i="1"/>
  <c r="R2645" i="1"/>
  <c r="R2068" i="1"/>
  <c r="R2004" i="1"/>
  <c r="R1940" i="1"/>
  <c r="R1876" i="1"/>
  <c r="R3543" i="1"/>
  <c r="R3479" i="1"/>
  <c r="R3415" i="1"/>
  <c r="R3351" i="1"/>
  <c r="R3287" i="1"/>
  <c r="R3223" i="1"/>
  <c r="R3159" i="1"/>
  <c r="R3095" i="1"/>
  <c r="R3031" i="1"/>
  <c r="R2967" i="1"/>
  <c r="R2903" i="1"/>
  <c r="R2839" i="1"/>
  <c r="R2775" i="1"/>
  <c r="R2711" i="1"/>
  <c r="R2647" i="1"/>
  <c r="R2583" i="1"/>
  <c r="R2519" i="1"/>
  <c r="R2455" i="1"/>
  <c r="R2391" i="1"/>
  <c r="R3538" i="1"/>
  <c r="R3474" i="1"/>
  <c r="R3410" i="1"/>
  <c r="R3346" i="1"/>
  <c r="R3282" i="1"/>
  <c r="R3218" i="1"/>
  <c r="R3154" i="1"/>
  <c r="R3086" i="1"/>
  <c r="R2838" i="1"/>
  <c r="R2582" i="1"/>
  <c r="R3365" i="1"/>
  <c r="R3109" i="1"/>
  <c r="R2853" i="1"/>
  <c r="R2044" i="1"/>
  <c r="R1980" i="1"/>
  <c r="R1916" i="1"/>
  <c r="R3583" i="1"/>
  <c r="R3519" i="1"/>
  <c r="R3455" i="1"/>
  <c r="R3391" i="1"/>
  <c r="R3327" i="1"/>
  <c r="R3263" i="1"/>
  <c r="R3199" i="1"/>
  <c r="R3135" i="1"/>
  <c r="R3071" i="1"/>
  <c r="R3007" i="1"/>
  <c r="R2943" i="1"/>
  <c r="R2879" i="1"/>
  <c r="R2815" i="1"/>
  <c r="R2751" i="1"/>
  <c r="R2687" i="1"/>
  <c r="R2623" i="1"/>
  <c r="R2559" i="1"/>
  <c r="R2495" i="1"/>
  <c r="R2431" i="1"/>
  <c r="R2367" i="1"/>
  <c r="R3578" i="1"/>
  <c r="R3514" i="1"/>
  <c r="R3450" i="1"/>
  <c r="R3386" i="1"/>
  <c r="R3322" i="1"/>
  <c r="R3258" i="1"/>
  <c r="R3194" i="1"/>
  <c r="R3130" i="1"/>
  <c r="R2998" i="1"/>
  <c r="R2742" i="1"/>
  <c r="R2486" i="1"/>
  <c r="R3525" i="1"/>
  <c r="R3269" i="1"/>
  <c r="R3013" i="1"/>
  <c r="R2757" i="1"/>
  <c r="R2008" i="1"/>
  <c r="R1944" i="1"/>
  <c r="R1880" i="1"/>
  <c r="R3547" i="1"/>
  <c r="R3483" i="1"/>
  <c r="R3419" i="1"/>
  <c r="R3355" i="1"/>
  <c r="R3291" i="1"/>
  <c r="R3227" i="1"/>
  <c r="R3163" i="1"/>
  <c r="R3099" i="1"/>
  <c r="R3035" i="1"/>
  <c r="R2971" i="1"/>
  <c r="R2907" i="1"/>
  <c r="R2843" i="1"/>
  <c r="R2779" i="1"/>
  <c r="R2715" i="1"/>
  <c r="R2651" i="1"/>
  <c r="R2587" i="1"/>
  <c r="R2523" i="1"/>
  <c r="R2459" i="1"/>
  <c r="R2395" i="1"/>
  <c r="R2331" i="1"/>
  <c r="R3542" i="1"/>
  <c r="R3478" i="1"/>
  <c r="R3414" i="1"/>
  <c r="R3350" i="1"/>
  <c r="R3286" i="1"/>
  <c r="R3222" i="1"/>
  <c r="R3158" i="1"/>
  <c r="R3090" i="1"/>
  <c r="R2854" i="1"/>
  <c r="R2598" i="1"/>
  <c r="R3381" i="1"/>
  <c r="R3125" i="1"/>
  <c r="R2869" i="1"/>
  <c r="R2589" i="1"/>
  <c r="R3050" i="1"/>
  <c r="R2986" i="1"/>
  <c r="R2922" i="1"/>
  <c r="R2858" i="1"/>
  <c r="R2794" i="1"/>
  <c r="R2730" i="1"/>
  <c r="R2666" i="1"/>
  <c r="R2602" i="1"/>
  <c r="R2538" i="1"/>
  <c r="R2474" i="1"/>
  <c r="R2410" i="1"/>
  <c r="R3577" i="1"/>
  <c r="R3513" i="1"/>
  <c r="R3449" i="1"/>
  <c r="R3385" i="1"/>
  <c r="R3321" i="1"/>
  <c r="R3241" i="1"/>
  <c r="R3544" i="1"/>
  <c r="R3480" i="1"/>
  <c r="R3416" i="1"/>
  <c r="R3352" i="1"/>
  <c r="R3288" i="1"/>
  <c r="R3224" i="1"/>
  <c r="R3160" i="1"/>
  <c r="R3096" i="1"/>
  <c r="R3032" i="1"/>
  <c r="R2968" i="1"/>
  <c r="R2904" i="1"/>
  <c r="R2840" i="1"/>
  <c r="R2776" i="1"/>
  <c r="R2712" i="1"/>
  <c r="R2648" i="1"/>
  <c r="R2584" i="1"/>
  <c r="R2520" i="1"/>
  <c r="R2456" i="1"/>
  <c r="R2392" i="1"/>
  <c r="R2328" i="1"/>
  <c r="R2264" i="1"/>
  <c r="R2200" i="1"/>
  <c r="R2136" i="1"/>
  <c r="R2056" i="1"/>
  <c r="R217" i="1"/>
  <c r="R3555" i="1"/>
  <c r="R3299" i="1"/>
  <c r="R3043" i="1"/>
  <c r="R2787" i="1"/>
  <c r="R2531" i="1"/>
  <c r="R3550" i="1"/>
  <c r="R3294" i="1"/>
  <c r="R2886" i="1"/>
  <c r="R3413" i="1"/>
  <c r="R2116" i="1"/>
  <c r="R2052" i="1"/>
  <c r="R1988" i="1"/>
  <c r="R1924" i="1"/>
  <c r="R3591" i="1"/>
  <c r="R3527" i="1"/>
  <c r="R3463" i="1"/>
  <c r="R3399" i="1"/>
  <c r="R3335" i="1"/>
  <c r="R3271" i="1"/>
  <c r="R3207" i="1"/>
  <c r="R3143" i="1"/>
  <c r="R3079" i="1"/>
  <c r="R3015" i="1"/>
  <c r="R2951" i="1"/>
  <c r="R2887" i="1"/>
  <c r="R2823" i="1"/>
  <c r="R2759" i="1"/>
  <c r="R2695" i="1"/>
  <c r="R2631" i="1"/>
  <c r="R2567" i="1"/>
  <c r="R2503" i="1"/>
  <c r="R2439" i="1"/>
  <c r="R2375" i="1"/>
  <c r="R3586" i="1"/>
  <c r="R3522" i="1"/>
  <c r="R3458" i="1"/>
  <c r="R3394" i="1"/>
  <c r="R3330" i="1"/>
  <c r="R3266" i="1"/>
  <c r="R3202" i="1"/>
  <c r="R3138" i="1"/>
  <c r="R3030" i="1"/>
  <c r="R2774" i="1"/>
  <c r="R2518" i="1"/>
  <c r="R3557" i="1"/>
  <c r="R3301" i="1"/>
  <c r="R3045" i="1"/>
  <c r="R2789" i="1"/>
  <c r="R2028" i="1"/>
  <c r="R1964" i="1"/>
  <c r="R1900" i="1"/>
  <c r="R3567" i="1"/>
  <c r="R3503" i="1"/>
  <c r="R3439" i="1"/>
  <c r="R3375" i="1"/>
  <c r="R3311" i="1"/>
  <c r="R3247" i="1"/>
  <c r="R3183" i="1"/>
  <c r="R3119" i="1"/>
  <c r="R3055" i="1"/>
  <c r="R2991" i="1"/>
  <c r="R2927" i="1"/>
  <c r="R2863" i="1"/>
  <c r="R2799" i="1"/>
  <c r="R2735" i="1"/>
  <c r="R2671" i="1"/>
  <c r="R2607" i="1"/>
  <c r="R2543" i="1"/>
  <c r="R2479" i="1"/>
  <c r="R2415" i="1"/>
  <c r="R2351" i="1"/>
  <c r="R3562" i="1"/>
  <c r="R3498" i="1"/>
  <c r="R3434" i="1"/>
  <c r="R3370" i="1"/>
  <c r="R3306" i="1"/>
  <c r="R3242" i="1"/>
  <c r="R3178" i="1"/>
  <c r="R3114" i="1"/>
  <c r="R2934" i="1"/>
  <c r="R2678" i="1"/>
  <c r="R2422" i="1"/>
  <c r="R3461" i="1"/>
  <c r="R3205" i="1"/>
  <c r="R2949" i="1"/>
  <c r="R2693" i="1"/>
  <c r="R1992" i="1"/>
  <c r="R1928" i="1"/>
  <c r="R3595" i="1"/>
  <c r="R3531" i="1"/>
  <c r="R3467" i="1"/>
  <c r="R3403" i="1"/>
  <c r="R3339" i="1"/>
  <c r="R3275" i="1"/>
  <c r="R3211" i="1"/>
  <c r="R3147" i="1"/>
  <c r="R3083" i="1"/>
  <c r="R3019" i="1"/>
  <c r="R2955" i="1"/>
  <c r="R2891" i="1"/>
  <c r="R2827" i="1"/>
  <c r="R2763" i="1"/>
  <c r="R2699" i="1"/>
  <c r="R2635" i="1"/>
  <c r="R2571" i="1"/>
  <c r="R2507" i="1"/>
  <c r="R2443" i="1"/>
  <c r="R2379" i="1"/>
  <c r="R3590" i="1"/>
  <c r="R3526" i="1"/>
  <c r="R3462" i="1"/>
  <c r="R3398" i="1"/>
  <c r="R3334" i="1"/>
  <c r="R3270" i="1"/>
  <c r="R3206" i="1"/>
  <c r="R3142" i="1"/>
  <c r="R3046" i="1"/>
  <c r="R2790" i="1"/>
  <c r="R2534" i="1"/>
  <c r="R3573" i="1"/>
  <c r="R3317" i="1"/>
  <c r="R3061" i="1"/>
  <c r="R2805" i="1"/>
  <c r="R3098" i="1"/>
  <c r="R3034" i="1"/>
  <c r="R2970" i="1"/>
  <c r="R2906" i="1"/>
  <c r="R2842" i="1"/>
  <c r="R2778" i="1"/>
  <c r="R2714" i="1"/>
  <c r="R2650" i="1"/>
  <c r="R2586" i="1"/>
  <c r="R2522" i="1"/>
  <c r="R2458" i="1"/>
  <c r="R2394" i="1"/>
  <c r="R3561" i="1"/>
  <c r="R3497" i="1"/>
  <c r="R3433" i="1"/>
  <c r="R3369" i="1"/>
  <c r="R3305" i="1"/>
  <c r="R3193" i="1"/>
  <c r="R3592" i="1"/>
  <c r="R3528" i="1"/>
  <c r="R3464" i="1"/>
  <c r="R3400" i="1"/>
  <c r="R3336" i="1"/>
  <c r="R3272" i="1"/>
  <c r="R3208" i="1"/>
  <c r="R3144" i="1"/>
  <c r="R3080" i="1"/>
  <c r="R3016" i="1"/>
  <c r="R2952" i="1"/>
  <c r="R2888" i="1"/>
  <c r="R2824" i="1"/>
  <c r="R2760" i="1"/>
  <c r="R2696" i="1"/>
  <c r="R2632" i="1"/>
  <c r="R2568" i="1"/>
  <c r="R2504" i="1"/>
  <c r="R2440" i="1"/>
  <c r="R2376" i="1"/>
  <c r="R2312" i="1"/>
  <c r="R2248" i="1"/>
  <c r="R2184" i="1"/>
  <c r="R2120" i="1"/>
  <c r="R2016" i="1"/>
  <c r="R3491" i="1"/>
  <c r="R3235" i="1"/>
  <c r="R2979" i="1"/>
  <c r="R2723" i="1"/>
  <c r="R2467" i="1"/>
  <c r="R3486" i="1"/>
  <c r="R3230" i="1"/>
  <c r="R2630" i="1"/>
  <c r="R3157" i="1"/>
  <c r="R2100" i="1"/>
  <c r="R2036" i="1"/>
  <c r="R1972" i="1"/>
  <c r="R1908" i="1"/>
  <c r="R3575" i="1"/>
  <c r="R3511" i="1"/>
  <c r="R3447" i="1"/>
  <c r="R3383" i="1"/>
  <c r="R3319" i="1"/>
  <c r="R3255" i="1"/>
  <c r="R3191" i="1"/>
  <c r="R3127" i="1"/>
  <c r="R3063" i="1"/>
  <c r="R2999" i="1"/>
  <c r="R2935" i="1"/>
  <c r="R2871" i="1"/>
  <c r="R2807" i="1"/>
  <c r="R2743" i="1"/>
  <c r="R2679" i="1"/>
  <c r="R2615" i="1"/>
  <c r="R2551" i="1"/>
  <c r="R2487" i="1"/>
  <c r="R2423" i="1"/>
  <c r="R2359" i="1"/>
  <c r="R3570" i="1"/>
  <c r="R3506" i="1"/>
  <c r="R3442" i="1"/>
  <c r="R3378" i="1"/>
  <c r="R3314" i="1"/>
  <c r="R3250" i="1"/>
  <c r="R3186" i="1"/>
  <c r="R3122" i="1"/>
  <c r="R2966" i="1"/>
  <c r="R2710" i="1"/>
  <c r="R2454" i="1"/>
  <c r="R3493" i="1"/>
  <c r="R3237" i="1"/>
  <c r="R2981" i="1"/>
  <c r="R2725" i="1"/>
  <c r="R2012" i="1"/>
  <c r="R1948" i="1"/>
  <c r="R1884" i="1"/>
  <c r="R3551" i="1"/>
  <c r="R3487" i="1"/>
  <c r="R3423" i="1"/>
  <c r="R3359" i="1"/>
  <c r="R3295" i="1"/>
  <c r="R3231" i="1"/>
  <c r="R3167" i="1"/>
  <c r="R3103" i="1"/>
  <c r="R3039" i="1"/>
  <c r="R2975" i="1"/>
  <c r="R2911" i="1"/>
  <c r="R2847" i="1"/>
  <c r="R2783" i="1"/>
  <c r="R2719" i="1"/>
  <c r="R2655" i="1"/>
  <c r="R2591" i="1"/>
  <c r="R2527" i="1"/>
  <c r="R2463" i="1"/>
  <c r="R2399" i="1"/>
  <c r="R2335" i="1"/>
  <c r="R3546" i="1"/>
  <c r="R3482" i="1"/>
  <c r="R3418" i="1"/>
  <c r="R3354" i="1"/>
  <c r="R3290" i="1"/>
  <c r="R3226" i="1"/>
  <c r="R3162" i="1"/>
  <c r="R3094" i="1"/>
  <c r="R2870" i="1"/>
  <c r="R2614" i="1"/>
  <c r="R2358" i="1"/>
  <c r="R3397" i="1"/>
  <c r="R3141" i="1"/>
  <c r="R2885" i="1"/>
  <c r="R2621" i="1"/>
  <c r="R1976" i="1"/>
  <c r="R1912" i="1"/>
  <c r="R3579" i="1"/>
  <c r="R3515" i="1"/>
  <c r="R3451" i="1"/>
  <c r="R3387" i="1"/>
  <c r="R3323" i="1"/>
  <c r="R3259" i="1"/>
  <c r="R3195" i="1"/>
  <c r="R3131" i="1"/>
  <c r="R3067" i="1"/>
  <c r="R3003" i="1"/>
  <c r="R2939" i="1"/>
  <c r="R2875" i="1"/>
  <c r="R2811" i="1"/>
  <c r="R2747" i="1"/>
  <c r="R2683" i="1"/>
  <c r="R2619" i="1"/>
  <c r="R2555" i="1"/>
  <c r="R2491" i="1"/>
  <c r="R2427" i="1"/>
  <c r="R2363" i="1"/>
  <c r="R3574" i="1"/>
  <c r="R3510" i="1"/>
  <c r="R3446" i="1"/>
  <c r="R3382" i="1"/>
  <c r="R3318" i="1"/>
  <c r="R3254" i="1"/>
  <c r="R3190" i="1"/>
  <c r="R3126" i="1"/>
  <c r="R2982" i="1"/>
  <c r="R2726" i="1"/>
  <c r="R2470" i="1"/>
  <c r="R3509" i="1"/>
  <c r="R3253" i="1"/>
  <c r="R2997" i="1"/>
  <c r="R2741" i="1"/>
  <c r="R3082" i="1"/>
  <c r="R3018" i="1"/>
  <c r="R2954" i="1"/>
  <c r="R2890" i="1"/>
  <c r="R2826" i="1"/>
  <c r="R2762" i="1"/>
  <c r="R2698" i="1"/>
  <c r="R2634" i="1"/>
  <c r="R2570" i="1"/>
  <c r="R2506" i="1"/>
  <c r="R2442" i="1"/>
  <c r="R2378" i="1"/>
  <c r="R3545" i="1"/>
  <c r="R3481" i="1"/>
  <c r="R3417" i="1"/>
  <c r="R3353" i="1"/>
  <c r="R3273" i="1"/>
  <c r="R3177" i="1"/>
  <c r="R3113" i="1"/>
  <c r="R3049" i="1"/>
  <c r="R2985" i="1"/>
  <c r="R2921" i="1"/>
  <c r="R2857" i="1"/>
  <c r="R2793" i="1"/>
  <c r="R2729" i="1"/>
  <c r="R2665" i="1"/>
  <c r="R3074" i="1"/>
  <c r="R3010" i="1"/>
  <c r="R2946" i="1"/>
  <c r="R2882" i="1"/>
  <c r="R2818" i="1"/>
  <c r="R2754" i="1"/>
  <c r="R2690" i="1"/>
  <c r="R2626" i="1"/>
  <c r="R2562" i="1"/>
  <c r="R2498" i="1"/>
  <c r="R2434" i="1"/>
  <c r="R2370" i="1"/>
  <c r="R3537" i="1"/>
  <c r="R3473" i="1"/>
  <c r="R3409" i="1"/>
  <c r="R3345" i="1"/>
  <c r="R3281" i="1"/>
  <c r="R3217" i="1"/>
  <c r="R3153" i="1"/>
  <c r="R3089" i="1"/>
  <c r="R3025" i="1"/>
  <c r="R2961" i="1"/>
  <c r="R2897" i="1"/>
  <c r="R2833" i="1"/>
  <c r="R2769" i="1"/>
  <c r="R2705" i="1"/>
  <c r="R2641" i="1"/>
  <c r="R3054" i="1"/>
  <c r="R2990" i="1"/>
  <c r="R2926" i="1"/>
  <c r="R2862" i="1"/>
  <c r="R2798" i="1"/>
  <c r="R2734" i="1"/>
  <c r="R2670" i="1"/>
  <c r="R2606" i="1"/>
  <c r="R2542" i="1"/>
  <c r="R2478" i="1"/>
  <c r="R2414" i="1"/>
  <c r="R2350" i="1"/>
  <c r="R3581" i="1"/>
  <c r="R3517" i="1"/>
  <c r="R3453" i="1"/>
  <c r="R3389" i="1"/>
  <c r="R3325" i="1"/>
  <c r="R3261" i="1"/>
  <c r="R3197" i="1"/>
  <c r="R3133" i="1"/>
  <c r="R3069" i="1"/>
  <c r="R3005" i="1"/>
  <c r="R2941" i="1"/>
  <c r="R2877" i="1"/>
  <c r="R2813" i="1"/>
  <c r="R2749" i="1"/>
  <c r="R2685" i="1"/>
  <c r="R2605" i="1"/>
  <c r="R2597" i="1"/>
  <c r="R2533" i="1"/>
  <c r="R2469" i="1"/>
  <c r="R2405" i="1"/>
  <c r="R2341" i="1"/>
  <c r="R2277" i="1"/>
  <c r="R2213" i="1"/>
  <c r="R1824" i="1"/>
  <c r="R1760" i="1"/>
  <c r="R1696" i="1"/>
  <c r="R1632" i="1"/>
  <c r="R1568" i="1"/>
  <c r="R1504" i="1"/>
  <c r="R2295" i="1"/>
  <c r="R2231" i="1"/>
  <c r="R2167" i="1"/>
  <c r="R2103" i="1"/>
  <c r="R2039" i="1"/>
  <c r="R1975" i="1"/>
  <c r="R1911" i="1"/>
  <c r="R1847" i="1"/>
  <c r="R1783" i="1"/>
  <c r="R1719" i="1"/>
  <c r="R1627" i="1"/>
  <c r="R2497" i="1"/>
  <c r="R2433" i="1"/>
  <c r="R2369" i="1"/>
  <c r="R2305" i="1"/>
  <c r="R2241" i="1"/>
  <c r="R1852" i="1"/>
  <c r="R1788" i="1"/>
  <c r="R1724" i="1"/>
  <c r="R1660" i="1"/>
  <c r="R1596" i="1"/>
  <c r="R1532" i="1"/>
  <c r="R1468" i="1"/>
  <c r="R2259" i="1"/>
  <c r="R2163" i="1"/>
  <c r="R2067" i="1"/>
  <c r="R1875" i="1"/>
  <c r="R3289" i="1"/>
  <c r="R3225" i="1"/>
  <c r="R3161" i="1"/>
  <c r="R3097" i="1"/>
  <c r="R3033" i="1"/>
  <c r="R2969" i="1"/>
  <c r="R2905" i="1"/>
  <c r="R2841" i="1"/>
  <c r="R2777" i="1"/>
  <c r="R2713" i="1"/>
  <c r="R2649" i="1"/>
  <c r="R3058" i="1"/>
  <c r="R2994" i="1"/>
  <c r="R2930" i="1"/>
  <c r="R2866" i="1"/>
  <c r="R2802" i="1"/>
  <c r="R2738" i="1"/>
  <c r="R2674" i="1"/>
  <c r="R2610" i="1"/>
  <c r="R2546" i="1"/>
  <c r="R2482" i="1"/>
  <c r="R2418" i="1"/>
  <c r="R2354" i="1"/>
  <c r="R3585" i="1"/>
  <c r="R3521" i="1"/>
  <c r="R3457" i="1"/>
  <c r="R3393" i="1"/>
  <c r="R3329" i="1"/>
  <c r="R3265" i="1"/>
  <c r="R3201" i="1"/>
  <c r="R3137" i="1"/>
  <c r="R3073" i="1"/>
  <c r="R3009" i="1"/>
  <c r="R2945" i="1"/>
  <c r="R2881" i="1"/>
  <c r="R2817" i="1"/>
  <c r="R2753" i="1"/>
  <c r="R2689" i="1"/>
  <c r="R2609" i="1"/>
  <c r="R3038" i="1"/>
  <c r="R2974" i="1"/>
  <c r="R2910" i="1"/>
  <c r="R2846" i="1"/>
  <c r="R2782" i="1"/>
  <c r="R2718" i="1"/>
  <c r="R2654" i="1"/>
  <c r="R2590" i="1"/>
  <c r="R2526" i="1"/>
  <c r="R2462" i="1"/>
  <c r="R2398" i="1"/>
  <c r="R3565" i="1"/>
  <c r="R3501" i="1"/>
  <c r="R3437" i="1"/>
  <c r="R3373" i="1"/>
  <c r="R3309" i="1"/>
  <c r="R3245" i="1"/>
  <c r="R3181" i="1"/>
  <c r="R3117" i="1"/>
  <c r="R3053" i="1"/>
  <c r="R2989" i="1"/>
  <c r="R2925" i="1"/>
  <c r="R2861" i="1"/>
  <c r="R2797" i="1"/>
  <c r="R2733" i="1"/>
  <c r="R2669" i="1"/>
  <c r="R2561" i="1"/>
  <c r="R2581" i="1"/>
  <c r="R2517" i="1"/>
  <c r="R2453" i="1"/>
  <c r="R2389" i="1"/>
  <c r="R2325" i="1"/>
  <c r="R2261" i="1"/>
  <c r="R1872" i="1"/>
  <c r="R1808" i="1"/>
  <c r="R1744" i="1"/>
  <c r="R1680" i="1"/>
  <c r="R1616" i="1"/>
  <c r="R1552" i="1"/>
  <c r="R1488" i="1"/>
  <c r="R2279" i="1"/>
  <c r="R2215" i="1"/>
  <c r="R2151" i="1"/>
  <c r="R2087" i="1"/>
  <c r="R2023" i="1"/>
  <c r="R1959" i="1"/>
  <c r="R1895" i="1"/>
  <c r="R1831" i="1"/>
  <c r="R1767" i="1"/>
  <c r="R1703" i="1"/>
  <c r="R1563" i="1"/>
  <c r="R2545" i="1"/>
  <c r="R2481" i="1"/>
  <c r="R2417" i="1"/>
  <c r="R2353" i="1"/>
  <c r="R2289" i="1"/>
  <c r="R2225" i="1"/>
  <c r="R1836" i="1"/>
  <c r="R1772" i="1"/>
  <c r="R1708" i="1"/>
  <c r="R1644" i="1"/>
  <c r="R1580" i="1"/>
  <c r="R1516" i="1"/>
  <c r="R2323" i="1"/>
  <c r="R2227" i="1"/>
  <c r="R2147" i="1"/>
  <c r="R2019" i="1"/>
  <c r="R1811" i="1"/>
  <c r="R3209" i="1"/>
  <c r="R3145" i="1"/>
  <c r="R3081" i="1"/>
  <c r="R3017" i="1"/>
  <c r="R2953" i="1"/>
  <c r="R2889" i="1"/>
  <c r="R2825" i="1"/>
  <c r="R2761" i="1"/>
  <c r="R2697" i="1"/>
  <c r="R2625" i="1"/>
  <c r="R3042" i="1"/>
  <c r="R2978" i="1"/>
  <c r="R2914" i="1"/>
  <c r="R2850" i="1"/>
  <c r="R2786" i="1"/>
  <c r="R2722" i="1"/>
  <c r="R2658" i="1"/>
  <c r="R2594" i="1"/>
  <c r="R2530" i="1"/>
  <c r="R2466" i="1"/>
  <c r="R2402" i="1"/>
  <c r="R3569" i="1"/>
  <c r="R3505" i="1"/>
  <c r="R3441" i="1"/>
  <c r="R3377" i="1"/>
  <c r="R3313" i="1"/>
  <c r="R3249" i="1"/>
  <c r="R3185" i="1"/>
  <c r="R3121" i="1"/>
  <c r="R3057" i="1"/>
  <c r="R2993" i="1"/>
  <c r="R2929" i="1"/>
  <c r="R2865" i="1"/>
  <c r="R2801" i="1"/>
  <c r="R2737" i="1"/>
  <c r="R2673" i="1"/>
  <c r="R2577" i="1"/>
  <c r="R3022" i="1"/>
  <c r="R2958" i="1"/>
  <c r="R2894" i="1"/>
  <c r="R2830" i="1"/>
  <c r="R2766" i="1"/>
  <c r="R2702" i="1"/>
  <c r="R2638" i="1"/>
  <c r="R2574" i="1"/>
  <c r="R2510" i="1"/>
  <c r="R2446" i="1"/>
  <c r="R2382" i="1"/>
  <c r="R3549" i="1"/>
  <c r="R3485" i="1"/>
  <c r="R3421" i="1"/>
  <c r="R3357" i="1"/>
  <c r="R3293" i="1"/>
  <c r="R3229" i="1"/>
  <c r="R3165" i="1"/>
  <c r="R3101" i="1"/>
  <c r="R3037" i="1"/>
  <c r="R2973" i="1"/>
  <c r="R2909" i="1"/>
  <c r="R2845" i="1"/>
  <c r="R2781" i="1"/>
  <c r="R2717" i="1"/>
  <c r="R2653" i="1"/>
  <c r="R2629" i="1"/>
  <c r="R2565" i="1"/>
  <c r="R2501" i="1"/>
  <c r="R2437" i="1"/>
  <c r="R2373" i="1"/>
  <c r="R2309" i="1"/>
  <c r="R2245" i="1"/>
  <c r="R1856" i="1"/>
  <c r="R1792" i="1"/>
  <c r="R1728" i="1"/>
  <c r="R1664" i="1"/>
  <c r="R1600" i="1"/>
  <c r="R1536" i="1"/>
  <c r="R1472" i="1"/>
  <c r="R2327" i="1"/>
  <c r="R2263" i="1"/>
  <c r="R2199" i="1"/>
  <c r="R2135" i="1"/>
  <c r="R2071" i="1"/>
  <c r="R2007" i="1"/>
  <c r="R1943" i="1"/>
  <c r="R1879" i="1"/>
  <c r="R1815" i="1"/>
  <c r="R1751" i="1"/>
  <c r="R1683" i="1"/>
  <c r="R1499" i="1"/>
  <c r="R2529" i="1"/>
  <c r="R2465" i="1"/>
  <c r="R2401" i="1"/>
  <c r="R2337" i="1"/>
  <c r="R2273" i="1"/>
  <c r="R2209" i="1"/>
  <c r="R1820" i="1"/>
  <c r="R1756" i="1"/>
  <c r="R1692" i="1"/>
  <c r="R1628" i="1"/>
  <c r="R1564" i="1"/>
  <c r="R1500" i="1"/>
  <c r="R2291" i="1"/>
  <c r="R2211" i="1"/>
  <c r="R2131" i="1"/>
  <c r="R2003" i="1"/>
  <c r="R1747" i="1"/>
  <c r="R3129" i="1"/>
  <c r="R3065" i="1"/>
  <c r="R3001" i="1"/>
  <c r="R2937" i="1"/>
  <c r="R2873" i="1"/>
  <c r="R2809" i="1"/>
  <c r="R2745" i="1"/>
  <c r="R2681" i="1"/>
  <c r="R2593" i="1"/>
  <c r="R3026" i="1"/>
  <c r="R2962" i="1"/>
  <c r="R2898" i="1"/>
  <c r="R2834" i="1"/>
  <c r="R2770" i="1"/>
  <c r="R2706" i="1"/>
  <c r="R2642" i="1"/>
  <c r="R2578" i="1"/>
  <c r="R2514" i="1"/>
  <c r="R2450" i="1"/>
  <c r="R2386" i="1"/>
  <c r="R3553" i="1"/>
  <c r="R3489" i="1"/>
  <c r="R3425" i="1"/>
  <c r="R3361" i="1"/>
  <c r="R3297" i="1"/>
  <c r="R3233" i="1"/>
  <c r="R3169" i="1"/>
  <c r="R3105" i="1"/>
  <c r="R3041" i="1"/>
  <c r="R2977" i="1"/>
  <c r="R2913" i="1"/>
  <c r="R2849" i="1"/>
  <c r="R2785" i="1"/>
  <c r="R2721" i="1"/>
  <c r="R2657" i="1"/>
  <c r="R3070" i="1"/>
  <c r="R3006" i="1"/>
  <c r="R2942" i="1"/>
  <c r="R2878" i="1"/>
  <c r="R2814" i="1"/>
  <c r="R2750" i="1"/>
  <c r="R2686" i="1"/>
  <c r="R2622" i="1"/>
  <c r="R2558" i="1"/>
  <c r="R2494" i="1"/>
  <c r="R2430" i="1"/>
  <c r="R2366" i="1"/>
  <c r="R3533" i="1"/>
  <c r="R3469" i="1"/>
  <c r="R3405" i="1"/>
  <c r="R3341" i="1"/>
  <c r="R3277" i="1"/>
  <c r="R3213" i="1"/>
  <c r="R3149" i="1"/>
  <c r="R3085" i="1"/>
  <c r="R3021" i="1"/>
  <c r="R2957" i="1"/>
  <c r="R2893" i="1"/>
  <c r="R2829" i="1"/>
  <c r="R2765" i="1"/>
  <c r="R2701" i="1"/>
  <c r="R2637" i="1"/>
  <c r="R2613" i="1"/>
  <c r="R2549" i="1"/>
  <c r="R2485" i="1"/>
  <c r="R2421" i="1"/>
  <c r="R2357" i="1"/>
  <c r="R2293" i="1"/>
  <c r="R2229" i="1"/>
  <c r="R1840" i="1"/>
  <c r="R1776" i="1"/>
  <c r="R1712" i="1"/>
  <c r="R1648" i="1"/>
  <c r="R1584" i="1"/>
  <c r="R1520" i="1"/>
  <c r="R2311" i="1"/>
  <c r="R2247" i="1"/>
  <c r="R2183" i="1"/>
  <c r="R2119" i="1"/>
  <c r="R2055" i="1"/>
  <c r="R1991" i="1"/>
  <c r="R1927" i="1"/>
  <c r="R1863" i="1"/>
  <c r="R1799" i="1"/>
  <c r="R1735" i="1"/>
  <c r="R1659" i="1"/>
  <c r="R2513" i="1"/>
  <c r="R2449" i="1"/>
  <c r="R2385" i="1"/>
  <c r="R2321" i="1"/>
  <c r="R2257" i="1"/>
  <c r="R1868" i="1"/>
  <c r="R1804" i="1"/>
  <c r="R1740" i="1"/>
  <c r="R1676" i="1"/>
  <c r="R1612" i="1"/>
  <c r="R1548" i="1"/>
  <c r="R1484" i="1"/>
  <c r="R2275" i="1"/>
  <c r="R2195" i="1"/>
  <c r="R2083" i="1"/>
  <c r="R1939" i="1"/>
  <c r="R1675" i="1"/>
  <c r="R2307" i="1"/>
  <c r="R2243" i="1"/>
  <c r="R2179" i="1"/>
  <c r="R2115" i="1"/>
  <c r="R2051" i="1"/>
  <c r="R1987" i="1"/>
  <c r="R1923" i="1"/>
  <c r="R1859" i="1"/>
  <c r="R1795" i="1"/>
  <c r="R1731" i="1"/>
  <c r="R1655" i="1"/>
  <c r="R2541" i="1"/>
  <c r="R2477" i="1"/>
  <c r="R2413" i="1"/>
  <c r="R2349" i="1"/>
  <c r="R2285" i="1"/>
  <c r="R2221" i="1"/>
  <c r="R1832" i="1"/>
  <c r="R1768" i="1"/>
  <c r="R1704" i="1"/>
  <c r="R1640" i="1"/>
  <c r="R1576" i="1"/>
  <c r="R1512" i="1"/>
  <c r="R2303" i="1"/>
  <c r="R2239" i="1"/>
  <c r="R2175" i="1"/>
  <c r="R2111" i="1"/>
  <c r="R2047" i="1"/>
  <c r="R1983" i="1"/>
  <c r="R1919" i="1"/>
  <c r="R1855" i="1"/>
  <c r="R1791" i="1"/>
  <c r="R1727" i="1"/>
  <c r="R1651" i="1"/>
  <c r="R2601" i="1"/>
  <c r="R2537" i="1"/>
  <c r="R2473" i="1"/>
  <c r="R2409" i="1"/>
  <c r="R2345" i="1"/>
  <c r="R2281" i="1"/>
  <c r="R2217" i="1"/>
  <c r="R1828" i="1"/>
  <c r="R1764" i="1"/>
  <c r="R1700" i="1"/>
  <c r="R1636" i="1"/>
  <c r="R1572" i="1"/>
  <c r="R1508" i="1"/>
  <c r="R2299" i="1"/>
  <c r="R2235" i="1"/>
  <c r="R2171" i="1"/>
  <c r="R2107" i="1"/>
  <c r="R2043" i="1"/>
  <c r="R1979" i="1"/>
  <c r="R1915" i="1"/>
  <c r="R1851" i="1"/>
  <c r="R1787" i="1"/>
  <c r="R1723" i="1"/>
  <c r="R1643" i="1"/>
  <c r="R2314" i="1"/>
  <c r="R2250" i="1"/>
  <c r="R2186" i="1"/>
  <c r="R2122" i="1"/>
  <c r="R2058" i="1"/>
  <c r="R1994" i="1"/>
  <c r="R1930" i="1"/>
  <c r="R1866" i="1"/>
  <c r="R1802" i="1"/>
  <c r="R1738" i="1"/>
  <c r="R1674" i="1"/>
  <c r="R1610" i="1"/>
  <c r="R1546" i="1"/>
  <c r="R1482" i="1"/>
  <c r="R2157" i="1"/>
  <c r="R2077" i="1"/>
  <c r="R1997" i="1"/>
  <c r="R1901" i="1"/>
  <c r="R1821" i="1"/>
  <c r="R1741" i="1"/>
  <c r="R1645" i="1"/>
  <c r="R1565" i="1"/>
  <c r="R2182" i="1"/>
  <c r="R1926" i="1"/>
  <c r="R1670" i="1"/>
  <c r="R1977" i="1"/>
  <c r="R1721" i="1"/>
  <c r="R1635" i="1"/>
  <c r="R2162" i="1"/>
  <c r="R1906" i="1"/>
  <c r="R1650" i="1"/>
  <c r="R1957" i="1"/>
  <c r="R1701" i="1"/>
  <c r="R1679" i="1"/>
  <c r="R2206" i="1"/>
  <c r="R1950" i="1"/>
  <c r="R1694" i="1"/>
  <c r="R2001" i="1"/>
  <c r="R1745" i="1"/>
  <c r="R2099" i="1"/>
  <c r="R2035" i="1"/>
  <c r="R1971" i="1"/>
  <c r="R1907" i="1"/>
  <c r="R1843" i="1"/>
  <c r="R1779" i="1"/>
  <c r="R1715" i="1"/>
  <c r="R1611" i="1"/>
  <c r="R2525" i="1"/>
  <c r="R2461" i="1"/>
  <c r="R2397" i="1"/>
  <c r="R2333" i="1"/>
  <c r="R2269" i="1"/>
  <c r="R2205" i="1"/>
  <c r="R1816" i="1"/>
  <c r="R1752" i="1"/>
  <c r="R1688" i="1"/>
  <c r="R1624" i="1"/>
  <c r="R1560" i="1"/>
  <c r="R1496" i="1"/>
  <c r="R2287" i="1"/>
  <c r="R2223" i="1"/>
  <c r="R2159" i="1"/>
  <c r="R2095" i="1"/>
  <c r="R2031" i="1"/>
  <c r="R1967" i="1"/>
  <c r="R1903" i="1"/>
  <c r="R1839" i="1"/>
  <c r="R1775" i="1"/>
  <c r="R1711" i="1"/>
  <c r="R1595" i="1"/>
  <c r="R2585" i="1"/>
  <c r="R2521" i="1"/>
  <c r="R2457" i="1"/>
  <c r="R2393" i="1"/>
  <c r="R2329" i="1"/>
  <c r="R2265" i="1"/>
  <c r="R2201" i="1"/>
  <c r="R1812" i="1"/>
  <c r="R1748" i="1"/>
  <c r="R1684" i="1"/>
  <c r="R1620" i="1"/>
  <c r="R1556" i="1"/>
  <c r="R1492" i="1"/>
  <c r="R2283" i="1"/>
  <c r="R2219" i="1"/>
  <c r="R2155" i="1"/>
  <c r="R2091" i="1"/>
  <c r="R2027" i="1"/>
  <c r="R1963" i="1"/>
  <c r="R1899" i="1"/>
  <c r="R1835" i="1"/>
  <c r="R1771" i="1"/>
  <c r="R1707" i="1"/>
  <c r="R1579" i="1"/>
  <c r="R2298" i="1"/>
  <c r="R2234" i="1"/>
  <c r="R2170" i="1"/>
  <c r="R2106" i="1"/>
  <c r="R2042" i="1"/>
  <c r="R1978" i="1"/>
  <c r="R1914" i="1"/>
  <c r="R1850" i="1"/>
  <c r="R1786" i="1"/>
  <c r="R1722" i="1"/>
  <c r="R1658" i="1"/>
  <c r="R1594" i="1"/>
  <c r="R1530" i="1"/>
  <c r="R1466" i="1"/>
  <c r="R2141" i="1"/>
  <c r="R2061" i="1"/>
  <c r="R1965" i="1"/>
  <c r="R1885" i="1"/>
  <c r="R1805" i="1"/>
  <c r="R1709" i="1"/>
  <c r="R1629" i="1"/>
  <c r="R1549" i="1"/>
  <c r="R1591" i="1"/>
  <c r="R2118" i="1"/>
  <c r="R1862" i="1"/>
  <c r="R1606" i="1"/>
  <c r="R2169" i="1"/>
  <c r="R1913" i="1"/>
  <c r="R1657" i="1"/>
  <c r="R1571" i="1"/>
  <c r="R2098" i="1"/>
  <c r="R1842" i="1"/>
  <c r="R1586" i="1"/>
  <c r="R2149" i="1"/>
  <c r="R1893" i="1"/>
  <c r="R1637" i="1"/>
  <c r="R1615" i="1"/>
  <c r="R2142" i="1"/>
  <c r="R1886" i="1"/>
  <c r="R1630" i="1"/>
  <c r="R2193" i="1"/>
  <c r="R1937" i="1"/>
  <c r="R1681" i="1"/>
  <c r="R1955" i="1"/>
  <c r="R1891" i="1"/>
  <c r="R1827" i="1"/>
  <c r="R1763" i="1"/>
  <c r="R1699" i="1"/>
  <c r="R1547" i="1"/>
  <c r="R2573" i="1"/>
  <c r="R2509" i="1"/>
  <c r="R2445" i="1"/>
  <c r="R2381" i="1"/>
  <c r="R2317" i="1"/>
  <c r="R2253" i="1"/>
  <c r="R1864" i="1"/>
  <c r="R1800" i="1"/>
  <c r="R1736" i="1"/>
  <c r="R1672" i="1"/>
  <c r="R1608" i="1"/>
  <c r="R1544" i="1"/>
  <c r="R1480" i="1"/>
  <c r="R2271" i="1"/>
  <c r="R2207" i="1"/>
  <c r="R2143" i="1"/>
  <c r="R2079" i="1"/>
  <c r="R2015" i="1"/>
  <c r="R1951" i="1"/>
  <c r="R1887" i="1"/>
  <c r="R1823" i="1"/>
  <c r="R1759" i="1"/>
  <c r="R1691" i="1"/>
  <c r="R1531" i="1"/>
  <c r="R2633" i="1"/>
  <c r="R2569" i="1"/>
  <c r="R2505" i="1"/>
  <c r="R2441" i="1"/>
  <c r="R2377" i="1"/>
  <c r="R2313" i="1"/>
  <c r="R2249" i="1"/>
  <c r="R1860" i="1"/>
  <c r="R1796" i="1"/>
  <c r="R1732" i="1"/>
  <c r="R1668" i="1"/>
  <c r="R1604" i="1"/>
  <c r="R1540" i="1"/>
  <c r="R1476" i="1"/>
  <c r="R2267" i="1"/>
  <c r="R2203" i="1"/>
  <c r="R2139" i="1"/>
  <c r="R2075" i="1"/>
  <c r="R2011" i="1"/>
  <c r="R1947" i="1"/>
  <c r="R1883" i="1"/>
  <c r="R1819" i="1"/>
  <c r="R1755" i="1"/>
  <c r="R1687" i="1"/>
  <c r="R1515" i="1"/>
  <c r="R2346" i="1"/>
  <c r="R2282" i="1"/>
  <c r="R2218" i="1"/>
  <c r="R2154" i="1"/>
  <c r="R2090" i="1"/>
  <c r="R2026" i="1"/>
  <c r="R1962" i="1"/>
  <c r="R1898" i="1"/>
  <c r="R1834" i="1"/>
  <c r="R1770" i="1"/>
  <c r="R1706" i="1"/>
  <c r="R1642" i="1"/>
  <c r="R1578" i="1"/>
  <c r="R1514" i="1"/>
  <c r="R2125" i="1"/>
  <c r="R2029" i="1"/>
  <c r="R1949" i="1"/>
  <c r="R1869" i="1"/>
  <c r="R1773" i="1"/>
  <c r="R1693" i="1"/>
  <c r="R1613" i="1"/>
  <c r="R1517" i="1"/>
  <c r="R1527" i="1"/>
  <c r="R2310" i="1"/>
  <c r="R2054" i="1"/>
  <c r="R1798" i="1"/>
  <c r="R1542" i="1"/>
  <c r="R2105" i="1"/>
  <c r="R1849" i="1"/>
  <c r="R1593" i="1"/>
  <c r="R1507" i="1"/>
  <c r="R2290" i="1"/>
  <c r="R2034" i="1"/>
  <c r="R1778" i="1"/>
  <c r="R1522" i="1"/>
  <c r="R2085" i="1"/>
  <c r="R1829" i="1"/>
  <c r="R1573" i="1"/>
  <c r="R1551" i="1"/>
  <c r="R2334" i="1"/>
  <c r="R2078" i="1"/>
  <c r="R1822" i="1"/>
  <c r="R1566" i="1"/>
  <c r="R2129" i="1"/>
  <c r="R1873" i="1"/>
  <c r="R1601" i="1"/>
  <c r="R1483" i="1"/>
  <c r="R2557" i="1"/>
  <c r="R2493" i="1"/>
  <c r="R2429" i="1"/>
  <c r="R2365" i="1"/>
  <c r="R2301" i="1"/>
  <c r="R2237" i="1"/>
  <c r="R1848" i="1"/>
  <c r="R1784" i="1"/>
  <c r="R1720" i="1"/>
  <c r="R1656" i="1"/>
  <c r="R1592" i="1"/>
  <c r="R1528" i="1"/>
  <c r="R2319" i="1"/>
  <c r="R2255" i="1"/>
  <c r="R2191" i="1"/>
  <c r="R2127" i="1"/>
  <c r="R2063" i="1"/>
  <c r="R1999" i="1"/>
  <c r="R1935" i="1"/>
  <c r="R1871" i="1"/>
  <c r="R1807" i="1"/>
  <c r="R1743" i="1"/>
  <c r="R1671" i="1"/>
  <c r="R1467" i="1"/>
  <c r="R2617" i="1"/>
  <c r="R2553" i="1"/>
  <c r="R2489" i="1"/>
  <c r="R2425" i="1"/>
  <c r="R2361" i="1"/>
  <c r="R2297" i="1"/>
  <c r="R2233" i="1"/>
  <c r="R1844" i="1"/>
  <c r="R1780" i="1"/>
  <c r="R1716" i="1"/>
  <c r="R1652" i="1"/>
  <c r="R1588" i="1"/>
  <c r="R1524" i="1"/>
  <c r="R2315" i="1"/>
  <c r="R2251" i="1"/>
  <c r="R2187" i="1"/>
  <c r="R2123" i="1"/>
  <c r="R2059" i="1"/>
  <c r="R1995" i="1"/>
  <c r="R1931" i="1"/>
  <c r="R1867" i="1"/>
  <c r="R1803" i="1"/>
  <c r="R1739" i="1"/>
  <c r="R1667" i="1"/>
  <c r="R2330" i="1"/>
  <c r="R2266" i="1"/>
  <c r="R2202" i="1"/>
  <c r="R2138" i="1"/>
  <c r="R2074" i="1"/>
  <c r="R2010" i="1"/>
  <c r="R1946" i="1"/>
  <c r="R1882" i="1"/>
  <c r="R1818" i="1"/>
  <c r="R1754" i="1"/>
  <c r="R1690" i="1"/>
  <c r="R1626" i="1"/>
  <c r="R1562" i="1"/>
  <c r="R1498" i="1"/>
  <c r="R2189" i="1"/>
  <c r="R2093" i="1"/>
  <c r="R2013" i="1"/>
  <c r="R1933" i="1"/>
  <c r="R1837" i="1"/>
  <c r="R1757" i="1"/>
  <c r="R1677" i="1"/>
  <c r="R1581" i="1"/>
  <c r="R1493" i="1"/>
  <c r="R2246" i="1"/>
  <c r="R1990" i="1"/>
  <c r="R1734" i="1"/>
  <c r="R1478" i="1"/>
  <c r="R2041" i="1"/>
  <c r="R1785" i="1"/>
  <c r="R1529" i="1"/>
  <c r="R2226" i="1"/>
  <c r="R1970" i="1"/>
  <c r="R1714" i="1"/>
  <c r="R2021" i="1"/>
  <c r="R1765" i="1"/>
  <c r="R1509" i="1"/>
  <c r="R1487" i="1"/>
  <c r="R2270" i="1"/>
  <c r="R2014" i="1"/>
  <c r="R1758" i="1"/>
  <c r="R1502" i="1"/>
  <c r="R2065" i="1"/>
  <c r="R1809" i="1"/>
  <c r="R1497" i="1"/>
  <c r="R2173" i="1"/>
  <c r="R2109" i="1"/>
  <c r="R2045" i="1"/>
  <c r="R1981" i="1"/>
  <c r="R1917" i="1"/>
  <c r="R1853" i="1"/>
  <c r="R1789" i="1"/>
  <c r="R1725" i="1"/>
  <c r="R1661" i="1"/>
  <c r="R1597" i="1"/>
  <c r="R1533" i="1"/>
  <c r="R1639" i="1"/>
  <c r="R1575" i="1"/>
  <c r="R1511" i="1"/>
  <c r="R2294" i="1"/>
  <c r="R2230" i="1"/>
  <c r="R2166" i="1"/>
  <c r="R2102" i="1"/>
  <c r="R2038" i="1"/>
  <c r="R1974" i="1"/>
  <c r="R1910" i="1"/>
  <c r="R1846" i="1"/>
  <c r="R1782" i="1"/>
  <c r="R1718" i="1"/>
  <c r="R1654" i="1"/>
  <c r="R1590" i="1"/>
  <c r="R1526" i="1"/>
  <c r="R2153" i="1"/>
  <c r="R2089" i="1"/>
  <c r="R2025" i="1"/>
  <c r="R1961" i="1"/>
  <c r="R1897" i="1"/>
  <c r="R1833" i="1"/>
  <c r="R1769" i="1"/>
  <c r="R1705" i="1"/>
  <c r="R1641" i="1"/>
  <c r="R1577" i="1"/>
  <c r="R1513" i="1"/>
  <c r="R1619" i="1"/>
  <c r="R1555" i="1"/>
  <c r="R1491" i="1"/>
  <c r="R2338" i="1"/>
  <c r="R2274" i="1"/>
  <c r="R2210" i="1"/>
  <c r="R2146" i="1"/>
  <c r="R2082" i="1"/>
  <c r="R2018" i="1"/>
  <c r="R1954" i="1"/>
  <c r="R1890" i="1"/>
  <c r="R1826" i="1"/>
  <c r="R1762" i="1"/>
  <c r="R1698" i="1"/>
  <c r="R1634" i="1"/>
  <c r="R1570" i="1"/>
  <c r="R1506" i="1"/>
  <c r="R2197" i="1"/>
  <c r="R2133" i="1"/>
  <c r="R2069" i="1"/>
  <c r="R2005" i="1"/>
  <c r="R1941" i="1"/>
  <c r="R1877" i="1"/>
  <c r="R1813" i="1"/>
  <c r="R1749" i="1"/>
  <c r="R1685" i="1"/>
  <c r="R1621" i="1"/>
  <c r="R1557" i="1"/>
  <c r="R1477" i="1"/>
  <c r="R1663" i="1"/>
  <c r="R1599" i="1"/>
  <c r="R1535" i="1"/>
  <c r="R1471" i="1"/>
  <c r="R2318" i="1"/>
  <c r="R2254" i="1"/>
  <c r="R2190" i="1"/>
  <c r="R2126" i="1"/>
  <c r="R2062" i="1"/>
  <c r="R1998" i="1"/>
  <c r="R1934" i="1"/>
  <c r="R1870" i="1"/>
  <c r="R1806" i="1"/>
  <c r="R1742" i="1"/>
  <c r="R1678" i="1"/>
  <c r="R1614" i="1"/>
  <c r="R1550" i="1"/>
  <c r="R1486" i="1"/>
  <c r="R2177" i="1"/>
  <c r="R2113" i="1"/>
  <c r="R2049" i="1"/>
  <c r="R1985" i="1"/>
  <c r="R1921" i="1"/>
  <c r="R1857" i="1"/>
  <c r="R1793" i="1"/>
  <c r="R1729" i="1"/>
  <c r="R1665" i="1"/>
  <c r="R1569" i="1"/>
  <c r="R1465" i="1"/>
  <c r="R1473" i="1"/>
  <c r="R1623" i="1"/>
  <c r="R1559" i="1"/>
  <c r="R1495" i="1"/>
  <c r="R2342" i="1"/>
  <c r="R2278" i="1"/>
  <c r="R2214" i="1"/>
  <c r="R2150" i="1"/>
  <c r="R2086" i="1"/>
  <c r="R2022" i="1"/>
  <c r="R1958" i="1"/>
  <c r="R1894" i="1"/>
  <c r="R1830" i="1"/>
  <c r="R1766" i="1"/>
  <c r="R1702" i="1"/>
  <c r="R1638" i="1"/>
  <c r="R1574" i="1"/>
  <c r="R1510" i="1"/>
  <c r="R2137" i="1"/>
  <c r="R2073" i="1"/>
  <c r="R2009" i="1"/>
  <c r="R1945" i="1"/>
  <c r="R1881" i="1"/>
  <c r="R1817" i="1"/>
  <c r="R1753" i="1"/>
  <c r="R1689" i="1"/>
  <c r="R1625" i="1"/>
  <c r="R1561" i="1"/>
  <c r="R1481" i="1"/>
  <c r="R1603" i="1"/>
  <c r="R1539" i="1"/>
  <c r="R1475" i="1"/>
  <c r="R2322" i="1"/>
  <c r="R2258" i="1"/>
  <c r="R2194" i="1"/>
  <c r="R2130" i="1"/>
  <c r="R2066" i="1"/>
  <c r="R2002" i="1"/>
  <c r="R1938" i="1"/>
  <c r="R1874" i="1"/>
  <c r="R1810" i="1"/>
  <c r="R1746" i="1"/>
  <c r="R1682" i="1"/>
  <c r="R1618" i="1"/>
  <c r="R1554" i="1"/>
  <c r="R1490" i="1"/>
  <c r="R2181" i="1"/>
  <c r="R2117" i="1"/>
  <c r="R2053" i="1"/>
  <c r="R1989" i="1"/>
  <c r="R1925" i="1"/>
  <c r="R1861" i="1"/>
  <c r="R1797" i="1"/>
  <c r="R1733" i="1"/>
  <c r="R1669" i="1"/>
  <c r="R1605" i="1"/>
  <c r="R1541" i="1"/>
  <c r="R1647" i="1"/>
  <c r="R1583" i="1"/>
  <c r="R1519" i="1"/>
  <c r="R2302" i="1"/>
  <c r="R2238" i="1"/>
  <c r="R2174" i="1"/>
  <c r="R2110" i="1"/>
  <c r="R2046" i="1"/>
  <c r="R1982" i="1"/>
  <c r="R1918" i="1"/>
  <c r="R1854" i="1"/>
  <c r="R1790" i="1"/>
  <c r="R1726" i="1"/>
  <c r="R1662" i="1"/>
  <c r="R1598" i="1"/>
  <c r="R1534" i="1"/>
  <c r="R1470" i="1"/>
  <c r="R2161" i="1"/>
  <c r="R2097" i="1"/>
  <c r="R2033" i="1"/>
  <c r="R1969" i="1"/>
  <c r="R1905" i="1"/>
  <c r="R1841" i="1"/>
  <c r="R1777" i="1"/>
  <c r="R1713" i="1"/>
  <c r="R1633" i="1"/>
  <c r="R1553" i="1"/>
  <c r="R1607" i="1"/>
  <c r="R1543" i="1"/>
  <c r="R1479" i="1"/>
  <c r="R2326" i="1"/>
  <c r="R2262" i="1"/>
  <c r="R2198" i="1"/>
  <c r="R2134" i="1"/>
  <c r="R2070" i="1"/>
  <c r="R2006" i="1"/>
  <c r="R1942" i="1"/>
  <c r="R1878" i="1"/>
  <c r="R1814" i="1"/>
  <c r="R1750" i="1"/>
  <c r="R1686" i="1"/>
  <c r="R1622" i="1"/>
  <c r="R1558" i="1"/>
  <c r="R1494" i="1"/>
  <c r="R2185" i="1"/>
  <c r="R2121" i="1"/>
  <c r="R2057" i="1"/>
  <c r="R1993" i="1"/>
  <c r="R1929" i="1"/>
  <c r="R1865" i="1"/>
  <c r="R1801" i="1"/>
  <c r="R1737" i="1"/>
  <c r="R1673" i="1"/>
  <c r="R1609" i="1"/>
  <c r="R1545" i="1"/>
  <c r="R1587" i="1"/>
  <c r="R1523" i="1"/>
  <c r="R2306" i="1"/>
  <c r="R2242" i="1"/>
  <c r="R2178" i="1"/>
  <c r="R2114" i="1"/>
  <c r="R2050" i="1"/>
  <c r="R1986" i="1"/>
  <c r="R1922" i="1"/>
  <c r="R1858" i="1"/>
  <c r="R1794" i="1"/>
  <c r="R1730" i="1"/>
  <c r="R1666" i="1"/>
  <c r="R1602" i="1"/>
  <c r="R1538" i="1"/>
  <c r="R1474" i="1"/>
  <c r="R2165" i="1"/>
  <c r="R2101" i="1"/>
  <c r="R2037" i="1"/>
  <c r="R1973" i="1"/>
  <c r="R1909" i="1"/>
  <c r="R1845" i="1"/>
  <c r="R1781" i="1"/>
  <c r="R1717" i="1"/>
  <c r="R1653" i="1"/>
  <c r="R1589" i="1"/>
  <c r="R1525" i="1"/>
  <c r="R1695" i="1"/>
  <c r="R1631" i="1"/>
  <c r="R1567" i="1"/>
  <c r="R1503" i="1"/>
  <c r="R2286" i="1"/>
  <c r="R2222" i="1"/>
  <c r="R2158" i="1"/>
  <c r="R2094" i="1"/>
  <c r="R2030" i="1"/>
  <c r="R1966" i="1"/>
  <c r="R1902" i="1"/>
  <c r="R1838" i="1"/>
  <c r="R1774" i="1"/>
  <c r="R1710" i="1"/>
  <c r="R1646" i="1"/>
  <c r="R1582" i="1"/>
  <c r="R1518" i="1"/>
  <c r="R2145" i="1"/>
  <c r="R2081" i="1"/>
  <c r="R2017" i="1"/>
  <c r="R1953" i="1"/>
  <c r="R1889" i="1"/>
  <c r="R1825" i="1"/>
  <c r="R1761" i="1"/>
  <c r="R1697" i="1"/>
  <c r="R1617" i="1"/>
  <c r="R1537" i="1"/>
  <c r="R1469" i="1"/>
  <c r="R1649" i="1"/>
  <c r="R1585" i="1"/>
  <c r="R1521" i="1"/>
  <c r="R1501" i="1"/>
  <c r="R1485" i="1"/>
  <c r="R1505" i="1"/>
  <c r="R1489" i="1"/>
  <c r="Q3981" i="1"/>
  <c r="Q3997" i="1"/>
  <c r="Q4013" i="1"/>
  <c r="Q3990" i="1"/>
  <c r="Q4006" i="1"/>
  <c r="Q3980" i="1"/>
  <c r="Q3996" i="1"/>
  <c r="Q4012" i="1"/>
  <c r="Q4015" i="1"/>
  <c r="Q3991" i="1"/>
  <c r="Q1068" i="1"/>
  <c r="Q1084" i="1"/>
  <c r="Q1100" i="1"/>
  <c r="Q1085" i="1"/>
  <c r="Q1070" i="1"/>
  <c r="Q1091" i="1"/>
  <c r="Q1082" i="1"/>
  <c r="Q1073" i="1"/>
  <c r="Q1094" i="1"/>
  <c r="Q937" i="1"/>
  <c r="Q953" i="1"/>
  <c r="Q932" i="1"/>
  <c r="Q948" i="1"/>
  <c r="Q931" i="1"/>
  <c r="Q963" i="1"/>
  <c r="Q958" i="1"/>
  <c r="Q959" i="1"/>
  <c r="Q954" i="1"/>
  <c r="Q308" i="1"/>
  <c r="Q324" i="1"/>
  <c r="Q340" i="1"/>
  <c r="Q319" i="1"/>
  <c r="Q341" i="1"/>
  <c r="Q322" i="1"/>
  <c r="Q306" i="1"/>
  <c r="Q334" i="1"/>
  <c r="Q339" i="1"/>
  <c r="Q305" i="1"/>
  <c r="Q323" i="1"/>
  <c r="Q12" i="1"/>
  <c r="Q28" i="1"/>
  <c r="Q44" i="1"/>
  <c r="Q7" i="1"/>
  <c r="Q23" i="1"/>
  <c r="Q39" i="1"/>
  <c r="Q55" i="1"/>
  <c r="Q29" i="1"/>
  <c r="Q9" i="1"/>
  <c r="Q50" i="1"/>
  <c r="Q10" i="1"/>
  <c r="Q2" i="1"/>
  <c r="Q6" i="1"/>
  <c r="Q4101" i="1"/>
  <c r="Q4117" i="1"/>
  <c r="Q4133" i="1"/>
  <c r="Q4110" i="1"/>
  <c r="Q4126" i="1"/>
  <c r="Q4100" i="1"/>
  <c r="Q4116" i="1"/>
  <c r="Q4132" i="1"/>
  <c r="Q4115" i="1"/>
  <c r="Q4135" i="1"/>
  <c r="Q3941" i="1"/>
  <c r="Q3957" i="1"/>
  <c r="Q3973" i="1"/>
  <c r="Q3950" i="1"/>
  <c r="Q3966" i="1"/>
  <c r="Q3940" i="1"/>
  <c r="Q3956" i="1"/>
  <c r="Q3972" i="1"/>
  <c r="Q3955" i="1"/>
  <c r="Q3975" i="1"/>
  <c r="Q3763" i="1"/>
  <c r="Q3779" i="1"/>
  <c r="Q3795" i="1"/>
  <c r="Q3760" i="1"/>
  <c r="Q3776" i="1"/>
  <c r="Q3792" i="1"/>
  <c r="Q3762" i="1"/>
  <c r="Q3778" i="1"/>
  <c r="Q3794" i="1"/>
  <c r="Q3765" i="1"/>
  <c r="Q3785" i="1"/>
  <c r="Q3793" i="1"/>
  <c r="Q1432" i="1"/>
  <c r="Q1448" i="1"/>
  <c r="Q1437" i="1"/>
  <c r="Q1458" i="1"/>
  <c r="Q1443" i="1"/>
  <c r="Q1434" i="1"/>
  <c r="Q1455" i="1"/>
  <c r="Q1446" i="1"/>
  <c r="Q1304" i="1"/>
  <c r="Q1320" i="1"/>
  <c r="Q1309" i="1"/>
  <c r="Q1330" i="1"/>
  <c r="Q1315" i="1"/>
  <c r="Q1306" i="1"/>
  <c r="Q1327" i="1"/>
  <c r="Q1318" i="1"/>
  <c r="Q1172" i="1"/>
  <c r="Q1188" i="1"/>
  <c r="Q1204" i="1"/>
  <c r="Q1191" i="1"/>
  <c r="Q1182" i="1"/>
  <c r="Q1203" i="1"/>
  <c r="Q1189" i="1"/>
  <c r="Q1174" i="1"/>
  <c r="Q1195" i="1"/>
  <c r="Q1032" i="1"/>
  <c r="Q1048" i="1"/>
  <c r="Q1064" i="1"/>
  <c r="Q1053" i="1"/>
  <c r="Q1043" i="1"/>
  <c r="Q1065" i="1"/>
  <c r="Q1055" i="1"/>
  <c r="Q1041" i="1"/>
  <c r="Q1062" i="1"/>
  <c r="Q901" i="1"/>
  <c r="Q917" i="1"/>
  <c r="Q896" i="1"/>
  <c r="Q912" i="1"/>
  <c r="Q899" i="1"/>
  <c r="Q894" i="1"/>
  <c r="Q926" i="1"/>
  <c r="Q919" i="1"/>
  <c r="Q914" i="1"/>
  <c r="Q750" i="1"/>
  <c r="Q766" i="1"/>
  <c r="Q741" i="1"/>
  <c r="Q763" i="1"/>
  <c r="Q740" i="1"/>
  <c r="Q761" i="1"/>
  <c r="Q749" i="1"/>
  <c r="Q753" i="1"/>
  <c r="Q755" i="1"/>
  <c r="Q759" i="1"/>
  <c r="Q594" i="1"/>
  <c r="Q610" i="1"/>
  <c r="Q587" i="1"/>
  <c r="Q608" i="1"/>
  <c r="Q591" i="1"/>
  <c r="Q612" i="1"/>
  <c r="Q600" i="1"/>
  <c r="Q604" i="1"/>
  <c r="Q605" i="1"/>
  <c r="Q609" i="1"/>
  <c r="Q436" i="1"/>
  <c r="Q442" i="1"/>
  <c r="Q458" i="1"/>
  <c r="Q435" i="1"/>
  <c r="Q459" i="1"/>
  <c r="Q441" i="1"/>
  <c r="Q463" i="1"/>
  <c r="Q461" i="1"/>
  <c r="Q465" i="1"/>
  <c r="Q467" i="1"/>
  <c r="Q256" i="1"/>
  <c r="Q272" i="1"/>
  <c r="Q288" i="1"/>
  <c r="Q261" i="1"/>
  <c r="Q282" i="1"/>
  <c r="Q258" i="1"/>
  <c r="Q286" i="1"/>
  <c r="Q270" i="1"/>
  <c r="Q299" i="1"/>
  <c r="Q297" i="1"/>
  <c r="Q262" i="1"/>
  <c r="Q281" i="1"/>
  <c r="Q64" i="1"/>
  <c r="Q80" i="1"/>
  <c r="Q96" i="1"/>
  <c r="Q63" i="1"/>
  <c r="Q79" i="1"/>
  <c r="Q95" i="1"/>
  <c r="Q69" i="1"/>
  <c r="Q101" i="1"/>
  <c r="Q94" i="1"/>
  <c r="Q86" i="1"/>
  <c r="Q97" i="1"/>
  <c r="Q65" i="1"/>
  <c r="Q3855" i="1"/>
  <c r="Q3871" i="1"/>
  <c r="Q3887" i="1"/>
  <c r="Q3856" i="1"/>
  <c r="Q3872" i="1"/>
  <c r="Q3888" i="1"/>
  <c r="Q3858" i="1"/>
  <c r="Q3874" i="1"/>
  <c r="Q3890" i="1"/>
  <c r="Q3877" i="1"/>
  <c r="Q3897" i="1"/>
  <c r="Q3885" i="1"/>
  <c r="Q634" i="1"/>
  <c r="Q650" i="1"/>
  <c r="Q629" i="1"/>
  <c r="Q651" i="1"/>
  <c r="Q633" i="1"/>
  <c r="Q655" i="1"/>
  <c r="Q653" i="1"/>
  <c r="Q627" i="1"/>
  <c r="Q631" i="1"/>
  <c r="Q4181" i="1"/>
  <c r="Q4184" i="1"/>
  <c r="Q4200" i="1"/>
  <c r="Q4216" i="1"/>
  <c r="Q4203" i="1"/>
  <c r="Q4189" i="1"/>
  <c r="Q4210" i="1"/>
  <c r="Q4195" i="1"/>
  <c r="Q4217" i="1"/>
  <c r="Q4202" i="1"/>
  <c r="Q1208" i="1"/>
  <c r="Q1224" i="1"/>
  <c r="Q1207" i="1"/>
  <c r="Q1229" i="1"/>
  <c r="Q1214" i="1"/>
  <c r="Q1235" i="1"/>
  <c r="Q1226" i="1"/>
  <c r="Q1211" i="1"/>
  <c r="Q1233" i="1"/>
  <c r="Q478" i="1"/>
  <c r="Q494" i="1"/>
  <c r="Q475" i="1"/>
  <c r="Q496" i="1"/>
  <c r="Q479" i="1"/>
  <c r="Q500" i="1"/>
  <c r="Q493" i="1"/>
  <c r="Q497" i="1"/>
  <c r="Q499" i="1"/>
  <c r="Q492" i="1"/>
  <c r="Q4029" i="1"/>
  <c r="Q4045" i="1"/>
  <c r="Q4022" i="1"/>
  <c r="Q4038" i="1"/>
  <c r="Q4054" i="1"/>
  <c r="Q4028" i="1"/>
  <c r="Q4044" i="1"/>
  <c r="Q4031" i="1"/>
  <c r="Q4023" i="1"/>
  <c r="Q4043" i="1"/>
  <c r="Q3663" i="1"/>
  <c r="Q3679" i="1"/>
  <c r="Q3695" i="1"/>
  <c r="Q3652" i="1"/>
  <c r="Q3668" i="1"/>
  <c r="Q3684" i="1"/>
  <c r="Q3700" i="1"/>
  <c r="Q3662" i="1"/>
  <c r="Q3678" i="1"/>
  <c r="Q3694" i="1"/>
  <c r="Q3653" i="1"/>
  <c r="Q3657" i="1"/>
  <c r="Q3665" i="1"/>
  <c r="Q3661" i="1"/>
  <c r="Q1376" i="1"/>
  <c r="Q1392" i="1"/>
  <c r="Q1383" i="1"/>
  <c r="Q1369" i="1"/>
  <c r="Q1390" i="1"/>
  <c r="Q1381" i="1"/>
  <c r="Q1371" i="1"/>
  <c r="Q1393" i="1"/>
  <c r="Q1248" i="1"/>
  <c r="Q1264" i="1"/>
  <c r="Q1255" i="1"/>
  <c r="Q1241" i="1"/>
  <c r="Q1262" i="1"/>
  <c r="Q1253" i="1"/>
  <c r="Q1243" i="1"/>
  <c r="Q1265" i="1"/>
  <c r="Q1112" i="1"/>
  <c r="Q1128" i="1"/>
  <c r="Q1117" i="1"/>
  <c r="Q1102" i="1"/>
  <c r="Q1123" i="1"/>
  <c r="Q1109" i="1"/>
  <c r="Q1130" i="1"/>
  <c r="Q1115" i="1"/>
  <c r="Q965" i="1"/>
  <c r="Q981" i="1"/>
  <c r="Q997" i="1"/>
  <c r="Q976" i="1"/>
  <c r="Q992" i="1"/>
  <c r="Q987" i="1"/>
  <c r="Q982" i="1"/>
  <c r="Q983" i="1"/>
  <c r="Q986" i="1"/>
  <c r="Q826" i="1"/>
  <c r="Q842" i="1"/>
  <c r="Q821" i="1"/>
  <c r="Q843" i="1"/>
  <c r="Q825" i="1"/>
  <c r="Q847" i="1"/>
  <c r="Q845" i="1"/>
  <c r="Q819" i="1"/>
  <c r="Q823" i="1"/>
  <c r="Q666" i="1"/>
  <c r="Q682" i="1"/>
  <c r="Q698" i="1"/>
  <c r="Q683" i="1"/>
  <c r="Q665" i="1"/>
  <c r="Q687" i="1"/>
  <c r="Q675" i="1"/>
  <c r="Q679" i="1"/>
  <c r="Q680" i="1"/>
  <c r="Q684" i="1"/>
  <c r="Q518" i="1"/>
  <c r="Q534" i="1"/>
  <c r="Q512" i="1"/>
  <c r="Q533" i="1"/>
  <c r="Q516" i="1"/>
  <c r="Q537" i="1"/>
  <c r="Q536" i="1"/>
  <c r="Q540" i="1"/>
  <c r="Q513" i="1"/>
  <c r="Q344" i="1"/>
  <c r="Q360" i="1"/>
  <c r="Q376" i="1"/>
  <c r="Q351" i="1"/>
  <c r="Q373" i="1"/>
  <c r="Q358" i="1"/>
  <c r="Q349" i="1"/>
  <c r="Q377" i="1"/>
  <c r="Q382" i="1"/>
  <c r="Q347" i="1"/>
  <c r="Q366" i="1"/>
  <c r="Q164" i="1"/>
  <c r="Q180" i="1"/>
  <c r="Q196" i="1"/>
  <c r="Q167" i="1"/>
  <c r="Q183" i="1"/>
  <c r="Q199" i="1"/>
  <c r="Q173" i="1"/>
  <c r="Q204" i="1"/>
  <c r="Q190" i="1"/>
  <c r="Q198" i="1"/>
  <c r="Q162" i="1"/>
  <c r="Q177" i="1"/>
  <c r="Q4141" i="1"/>
  <c r="Q4157" i="1"/>
  <c r="Q4173" i="1"/>
  <c r="Q4150" i="1"/>
  <c r="Q4166" i="1"/>
  <c r="Q4140" i="1"/>
  <c r="Q4156" i="1"/>
  <c r="Q4172" i="1"/>
  <c r="Q4175" i="1"/>
  <c r="Q4151" i="1"/>
  <c r="Q3811" i="1"/>
  <c r="Q3827" i="1"/>
  <c r="Q3843" i="1"/>
  <c r="Q3812" i="1"/>
  <c r="Q3828" i="1"/>
  <c r="Q3844" i="1"/>
  <c r="Q3814" i="1"/>
  <c r="Q3830" i="1"/>
  <c r="Q3846" i="1"/>
  <c r="Q3845" i="1"/>
  <c r="Q3809" i="1"/>
  <c r="Q3837" i="1"/>
  <c r="Q3607" i="1"/>
  <c r="Q3623" i="1"/>
  <c r="Q3639" i="1"/>
  <c r="Q3600" i="1"/>
  <c r="Q3616" i="1"/>
  <c r="Q3632" i="1"/>
  <c r="Q3648" i="1"/>
  <c r="Q3610" i="1"/>
  <c r="Q3626" i="1"/>
  <c r="Q3642" i="1"/>
  <c r="Q3621" i="1"/>
  <c r="Q3641" i="1"/>
  <c r="Q3649" i="1"/>
  <c r="Q3597" i="1"/>
  <c r="Q1344" i="1"/>
  <c r="Q1360" i="1"/>
  <c r="Q1351" i="1"/>
  <c r="Q1337" i="1"/>
  <c r="Q1358" i="1"/>
  <c r="Q1349" i="1"/>
  <c r="Q1339" i="1"/>
  <c r="Q1361" i="1"/>
  <c r="Q790" i="1"/>
  <c r="Q806" i="1"/>
  <c r="Q789" i="1"/>
  <c r="Q811" i="1"/>
  <c r="Q793" i="1"/>
  <c r="Q815" i="1"/>
  <c r="Q813" i="1"/>
  <c r="Q817" i="1"/>
  <c r="Q780" i="1"/>
  <c r="Q108" i="1"/>
  <c r="Q124" i="1"/>
  <c r="Q140" i="1"/>
  <c r="Q107" i="1"/>
  <c r="Q123" i="1"/>
  <c r="Q139" i="1"/>
  <c r="Q155" i="1"/>
  <c r="Q133" i="1"/>
  <c r="Q126" i="1"/>
  <c r="Q129" i="1"/>
  <c r="Q122" i="1"/>
  <c r="Q134" i="1"/>
  <c r="Q150" i="1"/>
  <c r="Q1419" i="1"/>
  <c r="Q1302" i="1"/>
  <c r="Q1281" i="1"/>
  <c r="Q1158" i="1"/>
  <c r="Q1137" i="1"/>
  <c r="Q1002" i="1"/>
  <c r="Q865" i="1"/>
  <c r="Q705" i="1"/>
  <c r="Q423" i="1"/>
  <c r="Q238" i="1"/>
  <c r="Q1423" i="1"/>
  <c r="Q1402" i="1"/>
  <c r="Q1285" i="1"/>
  <c r="Q1162" i="1"/>
  <c r="Q1141" i="1"/>
  <c r="Q1007" i="1"/>
  <c r="Q871" i="1"/>
  <c r="Q712" i="1"/>
  <c r="Q552" i="1"/>
  <c r="Q247" i="1"/>
  <c r="Q1422" i="1"/>
  <c r="Q1299" i="1"/>
  <c r="Q1278" i="1"/>
  <c r="Q1155" i="1"/>
  <c r="Q1022" i="1"/>
  <c r="Q878" i="1"/>
  <c r="Q583" i="1"/>
  <c r="Q402" i="1"/>
  <c r="Q4224" i="1"/>
  <c r="Q4240" i="1"/>
  <c r="Q4256" i="1"/>
  <c r="Q4241" i="1"/>
  <c r="Q4221" i="1"/>
  <c r="Q4242" i="1"/>
  <c r="Q4222" i="1"/>
  <c r="Q4243" i="1"/>
  <c r="Q4223" i="1"/>
  <c r="Q4245" i="1"/>
  <c r="Q4065" i="1"/>
  <c r="Q4081" i="1"/>
  <c r="Q4097" i="1"/>
  <c r="Q4074" i="1"/>
  <c r="Q4090" i="1"/>
  <c r="Q4064" i="1"/>
  <c r="Q4080" i="1"/>
  <c r="Q4096" i="1"/>
  <c r="Q4067" i="1"/>
  <c r="Q4087" i="1"/>
  <c r="Q3907" i="1"/>
  <c r="Q3923" i="1"/>
  <c r="Q3900" i="1"/>
  <c r="Q3916" i="1"/>
  <c r="Q3914" i="1"/>
  <c r="Q3930" i="1"/>
  <c r="Q3929" i="1"/>
  <c r="Q3932" i="1"/>
  <c r="Q3928" i="1"/>
  <c r="Q3939" i="1"/>
  <c r="Q3715" i="1"/>
  <c r="Q3731" i="1"/>
  <c r="Q3747" i="1"/>
  <c r="Q3708" i="1"/>
  <c r="Q3724" i="1"/>
  <c r="Q3740" i="1"/>
  <c r="Q3756" i="1"/>
  <c r="Q3722" i="1"/>
  <c r="Q3738" i="1"/>
  <c r="Q3754" i="1"/>
  <c r="Q3749" i="1"/>
  <c r="Q3713" i="1"/>
  <c r="Q3709" i="1"/>
  <c r="Q1404" i="1"/>
  <c r="Q1420" i="1"/>
  <c r="Q1276" i="1"/>
  <c r="Q1292" i="1"/>
  <c r="Q1140" i="1"/>
  <c r="Q1156" i="1"/>
  <c r="Q1001" i="1"/>
  <c r="Q1017" i="1"/>
  <c r="Q1000" i="1"/>
  <c r="Q1016" i="1"/>
  <c r="Q858" i="1"/>
  <c r="Q864" i="1"/>
  <c r="Q881" i="1"/>
  <c r="Q863" i="1"/>
  <c r="Q880" i="1"/>
  <c r="Q706" i="1"/>
  <c r="Q722" i="1"/>
  <c r="Q738" i="1"/>
  <c r="Q720" i="1"/>
  <c r="Q703" i="1"/>
  <c r="Q724" i="1"/>
  <c r="Q554" i="1"/>
  <c r="Q570" i="1"/>
  <c r="Q549" i="1"/>
  <c r="Q571" i="1"/>
  <c r="Q553" i="1"/>
  <c r="Q575" i="1"/>
  <c r="Q392" i="1"/>
  <c r="Q408" i="1"/>
  <c r="Q424" i="1"/>
  <c r="Q3985" i="1"/>
  <c r="Q4001" i="1"/>
  <c r="Q4017" i="1"/>
  <c r="Q3994" i="1"/>
  <c r="Q4010" i="1"/>
  <c r="Q3984" i="1"/>
  <c r="Q4000" i="1"/>
  <c r="Q4016" i="1"/>
  <c r="Q3987" i="1"/>
  <c r="Q4007" i="1"/>
  <c r="Q1072" i="1"/>
  <c r="Q1088" i="1"/>
  <c r="Q1069" i="1"/>
  <c r="Q1090" i="1"/>
  <c r="Q1075" i="1"/>
  <c r="Q1097" i="1"/>
  <c r="Q1087" i="1"/>
  <c r="Q1078" i="1"/>
  <c r="Q1099" i="1"/>
  <c r="Q941" i="1"/>
  <c r="Q957" i="1"/>
  <c r="Q936" i="1"/>
  <c r="Q952" i="1"/>
  <c r="Q939" i="1"/>
  <c r="Q934" i="1"/>
  <c r="Q935" i="1"/>
  <c r="Q930" i="1"/>
  <c r="Q962" i="1"/>
  <c r="Q312" i="1"/>
  <c r="Q328" i="1"/>
  <c r="Q303" i="1"/>
  <c r="Q325" i="1"/>
  <c r="Q301" i="1"/>
  <c r="Q329" i="1"/>
  <c r="Q313" i="1"/>
  <c r="Q342" i="1"/>
  <c r="Q302" i="1"/>
  <c r="Q318" i="1"/>
  <c r="Q338" i="1"/>
  <c r="Q16" i="1"/>
  <c r="Q32" i="1"/>
  <c r="Q48" i="1"/>
  <c r="Q11" i="1"/>
  <c r="Q27" i="1"/>
  <c r="Q43" i="1"/>
  <c r="Q5" i="1"/>
  <c r="Q37" i="1"/>
  <c r="Q18" i="1"/>
  <c r="Q14" i="1"/>
  <c r="Q25" i="1"/>
  <c r="Q22" i="1"/>
  <c r="Q34" i="1"/>
  <c r="Q4105" i="1"/>
  <c r="Q4121" i="1"/>
  <c r="Q4137" i="1"/>
  <c r="Q4114" i="1"/>
  <c r="Q4130" i="1"/>
  <c r="Q4104" i="1"/>
  <c r="Q4120" i="1"/>
  <c r="Q4136" i="1"/>
  <c r="Q4131" i="1"/>
  <c r="Q4107" i="1"/>
  <c r="Q3945" i="1"/>
  <c r="Q3961" i="1"/>
  <c r="Q3977" i="1"/>
  <c r="Q3954" i="1"/>
  <c r="Q3970" i="1"/>
  <c r="Q3944" i="1"/>
  <c r="Q3960" i="1"/>
  <c r="Q3976" i="1"/>
  <c r="Q3971" i="1"/>
  <c r="Q3947" i="1"/>
  <c r="Q3767" i="1"/>
  <c r="Q3783" i="1"/>
  <c r="Q3799" i="1"/>
  <c r="Q3764" i="1"/>
  <c r="Q3780" i="1"/>
  <c r="Q3796" i="1"/>
  <c r="Q3766" i="1"/>
  <c r="Q3782" i="1"/>
  <c r="Q3798" i="1"/>
  <c r="Q3781" i="1"/>
  <c r="Q3801" i="1"/>
  <c r="Q3773" i="1"/>
  <c r="Q1436" i="1"/>
  <c r="Q1452" i="1"/>
  <c r="Q1442" i="1"/>
  <c r="Q1463" i="1"/>
  <c r="Q1449" i="1"/>
  <c r="Q1439" i="1"/>
  <c r="Q1461" i="1"/>
  <c r="Q1451" i="1"/>
  <c r="Q1308" i="1"/>
  <c r="Q1324" i="1"/>
  <c r="Q1314" i="1"/>
  <c r="Q1335" i="1"/>
  <c r="Q1321" i="1"/>
  <c r="Q1311" i="1"/>
  <c r="Q1333" i="1"/>
  <c r="Q1323" i="1"/>
  <c r="Q1176" i="1"/>
  <c r="Q1192" i="1"/>
  <c r="Q1175" i="1"/>
  <c r="Q1197" i="1"/>
  <c r="Q1187" i="1"/>
  <c r="Q1173" i="1"/>
  <c r="Q1194" i="1"/>
  <c r="Q1179" i="1"/>
  <c r="Q1201" i="1"/>
  <c r="Q1036" i="1"/>
  <c r="Q1052" i="1"/>
  <c r="Q1035" i="1"/>
  <c r="Q1058" i="1"/>
  <c r="Q1049" i="1"/>
  <c r="Q1039" i="1"/>
  <c r="Q1061" i="1"/>
  <c r="Q1046" i="1"/>
  <c r="Q1067" i="1"/>
  <c r="Q905" i="1"/>
  <c r="Q921" i="1"/>
  <c r="Q900" i="1"/>
  <c r="Q916" i="1"/>
  <c r="Q907" i="1"/>
  <c r="Q902" i="1"/>
  <c r="Q895" i="1"/>
  <c r="Q927" i="1"/>
  <c r="Q922" i="1"/>
  <c r="Q754" i="1"/>
  <c r="Q770" i="1"/>
  <c r="Q747" i="1"/>
  <c r="Q768" i="1"/>
  <c r="Q745" i="1"/>
  <c r="Q767" i="1"/>
  <c r="Q760" i="1"/>
  <c r="Q764" i="1"/>
  <c r="Q765" i="1"/>
  <c r="Q769" i="1"/>
  <c r="Q598" i="1"/>
  <c r="Q614" i="1"/>
  <c r="Q592" i="1"/>
  <c r="Q613" i="1"/>
  <c r="Q596" i="1"/>
  <c r="Q617" i="1"/>
  <c r="Q611" i="1"/>
  <c r="Q615" i="1"/>
  <c r="Q616" i="1"/>
  <c r="Q620" i="1"/>
  <c r="Q440" i="1"/>
  <c r="Q446" i="1"/>
  <c r="Q462" i="1"/>
  <c r="Q443" i="1"/>
  <c r="Q464" i="1"/>
  <c r="Q447" i="1"/>
  <c r="Q468" i="1"/>
  <c r="Q430" i="1"/>
  <c r="Q433" i="1"/>
  <c r="Q438" i="1"/>
  <c r="Q260" i="1"/>
  <c r="Q276" i="1"/>
  <c r="Q292" i="1"/>
  <c r="Q266" i="1"/>
  <c r="Q287" i="1"/>
  <c r="Q265" i="1"/>
  <c r="Q294" i="1"/>
  <c r="Q278" i="1"/>
  <c r="Q254" i="1"/>
  <c r="Q259" i="1"/>
  <c r="Q275" i="1"/>
  <c r="Q295" i="1"/>
  <c r="Q68" i="1"/>
  <c r="Q84" i="1"/>
  <c r="Q100" i="1"/>
  <c r="Q67" i="1"/>
  <c r="Q83" i="1"/>
  <c r="Q99" i="1"/>
  <c r="Q77" i="1"/>
  <c r="Q62" i="1"/>
  <c r="Q105" i="1"/>
  <c r="Q98" i="1"/>
  <c r="Q78" i="1"/>
  <c r="Q90" i="1"/>
  <c r="Q3859" i="1"/>
  <c r="Q3875" i="1"/>
  <c r="Q3891" i="1"/>
  <c r="Q3860" i="1"/>
  <c r="Q3876" i="1"/>
  <c r="Q3892" i="1"/>
  <c r="Q3862" i="1"/>
  <c r="Q3878" i="1"/>
  <c r="Q3894" i="1"/>
  <c r="Q3893" i="1"/>
  <c r="Q3857" i="1"/>
  <c r="Q3869" i="1"/>
  <c r="Q638" i="1"/>
  <c r="Q654" i="1"/>
  <c r="Q635" i="1"/>
  <c r="Q656" i="1"/>
  <c r="Q639" i="1"/>
  <c r="Q660" i="1"/>
  <c r="Q636" i="1"/>
  <c r="Q637" i="1"/>
  <c r="Q641" i="1"/>
  <c r="Q4182" i="1"/>
  <c r="Q4188" i="1"/>
  <c r="Q4204" i="1"/>
  <c r="Q4187" i="1"/>
  <c r="Q4209" i="1"/>
  <c r="Q4194" i="1"/>
  <c r="Q4215" i="1"/>
  <c r="Q4201" i="1"/>
  <c r="Q4185" i="1"/>
  <c r="Q4207" i="1"/>
  <c r="Q1212" i="1"/>
  <c r="Q1228" i="1"/>
  <c r="Q1213" i="1"/>
  <c r="Q1234" i="1"/>
  <c r="Q1219" i="1"/>
  <c r="Q1210" i="1"/>
  <c r="Q1231" i="1"/>
  <c r="Q1217" i="1"/>
  <c r="Q1238" i="1"/>
  <c r="Q482" i="1"/>
  <c r="Q498" i="1"/>
  <c r="Q480" i="1"/>
  <c r="Q501" i="1"/>
  <c r="Q484" i="1"/>
  <c r="Q505" i="1"/>
  <c r="Q504" i="1"/>
  <c r="Q508" i="1"/>
  <c r="Q509" i="1"/>
  <c r="Q503" i="1"/>
  <c r="Q4033" i="1"/>
  <c r="Q4049" i="1"/>
  <c r="Q4026" i="1"/>
  <c r="Q4042" i="1"/>
  <c r="Q4058" i="1"/>
  <c r="Q4032" i="1"/>
  <c r="Q4048" i="1"/>
  <c r="Q4047" i="1"/>
  <c r="Q4039" i="1"/>
  <c r="Q4059" i="1"/>
  <c r="Q3667" i="1"/>
  <c r="Q3683" i="1"/>
  <c r="Q3699" i="1"/>
  <c r="Q3656" i="1"/>
  <c r="Q3672" i="1"/>
  <c r="Q3688" i="1"/>
  <c r="Q3704" i="1"/>
  <c r="Q3666" i="1"/>
  <c r="Q3682" i="1"/>
  <c r="Q3698" i="1"/>
  <c r="Q3669" i="1"/>
  <c r="Q3673" i="1"/>
  <c r="Q3681" i="1"/>
  <c r="Q3677" i="1"/>
  <c r="Q1380" i="1"/>
  <c r="Q1396" i="1"/>
  <c r="Q1389" i="1"/>
  <c r="Q1374" i="1"/>
  <c r="Q1395" i="1"/>
  <c r="Q1386" i="1"/>
  <c r="Q1377" i="1"/>
  <c r="Q1398" i="1"/>
  <c r="Q1252" i="1"/>
  <c r="Q1268" i="1"/>
  <c r="Q1261" i="1"/>
  <c r="Q1246" i="1"/>
  <c r="Q1267" i="1"/>
  <c r="Q1258" i="1"/>
  <c r="Q1249" i="1"/>
  <c r="Q1270" i="1"/>
  <c r="Q1116" i="1"/>
  <c r="Q1132" i="1"/>
  <c r="Q1122" i="1"/>
  <c r="Q1107" i="1"/>
  <c r="Q1129" i="1"/>
  <c r="Q1114" i="1"/>
  <c r="Q1135" i="1"/>
  <c r="Q1121" i="1"/>
  <c r="Q969" i="1"/>
  <c r="Q985" i="1"/>
  <c r="Q964" i="1"/>
  <c r="Q980" i="1"/>
  <c r="Q996" i="1"/>
  <c r="Q995" i="1"/>
  <c r="Q990" i="1"/>
  <c r="Q991" i="1"/>
  <c r="Q994" i="1"/>
  <c r="Q830" i="1"/>
  <c r="Q846" i="1"/>
  <c r="Q827" i="1"/>
  <c r="Q848" i="1"/>
  <c r="Q831" i="1"/>
  <c r="Q852" i="1"/>
  <c r="Q828" i="1"/>
  <c r="Q829" i="1"/>
  <c r="Q833" i="1"/>
  <c r="Q670" i="1"/>
  <c r="Q686" i="1"/>
  <c r="Q667" i="1"/>
  <c r="Q688" i="1"/>
  <c r="Q671" i="1"/>
  <c r="Q692" i="1"/>
  <c r="Q685" i="1"/>
  <c r="Q689" i="1"/>
  <c r="Q691" i="1"/>
  <c r="Q695" i="1"/>
  <c r="Q522" i="1"/>
  <c r="Q538" i="1"/>
  <c r="Q517" i="1"/>
  <c r="Q539" i="1"/>
  <c r="Q521" i="1"/>
  <c r="Q543" i="1"/>
  <c r="Q547" i="1"/>
  <c r="Q520" i="1"/>
  <c r="Q524" i="1"/>
  <c r="Q348" i="1"/>
  <c r="Q364" i="1"/>
  <c r="Q380" i="1"/>
  <c r="Q357" i="1"/>
  <c r="Q378" i="1"/>
  <c r="Q365" i="1"/>
  <c r="Q355" i="1"/>
  <c r="Q385" i="1"/>
  <c r="Q345" i="1"/>
  <c r="Q361" i="1"/>
  <c r="Q381" i="1"/>
  <c r="Q168" i="1"/>
  <c r="Q184" i="1"/>
  <c r="Q200" i="1"/>
  <c r="Q171" i="1"/>
  <c r="Q187" i="1"/>
  <c r="Q203" i="1"/>
  <c r="Q181" i="1"/>
  <c r="Q158" i="1"/>
  <c r="Q201" i="1"/>
  <c r="Q166" i="1"/>
  <c r="Q193" i="1"/>
  <c r="Q205" i="1"/>
  <c r="Q4145" i="1"/>
  <c r="Q4161" i="1"/>
  <c r="Q4177" i="1"/>
  <c r="Q4154" i="1"/>
  <c r="Q4170" i="1"/>
  <c r="Q4144" i="1"/>
  <c r="Q4160" i="1"/>
  <c r="Q4176" i="1"/>
  <c r="Q4147" i="1"/>
  <c r="Q4167" i="1"/>
  <c r="Q3815" i="1"/>
  <c r="Q3831" i="1"/>
  <c r="Q3847" i="1"/>
  <c r="Q3816" i="1"/>
  <c r="Q3832" i="1"/>
  <c r="Q3848" i="1"/>
  <c r="Q3818" i="1"/>
  <c r="Q3834" i="1"/>
  <c r="Q3850" i="1"/>
  <c r="Q3817" i="1"/>
  <c r="Q3825" i="1"/>
  <c r="Q3853" i="1"/>
  <c r="Q3611" i="1"/>
  <c r="Q3627" i="1"/>
  <c r="Q3643" i="1"/>
  <c r="Q3604" i="1"/>
  <c r="Q3620" i="1"/>
  <c r="Q3636" i="1"/>
  <c r="Q3598" i="1"/>
  <c r="Q3614" i="1"/>
  <c r="Q3630" i="1"/>
  <c r="Q3646" i="1"/>
  <c r="Q3637" i="1"/>
  <c r="Q3601" i="1"/>
  <c r="Q3596" i="1"/>
  <c r="Q3613" i="1"/>
  <c r="Q1348" i="1"/>
  <c r="Q1364" i="1"/>
  <c r="Q1357" i="1"/>
  <c r="Q1342" i="1"/>
  <c r="Q1363" i="1"/>
  <c r="Q1354" i="1"/>
  <c r="Q1345" i="1"/>
  <c r="Q1366" i="1"/>
  <c r="Q794" i="1"/>
  <c r="Q810" i="1"/>
  <c r="Q795" i="1"/>
  <c r="Q816" i="1"/>
  <c r="Q799" i="1"/>
  <c r="Q781" i="1"/>
  <c r="Q785" i="1"/>
  <c r="Q787" i="1"/>
  <c r="Q791" i="1"/>
  <c r="Q112" i="1"/>
  <c r="Q128" i="1"/>
  <c r="Q144" i="1"/>
  <c r="Q111" i="1"/>
  <c r="Q127" i="1"/>
  <c r="Q143" i="1"/>
  <c r="Q109" i="1"/>
  <c r="Q141" i="1"/>
  <c r="Q137" i="1"/>
  <c r="Q142" i="1"/>
  <c r="Q138" i="1"/>
  <c r="Q118" i="1"/>
  <c r="Q130" i="1"/>
  <c r="Q1414" i="1"/>
  <c r="Q1297" i="1"/>
  <c r="Q1275" i="1"/>
  <c r="Q1153" i="1"/>
  <c r="Q1026" i="1"/>
  <c r="Q890" i="1"/>
  <c r="Q737" i="1"/>
  <c r="Q577" i="1"/>
  <c r="Q409" i="1"/>
  <c r="Q225" i="1"/>
  <c r="Q1418" i="1"/>
  <c r="Q1301" i="1"/>
  <c r="Q1279" i="1"/>
  <c r="Q1157" i="1"/>
  <c r="Q1031" i="1"/>
  <c r="Q999" i="1"/>
  <c r="Q861" i="1"/>
  <c r="Q584" i="1"/>
  <c r="Q418" i="1"/>
  <c r="Q233" i="1"/>
  <c r="Q1417" i="1"/>
  <c r="Q1294" i="1"/>
  <c r="Q1171" i="1"/>
  <c r="Q1150" i="1"/>
  <c r="Q1014" i="1"/>
  <c r="Q870" i="1"/>
  <c r="Q572" i="1"/>
  <c r="Q246" i="1"/>
  <c r="Q4228" i="1"/>
  <c r="Q4244" i="1"/>
  <c r="Q4225" i="1"/>
  <c r="Q4246" i="1"/>
  <c r="Q4226" i="1"/>
  <c r="Q4247" i="1"/>
  <c r="Q4227" i="1"/>
  <c r="Q4249" i="1"/>
  <c r="Q4229" i="1"/>
  <c r="Q4250" i="1"/>
  <c r="Q4069" i="1"/>
  <c r="Q4085" i="1"/>
  <c r="Q4062" i="1"/>
  <c r="Q4078" i="1"/>
  <c r="Q4094" i="1"/>
  <c r="Q4068" i="1"/>
  <c r="Q4084" i="1"/>
  <c r="Q4063" i="1"/>
  <c r="Q4083" i="1"/>
  <c r="Q4075" i="1"/>
  <c r="Q3911" i="1"/>
  <c r="Q3927" i="1"/>
  <c r="Q3904" i="1"/>
  <c r="Q3902" i="1"/>
  <c r="Q3918" i="1"/>
  <c r="Q3934" i="1"/>
  <c r="Q3937" i="1"/>
  <c r="Q3938" i="1"/>
  <c r="Q3936" i="1"/>
  <c r="Q3917" i="1"/>
  <c r="Q3719" i="1"/>
  <c r="Q3735" i="1"/>
  <c r="Q3751" i="1"/>
  <c r="Q3712" i="1"/>
  <c r="Q3728" i="1"/>
  <c r="Q3744" i="1"/>
  <c r="Q3710" i="1"/>
  <c r="Q3726" i="1"/>
  <c r="Q3742" i="1"/>
  <c r="Q3758" i="1"/>
  <c r="Q3721" i="1"/>
  <c r="Q3729" i="1"/>
  <c r="Q3725" i="1"/>
  <c r="Q1408" i="1"/>
  <c r="Q1424" i="1"/>
  <c r="Q1280" i="1"/>
  <c r="Q1296" i="1"/>
  <c r="Q1144" i="1"/>
  <c r="Q1160" i="1"/>
  <c r="Q1005" i="1"/>
  <c r="Q1021" i="1"/>
  <c r="Q1004" i="1"/>
  <c r="Q1020" i="1"/>
  <c r="Q862" i="1"/>
  <c r="Q869" i="1"/>
  <c r="Q885" i="1"/>
  <c r="Q868" i="1"/>
  <c r="Q884" i="1"/>
  <c r="Q710" i="1"/>
  <c r="Q726" i="1"/>
  <c r="Q704" i="1"/>
  <c r="Q725" i="1"/>
  <c r="Q708" i="1"/>
  <c r="Q729" i="1"/>
  <c r="Q3989" i="1"/>
  <c r="Q4005" i="1"/>
  <c r="Q3982" i="1"/>
  <c r="Q3998" i="1"/>
  <c r="Q4014" i="1"/>
  <c r="Q3988" i="1"/>
  <c r="Q4004" i="1"/>
  <c r="Q3983" i="1"/>
  <c r="Q4003" i="1"/>
  <c r="Q3995" i="1"/>
  <c r="Q1076" i="1"/>
  <c r="Q1092" i="1"/>
  <c r="Q1074" i="1"/>
  <c r="Q1095" i="1"/>
  <c r="Q1081" i="1"/>
  <c r="Q1071" i="1"/>
  <c r="Q1093" i="1"/>
  <c r="Q1083" i="1"/>
  <c r="Q929" i="1"/>
  <c r="Q945" i="1"/>
  <c r="Q961" i="1"/>
  <c r="Q940" i="1"/>
  <c r="Q956" i="1"/>
  <c r="Q947" i="1"/>
  <c r="Q942" i="1"/>
  <c r="Q943" i="1"/>
  <c r="Q938" i="1"/>
  <c r="Q300" i="1"/>
  <c r="Q316" i="1"/>
  <c r="Q332" i="1"/>
  <c r="Q309" i="1"/>
  <c r="Q330" i="1"/>
  <c r="Q307" i="1"/>
  <c r="Q337" i="1"/>
  <c r="Q321" i="1"/>
  <c r="Q311" i="1"/>
  <c r="Q317" i="1"/>
  <c r="Q333" i="1"/>
  <c r="Q4" i="1"/>
  <c r="Q20" i="1"/>
  <c r="Q36" i="1"/>
  <c r="Q52" i="1"/>
  <c r="Q15" i="1"/>
  <c r="Q31" i="1"/>
  <c r="Q47" i="1"/>
  <c r="Q13" i="1"/>
  <c r="Q45" i="1"/>
  <c r="Q30" i="1"/>
  <c r="Q26" i="1"/>
  <c r="Q38" i="1"/>
  <c r="Q49" i="1"/>
  <c r="Q17" i="1"/>
  <c r="Q4109" i="1"/>
  <c r="Q4125" i="1"/>
  <c r="Q4102" i="1"/>
  <c r="Q4118" i="1"/>
  <c r="Q4134" i="1"/>
  <c r="Q4108" i="1"/>
  <c r="Q4124" i="1"/>
  <c r="Q4111" i="1"/>
  <c r="Q4103" i="1"/>
  <c r="Q4123" i="1"/>
  <c r="Q3949" i="1"/>
  <c r="Q3965" i="1"/>
  <c r="Q3942" i="1"/>
  <c r="Q3958" i="1"/>
  <c r="Q3974" i="1"/>
  <c r="Q3948" i="1"/>
  <c r="Q3964" i="1"/>
  <c r="Q3951" i="1"/>
  <c r="Q3943" i="1"/>
  <c r="Q3963" i="1"/>
  <c r="Q3771" i="1"/>
  <c r="Q3787" i="1"/>
  <c r="Q3803" i="1"/>
  <c r="Q3768" i="1"/>
  <c r="Q3784" i="1"/>
  <c r="Q3800" i="1"/>
  <c r="Q3770" i="1"/>
  <c r="Q3786" i="1"/>
  <c r="Q3802" i="1"/>
  <c r="Q3797" i="1"/>
  <c r="Q3761" i="1"/>
  <c r="Q3789" i="1"/>
  <c r="Q1440" i="1"/>
  <c r="Q1456" i="1"/>
  <c r="Q1447" i="1"/>
  <c r="Q1433" i="1"/>
  <c r="Q1454" i="1"/>
  <c r="Q1445" i="1"/>
  <c r="Q1435" i="1"/>
  <c r="Q1457" i="1"/>
  <c r="Q1312" i="1"/>
  <c r="Q1328" i="1"/>
  <c r="Q1319" i="1"/>
  <c r="Q1305" i="1"/>
  <c r="Q1326" i="1"/>
  <c r="Q1317" i="1"/>
  <c r="Q1307" i="1"/>
  <c r="Q1329" i="1"/>
  <c r="Q1180" i="1"/>
  <c r="Q1196" i="1"/>
  <c r="Q1181" i="1"/>
  <c r="Q1202" i="1"/>
  <c r="Q1193" i="1"/>
  <c r="Q1178" i="1"/>
  <c r="Q1199" i="1"/>
  <c r="Q1185" i="1"/>
  <c r="Q1033" i="1"/>
  <c r="Q1040" i="1"/>
  <c r="Q1056" i="1"/>
  <c r="Q1042" i="1"/>
  <c r="Q1063" i="1"/>
  <c r="Q1054" i="1"/>
  <c r="Q1045" i="1"/>
  <c r="Q1066" i="1"/>
  <c r="Q1051" i="1"/>
  <c r="Q893" i="1"/>
  <c r="Q909" i="1"/>
  <c r="Q925" i="1"/>
  <c r="Q904" i="1"/>
  <c r="Q920" i="1"/>
  <c r="Q915" i="1"/>
  <c r="Q910" i="1"/>
  <c r="Q903" i="1"/>
  <c r="Q898" i="1"/>
  <c r="Q742" i="1"/>
  <c r="Q758" i="1"/>
  <c r="Q774" i="1"/>
  <c r="Q752" i="1"/>
  <c r="Q773" i="1"/>
  <c r="Q751" i="1"/>
  <c r="Q772" i="1"/>
  <c r="Q771" i="1"/>
  <c r="Q775" i="1"/>
  <c r="Q776" i="1"/>
  <c r="Q586" i="1"/>
  <c r="Q602" i="1"/>
  <c r="Q618" i="1"/>
  <c r="Q597" i="1"/>
  <c r="Q619" i="1"/>
  <c r="Q601" i="1"/>
  <c r="Q623" i="1"/>
  <c r="Q621" i="1"/>
  <c r="Q625" i="1"/>
  <c r="Q588" i="1"/>
  <c r="Q428" i="1"/>
  <c r="Q431" i="1"/>
  <c r="Q450" i="1"/>
  <c r="Q466" i="1"/>
  <c r="Q448" i="1"/>
  <c r="Q469" i="1"/>
  <c r="Q452" i="1"/>
  <c r="Q439" i="1"/>
  <c r="Q444" i="1"/>
  <c r="Q445" i="1"/>
  <c r="Q449" i="1"/>
  <c r="Q264" i="1"/>
  <c r="Q280" i="1"/>
  <c r="Q296" i="1"/>
  <c r="Q271" i="1"/>
  <c r="Q293" i="1"/>
  <c r="Q273" i="1"/>
  <c r="Q257" i="1"/>
  <c r="Q285" i="1"/>
  <c r="Q269" i="1"/>
  <c r="Q274" i="1"/>
  <c r="Q290" i="1"/>
  <c r="Q56" i="1"/>
  <c r="Q72" i="1"/>
  <c r="Q88" i="1"/>
  <c r="Q104" i="1"/>
  <c r="Q71" i="1"/>
  <c r="Q87" i="1"/>
  <c r="Q103" i="1"/>
  <c r="Q85" i="1"/>
  <c r="Q73" i="1"/>
  <c r="Q57" i="1"/>
  <c r="Q66" i="1"/>
  <c r="Q58" i="1"/>
  <c r="Q74" i="1"/>
  <c r="Q3863" i="1"/>
  <c r="Q3879" i="1"/>
  <c r="Q3895" i="1"/>
  <c r="Q3864" i="1"/>
  <c r="Q3880" i="1"/>
  <c r="Q3896" i="1"/>
  <c r="Q3866" i="1"/>
  <c r="Q3882" i="1"/>
  <c r="Q3898" i="1"/>
  <c r="Q3865" i="1"/>
  <c r="Q3873" i="1"/>
  <c r="Q626" i="1"/>
  <c r="Q642" i="1"/>
  <c r="Q658" i="1"/>
  <c r="Q640" i="1"/>
  <c r="Q661" i="1"/>
  <c r="Q644" i="1"/>
  <c r="Q632" i="1"/>
  <c r="Q647" i="1"/>
  <c r="Q648" i="1"/>
  <c r="Q652" i="1"/>
  <c r="Q4186" i="1"/>
  <c r="Q4192" i="1"/>
  <c r="Q4208" i="1"/>
  <c r="Q4193" i="1"/>
  <c r="Q4214" i="1"/>
  <c r="Q4199" i="1"/>
  <c r="Q4183" i="1"/>
  <c r="Q4206" i="1"/>
  <c r="Q4191" i="1"/>
  <c r="Q4213" i="1"/>
  <c r="Q1216" i="1"/>
  <c r="Q1232" i="1"/>
  <c r="Q1218" i="1"/>
  <c r="Q1239" i="1"/>
  <c r="Q1225" i="1"/>
  <c r="Q1215" i="1"/>
  <c r="Q1237" i="1"/>
  <c r="Q1222" i="1"/>
  <c r="Q470" i="1"/>
  <c r="Q486" i="1"/>
  <c r="Q502" i="1"/>
  <c r="Q485" i="1"/>
  <c r="Q507" i="1"/>
  <c r="Q489" i="1"/>
  <c r="Q472" i="1"/>
  <c r="Q476" i="1"/>
  <c r="Q477" i="1"/>
  <c r="Q471" i="1"/>
  <c r="Q4021" i="1"/>
  <c r="Q4037" i="1"/>
  <c r="Q4053" i="1"/>
  <c r="Q4030" i="1"/>
  <c r="Q4046" i="1"/>
  <c r="Q4020" i="1"/>
  <c r="Q4036" i="1"/>
  <c r="Q4052" i="1"/>
  <c r="Q4035" i="1"/>
  <c r="Q4055" i="1"/>
  <c r="Q3655" i="1"/>
  <c r="Q3671" i="1"/>
  <c r="Q3687" i="1"/>
  <c r="Q3703" i="1"/>
  <c r="Q3660" i="1"/>
  <c r="Q3676" i="1"/>
  <c r="Q3692" i="1"/>
  <c r="Q3654" i="1"/>
  <c r="Q3670" i="1"/>
  <c r="Q3686" i="1"/>
  <c r="Q3702" i="1"/>
  <c r="Q3685" i="1"/>
  <c r="Q3689" i="1"/>
  <c r="Q3697" i="1"/>
  <c r="Q1368" i="1"/>
  <c r="Q1384" i="1"/>
  <c r="Q1373" i="1"/>
  <c r="Q1394" i="1"/>
  <c r="Q1379" i="1"/>
  <c r="Q1370" i="1"/>
  <c r="Q1391" i="1"/>
  <c r="Q1382" i="1"/>
  <c r="Q1240" i="1"/>
  <c r="Q1256" i="1"/>
  <c r="Q1245" i="1"/>
  <c r="Q1266" i="1"/>
  <c r="Q1251" i="1"/>
  <c r="Q1242" i="1"/>
  <c r="Q1263" i="1"/>
  <c r="Q1254" i="1"/>
  <c r="Q1104" i="1"/>
  <c r="Q1120" i="1"/>
  <c r="Q1106" i="1"/>
  <c r="Q1127" i="1"/>
  <c r="Q1113" i="1"/>
  <c r="Q1134" i="1"/>
  <c r="Q1119" i="1"/>
  <c r="Q1105" i="1"/>
  <c r="Q1126" i="1"/>
  <c r="Q973" i="1"/>
  <c r="Q989" i="1"/>
  <c r="Q968" i="1"/>
  <c r="Q984" i="1"/>
  <c r="Q971" i="1"/>
  <c r="Q966" i="1"/>
  <c r="Q967" i="1"/>
  <c r="Q970" i="1"/>
  <c r="Q818" i="1"/>
  <c r="Q834" i="1"/>
  <c r="Q850" i="1"/>
  <c r="Q832" i="1"/>
  <c r="Q853" i="1"/>
  <c r="Q836" i="1"/>
  <c r="Q824" i="1"/>
  <c r="Q839" i="1"/>
  <c r="Q840" i="1"/>
  <c r="Q844" i="1"/>
  <c r="Q674" i="1"/>
  <c r="Q690" i="1"/>
  <c r="Q672" i="1"/>
  <c r="Q693" i="1"/>
  <c r="Q676" i="1"/>
  <c r="Q697" i="1"/>
  <c r="Q696" i="1"/>
  <c r="Q700" i="1"/>
  <c r="Q701" i="1"/>
  <c r="Q510" i="1"/>
  <c r="Q526" i="1"/>
  <c r="Q542" i="1"/>
  <c r="Q523" i="1"/>
  <c r="Q544" i="1"/>
  <c r="Q527" i="1"/>
  <c r="Q515" i="1"/>
  <c r="Q519" i="1"/>
  <c r="Q531" i="1"/>
  <c r="Q535" i="1"/>
  <c r="Q352" i="1"/>
  <c r="Q368" i="1"/>
  <c r="Q384" i="1"/>
  <c r="Q362" i="1"/>
  <c r="Q383" i="1"/>
  <c r="Q371" i="1"/>
  <c r="Q363" i="1"/>
  <c r="Q354" i="1"/>
  <c r="Q359" i="1"/>
  <c r="Q375" i="1"/>
  <c r="Q156" i="1"/>
  <c r="Q172" i="1"/>
  <c r="Q188" i="1"/>
  <c r="Q159" i="1"/>
  <c r="Q175" i="1"/>
  <c r="Q191" i="1"/>
  <c r="Q157" i="1"/>
  <c r="Q189" i="1"/>
  <c r="Q169" i="1"/>
  <c r="Q170" i="1"/>
  <c r="Q182" i="1"/>
  <c r="Q174" i="1"/>
  <c r="Q161" i="1"/>
  <c r="Q4149" i="1"/>
  <c r="Q4165" i="1"/>
  <c r="Q4142" i="1"/>
  <c r="Q4158" i="1"/>
  <c r="Q4174" i="1"/>
  <c r="Q4148" i="1"/>
  <c r="Q4164" i="1"/>
  <c r="Q4143" i="1"/>
  <c r="Q4163" i="1"/>
  <c r="Q4155" i="1"/>
  <c r="Q3819" i="1"/>
  <c r="Q3835" i="1"/>
  <c r="Q3851" i="1"/>
  <c r="Q3820" i="1"/>
  <c r="Q3836" i="1"/>
  <c r="Q3852" i="1"/>
  <c r="Q3822" i="1"/>
  <c r="Q3838" i="1"/>
  <c r="Q3813" i="1"/>
  <c r="Q3833" i="1"/>
  <c r="Q3841" i="1"/>
  <c r="Q3599" i="1"/>
  <c r="Q3615" i="1"/>
  <c r="Q3631" i="1"/>
  <c r="Q3647" i="1"/>
  <c r="Q3608" i="1"/>
  <c r="Q3624" i="1"/>
  <c r="Q3640" i="1"/>
  <c r="Q3602" i="1"/>
  <c r="Q3618" i="1"/>
  <c r="Q3634" i="1"/>
  <c r="Q3650" i="1"/>
  <c r="Q3609" i="1"/>
  <c r="Q3617" i="1"/>
  <c r="Q3629" i="1"/>
  <c r="Q1336" i="1"/>
  <c r="Q1352" i="1"/>
  <c r="Q1341" i="1"/>
  <c r="Q1362" i="1"/>
  <c r="Q1347" i="1"/>
  <c r="Q1338" i="1"/>
  <c r="Q1359" i="1"/>
  <c r="Q1350" i="1"/>
  <c r="Q782" i="1"/>
  <c r="Q798" i="1"/>
  <c r="Q814" i="1"/>
  <c r="Q800" i="1"/>
  <c r="Q783" i="1"/>
  <c r="Q804" i="1"/>
  <c r="Q792" i="1"/>
  <c r="Q796" i="1"/>
  <c r="Q797" i="1"/>
  <c r="Q801" i="1"/>
  <c r="Q116" i="1"/>
  <c r="Q132" i="1"/>
  <c r="Q148" i="1"/>
  <c r="Q115" i="1"/>
  <c r="Q131" i="1"/>
  <c r="Q147" i="1"/>
  <c r="Q117" i="1"/>
  <c r="Q149" i="1"/>
  <c r="Q146" i="1"/>
  <c r="Q154" i="1"/>
  <c r="Q153" i="1"/>
  <c r="Q145" i="1"/>
  <c r="Q1430" i="1"/>
  <c r="Q1409" i="1"/>
  <c r="Q1291" i="1"/>
  <c r="Q1169" i="1"/>
  <c r="Q1147" i="1"/>
  <c r="Q1018" i="1"/>
  <c r="Q882" i="1"/>
  <c r="Q727" i="1"/>
  <c r="Q567" i="1"/>
  <c r="Q395" i="1"/>
  <c r="Q210" i="1"/>
  <c r="Q1413" i="1"/>
  <c r="Q1295" i="1"/>
  <c r="Q1274" i="1"/>
  <c r="Q1151" i="1"/>
  <c r="Q1023" i="1"/>
  <c r="Q887" i="1"/>
  <c r="Q733" i="1"/>
  <c r="Q573" i="1"/>
  <c r="Q403" i="1"/>
  <c r="Q219" i="1"/>
  <c r="Q1411" i="1"/>
  <c r="Q1289" i="1"/>
  <c r="Q1166" i="1"/>
  <c r="Q1145" i="1"/>
  <c r="Q1006" i="1"/>
  <c r="Q732" i="1"/>
  <c r="Q561" i="1"/>
  <c r="Q231" i="1"/>
  <c r="Q4232" i="1"/>
  <c r="Q4248" i="1"/>
  <c r="Q4230" i="1"/>
  <c r="Q4251" i="1"/>
  <c r="Q4231" i="1"/>
  <c r="Q4253" i="1"/>
  <c r="Q4233" i="1"/>
  <c r="Q4254" i="1"/>
  <c r="Q4234" i="1"/>
  <c r="Q4255" i="1"/>
  <c r="Q4073" i="1"/>
  <c r="Q4089" i="1"/>
  <c r="Q4066" i="1"/>
  <c r="Q4082" i="1"/>
  <c r="Q4098" i="1"/>
  <c r="Q4072" i="1"/>
  <c r="Q4088" i="1"/>
  <c r="Q4079" i="1"/>
  <c r="Q4099" i="1"/>
  <c r="Q4091" i="1"/>
  <c r="Q3915" i="1"/>
  <c r="Q3931" i="1"/>
  <c r="Q3908" i="1"/>
  <c r="Q3906" i="1"/>
  <c r="Q3922" i="1"/>
  <c r="Q3909" i="1"/>
  <c r="Q3913" i="1"/>
  <c r="Q3905" i="1"/>
  <c r="Q3933" i="1"/>
  <c r="Q3925" i="1"/>
  <c r="Q3723" i="1"/>
  <c r="Q3739" i="1"/>
  <c r="Q3755" i="1"/>
  <c r="Q3716" i="1"/>
  <c r="Q3732" i="1"/>
  <c r="Q3748" i="1"/>
  <c r="Q3714" i="1"/>
  <c r="Q3730" i="1"/>
  <c r="Q3746" i="1"/>
  <c r="Q3717" i="1"/>
  <c r="Q3737" i="1"/>
  <c r="Q3745" i="1"/>
  <c r="Q3741" i="1"/>
  <c r="Q1412" i="1"/>
  <c r="Q1428" i="1"/>
  <c r="Q1284" i="1"/>
  <c r="Q1300" i="1"/>
  <c r="Q1148" i="1"/>
  <c r="Q1164" i="1"/>
  <c r="Q1009" i="1"/>
  <c r="Q1025" i="1"/>
  <c r="Q1008" i="1"/>
  <c r="Q1024" i="1"/>
  <c r="Q866" i="1"/>
  <c r="Q873" i="1"/>
  <c r="Q889" i="1"/>
  <c r="Q872" i="1"/>
  <c r="Q888" i="1"/>
  <c r="Q714" i="1"/>
  <c r="Q730" i="1"/>
  <c r="Q709" i="1"/>
  <c r="Q731" i="1"/>
  <c r="Q713" i="1"/>
  <c r="Q735" i="1"/>
  <c r="Q562" i="1"/>
  <c r="Q578" i="1"/>
  <c r="Q560" i="1"/>
  <c r="Q581" i="1"/>
  <c r="Q564" i="1"/>
  <c r="Q585" i="1"/>
  <c r="Q400" i="1"/>
  <c r="Q416" i="1"/>
  <c r="Q394" i="1"/>
  <c r="Q415" i="1"/>
  <c r="Q393" i="1"/>
  <c r="Q422" i="1"/>
  <c r="Q413" i="1"/>
  <c r="Q212" i="1"/>
  <c r="Q3993" i="1"/>
  <c r="Q4009" i="1"/>
  <c r="Q3986" i="1"/>
  <c r="Q4002" i="1"/>
  <c r="Q4018" i="1"/>
  <c r="Q3992" i="1"/>
  <c r="Q4008" i="1"/>
  <c r="Q3999" i="1"/>
  <c r="Q4019" i="1"/>
  <c r="Q4011" i="1"/>
  <c r="Q1080" i="1"/>
  <c r="Q1096" i="1"/>
  <c r="Q1079" i="1"/>
  <c r="Q1101" i="1"/>
  <c r="Q1086" i="1"/>
  <c r="Q1077" i="1"/>
  <c r="Q1098" i="1"/>
  <c r="Q1089" i="1"/>
  <c r="Q933" i="1"/>
  <c r="Q949" i="1"/>
  <c r="Q928" i="1"/>
  <c r="Q944" i="1"/>
  <c r="Q960" i="1"/>
  <c r="Q955" i="1"/>
  <c r="Q950" i="1"/>
  <c r="Q951" i="1"/>
  <c r="Q946" i="1"/>
  <c r="Q304" i="1"/>
  <c r="Q320" i="1"/>
  <c r="Q336" i="1"/>
  <c r="Q314" i="1"/>
  <c r="Q335" i="1"/>
  <c r="Q315" i="1"/>
  <c r="Q343" i="1"/>
  <c r="Q327" i="1"/>
  <c r="Q326" i="1"/>
  <c r="Q331" i="1"/>
  <c r="Q310" i="1"/>
  <c r="Q8" i="1"/>
  <c r="Q24" i="1"/>
  <c r="Q40" i="1"/>
  <c r="Q3" i="1"/>
  <c r="Q19" i="1"/>
  <c r="Q35" i="1"/>
  <c r="Q51" i="1"/>
  <c r="Q21" i="1"/>
  <c r="Q53" i="1"/>
  <c r="Q41" i="1"/>
  <c r="Q42" i="1"/>
  <c r="Q54" i="1"/>
  <c r="Q33" i="1"/>
  <c r="Q46" i="1"/>
  <c r="Q4113" i="1"/>
  <c r="Q4129" i="1"/>
  <c r="Q4106" i="1"/>
  <c r="Q4122" i="1"/>
  <c r="Q4138" i="1"/>
  <c r="Q4112" i="1"/>
  <c r="Q4128" i="1"/>
  <c r="Q4127" i="1"/>
  <c r="Q4119" i="1"/>
  <c r="Q4139" i="1"/>
  <c r="Q3953" i="1"/>
  <c r="Q3969" i="1"/>
  <c r="Q3946" i="1"/>
  <c r="Q3962" i="1"/>
  <c r="Q3978" i="1"/>
  <c r="Q3952" i="1"/>
  <c r="Q3968" i="1"/>
  <c r="Q3967" i="1"/>
  <c r="Q3959" i="1"/>
  <c r="Q3979" i="1"/>
  <c r="Q3775" i="1"/>
  <c r="Q3791" i="1"/>
  <c r="Q3807" i="1"/>
  <c r="Q3772" i="1"/>
  <c r="Q3788" i="1"/>
  <c r="Q3804" i="1"/>
  <c r="Q3774" i="1"/>
  <c r="Q3790" i="1"/>
  <c r="Q3806" i="1"/>
  <c r="Q3769" i="1"/>
  <c r="Q3777" i="1"/>
  <c r="Q3805" i="1"/>
  <c r="Q1444" i="1"/>
  <c r="Q1460" i="1"/>
  <c r="Q1453" i="1"/>
  <c r="Q1438" i="1"/>
  <c r="Q1459" i="1"/>
  <c r="Q1450" i="1"/>
  <c r="Q1441" i="1"/>
  <c r="Q1462" i="1"/>
  <c r="Q1316" i="1"/>
  <c r="Q1332" i="1"/>
  <c r="Q1325" i="1"/>
  <c r="Q1310" i="1"/>
  <c r="Q1331" i="1"/>
  <c r="Q1322" i="1"/>
  <c r="Q1313" i="1"/>
  <c r="Q1334" i="1"/>
  <c r="Q1184" i="1"/>
  <c r="Q1200" i="1"/>
  <c r="Q1186" i="1"/>
  <c r="Q1177" i="1"/>
  <c r="Q1198" i="1"/>
  <c r="Q1183" i="1"/>
  <c r="Q1205" i="1"/>
  <c r="Q1190" i="1"/>
  <c r="Q1037" i="1"/>
  <c r="Q1044" i="1"/>
  <c r="Q1060" i="1"/>
  <c r="Q1047" i="1"/>
  <c r="Q1038" i="1"/>
  <c r="Q1059" i="1"/>
  <c r="Q1050" i="1"/>
  <c r="Q1034" i="1"/>
  <c r="Q1057" i="1"/>
  <c r="Q897" i="1"/>
  <c r="Q913" i="1"/>
  <c r="Q892" i="1"/>
  <c r="Q908" i="1"/>
  <c r="Q924" i="1"/>
  <c r="Q923" i="1"/>
  <c r="Q918" i="1"/>
  <c r="Q911" i="1"/>
  <c r="Q906" i="1"/>
  <c r="Q746" i="1"/>
  <c r="Q762" i="1"/>
  <c r="Q778" i="1"/>
  <c r="Q757" i="1"/>
  <c r="Q779" i="1"/>
  <c r="Q756" i="1"/>
  <c r="Q777" i="1"/>
  <c r="Q743" i="1"/>
  <c r="Q744" i="1"/>
  <c r="Q748" i="1"/>
  <c r="Q590" i="1"/>
  <c r="Q606" i="1"/>
  <c r="Q622" i="1"/>
  <c r="Q603" i="1"/>
  <c r="Q624" i="1"/>
  <c r="Q607" i="1"/>
  <c r="Q589" i="1"/>
  <c r="Q593" i="1"/>
  <c r="Q595" i="1"/>
  <c r="Q599" i="1"/>
  <c r="Q432" i="1"/>
  <c r="Q437" i="1"/>
  <c r="Q454" i="1"/>
  <c r="Q429" i="1"/>
  <c r="Q453" i="1"/>
  <c r="Q434" i="1"/>
  <c r="Q457" i="1"/>
  <c r="Q451" i="1"/>
  <c r="Q455" i="1"/>
  <c r="Q456" i="1"/>
  <c r="Q460" i="1"/>
  <c r="Q268" i="1"/>
  <c r="Q284" i="1"/>
  <c r="Q255" i="1"/>
  <c r="Q277" i="1"/>
  <c r="Q298" i="1"/>
  <c r="Q279" i="1"/>
  <c r="Q263" i="1"/>
  <c r="Q291" i="1"/>
  <c r="Q283" i="1"/>
  <c r="Q289" i="1"/>
  <c r="Q267" i="1"/>
  <c r="Q60" i="1"/>
  <c r="Q76" i="1"/>
  <c r="Q92" i="1"/>
  <c r="Q59" i="1"/>
  <c r="Q75" i="1"/>
  <c r="Q91" i="1"/>
  <c r="Q61" i="1"/>
  <c r="Q93" i="1"/>
  <c r="Q82" i="1"/>
  <c r="Q70" i="1"/>
  <c r="Q81" i="1"/>
  <c r="Q89" i="1"/>
  <c r="Q102" i="1"/>
  <c r="Q3867" i="1"/>
  <c r="Q3883" i="1"/>
  <c r="Q3899" i="1"/>
  <c r="Q3868" i="1"/>
  <c r="Q3884" i="1"/>
  <c r="Q3854" i="1"/>
  <c r="Q3870" i="1"/>
  <c r="Q3886" i="1"/>
  <c r="Q3861" i="1"/>
  <c r="Q3881" i="1"/>
  <c r="Q3889" i="1"/>
  <c r="Q630" i="1"/>
  <c r="Q646" i="1"/>
  <c r="Q662" i="1"/>
  <c r="Q645" i="1"/>
  <c r="Q628" i="1"/>
  <c r="Q649" i="1"/>
  <c r="Q643" i="1"/>
  <c r="Q657" i="1"/>
  <c r="Q659" i="1"/>
  <c r="Q663" i="1"/>
  <c r="Q4180" i="1"/>
  <c r="Q4196" i="1"/>
  <c r="Q4212" i="1"/>
  <c r="Q4198" i="1"/>
  <c r="Q4219" i="1"/>
  <c r="Q4205" i="1"/>
  <c r="Q4190" i="1"/>
  <c r="Q4211" i="1"/>
  <c r="Q4197" i="1"/>
  <c r="Q4218" i="1"/>
  <c r="Q1220" i="1"/>
  <c r="Q1236" i="1"/>
  <c r="Q1223" i="1"/>
  <c r="Q1209" i="1"/>
  <c r="Q1230" i="1"/>
  <c r="Q1221" i="1"/>
  <c r="Q1206" i="1"/>
  <c r="Q1227" i="1"/>
  <c r="Q474" i="1"/>
  <c r="Q490" i="1"/>
  <c r="Q506" i="1"/>
  <c r="Q491" i="1"/>
  <c r="Q473" i="1"/>
  <c r="Q495" i="1"/>
  <c r="Q483" i="1"/>
  <c r="Q487" i="1"/>
  <c r="Q488" i="1"/>
  <c r="Q481" i="1"/>
  <c r="Q4025" i="1"/>
  <c r="Q4041" i="1"/>
  <c r="Q4057" i="1"/>
  <c r="Q4034" i="1"/>
  <c r="Q4050" i="1"/>
  <c r="Q4024" i="1"/>
  <c r="Q4040" i="1"/>
  <c r="Q4056" i="1"/>
  <c r="Q4051" i="1"/>
  <c r="Q4027" i="1"/>
  <c r="Q3659" i="1"/>
  <c r="Q3675" i="1"/>
  <c r="Q3691" i="1"/>
  <c r="Q3707" i="1"/>
  <c r="Q3664" i="1"/>
  <c r="Q3680" i="1"/>
  <c r="Q3696" i="1"/>
  <c r="Q3658" i="1"/>
  <c r="Q3674" i="1"/>
  <c r="Q3690" i="1"/>
  <c r="Q3706" i="1"/>
  <c r="Q3701" i="1"/>
  <c r="Q3705" i="1"/>
  <c r="Q3693" i="1"/>
  <c r="Q1372" i="1"/>
  <c r="Q1388" i="1"/>
  <c r="Q1378" i="1"/>
  <c r="Q1399" i="1"/>
  <c r="Q1385" i="1"/>
  <c r="Q1375" i="1"/>
  <c r="Q1397" i="1"/>
  <c r="Q1387" i="1"/>
  <c r="Q1244" i="1"/>
  <c r="Q1260" i="1"/>
  <c r="Q1250" i="1"/>
  <c r="Q1271" i="1"/>
  <c r="Q1257" i="1"/>
  <c r="Q1247" i="1"/>
  <c r="Q1269" i="1"/>
  <c r="Q1259" i="1"/>
  <c r="Q1108" i="1"/>
  <c r="Q1124" i="1"/>
  <c r="Q1111" i="1"/>
  <c r="Q1133" i="1"/>
  <c r="Q1118" i="1"/>
  <c r="Q1103" i="1"/>
  <c r="Q1125" i="1"/>
  <c r="Q1110" i="1"/>
  <c r="Q1131" i="1"/>
  <c r="Q977" i="1"/>
  <c r="Q993" i="1"/>
  <c r="Q972" i="1"/>
  <c r="Q988" i="1"/>
  <c r="Q979" i="1"/>
  <c r="Q974" i="1"/>
  <c r="Q975" i="1"/>
  <c r="Q978" i="1"/>
  <c r="Q822" i="1"/>
  <c r="Q838" i="1"/>
  <c r="Q854" i="1"/>
  <c r="Q837" i="1"/>
  <c r="Q820" i="1"/>
  <c r="Q841" i="1"/>
  <c r="Q835" i="1"/>
  <c r="Q849" i="1"/>
  <c r="Q851" i="1"/>
  <c r="Q855" i="1"/>
  <c r="Q678" i="1"/>
  <c r="Q694" i="1"/>
  <c r="Q677" i="1"/>
  <c r="Q699" i="1"/>
  <c r="Q681" i="1"/>
  <c r="Q664" i="1"/>
  <c r="Q668" i="1"/>
  <c r="Q669" i="1"/>
  <c r="Q673" i="1"/>
  <c r="Q514" i="1"/>
  <c r="Q530" i="1"/>
  <c r="Q546" i="1"/>
  <c r="Q528" i="1"/>
  <c r="Q511" i="1"/>
  <c r="Q532" i="1"/>
  <c r="Q525" i="1"/>
  <c r="Q529" i="1"/>
  <c r="Q541" i="1"/>
  <c r="Q545" i="1"/>
  <c r="Q356" i="1"/>
  <c r="Q372" i="1"/>
  <c r="Q346" i="1"/>
  <c r="Q367" i="1"/>
  <c r="Q350" i="1"/>
  <c r="Q379" i="1"/>
  <c r="Q370" i="1"/>
  <c r="Q369" i="1"/>
  <c r="Q374" i="1"/>
  <c r="Q353" i="1"/>
  <c r="Q160" i="1"/>
  <c r="Q176" i="1"/>
  <c r="Q192" i="1"/>
  <c r="Q163" i="1"/>
  <c r="Q179" i="1"/>
  <c r="Q195" i="1"/>
  <c r="Q165" i="1"/>
  <c r="Q197" i="1"/>
  <c r="Q178" i="1"/>
  <c r="Q185" i="1"/>
  <c r="Q194" i="1"/>
  <c r="Q202" i="1"/>
  <c r="Q186" i="1"/>
  <c r="Q4153" i="1"/>
  <c r="Q4169" i="1"/>
  <c r="Q4146" i="1"/>
  <c r="Q4162" i="1"/>
  <c r="Q4178" i="1"/>
  <c r="Q4152" i="1"/>
  <c r="Q4168" i="1"/>
  <c r="Q4159" i="1"/>
  <c r="Q4179" i="1"/>
  <c r="Q4171" i="1"/>
  <c r="Q3823" i="1"/>
  <c r="Q3839" i="1"/>
  <c r="Q3808" i="1"/>
  <c r="Q3824" i="1"/>
  <c r="Q3840" i="1"/>
  <c r="Q3810" i="1"/>
  <c r="Q3826" i="1"/>
  <c r="Q3842" i="1"/>
  <c r="Q3829" i="1"/>
  <c r="Q3849" i="1"/>
  <c r="Q3821" i="1"/>
  <c r="Q3603" i="1"/>
  <c r="Q3619" i="1"/>
  <c r="Q3635" i="1"/>
  <c r="Q3651" i="1"/>
  <c r="Q3612" i="1"/>
  <c r="Q3628" i="1"/>
  <c r="Q3644" i="1"/>
  <c r="Q3606" i="1"/>
  <c r="Q3622" i="1"/>
  <c r="Q3638" i="1"/>
  <c r="Q3605" i="1"/>
  <c r="Q3625" i="1"/>
  <c r="Q3633" i="1"/>
  <c r="Q3645" i="1"/>
  <c r="Q1340" i="1"/>
  <c r="Q1356" i="1"/>
  <c r="Q1346" i="1"/>
  <c r="Q1367" i="1"/>
  <c r="Q1353" i="1"/>
  <c r="Q1343" i="1"/>
  <c r="Q1365" i="1"/>
  <c r="Q1355" i="1"/>
  <c r="Q786" i="1"/>
  <c r="Q802" i="1"/>
  <c r="Q784" i="1"/>
  <c r="Q805" i="1"/>
  <c r="Q788" i="1"/>
  <c r="Q809" i="1"/>
  <c r="Q803" i="1"/>
  <c r="Q807" i="1"/>
  <c r="Q808" i="1"/>
  <c r="Q812" i="1"/>
  <c r="Q120" i="1"/>
  <c r="Q136" i="1"/>
  <c r="Q152" i="1"/>
  <c r="Q119" i="1"/>
  <c r="Q135" i="1"/>
  <c r="Q151" i="1"/>
  <c r="Q125" i="1"/>
  <c r="Q114" i="1"/>
  <c r="Q113" i="1"/>
  <c r="Q110" i="1"/>
  <c r="Q106" i="1"/>
  <c r="Q121" i="1"/>
  <c r="Q1425" i="1"/>
  <c r="Q1403" i="1"/>
  <c r="Q1286" i="1"/>
  <c r="Q1163" i="1"/>
  <c r="Q1142" i="1"/>
  <c r="Q1010" i="1"/>
  <c r="Q874" i="1"/>
  <c r="Q716" i="1"/>
  <c r="Q556" i="1"/>
  <c r="Q253" i="1"/>
  <c r="Q1429" i="1"/>
  <c r="Q1407" i="1"/>
  <c r="Q1290" i="1"/>
  <c r="Q1167" i="1"/>
  <c r="Q1146" i="1"/>
  <c r="Q1015" i="1"/>
  <c r="Q879" i="1"/>
  <c r="Q723" i="1"/>
  <c r="Q563" i="1"/>
  <c r="Q390" i="1"/>
  <c r="Q1427" i="1"/>
  <c r="Q1406" i="1"/>
  <c r="Q1283" i="1"/>
  <c r="Q1161" i="1"/>
  <c r="Q1030" i="1"/>
  <c r="Q886" i="1"/>
  <c r="Q721" i="1"/>
  <c r="Q417" i="1"/>
  <c r="Q4220" i="1"/>
  <c r="Q4236" i="1"/>
  <c r="Q4252" i="1"/>
  <c r="Q4235" i="1"/>
  <c r="Q4257" i="1"/>
  <c r="Q4237" i="1"/>
  <c r="Q4258" i="1"/>
  <c r="Q4238" i="1"/>
  <c r="Q4259" i="1"/>
  <c r="Q4239" i="1"/>
  <c r="Q4061" i="1"/>
  <c r="Q4077" i="1"/>
  <c r="Q4093" i="1"/>
  <c r="Q4070" i="1"/>
  <c r="Q4086" i="1"/>
  <c r="Q4060" i="1"/>
  <c r="Q4076" i="1"/>
  <c r="Q4092" i="1"/>
  <c r="Q4095" i="1"/>
  <c r="Q4071" i="1"/>
  <c r="Q3903" i="1"/>
  <c r="Q3919" i="1"/>
  <c r="Q3935" i="1"/>
  <c r="Q3912" i="1"/>
  <c r="Q3910" i="1"/>
  <c r="Q3926" i="1"/>
  <c r="Q3921" i="1"/>
  <c r="Q3924" i="1"/>
  <c r="Q3920" i="1"/>
  <c r="Q3901" i="1"/>
  <c r="Q3711" i="1"/>
  <c r="Q3727" i="1"/>
  <c r="Q3743" i="1"/>
  <c r="Q3759" i="1"/>
  <c r="Q3720" i="1"/>
  <c r="Q3736" i="1"/>
  <c r="Q3752" i="1"/>
  <c r="Q3718" i="1"/>
  <c r="Q3734" i="1"/>
  <c r="Q3750" i="1"/>
  <c r="Q3733" i="1"/>
  <c r="Q3753" i="1"/>
  <c r="Q3757" i="1"/>
  <c r="Q1400" i="1"/>
  <c r="Q1416" i="1"/>
  <c r="Q1272" i="1"/>
  <c r="Q1288" i="1"/>
  <c r="Q1136" i="1"/>
  <c r="Q1152" i="1"/>
  <c r="Q1168" i="1"/>
  <c r="Q1013" i="1"/>
  <c r="Q1029" i="1"/>
  <c r="Q1012" i="1"/>
  <c r="Q1028" i="1"/>
  <c r="Q859" i="1"/>
  <c r="Q877" i="1"/>
  <c r="Q857" i="1"/>
  <c r="Q876" i="1"/>
  <c r="Q702" i="1"/>
  <c r="Q718" i="1"/>
  <c r="Q734" i="1"/>
  <c r="Q715" i="1"/>
  <c r="Q736" i="1"/>
  <c r="Q719" i="1"/>
  <c r="Q550" i="1"/>
  <c r="Q566" i="1"/>
  <c r="Q582" i="1"/>
  <c r="Q565" i="1"/>
  <c r="Q548" i="1"/>
  <c r="Q569" i="1"/>
  <c r="Q388" i="1"/>
  <c r="Q404" i="1"/>
  <c r="Q420" i="1"/>
  <c r="Q399" i="1"/>
  <c r="Q421" i="1"/>
  <c r="Q401" i="1"/>
  <c r="Q391" i="1"/>
  <c r="Q419" i="1"/>
  <c r="Q216" i="1"/>
  <c r="Q232" i="1"/>
  <c r="Q248" i="1"/>
  <c r="Q218" i="1"/>
  <c r="Q239" i="1"/>
  <c r="Q215" i="1"/>
  <c r="Q243" i="1"/>
  <c r="Q221" i="1"/>
  <c r="Q249" i="1"/>
  <c r="Q1415" i="1"/>
  <c r="Q1298" i="1"/>
  <c r="Q1277" i="1"/>
  <c r="Q1154" i="1"/>
  <c r="Q1027" i="1"/>
  <c r="Q891" i="1"/>
  <c r="Q856" i="1"/>
  <c r="Q707" i="1"/>
  <c r="Q425" i="1"/>
  <c r="Q226" i="1"/>
  <c r="Q405" i="1"/>
  <c r="Q426" i="1"/>
  <c r="Q407" i="1"/>
  <c r="Q398" i="1"/>
  <c r="Q427" i="1"/>
  <c r="Q220" i="1"/>
  <c r="Q236" i="1"/>
  <c r="Q252" i="1"/>
  <c r="Q223" i="1"/>
  <c r="Q245" i="1"/>
  <c r="Q222" i="1"/>
  <c r="Q251" i="1"/>
  <c r="Q227" i="1"/>
  <c r="Q1431" i="1"/>
  <c r="Q1410" i="1"/>
  <c r="Q1293" i="1"/>
  <c r="Q1170" i="1"/>
  <c r="Q1149" i="1"/>
  <c r="Q1019" i="1"/>
  <c r="Q883" i="1"/>
  <c r="Q739" i="1"/>
  <c r="Q579" i="1"/>
  <c r="Q411" i="1"/>
  <c r="Q211" i="1"/>
  <c r="Q558" i="1"/>
  <c r="Q574" i="1"/>
  <c r="Q555" i="1"/>
  <c r="Q576" i="1"/>
  <c r="Q559" i="1"/>
  <c r="Q580" i="1"/>
  <c r="Q396" i="1"/>
  <c r="Q412" i="1"/>
  <c r="Q389" i="1"/>
  <c r="Q410" i="1"/>
  <c r="Q386" i="1"/>
  <c r="Q414" i="1"/>
  <c r="Q406" i="1"/>
  <c r="Q208" i="1"/>
  <c r="Q224" i="1"/>
  <c r="Q240" i="1"/>
  <c r="Q207" i="1"/>
  <c r="Q229" i="1"/>
  <c r="Q250" i="1"/>
  <c r="Q230" i="1"/>
  <c r="Q206" i="1"/>
  <c r="Q235" i="1"/>
  <c r="Q1426" i="1"/>
  <c r="Q1405" i="1"/>
  <c r="Q1287" i="1"/>
  <c r="Q1165" i="1"/>
  <c r="Q1143" i="1"/>
  <c r="Q1011" i="1"/>
  <c r="Q875" i="1"/>
  <c r="Q728" i="1"/>
  <c r="Q568" i="1"/>
  <c r="Q397" i="1"/>
  <c r="Q228" i="1"/>
  <c r="Q244" i="1"/>
  <c r="Q213" i="1"/>
  <c r="Q234" i="1"/>
  <c r="Q209" i="1"/>
  <c r="Q237" i="1"/>
  <c r="Q214" i="1"/>
  <c r="Q242" i="1"/>
  <c r="Q1421" i="1"/>
  <c r="Q1303" i="1"/>
  <c r="Q1282" i="1"/>
  <c r="Q1159" i="1"/>
  <c r="Q1138" i="1"/>
  <c r="Q1003" i="1"/>
  <c r="Q867" i="1"/>
  <c r="Q717" i="1"/>
  <c r="Q557" i="1"/>
  <c r="Q241" i="1"/>
  <c r="R241" i="1" l="1"/>
  <c r="R557" i="1"/>
  <c r="R717" i="1"/>
  <c r="R867" i="1"/>
  <c r="R1003" i="1"/>
  <c r="R1138" i="1"/>
  <c r="R1159" i="1"/>
  <c r="R1282" i="1"/>
  <c r="R1303" i="1"/>
  <c r="R1421" i="1"/>
  <c r="R242" i="1"/>
  <c r="R214" i="1"/>
  <c r="R237" i="1"/>
  <c r="R209" i="1"/>
  <c r="R234" i="1"/>
  <c r="R213" i="1"/>
  <c r="R244" i="1"/>
  <c r="R228" i="1"/>
  <c r="R397" i="1"/>
  <c r="R568" i="1"/>
  <c r="R728" i="1"/>
  <c r="R875" i="1"/>
  <c r="R1011" i="1"/>
  <c r="R1143" i="1"/>
  <c r="R1165" i="1"/>
  <c r="R1287" i="1"/>
  <c r="R1405" i="1"/>
  <c r="R1426" i="1"/>
  <c r="R235" i="1"/>
  <c r="R206" i="1"/>
  <c r="R230" i="1"/>
  <c r="R250" i="1"/>
  <c r="R229" i="1"/>
  <c r="R207" i="1"/>
  <c r="R240" i="1"/>
  <c r="R224" i="1"/>
  <c r="R208" i="1"/>
  <c r="R406" i="1"/>
  <c r="R414" i="1"/>
  <c r="R386" i="1"/>
  <c r="R410" i="1"/>
  <c r="R389" i="1"/>
  <c r="R412" i="1"/>
  <c r="R396" i="1"/>
  <c r="R580" i="1"/>
  <c r="R559" i="1"/>
  <c r="R576" i="1"/>
  <c r="R555" i="1"/>
  <c r="R574" i="1"/>
  <c r="R558" i="1"/>
  <c r="R211" i="1"/>
  <c r="R411" i="1"/>
  <c r="R579" i="1"/>
  <c r="R739" i="1"/>
  <c r="R883" i="1"/>
  <c r="R1019" i="1"/>
  <c r="R1149" i="1"/>
  <c r="R1170" i="1"/>
  <c r="R1293" i="1"/>
  <c r="R1410" i="1"/>
  <c r="R1431" i="1"/>
  <c r="R227" i="1"/>
  <c r="R251" i="1"/>
  <c r="R222" i="1"/>
  <c r="R245" i="1"/>
  <c r="R223" i="1"/>
  <c r="R252" i="1"/>
  <c r="R236" i="1"/>
  <c r="R220" i="1"/>
  <c r="R427" i="1"/>
  <c r="R398" i="1"/>
  <c r="R407" i="1"/>
  <c r="R426" i="1"/>
  <c r="R405" i="1"/>
  <c r="R226" i="1"/>
  <c r="R425" i="1"/>
  <c r="R707" i="1"/>
  <c r="R856" i="1"/>
  <c r="R891" i="1"/>
  <c r="R1027" i="1"/>
  <c r="R1154" i="1"/>
  <c r="R1277" i="1"/>
  <c r="R1298" i="1"/>
  <c r="R1415" i="1"/>
  <c r="R249" i="1"/>
  <c r="R221" i="1"/>
  <c r="R243" i="1"/>
  <c r="R215" i="1"/>
  <c r="R239" i="1"/>
  <c r="R218" i="1"/>
  <c r="R248" i="1"/>
  <c r="R232" i="1"/>
  <c r="R216" i="1"/>
  <c r="R419" i="1"/>
  <c r="R391" i="1"/>
  <c r="R401" i="1"/>
  <c r="R421" i="1"/>
  <c r="R399" i="1"/>
  <c r="R420" i="1"/>
  <c r="R404" i="1"/>
  <c r="R388" i="1"/>
  <c r="R569" i="1"/>
  <c r="R548" i="1"/>
  <c r="R565" i="1"/>
  <c r="R582" i="1"/>
  <c r="R566" i="1"/>
  <c r="R550" i="1"/>
  <c r="R719" i="1"/>
  <c r="R736" i="1"/>
  <c r="R715" i="1"/>
  <c r="R734" i="1"/>
  <c r="R718" i="1"/>
  <c r="R702" i="1"/>
  <c r="R876" i="1"/>
  <c r="R857" i="1"/>
  <c r="R877" i="1"/>
  <c r="R859" i="1"/>
  <c r="R1028" i="1"/>
  <c r="R1012" i="1"/>
  <c r="R1029" i="1"/>
  <c r="R1013" i="1"/>
  <c r="R1168" i="1"/>
  <c r="R1152" i="1"/>
  <c r="R1136" i="1"/>
  <c r="R1288" i="1"/>
  <c r="R1272" i="1"/>
  <c r="R1416" i="1"/>
  <c r="R1400" i="1"/>
  <c r="R3757" i="1"/>
  <c r="R3753" i="1"/>
  <c r="R3733" i="1"/>
  <c r="R3750" i="1"/>
  <c r="R3734" i="1"/>
  <c r="R3718" i="1"/>
  <c r="R3752" i="1"/>
  <c r="R3736" i="1"/>
  <c r="R3720" i="1"/>
  <c r="R3759" i="1"/>
  <c r="R3743" i="1"/>
  <c r="R3727" i="1"/>
  <c r="R3711" i="1"/>
  <c r="R3901" i="1"/>
  <c r="R3920" i="1"/>
  <c r="R3924" i="1"/>
  <c r="R3921" i="1"/>
  <c r="R3926" i="1"/>
  <c r="R3910" i="1"/>
  <c r="R3912" i="1"/>
  <c r="R3935" i="1"/>
  <c r="R3919" i="1"/>
  <c r="R3903" i="1"/>
  <c r="R4071" i="1"/>
  <c r="R4095" i="1"/>
  <c r="R4092" i="1"/>
  <c r="R4076" i="1"/>
  <c r="R4060" i="1"/>
  <c r="R4086" i="1"/>
  <c r="R4070" i="1"/>
  <c r="R4093" i="1"/>
  <c r="R4077" i="1"/>
  <c r="R4061" i="1"/>
  <c r="R4239" i="1"/>
  <c r="R4259" i="1"/>
  <c r="R4238" i="1"/>
  <c r="R4258" i="1"/>
  <c r="R4237" i="1"/>
  <c r="R4257" i="1"/>
  <c r="R4235" i="1"/>
  <c r="R4252" i="1"/>
  <c r="R4236" i="1"/>
  <c r="R4220" i="1"/>
  <c r="R417" i="1"/>
  <c r="R721" i="1"/>
  <c r="R886" i="1"/>
  <c r="R1030" i="1"/>
  <c r="R1161" i="1"/>
  <c r="R1283" i="1"/>
  <c r="R1406" i="1"/>
  <c r="R1427" i="1"/>
  <c r="R390" i="1"/>
  <c r="R563" i="1"/>
  <c r="R723" i="1"/>
  <c r="R879" i="1"/>
  <c r="R1015" i="1"/>
  <c r="R1146" i="1"/>
  <c r="R1167" i="1"/>
  <c r="R1290" i="1"/>
  <c r="R1407" i="1"/>
  <c r="R1429" i="1"/>
  <c r="R253" i="1"/>
  <c r="R556" i="1"/>
  <c r="R716" i="1"/>
  <c r="R874" i="1"/>
  <c r="R1010" i="1"/>
  <c r="R1142" i="1"/>
  <c r="R1163" i="1"/>
  <c r="R1286" i="1"/>
  <c r="R1403" i="1"/>
  <c r="R1425" i="1"/>
  <c r="R121" i="1"/>
  <c r="R106" i="1"/>
  <c r="R110" i="1"/>
  <c r="R113" i="1"/>
  <c r="R114" i="1"/>
  <c r="R125" i="1"/>
  <c r="R151" i="1"/>
  <c r="R135" i="1"/>
  <c r="R119" i="1"/>
  <c r="R152" i="1"/>
  <c r="R136" i="1"/>
  <c r="R120" i="1"/>
  <c r="R812" i="1"/>
  <c r="R808" i="1"/>
  <c r="R807" i="1"/>
  <c r="R803" i="1"/>
  <c r="R809" i="1"/>
  <c r="R788" i="1"/>
  <c r="R805" i="1"/>
  <c r="R784" i="1"/>
  <c r="R802" i="1"/>
  <c r="R786" i="1"/>
  <c r="R1355" i="1"/>
  <c r="R1365" i="1"/>
  <c r="R1343" i="1"/>
  <c r="R1353" i="1"/>
  <c r="R1367" i="1"/>
  <c r="R1346" i="1"/>
  <c r="R1356" i="1"/>
  <c r="R1340" i="1"/>
  <c r="R3645" i="1"/>
  <c r="R3633" i="1"/>
  <c r="R3625" i="1"/>
  <c r="R3605" i="1"/>
  <c r="R3638" i="1"/>
  <c r="R3622" i="1"/>
  <c r="R3606" i="1"/>
  <c r="R3644" i="1"/>
  <c r="R3628" i="1"/>
  <c r="R3612" i="1"/>
  <c r="R3651" i="1"/>
  <c r="R3635" i="1"/>
  <c r="R3619" i="1"/>
  <c r="R3603" i="1"/>
  <c r="R3821" i="1"/>
  <c r="R3849" i="1"/>
  <c r="R3829" i="1"/>
  <c r="R3842" i="1"/>
  <c r="R3826" i="1"/>
  <c r="R3810" i="1"/>
  <c r="R3840" i="1"/>
  <c r="R3824" i="1"/>
  <c r="R3808" i="1"/>
  <c r="R3839" i="1"/>
  <c r="R3823" i="1"/>
  <c r="R4171" i="1"/>
  <c r="R4179" i="1"/>
  <c r="R4159" i="1"/>
  <c r="R4168" i="1"/>
  <c r="R4152" i="1"/>
  <c r="R4178" i="1"/>
  <c r="R4162" i="1"/>
  <c r="R4146" i="1"/>
  <c r="R4169" i="1"/>
  <c r="R4153" i="1"/>
  <c r="R186" i="1"/>
  <c r="R202" i="1"/>
  <c r="R194" i="1"/>
  <c r="R185" i="1"/>
  <c r="R178" i="1"/>
  <c r="R197" i="1"/>
  <c r="R165" i="1"/>
  <c r="R195" i="1"/>
  <c r="R179" i="1"/>
  <c r="R163" i="1"/>
  <c r="R192" i="1"/>
  <c r="R176" i="1"/>
  <c r="R160" i="1"/>
  <c r="R353" i="1"/>
  <c r="R374" i="1"/>
  <c r="R369" i="1"/>
  <c r="R370" i="1"/>
  <c r="R379" i="1"/>
  <c r="R350" i="1"/>
  <c r="R367" i="1"/>
  <c r="R346" i="1"/>
  <c r="R372" i="1"/>
  <c r="R356" i="1"/>
  <c r="R545" i="1"/>
  <c r="R541" i="1"/>
  <c r="R529" i="1"/>
  <c r="R525" i="1"/>
  <c r="R532" i="1"/>
  <c r="R511" i="1"/>
  <c r="R528" i="1"/>
  <c r="R546" i="1"/>
  <c r="R530" i="1"/>
  <c r="R514" i="1"/>
  <c r="R673" i="1"/>
  <c r="R669" i="1"/>
  <c r="R668" i="1"/>
  <c r="R664" i="1"/>
  <c r="R681" i="1"/>
  <c r="R699" i="1"/>
  <c r="R677" i="1"/>
  <c r="R694" i="1"/>
  <c r="R678" i="1"/>
  <c r="R855" i="1"/>
  <c r="R851" i="1"/>
  <c r="R849" i="1"/>
  <c r="R835" i="1"/>
  <c r="R841" i="1"/>
  <c r="R820" i="1"/>
  <c r="R837" i="1"/>
  <c r="R854" i="1"/>
  <c r="R838" i="1"/>
  <c r="R822" i="1"/>
  <c r="R978" i="1"/>
  <c r="R975" i="1"/>
  <c r="R974" i="1"/>
  <c r="R979" i="1"/>
  <c r="R988" i="1"/>
  <c r="R972" i="1"/>
  <c r="R993" i="1"/>
  <c r="R977" i="1"/>
  <c r="R1131" i="1"/>
  <c r="R1110" i="1"/>
  <c r="R1125" i="1"/>
  <c r="R1103" i="1"/>
  <c r="R1118" i="1"/>
  <c r="R1133" i="1"/>
  <c r="R1111" i="1"/>
  <c r="R1124" i="1"/>
  <c r="R1108" i="1"/>
  <c r="R1259" i="1"/>
  <c r="R1269" i="1"/>
  <c r="R1247" i="1"/>
  <c r="R1257" i="1"/>
  <c r="R1271" i="1"/>
  <c r="R1250" i="1"/>
  <c r="R1260" i="1"/>
  <c r="R1244" i="1"/>
  <c r="R1387" i="1"/>
  <c r="R1397" i="1"/>
  <c r="R1375" i="1"/>
  <c r="R1385" i="1"/>
  <c r="R1399" i="1"/>
  <c r="R1378" i="1"/>
  <c r="R1388" i="1"/>
  <c r="R1372" i="1"/>
  <c r="R3693" i="1"/>
  <c r="R3705" i="1"/>
  <c r="R3701" i="1"/>
  <c r="R3706" i="1"/>
  <c r="R3690" i="1"/>
  <c r="R3674" i="1"/>
  <c r="R3658" i="1"/>
  <c r="R3696" i="1"/>
  <c r="R3680" i="1"/>
  <c r="R3664" i="1"/>
  <c r="R3707" i="1"/>
  <c r="R3691" i="1"/>
  <c r="R3675" i="1"/>
  <c r="R3659" i="1"/>
  <c r="R4027" i="1"/>
  <c r="R4051" i="1"/>
  <c r="R4056" i="1"/>
  <c r="R4040" i="1"/>
  <c r="R4024" i="1"/>
  <c r="R4050" i="1"/>
  <c r="R4034" i="1"/>
  <c r="R4057" i="1"/>
  <c r="R4041" i="1"/>
  <c r="R4025" i="1"/>
  <c r="R481" i="1"/>
  <c r="R488" i="1"/>
  <c r="R487" i="1"/>
  <c r="R483" i="1"/>
  <c r="R495" i="1"/>
  <c r="R473" i="1"/>
  <c r="R491" i="1"/>
  <c r="R506" i="1"/>
  <c r="R490" i="1"/>
  <c r="R474" i="1"/>
  <c r="R1227" i="1"/>
  <c r="R1206" i="1"/>
  <c r="R1221" i="1"/>
  <c r="R1230" i="1"/>
  <c r="R1209" i="1"/>
  <c r="R1223" i="1"/>
  <c r="R1236" i="1"/>
  <c r="R1220" i="1"/>
  <c r="R4218" i="1"/>
  <c r="R4197" i="1"/>
  <c r="R4211" i="1"/>
  <c r="R4190" i="1"/>
  <c r="R4205" i="1"/>
  <c r="R4219" i="1"/>
  <c r="R4198" i="1"/>
  <c r="R4212" i="1"/>
  <c r="R4196" i="1"/>
  <c r="R4180" i="1"/>
  <c r="R663" i="1"/>
  <c r="R659" i="1"/>
  <c r="R657" i="1"/>
  <c r="R643" i="1"/>
  <c r="R649" i="1"/>
  <c r="R628" i="1"/>
  <c r="R645" i="1"/>
  <c r="R662" i="1"/>
  <c r="R646" i="1"/>
  <c r="R630" i="1"/>
  <c r="R3889" i="1"/>
  <c r="R3881" i="1"/>
  <c r="R3861" i="1"/>
  <c r="R3886" i="1"/>
  <c r="R3870" i="1"/>
  <c r="R3854" i="1"/>
  <c r="R3884" i="1"/>
  <c r="R3868" i="1"/>
  <c r="R3899" i="1"/>
  <c r="R3883" i="1"/>
  <c r="R3867" i="1"/>
  <c r="R102" i="1"/>
  <c r="R89" i="1"/>
  <c r="R81" i="1"/>
  <c r="R70" i="1"/>
  <c r="R82" i="1"/>
  <c r="R93" i="1"/>
  <c r="R61" i="1"/>
  <c r="R91" i="1"/>
  <c r="R75" i="1"/>
  <c r="R59" i="1"/>
  <c r="R92" i="1"/>
  <c r="R76" i="1"/>
  <c r="R60" i="1"/>
  <c r="R267" i="1"/>
  <c r="R289" i="1"/>
  <c r="R283" i="1"/>
  <c r="R291" i="1"/>
  <c r="R263" i="1"/>
  <c r="R279" i="1"/>
  <c r="R298" i="1"/>
  <c r="R277" i="1"/>
  <c r="R255" i="1"/>
  <c r="R284" i="1"/>
  <c r="R268" i="1"/>
  <c r="R460" i="1"/>
  <c r="R456" i="1"/>
  <c r="R455" i="1"/>
  <c r="R451" i="1"/>
  <c r="R457" i="1"/>
  <c r="R434" i="1"/>
  <c r="R453" i="1"/>
  <c r="R429" i="1"/>
  <c r="R454" i="1"/>
  <c r="R437" i="1"/>
  <c r="R432" i="1"/>
  <c r="R599" i="1"/>
  <c r="R595" i="1"/>
  <c r="R593" i="1"/>
  <c r="R589" i="1"/>
  <c r="R607" i="1"/>
  <c r="R624" i="1"/>
  <c r="R603" i="1"/>
  <c r="R622" i="1"/>
  <c r="R606" i="1"/>
  <c r="R590" i="1"/>
  <c r="R748" i="1"/>
  <c r="R744" i="1"/>
  <c r="R743" i="1"/>
  <c r="R777" i="1"/>
  <c r="R756" i="1"/>
  <c r="R779" i="1"/>
  <c r="R757" i="1"/>
  <c r="R778" i="1"/>
  <c r="R762" i="1"/>
  <c r="R746" i="1"/>
  <c r="R906" i="1"/>
  <c r="R911" i="1"/>
  <c r="R918" i="1"/>
  <c r="R923" i="1"/>
  <c r="R924" i="1"/>
  <c r="R908" i="1"/>
  <c r="R892" i="1"/>
  <c r="R913" i="1"/>
  <c r="R897" i="1"/>
  <c r="R1057" i="1"/>
  <c r="R1034" i="1"/>
  <c r="R1050" i="1"/>
  <c r="R1059" i="1"/>
  <c r="R1038" i="1"/>
  <c r="R1047" i="1"/>
  <c r="R1060" i="1"/>
  <c r="R1044" i="1"/>
  <c r="R1037" i="1"/>
  <c r="R1190" i="1"/>
  <c r="R1205" i="1"/>
  <c r="R1183" i="1"/>
  <c r="R1198" i="1"/>
  <c r="R1177" i="1"/>
  <c r="R1186" i="1"/>
  <c r="R1200" i="1"/>
  <c r="R1184" i="1"/>
  <c r="R1334" i="1"/>
  <c r="R1313" i="1"/>
  <c r="R1322" i="1"/>
  <c r="R1331" i="1"/>
  <c r="R1310" i="1"/>
  <c r="R1325" i="1"/>
  <c r="R1332" i="1"/>
  <c r="R1316" i="1"/>
  <c r="R1462" i="1"/>
  <c r="R1441" i="1"/>
  <c r="R1450" i="1"/>
  <c r="R1459" i="1"/>
  <c r="R1438" i="1"/>
  <c r="R1453" i="1"/>
  <c r="R1460" i="1"/>
  <c r="R1444" i="1"/>
  <c r="R3805" i="1"/>
  <c r="R3777" i="1"/>
  <c r="R3769" i="1"/>
  <c r="R3806" i="1"/>
  <c r="R3790" i="1"/>
  <c r="R3774" i="1"/>
  <c r="R3804" i="1"/>
  <c r="R3788" i="1"/>
  <c r="R3772" i="1"/>
  <c r="R3807" i="1"/>
  <c r="R3791" i="1"/>
  <c r="R3775" i="1"/>
  <c r="R3979" i="1"/>
  <c r="R3959" i="1"/>
  <c r="R3967" i="1"/>
  <c r="R3968" i="1"/>
  <c r="R3952" i="1"/>
  <c r="R3978" i="1"/>
  <c r="R3962" i="1"/>
  <c r="R3946" i="1"/>
  <c r="R3969" i="1"/>
  <c r="R3953" i="1"/>
  <c r="R4139" i="1"/>
  <c r="R4119" i="1"/>
  <c r="R4127" i="1"/>
  <c r="R4128" i="1"/>
  <c r="R4112" i="1"/>
  <c r="R4138" i="1"/>
  <c r="R4122" i="1"/>
  <c r="R4106" i="1"/>
  <c r="R4129" i="1"/>
  <c r="R4113" i="1"/>
  <c r="R46" i="1"/>
  <c r="R33" i="1"/>
  <c r="R54" i="1"/>
  <c r="R42" i="1"/>
  <c r="R41" i="1"/>
  <c r="R53" i="1"/>
  <c r="R21" i="1"/>
  <c r="R51" i="1"/>
  <c r="R35" i="1"/>
  <c r="R19" i="1"/>
  <c r="R3" i="1"/>
  <c r="R40" i="1"/>
  <c r="R24" i="1"/>
  <c r="R8" i="1"/>
  <c r="R310" i="1"/>
  <c r="R331" i="1"/>
  <c r="R326" i="1"/>
  <c r="R327" i="1"/>
  <c r="R343" i="1"/>
  <c r="R315" i="1"/>
  <c r="R335" i="1"/>
  <c r="R314" i="1"/>
  <c r="R336" i="1"/>
  <c r="R320" i="1"/>
  <c r="R304" i="1"/>
  <c r="R946" i="1"/>
  <c r="R951" i="1"/>
  <c r="R950" i="1"/>
  <c r="R955" i="1"/>
  <c r="R960" i="1"/>
  <c r="R944" i="1"/>
  <c r="R928" i="1"/>
  <c r="R949" i="1"/>
  <c r="R933" i="1"/>
  <c r="R1089" i="1"/>
  <c r="R1098" i="1"/>
  <c r="R1077" i="1"/>
  <c r="R1086" i="1"/>
  <c r="R1101" i="1"/>
  <c r="R1079" i="1"/>
  <c r="R1096" i="1"/>
  <c r="R1080" i="1"/>
  <c r="R4011" i="1"/>
  <c r="R4019" i="1"/>
  <c r="R3999" i="1"/>
  <c r="R4008" i="1"/>
  <c r="R3992" i="1"/>
  <c r="R4018" i="1"/>
  <c r="R4002" i="1"/>
  <c r="R3986" i="1"/>
  <c r="R4009" i="1"/>
  <c r="R3993" i="1"/>
  <c r="R212" i="1"/>
  <c r="R413" i="1"/>
  <c r="R422" i="1"/>
  <c r="R393" i="1"/>
  <c r="R415" i="1"/>
  <c r="R394" i="1"/>
  <c r="R416" i="1"/>
  <c r="R400" i="1"/>
  <c r="R585" i="1"/>
  <c r="R564" i="1"/>
  <c r="R581" i="1"/>
  <c r="R560" i="1"/>
  <c r="R578" i="1"/>
  <c r="R562" i="1"/>
  <c r="R735" i="1"/>
  <c r="R713" i="1"/>
  <c r="R731" i="1"/>
  <c r="R709" i="1"/>
  <c r="R730" i="1"/>
  <c r="R714" i="1"/>
  <c r="R888" i="1"/>
  <c r="R872" i="1"/>
  <c r="R889" i="1"/>
  <c r="R873" i="1"/>
  <c r="R866" i="1"/>
  <c r="R1024" i="1"/>
  <c r="R1008" i="1"/>
  <c r="R1025" i="1"/>
  <c r="R1009" i="1"/>
  <c r="R1164" i="1"/>
  <c r="R1148" i="1"/>
  <c r="R1300" i="1"/>
  <c r="R1284" i="1"/>
  <c r="R1428" i="1"/>
  <c r="R1412" i="1"/>
  <c r="R3741" i="1"/>
  <c r="R3745" i="1"/>
  <c r="R3737" i="1"/>
  <c r="R3717" i="1"/>
  <c r="R3746" i="1"/>
  <c r="R3730" i="1"/>
  <c r="R3714" i="1"/>
  <c r="R3748" i="1"/>
  <c r="R3732" i="1"/>
  <c r="R3716" i="1"/>
  <c r="R3755" i="1"/>
  <c r="R3739" i="1"/>
  <c r="R3723" i="1"/>
  <c r="R3925" i="1"/>
  <c r="R3933" i="1"/>
  <c r="R3905" i="1"/>
  <c r="R3913" i="1"/>
  <c r="R3909" i="1"/>
  <c r="R3922" i="1"/>
  <c r="R3906" i="1"/>
  <c r="R3908" i="1"/>
  <c r="R3931" i="1"/>
  <c r="R3915" i="1"/>
  <c r="R4091" i="1"/>
  <c r="R4099" i="1"/>
  <c r="R4079" i="1"/>
  <c r="R4088" i="1"/>
  <c r="R4072" i="1"/>
  <c r="R4098" i="1"/>
  <c r="R4082" i="1"/>
  <c r="R4066" i="1"/>
  <c r="R4089" i="1"/>
  <c r="R4073" i="1"/>
  <c r="R4255" i="1"/>
  <c r="R4234" i="1"/>
  <c r="R4254" i="1"/>
  <c r="R4233" i="1"/>
  <c r="R4253" i="1"/>
  <c r="R4231" i="1"/>
  <c r="R4251" i="1"/>
  <c r="R4230" i="1"/>
  <c r="R4248" i="1"/>
  <c r="R4232" i="1"/>
  <c r="R231" i="1"/>
  <c r="R561" i="1"/>
  <c r="R732" i="1"/>
  <c r="R1006" i="1"/>
  <c r="R1145" i="1"/>
  <c r="R1166" i="1"/>
  <c r="R1289" i="1"/>
  <c r="R1411" i="1"/>
  <c r="R219" i="1"/>
  <c r="R403" i="1"/>
  <c r="R573" i="1"/>
  <c r="R733" i="1"/>
  <c r="R887" i="1"/>
  <c r="R1023" i="1"/>
  <c r="R1151" i="1"/>
  <c r="R1274" i="1"/>
  <c r="R1295" i="1"/>
  <c r="R1413" i="1"/>
  <c r="R210" i="1"/>
  <c r="R395" i="1"/>
  <c r="R567" i="1"/>
  <c r="R727" i="1"/>
  <c r="R882" i="1"/>
  <c r="R1018" i="1"/>
  <c r="R1147" i="1"/>
  <c r="R1169" i="1"/>
  <c r="R1291" i="1"/>
  <c r="R1409" i="1"/>
  <c r="R1430" i="1"/>
  <c r="R145" i="1"/>
  <c r="R153" i="1"/>
  <c r="R154" i="1"/>
  <c r="R146" i="1"/>
  <c r="R149" i="1"/>
  <c r="R117" i="1"/>
  <c r="R147" i="1"/>
  <c r="R131" i="1"/>
  <c r="R115" i="1"/>
  <c r="R148" i="1"/>
  <c r="R132" i="1"/>
  <c r="R116" i="1"/>
  <c r="R801" i="1"/>
  <c r="R797" i="1"/>
  <c r="R796" i="1"/>
  <c r="R792" i="1"/>
  <c r="R804" i="1"/>
  <c r="R783" i="1"/>
  <c r="R800" i="1"/>
  <c r="R814" i="1"/>
  <c r="R798" i="1"/>
  <c r="R782" i="1"/>
  <c r="R1350" i="1"/>
  <c r="R1359" i="1"/>
  <c r="R1338" i="1"/>
  <c r="R1347" i="1"/>
  <c r="R1362" i="1"/>
  <c r="R1341" i="1"/>
  <c r="R1352" i="1"/>
  <c r="R1336" i="1"/>
  <c r="R3629" i="1"/>
  <c r="R3617" i="1"/>
  <c r="R3609" i="1"/>
  <c r="R3650" i="1"/>
  <c r="R3634" i="1"/>
  <c r="R3618" i="1"/>
  <c r="R3602" i="1"/>
  <c r="R3640" i="1"/>
  <c r="R3624" i="1"/>
  <c r="R3608" i="1"/>
  <c r="R3647" i="1"/>
  <c r="R3631" i="1"/>
  <c r="R3615" i="1"/>
  <c r="R3599" i="1"/>
  <c r="R3841" i="1"/>
  <c r="R3833" i="1"/>
  <c r="R3813" i="1"/>
  <c r="R3838" i="1"/>
  <c r="R3822" i="1"/>
  <c r="R3852" i="1"/>
  <c r="R3836" i="1"/>
  <c r="R3820" i="1"/>
  <c r="R3851" i="1"/>
  <c r="R3835" i="1"/>
  <c r="R3819" i="1"/>
  <c r="R4155" i="1"/>
  <c r="R4163" i="1"/>
  <c r="R4143" i="1"/>
  <c r="R4164" i="1"/>
  <c r="R4148" i="1"/>
  <c r="R4174" i="1"/>
  <c r="R4158" i="1"/>
  <c r="R4142" i="1"/>
  <c r="R4165" i="1"/>
  <c r="R4149" i="1"/>
  <c r="R161" i="1"/>
  <c r="R174" i="1"/>
  <c r="R182" i="1"/>
  <c r="R170" i="1"/>
  <c r="R169" i="1"/>
  <c r="R189" i="1"/>
  <c r="R157" i="1"/>
  <c r="R191" i="1"/>
  <c r="R175" i="1"/>
  <c r="R159" i="1"/>
  <c r="R188" i="1"/>
  <c r="R172" i="1"/>
  <c r="R156" i="1"/>
  <c r="R375" i="1"/>
  <c r="R359" i="1"/>
  <c r="R354" i="1"/>
  <c r="R363" i="1"/>
  <c r="R371" i="1"/>
  <c r="R383" i="1"/>
  <c r="R362" i="1"/>
  <c r="R384" i="1"/>
  <c r="R368" i="1"/>
  <c r="R352" i="1"/>
  <c r="R535" i="1"/>
  <c r="R531" i="1"/>
  <c r="R519" i="1"/>
  <c r="R515" i="1"/>
  <c r="R527" i="1"/>
  <c r="R544" i="1"/>
  <c r="R523" i="1"/>
  <c r="R542" i="1"/>
  <c r="R526" i="1"/>
  <c r="R510" i="1"/>
  <c r="R701" i="1"/>
  <c r="R700" i="1"/>
  <c r="R696" i="1"/>
  <c r="R697" i="1"/>
  <c r="R676" i="1"/>
  <c r="R693" i="1"/>
  <c r="R672" i="1"/>
  <c r="R690" i="1"/>
  <c r="R674" i="1"/>
  <c r="R844" i="1"/>
  <c r="R840" i="1"/>
  <c r="R839" i="1"/>
  <c r="R824" i="1"/>
  <c r="R836" i="1"/>
  <c r="R853" i="1"/>
  <c r="R832" i="1"/>
  <c r="R850" i="1"/>
  <c r="R834" i="1"/>
  <c r="R818" i="1"/>
  <c r="R970" i="1"/>
  <c r="R967" i="1"/>
  <c r="R966" i="1"/>
  <c r="R971" i="1"/>
  <c r="R984" i="1"/>
  <c r="R968" i="1"/>
  <c r="R989" i="1"/>
  <c r="R973" i="1"/>
  <c r="R1126" i="1"/>
  <c r="R1105" i="1"/>
  <c r="R1119" i="1"/>
  <c r="R1134" i="1"/>
  <c r="R1113" i="1"/>
  <c r="R1127" i="1"/>
  <c r="R1106" i="1"/>
  <c r="R1120" i="1"/>
  <c r="R1104" i="1"/>
  <c r="R1254" i="1"/>
  <c r="R1263" i="1"/>
  <c r="R1242" i="1"/>
  <c r="R1251" i="1"/>
  <c r="R1266" i="1"/>
  <c r="R1245" i="1"/>
  <c r="R1256" i="1"/>
  <c r="R1240" i="1"/>
  <c r="R1382" i="1"/>
  <c r="R1391" i="1"/>
  <c r="R1370" i="1"/>
  <c r="R1379" i="1"/>
  <c r="R1394" i="1"/>
  <c r="R1373" i="1"/>
  <c r="R1384" i="1"/>
  <c r="R1368" i="1"/>
  <c r="R3697" i="1"/>
  <c r="R3689" i="1"/>
  <c r="R3685" i="1"/>
  <c r="R3702" i="1"/>
  <c r="R3686" i="1"/>
  <c r="R3670" i="1"/>
  <c r="R3654" i="1"/>
  <c r="R3692" i="1"/>
  <c r="R3676" i="1"/>
  <c r="R3660" i="1"/>
  <c r="R3703" i="1"/>
  <c r="R3687" i="1"/>
  <c r="R3671" i="1"/>
  <c r="R3655" i="1"/>
  <c r="R4055" i="1"/>
  <c r="R4035" i="1"/>
  <c r="R4052" i="1"/>
  <c r="R4036" i="1"/>
  <c r="R4020" i="1"/>
  <c r="R4046" i="1"/>
  <c r="R4030" i="1"/>
  <c r="R4053" i="1"/>
  <c r="R4037" i="1"/>
  <c r="R4021" i="1"/>
  <c r="R471" i="1"/>
  <c r="R477" i="1"/>
  <c r="R476" i="1"/>
  <c r="R472" i="1"/>
  <c r="R489" i="1"/>
  <c r="R507" i="1"/>
  <c r="R485" i="1"/>
  <c r="R502" i="1"/>
  <c r="R486" i="1"/>
  <c r="R470" i="1"/>
  <c r="R1222" i="1"/>
  <c r="R1237" i="1"/>
  <c r="R1215" i="1"/>
  <c r="R1225" i="1"/>
  <c r="R1239" i="1"/>
  <c r="R1218" i="1"/>
  <c r="R1232" i="1"/>
  <c r="R1216" i="1"/>
  <c r="R4213" i="1"/>
  <c r="R4191" i="1"/>
  <c r="R4206" i="1"/>
  <c r="R4183" i="1"/>
  <c r="R4199" i="1"/>
  <c r="R4214" i="1"/>
  <c r="R4193" i="1"/>
  <c r="R4208" i="1"/>
  <c r="R4192" i="1"/>
  <c r="R4186" i="1"/>
  <c r="R652" i="1"/>
  <c r="R648" i="1"/>
  <c r="R647" i="1"/>
  <c r="R632" i="1"/>
  <c r="R644" i="1"/>
  <c r="R661" i="1"/>
  <c r="R640" i="1"/>
  <c r="R658" i="1"/>
  <c r="R642" i="1"/>
  <c r="R626" i="1"/>
  <c r="R3873" i="1"/>
  <c r="R3865" i="1"/>
  <c r="R3898" i="1"/>
  <c r="R3882" i="1"/>
  <c r="R3866" i="1"/>
  <c r="R3896" i="1"/>
  <c r="R3880" i="1"/>
  <c r="R3864" i="1"/>
  <c r="R3895" i="1"/>
  <c r="R3879" i="1"/>
  <c r="R3863" i="1"/>
  <c r="R74" i="1"/>
  <c r="R58" i="1"/>
  <c r="R66" i="1"/>
  <c r="R57" i="1"/>
  <c r="R73" i="1"/>
  <c r="R85" i="1"/>
  <c r="R103" i="1"/>
  <c r="R87" i="1"/>
  <c r="R71" i="1"/>
  <c r="R104" i="1"/>
  <c r="R88" i="1"/>
  <c r="R72" i="1"/>
  <c r="R56" i="1"/>
  <c r="R290" i="1"/>
  <c r="R274" i="1"/>
  <c r="R269" i="1"/>
  <c r="R285" i="1"/>
  <c r="R257" i="1"/>
  <c r="R273" i="1"/>
  <c r="R293" i="1"/>
  <c r="R271" i="1"/>
  <c r="R296" i="1"/>
  <c r="R280" i="1"/>
  <c r="R264" i="1"/>
  <c r="R449" i="1"/>
  <c r="R445" i="1"/>
  <c r="R444" i="1"/>
  <c r="R439" i="1"/>
  <c r="R452" i="1"/>
  <c r="R469" i="1"/>
  <c r="R448" i="1"/>
  <c r="R466" i="1"/>
  <c r="R450" i="1"/>
  <c r="R431" i="1"/>
  <c r="R428" i="1"/>
  <c r="R588" i="1"/>
  <c r="R625" i="1"/>
  <c r="R621" i="1"/>
  <c r="R623" i="1"/>
  <c r="R601" i="1"/>
  <c r="R619" i="1"/>
  <c r="R597" i="1"/>
  <c r="R618" i="1"/>
  <c r="R602" i="1"/>
  <c r="R586" i="1"/>
  <c r="R776" i="1"/>
  <c r="R775" i="1"/>
  <c r="R771" i="1"/>
  <c r="R772" i="1"/>
  <c r="R751" i="1"/>
  <c r="R773" i="1"/>
  <c r="R752" i="1"/>
  <c r="R774" i="1"/>
  <c r="R758" i="1"/>
  <c r="R742" i="1"/>
  <c r="R898" i="1"/>
  <c r="R903" i="1"/>
  <c r="R910" i="1"/>
  <c r="R915" i="1"/>
  <c r="R920" i="1"/>
  <c r="R904" i="1"/>
  <c r="R925" i="1"/>
  <c r="R909" i="1"/>
  <c r="R893" i="1"/>
  <c r="R1051" i="1"/>
  <c r="R1066" i="1"/>
  <c r="R1045" i="1"/>
  <c r="R1054" i="1"/>
  <c r="R1063" i="1"/>
  <c r="R1042" i="1"/>
  <c r="R1056" i="1"/>
  <c r="R1040" i="1"/>
  <c r="R1033" i="1"/>
  <c r="R1185" i="1"/>
  <c r="R1199" i="1"/>
  <c r="R1178" i="1"/>
  <c r="R1193" i="1"/>
  <c r="R1202" i="1"/>
  <c r="R1181" i="1"/>
  <c r="R1196" i="1"/>
  <c r="R1180" i="1"/>
  <c r="R1329" i="1"/>
  <c r="R1307" i="1"/>
  <c r="R1317" i="1"/>
  <c r="R1326" i="1"/>
  <c r="R1305" i="1"/>
  <c r="R1319" i="1"/>
  <c r="R1328" i="1"/>
  <c r="R1312" i="1"/>
  <c r="R1457" i="1"/>
  <c r="R1435" i="1"/>
  <c r="R1445" i="1"/>
  <c r="R1454" i="1"/>
  <c r="R1433" i="1"/>
  <c r="R1447" i="1"/>
  <c r="R1456" i="1"/>
  <c r="R1440" i="1"/>
  <c r="R3789" i="1"/>
  <c r="R3761" i="1"/>
  <c r="R3797" i="1"/>
  <c r="R3802" i="1"/>
  <c r="R3786" i="1"/>
  <c r="R3770" i="1"/>
  <c r="R3800" i="1"/>
  <c r="R3784" i="1"/>
  <c r="R3768" i="1"/>
  <c r="R3803" i="1"/>
  <c r="R3787" i="1"/>
  <c r="R3771" i="1"/>
  <c r="R3963" i="1"/>
  <c r="R3943" i="1"/>
  <c r="R3951" i="1"/>
  <c r="R3964" i="1"/>
  <c r="R3948" i="1"/>
  <c r="R3974" i="1"/>
  <c r="R3958" i="1"/>
  <c r="R3942" i="1"/>
  <c r="R3965" i="1"/>
  <c r="R3949" i="1"/>
  <c r="R4123" i="1"/>
  <c r="R4103" i="1"/>
  <c r="R4111" i="1"/>
  <c r="R4124" i="1"/>
  <c r="R4108" i="1"/>
  <c r="R4134" i="1"/>
  <c r="R4118" i="1"/>
  <c r="R4102" i="1"/>
  <c r="R4125" i="1"/>
  <c r="R4109" i="1"/>
  <c r="R17" i="1"/>
  <c r="R49" i="1"/>
  <c r="R38" i="1"/>
  <c r="R26" i="1"/>
  <c r="R30" i="1"/>
  <c r="R45" i="1"/>
  <c r="R13" i="1"/>
  <c r="R47" i="1"/>
  <c r="R31" i="1"/>
  <c r="R15" i="1"/>
  <c r="R52" i="1"/>
  <c r="R36" i="1"/>
  <c r="R20" i="1"/>
  <c r="R4" i="1"/>
  <c r="R333" i="1"/>
  <c r="R317" i="1"/>
  <c r="R311" i="1"/>
  <c r="R321" i="1"/>
  <c r="R337" i="1"/>
  <c r="R307" i="1"/>
  <c r="R330" i="1"/>
  <c r="R309" i="1"/>
  <c r="R332" i="1"/>
  <c r="R316" i="1"/>
  <c r="R300" i="1"/>
  <c r="R938" i="1"/>
  <c r="R943" i="1"/>
  <c r="R942" i="1"/>
  <c r="R947" i="1"/>
  <c r="R956" i="1"/>
  <c r="R940" i="1"/>
  <c r="R961" i="1"/>
  <c r="R945" i="1"/>
  <c r="R929" i="1"/>
  <c r="R1083" i="1"/>
  <c r="R1093" i="1"/>
  <c r="R1071" i="1"/>
  <c r="R1081" i="1"/>
  <c r="R1095" i="1"/>
  <c r="R1074" i="1"/>
  <c r="R1092" i="1"/>
  <c r="R1076" i="1"/>
  <c r="R3995" i="1"/>
  <c r="R4003" i="1"/>
  <c r="R3983" i="1"/>
  <c r="R4004" i="1"/>
  <c r="R3988" i="1"/>
  <c r="R4014" i="1"/>
  <c r="R3998" i="1"/>
  <c r="R3982" i="1"/>
  <c r="R4005" i="1"/>
  <c r="R3989" i="1"/>
  <c r="R729" i="1"/>
  <c r="R708" i="1"/>
  <c r="R725" i="1"/>
  <c r="R704" i="1"/>
  <c r="R726" i="1"/>
  <c r="R710" i="1"/>
  <c r="R884" i="1"/>
  <c r="R868" i="1"/>
  <c r="R885" i="1"/>
  <c r="R869" i="1"/>
  <c r="R862" i="1"/>
  <c r="R1020" i="1"/>
  <c r="R1004" i="1"/>
  <c r="R1021" i="1"/>
  <c r="R1005" i="1"/>
  <c r="R1160" i="1"/>
  <c r="R1144" i="1"/>
  <c r="R1296" i="1"/>
  <c r="R1280" i="1"/>
  <c r="R1424" i="1"/>
  <c r="R1408" i="1"/>
  <c r="R3725" i="1"/>
  <c r="R3729" i="1"/>
  <c r="R3721" i="1"/>
  <c r="R3758" i="1"/>
  <c r="R3742" i="1"/>
  <c r="R3726" i="1"/>
  <c r="R3710" i="1"/>
  <c r="R3744" i="1"/>
  <c r="R3728" i="1"/>
  <c r="R3712" i="1"/>
  <c r="R3751" i="1"/>
  <c r="R3735" i="1"/>
  <c r="R3719" i="1"/>
  <c r="R3917" i="1"/>
  <c r="R3936" i="1"/>
  <c r="R3938" i="1"/>
  <c r="R3937" i="1"/>
  <c r="R3934" i="1"/>
  <c r="R3918" i="1"/>
  <c r="R3902" i="1"/>
  <c r="R3904" i="1"/>
  <c r="R3927" i="1"/>
  <c r="R3911" i="1"/>
  <c r="R4075" i="1"/>
  <c r="R4083" i="1"/>
  <c r="R4063" i="1"/>
  <c r="R4084" i="1"/>
  <c r="R4068" i="1"/>
  <c r="R4094" i="1"/>
  <c r="R4078" i="1"/>
  <c r="R4062" i="1"/>
  <c r="R4085" i="1"/>
  <c r="R4069" i="1"/>
  <c r="R4250" i="1"/>
  <c r="R4229" i="1"/>
  <c r="R4249" i="1"/>
  <c r="R4227" i="1"/>
  <c r="R4247" i="1"/>
  <c r="R4226" i="1"/>
  <c r="R4246" i="1"/>
  <c r="R4225" i="1"/>
  <c r="R4244" i="1"/>
  <c r="R4228" i="1"/>
  <c r="R246" i="1"/>
  <c r="R572" i="1"/>
  <c r="R870" i="1"/>
  <c r="R1014" i="1"/>
  <c r="R1150" i="1"/>
  <c r="R1171" i="1"/>
  <c r="R1294" i="1"/>
  <c r="R1417" i="1"/>
  <c r="R233" i="1"/>
  <c r="R418" i="1"/>
  <c r="R584" i="1"/>
  <c r="R861" i="1"/>
  <c r="R999" i="1"/>
  <c r="R1031" i="1"/>
  <c r="R1157" i="1"/>
  <c r="R1279" i="1"/>
  <c r="R1301" i="1"/>
  <c r="R1418" i="1"/>
  <c r="R225" i="1"/>
  <c r="R409" i="1"/>
  <c r="R577" i="1"/>
  <c r="R737" i="1"/>
  <c r="R890" i="1"/>
  <c r="R1026" i="1"/>
  <c r="R1153" i="1"/>
  <c r="R1275" i="1"/>
  <c r="R1297" i="1"/>
  <c r="R1414" i="1"/>
  <c r="R130" i="1"/>
  <c r="R118" i="1"/>
  <c r="R138" i="1"/>
  <c r="R142" i="1"/>
  <c r="R137" i="1"/>
  <c r="R141" i="1"/>
  <c r="R109" i="1"/>
  <c r="R143" i="1"/>
  <c r="R127" i="1"/>
  <c r="R111" i="1"/>
  <c r="R144" i="1"/>
  <c r="R128" i="1"/>
  <c r="R112" i="1"/>
  <c r="R791" i="1"/>
  <c r="R787" i="1"/>
  <c r="R785" i="1"/>
  <c r="R781" i="1"/>
  <c r="R799" i="1"/>
  <c r="R816" i="1"/>
  <c r="R795" i="1"/>
  <c r="R810" i="1"/>
  <c r="R794" i="1"/>
  <c r="R1366" i="1"/>
  <c r="R1345" i="1"/>
  <c r="R1354" i="1"/>
  <c r="R1363" i="1"/>
  <c r="R1342" i="1"/>
  <c r="R1357" i="1"/>
  <c r="R1364" i="1"/>
  <c r="R1348" i="1"/>
  <c r="R3613" i="1"/>
  <c r="R3596" i="1"/>
  <c r="R3601" i="1"/>
  <c r="R3637" i="1"/>
  <c r="R3646" i="1"/>
  <c r="R3630" i="1"/>
  <c r="R3614" i="1"/>
  <c r="R3598" i="1"/>
  <c r="R3636" i="1"/>
  <c r="R3620" i="1"/>
  <c r="R3604" i="1"/>
  <c r="R3643" i="1"/>
  <c r="R3627" i="1"/>
  <c r="R3611" i="1"/>
  <c r="R3853" i="1"/>
  <c r="R3825" i="1"/>
  <c r="R3817" i="1"/>
  <c r="R3850" i="1"/>
  <c r="R3834" i="1"/>
  <c r="R3818" i="1"/>
  <c r="R3848" i="1"/>
  <c r="R3832" i="1"/>
  <c r="R3816" i="1"/>
  <c r="R3847" i="1"/>
  <c r="R3831" i="1"/>
  <c r="R3815" i="1"/>
  <c r="R4167" i="1"/>
  <c r="R4147" i="1"/>
  <c r="R4176" i="1"/>
  <c r="R4160" i="1"/>
  <c r="R4144" i="1"/>
  <c r="R4170" i="1"/>
  <c r="R4154" i="1"/>
  <c r="R4177" i="1"/>
  <c r="R4161" i="1"/>
  <c r="R4145" i="1"/>
  <c r="R205" i="1"/>
  <c r="R193" i="1"/>
  <c r="R166" i="1"/>
  <c r="R201" i="1"/>
  <c r="R158" i="1"/>
  <c r="R181" i="1"/>
  <c r="R203" i="1"/>
  <c r="R187" i="1"/>
  <c r="R171" i="1"/>
  <c r="R200" i="1"/>
  <c r="R184" i="1"/>
  <c r="R168" i="1"/>
  <c r="R381" i="1"/>
  <c r="R361" i="1"/>
  <c r="R345" i="1"/>
  <c r="R385" i="1"/>
  <c r="R355" i="1"/>
  <c r="R365" i="1"/>
  <c r="R378" i="1"/>
  <c r="R357" i="1"/>
  <c r="R380" i="1"/>
  <c r="R364" i="1"/>
  <c r="R348" i="1"/>
  <c r="R524" i="1"/>
  <c r="R520" i="1"/>
  <c r="R547" i="1"/>
  <c r="R543" i="1"/>
  <c r="R521" i="1"/>
  <c r="R539" i="1"/>
  <c r="R517" i="1"/>
  <c r="R538" i="1"/>
  <c r="R522" i="1"/>
  <c r="R695" i="1"/>
  <c r="R691" i="1"/>
  <c r="R689" i="1"/>
  <c r="R685" i="1"/>
  <c r="R692" i="1"/>
  <c r="R671" i="1"/>
  <c r="R688" i="1"/>
  <c r="R667" i="1"/>
  <c r="R686" i="1"/>
  <c r="R670" i="1"/>
  <c r="R833" i="1"/>
  <c r="R829" i="1"/>
  <c r="R828" i="1"/>
  <c r="R852" i="1"/>
  <c r="R831" i="1"/>
  <c r="R848" i="1"/>
  <c r="R827" i="1"/>
  <c r="R846" i="1"/>
  <c r="R830" i="1"/>
  <c r="R994" i="1"/>
  <c r="R991" i="1"/>
  <c r="R990" i="1"/>
  <c r="R995" i="1"/>
  <c r="R996" i="1"/>
  <c r="R980" i="1"/>
  <c r="R964" i="1"/>
  <c r="R985" i="1"/>
  <c r="R969" i="1"/>
  <c r="R1121" i="1"/>
  <c r="R1135" i="1"/>
  <c r="R1114" i="1"/>
  <c r="R1129" i="1"/>
  <c r="R1107" i="1"/>
  <c r="R1122" i="1"/>
  <c r="R1132" i="1"/>
  <c r="R1116" i="1"/>
  <c r="R1270" i="1"/>
  <c r="R1249" i="1"/>
  <c r="R1258" i="1"/>
  <c r="R1267" i="1"/>
  <c r="R1246" i="1"/>
  <c r="R1261" i="1"/>
  <c r="R1268" i="1"/>
  <c r="R1252" i="1"/>
  <c r="R1398" i="1"/>
  <c r="R1377" i="1"/>
  <c r="R1386" i="1"/>
  <c r="R1395" i="1"/>
  <c r="R1374" i="1"/>
  <c r="R1389" i="1"/>
  <c r="R1396" i="1"/>
  <c r="R1380" i="1"/>
  <c r="R3677" i="1"/>
  <c r="R3681" i="1"/>
  <c r="R3673" i="1"/>
  <c r="R3669" i="1"/>
  <c r="R3698" i="1"/>
  <c r="R3682" i="1"/>
  <c r="R3666" i="1"/>
  <c r="R3704" i="1"/>
  <c r="R3688" i="1"/>
  <c r="R3672" i="1"/>
  <c r="R3656" i="1"/>
  <c r="R3699" i="1"/>
  <c r="R3683" i="1"/>
  <c r="R3667" i="1"/>
  <c r="R4059" i="1"/>
  <c r="R4039" i="1"/>
  <c r="R4047" i="1"/>
  <c r="R4048" i="1"/>
  <c r="R4032" i="1"/>
  <c r="R4058" i="1"/>
  <c r="R4042" i="1"/>
  <c r="R4026" i="1"/>
  <c r="R4049" i="1"/>
  <c r="R4033" i="1"/>
  <c r="R503" i="1"/>
  <c r="R509" i="1"/>
  <c r="R508" i="1"/>
  <c r="R504" i="1"/>
  <c r="R505" i="1"/>
  <c r="R484" i="1"/>
  <c r="R501" i="1"/>
  <c r="R480" i="1"/>
  <c r="R498" i="1"/>
  <c r="R482" i="1"/>
  <c r="R1238" i="1"/>
  <c r="R1217" i="1"/>
  <c r="R1231" i="1"/>
  <c r="R1210" i="1"/>
  <c r="R1219" i="1"/>
  <c r="R1234" i="1"/>
  <c r="R1213" i="1"/>
  <c r="R1228" i="1"/>
  <c r="R1212" i="1"/>
  <c r="R4207" i="1"/>
  <c r="R4185" i="1"/>
  <c r="R4201" i="1"/>
  <c r="R4215" i="1"/>
  <c r="R4194" i="1"/>
  <c r="R4209" i="1"/>
  <c r="R4187" i="1"/>
  <c r="R4204" i="1"/>
  <c r="R4188" i="1"/>
  <c r="R4182" i="1"/>
  <c r="R641" i="1"/>
  <c r="R637" i="1"/>
  <c r="R636" i="1"/>
  <c r="R660" i="1"/>
  <c r="R639" i="1"/>
  <c r="R656" i="1"/>
  <c r="R635" i="1"/>
  <c r="R654" i="1"/>
  <c r="R638" i="1"/>
  <c r="R3869" i="1"/>
  <c r="R3857" i="1"/>
  <c r="R3893" i="1"/>
  <c r="R3894" i="1"/>
  <c r="R3878" i="1"/>
  <c r="R3862" i="1"/>
  <c r="R3892" i="1"/>
  <c r="R3876" i="1"/>
  <c r="R3860" i="1"/>
  <c r="R3891" i="1"/>
  <c r="R3875" i="1"/>
  <c r="R3859" i="1"/>
  <c r="R90" i="1"/>
  <c r="R78" i="1"/>
  <c r="R98" i="1"/>
  <c r="R105" i="1"/>
  <c r="R62" i="1"/>
  <c r="R77" i="1"/>
  <c r="R99" i="1"/>
  <c r="R83" i="1"/>
  <c r="R67" i="1"/>
  <c r="R100" i="1"/>
  <c r="R84" i="1"/>
  <c r="R68" i="1"/>
  <c r="R295" i="1"/>
  <c r="R275" i="1"/>
  <c r="R259" i="1"/>
  <c r="R254" i="1"/>
  <c r="R278" i="1"/>
  <c r="R294" i="1"/>
  <c r="R265" i="1"/>
  <c r="R287" i="1"/>
  <c r="R266" i="1"/>
  <c r="R292" i="1"/>
  <c r="R276" i="1"/>
  <c r="R260" i="1"/>
  <c r="R438" i="1"/>
  <c r="R433" i="1"/>
  <c r="R430" i="1"/>
  <c r="R468" i="1"/>
  <c r="R447" i="1"/>
  <c r="R464" i="1"/>
  <c r="R443" i="1"/>
  <c r="R462" i="1"/>
  <c r="R446" i="1"/>
  <c r="R440" i="1"/>
  <c r="R620" i="1"/>
  <c r="R616" i="1"/>
  <c r="R615" i="1"/>
  <c r="R611" i="1"/>
  <c r="R617" i="1"/>
  <c r="R596" i="1"/>
  <c r="R613" i="1"/>
  <c r="R592" i="1"/>
  <c r="R614" i="1"/>
  <c r="R598" i="1"/>
  <c r="R769" i="1"/>
  <c r="R765" i="1"/>
  <c r="R764" i="1"/>
  <c r="R760" i="1"/>
  <c r="R767" i="1"/>
  <c r="R745" i="1"/>
  <c r="R768" i="1"/>
  <c r="R747" i="1"/>
  <c r="R770" i="1"/>
  <c r="R754" i="1"/>
  <c r="R922" i="1"/>
  <c r="R927" i="1"/>
  <c r="R895" i="1"/>
  <c r="R902" i="1"/>
  <c r="R907" i="1"/>
  <c r="R916" i="1"/>
  <c r="R900" i="1"/>
  <c r="R921" i="1"/>
  <c r="R905" i="1"/>
  <c r="R1067" i="1"/>
  <c r="R1046" i="1"/>
  <c r="R1061" i="1"/>
  <c r="R1039" i="1"/>
  <c r="R1049" i="1"/>
  <c r="R1058" i="1"/>
  <c r="R1035" i="1"/>
  <c r="R1052" i="1"/>
  <c r="R1036" i="1"/>
  <c r="R1201" i="1"/>
  <c r="R1179" i="1"/>
  <c r="R1194" i="1"/>
  <c r="R1173" i="1"/>
  <c r="R1187" i="1"/>
  <c r="R1197" i="1"/>
  <c r="R1175" i="1"/>
  <c r="R1192" i="1"/>
  <c r="R1176" i="1"/>
  <c r="R1323" i="1"/>
  <c r="R1333" i="1"/>
  <c r="R1311" i="1"/>
  <c r="R1321" i="1"/>
  <c r="R1335" i="1"/>
  <c r="R1314" i="1"/>
  <c r="R1324" i="1"/>
  <c r="R1308" i="1"/>
  <c r="R1451" i="1"/>
  <c r="R1461" i="1"/>
  <c r="R1439" i="1"/>
  <c r="R1449" i="1"/>
  <c r="R1463" i="1"/>
  <c r="R1442" i="1"/>
  <c r="R1452" i="1"/>
  <c r="R1436" i="1"/>
  <c r="R3773" i="1"/>
  <c r="R3801" i="1"/>
  <c r="R3781" i="1"/>
  <c r="R3798" i="1"/>
  <c r="R3782" i="1"/>
  <c r="R3766" i="1"/>
  <c r="R3796" i="1"/>
  <c r="R3780" i="1"/>
  <c r="R3764" i="1"/>
  <c r="R3799" i="1"/>
  <c r="R3783" i="1"/>
  <c r="R3767" i="1"/>
  <c r="R3947" i="1"/>
  <c r="R3971" i="1"/>
  <c r="R3976" i="1"/>
  <c r="R3960" i="1"/>
  <c r="R3944" i="1"/>
  <c r="R3970" i="1"/>
  <c r="R3954" i="1"/>
  <c r="R3977" i="1"/>
  <c r="R3961" i="1"/>
  <c r="R3945" i="1"/>
  <c r="R4107" i="1"/>
  <c r="R4131" i="1"/>
  <c r="R4136" i="1"/>
  <c r="R4120" i="1"/>
  <c r="R4104" i="1"/>
  <c r="R4130" i="1"/>
  <c r="R4114" i="1"/>
  <c r="R4137" i="1"/>
  <c r="R4121" i="1"/>
  <c r="R4105" i="1"/>
  <c r="R34" i="1"/>
  <c r="R22" i="1"/>
  <c r="R25" i="1"/>
  <c r="R14" i="1"/>
  <c r="R18" i="1"/>
  <c r="R37" i="1"/>
  <c r="R5" i="1"/>
  <c r="R43" i="1"/>
  <c r="R27" i="1"/>
  <c r="R11" i="1"/>
  <c r="R48" i="1"/>
  <c r="R32" i="1"/>
  <c r="R16" i="1"/>
  <c r="R338" i="1"/>
  <c r="R318" i="1"/>
  <c r="R302" i="1"/>
  <c r="R342" i="1"/>
  <c r="R313" i="1"/>
  <c r="R329" i="1"/>
  <c r="R301" i="1"/>
  <c r="R325" i="1"/>
  <c r="R303" i="1"/>
  <c r="R328" i="1"/>
  <c r="R312" i="1"/>
  <c r="R962" i="1"/>
  <c r="R930" i="1"/>
  <c r="R935" i="1"/>
  <c r="R934" i="1"/>
  <c r="R939" i="1"/>
  <c r="R952" i="1"/>
  <c r="R936" i="1"/>
  <c r="R957" i="1"/>
  <c r="R941" i="1"/>
  <c r="R1099" i="1"/>
  <c r="R1078" i="1"/>
  <c r="R1087" i="1"/>
  <c r="R1097" i="1"/>
  <c r="R1075" i="1"/>
  <c r="R1090" i="1"/>
  <c r="R1069" i="1"/>
  <c r="R1088" i="1"/>
  <c r="R1072" i="1"/>
  <c r="R4007" i="1"/>
  <c r="R3987" i="1"/>
  <c r="R4016" i="1"/>
  <c r="R4000" i="1"/>
  <c r="R3984" i="1"/>
  <c r="R4010" i="1"/>
  <c r="R3994" i="1"/>
  <c r="R4017" i="1"/>
  <c r="R4001" i="1"/>
  <c r="R3985" i="1"/>
  <c r="R424" i="1"/>
  <c r="R408" i="1"/>
  <c r="R392" i="1"/>
  <c r="R575" i="1"/>
  <c r="R553" i="1"/>
  <c r="R571" i="1"/>
  <c r="R549" i="1"/>
  <c r="R570" i="1"/>
  <c r="R554" i="1"/>
  <c r="R724" i="1"/>
  <c r="R703" i="1"/>
  <c r="R720" i="1"/>
  <c r="R738" i="1"/>
  <c r="R722" i="1"/>
  <c r="R706" i="1"/>
  <c r="R880" i="1"/>
  <c r="R863" i="1"/>
  <c r="R881" i="1"/>
  <c r="R864" i="1"/>
  <c r="R858" i="1"/>
  <c r="R1016" i="1"/>
  <c r="R1000" i="1"/>
  <c r="R1017" i="1"/>
  <c r="R1001" i="1"/>
  <c r="R1156" i="1"/>
  <c r="R1140" i="1"/>
  <c r="R1292" i="1"/>
  <c r="R1276" i="1"/>
  <c r="R1420" i="1"/>
  <c r="R1404" i="1"/>
  <c r="R3709" i="1"/>
  <c r="R3713" i="1"/>
  <c r="R3749" i="1"/>
  <c r="R3754" i="1"/>
  <c r="R3738" i="1"/>
  <c r="R3722" i="1"/>
  <c r="R3756" i="1"/>
  <c r="R3740" i="1"/>
  <c r="R3724" i="1"/>
  <c r="R3708" i="1"/>
  <c r="R3747" i="1"/>
  <c r="R3731" i="1"/>
  <c r="R3715" i="1"/>
  <c r="R3939" i="1"/>
  <c r="R3928" i="1"/>
  <c r="R3932" i="1"/>
  <c r="R3929" i="1"/>
  <c r="R3930" i="1"/>
  <c r="R3914" i="1"/>
  <c r="R3916" i="1"/>
  <c r="R3900" i="1"/>
  <c r="R3923" i="1"/>
  <c r="R3907" i="1"/>
  <c r="R4087" i="1"/>
  <c r="R4067" i="1"/>
  <c r="R4096" i="1"/>
  <c r="R4080" i="1"/>
  <c r="R4064" i="1"/>
  <c r="R4090" i="1"/>
  <c r="R4074" i="1"/>
  <c r="R4097" i="1"/>
  <c r="R4081" i="1"/>
  <c r="R4065" i="1"/>
  <c r="R4245" i="1"/>
  <c r="R4223" i="1"/>
  <c r="R4243" i="1"/>
  <c r="R4222" i="1"/>
  <c r="R4242" i="1"/>
  <c r="R4221" i="1"/>
  <c r="R4241" i="1"/>
  <c r="R4256" i="1"/>
  <c r="R4240" i="1"/>
  <c r="R4224" i="1"/>
  <c r="R402" i="1"/>
  <c r="R583" i="1"/>
  <c r="R878" i="1"/>
  <c r="R1022" i="1"/>
  <c r="R1155" i="1"/>
  <c r="R1278" i="1"/>
  <c r="R1299" i="1"/>
  <c r="R1422" i="1"/>
  <c r="R247" i="1"/>
  <c r="R552" i="1"/>
  <c r="R712" i="1"/>
  <c r="R871" i="1"/>
  <c r="R1007" i="1"/>
  <c r="R1141" i="1"/>
  <c r="R1162" i="1"/>
  <c r="R1285" i="1"/>
  <c r="R1402" i="1"/>
  <c r="R1423" i="1"/>
  <c r="R238" i="1"/>
  <c r="R423" i="1"/>
  <c r="R705" i="1"/>
  <c r="R865" i="1"/>
  <c r="R1002" i="1"/>
  <c r="R1137" i="1"/>
  <c r="R1158" i="1"/>
  <c r="R1281" i="1"/>
  <c r="R1302" i="1"/>
  <c r="R1419" i="1"/>
  <c r="R150" i="1"/>
  <c r="R134" i="1"/>
  <c r="R122" i="1"/>
  <c r="R129" i="1"/>
  <c r="R126" i="1"/>
  <c r="R133" i="1"/>
  <c r="R155" i="1"/>
  <c r="R139" i="1"/>
  <c r="R123" i="1"/>
  <c r="R107" i="1"/>
  <c r="R140" i="1"/>
  <c r="R124" i="1"/>
  <c r="R108" i="1"/>
  <c r="R780" i="1"/>
  <c r="R817" i="1"/>
  <c r="R813" i="1"/>
  <c r="R815" i="1"/>
  <c r="R793" i="1"/>
  <c r="R811" i="1"/>
  <c r="R789" i="1"/>
  <c r="R806" i="1"/>
  <c r="R790" i="1"/>
  <c r="R1361" i="1"/>
  <c r="R1339" i="1"/>
  <c r="R1349" i="1"/>
  <c r="R1358" i="1"/>
  <c r="R1337" i="1"/>
  <c r="R1351" i="1"/>
  <c r="R1360" i="1"/>
  <c r="R1344" i="1"/>
  <c r="R3597" i="1"/>
  <c r="R3649" i="1"/>
  <c r="R3641" i="1"/>
  <c r="R3621" i="1"/>
  <c r="R3642" i="1"/>
  <c r="R3626" i="1"/>
  <c r="R3610" i="1"/>
  <c r="R3648" i="1"/>
  <c r="R3632" i="1"/>
  <c r="R3616" i="1"/>
  <c r="R3600" i="1"/>
  <c r="R3639" i="1"/>
  <c r="R3623" i="1"/>
  <c r="R3607" i="1"/>
  <c r="R3837" i="1"/>
  <c r="R3809" i="1"/>
  <c r="R3845" i="1"/>
  <c r="R3846" i="1"/>
  <c r="R3830" i="1"/>
  <c r="R3814" i="1"/>
  <c r="R3844" i="1"/>
  <c r="R3828" i="1"/>
  <c r="R3812" i="1"/>
  <c r="R3843" i="1"/>
  <c r="R3827" i="1"/>
  <c r="R3811" i="1"/>
  <c r="R4151" i="1"/>
  <c r="R4175" i="1"/>
  <c r="R4172" i="1"/>
  <c r="R4156" i="1"/>
  <c r="R4140" i="1"/>
  <c r="R4166" i="1"/>
  <c r="R4150" i="1"/>
  <c r="R4173" i="1"/>
  <c r="R4157" i="1"/>
  <c r="R4141" i="1"/>
  <c r="R177" i="1"/>
  <c r="R162" i="1"/>
  <c r="R198" i="1"/>
  <c r="R190" i="1"/>
  <c r="R204" i="1"/>
  <c r="R173" i="1"/>
  <c r="R199" i="1"/>
  <c r="R183" i="1"/>
  <c r="R167" i="1"/>
  <c r="R196" i="1"/>
  <c r="R180" i="1"/>
  <c r="R164" i="1"/>
  <c r="R366" i="1"/>
  <c r="R347" i="1"/>
  <c r="R382" i="1"/>
  <c r="R377" i="1"/>
  <c r="R349" i="1"/>
  <c r="R358" i="1"/>
  <c r="R373" i="1"/>
  <c r="R351" i="1"/>
  <c r="R376" i="1"/>
  <c r="R360" i="1"/>
  <c r="R344" i="1"/>
  <c r="R513" i="1"/>
  <c r="R540" i="1"/>
  <c r="R536" i="1"/>
  <c r="R537" i="1"/>
  <c r="R516" i="1"/>
  <c r="R533" i="1"/>
  <c r="R512" i="1"/>
  <c r="R534" i="1"/>
  <c r="R518" i="1"/>
  <c r="R684" i="1"/>
  <c r="R680" i="1"/>
  <c r="R679" i="1"/>
  <c r="R675" i="1"/>
  <c r="R687" i="1"/>
  <c r="R665" i="1"/>
  <c r="R683" i="1"/>
  <c r="R698" i="1"/>
  <c r="R682" i="1"/>
  <c r="R666" i="1"/>
  <c r="R823" i="1"/>
  <c r="R819" i="1"/>
  <c r="R845" i="1"/>
  <c r="R847" i="1"/>
  <c r="R825" i="1"/>
  <c r="R843" i="1"/>
  <c r="R821" i="1"/>
  <c r="R842" i="1"/>
  <c r="R826" i="1"/>
  <c r="R986" i="1"/>
  <c r="R983" i="1"/>
  <c r="R982" i="1"/>
  <c r="R987" i="1"/>
  <c r="R992" i="1"/>
  <c r="R976" i="1"/>
  <c r="R997" i="1"/>
  <c r="R981" i="1"/>
  <c r="R965" i="1"/>
  <c r="R1115" i="1"/>
  <c r="R1130" i="1"/>
  <c r="R1109" i="1"/>
  <c r="R1123" i="1"/>
  <c r="R1102" i="1"/>
  <c r="R1117" i="1"/>
  <c r="R1128" i="1"/>
  <c r="R1112" i="1"/>
  <c r="R1265" i="1"/>
  <c r="R1243" i="1"/>
  <c r="R1253" i="1"/>
  <c r="R1262" i="1"/>
  <c r="R1241" i="1"/>
  <c r="R1255" i="1"/>
  <c r="R1264" i="1"/>
  <c r="R1248" i="1"/>
  <c r="R1393" i="1"/>
  <c r="R1371" i="1"/>
  <c r="R1381" i="1"/>
  <c r="R1390" i="1"/>
  <c r="R1369" i="1"/>
  <c r="R1383" i="1"/>
  <c r="R1392" i="1"/>
  <c r="R1376" i="1"/>
  <c r="R3661" i="1"/>
  <c r="R3665" i="1"/>
  <c r="R3657" i="1"/>
  <c r="R3653" i="1"/>
  <c r="R3694" i="1"/>
  <c r="R3678" i="1"/>
  <c r="R3662" i="1"/>
  <c r="R3700" i="1"/>
  <c r="R3684" i="1"/>
  <c r="R3668" i="1"/>
  <c r="R3652" i="1"/>
  <c r="R3695" i="1"/>
  <c r="R3679" i="1"/>
  <c r="R3663" i="1"/>
  <c r="R4043" i="1"/>
  <c r="R4023" i="1"/>
  <c r="R4031" i="1"/>
  <c r="R4044" i="1"/>
  <c r="R4028" i="1"/>
  <c r="R4054" i="1"/>
  <c r="R4038" i="1"/>
  <c r="R4022" i="1"/>
  <c r="R4045" i="1"/>
  <c r="R4029" i="1"/>
  <c r="R492" i="1"/>
  <c r="R499" i="1"/>
  <c r="R497" i="1"/>
  <c r="R493" i="1"/>
  <c r="R500" i="1"/>
  <c r="R479" i="1"/>
  <c r="R496" i="1"/>
  <c r="R475" i="1"/>
  <c r="R494" i="1"/>
  <c r="R478" i="1"/>
  <c r="R1233" i="1"/>
  <c r="R1211" i="1"/>
  <c r="R1226" i="1"/>
  <c r="R1235" i="1"/>
  <c r="R1214" i="1"/>
  <c r="R1229" i="1"/>
  <c r="R1207" i="1"/>
  <c r="R1224" i="1"/>
  <c r="R1208" i="1"/>
  <c r="R4202" i="1"/>
  <c r="R4217" i="1"/>
  <c r="R4195" i="1"/>
  <c r="R4210" i="1"/>
  <c r="R4189" i="1"/>
  <c r="R4203" i="1"/>
  <c r="R4216" i="1"/>
  <c r="R4200" i="1"/>
  <c r="R4184" i="1"/>
  <c r="R4181" i="1"/>
  <c r="R631" i="1"/>
  <c r="R627" i="1"/>
  <c r="R653" i="1"/>
  <c r="R655" i="1"/>
  <c r="R633" i="1"/>
  <c r="R651" i="1"/>
  <c r="R629" i="1"/>
  <c r="R650" i="1"/>
  <c r="R634" i="1"/>
  <c r="R3885" i="1"/>
  <c r="R3897" i="1"/>
  <c r="R3877" i="1"/>
  <c r="R3890" i="1"/>
  <c r="R3874" i="1"/>
  <c r="R3858" i="1"/>
  <c r="R3888" i="1"/>
  <c r="R3872" i="1"/>
  <c r="R3856" i="1"/>
  <c r="R3887" i="1"/>
  <c r="R3871" i="1"/>
  <c r="R3855" i="1"/>
  <c r="R65" i="1"/>
  <c r="R97" i="1"/>
  <c r="R86" i="1"/>
  <c r="R94" i="1"/>
  <c r="R101" i="1"/>
  <c r="R69" i="1"/>
  <c r="R95" i="1"/>
  <c r="R79" i="1"/>
  <c r="R63" i="1"/>
  <c r="R96" i="1"/>
  <c r="R80" i="1"/>
  <c r="R64" i="1"/>
  <c r="R281" i="1"/>
  <c r="R262" i="1"/>
  <c r="R297" i="1"/>
  <c r="R299" i="1"/>
  <c r="R270" i="1"/>
  <c r="R286" i="1"/>
  <c r="R258" i="1"/>
  <c r="R282" i="1"/>
  <c r="R261" i="1"/>
  <c r="R288" i="1"/>
  <c r="R272" i="1"/>
  <c r="R256" i="1"/>
  <c r="R467" i="1"/>
  <c r="R465" i="1"/>
  <c r="R461" i="1"/>
  <c r="R463" i="1"/>
  <c r="R441" i="1"/>
  <c r="R459" i="1"/>
  <c r="R435" i="1"/>
  <c r="R458" i="1"/>
  <c r="R442" i="1"/>
  <c r="R436" i="1"/>
  <c r="R609" i="1"/>
  <c r="R605" i="1"/>
  <c r="R604" i="1"/>
  <c r="R600" i="1"/>
  <c r="R612" i="1"/>
  <c r="R591" i="1"/>
  <c r="R608" i="1"/>
  <c r="R587" i="1"/>
  <c r="R610" i="1"/>
  <c r="R594" i="1"/>
  <c r="R759" i="1"/>
  <c r="R755" i="1"/>
  <c r="R753" i="1"/>
  <c r="R749" i="1"/>
  <c r="R761" i="1"/>
  <c r="R740" i="1"/>
  <c r="R763" i="1"/>
  <c r="R741" i="1"/>
  <c r="R766" i="1"/>
  <c r="R750" i="1"/>
  <c r="R914" i="1"/>
  <c r="R919" i="1"/>
  <c r="R926" i="1"/>
  <c r="R894" i="1"/>
  <c r="R899" i="1"/>
  <c r="R912" i="1"/>
  <c r="R896" i="1"/>
  <c r="R917" i="1"/>
  <c r="R901" i="1"/>
  <c r="R1062" i="1"/>
  <c r="R1041" i="1"/>
  <c r="R1055" i="1"/>
  <c r="R1065" i="1"/>
  <c r="R1043" i="1"/>
  <c r="R1053" i="1"/>
  <c r="R1064" i="1"/>
  <c r="R1048" i="1"/>
  <c r="R1032" i="1"/>
  <c r="R1195" i="1"/>
  <c r="R1174" i="1"/>
  <c r="R1189" i="1"/>
  <c r="R1203" i="1"/>
  <c r="R1182" i="1"/>
  <c r="R1191" i="1"/>
  <c r="R1204" i="1"/>
  <c r="R1188" i="1"/>
  <c r="R1172" i="1"/>
  <c r="R1318" i="1"/>
  <c r="R1327" i="1"/>
  <c r="R1306" i="1"/>
  <c r="R1315" i="1"/>
  <c r="R1330" i="1"/>
  <c r="R1309" i="1"/>
  <c r="R1320" i="1"/>
  <c r="R1304" i="1"/>
  <c r="R1446" i="1"/>
  <c r="R1455" i="1"/>
  <c r="R1434" i="1"/>
  <c r="R1443" i="1"/>
  <c r="R1458" i="1"/>
  <c r="R1437" i="1"/>
  <c r="R1448" i="1"/>
  <c r="R1432" i="1"/>
  <c r="R3793" i="1"/>
  <c r="R3785" i="1"/>
  <c r="R3765" i="1"/>
  <c r="R3794" i="1"/>
  <c r="R3778" i="1"/>
  <c r="R3762" i="1"/>
  <c r="R3792" i="1"/>
  <c r="R3776" i="1"/>
  <c r="R3760" i="1"/>
  <c r="R3795" i="1"/>
  <c r="R3779" i="1"/>
  <c r="R3763" i="1"/>
  <c r="R3975" i="1"/>
  <c r="R3955" i="1"/>
  <c r="R3972" i="1"/>
  <c r="R3956" i="1"/>
  <c r="R3940" i="1"/>
  <c r="R3966" i="1"/>
  <c r="R3950" i="1"/>
  <c r="R3973" i="1"/>
  <c r="R3957" i="1"/>
  <c r="R3941" i="1"/>
  <c r="R4135" i="1"/>
  <c r="R4115" i="1"/>
  <c r="R4132" i="1"/>
  <c r="R4116" i="1"/>
  <c r="R4100" i="1"/>
  <c r="R4126" i="1"/>
  <c r="R4110" i="1"/>
  <c r="R4133" i="1"/>
  <c r="R4117" i="1"/>
  <c r="R4101" i="1"/>
  <c r="R6" i="1"/>
  <c r="R2" i="1"/>
  <c r="R10" i="1"/>
  <c r="R50" i="1"/>
  <c r="R9" i="1"/>
  <c r="R29" i="1"/>
  <c r="R55" i="1"/>
  <c r="R39" i="1"/>
  <c r="R23" i="1"/>
  <c r="R7" i="1"/>
  <c r="R44" i="1"/>
  <c r="R28" i="1"/>
  <c r="R12" i="1"/>
  <c r="R323" i="1"/>
  <c r="R305" i="1"/>
  <c r="R339" i="1"/>
  <c r="R334" i="1"/>
  <c r="R306" i="1"/>
  <c r="R322" i="1"/>
  <c r="R341" i="1"/>
  <c r="R319" i="1"/>
  <c r="R340" i="1"/>
  <c r="R324" i="1"/>
  <c r="R308" i="1"/>
  <c r="R954" i="1"/>
  <c r="R959" i="1"/>
  <c r="R958" i="1"/>
  <c r="R963" i="1"/>
  <c r="R931" i="1"/>
  <c r="R948" i="1"/>
  <c r="R932" i="1"/>
  <c r="R953" i="1"/>
  <c r="R937" i="1"/>
  <c r="R1094" i="1"/>
  <c r="R1073" i="1"/>
  <c r="R1082" i="1"/>
  <c r="R1091" i="1"/>
  <c r="R1070" i="1"/>
  <c r="R1085" i="1"/>
  <c r="R1100" i="1"/>
  <c r="R1084" i="1"/>
  <c r="R1068" i="1"/>
  <c r="R3991" i="1"/>
  <c r="R4015" i="1"/>
  <c r="R4012" i="1"/>
  <c r="R3996" i="1"/>
  <c r="R3980" i="1"/>
  <c r="R4006" i="1"/>
  <c r="R3990" i="1"/>
  <c r="R4013" i="1"/>
  <c r="R3997" i="1"/>
  <c r="R3981" i="1"/>
</calcChain>
</file>

<file path=xl/sharedStrings.xml><?xml version="1.0" encoding="utf-8"?>
<sst xmlns="http://schemas.openxmlformats.org/spreadsheetml/2006/main" count="19615" uniqueCount="98">
  <si>
    <t>TRADE DATE</t>
  </si>
  <si>
    <t>HUB</t>
  </si>
  <si>
    <t>PRODUCT</t>
  </si>
  <si>
    <t>STRIP</t>
  </si>
  <si>
    <t>CONTRACT</t>
  </si>
  <si>
    <t>CONTRACT TYPE</t>
  </si>
  <si>
    <t>STRIKE</t>
  </si>
  <si>
    <t>SETTLEMENT PRICE</t>
  </si>
  <si>
    <t>NET CHANGE</t>
  </si>
  <si>
    <t>EXPIRATION DATE</t>
  </si>
  <si>
    <t>PRODUCT_ID</t>
  </si>
  <si>
    <t>OPTION_VOLATILITY</t>
  </si>
  <si>
    <t>DELTA_FACTOR</t>
  </si>
  <si>
    <t>Brent CSO 1 Month</t>
  </si>
  <si>
    <t>Crude Futures</t>
  </si>
  <si>
    <t>BRM</t>
  </si>
  <si>
    <t>C</t>
  </si>
  <si>
    <t>8/30/2017</t>
  </si>
  <si>
    <t>P</t>
  </si>
  <si>
    <t>8/30/2018</t>
  </si>
  <si>
    <t>8/29/2019</t>
  </si>
  <si>
    <t>9/29/2016</t>
  </si>
  <si>
    <t>9/28/2017</t>
  </si>
  <si>
    <t>9/27/2018</t>
  </si>
  <si>
    <t>9/27/2019</t>
  </si>
  <si>
    <t>11/29/2016</t>
  </si>
  <si>
    <t>11/29/2017</t>
  </si>
  <si>
    <t>11/29/2018</t>
  </si>
  <si>
    <t>10/28/2016</t>
  </si>
  <si>
    <t>10/30/2017</t>
  </si>
  <si>
    <t>10/30/2018</t>
  </si>
  <si>
    <t>10/30/2019</t>
  </si>
  <si>
    <t>12/28/2016</t>
  </si>
  <si>
    <t>12/27/2017</t>
  </si>
  <si>
    <t>12/27/2018</t>
  </si>
  <si>
    <t>1/30/2017</t>
  </si>
  <si>
    <t>1/30/2018</t>
  </si>
  <si>
    <t>1/30/2019</t>
  </si>
  <si>
    <t>2/27/2017</t>
  </si>
  <si>
    <t>2/27/2018</t>
  </si>
  <si>
    <t>2/27/2019</t>
  </si>
  <si>
    <t>3/30/2017</t>
  </si>
  <si>
    <t>3/28/2018</t>
  </si>
  <si>
    <t>3/28/2019</t>
  </si>
  <si>
    <t>4/27/2017</t>
  </si>
  <si>
    <t>4/27/2018</t>
  </si>
  <si>
    <t>4/29/2019</t>
  </si>
  <si>
    <t>5/30/2017</t>
  </si>
  <si>
    <t>5/30/2018</t>
  </si>
  <si>
    <t>5/30/2019</t>
  </si>
  <si>
    <t>6/29/2017</t>
  </si>
  <si>
    <t>6/28/2018</t>
  </si>
  <si>
    <t>6/27/2019</t>
  </si>
  <si>
    <t>7/28/2017</t>
  </si>
  <si>
    <t>7/30/2018</t>
  </si>
  <si>
    <t>7/30/2019</t>
  </si>
  <si>
    <t>LS GO CSO 1 Month</t>
  </si>
  <si>
    <t>Gasoil Futures</t>
  </si>
  <si>
    <t>UUM</t>
  </si>
  <si>
    <t>WTI CSO 1 Month</t>
  </si>
  <si>
    <t>TIA</t>
  </si>
  <si>
    <t>9/19/2016</t>
  </si>
  <si>
    <t>9/19/2017</t>
  </si>
  <si>
    <t>10/19/2016</t>
  </si>
  <si>
    <t>10/19/2017</t>
  </si>
  <si>
    <t>12/19/2016</t>
  </si>
  <si>
    <t>11/18/2016</t>
  </si>
  <si>
    <t>11/17/2017</t>
  </si>
  <si>
    <t>1/19/2017</t>
  </si>
  <si>
    <t>2/17/2017</t>
  </si>
  <si>
    <t>3/20/2017</t>
  </si>
  <si>
    <t>4/19/2017</t>
  </si>
  <si>
    <t>5/19/2017</t>
  </si>
  <si>
    <t>6/19/2017</t>
  </si>
  <si>
    <t>7/19/2017</t>
  </si>
  <si>
    <t>8/21/2017</t>
  </si>
  <si>
    <t>F</t>
  </si>
  <si>
    <t>underlying settle</t>
  </si>
  <si>
    <t>expiry date</t>
  </si>
  <si>
    <t>strip date</t>
  </si>
  <si>
    <t>my valuation</t>
  </si>
  <si>
    <t>diff my vs ICE</t>
  </si>
  <si>
    <t>Gamma</t>
  </si>
  <si>
    <t>Vega</t>
  </si>
  <si>
    <t>Theta</t>
  </si>
  <si>
    <t>Delta</t>
  </si>
  <si>
    <t>Price</t>
  </si>
  <si>
    <t>Strike</t>
  </si>
  <si>
    <t>vol</t>
  </si>
  <si>
    <t>Ir</t>
  </si>
  <si>
    <t>Time</t>
  </si>
  <si>
    <t>OptPrice</t>
  </si>
  <si>
    <t>T</t>
  </si>
  <si>
    <t>T+1</t>
  </si>
  <si>
    <t>Maturity</t>
  </si>
  <si>
    <t>Vol</t>
  </si>
  <si>
    <t>Start Date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</si>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</sst>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0.000"/>
    <numFmt numFmtId="165" formatCode="0.000000000000000000"/>
    <numFmt numFmtId="166" formatCode="0.0000"/>
    <numFmt numFmtId="167" formatCode="_-* #,##0.0000000_-;\-* #,##0.0000000_-;_-* &quot;-&quot;??_-;_-@_-"/>
    <numFmt numFmtId="168" formatCode="0.00000000"/>
  </numFmts>
  <fonts count="4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1" fillId="2" borderId="0" xfId="0" applyFont="1" applyFill="1"/>
    <xf numFmtId="14" fontId="1" fillId="2" borderId="0" xfId="0" applyNumberFormat="1" applyFont="1" applyFill="1"/>
    <xf numFmtId="0" fontId="1" fillId="3" borderId="0" xfId="0" applyFont="1" applyFill="1"/>
    <xf numFmtId="14" fontId="1" fillId="3" borderId="0" xfId="0" applyNumberFormat="1" applyFont="1" applyFill="1"/>
    <xf numFmtId="4" fontId="1" fillId="0" borderId="0" xfId="0" applyNumberFormat="1" applyFont="1"/>
    <xf numFmtId="164" fontId="1" fillId="0" borderId="0" xfId="0" applyNumberFormat="1" applyFont="1"/>
    <xf numFmtId="164" fontId="1" fillId="0" borderId="0" xfId="1" applyNumberFormat="1" applyFont="1"/>
    <xf numFmtId="14" fontId="1" fillId="4" borderId="0" xfId="0" applyNumberFormat="1" applyFont="1" applyFill="1"/>
    <xf numFmtId="0" fontId="1" fillId="4" borderId="0" xfId="0" applyFont="1" applyFill="1"/>
    <xf numFmtId="165" fontId="1" fillId="0" borderId="0" xfId="0" applyNumberFormat="1" applyFont="1"/>
    <xf numFmtId="14" fontId="0" fillId="0" borderId="0" xfId="0" applyNumberFormat="1"/>
    <xf numFmtId="0" fontId="3" fillId="0" borderId="0" xfId="0" applyFont="1"/>
    <xf numFmtId="167" fontId="3" fillId="0" borderId="0" xfId="1" applyNumberFormat="1" applyFont="1"/>
    <xf numFmtId="0" fontId="0" fillId="0" borderId="0" xfId="0" applyFont="1"/>
    <xf numFmtId="0" fontId="3" fillId="0" borderId="1" xfId="0" applyFont="1" applyBorder="1"/>
    <xf numFmtId="0" fontId="0" fillId="0" borderId="1" xfId="0" applyBorder="1"/>
    <xf numFmtId="166" fontId="0" fillId="0" borderId="1" xfId="0" applyNumberFormat="1" applyBorder="1"/>
    <xf numFmtId="168" fontId="0" fillId="0" borderId="1" xfId="0" applyNumberFormat="1" applyBorder="1"/>
    <xf numFmtId="14" fontId="0" fillId="0" borderId="1" xfId="0" applyNumberFormat="1" applyBorder="1"/>
    <xf numFmtId="2" fontId="0" fillId="0" borderId="0" xfId="0" applyNumberFormat="1"/>
    <xf numFmtId="17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259"/>
  <sheetViews>
    <sheetView topLeftCell="D1" workbookViewId="0">
      <pane ySplit="1" topLeftCell="A119" activePane="bottomLeft" state="frozen"/>
      <selection pane="bottomLeft" activeCell="P148" sqref="P148"/>
    </sheetView>
  </sheetViews>
  <sheetFormatPr defaultColWidth="8.85546875" defaultRowHeight="11.25" x14ac:dyDescent="0.2"/>
  <cols>
    <col min="1" max="1" width="11" style="1" bestFit="1" customWidth="1"/>
    <col min="2" max="2" width="13.5703125" style="1" bestFit="1" customWidth="1"/>
    <col min="3" max="3" width="10.7109375" style="1" bestFit="1" customWidth="1"/>
    <col min="4" max="6" width="8.85546875" style="1"/>
    <col min="7" max="7" width="10.28515625" style="1" bestFit="1" customWidth="1"/>
    <col min="8" max="9" width="8.85546875" style="1"/>
    <col min="10" max="10" width="0" style="1" hidden="1" customWidth="1"/>
    <col min="11" max="11" width="8.85546875" style="1"/>
    <col min="12" max="12" width="0" style="1" hidden="1" customWidth="1"/>
    <col min="13" max="13" width="16.28515625" style="1" bestFit="1" customWidth="1"/>
    <col min="14" max="14" width="13" style="1" bestFit="1" customWidth="1"/>
    <col min="15" max="16" width="8.85546875" style="1"/>
    <col min="17" max="17" width="8.85546875" style="7"/>
    <col min="18" max="18" width="9.140625" style="8" bestFit="1" customWidth="1"/>
    <col min="19" max="19" width="8.85546875" style="1"/>
    <col min="20" max="20" width="18.85546875" style="1" bestFit="1" customWidth="1"/>
    <col min="21" max="16384" width="8.85546875" style="1"/>
  </cols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79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77</v>
      </c>
      <c r="P1" s="1" t="s">
        <v>78</v>
      </c>
      <c r="Q1" s="7" t="s">
        <v>80</v>
      </c>
      <c r="R1" s="8" t="s">
        <v>81</v>
      </c>
    </row>
    <row r="2" spans="1:18" x14ac:dyDescent="0.2">
      <c r="A2" s="2">
        <v>42622</v>
      </c>
      <c r="B2" s="1" t="s">
        <v>13</v>
      </c>
      <c r="C2" s="1" t="s">
        <v>14</v>
      </c>
      <c r="D2" s="2">
        <v>42380</v>
      </c>
      <c r="E2" s="2">
        <f t="shared" ref="E2:E65" si="0">DATE(YEAR(D2),DAY(D2),MONTH(D2))</f>
        <v>42675</v>
      </c>
      <c r="F2" s="1" t="s">
        <v>15</v>
      </c>
      <c r="G2" s="1" t="s">
        <v>16</v>
      </c>
      <c r="H2" s="1">
        <v>-4</v>
      </c>
      <c r="I2" s="1">
        <v>3.54</v>
      </c>
      <c r="J2" s="1">
        <v>-0.02</v>
      </c>
      <c r="K2" s="1" t="s">
        <v>21</v>
      </c>
      <c r="L2" s="1">
        <v>2389</v>
      </c>
      <c r="M2" s="1">
        <v>2.27</v>
      </c>
      <c r="N2" s="1">
        <v>0.40421000000000001</v>
      </c>
      <c r="O2" s="1">
        <f>VLOOKUP(D2,underlying!$D$2:$H$75,5,FALSE)</f>
        <v>-0.46</v>
      </c>
      <c r="P2" s="2">
        <f>VLOOKUP(D2,underlying!$D$2:$L$39,9,FALSE)</f>
        <v>42642</v>
      </c>
      <c r="Q2" s="7">
        <f>IF(G2="C",NormalCallSprd(O2,H2,M2,(P2-A2)/365), NormalPutSprd(O2,H2,M2,(P2-A2)/365))</f>
        <v>3.540000000001033</v>
      </c>
      <c r="R2" s="9">
        <f>ABS(Q2-I2)</f>
        <v>1.0329515021112456E-12</v>
      </c>
    </row>
    <row r="3" spans="1:18" x14ac:dyDescent="0.2">
      <c r="A3" s="2">
        <v>42622</v>
      </c>
      <c r="B3" s="1" t="s">
        <v>13</v>
      </c>
      <c r="C3" s="1" t="s">
        <v>14</v>
      </c>
      <c r="D3" s="2">
        <v>42380</v>
      </c>
      <c r="E3" s="2">
        <f t="shared" si="0"/>
        <v>42675</v>
      </c>
      <c r="F3" s="1" t="s">
        <v>15</v>
      </c>
      <c r="G3" s="1" t="s">
        <v>18</v>
      </c>
      <c r="H3" s="1">
        <v>-4</v>
      </c>
      <c r="I3" s="1">
        <v>0.01</v>
      </c>
      <c r="J3" s="1">
        <v>0</v>
      </c>
      <c r="K3" s="1" t="s">
        <v>21</v>
      </c>
      <c r="L3" s="1">
        <v>2389</v>
      </c>
      <c r="M3" s="1">
        <v>2.27</v>
      </c>
      <c r="N3" s="1">
        <v>0.43708999999999998</v>
      </c>
      <c r="O3" s="1">
        <f>VLOOKUP(D3,underlying!$D$2:$H$75,5,FALSE)</f>
        <v>-0.46</v>
      </c>
      <c r="P3" s="2">
        <f>VLOOKUP(D3,underlying!$D$2:$L$39,9,FALSE)</f>
        <v>42642</v>
      </c>
      <c r="Q3" s="7">
        <f>IF(G3="C",NormalCallSprd(O3,H3,M3,(P3-A3)/365), NormalPutSprd(O3,H3,M3,(P3-A3)/365))</f>
        <v>1.0329791014465973E-12</v>
      </c>
      <c r="R3" s="9">
        <f t="shared" ref="R3:R66" si="1">ABS(Q3-I3)</f>
        <v>9.999999998967021E-3</v>
      </c>
    </row>
    <row r="4" spans="1:18" x14ac:dyDescent="0.2">
      <c r="A4" s="2">
        <v>42622</v>
      </c>
      <c r="B4" s="1" t="s">
        <v>13</v>
      </c>
      <c r="C4" s="1" t="s">
        <v>14</v>
      </c>
      <c r="D4" s="2">
        <v>42380</v>
      </c>
      <c r="E4" s="2">
        <f t="shared" si="0"/>
        <v>42675</v>
      </c>
      <c r="F4" s="1" t="s">
        <v>15</v>
      </c>
      <c r="G4" s="1" t="s">
        <v>16</v>
      </c>
      <c r="H4" s="1">
        <v>-3</v>
      </c>
      <c r="I4" s="1">
        <v>2.54</v>
      </c>
      <c r="J4" s="1">
        <v>-0.02</v>
      </c>
      <c r="K4" s="1" t="s">
        <v>21</v>
      </c>
      <c r="L4" s="1">
        <v>2389</v>
      </c>
      <c r="M4" s="1">
        <v>1.92</v>
      </c>
      <c r="N4" s="1">
        <v>0.47039999999999998</v>
      </c>
      <c r="O4" s="1">
        <f>VLOOKUP(D4,underlying!$D$2:$H$75,5,FALSE)</f>
        <v>-0.46</v>
      </c>
      <c r="P4" s="2">
        <f>VLOOKUP(D4,underlying!$D$2:$L$39,9,FALSE)</f>
        <v>42642</v>
      </c>
      <c r="Q4" s="7">
        <f>IF(G4="C",NormalCallSprd(O4,H4,M4,(P4-A4)/365), NormalPutSprd(O4,H4,M4,(P4-A4)/365))</f>
        <v>2.5400000005979111</v>
      </c>
      <c r="R4" s="9">
        <f t="shared" si="1"/>
        <v>5.979110540010879E-10</v>
      </c>
    </row>
    <row r="5" spans="1:18" x14ac:dyDescent="0.2">
      <c r="A5" s="2">
        <v>42622</v>
      </c>
      <c r="B5" s="1" t="s">
        <v>13</v>
      </c>
      <c r="C5" s="1" t="s">
        <v>14</v>
      </c>
      <c r="D5" s="2">
        <v>42380</v>
      </c>
      <c r="E5" s="2">
        <f t="shared" si="0"/>
        <v>42675</v>
      </c>
      <c r="F5" s="1" t="s">
        <v>15</v>
      </c>
      <c r="G5" s="1" t="s">
        <v>18</v>
      </c>
      <c r="H5" s="1">
        <v>-3</v>
      </c>
      <c r="I5" s="1">
        <v>0.01</v>
      </c>
      <c r="J5" s="1">
        <v>0</v>
      </c>
      <c r="K5" s="1" t="s">
        <v>21</v>
      </c>
      <c r="L5" s="1">
        <v>2389</v>
      </c>
      <c r="M5" s="1">
        <v>1.92</v>
      </c>
      <c r="N5" s="1">
        <v>0.50390000000000001</v>
      </c>
      <c r="O5" s="1">
        <f>VLOOKUP(D5,underlying!$D$2:$H$75,5,FALSE)</f>
        <v>-0.46</v>
      </c>
      <c r="P5" s="2">
        <f>VLOOKUP(D5,underlying!$D$2:$L$39,9,FALSE)</f>
        <v>42642</v>
      </c>
      <c r="Q5" s="7">
        <f>IF(G5="C",NormalCallSprd(O5,H5,M5,(P5-A5)/365), NormalPutSprd(O5,H5,M5,(P5-A5)/365))</f>
        <v>5.9791123667352687E-10</v>
      </c>
      <c r="R5" s="9">
        <f t="shared" si="1"/>
        <v>9.9999994020887641E-3</v>
      </c>
    </row>
    <row r="6" spans="1:18" x14ac:dyDescent="0.2">
      <c r="A6" s="2">
        <v>42622</v>
      </c>
      <c r="B6" s="1" t="s">
        <v>13</v>
      </c>
      <c r="C6" s="1" t="s">
        <v>14</v>
      </c>
      <c r="D6" s="2">
        <v>42380</v>
      </c>
      <c r="E6" s="2">
        <f t="shared" si="0"/>
        <v>42675</v>
      </c>
      <c r="F6" s="1" t="s">
        <v>15</v>
      </c>
      <c r="G6" s="1" t="s">
        <v>16</v>
      </c>
      <c r="H6" s="1">
        <v>-2</v>
      </c>
      <c r="I6" s="1">
        <v>1.54</v>
      </c>
      <c r="J6" s="1">
        <v>-0.02</v>
      </c>
      <c r="K6" s="1" t="s">
        <v>21</v>
      </c>
      <c r="L6" s="1">
        <v>2389</v>
      </c>
      <c r="M6" s="1">
        <v>1.43</v>
      </c>
      <c r="N6" s="1">
        <v>0.53669999999999995</v>
      </c>
      <c r="O6" s="1">
        <f>VLOOKUP(D6,underlying!$D$2:$H$75,5,FALSE)</f>
        <v>-0.46</v>
      </c>
      <c r="P6" s="2">
        <f>VLOOKUP(D6,underlying!$D$2:$L$39,9,FALSE)</f>
        <v>42642</v>
      </c>
      <c r="Q6" s="7">
        <f>IF(G6="C",NormalCallSprd(O6,H6,M6,(P6-A6)/365), NormalPutSprd(O6,H6,M6,(P6-A6)/365))</f>
        <v>1.5400001413457081</v>
      </c>
      <c r="R6" s="9">
        <f t="shared" si="1"/>
        <v>1.4134570802681878E-7</v>
      </c>
    </row>
    <row r="7" spans="1:18" x14ac:dyDescent="0.2">
      <c r="A7" s="2">
        <v>42622</v>
      </c>
      <c r="B7" s="1" t="s">
        <v>13</v>
      </c>
      <c r="C7" s="1" t="s">
        <v>14</v>
      </c>
      <c r="D7" s="2">
        <v>42380</v>
      </c>
      <c r="E7" s="2">
        <f t="shared" si="0"/>
        <v>42675</v>
      </c>
      <c r="F7" s="1" t="s">
        <v>15</v>
      </c>
      <c r="G7" s="1" t="s">
        <v>18</v>
      </c>
      <c r="H7" s="1">
        <v>-2</v>
      </c>
      <c r="I7" s="1">
        <v>0.01</v>
      </c>
      <c r="J7" s="1">
        <v>0</v>
      </c>
      <c r="K7" s="1" t="s">
        <v>21</v>
      </c>
      <c r="L7" s="1">
        <v>2389</v>
      </c>
      <c r="M7" s="1">
        <v>1.43</v>
      </c>
      <c r="N7" s="1">
        <v>0.56933</v>
      </c>
      <c r="O7" s="1">
        <f>VLOOKUP(D7,underlying!$D$2:$H$75,5,FALSE)</f>
        <v>-0.46</v>
      </c>
      <c r="P7" s="2">
        <f>VLOOKUP(D7,underlying!$D$2:$L$39,9,FALSE)</f>
        <v>42642</v>
      </c>
      <c r="Q7" s="7">
        <f>IF(G7="C",NormalCallSprd(O7,H7,M7,(P7-A7)/365), NormalPutSprd(O7,H7,M7,(P7-A7)/365))</f>
        <v>1.4134570807533593E-7</v>
      </c>
      <c r="R7" s="9">
        <f t="shared" si="1"/>
        <v>9.9998586542919248E-3</v>
      </c>
    </row>
    <row r="8" spans="1:18" x14ac:dyDescent="0.2">
      <c r="A8" s="2">
        <v>42622</v>
      </c>
      <c r="B8" s="1" t="s">
        <v>13</v>
      </c>
      <c r="C8" s="1" t="s">
        <v>14</v>
      </c>
      <c r="D8" s="2">
        <v>42380</v>
      </c>
      <c r="E8" s="2">
        <f t="shared" si="0"/>
        <v>42675</v>
      </c>
      <c r="F8" s="1" t="s">
        <v>15</v>
      </c>
      <c r="G8" s="1" t="s">
        <v>16</v>
      </c>
      <c r="H8" s="1">
        <v>-1.25</v>
      </c>
      <c r="I8" s="1">
        <v>0.79</v>
      </c>
      <c r="J8" s="1">
        <v>-0.02</v>
      </c>
      <c r="K8" s="1" t="s">
        <v>21</v>
      </c>
      <c r="L8" s="1">
        <v>2389</v>
      </c>
      <c r="M8" s="1">
        <v>1.06</v>
      </c>
      <c r="N8" s="1">
        <v>0.59982999999999997</v>
      </c>
      <c r="O8" s="1">
        <f>VLOOKUP(D8,underlying!$D$2:$H$75,5,FALSE)</f>
        <v>-0.46</v>
      </c>
      <c r="P8" s="2">
        <f>VLOOKUP(D8,underlying!$D$2:$L$39,9,FALSE)</f>
        <v>42642</v>
      </c>
      <c r="Q8" s="7">
        <f>IF(G8="C",NormalCallSprd(O8,H8,M8,(P8-A8)/365), NormalPutSprd(O8,H8,M8,(P8-A8)/365))</f>
        <v>0.79004879672131645</v>
      </c>
      <c r="R8" s="9">
        <f t="shared" si="1"/>
        <v>4.8796721316413105E-5</v>
      </c>
    </row>
    <row r="9" spans="1:18" x14ac:dyDescent="0.2">
      <c r="A9" s="2">
        <v>42622</v>
      </c>
      <c r="B9" s="1" t="s">
        <v>13</v>
      </c>
      <c r="C9" s="1" t="s">
        <v>14</v>
      </c>
      <c r="D9" s="2">
        <v>42380</v>
      </c>
      <c r="E9" s="2">
        <f t="shared" si="0"/>
        <v>42675</v>
      </c>
      <c r="F9" s="1" t="s">
        <v>15</v>
      </c>
      <c r="G9" s="1" t="s">
        <v>18</v>
      </c>
      <c r="H9" s="1">
        <v>-1.25</v>
      </c>
      <c r="I9" s="1">
        <v>0.01</v>
      </c>
      <c r="J9" s="1">
        <v>0</v>
      </c>
      <c r="K9" s="1" t="s">
        <v>21</v>
      </c>
      <c r="L9" s="1">
        <v>2389</v>
      </c>
      <c r="M9" s="1">
        <v>1.06</v>
      </c>
      <c r="N9" s="1">
        <v>0.63080999999999998</v>
      </c>
      <c r="O9" s="1">
        <f>VLOOKUP(D9,underlying!$D$2:$H$75,5,FALSE)</f>
        <v>-0.46</v>
      </c>
      <c r="P9" s="2">
        <f>VLOOKUP(D9,underlying!$D$2:$L$39,9,FALSE)</f>
        <v>42642</v>
      </c>
      <c r="Q9" s="7">
        <f>IF(G9="C",NormalCallSprd(O9,H9,M9,(P9-A9)/365), NormalPutSprd(O9,H9,M9,(P9-A9)/365))</f>
        <v>4.8796721316552134E-5</v>
      </c>
      <c r="R9" s="9">
        <f t="shared" si="1"/>
        <v>9.9512032786834483E-3</v>
      </c>
    </row>
    <row r="10" spans="1:18" x14ac:dyDescent="0.2">
      <c r="A10" s="2">
        <v>42622</v>
      </c>
      <c r="B10" s="1" t="s">
        <v>13</v>
      </c>
      <c r="C10" s="1" t="s">
        <v>14</v>
      </c>
      <c r="D10" s="2">
        <v>42380</v>
      </c>
      <c r="E10" s="2">
        <f t="shared" si="0"/>
        <v>42675</v>
      </c>
      <c r="F10" s="1" t="s">
        <v>15</v>
      </c>
      <c r="G10" s="1" t="s">
        <v>16</v>
      </c>
      <c r="H10" s="1">
        <v>-1.1499999999999999</v>
      </c>
      <c r="I10" s="1">
        <v>0.69</v>
      </c>
      <c r="J10" s="1">
        <v>-0.02</v>
      </c>
      <c r="K10" s="1" t="s">
        <v>21</v>
      </c>
      <c r="L10" s="1">
        <v>2389</v>
      </c>
      <c r="M10" s="1">
        <v>1</v>
      </c>
      <c r="N10" s="1">
        <v>0.65849000000000002</v>
      </c>
      <c r="O10" s="1">
        <f>VLOOKUP(D10,underlying!$D$2:$H$75,5,FALSE)</f>
        <v>-0.46</v>
      </c>
      <c r="P10" s="2">
        <f>VLOOKUP(D10,underlying!$D$2:$L$39,9,FALSE)</f>
        <v>42642</v>
      </c>
      <c r="Q10" s="7">
        <f>IF(G10="C",NormalCallSprd(O10,H10,M10,(P10-A10)/365), NormalPutSprd(O10,H10,M10,(P10-A10)/365))</f>
        <v>0.69010748437327385</v>
      </c>
      <c r="R10" s="9">
        <f t="shared" si="1"/>
        <v>1.0748437327390281E-4</v>
      </c>
    </row>
    <row r="11" spans="1:18" x14ac:dyDescent="0.2">
      <c r="A11" s="2">
        <v>42622</v>
      </c>
      <c r="B11" s="1" t="s">
        <v>13</v>
      </c>
      <c r="C11" s="1" t="s">
        <v>14</v>
      </c>
      <c r="D11" s="2">
        <v>42380</v>
      </c>
      <c r="E11" s="2">
        <f t="shared" si="0"/>
        <v>42675</v>
      </c>
      <c r="F11" s="1" t="s">
        <v>15</v>
      </c>
      <c r="G11" s="1" t="s">
        <v>18</v>
      </c>
      <c r="H11" s="1">
        <v>-1.1499999999999999</v>
      </c>
      <c r="I11" s="1">
        <v>0.01</v>
      </c>
      <c r="J11" s="1">
        <v>0</v>
      </c>
      <c r="K11" s="1" t="s">
        <v>21</v>
      </c>
      <c r="L11" s="1">
        <v>2389</v>
      </c>
      <c r="M11" s="1">
        <v>1</v>
      </c>
      <c r="N11" s="1">
        <v>0.68722000000000005</v>
      </c>
      <c r="O11" s="1">
        <f>VLOOKUP(D11,underlying!$D$2:$H$75,5,FALSE)</f>
        <v>-0.46</v>
      </c>
      <c r="P11" s="2">
        <f>VLOOKUP(D11,underlying!$D$2:$L$39,9,FALSE)</f>
        <v>42642</v>
      </c>
      <c r="Q11" s="7">
        <f>IF(G11="C",NormalCallSprd(O11,H11,M11,(P11-A11)/365), NormalPutSprd(O11,H11,M11,(P11-A11)/365))</f>
        <v>1.0748437327390689E-4</v>
      </c>
      <c r="R11" s="9">
        <f t="shared" si="1"/>
        <v>9.8925156267260939E-3</v>
      </c>
    </row>
    <row r="12" spans="1:18" x14ac:dyDescent="0.2">
      <c r="A12" s="2">
        <v>42622</v>
      </c>
      <c r="B12" s="1" t="s">
        <v>13</v>
      </c>
      <c r="C12" s="1" t="s">
        <v>14</v>
      </c>
      <c r="D12" s="2">
        <v>42380</v>
      </c>
      <c r="E12" s="2">
        <f t="shared" si="0"/>
        <v>42675</v>
      </c>
      <c r="F12" s="1" t="s">
        <v>15</v>
      </c>
      <c r="G12" s="1" t="s">
        <v>16</v>
      </c>
      <c r="H12" s="1">
        <v>-1.1000000000000001</v>
      </c>
      <c r="I12" s="1">
        <v>0.64</v>
      </c>
      <c r="J12" s="1">
        <v>-0.02</v>
      </c>
      <c r="K12" s="1" t="s">
        <v>21</v>
      </c>
      <c r="L12" s="1">
        <v>2389</v>
      </c>
      <c r="M12" s="1">
        <v>0.99</v>
      </c>
      <c r="N12" s="1">
        <v>0.71177000000000001</v>
      </c>
      <c r="O12" s="1">
        <f>VLOOKUP(D12,underlying!$D$2:$H$75,5,FALSE)</f>
        <v>-0.46</v>
      </c>
      <c r="P12" s="2">
        <f>VLOOKUP(D12,underlying!$D$2:$L$39,9,FALSE)</f>
        <v>42642</v>
      </c>
      <c r="Q12" s="7">
        <f>IF(G12="C",NormalCallSprd(O12,H12,M12,(P12-A12)/365), NormalPutSprd(O12,H12,M12,(P12-A12)/365))</f>
        <v>0.64020044974199186</v>
      </c>
      <c r="R12" s="9">
        <f t="shared" si="1"/>
        <v>2.0044974199184828E-4</v>
      </c>
    </row>
    <row r="13" spans="1:18" x14ac:dyDescent="0.2">
      <c r="A13" s="2">
        <v>42622</v>
      </c>
      <c r="B13" s="1" t="s">
        <v>13</v>
      </c>
      <c r="C13" s="1" t="s">
        <v>14</v>
      </c>
      <c r="D13" s="2">
        <v>42380</v>
      </c>
      <c r="E13" s="2">
        <f t="shared" si="0"/>
        <v>42675</v>
      </c>
      <c r="F13" s="1" t="s">
        <v>15</v>
      </c>
      <c r="G13" s="1" t="s">
        <v>18</v>
      </c>
      <c r="H13" s="1">
        <v>-1.1000000000000001</v>
      </c>
      <c r="I13" s="1">
        <v>0.01</v>
      </c>
      <c r="J13" s="1">
        <v>0</v>
      </c>
      <c r="K13" s="1" t="s">
        <v>21</v>
      </c>
      <c r="L13" s="1">
        <v>2389</v>
      </c>
      <c r="M13" s="1">
        <v>0.99</v>
      </c>
      <c r="N13" s="1">
        <v>0.73785999999999996</v>
      </c>
      <c r="O13" s="1">
        <f>VLOOKUP(D13,underlying!$D$2:$H$75,5,FALSE)</f>
        <v>-0.46</v>
      </c>
      <c r="P13" s="2">
        <f>VLOOKUP(D13,underlying!$D$2:$L$39,9,FALSE)</f>
        <v>42642</v>
      </c>
      <c r="Q13" s="7">
        <f>IF(G13="C",NormalCallSprd(O13,H13,M13,(P13-A13)/365), NormalPutSprd(O13,H13,M13,(P13-A13)/365))</f>
        <v>2.0044974199183115E-4</v>
      </c>
      <c r="R13" s="9">
        <f t="shared" si="1"/>
        <v>9.7995502580081693E-3</v>
      </c>
    </row>
    <row r="14" spans="1:18" x14ac:dyDescent="0.2">
      <c r="A14" s="2">
        <v>42622</v>
      </c>
      <c r="B14" s="1" t="s">
        <v>13</v>
      </c>
      <c r="C14" s="1" t="s">
        <v>14</v>
      </c>
      <c r="D14" s="2">
        <v>42380</v>
      </c>
      <c r="E14" s="2">
        <f t="shared" si="0"/>
        <v>42675</v>
      </c>
      <c r="F14" s="1" t="s">
        <v>15</v>
      </c>
      <c r="G14" s="1" t="s">
        <v>16</v>
      </c>
      <c r="H14" s="1">
        <v>-1.05</v>
      </c>
      <c r="I14" s="1">
        <v>0.59</v>
      </c>
      <c r="J14" s="1">
        <v>-0.02</v>
      </c>
      <c r="K14" s="1" t="s">
        <v>21</v>
      </c>
      <c r="L14" s="1">
        <v>2389</v>
      </c>
      <c r="M14" s="1">
        <v>0.98</v>
      </c>
      <c r="N14" s="1">
        <v>0.75922000000000001</v>
      </c>
      <c r="O14" s="1">
        <f>VLOOKUP(D14,underlying!$D$2:$H$75,5,FALSE)</f>
        <v>-0.46</v>
      </c>
      <c r="P14" s="2">
        <f>VLOOKUP(D14,underlying!$D$2:$L$39,9,FALSE)</f>
        <v>42642</v>
      </c>
      <c r="Q14" s="7">
        <f>IF(G14="C",NormalCallSprd(O14,H14,M14,(P14-A14)/365), NormalPutSprd(O14,H14,M14,(P14-A14)/365))</f>
        <v>0.59036709986627856</v>
      </c>
      <c r="R14" s="9">
        <f t="shared" si="1"/>
        <v>3.6709986627858626E-4</v>
      </c>
    </row>
    <row r="15" spans="1:18" x14ac:dyDescent="0.2">
      <c r="A15" s="2">
        <v>42622</v>
      </c>
      <c r="B15" s="1" t="s">
        <v>13</v>
      </c>
      <c r="C15" s="1" t="s">
        <v>14</v>
      </c>
      <c r="D15" s="2">
        <v>42380</v>
      </c>
      <c r="E15" s="2">
        <f t="shared" si="0"/>
        <v>42675</v>
      </c>
      <c r="F15" s="1" t="s">
        <v>15</v>
      </c>
      <c r="G15" s="1" t="s">
        <v>18</v>
      </c>
      <c r="H15" s="1">
        <v>-1.05</v>
      </c>
      <c r="I15" s="1">
        <v>0.01</v>
      </c>
      <c r="J15" s="1">
        <v>0</v>
      </c>
      <c r="K15" s="1" t="s">
        <v>21</v>
      </c>
      <c r="L15" s="1">
        <v>2389</v>
      </c>
      <c r="M15" s="1">
        <v>0.98</v>
      </c>
      <c r="N15" s="1">
        <v>0.78244999999999998</v>
      </c>
      <c r="O15" s="1">
        <f>VLOOKUP(D15,underlying!$D$2:$H$75,5,FALSE)</f>
        <v>-0.46</v>
      </c>
      <c r="P15" s="2">
        <f>VLOOKUP(D15,underlying!$D$2:$L$39,9,FALSE)</f>
        <v>42642</v>
      </c>
      <c r="Q15" s="7">
        <f>IF(G15="C",NormalCallSprd(O15,H15,M15,(P15-A15)/365), NormalPutSprd(O15,H15,M15,(P15-A15)/365))</f>
        <v>3.6709986627848706E-4</v>
      </c>
      <c r="R15" s="9">
        <f t="shared" si="1"/>
        <v>9.6329001337215128E-3</v>
      </c>
    </row>
    <row r="16" spans="1:18" x14ac:dyDescent="0.2">
      <c r="A16" s="2">
        <v>42622</v>
      </c>
      <c r="B16" s="1" t="s">
        <v>13</v>
      </c>
      <c r="C16" s="1" t="s">
        <v>14</v>
      </c>
      <c r="D16" s="2">
        <v>42380</v>
      </c>
      <c r="E16" s="2">
        <f t="shared" si="0"/>
        <v>42675</v>
      </c>
      <c r="F16" s="1" t="s">
        <v>15</v>
      </c>
      <c r="G16" s="1" t="s">
        <v>16</v>
      </c>
      <c r="H16" s="1">
        <v>-1</v>
      </c>
      <c r="I16" s="1">
        <v>0.54</v>
      </c>
      <c r="J16" s="1">
        <v>-0.02</v>
      </c>
      <c r="K16" s="1" t="s">
        <v>21</v>
      </c>
      <c r="L16" s="1">
        <v>2389</v>
      </c>
      <c r="M16" s="1">
        <v>0.97</v>
      </c>
      <c r="N16" s="1">
        <v>0.80069000000000001</v>
      </c>
      <c r="O16" s="1">
        <f>VLOOKUP(D16,underlying!$D$2:$H$75,5,FALSE)</f>
        <v>-0.46</v>
      </c>
      <c r="P16" s="2">
        <f>VLOOKUP(D16,underlying!$D$2:$L$39,9,FALSE)</f>
        <v>42642</v>
      </c>
      <c r="Q16" s="7">
        <f>IF(G16="C",NormalCallSprd(O16,H16,M16,(P16-A16)/365), NormalPutSprd(O16,H16,M16,(P16-A16)/365))</f>
        <v>0.54065945515124947</v>
      </c>
      <c r="R16" s="9">
        <f t="shared" si="1"/>
        <v>6.5945515124943288E-4</v>
      </c>
    </row>
    <row r="17" spans="1:18" x14ac:dyDescent="0.2">
      <c r="A17" s="2">
        <v>42622</v>
      </c>
      <c r="B17" s="1" t="s">
        <v>13</v>
      </c>
      <c r="C17" s="1" t="s">
        <v>14</v>
      </c>
      <c r="D17" s="2">
        <v>42380</v>
      </c>
      <c r="E17" s="2">
        <f t="shared" si="0"/>
        <v>42675</v>
      </c>
      <c r="F17" s="1" t="s">
        <v>15</v>
      </c>
      <c r="G17" s="1" t="s">
        <v>18</v>
      </c>
      <c r="H17" s="1">
        <v>-1</v>
      </c>
      <c r="I17" s="1">
        <v>0.01</v>
      </c>
      <c r="J17" s="1">
        <v>0</v>
      </c>
      <c r="K17" s="1" t="s">
        <v>21</v>
      </c>
      <c r="L17" s="1">
        <v>2389</v>
      </c>
      <c r="M17" s="1">
        <v>0.97</v>
      </c>
      <c r="N17" s="1">
        <v>0.82103999999999999</v>
      </c>
      <c r="O17" s="1">
        <f>VLOOKUP(D17,underlying!$D$2:$H$75,5,FALSE)</f>
        <v>-0.46</v>
      </c>
      <c r="P17" s="2">
        <f>VLOOKUP(D17,underlying!$D$2:$L$39,9,FALSE)</f>
        <v>42642</v>
      </c>
      <c r="Q17" s="7">
        <f>IF(G17="C",NormalCallSprd(O17,H17,M17,(P17-A17)/365), NormalPutSprd(O17,H17,M17,(P17-A17)/365))</f>
        <v>6.5945515124950097E-4</v>
      </c>
      <c r="R17" s="9">
        <f t="shared" si="1"/>
        <v>9.3405448487504997E-3</v>
      </c>
    </row>
    <row r="18" spans="1:18" x14ac:dyDescent="0.2">
      <c r="A18" s="2">
        <v>42622</v>
      </c>
      <c r="B18" s="1" t="s">
        <v>13</v>
      </c>
      <c r="C18" s="1" t="s">
        <v>14</v>
      </c>
      <c r="D18" s="2">
        <v>42380</v>
      </c>
      <c r="E18" s="2">
        <f t="shared" si="0"/>
        <v>42675</v>
      </c>
      <c r="F18" s="1" t="s">
        <v>15</v>
      </c>
      <c r="G18" s="1" t="s">
        <v>16</v>
      </c>
      <c r="H18" s="1">
        <v>-0.95</v>
      </c>
      <c r="I18" s="1">
        <v>0.49</v>
      </c>
      <c r="J18" s="1">
        <v>-0.02</v>
      </c>
      <c r="K18" s="1" t="s">
        <v>21</v>
      </c>
      <c r="L18" s="1">
        <v>2389</v>
      </c>
      <c r="M18" s="1">
        <v>0.96</v>
      </c>
      <c r="N18" s="1">
        <v>0.88148000000000004</v>
      </c>
      <c r="O18" s="1">
        <f>VLOOKUP(D18,underlying!$D$2:$H$75,5,FALSE)</f>
        <v>-0.46</v>
      </c>
      <c r="P18" s="2">
        <f>VLOOKUP(D18,underlying!$D$2:$L$39,9,FALSE)</f>
        <v>42642</v>
      </c>
      <c r="Q18" s="7">
        <f>IF(G18="C",NormalCallSprd(O18,H18,M18,(P18-A18)/365), NormalPutSprd(O18,H18,M18,(P18-A18)/365))</f>
        <v>0.4911606631894162</v>
      </c>
      <c r="R18" s="9">
        <f t="shared" si="1"/>
        <v>1.1606631894162112E-3</v>
      </c>
    </row>
    <row r="19" spans="1:18" x14ac:dyDescent="0.2">
      <c r="A19" s="2">
        <v>42622</v>
      </c>
      <c r="B19" s="1" t="s">
        <v>13</v>
      </c>
      <c r="C19" s="1" t="s">
        <v>14</v>
      </c>
      <c r="D19" s="2">
        <v>42380</v>
      </c>
      <c r="E19" s="2">
        <f t="shared" si="0"/>
        <v>42675</v>
      </c>
      <c r="F19" s="1" t="s">
        <v>15</v>
      </c>
      <c r="G19" s="1" t="s">
        <v>18</v>
      </c>
      <c r="H19" s="1">
        <v>-0.95</v>
      </c>
      <c r="I19" s="1">
        <v>0.01</v>
      </c>
      <c r="J19" s="1">
        <v>0</v>
      </c>
      <c r="K19" s="1" t="s">
        <v>21</v>
      </c>
      <c r="L19" s="1">
        <v>2389</v>
      </c>
      <c r="M19" s="1">
        <v>0.96</v>
      </c>
      <c r="N19" s="1">
        <v>0.98846000000000001</v>
      </c>
      <c r="O19" s="1">
        <f>VLOOKUP(D19,underlying!$D$2:$H$75,5,FALSE)</f>
        <v>-0.46</v>
      </c>
      <c r="P19" s="2">
        <f>VLOOKUP(D19,underlying!$D$2:$L$39,9,FALSE)</f>
        <v>42642</v>
      </c>
      <c r="Q19" s="7">
        <f>IF(G19="C",NormalCallSprd(O19,H19,M19,(P19-A19)/365), NormalPutSprd(O19,H19,M19,(P19-A19)/365))</f>
        <v>1.1606631894162495E-3</v>
      </c>
      <c r="R19" s="9">
        <f t="shared" si="1"/>
        <v>8.8393368105837509E-3</v>
      </c>
    </row>
    <row r="20" spans="1:18" x14ac:dyDescent="0.2">
      <c r="A20" s="2">
        <v>42622</v>
      </c>
      <c r="B20" s="1" t="s">
        <v>13</v>
      </c>
      <c r="C20" s="1" t="s">
        <v>14</v>
      </c>
      <c r="D20" s="2">
        <v>42380</v>
      </c>
      <c r="E20" s="2">
        <f t="shared" si="0"/>
        <v>42675</v>
      </c>
      <c r="F20" s="1" t="s">
        <v>15</v>
      </c>
      <c r="G20" s="1" t="s">
        <v>16</v>
      </c>
      <c r="H20" s="1">
        <v>-0.9</v>
      </c>
      <c r="I20" s="1">
        <v>0.44</v>
      </c>
      <c r="J20" s="1">
        <v>-0.02</v>
      </c>
      <c r="K20" s="1" t="s">
        <v>21</v>
      </c>
      <c r="L20" s="1">
        <v>2389</v>
      </c>
      <c r="M20" s="1">
        <v>0.95</v>
      </c>
      <c r="N20" s="1">
        <v>0.99399999999999999</v>
      </c>
      <c r="O20" s="1">
        <f>VLOOKUP(D20,underlying!$D$2:$H$75,5,FALSE)</f>
        <v>-0.46</v>
      </c>
      <c r="P20" s="2">
        <f>VLOOKUP(D20,underlying!$D$2:$L$39,9,FALSE)</f>
        <v>42642</v>
      </c>
      <c r="Q20" s="7">
        <f>IF(G20="C",NormalCallSprd(O20,H20,M20,(P20-A20)/365), NormalPutSprd(O20,H20,M20,(P20-A20)/365))</f>
        <v>0.44199914057119966</v>
      </c>
      <c r="R20" s="9">
        <f t="shared" si="1"/>
        <v>1.9991405711996535E-3</v>
      </c>
    </row>
    <row r="21" spans="1:18" x14ac:dyDescent="0.2">
      <c r="A21" s="2">
        <v>42622</v>
      </c>
      <c r="B21" s="1" t="s">
        <v>13</v>
      </c>
      <c r="C21" s="1" t="s">
        <v>14</v>
      </c>
      <c r="D21" s="2">
        <v>42380</v>
      </c>
      <c r="E21" s="2">
        <f t="shared" si="0"/>
        <v>42675</v>
      </c>
      <c r="F21" s="1" t="s">
        <v>15</v>
      </c>
      <c r="G21" s="1" t="s">
        <v>18</v>
      </c>
      <c r="H21" s="1">
        <v>-0.9</v>
      </c>
      <c r="I21" s="1">
        <v>0.01</v>
      </c>
      <c r="J21" s="1">
        <v>0</v>
      </c>
      <c r="K21" s="1" t="s">
        <v>21</v>
      </c>
      <c r="L21" s="1">
        <v>2389</v>
      </c>
      <c r="M21" s="1">
        <v>0.95</v>
      </c>
      <c r="N21" s="1">
        <v>-0.59018999999999999</v>
      </c>
      <c r="O21" s="1">
        <f>VLOOKUP(D21,underlying!$D$2:$H$75,5,FALSE)</f>
        <v>-0.46</v>
      </c>
      <c r="P21" s="2">
        <f>VLOOKUP(D21,underlying!$D$2:$L$39,9,FALSE)</f>
        <v>42642</v>
      </c>
      <c r="Q21" s="7">
        <f>IF(G21="C",NormalCallSprd(O21,H21,M21,(P21-A21)/365), NormalPutSprd(O21,H21,M21,(P21-A21)/365))</f>
        <v>1.9991405711996479E-3</v>
      </c>
      <c r="R21" s="9">
        <f t="shared" si="1"/>
        <v>8.0008594288003519E-3</v>
      </c>
    </row>
    <row r="22" spans="1:18" x14ac:dyDescent="0.2">
      <c r="A22" s="2">
        <v>42622</v>
      </c>
      <c r="B22" s="1" t="s">
        <v>13</v>
      </c>
      <c r="C22" s="1" t="s">
        <v>14</v>
      </c>
      <c r="D22" s="2">
        <v>42380</v>
      </c>
      <c r="E22" s="2">
        <f t="shared" si="0"/>
        <v>42675</v>
      </c>
      <c r="F22" s="1" t="s">
        <v>15</v>
      </c>
      <c r="G22" s="1" t="s">
        <v>16</v>
      </c>
      <c r="H22" s="1">
        <v>-0.85</v>
      </c>
      <c r="I22" s="1">
        <v>0.39</v>
      </c>
      <c r="J22" s="1">
        <v>-0.02</v>
      </c>
      <c r="K22" s="1" t="s">
        <v>21</v>
      </c>
      <c r="L22" s="1">
        <v>2389</v>
      </c>
      <c r="M22" s="1">
        <v>0.94</v>
      </c>
      <c r="N22" s="1">
        <v>-0.55730000000000002</v>
      </c>
      <c r="O22" s="1">
        <f>VLOOKUP(D22,underlying!$D$2:$H$75,5,FALSE)</f>
        <v>-0.46</v>
      </c>
      <c r="P22" s="2">
        <f>VLOOKUP(D22,underlying!$D$2:$L$39,9,FALSE)</f>
        <v>42642</v>
      </c>
      <c r="Q22" s="7">
        <f>IF(G22="C",NormalCallSprd(O22,H22,M22,(P22-A22)/365), NormalPutSprd(O22,H22,M22,(P22-A22)/365))</f>
        <v>0.39336587392165451</v>
      </c>
      <c r="R22" s="9">
        <f t="shared" si="1"/>
        <v>3.3658739216544942E-3</v>
      </c>
    </row>
    <row r="23" spans="1:18" x14ac:dyDescent="0.2">
      <c r="A23" s="2">
        <v>42622</v>
      </c>
      <c r="B23" s="1" t="s">
        <v>13</v>
      </c>
      <c r="C23" s="1" t="s">
        <v>14</v>
      </c>
      <c r="D23" s="2">
        <v>42380</v>
      </c>
      <c r="E23" s="2">
        <f t="shared" si="0"/>
        <v>42675</v>
      </c>
      <c r="F23" s="1" t="s">
        <v>15</v>
      </c>
      <c r="G23" s="1" t="s">
        <v>18</v>
      </c>
      <c r="H23" s="1">
        <v>-0.85</v>
      </c>
      <c r="I23" s="1">
        <v>0.01</v>
      </c>
      <c r="J23" s="1">
        <v>0</v>
      </c>
      <c r="K23" s="1" t="s">
        <v>21</v>
      </c>
      <c r="L23" s="1">
        <v>2389</v>
      </c>
      <c r="M23" s="1">
        <v>0.94</v>
      </c>
      <c r="N23" s="1">
        <v>-0.52398999999999996</v>
      </c>
      <c r="O23" s="1">
        <f>VLOOKUP(D23,underlying!$D$2:$H$75,5,FALSE)</f>
        <v>-0.46</v>
      </c>
      <c r="P23" s="2">
        <f>VLOOKUP(D23,underlying!$D$2:$L$39,9,FALSE)</f>
        <v>42642</v>
      </c>
      <c r="Q23" s="7">
        <f>IF(G23="C",NormalCallSprd(O23,H23,M23,(P23-A23)/365), NormalPutSprd(O23,H23,M23,(P23-A23)/365))</f>
        <v>3.365873921654541E-3</v>
      </c>
      <c r="R23" s="9">
        <f t="shared" si="1"/>
        <v>6.6341260783454592E-3</v>
      </c>
    </row>
    <row r="24" spans="1:18" x14ac:dyDescent="0.2">
      <c r="A24" s="2">
        <v>42622</v>
      </c>
      <c r="B24" s="1" t="s">
        <v>13</v>
      </c>
      <c r="C24" s="1" t="s">
        <v>14</v>
      </c>
      <c r="D24" s="2">
        <v>42380</v>
      </c>
      <c r="E24" s="2">
        <f t="shared" si="0"/>
        <v>42675</v>
      </c>
      <c r="F24" s="1" t="s">
        <v>15</v>
      </c>
      <c r="G24" s="1" t="s">
        <v>16</v>
      </c>
      <c r="H24" s="1">
        <v>-0.8</v>
      </c>
      <c r="I24" s="1">
        <v>0.35</v>
      </c>
      <c r="J24" s="1">
        <v>-0.02</v>
      </c>
      <c r="K24" s="1" t="s">
        <v>21</v>
      </c>
      <c r="L24" s="1">
        <v>2389</v>
      </c>
      <c r="M24" s="1">
        <v>0.93</v>
      </c>
      <c r="N24" s="1">
        <v>-0.49048999999999998</v>
      </c>
      <c r="O24" s="1">
        <f>VLOOKUP(D24,underlying!$D$2:$H$75,5,FALSE)</f>
        <v>-0.46</v>
      </c>
      <c r="P24" s="2">
        <f>VLOOKUP(D24,underlying!$D$2:$L$39,9,FALSE)</f>
        <v>42642</v>
      </c>
      <c r="Q24" s="7">
        <f>IF(G24="C",NormalCallSprd(O24,H24,M24,(P24-A24)/365), NormalPutSprd(O24,H24,M24,(P24-A24)/365))</f>
        <v>0.34553329573558489</v>
      </c>
      <c r="R24" s="9">
        <f t="shared" si="1"/>
        <v>4.4667042644150889E-3</v>
      </c>
    </row>
    <row r="25" spans="1:18" x14ac:dyDescent="0.2">
      <c r="A25" s="2">
        <v>42622</v>
      </c>
      <c r="B25" s="1" t="s">
        <v>13</v>
      </c>
      <c r="C25" s="1" t="s">
        <v>14</v>
      </c>
      <c r="D25" s="2">
        <v>42380</v>
      </c>
      <c r="E25" s="2">
        <f t="shared" si="0"/>
        <v>42675</v>
      </c>
      <c r="F25" s="1" t="s">
        <v>15</v>
      </c>
      <c r="G25" s="1" t="s">
        <v>18</v>
      </c>
      <c r="H25" s="1">
        <v>-0.8</v>
      </c>
      <c r="I25" s="1">
        <v>0.01</v>
      </c>
      <c r="J25" s="1">
        <v>0</v>
      </c>
      <c r="K25" s="1" t="s">
        <v>21</v>
      </c>
      <c r="L25" s="1">
        <v>2389</v>
      </c>
      <c r="M25" s="1">
        <v>0.93</v>
      </c>
      <c r="N25" s="1">
        <v>-0.4577</v>
      </c>
      <c r="O25" s="1">
        <f>VLOOKUP(D25,underlying!$D$2:$H$75,5,FALSE)</f>
        <v>-0.46</v>
      </c>
      <c r="P25" s="2">
        <f>VLOOKUP(D25,underlying!$D$2:$L$39,9,FALSE)</f>
        <v>42642</v>
      </c>
      <c r="Q25" s="7">
        <f>IF(G25="C",NormalCallSprd(O25,H25,M25,(P25-A25)/365), NormalPutSprd(O25,H25,M25,(P25-A25)/365))</f>
        <v>5.5332957355848722E-3</v>
      </c>
      <c r="R25" s="9">
        <f t="shared" si="1"/>
        <v>4.466704264415128E-3</v>
      </c>
    </row>
    <row r="26" spans="1:18" x14ac:dyDescent="0.2">
      <c r="A26" s="2">
        <v>42622</v>
      </c>
      <c r="B26" s="1" t="s">
        <v>13</v>
      </c>
      <c r="C26" s="1" t="s">
        <v>14</v>
      </c>
      <c r="D26" s="2">
        <v>42380</v>
      </c>
      <c r="E26" s="2">
        <f t="shared" si="0"/>
        <v>42675</v>
      </c>
      <c r="F26" s="1" t="s">
        <v>15</v>
      </c>
      <c r="G26" s="1" t="s">
        <v>16</v>
      </c>
      <c r="H26" s="1">
        <v>-0.75</v>
      </c>
      <c r="I26" s="1">
        <v>0.3</v>
      </c>
      <c r="J26" s="1">
        <v>-0.02</v>
      </c>
      <c r="K26" s="1" t="s">
        <v>21</v>
      </c>
      <c r="L26" s="1">
        <v>2389</v>
      </c>
      <c r="M26" s="1">
        <v>0.92</v>
      </c>
      <c r="N26" s="1">
        <v>-0.42505999999999999</v>
      </c>
      <c r="O26" s="1">
        <f>VLOOKUP(D26,underlying!$D$2:$H$75,5,FALSE)</f>
        <v>-0.46</v>
      </c>
      <c r="P26" s="2">
        <f>VLOOKUP(D26,underlying!$D$2:$L$39,9,FALSE)</f>
        <v>42642</v>
      </c>
      <c r="Q26" s="7">
        <f>IF(G26="C",NormalCallSprd(O26,H26,M26,(P26-A26)/365), NormalPutSprd(O26,H26,M26,(P26-A26)/365))</f>
        <v>0.29887234680211677</v>
      </c>
      <c r="R26" s="9">
        <f t="shared" si="1"/>
        <v>1.1276531978832161E-3</v>
      </c>
    </row>
    <row r="27" spans="1:18" x14ac:dyDescent="0.2">
      <c r="A27" s="2">
        <v>42622</v>
      </c>
      <c r="B27" s="1" t="s">
        <v>13</v>
      </c>
      <c r="C27" s="1" t="s">
        <v>14</v>
      </c>
      <c r="D27" s="2">
        <v>42380</v>
      </c>
      <c r="E27" s="2">
        <f t="shared" si="0"/>
        <v>42675</v>
      </c>
      <c r="F27" s="1" t="s">
        <v>15</v>
      </c>
      <c r="G27" s="1" t="s">
        <v>18</v>
      </c>
      <c r="H27" s="1">
        <v>-0.75</v>
      </c>
      <c r="I27" s="1">
        <v>0.01</v>
      </c>
      <c r="J27" s="1">
        <v>0</v>
      </c>
      <c r="K27" s="1" t="s">
        <v>21</v>
      </c>
      <c r="L27" s="1">
        <v>2389</v>
      </c>
      <c r="M27" s="1">
        <v>0.92</v>
      </c>
      <c r="N27" s="1">
        <v>-0.39456000000000002</v>
      </c>
      <c r="O27" s="1">
        <f>VLOOKUP(D27,underlying!$D$2:$H$75,5,FALSE)</f>
        <v>-0.46</v>
      </c>
      <c r="P27" s="2">
        <f>VLOOKUP(D27,underlying!$D$2:$L$39,9,FALSE)</f>
        <v>42642</v>
      </c>
      <c r="Q27" s="7">
        <f>IF(G27="C",NormalCallSprd(O27,H27,M27,(P27-A27)/365), NormalPutSprd(O27,H27,M27,(P27-A27)/365))</f>
        <v>8.872346802116798E-3</v>
      </c>
      <c r="R27" s="9">
        <f t="shared" si="1"/>
        <v>1.1276531978832022E-3</v>
      </c>
    </row>
    <row r="28" spans="1:18" x14ac:dyDescent="0.2">
      <c r="A28" s="2">
        <v>42622</v>
      </c>
      <c r="B28" s="1" t="s">
        <v>13</v>
      </c>
      <c r="C28" s="1" t="s">
        <v>14</v>
      </c>
      <c r="D28" s="2">
        <v>42380</v>
      </c>
      <c r="E28" s="2">
        <f t="shared" si="0"/>
        <v>42675</v>
      </c>
      <c r="F28" s="1" t="s">
        <v>15</v>
      </c>
      <c r="G28" s="1" t="s">
        <v>16</v>
      </c>
      <c r="H28" s="1">
        <v>-0.7</v>
      </c>
      <c r="I28" s="1">
        <v>0.25</v>
      </c>
      <c r="J28" s="1">
        <v>-0.02</v>
      </c>
      <c r="K28" s="1" t="s">
        <v>21</v>
      </c>
      <c r="L28" s="1">
        <v>2389</v>
      </c>
      <c r="M28" s="1">
        <v>0.91</v>
      </c>
      <c r="N28" s="1">
        <v>-0.36358000000000001</v>
      </c>
      <c r="O28" s="1">
        <f>VLOOKUP(D28,underlying!$D$2:$H$75,5,FALSE)</f>
        <v>-0.46</v>
      </c>
      <c r="P28" s="2">
        <f>VLOOKUP(D28,underlying!$D$2:$L$39,9,FALSE)</f>
        <v>42642</v>
      </c>
      <c r="Q28" s="7">
        <f>IF(G28="C",NormalCallSprd(O28,H28,M28,(P28-A28)/365), NormalPutSprd(O28,H28,M28,(P28-A28)/365))</f>
        <v>0.25386225962383741</v>
      </c>
      <c r="R28" s="9">
        <f t="shared" si="1"/>
        <v>3.8622596238374052E-3</v>
      </c>
    </row>
    <row r="29" spans="1:18" x14ac:dyDescent="0.2">
      <c r="A29" s="2">
        <v>42622</v>
      </c>
      <c r="B29" s="1" t="s">
        <v>13</v>
      </c>
      <c r="C29" s="1" t="s">
        <v>14</v>
      </c>
      <c r="D29" s="2">
        <v>42380</v>
      </c>
      <c r="E29" s="2">
        <f t="shared" si="0"/>
        <v>42675</v>
      </c>
      <c r="F29" s="1" t="s">
        <v>15</v>
      </c>
      <c r="G29" s="1" t="s">
        <v>18</v>
      </c>
      <c r="H29" s="1">
        <v>-0.7</v>
      </c>
      <c r="I29" s="1">
        <v>0.01</v>
      </c>
      <c r="J29" s="1">
        <v>0</v>
      </c>
      <c r="K29" s="1" t="s">
        <v>21</v>
      </c>
      <c r="L29" s="1">
        <v>2389</v>
      </c>
      <c r="M29" s="1">
        <v>0.91</v>
      </c>
      <c r="N29" s="1">
        <v>-0.33590999999999999</v>
      </c>
      <c r="O29" s="1">
        <f>VLOOKUP(D29,underlying!$D$2:$H$75,5,FALSE)</f>
        <v>-0.46</v>
      </c>
      <c r="P29" s="2">
        <f>VLOOKUP(D29,underlying!$D$2:$L$39,9,FALSE)</f>
        <v>42642</v>
      </c>
      <c r="Q29" s="7">
        <f>IF(G29="C",NormalCallSprd(O29,H29,M29,(P29-A29)/365), NormalPutSprd(O29,H29,M29,(P29-A29)/365))</f>
        <v>1.3862259623837449E-2</v>
      </c>
      <c r="R29" s="9">
        <f t="shared" si="1"/>
        <v>3.8622596238374485E-3</v>
      </c>
    </row>
    <row r="30" spans="1:18" x14ac:dyDescent="0.2">
      <c r="A30" s="2">
        <v>42622</v>
      </c>
      <c r="B30" s="1" t="s">
        <v>13</v>
      </c>
      <c r="C30" s="1" t="s">
        <v>14</v>
      </c>
      <c r="D30" s="2">
        <v>42380</v>
      </c>
      <c r="E30" s="2">
        <f t="shared" si="0"/>
        <v>42675</v>
      </c>
      <c r="F30" s="1" t="s">
        <v>15</v>
      </c>
      <c r="G30" s="1" t="s">
        <v>16</v>
      </c>
      <c r="H30" s="1">
        <v>-0.65</v>
      </c>
      <c r="I30" s="1">
        <v>0.21</v>
      </c>
      <c r="J30" s="1">
        <v>-0.02</v>
      </c>
      <c r="K30" s="1" t="s">
        <v>21</v>
      </c>
      <c r="L30" s="1">
        <v>2389</v>
      </c>
      <c r="M30" s="1">
        <v>0.91</v>
      </c>
      <c r="N30" s="1">
        <v>-0.30718000000000001</v>
      </c>
      <c r="O30" s="1">
        <f>VLOOKUP(D30,underlying!$D$2:$H$75,5,FALSE)</f>
        <v>-0.46</v>
      </c>
      <c r="P30" s="2">
        <f>VLOOKUP(D30,underlying!$D$2:$L$39,9,FALSE)</f>
        <v>42642</v>
      </c>
      <c r="Q30" s="7">
        <f>IF(G30="C",NormalCallSprd(O30,H30,M30,(P30-A30)/365), NormalPutSprd(O30,H30,M30,(P30-A30)/365))</f>
        <v>0.21171053385675379</v>
      </c>
      <c r="R30" s="9">
        <f t="shared" si="1"/>
        <v>1.7105338567537931E-3</v>
      </c>
    </row>
    <row r="31" spans="1:18" x14ac:dyDescent="0.2">
      <c r="A31" s="2">
        <v>42622</v>
      </c>
      <c r="B31" s="1" t="s">
        <v>13</v>
      </c>
      <c r="C31" s="1" t="s">
        <v>14</v>
      </c>
      <c r="D31" s="2">
        <v>42380</v>
      </c>
      <c r="E31" s="2">
        <f t="shared" si="0"/>
        <v>42675</v>
      </c>
      <c r="F31" s="1" t="s">
        <v>15</v>
      </c>
      <c r="G31" s="1" t="s">
        <v>18</v>
      </c>
      <c r="H31" s="1">
        <v>-0.65</v>
      </c>
      <c r="I31" s="1">
        <v>0.02</v>
      </c>
      <c r="J31" s="1">
        <v>0</v>
      </c>
      <c r="K31" s="1" t="s">
        <v>21</v>
      </c>
      <c r="L31" s="1">
        <v>2389</v>
      </c>
      <c r="M31" s="1">
        <v>0.91</v>
      </c>
      <c r="N31" s="1">
        <v>-0.28261999999999998</v>
      </c>
      <c r="O31" s="1">
        <f>VLOOKUP(D31,underlying!$D$2:$H$75,5,FALSE)</f>
        <v>-0.46</v>
      </c>
      <c r="P31" s="2">
        <f>VLOOKUP(D31,underlying!$D$2:$L$39,9,FALSE)</f>
        <v>42642</v>
      </c>
      <c r="Q31" s="7">
        <f>IF(G31="C",NormalCallSprd(O31,H31,M31,(P31-A31)/365), NormalPutSprd(O31,H31,M31,(P31-A31)/365))</f>
        <v>2.171053385675378E-2</v>
      </c>
      <c r="R31" s="9">
        <f t="shared" si="1"/>
        <v>1.7105338567537792E-3</v>
      </c>
    </row>
    <row r="32" spans="1:18" x14ac:dyDescent="0.2">
      <c r="A32" s="2">
        <v>42622</v>
      </c>
      <c r="B32" s="1" t="s">
        <v>13</v>
      </c>
      <c r="C32" s="1" t="s">
        <v>14</v>
      </c>
      <c r="D32" s="2">
        <v>42380</v>
      </c>
      <c r="E32" s="2">
        <f t="shared" si="0"/>
        <v>42675</v>
      </c>
      <c r="F32" s="1" t="s">
        <v>15</v>
      </c>
      <c r="G32" s="1" t="s">
        <v>16</v>
      </c>
      <c r="H32" s="1">
        <v>-0.6</v>
      </c>
      <c r="I32" s="1">
        <v>0.17</v>
      </c>
      <c r="J32" s="1">
        <v>-0.02</v>
      </c>
      <c r="K32" s="1" t="s">
        <v>21</v>
      </c>
      <c r="L32" s="1">
        <v>2389</v>
      </c>
      <c r="M32" s="1">
        <v>0.91</v>
      </c>
      <c r="N32" s="1">
        <v>-0.25652999999999998</v>
      </c>
      <c r="O32" s="1">
        <f>VLOOKUP(D32,underlying!$D$2:$H$75,5,FALSE)</f>
        <v>-0.46</v>
      </c>
      <c r="P32" s="2">
        <f>VLOOKUP(D32,underlying!$D$2:$L$39,9,FALSE)</f>
        <v>42642</v>
      </c>
      <c r="Q32" s="7">
        <f>IF(G32="C",NormalCallSprd(O32,H32,M32,(P32-A32)/365), NormalPutSprd(O32,H32,M32,(P32-A32)/365))</f>
        <v>0.17270126131252342</v>
      </c>
      <c r="R32" s="9">
        <f t="shared" si="1"/>
        <v>2.7012613125234064E-3</v>
      </c>
    </row>
    <row r="33" spans="1:18" x14ac:dyDescent="0.2">
      <c r="A33" s="2">
        <v>42622</v>
      </c>
      <c r="B33" s="1" t="s">
        <v>13</v>
      </c>
      <c r="C33" s="1" t="s">
        <v>14</v>
      </c>
      <c r="D33" s="2">
        <v>42380</v>
      </c>
      <c r="E33" s="2">
        <f t="shared" si="0"/>
        <v>42675</v>
      </c>
      <c r="F33" s="1" t="s">
        <v>15</v>
      </c>
      <c r="G33" s="1" t="s">
        <v>18</v>
      </c>
      <c r="H33" s="1">
        <v>-0.6</v>
      </c>
      <c r="I33" s="1">
        <v>0.03</v>
      </c>
      <c r="J33" s="1">
        <v>0</v>
      </c>
      <c r="K33" s="1" t="s">
        <v>21</v>
      </c>
      <c r="L33" s="1">
        <v>2389</v>
      </c>
      <c r="M33" s="1">
        <v>0.91</v>
      </c>
      <c r="N33" s="1">
        <v>-0.23518</v>
      </c>
      <c r="O33" s="1">
        <f>VLOOKUP(D33,underlying!$D$2:$H$75,5,FALSE)</f>
        <v>-0.46</v>
      </c>
      <c r="P33" s="2">
        <f>VLOOKUP(D33,underlying!$D$2:$L$39,9,FALSE)</f>
        <v>42642</v>
      </c>
      <c r="Q33" s="7">
        <f>IF(G33="C",NormalCallSprd(O33,H33,M33,(P33-A33)/365), NormalPutSprd(O33,H33,M33,(P33-A33)/365))</f>
        <v>3.2701261312523475E-2</v>
      </c>
      <c r="R33" s="9">
        <f t="shared" si="1"/>
        <v>2.7012613125234758E-3</v>
      </c>
    </row>
    <row r="34" spans="1:18" x14ac:dyDescent="0.2">
      <c r="A34" s="2">
        <v>42622</v>
      </c>
      <c r="B34" s="1" t="s">
        <v>13</v>
      </c>
      <c r="C34" s="1" t="s">
        <v>14</v>
      </c>
      <c r="D34" s="2">
        <v>42380</v>
      </c>
      <c r="E34" s="2">
        <f t="shared" si="0"/>
        <v>42675</v>
      </c>
      <c r="F34" s="1" t="s">
        <v>15</v>
      </c>
      <c r="G34" s="1" t="s">
        <v>16</v>
      </c>
      <c r="H34" s="1">
        <v>-0.55000000000000004</v>
      </c>
      <c r="I34" s="1">
        <v>0.14000000000000001</v>
      </c>
      <c r="J34" s="1">
        <v>-0.01</v>
      </c>
      <c r="K34" s="1" t="s">
        <v>21</v>
      </c>
      <c r="L34" s="1">
        <v>2389</v>
      </c>
      <c r="M34" s="1">
        <v>0.92</v>
      </c>
      <c r="N34" s="1">
        <v>-0.21193999999999999</v>
      </c>
      <c r="O34" s="1">
        <f>VLOOKUP(D34,underlying!$D$2:$H$75,5,FALSE)</f>
        <v>-0.46</v>
      </c>
      <c r="P34" s="2">
        <f>VLOOKUP(D34,underlying!$D$2:$L$39,9,FALSE)</f>
        <v>42642</v>
      </c>
      <c r="Q34" s="7">
        <f>IF(G34="C",NormalCallSprd(O34,H34,M34,(P34-A34)/365), NormalPutSprd(O34,H34,M34,(P34-A34)/365))</f>
        <v>0.1383097284101994</v>
      </c>
      <c r="R34" s="9">
        <f t="shared" si="1"/>
        <v>1.6902715898006182E-3</v>
      </c>
    </row>
    <row r="35" spans="1:18" x14ac:dyDescent="0.2">
      <c r="A35" s="2">
        <v>42622</v>
      </c>
      <c r="B35" s="1" t="s">
        <v>13</v>
      </c>
      <c r="C35" s="1" t="s">
        <v>14</v>
      </c>
      <c r="D35" s="2">
        <v>42380</v>
      </c>
      <c r="E35" s="2">
        <f t="shared" si="0"/>
        <v>42675</v>
      </c>
      <c r="F35" s="1" t="s">
        <v>15</v>
      </c>
      <c r="G35" s="1" t="s">
        <v>18</v>
      </c>
      <c r="H35" s="1">
        <v>-0.55000000000000004</v>
      </c>
      <c r="I35" s="1">
        <v>0.05</v>
      </c>
      <c r="J35" s="1">
        <v>0.01</v>
      </c>
      <c r="K35" s="1" t="s">
        <v>21</v>
      </c>
      <c r="L35" s="1">
        <v>2389</v>
      </c>
      <c r="M35" s="1">
        <v>0.92</v>
      </c>
      <c r="N35" s="1">
        <v>-0.19370999999999999</v>
      </c>
      <c r="O35" s="1">
        <f>VLOOKUP(D35,underlying!$D$2:$H$75,5,FALSE)</f>
        <v>-0.46</v>
      </c>
      <c r="P35" s="2">
        <f>VLOOKUP(D35,underlying!$D$2:$L$39,9,FALSE)</f>
        <v>42642</v>
      </c>
      <c r="Q35" s="7">
        <f>IF(G35="C",NormalCallSprd(O35,H35,M35,(P35-A35)/365), NormalPutSprd(O35,H35,M35,(P35-A35)/365))</f>
        <v>4.8309728410199385E-2</v>
      </c>
      <c r="R35" s="9">
        <f t="shared" si="1"/>
        <v>1.6902715898006182E-3</v>
      </c>
    </row>
    <row r="36" spans="1:18" x14ac:dyDescent="0.2">
      <c r="A36" s="2">
        <v>42622</v>
      </c>
      <c r="B36" s="1" t="s">
        <v>13</v>
      </c>
      <c r="C36" s="1" t="s">
        <v>14</v>
      </c>
      <c r="D36" s="2">
        <v>42380</v>
      </c>
      <c r="E36" s="2">
        <f t="shared" si="0"/>
        <v>42675</v>
      </c>
      <c r="F36" s="1" t="s">
        <v>15</v>
      </c>
      <c r="G36" s="1" t="s">
        <v>16</v>
      </c>
      <c r="H36" s="1">
        <v>-0.5</v>
      </c>
      <c r="I36" s="1">
        <v>0.11</v>
      </c>
      <c r="J36" s="1">
        <v>-0.01</v>
      </c>
      <c r="K36" s="1" t="s">
        <v>21</v>
      </c>
      <c r="L36" s="1">
        <v>2389</v>
      </c>
      <c r="M36" s="1">
        <v>0.94</v>
      </c>
      <c r="N36" s="1">
        <v>-0.17335999999999999</v>
      </c>
      <c r="O36" s="1">
        <f>VLOOKUP(D36,underlying!$D$2:$H$75,5,FALSE)</f>
        <v>-0.46</v>
      </c>
      <c r="P36" s="2">
        <f>VLOOKUP(D36,underlying!$D$2:$L$39,9,FALSE)</f>
        <v>42642</v>
      </c>
      <c r="Q36" s="7">
        <f>IF(G36="C",NormalCallSprd(O36,H36,M36,(P36-A36)/365), NormalPutSprd(O36,H36,M36,(P36-A36)/365))</f>
        <v>0.10922867655643789</v>
      </c>
      <c r="R36" s="9">
        <f t="shared" si="1"/>
        <v>7.7132344356210802E-4</v>
      </c>
    </row>
    <row r="37" spans="1:18" x14ac:dyDescent="0.2">
      <c r="A37" s="2">
        <v>42622</v>
      </c>
      <c r="B37" s="1" t="s">
        <v>13</v>
      </c>
      <c r="C37" s="1" t="s">
        <v>14</v>
      </c>
      <c r="D37" s="2">
        <v>42380</v>
      </c>
      <c r="E37" s="2">
        <f t="shared" si="0"/>
        <v>42675</v>
      </c>
      <c r="F37" s="1" t="s">
        <v>15</v>
      </c>
      <c r="G37" s="1" t="s">
        <v>18</v>
      </c>
      <c r="H37" s="1">
        <v>-0.5</v>
      </c>
      <c r="I37" s="1">
        <v>7.0000000000000007E-2</v>
      </c>
      <c r="J37" s="1">
        <v>0.01</v>
      </c>
      <c r="K37" s="1" t="s">
        <v>21</v>
      </c>
      <c r="L37" s="1">
        <v>2389</v>
      </c>
      <c r="M37" s="1">
        <v>0.94</v>
      </c>
      <c r="N37" s="1">
        <v>-0.11292000000000001</v>
      </c>
      <c r="O37" s="1">
        <f>VLOOKUP(D37,underlying!$D$2:$H$75,5,FALSE)</f>
        <v>-0.46</v>
      </c>
      <c r="P37" s="2">
        <f>VLOOKUP(D37,underlying!$D$2:$L$39,9,FALSE)</f>
        <v>42642</v>
      </c>
      <c r="Q37" s="7">
        <f>IF(G37="C",NormalCallSprd(O37,H37,M37,(P37-A37)/365), NormalPutSprd(O37,H37,M37,(P37-A37)/365))</f>
        <v>6.9228676556437913E-2</v>
      </c>
      <c r="R37" s="9">
        <f t="shared" si="1"/>
        <v>7.7132344356209415E-4</v>
      </c>
    </row>
    <row r="38" spans="1:18" x14ac:dyDescent="0.2">
      <c r="A38" s="2">
        <v>42622</v>
      </c>
      <c r="B38" s="1" t="s">
        <v>13</v>
      </c>
      <c r="C38" s="1" t="s">
        <v>14</v>
      </c>
      <c r="D38" s="2">
        <v>42380</v>
      </c>
      <c r="E38" s="2">
        <f t="shared" si="0"/>
        <v>42675</v>
      </c>
      <c r="F38" s="1" t="s">
        <v>15</v>
      </c>
      <c r="G38" s="1" t="s">
        <v>16</v>
      </c>
      <c r="H38" s="1">
        <v>-0.45</v>
      </c>
      <c r="I38" s="1">
        <v>0.08</v>
      </c>
      <c r="J38" s="1">
        <v>-0.02</v>
      </c>
      <c r="K38" s="1" t="s">
        <v>21</v>
      </c>
      <c r="L38" s="1">
        <v>2389</v>
      </c>
      <c r="M38" s="1">
        <v>0.96</v>
      </c>
      <c r="N38" s="1">
        <v>-5.9300000000000004E-3</v>
      </c>
      <c r="O38" s="1">
        <f>VLOOKUP(D38,underlying!$D$2:$H$75,5,FALSE)</f>
        <v>-0.46</v>
      </c>
      <c r="P38" s="2">
        <f>VLOOKUP(D38,underlying!$D$2:$L$39,9,FALSE)</f>
        <v>42642</v>
      </c>
      <c r="Q38" s="7">
        <f>IF(G38="C",NormalCallSprd(O38,H38,M38,(P38-A38)/365), NormalPutSprd(O38,H38,M38,(P38-A38)/365))</f>
        <v>8.4738661404553273E-2</v>
      </c>
      <c r="R38" s="9">
        <f t="shared" si="1"/>
        <v>4.738661404553271E-3</v>
      </c>
    </row>
    <row r="39" spans="1:18" x14ac:dyDescent="0.2">
      <c r="A39" s="2">
        <v>42622</v>
      </c>
      <c r="B39" s="1" t="s">
        <v>13</v>
      </c>
      <c r="C39" s="1" t="s">
        <v>14</v>
      </c>
      <c r="D39" s="2">
        <v>42380</v>
      </c>
      <c r="E39" s="2">
        <f t="shared" si="0"/>
        <v>42675</v>
      </c>
      <c r="F39" s="1" t="s">
        <v>15</v>
      </c>
      <c r="G39" s="1" t="s">
        <v>18</v>
      </c>
      <c r="H39" s="1">
        <v>-0.45</v>
      </c>
      <c r="I39" s="1">
        <v>0.09</v>
      </c>
      <c r="J39" s="1">
        <v>0</v>
      </c>
      <c r="K39" s="1" t="s">
        <v>21</v>
      </c>
      <c r="L39" s="1">
        <v>2389</v>
      </c>
      <c r="M39" s="1">
        <v>0.96</v>
      </c>
      <c r="N39" s="1">
        <v>-4.0000000000000002E-4</v>
      </c>
      <c r="O39" s="1">
        <f>VLOOKUP(D39,underlying!$D$2:$H$75,5,FALSE)</f>
        <v>-0.46</v>
      </c>
      <c r="P39" s="2">
        <f>VLOOKUP(D39,underlying!$D$2:$L$39,9,FALSE)</f>
        <v>42642</v>
      </c>
      <c r="Q39" s="7">
        <f>IF(G39="C",NormalCallSprd(O39,H39,M39,(P39-A39)/365), NormalPutSprd(O39,H39,M39,(P39-A39)/365))</f>
        <v>9.4738661404553282E-2</v>
      </c>
      <c r="R39" s="9">
        <f t="shared" si="1"/>
        <v>4.7386614045532849E-3</v>
      </c>
    </row>
    <row r="40" spans="1:18" x14ac:dyDescent="0.2">
      <c r="A40" s="2">
        <v>42622</v>
      </c>
      <c r="B40" s="1" t="s">
        <v>13</v>
      </c>
      <c r="C40" s="1" t="s">
        <v>14</v>
      </c>
      <c r="D40" s="2">
        <v>42380</v>
      </c>
      <c r="E40" s="2">
        <f t="shared" si="0"/>
        <v>42675</v>
      </c>
      <c r="F40" s="1" t="s">
        <v>15</v>
      </c>
      <c r="G40" s="1" t="s">
        <v>16</v>
      </c>
      <c r="H40" s="1">
        <v>-0.4</v>
      </c>
      <c r="I40" s="1">
        <v>7.0000000000000007E-2</v>
      </c>
      <c r="J40" s="1">
        <v>0</v>
      </c>
      <c r="K40" s="1" t="s">
        <v>21</v>
      </c>
      <c r="L40" s="1">
        <v>2389</v>
      </c>
      <c r="M40" s="1">
        <v>0.99</v>
      </c>
      <c r="N40" s="1">
        <v>0.44486999999999999</v>
      </c>
      <c r="O40" s="1">
        <f>VLOOKUP(D40,underlying!$D$2:$H$75,5,FALSE)</f>
        <v>-0.46</v>
      </c>
      <c r="P40" s="2">
        <f>VLOOKUP(D40,underlying!$D$2:$L$39,9,FALSE)</f>
        <v>42642</v>
      </c>
      <c r="Q40" s="7">
        <f>IF(G40="C",NormalCallSprd(O40,H40,M40,(P40-A40)/365), NormalPutSprd(O40,H40,M40,(P40-A40)/365))</f>
        <v>6.5532971459824174E-2</v>
      </c>
      <c r="R40" s="9">
        <f t="shared" si="1"/>
        <v>4.4670285401758325E-3</v>
      </c>
    </row>
    <row r="41" spans="1:18" x14ac:dyDescent="0.2">
      <c r="A41" s="2">
        <v>42622</v>
      </c>
      <c r="B41" s="1" t="s">
        <v>13</v>
      </c>
      <c r="C41" s="1" t="s">
        <v>14</v>
      </c>
      <c r="D41" s="2">
        <v>42380</v>
      </c>
      <c r="E41" s="2">
        <f t="shared" si="0"/>
        <v>42675</v>
      </c>
      <c r="F41" s="1" t="s">
        <v>15</v>
      </c>
      <c r="G41" s="1" t="s">
        <v>18</v>
      </c>
      <c r="H41" s="1">
        <v>-0.4</v>
      </c>
      <c r="I41" s="1">
        <v>0.13</v>
      </c>
      <c r="J41" s="1">
        <v>0.02</v>
      </c>
      <c r="K41" s="1" t="s">
        <v>21</v>
      </c>
      <c r="L41" s="1">
        <v>2389</v>
      </c>
      <c r="M41" s="1">
        <v>0.99</v>
      </c>
      <c r="N41" s="1">
        <v>0.47521999999999998</v>
      </c>
      <c r="O41" s="1">
        <f>VLOOKUP(D41,underlying!$D$2:$H$75,5,FALSE)</f>
        <v>-0.46</v>
      </c>
      <c r="P41" s="2">
        <f>VLOOKUP(D41,underlying!$D$2:$L$39,9,FALSE)</f>
        <v>42642</v>
      </c>
      <c r="Q41" s="7">
        <f>IF(G41="C",NormalCallSprd(O41,H41,M41,(P41-A41)/365), NormalPutSprd(O41,H41,M41,(P41-A41)/365))</f>
        <v>0.12553297145982417</v>
      </c>
      <c r="R41" s="9">
        <f t="shared" si="1"/>
        <v>4.4670285401758325E-3</v>
      </c>
    </row>
    <row r="42" spans="1:18" x14ac:dyDescent="0.2">
      <c r="A42" s="2">
        <v>42622</v>
      </c>
      <c r="B42" s="1" t="s">
        <v>13</v>
      </c>
      <c r="C42" s="1" t="s">
        <v>14</v>
      </c>
      <c r="D42" s="2">
        <v>42380</v>
      </c>
      <c r="E42" s="2">
        <f t="shared" si="0"/>
        <v>42675</v>
      </c>
      <c r="F42" s="1" t="s">
        <v>15</v>
      </c>
      <c r="G42" s="1" t="s">
        <v>16</v>
      </c>
      <c r="H42" s="1">
        <v>-0.35</v>
      </c>
      <c r="I42" s="1">
        <v>0.05</v>
      </c>
      <c r="J42" s="1">
        <v>-0.01</v>
      </c>
      <c r="K42" s="1" t="s">
        <v>21</v>
      </c>
      <c r="L42" s="1">
        <v>2389</v>
      </c>
      <c r="M42" s="1">
        <v>1.02</v>
      </c>
      <c r="N42" s="1">
        <v>0.50543000000000005</v>
      </c>
      <c r="O42" s="1">
        <f>VLOOKUP(D42,underlying!$D$2:$H$75,5,FALSE)</f>
        <v>-0.46</v>
      </c>
      <c r="P42" s="2">
        <f>VLOOKUP(D42,underlying!$D$2:$L$39,9,FALSE)</f>
        <v>42642</v>
      </c>
      <c r="Q42" s="7">
        <f>IF(G42="C",NormalCallSprd(O42,H42,M42,(P42-A42)/365), NormalPutSprd(O42,H42,M42,(P42-A42)/365))</f>
        <v>5.0186689246197624E-2</v>
      </c>
      <c r="R42" s="9">
        <f t="shared" si="1"/>
        <v>1.8668924619762162E-4</v>
      </c>
    </row>
    <row r="43" spans="1:18" x14ac:dyDescent="0.2">
      <c r="A43" s="2">
        <v>42622</v>
      </c>
      <c r="B43" s="1" t="s">
        <v>13</v>
      </c>
      <c r="C43" s="1" t="s">
        <v>14</v>
      </c>
      <c r="D43" s="2">
        <v>42380</v>
      </c>
      <c r="E43" s="2">
        <f t="shared" si="0"/>
        <v>42675</v>
      </c>
      <c r="F43" s="1" t="s">
        <v>15</v>
      </c>
      <c r="G43" s="1" t="s">
        <v>18</v>
      </c>
      <c r="H43" s="1">
        <v>-0.35</v>
      </c>
      <c r="I43" s="1">
        <v>0.16</v>
      </c>
      <c r="J43" s="1">
        <v>0.01</v>
      </c>
      <c r="K43" s="1" t="s">
        <v>21</v>
      </c>
      <c r="L43" s="1">
        <v>2389</v>
      </c>
      <c r="M43" s="1">
        <v>1.02</v>
      </c>
      <c r="N43" s="1">
        <v>0.53517999999999999</v>
      </c>
      <c r="O43" s="1">
        <f>VLOOKUP(D43,underlying!$D$2:$H$75,5,FALSE)</f>
        <v>-0.46</v>
      </c>
      <c r="P43" s="2">
        <f>VLOOKUP(D43,underlying!$D$2:$L$39,9,FALSE)</f>
        <v>42642</v>
      </c>
      <c r="Q43" s="7">
        <f>IF(G43="C",NormalCallSprd(O43,H43,M43,(P43-A43)/365), NormalPutSprd(O43,H43,M43,(P43-A43)/365))</f>
        <v>0.16018668924619767</v>
      </c>
      <c r="R43" s="9">
        <f t="shared" si="1"/>
        <v>1.8668924619766325E-4</v>
      </c>
    </row>
    <row r="44" spans="1:18" x14ac:dyDescent="0.2">
      <c r="A44" s="2">
        <v>42622</v>
      </c>
      <c r="B44" s="1" t="s">
        <v>13</v>
      </c>
      <c r="C44" s="1" t="s">
        <v>14</v>
      </c>
      <c r="D44" s="2">
        <v>42380</v>
      </c>
      <c r="E44" s="2">
        <f t="shared" si="0"/>
        <v>42675</v>
      </c>
      <c r="F44" s="1" t="s">
        <v>15</v>
      </c>
      <c r="G44" s="1" t="s">
        <v>16</v>
      </c>
      <c r="H44" s="1">
        <v>-0.3</v>
      </c>
      <c r="I44" s="1">
        <v>0.04</v>
      </c>
      <c r="J44" s="1">
        <v>0</v>
      </c>
      <c r="K44" s="1" t="s">
        <v>21</v>
      </c>
      <c r="L44" s="1">
        <v>2389</v>
      </c>
      <c r="M44" s="1">
        <v>1.05</v>
      </c>
      <c r="N44" s="1">
        <v>0.56322000000000005</v>
      </c>
      <c r="O44" s="1">
        <f>VLOOKUP(D44,underlying!$D$2:$H$75,5,FALSE)</f>
        <v>-0.46</v>
      </c>
      <c r="P44" s="2">
        <f>VLOOKUP(D44,underlying!$D$2:$L$39,9,FALSE)</f>
        <v>42642</v>
      </c>
      <c r="Q44" s="7">
        <f>IF(G44="C",NormalCallSprd(O44,H44,M44,(P44-A44)/365), NormalPutSprd(O44,H44,M44,(P44-A44)/365))</f>
        <v>3.8126876265789041E-2</v>
      </c>
      <c r="R44" s="9">
        <f t="shared" si="1"/>
        <v>1.8731237342109602E-3</v>
      </c>
    </row>
    <row r="45" spans="1:18" x14ac:dyDescent="0.2">
      <c r="A45" s="2">
        <v>42622</v>
      </c>
      <c r="B45" s="1" t="s">
        <v>13</v>
      </c>
      <c r="C45" s="1" t="s">
        <v>14</v>
      </c>
      <c r="D45" s="2">
        <v>42380</v>
      </c>
      <c r="E45" s="2">
        <f t="shared" si="0"/>
        <v>42675</v>
      </c>
      <c r="F45" s="1" t="s">
        <v>15</v>
      </c>
      <c r="G45" s="1" t="s">
        <v>18</v>
      </c>
      <c r="H45" s="1">
        <v>-0.3</v>
      </c>
      <c r="I45" s="1">
        <v>0.2</v>
      </c>
      <c r="J45" s="1">
        <v>0.02</v>
      </c>
      <c r="K45" s="1" t="s">
        <v>21</v>
      </c>
      <c r="L45" s="1">
        <v>2389</v>
      </c>
      <c r="M45" s="1">
        <v>1.05</v>
      </c>
      <c r="N45" s="1">
        <v>0.58979000000000004</v>
      </c>
      <c r="O45" s="1">
        <f>VLOOKUP(D45,underlying!$D$2:$H$75,5,FALSE)</f>
        <v>-0.46</v>
      </c>
      <c r="P45" s="2">
        <f>VLOOKUP(D45,underlying!$D$2:$L$39,9,FALSE)</f>
        <v>42642</v>
      </c>
      <c r="Q45" s="7">
        <f>IF(G45="C",NormalCallSprd(O45,H45,M45,(P45-A45)/365), NormalPutSprd(O45,H45,M45,(P45-A45)/365))</f>
        <v>0.19812687626578906</v>
      </c>
      <c r="R45" s="9">
        <f t="shared" si="1"/>
        <v>1.8731237342109464E-3</v>
      </c>
    </row>
    <row r="46" spans="1:18" x14ac:dyDescent="0.2">
      <c r="A46" s="2">
        <v>42622</v>
      </c>
      <c r="B46" s="1" t="s">
        <v>13</v>
      </c>
      <c r="C46" s="1" t="s">
        <v>14</v>
      </c>
      <c r="D46" s="2">
        <v>42380</v>
      </c>
      <c r="E46" s="2">
        <f t="shared" si="0"/>
        <v>42675</v>
      </c>
      <c r="F46" s="1" t="s">
        <v>15</v>
      </c>
      <c r="G46" s="1" t="s">
        <v>16</v>
      </c>
      <c r="H46" s="1">
        <v>-0.25</v>
      </c>
      <c r="I46" s="1">
        <v>0.03</v>
      </c>
      <c r="J46" s="1">
        <v>0</v>
      </c>
      <c r="K46" s="1" t="s">
        <v>21</v>
      </c>
      <c r="L46" s="1">
        <v>2389</v>
      </c>
      <c r="M46" s="1">
        <v>1.08</v>
      </c>
      <c r="N46" s="1">
        <v>0.61726000000000003</v>
      </c>
      <c r="O46" s="1">
        <f>VLOOKUP(D46,underlying!$D$2:$H$75,5,FALSE)</f>
        <v>-0.46</v>
      </c>
      <c r="P46" s="2">
        <f>VLOOKUP(D46,underlying!$D$2:$L$39,9,FALSE)</f>
        <v>42642</v>
      </c>
      <c r="Q46" s="7">
        <f>IF(G46="C",NormalCallSprd(O46,H46,M46,(P46-A46)/365), NormalPutSprd(O46,H46,M46,(P46-A46)/365))</f>
        <v>2.8781118421308021E-2</v>
      </c>
      <c r="R46" s="9">
        <f t="shared" si="1"/>
        <v>1.2188815786919778E-3</v>
      </c>
    </row>
    <row r="47" spans="1:18" x14ac:dyDescent="0.2">
      <c r="A47" s="2">
        <v>42622</v>
      </c>
      <c r="B47" s="1" t="s">
        <v>13</v>
      </c>
      <c r="C47" s="1" t="s">
        <v>14</v>
      </c>
      <c r="D47" s="2">
        <v>42380</v>
      </c>
      <c r="E47" s="2">
        <f t="shared" si="0"/>
        <v>42675</v>
      </c>
      <c r="F47" s="1" t="s">
        <v>15</v>
      </c>
      <c r="G47" s="1" t="s">
        <v>18</v>
      </c>
      <c r="H47" s="1">
        <v>-0.25</v>
      </c>
      <c r="I47" s="1">
        <v>0.24</v>
      </c>
      <c r="J47" s="1">
        <v>0.02</v>
      </c>
      <c r="K47" s="1" t="s">
        <v>21</v>
      </c>
      <c r="L47" s="1">
        <v>2389</v>
      </c>
      <c r="M47" s="1">
        <v>1.08</v>
      </c>
      <c r="N47" s="1">
        <v>0.64124000000000003</v>
      </c>
      <c r="O47" s="1">
        <f>VLOOKUP(D47,underlying!$D$2:$H$75,5,FALSE)</f>
        <v>-0.46</v>
      </c>
      <c r="P47" s="2">
        <f>VLOOKUP(D47,underlying!$D$2:$L$39,9,FALSE)</f>
        <v>42642</v>
      </c>
      <c r="Q47" s="7">
        <f>IF(G47="C",NormalCallSprd(O47,H47,M47,(P47-A47)/365), NormalPutSprd(O47,H47,M47,(P47-A47)/365))</f>
        <v>0.23878111842130806</v>
      </c>
      <c r="R47" s="9">
        <f t="shared" si="1"/>
        <v>1.2188815786919327E-3</v>
      </c>
    </row>
    <row r="48" spans="1:18" x14ac:dyDescent="0.2">
      <c r="A48" s="2">
        <v>42622</v>
      </c>
      <c r="B48" s="1" t="s">
        <v>13</v>
      </c>
      <c r="C48" s="1" t="s">
        <v>14</v>
      </c>
      <c r="D48" s="2">
        <v>42380</v>
      </c>
      <c r="E48" s="2">
        <f t="shared" si="0"/>
        <v>42675</v>
      </c>
      <c r="F48" s="1" t="s">
        <v>15</v>
      </c>
      <c r="G48" s="1" t="s">
        <v>16</v>
      </c>
      <c r="H48" s="1">
        <v>-0.2</v>
      </c>
      <c r="I48" s="1">
        <v>0.02</v>
      </c>
      <c r="J48" s="1">
        <v>-0.01</v>
      </c>
      <c r="K48" s="1" t="s">
        <v>21</v>
      </c>
      <c r="L48" s="1">
        <v>2389</v>
      </c>
      <c r="M48" s="1">
        <v>1.1100000000000001</v>
      </c>
      <c r="N48" s="1">
        <v>0.66691</v>
      </c>
      <c r="O48" s="1">
        <f>VLOOKUP(D48,underlying!$D$2:$H$75,5,FALSE)</f>
        <v>-0.46</v>
      </c>
      <c r="P48" s="2">
        <f>VLOOKUP(D48,underlying!$D$2:$L$39,9,FALSE)</f>
        <v>42642</v>
      </c>
      <c r="Q48" s="7">
        <f>IF(G48="C",NormalCallSprd(O48,H48,M48,(P48-A48)/365), NormalPutSprd(O48,H48,M48,(P48-A48)/365))</f>
        <v>2.1621226451334293E-2</v>
      </c>
      <c r="R48" s="9">
        <f t="shared" si="1"/>
        <v>1.6212264513342928E-3</v>
      </c>
    </row>
    <row r="49" spans="1:18" x14ac:dyDescent="0.2">
      <c r="A49" s="2">
        <v>42622</v>
      </c>
      <c r="B49" s="1" t="s">
        <v>13</v>
      </c>
      <c r="C49" s="1" t="s">
        <v>14</v>
      </c>
      <c r="D49" s="2">
        <v>42380</v>
      </c>
      <c r="E49" s="2">
        <f t="shared" si="0"/>
        <v>42675</v>
      </c>
      <c r="F49" s="1" t="s">
        <v>15</v>
      </c>
      <c r="G49" s="1" t="s">
        <v>18</v>
      </c>
      <c r="H49" s="1">
        <v>-0.2</v>
      </c>
      <c r="I49" s="1">
        <v>0.28000000000000003</v>
      </c>
      <c r="J49" s="1">
        <v>0.01</v>
      </c>
      <c r="K49" s="1" t="s">
        <v>21</v>
      </c>
      <c r="L49" s="1">
        <v>2389</v>
      </c>
      <c r="M49" s="1">
        <v>1.1100000000000001</v>
      </c>
      <c r="N49" s="1">
        <v>0.68820000000000003</v>
      </c>
      <c r="O49" s="1">
        <f>VLOOKUP(D49,underlying!$D$2:$H$75,5,FALSE)</f>
        <v>-0.46</v>
      </c>
      <c r="P49" s="2">
        <f>VLOOKUP(D49,underlying!$D$2:$L$39,9,FALSE)</f>
        <v>42642</v>
      </c>
      <c r="Q49" s="7">
        <f>IF(G49="C",NormalCallSprd(O49,H49,M49,(P49-A49)/365), NormalPutSprd(O49,H49,M49,(P49-A49)/365))</f>
        <v>0.28162122645133431</v>
      </c>
      <c r="R49" s="9">
        <f t="shared" si="1"/>
        <v>1.6212264513342789E-3</v>
      </c>
    </row>
    <row r="50" spans="1:18" x14ac:dyDescent="0.2">
      <c r="A50" s="2">
        <v>42622</v>
      </c>
      <c r="B50" s="1" t="s">
        <v>13</v>
      </c>
      <c r="C50" s="1" t="s">
        <v>14</v>
      </c>
      <c r="D50" s="2">
        <v>42380</v>
      </c>
      <c r="E50" s="2">
        <f t="shared" si="0"/>
        <v>42675</v>
      </c>
      <c r="F50" s="1" t="s">
        <v>15</v>
      </c>
      <c r="G50" s="1" t="s">
        <v>16</v>
      </c>
      <c r="H50" s="1">
        <v>-0.15</v>
      </c>
      <c r="I50" s="1">
        <v>0.02</v>
      </c>
      <c r="J50" s="1">
        <v>0</v>
      </c>
      <c r="K50" s="1" t="s">
        <v>21</v>
      </c>
      <c r="L50" s="1">
        <v>2389</v>
      </c>
      <c r="M50" s="1">
        <v>1.1499999999999999</v>
      </c>
      <c r="N50" s="1">
        <v>0.71181000000000005</v>
      </c>
      <c r="O50" s="1">
        <f>VLOOKUP(D50,underlying!$D$2:$H$75,5,FALSE)</f>
        <v>-0.46</v>
      </c>
      <c r="P50" s="2">
        <f>VLOOKUP(D50,underlying!$D$2:$L$39,9,FALSE)</f>
        <v>42642</v>
      </c>
      <c r="Q50" s="7">
        <f>IF(G50="C",NormalCallSprd(O50,H50,M50,(P50-A50)/365), NormalPutSprd(O50,H50,M50,(P50-A50)/365))</f>
        <v>1.6664708802334803E-2</v>
      </c>
      <c r="R50" s="9">
        <f t="shared" si="1"/>
        <v>3.3352911976651974E-3</v>
      </c>
    </row>
    <row r="51" spans="1:18" x14ac:dyDescent="0.2">
      <c r="A51" s="2">
        <v>42622</v>
      </c>
      <c r="B51" s="1" t="s">
        <v>13</v>
      </c>
      <c r="C51" s="1" t="s">
        <v>14</v>
      </c>
      <c r="D51" s="2">
        <v>42380</v>
      </c>
      <c r="E51" s="2">
        <f t="shared" si="0"/>
        <v>42675</v>
      </c>
      <c r="F51" s="1" t="s">
        <v>15</v>
      </c>
      <c r="G51" s="1" t="s">
        <v>18</v>
      </c>
      <c r="H51" s="1">
        <v>-0.15</v>
      </c>
      <c r="I51" s="1">
        <v>0.33</v>
      </c>
      <c r="J51" s="1">
        <v>0.02</v>
      </c>
      <c r="K51" s="1" t="s">
        <v>21</v>
      </c>
      <c r="L51" s="1">
        <v>2389</v>
      </c>
      <c r="M51" s="1">
        <v>1.1499999999999999</v>
      </c>
      <c r="N51" s="1">
        <v>0.73043999999999998</v>
      </c>
      <c r="O51" s="1">
        <f>VLOOKUP(D51,underlying!$D$2:$H$75,5,FALSE)</f>
        <v>-0.46</v>
      </c>
      <c r="P51" s="2">
        <f>VLOOKUP(D51,underlying!$D$2:$L$39,9,FALSE)</f>
        <v>42642</v>
      </c>
      <c r="Q51" s="7">
        <f>IF(G51="C",NormalCallSprd(O51,H51,M51,(P51-A51)/365), NormalPutSprd(O51,H51,M51,(P51-A51)/365))</f>
        <v>0.32666470880233484</v>
      </c>
      <c r="R51" s="9">
        <f t="shared" si="1"/>
        <v>3.33529119766518E-3</v>
      </c>
    </row>
    <row r="52" spans="1:18" x14ac:dyDescent="0.2">
      <c r="A52" s="2">
        <v>42622</v>
      </c>
      <c r="B52" s="1" t="s">
        <v>13</v>
      </c>
      <c r="C52" s="1" t="s">
        <v>14</v>
      </c>
      <c r="D52" s="2">
        <v>42380</v>
      </c>
      <c r="E52" s="2">
        <f t="shared" si="0"/>
        <v>42675</v>
      </c>
      <c r="F52" s="1" t="s">
        <v>15</v>
      </c>
      <c r="G52" s="1" t="s">
        <v>16</v>
      </c>
      <c r="H52" s="1">
        <v>-0.1</v>
      </c>
      <c r="I52" s="1">
        <v>0.01</v>
      </c>
      <c r="J52" s="1">
        <v>-0.01</v>
      </c>
      <c r="K52" s="1" t="s">
        <v>21</v>
      </c>
      <c r="L52" s="1">
        <v>2389</v>
      </c>
      <c r="M52" s="1">
        <v>1.19</v>
      </c>
      <c r="N52" s="1">
        <v>0.74773999999999996</v>
      </c>
      <c r="O52" s="1">
        <f>VLOOKUP(D52,underlying!$D$2:$H$75,5,FALSE)</f>
        <v>-0.46</v>
      </c>
      <c r="P52" s="2">
        <f>VLOOKUP(D52,underlying!$D$2:$L$39,9,FALSE)</f>
        <v>42642</v>
      </c>
      <c r="Q52" s="7">
        <f>IF(G52="C",NormalCallSprd(O52,H52,M52,(P52-A52)/365), NormalPutSprd(O52,H52,M52,(P52-A52)/365))</f>
        <v>1.2889299880116419E-2</v>
      </c>
      <c r="R52" s="9">
        <f t="shared" si="1"/>
        <v>2.8892998801164187E-3</v>
      </c>
    </row>
    <row r="53" spans="1:18" x14ac:dyDescent="0.2">
      <c r="A53" s="2">
        <v>42622</v>
      </c>
      <c r="B53" s="1" t="s">
        <v>13</v>
      </c>
      <c r="C53" s="1" t="s">
        <v>14</v>
      </c>
      <c r="D53" s="2">
        <v>42380</v>
      </c>
      <c r="E53" s="2">
        <f t="shared" si="0"/>
        <v>42675</v>
      </c>
      <c r="F53" s="1" t="s">
        <v>15</v>
      </c>
      <c r="G53" s="1" t="s">
        <v>18</v>
      </c>
      <c r="H53" s="1">
        <v>-0.1</v>
      </c>
      <c r="I53" s="1">
        <v>0.37</v>
      </c>
      <c r="J53" s="1">
        <v>0.01</v>
      </c>
      <c r="K53" s="1" t="s">
        <v>21</v>
      </c>
      <c r="L53" s="1">
        <v>2389</v>
      </c>
      <c r="M53" s="1">
        <v>1.19</v>
      </c>
      <c r="N53" s="1">
        <v>0.84609999999999996</v>
      </c>
      <c r="O53" s="1">
        <f>VLOOKUP(D53,underlying!$D$2:$H$75,5,FALSE)</f>
        <v>-0.46</v>
      </c>
      <c r="P53" s="2">
        <f>VLOOKUP(D53,underlying!$D$2:$L$39,9,FALSE)</f>
        <v>42642</v>
      </c>
      <c r="Q53" s="7">
        <f>IF(G53="C",NormalCallSprd(O53,H53,M53,(P53-A53)/365), NormalPutSprd(O53,H53,M53,(P53-A53)/365))</f>
        <v>0.37288929988011643</v>
      </c>
      <c r="R53" s="9">
        <f t="shared" si="1"/>
        <v>2.889299880116436E-3</v>
      </c>
    </row>
    <row r="54" spans="1:18" x14ac:dyDescent="0.2">
      <c r="A54" s="2">
        <v>42622</v>
      </c>
      <c r="B54" s="1" t="s">
        <v>13</v>
      </c>
      <c r="C54" s="1" t="s">
        <v>14</v>
      </c>
      <c r="D54" s="2">
        <v>42380</v>
      </c>
      <c r="E54" s="2">
        <f t="shared" si="0"/>
        <v>42675</v>
      </c>
      <c r="F54" s="1" t="s">
        <v>15</v>
      </c>
      <c r="G54" s="1" t="s">
        <v>16</v>
      </c>
      <c r="H54" s="1">
        <v>-0.05</v>
      </c>
      <c r="I54" s="1">
        <v>0.01</v>
      </c>
      <c r="J54" s="1">
        <v>0</v>
      </c>
      <c r="K54" s="1" t="s">
        <v>21</v>
      </c>
      <c r="L54" s="1">
        <v>2389</v>
      </c>
      <c r="M54" s="1">
        <v>1.23</v>
      </c>
      <c r="N54" s="1">
        <v>0.98699999999999999</v>
      </c>
      <c r="O54" s="1">
        <f>VLOOKUP(D54,underlying!$D$2:$H$75,5,FALSE)</f>
        <v>-0.46</v>
      </c>
      <c r="P54" s="2">
        <f>VLOOKUP(D54,underlying!$D$2:$L$39,9,FALSE)</f>
        <v>42642</v>
      </c>
      <c r="Q54" s="7">
        <f>IF(G54="C",NormalCallSprd(O54,H54,M54,(P54-A54)/365), NormalPutSprd(O54,H54,M54,(P54-A54)/365))</f>
        <v>1.0011762356772093E-2</v>
      </c>
      <c r="R54" s="9">
        <f t="shared" si="1"/>
        <v>1.1762356772093002E-5</v>
      </c>
    </row>
    <row r="55" spans="1:18" x14ac:dyDescent="0.2">
      <c r="A55" s="2">
        <v>42622</v>
      </c>
      <c r="B55" s="1" t="s">
        <v>13</v>
      </c>
      <c r="C55" s="1" t="s">
        <v>14</v>
      </c>
      <c r="D55" s="2">
        <v>42380</v>
      </c>
      <c r="E55" s="2">
        <f t="shared" si="0"/>
        <v>42675</v>
      </c>
      <c r="F55" s="1" t="s">
        <v>15</v>
      </c>
      <c r="G55" s="1" t="s">
        <v>18</v>
      </c>
      <c r="H55" s="1">
        <v>-0.05</v>
      </c>
      <c r="I55" s="1">
        <v>0.42</v>
      </c>
      <c r="J55" s="1">
        <v>0.02</v>
      </c>
      <c r="K55" s="1" t="s">
        <v>21</v>
      </c>
      <c r="L55" s="1">
        <v>2389</v>
      </c>
      <c r="M55" s="1">
        <v>1.23</v>
      </c>
      <c r="N55" s="1">
        <v>0.95701999999999998</v>
      </c>
      <c r="O55" s="1">
        <f>VLOOKUP(D55,underlying!$D$2:$H$75,5,FALSE)</f>
        <v>-0.46</v>
      </c>
      <c r="P55" s="2">
        <f>VLOOKUP(D55,underlying!$D$2:$L$39,9,FALSE)</f>
        <v>42642</v>
      </c>
      <c r="Q55" s="7">
        <f>IF(G55="C",NormalCallSprd(O55,H55,M55,(P55-A55)/365), NormalPutSprd(O55,H55,M55,(P55-A55)/365))</f>
        <v>0.42001176235677212</v>
      </c>
      <c r="R55" s="9">
        <f t="shared" si="1"/>
        <v>1.1762356772138105E-5</v>
      </c>
    </row>
    <row r="56" spans="1:18" x14ac:dyDescent="0.2">
      <c r="A56" s="2">
        <v>42622</v>
      </c>
      <c r="B56" s="1" t="s">
        <v>13</v>
      </c>
      <c r="C56" s="1" t="s">
        <v>14</v>
      </c>
      <c r="D56" s="2">
        <v>42381</v>
      </c>
      <c r="E56" s="2">
        <f t="shared" si="0"/>
        <v>42705</v>
      </c>
      <c r="F56" s="1" t="s">
        <v>15</v>
      </c>
      <c r="G56" s="1" t="s">
        <v>16</v>
      </c>
      <c r="H56" s="1">
        <v>-4</v>
      </c>
      <c r="I56" s="1">
        <v>3.54</v>
      </c>
      <c r="J56" s="1">
        <v>0.01</v>
      </c>
      <c r="K56" s="1" t="s">
        <v>28</v>
      </c>
      <c r="L56" s="1">
        <v>2389</v>
      </c>
      <c r="M56" s="1">
        <v>2.14</v>
      </c>
      <c r="N56" s="1">
        <v>0.97899999999999998</v>
      </c>
      <c r="O56" s="1">
        <f>VLOOKUP(D56,underlying!$D$2:$H$75,5,FALSE)</f>
        <v>-0.46</v>
      </c>
      <c r="P56" s="2">
        <f>VLOOKUP(D56,underlying!$D$2:$L$39,9,FALSE)</f>
        <v>42671</v>
      </c>
      <c r="Q56" s="7">
        <f>IF(G56="C",NormalCallSprd(O56,H56,M56,(P56-A56)/365), NormalPutSprd(O56,H56,M56,(P56-A56)/365))</f>
        <v>3.5400005062546942</v>
      </c>
      <c r="R56" s="9">
        <f t="shared" si="1"/>
        <v>5.0625469416587521E-7</v>
      </c>
    </row>
    <row r="57" spans="1:18" x14ac:dyDescent="0.2">
      <c r="A57" s="2">
        <v>42622</v>
      </c>
      <c r="B57" s="1" t="s">
        <v>13</v>
      </c>
      <c r="C57" s="1" t="s">
        <v>14</v>
      </c>
      <c r="D57" s="2">
        <v>42381</v>
      </c>
      <c r="E57" s="2">
        <f t="shared" si="0"/>
        <v>42705</v>
      </c>
      <c r="F57" s="1" t="s">
        <v>15</v>
      </c>
      <c r="G57" s="1" t="s">
        <v>18</v>
      </c>
      <c r="H57" s="1">
        <v>-4</v>
      </c>
      <c r="I57" s="1">
        <v>0.01</v>
      </c>
      <c r="J57" s="1">
        <v>0</v>
      </c>
      <c r="K57" s="1" t="s">
        <v>28</v>
      </c>
      <c r="L57" s="1">
        <v>2389</v>
      </c>
      <c r="M57" s="1">
        <v>2.14</v>
      </c>
      <c r="N57" s="1">
        <v>-0.54213</v>
      </c>
      <c r="O57" s="1">
        <f>VLOOKUP(D57,underlying!$D$2:$H$75,5,FALSE)</f>
        <v>-0.46</v>
      </c>
      <c r="P57" s="2">
        <f>VLOOKUP(D57,underlying!$D$2:$L$39,9,FALSE)</f>
        <v>42671</v>
      </c>
      <c r="Q57" s="7">
        <f>IF(G57="C",NormalCallSprd(O57,H57,M57,(P57-A57)/365), NormalPutSprd(O57,H57,M57,(P57-A57)/365))</f>
        <v>5.0625469417301051E-7</v>
      </c>
      <c r="R57" s="9">
        <f t="shared" si="1"/>
        <v>9.9994937453058274E-3</v>
      </c>
    </row>
    <row r="58" spans="1:18" x14ac:dyDescent="0.2">
      <c r="A58" s="2">
        <v>42622</v>
      </c>
      <c r="B58" s="1" t="s">
        <v>13</v>
      </c>
      <c r="C58" s="1" t="s">
        <v>14</v>
      </c>
      <c r="D58" s="2">
        <v>42381</v>
      </c>
      <c r="E58" s="2">
        <f t="shared" si="0"/>
        <v>42705</v>
      </c>
      <c r="F58" s="1" t="s">
        <v>15</v>
      </c>
      <c r="G58" s="1" t="s">
        <v>16</v>
      </c>
      <c r="H58" s="1">
        <v>-3</v>
      </c>
      <c r="I58" s="1">
        <v>2.54</v>
      </c>
      <c r="J58" s="1">
        <v>0.01</v>
      </c>
      <c r="K58" s="1" t="s">
        <v>28</v>
      </c>
      <c r="L58" s="1">
        <v>2389</v>
      </c>
      <c r="M58" s="1">
        <v>1.74</v>
      </c>
      <c r="N58" s="1">
        <v>-0.51178000000000001</v>
      </c>
      <c r="O58" s="1">
        <f>VLOOKUP(D58,underlying!$D$2:$H$75,5,FALSE)</f>
        <v>-0.46</v>
      </c>
      <c r="P58" s="2">
        <f>VLOOKUP(D58,underlying!$D$2:$L$39,9,FALSE)</f>
        <v>42671</v>
      </c>
      <c r="Q58" s="7">
        <f>IF(G58="C",NormalCallSprd(O58,H58,M58,(P58-A58)/365), NormalPutSprd(O58,H58,M58,(P58-A58)/365))</f>
        <v>2.5400048868580734</v>
      </c>
      <c r="R58" s="9">
        <f t="shared" si="1"/>
        <v>4.8868580733163469E-6</v>
      </c>
    </row>
    <row r="59" spans="1:18" x14ac:dyDescent="0.2">
      <c r="A59" s="2">
        <v>42622</v>
      </c>
      <c r="B59" s="1" t="s">
        <v>13</v>
      </c>
      <c r="C59" s="1" t="s">
        <v>14</v>
      </c>
      <c r="D59" s="2">
        <v>42381</v>
      </c>
      <c r="E59" s="2">
        <f t="shared" si="0"/>
        <v>42705</v>
      </c>
      <c r="F59" s="1" t="s">
        <v>15</v>
      </c>
      <c r="G59" s="1" t="s">
        <v>18</v>
      </c>
      <c r="H59" s="1">
        <v>-3</v>
      </c>
      <c r="I59" s="1">
        <v>0.01</v>
      </c>
      <c r="J59" s="1">
        <v>0</v>
      </c>
      <c r="K59" s="1" t="s">
        <v>28</v>
      </c>
      <c r="L59" s="1">
        <v>2389</v>
      </c>
      <c r="M59" s="1">
        <v>1.74</v>
      </c>
      <c r="N59" s="1">
        <v>-0.48157</v>
      </c>
      <c r="O59" s="1">
        <f>VLOOKUP(D59,underlying!$D$2:$H$75,5,FALSE)</f>
        <v>-0.46</v>
      </c>
      <c r="P59" s="2">
        <f>VLOOKUP(D59,underlying!$D$2:$L$39,9,FALSE)</f>
        <v>42671</v>
      </c>
      <c r="Q59" s="7">
        <f>IF(G59="C",NormalCallSprd(O59,H59,M59,(P59-A59)/365), NormalPutSprd(O59,H59,M59,(P59-A59)/365))</f>
        <v>4.8868580735880734E-6</v>
      </c>
      <c r="R59" s="9">
        <f t="shared" si="1"/>
        <v>9.9951131419264115E-3</v>
      </c>
    </row>
    <row r="60" spans="1:18" x14ac:dyDescent="0.2">
      <c r="A60" s="2">
        <v>42622</v>
      </c>
      <c r="B60" s="1" t="s">
        <v>13</v>
      </c>
      <c r="C60" s="1" t="s">
        <v>14</v>
      </c>
      <c r="D60" s="2">
        <v>42381</v>
      </c>
      <c r="E60" s="2">
        <f t="shared" si="0"/>
        <v>42705</v>
      </c>
      <c r="F60" s="1" t="s">
        <v>15</v>
      </c>
      <c r="G60" s="1" t="s">
        <v>16</v>
      </c>
      <c r="H60" s="1">
        <v>-2</v>
      </c>
      <c r="I60" s="1">
        <v>1.54</v>
      </c>
      <c r="J60" s="1">
        <v>0.01</v>
      </c>
      <c r="K60" s="1" t="s">
        <v>28</v>
      </c>
      <c r="L60" s="1">
        <v>2389</v>
      </c>
      <c r="M60" s="1">
        <v>1.25</v>
      </c>
      <c r="N60" s="1">
        <v>-0.45182</v>
      </c>
      <c r="O60" s="1">
        <f>VLOOKUP(D60,underlying!$D$2:$H$75,5,FALSE)</f>
        <v>-0.46</v>
      </c>
      <c r="P60" s="2">
        <f>VLOOKUP(D60,underlying!$D$2:$L$39,9,FALSE)</f>
        <v>42671</v>
      </c>
      <c r="Q60" s="7">
        <f>IF(G60="C",NormalCallSprd(O60,H60,M60,(P60-A60)/365), NormalPutSprd(O60,H60,M60,(P60-A60)/365))</f>
        <v>1.5400458950310481</v>
      </c>
      <c r="R60" s="9">
        <f t="shared" si="1"/>
        <v>4.5895031048015511E-5</v>
      </c>
    </row>
    <row r="61" spans="1:18" x14ac:dyDescent="0.2">
      <c r="A61" s="2">
        <v>42622</v>
      </c>
      <c r="B61" s="1" t="s">
        <v>13</v>
      </c>
      <c r="C61" s="1" t="s">
        <v>14</v>
      </c>
      <c r="D61" s="2">
        <v>42381</v>
      </c>
      <c r="E61" s="2">
        <f t="shared" si="0"/>
        <v>42705</v>
      </c>
      <c r="F61" s="1" t="s">
        <v>15</v>
      </c>
      <c r="G61" s="1" t="s">
        <v>18</v>
      </c>
      <c r="H61" s="1">
        <v>-2</v>
      </c>
      <c r="I61" s="1">
        <v>0.01</v>
      </c>
      <c r="J61" s="1">
        <v>0</v>
      </c>
      <c r="K61" s="1" t="s">
        <v>28</v>
      </c>
      <c r="L61" s="1">
        <v>2389</v>
      </c>
      <c r="M61" s="1">
        <v>1.25</v>
      </c>
      <c r="N61" s="1">
        <v>-0.42377999999999999</v>
      </c>
      <c r="O61" s="1">
        <f>VLOOKUP(D61,underlying!$D$2:$H$75,5,FALSE)</f>
        <v>-0.46</v>
      </c>
      <c r="P61" s="2">
        <f>VLOOKUP(D61,underlying!$D$2:$L$39,9,FALSE)</f>
        <v>42671</v>
      </c>
      <c r="Q61" s="7">
        <f>IF(G61="C",NormalCallSprd(O61,H61,M61,(P61-A61)/365), NormalPutSprd(O61,H61,M61,(P61-A61)/365))</f>
        <v>4.5895031048170491E-5</v>
      </c>
      <c r="R61" s="9">
        <f t="shared" si="1"/>
        <v>9.9541049689518303E-3</v>
      </c>
    </row>
    <row r="62" spans="1:18" x14ac:dyDescent="0.2">
      <c r="A62" s="2">
        <v>42622</v>
      </c>
      <c r="B62" s="1" t="s">
        <v>13</v>
      </c>
      <c r="C62" s="1" t="s">
        <v>14</v>
      </c>
      <c r="D62" s="2">
        <v>42381</v>
      </c>
      <c r="E62" s="2">
        <f t="shared" si="0"/>
        <v>42705</v>
      </c>
      <c r="F62" s="1" t="s">
        <v>15</v>
      </c>
      <c r="G62" s="1" t="s">
        <v>16</v>
      </c>
      <c r="H62" s="1">
        <v>-1.25</v>
      </c>
      <c r="I62" s="1">
        <v>0.79</v>
      </c>
      <c r="J62" s="1">
        <v>0.01</v>
      </c>
      <c r="K62" s="1" t="s">
        <v>28</v>
      </c>
      <c r="L62" s="1">
        <v>2389</v>
      </c>
      <c r="M62" s="1">
        <v>0.88</v>
      </c>
      <c r="N62" s="1">
        <v>-0.39722000000000002</v>
      </c>
      <c r="O62" s="1">
        <f>VLOOKUP(D62,underlying!$D$2:$H$75,5,FALSE)</f>
        <v>-0.46</v>
      </c>
      <c r="P62" s="2">
        <f>VLOOKUP(D62,underlying!$D$2:$L$39,9,FALSE)</f>
        <v>42671</v>
      </c>
      <c r="Q62" s="7">
        <f>IF(G62="C",NormalCallSprd(O62,H62,M62,(P62-A62)/365), NormalPutSprd(O62,H62,M62,(P62-A62)/365))</f>
        <v>0.79075332063516646</v>
      </c>
      <c r="R62" s="9">
        <f t="shared" si="1"/>
        <v>7.5332063516642123E-4</v>
      </c>
    </row>
    <row r="63" spans="1:18" x14ac:dyDescent="0.2">
      <c r="A63" s="2">
        <v>42622</v>
      </c>
      <c r="B63" s="1" t="s">
        <v>13</v>
      </c>
      <c r="C63" s="1" t="s">
        <v>14</v>
      </c>
      <c r="D63" s="2">
        <v>42381</v>
      </c>
      <c r="E63" s="2">
        <f t="shared" si="0"/>
        <v>42705</v>
      </c>
      <c r="F63" s="1" t="s">
        <v>15</v>
      </c>
      <c r="G63" s="1" t="s">
        <v>18</v>
      </c>
      <c r="H63" s="1">
        <v>-1.25</v>
      </c>
      <c r="I63" s="1">
        <v>0.01</v>
      </c>
      <c r="J63" s="1">
        <v>0</v>
      </c>
      <c r="K63" s="1" t="s">
        <v>28</v>
      </c>
      <c r="L63" s="1">
        <v>2389</v>
      </c>
      <c r="M63" s="1">
        <v>0.88</v>
      </c>
      <c r="N63" s="1">
        <v>-0.36974000000000001</v>
      </c>
      <c r="O63" s="1">
        <f>VLOOKUP(D63,underlying!$D$2:$H$75,5,FALSE)</f>
        <v>-0.46</v>
      </c>
      <c r="P63" s="2">
        <f>VLOOKUP(D63,underlying!$D$2:$L$39,9,FALSE)</f>
        <v>42671</v>
      </c>
      <c r="Q63" s="7">
        <f>IF(G63="C",NormalCallSprd(O63,H63,M63,(P63-A63)/365), NormalPutSprd(O63,H63,M63,(P63-A63)/365))</f>
        <v>7.5332063516647392E-4</v>
      </c>
      <c r="R63" s="9">
        <f t="shared" si="1"/>
        <v>9.2466793648335269E-3</v>
      </c>
    </row>
    <row r="64" spans="1:18" x14ac:dyDescent="0.2">
      <c r="A64" s="2">
        <v>42622</v>
      </c>
      <c r="B64" s="1" t="s">
        <v>13</v>
      </c>
      <c r="C64" s="1" t="s">
        <v>14</v>
      </c>
      <c r="D64" s="2">
        <v>42381</v>
      </c>
      <c r="E64" s="2">
        <f t="shared" si="0"/>
        <v>42705</v>
      </c>
      <c r="F64" s="1" t="s">
        <v>15</v>
      </c>
      <c r="G64" s="1" t="s">
        <v>16</v>
      </c>
      <c r="H64" s="1">
        <v>-1.05</v>
      </c>
      <c r="I64" s="1">
        <v>0.59</v>
      </c>
      <c r="J64" s="1">
        <v>0.01</v>
      </c>
      <c r="K64" s="1" t="s">
        <v>28</v>
      </c>
      <c r="L64" s="1">
        <v>2389</v>
      </c>
      <c r="M64" s="1">
        <v>0.8</v>
      </c>
      <c r="N64" s="1">
        <v>-0.34576000000000001</v>
      </c>
      <c r="O64" s="1">
        <f>VLOOKUP(D64,underlying!$D$2:$H$75,5,FALSE)</f>
        <v>-0.46</v>
      </c>
      <c r="P64" s="2">
        <f>VLOOKUP(D64,underlying!$D$2:$L$39,9,FALSE)</f>
        <v>42671</v>
      </c>
      <c r="Q64" s="7">
        <f>IF(G64="C",NormalCallSprd(O64,H64,M64,(P64-A64)/365), NormalPutSprd(O64,H64,M64,(P64-A64)/365))</f>
        <v>0.59240440822142237</v>
      </c>
      <c r="R64" s="9">
        <f t="shared" si="1"/>
        <v>2.404408221422405E-3</v>
      </c>
    </row>
    <row r="65" spans="1:18" x14ac:dyDescent="0.2">
      <c r="A65" s="2">
        <v>42622</v>
      </c>
      <c r="B65" s="1" t="s">
        <v>13</v>
      </c>
      <c r="C65" s="1" t="s">
        <v>14</v>
      </c>
      <c r="D65" s="2">
        <v>42381</v>
      </c>
      <c r="E65" s="2">
        <f t="shared" si="0"/>
        <v>42705</v>
      </c>
      <c r="F65" s="1" t="s">
        <v>15</v>
      </c>
      <c r="G65" s="1" t="s">
        <v>18</v>
      </c>
      <c r="H65" s="1">
        <v>-1.05</v>
      </c>
      <c r="I65" s="1">
        <v>0.01</v>
      </c>
      <c r="J65" s="1">
        <v>0</v>
      </c>
      <c r="K65" s="1" t="s">
        <v>28</v>
      </c>
      <c r="L65" s="1">
        <v>2389</v>
      </c>
      <c r="M65" s="1">
        <v>0.8</v>
      </c>
      <c r="N65" s="1">
        <v>-0.3201</v>
      </c>
      <c r="O65" s="1">
        <f>VLOOKUP(D65,underlying!$D$2:$H$75,5,FALSE)</f>
        <v>-0.46</v>
      </c>
      <c r="P65" s="2">
        <f>VLOOKUP(D65,underlying!$D$2:$L$39,9,FALSE)</f>
        <v>42671</v>
      </c>
      <c r="Q65" s="7">
        <f>IF(G65="C",NormalCallSprd(O65,H65,M65,(P65-A65)/365), NormalPutSprd(O65,H65,M65,(P65-A65)/365))</f>
        <v>2.4044082214223481E-3</v>
      </c>
      <c r="R65" s="9">
        <f t="shared" si="1"/>
        <v>7.5955917785776525E-3</v>
      </c>
    </row>
    <row r="66" spans="1:18" x14ac:dyDescent="0.2">
      <c r="A66" s="2">
        <v>42622</v>
      </c>
      <c r="B66" s="1" t="s">
        <v>13</v>
      </c>
      <c r="C66" s="1" t="s">
        <v>14</v>
      </c>
      <c r="D66" s="2">
        <v>42381</v>
      </c>
      <c r="E66" s="2">
        <f t="shared" ref="E66:E129" si="2">DATE(YEAR(D66),DAY(D66),MONTH(D66))</f>
        <v>42705</v>
      </c>
      <c r="F66" s="1" t="s">
        <v>15</v>
      </c>
      <c r="G66" s="1" t="s">
        <v>16</v>
      </c>
      <c r="H66" s="1">
        <v>-1</v>
      </c>
      <c r="I66" s="1">
        <v>0.54</v>
      </c>
      <c r="J66" s="1">
        <v>0.01</v>
      </c>
      <c r="K66" s="1" t="s">
        <v>28</v>
      </c>
      <c r="L66" s="1">
        <v>2389</v>
      </c>
      <c r="M66" s="1">
        <v>0.78</v>
      </c>
      <c r="N66" s="1">
        <v>-0.29880000000000001</v>
      </c>
      <c r="O66" s="1">
        <f>VLOOKUP(D66,underlying!$D$2:$H$75,5,FALSE)</f>
        <v>-0.46</v>
      </c>
      <c r="P66" s="2">
        <f>VLOOKUP(D66,underlying!$D$2:$L$39,9,FALSE)</f>
        <v>42671</v>
      </c>
      <c r="Q66" s="7">
        <f>IF(G66="C",NormalCallSprd(O66,H66,M66,(P66-A66)/365), NormalPutSprd(O66,H66,M66,(P66-A66)/365))</f>
        <v>0.54324640614011632</v>
      </c>
      <c r="R66" s="9">
        <f t="shared" si="1"/>
        <v>3.2464061401162869E-3</v>
      </c>
    </row>
    <row r="67" spans="1:18" x14ac:dyDescent="0.2">
      <c r="A67" s="2">
        <v>42622</v>
      </c>
      <c r="B67" s="1" t="s">
        <v>13</v>
      </c>
      <c r="C67" s="1" t="s">
        <v>14</v>
      </c>
      <c r="D67" s="2">
        <v>42381</v>
      </c>
      <c r="E67" s="2">
        <f t="shared" si="2"/>
        <v>42705</v>
      </c>
      <c r="F67" s="1" t="s">
        <v>15</v>
      </c>
      <c r="G67" s="1" t="s">
        <v>18</v>
      </c>
      <c r="H67" s="1">
        <v>-1</v>
      </c>
      <c r="I67" s="1">
        <v>0.01</v>
      </c>
      <c r="J67" s="1">
        <v>0</v>
      </c>
      <c r="K67" s="1" t="s">
        <v>28</v>
      </c>
      <c r="L67" s="1">
        <v>2389</v>
      </c>
      <c r="M67" s="1">
        <v>0.78</v>
      </c>
      <c r="N67" s="1">
        <v>-0.2752</v>
      </c>
      <c r="O67" s="1">
        <f>VLOOKUP(D67,underlying!$D$2:$H$75,5,FALSE)</f>
        <v>-0.46</v>
      </c>
      <c r="P67" s="2">
        <f>VLOOKUP(D67,underlying!$D$2:$L$39,9,FALSE)</f>
        <v>42671</v>
      </c>
      <c r="Q67" s="7">
        <f>IF(G67="C",NormalCallSprd(O67,H67,M67,(P67-A67)/365), NormalPutSprd(O67,H67,M67,(P67-A67)/365))</f>
        <v>3.2464061401163949E-3</v>
      </c>
      <c r="R67" s="9">
        <f t="shared" ref="R67:R130" si="3">ABS(Q67-I67)</f>
        <v>6.7535938598836057E-3</v>
      </c>
    </row>
    <row r="68" spans="1:18" x14ac:dyDescent="0.2">
      <c r="A68" s="2">
        <v>42622</v>
      </c>
      <c r="B68" s="1" t="s">
        <v>13</v>
      </c>
      <c r="C68" s="1" t="s">
        <v>14</v>
      </c>
      <c r="D68" s="2">
        <v>42381</v>
      </c>
      <c r="E68" s="2">
        <f t="shared" si="2"/>
        <v>42705</v>
      </c>
      <c r="F68" s="1" t="s">
        <v>15</v>
      </c>
      <c r="G68" s="1" t="s">
        <v>16</v>
      </c>
      <c r="H68" s="1">
        <v>-0.95</v>
      </c>
      <c r="I68" s="1">
        <v>0.49</v>
      </c>
      <c r="J68" s="1">
        <v>0</v>
      </c>
      <c r="K68" s="1" t="s">
        <v>28</v>
      </c>
      <c r="L68" s="1">
        <v>2389</v>
      </c>
      <c r="M68" s="1">
        <v>0.77</v>
      </c>
      <c r="N68" s="1">
        <v>-0.25656000000000001</v>
      </c>
      <c r="O68" s="1">
        <f>VLOOKUP(D68,underlying!$D$2:$H$75,5,FALSE)</f>
        <v>-0.46</v>
      </c>
      <c r="P68" s="2">
        <f>VLOOKUP(D68,underlying!$D$2:$L$39,9,FALSE)</f>
        <v>42671</v>
      </c>
      <c r="Q68" s="7">
        <f>IF(G68="C",NormalCallSprd(O68,H68,M68,(P68-A68)/365), NormalPutSprd(O68,H68,M68,(P68-A68)/365))</f>
        <v>0.49471417622424385</v>
      </c>
      <c r="R68" s="9">
        <f t="shared" si="3"/>
        <v>4.7141762242438601E-3</v>
      </c>
    </row>
    <row r="69" spans="1:18" x14ac:dyDescent="0.2">
      <c r="A69" s="2">
        <v>42622</v>
      </c>
      <c r="B69" s="1" t="s">
        <v>13</v>
      </c>
      <c r="C69" s="1" t="s">
        <v>14</v>
      </c>
      <c r="D69" s="2">
        <v>42381</v>
      </c>
      <c r="E69" s="2">
        <f t="shared" si="2"/>
        <v>42705</v>
      </c>
      <c r="F69" s="1" t="s">
        <v>15</v>
      </c>
      <c r="G69" s="1" t="s">
        <v>18</v>
      </c>
      <c r="H69" s="1">
        <v>-0.95</v>
      </c>
      <c r="I69" s="1">
        <v>0.01</v>
      </c>
      <c r="J69" s="1">
        <v>0</v>
      </c>
      <c r="K69" s="1" t="s">
        <v>28</v>
      </c>
      <c r="L69" s="1">
        <v>2389</v>
      </c>
      <c r="M69" s="1">
        <v>0.77</v>
      </c>
      <c r="N69" s="1">
        <v>-0.23926</v>
      </c>
      <c r="O69" s="1">
        <f>VLOOKUP(D69,underlying!$D$2:$H$75,5,FALSE)</f>
        <v>-0.46</v>
      </c>
      <c r="P69" s="2">
        <f>VLOOKUP(D69,underlying!$D$2:$L$39,9,FALSE)</f>
        <v>42671</v>
      </c>
      <c r="Q69" s="7">
        <f>IF(G69="C",NormalCallSprd(O69,H69,M69,(P69-A69)/365), NormalPutSprd(O69,H69,M69,(P69-A69)/365))</f>
        <v>4.7141762242438705E-3</v>
      </c>
      <c r="R69" s="9">
        <f t="shared" si="3"/>
        <v>5.2858237757561297E-3</v>
      </c>
    </row>
    <row r="70" spans="1:18" x14ac:dyDescent="0.2">
      <c r="A70" s="2">
        <v>42622</v>
      </c>
      <c r="B70" s="1" t="s">
        <v>13</v>
      </c>
      <c r="C70" s="1" t="s">
        <v>14</v>
      </c>
      <c r="D70" s="2">
        <v>42381</v>
      </c>
      <c r="E70" s="2">
        <f t="shared" si="2"/>
        <v>42705</v>
      </c>
      <c r="F70" s="1" t="s">
        <v>15</v>
      </c>
      <c r="G70" s="1" t="s">
        <v>16</v>
      </c>
      <c r="H70" s="1">
        <v>-0.9</v>
      </c>
      <c r="I70" s="1">
        <v>0.45</v>
      </c>
      <c r="J70" s="1">
        <v>0.01</v>
      </c>
      <c r="K70" s="1" t="s">
        <v>28</v>
      </c>
      <c r="L70" s="1">
        <v>2389</v>
      </c>
      <c r="M70" s="1">
        <v>0.76</v>
      </c>
      <c r="N70" s="1">
        <v>-0.14091000000000001</v>
      </c>
      <c r="O70" s="1">
        <f>VLOOKUP(D70,underlying!$D$2:$H$75,5,FALSE)</f>
        <v>-0.46</v>
      </c>
      <c r="P70" s="2">
        <f>VLOOKUP(D70,underlying!$D$2:$L$39,9,FALSE)</f>
        <v>42671</v>
      </c>
      <c r="Q70" s="7">
        <f>IF(G70="C",NormalCallSprd(O70,H70,M70,(P70-A70)/365), NormalPutSprd(O70,H70,M70,(P70-A70)/365))</f>
        <v>0.4467816710784549</v>
      </c>
      <c r="R70" s="9">
        <f t="shared" si="3"/>
        <v>3.2183289215451105E-3</v>
      </c>
    </row>
    <row r="71" spans="1:18" x14ac:dyDescent="0.2">
      <c r="A71" s="2">
        <v>42622</v>
      </c>
      <c r="B71" s="1" t="s">
        <v>13</v>
      </c>
      <c r="C71" s="1" t="s">
        <v>14</v>
      </c>
      <c r="D71" s="2">
        <v>42381</v>
      </c>
      <c r="E71" s="2">
        <f t="shared" si="2"/>
        <v>42705</v>
      </c>
      <c r="F71" s="1" t="s">
        <v>15</v>
      </c>
      <c r="G71" s="1" t="s">
        <v>18</v>
      </c>
      <c r="H71" s="1">
        <v>-0.9</v>
      </c>
      <c r="I71" s="1">
        <v>0.01</v>
      </c>
      <c r="J71" s="1">
        <v>0</v>
      </c>
      <c r="K71" s="1" t="s">
        <v>28</v>
      </c>
      <c r="L71" s="1">
        <v>2389</v>
      </c>
      <c r="M71" s="1">
        <v>0.76</v>
      </c>
      <c r="N71" s="1">
        <v>0</v>
      </c>
      <c r="O71" s="1">
        <f>VLOOKUP(D71,underlying!$D$2:$H$75,5,FALSE)</f>
        <v>-0.46</v>
      </c>
      <c r="P71" s="2">
        <f>VLOOKUP(D71,underlying!$D$2:$L$39,9,FALSE)</f>
        <v>42671</v>
      </c>
      <c r="Q71" s="7">
        <f>IF(G71="C",NormalCallSprd(O71,H71,M71,(P71-A71)/365), NormalPutSprd(O71,H71,M71,(P71-A71)/365))</f>
        <v>6.7816710784548758E-3</v>
      </c>
      <c r="R71" s="9">
        <f t="shared" si="3"/>
        <v>3.2183289215451244E-3</v>
      </c>
    </row>
    <row r="72" spans="1:18" x14ac:dyDescent="0.2">
      <c r="A72" s="2">
        <v>42622</v>
      </c>
      <c r="B72" s="1" t="s">
        <v>13</v>
      </c>
      <c r="C72" s="1" t="s">
        <v>14</v>
      </c>
      <c r="D72" s="2">
        <v>42381</v>
      </c>
      <c r="E72" s="2">
        <f t="shared" si="2"/>
        <v>42705</v>
      </c>
      <c r="F72" s="1" t="s">
        <v>15</v>
      </c>
      <c r="G72" s="1" t="s">
        <v>16</v>
      </c>
      <c r="H72" s="1">
        <v>-0.85</v>
      </c>
      <c r="I72" s="1">
        <v>0.4</v>
      </c>
      <c r="J72" s="1">
        <v>0.01</v>
      </c>
      <c r="K72" s="1" t="s">
        <v>28</v>
      </c>
      <c r="L72" s="1">
        <v>2389</v>
      </c>
      <c r="M72" s="1">
        <v>0.76</v>
      </c>
      <c r="N72" s="1">
        <v>-2.998E-2</v>
      </c>
      <c r="O72" s="1">
        <f>VLOOKUP(D72,underlying!$D$2:$H$75,5,FALSE)</f>
        <v>-0.46</v>
      </c>
      <c r="P72" s="2">
        <f>VLOOKUP(D72,underlying!$D$2:$L$39,9,FALSE)</f>
        <v>42671</v>
      </c>
      <c r="Q72" s="7">
        <f>IF(G72="C",NormalCallSprd(O72,H72,M72,(P72-A72)/365), NormalPutSprd(O72,H72,M72,(P72-A72)/365))</f>
        <v>0.40019824794931347</v>
      </c>
      <c r="R72" s="9">
        <f t="shared" si="3"/>
        <v>1.9824794931344591E-4</v>
      </c>
    </row>
    <row r="73" spans="1:18" x14ac:dyDescent="0.2">
      <c r="A73" s="2">
        <v>42622</v>
      </c>
      <c r="B73" s="1" t="s">
        <v>13</v>
      </c>
      <c r="C73" s="1" t="s">
        <v>14</v>
      </c>
      <c r="D73" s="2">
        <v>42381</v>
      </c>
      <c r="E73" s="2">
        <f t="shared" si="2"/>
        <v>42705</v>
      </c>
      <c r="F73" s="1" t="s">
        <v>15</v>
      </c>
      <c r="G73" s="1" t="s">
        <v>18</v>
      </c>
      <c r="H73" s="1">
        <v>-0.85</v>
      </c>
      <c r="I73" s="1">
        <v>0.01</v>
      </c>
      <c r="J73" s="1">
        <v>0</v>
      </c>
      <c r="K73" s="1" t="s">
        <v>28</v>
      </c>
      <c r="L73" s="1">
        <v>2389</v>
      </c>
      <c r="M73" s="1">
        <v>0.76</v>
      </c>
      <c r="N73" s="1">
        <v>-8.0000000000000002E-3</v>
      </c>
      <c r="O73" s="1">
        <f>VLOOKUP(D73,underlying!$D$2:$H$75,5,FALSE)</f>
        <v>-0.46</v>
      </c>
      <c r="P73" s="2">
        <f>VLOOKUP(D73,underlying!$D$2:$L$39,9,FALSE)</f>
        <v>42671</v>
      </c>
      <c r="Q73" s="7">
        <f>IF(G73="C",NormalCallSprd(O73,H73,M73,(P73-A73)/365), NormalPutSprd(O73,H73,M73,(P73-A73)/365))</f>
        <v>1.019824794931351E-2</v>
      </c>
      <c r="R73" s="9">
        <f t="shared" si="3"/>
        <v>1.982479493135101E-4</v>
      </c>
    </row>
    <row r="74" spans="1:18" x14ac:dyDescent="0.2">
      <c r="A74" s="2">
        <v>42622</v>
      </c>
      <c r="B74" s="1" t="s">
        <v>13</v>
      </c>
      <c r="C74" s="1" t="s">
        <v>14</v>
      </c>
      <c r="D74" s="2">
        <v>42381</v>
      </c>
      <c r="E74" s="2">
        <f t="shared" si="2"/>
        <v>42705</v>
      </c>
      <c r="F74" s="1" t="s">
        <v>15</v>
      </c>
      <c r="G74" s="1" t="s">
        <v>16</v>
      </c>
      <c r="H74" s="1">
        <v>-0.8</v>
      </c>
      <c r="I74" s="1">
        <v>0.35</v>
      </c>
      <c r="J74" s="1">
        <v>0</v>
      </c>
      <c r="K74" s="1" t="s">
        <v>28</v>
      </c>
      <c r="L74" s="1">
        <v>2389</v>
      </c>
      <c r="M74" s="1">
        <v>0.75</v>
      </c>
      <c r="N74" s="1">
        <v>0.45162999999999998</v>
      </c>
      <c r="O74" s="1">
        <f>VLOOKUP(D74,underlying!$D$2:$H$75,5,FALSE)</f>
        <v>-0.46</v>
      </c>
      <c r="P74" s="2">
        <f>VLOOKUP(D74,underlying!$D$2:$L$39,9,FALSE)</f>
        <v>42671</v>
      </c>
      <c r="Q74" s="7">
        <f>IF(G74="C",NormalCallSprd(O74,H74,M74,(P74-A74)/365), NormalPutSprd(O74,H74,M74,(P74-A74)/365))</f>
        <v>0.35427468541274543</v>
      </c>
      <c r="R74" s="9">
        <f t="shared" si="3"/>
        <v>4.2746854127454492E-3</v>
      </c>
    </row>
    <row r="75" spans="1:18" x14ac:dyDescent="0.2">
      <c r="A75" s="2">
        <v>42622</v>
      </c>
      <c r="B75" s="1" t="s">
        <v>13</v>
      </c>
      <c r="C75" s="1" t="s">
        <v>14</v>
      </c>
      <c r="D75" s="2">
        <v>42381</v>
      </c>
      <c r="E75" s="2">
        <f t="shared" si="2"/>
        <v>42705</v>
      </c>
      <c r="F75" s="1" t="s">
        <v>15</v>
      </c>
      <c r="G75" s="1" t="s">
        <v>18</v>
      </c>
      <c r="H75" s="1">
        <v>-0.8</v>
      </c>
      <c r="I75" s="1">
        <v>0.01</v>
      </c>
      <c r="J75" s="1">
        <v>-0.01</v>
      </c>
      <c r="K75" s="1" t="s">
        <v>28</v>
      </c>
      <c r="L75" s="1">
        <v>2389</v>
      </c>
      <c r="M75" s="1">
        <v>0.75</v>
      </c>
      <c r="N75" s="1">
        <v>0.47854999999999998</v>
      </c>
      <c r="O75" s="1">
        <f>VLOOKUP(D75,underlying!$D$2:$H$75,5,FALSE)</f>
        <v>-0.46</v>
      </c>
      <c r="P75" s="2">
        <f>VLOOKUP(D75,underlying!$D$2:$L$39,9,FALSE)</f>
        <v>42671</v>
      </c>
      <c r="Q75" s="7">
        <f>IF(G75="C",NormalCallSprd(O75,H75,M75,(P75-A75)/365), NormalPutSprd(O75,H75,M75,(P75-A75)/365))</f>
        <v>1.4274685412745396E-2</v>
      </c>
      <c r="R75" s="9">
        <f t="shared" si="3"/>
        <v>4.2746854127453954E-3</v>
      </c>
    </row>
    <row r="76" spans="1:18" x14ac:dyDescent="0.2">
      <c r="A76" s="2">
        <v>42622</v>
      </c>
      <c r="B76" s="1" t="s">
        <v>13</v>
      </c>
      <c r="C76" s="1" t="s">
        <v>14</v>
      </c>
      <c r="D76" s="2">
        <v>42381</v>
      </c>
      <c r="E76" s="2">
        <f t="shared" si="2"/>
        <v>42705</v>
      </c>
      <c r="F76" s="1" t="s">
        <v>15</v>
      </c>
      <c r="G76" s="1" t="s">
        <v>16</v>
      </c>
      <c r="H76" s="1">
        <v>-0.75</v>
      </c>
      <c r="I76" s="1">
        <v>0.31</v>
      </c>
      <c r="J76" s="1">
        <v>0.01</v>
      </c>
      <c r="K76" s="1" t="s">
        <v>28</v>
      </c>
      <c r="L76" s="1">
        <v>2389</v>
      </c>
      <c r="M76" s="1">
        <v>0.75</v>
      </c>
      <c r="N76" s="1">
        <v>0.50551000000000001</v>
      </c>
      <c r="O76" s="1">
        <f>VLOOKUP(D76,underlying!$D$2:$H$75,5,FALSE)</f>
        <v>-0.46</v>
      </c>
      <c r="P76" s="2">
        <f>VLOOKUP(D76,underlying!$D$2:$L$39,9,FALSE)</f>
        <v>42671</v>
      </c>
      <c r="Q76" s="7">
        <f>IF(G76="C",NormalCallSprd(O76,H76,M76,(P76-A76)/365), NormalPutSprd(O76,H76,M76,(P76-A76)/365))</f>
        <v>0.3105828179135785</v>
      </c>
      <c r="R76" s="9">
        <f t="shared" si="3"/>
        <v>5.8281791357850388E-4</v>
      </c>
    </row>
    <row r="77" spans="1:18" x14ac:dyDescent="0.2">
      <c r="A77" s="2">
        <v>42622</v>
      </c>
      <c r="B77" s="1" t="s">
        <v>13</v>
      </c>
      <c r="C77" s="1" t="s">
        <v>14</v>
      </c>
      <c r="D77" s="2">
        <v>42381</v>
      </c>
      <c r="E77" s="2">
        <f t="shared" si="2"/>
        <v>42705</v>
      </c>
      <c r="F77" s="1" t="s">
        <v>15</v>
      </c>
      <c r="G77" s="1" t="s">
        <v>18</v>
      </c>
      <c r="H77" s="1">
        <v>-0.75</v>
      </c>
      <c r="I77" s="1">
        <v>0.02</v>
      </c>
      <c r="J77" s="1">
        <v>0</v>
      </c>
      <c r="K77" s="1" t="s">
        <v>28</v>
      </c>
      <c r="L77" s="1">
        <v>2389</v>
      </c>
      <c r="M77" s="1">
        <v>0.75</v>
      </c>
      <c r="N77" s="1">
        <v>0.53239999999999998</v>
      </c>
      <c r="O77" s="1">
        <f>VLOOKUP(D77,underlying!$D$2:$H$75,5,FALSE)</f>
        <v>-0.46</v>
      </c>
      <c r="P77" s="2">
        <f>VLOOKUP(D77,underlying!$D$2:$L$39,9,FALSE)</f>
        <v>42671</v>
      </c>
      <c r="Q77" s="7">
        <f>IF(G77="C",NormalCallSprd(O77,H77,M77,(P77-A77)/365), NormalPutSprd(O77,H77,M77,(P77-A77)/365))</f>
        <v>2.0582817913578549E-2</v>
      </c>
      <c r="R77" s="9">
        <f t="shared" si="3"/>
        <v>5.8281791357854898E-4</v>
      </c>
    </row>
    <row r="78" spans="1:18" x14ac:dyDescent="0.2">
      <c r="A78" s="2">
        <v>42622</v>
      </c>
      <c r="B78" s="1" t="s">
        <v>13</v>
      </c>
      <c r="C78" s="1" t="s">
        <v>14</v>
      </c>
      <c r="D78" s="2">
        <v>42381</v>
      </c>
      <c r="E78" s="2">
        <f t="shared" si="2"/>
        <v>42705</v>
      </c>
      <c r="F78" s="1" t="s">
        <v>15</v>
      </c>
      <c r="G78" s="1" t="s">
        <v>16</v>
      </c>
      <c r="H78" s="1">
        <v>-0.7</v>
      </c>
      <c r="I78" s="1">
        <v>0.27</v>
      </c>
      <c r="J78" s="1">
        <v>0.01</v>
      </c>
      <c r="K78" s="1" t="s">
        <v>28</v>
      </c>
      <c r="L78" s="1">
        <v>2389</v>
      </c>
      <c r="M78" s="1">
        <v>0.76</v>
      </c>
      <c r="N78" s="1">
        <v>0.55779000000000001</v>
      </c>
      <c r="O78" s="1">
        <f>VLOOKUP(D78,underlying!$D$2:$H$75,5,FALSE)</f>
        <v>-0.46</v>
      </c>
      <c r="P78" s="2">
        <f>VLOOKUP(D78,underlying!$D$2:$L$39,9,FALSE)</f>
        <v>42671</v>
      </c>
      <c r="Q78" s="7">
        <f>IF(G78="C",NormalCallSprd(O78,H78,M78,(P78-A78)/365), NormalPutSprd(O78,H78,M78,(P78-A78)/365))</f>
        <v>0.26997452816093603</v>
      </c>
      <c r="R78" s="9">
        <f t="shared" si="3"/>
        <v>2.5471839063984092E-5</v>
      </c>
    </row>
    <row r="79" spans="1:18" x14ac:dyDescent="0.2">
      <c r="A79" s="2">
        <v>42622</v>
      </c>
      <c r="B79" s="1" t="s">
        <v>13</v>
      </c>
      <c r="C79" s="1" t="s">
        <v>14</v>
      </c>
      <c r="D79" s="2">
        <v>42381</v>
      </c>
      <c r="E79" s="2">
        <f t="shared" si="2"/>
        <v>42705</v>
      </c>
      <c r="F79" s="1" t="s">
        <v>15</v>
      </c>
      <c r="G79" s="1" t="s">
        <v>18</v>
      </c>
      <c r="H79" s="1">
        <v>-0.7</v>
      </c>
      <c r="I79" s="1">
        <v>0.03</v>
      </c>
      <c r="J79" s="1">
        <v>0</v>
      </c>
      <c r="K79" s="1" t="s">
        <v>28</v>
      </c>
      <c r="L79" s="1">
        <v>2389</v>
      </c>
      <c r="M79" s="1">
        <v>0.76</v>
      </c>
      <c r="N79" s="1">
        <v>0.58155999999999997</v>
      </c>
      <c r="O79" s="1">
        <f>VLOOKUP(D79,underlying!$D$2:$H$75,5,FALSE)</f>
        <v>-0.46</v>
      </c>
      <c r="P79" s="2">
        <f>VLOOKUP(D79,underlying!$D$2:$L$39,9,FALSE)</f>
        <v>42671</v>
      </c>
      <c r="Q79" s="7">
        <f>IF(G79="C",NormalCallSprd(O79,H79,M79,(P79-A79)/365), NormalPutSprd(O79,H79,M79,(P79-A79)/365))</f>
        <v>2.9974528160936067E-2</v>
      </c>
      <c r="R79" s="9">
        <f t="shared" si="3"/>
        <v>2.547183906393205E-5</v>
      </c>
    </row>
    <row r="80" spans="1:18" x14ac:dyDescent="0.2">
      <c r="A80" s="2">
        <v>42622</v>
      </c>
      <c r="B80" s="1" t="s">
        <v>13</v>
      </c>
      <c r="C80" s="1" t="s">
        <v>14</v>
      </c>
      <c r="D80" s="2">
        <v>42381</v>
      </c>
      <c r="E80" s="2">
        <f t="shared" si="2"/>
        <v>42705</v>
      </c>
      <c r="F80" s="1" t="s">
        <v>15</v>
      </c>
      <c r="G80" s="1" t="s">
        <v>16</v>
      </c>
      <c r="H80" s="1">
        <v>-0.65</v>
      </c>
      <c r="I80" s="1">
        <v>0.23</v>
      </c>
      <c r="J80" s="1">
        <v>0</v>
      </c>
      <c r="K80" s="1" t="s">
        <v>28</v>
      </c>
      <c r="L80" s="1">
        <v>2389</v>
      </c>
      <c r="M80" s="1">
        <v>0.78</v>
      </c>
      <c r="N80" s="1">
        <v>0.60394999999999999</v>
      </c>
      <c r="O80" s="1">
        <f>VLOOKUP(D80,underlying!$D$2:$H$75,5,FALSE)</f>
        <v>-0.46</v>
      </c>
      <c r="P80" s="2">
        <f>VLOOKUP(D80,underlying!$D$2:$L$39,9,FALSE)</f>
        <v>42671</v>
      </c>
      <c r="Q80" s="7">
        <f>IF(G80="C",NormalCallSprd(O80,H80,M80,(P80-A80)/365), NormalPutSprd(O80,H80,M80,(P80-A80)/365))</f>
        <v>0.23332144629137574</v>
      </c>
      <c r="R80" s="9">
        <f t="shared" si="3"/>
        <v>3.3214462913757348E-3</v>
      </c>
    </row>
    <row r="81" spans="1:18" x14ac:dyDescent="0.2">
      <c r="A81" s="2">
        <v>42622</v>
      </c>
      <c r="B81" s="1" t="s">
        <v>13</v>
      </c>
      <c r="C81" s="1" t="s">
        <v>14</v>
      </c>
      <c r="D81" s="2">
        <v>42381</v>
      </c>
      <c r="E81" s="2">
        <f t="shared" si="2"/>
        <v>42705</v>
      </c>
      <c r="F81" s="1" t="s">
        <v>15</v>
      </c>
      <c r="G81" s="1" t="s">
        <v>18</v>
      </c>
      <c r="H81" s="1">
        <v>-0.65</v>
      </c>
      <c r="I81" s="1">
        <v>0.04</v>
      </c>
      <c r="J81" s="1">
        <v>-0.01</v>
      </c>
      <c r="K81" s="1" t="s">
        <v>28</v>
      </c>
      <c r="L81" s="1">
        <v>2389</v>
      </c>
      <c r="M81" s="1">
        <v>0.78</v>
      </c>
      <c r="N81" s="1">
        <v>0.62729999999999997</v>
      </c>
      <c r="O81" s="1">
        <f>VLOOKUP(D81,underlying!$D$2:$H$75,5,FALSE)</f>
        <v>-0.46</v>
      </c>
      <c r="P81" s="2">
        <f>VLOOKUP(D81,underlying!$D$2:$L$39,9,FALSE)</f>
        <v>42671</v>
      </c>
      <c r="Q81" s="7">
        <f>IF(G81="C",NormalCallSprd(O81,H81,M81,(P81-A81)/365), NormalPutSprd(O81,H81,M81,(P81-A81)/365))</f>
        <v>4.3321446291375736E-2</v>
      </c>
      <c r="R81" s="9">
        <f t="shared" si="3"/>
        <v>3.3214462913757348E-3</v>
      </c>
    </row>
    <row r="82" spans="1:18" x14ac:dyDescent="0.2">
      <c r="A82" s="2">
        <v>42622</v>
      </c>
      <c r="B82" s="1" t="s">
        <v>13</v>
      </c>
      <c r="C82" s="1" t="s">
        <v>14</v>
      </c>
      <c r="D82" s="2">
        <v>42381</v>
      </c>
      <c r="E82" s="2">
        <f t="shared" si="2"/>
        <v>42705</v>
      </c>
      <c r="F82" s="1" t="s">
        <v>15</v>
      </c>
      <c r="G82" s="1" t="s">
        <v>16</v>
      </c>
      <c r="H82" s="1">
        <v>-0.6</v>
      </c>
      <c r="I82" s="1">
        <v>0.2</v>
      </c>
      <c r="J82" s="1">
        <v>0.01</v>
      </c>
      <c r="K82" s="1" t="s">
        <v>28</v>
      </c>
      <c r="L82" s="1">
        <v>2389</v>
      </c>
      <c r="M82" s="1">
        <v>0.8</v>
      </c>
      <c r="N82" s="1">
        <v>0.64793999999999996</v>
      </c>
      <c r="O82" s="1">
        <f>VLOOKUP(D82,underlying!$D$2:$H$75,5,FALSE)</f>
        <v>-0.46</v>
      </c>
      <c r="P82" s="2">
        <f>VLOOKUP(D82,underlying!$D$2:$L$39,9,FALSE)</f>
        <v>42671</v>
      </c>
      <c r="Q82" s="7">
        <f>IF(G82="C",NormalCallSprd(O82,H82,M82,(P82-A82)/365), NormalPutSprd(O82,H82,M82,(P82-A82)/365))</f>
        <v>0.20002714585824335</v>
      </c>
      <c r="R82" s="9">
        <f t="shared" si="3"/>
        <v>2.7145858243343701E-5</v>
      </c>
    </row>
    <row r="83" spans="1:18" x14ac:dyDescent="0.2">
      <c r="A83" s="2">
        <v>42622</v>
      </c>
      <c r="B83" s="1" t="s">
        <v>13</v>
      </c>
      <c r="C83" s="1" t="s">
        <v>14</v>
      </c>
      <c r="D83" s="2">
        <v>42381</v>
      </c>
      <c r="E83" s="2">
        <f t="shared" si="2"/>
        <v>42705</v>
      </c>
      <c r="F83" s="1" t="s">
        <v>15</v>
      </c>
      <c r="G83" s="1" t="s">
        <v>18</v>
      </c>
      <c r="H83" s="1">
        <v>-0.6</v>
      </c>
      <c r="I83" s="1">
        <v>0.06</v>
      </c>
      <c r="J83" s="1">
        <v>0</v>
      </c>
      <c r="K83" s="1" t="s">
        <v>28</v>
      </c>
      <c r="L83" s="1">
        <v>2389</v>
      </c>
      <c r="M83" s="1">
        <v>0.8</v>
      </c>
      <c r="N83" s="1">
        <v>0.66671000000000002</v>
      </c>
      <c r="O83" s="1">
        <f>VLOOKUP(D83,underlying!$D$2:$H$75,5,FALSE)</f>
        <v>-0.46</v>
      </c>
      <c r="P83" s="2">
        <f>VLOOKUP(D83,underlying!$D$2:$L$39,9,FALSE)</f>
        <v>42671</v>
      </c>
      <c r="Q83" s="7">
        <f>IF(G83="C",NormalCallSprd(O83,H83,M83,(P83-A83)/365), NormalPutSprd(O83,H83,M83,(P83-A83)/365))</f>
        <v>6.002714585824339E-2</v>
      </c>
      <c r="R83" s="9">
        <f t="shared" si="3"/>
        <v>2.7145858243392273E-5</v>
      </c>
    </row>
    <row r="84" spans="1:18" x14ac:dyDescent="0.2">
      <c r="A84" s="2">
        <v>42622</v>
      </c>
      <c r="B84" s="1" t="s">
        <v>13</v>
      </c>
      <c r="C84" s="1" t="s">
        <v>14</v>
      </c>
      <c r="D84" s="2">
        <v>42381</v>
      </c>
      <c r="E84" s="2">
        <f t="shared" si="2"/>
        <v>42705</v>
      </c>
      <c r="F84" s="1" t="s">
        <v>15</v>
      </c>
      <c r="G84" s="1" t="s">
        <v>16</v>
      </c>
      <c r="H84" s="1">
        <v>-0.55000000000000004</v>
      </c>
      <c r="I84" s="1">
        <v>0.17</v>
      </c>
      <c r="J84" s="1">
        <v>0</v>
      </c>
      <c r="K84" s="1" t="s">
        <v>28</v>
      </c>
      <c r="L84" s="1">
        <v>2389</v>
      </c>
      <c r="M84" s="1">
        <v>0.82</v>
      </c>
      <c r="N84" s="1">
        <v>0.68727000000000005</v>
      </c>
      <c r="O84" s="1">
        <f>VLOOKUP(D84,underlying!$D$2:$H$75,5,FALSE)</f>
        <v>-0.46</v>
      </c>
      <c r="P84" s="2">
        <f>VLOOKUP(D84,underlying!$D$2:$L$39,9,FALSE)</f>
        <v>42671</v>
      </c>
      <c r="Q84" s="7">
        <f>IF(G84="C",NormalCallSprd(O84,H84,M84,(P84-A84)/365), NormalPutSprd(O84,H84,M84,(P84-A84)/365))</f>
        <v>0.17019822799779705</v>
      </c>
      <c r="R84" s="9">
        <f t="shared" si="3"/>
        <v>1.9822799779703471E-4</v>
      </c>
    </row>
    <row r="85" spans="1:18" x14ac:dyDescent="0.2">
      <c r="A85" s="2">
        <v>42622</v>
      </c>
      <c r="B85" s="1" t="s">
        <v>13</v>
      </c>
      <c r="C85" s="1" t="s">
        <v>14</v>
      </c>
      <c r="D85" s="2">
        <v>42381</v>
      </c>
      <c r="E85" s="2">
        <f t="shared" si="2"/>
        <v>42705</v>
      </c>
      <c r="F85" s="1" t="s">
        <v>15</v>
      </c>
      <c r="G85" s="1" t="s">
        <v>18</v>
      </c>
      <c r="H85" s="1">
        <v>-0.55000000000000004</v>
      </c>
      <c r="I85" s="1">
        <v>0.08</v>
      </c>
      <c r="J85" s="1">
        <v>-0.01</v>
      </c>
      <c r="K85" s="1" t="s">
        <v>28</v>
      </c>
      <c r="L85" s="1">
        <v>2389</v>
      </c>
      <c r="M85" s="1">
        <v>0.82</v>
      </c>
      <c r="N85" s="1">
        <v>0.70784999999999998</v>
      </c>
      <c r="O85" s="1">
        <f>VLOOKUP(D85,underlying!$D$2:$H$75,5,FALSE)</f>
        <v>-0.46</v>
      </c>
      <c r="P85" s="2">
        <f>VLOOKUP(D85,underlying!$D$2:$L$39,9,FALSE)</f>
        <v>42671</v>
      </c>
      <c r="Q85" s="7">
        <f>IF(G85="C",NormalCallSprd(O85,H85,M85,(P85-A85)/365), NormalPutSprd(O85,H85,M85,(P85-A85)/365))</f>
        <v>8.0198227997797036E-2</v>
      </c>
      <c r="R85" s="9">
        <f t="shared" si="3"/>
        <v>1.9822799779703471E-4</v>
      </c>
    </row>
    <row r="86" spans="1:18" x14ac:dyDescent="0.2">
      <c r="A86" s="2">
        <v>42622</v>
      </c>
      <c r="B86" s="1" t="s">
        <v>13</v>
      </c>
      <c r="C86" s="1" t="s">
        <v>14</v>
      </c>
      <c r="D86" s="2">
        <v>42381</v>
      </c>
      <c r="E86" s="2">
        <f t="shared" si="2"/>
        <v>42705</v>
      </c>
      <c r="F86" s="1" t="s">
        <v>15</v>
      </c>
      <c r="G86" s="1" t="s">
        <v>16</v>
      </c>
      <c r="H86" s="1">
        <v>-0.5</v>
      </c>
      <c r="I86" s="1">
        <v>0.14000000000000001</v>
      </c>
      <c r="J86" s="1">
        <v>0</v>
      </c>
      <c r="K86" s="1" t="s">
        <v>28</v>
      </c>
      <c r="L86" s="1">
        <v>2389</v>
      </c>
      <c r="M86" s="1">
        <v>0.84</v>
      </c>
      <c r="N86" s="1">
        <v>0.72423000000000004</v>
      </c>
      <c r="O86" s="1">
        <f>VLOOKUP(D86,underlying!$D$2:$H$75,5,FALSE)</f>
        <v>-0.46</v>
      </c>
      <c r="P86" s="2">
        <f>VLOOKUP(D86,underlying!$D$2:$L$39,9,FALSE)</f>
        <v>42671</v>
      </c>
      <c r="Q86" s="7">
        <f>IF(G86="C",NormalCallSprd(O86,H86,M86,(P86-A86)/365), NormalPutSprd(O86,H86,M86,(P86-A86)/365))</f>
        <v>0.14381928868165378</v>
      </c>
      <c r="R86" s="9">
        <f t="shared" si="3"/>
        <v>3.8192886816537652E-3</v>
      </c>
    </row>
    <row r="87" spans="1:18" x14ac:dyDescent="0.2">
      <c r="A87" s="2">
        <v>42622</v>
      </c>
      <c r="B87" s="1" t="s">
        <v>13</v>
      </c>
      <c r="C87" s="1" t="s">
        <v>14</v>
      </c>
      <c r="D87" s="2">
        <v>42381</v>
      </c>
      <c r="E87" s="2">
        <f t="shared" si="2"/>
        <v>42705</v>
      </c>
      <c r="F87" s="1" t="s">
        <v>15</v>
      </c>
      <c r="G87" s="1" t="s">
        <v>18</v>
      </c>
      <c r="H87" s="1">
        <v>-0.5</v>
      </c>
      <c r="I87" s="1">
        <v>0.1</v>
      </c>
      <c r="J87" s="1">
        <v>-0.01</v>
      </c>
      <c r="K87" s="1" t="s">
        <v>28</v>
      </c>
      <c r="L87" s="1">
        <v>2389</v>
      </c>
      <c r="M87" s="1">
        <v>0.84</v>
      </c>
      <c r="N87" s="1">
        <v>0.81091999999999997</v>
      </c>
      <c r="O87" s="1">
        <f>VLOOKUP(D87,underlying!$D$2:$H$75,5,FALSE)</f>
        <v>-0.46</v>
      </c>
      <c r="P87" s="2">
        <f>VLOOKUP(D87,underlying!$D$2:$L$39,9,FALSE)</f>
        <v>42671</v>
      </c>
      <c r="Q87" s="7">
        <f>IF(G87="C",NormalCallSprd(O87,H87,M87,(P87-A87)/365), NormalPutSprd(O87,H87,M87,(P87-A87)/365))</f>
        <v>0.10381928868165381</v>
      </c>
      <c r="R87" s="9">
        <f t="shared" si="3"/>
        <v>3.8192886816538069E-3</v>
      </c>
    </row>
    <row r="88" spans="1:18" x14ac:dyDescent="0.2">
      <c r="A88" s="2">
        <v>42622</v>
      </c>
      <c r="B88" s="1" t="s">
        <v>13</v>
      </c>
      <c r="C88" s="1" t="s">
        <v>14</v>
      </c>
      <c r="D88" s="2">
        <v>42381</v>
      </c>
      <c r="E88" s="2">
        <f t="shared" si="2"/>
        <v>42705</v>
      </c>
      <c r="F88" s="1" t="s">
        <v>15</v>
      </c>
      <c r="G88" s="1" t="s">
        <v>16</v>
      </c>
      <c r="H88" s="1">
        <v>-0.45</v>
      </c>
      <c r="I88" s="1">
        <v>0.12</v>
      </c>
      <c r="J88" s="1">
        <v>0</v>
      </c>
      <c r="K88" s="1" t="s">
        <v>28</v>
      </c>
      <c r="L88" s="1">
        <v>2389</v>
      </c>
      <c r="M88" s="1">
        <v>0.87</v>
      </c>
      <c r="N88" s="1">
        <v>0.92332999999999998</v>
      </c>
      <c r="O88" s="1">
        <f>VLOOKUP(D88,underlying!$D$2:$H$75,5,FALSE)</f>
        <v>-0.46</v>
      </c>
      <c r="P88" s="2">
        <f>VLOOKUP(D88,underlying!$D$2:$L$39,9,FALSE)</f>
        <v>42671</v>
      </c>
      <c r="Q88" s="7">
        <f>IF(G88="C",NormalCallSprd(O88,H88,M88,(P88-A88)/365), NormalPutSprd(O88,H88,M88,(P88-A88)/365))</f>
        <v>0.12223147444837199</v>
      </c>
      <c r="R88" s="9">
        <f t="shared" si="3"/>
        <v>2.2314744483719895E-3</v>
      </c>
    </row>
    <row r="89" spans="1:18" x14ac:dyDescent="0.2">
      <c r="A89" s="2">
        <v>42622</v>
      </c>
      <c r="B89" s="1" t="s">
        <v>13</v>
      </c>
      <c r="C89" s="1" t="s">
        <v>14</v>
      </c>
      <c r="D89" s="2">
        <v>42381</v>
      </c>
      <c r="E89" s="2">
        <f t="shared" si="2"/>
        <v>42705</v>
      </c>
      <c r="F89" s="1" t="s">
        <v>15</v>
      </c>
      <c r="G89" s="1" t="s">
        <v>18</v>
      </c>
      <c r="H89" s="1">
        <v>-0.45</v>
      </c>
      <c r="I89" s="1">
        <v>0.13</v>
      </c>
      <c r="J89" s="1">
        <v>-0.01</v>
      </c>
      <c r="K89" s="1" t="s">
        <v>28</v>
      </c>
      <c r="L89" s="1">
        <v>2389</v>
      </c>
      <c r="M89" s="1">
        <v>0.87</v>
      </c>
      <c r="N89" s="1">
        <v>0.96194999999999997</v>
      </c>
      <c r="O89" s="1">
        <f>VLOOKUP(D89,underlying!$D$2:$H$75,5,FALSE)</f>
        <v>-0.46</v>
      </c>
      <c r="P89" s="2">
        <f>VLOOKUP(D89,underlying!$D$2:$L$39,9,FALSE)</f>
        <v>42671</v>
      </c>
      <c r="Q89" s="7">
        <f>IF(G89="C",NormalCallSprd(O89,H89,M89,(P89-A89)/365), NormalPutSprd(O89,H89,M89,(P89-A89)/365))</f>
        <v>0.13223147444837199</v>
      </c>
      <c r="R89" s="9">
        <f t="shared" si="3"/>
        <v>2.2314744483719895E-3</v>
      </c>
    </row>
    <row r="90" spans="1:18" x14ac:dyDescent="0.2">
      <c r="A90" s="2">
        <v>42622</v>
      </c>
      <c r="B90" s="1" t="s">
        <v>13</v>
      </c>
      <c r="C90" s="1" t="s">
        <v>14</v>
      </c>
      <c r="D90" s="2">
        <v>42381</v>
      </c>
      <c r="E90" s="2">
        <f t="shared" si="2"/>
        <v>42705</v>
      </c>
      <c r="F90" s="1" t="s">
        <v>15</v>
      </c>
      <c r="G90" s="1" t="s">
        <v>16</v>
      </c>
      <c r="H90" s="1">
        <v>-0.4</v>
      </c>
      <c r="I90" s="1">
        <v>0.1</v>
      </c>
      <c r="J90" s="1">
        <v>0</v>
      </c>
      <c r="K90" s="1" t="s">
        <v>28</v>
      </c>
      <c r="L90" s="1">
        <v>2389</v>
      </c>
      <c r="M90" s="1">
        <v>0.9</v>
      </c>
      <c r="N90" s="1">
        <v>-0.52703999999999995</v>
      </c>
      <c r="O90" s="1">
        <f>VLOOKUP(D90,underlying!$D$2:$H$75,5,FALSE)</f>
        <v>-0.46</v>
      </c>
      <c r="P90" s="2">
        <f>VLOOKUP(D90,underlying!$D$2:$L$39,9,FALSE)</f>
        <v>42671</v>
      </c>
      <c r="Q90" s="7">
        <f>IF(G90="C",NormalCallSprd(O90,H90,M90,(P90-A90)/365), NormalPutSprd(O90,H90,M90,(P90-A90)/365))</f>
        <v>0.10372570179981144</v>
      </c>
      <c r="R90" s="9">
        <f t="shared" si="3"/>
        <v>3.7257017998114372E-3</v>
      </c>
    </row>
    <row r="91" spans="1:18" x14ac:dyDescent="0.2">
      <c r="A91" s="2">
        <v>42622</v>
      </c>
      <c r="B91" s="1" t="s">
        <v>13</v>
      </c>
      <c r="C91" s="1" t="s">
        <v>14</v>
      </c>
      <c r="D91" s="2">
        <v>42381</v>
      </c>
      <c r="E91" s="2">
        <f t="shared" si="2"/>
        <v>42705</v>
      </c>
      <c r="F91" s="1" t="s">
        <v>15</v>
      </c>
      <c r="G91" s="1" t="s">
        <v>18</v>
      </c>
      <c r="H91" s="1">
        <v>-0.4</v>
      </c>
      <c r="I91" s="1">
        <v>0.16</v>
      </c>
      <c r="J91" s="1">
        <v>-0.01</v>
      </c>
      <c r="K91" s="1" t="s">
        <v>28</v>
      </c>
      <c r="L91" s="1">
        <v>2389</v>
      </c>
      <c r="M91" s="1">
        <v>0.9</v>
      </c>
      <c r="N91" s="1">
        <v>-0.50012000000000001</v>
      </c>
      <c r="O91" s="1">
        <f>VLOOKUP(D91,underlying!$D$2:$H$75,5,FALSE)</f>
        <v>-0.46</v>
      </c>
      <c r="P91" s="2">
        <f>VLOOKUP(D91,underlying!$D$2:$L$39,9,FALSE)</f>
        <v>42671</v>
      </c>
      <c r="Q91" s="7">
        <f>IF(G91="C",NormalCallSprd(O91,H91,M91,(P91-A91)/365), NormalPutSprd(O91,H91,M91,(P91-A91)/365))</f>
        <v>0.16372570179981144</v>
      </c>
      <c r="R91" s="9">
        <f t="shared" si="3"/>
        <v>3.7257017998114372E-3</v>
      </c>
    </row>
    <row r="92" spans="1:18" x14ac:dyDescent="0.2">
      <c r="A92" s="2">
        <v>42622</v>
      </c>
      <c r="B92" s="1" t="s">
        <v>13</v>
      </c>
      <c r="C92" s="1" t="s">
        <v>14</v>
      </c>
      <c r="D92" s="2">
        <v>42381</v>
      </c>
      <c r="E92" s="2">
        <f t="shared" si="2"/>
        <v>42705</v>
      </c>
      <c r="F92" s="1" t="s">
        <v>15</v>
      </c>
      <c r="G92" s="1" t="s">
        <v>16</v>
      </c>
      <c r="H92" s="1">
        <v>-0.35</v>
      </c>
      <c r="I92" s="1">
        <v>0.09</v>
      </c>
      <c r="J92" s="1">
        <v>0</v>
      </c>
      <c r="K92" s="1" t="s">
        <v>28</v>
      </c>
      <c r="L92" s="1">
        <v>2389</v>
      </c>
      <c r="M92" s="1">
        <v>0.93</v>
      </c>
      <c r="N92" s="1">
        <v>-0.47316000000000003</v>
      </c>
      <c r="O92" s="1">
        <f>VLOOKUP(D92,underlying!$D$2:$H$75,5,FALSE)</f>
        <v>-0.46</v>
      </c>
      <c r="P92" s="2">
        <f>VLOOKUP(D92,underlying!$D$2:$L$39,9,FALSE)</f>
        <v>42671</v>
      </c>
      <c r="Q92" s="7">
        <f>IF(G92="C",NormalCallSprd(O92,H92,M92,(P92-A92)/365), NormalPutSprd(O92,H92,M92,(P92-A92)/365))</f>
        <v>8.7961517336545364E-2</v>
      </c>
      <c r="R92" s="9">
        <f t="shared" si="3"/>
        <v>2.0384826634546327E-3</v>
      </c>
    </row>
    <row r="93" spans="1:18" x14ac:dyDescent="0.2">
      <c r="A93" s="2">
        <v>42622</v>
      </c>
      <c r="B93" s="1" t="s">
        <v>13</v>
      </c>
      <c r="C93" s="1" t="s">
        <v>14</v>
      </c>
      <c r="D93" s="2">
        <v>42381</v>
      </c>
      <c r="E93" s="2">
        <f t="shared" si="2"/>
        <v>42705</v>
      </c>
      <c r="F93" s="1" t="s">
        <v>15</v>
      </c>
      <c r="G93" s="1" t="s">
        <v>18</v>
      </c>
      <c r="H93" s="1">
        <v>-0.35</v>
      </c>
      <c r="I93" s="1">
        <v>0.2</v>
      </c>
      <c r="J93" s="1">
        <v>-0.01</v>
      </c>
      <c r="K93" s="1" t="s">
        <v>28</v>
      </c>
      <c r="L93" s="1">
        <v>2389</v>
      </c>
      <c r="M93" s="1">
        <v>0.93</v>
      </c>
      <c r="N93" s="1">
        <v>-0.44627</v>
      </c>
      <c r="O93" s="1">
        <f>VLOOKUP(D93,underlying!$D$2:$H$75,5,FALSE)</f>
        <v>-0.46</v>
      </c>
      <c r="P93" s="2">
        <f>VLOOKUP(D93,underlying!$D$2:$L$39,9,FALSE)</f>
        <v>42671</v>
      </c>
      <c r="Q93" s="7">
        <f>IF(G93="C",NormalCallSprd(O93,H93,M93,(P93-A93)/365), NormalPutSprd(O93,H93,M93,(P93-A93)/365))</f>
        <v>0.19796151733654541</v>
      </c>
      <c r="R93" s="9">
        <f t="shared" si="3"/>
        <v>2.0384826634546049E-3</v>
      </c>
    </row>
    <row r="94" spans="1:18" x14ac:dyDescent="0.2">
      <c r="A94" s="2">
        <v>42622</v>
      </c>
      <c r="B94" s="1" t="s">
        <v>13</v>
      </c>
      <c r="C94" s="1" t="s">
        <v>14</v>
      </c>
      <c r="D94" s="2">
        <v>42381</v>
      </c>
      <c r="E94" s="2">
        <f t="shared" si="2"/>
        <v>42705</v>
      </c>
      <c r="F94" s="1" t="s">
        <v>15</v>
      </c>
      <c r="G94" s="1" t="s">
        <v>16</v>
      </c>
      <c r="H94" s="1">
        <v>-0.3</v>
      </c>
      <c r="I94" s="1">
        <v>0.08</v>
      </c>
      <c r="J94" s="1">
        <v>0.01</v>
      </c>
      <c r="K94" s="1" t="s">
        <v>28</v>
      </c>
      <c r="L94" s="1">
        <v>2389</v>
      </c>
      <c r="M94" s="1">
        <v>0.96</v>
      </c>
      <c r="N94" s="1">
        <v>-0.42087000000000002</v>
      </c>
      <c r="O94" s="1">
        <f>VLOOKUP(D94,underlying!$D$2:$H$75,5,FALSE)</f>
        <v>-0.46</v>
      </c>
      <c r="P94" s="2">
        <f>VLOOKUP(D94,underlying!$D$2:$L$39,9,FALSE)</f>
        <v>42671</v>
      </c>
      <c r="Q94" s="7">
        <f>IF(G94="C",NormalCallSprd(O94,H94,M94,(P94-A94)/365), NormalPutSprd(O94,H94,M94,(P94-A94)/365))</f>
        <v>7.4596743407723098E-2</v>
      </c>
      <c r="R94" s="9">
        <f t="shared" si="3"/>
        <v>5.4032565922769032E-3</v>
      </c>
    </row>
    <row r="95" spans="1:18" x14ac:dyDescent="0.2">
      <c r="A95" s="2">
        <v>42622</v>
      </c>
      <c r="B95" s="1" t="s">
        <v>13</v>
      </c>
      <c r="C95" s="1" t="s">
        <v>14</v>
      </c>
      <c r="D95" s="2">
        <v>42381</v>
      </c>
      <c r="E95" s="2">
        <f t="shared" si="2"/>
        <v>42705</v>
      </c>
      <c r="F95" s="1" t="s">
        <v>15</v>
      </c>
      <c r="G95" s="1" t="s">
        <v>18</v>
      </c>
      <c r="H95" s="1">
        <v>-0.3</v>
      </c>
      <c r="I95" s="1">
        <v>0.23</v>
      </c>
      <c r="J95" s="1">
        <v>-0.01</v>
      </c>
      <c r="K95" s="1" t="s">
        <v>28</v>
      </c>
      <c r="L95" s="1">
        <v>2389</v>
      </c>
      <c r="M95" s="1">
        <v>0.96</v>
      </c>
      <c r="N95" s="1">
        <v>-0.39710000000000001</v>
      </c>
      <c r="O95" s="1">
        <f>VLOOKUP(D95,underlying!$D$2:$H$75,5,FALSE)</f>
        <v>-0.46</v>
      </c>
      <c r="P95" s="2">
        <f>VLOOKUP(D95,underlying!$D$2:$L$39,9,FALSE)</f>
        <v>42671</v>
      </c>
      <c r="Q95" s="7">
        <f>IF(G95="C",NormalCallSprd(O95,H95,M95,(P95-A95)/365), NormalPutSprd(O95,H95,M95,(P95-A95)/365))</f>
        <v>0.23459674340772313</v>
      </c>
      <c r="R95" s="9">
        <f t="shared" si="3"/>
        <v>4.5967434077231195E-3</v>
      </c>
    </row>
    <row r="96" spans="1:18" x14ac:dyDescent="0.2">
      <c r="A96" s="2">
        <v>42622</v>
      </c>
      <c r="B96" s="1" t="s">
        <v>13</v>
      </c>
      <c r="C96" s="1" t="s">
        <v>14</v>
      </c>
      <c r="D96" s="2">
        <v>42381</v>
      </c>
      <c r="E96" s="2">
        <f t="shared" si="2"/>
        <v>42705</v>
      </c>
      <c r="F96" s="1" t="s">
        <v>15</v>
      </c>
      <c r="G96" s="1" t="s">
        <v>16</v>
      </c>
      <c r="H96" s="1">
        <v>-0.25</v>
      </c>
      <c r="I96" s="1">
        <v>0.06</v>
      </c>
      <c r="J96" s="1">
        <v>0</v>
      </c>
      <c r="K96" s="1" t="s">
        <v>28</v>
      </c>
      <c r="L96" s="1">
        <v>2389</v>
      </c>
      <c r="M96" s="1">
        <v>0.99</v>
      </c>
      <c r="N96" s="1">
        <v>-0.37472</v>
      </c>
      <c r="O96" s="1">
        <f>VLOOKUP(D96,underlying!$D$2:$H$75,5,FALSE)</f>
        <v>-0.46</v>
      </c>
      <c r="P96" s="2">
        <f>VLOOKUP(D96,underlying!$D$2:$L$39,9,FALSE)</f>
        <v>42671</v>
      </c>
      <c r="Q96" s="7">
        <f>IF(G96="C",NormalCallSprd(O96,H96,M96,(P96-A96)/365), NormalPutSprd(O96,H96,M96,(P96-A96)/365))</f>
        <v>6.3305251869432075E-2</v>
      </c>
      <c r="R96" s="9">
        <f t="shared" si="3"/>
        <v>3.305251869432077E-3</v>
      </c>
    </row>
    <row r="97" spans="1:18" x14ac:dyDescent="0.2">
      <c r="A97" s="2">
        <v>42622</v>
      </c>
      <c r="B97" s="1" t="s">
        <v>13</v>
      </c>
      <c r="C97" s="1" t="s">
        <v>14</v>
      </c>
      <c r="D97" s="2">
        <v>42381</v>
      </c>
      <c r="E97" s="2">
        <f t="shared" si="2"/>
        <v>42705</v>
      </c>
      <c r="F97" s="1" t="s">
        <v>15</v>
      </c>
      <c r="G97" s="1" t="s">
        <v>18</v>
      </c>
      <c r="H97" s="1">
        <v>-0.25</v>
      </c>
      <c r="I97" s="1">
        <v>0.27</v>
      </c>
      <c r="J97" s="1">
        <v>-0.01</v>
      </c>
      <c r="K97" s="1" t="s">
        <v>28</v>
      </c>
      <c r="L97" s="1">
        <v>2389</v>
      </c>
      <c r="M97" s="1">
        <v>0.99</v>
      </c>
      <c r="N97" s="1">
        <v>-0.35137000000000002</v>
      </c>
      <c r="O97" s="1">
        <f>VLOOKUP(D97,underlying!$D$2:$H$75,5,FALSE)</f>
        <v>-0.46</v>
      </c>
      <c r="P97" s="2">
        <f>VLOOKUP(D97,underlying!$D$2:$L$39,9,FALSE)</f>
        <v>42671</v>
      </c>
      <c r="Q97" s="7">
        <f>IF(G97="C",NormalCallSprd(O97,H97,M97,(P97-A97)/365), NormalPutSprd(O97,H97,M97,(P97-A97)/365))</f>
        <v>0.27330525186943211</v>
      </c>
      <c r="R97" s="9">
        <f t="shared" si="3"/>
        <v>3.3052518694320909E-3</v>
      </c>
    </row>
    <row r="98" spans="1:18" x14ac:dyDescent="0.2">
      <c r="A98" s="2">
        <v>42622</v>
      </c>
      <c r="B98" s="1" t="s">
        <v>13</v>
      </c>
      <c r="C98" s="1" t="s">
        <v>14</v>
      </c>
      <c r="D98" s="2">
        <v>42381</v>
      </c>
      <c r="E98" s="2">
        <f t="shared" si="2"/>
        <v>42705</v>
      </c>
      <c r="F98" s="1" t="s">
        <v>15</v>
      </c>
      <c r="G98" s="1" t="s">
        <v>16</v>
      </c>
      <c r="H98" s="1">
        <v>-0.2</v>
      </c>
      <c r="I98" s="1">
        <v>0.05</v>
      </c>
      <c r="J98" s="1">
        <v>0</v>
      </c>
      <c r="K98" s="1" t="s">
        <v>28</v>
      </c>
      <c r="L98" s="1">
        <v>2389</v>
      </c>
      <c r="M98" s="1">
        <v>1.02</v>
      </c>
      <c r="N98" s="1">
        <v>-0.33073000000000002</v>
      </c>
      <c r="O98" s="1">
        <f>VLOOKUP(D98,underlying!$D$2:$H$75,5,FALSE)</f>
        <v>-0.46</v>
      </c>
      <c r="P98" s="2">
        <f>VLOOKUP(D98,underlying!$D$2:$L$39,9,FALSE)</f>
        <v>42671</v>
      </c>
      <c r="Q98" s="7">
        <f>IF(G98="C",NormalCallSprd(O98,H98,M98,(P98-A98)/365), NormalPutSprd(O98,H98,M98,(P98-A98)/365))</f>
        <v>5.3787532271554993E-2</v>
      </c>
      <c r="R98" s="9">
        <f t="shared" si="3"/>
        <v>3.78753227155499E-3</v>
      </c>
    </row>
    <row r="99" spans="1:18" x14ac:dyDescent="0.2">
      <c r="A99" s="2">
        <v>42622</v>
      </c>
      <c r="B99" s="1" t="s">
        <v>13</v>
      </c>
      <c r="C99" s="1" t="s">
        <v>14</v>
      </c>
      <c r="D99" s="2">
        <v>42381</v>
      </c>
      <c r="E99" s="2">
        <f t="shared" si="2"/>
        <v>42705</v>
      </c>
      <c r="F99" s="1" t="s">
        <v>15</v>
      </c>
      <c r="G99" s="1" t="s">
        <v>18</v>
      </c>
      <c r="H99" s="1">
        <v>-0.2</v>
      </c>
      <c r="I99" s="1">
        <v>0.31</v>
      </c>
      <c r="J99" s="1">
        <v>-0.01</v>
      </c>
      <c r="K99" s="1" t="s">
        <v>28</v>
      </c>
      <c r="L99" s="1">
        <v>2389</v>
      </c>
      <c r="M99" s="1">
        <v>1.02</v>
      </c>
      <c r="N99" s="1">
        <v>-0.31196000000000002</v>
      </c>
      <c r="O99" s="1">
        <f>VLOOKUP(D99,underlying!$D$2:$H$75,5,FALSE)</f>
        <v>-0.46</v>
      </c>
      <c r="P99" s="2">
        <f>VLOOKUP(D99,underlying!$D$2:$L$39,9,FALSE)</f>
        <v>42671</v>
      </c>
      <c r="Q99" s="7">
        <f>IF(G99="C",NormalCallSprd(O99,H99,M99,(P99-A99)/365), NormalPutSprd(O99,H99,M99,(P99-A99)/365))</f>
        <v>0.31378753227155498</v>
      </c>
      <c r="R99" s="9">
        <f t="shared" si="3"/>
        <v>3.7875322715549831E-3</v>
      </c>
    </row>
    <row r="100" spans="1:18" x14ac:dyDescent="0.2">
      <c r="A100" s="2">
        <v>42622</v>
      </c>
      <c r="B100" s="1" t="s">
        <v>13</v>
      </c>
      <c r="C100" s="1" t="s">
        <v>14</v>
      </c>
      <c r="D100" s="2">
        <v>42381</v>
      </c>
      <c r="E100" s="2">
        <f t="shared" si="2"/>
        <v>42705</v>
      </c>
      <c r="F100" s="1" t="s">
        <v>15</v>
      </c>
      <c r="G100" s="1" t="s">
        <v>16</v>
      </c>
      <c r="H100" s="1">
        <v>-0.15</v>
      </c>
      <c r="I100" s="1">
        <v>0.05</v>
      </c>
      <c r="J100" s="1">
        <v>0</v>
      </c>
      <c r="K100" s="1" t="s">
        <v>28</v>
      </c>
      <c r="L100" s="1">
        <v>2389</v>
      </c>
      <c r="M100" s="1">
        <v>1.06</v>
      </c>
      <c r="N100" s="1">
        <v>-0.29139999999999999</v>
      </c>
      <c r="O100" s="1">
        <f>VLOOKUP(D100,underlying!$D$2:$H$75,5,FALSE)</f>
        <v>-0.46</v>
      </c>
      <c r="P100" s="2">
        <f>VLOOKUP(D100,underlying!$D$2:$L$39,9,FALSE)</f>
        <v>42671</v>
      </c>
      <c r="Q100" s="7">
        <f>IF(G100="C",NormalCallSprd(O100,H100,M100,(P100-A100)/365), NormalPutSprd(O100,H100,M100,(P100-A100)/365))</f>
        <v>4.683557635367798E-2</v>
      </c>
      <c r="R100" s="9">
        <f t="shared" si="3"/>
        <v>3.1644236463220232E-3</v>
      </c>
    </row>
    <row r="101" spans="1:18" x14ac:dyDescent="0.2">
      <c r="A101" s="2">
        <v>42622</v>
      </c>
      <c r="B101" s="1" t="s">
        <v>13</v>
      </c>
      <c r="C101" s="1" t="s">
        <v>14</v>
      </c>
      <c r="D101" s="2">
        <v>42381</v>
      </c>
      <c r="E101" s="2">
        <f t="shared" si="2"/>
        <v>42705</v>
      </c>
      <c r="F101" s="1" t="s">
        <v>15</v>
      </c>
      <c r="G101" s="1" t="s">
        <v>18</v>
      </c>
      <c r="H101" s="1">
        <v>-0.15</v>
      </c>
      <c r="I101" s="1">
        <v>0.36</v>
      </c>
      <c r="J101" s="1">
        <v>-0.01</v>
      </c>
      <c r="K101" s="1" t="s">
        <v>28</v>
      </c>
      <c r="L101" s="1">
        <v>2389</v>
      </c>
      <c r="M101" s="1">
        <v>1.06</v>
      </c>
      <c r="N101" s="1">
        <v>-0.27082000000000001</v>
      </c>
      <c r="O101" s="1">
        <f>VLOOKUP(D101,underlying!$D$2:$H$75,5,FALSE)</f>
        <v>-0.46</v>
      </c>
      <c r="P101" s="2">
        <f>VLOOKUP(D101,underlying!$D$2:$L$39,9,FALSE)</f>
        <v>42671</v>
      </c>
      <c r="Q101" s="7">
        <f>IF(G101="C",NormalCallSprd(O101,H101,M101,(P101-A101)/365), NormalPutSprd(O101,H101,M101,(P101-A101)/365))</f>
        <v>0.35683557635367802</v>
      </c>
      <c r="R101" s="9">
        <f t="shared" si="3"/>
        <v>3.1644236463219677E-3</v>
      </c>
    </row>
    <row r="102" spans="1:18" x14ac:dyDescent="0.2">
      <c r="A102" s="2">
        <v>42622</v>
      </c>
      <c r="B102" s="1" t="s">
        <v>13</v>
      </c>
      <c r="C102" s="1" t="s">
        <v>14</v>
      </c>
      <c r="D102" s="2">
        <v>42381</v>
      </c>
      <c r="E102" s="2">
        <f t="shared" si="2"/>
        <v>42705</v>
      </c>
      <c r="F102" s="1" t="s">
        <v>15</v>
      </c>
      <c r="G102" s="1" t="s">
        <v>16</v>
      </c>
      <c r="H102" s="1">
        <v>-0.1</v>
      </c>
      <c r="I102" s="1">
        <v>0.04</v>
      </c>
      <c r="J102" s="1">
        <v>0</v>
      </c>
      <c r="K102" s="1" t="s">
        <v>28</v>
      </c>
      <c r="L102" s="1">
        <v>2389</v>
      </c>
      <c r="M102" s="1">
        <v>1.0900000000000001</v>
      </c>
      <c r="N102" s="1">
        <v>-0.25444</v>
      </c>
      <c r="O102" s="1">
        <f>VLOOKUP(D102,underlying!$D$2:$H$75,5,FALSE)</f>
        <v>-0.46</v>
      </c>
      <c r="P102" s="2">
        <f>VLOOKUP(D102,underlying!$D$2:$L$39,9,FALSE)</f>
        <v>42671</v>
      </c>
      <c r="Q102" s="7">
        <f>IF(G102="C",NormalCallSprd(O102,H102,M102,(P102-A102)/365), NormalPutSprd(O102,H102,M102,(P102-A102)/365))</f>
        <v>4.0005580037340539E-2</v>
      </c>
      <c r="R102" s="9">
        <f t="shared" si="3"/>
        <v>5.5800373405384684E-6</v>
      </c>
    </row>
    <row r="103" spans="1:18" x14ac:dyDescent="0.2">
      <c r="A103" s="2">
        <v>42622</v>
      </c>
      <c r="B103" s="1" t="s">
        <v>13</v>
      </c>
      <c r="C103" s="1" t="s">
        <v>14</v>
      </c>
      <c r="D103" s="2">
        <v>42381</v>
      </c>
      <c r="E103" s="2">
        <f t="shared" si="2"/>
        <v>42705</v>
      </c>
      <c r="F103" s="1" t="s">
        <v>15</v>
      </c>
      <c r="G103" s="1" t="s">
        <v>18</v>
      </c>
      <c r="H103" s="1">
        <v>-0.1</v>
      </c>
      <c r="I103" s="1">
        <v>0.4</v>
      </c>
      <c r="J103" s="1">
        <v>-0.01</v>
      </c>
      <c r="K103" s="1" t="s">
        <v>28</v>
      </c>
      <c r="L103" s="1">
        <v>2389</v>
      </c>
      <c r="M103" s="1">
        <v>1.0900000000000001</v>
      </c>
      <c r="N103" s="1">
        <v>-0.16775000000000001</v>
      </c>
      <c r="O103" s="1">
        <f>VLOOKUP(D103,underlying!$D$2:$H$75,5,FALSE)</f>
        <v>-0.46</v>
      </c>
      <c r="P103" s="2">
        <f>VLOOKUP(D103,underlying!$D$2:$L$39,9,FALSE)</f>
        <v>42671</v>
      </c>
      <c r="Q103" s="7">
        <f>IF(G103="C",NormalCallSprd(O103,H103,M103,(P103-A103)/365), NormalPutSprd(O103,H103,M103,(P103-A103)/365))</f>
        <v>0.40000558003734055</v>
      </c>
      <c r="R103" s="9">
        <f t="shared" si="3"/>
        <v>5.5800373405245907E-6</v>
      </c>
    </row>
    <row r="104" spans="1:18" x14ac:dyDescent="0.2">
      <c r="A104" s="2">
        <v>42622</v>
      </c>
      <c r="B104" s="1" t="s">
        <v>13</v>
      </c>
      <c r="C104" s="1" t="s">
        <v>14</v>
      </c>
      <c r="D104" s="2">
        <v>42381</v>
      </c>
      <c r="E104" s="2">
        <f t="shared" si="2"/>
        <v>42705</v>
      </c>
      <c r="F104" s="1" t="s">
        <v>15</v>
      </c>
      <c r="G104" s="1" t="s">
        <v>16</v>
      </c>
      <c r="H104" s="1">
        <v>-0.05</v>
      </c>
      <c r="I104" s="1">
        <v>0.03</v>
      </c>
      <c r="J104" s="1">
        <v>0</v>
      </c>
      <c r="K104" s="1" t="s">
        <v>28</v>
      </c>
      <c r="L104" s="1">
        <v>2389</v>
      </c>
      <c r="M104" s="1">
        <v>1.1200000000000001</v>
      </c>
      <c r="N104" s="1">
        <v>-5.534E-2</v>
      </c>
      <c r="O104" s="1">
        <f>VLOOKUP(D104,underlying!$D$2:$H$75,5,FALSE)</f>
        <v>-0.46</v>
      </c>
      <c r="P104" s="2">
        <f>VLOOKUP(D104,underlying!$D$2:$L$39,9,FALSE)</f>
        <v>42671</v>
      </c>
      <c r="Q104" s="7">
        <f>IF(G104="C",NormalCallSprd(O104,H104,M104,(P104-A104)/365), NormalPutSprd(O104,H104,M104,(P104-A104)/365))</f>
        <v>3.4247545410386028E-2</v>
      </c>
      <c r="R104" s="9">
        <f t="shared" si="3"/>
        <v>4.2475454103860291E-3</v>
      </c>
    </row>
    <row r="105" spans="1:18" x14ac:dyDescent="0.2">
      <c r="A105" s="2">
        <v>42622</v>
      </c>
      <c r="B105" s="1" t="s">
        <v>13</v>
      </c>
      <c r="C105" s="1" t="s">
        <v>14</v>
      </c>
      <c r="D105" s="2">
        <v>42381</v>
      </c>
      <c r="E105" s="2">
        <f t="shared" si="2"/>
        <v>42705</v>
      </c>
      <c r="F105" s="1" t="s">
        <v>15</v>
      </c>
      <c r="G105" s="1" t="s">
        <v>18</v>
      </c>
      <c r="H105" s="1">
        <v>-0.05</v>
      </c>
      <c r="I105" s="1">
        <v>0.44</v>
      </c>
      <c r="J105" s="1">
        <v>-0.01</v>
      </c>
      <c r="K105" s="1" t="s">
        <v>28</v>
      </c>
      <c r="L105" s="1">
        <v>2389</v>
      </c>
      <c r="M105" s="1">
        <v>1.1200000000000001</v>
      </c>
      <c r="N105" s="1">
        <v>-1.6719999999999999E-2</v>
      </c>
      <c r="O105" s="1">
        <f>VLOOKUP(D105,underlying!$D$2:$H$75,5,FALSE)</f>
        <v>-0.46</v>
      </c>
      <c r="P105" s="2">
        <f>VLOOKUP(D105,underlying!$D$2:$L$39,9,FALSE)</f>
        <v>42671</v>
      </c>
      <c r="Q105" s="7">
        <f>IF(G105="C",NormalCallSprd(O105,H105,M105,(P105-A105)/365), NormalPutSprd(O105,H105,M105,(P105-A105)/365))</f>
        <v>0.44424754541038602</v>
      </c>
      <c r="R105" s="9">
        <f t="shared" si="3"/>
        <v>4.2475454103860222E-3</v>
      </c>
    </row>
    <row r="106" spans="1:18" x14ac:dyDescent="0.2">
      <c r="A106" s="2">
        <v>42622</v>
      </c>
      <c r="B106" s="1" t="s">
        <v>13</v>
      </c>
      <c r="C106" s="1" t="s">
        <v>14</v>
      </c>
      <c r="D106" s="2">
        <v>42736</v>
      </c>
      <c r="E106" s="2">
        <f t="shared" si="2"/>
        <v>42736</v>
      </c>
      <c r="F106" s="1" t="s">
        <v>15</v>
      </c>
      <c r="G106" s="1" t="s">
        <v>16</v>
      </c>
      <c r="H106" s="1">
        <v>-20</v>
      </c>
      <c r="I106" s="1">
        <v>19.53</v>
      </c>
      <c r="J106" s="1">
        <v>-0.01</v>
      </c>
      <c r="K106" s="1" t="s">
        <v>25</v>
      </c>
      <c r="L106" s="1">
        <v>2389</v>
      </c>
      <c r="M106" s="1">
        <v>1.01</v>
      </c>
      <c r="N106" s="1">
        <v>7.6539999999999997E-2</v>
      </c>
      <c r="O106" s="1">
        <f>VLOOKUP(D106,underlying!$D$2:$H$75,5,FALSE)</f>
        <v>-0.45</v>
      </c>
      <c r="P106" s="2">
        <f>VLOOKUP(D106,underlying!$D$2:$L$39,9,FALSE)</f>
        <v>42703</v>
      </c>
      <c r="Q106" s="7">
        <f>IF(G106="C",NormalCallSprd(O106,H106,M106,(P106-A106)/365), NormalPutSprd(O106,H106,M106,(P106-A106)/365))</f>
        <v>19.55</v>
      </c>
      <c r="R106" s="9">
        <f t="shared" si="3"/>
        <v>1.9999999999999574E-2</v>
      </c>
    </row>
    <row r="107" spans="1:18" x14ac:dyDescent="0.2">
      <c r="A107" s="2">
        <v>42622</v>
      </c>
      <c r="B107" s="1" t="s">
        <v>13</v>
      </c>
      <c r="C107" s="1" t="s">
        <v>14</v>
      </c>
      <c r="D107" s="2">
        <v>42736</v>
      </c>
      <c r="E107" s="2">
        <f t="shared" si="2"/>
        <v>42736</v>
      </c>
      <c r="F107" s="1" t="s">
        <v>15</v>
      </c>
      <c r="G107" s="1" t="s">
        <v>18</v>
      </c>
      <c r="H107" s="1">
        <v>-20</v>
      </c>
      <c r="I107" s="1">
        <v>0.01</v>
      </c>
      <c r="J107" s="1">
        <v>0</v>
      </c>
      <c r="K107" s="1" t="s">
        <v>25</v>
      </c>
      <c r="L107" s="1">
        <v>2389</v>
      </c>
      <c r="M107" s="1">
        <v>1.01</v>
      </c>
      <c r="N107" s="1">
        <v>9.7339999999999996E-2</v>
      </c>
      <c r="O107" s="1">
        <f>VLOOKUP(D107,underlying!$D$2:$H$75,5,FALSE)</f>
        <v>-0.45</v>
      </c>
      <c r="P107" s="2">
        <f>VLOOKUP(D107,underlying!$D$2:$L$39,9,FALSE)</f>
        <v>42703</v>
      </c>
      <c r="Q107" s="7">
        <f>IF(G107="C",NormalCallSprd(O107,H107,M107,(P107-A107)/365), NormalPutSprd(O107,H107,M107,(P107-A107)/365))</f>
        <v>0</v>
      </c>
      <c r="R107" s="9">
        <f t="shared" si="3"/>
        <v>0.01</v>
      </c>
    </row>
    <row r="108" spans="1:18" x14ac:dyDescent="0.2">
      <c r="A108" s="2">
        <v>42622</v>
      </c>
      <c r="B108" s="1" t="s">
        <v>13</v>
      </c>
      <c r="C108" s="1" t="s">
        <v>14</v>
      </c>
      <c r="D108" s="2">
        <v>42736</v>
      </c>
      <c r="E108" s="2">
        <f t="shared" si="2"/>
        <v>42736</v>
      </c>
      <c r="F108" s="1" t="s">
        <v>15</v>
      </c>
      <c r="G108" s="1" t="s">
        <v>16</v>
      </c>
      <c r="H108" s="1">
        <v>-4</v>
      </c>
      <c r="I108" s="1">
        <v>3.55</v>
      </c>
      <c r="J108" s="1">
        <v>-0.01</v>
      </c>
      <c r="K108" s="1" t="s">
        <v>25</v>
      </c>
      <c r="L108" s="1">
        <v>2389</v>
      </c>
      <c r="M108" s="1">
        <v>0.99</v>
      </c>
      <c r="N108" s="1">
        <v>0.12389</v>
      </c>
      <c r="O108" s="1">
        <f>VLOOKUP(D108,underlying!$D$2:$H$75,5,FALSE)</f>
        <v>-0.45</v>
      </c>
      <c r="P108" s="2">
        <f>VLOOKUP(D108,underlying!$D$2:$L$39,9,FALSE)</f>
        <v>42703</v>
      </c>
      <c r="Q108" s="7">
        <f>IF(G108="C",NormalCallSprd(O108,H108,M108,(P108-A108)/365), NormalPutSprd(O108,H108,M108,(P108-A108)/365))</f>
        <v>3.5500000000000007</v>
      </c>
      <c r="R108" s="9">
        <f t="shared" si="3"/>
        <v>8.8817841970012523E-16</v>
      </c>
    </row>
    <row r="109" spans="1:18" x14ac:dyDescent="0.2">
      <c r="A109" s="2">
        <v>42622</v>
      </c>
      <c r="B109" s="1" t="s">
        <v>13</v>
      </c>
      <c r="C109" s="1" t="s">
        <v>14</v>
      </c>
      <c r="D109" s="2">
        <v>42736</v>
      </c>
      <c r="E109" s="2">
        <f t="shared" si="2"/>
        <v>42736</v>
      </c>
      <c r="F109" s="1" t="s">
        <v>15</v>
      </c>
      <c r="G109" s="1" t="s">
        <v>18</v>
      </c>
      <c r="H109" s="1">
        <v>-4</v>
      </c>
      <c r="I109" s="1">
        <v>0.01</v>
      </c>
      <c r="J109" s="1">
        <v>0</v>
      </c>
      <c r="K109" s="1" t="s">
        <v>25</v>
      </c>
      <c r="L109" s="1">
        <v>2389</v>
      </c>
      <c r="M109" s="1">
        <v>0.99</v>
      </c>
      <c r="N109" s="1">
        <v>0.15890000000000001</v>
      </c>
      <c r="O109" s="1">
        <f>VLOOKUP(D109,underlying!$D$2:$H$75,5,FALSE)</f>
        <v>-0.45</v>
      </c>
      <c r="P109" s="2">
        <f>VLOOKUP(D109,underlying!$D$2:$L$39,9,FALSE)</f>
        <v>42703</v>
      </c>
      <c r="Q109" s="7">
        <f>IF(G109="C",NormalCallSprd(O109,H109,M109,(P109-A109)/365), NormalPutSprd(O109,H109,M109,(P109-A109)/365))</f>
        <v>8.0060946228331885E-16</v>
      </c>
      <c r="R109" s="9">
        <f t="shared" si="3"/>
        <v>9.9999999999991988E-3</v>
      </c>
    </row>
    <row r="110" spans="1:18" x14ac:dyDescent="0.2">
      <c r="A110" s="2">
        <v>42622</v>
      </c>
      <c r="B110" s="1" t="s">
        <v>13</v>
      </c>
      <c r="C110" s="1" t="s">
        <v>14</v>
      </c>
      <c r="D110" s="2">
        <v>42736</v>
      </c>
      <c r="E110" s="2">
        <f t="shared" si="2"/>
        <v>42736</v>
      </c>
      <c r="F110" s="1" t="s">
        <v>15</v>
      </c>
      <c r="G110" s="1" t="s">
        <v>16</v>
      </c>
      <c r="H110" s="1">
        <v>-3</v>
      </c>
      <c r="I110" s="1">
        <v>2.5499999999999998</v>
      </c>
      <c r="J110" s="1">
        <v>-0.01</v>
      </c>
      <c r="K110" s="1" t="s">
        <v>25</v>
      </c>
      <c r="L110" s="1">
        <v>2389</v>
      </c>
      <c r="M110" s="1">
        <v>0.99</v>
      </c>
      <c r="N110" s="1">
        <v>0.20347000000000001</v>
      </c>
      <c r="O110" s="1">
        <f>VLOOKUP(D110,underlying!$D$2:$H$75,5,FALSE)</f>
        <v>-0.45</v>
      </c>
      <c r="P110" s="2">
        <f>VLOOKUP(D110,underlying!$D$2:$L$39,9,FALSE)</f>
        <v>42703</v>
      </c>
      <c r="Q110" s="7">
        <f>IF(G110="C",NormalCallSprd(O110,H110,M110,(P110-A110)/365), NormalPutSprd(O110,H110,M110,(P110-A110)/365))</f>
        <v>2.5500000018313491</v>
      </c>
      <c r="R110" s="9">
        <f t="shared" si="3"/>
        <v>1.8313492944344034E-9</v>
      </c>
    </row>
    <row r="111" spans="1:18" x14ac:dyDescent="0.2">
      <c r="A111" s="2">
        <v>42622</v>
      </c>
      <c r="B111" s="1" t="s">
        <v>13</v>
      </c>
      <c r="C111" s="1" t="s">
        <v>14</v>
      </c>
      <c r="D111" s="2">
        <v>42736</v>
      </c>
      <c r="E111" s="2">
        <f t="shared" si="2"/>
        <v>42736</v>
      </c>
      <c r="F111" s="1" t="s">
        <v>15</v>
      </c>
      <c r="G111" s="1" t="s">
        <v>18</v>
      </c>
      <c r="H111" s="1">
        <v>-3</v>
      </c>
      <c r="I111" s="1">
        <v>0.01</v>
      </c>
      <c r="J111" s="1">
        <v>0</v>
      </c>
      <c r="K111" s="1" t="s">
        <v>25</v>
      </c>
      <c r="L111" s="1">
        <v>2389</v>
      </c>
      <c r="M111" s="1">
        <v>0.99</v>
      </c>
      <c r="N111" s="1">
        <v>0.25786999999999999</v>
      </c>
      <c r="O111" s="1">
        <f>VLOOKUP(D111,underlying!$D$2:$H$75,5,FALSE)</f>
        <v>-0.45</v>
      </c>
      <c r="P111" s="2">
        <f>VLOOKUP(D111,underlying!$D$2:$L$39,9,FALSE)</f>
        <v>42703</v>
      </c>
      <c r="Q111" s="7">
        <f>IF(G111="C",NormalCallSprd(O111,H111,M111,(P111-A111)/365), NormalPutSprd(O111,H111,M111,(P111-A111)/365))</f>
        <v>1.8313492430365827E-9</v>
      </c>
      <c r="R111" s="9">
        <f t="shared" si="3"/>
        <v>9.9999981686507578E-3</v>
      </c>
    </row>
    <row r="112" spans="1:18" x14ac:dyDescent="0.2">
      <c r="A112" s="2">
        <v>42622</v>
      </c>
      <c r="B112" s="1" t="s">
        <v>13</v>
      </c>
      <c r="C112" s="1" t="s">
        <v>14</v>
      </c>
      <c r="D112" s="2">
        <v>42736</v>
      </c>
      <c r="E112" s="2">
        <f t="shared" si="2"/>
        <v>42736</v>
      </c>
      <c r="F112" s="1" t="s">
        <v>15</v>
      </c>
      <c r="G112" s="1" t="s">
        <v>16</v>
      </c>
      <c r="H112" s="1">
        <v>-2</v>
      </c>
      <c r="I112" s="1">
        <v>1.55</v>
      </c>
      <c r="J112" s="1">
        <v>-0.01</v>
      </c>
      <c r="K112" s="1" t="s">
        <v>25</v>
      </c>
      <c r="L112" s="1">
        <v>2389</v>
      </c>
      <c r="M112" s="1">
        <v>0.98</v>
      </c>
      <c r="N112" s="1">
        <v>0.32274999999999998</v>
      </c>
      <c r="O112" s="1">
        <f>VLOOKUP(D112,underlying!$D$2:$H$75,5,FALSE)</f>
        <v>-0.45</v>
      </c>
      <c r="P112" s="2">
        <f>VLOOKUP(D112,underlying!$D$2:$L$39,9,FALSE)</f>
        <v>42703</v>
      </c>
      <c r="Q112" s="7">
        <f>IF(G112="C",NormalCallSprd(O112,H112,M112,(P112-A112)/365), NormalPutSprd(O112,H112,M112,(P112-A112)/365))</f>
        <v>1.5500471664579312</v>
      </c>
      <c r="R112" s="9">
        <f t="shared" si="3"/>
        <v>4.7166457931124839E-5</v>
      </c>
    </row>
    <row r="113" spans="1:18" x14ac:dyDescent="0.2">
      <c r="A113" s="2">
        <v>42622</v>
      </c>
      <c r="B113" s="1" t="s">
        <v>13</v>
      </c>
      <c r="C113" s="1" t="s">
        <v>14</v>
      </c>
      <c r="D113" s="2">
        <v>42736</v>
      </c>
      <c r="E113" s="2">
        <f t="shared" si="2"/>
        <v>42736</v>
      </c>
      <c r="F113" s="1" t="s">
        <v>15</v>
      </c>
      <c r="G113" s="1" t="s">
        <v>18</v>
      </c>
      <c r="H113" s="1">
        <v>-2</v>
      </c>
      <c r="I113" s="1">
        <v>0.01</v>
      </c>
      <c r="J113" s="1">
        <v>0</v>
      </c>
      <c r="K113" s="1" t="s">
        <v>25</v>
      </c>
      <c r="L113" s="1">
        <v>2389</v>
      </c>
      <c r="M113" s="1">
        <v>0.98</v>
      </c>
      <c r="N113" s="1">
        <v>0.39795999999999998</v>
      </c>
      <c r="O113" s="1">
        <f>VLOOKUP(D113,underlying!$D$2:$H$75,5,FALSE)</f>
        <v>-0.45</v>
      </c>
      <c r="P113" s="2">
        <f>VLOOKUP(D113,underlying!$D$2:$L$39,9,FALSE)</f>
        <v>42703</v>
      </c>
      <c r="Q113" s="7">
        <f>IF(G113="C",NormalCallSprd(O113,H113,M113,(P113-A113)/365), NormalPutSprd(O113,H113,M113,(P113-A113)/365))</f>
        <v>4.7166457931122284E-5</v>
      </c>
      <c r="R113" s="9">
        <f t="shared" si="3"/>
        <v>9.9528335420688771E-3</v>
      </c>
    </row>
    <row r="114" spans="1:18" x14ac:dyDescent="0.2">
      <c r="A114" s="2">
        <v>42622</v>
      </c>
      <c r="B114" s="1" t="s">
        <v>13</v>
      </c>
      <c r="C114" s="1" t="s">
        <v>14</v>
      </c>
      <c r="D114" s="2">
        <v>42736</v>
      </c>
      <c r="E114" s="2">
        <f t="shared" si="2"/>
        <v>42736</v>
      </c>
      <c r="F114" s="1" t="s">
        <v>15</v>
      </c>
      <c r="G114" s="1" t="s">
        <v>16</v>
      </c>
      <c r="H114" s="1">
        <v>-1.05</v>
      </c>
      <c r="I114" s="1">
        <v>0.61</v>
      </c>
      <c r="J114" s="1">
        <v>-0.01</v>
      </c>
      <c r="K114" s="1" t="s">
        <v>25</v>
      </c>
      <c r="L114" s="1">
        <v>2389</v>
      </c>
      <c r="M114" s="1">
        <v>0.89</v>
      </c>
      <c r="N114" s="1">
        <v>0.48218</v>
      </c>
      <c r="O114" s="1">
        <f>VLOOKUP(D114,underlying!$D$2:$H$75,5,FALSE)</f>
        <v>-0.45</v>
      </c>
      <c r="P114" s="2">
        <f>VLOOKUP(D114,underlying!$D$2:$L$39,9,FALSE)</f>
        <v>42703</v>
      </c>
      <c r="Q114" s="7">
        <f>IF(G114="C",NormalCallSprd(O114,H114,M114,(P114-A114)/365), NormalPutSprd(O114,H114,M114,(P114-A114)/365))</f>
        <v>0.61435101513495138</v>
      </c>
      <c r="R114" s="9">
        <f t="shared" si="3"/>
        <v>4.351015134951397E-3</v>
      </c>
    </row>
    <row r="115" spans="1:18" x14ac:dyDescent="0.2">
      <c r="A115" s="2">
        <v>42622</v>
      </c>
      <c r="B115" s="1" t="s">
        <v>13</v>
      </c>
      <c r="C115" s="1" t="s">
        <v>14</v>
      </c>
      <c r="D115" s="2">
        <v>42736</v>
      </c>
      <c r="E115" s="2">
        <f t="shared" si="2"/>
        <v>42736</v>
      </c>
      <c r="F115" s="1" t="s">
        <v>15</v>
      </c>
      <c r="G115" s="1" t="s">
        <v>18</v>
      </c>
      <c r="H115" s="1">
        <v>-1.05</v>
      </c>
      <c r="I115" s="1">
        <v>0.01</v>
      </c>
      <c r="J115" s="1">
        <v>0</v>
      </c>
      <c r="K115" s="1" t="s">
        <v>25</v>
      </c>
      <c r="L115" s="1">
        <v>2389</v>
      </c>
      <c r="M115" s="1">
        <v>0.89</v>
      </c>
      <c r="N115" s="1">
        <v>0.57213999999999998</v>
      </c>
      <c r="O115" s="1">
        <f>VLOOKUP(D115,underlying!$D$2:$H$75,5,FALSE)</f>
        <v>-0.45</v>
      </c>
      <c r="P115" s="2">
        <f>VLOOKUP(D115,underlying!$D$2:$L$39,9,FALSE)</f>
        <v>42703</v>
      </c>
      <c r="Q115" s="7">
        <f>IF(G115="C",NormalCallSprd(O115,H115,M115,(P115-A115)/365), NormalPutSprd(O115,H115,M115,(P115-A115)/365))</f>
        <v>1.4351015134951295E-2</v>
      </c>
      <c r="R115" s="9">
        <f t="shared" si="3"/>
        <v>4.3510151349512947E-3</v>
      </c>
    </row>
    <row r="116" spans="1:18" x14ac:dyDescent="0.2">
      <c r="A116" s="2">
        <v>42622</v>
      </c>
      <c r="B116" s="1" t="s">
        <v>13</v>
      </c>
      <c r="C116" s="1" t="s">
        <v>14</v>
      </c>
      <c r="D116" s="2">
        <v>42736</v>
      </c>
      <c r="E116" s="2">
        <f t="shared" si="2"/>
        <v>42736</v>
      </c>
      <c r="F116" s="1" t="s">
        <v>15</v>
      </c>
      <c r="G116" s="1" t="s">
        <v>16</v>
      </c>
      <c r="H116" s="1">
        <v>-1</v>
      </c>
      <c r="I116" s="1">
        <v>0.56999999999999995</v>
      </c>
      <c r="J116" s="1">
        <v>-0.01</v>
      </c>
      <c r="K116" s="1" t="s">
        <v>25</v>
      </c>
      <c r="L116" s="1">
        <v>2389</v>
      </c>
      <c r="M116" s="1">
        <v>0.89</v>
      </c>
      <c r="N116" s="1">
        <v>0.66117999999999999</v>
      </c>
      <c r="O116" s="1">
        <f>VLOOKUP(D116,underlying!$D$2:$H$75,5,FALSE)</f>
        <v>-0.45</v>
      </c>
      <c r="P116" s="2">
        <f>VLOOKUP(D116,underlying!$D$2:$L$39,9,FALSE)</f>
        <v>42703</v>
      </c>
      <c r="Q116" s="7">
        <f>IF(G116="C",NormalCallSprd(O116,H116,M116,(P116-A116)/365), NormalPutSprd(O116,H116,M116,(P116-A116)/365))</f>
        <v>0.56861316782053251</v>
      </c>
      <c r="R116" s="9">
        <f t="shared" si="3"/>
        <v>1.3868321794674454E-3</v>
      </c>
    </row>
    <row r="117" spans="1:18" x14ac:dyDescent="0.2">
      <c r="A117" s="2">
        <v>42622</v>
      </c>
      <c r="B117" s="1" t="s">
        <v>13</v>
      </c>
      <c r="C117" s="1" t="s">
        <v>14</v>
      </c>
      <c r="D117" s="2">
        <v>42736</v>
      </c>
      <c r="E117" s="2">
        <f t="shared" si="2"/>
        <v>42736</v>
      </c>
      <c r="F117" s="1" t="s">
        <v>15</v>
      </c>
      <c r="G117" s="1" t="s">
        <v>18</v>
      </c>
      <c r="H117" s="1">
        <v>-1</v>
      </c>
      <c r="I117" s="1">
        <v>0.02</v>
      </c>
      <c r="J117" s="1">
        <v>0</v>
      </c>
      <c r="K117" s="1" t="s">
        <v>25</v>
      </c>
      <c r="L117" s="1">
        <v>2389</v>
      </c>
      <c r="M117" s="1">
        <v>0.89</v>
      </c>
      <c r="N117" s="1">
        <v>0.74339</v>
      </c>
      <c r="O117" s="1">
        <f>VLOOKUP(D117,underlying!$D$2:$H$75,5,FALSE)</f>
        <v>-0.45</v>
      </c>
      <c r="P117" s="2">
        <f>VLOOKUP(D117,underlying!$D$2:$L$39,9,FALSE)</f>
        <v>42703</v>
      </c>
      <c r="Q117" s="7">
        <f>IF(G117="C",NormalCallSprd(O117,H117,M117,(P117-A117)/365), NormalPutSprd(O117,H117,M117,(P117-A117)/365))</f>
        <v>1.8613167820532558E-2</v>
      </c>
      <c r="R117" s="9">
        <f t="shared" si="3"/>
        <v>1.3868321794674419E-3</v>
      </c>
    </row>
    <row r="118" spans="1:18" x14ac:dyDescent="0.2">
      <c r="A118" s="2">
        <v>42622</v>
      </c>
      <c r="B118" s="1" t="s">
        <v>13</v>
      </c>
      <c r="C118" s="1" t="s">
        <v>14</v>
      </c>
      <c r="D118" s="2">
        <v>42736</v>
      </c>
      <c r="E118" s="2">
        <f t="shared" si="2"/>
        <v>42736</v>
      </c>
      <c r="F118" s="1" t="s">
        <v>15</v>
      </c>
      <c r="G118" s="1" t="s">
        <v>16</v>
      </c>
      <c r="H118" s="1">
        <v>-0.95</v>
      </c>
      <c r="I118" s="1">
        <v>0.52</v>
      </c>
      <c r="J118" s="1">
        <v>-0.01</v>
      </c>
      <c r="K118" s="1" t="s">
        <v>25</v>
      </c>
      <c r="L118" s="1">
        <v>2389</v>
      </c>
      <c r="M118" s="1">
        <v>0.88</v>
      </c>
      <c r="N118" s="1">
        <v>0.81359999999999999</v>
      </c>
      <c r="O118" s="1">
        <f>VLOOKUP(D118,underlying!$D$2:$H$75,5,FALSE)</f>
        <v>-0.45</v>
      </c>
      <c r="P118" s="2">
        <f>VLOOKUP(D118,underlying!$D$2:$L$39,9,FALSE)</f>
        <v>42703</v>
      </c>
      <c r="Q118" s="7">
        <f>IF(G118="C",NormalCallSprd(O118,H118,M118,(P118-A118)/365), NormalPutSprd(O118,H118,M118,(P118-A118)/365))</f>
        <v>0.52296683802332256</v>
      </c>
      <c r="R118" s="9">
        <f t="shared" si="3"/>
        <v>2.9668380233225378E-3</v>
      </c>
    </row>
    <row r="119" spans="1:18" x14ac:dyDescent="0.2">
      <c r="A119" s="2">
        <v>42622</v>
      </c>
      <c r="B119" s="1" t="s">
        <v>13</v>
      </c>
      <c r="C119" s="1" t="s">
        <v>14</v>
      </c>
      <c r="D119" s="2">
        <v>42736</v>
      </c>
      <c r="E119" s="2">
        <f t="shared" si="2"/>
        <v>42736</v>
      </c>
      <c r="F119" s="1" t="s">
        <v>15</v>
      </c>
      <c r="G119" s="1" t="s">
        <v>18</v>
      </c>
      <c r="H119" s="1">
        <v>-0.95</v>
      </c>
      <c r="I119" s="1">
        <v>0.02</v>
      </c>
      <c r="J119" s="1">
        <v>0</v>
      </c>
      <c r="K119" s="1" t="s">
        <v>25</v>
      </c>
      <c r="L119" s="1">
        <v>2389</v>
      </c>
      <c r="M119" s="1">
        <v>0.88</v>
      </c>
      <c r="N119" s="1">
        <v>0.86985999999999997</v>
      </c>
      <c r="O119" s="1">
        <f>VLOOKUP(D119,underlying!$D$2:$H$75,5,FALSE)</f>
        <v>-0.45</v>
      </c>
      <c r="P119" s="2">
        <f>VLOOKUP(D119,underlying!$D$2:$L$39,9,FALSE)</f>
        <v>42703</v>
      </c>
      <c r="Q119" s="7">
        <f>IF(G119="C",NormalCallSprd(O119,H119,M119,(P119-A119)/365), NormalPutSprd(O119,H119,M119,(P119-A119)/365))</f>
        <v>2.2966838023322653E-2</v>
      </c>
      <c r="R119" s="9">
        <f t="shared" si="3"/>
        <v>2.9668380233226523E-3</v>
      </c>
    </row>
    <row r="120" spans="1:18" x14ac:dyDescent="0.2">
      <c r="A120" s="2">
        <v>42622</v>
      </c>
      <c r="B120" s="1" t="s">
        <v>13</v>
      </c>
      <c r="C120" s="1" t="s">
        <v>14</v>
      </c>
      <c r="D120" s="2">
        <v>42736</v>
      </c>
      <c r="E120" s="2">
        <f t="shared" si="2"/>
        <v>42736</v>
      </c>
      <c r="F120" s="1" t="s">
        <v>15</v>
      </c>
      <c r="G120" s="1" t="s">
        <v>16</v>
      </c>
      <c r="H120" s="1">
        <v>-0.9</v>
      </c>
      <c r="I120" s="1">
        <v>0.48</v>
      </c>
      <c r="J120" s="1">
        <v>-0.01</v>
      </c>
      <c r="K120" s="1" t="s">
        <v>25</v>
      </c>
      <c r="L120" s="1">
        <v>2389</v>
      </c>
      <c r="M120" s="1">
        <v>0.87</v>
      </c>
      <c r="N120" s="1">
        <v>0.91168000000000005</v>
      </c>
      <c r="O120" s="1">
        <f>VLOOKUP(D120,underlying!$D$2:$H$75,5,FALSE)</f>
        <v>-0.45</v>
      </c>
      <c r="P120" s="2">
        <f>VLOOKUP(D120,underlying!$D$2:$L$39,9,FALSE)</f>
        <v>42703</v>
      </c>
      <c r="Q120" s="7">
        <f>IF(G120="C",NormalCallSprd(O120,H120,M120,(P120-A120)/365), NormalPutSprd(O120,H120,M120,(P120-A120)/365))</f>
        <v>0.47823519275250947</v>
      </c>
      <c r="R120" s="9">
        <f t="shared" si="3"/>
        <v>1.7648072474905074E-3</v>
      </c>
    </row>
    <row r="121" spans="1:18" x14ac:dyDescent="0.2">
      <c r="A121" s="2">
        <v>42622</v>
      </c>
      <c r="B121" s="1" t="s">
        <v>13</v>
      </c>
      <c r="C121" s="1" t="s">
        <v>14</v>
      </c>
      <c r="D121" s="2">
        <v>42736</v>
      </c>
      <c r="E121" s="2">
        <f t="shared" si="2"/>
        <v>42736</v>
      </c>
      <c r="F121" s="1" t="s">
        <v>15</v>
      </c>
      <c r="G121" s="1" t="s">
        <v>18</v>
      </c>
      <c r="H121" s="1">
        <v>-0.9</v>
      </c>
      <c r="I121" s="1">
        <v>0.03</v>
      </c>
      <c r="J121" s="1">
        <v>0</v>
      </c>
      <c r="K121" s="1" t="s">
        <v>25</v>
      </c>
      <c r="L121" s="1">
        <v>2389</v>
      </c>
      <c r="M121" s="1">
        <v>0.87</v>
      </c>
      <c r="N121" s="1">
        <v>0.94140000000000001</v>
      </c>
      <c r="O121" s="1">
        <f>VLOOKUP(D121,underlying!$D$2:$H$75,5,FALSE)</f>
        <v>-0.45</v>
      </c>
      <c r="P121" s="2">
        <f>VLOOKUP(D121,underlying!$D$2:$L$39,9,FALSE)</f>
        <v>42703</v>
      </c>
      <c r="Q121" s="7">
        <f>IF(G121="C",NormalCallSprd(O121,H121,M121,(P121-A121)/365), NormalPutSprd(O121,H121,M121,(P121-A121)/365))</f>
        <v>2.8235192752509422E-2</v>
      </c>
      <c r="R121" s="9">
        <f t="shared" si="3"/>
        <v>1.7648072474905768E-3</v>
      </c>
    </row>
    <row r="122" spans="1:18" x14ac:dyDescent="0.2">
      <c r="A122" s="2">
        <v>42622</v>
      </c>
      <c r="B122" s="1" t="s">
        <v>13</v>
      </c>
      <c r="C122" s="1" t="s">
        <v>14</v>
      </c>
      <c r="D122" s="2">
        <v>42736</v>
      </c>
      <c r="E122" s="2">
        <f t="shared" si="2"/>
        <v>42736</v>
      </c>
      <c r="F122" s="1" t="s">
        <v>15</v>
      </c>
      <c r="G122" s="1" t="s">
        <v>16</v>
      </c>
      <c r="H122" s="1">
        <v>-0.85</v>
      </c>
      <c r="I122" s="1">
        <v>0.43</v>
      </c>
      <c r="J122" s="1">
        <v>-0.01</v>
      </c>
      <c r="K122" s="1" t="s">
        <v>25</v>
      </c>
      <c r="L122" s="1">
        <v>2389</v>
      </c>
      <c r="M122" s="1">
        <v>0.86</v>
      </c>
      <c r="N122" s="1">
        <v>0.96223999999999998</v>
      </c>
      <c r="O122" s="1">
        <f>VLOOKUP(D122,underlying!$D$2:$H$75,5,FALSE)</f>
        <v>-0.45</v>
      </c>
      <c r="P122" s="2">
        <f>VLOOKUP(D122,underlying!$D$2:$L$39,9,FALSE)</f>
        <v>42703</v>
      </c>
      <c r="Q122" s="7">
        <f>IF(G122="C",NormalCallSprd(O122,H122,M122,(P122-A122)/365), NormalPutSprd(O122,H122,M122,(P122-A122)/365))</f>
        <v>0.43457541877452882</v>
      </c>
      <c r="R122" s="9">
        <f t="shared" si="3"/>
        <v>4.5754187745288277E-3</v>
      </c>
    </row>
    <row r="123" spans="1:18" x14ac:dyDescent="0.2">
      <c r="A123" s="2">
        <v>42622</v>
      </c>
      <c r="B123" s="1" t="s">
        <v>13</v>
      </c>
      <c r="C123" s="1" t="s">
        <v>14</v>
      </c>
      <c r="D123" s="2">
        <v>42736</v>
      </c>
      <c r="E123" s="2">
        <f t="shared" si="2"/>
        <v>42736</v>
      </c>
      <c r="F123" s="1" t="s">
        <v>15</v>
      </c>
      <c r="G123" s="1" t="s">
        <v>18</v>
      </c>
      <c r="H123" s="1">
        <v>-0.85</v>
      </c>
      <c r="I123" s="1">
        <v>0.03</v>
      </c>
      <c r="J123" s="1">
        <v>0</v>
      </c>
      <c r="K123" s="1" t="s">
        <v>25</v>
      </c>
      <c r="L123" s="1">
        <v>2389</v>
      </c>
      <c r="M123" s="1">
        <v>0.86</v>
      </c>
      <c r="N123" s="1">
        <v>0.97631000000000001</v>
      </c>
      <c r="O123" s="1">
        <f>VLOOKUP(D123,underlying!$D$2:$H$75,5,FALSE)</f>
        <v>-0.45</v>
      </c>
      <c r="P123" s="2">
        <f>VLOOKUP(D123,underlying!$D$2:$L$39,9,FALSE)</f>
        <v>42703</v>
      </c>
      <c r="Q123" s="7">
        <f>IF(G123="C",NormalCallSprd(O123,H123,M123,(P123-A123)/365), NormalPutSprd(O123,H123,M123,(P123-A123)/365))</f>
        <v>3.4575418774528806E-2</v>
      </c>
      <c r="R123" s="9">
        <f t="shared" si="3"/>
        <v>4.5754187745288069E-3</v>
      </c>
    </row>
    <row r="124" spans="1:18" x14ac:dyDescent="0.2">
      <c r="A124" s="2">
        <v>42622</v>
      </c>
      <c r="B124" s="1" t="s">
        <v>13</v>
      </c>
      <c r="C124" s="1" t="s">
        <v>14</v>
      </c>
      <c r="D124" s="2">
        <v>42736</v>
      </c>
      <c r="E124" s="2">
        <f t="shared" si="2"/>
        <v>42736</v>
      </c>
      <c r="F124" s="1" t="s">
        <v>15</v>
      </c>
      <c r="G124" s="1" t="s">
        <v>16</v>
      </c>
      <c r="H124" s="1">
        <v>-0.8</v>
      </c>
      <c r="I124" s="1">
        <v>0.39</v>
      </c>
      <c r="J124" s="1">
        <v>-0.01</v>
      </c>
      <c r="K124" s="1" t="s">
        <v>25</v>
      </c>
      <c r="L124" s="1">
        <v>2389</v>
      </c>
      <c r="M124" s="1">
        <v>0.84</v>
      </c>
      <c r="N124" s="1">
        <v>0.98548999999999998</v>
      </c>
      <c r="O124" s="1">
        <f>VLOOKUP(D124,underlying!$D$2:$H$75,5,FALSE)</f>
        <v>-0.45</v>
      </c>
      <c r="P124" s="2">
        <f>VLOOKUP(D124,underlying!$D$2:$L$39,9,FALSE)</f>
        <v>42703</v>
      </c>
      <c r="Q124" s="7">
        <f>IF(G124="C",NormalCallSprd(O124,H124,M124,(P124-A124)/365), NormalPutSprd(O124,H124,M124,(P124-A124)/365))</f>
        <v>0.39088387162673094</v>
      </c>
      <c r="R124" s="9">
        <f t="shared" si="3"/>
        <v>8.8387162673092545E-4</v>
      </c>
    </row>
    <row r="125" spans="1:18" x14ac:dyDescent="0.2">
      <c r="A125" s="2">
        <v>42622</v>
      </c>
      <c r="B125" s="1" t="s">
        <v>13</v>
      </c>
      <c r="C125" s="1" t="s">
        <v>14</v>
      </c>
      <c r="D125" s="2">
        <v>42736</v>
      </c>
      <c r="E125" s="2">
        <f t="shared" si="2"/>
        <v>42736</v>
      </c>
      <c r="F125" s="1" t="s">
        <v>15</v>
      </c>
      <c r="G125" s="1" t="s">
        <v>18</v>
      </c>
      <c r="H125" s="1">
        <v>-0.8</v>
      </c>
      <c r="I125" s="1">
        <v>0.04</v>
      </c>
      <c r="J125" s="1">
        <v>0</v>
      </c>
      <c r="K125" s="1" t="s">
        <v>25</v>
      </c>
      <c r="L125" s="1">
        <v>2389</v>
      </c>
      <c r="M125" s="1">
        <v>0.84</v>
      </c>
      <c r="N125" s="1">
        <v>0.99129999999999996</v>
      </c>
      <c r="O125" s="1">
        <f>VLOOKUP(D125,underlying!$D$2:$H$75,5,FALSE)</f>
        <v>-0.45</v>
      </c>
      <c r="P125" s="2">
        <f>VLOOKUP(D125,underlying!$D$2:$L$39,9,FALSE)</f>
        <v>42703</v>
      </c>
      <c r="Q125" s="7">
        <f>IF(G125="C",NormalCallSprd(O125,H125,M125,(P125-A125)/365), NormalPutSprd(O125,H125,M125,(P125-A125)/365))</f>
        <v>4.0883871626730919E-2</v>
      </c>
      <c r="R125" s="9">
        <f t="shared" si="3"/>
        <v>8.8387162673091851E-4</v>
      </c>
    </row>
    <row r="126" spans="1:18" x14ac:dyDescent="0.2">
      <c r="A126" s="2">
        <v>42622</v>
      </c>
      <c r="B126" s="1" t="s">
        <v>13</v>
      </c>
      <c r="C126" s="1" t="s">
        <v>14</v>
      </c>
      <c r="D126" s="2">
        <v>42736</v>
      </c>
      <c r="E126" s="2">
        <f t="shared" si="2"/>
        <v>42736</v>
      </c>
      <c r="F126" s="1" t="s">
        <v>15</v>
      </c>
      <c r="G126" s="1" t="s">
        <v>16</v>
      </c>
      <c r="H126" s="1">
        <v>-0.75</v>
      </c>
      <c r="I126" s="1">
        <v>0.35</v>
      </c>
      <c r="J126" s="1">
        <v>-0.01</v>
      </c>
      <c r="K126" s="1" t="s">
        <v>25</v>
      </c>
      <c r="L126" s="1">
        <v>2389</v>
      </c>
      <c r="M126" s="1">
        <v>0.83</v>
      </c>
      <c r="N126" s="1">
        <v>0.99485999999999997</v>
      </c>
      <c r="O126" s="1">
        <f>VLOOKUP(D126,underlying!$D$2:$H$75,5,FALSE)</f>
        <v>-0.45</v>
      </c>
      <c r="P126" s="2">
        <f>VLOOKUP(D126,underlying!$D$2:$L$39,9,FALSE)</f>
        <v>42703</v>
      </c>
      <c r="Q126" s="7">
        <f>IF(G126="C",NormalCallSprd(O126,H126,M126,(P126-A126)/365), NormalPutSprd(O126,H126,M126,(P126-A126)/365))</f>
        <v>0.34977330737140766</v>
      </c>
      <c r="R126" s="9">
        <f t="shared" si="3"/>
        <v>2.2669262859231765E-4</v>
      </c>
    </row>
    <row r="127" spans="1:18" x14ac:dyDescent="0.2">
      <c r="A127" s="2">
        <v>42622</v>
      </c>
      <c r="B127" s="1" t="s">
        <v>13</v>
      </c>
      <c r="C127" s="1" t="s">
        <v>14</v>
      </c>
      <c r="D127" s="2">
        <v>42736</v>
      </c>
      <c r="E127" s="2">
        <f t="shared" si="2"/>
        <v>42736</v>
      </c>
      <c r="F127" s="1" t="s">
        <v>15</v>
      </c>
      <c r="G127" s="1" t="s">
        <v>18</v>
      </c>
      <c r="H127" s="1">
        <v>-0.75</v>
      </c>
      <c r="I127" s="1">
        <v>0.05</v>
      </c>
      <c r="J127" s="1">
        <v>0</v>
      </c>
      <c r="K127" s="1" t="s">
        <v>25</v>
      </c>
      <c r="L127" s="1">
        <v>2389</v>
      </c>
      <c r="M127" s="1">
        <v>0.83</v>
      </c>
      <c r="N127" s="1">
        <v>0.99699000000000004</v>
      </c>
      <c r="O127" s="1">
        <f>VLOOKUP(D127,underlying!$D$2:$H$75,5,FALSE)</f>
        <v>-0.45</v>
      </c>
      <c r="P127" s="2">
        <f>VLOOKUP(D127,underlying!$D$2:$L$39,9,FALSE)</f>
        <v>42703</v>
      </c>
      <c r="Q127" s="7">
        <f>IF(G127="C",NormalCallSprd(O127,H127,M127,(P127-A127)/365), NormalPutSprd(O127,H127,M127,(P127-A127)/365))</f>
        <v>4.9773307371407671E-2</v>
      </c>
      <c r="R127" s="9">
        <f t="shared" si="3"/>
        <v>2.2669262859233152E-4</v>
      </c>
    </row>
    <row r="128" spans="1:18" x14ac:dyDescent="0.2">
      <c r="A128" s="2">
        <v>42622</v>
      </c>
      <c r="B128" s="1" t="s">
        <v>13</v>
      </c>
      <c r="C128" s="1" t="s">
        <v>14</v>
      </c>
      <c r="D128" s="2">
        <v>42736</v>
      </c>
      <c r="E128" s="2">
        <f t="shared" si="2"/>
        <v>42736</v>
      </c>
      <c r="F128" s="1" t="s">
        <v>15</v>
      </c>
      <c r="G128" s="1" t="s">
        <v>16</v>
      </c>
      <c r="H128" s="1">
        <v>-0.7</v>
      </c>
      <c r="I128" s="1">
        <v>0.31</v>
      </c>
      <c r="J128" s="1">
        <v>-0.01</v>
      </c>
      <c r="K128" s="1" t="s">
        <v>25</v>
      </c>
      <c r="L128" s="1">
        <v>2389</v>
      </c>
      <c r="M128" s="1">
        <v>0.82</v>
      </c>
      <c r="N128" s="1">
        <v>0.99814000000000003</v>
      </c>
      <c r="O128" s="1">
        <f>VLOOKUP(D128,underlying!$D$2:$H$75,5,FALSE)</f>
        <v>-0.45</v>
      </c>
      <c r="P128" s="2">
        <f>VLOOKUP(D128,underlying!$D$2:$L$39,9,FALSE)</f>
        <v>42703</v>
      </c>
      <c r="Q128" s="7">
        <f>IF(G128="C",NormalCallSprd(O128,H128,M128,(P128-A128)/365), NormalPutSprd(O128,H128,M128,(P128-A128)/365))</f>
        <v>0.31029894308277772</v>
      </c>
      <c r="R128" s="9">
        <f t="shared" si="3"/>
        <v>2.9894308277772508E-4</v>
      </c>
    </row>
    <row r="129" spans="1:18" x14ac:dyDescent="0.2">
      <c r="A129" s="2">
        <v>42622</v>
      </c>
      <c r="B129" s="1" t="s">
        <v>13</v>
      </c>
      <c r="C129" s="1" t="s">
        <v>14</v>
      </c>
      <c r="D129" s="2">
        <v>42736</v>
      </c>
      <c r="E129" s="2">
        <f t="shared" si="2"/>
        <v>42736</v>
      </c>
      <c r="F129" s="1" t="s">
        <v>15</v>
      </c>
      <c r="G129" s="1" t="s">
        <v>18</v>
      </c>
      <c r="H129" s="1">
        <v>-0.7</v>
      </c>
      <c r="I129" s="1">
        <v>0.06</v>
      </c>
      <c r="J129" s="1">
        <v>0</v>
      </c>
      <c r="K129" s="1" t="s">
        <v>25</v>
      </c>
      <c r="L129" s="1">
        <v>2389</v>
      </c>
      <c r="M129" s="1">
        <v>0.82</v>
      </c>
      <c r="N129" s="1">
        <v>0.99905999999999995</v>
      </c>
      <c r="O129" s="1">
        <f>VLOOKUP(D129,underlying!$D$2:$H$75,5,FALSE)</f>
        <v>-0.45</v>
      </c>
      <c r="P129" s="2">
        <f>VLOOKUP(D129,underlying!$D$2:$L$39,9,FALSE)</f>
        <v>42703</v>
      </c>
      <c r="Q129" s="7">
        <f>IF(G129="C",NormalCallSprd(O129,H129,M129,(P129-A129)/365), NormalPutSprd(O129,H129,M129,(P129-A129)/365))</f>
        <v>6.0298943082777778E-2</v>
      </c>
      <c r="R129" s="9">
        <f t="shared" si="3"/>
        <v>2.9894308277778059E-4</v>
      </c>
    </row>
    <row r="130" spans="1:18" x14ac:dyDescent="0.2">
      <c r="A130" s="2">
        <v>42622</v>
      </c>
      <c r="B130" s="1" t="s">
        <v>13</v>
      </c>
      <c r="C130" s="1" t="s">
        <v>14</v>
      </c>
      <c r="D130" s="2">
        <v>42736</v>
      </c>
      <c r="E130" s="2">
        <f t="shared" ref="E130:E193" si="4">DATE(YEAR(D130),DAY(D130),MONTH(D130))</f>
        <v>42736</v>
      </c>
      <c r="F130" s="1" t="s">
        <v>15</v>
      </c>
      <c r="G130" s="1" t="s">
        <v>16</v>
      </c>
      <c r="H130" s="1">
        <v>-0.65</v>
      </c>
      <c r="I130" s="1">
        <v>0.27</v>
      </c>
      <c r="J130" s="1">
        <v>-0.01</v>
      </c>
      <c r="K130" s="1" t="s">
        <v>25</v>
      </c>
      <c r="L130" s="1">
        <v>2389</v>
      </c>
      <c r="M130" s="1">
        <v>0.81</v>
      </c>
      <c r="N130" s="1">
        <v>0.99975999999999998</v>
      </c>
      <c r="O130" s="1">
        <f>VLOOKUP(D130,underlying!$D$2:$H$75,5,FALSE)</f>
        <v>-0.45</v>
      </c>
      <c r="P130" s="2">
        <f>VLOOKUP(D130,underlying!$D$2:$L$39,9,FALSE)</f>
        <v>42703</v>
      </c>
      <c r="Q130" s="7">
        <f>IF(G130="C",NormalCallSprd(O130,H130,M130,(P130-A130)/365), NormalPutSprd(O130,H130,M130,(P130-A130)/365))</f>
        <v>0.2726711751494954</v>
      </c>
      <c r="R130" s="9">
        <f t="shared" si="3"/>
        <v>2.6711751494953861E-3</v>
      </c>
    </row>
    <row r="131" spans="1:18" x14ac:dyDescent="0.2">
      <c r="A131" s="2">
        <v>42622</v>
      </c>
      <c r="B131" s="1" t="s">
        <v>13</v>
      </c>
      <c r="C131" s="1" t="s">
        <v>14</v>
      </c>
      <c r="D131" s="2">
        <v>42736</v>
      </c>
      <c r="E131" s="2">
        <f t="shared" si="4"/>
        <v>42736</v>
      </c>
      <c r="F131" s="1" t="s">
        <v>15</v>
      </c>
      <c r="G131" s="1" t="s">
        <v>18</v>
      </c>
      <c r="H131" s="1">
        <v>-0.65</v>
      </c>
      <c r="I131" s="1">
        <v>7.0000000000000007E-2</v>
      </c>
      <c r="J131" s="1">
        <v>0</v>
      </c>
      <c r="K131" s="1" t="s">
        <v>25</v>
      </c>
      <c r="L131" s="1">
        <v>2389</v>
      </c>
      <c r="M131" s="1">
        <v>0.81</v>
      </c>
      <c r="N131" s="1">
        <v>0.99977000000000005</v>
      </c>
      <c r="O131" s="1">
        <f>VLOOKUP(D131,underlying!$D$2:$H$75,5,FALSE)</f>
        <v>-0.45</v>
      </c>
      <c r="P131" s="2">
        <f>VLOOKUP(D131,underlying!$D$2:$L$39,9,FALSE)</f>
        <v>42703</v>
      </c>
      <c r="Q131" s="7">
        <f>IF(G131="C",NormalCallSprd(O131,H131,M131,(P131-A131)/365), NormalPutSprd(O131,H131,M131,(P131-A131)/365))</f>
        <v>7.2671175149495379E-2</v>
      </c>
      <c r="R131" s="9">
        <f t="shared" ref="R131:R194" si="5">ABS(Q131-I131)</f>
        <v>2.6711751494953723E-3</v>
      </c>
    </row>
    <row r="132" spans="1:18" x14ac:dyDescent="0.2">
      <c r="A132" s="2">
        <v>42622</v>
      </c>
      <c r="B132" s="1" t="s">
        <v>13</v>
      </c>
      <c r="C132" s="1" t="s">
        <v>14</v>
      </c>
      <c r="D132" s="2">
        <v>42736</v>
      </c>
      <c r="E132" s="2">
        <f t="shared" si="4"/>
        <v>42736</v>
      </c>
      <c r="F132" s="1" t="s">
        <v>15</v>
      </c>
      <c r="G132" s="1" t="s">
        <v>16</v>
      </c>
      <c r="H132" s="1">
        <v>-0.6</v>
      </c>
      <c r="I132" s="1">
        <v>0.24</v>
      </c>
      <c r="J132" s="1">
        <v>0</v>
      </c>
      <c r="K132" s="1" t="s">
        <v>25</v>
      </c>
      <c r="L132" s="1">
        <v>2389</v>
      </c>
      <c r="M132" s="1">
        <v>0.8</v>
      </c>
      <c r="N132" s="1">
        <v>0.99977000000000005</v>
      </c>
      <c r="O132" s="1">
        <f>VLOOKUP(D132,underlying!$D$2:$H$75,5,FALSE)</f>
        <v>-0.45</v>
      </c>
      <c r="P132" s="2">
        <f>VLOOKUP(D132,underlying!$D$2:$L$39,9,FALSE)</f>
        <v>42703</v>
      </c>
      <c r="Q132" s="7">
        <f>IF(G132="C",NormalCallSprd(O132,H132,M132,(P132-A132)/365), NormalPutSprd(O132,H132,M132,(P132-A132)/365))</f>
        <v>0.23710174230599207</v>
      </c>
      <c r="R132" s="9">
        <f t="shared" si="5"/>
        <v>2.8982576940079219E-3</v>
      </c>
    </row>
    <row r="133" spans="1:18" x14ac:dyDescent="0.2">
      <c r="A133" s="2">
        <v>42622</v>
      </c>
      <c r="B133" s="1" t="s">
        <v>13</v>
      </c>
      <c r="C133" s="1" t="s">
        <v>14</v>
      </c>
      <c r="D133" s="2">
        <v>42736</v>
      </c>
      <c r="E133" s="2">
        <f t="shared" si="4"/>
        <v>42736</v>
      </c>
      <c r="F133" s="1" t="s">
        <v>15</v>
      </c>
      <c r="G133" s="1" t="s">
        <v>18</v>
      </c>
      <c r="H133" s="1">
        <v>-0.6</v>
      </c>
      <c r="I133" s="1">
        <v>0.09</v>
      </c>
      <c r="J133" s="1">
        <v>0.01</v>
      </c>
      <c r="K133" s="1" t="s">
        <v>25</v>
      </c>
      <c r="L133" s="1">
        <v>2389</v>
      </c>
      <c r="M133" s="1">
        <v>0.8</v>
      </c>
      <c r="N133" s="1">
        <v>-0.92323</v>
      </c>
      <c r="O133" s="1">
        <f>VLOOKUP(D133,underlying!$D$2:$H$75,5,FALSE)</f>
        <v>-0.45</v>
      </c>
      <c r="P133" s="2">
        <f>VLOOKUP(D133,underlying!$D$2:$L$39,9,FALSE)</f>
        <v>42703</v>
      </c>
      <c r="Q133" s="7">
        <f>IF(G133="C",NormalCallSprd(O133,H133,M133,(P133-A133)/365), NormalPutSprd(O133,H133,M133,(P133-A133)/365))</f>
        <v>8.7101742305992103E-2</v>
      </c>
      <c r="R133" s="9">
        <f t="shared" si="5"/>
        <v>2.8982576940078941E-3</v>
      </c>
    </row>
    <row r="134" spans="1:18" x14ac:dyDescent="0.2">
      <c r="A134" s="2">
        <v>42622</v>
      </c>
      <c r="B134" s="1" t="s">
        <v>13</v>
      </c>
      <c r="C134" s="1" t="s">
        <v>14</v>
      </c>
      <c r="D134" s="2">
        <v>42736</v>
      </c>
      <c r="E134" s="2">
        <f t="shared" si="4"/>
        <v>42736</v>
      </c>
      <c r="F134" s="1" t="s">
        <v>15</v>
      </c>
      <c r="G134" s="1" t="s">
        <v>16</v>
      </c>
      <c r="H134" s="1">
        <v>-0.55000000000000004</v>
      </c>
      <c r="I134" s="1">
        <v>0.2</v>
      </c>
      <c r="J134" s="1">
        <v>-0.01</v>
      </c>
      <c r="K134" s="1" t="s">
        <v>25</v>
      </c>
      <c r="L134" s="1">
        <v>2389</v>
      </c>
      <c r="M134" s="1">
        <v>0.79</v>
      </c>
      <c r="N134" s="1">
        <v>-0.90242999999999995</v>
      </c>
      <c r="O134" s="1">
        <f>VLOOKUP(D134,underlying!$D$2:$H$75,5,FALSE)</f>
        <v>-0.45</v>
      </c>
      <c r="P134" s="2">
        <f>VLOOKUP(D134,underlying!$D$2:$L$39,9,FALSE)</f>
        <v>42703</v>
      </c>
      <c r="Q134" s="7">
        <f>IF(G134="C",NormalCallSprd(O134,H134,M134,(P134-A134)/365), NormalPutSprd(O134,H134,M134,(P134-A134)/365))</f>
        <v>0.20379601261106872</v>
      </c>
      <c r="R134" s="9">
        <f t="shared" si="5"/>
        <v>3.7960126110687109E-3</v>
      </c>
    </row>
    <row r="135" spans="1:18" x14ac:dyDescent="0.2">
      <c r="A135" s="2">
        <v>42622</v>
      </c>
      <c r="B135" s="1" t="s">
        <v>13</v>
      </c>
      <c r="C135" s="1" t="s">
        <v>14</v>
      </c>
      <c r="D135" s="2">
        <v>42736</v>
      </c>
      <c r="E135" s="2">
        <f t="shared" si="4"/>
        <v>42736</v>
      </c>
      <c r="F135" s="1" t="s">
        <v>15</v>
      </c>
      <c r="G135" s="1" t="s">
        <v>18</v>
      </c>
      <c r="H135" s="1">
        <v>-0.55000000000000004</v>
      </c>
      <c r="I135" s="1">
        <v>0.1</v>
      </c>
      <c r="J135" s="1">
        <v>0</v>
      </c>
      <c r="K135" s="1" t="s">
        <v>25</v>
      </c>
      <c r="L135" s="1">
        <v>2389</v>
      </c>
      <c r="M135" s="1">
        <v>0.79</v>
      </c>
      <c r="N135" s="1">
        <v>-0.87587000000000004</v>
      </c>
      <c r="O135" s="1">
        <f>VLOOKUP(D135,underlying!$D$2:$H$75,5,FALSE)</f>
        <v>-0.45</v>
      </c>
      <c r="P135" s="2">
        <f>VLOOKUP(D135,underlying!$D$2:$L$39,9,FALSE)</f>
        <v>42703</v>
      </c>
      <c r="Q135" s="7">
        <f>IF(G135="C",NormalCallSprd(O135,H135,M135,(P135-A135)/365), NormalPutSprd(O135,H135,M135,(P135-A135)/365))</f>
        <v>0.1037960126110687</v>
      </c>
      <c r="R135" s="9">
        <f t="shared" si="5"/>
        <v>3.796012611068697E-3</v>
      </c>
    </row>
    <row r="136" spans="1:18" x14ac:dyDescent="0.2">
      <c r="A136" s="2">
        <v>42622</v>
      </c>
      <c r="B136" s="1" t="s">
        <v>13</v>
      </c>
      <c r="C136" s="1" t="s">
        <v>14</v>
      </c>
      <c r="D136" s="2">
        <v>42736</v>
      </c>
      <c r="E136" s="2">
        <f t="shared" si="4"/>
        <v>42736</v>
      </c>
      <c r="F136" s="1" t="s">
        <v>15</v>
      </c>
      <c r="G136" s="1" t="s">
        <v>16</v>
      </c>
      <c r="H136" s="1">
        <v>-0.5</v>
      </c>
      <c r="I136" s="1">
        <v>0.17</v>
      </c>
      <c r="J136" s="1">
        <v>-0.01</v>
      </c>
      <c r="K136" s="1" t="s">
        <v>25</v>
      </c>
      <c r="L136" s="1">
        <v>2389</v>
      </c>
      <c r="M136" s="1">
        <v>0.79</v>
      </c>
      <c r="N136" s="1">
        <v>-0.84087000000000001</v>
      </c>
      <c r="O136" s="1">
        <f>VLOOKUP(D136,underlying!$D$2:$H$75,5,FALSE)</f>
        <v>-0.45</v>
      </c>
      <c r="P136" s="2">
        <f>VLOOKUP(D136,underlying!$D$2:$L$39,9,FALSE)</f>
        <v>42703</v>
      </c>
      <c r="Q136" s="7">
        <f>IF(G136="C",NormalCallSprd(O136,H136,M136,(P136-A136)/365), NormalPutSprd(O136,H136,M136,(P136-A136)/365))</f>
        <v>0.17480609224391072</v>
      </c>
      <c r="R136" s="9">
        <f t="shared" si="5"/>
        <v>4.806092243910709E-3</v>
      </c>
    </row>
    <row r="137" spans="1:18" x14ac:dyDescent="0.2">
      <c r="A137" s="2">
        <v>42622</v>
      </c>
      <c r="B137" s="1" t="s">
        <v>13</v>
      </c>
      <c r="C137" s="1" t="s">
        <v>14</v>
      </c>
      <c r="D137" s="2">
        <v>42736</v>
      </c>
      <c r="E137" s="2">
        <f t="shared" si="4"/>
        <v>42736</v>
      </c>
      <c r="F137" s="1" t="s">
        <v>15</v>
      </c>
      <c r="G137" s="1" t="s">
        <v>18</v>
      </c>
      <c r="H137" s="1">
        <v>-0.5</v>
      </c>
      <c r="I137" s="1">
        <v>0.12</v>
      </c>
      <c r="J137" s="1">
        <v>0</v>
      </c>
      <c r="K137" s="1" t="s">
        <v>25</v>
      </c>
      <c r="L137" s="1">
        <v>2389</v>
      </c>
      <c r="M137" s="1">
        <v>0.79</v>
      </c>
      <c r="N137" s="1">
        <v>-0.79630000000000001</v>
      </c>
      <c r="O137" s="1">
        <f>VLOOKUP(D137,underlying!$D$2:$H$75,5,FALSE)</f>
        <v>-0.45</v>
      </c>
      <c r="P137" s="2">
        <f>VLOOKUP(D137,underlying!$D$2:$L$39,9,FALSE)</f>
        <v>42703</v>
      </c>
      <c r="Q137" s="7">
        <f>IF(G137="C",NormalCallSprd(O137,H137,M137,(P137-A137)/365), NormalPutSprd(O137,H137,M137,(P137-A137)/365))</f>
        <v>0.12480609224391073</v>
      </c>
      <c r="R137" s="9">
        <f t="shared" si="5"/>
        <v>4.8060922439107367E-3</v>
      </c>
    </row>
    <row r="138" spans="1:18" x14ac:dyDescent="0.2">
      <c r="A138" s="2">
        <v>42622</v>
      </c>
      <c r="B138" s="1" t="s">
        <v>13</v>
      </c>
      <c r="C138" s="1" t="s">
        <v>14</v>
      </c>
      <c r="D138" s="2">
        <v>42736</v>
      </c>
      <c r="E138" s="2">
        <f t="shared" si="4"/>
        <v>42736</v>
      </c>
      <c r="F138" s="1" t="s">
        <v>15</v>
      </c>
      <c r="G138" s="1" t="s">
        <v>16</v>
      </c>
      <c r="H138" s="1">
        <v>-0.45</v>
      </c>
      <c r="I138" s="1">
        <v>0.15</v>
      </c>
      <c r="J138" s="1">
        <v>0</v>
      </c>
      <c r="K138" s="1" t="s">
        <v>25</v>
      </c>
      <c r="L138" s="1">
        <v>2389</v>
      </c>
      <c r="M138" s="1">
        <v>0.79</v>
      </c>
      <c r="N138" s="1">
        <v>-0.7419</v>
      </c>
      <c r="O138" s="1">
        <f>VLOOKUP(D138,underlying!$D$2:$H$75,5,FALSE)</f>
        <v>-0.45</v>
      </c>
      <c r="P138" s="2">
        <f>VLOOKUP(D138,underlying!$D$2:$L$39,9,FALSE)</f>
        <v>42703</v>
      </c>
      <c r="Q138" s="7">
        <f>IF(G138="C",NormalCallSprd(O138,H138,M138,(P138-A138)/365), NormalPutSprd(O138,H138,M138,(P138-A138)/365))</f>
        <v>0.14846812857260483</v>
      </c>
      <c r="R138" s="9">
        <f t="shared" si="5"/>
        <v>1.531871427395165E-3</v>
      </c>
    </row>
    <row r="139" spans="1:18" x14ac:dyDescent="0.2">
      <c r="A139" s="2">
        <v>42622</v>
      </c>
      <c r="B139" s="1" t="s">
        <v>13</v>
      </c>
      <c r="C139" s="1" t="s">
        <v>14</v>
      </c>
      <c r="D139" s="2">
        <v>42736</v>
      </c>
      <c r="E139" s="2">
        <f t="shared" si="4"/>
        <v>42736</v>
      </c>
      <c r="F139" s="1" t="s">
        <v>15</v>
      </c>
      <c r="G139" s="1" t="s">
        <v>18</v>
      </c>
      <c r="H139" s="1">
        <v>-0.45</v>
      </c>
      <c r="I139" s="1">
        <v>0.15</v>
      </c>
      <c r="J139" s="1">
        <v>0.01</v>
      </c>
      <c r="K139" s="1" t="s">
        <v>25</v>
      </c>
      <c r="L139" s="1">
        <v>2389</v>
      </c>
      <c r="M139" s="1">
        <v>0.79</v>
      </c>
      <c r="N139" s="1">
        <v>-0.67701</v>
      </c>
      <c r="O139" s="1">
        <f>VLOOKUP(D139,underlying!$D$2:$H$75,5,FALSE)</f>
        <v>-0.45</v>
      </c>
      <c r="P139" s="2">
        <f>VLOOKUP(D139,underlying!$D$2:$L$39,9,FALSE)</f>
        <v>42703</v>
      </c>
      <c r="Q139" s="7">
        <f>IF(G139="C",NormalCallSprd(O139,H139,M139,(P139-A139)/365), NormalPutSprd(O139,H139,M139,(P139-A139)/365))</f>
        <v>0.14846812857260483</v>
      </c>
      <c r="R139" s="9">
        <f t="shared" si="5"/>
        <v>1.531871427395165E-3</v>
      </c>
    </row>
    <row r="140" spans="1:18" x14ac:dyDescent="0.2">
      <c r="A140" s="2">
        <v>42622</v>
      </c>
      <c r="B140" s="1" t="s">
        <v>13</v>
      </c>
      <c r="C140" s="1" t="s">
        <v>14</v>
      </c>
      <c r="D140" s="2">
        <v>42736</v>
      </c>
      <c r="E140" s="2">
        <f t="shared" si="4"/>
        <v>42736</v>
      </c>
      <c r="F140" s="1" t="s">
        <v>15</v>
      </c>
      <c r="G140" s="1" t="s">
        <v>16</v>
      </c>
      <c r="H140" s="1">
        <v>-0.4</v>
      </c>
      <c r="I140" s="1">
        <v>0.13</v>
      </c>
      <c r="J140" s="1">
        <v>0</v>
      </c>
      <c r="K140" s="1" t="s">
        <v>25</v>
      </c>
      <c r="L140" s="1">
        <v>2389</v>
      </c>
      <c r="M140" s="1">
        <v>0.8</v>
      </c>
      <c r="N140" s="1">
        <v>-0.60180999999999996</v>
      </c>
      <c r="O140" s="1">
        <f>VLOOKUP(D140,underlying!$D$2:$H$75,5,FALSE)</f>
        <v>-0.45</v>
      </c>
      <c r="P140" s="2">
        <f>VLOOKUP(D140,underlying!$D$2:$L$39,9,FALSE)</f>
        <v>42703</v>
      </c>
      <c r="Q140" s="7">
        <f>IF(G140="C",NormalCallSprd(O140,H140,M140,(P140-A140)/365), NormalPutSprd(O140,H140,M140,(P140-A140)/365))</f>
        <v>0.12666876037148214</v>
      </c>
      <c r="R140" s="9">
        <f t="shared" si="5"/>
        <v>3.3312396285178625E-3</v>
      </c>
    </row>
    <row r="141" spans="1:18" x14ac:dyDescent="0.2">
      <c r="A141" s="2">
        <v>42622</v>
      </c>
      <c r="B141" s="1" t="s">
        <v>13</v>
      </c>
      <c r="C141" s="1" t="s">
        <v>14</v>
      </c>
      <c r="D141" s="2">
        <v>42736</v>
      </c>
      <c r="E141" s="2">
        <f t="shared" si="4"/>
        <v>42736</v>
      </c>
      <c r="F141" s="1" t="s">
        <v>15</v>
      </c>
      <c r="G141" s="1" t="s">
        <v>18</v>
      </c>
      <c r="H141" s="1">
        <v>-0.4</v>
      </c>
      <c r="I141" s="1">
        <v>0.18</v>
      </c>
      <c r="J141" s="1">
        <v>0.01</v>
      </c>
      <c r="K141" s="1" t="s">
        <v>25</v>
      </c>
      <c r="L141" s="1">
        <v>2389</v>
      </c>
      <c r="M141" s="1">
        <v>0.8</v>
      </c>
      <c r="N141" s="1">
        <v>-0.51758999999999999</v>
      </c>
      <c r="O141" s="1">
        <f>VLOOKUP(D141,underlying!$D$2:$H$75,5,FALSE)</f>
        <v>-0.45</v>
      </c>
      <c r="P141" s="2">
        <f>VLOOKUP(D141,underlying!$D$2:$L$39,9,FALSE)</f>
        <v>42703</v>
      </c>
      <c r="Q141" s="7">
        <f>IF(G141="C",NormalCallSprd(O141,H141,M141,(P141-A141)/365), NormalPutSprd(O141,H141,M141,(P141-A141)/365))</f>
        <v>0.17666876037148213</v>
      </c>
      <c r="R141" s="9">
        <f t="shared" si="5"/>
        <v>3.3312396285178625E-3</v>
      </c>
    </row>
    <row r="142" spans="1:18" x14ac:dyDescent="0.2">
      <c r="A142" s="2">
        <v>42622</v>
      </c>
      <c r="B142" s="1" t="s">
        <v>13</v>
      </c>
      <c r="C142" s="1" t="s">
        <v>14</v>
      </c>
      <c r="D142" s="2">
        <v>42736</v>
      </c>
      <c r="E142" s="2">
        <f t="shared" si="4"/>
        <v>42736</v>
      </c>
      <c r="F142" s="1" t="s">
        <v>15</v>
      </c>
      <c r="G142" s="1" t="s">
        <v>16</v>
      </c>
      <c r="H142" s="1">
        <v>-0.35</v>
      </c>
      <c r="I142" s="1">
        <v>0.11</v>
      </c>
      <c r="J142" s="1">
        <v>0</v>
      </c>
      <c r="K142" s="1" t="s">
        <v>25</v>
      </c>
      <c r="L142" s="1">
        <v>2389</v>
      </c>
      <c r="M142" s="1">
        <v>0.8</v>
      </c>
      <c r="N142" s="1">
        <v>-0.42762</v>
      </c>
      <c r="O142" s="1">
        <f>VLOOKUP(D142,underlying!$D$2:$H$75,5,FALSE)</f>
        <v>-0.45</v>
      </c>
      <c r="P142" s="2">
        <f>VLOOKUP(D142,underlying!$D$2:$L$39,9,FALSE)</f>
        <v>42703</v>
      </c>
      <c r="Q142" s="7">
        <f>IF(G142="C",NormalCallSprd(O142,H142,M142,(P142-A142)/365), NormalPutSprd(O142,H142,M142,(P142-A142)/365))</f>
        <v>0.10560953747891454</v>
      </c>
      <c r="R142" s="9">
        <f t="shared" si="5"/>
        <v>4.3904625210854642E-3</v>
      </c>
    </row>
    <row r="143" spans="1:18" x14ac:dyDescent="0.2">
      <c r="A143" s="2">
        <v>42622</v>
      </c>
      <c r="B143" s="1" t="s">
        <v>13</v>
      </c>
      <c r="C143" s="1" t="s">
        <v>14</v>
      </c>
      <c r="D143" s="2">
        <v>42736</v>
      </c>
      <c r="E143" s="2">
        <f t="shared" si="4"/>
        <v>42736</v>
      </c>
      <c r="F143" s="1" t="s">
        <v>15</v>
      </c>
      <c r="G143" s="1" t="s">
        <v>18</v>
      </c>
      <c r="H143" s="1">
        <v>-0.35</v>
      </c>
      <c r="I143" s="1">
        <v>0.21</v>
      </c>
      <c r="J143" s="1">
        <v>0.01</v>
      </c>
      <c r="K143" s="1" t="s">
        <v>25</v>
      </c>
      <c r="L143" s="1">
        <v>2389</v>
      </c>
      <c r="M143" s="1">
        <v>0.8</v>
      </c>
      <c r="N143" s="1">
        <v>-0.33859</v>
      </c>
      <c r="O143" s="1">
        <f>VLOOKUP(D143,underlying!$D$2:$H$75,5,FALSE)</f>
        <v>-0.45</v>
      </c>
      <c r="P143" s="2">
        <f>VLOOKUP(D143,underlying!$D$2:$L$39,9,FALSE)</f>
        <v>42703</v>
      </c>
      <c r="Q143" s="7">
        <f>IF(G143="C",NormalCallSprd(O143,H143,M143,(P143-A143)/365), NormalPutSprd(O143,H143,M143,(P143-A143)/365))</f>
        <v>0.20560953747891458</v>
      </c>
      <c r="R143" s="9">
        <f t="shared" si="5"/>
        <v>4.3904625210854087E-3</v>
      </c>
    </row>
    <row r="144" spans="1:18" x14ac:dyDescent="0.2">
      <c r="A144" s="2">
        <v>42622</v>
      </c>
      <c r="B144" s="1" t="s">
        <v>13</v>
      </c>
      <c r="C144" s="1" t="s">
        <v>14</v>
      </c>
      <c r="D144" s="2">
        <v>42736</v>
      </c>
      <c r="E144" s="2">
        <f t="shared" si="4"/>
        <v>42736</v>
      </c>
      <c r="F144" s="1" t="s">
        <v>15</v>
      </c>
      <c r="G144" s="1" t="s">
        <v>16</v>
      </c>
      <c r="H144" s="1">
        <v>-0.3</v>
      </c>
      <c r="I144" s="1">
        <v>0.09</v>
      </c>
      <c r="J144" s="1">
        <v>0</v>
      </c>
      <c r="K144" s="1" t="s">
        <v>25</v>
      </c>
      <c r="L144" s="1">
        <v>2389</v>
      </c>
      <c r="M144" s="1">
        <v>0.8</v>
      </c>
      <c r="N144" s="1">
        <v>-0.25638</v>
      </c>
      <c r="O144" s="1">
        <f>VLOOKUP(D144,underlying!$D$2:$H$75,5,FALSE)</f>
        <v>-0.45</v>
      </c>
      <c r="P144" s="2">
        <f>VLOOKUP(D144,underlying!$D$2:$L$39,9,FALSE)</f>
        <v>42703</v>
      </c>
      <c r="Q144" s="7">
        <f>IF(G144="C",NormalCallSprd(O144,H144,M144,(P144-A144)/365), NormalPutSprd(O144,H144,M144,(P144-A144)/365))</f>
        <v>8.7101742305992089E-2</v>
      </c>
      <c r="R144" s="9">
        <f t="shared" si="5"/>
        <v>2.898257694007908E-3</v>
      </c>
    </row>
    <row r="145" spans="1:20" x14ac:dyDescent="0.2">
      <c r="A145" s="2">
        <v>42622</v>
      </c>
      <c r="B145" s="1" t="s">
        <v>13</v>
      </c>
      <c r="C145" s="1" t="s">
        <v>14</v>
      </c>
      <c r="D145" s="2">
        <v>42736</v>
      </c>
      <c r="E145" s="2">
        <f t="shared" si="4"/>
        <v>42736</v>
      </c>
      <c r="F145" s="1" t="s">
        <v>15</v>
      </c>
      <c r="G145" s="1" t="s">
        <v>18</v>
      </c>
      <c r="H145" s="1">
        <v>-0.3</v>
      </c>
      <c r="I145" s="1">
        <v>0.24</v>
      </c>
      <c r="J145" s="1">
        <v>0.01</v>
      </c>
      <c r="K145" s="1" t="s">
        <v>25</v>
      </c>
      <c r="L145" s="1">
        <v>2389</v>
      </c>
      <c r="M145" s="1">
        <v>0.8</v>
      </c>
      <c r="N145" s="1">
        <v>-0.18617</v>
      </c>
      <c r="O145" s="1">
        <f>VLOOKUP(D145,underlying!$D$2:$H$75,5,FALSE)</f>
        <v>-0.45</v>
      </c>
      <c r="P145" s="2">
        <f>VLOOKUP(D145,underlying!$D$2:$L$39,9,FALSE)</f>
        <v>42703</v>
      </c>
      <c r="Q145" s="7">
        <f>IF(G145="C",NormalCallSprd(O145,H145,M145,(P145-A145)/365), NormalPutSprd(O145,H145,M145,(P145-A145)/365))</f>
        <v>0.2371017423059921</v>
      </c>
      <c r="R145" s="9">
        <f t="shared" si="5"/>
        <v>2.8982576940078941E-3</v>
      </c>
    </row>
    <row r="146" spans="1:20" x14ac:dyDescent="0.2">
      <c r="A146" s="2">
        <v>42622</v>
      </c>
      <c r="B146" s="1" t="s">
        <v>13</v>
      </c>
      <c r="C146" s="1" t="s">
        <v>14</v>
      </c>
      <c r="D146" s="2">
        <v>42736</v>
      </c>
      <c r="E146" s="2">
        <f t="shared" si="4"/>
        <v>42736</v>
      </c>
      <c r="F146" s="1" t="s">
        <v>15</v>
      </c>
      <c r="G146" s="1" t="s">
        <v>16</v>
      </c>
      <c r="H146" s="1">
        <v>-0.25</v>
      </c>
      <c r="I146" s="1">
        <v>7.0000000000000007E-2</v>
      </c>
      <c r="J146" s="1">
        <v>0</v>
      </c>
      <c r="K146" s="1" t="s">
        <v>25</v>
      </c>
      <c r="L146" s="1">
        <v>2389</v>
      </c>
      <c r="M146" s="1">
        <v>0.8</v>
      </c>
      <c r="N146" s="1">
        <v>-0.12991</v>
      </c>
      <c r="O146" s="1">
        <f>VLOOKUP(D146,underlying!$D$2:$H$75,5,FALSE)</f>
        <v>-0.45</v>
      </c>
      <c r="P146" s="2">
        <f>VLOOKUP(D146,underlying!$D$2:$L$39,9,FALSE)</f>
        <v>42703</v>
      </c>
      <c r="Q146" s="7">
        <f>IF(G146="C",NormalCallSprd(O146,H146,M146,(P146-A146)/365), NormalPutSprd(O146,H146,M146,(P146-A146)/365))</f>
        <v>7.1035846898697394E-2</v>
      </c>
      <c r="R146" s="9">
        <f t="shared" si="5"/>
        <v>1.0358468986973873E-3</v>
      </c>
    </row>
    <row r="147" spans="1:20" x14ac:dyDescent="0.2">
      <c r="A147" s="2">
        <v>42622</v>
      </c>
      <c r="B147" s="1" t="s">
        <v>13</v>
      </c>
      <c r="C147" s="1" t="s">
        <v>14</v>
      </c>
      <c r="D147" s="2">
        <v>42736</v>
      </c>
      <c r="E147" s="2">
        <f t="shared" si="4"/>
        <v>42736</v>
      </c>
      <c r="F147" s="1" t="s">
        <v>15</v>
      </c>
      <c r="G147" s="1" t="s">
        <v>18</v>
      </c>
      <c r="H147" s="1">
        <v>-0.25</v>
      </c>
      <c r="I147" s="1">
        <v>0.27</v>
      </c>
      <c r="J147" s="1">
        <v>0.01</v>
      </c>
      <c r="K147" s="1" t="s">
        <v>25</v>
      </c>
      <c r="L147" s="1">
        <v>2389</v>
      </c>
      <c r="M147" s="1">
        <v>0.8</v>
      </c>
      <c r="N147" s="1">
        <v>-8.8090000000000002E-2</v>
      </c>
      <c r="O147" s="1">
        <f>VLOOKUP(D147,underlying!$D$2:$H$75,5,FALSE)</f>
        <v>-0.45</v>
      </c>
      <c r="P147" s="2">
        <f>VLOOKUP(D147,underlying!$D$2:$L$39,9,FALSE)</f>
        <v>42703</v>
      </c>
      <c r="Q147" s="7">
        <f>IF(G147="C",NormalCallSprd(O147,H147,M147,(P147-A147)/365), NormalPutSprd(O147,H147,M147,(P147-A147)/365))</f>
        <v>0.27103584689869742</v>
      </c>
      <c r="R147" s="9">
        <f t="shared" si="5"/>
        <v>1.0358468986974012E-3</v>
      </c>
    </row>
    <row r="148" spans="1:20" x14ac:dyDescent="0.2">
      <c r="A148" s="2">
        <v>42622</v>
      </c>
      <c r="B148" s="1" t="s">
        <v>13</v>
      </c>
      <c r="C148" s="1" t="s">
        <v>14</v>
      </c>
      <c r="D148" s="2">
        <v>42736</v>
      </c>
      <c r="E148" s="2">
        <f t="shared" si="4"/>
        <v>42736</v>
      </c>
      <c r="F148" s="1" t="s">
        <v>15</v>
      </c>
      <c r="G148" s="1" t="s">
        <v>16</v>
      </c>
      <c r="H148" s="1">
        <v>-0.2</v>
      </c>
      <c r="I148" s="1">
        <v>0.06</v>
      </c>
      <c r="J148" s="1">
        <v>0</v>
      </c>
      <c r="K148" s="1" t="s">
        <v>25</v>
      </c>
      <c r="L148" s="1">
        <v>2389</v>
      </c>
      <c r="M148" s="1">
        <v>0.8</v>
      </c>
      <c r="N148" s="1">
        <v>-5.8360000000000002E-2</v>
      </c>
      <c r="O148" s="1">
        <f>VLOOKUP(D148,underlying!$D$2:$H$75,5,FALSE)</f>
        <v>-0.45</v>
      </c>
      <c r="P148" s="2">
        <f>VLOOKUP(D148,underlying!$D$2:$L$39,9,FALSE)</f>
        <v>42703</v>
      </c>
      <c r="Q148" s="7">
        <f>IF(G148="C",NormalCallSprd(O148,H148,M148,(P148-A148)/365), NormalPutSprd(O148,H148,M148,(P148-A148)/365))</f>
        <v>5.7266365671157109E-2</v>
      </c>
      <c r="R148" s="9">
        <f t="shared" si="5"/>
        <v>2.7336343288428891E-3</v>
      </c>
    </row>
    <row r="149" spans="1:20" x14ac:dyDescent="0.2">
      <c r="A149" s="2">
        <v>42622</v>
      </c>
      <c r="B149" s="1" t="s">
        <v>13</v>
      </c>
      <c r="C149" s="1" t="s">
        <v>14</v>
      </c>
      <c r="D149" s="2">
        <v>42736</v>
      </c>
      <c r="E149" s="2">
        <f t="shared" si="4"/>
        <v>42736</v>
      </c>
      <c r="F149" s="1" t="s">
        <v>15</v>
      </c>
      <c r="G149" s="1" t="s">
        <v>18</v>
      </c>
      <c r="H149" s="1">
        <v>-0.2</v>
      </c>
      <c r="I149" s="1">
        <v>0.31</v>
      </c>
      <c r="J149" s="1">
        <v>0.01</v>
      </c>
      <c r="K149" s="1" t="s">
        <v>25</v>
      </c>
      <c r="L149" s="1">
        <v>2389</v>
      </c>
      <c r="M149" s="1">
        <v>0.8</v>
      </c>
      <c r="N149" s="1">
        <v>-3.7530000000000001E-2</v>
      </c>
      <c r="O149" s="1">
        <f>VLOOKUP(D149,underlying!$D$2:$H$75,5,FALSE)</f>
        <v>-0.45</v>
      </c>
      <c r="P149" s="2">
        <f>VLOOKUP(D149,underlying!$D$2:$L$39,9,FALSE)</f>
        <v>42703</v>
      </c>
      <c r="Q149" s="7">
        <f>IF(G149="C",NormalCallSprd(O149,H149,M149,(P149-A149)/365), NormalPutSprd(O149,H149,M149,(P149-A149)/365))</f>
        <v>0.30726636567115712</v>
      </c>
      <c r="R149" s="9">
        <f t="shared" si="5"/>
        <v>2.7336343288428822E-3</v>
      </c>
    </row>
    <row r="150" spans="1:20" x14ac:dyDescent="0.2">
      <c r="A150" s="2">
        <v>42622</v>
      </c>
      <c r="B150" s="1" t="s">
        <v>13</v>
      </c>
      <c r="C150" s="1" t="s">
        <v>14</v>
      </c>
      <c r="D150" s="2">
        <v>42736</v>
      </c>
      <c r="E150" s="2">
        <f t="shared" si="4"/>
        <v>42736</v>
      </c>
      <c r="F150" s="1" t="s">
        <v>15</v>
      </c>
      <c r="G150" s="1" t="s">
        <v>16</v>
      </c>
      <c r="H150" s="1">
        <v>-0.15</v>
      </c>
      <c r="I150" s="1">
        <v>0.05</v>
      </c>
      <c r="J150" s="1">
        <v>0</v>
      </c>
      <c r="K150" s="1" t="s">
        <v>25</v>
      </c>
      <c r="L150" s="1">
        <v>2389</v>
      </c>
      <c r="M150" s="1">
        <v>0.8</v>
      </c>
      <c r="N150" s="1">
        <v>-2.3460000000000002E-2</v>
      </c>
      <c r="O150" s="1">
        <f>VLOOKUP(D150,underlying!$D$2:$H$75,5,FALSE)</f>
        <v>-0.45</v>
      </c>
      <c r="P150" s="2">
        <f>VLOOKUP(D150,underlying!$D$2:$L$39,9,FALSE)</f>
        <v>42703</v>
      </c>
      <c r="Q150" s="7">
        <f>IF(G150="C",NormalCallSprd(O150,H150,M150,(P150-A150)/365), NormalPutSprd(O150,H150,M150,(P150-A150)/365))</f>
        <v>4.5618909106734405E-2</v>
      </c>
      <c r="R150" s="9">
        <f t="shared" si="5"/>
        <v>4.3810908932655976E-3</v>
      </c>
    </row>
    <row r="151" spans="1:20" x14ac:dyDescent="0.2">
      <c r="A151" s="2">
        <v>42622</v>
      </c>
      <c r="B151" s="1" t="s">
        <v>13</v>
      </c>
      <c r="C151" s="1" t="s">
        <v>14</v>
      </c>
      <c r="D151" s="2">
        <v>42736</v>
      </c>
      <c r="E151" s="2">
        <f t="shared" si="4"/>
        <v>42736</v>
      </c>
      <c r="F151" s="1" t="s">
        <v>15</v>
      </c>
      <c r="G151" s="1" t="s">
        <v>18</v>
      </c>
      <c r="H151" s="1">
        <v>-0.15</v>
      </c>
      <c r="I151" s="1">
        <v>0.35</v>
      </c>
      <c r="J151" s="1">
        <v>0.01</v>
      </c>
      <c r="K151" s="1" t="s">
        <v>25</v>
      </c>
      <c r="L151" s="1">
        <v>2389</v>
      </c>
      <c r="M151" s="1">
        <v>0.8</v>
      </c>
      <c r="N151" s="1">
        <v>-1.427E-2</v>
      </c>
      <c r="O151" s="1">
        <f>VLOOKUP(D151,underlying!$D$2:$H$75,5,FALSE)</f>
        <v>-0.45</v>
      </c>
      <c r="P151" s="2">
        <f>VLOOKUP(D151,underlying!$D$2:$L$39,9,FALSE)</f>
        <v>42703</v>
      </c>
      <c r="Q151" s="7">
        <f>IF(G151="C",NormalCallSprd(O151,H151,M151,(P151-A151)/365), NormalPutSprd(O151,H151,M151,(P151-A151)/365))</f>
        <v>0.34561890910673443</v>
      </c>
      <c r="R151" s="9">
        <f t="shared" si="5"/>
        <v>4.381090893265549E-3</v>
      </c>
    </row>
    <row r="152" spans="1:20" x14ac:dyDescent="0.2">
      <c r="A152" s="10">
        <v>42622</v>
      </c>
      <c r="B152" s="11" t="s">
        <v>13</v>
      </c>
      <c r="C152" s="11" t="s">
        <v>14</v>
      </c>
      <c r="D152" s="10">
        <v>42736</v>
      </c>
      <c r="E152" s="10">
        <f t="shared" si="4"/>
        <v>42736</v>
      </c>
      <c r="F152" s="11" t="s">
        <v>15</v>
      </c>
      <c r="G152" s="11" t="s">
        <v>16</v>
      </c>
      <c r="H152" s="11">
        <v>-0.1</v>
      </c>
      <c r="I152" s="1">
        <v>0.04</v>
      </c>
      <c r="J152" s="1">
        <v>0</v>
      </c>
      <c r="K152" s="1" t="s">
        <v>25</v>
      </c>
      <c r="L152" s="1">
        <v>2389</v>
      </c>
      <c r="M152" s="1">
        <v>0.81</v>
      </c>
      <c r="N152" s="1">
        <v>-8.4700000000000001E-3</v>
      </c>
      <c r="O152" s="1">
        <f>VLOOKUP(D152,underlying!$D$2:$H$75,5,FALSE)</f>
        <v>-0.45</v>
      </c>
      <c r="P152" s="2">
        <f>VLOOKUP(D152,underlying!$D$2:$L$39,9,FALSE)</f>
        <v>42703</v>
      </c>
      <c r="Q152" s="7">
        <f>IF(G152="C",NormalCallSprd(O152,H152,M152,(P152-A152)/365), NormalPutSprd(O152,H152,M152,(P152-A152)/365))</f>
        <v>3.7125736917812652E-2</v>
      </c>
      <c r="R152" s="9">
        <f t="shared" si="5"/>
        <v>2.8742630821873491E-3</v>
      </c>
      <c r="S152" s="1">
        <f>NormalCallSprd(-0.38,-0.1,1.073623,53/365)</f>
        <v>6.0012915258017531E-2</v>
      </c>
      <c r="T152" s="12">
        <f>NormalGamma(I152,H152,0.01,1,0.81,0.5)</f>
        <v>27.725662223100468</v>
      </c>
    </row>
    <row r="153" spans="1:20" x14ac:dyDescent="0.2">
      <c r="A153" s="10">
        <v>42622</v>
      </c>
      <c r="B153" s="11" t="s">
        <v>13</v>
      </c>
      <c r="C153" s="11" t="s">
        <v>14</v>
      </c>
      <c r="D153" s="10">
        <v>42736</v>
      </c>
      <c r="E153" s="10">
        <f t="shared" si="4"/>
        <v>42736</v>
      </c>
      <c r="F153" s="11" t="s">
        <v>15</v>
      </c>
      <c r="G153" s="11" t="s">
        <v>18</v>
      </c>
      <c r="H153" s="11">
        <v>-0.1</v>
      </c>
      <c r="I153" s="1">
        <v>0.39</v>
      </c>
      <c r="J153" s="1">
        <v>0.01</v>
      </c>
      <c r="K153" s="1" t="s">
        <v>25</v>
      </c>
      <c r="L153" s="1">
        <v>2389</v>
      </c>
      <c r="M153" s="1">
        <v>0.81</v>
      </c>
      <c r="N153" s="1">
        <v>-4.8999999999999998E-3</v>
      </c>
      <c r="O153" s="1">
        <f>VLOOKUP(D153,underlying!$D$2:$H$75,5,FALSE)</f>
        <v>-0.45</v>
      </c>
      <c r="P153" s="2">
        <f>VLOOKUP(D153,underlying!$D$2:$L$39,9,FALSE)</f>
        <v>42703</v>
      </c>
      <c r="Q153" s="7">
        <f>IF(G153="C",NormalCallSprd(O153,H153,M153,(P153-A153)/365), NormalPutSprd(O153,H153,M153,(P153-A153)/365))</f>
        <v>0.38712573691781266</v>
      </c>
      <c r="R153" s="9">
        <f t="shared" si="5"/>
        <v>2.874263082187356E-3</v>
      </c>
    </row>
    <row r="154" spans="1:20" x14ac:dyDescent="0.2">
      <c r="A154" s="2">
        <v>42622</v>
      </c>
      <c r="B154" s="1" t="s">
        <v>13</v>
      </c>
      <c r="C154" s="1" t="s">
        <v>14</v>
      </c>
      <c r="D154" s="2">
        <v>42736</v>
      </c>
      <c r="E154" s="2">
        <f t="shared" si="4"/>
        <v>42736</v>
      </c>
      <c r="F154" s="1" t="s">
        <v>15</v>
      </c>
      <c r="G154" s="1" t="s">
        <v>16</v>
      </c>
      <c r="H154" s="1">
        <v>-0.05</v>
      </c>
      <c r="I154" s="1">
        <v>0.03</v>
      </c>
      <c r="J154" s="1">
        <v>0</v>
      </c>
      <c r="K154" s="1" t="s">
        <v>25</v>
      </c>
      <c r="L154" s="1">
        <v>2389</v>
      </c>
      <c r="M154" s="1">
        <v>0.83</v>
      </c>
      <c r="N154" s="1">
        <v>-2.7799999999999999E-3</v>
      </c>
      <c r="O154" s="1">
        <f>VLOOKUP(D154,underlying!$D$2:$H$75,5,FALSE)</f>
        <v>-0.45</v>
      </c>
      <c r="P154" s="2">
        <f>VLOOKUP(D154,underlying!$D$2:$L$39,9,FALSE)</f>
        <v>42703</v>
      </c>
      <c r="Q154" s="7">
        <f>IF(G154="C",NormalCallSprd(O154,H154,M154,(P154-A154)/365), NormalPutSprd(O154,H154,M154,(P154-A154)/365))</f>
        <v>3.1172772111852633E-2</v>
      </c>
      <c r="R154" s="9">
        <f t="shared" si="5"/>
        <v>1.1727721118526338E-3</v>
      </c>
    </row>
    <row r="155" spans="1:20" x14ac:dyDescent="0.2">
      <c r="A155" s="2">
        <v>42622</v>
      </c>
      <c r="B155" s="1" t="s">
        <v>13</v>
      </c>
      <c r="C155" s="1" t="s">
        <v>14</v>
      </c>
      <c r="D155" s="2">
        <v>42736</v>
      </c>
      <c r="E155" s="2">
        <f t="shared" si="4"/>
        <v>42736</v>
      </c>
      <c r="F155" s="1" t="s">
        <v>15</v>
      </c>
      <c r="G155" s="1" t="s">
        <v>18</v>
      </c>
      <c r="H155" s="1">
        <v>-0.05</v>
      </c>
      <c r="I155" s="1">
        <v>0.43</v>
      </c>
      <c r="J155" s="1">
        <v>0.01</v>
      </c>
      <c r="K155" s="1" t="s">
        <v>25</v>
      </c>
      <c r="L155" s="1">
        <v>2389</v>
      </c>
      <c r="M155" s="1">
        <v>0.83</v>
      </c>
      <c r="N155" s="1">
        <v>-1.6299999999999999E-3</v>
      </c>
      <c r="O155" s="1">
        <f>VLOOKUP(D155,underlying!$D$2:$H$75,5,FALSE)</f>
        <v>-0.45</v>
      </c>
      <c r="P155" s="2">
        <f>VLOOKUP(D155,underlying!$D$2:$L$39,9,FALSE)</f>
        <v>42703</v>
      </c>
      <c r="Q155" s="7">
        <f>IF(G155="C",NormalCallSprd(O155,H155,M155,(P155-A155)/365), NormalPutSprd(O155,H155,M155,(P155-A155)/365))</f>
        <v>0.43117277211185268</v>
      </c>
      <c r="R155" s="9">
        <f t="shared" si="5"/>
        <v>1.1727721118526824E-3</v>
      </c>
    </row>
    <row r="156" spans="1:20" x14ac:dyDescent="0.2">
      <c r="A156" s="2">
        <v>42622</v>
      </c>
      <c r="B156" s="1" t="s">
        <v>13</v>
      </c>
      <c r="C156" s="1" t="s">
        <v>14</v>
      </c>
      <c r="D156" s="2">
        <v>42737</v>
      </c>
      <c r="E156" s="2">
        <f t="shared" si="4"/>
        <v>42767</v>
      </c>
      <c r="F156" s="1" t="s">
        <v>15</v>
      </c>
      <c r="G156" s="1" t="s">
        <v>16</v>
      </c>
      <c r="H156" s="1">
        <v>-20</v>
      </c>
      <c r="I156" s="1">
        <v>19.53</v>
      </c>
      <c r="J156" s="1">
        <v>-0.01</v>
      </c>
      <c r="K156" s="1" t="s">
        <v>32</v>
      </c>
      <c r="L156" s="1">
        <v>2389</v>
      </c>
      <c r="M156" s="1">
        <v>8.23</v>
      </c>
      <c r="N156" s="1">
        <v>-7.1000000000000002E-4</v>
      </c>
      <c r="O156" s="1">
        <f>VLOOKUP(D156,underlying!$D$2:$H$75,5,FALSE)</f>
        <v>-0.44</v>
      </c>
      <c r="P156" s="2">
        <f>VLOOKUP(D156,underlying!$D$2:$L$39,9,FALSE)</f>
        <v>42732</v>
      </c>
      <c r="Q156" s="7">
        <f>IF(G156="C",NormalCallSprd(O156,H156,M156,(P156-A156)/365), NormalPutSprd(O156,H156,M156,(P156-A156)/365))</f>
        <v>19.560007134632546</v>
      </c>
      <c r="R156" s="9">
        <f t="shared" si="5"/>
        <v>3.0007134632544563E-2</v>
      </c>
    </row>
    <row r="157" spans="1:20" x14ac:dyDescent="0.2">
      <c r="A157" s="2">
        <v>42622</v>
      </c>
      <c r="B157" s="1" t="s">
        <v>13</v>
      </c>
      <c r="C157" s="1" t="s">
        <v>14</v>
      </c>
      <c r="D157" s="2">
        <v>42737</v>
      </c>
      <c r="E157" s="2">
        <f t="shared" si="4"/>
        <v>42767</v>
      </c>
      <c r="F157" s="1" t="s">
        <v>15</v>
      </c>
      <c r="G157" s="1" t="s">
        <v>18</v>
      </c>
      <c r="H157" s="1">
        <v>-20</v>
      </c>
      <c r="I157" s="1">
        <v>0.01</v>
      </c>
      <c r="J157" s="1">
        <v>0</v>
      </c>
      <c r="K157" s="1" t="s">
        <v>32</v>
      </c>
      <c r="L157" s="1">
        <v>2389</v>
      </c>
      <c r="M157" s="1">
        <v>8.23</v>
      </c>
      <c r="N157" s="1">
        <v>0</v>
      </c>
      <c r="O157" s="1">
        <f>VLOOKUP(D157,underlying!$D$2:$H$75,5,FALSE)</f>
        <v>-0.44</v>
      </c>
      <c r="P157" s="2">
        <f>VLOOKUP(D157,underlying!$D$2:$L$39,9,FALSE)</f>
        <v>42732</v>
      </c>
      <c r="Q157" s="7">
        <f>IF(G157="C",NormalCallSprd(O157,H157,M157,(P157-A157)/365), NormalPutSprd(O157,H157,M157,(P157-A157)/365))</f>
        <v>7.1346325440606134E-6</v>
      </c>
      <c r="R157" s="9">
        <f t="shared" si="5"/>
        <v>9.992865367455939E-3</v>
      </c>
    </row>
    <row r="158" spans="1:20" x14ac:dyDescent="0.2">
      <c r="A158" s="2">
        <v>42622</v>
      </c>
      <c r="B158" s="1" t="s">
        <v>13</v>
      </c>
      <c r="C158" s="1" t="s">
        <v>14</v>
      </c>
      <c r="D158" s="2">
        <v>42737</v>
      </c>
      <c r="E158" s="2">
        <f t="shared" si="4"/>
        <v>42767</v>
      </c>
      <c r="F158" s="1" t="s">
        <v>15</v>
      </c>
      <c r="G158" s="1" t="s">
        <v>16</v>
      </c>
      <c r="H158" s="1">
        <v>-4</v>
      </c>
      <c r="I158" s="1">
        <v>3.55</v>
      </c>
      <c r="J158" s="1">
        <v>-0.02</v>
      </c>
      <c r="K158" s="1" t="s">
        <v>32</v>
      </c>
      <c r="L158" s="1">
        <v>2389</v>
      </c>
      <c r="M158" s="1">
        <v>1.1200000000000001</v>
      </c>
      <c r="N158" s="1">
        <v>0</v>
      </c>
      <c r="O158" s="1">
        <f>VLOOKUP(D158,underlying!$D$2:$H$75,5,FALSE)</f>
        <v>-0.44</v>
      </c>
      <c r="P158" s="2">
        <f>VLOOKUP(D158,underlying!$D$2:$L$39,9,FALSE)</f>
        <v>42732</v>
      </c>
      <c r="Q158" s="7">
        <f>IF(G158="C",NormalCallSprd(O158,H158,M158,(P158-A158)/365), NormalPutSprd(O158,H158,M158,(P158-A158)/365))</f>
        <v>3.5600000003540733</v>
      </c>
      <c r="R158" s="9">
        <f t="shared" si="5"/>
        <v>1.0000000354073446E-2</v>
      </c>
    </row>
    <row r="159" spans="1:20" x14ac:dyDescent="0.2">
      <c r="A159" s="2">
        <v>42622</v>
      </c>
      <c r="B159" s="1" t="s">
        <v>13</v>
      </c>
      <c r="C159" s="1" t="s">
        <v>14</v>
      </c>
      <c r="D159" s="2">
        <v>42737</v>
      </c>
      <c r="E159" s="2">
        <f t="shared" si="4"/>
        <v>42767</v>
      </c>
      <c r="F159" s="1" t="s">
        <v>15</v>
      </c>
      <c r="G159" s="1" t="s">
        <v>18</v>
      </c>
      <c r="H159" s="1">
        <v>-4</v>
      </c>
      <c r="I159" s="1">
        <v>0.01</v>
      </c>
      <c r="J159" s="1">
        <v>0</v>
      </c>
      <c r="K159" s="1" t="s">
        <v>32</v>
      </c>
      <c r="L159" s="1">
        <v>2389</v>
      </c>
      <c r="M159" s="1">
        <v>1.1200000000000001</v>
      </c>
      <c r="N159" s="1">
        <v>0</v>
      </c>
      <c r="O159" s="1">
        <f>VLOOKUP(D159,underlying!$D$2:$H$75,5,FALSE)</f>
        <v>-0.44</v>
      </c>
      <c r="P159" s="2">
        <f>VLOOKUP(D159,underlying!$D$2:$L$39,9,FALSE)</f>
        <v>42732</v>
      </c>
      <c r="Q159" s="7">
        <f>IF(G159="C",NormalCallSprd(O159,H159,M159,(P159-A159)/365), NormalPutSprd(O159,H159,M159,(P159-A159)/365))</f>
        <v>3.5407326005022531E-10</v>
      </c>
      <c r="R159" s="9">
        <f t="shared" si="5"/>
        <v>9.9999996459267399E-3</v>
      </c>
    </row>
    <row r="160" spans="1:20" x14ac:dyDescent="0.2">
      <c r="A160" s="2">
        <v>42622</v>
      </c>
      <c r="B160" s="1" t="s">
        <v>13</v>
      </c>
      <c r="C160" s="1" t="s">
        <v>14</v>
      </c>
      <c r="D160" s="2">
        <v>42737</v>
      </c>
      <c r="E160" s="2">
        <f t="shared" si="4"/>
        <v>42767</v>
      </c>
      <c r="F160" s="1" t="s">
        <v>15</v>
      </c>
      <c r="G160" s="1" t="s">
        <v>16</v>
      </c>
      <c r="H160" s="1">
        <v>-3</v>
      </c>
      <c r="I160" s="1">
        <v>2.56</v>
      </c>
      <c r="J160" s="1">
        <v>-0.01</v>
      </c>
      <c r="K160" s="1" t="s">
        <v>32</v>
      </c>
      <c r="L160" s="1">
        <v>2389</v>
      </c>
      <c r="M160" s="1">
        <v>0.96</v>
      </c>
      <c r="N160" s="1">
        <v>0.41986000000000001</v>
      </c>
      <c r="O160" s="1">
        <f>VLOOKUP(D160,underlying!$D$2:$H$75,5,FALSE)</f>
        <v>-0.44</v>
      </c>
      <c r="P160" s="2">
        <f>VLOOKUP(D160,underlying!$D$2:$L$39,9,FALSE)</f>
        <v>42732</v>
      </c>
      <c r="Q160" s="7">
        <f>IF(G160="C",NormalCallSprd(O160,H160,M160,(P160-A160)/365), NormalPutSprd(O160,H160,M160,(P160-A160)/365))</f>
        <v>2.5600000598958088</v>
      </c>
      <c r="R160" s="9">
        <f t="shared" si="5"/>
        <v>5.989580875720435E-8</v>
      </c>
    </row>
    <row r="161" spans="1:18" x14ac:dyDescent="0.2">
      <c r="A161" s="2">
        <v>42622</v>
      </c>
      <c r="B161" s="1" t="s">
        <v>13</v>
      </c>
      <c r="C161" s="1" t="s">
        <v>14</v>
      </c>
      <c r="D161" s="2">
        <v>42737</v>
      </c>
      <c r="E161" s="2">
        <f t="shared" si="4"/>
        <v>42767</v>
      </c>
      <c r="F161" s="1" t="s">
        <v>15</v>
      </c>
      <c r="G161" s="1" t="s">
        <v>18</v>
      </c>
      <c r="H161" s="1">
        <v>-3</v>
      </c>
      <c r="I161" s="1">
        <v>0.01</v>
      </c>
      <c r="J161" s="1">
        <v>0</v>
      </c>
      <c r="K161" s="1" t="s">
        <v>32</v>
      </c>
      <c r="L161" s="1">
        <v>2389</v>
      </c>
      <c r="M161" s="1">
        <v>0.96</v>
      </c>
      <c r="N161" s="1">
        <v>0.45193</v>
      </c>
      <c r="O161" s="1">
        <f>VLOOKUP(D161,underlying!$D$2:$H$75,5,FALSE)</f>
        <v>-0.44</v>
      </c>
      <c r="P161" s="2">
        <f>VLOOKUP(D161,underlying!$D$2:$L$39,9,FALSE)</f>
        <v>42732</v>
      </c>
      <c r="Q161" s="7">
        <f>IF(G161="C",NormalCallSprd(O161,H161,M161,(P161-A161)/365), NormalPutSprd(O161,H161,M161,(P161-A161)/365))</f>
        <v>5.9895808978211352E-8</v>
      </c>
      <c r="R161" s="9">
        <f t="shared" si="5"/>
        <v>9.9999401041910227E-3</v>
      </c>
    </row>
    <row r="162" spans="1:18" x14ac:dyDescent="0.2">
      <c r="A162" s="2">
        <v>42622</v>
      </c>
      <c r="B162" s="1" t="s">
        <v>13</v>
      </c>
      <c r="C162" s="1" t="s">
        <v>14</v>
      </c>
      <c r="D162" s="2">
        <v>42737</v>
      </c>
      <c r="E162" s="2">
        <f t="shared" si="4"/>
        <v>42767</v>
      </c>
      <c r="F162" s="1" t="s">
        <v>15</v>
      </c>
      <c r="G162" s="1" t="s">
        <v>16</v>
      </c>
      <c r="H162" s="1">
        <v>-2</v>
      </c>
      <c r="I162" s="1">
        <v>1.56</v>
      </c>
      <c r="J162" s="1">
        <v>-0.01</v>
      </c>
      <c r="K162" s="1" t="s">
        <v>32</v>
      </c>
      <c r="L162" s="1">
        <v>2389</v>
      </c>
      <c r="M162" s="1">
        <v>0.94</v>
      </c>
      <c r="N162" s="1">
        <v>0.48404999999999998</v>
      </c>
      <c r="O162" s="1">
        <f>VLOOKUP(D162,underlying!$D$2:$H$75,5,FALSE)</f>
        <v>-0.44</v>
      </c>
      <c r="P162" s="2">
        <f>VLOOKUP(D162,underlying!$D$2:$L$39,9,FALSE)</f>
        <v>42732</v>
      </c>
      <c r="Q162" s="7">
        <f>IF(G162="C",NormalCallSprd(O162,H162,M162,(P162-A162)/365), NormalPutSprd(O162,H162,M162,(P162-A162)/365))</f>
        <v>1.5601817349038218</v>
      </c>
      <c r="R162" s="9">
        <f t="shared" si="5"/>
        <v>1.8173490382178414E-4</v>
      </c>
    </row>
    <row r="163" spans="1:18" x14ac:dyDescent="0.2">
      <c r="A163" s="2">
        <v>42622</v>
      </c>
      <c r="B163" s="1" t="s">
        <v>13</v>
      </c>
      <c r="C163" s="1" t="s">
        <v>14</v>
      </c>
      <c r="D163" s="2">
        <v>42737</v>
      </c>
      <c r="E163" s="2">
        <f t="shared" si="4"/>
        <v>42767</v>
      </c>
      <c r="F163" s="1" t="s">
        <v>15</v>
      </c>
      <c r="G163" s="1" t="s">
        <v>18</v>
      </c>
      <c r="H163" s="1">
        <v>-2</v>
      </c>
      <c r="I163" s="1">
        <v>0.01</v>
      </c>
      <c r="J163" s="1">
        <v>0</v>
      </c>
      <c r="K163" s="1" t="s">
        <v>32</v>
      </c>
      <c r="L163" s="1">
        <v>2389</v>
      </c>
      <c r="M163" s="1">
        <v>0.94</v>
      </c>
      <c r="N163" s="1">
        <v>0.51600000000000001</v>
      </c>
      <c r="O163" s="1">
        <f>VLOOKUP(D163,underlying!$D$2:$H$75,5,FALSE)</f>
        <v>-0.44</v>
      </c>
      <c r="P163" s="2">
        <f>VLOOKUP(D163,underlying!$D$2:$L$39,9,FALSE)</f>
        <v>42732</v>
      </c>
      <c r="Q163" s="7">
        <f>IF(G163="C",NormalCallSprd(O163,H163,M163,(P163-A163)/365), NormalPutSprd(O163,H163,M163,(P163-A163)/365))</f>
        <v>1.8173490382180336E-4</v>
      </c>
      <c r="R163" s="9">
        <f t="shared" si="5"/>
        <v>9.818265096178197E-3</v>
      </c>
    </row>
    <row r="164" spans="1:18" x14ac:dyDescent="0.2">
      <c r="A164" s="2">
        <v>42622</v>
      </c>
      <c r="B164" s="1" t="s">
        <v>13</v>
      </c>
      <c r="C164" s="1" t="s">
        <v>14</v>
      </c>
      <c r="D164" s="2">
        <v>42737</v>
      </c>
      <c r="E164" s="2">
        <f t="shared" si="4"/>
        <v>42767</v>
      </c>
      <c r="F164" s="1" t="s">
        <v>15</v>
      </c>
      <c r="G164" s="1" t="s">
        <v>16</v>
      </c>
      <c r="H164" s="1">
        <v>-1.05</v>
      </c>
      <c r="I164" s="1">
        <v>0.63</v>
      </c>
      <c r="J164" s="1">
        <v>-0.01</v>
      </c>
      <c r="K164" s="1" t="s">
        <v>32</v>
      </c>
      <c r="L164" s="1">
        <v>2389</v>
      </c>
      <c r="M164" s="1">
        <v>0.81</v>
      </c>
      <c r="N164" s="1">
        <v>0.54683999999999999</v>
      </c>
      <c r="O164" s="1">
        <f>VLOOKUP(D164,underlying!$D$2:$H$75,5,FALSE)</f>
        <v>-0.44</v>
      </c>
      <c r="P164" s="2">
        <f>VLOOKUP(D164,underlying!$D$2:$L$39,9,FALSE)</f>
        <v>42732</v>
      </c>
      <c r="Q164" s="7">
        <f>IF(G164="C",NormalCallSprd(O164,H164,M164,(P164-A164)/365), NormalPutSprd(O164,H164,M164,(P164-A164)/365))</f>
        <v>0.62734410355436998</v>
      </c>
      <c r="R164" s="9">
        <f t="shared" si="5"/>
        <v>2.6558964456300238E-3</v>
      </c>
    </row>
    <row r="165" spans="1:18" x14ac:dyDescent="0.2">
      <c r="A165" s="2">
        <v>42622</v>
      </c>
      <c r="B165" s="1" t="s">
        <v>13</v>
      </c>
      <c r="C165" s="1" t="s">
        <v>14</v>
      </c>
      <c r="D165" s="2">
        <v>42737</v>
      </c>
      <c r="E165" s="2">
        <f t="shared" si="4"/>
        <v>42767</v>
      </c>
      <c r="F165" s="1" t="s">
        <v>15</v>
      </c>
      <c r="G165" s="1" t="s">
        <v>18</v>
      </c>
      <c r="H165" s="1">
        <v>-1.05</v>
      </c>
      <c r="I165" s="1">
        <v>0.02</v>
      </c>
      <c r="J165" s="1">
        <v>0</v>
      </c>
      <c r="K165" s="1" t="s">
        <v>32</v>
      </c>
      <c r="L165" s="1">
        <v>2389</v>
      </c>
      <c r="M165" s="1">
        <v>0.81</v>
      </c>
      <c r="N165" s="1">
        <v>0.57743</v>
      </c>
      <c r="O165" s="1">
        <f>VLOOKUP(D165,underlying!$D$2:$H$75,5,FALSE)</f>
        <v>-0.44</v>
      </c>
      <c r="P165" s="2">
        <f>VLOOKUP(D165,underlying!$D$2:$L$39,9,FALSE)</f>
        <v>42732</v>
      </c>
      <c r="Q165" s="7">
        <f>IF(G165="C",NormalCallSprd(O165,H165,M165,(P165-A165)/365), NormalPutSprd(O165,H165,M165,(P165-A165)/365))</f>
        <v>1.7344103554369997E-2</v>
      </c>
      <c r="R165" s="9">
        <f t="shared" si="5"/>
        <v>2.655896445630003E-3</v>
      </c>
    </row>
    <row r="166" spans="1:18" x14ac:dyDescent="0.2">
      <c r="A166" s="2">
        <v>42622</v>
      </c>
      <c r="B166" s="1" t="s">
        <v>13</v>
      </c>
      <c r="C166" s="1" t="s">
        <v>14</v>
      </c>
      <c r="D166" s="2">
        <v>42737</v>
      </c>
      <c r="E166" s="2">
        <f t="shared" si="4"/>
        <v>42767</v>
      </c>
      <c r="F166" s="1" t="s">
        <v>15</v>
      </c>
      <c r="G166" s="1" t="s">
        <v>16</v>
      </c>
      <c r="H166" s="1">
        <v>-1</v>
      </c>
      <c r="I166" s="1">
        <v>0.57999999999999996</v>
      </c>
      <c r="J166" s="1">
        <v>-0.01</v>
      </c>
      <c r="K166" s="1" t="s">
        <v>32</v>
      </c>
      <c r="L166" s="1">
        <v>2389</v>
      </c>
      <c r="M166" s="1">
        <v>0.81</v>
      </c>
      <c r="N166" s="1">
        <v>0.60631000000000002</v>
      </c>
      <c r="O166" s="1">
        <f>VLOOKUP(D166,underlying!$D$2:$H$75,5,FALSE)</f>
        <v>-0.44</v>
      </c>
      <c r="P166" s="2">
        <f>VLOOKUP(D166,underlying!$D$2:$L$39,9,FALSE)</f>
        <v>42732</v>
      </c>
      <c r="Q166" s="7">
        <f>IF(G166="C",NormalCallSprd(O166,H166,M166,(P166-A166)/365), NormalPutSprd(O166,H166,M166,(P166-A166)/365))</f>
        <v>0.58205770388846656</v>
      </c>
      <c r="R166" s="9">
        <f t="shared" si="5"/>
        <v>2.0577038884665999E-3</v>
      </c>
    </row>
    <row r="167" spans="1:18" x14ac:dyDescent="0.2">
      <c r="A167" s="2">
        <v>42622</v>
      </c>
      <c r="B167" s="1" t="s">
        <v>13</v>
      </c>
      <c r="C167" s="1" t="s">
        <v>14</v>
      </c>
      <c r="D167" s="2">
        <v>42737</v>
      </c>
      <c r="E167" s="2">
        <f t="shared" si="4"/>
        <v>42767</v>
      </c>
      <c r="F167" s="1" t="s">
        <v>15</v>
      </c>
      <c r="G167" s="1" t="s">
        <v>18</v>
      </c>
      <c r="H167" s="1">
        <v>-1</v>
      </c>
      <c r="I167" s="1">
        <v>0.02</v>
      </c>
      <c r="J167" s="1">
        <v>0</v>
      </c>
      <c r="K167" s="1" t="s">
        <v>32</v>
      </c>
      <c r="L167" s="1">
        <v>2389</v>
      </c>
      <c r="M167" s="1">
        <v>0.81</v>
      </c>
      <c r="N167" s="1">
        <v>0.63514000000000004</v>
      </c>
      <c r="O167" s="1">
        <f>VLOOKUP(D167,underlying!$D$2:$H$75,5,FALSE)</f>
        <v>-0.44</v>
      </c>
      <c r="P167" s="2">
        <f>VLOOKUP(D167,underlying!$D$2:$L$39,9,FALSE)</f>
        <v>42732</v>
      </c>
      <c r="Q167" s="7">
        <f>IF(G167="C",NormalCallSprd(O167,H167,M167,(P167-A167)/365), NormalPutSprd(O167,H167,M167,(P167-A167)/365))</f>
        <v>2.2057703888466593E-2</v>
      </c>
      <c r="R167" s="9">
        <f t="shared" si="5"/>
        <v>2.057703888466593E-3</v>
      </c>
    </row>
    <row r="168" spans="1:18" x14ac:dyDescent="0.2">
      <c r="A168" s="2">
        <v>42622</v>
      </c>
      <c r="B168" s="1" t="s">
        <v>13</v>
      </c>
      <c r="C168" s="1" t="s">
        <v>14</v>
      </c>
      <c r="D168" s="2">
        <v>42737</v>
      </c>
      <c r="E168" s="2">
        <f t="shared" si="4"/>
        <v>42767</v>
      </c>
      <c r="F168" s="1" t="s">
        <v>15</v>
      </c>
      <c r="G168" s="1" t="s">
        <v>16</v>
      </c>
      <c r="H168" s="1">
        <v>-0.95</v>
      </c>
      <c r="I168" s="1">
        <v>0.54</v>
      </c>
      <c r="J168" s="1">
        <v>-0.01</v>
      </c>
      <c r="K168" s="1" t="s">
        <v>32</v>
      </c>
      <c r="L168" s="1">
        <v>2389</v>
      </c>
      <c r="M168" s="1">
        <v>0.8</v>
      </c>
      <c r="N168" s="1">
        <v>0.66154999999999997</v>
      </c>
      <c r="O168" s="1">
        <f>VLOOKUP(D168,underlying!$D$2:$H$75,5,FALSE)</f>
        <v>-0.44</v>
      </c>
      <c r="P168" s="2">
        <f>VLOOKUP(D168,underlying!$D$2:$L$39,9,FALSE)</f>
        <v>42732</v>
      </c>
      <c r="Q168" s="7">
        <f>IF(G168="C",NormalCallSprd(O168,H168,M168,(P168-A168)/365), NormalPutSprd(O168,H168,M168,(P168-A168)/365))</f>
        <v>0.53666156095323336</v>
      </c>
      <c r="R168" s="9">
        <f t="shared" si="5"/>
        <v>3.3384390467666725E-3</v>
      </c>
    </row>
    <row r="169" spans="1:18" x14ac:dyDescent="0.2">
      <c r="A169" s="2">
        <v>42622</v>
      </c>
      <c r="B169" s="1" t="s">
        <v>13</v>
      </c>
      <c r="C169" s="1" t="s">
        <v>14</v>
      </c>
      <c r="D169" s="2">
        <v>42737</v>
      </c>
      <c r="E169" s="2">
        <f t="shared" si="4"/>
        <v>42767</v>
      </c>
      <c r="F169" s="1" t="s">
        <v>15</v>
      </c>
      <c r="G169" s="1" t="s">
        <v>18</v>
      </c>
      <c r="H169" s="1">
        <v>-0.95</v>
      </c>
      <c r="I169" s="1">
        <v>0.03</v>
      </c>
      <c r="J169" s="1">
        <v>0</v>
      </c>
      <c r="K169" s="1" t="s">
        <v>32</v>
      </c>
      <c r="L169" s="1">
        <v>2389</v>
      </c>
      <c r="M169" s="1">
        <v>0.8</v>
      </c>
      <c r="N169" s="1">
        <v>0.68816999999999995</v>
      </c>
      <c r="O169" s="1">
        <f>VLOOKUP(D169,underlying!$D$2:$H$75,5,FALSE)</f>
        <v>-0.44</v>
      </c>
      <c r="P169" s="2">
        <f>VLOOKUP(D169,underlying!$D$2:$L$39,9,FALSE)</f>
        <v>42732</v>
      </c>
      <c r="Q169" s="7">
        <f>IF(G169="C",NormalCallSprd(O169,H169,M169,(P169-A169)/365), NormalPutSprd(O169,H169,M169,(P169-A169)/365))</f>
        <v>2.6661560953233378E-2</v>
      </c>
      <c r="R169" s="9">
        <f t="shared" si="5"/>
        <v>3.3384390467666204E-3</v>
      </c>
    </row>
    <row r="170" spans="1:18" x14ac:dyDescent="0.2">
      <c r="A170" s="2">
        <v>42622</v>
      </c>
      <c r="B170" s="1" t="s">
        <v>13</v>
      </c>
      <c r="C170" s="1" t="s">
        <v>14</v>
      </c>
      <c r="D170" s="2">
        <v>42737</v>
      </c>
      <c r="E170" s="2">
        <f t="shared" si="4"/>
        <v>42767</v>
      </c>
      <c r="F170" s="1" t="s">
        <v>15</v>
      </c>
      <c r="G170" s="1" t="s">
        <v>16</v>
      </c>
      <c r="H170" s="1">
        <v>-0.9</v>
      </c>
      <c r="I170" s="1">
        <v>0.49</v>
      </c>
      <c r="J170" s="1">
        <v>-0.01</v>
      </c>
      <c r="K170" s="1" t="s">
        <v>32</v>
      </c>
      <c r="L170" s="1">
        <v>2389</v>
      </c>
      <c r="M170" s="1">
        <v>0.8</v>
      </c>
      <c r="N170" s="1">
        <v>0.71186000000000005</v>
      </c>
      <c r="O170" s="1">
        <f>VLOOKUP(D170,underlying!$D$2:$H$75,5,FALSE)</f>
        <v>-0.44</v>
      </c>
      <c r="P170" s="2">
        <f>VLOOKUP(D170,underlying!$D$2:$L$39,9,FALSE)</f>
        <v>42732</v>
      </c>
      <c r="Q170" s="7">
        <f>IF(G170="C",NormalCallSprd(O170,H170,M170,(P170-A170)/365), NormalPutSprd(O170,H170,M170,(P170-A170)/365))</f>
        <v>0.49340419309868955</v>
      </c>
      <c r="R170" s="9">
        <f t="shared" si="5"/>
        <v>3.4041930986895563E-3</v>
      </c>
    </row>
    <row r="171" spans="1:18" x14ac:dyDescent="0.2">
      <c r="A171" s="2">
        <v>42622</v>
      </c>
      <c r="B171" s="1" t="s">
        <v>13</v>
      </c>
      <c r="C171" s="1" t="s">
        <v>14</v>
      </c>
      <c r="D171" s="2">
        <v>42737</v>
      </c>
      <c r="E171" s="2">
        <f t="shared" si="4"/>
        <v>42767</v>
      </c>
      <c r="F171" s="1" t="s">
        <v>15</v>
      </c>
      <c r="G171" s="1" t="s">
        <v>18</v>
      </c>
      <c r="H171" s="1">
        <v>-0.9</v>
      </c>
      <c r="I171" s="1">
        <v>0.03</v>
      </c>
      <c r="J171" s="1">
        <v>0</v>
      </c>
      <c r="K171" s="1" t="s">
        <v>32</v>
      </c>
      <c r="L171" s="1">
        <v>2389</v>
      </c>
      <c r="M171" s="1">
        <v>0.8</v>
      </c>
      <c r="N171" s="1">
        <v>0.73599000000000003</v>
      </c>
      <c r="O171" s="1">
        <f>VLOOKUP(D171,underlying!$D$2:$H$75,5,FALSE)</f>
        <v>-0.44</v>
      </c>
      <c r="P171" s="2">
        <f>VLOOKUP(D171,underlying!$D$2:$L$39,9,FALSE)</f>
        <v>42732</v>
      </c>
      <c r="Q171" s="7">
        <f>IF(G171="C",NormalCallSprd(O171,H171,M171,(P171-A171)/365), NormalPutSprd(O171,H171,M171,(P171-A171)/365))</f>
        <v>3.3404193098689569E-2</v>
      </c>
      <c r="R171" s="9">
        <f t="shared" si="5"/>
        <v>3.4041930986895702E-3</v>
      </c>
    </row>
    <row r="172" spans="1:18" x14ac:dyDescent="0.2">
      <c r="A172" s="2">
        <v>42622</v>
      </c>
      <c r="B172" s="1" t="s">
        <v>13</v>
      </c>
      <c r="C172" s="1" t="s">
        <v>14</v>
      </c>
      <c r="D172" s="2">
        <v>42737</v>
      </c>
      <c r="E172" s="2">
        <f t="shared" si="4"/>
        <v>42767</v>
      </c>
      <c r="F172" s="1" t="s">
        <v>15</v>
      </c>
      <c r="G172" s="1" t="s">
        <v>16</v>
      </c>
      <c r="H172" s="1">
        <v>-0.85</v>
      </c>
      <c r="I172" s="1">
        <v>0.45</v>
      </c>
      <c r="J172" s="1">
        <v>-0.01</v>
      </c>
      <c r="K172" s="1" t="s">
        <v>32</v>
      </c>
      <c r="L172" s="1">
        <v>2389</v>
      </c>
      <c r="M172" s="1">
        <v>0.79</v>
      </c>
      <c r="N172" s="1">
        <v>0.75685999999999998</v>
      </c>
      <c r="O172" s="1">
        <f>VLOOKUP(D172,underlying!$D$2:$H$75,5,FALSE)</f>
        <v>-0.44</v>
      </c>
      <c r="P172" s="2">
        <f>VLOOKUP(D172,underlying!$D$2:$L$39,9,FALSE)</f>
        <v>42732</v>
      </c>
      <c r="Q172" s="7">
        <f>IF(G172="C",NormalCallSprd(O172,H172,M172,(P172-A172)/365), NormalPutSprd(O172,H172,M172,(P172-A172)/365))</f>
        <v>0.45005042693972508</v>
      </c>
      <c r="R172" s="9">
        <f t="shared" si="5"/>
        <v>5.0426939725067843E-5</v>
      </c>
    </row>
    <row r="173" spans="1:18" x14ac:dyDescent="0.2">
      <c r="A173" s="2">
        <v>42622</v>
      </c>
      <c r="B173" s="1" t="s">
        <v>13</v>
      </c>
      <c r="C173" s="1" t="s">
        <v>14</v>
      </c>
      <c r="D173" s="2">
        <v>42737</v>
      </c>
      <c r="E173" s="2">
        <f t="shared" si="4"/>
        <v>42767</v>
      </c>
      <c r="F173" s="1" t="s">
        <v>15</v>
      </c>
      <c r="G173" s="1" t="s">
        <v>18</v>
      </c>
      <c r="H173" s="1">
        <v>-0.85</v>
      </c>
      <c r="I173" s="1">
        <v>0.04</v>
      </c>
      <c r="J173" s="1">
        <v>0</v>
      </c>
      <c r="K173" s="1" t="s">
        <v>32</v>
      </c>
      <c r="L173" s="1">
        <v>2389</v>
      </c>
      <c r="M173" s="1">
        <v>0.79</v>
      </c>
      <c r="N173" s="1">
        <v>0.77836000000000005</v>
      </c>
      <c r="O173" s="1">
        <f>VLOOKUP(D173,underlying!$D$2:$H$75,5,FALSE)</f>
        <v>-0.44</v>
      </c>
      <c r="P173" s="2">
        <f>VLOOKUP(D173,underlying!$D$2:$L$39,9,FALSE)</f>
        <v>42732</v>
      </c>
      <c r="Q173" s="7">
        <f>IF(G173="C",NormalCallSprd(O173,H173,M173,(P173-A173)/365), NormalPutSprd(O173,H173,M173,(P173-A173)/365))</f>
        <v>4.005042693972511E-2</v>
      </c>
      <c r="R173" s="9">
        <f t="shared" si="5"/>
        <v>5.0426939725109476E-5</v>
      </c>
    </row>
    <row r="174" spans="1:18" x14ac:dyDescent="0.2">
      <c r="A174" s="2">
        <v>42622</v>
      </c>
      <c r="B174" s="1" t="s">
        <v>13</v>
      </c>
      <c r="C174" s="1" t="s">
        <v>14</v>
      </c>
      <c r="D174" s="2">
        <v>42737</v>
      </c>
      <c r="E174" s="2">
        <f t="shared" si="4"/>
        <v>42767</v>
      </c>
      <c r="F174" s="1" t="s">
        <v>15</v>
      </c>
      <c r="G174" s="1" t="s">
        <v>16</v>
      </c>
      <c r="H174" s="1">
        <v>-0.8</v>
      </c>
      <c r="I174" s="1">
        <v>0.41</v>
      </c>
      <c r="J174" s="1">
        <v>-0.01</v>
      </c>
      <c r="K174" s="1" t="s">
        <v>32</v>
      </c>
      <c r="L174" s="1">
        <v>2389</v>
      </c>
      <c r="M174" s="1">
        <v>0.78</v>
      </c>
      <c r="N174" s="1">
        <v>0.79928999999999994</v>
      </c>
      <c r="O174" s="1">
        <f>VLOOKUP(D174,underlying!$D$2:$H$75,5,FALSE)</f>
        <v>-0.44</v>
      </c>
      <c r="P174" s="2">
        <f>VLOOKUP(D174,underlying!$D$2:$L$39,9,FALSE)</f>
        <v>42732</v>
      </c>
      <c r="Q174" s="7">
        <f>IF(G174="C",NormalCallSprd(O174,H174,M174,(P174-A174)/365), NormalPutSprd(O174,H174,M174,(P174-A174)/365))</f>
        <v>0.40787914819524446</v>
      </c>
      <c r="R174" s="9">
        <f t="shared" si="5"/>
        <v>2.1208518047555192E-3</v>
      </c>
    </row>
    <row r="175" spans="1:18" x14ac:dyDescent="0.2">
      <c r="A175" s="2">
        <v>42622</v>
      </c>
      <c r="B175" s="1" t="s">
        <v>13</v>
      </c>
      <c r="C175" s="1" t="s">
        <v>14</v>
      </c>
      <c r="D175" s="2">
        <v>42737</v>
      </c>
      <c r="E175" s="2">
        <f t="shared" si="4"/>
        <v>42767</v>
      </c>
      <c r="F175" s="1" t="s">
        <v>15</v>
      </c>
      <c r="G175" s="1" t="s">
        <v>18</v>
      </c>
      <c r="H175" s="1">
        <v>-0.8</v>
      </c>
      <c r="I175" s="1">
        <v>0.05</v>
      </c>
      <c r="J175" s="1">
        <v>0</v>
      </c>
      <c r="K175" s="1" t="s">
        <v>32</v>
      </c>
      <c r="L175" s="1">
        <v>2389</v>
      </c>
      <c r="M175" s="1">
        <v>0.78</v>
      </c>
      <c r="N175" s="1">
        <v>0.81893000000000005</v>
      </c>
      <c r="O175" s="1">
        <f>VLOOKUP(D175,underlying!$D$2:$H$75,5,FALSE)</f>
        <v>-0.44</v>
      </c>
      <c r="P175" s="2">
        <f>VLOOKUP(D175,underlying!$D$2:$L$39,9,FALSE)</f>
        <v>42732</v>
      </c>
      <c r="Q175" s="7">
        <f>IF(G175="C",NormalCallSprd(O175,H175,M175,(P175-A175)/365), NormalPutSprd(O175,H175,M175,(P175-A175)/365))</f>
        <v>4.7879148195244442E-2</v>
      </c>
      <c r="R175" s="9">
        <f t="shared" si="5"/>
        <v>2.1208518047555608E-3</v>
      </c>
    </row>
    <row r="176" spans="1:18" x14ac:dyDescent="0.2">
      <c r="A176" s="2">
        <v>42622</v>
      </c>
      <c r="B176" s="1" t="s">
        <v>13</v>
      </c>
      <c r="C176" s="1" t="s">
        <v>14</v>
      </c>
      <c r="D176" s="2">
        <v>42737</v>
      </c>
      <c r="E176" s="2">
        <f t="shared" si="4"/>
        <v>42767</v>
      </c>
      <c r="F176" s="1" t="s">
        <v>15</v>
      </c>
      <c r="G176" s="1" t="s">
        <v>16</v>
      </c>
      <c r="H176" s="1">
        <v>-0.75</v>
      </c>
      <c r="I176" s="1">
        <v>0.37</v>
      </c>
      <c r="J176" s="1">
        <v>-0.01</v>
      </c>
      <c r="K176" s="1" t="s">
        <v>32</v>
      </c>
      <c r="L176" s="1">
        <v>2389</v>
      </c>
      <c r="M176" s="1">
        <v>0.78</v>
      </c>
      <c r="N176" s="1">
        <v>0.88117000000000001</v>
      </c>
      <c r="O176" s="1">
        <f>VLOOKUP(D176,underlying!$D$2:$H$75,5,FALSE)</f>
        <v>-0.44</v>
      </c>
      <c r="P176" s="2">
        <f>VLOOKUP(D176,underlying!$D$2:$L$39,9,FALSE)</f>
        <v>42732</v>
      </c>
      <c r="Q176" s="7">
        <f>IF(G176="C",NormalCallSprd(O176,H176,M176,(P176-A176)/365), NormalPutSprd(O176,H176,M176,(P176-A176)/365))</f>
        <v>0.36873591772624786</v>
      </c>
      <c r="R176" s="9">
        <f t="shared" si="5"/>
        <v>1.2640822737521318E-3</v>
      </c>
    </row>
    <row r="177" spans="1:18" x14ac:dyDescent="0.2">
      <c r="A177" s="2">
        <v>42622</v>
      </c>
      <c r="B177" s="1" t="s">
        <v>13</v>
      </c>
      <c r="C177" s="1" t="s">
        <v>14</v>
      </c>
      <c r="D177" s="2">
        <v>42737</v>
      </c>
      <c r="E177" s="2">
        <f t="shared" si="4"/>
        <v>42767</v>
      </c>
      <c r="F177" s="1" t="s">
        <v>15</v>
      </c>
      <c r="G177" s="1" t="s">
        <v>18</v>
      </c>
      <c r="H177" s="1">
        <v>-0.75</v>
      </c>
      <c r="I177" s="1">
        <v>0.06</v>
      </c>
      <c r="J177" s="1">
        <v>0</v>
      </c>
      <c r="K177" s="1" t="s">
        <v>32</v>
      </c>
      <c r="L177" s="1">
        <v>2389</v>
      </c>
      <c r="M177" s="1">
        <v>0.78</v>
      </c>
      <c r="N177" s="1">
        <v>0.98602000000000001</v>
      </c>
      <c r="O177" s="1">
        <f>VLOOKUP(D177,underlying!$D$2:$H$75,5,FALSE)</f>
        <v>-0.44</v>
      </c>
      <c r="P177" s="2">
        <f>VLOOKUP(D177,underlying!$D$2:$L$39,9,FALSE)</f>
        <v>42732</v>
      </c>
      <c r="Q177" s="7">
        <f>IF(G177="C",NormalCallSprd(O177,H177,M177,(P177-A177)/365), NormalPutSprd(O177,H177,M177,(P177-A177)/365))</f>
        <v>5.8735917726247831E-2</v>
      </c>
      <c r="R177" s="9">
        <f t="shared" si="5"/>
        <v>1.2640822737521665E-3</v>
      </c>
    </row>
    <row r="178" spans="1:18" x14ac:dyDescent="0.2">
      <c r="A178" s="2">
        <v>42622</v>
      </c>
      <c r="B178" s="1" t="s">
        <v>13</v>
      </c>
      <c r="C178" s="1" t="s">
        <v>14</v>
      </c>
      <c r="D178" s="2">
        <v>42737</v>
      </c>
      <c r="E178" s="2">
        <f t="shared" si="4"/>
        <v>42767</v>
      </c>
      <c r="F178" s="1" t="s">
        <v>15</v>
      </c>
      <c r="G178" s="1" t="s">
        <v>16</v>
      </c>
      <c r="H178" s="1">
        <v>-0.7</v>
      </c>
      <c r="I178" s="1">
        <v>0.33</v>
      </c>
      <c r="J178" s="1">
        <v>-0.01</v>
      </c>
      <c r="K178" s="1" t="s">
        <v>32</v>
      </c>
      <c r="L178" s="1">
        <v>2389</v>
      </c>
      <c r="M178" s="1">
        <v>0.77</v>
      </c>
      <c r="N178" s="1">
        <v>0.99312999999999996</v>
      </c>
      <c r="O178" s="1">
        <f>VLOOKUP(D178,underlying!$D$2:$H$75,5,FALSE)</f>
        <v>-0.44</v>
      </c>
      <c r="P178" s="2">
        <f>VLOOKUP(D178,underlying!$D$2:$L$39,9,FALSE)</f>
        <v>42732</v>
      </c>
      <c r="Q178" s="7">
        <f>IF(G178="C",NormalCallSprd(O178,H178,M178,(P178-A178)/365), NormalPutSprd(O178,H178,M178,(P178-A178)/365))</f>
        <v>0.32956692010344019</v>
      </c>
      <c r="R178" s="9">
        <f t="shared" si="5"/>
        <v>4.3307989655982926E-4</v>
      </c>
    </row>
    <row r="179" spans="1:18" x14ac:dyDescent="0.2">
      <c r="A179" s="2">
        <v>42622</v>
      </c>
      <c r="B179" s="1" t="s">
        <v>13</v>
      </c>
      <c r="C179" s="1" t="s">
        <v>14</v>
      </c>
      <c r="D179" s="2">
        <v>42737</v>
      </c>
      <c r="E179" s="2">
        <f t="shared" si="4"/>
        <v>42767</v>
      </c>
      <c r="F179" s="1" t="s">
        <v>15</v>
      </c>
      <c r="G179" s="1" t="s">
        <v>18</v>
      </c>
      <c r="H179" s="1">
        <v>-0.7</v>
      </c>
      <c r="I179" s="1">
        <v>7.0000000000000007E-2</v>
      </c>
      <c r="J179" s="1">
        <v>0</v>
      </c>
      <c r="K179" s="1" t="s">
        <v>32</v>
      </c>
      <c r="L179" s="1">
        <v>2389</v>
      </c>
      <c r="M179" s="1">
        <v>0.77</v>
      </c>
      <c r="N179" s="1">
        <v>-0.57401999999999997</v>
      </c>
      <c r="O179" s="1">
        <f>VLOOKUP(D179,underlying!$D$2:$H$75,5,FALSE)</f>
        <v>-0.44</v>
      </c>
      <c r="P179" s="2">
        <f>VLOOKUP(D179,underlying!$D$2:$L$39,9,FALSE)</f>
        <v>42732</v>
      </c>
      <c r="Q179" s="7">
        <f>IF(G179="C",NormalCallSprd(O179,H179,M179,(P179-A179)/365), NormalPutSprd(O179,H179,M179,(P179-A179)/365))</f>
        <v>6.9566920103440233E-2</v>
      </c>
      <c r="R179" s="9">
        <f t="shared" si="5"/>
        <v>4.3307989655977375E-4</v>
      </c>
    </row>
    <row r="180" spans="1:18" x14ac:dyDescent="0.2">
      <c r="A180" s="2">
        <v>42622</v>
      </c>
      <c r="B180" s="1" t="s">
        <v>13</v>
      </c>
      <c r="C180" s="1" t="s">
        <v>14</v>
      </c>
      <c r="D180" s="2">
        <v>42737</v>
      </c>
      <c r="E180" s="2">
        <f t="shared" si="4"/>
        <v>42767</v>
      </c>
      <c r="F180" s="1" t="s">
        <v>15</v>
      </c>
      <c r="G180" s="1" t="s">
        <v>16</v>
      </c>
      <c r="H180" s="1">
        <v>-0.65</v>
      </c>
      <c r="I180" s="1">
        <v>0.28999999999999998</v>
      </c>
      <c r="J180" s="1">
        <v>-0.01</v>
      </c>
      <c r="K180" s="1" t="s">
        <v>32</v>
      </c>
      <c r="L180" s="1">
        <v>2389</v>
      </c>
      <c r="M180" s="1">
        <v>0.77</v>
      </c>
      <c r="N180" s="1">
        <v>-0.54193999999999998</v>
      </c>
      <c r="O180" s="1">
        <f>VLOOKUP(D180,underlying!$D$2:$H$75,5,FALSE)</f>
        <v>-0.44</v>
      </c>
      <c r="P180" s="2">
        <f>VLOOKUP(D180,underlying!$D$2:$L$39,9,FALSE)</f>
        <v>42732</v>
      </c>
      <c r="Q180" s="7">
        <f>IF(G180="C",NormalCallSprd(O180,H180,M180,(P180-A180)/365), NormalPutSprd(O180,H180,M180,(P180-A180)/365))</f>
        <v>0.29402876866340616</v>
      </c>
      <c r="R180" s="9">
        <f t="shared" si="5"/>
        <v>4.0287686634061792E-3</v>
      </c>
    </row>
    <row r="181" spans="1:18" x14ac:dyDescent="0.2">
      <c r="A181" s="2">
        <v>42622</v>
      </c>
      <c r="B181" s="1" t="s">
        <v>13</v>
      </c>
      <c r="C181" s="1" t="s">
        <v>14</v>
      </c>
      <c r="D181" s="2">
        <v>42737</v>
      </c>
      <c r="E181" s="2">
        <f t="shared" si="4"/>
        <v>42767</v>
      </c>
      <c r="F181" s="1" t="s">
        <v>15</v>
      </c>
      <c r="G181" s="1" t="s">
        <v>18</v>
      </c>
      <c r="H181" s="1">
        <v>-0.65</v>
      </c>
      <c r="I181" s="1">
        <v>0.08</v>
      </c>
      <c r="J181" s="1">
        <v>0</v>
      </c>
      <c r="K181" s="1" t="s">
        <v>32</v>
      </c>
      <c r="L181" s="1">
        <v>2389</v>
      </c>
      <c r="M181" s="1">
        <v>0.77</v>
      </c>
      <c r="N181" s="1">
        <v>-0.50982000000000005</v>
      </c>
      <c r="O181" s="1">
        <f>VLOOKUP(D181,underlying!$D$2:$H$75,5,FALSE)</f>
        <v>-0.44</v>
      </c>
      <c r="P181" s="2">
        <f>VLOOKUP(D181,underlying!$D$2:$L$39,9,FALSE)</f>
        <v>42732</v>
      </c>
      <c r="Q181" s="7">
        <f>IF(G181="C",NormalCallSprd(O181,H181,M181,(P181-A181)/365), NormalPutSprd(O181,H181,M181,(P181-A181)/365))</f>
        <v>8.4028768663406139E-2</v>
      </c>
      <c r="R181" s="9">
        <f t="shared" si="5"/>
        <v>4.0287686634061376E-3</v>
      </c>
    </row>
    <row r="182" spans="1:18" x14ac:dyDescent="0.2">
      <c r="A182" s="2">
        <v>42622</v>
      </c>
      <c r="B182" s="1" t="s">
        <v>13</v>
      </c>
      <c r="C182" s="1" t="s">
        <v>14</v>
      </c>
      <c r="D182" s="2">
        <v>42737</v>
      </c>
      <c r="E182" s="2">
        <f t="shared" si="4"/>
        <v>42767</v>
      </c>
      <c r="F182" s="1" t="s">
        <v>15</v>
      </c>
      <c r="G182" s="1" t="s">
        <v>16</v>
      </c>
      <c r="H182" s="1">
        <v>-0.6</v>
      </c>
      <c r="I182" s="1">
        <v>0.26</v>
      </c>
      <c r="J182" s="1">
        <v>-0.01</v>
      </c>
      <c r="K182" s="1" t="s">
        <v>32</v>
      </c>
      <c r="L182" s="1">
        <v>2389</v>
      </c>
      <c r="M182" s="1">
        <v>0.77</v>
      </c>
      <c r="N182" s="1">
        <v>-0.47787000000000002</v>
      </c>
      <c r="O182" s="1">
        <f>VLOOKUP(D182,underlying!$D$2:$H$75,5,FALSE)</f>
        <v>-0.44</v>
      </c>
      <c r="P182" s="2">
        <f>VLOOKUP(D182,underlying!$D$2:$L$39,9,FALSE)</f>
        <v>42732</v>
      </c>
      <c r="Q182" s="7">
        <f>IF(G182="C",NormalCallSprd(O182,H182,M182,(P182-A182)/365), NormalPutSprd(O182,H182,M182,(P182-A182)/365))</f>
        <v>0.26057431541883125</v>
      </c>
      <c r="R182" s="9">
        <f t="shared" si="5"/>
        <v>5.7431541883123938E-4</v>
      </c>
    </row>
    <row r="183" spans="1:18" x14ac:dyDescent="0.2">
      <c r="A183" s="2">
        <v>42622</v>
      </c>
      <c r="B183" s="1" t="s">
        <v>13</v>
      </c>
      <c r="C183" s="1" t="s">
        <v>14</v>
      </c>
      <c r="D183" s="2">
        <v>42737</v>
      </c>
      <c r="E183" s="2">
        <f t="shared" si="4"/>
        <v>42767</v>
      </c>
      <c r="F183" s="1" t="s">
        <v>15</v>
      </c>
      <c r="G183" s="1" t="s">
        <v>18</v>
      </c>
      <c r="H183" s="1">
        <v>-0.6</v>
      </c>
      <c r="I183" s="1">
        <v>0.1</v>
      </c>
      <c r="J183" s="1">
        <v>0</v>
      </c>
      <c r="K183" s="1" t="s">
        <v>32</v>
      </c>
      <c r="L183" s="1">
        <v>2389</v>
      </c>
      <c r="M183" s="1">
        <v>0.77</v>
      </c>
      <c r="N183" s="1">
        <v>-0.44702999999999998</v>
      </c>
      <c r="O183" s="1">
        <f>VLOOKUP(D183,underlying!$D$2:$H$75,5,FALSE)</f>
        <v>-0.44</v>
      </c>
      <c r="P183" s="2">
        <f>VLOOKUP(D183,underlying!$D$2:$L$39,9,FALSE)</f>
        <v>42732</v>
      </c>
      <c r="Q183" s="7">
        <f>IF(G183="C",NormalCallSprd(O183,H183,M183,(P183-A183)/365), NormalPutSprd(O183,H183,M183,(P183-A183)/365))</f>
        <v>0.1005743154188313</v>
      </c>
      <c r="R183" s="9">
        <f t="shared" si="5"/>
        <v>5.7431541883129489E-4</v>
      </c>
    </row>
    <row r="184" spans="1:18" x14ac:dyDescent="0.2">
      <c r="A184" s="2">
        <v>42622</v>
      </c>
      <c r="B184" s="1" t="s">
        <v>13</v>
      </c>
      <c r="C184" s="1" t="s">
        <v>14</v>
      </c>
      <c r="D184" s="2">
        <v>42737</v>
      </c>
      <c r="E184" s="2">
        <f t="shared" si="4"/>
        <v>42767</v>
      </c>
      <c r="F184" s="1" t="s">
        <v>15</v>
      </c>
      <c r="G184" s="1" t="s">
        <v>16</v>
      </c>
      <c r="H184" s="1">
        <v>-0.55000000000000004</v>
      </c>
      <c r="I184" s="1">
        <v>0.23</v>
      </c>
      <c r="J184" s="1">
        <v>0</v>
      </c>
      <c r="K184" s="1" t="s">
        <v>32</v>
      </c>
      <c r="L184" s="1">
        <v>2389</v>
      </c>
      <c r="M184" s="1">
        <v>0.76</v>
      </c>
      <c r="N184" s="1">
        <v>-0.41643999999999998</v>
      </c>
      <c r="O184" s="1">
        <f>VLOOKUP(D184,underlying!$D$2:$H$75,5,FALSE)</f>
        <v>-0.44</v>
      </c>
      <c r="P184" s="2">
        <f>VLOOKUP(D184,underlying!$D$2:$L$39,9,FALSE)</f>
        <v>42732</v>
      </c>
      <c r="Q184" s="7">
        <f>IF(G184="C",NormalCallSprd(O184,H184,M184,(P184-A184)/365), NormalPutSprd(O184,H184,M184,(P184-A184)/365))</f>
        <v>0.22719778099743942</v>
      </c>
      <c r="R184" s="9">
        <f t="shared" si="5"/>
        <v>2.8022190025605853E-3</v>
      </c>
    </row>
    <row r="185" spans="1:18" x14ac:dyDescent="0.2">
      <c r="A185" s="2">
        <v>42622</v>
      </c>
      <c r="B185" s="1" t="s">
        <v>13</v>
      </c>
      <c r="C185" s="1" t="s">
        <v>14</v>
      </c>
      <c r="D185" s="2">
        <v>42737</v>
      </c>
      <c r="E185" s="2">
        <f t="shared" si="4"/>
        <v>42767</v>
      </c>
      <c r="F185" s="1" t="s">
        <v>15</v>
      </c>
      <c r="G185" s="1" t="s">
        <v>18</v>
      </c>
      <c r="H185" s="1">
        <v>-0.55000000000000004</v>
      </c>
      <c r="I185" s="1">
        <v>0.12</v>
      </c>
      <c r="J185" s="1">
        <v>0.01</v>
      </c>
      <c r="K185" s="1" t="s">
        <v>32</v>
      </c>
      <c r="L185" s="1">
        <v>2389</v>
      </c>
      <c r="M185" s="1">
        <v>0.76</v>
      </c>
      <c r="N185" s="1">
        <v>-0.38756000000000002</v>
      </c>
      <c r="O185" s="1">
        <f>VLOOKUP(D185,underlying!$D$2:$H$75,5,FALSE)</f>
        <v>-0.44</v>
      </c>
      <c r="P185" s="2">
        <f>VLOOKUP(D185,underlying!$D$2:$L$39,9,FALSE)</f>
        <v>42732</v>
      </c>
      <c r="Q185" s="7">
        <f>IF(G185="C",NormalCallSprd(O185,H185,M185,(P185-A185)/365), NormalPutSprd(O185,H185,M185,(P185-A185)/365))</f>
        <v>0.11719778099743938</v>
      </c>
      <c r="R185" s="9">
        <f t="shared" si="5"/>
        <v>2.8022190025606131E-3</v>
      </c>
    </row>
    <row r="186" spans="1:18" x14ac:dyDescent="0.2">
      <c r="A186" s="2">
        <v>42622</v>
      </c>
      <c r="B186" s="1" t="s">
        <v>13</v>
      </c>
      <c r="C186" s="1" t="s">
        <v>14</v>
      </c>
      <c r="D186" s="2">
        <v>42737</v>
      </c>
      <c r="E186" s="2">
        <f t="shared" si="4"/>
        <v>42767</v>
      </c>
      <c r="F186" s="1" t="s">
        <v>15</v>
      </c>
      <c r="G186" s="1" t="s">
        <v>16</v>
      </c>
      <c r="H186" s="1">
        <v>-0.5</v>
      </c>
      <c r="I186" s="1">
        <v>0.2</v>
      </c>
      <c r="J186" s="1">
        <v>0</v>
      </c>
      <c r="K186" s="1" t="s">
        <v>32</v>
      </c>
      <c r="L186" s="1">
        <v>2389</v>
      </c>
      <c r="M186" s="1">
        <v>0.76</v>
      </c>
      <c r="N186" s="1">
        <v>-0.35872999999999999</v>
      </c>
      <c r="O186" s="1">
        <f>VLOOKUP(D186,underlying!$D$2:$H$75,5,FALSE)</f>
        <v>-0.44</v>
      </c>
      <c r="P186" s="2">
        <f>VLOOKUP(D186,underlying!$D$2:$L$39,9,FALSE)</f>
        <v>42732</v>
      </c>
      <c r="Q186" s="7">
        <f>IF(G186="C",NormalCallSprd(O186,H186,M186,(P186-A186)/365), NormalPutSprd(O186,H186,M186,(P186-A186)/365))</f>
        <v>0.1981642700545673</v>
      </c>
      <c r="R186" s="9">
        <f t="shared" si="5"/>
        <v>1.8357299454327125E-3</v>
      </c>
    </row>
    <row r="187" spans="1:18" x14ac:dyDescent="0.2">
      <c r="A187" s="2">
        <v>42622</v>
      </c>
      <c r="B187" s="1" t="s">
        <v>13</v>
      </c>
      <c r="C187" s="1" t="s">
        <v>14</v>
      </c>
      <c r="D187" s="2">
        <v>42737</v>
      </c>
      <c r="E187" s="2">
        <f t="shared" si="4"/>
        <v>42767</v>
      </c>
      <c r="F187" s="1" t="s">
        <v>15</v>
      </c>
      <c r="G187" s="1" t="s">
        <v>18</v>
      </c>
      <c r="H187" s="1">
        <v>-0.5</v>
      </c>
      <c r="I187" s="1">
        <v>0.14000000000000001</v>
      </c>
      <c r="J187" s="1">
        <v>0.01</v>
      </c>
      <c r="K187" s="1" t="s">
        <v>32</v>
      </c>
      <c r="L187" s="1">
        <v>2389</v>
      </c>
      <c r="M187" s="1">
        <v>0.76</v>
      </c>
      <c r="N187" s="1">
        <v>-0.33232</v>
      </c>
      <c r="O187" s="1">
        <f>VLOOKUP(D187,underlying!$D$2:$H$75,5,FALSE)</f>
        <v>-0.44</v>
      </c>
      <c r="P187" s="2">
        <f>VLOOKUP(D187,underlying!$D$2:$L$39,9,FALSE)</f>
        <v>42732</v>
      </c>
      <c r="Q187" s="7">
        <f>IF(G187="C",NormalCallSprd(O187,H187,M187,(P187-A187)/365), NormalPutSprd(O187,H187,M187,(P187-A187)/365))</f>
        <v>0.1381642700545673</v>
      </c>
      <c r="R187" s="9">
        <f t="shared" si="5"/>
        <v>1.8357299454327125E-3</v>
      </c>
    </row>
    <row r="188" spans="1:18" x14ac:dyDescent="0.2">
      <c r="A188" s="2">
        <v>42622</v>
      </c>
      <c r="B188" s="1" t="s">
        <v>13</v>
      </c>
      <c r="C188" s="1" t="s">
        <v>14</v>
      </c>
      <c r="D188" s="2">
        <v>42737</v>
      </c>
      <c r="E188" s="2">
        <f t="shared" si="4"/>
        <v>42767</v>
      </c>
      <c r="F188" s="1" t="s">
        <v>15</v>
      </c>
      <c r="G188" s="1" t="s">
        <v>16</v>
      </c>
      <c r="H188" s="1">
        <v>-0.45</v>
      </c>
      <c r="I188" s="1">
        <v>0.17</v>
      </c>
      <c r="J188" s="1">
        <v>0</v>
      </c>
      <c r="K188" s="1" t="s">
        <v>32</v>
      </c>
      <c r="L188" s="1">
        <v>2389</v>
      </c>
      <c r="M188" s="1">
        <v>0.75</v>
      </c>
      <c r="N188" s="1">
        <v>-0.30570000000000003</v>
      </c>
      <c r="O188" s="1">
        <f>VLOOKUP(D188,underlying!$D$2:$H$75,5,FALSE)</f>
        <v>-0.44</v>
      </c>
      <c r="P188" s="2">
        <f>VLOOKUP(D188,underlying!$D$2:$L$39,9,FALSE)</f>
        <v>42732</v>
      </c>
      <c r="Q188" s="7">
        <f>IF(G188="C",NormalCallSprd(O188,H188,M188,(P188-A188)/365), NormalPutSprd(O188,H188,M188,(P188-A188)/365))</f>
        <v>0.16930444370133868</v>
      </c>
      <c r="R188" s="9">
        <f t="shared" si="5"/>
        <v>6.9555629866133173E-4</v>
      </c>
    </row>
    <row r="189" spans="1:18" x14ac:dyDescent="0.2">
      <c r="A189" s="2">
        <v>42622</v>
      </c>
      <c r="B189" s="1" t="s">
        <v>13</v>
      </c>
      <c r="C189" s="1" t="s">
        <v>14</v>
      </c>
      <c r="D189" s="2">
        <v>42737</v>
      </c>
      <c r="E189" s="2">
        <f t="shared" si="4"/>
        <v>42767</v>
      </c>
      <c r="F189" s="1" t="s">
        <v>15</v>
      </c>
      <c r="G189" s="1" t="s">
        <v>18</v>
      </c>
      <c r="H189" s="1">
        <v>-0.45</v>
      </c>
      <c r="I189" s="1">
        <v>0.16</v>
      </c>
      <c r="J189" s="1">
        <v>0.01</v>
      </c>
      <c r="K189" s="1" t="s">
        <v>32</v>
      </c>
      <c r="L189" s="1">
        <v>2389</v>
      </c>
      <c r="M189" s="1">
        <v>0.75</v>
      </c>
      <c r="N189" s="1">
        <v>-0.28200999999999998</v>
      </c>
      <c r="O189" s="1">
        <f>VLOOKUP(D189,underlying!$D$2:$H$75,5,FALSE)</f>
        <v>-0.44</v>
      </c>
      <c r="P189" s="2">
        <f>VLOOKUP(D189,underlying!$D$2:$L$39,9,FALSE)</f>
        <v>42732</v>
      </c>
      <c r="Q189" s="7">
        <f>IF(G189="C",NormalCallSprd(O189,H189,M189,(P189-A189)/365), NormalPutSprd(O189,H189,M189,(P189-A189)/365))</f>
        <v>0.15930444370133867</v>
      </c>
      <c r="R189" s="9">
        <f t="shared" si="5"/>
        <v>6.9555629866133173E-4</v>
      </c>
    </row>
    <row r="190" spans="1:18" x14ac:dyDescent="0.2">
      <c r="A190" s="2">
        <v>42622</v>
      </c>
      <c r="B190" s="1" t="s">
        <v>13</v>
      </c>
      <c r="C190" s="1" t="s">
        <v>14</v>
      </c>
      <c r="D190" s="2">
        <v>42737</v>
      </c>
      <c r="E190" s="2">
        <f t="shared" si="4"/>
        <v>42767</v>
      </c>
      <c r="F190" s="1" t="s">
        <v>15</v>
      </c>
      <c r="G190" s="1" t="s">
        <v>16</v>
      </c>
      <c r="H190" s="1">
        <v>-0.4</v>
      </c>
      <c r="I190" s="1">
        <v>0.14000000000000001</v>
      </c>
      <c r="J190" s="1">
        <v>-0.01</v>
      </c>
      <c r="K190" s="1" t="s">
        <v>32</v>
      </c>
      <c r="L190" s="1">
        <v>2389</v>
      </c>
      <c r="M190" s="1">
        <v>0.75</v>
      </c>
      <c r="N190" s="1">
        <v>-0.25789000000000001</v>
      </c>
      <c r="O190" s="1">
        <f>VLOOKUP(D190,underlying!$D$2:$H$75,5,FALSE)</f>
        <v>-0.44</v>
      </c>
      <c r="P190" s="2">
        <f>VLOOKUP(D190,underlying!$D$2:$L$39,9,FALSE)</f>
        <v>42732</v>
      </c>
      <c r="Q190" s="7">
        <f>IF(G190="C",NormalCallSprd(O190,H190,M190,(P190-A190)/365), NormalPutSprd(O190,H190,M190,(P190-A190)/365))</f>
        <v>0.14503054533166568</v>
      </c>
      <c r="R190" s="9">
        <f t="shared" si="5"/>
        <v>5.0305453316656645E-3</v>
      </c>
    </row>
    <row r="191" spans="1:18" x14ac:dyDescent="0.2">
      <c r="A191" s="2">
        <v>42622</v>
      </c>
      <c r="B191" s="1" t="s">
        <v>13</v>
      </c>
      <c r="C191" s="1" t="s">
        <v>14</v>
      </c>
      <c r="D191" s="2">
        <v>42737</v>
      </c>
      <c r="E191" s="2">
        <f t="shared" si="4"/>
        <v>42767</v>
      </c>
      <c r="F191" s="1" t="s">
        <v>15</v>
      </c>
      <c r="G191" s="1" t="s">
        <v>18</v>
      </c>
      <c r="H191" s="1">
        <v>-0.4</v>
      </c>
      <c r="I191" s="1">
        <v>0.18</v>
      </c>
      <c r="J191" s="1">
        <v>0</v>
      </c>
      <c r="K191" s="1" t="s">
        <v>32</v>
      </c>
      <c r="L191" s="1">
        <v>2389</v>
      </c>
      <c r="M191" s="1">
        <v>0.75</v>
      </c>
      <c r="N191" s="1">
        <v>-0.23702000000000001</v>
      </c>
      <c r="O191" s="1">
        <f>VLOOKUP(D191,underlying!$D$2:$H$75,5,FALSE)</f>
        <v>-0.44</v>
      </c>
      <c r="P191" s="2">
        <f>VLOOKUP(D191,underlying!$D$2:$L$39,9,FALSE)</f>
        <v>42732</v>
      </c>
      <c r="Q191" s="7">
        <f>IF(G191="C",NormalCallSprd(O191,H191,M191,(P191-A191)/365), NormalPutSprd(O191,H191,M191,(P191-A191)/365))</f>
        <v>0.18503054533166566</v>
      </c>
      <c r="R191" s="9">
        <f t="shared" si="5"/>
        <v>5.0305453316656645E-3</v>
      </c>
    </row>
    <row r="192" spans="1:18" x14ac:dyDescent="0.2">
      <c r="A192" s="2">
        <v>42622</v>
      </c>
      <c r="B192" s="1" t="s">
        <v>13</v>
      </c>
      <c r="C192" s="1" t="s">
        <v>14</v>
      </c>
      <c r="D192" s="2">
        <v>42737</v>
      </c>
      <c r="E192" s="2">
        <f t="shared" si="4"/>
        <v>42767</v>
      </c>
      <c r="F192" s="1" t="s">
        <v>15</v>
      </c>
      <c r="G192" s="1" t="s">
        <v>16</v>
      </c>
      <c r="H192" s="1">
        <v>-0.35</v>
      </c>
      <c r="I192" s="1">
        <v>0.12</v>
      </c>
      <c r="J192" s="1">
        <v>-0.01</v>
      </c>
      <c r="K192" s="1" t="s">
        <v>32</v>
      </c>
      <c r="L192" s="1">
        <v>2389</v>
      </c>
      <c r="M192" s="1">
        <v>0.75</v>
      </c>
      <c r="N192" s="1">
        <v>-0.21551000000000001</v>
      </c>
      <c r="O192" s="1">
        <f>VLOOKUP(D192,underlying!$D$2:$H$75,5,FALSE)</f>
        <v>-0.44</v>
      </c>
      <c r="P192" s="2">
        <f>VLOOKUP(D192,underlying!$D$2:$L$39,9,FALSE)</f>
        <v>42732</v>
      </c>
      <c r="Q192" s="7">
        <f>IF(G192="C",NormalCallSprd(O192,H192,M192,(P192-A192)/365), NormalPutSprd(O192,H192,M192,(P192-A192)/365))</f>
        <v>0.12316467278862848</v>
      </c>
      <c r="R192" s="9">
        <f t="shared" si="5"/>
        <v>3.1646727886284892E-3</v>
      </c>
    </row>
    <row r="193" spans="1:18" x14ac:dyDescent="0.2">
      <c r="A193" s="2">
        <v>42622</v>
      </c>
      <c r="B193" s="1" t="s">
        <v>13</v>
      </c>
      <c r="C193" s="1" t="s">
        <v>14</v>
      </c>
      <c r="D193" s="2">
        <v>42737</v>
      </c>
      <c r="E193" s="2">
        <f t="shared" si="4"/>
        <v>42767</v>
      </c>
      <c r="F193" s="1" t="s">
        <v>15</v>
      </c>
      <c r="G193" s="1" t="s">
        <v>18</v>
      </c>
      <c r="H193" s="1">
        <v>-0.35</v>
      </c>
      <c r="I193" s="1">
        <v>0.21</v>
      </c>
      <c r="J193" s="1">
        <v>0</v>
      </c>
      <c r="K193" s="1" t="s">
        <v>32</v>
      </c>
      <c r="L193" s="1">
        <v>2389</v>
      </c>
      <c r="M193" s="1">
        <v>0.75</v>
      </c>
      <c r="N193" s="1">
        <v>-0.19459000000000001</v>
      </c>
      <c r="O193" s="1">
        <f>VLOOKUP(D193,underlying!$D$2:$H$75,5,FALSE)</f>
        <v>-0.44</v>
      </c>
      <c r="P193" s="2">
        <f>VLOOKUP(D193,underlying!$D$2:$L$39,9,FALSE)</f>
        <v>42732</v>
      </c>
      <c r="Q193" s="7">
        <f>IF(G193="C",NormalCallSprd(O193,H193,M193,(P193-A193)/365), NormalPutSprd(O193,H193,M193,(P193-A193)/365))</f>
        <v>0.21316467278862852</v>
      </c>
      <c r="R193" s="9">
        <f t="shared" si="5"/>
        <v>3.1646727886285309E-3</v>
      </c>
    </row>
    <row r="194" spans="1:18" x14ac:dyDescent="0.2">
      <c r="A194" s="2">
        <v>42622</v>
      </c>
      <c r="B194" s="1" t="s">
        <v>13</v>
      </c>
      <c r="C194" s="1" t="s">
        <v>14</v>
      </c>
      <c r="D194" s="2">
        <v>42737</v>
      </c>
      <c r="E194" s="2">
        <f t="shared" ref="E194:E257" si="6">DATE(YEAR(D194),DAY(D194),MONTH(D194))</f>
        <v>42767</v>
      </c>
      <c r="F194" s="1" t="s">
        <v>15</v>
      </c>
      <c r="G194" s="1" t="s">
        <v>16</v>
      </c>
      <c r="H194" s="1">
        <v>-0.3</v>
      </c>
      <c r="I194" s="1">
        <v>0.1</v>
      </c>
      <c r="J194" s="1">
        <v>-0.01</v>
      </c>
      <c r="K194" s="1" t="s">
        <v>32</v>
      </c>
      <c r="L194" s="1">
        <v>2389</v>
      </c>
      <c r="M194" s="1">
        <v>0.75</v>
      </c>
      <c r="N194" s="1">
        <v>-0.17494000000000001</v>
      </c>
      <c r="O194" s="1">
        <f>VLOOKUP(D194,underlying!$D$2:$H$75,5,FALSE)</f>
        <v>-0.44</v>
      </c>
      <c r="P194" s="2">
        <f>VLOOKUP(D194,underlying!$D$2:$L$39,9,FALSE)</f>
        <v>42732</v>
      </c>
      <c r="Q194" s="7">
        <f>IF(G194="C",NormalCallSprd(O194,H194,M194,(P194-A194)/365), NormalPutSprd(O194,H194,M194,(P194-A194)/365))</f>
        <v>0.10366121093595644</v>
      </c>
      <c r="R194" s="9">
        <f t="shared" si="5"/>
        <v>3.6612109359564354E-3</v>
      </c>
    </row>
    <row r="195" spans="1:18" x14ac:dyDescent="0.2">
      <c r="A195" s="2">
        <v>42622</v>
      </c>
      <c r="B195" s="1" t="s">
        <v>13</v>
      </c>
      <c r="C195" s="1" t="s">
        <v>14</v>
      </c>
      <c r="D195" s="2">
        <v>42737</v>
      </c>
      <c r="E195" s="2">
        <f t="shared" si="6"/>
        <v>42767</v>
      </c>
      <c r="F195" s="1" t="s">
        <v>15</v>
      </c>
      <c r="G195" s="1" t="s">
        <v>18</v>
      </c>
      <c r="H195" s="1">
        <v>-0.3</v>
      </c>
      <c r="I195" s="1">
        <v>0.24</v>
      </c>
      <c r="J195" s="1">
        <v>0</v>
      </c>
      <c r="K195" s="1" t="s">
        <v>32</v>
      </c>
      <c r="L195" s="1">
        <v>2389</v>
      </c>
      <c r="M195" s="1">
        <v>0.75</v>
      </c>
      <c r="N195" s="1">
        <v>-0.11269999999999999</v>
      </c>
      <c r="O195" s="1">
        <f>VLOOKUP(D195,underlying!$D$2:$H$75,5,FALSE)</f>
        <v>-0.44</v>
      </c>
      <c r="P195" s="2">
        <f>VLOOKUP(D195,underlying!$D$2:$L$39,9,FALSE)</f>
        <v>42732</v>
      </c>
      <c r="Q195" s="7">
        <f>IF(G195="C",NormalCallSprd(O195,H195,M195,(P195-A195)/365), NormalPutSprd(O195,H195,M195,(P195-A195)/365))</f>
        <v>0.24366121093595647</v>
      </c>
      <c r="R195" s="9">
        <f t="shared" ref="R195:R258" si="7">ABS(Q195-I195)</f>
        <v>3.6612109359564771E-3</v>
      </c>
    </row>
    <row r="196" spans="1:18" x14ac:dyDescent="0.2">
      <c r="A196" s="2">
        <v>42622</v>
      </c>
      <c r="B196" s="1" t="s">
        <v>13</v>
      </c>
      <c r="C196" s="1" t="s">
        <v>14</v>
      </c>
      <c r="D196" s="2">
        <v>42737</v>
      </c>
      <c r="E196" s="2">
        <f t="shared" si="6"/>
        <v>42767</v>
      </c>
      <c r="F196" s="1" t="s">
        <v>15</v>
      </c>
      <c r="G196" s="1" t="s">
        <v>16</v>
      </c>
      <c r="H196" s="1">
        <v>-0.25</v>
      </c>
      <c r="I196" s="1">
        <v>0.09</v>
      </c>
      <c r="J196" s="1">
        <v>0</v>
      </c>
      <c r="K196" s="1" t="s">
        <v>32</v>
      </c>
      <c r="L196" s="1">
        <v>2389</v>
      </c>
      <c r="M196" s="1">
        <v>0.75</v>
      </c>
      <c r="N196" s="1">
        <v>-7.8600000000000007E-3</v>
      </c>
      <c r="O196" s="1">
        <f>VLOOKUP(D196,underlying!$D$2:$H$75,5,FALSE)</f>
        <v>-0.44</v>
      </c>
      <c r="P196" s="2">
        <f>VLOOKUP(D196,underlying!$D$2:$L$39,9,FALSE)</f>
        <v>42732</v>
      </c>
      <c r="Q196" s="7">
        <f>IF(G196="C",NormalCallSprd(O196,H196,M196,(P196-A196)/365), NormalPutSprd(O196,H196,M196,(P196-A196)/365))</f>
        <v>8.644156253011806E-2</v>
      </c>
      <c r="R196" s="9">
        <f t="shared" si="7"/>
        <v>3.5584374698819365E-3</v>
      </c>
    </row>
    <row r="197" spans="1:18" x14ac:dyDescent="0.2">
      <c r="A197" s="2">
        <v>42622</v>
      </c>
      <c r="B197" s="1" t="s">
        <v>13</v>
      </c>
      <c r="C197" s="1" t="s">
        <v>14</v>
      </c>
      <c r="D197" s="2">
        <v>42737</v>
      </c>
      <c r="E197" s="2">
        <f t="shared" si="6"/>
        <v>42767</v>
      </c>
      <c r="F197" s="1" t="s">
        <v>15</v>
      </c>
      <c r="G197" s="1" t="s">
        <v>18</v>
      </c>
      <c r="H197" s="1">
        <v>-0.25</v>
      </c>
      <c r="I197" s="1">
        <v>0.28000000000000003</v>
      </c>
      <c r="J197" s="1">
        <v>0.01</v>
      </c>
      <c r="K197" s="1" t="s">
        <v>32</v>
      </c>
      <c r="L197" s="1">
        <v>2389</v>
      </c>
      <c r="M197" s="1">
        <v>0.75</v>
      </c>
      <c r="N197" s="1">
        <v>-7.3999999999999999E-4</v>
      </c>
      <c r="O197" s="1">
        <f>VLOOKUP(D197,underlying!$D$2:$H$75,5,FALSE)</f>
        <v>-0.44</v>
      </c>
      <c r="P197" s="2">
        <f>VLOOKUP(D197,underlying!$D$2:$L$39,9,FALSE)</f>
        <v>42732</v>
      </c>
      <c r="Q197" s="7">
        <f>IF(G197="C",NormalCallSprd(O197,H197,M197,(P197-A197)/365), NormalPutSprd(O197,H197,M197,(P197-A197)/365))</f>
        <v>0.27644156253011803</v>
      </c>
      <c r="R197" s="9">
        <f t="shared" si="7"/>
        <v>3.5584374698819921E-3</v>
      </c>
    </row>
    <row r="198" spans="1:18" x14ac:dyDescent="0.2">
      <c r="A198" s="2">
        <v>42622</v>
      </c>
      <c r="B198" s="1" t="s">
        <v>13</v>
      </c>
      <c r="C198" s="1" t="s">
        <v>14</v>
      </c>
      <c r="D198" s="2">
        <v>42737</v>
      </c>
      <c r="E198" s="2">
        <f t="shared" si="6"/>
        <v>42767</v>
      </c>
      <c r="F198" s="1" t="s">
        <v>15</v>
      </c>
      <c r="G198" s="1" t="s">
        <v>16</v>
      </c>
      <c r="H198" s="1">
        <v>-0.2</v>
      </c>
      <c r="I198" s="1">
        <v>7.0000000000000007E-2</v>
      </c>
      <c r="J198" s="1">
        <v>0</v>
      </c>
      <c r="K198" s="1" t="s">
        <v>32</v>
      </c>
      <c r="L198" s="1">
        <v>2389</v>
      </c>
      <c r="M198" s="1">
        <v>0.75</v>
      </c>
      <c r="N198" s="1">
        <v>0.44530999999999998</v>
      </c>
      <c r="O198" s="1">
        <f>VLOOKUP(D198,underlying!$D$2:$H$75,5,FALSE)</f>
        <v>-0.44</v>
      </c>
      <c r="P198" s="2">
        <f>VLOOKUP(D198,underlying!$D$2:$L$39,9,FALSE)</f>
        <v>42732</v>
      </c>
      <c r="Q198" s="7">
        <f>IF(G198="C",NormalCallSprd(O198,H198,M198,(P198-A198)/365), NormalPutSprd(O198,H198,M198,(P198-A198)/365))</f>
        <v>7.1397502948210456E-2</v>
      </c>
      <c r="R198" s="9">
        <f t="shared" si="7"/>
        <v>1.3975029482104495E-3</v>
      </c>
    </row>
    <row r="199" spans="1:18" x14ac:dyDescent="0.2">
      <c r="A199" s="2">
        <v>42622</v>
      </c>
      <c r="B199" s="1" t="s">
        <v>13</v>
      </c>
      <c r="C199" s="1" t="s">
        <v>14</v>
      </c>
      <c r="D199" s="2">
        <v>42737</v>
      </c>
      <c r="E199" s="2">
        <f t="shared" si="6"/>
        <v>42767</v>
      </c>
      <c r="F199" s="1" t="s">
        <v>15</v>
      </c>
      <c r="G199" s="1" t="s">
        <v>18</v>
      </c>
      <c r="H199" s="1">
        <v>-0.2</v>
      </c>
      <c r="I199" s="1">
        <v>0.31</v>
      </c>
      <c r="J199" s="1">
        <v>0.01</v>
      </c>
      <c r="K199" s="1" t="s">
        <v>32</v>
      </c>
      <c r="L199" s="1">
        <v>2389</v>
      </c>
      <c r="M199" s="1">
        <v>0.75</v>
      </c>
      <c r="N199" s="1">
        <v>0.47527999999999998</v>
      </c>
      <c r="O199" s="1">
        <f>VLOOKUP(D199,underlying!$D$2:$H$75,5,FALSE)</f>
        <v>-0.44</v>
      </c>
      <c r="P199" s="2">
        <f>VLOOKUP(D199,underlying!$D$2:$L$39,9,FALSE)</f>
        <v>42732</v>
      </c>
      <c r="Q199" s="7">
        <f>IF(G199="C",NormalCallSprd(O199,H199,M199,(P199-A199)/365), NormalPutSprd(O199,H199,M199,(P199-A199)/365))</f>
        <v>0.31139750294821045</v>
      </c>
      <c r="R199" s="9">
        <f t="shared" si="7"/>
        <v>1.3975029482104495E-3</v>
      </c>
    </row>
    <row r="200" spans="1:18" x14ac:dyDescent="0.2">
      <c r="A200" s="2">
        <v>42622</v>
      </c>
      <c r="B200" s="1" t="s">
        <v>13</v>
      </c>
      <c r="C200" s="1" t="s">
        <v>14</v>
      </c>
      <c r="D200" s="2">
        <v>42737</v>
      </c>
      <c r="E200" s="2">
        <f t="shared" si="6"/>
        <v>42767</v>
      </c>
      <c r="F200" s="1" t="s">
        <v>15</v>
      </c>
      <c r="G200" s="1" t="s">
        <v>16</v>
      </c>
      <c r="H200" s="1">
        <v>-0.15</v>
      </c>
      <c r="I200" s="1">
        <v>0.06</v>
      </c>
      <c r="J200" s="1">
        <v>0</v>
      </c>
      <c r="K200" s="1" t="s">
        <v>32</v>
      </c>
      <c r="L200" s="1">
        <v>2389</v>
      </c>
      <c r="M200" s="1">
        <v>0.75</v>
      </c>
      <c r="N200" s="1">
        <v>0.50514999999999999</v>
      </c>
      <c r="O200" s="1">
        <f>VLOOKUP(D200,underlying!$D$2:$H$75,5,FALSE)</f>
        <v>-0.44</v>
      </c>
      <c r="P200" s="2">
        <f>VLOOKUP(D200,underlying!$D$2:$L$39,9,FALSE)</f>
        <v>42732</v>
      </c>
      <c r="Q200" s="7">
        <f>IF(G200="C",NormalCallSprd(O200,H200,M200,(P200-A200)/365), NormalPutSprd(O200,H200,M200,(P200-A200)/365))</f>
        <v>5.8395670200995793E-2</v>
      </c>
      <c r="R200" s="9">
        <f t="shared" si="7"/>
        <v>1.6043297990042046E-3</v>
      </c>
    </row>
    <row r="201" spans="1:18" x14ac:dyDescent="0.2">
      <c r="A201" s="2">
        <v>42622</v>
      </c>
      <c r="B201" s="1" t="s">
        <v>13</v>
      </c>
      <c r="C201" s="1" t="s">
        <v>14</v>
      </c>
      <c r="D201" s="2">
        <v>42737</v>
      </c>
      <c r="E201" s="2">
        <f t="shared" si="6"/>
        <v>42767</v>
      </c>
      <c r="F201" s="1" t="s">
        <v>15</v>
      </c>
      <c r="G201" s="1" t="s">
        <v>18</v>
      </c>
      <c r="H201" s="1">
        <v>-0.15</v>
      </c>
      <c r="I201" s="1">
        <v>0.35</v>
      </c>
      <c r="J201" s="1">
        <v>0.01</v>
      </c>
      <c r="K201" s="1" t="s">
        <v>32</v>
      </c>
      <c r="L201" s="1">
        <v>2389</v>
      </c>
      <c r="M201" s="1">
        <v>0.75</v>
      </c>
      <c r="N201" s="1">
        <v>0.53495999999999999</v>
      </c>
      <c r="O201" s="1">
        <f>VLOOKUP(D201,underlying!$D$2:$H$75,5,FALSE)</f>
        <v>-0.44</v>
      </c>
      <c r="P201" s="2">
        <f>VLOOKUP(D201,underlying!$D$2:$L$39,9,FALSE)</f>
        <v>42732</v>
      </c>
      <c r="Q201" s="7">
        <f>IF(G201="C",NormalCallSprd(O201,H201,M201,(P201-A201)/365), NormalPutSprd(O201,H201,M201,(P201-A201)/365))</f>
        <v>0.34839567020099582</v>
      </c>
      <c r="R201" s="9">
        <f t="shared" si="7"/>
        <v>1.6043297990041561E-3</v>
      </c>
    </row>
    <row r="202" spans="1:18" x14ac:dyDescent="0.2">
      <c r="A202" s="2">
        <v>42622</v>
      </c>
      <c r="B202" s="1" t="s">
        <v>13</v>
      </c>
      <c r="C202" s="1" t="s">
        <v>14</v>
      </c>
      <c r="D202" s="2">
        <v>42737</v>
      </c>
      <c r="E202" s="2">
        <f t="shared" si="6"/>
        <v>42767</v>
      </c>
      <c r="F202" s="1" t="s">
        <v>15</v>
      </c>
      <c r="G202" s="1" t="s">
        <v>16</v>
      </c>
      <c r="H202" s="1">
        <v>-0.1</v>
      </c>
      <c r="I202" s="1">
        <v>0.05</v>
      </c>
      <c r="J202" s="1">
        <v>0</v>
      </c>
      <c r="K202" s="1" t="s">
        <v>32</v>
      </c>
      <c r="L202" s="1">
        <v>2389</v>
      </c>
      <c r="M202" s="1">
        <v>0.75</v>
      </c>
      <c r="N202" s="1">
        <v>0.56452000000000002</v>
      </c>
      <c r="O202" s="1">
        <f>VLOOKUP(D202,underlying!$D$2:$H$75,5,FALSE)</f>
        <v>-0.44</v>
      </c>
      <c r="P202" s="2">
        <f>VLOOKUP(D202,underlying!$D$2:$L$39,9,FALSE)</f>
        <v>42732</v>
      </c>
      <c r="Q202" s="7">
        <f>IF(G202="C",NormalCallSprd(O202,H202,M202,(P202-A202)/365), NormalPutSprd(O202,H202,M202,(P202-A202)/365))</f>
        <v>4.7282881577726373E-2</v>
      </c>
      <c r="R202" s="9">
        <f t="shared" si="7"/>
        <v>2.7171184222736303E-3</v>
      </c>
    </row>
    <row r="203" spans="1:18" x14ac:dyDescent="0.2">
      <c r="A203" s="2">
        <v>42622</v>
      </c>
      <c r="B203" s="1" t="s">
        <v>13</v>
      </c>
      <c r="C203" s="1" t="s">
        <v>14</v>
      </c>
      <c r="D203" s="2">
        <v>42737</v>
      </c>
      <c r="E203" s="2">
        <f t="shared" si="6"/>
        <v>42767</v>
      </c>
      <c r="F203" s="1" t="s">
        <v>15</v>
      </c>
      <c r="G203" s="1" t="s">
        <v>18</v>
      </c>
      <c r="H203" s="1">
        <v>-0.1</v>
      </c>
      <c r="I203" s="1">
        <v>0.39</v>
      </c>
      <c r="J203" s="1">
        <v>0.01</v>
      </c>
      <c r="K203" s="1" t="s">
        <v>32</v>
      </c>
      <c r="L203" s="1">
        <v>2389</v>
      </c>
      <c r="M203" s="1">
        <v>0.75</v>
      </c>
      <c r="N203" s="1">
        <v>0.59367999999999999</v>
      </c>
      <c r="O203" s="1">
        <f>VLOOKUP(D203,underlying!$D$2:$H$75,5,FALSE)</f>
        <v>-0.44</v>
      </c>
      <c r="P203" s="2">
        <f>VLOOKUP(D203,underlying!$D$2:$L$39,9,FALSE)</f>
        <v>42732</v>
      </c>
      <c r="Q203" s="7">
        <f>IF(G203="C",NormalCallSprd(O203,H203,M203,(P203-A203)/365), NormalPutSprd(O203,H203,M203,(P203-A203)/365))</f>
        <v>0.38728288157772639</v>
      </c>
      <c r="R203" s="9">
        <f t="shared" si="7"/>
        <v>2.7171184222736233E-3</v>
      </c>
    </row>
    <row r="204" spans="1:18" x14ac:dyDescent="0.2">
      <c r="A204" s="2">
        <v>42622</v>
      </c>
      <c r="B204" s="1" t="s">
        <v>13</v>
      </c>
      <c r="C204" s="1" t="s">
        <v>14</v>
      </c>
      <c r="D204" s="2">
        <v>42737</v>
      </c>
      <c r="E204" s="2">
        <f t="shared" si="6"/>
        <v>42767</v>
      </c>
      <c r="F204" s="1" t="s">
        <v>15</v>
      </c>
      <c r="G204" s="1" t="s">
        <v>16</v>
      </c>
      <c r="H204" s="1">
        <v>-0.05</v>
      </c>
      <c r="I204" s="1">
        <v>0.04</v>
      </c>
      <c r="J204" s="1">
        <v>0</v>
      </c>
      <c r="K204" s="1" t="s">
        <v>32</v>
      </c>
      <c r="L204" s="1">
        <v>2389</v>
      </c>
      <c r="M204" s="1">
        <v>0.75</v>
      </c>
      <c r="N204" s="1">
        <v>0.62014000000000002</v>
      </c>
      <c r="O204" s="1">
        <f>VLOOKUP(D204,underlying!$D$2:$H$75,5,FALSE)</f>
        <v>-0.44</v>
      </c>
      <c r="P204" s="2">
        <f>VLOOKUP(D204,underlying!$D$2:$L$39,9,FALSE)</f>
        <v>42732</v>
      </c>
      <c r="Q204" s="7">
        <f>IF(G204="C",NormalCallSprd(O204,H204,M204,(P204-A204)/365), NormalPutSprd(O204,H204,M204,(P204-A204)/365))</f>
        <v>3.7891926594540104E-2</v>
      </c>
      <c r="R204" s="9">
        <f t="shared" si="7"/>
        <v>2.1080734054598968E-3</v>
      </c>
    </row>
    <row r="205" spans="1:18" x14ac:dyDescent="0.2">
      <c r="A205" s="2">
        <v>42622</v>
      </c>
      <c r="B205" s="1" t="s">
        <v>13</v>
      </c>
      <c r="C205" s="1" t="s">
        <v>14</v>
      </c>
      <c r="D205" s="2">
        <v>42737</v>
      </c>
      <c r="E205" s="2">
        <f t="shared" si="6"/>
        <v>42767</v>
      </c>
      <c r="F205" s="1" t="s">
        <v>15</v>
      </c>
      <c r="G205" s="1" t="s">
        <v>18</v>
      </c>
      <c r="H205" s="1">
        <v>-0.05</v>
      </c>
      <c r="I205" s="1">
        <v>0.43</v>
      </c>
      <c r="J205" s="1">
        <v>0.01</v>
      </c>
      <c r="K205" s="1" t="s">
        <v>32</v>
      </c>
      <c r="L205" s="1">
        <v>2389</v>
      </c>
      <c r="M205" s="1">
        <v>0.75</v>
      </c>
      <c r="N205" s="1">
        <v>0.64454</v>
      </c>
      <c r="O205" s="1">
        <f>VLOOKUP(D205,underlying!$D$2:$H$75,5,FALSE)</f>
        <v>-0.44</v>
      </c>
      <c r="P205" s="2">
        <f>VLOOKUP(D205,underlying!$D$2:$L$39,9,FALSE)</f>
        <v>42732</v>
      </c>
      <c r="Q205" s="7">
        <f>IF(G205="C",NormalCallSprd(O205,H205,M205,(P205-A205)/365), NormalPutSprd(O205,H205,M205,(P205-A205)/365))</f>
        <v>0.42789192659454012</v>
      </c>
      <c r="R205" s="9">
        <f t="shared" si="7"/>
        <v>2.108073405459876E-3</v>
      </c>
    </row>
    <row r="206" spans="1:18" x14ac:dyDescent="0.2">
      <c r="A206" s="2">
        <v>42622</v>
      </c>
      <c r="B206" s="1" t="s">
        <v>13</v>
      </c>
      <c r="C206" s="1" t="s">
        <v>14</v>
      </c>
      <c r="D206" s="2">
        <v>42738</v>
      </c>
      <c r="E206" s="2">
        <f t="shared" si="6"/>
        <v>42795</v>
      </c>
      <c r="F206" s="1" t="s">
        <v>15</v>
      </c>
      <c r="G206" s="1" t="s">
        <v>16</v>
      </c>
      <c r="H206" s="1">
        <v>-20</v>
      </c>
      <c r="I206" s="1">
        <v>19.55</v>
      </c>
      <c r="J206" s="1">
        <v>-0.04</v>
      </c>
      <c r="K206" s="1" t="s">
        <v>35</v>
      </c>
      <c r="L206" s="1">
        <v>2389</v>
      </c>
      <c r="M206" s="1">
        <v>7.64</v>
      </c>
      <c r="N206" s="1">
        <v>0.67005000000000003</v>
      </c>
      <c r="O206" s="1">
        <f>VLOOKUP(D206,underlying!$D$2:$H$75,5,FALSE)</f>
        <v>-0.41</v>
      </c>
      <c r="P206" s="2">
        <f>VLOOKUP(D206,underlying!$D$2:$L$39,9,FALSE)</f>
        <v>42765</v>
      </c>
      <c r="Q206" s="7">
        <f>IF(G206="C",NormalCallSprd(O206,H206,M206,(P206-A206)/365), NormalPutSprd(O206,H206,M206,(P206-A206)/365))</f>
        <v>19.590022176500565</v>
      </c>
      <c r="R206" s="9">
        <f t="shared" si="7"/>
        <v>4.0022176500563944E-2</v>
      </c>
    </row>
    <row r="207" spans="1:18" x14ac:dyDescent="0.2">
      <c r="A207" s="2">
        <v>42622</v>
      </c>
      <c r="B207" s="1" t="s">
        <v>13</v>
      </c>
      <c r="C207" s="1" t="s">
        <v>14</v>
      </c>
      <c r="D207" s="2">
        <v>42738</v>
      </c>
      <c r="E207" s="2">
        <f t="shared" si="6"/>
        <v>42795</v>
      </c>
      <c r="F207" s="1" t="s">
        <v>15</v>
      </c>
      <c r="G207" s="1" t="s">
        <v>18</v>
      </c>
      <c r="H207" s="1">
        <v>-20</v>
      </c>
      <c r="I207" s="1">
        <v>0.01</v>
      </c>
      <c r="J207" s="1">
        <v>0</v>
      </c>
      <c r="K207" s="1" t="s">
        <v>35</v>
      </c>
      <c r="L207" s="1">
        <v>2389</v>
      </c>
      <c r="M207" s="1">
        <v>7.64</v>
      </c>
      <c r="N207" s="1">
        <v>0.69528999999999996</v>
      </c>
      <c r="O207" s="1">
        <f>VLOOKUP(D207,underlying!$D$2:$H$75,5,FALSE)</f>
        <v>-0.41</v>
      </c>
      <c r="P207" s="2">
        <f>VLOOKUP(D207,underlying!$D$2:$L$39,9,FALSE)</f>
        <v>42765</v>
      </c>
      <c r="Q207" s="7">
        <f>IF(G207="C",NormalCallSprd(O207,H207,M207,(P207-A207)/365), NormalPutSprd(O207,H207,M207,(P207-A207)/365))</f>
        <v>2.2176500565181633E-5</v>
      </c>
      <c r="R207" s="9">
        <f t="shared" si="7"/>
        <v>9.9778234994348184E-3</v>
      </c>
    </row>
    <row r="208" spans="1:18" x14ac:dyDescent="0.2">
      <c r="A208" s="2">
        <v>42622</v>
      </c>
      <c r="B208" s="1" t="s">
        <v>13</v>
      </c>
      <c r="C208" s="1" t="s">
        <v>14</v>
      </c>
      <c r="D208" s="2">
        <v>42738</v>
      </c>
      <c r="E208" s="2">
        <f t="shared" si="6"/>
        <v>42795</v>
      </c>
      <c r="F208" s="1" t="s">
        <v>15</v>
      </c>
      <c r="G208" s="1" t="s">
        <v>16</v>
      </c>
      <c r="H208" s="1">
        <v>-4</v>
      </c>
      <c r="I208" s="1">
        <v>3.58</v>
      </c>
      <c r="J208" s="1">
        <v>-0.04</v>
      </c>
      <c r="K208" s="1" t="s">
        <v>35</v>
      </c>
      <c r="L208" s="1">
        <v>2389</v>
      </c>
      <c r="M208" s="1">
        <v>1.65</v>
      </c>
      <c r="N208" s="1">
        <v>0.71628000000000003</v>
      </c>
      <c r="O208" s="1">
        <f>VLOOKUP(D208,underlying!$D$2:$H$75,5,FALSE)</f>
        <v>-0.41</v>
      </c>
      <c r="P208" s="2">
        <f>VLOOKUP(D208,underlying!$D$2:$L$39,9,FALSE)</f>
        <v>42765</v>
      </c>
      <c r="Q208" s="7">
        <f>IF(G208="C",NormalCallSprd(O208,H208,M208,(P208-A208)/365), NormalPutSprd(O208,H208,M208,(P208-A208)/365))</f>
        <v>3.5900664114211289</v>
      </c>
      <c r="R208" s="9">
        <f t="shared" si="7"/>
        <v>1.0066411421128851E-2</v>
      </c>
    </row>
    <row r="209" spans="1:18" x14ac:dyDescent="0.2">
      <c r="A209" s="2">
        <v>42622</v>
      </c>
      <c r="B209" s="1" t="s">
        <v>13</v>
      </c>
      <c r="C209" s="1" t="s">
        <v>14</v>
      </c>
      <c r="D209" s="2">
        <v>42738</v>
      </c>
      <c r="E209" s="2">
        <f t="shared" si="6"/>
        <v>42795</v>
      </c>
      <c r="F209" s="1" t="s">
        <v>15</v>
      </c>
      <c r="G209" s="1" t="s">
        <v>18</v>
      </c>
      <c r="H209" s="1">
        <v>-4</v>
      </c>
      <c r="I209" s="1">
        <v>0.01</v>
      </c>
      <c r="J209" s="1">
        <v>0</v>
      </c>
      <c r="K209" s="1" t="s">
        <v>35</v>
      </c>
      <c r="L209" s="1">
        <v>2389</v>
      </c>
      <c r="M209" s="1">
        <v>1.65</v>
      </c>
      <c r="N209" s="1">
        <v>0.73841000000000001</v>
      </c>
      <c r="O209" s="1">
        <f>VLOOKUP(D209,underlying!$D$2:$H$75,5,FALSE)</f>
        <v>-0.41</v>
      </c>
      <c r="P209" s="2">
        <f>VLOOKUP(D209,underlying!$D$2:$L$39,9,FALSE)</f>
        <v>42765</v>
      </c>
      <c r="Q209" s="7">
        <f>IF(G209="C",NormalCallSprd(O209,H209,M209,(P209-A209)/365), NormalPutSprd(O209,H209,M209,(P209-A209)/365))</f>
        <v>6.6411421128913044E-5</v>
      </c>
      <c r="R209" s="9">
        <f t="shared" si="7"/>
        <v>9.9335885788710866E-3</v>
      </c>
    </row>
    <row r="210" spans="1:18" x14ac:dyDescent="0.2">
      <c r="A210" s="2">
        <v>42622</v>
      </c>
      <c r="B210" s="1" t="s">
        <v>13</v>
      </c>
      <c r="C210" s="1" t="s">
        <v>14</v>
      </c>
      <c r="D210" s="2">
        <v>42738</v>
      </c>
      <c r="E210" s="2">
        <f t="shared" si="6"/>
        <v>42795</v>
      </c>
      <c r="F210" s="1" t="s">
        <v>15</v>
      </c>
      <c r="G210" s="1" t="s">
        <v>16</v>
      </c>
      <c r="H210" s="1">
        <v>-3</v>
      </c>
      <c r="I210" s="1">
        <v>2.59</v>
      </c>
      <c r="J210" s="1">
        <v>-0.04</v>
      </c>
      <c r="K210" s="1" t="s">
        <v>35</v>
      </c>
      <c r="L210" s="1">
        <v>2389</v>
      </c>
      <c r="M210" s="1">
        <v>1.28</v>
      </c>
      <c r="N210" s="1">
        <v>0.75670000000000004</v>
      </c>
      <c r="O210" s="1">
        <f>VLOOKUP(D210,underlying!$D$2:$H$75,5,FALSE)</f>
        <v>-0.41</v>
      </c>
      <c r="P210" s="2">
        <f>VLOOKUP(D210,underlying!$D$2:$L$39,9,FALSE)</f>
        <v>42765</v>
      </c>
      <c r="Q210" s="7">
        <f>IF(G210="C",NormalCallSprd(O210,H210,M210,(P210-A210)/365), NormalPutSprd(O210,H210,M210,(P210-A210)/365))</f>
        <v>2.5901313905985406</v>
      </c>
      <c r="R210" s="9">
        <f t="shared" si="7"/>
        <v>1.3139059854072599E-4</v>
      </c>
    </row>
    <row r="211" spans="1:18" x14ac:dyDescent="0.2">
      <c r="A211" s="2">
        <v>42622</v>
      </c>
      <c r="B211" s="1" t="s">
        <v>13</v>
      </c>
      <c r="C211" s="1" t="s">
        <v>14</v>
      </c>
      <c r="D211" s="2">
        <v>42738</v>
      </c>
      <c r="E211" s="2">
        <f t="shared" si="6"/>
        <v>42795</v>
      </c>
      <c r="F211" s="1" t="s">
        <v>15</v>
      </c>
      <c r="G211" s="1" t="s">
        <v>18</v>
      </c>
      <c r="H211" s="1">
        <v>-3</v>
      </c>
      <c r="I211" s="1">
        <v>0.01</v>
      </c>
      <c r="J211" s="1">
        <v>0</v>
      </c>
      <c r="K211" s="1" t="s">
        <v>35</v>
      </c>
      <c r="L211" s="1">
        <v>2389</v>
      </c>
      <c r="M211" s="1">
        <v>1.28</v>
      </c>
      <c r="N211" s="1">
        <v>0.85426999999999997</v>
      </c>
      <c r="O211" s="1">
        <f>VLOOKUP(D211,underlying!$D$2:$H$75,5,FALSE)</f>
        <v>-0.41</v>
      </c>
      <c r="P211" s="2">
        <f>VLOOKUP(D211,underlying!$D$2:$L$39,9,FALSE)</f>
        <v>42765</v>
      </c>
      <c r="Q211" s="7">
        <f>IF(G211="C",NormalCallSprd(O211,H211,M211,(P211-A211)/365), NormalPutSprd(O211,H211,M211,(P211-A211)/365))</f>
        <v>1.3139059854067078E-4</v>
      </c>
      <c r="R211" s="9">
        <f t="shared" si="7"/>
        <v>9.8686094014593297E-3</v>
      </c>
    </row>
    <row r="212" spans="1:18" x14ac:dyDescent="0.2">
      <c r="A212" s="2">
        <v>42622</v>
      </c>
      <c r="B212" s="1" t="s">
        <v>13</v>
      </c>
      <c r="C212" s="1" t="s">
        <v>14</v>
      </c>
      <c r="D212" s="2">
        <v>42738</v>
      </c>
      <c r="E212" s="2">
        <f t="shared" si="6"/>
        <v>42795</v>
      </c>
      <c r="F212" s="1" t="s">
        <v>15</v>
      </c>
      <c r="G212" s="1" t="s">
        <v>16</v>
      </c>
      <c r="H212" s="1">
        <v>-2</v>
      </c>
      <c r="I212" s="1">
        <v>1.59</v>
      </c>
      <c r="J212" s="1">
        <v>-0.04</v>
      </c>
      <c r="K212" s="1" t="s">
        <v>35</v>
      </c>
      <c r="L212" s="1">
        <v>2389</v>
      </c>
      <c r="M212" s="1">
        <v>1.03</v>
      </c>
      <c r="N212" s="1">
        <v>0.98641000000000001</v>
      </c>
      <c r="O212" s="1">
        <f>VLOOKUP(D212,underlying!$D$2:$H$75,5,FALSE)</f>
        <v>-0.41</v>
      </c>
      <c r="P212" s="2">
        <f>VLOOKUP(D212,underlying!$D$2:$L$39,9,FALSE)</f>
        <v>42765</v>
      </c>
      <c r="Q212" s="7">
        <f>IF(G212="C",NormalCallSprd(O212,H212,M212,(P212-A212)/365), NormalPutSprd(O212,H212,M212,(P212-A212)/365))</f>
        <v>1.5914337746605258</v>
      </c>
      <c r="R212" s="9">
        <f t="shared" si="7"/>
        <v>1.433774660525744E-3</v>
      </c>
    </row>
    <row r="213" spans="1:18" x14ac:dyDescent="0.2">
      <c r="A213" s="2">
        <v>42622</v>
      </c>
      <c r="B213" s="1" t="s">
        <v>13</v>
      </c>
      <c r="C213" s="1" t="s">
        <v>14</v>
      </c>
      <c r="D213" s="2">
        <v>42738</v>
      </c>
      <c r="E213" s="2">
        <f t="shared" si="6"/>
        <v>42795</v>
      </c>
      <c r="F213" s="1" t="s">
        <v>15</v>
      </c>
      <c r="G213" s="1" t="s">
        <v>18</v>
      </c>
      <c r="H213" s="1">
        <v>-2</v>
      </c>
      <c r="I213" s="1">
        <v>0.01</v>
      </c>
      <c r="J213" s="1">
        <v>0</v>
      </c>
      <c r="K213" s="1" t="s">
        <v>35</v>
      </c>
      <c r="L213" s="1">
        <v>2389</v>
      </c>
      <c r="M213" s="1">
        <v>1.03</v>
      </c>
      <c r="N213" s="1">
        <v>0.95789000000000002</v>
      </c>
      <c r="O213" s="1">
        <f>VLOOKUP(D213,underlying!$D$2:$H$75,5,FALSE)</f>
        <v>-0.41</v>
      </c>
      <c r="P213" s="2">
        <f>VLOOKUP(D213,underlying!$D$2:$L$39,9,FALSE)</f>
        <v>42765</v>
      </c>
      <c r="Q213" s="7">
        <f>IF(G213="C",NormalCallSprd(O213,H213,M213,(P213-A213)/365), NormalPutSprd(O213,H213,M213,(P213-A213)/365))</f>
        <v>1.4337746605257342E-3</v>
      </c>
      <c r="R213" s="9">
        <f t="shared" si="7"/>
        <v>8.5662253394742666E-3</v>
      </c>
    </row>
    <row r="214" spans="1:18" x14ac:dyDescent="0.2">
      <c r="A214" s="2">
        <v>42622</v>
      </c>
      <c r="B214" s="1" t="s">
        <v>13</v>
      </c>
      <c r="C214" s="1" t="s">
        <v>14</v>
      </c>
      <c r="D214" s="2">
        <v>42738</v>
      </c>
      <c r="E214" s="2">
        <f t="shared" si="6"/>
        <v>42795</v>
      </c>
      <c r="F214" s="1" t="s">
        <v>15</v>
      </c>
      <c r="G214" s="1" t="s">
        <v>16</v>
      </c>
      <c r="H214" s="1">
        <v>-1</v>
      </c>
      <c r="I214" s="1">
        <v>0.62</v>
      </c>
      <c r="J214" s="1">
        <v>-0.04</v>
      </c>
      <c r="K214" s="1" t="s">
        <v>35</v>
      </c>
      <c r="L214" s="1">
        <v>2389</v>
      </c>
      <c r="M214" s="1">
        <v>0.82</v>
      </c>
      <c r="N214" s="1">
        <v>0.97811999999999999</v>
      </c>
      <c r="O214" s="1">
        <f>VLOOKUP(D214,underlying!$D$2:$H$75,5,FALSE)</f>
        <v>-0.41</v>
      </c>
      <c r="P214" s="2">
        <f>VLOOKUP(D214,underlying!$D$2:$L$39,9,FALSE)</f>
        <v>42765</v>
      </c>
      <c r="Q214" s="7">
        <f>IF(G214="C",NormalCallSprd(O214,H214,M214,(P214-A214)/365), NormalPutSprd(O214,H214,M214,(P214-A214)/365))</f>
        <v>0.62190593736083699</v>
      </c>
      <c r="R214" s="9">
        <f t="shared" si="7"/>
        <v>1.9059373608369956E-3</v>
      </c>
    </row>
    <row r="215" spans="1:18" x14ac:dyDescent="0.2">
      <c r="A215" s="2">
        <v>42622</v>
      </c>
      <c r="B215" s="1" t="s">
        <v>13</v>
      </c>
      <c r="C215" s="1" t="s">
        <v>14</v>
      </c>
      <c r="D215" s="2">
        <v>42738</v>
      </c>
      <c r="E215" s="2">
        <f t="shared" si="6"/>
        <v>42795</v>
      </c>
      <c r="F215" s="1" t="s">
        <v>15</v>
      </c>
      <c r="G215" s="1" t="s">
        <v>18</v>
      </c>
      <c r="H215" s="1">
        <v>-1</v>
      </c>
      <c r="I215" s="1">
        <v>0.03</v>
      </c>
      <c r="J215" s="1">
        <v>0</v>
      </c>
      <c r="K215" s="1" t="s">
        <v>35</v>
      </c>
      <c r="L215" s="1">
        <v>2389</v>
      </c>
      <c r="M215" s="1">
        <v>0.82</v>
      </c>
      <c r="N215" s="1">
        <v>-0.54110000000000003</v>
      </c>
      <c r="O215" s="1">
        <f>VLOOKUP(D215,underlying!$D$2:$H$75,5,FALSE)</f>
        <v>-0.41</v>
      </c>
      <c r="P215" s="2">
        <f>VLOOKUP(D215,underlying!$D$2:$L$39,9,FALSE)</f>
        <v>42765</v>
      </c>
      <c r="Q215" s="7">
        <f>IF(G215="C",NormalCallSprd(O215,H215,M215,(P215-A215)/365), NormalPutSprd(O215,H215,M215,(P215-A215)/365))</f>
        <v>3.1905937360836967E-2</v>
      </c>
      <c r="R215" s="9">
        <f t="shared" si="7"/>
        <v>1.9059373608369679E-3</v>
      </c>
    </row>
    <row r="216" spans="1:18" x14ac:dyDescent="0.2">
      <c r="A216" s="2">
        <v>42622</v>
      </c>
      <c r="B216" s="1" t="s">
        <v>13</v>
      </c>
      <c r="C216" s="1" t="s">
        <v>14</v>
      </c>
      <c r="D216" s="2">
        <v>42738</v>
      </c>
      <c r="E216" s="2">
        <f t="shared" si="6"/>
        <v>42795</v>
      </c>
      <c r="F216" s="1" t="s">
        <v>15</v>
      </c>
      <c r="G216" s="1" t="s">
        <v>16</v>
      </c>
      <c r="H216" s="1">
        <v>-0.95</v>
      </c>
      <c r="I216" s="1">
        <v>0.57999999999999996</v>
      </c>
      <c r="J216" s="1">
        <v>-0.03</v>
      </c>
      <c r="K216" s="1" t="s">
        <v>35</v>
      </c>
      <c r="L216" s="1">
        <v>2389</v>
      </c>
      <c r="M216" s="1">
        <v>0.81</v>
      </c>
      <c r="N216" s="1">
        <v>-0.51112999999999997</v>
      </c>
      <c r="O216" s="1">
        <f>VLOOKUP(D216,underlying!$D$2:$H$75,5,FALSE)</f>
        <v>-0.41</v>
      </c>
      <c r="P216" s="2">
        <f>VLOOKUP(D216,underlying!$D$2:$L$39,9,FALSE)</f>
        <v>42765</v>
      </c>
      <c r="Q216" s="7">
        <f>IF(G216="C",NormalCallSprd(O216,H216,M216,(P216-A216)/365), NormalPutSprd(O216,H216,M216,(P216-A216)/365))</f>
        <v>0.57725919477449628</v>
      </c>
      <c r="R216" s="9">
        <f t="shared" si="7"/>
        <v>2.7408052255036841E-3</v>
      </c>
    </row>
    <row r="217" spans="1:18" x14ac:dyDescent="0.2">
      <c r="A217" s="2">
        <v>42622</v>
      </c>
      <c r="B217" s="1" t="s">
        <v>13</v>
      </c>
      <c r="C217" s="1" t="s">
        <v>14</v>
      </c>
      <c r="D217" s="2">
        <v>42738</v>
      </c>
      <c r="E217" s="2">
        <f t="shared" si="6"/>
        <v>42795</v>
      </c>
      <c r="F217" s="1" t="s">
        <v>15</v>
      </c>
      <c r="G217" s="1" t="s">
        <v>18</v>
      </c>
      <c r="H217" s="1">
        <v>-0.95</v>
      </c>
      <c r="I217" s="1">
        <v>0.04</v>
      </c>
      <c r="J217" s="1">
        <v>0.01</v>
      </c>
      <c r="K217" s="1" t="s">
        <v>35</v>
      </c>
      <c r="L217" s="1">
        <v>2389</v>
      </c>
      <c r="M217" s="1">
        <v>0.81</v>
      </c>
      <c r="N217" s="1">
        <v>-0.48125000000000001</v>
      </c>
      <c r="O217" s="1">
        <f>VLOOKUP(D217,underlying!$D$2:$H$75,5,FALSE)</f>
        <v>-0.41</v>
      </c>
      <c r="P217" s="2">
        <f>VLOOKUP(D217,underlying!$D$2:$L$39,9,FALSE)</f>
        <v>42765</v>
      </c>
      <c r="Q217" s="7">
        <f>IF(G217="C",NormalCallSprd(O217,H217,M217,(P217-A217)/365), NormalPutSprd(O217,H217,M217,(P217-A217)/365))</f>
        <v>3.7259194774496261E-2</v>
      </c>
      <c r="R217" s="9">
        <f t="shared" si="7"/>
        <v>2.7408052255037396E-3</v>
      </c>
    </row>
    <row r="218" spans="1:18" x14ac:dyDescent="0.2">
      <c r="A218" s="2">
        <v>42622</v>
      </c>
      <c r="B218" s="1" t="s">
        <v>13</v>
      </c>
      <c r="C218" s="1" t="s">
        <v>14</v>
      </c>
      <c r="D218" s="2">
        <v>42738</v>
      </c>
      <c r="E218" s="2">
        <f t="shared" si="6"/>
        <v>42795</v>
      </c>
      <c r="F218" s="1" t="s">
        <v>15</v>
      </c>
      <c r="G218" s="1" t="s">
        <v>16</v>
      </c>
      <c r="H218" s="1">
        <v>-0.9</v>
      </c>
      <c r="I218" s="1">
        <v>0.53</v>
      </c>
      <c r="J218" s="1">
        <v>-0.04</v>
      </c>
      <c r="K218" s="1" t="s">
        <v>35</v>
      </c>
      <c r="L218" s="1">
        <v>2389</v>
      </c>
      <c r="M218" s="1">
        <v>0.8</v>
      </c>
      <c r="N218" s="1">
        <v>-0.45145000000000002</v>
      </c>
      <c r="O218" s="1">
        <f>VLOOKUP(D218,underlying!$D$2:$H$75,5,FALSE)</f>
        <v>-0.41</v>
      </c>
      <c r="P218" s="2">
        <f>VLOOKUP(D218,underlying!$D$2:$L$39,9,FALSE)</f>
        <v>42765</v>
      </c>
      <c r="Q218" s="7">
        <f>IF(G218="C",NormalCallSprd(O218,H218,M218,(P218-A218)/365), NormalPutSprd(O218,H218,M218,(P218-A218)/365))</f>
        <v>0.53345121214666813</v>
      </c>
      <c r="R218" s="9">
        <f t="shared" si="7"/>
        <v>3.4512121466681034E-3</v>
      </c>
    </row>
    <row r="219" spans="1:18" x14ac:dyDescent="0.2">
      <c r="A219" s="2">
        <v>42622</v>
      </c>
      <c r="B219" s="1" t="s">
        <v>13</v>
      </c>
      <c r="C219" s="1" t="s">
        <v>14</v>
      </c>
      <c r="D219" s="2">
        <v>42738</v>
      </c>
      <c r="E219" s="2">
        <f t="shared" si="6"/>
        <v>42795</v>
      </c>
      <c r="F219" s="1" t="s">
        <v>15</v>
      </c>
      <c r="G219" s="1" t="s">
        <v>18</v>
      </c>
      <c r="H219" s="1">
        <v>-0.9</v>
      </c>
      <c r="I219" s="1">
        <v>0.04</v>
      </c>
      <c r="J219" s="1">
        <v>0</v>
      </c>
      <c r="K219" s="1" t="s">
        <v>35</v>
      </c>
      <c r="L219" s="1">
        <v>2389</v>
      </c>
      <c r="M219" s="1">
        <v>0.8</v>
      </c>
      <c r="N219" s="1">
        <v>-0.42188999999999999</v>
      </c>
      <c r="O219" s="1">
        <f>VLOOKUP(D219,underlying!$D$2:$H$75,5,FALSE)</f>
        <v>-0.41</v>
      </c>
      <c r="P219" s="2">
        <f>VLOOKUP(D219,underlying!$D$2:$L$39,9,FALSE)</f>
        <v>42765</v>
      </c>
      <c r="Q219" s="7">
        <f>IF(G219="C",NormalCallSprd(O219,H219,M219,(P219-A219)/365), NormalPutSprd(O219,H219,M219,(P219-A219)/365))</f>
        <v>4.3451212146668063E-2</v>
      </c>
      <c r="R219" s="9">
        <f t="shared" si="7"/>
        <v>3.4512121466680618E-3</v>
      </c>
    </row>
    <row r="220" spans="1:18" x14ac:dyDescent="0.2">
      <c r="A220" s="2">
        <v>42622</v>
      </c>
      <c r="B220" s="1" t="s">
        <v>13</v>
      </c>
      <c r="C220" s="1" t="s">
        <v>14</v>
      </c>
      <c r="D220" s="2">
        <v>42738</v>
      </c>
      <c r="E220" s="2">
        <f t="shared" si="6"/>
        <v>42795</v>
      </c>
      <c r="F220" s="1" t="s">
        <v>15</v>
      </c>
      <c r="G220" s="1" t="s">
        <v>16</v>
      </c>
      <c r="H220" s="1">
        <v>-0.85</v>
      </c>
      <c r="I220" s="1">
        <v>0.49</v>
      </c>
      <c r="J220" s="1">
        <v>-0.03</v>
      </c>
      <c r="K220" s="1" t="s">
        <v>35</v>
      </c>
      <c r="L220" s="1">
        <v>2389</v>
      </c>
      <c r="M220" s="1">
        <v>0.79</v>
      </c>
      <c r="N220" s="1">
        <v>-0.39273000000000002</v>
      </c>
      <c r="O220" s="1">
        <f>VLOOKUP(D220,underlying!$D$2:$H$75,5,FALSE)</f>
        <v>-0.41</v>
      </c>
      <c r="P220" s="2">
        <f>VLOOKUP(D220,underlying!$D$2:$L$39,9,FALSE)</f>
        <v>42765</v>
      </c>
      <c r="Q220" s="7">
        <f>IF(G220="C",NormalCallSprd(O220,H220,M220,(P220-A220)/365), NormalPutSprd(O220,H220,M220,(P220-A220)/365))</f>
        <v>0.49059419662930892</v>
      </c>
      <c r="R220" s="9">
        <f t="shared" si="7"/>
        <v>5.9419662930892958E-4</v>
      </c>
    </row>
    <row r="221" spans="1:18" x14ac:dyDescent="0.2">
      <c r="A221" s="2">
        <v>42622</v>
      </c>
      <c r="B221" s="1" t="s">
        <v>13</v>
      </c>
      <c r="C221" s="1" t="s">
        <v>14</v>
      </c>
      <c r="D221" s="2">
        <v>42738</v>
      </c>
      <c r="E221" s="2">
        <f t="shared" si="6"/>
        <v>42795</v>
      </c>
      <c r="F221" s="1" t="s">
        <v>15</v>
      </c>
      <c r="G221" s="1" t="s">
        <v>18</v>
      </c>
      <c r="H221" s="1">
        <v>-0.85</v>
      </c>
      <c r="I221" s="1">
        <v>0.05</v>
      </c>
      <c r="J221" s="1">
        <v>0</v>
      </c>
      <c r="K221" s="1" t="s">
        <v>35</v>
      </c>
      <c r="L221" s="1">
        <v>2389</v>
      </c>
      <c r="M221" s="1">
        <v>0.79</v>
      </c>
      <c r="N221" s="1">
        <v>-0.36626999999999998</v>
      </c>
      <c r="O221" s="1">
        <f>VLOOKUP(D221,underlying!$D$2:$H$75,5,FALSE)</f>
        <v>-0.41</v>
      </c>
      <c r="P221" s="2">
        <f>VLOOKUP(D221,underlying!$D$2:$L$39,9,FALSE)</f>
        <v>42765</v>
      </c>
      <c r="Q221" s="7">
        <f>IF(G221="C",NormalCallSprd(O221,H221,M221,(P221-A221)/365), NormalPutSprd(O221,H221,M221,(P221-A221)/365))</f>
        <v>5.0594196629308912E-2</v>
      </c>
      <c r="R221" s="9">
        <f t="shared" si="7"/>
        <v>5.9419662930890876E-4</v>
      </c>
    </row>
    <row r="222" spans="1:18" x14ac:dyDescent="0.2">
      <c r="A222" s="2">
        <v>42622</v>
      </c>
      <c r="B222" s="1" t="s">
        <v>13</v>
      </c>
      <c r="C222" s="1" t="s">
        <v>14</v>
      </c>
      <c r="D222" s="2">
        <v>42738</v>
      </c>
      <c r="E222" s="2">
        <f t="shared" si="6"/>
        <v>42795</v>
      </c>
      <c r="F222" s="1" t="s">
        <v>15</v>
      </c>
      <c r="G222" s="1" t="s">
        <v>16</v>
      </c>
      <c r="H222" s="1">
        <v>-0.8</v>
      </c>
      <c r="I222" s="1">
        <v>0.45</v>
      </c>
      <c r="J222" s="1">
        <v>-0.03</v>
      </c>
      <c r="K222" s="1" t="s">
        <v>35</v>
      </c>
      <c r="L222" s="1">
        <v>2389</v>
      </c>
      <c r="M222" s="1">
        <v>0.78</v>
      </c>
      <c r="N222" s="1">
        <v>-0.34187000000000001</v>
      </c>
      <c r="O222" s="1">
        <f>VLOOKUP(D222,underlying!$D$2:$H$75,5,FALSE)</f>
        <v>-0.41</v>
      </c>
      <c r="P222" s="2">
        <f>VLOOKUP(D222,underlying!$D$2:$L$39,9,FALSE)</f>
        <v>42765</v>
      </c>
      <c r="Q222" s="7">
        <f>IF(G222="C",NormalCallSprd(O222,H222,M222,(P222-A222)/365), NormalPutSprd(O222,H222,M222,(P222-A222)/365))</f>
        <v>0.44880990592337772</v>
      </c>
      <c r="R222" s="9">
        <f t="shared" si="7"/>
        <v>1.1900940766222945E-3</v>
      </c>
    </row>
    <row r="223" spans="1:18" x14ac:dyDescent="0.2">
      <c r="A223" s="2">
        <v>42622</v>
      </c>
      <c r="B223" s="1" t="s">
        <v>13</v>
      </c>
      <c r="C223" s="1" t="s">
        <v>14</v>
      </c>
      <c r="D223" s="2">
        <v>42738</v>
      </c>
      <c r="E223" s="2">
        <f t="shared" si="6"/>
        <v>42795</v>
      </c>
      <c r="F223" s="1" t="s">
        <v>15</v>
      </c>
      <c r="G223" s="1" t="s">
        <v>18</v>
      </c>
      <c r="H223" s="1">
        <v>-0.8</v>
      </c>
      <c r="I223" s="1">
        <v>0.06</v>
      </c>
      <c r="J223" s="1">
        <v>0.01</v>
      </c>
      <c r="K223" s="1" t="s">
        <v>35</v>
      </c>
      <c r="L223" s="1">
        <v>2389</v>
      </c>
      <c r="M223" s="1">
        <v>0.78</v>
      </c>
      <c r="N223" s="1">
        <v>-0.31635999999999997</v>
      </c>
      <c r="O223" s="1">
        <f>VLOOKUP(D223,underlying!$D$2:$H$75,5,FALSE)</f>
        <v>-0.41</v>
      </c>
      <c r="P223" s="2">
        <f>VLOOKUP(D223,underlying!$D$2:$L$39,9,FALSE)</f>
        <v>42765</v>
      </c>
      <c r="Q223" s="7">
        <f>IF(G223="C",NormalCallSprd(O223,H223,M223,(P223-A223)/365), NormalPutSprd(O223,H223,M223,(P223-A223)/365))</f>
        <v>5.8809905923377641E-2</v>
      </c>
      <c r="R223" s="9">
        <f t="shared" si="7"/>
        <v>1.1900940766223569E-3</v>
      </c>
    </row>
    <row r="224" spans="1:18" x14ac:dyDescent="0.2">
      <c r="A224" s="2">
        <v>42622</v>
      </c>
      <c r="B224" s="1" t="s">
        <v>13</v>
      </c>
      <c r="C224" s="1" t="s">
        <v>14</v>
      </c>
      <c r="D224" s="2">
        <v>42738</v>
      </c>
      <c r="E224" s="2">
        <f t="shared" si="6"/>
        <v>42795</v>
      </c>
      <c r="F224" s="1" t="s">
        <v>15</v>
      </c>
      <c r="G224" s="1" t="s">
        <v>16</v>
      </c>
      <c r="H224" s="1">
        <v>-0.75</v>
      </c>
      <c r="I224" s="1">
        <v>0.41</v>
      </c>
      <c r="J224" s="1">
        <v>-0.03</v>
      </c>
      <c r="K224" s="1" t="s">
        <v>35</v>
      </c>
      <c r="L224" s="1">
        <v>2389</v>
      </c>
      <c r="M224" s="1">
        <v>0.77</v>
      </c>
      <c r="N224" s="1">
        <v>-0.29111999999999999</v>
      </c>
      <c r="O224" s="1">
        <f>VLOOKUP(D224,underlying!$D$2:$H$75,5,FALSE)</f>
        <v>-0.41</v>
      </c>
      <c r="P224" s="2">
        <f>VLOOKUP(D224,underlying!$D$2:$L$39,9,FALSE)</f>
        <v>42765</v>
      </c>
      <c r="Q224" s="7">
        <f>IF(G224="C",NormalCallSprd(O224,H224,M224,(P224-A224)/365), NormalPutSprd(O224,H224,M224,(P224-A224)/365))</f>
        <v>0.4082289526597534</v>
      </c>
      <c r="R224" s="9">
        <f t="shared" si="7"/>
        <v>1.7710473402465787E-3</v>
      </c>
    </row>
    <row r="225" spans="1:18" x14ac:dyDescent="0.2">
      <c r="A225" s="2">
        <v>42622</v>
      </c>
      <c r="B225" s="1" t="s">
        <v>13</v>
      </c>
      <c r="C225" s="1" t="s">
        <v>14</v>
      </c>
      <c r="D225" s="2">
        <v>42738</v>
      </c>
      <c r="E225" s="2">
        <f t="shared" si="6"/>
        <v>42795</v>
      </c>
      <c r="F225" s="1" t="s">
        <v>15</v>
      </c>
      <c r="G225" s="1" t="s">
        <v>18</v>
      </c>
      <c r="H225" s="1">
        <v>-0.75</v>
      </c>
      <c r="I225" s="1">
        <v>7.0000000000000007E-2</v>
      </c>
      <c r="J225" s="1">
        <v>0.01</v>
      </c>
      <c r="K225" s="1" t="s">
        <v>35</v>
      </c>
      <c r="L225" s="1">
        <v>2389</v>
      </c>
      <c r="M225" s="1">
        <v>0.77</v>
      </c>
      <c r="N225" s="1">
        <v>-0.27012999999999998</v>
      </c>
      <c r="O225" s="1">
        <f>VLOOKUP(D225,underlying!$D$2:$H$75,5,FALSE)</f>
        <v>-0.41</v>
      </c>
      <c r="P225" s="2">
        <f>VLOOKUP(D225,underlying!$D$2:$L$39,9,FALSE)</f>
        <v>42765</v>
      </c>
      <c r="Q225" s="7">
        <f>IF(G225="C",NormalCallSprd(O225,H225,M225,(P225-A225)/365), NormalPutSprd(O225,H225,M225,(P225-A225)/365))</f>
        <v>6.8228952659753414E-2</v>
      </c>
      <c r="R225" s="9">
        <f t="shared" si="7"/>
        <v>1.7710473402465926E-3</v>
      </c>
    </row>
    <row r="226" spans="1:18" x14ac:dyDescent="0.2">
      <c r="A226" s="2">
        <v>42622</v>
      </c>
      <c r="B226" s="1" t="s">
        <v>13</v>
      </c>
      <c r="C226" s="1" t="s">
        <v>14</v>
      </c>
      <c r="D226" s="2">
        <v>42738</v>
      </c>
      <c r="E226" s="2">
        <f t="shared" si="6"/>
        <v>42795</v>
      </c>
      <c r="F226" s="1" t="s">
        <v>15</v>
      </c>
      <c r="G226" s="1" t="s">
        <v>16</v>
      </c>
      <c r="H226" s="1">
        <v>-0.7</v>
      </c>
      <c r="I226" s="1">
        <v>0.37</v>
      </c>
      <c r="J226" s="1">
        <v>-0.03</v>
      </c>
      <c r="K226" s="1" t="s">
        <v>35</v>
      </c>
      <c r="L226" s="1">
        <v>2389</v>
      </c>
      <c r="M226" s="1">
        <v>0.77</v>
      </c>
      <c r="N226" s="1">
        <v>-0.248</v>
      </c>
      <c r="O226" s="1">
        <f>VLOOKUP(D226,underlying!$D$2:$H$75,5,FALSE)</f>
        <v>-0.41</v>
      </c>
      <c r="P226" s="2">
        <f>VLOOKUP(D226,underlying!$D$2:$L$39,9,FALSE)</f>
        <v>42765</v>
      </c>
      <c r="Q226" s="7">
        <f>IF(G226="C",NormalCallSprd(O226,H226,M226,(P226-A226)/365), NormalPutSprd(O226,H226,M226,(P226-A226)/365))</f>
        <v>0.37106824624538703</v>
      </c>
      <c r="R226" s="9">
        <f t="shared" si="7"/>
        <v>1.0682462453870389E-3</v>
      </c>
    </row>
    <row r="227" spans="1:18" x14ac:dyDescent="0.2">
      <c r="A227" s="2">
        <v>42622</v>
      </c>
      <c r="B227" s="1" t="s">
        <v>13</v>
      </c>
      <c r="C227" s="1" t="s">
        <v>14</v>
      </c>
      <c r="D227" s="2">
        <v>42738</v>
      </c>
      <c r="E227" s="2">
        <f t="shared" si="6"/>
        <v>42795</v>
      </c>
      <c r="F227" s="1" t="s">
        <v>15</v>
      </c>
      <c r="G227" s="1" t="s">
        <v>18</v>
      </c>
      <c r="H227" s="1">
        <v>-0.7</v>
      </c>
      <c r="I227" s="1">
        <v>0.08</v>
      </c>
      <c r="J227" s="1">
        <v>0.01</v>
      </c>
      <c r="K227" s="1" t="s">
        <v>35</v>
      </c>
      <c r="L227" s="1">
        <v>2389</v>
      </c>
      <c r="M227" s="1">
        <v>0.77</v>
      </c>
      <c r="N227" s="1">
        <v>-0.22971</v>
      </c>
      <c r="O227" s="1">
        <f>VLOOKUP(D227,underlying!$D$2:$H$75,5,FALSE)</f>
        <v>-0.41</v>
      </c>
      <c r="P227" s="2">
        <f>VLOOKUP(D227,underlying!$D$2:$L$39,9,FALSE)</f>
        <v>42765</v>
      </c>
      <c r="Q227" s="7">
        <f>IF(G227="C",NormalCallSprd(O227,H227,M227,(P227-A227)/365), NormalPutSprd(O227,H227,M227,(P227-A227)/365))</f>
        <v>8.1068246245387041E-2</v>
      </c>
      <c r="R227" s="9">
        <f t="shared" si="7"/>
        <v>1.0682462453870389E-3</v>
      </c>
    </row>
    <row r="228" spans="1:18" x14ac:dyDescent="0.2">
      <c r="A228" s="2">
        <v>42622</v>
      </c>
      <c r="B228" s="1" t="s">
        <v>13</v>
      </c>
      <c r="C228" s="1" t="s">
        <v>14</v>
      </c>
      <c r="D228" s="2">
        <v>42738</v>
      </c>
      <c r="E228" s="2">
        <f t="shared" si="6"/>
        <v>42795</v>
      </c>
      <c r="F228" s="1" t="s">
        <v>15</v>
      </c>
      <c r="G228" s="1" t="s">
        <v>16</v>
      </c>
      <c r="H228" s="1">
        <v>-0.65</v>
      </c>
      <c r="I228" s="1">
        <v>0.33</v>
      </c>
      <c r="J228" s="1">
        <v>-0.03</v>
      </c>
      <c r="K228" s="1" t="s">
        <v>35</v>
      </c>
      <c r="L228" s="1">
        <v>2389</v>
      </c>
      <c r="M228" s="1">
        <v>0.76</v>
      </c>
      <c r="N228" s="1">
        <v>-0.13214000000000001</v>
      </c>
      <c r="O228" s="1">
        <f>VLOOKUP(D228,underlying!$D$2:$H$75,5,FALSE)</f>
        <v>-0.41</v>
      </c>
      <c r="P228" s="2">
        <f>VLOOKUP(D228,underlying!$D$2:$L$39,9,FALSE)</f>
        <v>42765</v>
      </c>
      <c r="Q228" s="7">
        <f>IF(G228="C",NormalCallSprd(O228,H228,M228,(P228-A228)/365), NormalPutSprd(O228,H228,M228,(P228-A228)/365))</f>
        <v>0.33343095595647382</v>
      </c>
      <c r="R228" s="9">
        <f t="shared" si="7"/>
        <v>3.4309559564738024E-3</v>
      </c>
    </row>
    <row r="229" spans="1:18" x14ac:dyDescent="0.2">
      <c r="A229" s="2">
        <v>42622</v>
      </c>
      <c r="B229" s="1" t="s">
        <v>13</v>
      </c>
      <c r="C229" s="1" t="s">
        <v>14</v>
      </c>
      <c r="D229" s="2">
        <v>42738</v>
      </c>
      <c r="E229" s="2">
        <f t="shared" si="6"/>
        <v>42795</v>
      </c>
      <c r="F229" s="1" t="s">
        <v>15</v>
      </c>
      <c r="G229" s="1" t="s">
        <v>18</v>
      </c>
      <c r="H229" s="1">
        <v>-0.65</v>
      </c>
      <c r="I229" s="1">
        <v>0.09</v>
      </c>
      <c r="J229" s="1">
        <v>0.01</v>
      </c>
      <c r="K229" s="1" t="s">
        <v>35</v>
      </c>
      <c r="L229" s="1">
        <v>2389</v>
      </c>
      <c r="M229" s="1">
        <v>0.76</v>
      </c>
      <c r="N229" s="1">
        <v>0</v>
      </c>
      <c r="O229" s="1">
        <f>VLOOKUP(D229,underlying!$D$2:$H$75,5,FALSE)</f>
        <v>-0.41</v>
      </c>
      <c r="P229" s="2">
        <f>VLOOKUP(D229,underlying!$D$2:$L$39,9,FALSE)</f>
        <v>42765</v>
      </c>
      <c r="Q229" s="7">
        <f>IF(G229="C",NormalCallSprd(O229,H229,M229,(P229-A229)/365), NormalPutSprd(O229,H229,M229,(P229-A229)/365))</f>
        <v>9.3430955956473771E-2</v>
      </c>
      <c r="R229" s="9">
        <f t="shared" si="7"/>
        <v>3.4309559564737746E-3</v>
      </c>
    </row>
    <row r="230" spans="1:18" x14ac:dyDescent="0.2">
      <c r="A230" s="2">
        <v>42622</v>
      </c>
      <c r="B230" s="1" t="s">
        <v>13</v>
      </c>
      <c r="C230" s="1" t="s">
        <v>14</v>
      </c>
      <c r="D230" s="2">
        <v>42738</v>
      </c>
      <c r="E230" s="2">
        <f t="shared" si="6"/>
        <v>42795</v>
      </c>
      <c r="F230" s="1" t="s">
        <v>15</v>
      </c>
      <c r="G230" s="1" t="s">
        <v>16</v>
      </c>
      <c r="H230" s="1">
        <v>-0.6</v>
      </c>
      <c r="I230" s="1">
        <v>0.3</v>
      </c>
      <c r="J230" s="1">
        <v>-0.03</v>
      </c>
      <c r="K230" s="1" t="s">
        <v>35</v>
      </c>
      <c r="L230" s="1">
        <v>2389</v>
      </c>
      <c r="M230" s="1">
        <v>0.75</v>
      </c>
      <c r="N230" s="1">
        <v>-2.852E-2</v>
      </c>
      <c r="O230" s="1">
        <f>VLOOKUP(D230,underlying!$D$2:$H$75,5,FALSE)</f>
        <v>-0.41</v>
      </c>
      <c r="P230" s="2">
        <f>VLOOKUP(D230,underlying!$D$2:$L$39,9,FALSE)</f>
        <v>42765</v>
      </c>
      <c r="Q230" s="7">
        <f>IF(G230="C",NormalCallSprd(O230,H230,M230,(P230-A230)/365), NormalPutSprd(O230,H230,M230,(P230-A230)/365))</f>
        <v>0.29741390014102603</v>
      </c>
      <c r="R230" s="9">
        <f t="shared" si="7"/>
        <v>2.5860998589739559E-3</v>
      </c>
    </row>
    <row r="231" spans="1:18" x14ac:dyDescent="0.2">
      <c r="A231" s="2">
        <v>42622</v>
      </c>
      <c r="B231" s="1" t="s">
        <v>13</v>
      </c>
      <c r="C231" s="1" t="s">
        <v>14</v>
      </c>
      <c r="D231" s="2">
        <v>42738</v>
      </c>
      <c r="E231" s="2">
        <f t="shared" si="6"/>
        <v>42795</v>
      </c>
      <c r="F231" s="1" t="s">
        <v>15</v>
      </c>
      <c r="G231" s="1" t="s">
        <v>18</v>
      </c>
      <c r="H231" s="1">
        <v>-0.6</v>
      </c>
      <c r="I231" s="1">
        <v>0.11</v>
      </c>
      <c r="J231" s="1">
        <v>0.01</v>
      </c>
      <c r="K231" s="1" t="s">
        <v>35</v>
      </c>
      <c r="L231" s="1">
        <v>2389</v>
      </c>
      <c r="M231" s="1">
        <v>0.75</v>
      </c>
      <c r="N231" s="1">
        <v>-8.2900000000000005E-3</v>
      </c>
      <c r="O231" s="1">
        <f>VLOOKUP(D231,underlying!$D$2:$H$75,5,FALSE)</f>
        <v>-0.41</v>
      </c>
      <c r="P231" s="2">
        <f>VLOOKUP(D231,underlying!$D$2:$L$39,9,FALSE)</f>
        <v>42765</v>
      </c>
      <c r="Q231" s="7">
        <f>IF(G231="C",NormalCallSprd(O231,H231,M231,(P231-A231)/365), NormalPutSprd(O231,H231,M231,(P231-A231)/365))</f>
        <v>0.10741390014102603</v>
      </c>
      <c r="R231" s="9">
        <f t="shared" si="7"/>
        <v>2.5860998589739698E-3</v>
      </c>
    </row>
    <row r="232" spans="1:18" x14ac:dyDescent="0.2">
      <c r="A232" s="2">
        <v>42622</v>
      </c>
      <c r="B232" s="1" t="s">
        <v>13</v>
      </c>
      <c r="C232" s="1" t="s">
        <v>14</v>
      </c>
      <c r="D232" s="2">
        <v>42738</v>
      </c>
      <c r="E232" s="2">
        <f t="shared" si="6"/>
        <v>42795</v>
      </c>
      <c r="F232" s="1" t="s">
        <v>15</v>
      </c>
      <c r="G232" s="1" t="s">
        <v>16</v>
      </c>
      <c r="H232" s="1">
        <v>-0.55000000000000004</v>
      </c>
      <c r="I232" s="1">
        <v>0.26</v>
      </c>
      <c r="J232" s="1">
        <v>-0.03</v>
      </c>
      <c r="K232" s="1" t="s">
        <v>35</v>
      </c>
      <c r="L232" s="1">
        <v>2389</v>
      </c>
      <c r="M232" s="1">
        <v>0.74</v>
      </c>
      <c r="N232" s="1">
        <v>0.45179999999999998</v>
      </c>
      <c r="O232" s="1">
        <f>VLOOKUP(D232,underlying!$D$2:$H$75,5,FALSE)</f>
        <v>-0.41</v>
      </c>
      <c r="P232" s="2">
        <f>VLOOKUP(D232,underlying!$D$2:$L$39,9,FALSE)</f>
        <v>42765</v>
      </c>
      <c r="Q232" s="7">
        <f>IF(G232="C",NormalCallSprd(O232,H232,M232,(P232-A232)/365), NormalPutSprd(O232,H232,M232,(P232-A232)/365))</f>
        <v>0.26316068368985929</v>
      </c>
      <c r="R232" s="9">
        <f t="shared" si="7"/>
        <v>3.1606836898592783E-3</v>
      </c>
    </row>
    <row r="233" spans="1:18" x14ac:dyDescent="0.2">
      <c r="A233" s="2">
        <v>42622</v>
      </c>
      <c r="B233" s="1" t="s">
        <v>13</v>
      </c>
      <c r="C233" s="1" t="s">
        <v>14</v>
      </c>
      <c r="D233" s="2">
        <v>42738</v>
      </c>
      <c r="E233" s="2">
        <f t="shared" si="6"/>
        <v>42795</v>
      </c>
      <c r="F233" s="1" t="s">
        <v>15</v>
      </c>
      <c r="G233" s="1" t="s">
        <v>18</v>
      </c>
      <c r="H233" s="1">
        <v>-0.55000000000000004</v>
      </c>
      <c r="I233" s="1">
        <v>0.12</v>
      </c>
      <c r="J233" s="1">
        <v>0.01</v>
      </c>
      <c r="K233" s="1" t="s">
        <v>35</v>
      </c>
      <c r="L233" s="1">
        <v>2389</v>
      </c>
      <c r="M233" s="1">
        <v>0.74</v>
      </c>
      <c r="N233" s="1">
        <v>0.47833999999999999</v>
      </c>
      <c r="O233" s="1">
        <f>VLOOKUP(D233,underlying!$D$2:$H$75,5,FALSE)</f>
        <v>-0.41</v>
      </c>
      <c r="P233" s="2">
        <f>VLOOKUP(D233,underlying!$D$2:$L$39,9,FALSE)</f>
        <v>42765</v>
      </c>
      <c r="Q233" s="7">
        <f>IF(G233="C",NormalCallSprd(O233,H233,M233,(P233-A233)/365), NormalPutSprd(O233,H233,M233,(P233-A233)/365))</f>
        <v>0.1231606836898592</v>
      </c>
      <c r="R233" s="9">
        <f t="shared" si="7"/>
        <v>3.1606836898592089E-3</v>
      </c>
    </row>
    <row r="234" spans="1:18" x14ac:dyDescent="0.2">
      <c r="A234" s="2">
        <v>42622</v>
      </c>
      <c r="B234" s="1" t="s">
        <v>13</v>
      </c>
      <c r="C234" s="1" t="s">
        <v>14</v>
      </c>
      <c r="D234" s="2">
        <v>42738</v>
      </c>
      <c r="E234" s="2">
        <f t="shared" si="6"/>
        <v>42795</v>
      </c>
      <c r="F234" s="1" t="s">
        <v>15</v>
      </c>
      <c r="G234" s="1" t="s">
        <v>16</v>
      </c>
      <c r="H234" s="1">
        <v>-0.5</v>
      </c>
      <c r="I234" s="1">
        <v>0.23</v>
      </c>
      <c r="J234" s="1">
        <v>-0.03</v>
      </c>
      <c r="K234" s="1" t="s">
        <v>35</v>
      </c>
      <c r="L234" s="1">
        <v>2389</v>
      </c>
      <c r="M234" s="1">
        <v>0.74</v>
      </c>
      <c r="N234" s="1">
        <v>0.50492999999999999</v>
      </c>
      <c r="O234" s="1">
        <f>VLOOKUP(D234,underlying!$D$2:$H$75,5,FALSE)</f>
        <v>-0.41</v>
      </c>
      <c r="P234" s="2">
        <f>VLOOKUP(D234,underlying!$D$2:$L$39,9,FALSE)</f>
        <v>42765</v>
      </c>
      <c r="Q234" s="7">
        <f>IF(G234="C",NormalCallSprd(O234,H234,M234,(P234-A234)/365), NormalPutSprd(O234,H234,M234,(P234-A234)/365))</f>
        <v>0.23326092770549064</v>
      </c>
      <c r="R234" s="9">
        <f t="shared" si="7"/>
        <v>3.2609277054906349E-3</v>
      </c>
    </row>
    <row r="235" spans="1:18" x14ac:dyDescent="0.2">
      <c r="A235" s="2">
        <v>42622</v>
      </c>
      <c r="B235" s="1" t="s">
        <v>13</v>
      </c>
      <c r="C235" s="1" t="s">
        <v>14</v>
      </c>
      <c r="D235" s="2">
        <v>42738</v>
      </c>
      <c r="E235" s="2">
        <f t="shared" si="6"/>
        <v>42795</v>
      </c>
      <c r="F235" s="1" t="s">
        <v>15</v>
      </c>
      <c r="G235" s="1" t="s">
        <v>18</v>
      </c>
      <c r="H235" s="1">
        <v>-0.5</v>
      </c>
      <c r="I235" s="1">
        <v>0.14000000000000001</v>
      </c>
      <c r="J235" s="1">
        <v>0.01</v>
      </c>
      <c r="K235" s="1" t="s">
        <v>35</v>
      </c>
      <c r="L235" s="1">
        <v>2389</v>
      </c>
      <c r="M235" s="1">
        <v>0.74</v>
      </c>
      <c r="N235" s="1">
        <v>0.53144999999999998</v>
      </c>
      <c r="O235" s="1">
        <f>VLOOKUP(D235,underlying!$D$2:$H$75,5,FALSE)</f>
        <v>-0.41</v>
      </c>
      <c r="P235" s="2">
        <f>VLOOKUP(D235,underlying!$D$2:$L$39,9,FALSE)</f>
        <v>42765</v>
      </c>
      <c r="Q235" s="7">
        <f>IF(G235="C",NormalCallSprd(O235,H235,M235,(P235-A235)/365), NormalPutSprd(O235,H235,M235,(P235-A235)/365))</f>
        <v>0.14326092770549062</v>
      </c>
      <c r="R235" s="9">
        <f t="shared" si="7"/>
        <v>3.2609277054906072E-3</v>
      </c>
    </row>
    <row r="236" spans="1:18" x14ac:dyDescent="0.2">
      <c r="A236" s="2">
        <v>42622</v>
      </c>
      <c r="B236" s="1" t="s">
        <v>13</v>
      </c>
      <c r="C236" s="1" t="s">
        <v>14</v>
      </c>
      <c r="D236" s="2">
        <v>42738</v>
      </c>
      <c r="E236" s="2">
        <f t="shared" si="6"/>
        <v>42795</v>
      </c>
      <c r="F236" s="1" t="s">
        <v>15</v>
      </c>
      <c r="G236" s="1" t="s">
        <v>16</v>
      </c>
      <c r="H236" s="1">
        <v>-0.45</v>
      </c>
      <c r="I236" s="1">
        <v>0.2</v>
      </c>
      <c r="J236" s="1">
        <v>-0.03</v>
      </c>
      <c r="K236" s="1" t="s">
        <v>35</v>
      </c>
      <c r="L236" s="1">
        <v>2389</v>
      </c>
      <c r="M236" s="1">
        <v>0.73</v>
      </c>
      <c r="N236" s="1">
        <v>0.55776999999999999</v>
      </c>
      <c r="O236" s="1">
        <f>VLOOKUP(D236,underlying!$D$2:$H$75,5,FALSE)</f>
        <v>-0.41</v>
      </c>
      <c r="P236" s="2">
        <f>VLOOKUP(D236,underlying!$D$2:$L$39,9,FALSE)</f>
        <v>42765</v>
      </c>
      <c r="Q236" s="7">
        <f>IF(G236="C",NormalCallSprd(O236,H236,M236,(P236-A236)/365), NormalPutSprd(O236,H236,M236,(P236-A236)/365))</f>
        <v>0.20298453946092987</v>
      </c>
      <c r="R236" s="9">
        <f t="shared" si="7"/>
        <v>2.9845394609298581E-3</v>
      </c>
    </row>
    <row r="237" spans="1:18" x14ac:dyDescent="0.2">
      <c r="A237" s="2">
        <v>42622</v>
      </c>
      <c r="B237" s="1" t="s">
        <v>13</v>
      </c>
      <c r="C237" s="1" t="s">
        <v>14</v>
      </c>
      <c r="D237" s="2">
        <v>42738</v>
      </c>
      <c r="E237" s="2">
        <f t="shared" si="6"/>
        <v>42795</v>
      </c>
      <c r="F237" s="1" t="s">
        <v>15</v>
      </c>
      <c r="G237" s="1" t="s">
        <v>18</v>
      </c>
      <c r="H237" s="1">
        <v>-0.45</v>
      </c>
      <c r="I237" s="1">
        <v>0.16</v>
      </c>
      <c r="J237" s="1">
        <v>0.01</v>
      </c>
      <c r="K237" s="1" t="s">
        <v>35</v>
      </c>
      <c r="L237" s="1">
        <v>2389</v>
      </c>
      <c r="M237" s="1">
        <v>0.73</v>
      </c>
      <c r="N237" s="1">
        <v>0.58204</v>
      </c>
      <c r="O237" s="1">
        <f>VLOOKUP(D237,underlying!$D$2:$H$75,5,FALSE)</f>
        <v>-0.41</v>
      </c>
      <c r="P237" s="2">
        <f>VLOOKUP(D237,underlying!$D$2:$L$39,9,FALSE)</f>
        <v>42765</v>
      </c>
      <c r="Q237" s="7">
        <f>IF(G237="C",NormalCallSprd(O237,H237,M237,(P237-A237)/365), NormalPutSprd(O237,H237,M237,(P237-A237)/365))</f>
        <v>0.16298453946092983</v>
      </c>
      <c r="R237" s="9">
        <f t="shared" si="7"/>
        <v>2.9845394609298304E-3</v>
      </c>
    </row>
    <row r="238" spans="1:18" x14ac:dyDescent="0.2">
      <c r="A238" s="2">
        <v>42622</v>
      </c>
      <c r="B238" s="1" t="s">
        <v>13</v>
      </c>
      <c r="C238" s="1" t="s">
        <v>14</v>
      </c>
      <c r="D238" s="2">
        <v>42738</v>
      </c>
      <c r="E238" s="2">
        <f t="shared" si="6"/>
        <v>42795</v>
      </c>
      <c r="F238" s="1" t="s">
        <v>15</v>
      </c>
      <c r="G238" s="1" t="s">
        <v>16</v>
      </c>
      <c r="H238" s="1">
        <v>-0.4</v>
      </c>
      <c r="I238" s="1">
        <v>0.17</v>
      </c>
      <c r="J238" s="1">
        <v>-0.03</v>
      </c>
      <c r="K238" s="1" t="s">
        <v>35</v>
      </c>
      <c r="L238" s="1">
        <v>2389</v>
      </c>
      <c r="M238" s="1">
        <v>0.72</v>
      </c>
      <c r="N238" s="1">
        <v>0.60455000000000003</v>
      </c>
      <c r="O238" s="1">
        <f>VLOOKUP(D238,underlying!$D$2:$H$75,5,FALSE)</f>
        <v>-0.41</v>
      </c>
      <c r="P238" s="2">
        <f>VLOOKUP(D238,underlying!$D$2:$L$39,9,FALSE)</f>
        <v>42765</v>
      </c>
      <c r="Q238" s="7">
        <f>IF(G238="C",NormalCallSprd(O238,H238,M238,(P238-A238)/365), NormalPutSprd(O238,H238,M238,(P238-A238)/365))</f>
        <v>0.1748336868607083</v>
      </c>
      <c r="R238" s="9">
        <f t="shared" si="7"/>
        <v>4.8336868607082861E-3</v>
      </c>
    </row>
    <row r="239" spans="1:18" x14ac:dyDescent="0.2">
      <c r="A239" s="2">
        <v>42622</v>
      </c>
      <c r="B239" s="1" t="s">
        <v>13</v>
      </c>
      <c r="C239" s="1" t="s">
        <v>14</v>
      </c>
      <c r="D239" s="2">
        <v>42738</v>
      </c>
      <c r="E239" s="2">
        <f t="shared" si="6"/>
        <v>42795</v>
      </c>
      <c r="F239" s="1" t="s">
        <v>15</v>
      </c>
      <c r="G239" s="1" t="s">
        <v>18</v>
      </c>
      <c r="H239" s="1">
        <v>-0.4</v>
      </c>
      <c r="I239" s="1">
        <v>0.18</v>
      </c>
      <c r="J239" s="1">
        <v>0.01</v>
      </c>
      <c r="K239" s="1" t="s">
        <v>35</v>
      </c>
      <c r="L239" s="1">
        <v>2389</v>
      </c>
      <c r="M239" s="1">
        <v>0.72</v>
      </c>
      <c r="N239" s="1">
        <v>0.62568999999999997</v>
      </c>
      <c r="O239" s="1">
        <f>VLOOKUP(D239,underlying!$D$2:$H$75,5,FALSE)</f>
        <v>-0.41</v>
      </c>
      <c r="P239" s="2">
        <f>VLOOKUP(D239,underlying!$D$2:$L$39,9,FALSE)</f>
        <v>42765</v>
      </c>
      <c r="Q239" s="7">
        <f>IF(G239="C",NormalCallSprd(O239,H239,M239,(P239-A239)/365), NormalPutSprd(O239,H239,M239,(P239-A239)/365))</f>
        <v>0.18483368686070825</v>
      </c>
      <c r="R239" s="9">
        <f t="shared" si="7"/>
        <v>4.8336868607082584E-3</v>
      </c>
    </row>
    <row r="240" spans="1:18" x14ac:dyDescent="0.2">
      <c r="A240" s="2">
        <v>42622</v>
      </c>
      <c r="B240" s="1" t="s">
        <v>13</v>
      </c>
      <c r="C240" s="1" t="s">
        <v>14</v>
      </c>
      <c r="D240" s="2">
        <v>42738</v>
      </c>
      <c r="E240" s="2">
        <f t="shared" si="6"/>
        <v>42795</v>
      </c>
      <c r="F240" s="1" t="s">
        <v>15</v>
      </c>
      <c r="G240" s="1" t="s">
        <v>16</v>
      </c>
      <c r="H240" s="1">
        <v>-0.35</v>
      </c>
      <c r="I240" s="1">
        <v>0.15</v>
      </c>
      <c r="J240" s="1">
        <v>-0.02</v>
      </c>
      <c r="K240" s="1" t="s">
        <v>35</v>
      </c>
      <c r="L240" s="1">
        <v>2389</v>
      </c>
      <c r="M240" s="1">
        <v>0.72</v>
      </c>
      <c r="N240" s="1">
        <v>0.64812999999999998</v>
      </c>
      <c r="O240" s="1">
        <f>VLOOKUP(D240,underlying!$D$2:$H$75,5,FALSE)</f>
        <v>-0.41</v>
      </c>
      <c r="P240" s="2">
        <f>VLOOKUP(D240,underlying!$D$2:$L$39,9,FALSE)</f>
        <v>42765</v>
      </c>
      <c r="Q240" s="7">
        <f>IF(G240="C",NormalCallSprd(O240,H240,M240,(P240-A240)/365), NormalPutSprd(O240,H240,M240,(P240-A240)/365))</f>
        <v>0.15138049119200803</v>
      </c>
      <c r="R240" s="9">
        <f t="shared" si="7"/>
        <v>1.3804911920080321E-3</v>
      </c>
    </row>
    <row r="241" spans="1:18" x14ac:dyDescent="0.2">
      <c r="A241" s="2">
        <v>42622</v>
      </c>
      <c r="B241" s="1" t="s">
        <v>13</v>
      </c>
      <c r="C241" s="1" t="s">
        <v>14</v>
      </c>
      <c r="D241" s="2">
        <v>42738</v>
      </c>
      <c r="E241" s="2">
        <f t="shared" si="6"/>
        <v>42795</v>
      </c>
      <c r="F241" s="1" t="s">
        <v>15</v>
      </c>
      <c r="G241" s="1" t="s">
        <v>18</v>
      </c>
      <c r="H241" s="1">
        <v>-0.35</v>
      </c>
      <c r="I241" s="1">
        <v>0.21</v>
      </c>
      <c r="J241" s="1">
        <v>0.02</v>
      </c>
      <c r="K241" s="1" t="s">
        <v>35</v>
      </c>
      <c r="L241" s="1">
        <v>2389</v>
      </c>
      <c r="M241" s="1">
        <v>0.72</v>
      </c>
      <c r="N241" s="1">
        <v>0.66759999999999997</v>
      </c>
      <c r="O241" s="1">
        <f>VLOOKUP(D241,underlying!$D$2:$H$75,5,FALSE)</f>
        <v>-0.41</v>
      </c>
      <c r="P241" s="2">
        <f>VLOOKUP(D241,underlying!$D$2:$L$39,9,FALSE)</f>
        <v>42765</v>
      </c>
      <c r="Q241" s="7">
        <f>IF(G241="C",NormalCallSprd(O241,H241,M241,(P241-A241)/365), NormalPutSprd(O241,H241,M241,(P241-A241)/365))</f>
        <v>0.21138049119200802</v>
      </c>
      <c r="R241" s="9">
        <f t="shared" si="7"/>
        <v>1.3804911920080321E-3</v>
      </c>
    </row>
    <row r="242" spans="1:18" x14ac:dyDescent="0.2">
      <c r="A242" s="2">
        <v>42622</v>
      </c>
      <c r="B242" s="1" t="s">
        <v>13</v>
      </c>
      <c r="C242" s="1" t="s">
        <v>14</v>
      </c>
      <c r="D242" s="2">
        <v>42738</v>
      </c>
      <c r="E242" s="2">
        <f t="shared" si="6"/>
        <v>42795</v>
      </c>
      <c r="F242" s="1" t="s">
        <v>15</v>
      </c>
      <c r="G242" s="1" t="s">
        <v>16</v>
      </c>
      <c r="H242" s="1">
        <v>-0.3</v>
      </c>
      <c r="I242" s="1">
        <v>0.13</v>
      </c>
      <c r="J242" s="1">
        <v>-0.02</v>
      </c>
      <c r="K242" s="1" t="s">
        <v>35</v>
      </c>
      <c r="L242" s="1">
        <v>2389</v>
      </c>
      <c r="M242" s="1">
        <v>0.71</v>
      </c>
      <c r="N242" s="1">
        <v>0.68516999999999995</v>
      </c>
      <c r="O242" s="1">
        <f>VLOOKUP(D242,underlying!$D$2:$H$75,5,FALSE)</f>
        <v>-0.41</v>
      </c>
      <c r="P242" s="2">
        <f>VLOOKUP(D242,underlying!$D$2:$L$39,9,FALSE)</f>
        <v>42765</v>
      </c>
      <c r="Q242" s="7">
        <f>IF(G242="C",NormalCallSprd(O242,H242,M242,(P242-A242)/365), NormalPutSprd(O242,H242,M242,(P242-A242)/365))</f>
        <v>0.12769586336924371</v>
      </c>
      <c r="R242" s="9">
        <f t="shared" si="7"/>
        <v>2.3041366307562927E-3</v>
      </c>
    </row>
    <row r="243" spans="1:18" x14ac:dyDescent="0.2">
      <c r="A243" s="2">
        <v>42622</v>
      </c>
      <c r="B243" s="1" t="s">
        <v>13</v>
      </c>
      <c r="C243" s="1" t="s">
        <v>14</v>
      </c>
      <c r="D243" s="2">
        <v>42738</v>
      </c>
      <c r="E243" s="2">
        <f t="shared" si="6"/>
        <v>42795</v>
      </c>
      <c r="F243" s="1" t="s">
        <v>15</v>
      </c>
      <c r="G243" s="1" t="s">
        <v>18</v>
      </c>
      <c r="H243" s="1">
        <v>-0.3</v>
      </c>
      <c r="I243" s="1">
        <v>0.24</v>
      </c>
      <c r="J243" s="1">
        <v>0.02</v>
      </c>
      <c r="K243" s="1" t="s">
        <v>35</v>
      </c>
      <c r="L243" s="1">
        <v>2389</v>
      </c>
      <c r="M243" s="1">
        <v>0.71</v>
      </c>
      <c r="N243" s="1">
        <v>0.70479000000000003</v>
      </c>
      <c r="O243" s="1">
        <f>VLOOKUP(D243,underlying!$D$2:$H$75,5,FALSE)</f>
        <v>-0.41</v>
      </c>
      <c r="P243" s="2">
        <f>VLOOKUP(D243,underlying!$D$2:$L$39,9,FALSE)</f>
        <v>42765</v>
      </c>
      <c r="Q243" s="7">
        <f>IF(G243="C",NormalCallSprd(O243,H243,M243,(P243-A243)/365), NormalPutSprd(O243,H243,M243,(P243-A243)/365))</f>
        <v>0.2376958633692437</v>
      </c>
      <c r="R243" s="9">
        <f t="shared" si="7"/>
        <v>2.3041366307562927E-3</v>
      </c>
    </row>
    <row r="244" spans="1:18" x14ac:dyDescent="0.2">
      <c r="A244" s="2">
        <v>42622</v>
      </c>
      <c r="B244" s="1" t="s">
        <v>13</v>
      </c>
      <c r="C244" s="1" t="s">
        <v>14</v>
      </c>
      <c r="D244" s="2">
        <v>42738</v>
      </c>
      <c r="E244" s="2">
        <f t="shared" si="6"/>
        <v>42795</v>
      </c>
      <c r="F244" s="1" t="s">
        <v>15</v>
      </c>
      <c r="G244" s="1" t="s">
        <v>16</v>
      </c>
      <c r="H244" s="1">
        <v>-0.25</v>
      </c>
      <c r="I244" s="1">
        <v>0.11</v>
      </c>
      <c r="J244" s="1">
        <v>-0.01</v>
      </c>
      <c r="K244" s="1" t="s">
        <v>35</v>
      </c>
      <c r="L244" s="1">
        <v>2389</v>
      </c>
      <c r="M244" s="1">
        <v>0.7</v>
      </c>
      <c r="N244" s="1">
        <v>0.72445000000000004</v>
      </c>
      <c r="O244" s="1">
        <f>VLOOKUP(D244,underlying!$D$2:$H$75,5,FALSE)</f>
        <v>-0.41</v>
      </c>
      <c r="P244" s="2">
        <f>VLOOKUP(D244,underlying!$D$2:$L$39,9,FALSE)</f>
        <v>42765</v>
      </c>
      <c r="Q244" s="7">
        <f>IF(G244="C",NormalCallSprd(O244,H244,M244,(P244-A244)/365), NormalPutSprd(O244,H244,M244,(P244-A244)/365))</f>
        <v>0.1063221497366177</v>
      </c>
      <c r="R244" s="9">
        <f t="shared" si="7"/>
        <v>3.6778502633822985E-3</v>
      </c>
    </row>
    <row r="245" spans="1:18" x14ac:dyDescent="0.2">
      <c r="A245" s="2">
        <v>42622</v>
      </c>
      <c r="B245" s="1" t="s">
        <v>13</v>
      </c>
      <c r="C245" s="1" t="s">
        <v>14</v>
      </c>
      <c r="D245" s="2">
        <v>42738</v>
      </c>
      <c r="E245" s="2">
        <f t="shared" si="6"/>
        <v>42795</v>
      </c>
      <c r="F245" s="1" t="s">
        <v>15</v>
      </c>
      <c r="G245" s="1" t="s">
        <v>18</v>
      </c>
      <c r="H245" s="1">
        <v>-0.25</v>
      </c>
      <c r="I245" s="1">
        <v>0.27</v>
      </c>
      <c r="J245" s="1">
        <v>0.03</v>
      </c>
      <c r="K245" s="1" t="s">
        <v>35</v>
      </c>
      <c r="L245" s="1">
        <v>2389</v>
      </c>
      <c r="M245" s="1">
        <v>0.7</v>
      </c>
      <c r="N245" s="1">
        <v>0.81164000000000003</v>
      </c>
      <c r="O245" s="1">
        <f>VLOOKUP(D245,underlying!$D$2:$H$75,5,FALSE)</f>
        <v>-0.41</v>
      </c>
      <c r="P245" s="2">
        <f>VLOOKUP(D245,underlying!$D$2:$L$39,9,FALSE)</f>
        <v>42765</v>
      </c>
      <c r="Q245" s="7">
        <f>IF(G245="C",NormalCallSprd(O245,H245,M245,(P245-A245)/365), NormalPutSprd(O245,H245,M245,(P245-A245)/365))</f>
        <v>0.26632214973661766</v>
      </c>
      <c r="R245" s="9">
        <f t="shared" si="7"/>
        <v>3.677850263382354E-3</v>
      </c>
    </row>
    <row r="246" spans="1:18" x14ac:dyDescent="0.2">
      <c r="A246" s="2">
        <v>42622</v>
      </c>
      <c r="B246" s="1" t="s">
        <v>13</v>
      </c>
      <c r="C246" s="1" t="s">
        <v>14</v>
      </c>
      <c r="D246" s="2">
        <v>42738</v>
      </c>
      <c r="E246" s="2">
        <f t="shared" si="6"/>
        <v>42795</v>
      </c>
      <c r="F246" s="1" t="s">
        <v>15</v>
      </c>
      <c r="G246" s="1" t="s">
        <v>16</v>
      </c>
      <c r="H246" s="1">
        <v>-0.2</v>
      </c>
      <c r="I246" s="1">
        <v>0.09</v>
      </c>
      <c r="J246" s="1">
        <v>-0.01</v>
      </c>
      <c r="K246" s="1" t="s">
        <v>35</v>
      </c>
      <c r="L246" s="1">
        <v>2389</v>
      </c>
      <c r="M246" s="1">
        <v>0.69</v>
      </c>
      <c r="N246" s="1">
        <v>0.92032999999999998</v>
      </c>
      <c r="O246" s="1">
        <f>VLOOKUP(D246,underlying!$D$2:$H$75,5,FALSE)</f>
        <v>-0.41</v>
      </c>
      <c r="P246" s="2">
        <f>VLOOKUP(D246,underlying!$D$2:$L$39,9,FALSE)</f>
        <v>42765</v>
      </c>
      <c r="Q246" s="7">
        <f>IF(G246="C",NormalCallSprd(O246,H246,M246,(P246-A246)/365), NormalPutSprd(O246,H246,M246,(P246-A246)/365))</f>
        <v>8.7274177957354343E-2</v>
      </c>
      <c r="R246" s="9">
        <f t="shared" si="7"/>
        <v>2.7258220426456536E-3</v>
      </c>
    </row>
    <row r="247" spans="1:18" x14ac:dyDescent="0.2">
      <c r="A247" s="2">
        <v>42622</v>
      </c>
      <c r="B247" s="1" t="s">
        <v>13</v>
      </c>
      <c r="C247" s="1" t="s">
        <v>14</v>
      </c>
      <c r="D247" s="2">
        <v>42738</v>
      </c>
      <c r="E247" s="2">
        <f t="shared" si="6"/>
        <v>42795</v>
      </c>
      <c r="F247" s="1" t="s">
        <v>15</v>
      </c>
      <c r="G247" s="1" t="s">
        <v>18</v>
      </c>
      <c r="H247" s="1">
        <v>-0.2</v>
      </c>
      <c r="I247" s="1">
        <v>0.3</v>
      </c>
      <c r="J247" s="1">
        <v>0.03</v>
      </c>
      <c r="K247" s="1" t="s">
        <v>35</v>
      </c>
      <c r="L247" s="1">
        <v>2389</v>
      </c>
      <c r="M247" s="1">
        <v>0.69</v>
      </c>
      <c r="N247" s="1">
        <v>0.96006000000000002</v>
      </c>
      <c r="O247" s="1">
        <f>VLOOKUP(D247,underlying!$D$2:$H$75,5,FALSE)</f>
        <v>-0.41</v>
      </c>
      <c r="P247" s="2">
        <f>VLOOKUP(D247,underlying!$D$2:$L$39,9,FALSE)</f>
        <v>42765</v>
      </c>
      <c r="Q247" s="7">
        <f>IF(G247="C",NormalCallSprd(O247,H247,M247,(P247-A247)/365), NormalPutSprd(O247,H247,M247,(P247-A247)/365))</f>
        <v>0.29727417795735428</v>
      </c>
      <c r="R247" s="9">
        <f t="shared" si="7"/>
        <v>2.7258220426457092E-3</v>
      </c>
    </row>
    <row r="248" spans="1:18" x14ac:dyDescent="0.2">
      <c r="A248" s="2">
        <v>42622</v>
      </c>
      <c r="B248" s="1" t="s">
        <v>13</v>
      </c>
      <c r="C248" s="1" t="s">
        <v>14</v>
      </c>
      <c r="D248" s="2">
        <v>42738</v>
      </c>
      <c r="E248" s="2">
        <f t="shared" si="6"/>
        <v>42795</v>
      </c>
      <c r="F248" s="1" t="s">
        <v>15</v>
      </c>
      <c r="G248" s="1" t="s">
        <v>16</v>
      </c>
      <c r="H248" s="1">
        <v>-0.15</v>
      </c>
      <c r="I248" s="1">
        <v>7.0000000000000007E-2</v>
      </c>
      <c r="J248" s="1">
        <v>-0.01</v>
      </c>
      <c r="K248" s="1" t="s">
        <v>35</v>
      </c>
      <c r="L248" s="1">
        <v>2389</v>
      </c>
      <c r="M248" s="1">
        <v>0.68</v>
      </c>
      <c r="N248" s="1">
        <v>-0.52615999999999996</v>
      </c>
      <c r="O248" s="1">
        <f>VLOOKUP(D248,underlying!$D$2:$H$75,5,FALSE)</f>
        <v>-0.41</v>
      </c>
      <c r="P248" s="2">
        <f>VLOOKUP(D248,underlying!$D$2:$L$39,9,FALSE)</f>
        <v>42765</v>
      </c>
      <c r="Q248" s="7">
        <f>IF(G248="C",NormalCallSprd(O248,H248,M248,(P248-A248)/365), NormalPutSprd(O248,H248,M248,(P248-A248)/365))</f>
        <v>7.0532359495056887E-2</v>
      </c>
      <c r="R248" s="9">
        <f t="shared" si="7"/>
        <v>5.3235949505688052E-4</v>
      </c>
    </row>
    <row r="249" spans="1:18" x14ac:dyDescent="0.2">
      <c r="A249" s="2">
        <v>42622</v>
      </c>
      <c r="B249" s="1" t="s">
        <v>13</v>
      </c>
      <c r="C249" s="1" t="s">
        <v>14</v>
      </c>
      <c r="D249" s="2">
        <v>42738</v>
      </c>
      <c r="E249" s="2">
        <f t="shared" si="6"/>
        <v>42795</v>
      </c>
      <c r="F249" s="1" t="s">
        <v>15</v>
      </c>
      <c r="G249" s="1" t="s">
        <v>18</v>
      </c>
      <c r="H249" s="1">
        <v>-0.15</v>
      </c>
      <c r="I249" s="1">
        <v>0.33</v>
      </c>
      <c r="J249" s="1">
        <v>0.03</v>
      </c>
      <c r="K249" s="1" t="s">
        <v>35</v>
      </c>
      <c r="L249" s="1">
        <v>2389</v>
      </c>
      <c r="M249" s="1">
        <v>0.68</v>
      </c>
      <c r="N249" s="1">
        <v>-0.49961</v>
      </c>
      <c r="O249" s="1">
        <f>VLOOKUP(D249,underlying!$D$2:$H$75,5,FALSE)</f>
        <v>-0.41</v>
      </c>
      <c r="P249" s="2">
        <f>VLOOKUP(D249,underlying!$D$2:$L$39,9,FALSE)</f>
        <v>42765</v>
      </c>
      <c r="Q249" s="7">
        <f>IF(G249="C",NormalCallSprd(O249,H249,M249,(P249-A249)/365), NormalPutSprd(O249,H249,M249,(P249-A249)/365))</f>
        <v>0.33053235949505688</v>
      </c>
      <c r="R249" s="9">
        <f t="shared" si="7"/>
        <v>5.3235949505686664E-4</v>
      </c>
    </row>
    <row r="250" spans="1:18" x14ac:dyDescent="0.2">
      <c r="A250" s="2">
        <v>42622</v>
      </c>
      <c r="B250" s="1" t="s">
        <v>13</v>
      </c>
      <c r="C250" s="1" t="s">
        <v>14</v>
      </c>
      <c r="D250" s="2">
        <v>42738</v>
      </c>
      <c r="E250" s="2">
        <f t="shared" si="6"/>
        <v>42795</v>
      </c>
      <c r="F250" s="1" t="s">
        <v>15</v>
      </c>
      <c r="G250" s="1" t="s">
        <v>16</v>
      </c>
      <c r="H250" s="1">
        <v>-0.1</v>
      </c>
      <c r="I250" s="1">
        <v>0.06</v>
      </c>
      <c r="J250" s="1">
        <v>-0.01</v>
      </c>
      <c r="K250" s="1" t="s">
        <v>35</v>
      </c>
      <c r="L250" s="1">
        <v>2389</v>
      </c>
      <c r="M250" s="1">
        <v>0.68</v>
      </c>
      <c r="N250" s="1">
        <v>-0.47302</v>
      </c>
      <c r="O250" s="1">
        <f>VLOOKUP(D250,underlying!$D$2:$H$75,5,FALSE)</f>
        <v>-0.41</v>
      </c>
      <c r="P250" s="2">
        <f>VLOOKUP(D250,underlying!$D$2:$L$39,9,FALSE)</f>
        <v>42765</v>
      </c>
      <c r="Q250" s="7">
        <f>IF(G250="C",NormalCallSprd(O250,H250,M250,(P250-A250)/365), NormalPutSprd(O250,H250,M250,(P250-A250)/365))</f>
        <v>5.7948377553336365E-2</v>
      </c>
      <c r="R250" s="9">
        <f t="shared" si="7"/>
        <v>2.0516224466636326E-3</v>
      </c>
    </row>
    <row r="251" spans="1:18" x14ac:dyDescent="0.2">
      <c r="A251" s="2">
        <v>42622</v>
      </c>
      <c r="B251" s="1" t="s">
        <v>13</v>
      </c>
      <c r="C251" s="1" t="s">
        <v>14</v>
      </c>
      <c r="D251" s="2">
        <v>42738</v>
      </c>
      <c r="E251" s="2">
        <f t="shared" si="6"/>
        <v>42795</v>
      </c>
      <c r="F251" s="1" t="s">
        <v>15</v>
      </c>
      <c r="G251" s="1" t="s">
        <v>18</v>
      </c>
      <c r="H251" s="1">
        <v>-0.1</v>
      </c>
      <c r="I251" s="1">
        <v>0.37</v>
      </c>
      <c r="J251" s="1">
        <v>0.03</v>
      </c>
      <c r="K251" s="1" t="s">
        <v>35</v>
      </c>
      <c r="L251" s="1">
        <v>2389</v>
      </c>
      <c r="M251" s="1">
        <v>0.68</v>
      </c>
      <c r="N251" s="1">
        <v>-0.44650000000000001</v>
      </c>
      <c r="O251" s="1">
        <f>VLOOKUP(D251,underlying!$D$2:$H$75,5,FALSE)</f>
        <v>-0.41</v>
      </c>
      <c r="P251" s="2">
        <f>VLOOKUP(D251,underlying!$D$2:$L$39,9,FALSE)</f>
        <v>42765</v>
      </c>
      <c r="Q251" s="7">
        <f>IF(G251="C",NormalCallSprd(O251,H251,M251,(P251-A251)/365), NormalPutSprd(O251,H251,M251,(P251-A251)/365))</f>
        <v>0.36794837755333631</v>
      </c>
      <c r="R251" s="9">
        <f t="shared" si="7"/>
        <v>2.0516224466636812E-3</v>
      </c>
    </row>
    <row r="252" spans="1:18" x14ac:dyDescent="0.2">
      <c r="A252" s="2">
        <v>42622</v>
      </c>
      <c r="B252" s="1" t="s">
        <v>13</v>
      </c>
      <c r="C252" s="1" t="s">
        <v>14</v>
      </c>
      <c r="D252" s="2">
        <v>42738</v>
      </c>
      <c r="E252" s="2">
        <f t="shared" si="6"/>
        <v>42795</v>
      </c>
      <c r="F252" s="1" t="s">
        <v>15</v>
      </c>
      <c r="G252" s="1" t="s">
        <v>16</v>
      </c>
      <c r="H252" s="1">
        <v>-0.05</v>
      </c>
      <c r="I252" s="1">
        <v>0.05</v>
      </c>
      <c r="J252" s="1">
        <v>-0.01</v>
      </c>
      <c r="K252" s="1" t="s">
        <v>35</v>
      </c>
      <c r="L252" s="1">
        <v>2389</v>
      </c>
      <c r="M252" s="1">
        <v>0.68</v>
      </c>
      <c r="N252" s="1">
        <v>-0.42018</v>
      </c>
      <c r="O252" s="1">
        <f>VLOOKUP(D252,underlying!$D$2:$H$75,5,FALSE)</f>
        <v>-0.41</v>
      </c>
      <c r="P252" s="2">
        <f>VLOOKUP(D252,underlying!$D$2:$L$39,9,FALSE)</f>
        <v>42765</v>
      </c>
      <c r="Q252" s="7">
        <f>IF(G252="C",NormalCallSprd(O252,H252,M252,(P252-A252)/365), NormalPutSprd(O252,H252,M252,(P252-A252)/365))</f>
        <v>4.716076035792198E-2</v>
      </c>
      <c r="R252" s="9">
        <f t="shared" si="7"/>
        <v>2.839239642078023E-3</v>
      </c>
    </row>
    <row r="253" spans="1:18" x14ac:dyDescent="0.2">
      <c r="A253" s="2">
        <v>42622</v>
      </c>
      <c r="B253" s="1" t="s">
        <v>13</v>
      </c>
      <c r="C253" s="1" t="s">
        <v>14</v>
      </c>
      <c r="D253" s="2">
        <v>42738</v>
      </c>
      <c r="E253" s="2">
        <f t="shared" si="6"/>
        <v>42795</v>
      </c>
      <c r="F253" s="1" t="s">
        <v>15</v>
      </c>
      <c r="G253" s="1" t="s">
        <v>18</v>
      </c>
      <c r="H253" s="1">
        <v>-0.05</v>
      </c>
      <c r="I253" s="1">
        <v>0.41</v>
      </c>
      <c r="J253" s="1">
        <v>0.03</v>
      </c>
      <c r="K253" s="1" t="s">
        <v>35</v>
      </c>
      <c r="L253" s="1">
        <v>2389</v>
      </c>
      <c r="M253" s="1">
        <v>0.68</v>
      </c>
      <c r="N253" s="1">
        <v>-0.39590999999999998</v>
      </c>
      <c r="O253" s="1">
        <f>VLOOKUP(D253,underlying!$D$2:$H$75,5,FALSE)</f>
        <v>-0.41</v>
      </c>
      <c r="P253" s="2">
        <f>VLOOKUP(D253,underlying!$D$2:$L$39,9,FALSE)</f>
        <v>42765</v>
      </c>
      <c r="Q253" s="7">
        <f>IF(G253="C",NormalCallSprd(O253,H253,M253,(P253-A253)/365), NormalPutSprd(O253,H253,M253,(P253-A253)/365))</f>
        <v>0.40716076035792192</v>
      </c>
      <c r="R253" s="9">
        <f t="shared" si="7"/>
        <v>2.8392396420780508E-3</v>
      </c>
    </row>
    <row r="254" spans="1:18" x14ac:dyDescent="0.2">
      <c r="A254" s="2">
        <v>42622</v>
      </c>
      <c r="B254" s="1" t="s">
        <v>13</v>
      </c>
      <c r="C254" s="1" t="s">
        <v>14</v>
      </c>
      <c r="D254" s="2">
        <v>42739</v>
      </c>
      <c r="E254" s="2">
        <f t="shared" si="6"/>
        <v>42826</v>
      </c>
      <c r="F254" s="1" t="s">
        <v>15</v>
      </c>
      <c r="G254" s="1" t="s">
        <v>16</v>
      </c>
      <c r="H254" s="1">
        <v>-4</v>
      </c>
      <c r="I254" s="1">
        <v>3.61</v>
      </c>
      <c r="J254" s="1">
        <v>-0.04</v>
      </c>
      <c r="K254" s="1" t="s">
        <v>38</v>
      </c>
      <c r="L254" s="1">
        <v>2389</v>
      </c>
      <c r="M254" s="1">
        <v>1.51</v>
      </c>
      <c r="N254" s="1">
        <v>-0.37340000000000001</v>
      </c>
      <c r="O254" s="1">
        <f>VLOOKUP(D254,underlying!$D$2:$H$75,5,FALSE)</f>
        <v>-0.38</v>
      </c>
      <c r="P254" s="2">
        <f>VLOOKUP(D254,underlying!$D$2:$L$39,9,FALSE)</f>
        <v>42793</v>
      </c>
      <c r="Q254" s="7">
        <f>IF(G254="C",NormalCallSprd(O254,H254,M254,(P254-A254)/365), NormalPutSprd(O254,H254,M254,(P254-A254)/365))</f>
        <v>3.620059840710923</v>
      </c>
      <c r="R254" s="9">
        <f t="shared" si="7"/>
        <v>1.005984071092314E-2</v>
      </c>
    </row>
    <row r="255" spans="1:18" x14ac:dyDescent="0.2">
      <c r="A255" s="2">
        <v>42622</v>
      </c>
      <c r="B255" s="1" t="s">
        <v>13</v>
      </c>
      <c r="C255" s="1" t="s">
        <v>14</v>
      </c>
      <c r="D255" s="2">
        <v>42739</v>
      </c>
      <c r="E255" s="2">
        <f t="shared" si="6"/>
        <v>42826</v>
      </c>
      <c r="F255" s="1" t="s">
        <v>15</v>
      </c>
      <c r="G255" s="1" t="s">
        <v>18</v>
      </c>
      <c r="H255" s="1">
        <v>-4</v>
      </c>
      <c r="I255" s="1">
        <v>0.01</v>
      </c>
      <c r="J255" s="1">
        <v>0</v>
      </c>
      <c r="K255" s="1" t="s">
        <v>38</v>
      </c>
      <c r="L255" s="1">
        <v>2389</v>
      </c>
      <c r="M255" s="1">
        <v>1.51</v>
      </c>
      <c r="N255" s="1">
        <v>-0.35226000000000002</v>
      </c>
      <c r="O255" s="1">
        <f>VLOOKUP(D255,underlying!$D$2:$H$75,5,FALSE)</f>
        <v>-0.38</v>
      </c>
      <c r="P255" s="2">
        <f>VLOOKUP(D255,underlying!$D$2:$L$39,9,FALSE)</f>
        <v>42793</v>
      </c>
      <c r="Q255" s="7">
        <f>IF(G255="C",NormalCallSprd(O255,H255,M255,(P255-A255)/365), NormalPutSprd(O255,H255,M255,(P255-A255)/365))</f>
        <v>5.984071092260448E-5</v>
      </c>
      <c r="R255" s="9">
        <f t="shared" si="7"/>
        <v>9.9401592890773962E-3</v>
      </c>
    </row>
    <row r="256" spans="1:18" x14ac:dyDescent="0.2">
      <c r="A256" s="2">
        <v>42622</v>
      </c>
      <c r="B256" s="1" t="s">
        <v>13</v>
      </c>
      <c r="C256" s="1" t="s">
        <v>14</v>
      </c>
      <c r="D256" s="2">
        <v>42739</v>
      </c>
      <c r="E256" s="2">
        <f t="shared" si="6"/>
        <v>42826</v>
      </c>
      <c r="F256" s="1" t="s">
        <v>15</v>
      </c>
      <c r="G256" s="1" t="s">
        <v>16</v>
      </c>
      <c r="H256" s="1">
        <v>-3</v>
      </c>
      <c r="I256" s="1">
        <v>2.61</v>
      </c>
      <c r="J256" s="1">
        <v>-0.04</v>
      </c>
      <c r="K256" s="1" t="s">
        <v>38</v>
      </c>
      <c r="L256" s="1">
        <v>2389</v>
      </c>
      <c r="M256" s="1">
        <v>1.31</v>
      </c>
      <c r="N256" s="1">
        <v>-0.32982</v>
      </c>
      <c r="O256" s="1">
        <f>VLOOKUP(D256,underlying!$D$2:$H$75,5,FALSE)</f>
        <v>-0.38</v>
      </c>
      <c r="P256" s="2">
        <f>VLOOKUP(D256,underlying!$D$2:$L$39,9,FALSE)</f>
        <v>42793</v>
      </c>
      <c r="Q256" s="7">
        <f>IF(G256="C",NormalCallSprd(O256,H256,M256,(P256-A256)/365), NormalPutSprd(O256,H256,M256,(P256-A256)/365))</f>
        <v>2.6204501700694225</v>
      </c>
      <c r="R256" s="9">
        <f t="shared" si="7"/>
        <v>1.0450170069422615E-2</v>
      </c>
    </row>
    <row r="257" spans="1:18" x14ac:dyDescent="0.2">
      <c r="A257" s="2">
        <v>42622</v>
      </c>
      <c r="B257" s="1" t="s">
        <v>13</v>
      </c>
      <c r="C257" s="1" t="s">
        <v>14</v>
      </c>
      <c r="D257" s="2">
        <v>42739</v>
      </c>
      <c r="E257" s="2">
        <f t="shared" si="6"/>
        <v>42826</v>
      </c>
      <c r="F257" s="1" t="s">
        <v>15</v>
      </c>
      <c r="G257" s="1" t="s">
        <v>18</v>
      </c>
      <c r="H257" s="1">
        <v>-3</v>
      </c>
      <c r="I257" s="1">
        <v>0.01</v>
      </c>
      <c r="J257" s="1">
        <v>0</v>
      </c>
      <c r="K257" s="1" t="s">
        <v>38</v>
      </c>
      <c r="L257" s="1">
        <v>2389</v>
      </c>
      <c r="M257" s="1">
        <v>1.31</v>
      </c>
      <c r="N257" s="1">
        <v>-0.31035000000000001</v>
      </c>
      <c r="O257" s="1">
        <f>VLOOKUP(D257,underlying!$D$2:$H$75,5,FALSE)</f>
        <v>-0.38</v>
      </c>
      <c r="P257" s="2">
        <f>VLOOKUP(D257,underlying!$D$2:$L$39,9,FALSE)</f>
        <v>42793</v>
      </c>
      <c r="Q257" s="7">
        <f>IF(G257="C",NormalCallSprd(O257,H257,M257,(P257-A257)/365), NormalPutSprd(O257,H257,M257,(P257-A257)/365))</f>
        <v>4.5017006942225013E-4</v>
      </c>
      <c r="R257" s="9">
        <f t="shared" si="7"/>
        <v>9.5498299305777495E-3</v>
      </c>
    </row>
    <row r="258" spans="1:18" x14ac:dyDescent="0.2">
      <c r="A258" s="2">
        <v>42622</v>
      </c>
      <c r="B258" s="1" t="s">
        <v>13</v>
      </c>
      <c r="C258" s="1" t="s">
        <v>14</v>
      </c>
      <c r="D258" s="2">
        <v>42739</v>
      </c>
      <c r="E258" s="2">
        <f t="shared" ref="E258:E321" si="8">DATE(YEAR(D258),DAY(D258),MONTH(D258))</f>
        <v>42826</v>
      </c>
      <c r="F258" s="1" t="s">
        <v>15</v>
      </c>
      <c r="G258" s="1" t="s">
        <v>16</v>
      </c>
      <c r="H258" s="1">
        <v>-2</v>
      </c>
      <c r="I258" s="1">
        <v>1.62</v>
      </c>
      <c r="J258" s="1">
        <v>-0.04</v>
      </c>
      <c r="K258" s="1" t="s">
        <v>38</v>
      </c>
      <c r="L258" s="1">
        <v>2389</v>
      </c>
      <c r="M258" s="1">
        <v>1.06</v>
      </c>
      <c r="N258" s="1">
        <v>-0.29278999999999999</v>
      </c>
      <c r="O258" s="1">
        <f>VLOOKUP(D258,underlying!$D$2:$H$75,5,FALSE)</f>
        <v>-0.38</v>
      </c>
      <c r="P258" s="2">
        <f>VLOOKUP(D258,underlying!$D$2:$L$39,9,FALSE)</f>
        <v>42793</v>
      </c>
      <c r="Q258" s="7">
        <f>IF(G258="C",NormalCallSprd(O258,H258,M258,(P258-A258)/365), NormalPutSprd(O258,H258,M258,(P258-A258)/365))</f>
        <v>1.6232279705960442</v>
      </c>
      <c r="R258" s="9">
        <f t="shared" si="7"/>
        <v>3.2279705960440719E-3</v>
      </c>
    </row>
    <row r="259" spans="1:18" x14ac:dyDescent="0.2">
      <c r="A259" s="2">
        <v>42622</v>
      </c>
      <c r="B259" s="1" t="s">
        <v>13</v>
      </c>
      <c r="C259" s="1" t="s">
        <v>14</v>
      </c>
      <c r="D259" s="2">
        <v>42739</v>
      </c>
      <c r="E259" s="2">
        <f t="shared" si="8"/>
        <v>42826</v>
      </c>
      <c r="F259" s="1" t="s">
        <v>15</v>
      </c>
      <c r="G259" s="1" t="s">
        <v>18</v>
      </c>
      <c r="H259" s="1">
        <v>-2</v>
      </c>
      <c r="I259" s="1">
        <v>0.01</v>
      </c>
      <c r="J259" s="1">
        <v>0</v>
      </c>
      <c r="K259" s="1" t="s">
        <v>38</v>
      </c>
      <c r="L259" s="1">
        <v>2389</v>
      </c>
      <c r="M259" s="1">
        <v>1.06</v>
      </c>
      <c r="N259" s="1">
        <v>-0.27317000000000002</v>
      </c>
      <c r="O259" s="1">
        <f>VLOOKUP(D259,underlying!$D$2:$H$75,5,FALSE)</f>
        <v>-0.38</v>
      </c>
      <c r="P259" s="2">
        <f>VLOOKUP(D259,underlying!$D$2:$L$39,9,FALSE)</f>
        <v>42793</v>
      </c>
      <c r="Q259" s="7">
        <f>IF(G259="C",NormalCallSprd(O259,H259,M259,(P259-A259)/365), NormalPutSprd(O259,H259,M259,(P259-A259)/365))</f>
        <v>3.2279705960441703E-3</v>
      </c>
      <c r="R259" s="9">
        <f t="shared" ref="R259:R322" si="9">ABS(Q259-I259)</f>
        <v>6.7720294039558294E-3</v>
      </c>
    </row>
    <row r="260" spans="1:18" x14ac:dyDescent="0.2">
      <c r="A260" s="2">
        <v>42622</v>
      </c>
      <c r="B260" s="1" t="s">
        <v>13</v>
      </c>
      <c r="C260" s="1" t="s">
        <v>14</v>
      </c>
      <c r="D260" s="2">
        <v>42739</v>
      </c>
      <c r="E260" s="2">
        <f t="shared" si="8"/>
        <v>42826</v>
      </c>
      <c r="F260" s="1" t="s">
        <v>15</v>
      </c>
      <c r="G260" s="1" t="s">
        <v>16</v>
      </c>
      <c r="H260" s="1">
        <v>-1</v>
      </c>
      <c r="I260" s="1">
        <v>0.65</v>
      </c>
      <c r="J260" s="1">
        <v>-0.04</v>
      </c>
      <c r="K260" s="1" t="s">
        <v>38</v>
      </c>
      <c r="L260" s="1">
        <v>2389</v>
      </c>
      <c r="M260" s="1">
        <v>0.8</v>
      </c>
      <c r="N260" s="1">
        <v>-0.2535</v>
      </c>
      <c r="O260" s="1">
        <f>VLOOKUP(D260,underlying!$D$2:$H$75,5,FALSE)</f>
        <v>-0.38</v>
      </c>
      <c r="P260" s="2">
        <f>VLOOKUP(D260,underlying!$D$2:$L$39,9,FALSE)</f>
        <v>42793</v>
      </c>
      <c r="Q260" s="7">
        <f>IF(G260="C",NormalCallSprd(O260,H260,M260,(P260-A260)/365), NormalPutSprd(O260,H260,M260,(P260-A260)/365))</f>
        <v>0.65523827665950063</v>
      </c>
      <c r="R260" s="9">
        <f t="shared" si="9"/>
        <v>5.2382766595006069E-3</v>
      </c>
    </row>
    <row r="261" spans="1:18" x14ac:dyDescent="0.2">
      <c r="A261" s="2">
        <v>42622</v>
      </c>
      <c r="B261" s="1" t="s">
        <v>13</v>
      </c>
      <c r="C261" s="1" t="s">
        <v>14</v>
      </c>
      <c r="D261" s="2">
        <v>42739</v>
      </c>
      <c r="E261" s="2">
        <f t="shared" si="8"/>
        <v>42826</v>
      </c>
      <c r="F261" s="1" t="s">
        <v>15</v>
      </c>
      <c r="G261" s="1" t="s">
        <v>18</v>
      </c>
      <c r="H261" s="1">
        <v>-1</v>
      </c>
      <c r="I261" s="1">
        <v>0.04</v>
      </c>
      <c r="J261" s="1">
        <v>0.01</v>
      </c>
      <c r="K261" s="1" t="s">
        <v>38</v>
      </c>
      <c r="L261" s="1">
        <v>2389</v>
      </c>
      <c r="M261" s="1">
        <v>0.8</v>
      </c>
      <c r="N261" s="1">
        <v>-0.16631000000000001</v>
      </c>
      <c r="O261" s="1">
        <f>VLOOKUP(D261,underlying!$D$2:$H$75,5,FALSE)</f>
        <v>-0.38</v>
      </c>
      <c r="P261" s="2">
        <f>VLOOKUP(D261,underlying!$D$2:$L$39,9,FALSE)</f>
        <v>42793</v>
      </c>
      <c r="Q261" s="7">
        <f>IF(G261="C",NormalCallSprd(O261,H261,M261,(P261-A261)/365), NormalPutSprd(O261,H261,M261,(P261-A261)/365))</f>
        <v>3.5238276659500641E-2</v>
      </c>
      <c r="R261" s="9">
        <f t="shared" si="9"/>
        <v>4.7617233404993603E-3</v>
      </c>
    </row>
    <row r="262" spans="1:18" x14ac:dyDescent="0.2">
      <c r="A262" s="2">
        <v>42622</v>
      </c>
      <c r="B262" s="1" t="s">
        <v>13</v>
      </c>
      <c r="C262" s="1" t="s">
        <v>14</v>
      </c>
      <c r="D262" s="2">
        <v>42739</v>
      </c>
      <c r="E262" s="2">
        <f t="shared" si="8"/>
        <v>42826</v>
      </c>
      <c r="F262" s="1" t="s">
        <v>15</v>
      </c>
      <c r="G262" s="1" t="s">
        <v>16</v>
      </c>
      <c r="H262" s="1">
        <v>-0.95</v>
      </c>
      <c r="I262" s="1">
        <v>0.61</v>
      </c>
      <c r="J262" s="1">
        <v>-0.04</v>
      </c>
      <c r="K262" s="1" t="s">
        <v>38</v>
      </c>
      <c r="L262" s="1">
        <v>2389</v>
      </c>
      <c r="M262" s="1">
        <v>0.79</v>
      </c>
      <c r="N262" s="1">
        <v>-5.7619999999999998E-2</v>
      </c>
      <c r="O262" s="1">
        <f>VLOOKUP(D262,underlying!$D$2:$H$75,5,FALSE)</f>
        <v>-0.38</v>
      </c>
      <c r="P262" s="2">
        <f>VLOOKUP(D262,underlying!$D$2:$L$39,9,FALSE)</f>
        <v>42793</v>
      </c>
      <c r="Q262" s="7">
        <f>IF(G262="C",NormalCallSprd(O262,H262,M262,(P262-A262)/365), NormalPutSprd(O262,H262,M262,(P262-A262)/365))</f>
        <v>0.61059506769310845</v>
      </c>
      <c r="R262" s="9">
        <f t="shared" si="9"/>
        <v>5.9506769310846419E-4</v>
      </c>
    </row>
    <row r="263" spans="1:18" x14ac:dyDescent="0.2">
      <c r="A263" s="2">
        <v>42622</v>
      </c>
      <c r="B263" s="1" t="s">
        <v>13</v>
      </c>
      <c r="C263" s="1" t="s">
        <v>14</v>
      </c>
      <c r="D263" s="2">
        <v>42739</v>
      </c>
      <c r="E263" s="2">
        <f t="shared" si="8"/>
        <v>42826</v>
      </c>
      <c r="F263" s="1" t="s">
        <v>15</v>
      </c>
      <c r="G263" s="1" t="s">
        <v>18</v>
      </c>
      <c r="H263" s="1">
        <v>-0.95</v>
      </c>
      <c r="I263" s="1">
        <v>0.04</v>
      </c>
      <c r="J263" s="1">
        <v>0</v>
      </c>
      <c r="K263" s="1" t="s">
        <v>38</v>
      </c>
      <c r="L263" s="1">
        <v>2389</v>
      </c>
      <c r="M263" s="1">
        <v>0.79</v>
      </c>
      <c r="N263" s="1">
        <v>-1.789E-2</v>
      </c>
      <c r="O263" s="1">
        <f>VLOOKUP(D263,underlying!$D$2:$H$75,5,FALSE)</f>
        <v>-0.38</v>
      </c>
      <c r="P263" s="2">
        <f>VLOOKUP(D263,underlying!$D$2:$L$39,9,FALSE)</f>
        <v>42793</v>
      </c>
      <c r="Q263" s="7">
        <f>IF(G263="C",NormalCallSprd(O263,H263,M263,(P263-A263)/365), NormalPutSprd(O263,H263,M263,(P263-A263)/365))</f>
        <v>4.0595067693108521E-2</v>
      </c>
      <c r="R263" s="9">
        <f t="shared" si="9"/>
        <v>5.950676931085197E-4</v>
      </c>
    </row>
    <row r="264" spans="1:18" x14ac:dyDescent="0.2">
      <c r="A264" s="2">
        <v>42622</v>
      </c>
      <c r="B264" s="1" t="s">
        <v>13</v>
      </c>
      <c r="C264" s="1" t="s">
        <v>14</v>
      </c>
      <c r="D264" s="2">
        <v>42739</v>
      </c>
      <c r="E264" s="2">
        <f t="shared" si="8"/>
        <v>42826</v>
      </c>
      <c r="F264" s="1" t="s">
        <v>15</v>
      </c>
      <c r="G264" s="1" t="s">
        <v>16</v>
      </c>
      <c r="H264" s="1">
        <v>-0.9</v>
      </c>
      <c r="I264" s="1">
        <v>0.56999999999999995</v>
      </c>
      <c r="J264" s="1">
        <v>-0.03</v>
      </c>
      <c r="K264" s="1" t="s">
        <v>38</v>
      </c>
      <c r="L264" s="1">
        <v>2389</v>
      </c>
      <c r="M264" s="1">
        <v>0.78</v>
      </c>
      <c r="N264" s="1">
        <v>0.15415999999999999</v>
      </c>
      <c r="O264" s="1">
        <f>VLOOKUP(D264,underlying!$D$2:$H$75,5,FALSE)</f>
        <v>-0.38</v>
      </c>
      <c r="P264" s="2">
        <f>VLOOKUP(D264,underlying!$D$2:$L$39,9,FALSE)</f>
        <v>42793</v>
      </c>
      <c r="Q264" s="7">
        <f>IF(G264="C",NormalCallSprd(O264,H264,M264,(P264-A264)/365), NormalPutSprd(O264,H264,M264,(P264-A264)/365))</f>
        <v>0.56672742062937598</v>
      </c>
      <c r="R264" s="9">
        <f t="shared" si="9"/>
        <v>3.2725793706239736E-3</v>
      </c>
    </row>
    <row r="265" spans="1:18" x14ac:dyDescent="0.2">
      <c r="A265" s="2">
        <v>42622</v>
      </c>
      <c r="B265" s="1" t="s">
        <v>13</v>
      </c>
      <c r="C265" s="1" t="s">
        <v>14</v>
      </c>
      <c r="D265" s="2">
        <v>42739</v>
      </c>
      <c r="E265" s="2">
        <f t="shared" si="8"/>
        <v>42826</v>
      </c>
      <c r="F265" s="1" t="s">
        <v>15</v>
      </c>
      <c r="G265" s="1" t="s">
        <v>18</v>
      </c>
      <c r="H265" s="1">
        <v>-0.9</v>
      </c>
      <c r="I265" s="1">
        <v>0.05</v>
      </c>
      <c r="J265" s="1">
        <v>0.01</v>
      </c>
      <c r="K265" s="1" t="s">
        <v>38</v>
      </c>
      <c r="L265" s="1">
        <v>2389</v>
      </c>
      <c r="M265" s="1">
        <v>0.78</v>
      </c>
      <c r="N265" s="1">
        <v>0.18051</v>
      </c>
      <c r="O265" s="1">
        <f>VLOOKUP(D265,underlying!$D$2:$H$75,5,FALSE)</f>
        <v>-0.38</v>
      </c>
      <c r="P265" s="2">
        <f>VLOOKUP(D265,underlying!$D$2:$L$39,9,FALSE)</f>
        <v>42793</v>
      </c>
      <c r="Q265" s="7">
        <f>IF(G265="C",NormalCallSprd(O265,H265,M265,(P265-A265)/365), NormalPutSprd(O265,H265,M265,(P265-A265)/365))</f>
        <v>4.6727420629375918E-2</v>
      </c>
      <c r="R265" s="9">
        <f t="shared" si="9"/>
        <v>3.2725793706240847E-3</v>
      </c>
    </row>
    <row r="266" spans="1:18" x14ac:dyDescent="0.2">
      <c r="A266" s="2">
        <v>42622</v>
      </c>
      <c r="B266" s="1" t="s">
        <v>13</v>
      </c>
      <c r="C266" s="1" t="s">
        <v>14</v>
      </c>
      <c r="D266" s="2">
        <v>42739</v>
      </c>
      <c r="E266" s="2">
        <f t="shared" si="8"/>
        <v>42826</v>
      </c>
      <c r="F266" s="1" t="s">
        <v>15</v>
      </c>
      <c r="G266" s="1" t="s">
        <v>16</v>
      </c>
      <c r="H266" s="1">
        <v>-0.85</v>
      </c>
      <c r="I266" s="1">
        <v>0.52</v>
      </c>
      <c r="J266" s="1">
        <v>-0.04</v>
      </c>
      <c r="K266" s="1" t="s">
        <v>38</v>
      </c>
      <c r="L266" s="1">
        <v>2389</v>
      </c>
      <c r="M266" s="1">
        <v>0.77</v>
      </c>
      <c r="N266" s="1">
        <v>0.21337</v>
      </c>
      <c r="O266" s="1">
        <f>VLOOKUP(D266,underlying!$D$2:$H$75,5,FALSE)</f>
        <v>-0.38</v>
      </c>
      <c r="P266" s="2">
        <f>VLOOKUP(D266,underlying!$D$2:$L$39,9,FALSE)</f>
        <v>42793</v>
      </c>
      <c r="Q266" s="7">
        <f>IF(G266="C",NormalCallSprd(O266,H266,M266,(P266-A266)/365), NormalPutSprd(O266,H266,M266,(P266-A266)/365))</f>
        <v>0.52373366897719487</v>
      </c>
      <c r="R266" s="9">
        <f t="shared" si="9"/>
        <v>3.7336689771948484E-3</v>
      </c>
    </row>
    <row r="267" spans="1:18" x14ac:dyDescent="0.2">
      <c r="A267" s="2">
        <v>42622</v>
      </c>
      <c r="B267" s="1" t="s">
        <v>13</v>
      </c>
      <c r="C267" s="1" t="s">
        <v>14</v>
      </c>
      <c r="D267" s="2">
        <v>42739</v>
      </c>
      <c r="E267" s="2">
        <f t="shared" si="8"/>
        <v>42826</v>
      </c>
      <c r="F267" s="1" t="s">
        <v>15</v>
      </c>
      <c r="G267" s="1" t="s">
        <v>18</v>
      </c>
      <c r="H267" s="1">
        <v>-0.85</v>
      </c>
      <c r="I267" s="1">
        <v>0.05</v>
      </c>
      <c r="J267" s="1">
        <v>0</v>
      </c>
      <c r="K267" s="1" t="s">
        <v>38</v>
      </c>
      <c r="L267" s="1">
        <v>2389</v>
      </c>
      <c r="M267" s="1">
        <v>0.77</v>
      </c>
      <c r="N267" s="1">
        <v>0.25330000000000003</v>
      </c>
      <c r="O267" s="1">
        <f>VLOOKUP(D267,underlying!$D$2:$H$75,5,FALSE)</f>
        <v>-0.38</v>
      </c>
      <c r="P267" s="2">
        <f>VLOOKUP(D267,underlying!$D$2:$L$39,9,FALSE)</f>
        <v>42793</v>
      </c>
      <c r="Q267" s="7">
        <f>IF(G267="C",NormalCallSprd(O267,H267,M267,(P267-A267)/365), NormalPutSprd(O267,H267,M267,(P267-A267)/365))</f>
        <v>5.3733668977194851E-2</v>
      </c>
      <c r="R267" s="9">
        <f t="shared" si="9"/>
        <v>3.7336689771948484E-3</v>
      </c>
    </row>
    <row r="268" spans="1:18" x14ac:dyDescent="0.2">
      <c r="A268" s="2">
        <v>42622</v>
      </c>
      <c r="B268" s="1" t="s">
        <v>13</v>
      </c>
      <c r="C268" s="1" t="s">
        <v>14</v>
      </c>
      <c r="D268" s="2">
        <v>42739</v>
      </c>
      <c r="E268" s="2">
        <f t="shared" si="8"/>
        <v>42826</v>
      </c>
      <c r="F268" s="1" t="s">
        <v>15</v>
      </c>
      <c r="G268" s="1" t="s">
        <v>16</v>
      </c>
      <c r="H268" s="1">
        <v>-0.8</v>
      </c>
      <c r="I268" s="1">
        <v>0.48</v>
      </c>
      <c r="J268" s="1">
        <v>-0.04</v>
      </c>
      <c r="K268" s="1" t="s">
        <v>38</v>
      </c>
      <c r="L268" s="1">
        <v>2389</v>
      </c>
      <c r="M268" s="1">
        <v>0.76</v>
      </c>
      <c r="N268" s="1">
        <v>0.29752000000000001</v>
      </c>
      <c r="O268" s="1">
        <f>VLOOKUP(D268,underlying!$D$2:$H$75,5,FALSE)</f>
        <v>-0.38</v>
      </c>
      <c r="P268" s="2">
        <f>VLOOKUP(D268,underlying!$D$2:$L$39,9,FALSE)</f>
        <v>42793</v>
      </c>
      <c r="Q268" s="7">
        <f>IF(G268="C",NormalCallSprd(O268,H268,M268,(P268-A268)/365), NormalPutSprd(O268,H268,M268,(P268-A268)/365))</f>
        <v>0.48172060562114932</v>
      </c>
      <c r="R268" s="9">
        <f t="shared" si="9"/>
        <v>1.7206056211493403E-3</v>
      </c>
    </row>
    <row r="269" spans="1:18" x14ac:dyDescent="0.2">
      <c r="A269" s="2">
        <v>42622</v>
      </c>
      <c r="B269" s="1" t="s">
        <v>13</v>
      </c>
      <c r="C269" s="1" t="s">
        <v>14</v>
      </c>
      <c r="D269" s="2">
        <v>42739</v>
      </c>
      <c r="E269" s="2">
        <f t="shared" si="8"/>
        <v>42826</v>
      </c>
      <c r="F269" s="1" t="s">
        <v>15</v>
      </c>
      <c r="G269" s="1" t="s">
        <v>18</v>
      </c>
      <c r="H269" s="1">
        <v>-0.8</v>
      </c>
      <c r="I269" s="1">
        <v>0.06</v>
      </c>
      <c r="J269" s="1">
        <v>0</v>
      </c>
      <c r="K269" s="1" t="s">
        <v>38</v>
      </c>
      <c r="L269" s="1">
        <v>2389</v>
      </c>
      <c r="M269" s="1">
        <v>0.76</v>
      </c>
      <c r="N269" s="1">
        <v>0.34497</v>
      </c>
      <c r="O269" s="1">
        <f>VLOOKUP(D269,underlying!$D$2:$H$75,5,FALSE)</f>
        <v>-0.38</v>
      </c>
      <c r="P269" s="2">
        <f>VLOOKUP(D269,underlying!$D$2:$L$39,9,FALSE)</f>
        <v>42793</v>
      </c>
      <c r="Q269" s="7">
        <f>IF(G269="C",NormalCallSprd(O269,H269,M269,(P269-A269)/365), NormalPutSprd(O269,H269,M269,(P269-A269)/365))</f>
        <v>6.1720605621149283E-2</v>
      </c>
      <c r="R269" s="9">
        <f t="shared" si="9"/>
        <v>1.7206056211492848E-3</v>
      </c>
    </row>
    <row r="270" spans="1:18" x14ac:dyDescent="0.2">
      <c r="A270" s="2">
        <v>42622</v>
      </c>
      <c r="B270" s="1" t="s">
        <v>13</v>
      </c>
      <c r="C270" s="1" t="s">
        <v>14</v>
      </c>
      <c r="D270" s="2">
        <v>42739</v>
      </c>
      <c r="E270" s="2">
        <f t="shared" si="8"/>
        <v>42826</v>
      </c>
      <c r="F270" s="1" t="s">
        <v>15</v>
      </c>
      <c r="G270" s="1" t="s">
        <v>16</v>
      </c>
      <c r="H270" s="1">
        <v>-0.75</v>
      </c>
      <c r="I270" s="1">
        <v>0.44</v>
      </c>
      <c r="J270" s="1">
        <v>-0.03</v>
      </c>
      <c r="K270" s="1" t="s">
        <v>38</v>
      </c>
      <c r="L270" s="1">
        <v>2389</v>
      </c>
      <c r="M270" s="1">
        <v>0.75</v>
      </c>
      <c r="N270" s="1">
        <v>0.39498</v>
      </c>
      <c r="O270" s="1">
        <f>VLOOKUP(D270,underlying!$D$2:$H$75,5,FALSE)</f>
        <v>-0.38</v>
      </c>
      <c r="P270" s="2">
        <f>VLOOKUP(D270,underlying!$D$2:$L$39,9,FALSE)</f>
        <v>42793</v>
      </c>
      <c r="Q270" s="7">
        <f>IF(G270="C",NormalCallSprd(O270,H270,M270,(P270-A270)/365), NormalPutSprd(O270,H270,M270,(P270-A270)/365))</f>
        <v>0.44080311820588242</v>
      </c>
      <c r="R270" s="9">
        <f t="shared" si="9"/>
        <v>8.0311820588241378E-4</v>
      </c>
    </row>
    <row r="271" spans="1:18" x14ac:dyDescent="0.2">
      <c r="A271" s="2">
        <v>42622</v>
      </c>
      <c r="B271" s="1" t="s">
        <v>13</v>
      </c>
      <c r="C271" s="1" t="s">
        <v>14</v>
      </c>
      <c r="D271" s="2">
        <v>42739</v>
      </c>
      <c r="E271" s="2">
        <f t="shared" si="8"/>
        <v>42826</v>
      </c>
      <c r="F271" s="1" t="s">
        <v>15</v>
      </c>
      <c r="G271" s="1" t="s">
        <v>18</v>
      </c>
      <c r="H271" s="1">
        <v>-0.75</v>
      </c>
      <c r="I271" s="1">
        <v>7.0000000000000007E-2</v>
      </c>
      <c r="J271" s="1">
        <v>0.01</v>
      </c>
      <c r="K271" s="1" t="s">
        <v>38</v>
      </c>
      <c r="L271" s="1">
        <v>2389</v>
      </c>
      <c r="M271" s="1">
        <v>0.75</v>
      </c>
      <c r="N271" s="1">
        <v>0.44678000000000001</v>
      </c>
      <c r="O271" s="1">
        <f>VLOOKUP(D271,underlying!$D$2:$H$75,5,FALSE)</f>
        <v>-0.38</v>
      </c>
      <c r="P271" s="2">
        <f>VLOOKUP(D271,underlying!$D$2:$L$39,9,FALSE)</f>
        <v>42793</v>
      </c>
      <c r="Q271" s="7">
        <f>IF(G271="C",NormalCallSprd(O271,H271,M271,(P271-A271)/365), NormalPutSprd(O271,H271,M271,(P271-A271)/365))</f>
        <v>7.080311820588242E-2</v>
      </c>
      <c r="R271" s="9">
        <f t="shared" si="9"/>
        <v>8.0311820588241378E-4</v>
      </c>
    </row>
    <row r="272" spans="1:18" x14ac:dyDescent="0.2">
      <c r="A272" s="2">
        <v>42622</v>
      </c>
      <c r="B272" s="1" t="s">
        <v>13</v>
      </c>
      <c r="C272" s="1" t="s">
        <v>14</v>
      </c>
      <c r="D272" s="2">
        <v>42739</v>
      </c>
      <c r="E272" s="2">
        <f t="shared" si="8"/>
        <v>42826</v>
      </c>
      <c r="F272" s="1" t="s">
        <v>15</v>
      </c>
      <c r="G272" s="1" t="s">
        <v>16</v>
      </c>
      <c r="H272" s="1">
        <v>-0.7</v>
      </c>
      <c r="I272" s="1">
        <v>0.4</v>
      </c>
      <c r="J272" s="1">
        <v>-0.03</v>
      </c>
      <c r="K272" s="1" t="s">
        <v>38</v>
      </c>
      <c r="L272" s="1">
        <v>2389</v>
      </c>
      <c r="M272" s="1">
        <v>0.74</v>
      </c>
      <c r="N272" s="1">
        <v>0.4995</v>
      </c>
      <c r="O272" s="1">
        <f>VLOOKUP(D272,underlying!$D$2:$H$75,5,FALSE)</f>
        <v>-0.38</v>
      </c>
      <c r="P272" s="2">
        <f>VLOOKUP(D272,underlying!$D$2:$L$39,9,FALSE)</f>
        <v>42793</v>
      </c>
      <c r="Q272" s="7">
        <f>IF(G272="C",NormalCallSprd(O272,H272,M272,(P272-A272)/365), NormalPutSprd(O272,H272,M272,(P272-A272)/365))</f>
        <v>0.40110346737592906</v>
      </c>
      <c r="R272" s="9">
        <f t="shared" si="9"/>
        <v>1.1034673759290348E-3</v>
      </c>
    </row>
    <row r="273" spans="1:18" x14ac:dyDescent="0.2">
      <c r="A273" s="2">
        <v>42622</v>
      </c>
      <c r="B273" s="1" t="s">
        <v>13</v>
      </c>
      <c r="C273" s="1" t="s">
        <v>14</v>
      </c>
      <c r="D273" s="2">
        <v>42739</v>
      </c>
      <c r="E273" s="2">
        <f t="shared" si="8"/>
        <v>42826</v>
      </c>
      <c r="F273" s="1" t="s">
        <v>15</v>
      </c>
      <c r="G273" s="1" t="s">
        <v>18</v>
      </c>
      <c r="H273" s="1">
        <v>-0.7</v>
      </c>
      <c r="I273" s="1">
        <v>0.08</v>
      </c>
      <c r="J273" s="1">
        <v>0.01</v>
      </c>
      <c r="K273" s="1" t="s">
        <v>38</v>
      </c>
      <c r="L273" s="1">
        <v>2389</v>
      </c>
      <c r="M273" s="1">
        <v>0.74</v>
      </c>
      <c r="N273" s="1">
        <v>0.55288999999999999</v>
      </c>
      <c r="O273" s="1">
        <f>VLOOKUP(D273,underlying!$D$2:$H$75,5,FALSE)</f>
        <v>-0.38</v>
      </c>
      <c r="P273" s="2">
        <f>VLOOKUP(D273,underlying!$D$2:$L$39,9,FALSE)</f>
        <v>42793</v>
      </c>
      <c r="Q273" s="7">
        <f>IF(G273="C",NormalCallSprd(O273,H273,M273,(P273-A273)/365), NormalPutSprd(O273,H273,M273,(P273-A273)/365))</f>
        <v>8.1103467375929078E-2</v>
      </c>
      <c r="R273" s="9">
        <f t="shared" si="9"/>
        <v>1.1034673759290764E-3</v>
      </c>
    </row>
    <row r="274" spans="1:18" x14ac:dyDescent="0.2">
      <c r="A274" s="2">
        <v>42622</v>
      </c>
      <c r="B274" s="1" t="s">
        <v>13</v>
      </c>
      <c r="C274" s="1" t="s">
        <v>14</v>
      </c>
      <c r="D274" s="2">
        <v>42739</v>
      </c>
      <c r="E274" s="2">
        <f t="shared" si="8"/>
        <v>42826</v>
      </c>
      <c r="F274" s="1" t="s">
        <v>15</v>
      </c>
      <c r="G274" s="1" t="s">
        <v>16</v>
      </c>
      <c r="H274" s="1">
        <v>-0.65</v>
      </c>
      <c r="I274" s="1">
        <v>0.36</v>
      </c>
      <c r="J274" s="1">
        <v>-0.03</v>
      </c>
      <c r="K274" s="1" t="s">
        <v>38</v>
      </c>
      <c r="L274" s="1">
        <v>2389</v>
      </c>
      <c r="M274" s="1">
        <v>0.73</v>
      </c>
      <c r="N274" s="1">
        <v>0.60531999999999997</v>
      </c>
      <c r="O274" s="1">
        <f>VLOOKUP(D274,underlying!$D$2:$H$75,5,FALSE)</f>
        <v>-0.38</v>
      </c>
      <c r="P274" s="2">
        <f>VLOOKUP(D274,underlying!$D$2:$L$39,9,FALSE)</f>
        <v>42793</v>
      </c>
      <c r="Q274" s="7">
        <f>IF(G274="C",NormalCallSprd(O274,H274,M274,(P274-A274)/365), NormalPutSprd(O274,H274,M274,(P274-A274)/365))</f>
        <v>0.36275013497136349</v>
      </c>
      <c r="R274" s="9">
        <f t="shared" si="9"/>
        <v>2.7501349713635048E-3</v>
      </c>
    </row>
    <row r="275" spans="1:18" x14ac:dyDescent="0.2">
      <c r="A275" s="2">
        <v>42622</v>
      </c>
      <c r="B275" s="1" t="s">
        <v>13</v>
      </c>
      <c r="C275" s="1" t="s">
        <v>14</v>
      </c>
      <c r="D275" s="2">
        <v>42739</v>
      </c>
      <c r="E275" s="2">
        <f t="shared" si="8"/>
        <v>42826</v>
      </c>
      <c r="F275" s="1" t="s">
        <v>15</v>
      </c>
      <c r="G275" s="1" t="s">
        <v>18</v>
      </c>
      <c r="H275" s="1">
        <v>-0.65</v>
      </c>
      <c r="I275" s="1">
        <v>0.09</v>
      </c>
      <c r="J275" s="1">
        <v>0.01</v>
      </c>
      <c r="K275" s="1" t="s">
        <v>38</v>
      </c>
      <c r="L275" s="1">
        <v>2389</v>
      </c>
      <c r="M275" s="1">
        <v>0.73</v>
      </c>
      <c r="N275" s="1">
        <v>0.65441000000000005</v>
      </c>
      <c r="O275" s="1">
        <f>VLOOKUP(D275,underlying!$D$2:$H$75,5,FALSE)</f>
        <v>-0.38</v>
      </c>
      <c r="P275" s="2">
        <f>VLOOKUP(D275,underlying!$D$2:$L$39,9,FALSE)</f>
        <v>42793</v>
      </c>
      <c r="Q275" s="7">
        <f>IF(G275="C",NormalCallSprd(O275,H275,M275,(P275-A275)/365), NormalPutSprd(O275,H275,M275,(P275-A275)/365))</f>
        <v>9.275013497136346E-2</v>
      </c>
      <c r="R275" s="9">
        <f t="shared" si="9"/>
        <v>2.7501349713634632E-3</v>
      </c>
    </row>
    <row r="276" spans="1:18" x14ac:dyDescent="0.2">
      <c r="A276" s="2">
        <v>42622</v>
      </c>
      <c r="B276" s="1" t="s">
        <v>13</v>
      </c>
      <c r="C276" s="1" t="s">
        <v>14</v>
      </c>
      <c r="D276" s="2">
        <v>42739</v>
      </c>
      <c r="E276" s="2">
        <f t="shared" si="8"/>
        <v>42826</v>
      </c>
      <c r="F276" s="1" t="s">
        <v>15</v>
      </c>
      <c r="G276" s="1" t="s">
        <v>16</v>
      </c>
      <c r="H276" s="1">
        <v>-0.6</v>
      </c>
      <c r="I276" s="1">
        <v>0.33</v>
      </c>
      <c r="J276" s="1">
        <v>-0.03</v>
      </c>
      <c r="K276" s="1" t="s">
        <v>38</v>
      </c>
      <c r="L276" s="1">
        <v>2389</v>
      </c>
      <c r="M276" s="1">
        <v>0.72</v>
      </c>
      <c r="N276" s="1">
        <v>0.69967000000000001</v>
      </c>
      <c r="O276" s="1">
        <f>VLOOKUP(D276,underlying!$D$2:$H$75,5,FALSE)</f>
        <v>-0.38</v>
      </c>
      <c r="P276" s="2">
        <f>VLOOKUP(D276,underlying!$D$2:$L$39,9,FALSE)</f>
        <v>42793</v>
      </c>
      <c r="Q276" s="7">
        <f>IF(G276="C",NormalCallSprd(O276,H276,M276,(P276-A276)/365), NormalPutSprd(O276,H276,M276,(P276-A276)/365))</f>
        <v>0.32587617137969799</v>
      </c>
      <c r="R276" s="9">
        <f t="shared" si="9"/>
        <v>4.123828620302028E-3</v>
      </c>
    </row>
    <row r="277" spans="1:18" x14ac:dyDescent="0.2">
      <c r="A277" s="2">
        <v>42622</v>
      </c>
      <c r="B277" s="1" t="s">
        <v>13</v>
      </c>
      <c r="C277" s="1" t="s">
        <v>14</v>
      </c>
      <c r="D277" s="2">
        <v>42739</v>
      </c>
      <c r="E277" s="2">
        <f t="shared" si="8"/>
        <v>42826</v>
      </c>
      <c r="F277" s="1" t="s">
        <v>15</v>
      </c>
      <c r="G277" s="1" t="s">
        <v>18</v>
      </c>
      <c r="H277" s="1">
        <v>-0.6</v>
      </c>
      <c r="I277" s="1">
        <v>0.11</v>
      </c>
      <c r="J277" s="1">
        <v>0.01</v>
      </c>
      <c r="K277" s="1" t="s">
        <v>38</v>
      </c>
      <c r="L277" s="1">
        <v>2389</v>
      </c>
      <c r="M277" s="1">
        <v>0.72</v>
      </c>
      <c r="N277" s="1">
        <v>0.74102000000000001</v>
      </c>
      <c r="O277" s="1">
        <f>VLOOKUP(D277,underlying!$D$2:$H$75,5,FALSE)</f>
        <v>-0.38</v>
      </c>
      <c r="P277" s="2">
        <f>VLOOKUP(D277,underlying!$D$2:$L$39,9,FALSE)</f>
        <v>42793</v>
      </c>
      <c r="Q277" s="7">
        <f>IF(G277="C",NormalCallSprd(O277,H277,M277,(P277-A277)/365), NormalPutSprd(O277,H277,M277,(P277-A277)/365))</f>
        <v>0.10587617137969803</v>
      </c>
      <c r="R277" s="9">
        <f t="shared" si="9"/>
        <v>4.1238286203019725E-3</v>
      </c>
    </row>
    <row r="278" spans="1:18" x14ac:dyDescent="0.2">
      <c r="A278" s="2">
        <v>42622</v>
      </c>
      <c r="B278" s="1" t="s">
        <v>13</v>
      </c>
      <c r="C278" s="1" t="s">
        <v>14</v>
      </c>
      <c r="D278" s="2">
        <v>42739</v>
      </c>
      <c r="E278" s="2">
        <f t="shared" si="8"/>
        <v>42826</v>
      </c>
      <c r="F278" s="1" t="s">
        <v>15</v>
      </c>
      <c r="G278" s="1" t="s">
        <v>16</v>
      </c>
      <c r="H278" s="1">
        <v>-0.55000000000000004</v>
      </c>
      <c r="I278" s="1">
        <v>0.28999999999999998</v>
      </c>
      <c r="J278" s="1">
        <v>-0.03</v>
      </c>
      <c r="K278" s="1" t="s">
        <v>38</v>
      </c>
      <c r="L278" s="1">
        <v>2389</v>
      </c>
      <c r="M278" s="1">
        <v>0.71</v>
      </c>
      <c r="N278" s="1">
        <v>0.77832000000000001</v>
      </c>
      <c r="O278" s="1">
        <f>VLOOKUP(D278,underlying!$D$2:$H$75,5,FALSE)</f>
        <v>-0.38</v>
      </c>
      <c r="P278" s="2">
        <f>VLOOKUP(D278,underlying!$D$2:$L$39,9,FALSE)</f>
        <v>42793</v>
      </c>
      <c r="Q278" s="7">
        <f>IF(G278="C",NormalCallSprd(O278,H278,M278,(P278-A278)/365), NormalPutSprd(O278,H278,M278,(P278-A278)/365))</f>
        <v>0.29061697999342101</v>
      </c>
      <c r="R278" s="9">
        <f t="shared" si="9"/>
        <v>6.169799934210296E-4</v>
      </c>
    </row>
    <row r="279" spans="1:18" x14ac:dyDescent="0.2">
      <c r="A279" s="2">
        <v>42622</v>
      </c>
      <c r="B279" s="1" t="s">
        <v>13</v>
      </c>
      <c r="C279" s="1" t="s">
        <v>14</v>
      </c>
      <c r="D279" s="2">
        <v>42739</v>
      </c>
      <c r="E279" s="2">
        <f t="shared" si="8"/>
        <v>42826</v>
      </c>
      <c r="F279" s="1" t="s">
        <v>15</v>
      </c>
      <c r="G279" s="1" t="s">
        <v>18</v>
      </c>
      <c r="H279" s="1">
        <v>-0.55000000000000004</v>
      </c>
      <c r="I279" s="1">
        <v>0.12</v>
      </c>
      <c r="J279" s="1">
        <v>0.01</v>
      </c>
      <c r="K279" s="1" t="s">
        <v>38</v>
      </c>
      <c r="L279" s="1">
        <v>2389</v>
      </c>
      <c r="M279" s="1">
        <v>0.71</v>
      </c>
      <c r="N279" s="1">
        <v>0.81154999999999999</v>
      </c>
      <c r="O279" s="1">
        <f>VLOOKUP(D279,underlying!$D$2:$H$75,5,FALSE)</f>
        <v>-0.38</v>
      </c>
      <c r="P279" s="2">
        <f>VLOOKUP(D279,underlying!$D$2:$L$39,9,FALSE)</f>
        <v>42793</v>
      </c>
      <c r="Q279" s="7">
        <f>IF(G279="C",NormalCallSprd(O279,H279,M279,(P279-A279)/365), NormalPutSprd(O279,H279,M279,(P279-A279)/365))</f>
        <v>0.12061697999342097</v>
      </c>
      <c r="R279" s="9">
        <f t="shared" si="9"/>
        <v>6.1697999342097409E-4</v>
      </c>
    </row>
    <row r="280" spans="1:18" x14ac:dyDescent="0.2">
      <c r="A280" s="2">
        <v>42622</v>
      </c>
      <c r="B280" s="1" t="s">
        <v>13</v>
      </c>
      <c r="C280" s="1" t="s">
        <v>14</v>
      </c>
      <c r="D280" s="2">
        <v>42739</v>
      </c>
      <c r="E280" s="2">
        <f t="shared" si="8"/>
        <v>42826</v>
      </c>
      <c r="F280" s="1" t="s">
        <v>15</v>
      </c>
      <c r="G280" s="1" t="s">
        <v>16</v>
      </c>
      <c r="H280" s="1">
        <v>-0.5</v>
      </c>
      <c r="I280" s="1">
        <v>0.26</v>
      </c>
      <c r="J280" s="1">
        <v>-0.02</v>
      </c>
      <c r="K280" s="1" t="s">
        <v>38</v>
      </c>
      <c r="L280" s="1">
        <v>2389</v>
      </c>
      <c r="M280" s="1">
        <v>0.7</v>
      </c>
      <c r="N280" s="1">
        <v>0.83855999999999997</v>
      </c>
      <c r="O280" s="1">
        <f>VLOOKUP(D280,underlying!$D$2:$H$75,5,FALSE)</f>
        <v>-0.38</v>
      </c>
      <c r="P280" s="2">
        <f>VLOOKUP(D280,underlying!$D$2:$L$39,9,FALSE)</f>
        <v>42793</v>
      </c>
      <c r="Q280" s="7">
        <f>IF(G280="C",NormalCallSprd(O280,H280,M280,(P280-A280)/365), NormalPutSprd(O280,H280,M280,(P280-A280)/365))</f>
        <v>0.25710749418343337</v>
      </c>
      <c r="R280" s="9">
        <f t="shared" si="9"/>
        <v>2.8925058165666373E-3</v>
      </c>
    </row>
    <row r="281" spans="1:18" x14ac:dyDescent="0.2">
      <c r="A281" s="2">
        <v>42622</v>
      </c>
      <c r="B281" s="1" t="s">
        <v>13</v>
      </c>
      <c r="C281" s="1" t="s">
        <v>14</v>
      </c>
      <c r="D281" s="2">
        <v>42739</v>
      </c>
      <c r="E281" s="2">
        <f t="shared" si="8"/>
        <v>42826</v>
      </c>
      <c r="F281" s="1" t="s">
        <v>15</v>
      </c>
      <c r="G281" s="1" t="s">
        <v>18</v>
      </c>
      <c r="H281" s="1">
        <v>-0.5</v>
      </c>
      <c r="I281" s="1">
        <v>0.14000000000000001</v>
      </c>
      <c r="J281" s="1">
        <v>0.01</v>
      </c>
      <c r="K281" s="1" t="s">
        <v>38</v>
      </c>
      <c r="L281" s="1">
        <v>2389</v>
      </c>
      <c r="M281" s="1">
        <v>0.7</v>
      </c>
      <c r="N281" s="1">
        <v>0.86358999999999997</v>
      </c>
      <c r="O281" s="1">
        <f>VLOOKUP(D281,underlying!$D$2:$H$75,5,FALSE)</f>
        <v>-0.38</v>
      </c>
      <c r="P281" s="2">
        <f>VLOOKUP(D281,underlying!$D$2:$L$39,9,FALSE)</f>
        <v>42793</v>
      </c>
      <c r="Q281" s="7">
        <f>IF(G281="C",NormalCallSprd(O281,H281,M281,(P281-A281)/365), NormalPutSprd(O281,H281,M281,(P281-A281)/365))</f>
        <v>0.13710749418343338</v>
      </c>
      <c r="R281" s="9">
        <f t="shared" si="9"/>
        <v>2.8925058165666373E-3</v>
      </c>
    </row>
    <row r="282" spans="1:18" x14ac:dyDescent="0.2">
      <c r="A282" s="2">
        <v>42622</v>
      </c>
      <c r="B282" s="1" t="s">
        <v>13</v>
      </c>
      <c r="C282" s="1" t="s">
        <v>14</v>
      </c>
      <c r="D282" s="2">
        <v>42739</v>
      </c>
      <c r="E282" s="2">
        <f t="shared" si="8"/>
        <v>42826</v>
      </c>
      <c r="F282" s="1" t="s">
        <v>15</v>
      </c>
      <c r="G282" s="1" t="s">
        <v>16</v>
      </c>
      <c r="H282" s="1">
        <v>-0.45</v>
      </c>
      <c r="I282" s="1">
        <v>0.23</v>
      </c>
      <c r="J282" s="1">
        <v>-0.02</v>
      </c>
      <c r="K282" s="1" t="s">
        <v>38</v>
      </c>
      <c r="L282" s="1">
        <v>2389</v>
      </c>
      <c r="M282" s="1">
        <v>0.69</v>
      </c>
      <c r="N282" s="1">
        <v>0.88575999999999999</v>
      </c>
      <c r="O282" s="1">
        <f>VLOOKUP(D282,underlying!$D$2:$H$75,5,FALSE)</f>
        <v>-0.38</v>
      </c>
      <c r="P282" s="2">
        <f>VLOOKUP(D282,underlying!$D$2:$L$39,9,FALSE)</f>
        <v>42793</v>
      </c>
      <c r="Q282" s="7">
        <f>IF(G282="C",NormalCallSprd(O282,H282,M282,(P282-A282)/365), NormalPutSprd(O282,H282,M282,(P282-A282)/365))</f>
        <v>0.22547873036255067</v>
      </c>
      <c r="R282" s="9">
        <f t="shared" si="9"/>
        <v>4.5212696374493377E-3</v>
      </c>
    </row>
    <row r="283" spans="1:18" x14ac:dyDescent="0.2">
      <c r="A283" s="2">
        <v>42622</v>
      </c>
      <c r="B283" s="1" t="s">
        <v>13</v>
      </c>
      <c r="C283" s="1" t="s">
        <v>14</v>
      </c>
      <c r="D283" s="2">
        <v>42739</v>
      </c>
      <c r="E283" s="2">
        <f t="shared" si="8"/>
        <v>42826</v>
      </c>
      <c r="F283" s="1" t="s">
        <v>15</v>
      </c>
      <c r="G283" s="1" t="s">
        <v>18</v>
      </c>
      <c r="H283" s="1">
        <v>-0.45</v>
      </c>
      <c r="I283" s="1">
        <v>0.16</v>
      </c>
      <c r="J283" s="1">
        <v>0.02</v>
      </c>
      <c r="K283" s="1" t="s">
        <v>38</v>
      </c>
      <c r="L283" s="1">
        <v>2389</v>
      </c>
      <c r="M283" s="1">
        <v>0.69</v>
      </c>
      <c r="N283" s="1">
        <v>0.90481</v>
      </c>
      <c r="O283" s="1">
        <f>VLOOKUP(D283,underlying!$D$2:$H$75,5,FALSE)</f>
        <v>-0.38</v>
      </c>
      <c r="P283" s="2">
        <f>VLOOKUP(D283,underlying!$D$2:$L$39,9,FALSE)</f>
        <v>42793</v>
      </c>
      <c r="Q283" s="7">
        <f>IF(G283="C",NormalCallSprd(O283,H283,M283,(P283-A283)/365), NormalPutSprd(O283,H283,M283,(P283-A283)/365))</f>
        <v>0.15547873036255067</v>
      </c>
      <c r="R283" s="9">
        <f t="shared" si="9"/>
        <v>4.5212696374493377E-3</v>
      </c>
    </row>
    <row r="284" spans="1:18" x14ac:dyDescent="0.2">
      <c r="A284" s="2">
        <v>42622</v>
      </c>
      <c r="B284" s="1" t="s">
        <v>13</v>
      </c>
      <c r="C284" s="1" t="s">
        <v>14</v>
      </c>
      <c r="D284" s="2">
        <v>42739</v>
      </c>
      <c r="E284" s="2">
        <f t="shared" si="8"/>
        <v>42826</v>
      </c>
      <c r="F284" s="1" t="s">
        <v>15</v>
      </c>
      <c r="G284" s="1" t="s">
        <v>16</v>
      </c>
      <c r="H284" s="1">
        <v>-0.4</v>
      </c>
      <c r="I284" s="1">
        <v>0.2</v>
      </c>
      <c r="J284" s="1">
        <v>-0.02</v>
      </c>
      <c r="K284" s="1" t="s">
        <v>38</v>
      </c>
      <c r="L284" s="1">
        <v>2389</v>
      </c>
      <c r="M284" s="1">
        <v>0.69</v>
      </c>
      <c r="N284" s="1">
        <v>0.92288000000000003</v>
      </c>
      <c r="O284" s="1">
        <f>VLOOKUP(D284,underlying!$D$2:$H$75,5,FALSE)</f>
        <v>-0.38</v>
      </c>
      <c r="P284" s="2">
        <f>VLOOKUP(D284,underlying!$D$2:$L$39,9,FALSE)</f>
        <v>42793</v>
      </c>
      <c r="Q284" s="7">
        <f>IF(G284="C",NormalCallSprd(O284,H284,M284,(P284-A284)/365), NormalPutSprd(O284,H284,M284,(P284-A284)/365))</f>
        <v>0.1985818804887424</v>
      </c>
      <c r="R284" s="9">
        <f t="shared" si="9"/>
        <v>1.418119511257615E-3</v>
      </c>
    </row>
    <row r="285" spans="1:18" x14ac:dyDescent="0.2">
      <c r="A285" s="2">
        <v>42622</v>
      </c>
      <c r="B285" s="1" t="s">
        <v>13</v>
      </c>
      <c r="C285" s="1" t="s">
        <v>14</v>
      </c>
      <c r="D285" s="2">
        <v>42739</v>
      </c>
      <c r="E285" s="2">
        <f t="shared" si="8"/>
        <v>42826</v>
      </c>
      <c r="F285" s="1" t="s">
        <v>15</v>
      </c>
      <c r="G285" s="1" t="s">
        <v>18</v>
      </c>
      <c r="H285" s="1">
        <v>-0.4</v>
      </c>
      <c r="I285" s="1">
        <v>0.18</v>
      </c>
      <c r="J285" s="1">
        <v>0.02</v>
      </c>
      <c r="K285" s="1" t="s">
        <v>38</v>
      </c>
      <c r="L285" s="1">
        <v>2389</v>
      </c>
      <c r="M285" s="1">
        <v>0.69</v>
      </c>
      <c r="N285" s="1">
        <v>0.99900999999999995</v>
      </c>
      <c r="O285" s="1">
        <f>VLOOKUP(D285,underlying!$D$2:$H$75,5,FALSE)</f>
        <v>-0.38</v>
      </c>
      <c r="P285" s="2">
        <f>VLOOKUP(D285,underlying!$D$2:$L$39,9,FALSE)</f>
        <v>42793</v>
      </c>
      <c r="Q285" s="7">
        <f>IF(G285="C",NormalCallSprd(O285,H285,M285,(P285-A285)/365), NormalPutSprd(O285,H285,M285,(P285-A285)/365))</f>
        <v>0.17858188048874238</v>
      </c>
      <c r="R285" s="9">
        <f t="shared" si="9"/>
        <v>1.418119511257615E-3</v>
      </c>
    </row>
    <row r="286" spans="1:18" x14ac:dyDescent="0.2">
      <c r="A286" s="2">
        <v>42622</v>
      </c>
      <c r="B286" s="1" t="s">
        <v>13</v>
      </c>
      <c r="C286" s="1" t="s">
        <v>14</v>
      </c>
      <c r="D286" s="2">
        <v>42739</v>
      </c>
      <c r="E286" s="2">
        <f t="shared" si="8"/>
        <v>42826</v>
      </c>
      <c r="F286" s="1" t="s">
        <v>15</v>
      </c>
      <c r="G286" s="1" t="s">
        <v>16</v>
      </c>
      <c r="H286" s="1">
        <v>-0.35</v>
      </c>
      <c r="I286" s="1">
        <v>0.17</v>
      </c>
      <c r="J286" s="1">
        <v>-0.02</v>
      </c>
      <c r="K286" s="1" t="s">
        <v>38</v>
      </c>
      <c r="L286" s="1">
        <v>2389</v>
      </c>
      <c r="M286" s="1">
        <v>0.68</v>
      </c>
      <c r="N286" s="1">
        <v>0.99861999999999995</v>
      </c>
      <c r="O286" s="1">
        <f>VLOOKUP(D286,underlying!$D$2:$H$75,5,FALSE)</f>
        <v>-0.38</v>
      </c>
      <c r="P286" s="2">
        <f>VLOOKUP(D286,underlying!$D$2:$L$39,9,FALSE)</f>
        <v>42793</v>
      </c>
      <c r="Q286" s="7">
        <f>IF(G286="C",NormalCallSprd(O286,H286,M286,(P286-A286)/365), NormalPutSprd(O286,H286,M286,(P286-A286)/365))</f>
        <v>0.17106791794621029</v>
      </c>
      <c r="R286" s="9">
        <f t="shared" si="9"/>
        <v>1.0679179462102784E-3</v>
      </c>
    </row>
    <row r="287" spans="1:18" x14ac:dyDescent="0.2">
      <c r="A287" s="2">
        <v>42622</v>
      </c>
      <c r="B287" s="1" t="s">
        <v>13</v>
      </c>
      <c r="C287" s="1" t="s">
        <v>14</v>
      </c>
      <c r="D287" s="2">
        <v>42739</v>
      </c>
      <c r="E287" s="2">
        <f t="shared" si="8"/>
        <v>42826</v>
      </c>
      <c r="F287" s="1" t="s">
        <v>15</v>
      </c>
      <c r="G287" s="1" t="s">
        <v>18</v>
      </c>
      <c r="H287" s="1">
        <v>-0.35</v>
      </c>
      <c r="I287" s="1">
        <v>0.2</v>
      </c>
      <c r="J287" s="1">
        <v>0.02</v>
      </c>
      <c r="K287" s="1" t="s">
        <v>38</v>
      </c>
      <c r="L287" s="1">
        <v>2389</v>
      </c>
      <c r="M287" s="1">
        <v>0.68</v>
      </c>
      <c r="N287" s="1">
        <v>0.99900999999999995</v>
      </c>
      <c r="O287" s="1">
        <f>VLOOKUP(D287,underlying!$D$2:$H$75,5,FALSE)</f>
        <v>-0.38</v>
      </c>
      <c r="P287" s="2">
        <f>VLOOKUP(D287,underlying!$D$2:$L$39,9,FALSE)</f>
        <v>42793</v>
      </c>
      <c r="Q287" s="7">
        <f>IF(G287="C",NormalCallSprd(O287,H287,M287,(P287-A287)/365), NormalPutSprd(O287,H287,M287,(P287-A287)/365))</f>
        <v>0.20106791794621032</v>
      </c>
      <c r="R287" s="9">
        <f t="shared" si="9"/>
        <v>1.0679179462103061E-3</v>
      </c>
    </row>
    <row r="288" spans="1:18" x14ac:dyDescent="0.2">
      <c r="A288" s="2">
        <v>42622</v>
      </c>
      <c r="B288" s="1" t="s">
        <v>13</v>
      </c>
      <c r="C288" s="1" t="s">
        <v>14</v>
      </c>
      <c r="D288" s="2">
        <v>42739</v>
      </c>
      <c r="E288" s="2">
        <f t="shared" si="8"/>
        <v>42826</v>
      </c>
      <c r="F288" s="1" t="s">
        <v>15</v>
      </c>
      <c r="G288" s="1" t="s">
        <v>16</v>
      </c>
      <c r="H288" s="1">
        <v>-0.3</v>
      </c>
      <c r="I288" s="1">
        <v>0.15</v>
      </c>
      <c r="J288" s="1">
        <v>-0.02</v>
      </c>
      <c r="K288" s="1" t="s">
        <v>38</v>
      </c>
      <c r="L288" s="1">
        <v>2389</v>
      </c>
      <c r="M288" s="1">
        <v>0.67</v>
      </c>
      <c r="N288" s="1">
        <v>0.99900999999999995</v>
      </c>
      <c r="O288" s="1">
        <f>VLOOKUP(D288,underlying!$D$2:$H$75,5,FALSE)</f>
        <v>-0.38</v>
      </c>
      <c r="P288" s="2">
        <f>VLOOKUP(D288,underlying!$D$2:$L$39,9,FALSE)</f>
        <v>42793</v>
      </c>
      <c r="Q288" s="7">
        <f>IF(G288="C",NormalCallSprd(O288,H288,M288,(P288-A288)/365), NormalPutSprd(O288,H288,M288,(P288-A288)/365))</f>
        <v>0.14572845131206977</v>
      </c>
      <c r="R288" s="9">
        <f t="shared" si="9"/>
        <v>4.2715486879302267E-3</v>
      </c>
    </row>
    <row r="289" spans="1:18" x14ac:dyDescent="0.2">
      <c r="A289" s="2">
        <v>42622</v>
      </c>
      <c r="B289" s="1" t="s">
        <v>13</v>
      </c>
      <c r="C289" s="1" t="s">
        <v>14</v>
      </c>
      <c r="D289" s="2">
        <v>42739</v>
      </c>
      <c r="E289" s="2">
        <f t="shared" si="8"/>
        <v>42826</v>
      </c>
      <c r="F289" s="1" t="s">
        <v>15</v>
      </c>
      <c r="G289" s="1" t="s">
        <v>18</v>
      </c>
      <c r="H289" s="1">
        <v>-0.3</v>
      </c>
      <c r="I289" s="1">
        <v>0.23</v>
      </c>
      <c r="J289" s="1">
        <v>0.02</v>
      </c>
      <c r="K289" s="1" t="s">
        <v>38</v>
      </c>
      <c r="L289" s="1">
        <v>2389</v>
      </c>
      <c r="M289" s="1">
        <v>0.67</v>
      </c>
      <c r="N289" s="1">
        <v>-0.84484999999999999</v>
      </c>
      <c r="O289" s="1">
        <f>VLOOKUP(D289,underlying!$D$2:$H$75,5,FALSE)</f>
        <v>-0.38</v>
      </c>
      <c r="P289" s="2">
        <f>VLOOKUP(D289,underlying!$D$2:$L$39,9,FALSE)</f>
        <v>42793</v>
      </c>
      <c r="Q289" s="7">
        <f>IF(G289="C",NormalCallSprd(O289,H289,M289,(P289-A289)/365), NormalPutSprd(O289,H289,M289,(P289-A289)/365))</f>
        <v>0.22572845131206978</v>
      </c>
      <c r="R289" s="9">
        <f t="shared" si="9"/>
        <v>4.2715486879302267E-3</v>
      </c>
    </row>
    <row r="290" spans="1:18" x14ac:dyDescent="0.2">
      <c r="A290" s="2">
        <v>42622</v>
      </c>
      <c r="B290" s="1" t="s">
        <v>13</v>
      </c>
      <c r="C290" s="1" t="s">
        <v>14</v>
      </c>
      <c r="D290" s="2">
        <v>42739</v>
      </c>
      <c r="E290" s="2">
        <f t="shared" si="8"/>
        <v>42826</v>
      </c>
      <c r="F290" s="1" t="s">
        <v>15</v>
      </c>
      <c r="G290" s="1" t="s">
        <v>16</v>
      </c>
      <c r="H290" s="1">
        <v>-0.25</v>
      </c>
      <c r="I290" s="1">
        <v>0.12</v>
      </c>
      <c r="J290" s="1">
        <v>-0.02</v>
      </c>
      <c r="K290" s="1" t="s">
        <v>38</v>
      </c>
      <c r="L290" s="1">
        <v>2389</v>
      </c>
      <c r="M290" s="1">
        <v>0.65</v>
      </c>
      <c r="N290" s="1">
        <v>-0.81850000000000001</v>
      </c>
      <c r="O290" s="1">
        <f>VLOOKUP(D290,underlying!$D$2:$H$75,5,FALSE)</f>
        <v>-0.38</v>
      </c>
      <c r="P290" s="2">
        <f>VLOOKUP(D290,underlying!$D$2:$L$39,9,FALSE)</f>
        <v>42793</v>
      </c>
      <c r="Q290" s="7">
        <f>IF(G290="C",NormalCallSprd(O290,H290,M290,(P290-A290)/365), NormalPutSprd(O290,H290,M290,(P290-A290)/365))</f>
        <v>0.12001409691844958</v>
      </c>
      <c r="R290" s="9">
        <f t="shared" si="9"/>
        <v>1.4096918449585383E-5</v>
      </c>
    </row>
    <row r="291" spans="1:18" x14ac:dyDescent="0.2">
      <c r="A291" s="2">
        <v>42622</v>
      </c>
      <c r="B291" s="1" t="s">
        <v>13</v>
      </c>
      <c r="C291" s="1" t="s">
        <v>14</v>
      </c>
      <c r="D291" s="2">
        <v>42739</v>
      </c>
      <c r="E291" s="2">
        <f t="shared" si="8"/>
        <v>42826</v>
      </c>
      <c r="F291" s="1" t="s">
        <v>15</v>
      </c>
      <c r="G291" s="1" t="s">
        <v>18</v>
      </c>
      <c r="H291" s="1">
        <v>-0.25</v>
      </c>
      <c r="I291" s="1">
        <v>0.25</v>
      </c>
      <c r="J291" s="1">
        <v>0.02</v>
      </c>
      <c r="K291" s="1" t="s">
        <v>38</v>
      </c>
      <c r="L291" s="1">
        <v>2389</v>
      </c>
      <c r="M291" s="1">
        <v>0.65</v>
      </c>
      <c r="N291" s="1">
        <v>-0.78564000000000001</v>
      </c>
      <c r="O291" s="1">
        <f>VLOOKUP(D291,underlying!$D$2:$H$75,5,FALSE)</f>
        <v>-0.38</v>
      </c>
      <c r="P291" s="2">
        <f>VLOOKUP(D291,underlying!$D$2:$L$39,9,FALSE)</f>
        <v>42793</v>
      </c>
      <c r="Q291" s="7">
        <f>IF(G291="C",NormalCallSprd(O291,H291,M291,(P291-A291)/365), NormalPutSprd(O291,H291,M291,(P291-A291)/365))</f>
        <v>0.25001409691844961</v>
      </c>
      <c r="R291" s="9">
        <f t="shared" si="9"/>
        <v>1.4096918449613138E-5</v>
      </c>
    </row>
    <row r="292" spans="1:18" x14ac:dyDescent="0.2">
      <c r="A292" s="2">
        <v>42622</v>
      </c>
      <c r="B292" s="1" t="s">
        <v>13</v>
      </c>
      <c r="C292" s="1" t="s">
        <v>14</v>
      </c>
      <c r="D292" s="2">
        <v>42739</v>
      </c>
      <c r="E292" s="2">
        <f t="shared" si="8"/>
        <v>42826</v>
      </c>
      <c r="F292" s="1" t="s">
        <v>15</v>
      </c>
      <c r="G292" s="1" t="s">
        <v>16</v>
      </c>
      <c r="H292" s="1">
        <v>-0.2</v>
      </c>
      <c r="I292" s="1">
        <v>0.1</v>
      </c>
      <c r="J292" s="1">
        <v>-0.02</v>
      </c>
      <c r="K292" s="1" t="s">
        <v>38</v>
      </c>
      <c r="L292" s="1">
        <v>2389</v>
      </c>
      <c r="M292" s="1">
        <v>0.65</v>
      </c>
      <c r="N292" s="1">
        <v>-0.74570999999999998</v>
      </c>
      <c r="O292" s="1">
        <f>VLOOKUP(D292,underlying!$D$2:$H$75,5,FALSE)</f>
        <v>-0.38</v>
      </c>
      <c r="P292" s="2">
        <f>VLOOKUP(D292,underlying!$D$2:$L$39,9,FALSE)</f>
        <v>42793</v>
      </c>
      <c r="Q292" s="7">
        <f>IF(G292="C",NormalCallSprd(O292,H292,M292,(P292-A292)/365), NormalPutSprd(O292,H292,M292,(P292-A292)/365))</f>
        <v>0.1018219894947488</v>
      </c>
      <c r="R292" s="9">
        <f t="shared" si="9"/>
        <v>1.8219894947487936E-3</v>
      </c>
    </row>
    <row r="293" spans="1:18" x14ac:dyDescent="0.2">
      <c r="A293" s="2">
        <v>42622</v>
      </c>
      <c r="B293" s="1" t="s">
        <v>13</v>
      </c>
      <c r="C293" s="1" t="s">
        <v>14</v>
      </c>
      <c r="D293" s="2">
        <v>42739</v>
      </c>
      <c r="E293" s="2">
        <f t="shared" si="8"/>
        <v>42826</v>
      </c>
      <c r="F293" s="1" t="s">
        <v>15</v>
      </c>
      <c r="G293" s="1" t="s">
        <v>18</v>
      </c>
      <c r="H293" s="1">
        <v>-0.2</v>
      </c>
      <c r="I293" s="1">
        <v>0.28000000000000003</v>
      </c>
      <c r="J293" s="1">
        <v>0.02</v>
      </c>
      <c r="K293" s="1" t="s">
        <v>38</v>
      </c>
      <c r="L293" s="1">
        <v>2389</v>
      </c>
      <c r="M293" s="1">
        <v>0.65</v>
      </c>
      <c r="N293" s="1">
        <v>-0.70148999999999995</v>
      </c>
      <c r="O293" s="1">
        <f>VLOOKUP(D293,underlying!$D$2:$H$75,5,FALSE)</f>
        <v>-0.38</v>
      </c>
      <c r="P293" s="2">
        <f>VLOOKUP(D293,underlying!$D$2:$L$39,9,FALSE)</f>
        <v>42793</v>
      </c>
      <c r="Q293" s="7">
        <f>IF(G293="C",NormalCallSprd(O293,H293,M293,(P293-A293)/365), NormalPutSprd(O293,H293,M293,(P293-A293)/365))</f>
        <v>0.28182198949474879</v>
      </c>
      <c r="R293" s="9">
        <f t="shared" si="9"/>
        <v>1.8219894947487658E-3</v>
      </c>
    </row>
    <row r="294" spans="1:18" x14ac:dyDescent="0.2">
      <c r="A294" s="2">
        <v>42622</v>
      </c>
      <c r="B294" s="1" t="s">
        <v>13</v>
      </c>
      <c r="C294" s="1" t="s">
        <v>14</v>
      </c>
      <c r="D294" s="2">
        <v>42739</v>
      </c>
      <c r="E294" s="2">
        <f t="shared" si="8"/>
        <v>42826</v>
      </c>
      <c r="F294" s="1" t="s">
        <v>15</v>
      </c>
      <c r="G294" s="1" t="s">
        <v>16</v>
      </c>
      <c r="H294" s="1">
        <v>-0.15</v>
      </c>
      <c r="I294" s="1">
        <v>0.09</v>
      </c>
      <c r="J294" s="1">
        <v>-0.01</v>
      </c>
      <c r="K294" s="1" t="s">
        <v>38</v>
      </c>
      <c r="L294" s="1">
        <v>2389</v>
      </c>
      <c r="M294" s="1">
        <v>0.67</v>
      </c>
      <c r="N294" s="1">
        <v>-0.65403999999999995</v>
      </c>
      <c r="O294" s="1">
        <f>VLOOKUP(D294,underlying!$D$2:$H$75,5,FALSE)</f>
        <v>-0.38</v>
      </c>
      <c r="P294" s="2">
        <f>VLOOKUP(D294,underlying!$D$2:$L$39,9,FALSE)</f>
        <v>42793</v>
      </c>
      <c r="Q294" s="7">
        <f>IF(G294="C",NormalCallSprd(O294,H294,M294,(P294-A294)/365), NormalPutSprd(O294,H294,M294,(P294-A294)/365))</f>
        <v>9.0490880546390456E-2</v>
      </c>
      <c r="R294" s="9">
        <f t="shared" si="9"/>
        <v>4.9088054639045975E-4</v>
      </c>
    </row>
    <row r="295" spans="1:18" x14ac:dyDescent="0.2">
      <c r="A295" s="2">
        <v>42622</v>
      </c>
      <c r="B295" s="1" t="s">
        <v>13</v>
      </c>
      <c r="C295" s="1" t="s">
        <v>14</v>
      </c>
      <c r="D295" s="2">
        <v>42739</v>
      </c>
      <c r="E295" s="2">
        <f t="shared" si="8"/>
        <v>42826</v>
      </c>
      <c r="F295" s="1" t="s">
        <v>15</v>
      </c>
      <c r="G295" s="1" t="s">
        <v>18</v>
      </c>
      <c r="H295" s="1">
        <v>-0.15</v>
      </c>
      <c r="I295" s="1">
        <v>0.32</v>
      </c>
      <c r="J295" s="1">
        <v>0.03</v>
      </c>
      <c r="K295" s="1" t="s">
        <v>38</v>
      </c>
      <c r="L295" s="1">
        <v>2389</v>
      </c>
      <c r="M295" s="1">
        <v>0.67</v>
      </c>
      <c r="N295" s="1">
        <v>-0.60402999999999996</v>
      </c>
      <c r="O295" s="1">
        <f>VLOOKUP(D295,underlying!$D$2:$H$75,5,FALSE)</f>
        <v>-0.38</v>
      </c>
      <c r="P295" s="2">
        <f>VLOOKUP(D295,underlying!$D$2:$L$39,9,FALSE)</f>
        <v>42793</v>
      </c>
      <c r="Q295" s="7">
        <f>IF(G295="C",NormalCallSprd(O295,H295,M295,(P295-A295)/365), NormalPutSprd(O295,H295,M295,(P295-A295)/365))</f>
        <v>0.32049088054639047</v>
      </c>
      <c r="R295" s="9">
        <f t="shared" si="9"/>
        <v>4.9088054639045975E-4</v>
      </c>
    </row>
    <row r="296" spans="1:18" x14ac:dyDescent="0.2">
      <c r="A296" s="2">
        <v>42622</v>
      </c>
      <c r="B296" s="1" t="s">
        <v>13</v>
      </c>
      <c r="C296" s="1" t="s">
        <v>14</v>
      </c>
      <c r="D296" s="2">
        <v>42739</v>
      </c>
      <c r="E296" s="2">
        <f t="shared" si="8"/>
        <v>42826</v>
      </c>
      <c r="F296" s="1" t="s">
        <v>15</v>
      </c>
      <c r="G296" s="1" t="s">
        <v>16</v>
      </c>
      <c r="H296" s="1">
        <v>-0.1</v>
      </c>
      <c r="I296" s="1">
        <v>0.08</v>
      </c>
      <c r="J296" s="1">
        <v>-0.01</v>
      </c>
      <c r="K296" s="1" t="s">
        <v>38</v>
      </c>
      <c r="L296" s="1">
        <v>2389</v>
      </c>
      <c r="M296" s="1">
        <v>0.68</v>
      </c>
      <c r="N296" s="1">
        <v>-0.55223</v>
      </c>
      <c r="O296" s="1">
        <f>VLOOKUP(D296,underlying!$D$2:$H$75,5,FALSE)</f>
        <v>-0.38</v>
      </c>
      <c r="P296" s="2">
        <f>VLOOKUP(D296,underlying!$D$2:$L$39,9,FALSE)</f>
        <v>42793</v>
      </c>
      <c r="Q296" s="7">
        <f>IF(G296="C",NormalCallSprd(O296,H296,M296,(P296-A296)/365), NormalPutSprd(O296,H296,M296,(P296-A296)/365))</f>
        <v>7.8304249684209029E-2</v>
      </c>
      <c r="R296" s="9">
        <f t="shared" si="9"/>
        <v>1.6957503157909726E-3</v>
      </c>
    </row>
    <row r="297" spans="1:18" x14ac:dyDescent="0.2">
      <c r="A297" s="2">
        <v>42622</v>
      </c>
      <c r="B297" s="1" t="s">
        <v>13</v>
      </c>
      <c r="C297" s="1" t="s">
        <v>14</v>
      </c>
      <c r="D297" s="2">
        <v>42739</v>
      </c>
      <c r="E297" s="2">
        <f t="shared" si="8"/>
        <v>42826</v>
      </c>
      <c r="F297" s="1" t="s">
        <v>15</v>
      </c>
      <c r="G297" s="1" t="s">
        <v>18</v>
      </c>
      <c r="H297" s="1">
        <v>-0.1</v>
      </c>
      <c r="I297" s="1">
        <v>0.36</v>
      </c>
      <c r="J297" s="1">
        <v>0.03</v>
      </c>
      <c r="K297" s="1" t="s">
        <v>38</v>
      </c>
      <c r="L297" s="1">
        <v>2389</v>
      </c>
      <c r="M297" s="1">
        <v>0.68</v>
      </c>
      <c r="N297" s="1">
        <v>-0.4995</v>
      </c>
      <c r="O297" s="1">
        <f>VLOOKUP(D297,underlying!$D$2:$H$75,5,FALSE)</f>
        <v>-0.38</v>
      </c>
      <c r="P297" s="2">
        <f>VLOOKUP(D297,underlying!$D$2:$L$39,9,FALSE)</f>
        <v>42793</v>
      </c>
      <c r="Q297" s="7">
        <f>IF(G297="C",NormalCallSprd(O297,H297,M297,(P297-A297)/365), NormalPutSprd(O297,H297,M297,(P297-A297)/365))</f>
        <v>0.35830424968420904</v>
      </c>
      <c r="R297" s="9">
        <f t="shared" si="9"/>
        <v>1.6957503157909448E-3</v>
      </c>
    </row>
    <row r="298" spans="1:18" x14ac:dyDescent="0.2">
      <c r="A298" s="2">
        <v>42622</v>
      </c>
      <c r="B298" s="1" t="s">
        <v>13</v>
      </c>
      <c r="C298" s="1" t="s">
        <v>14</v>
      </c>
      <c r="D298" s="2">
        <v>42739</v>
      </c>
      <c r="E298" s="2">
        <f t="shared" si="8"/>
        <v>42826</v>
      </c>
      <c r="F298" s="1" t="s">
        <v>15</v>
      </c>
      <c r="G298" s="1" t="s">
        <v>16</v>
      </c>
      <c r="H298" s="1">
        <v>-0.05</v>
      </c>
      <c r="I298" s="1">
        <v>7.0000000000000007E-2</v>
      </c>
      <c r="J298" s="1">
        <v>-0.01</v>
      </c>
      <c r="K298" s="1" t="s">
        <v>38</v>
      </c>
      <c r="L298" s="1">
        <v>2389</v>
      </c>
      <c r="M298" s="1">
        <v>0.68</v>
      </c>
      <c r="N298" s="1">
        <v>-0.44612000000000002</v>
      </c>
      <c r="O298" s="1">
        <f>VLOOKUP(D298,underlying!$D$2:$H$75,5,FALSE)</f>
        <v>-0.38</v>
      </c>
      <c r="P298" s="2">
        <f>VLOOKUP(D298,underlying!$D$2:$L$39,9,FALSE)</f>
        <v>42793</v>
      </c>
      <c r="Q298" s="7">
        <f>IF(G298="C",NormalCallSprd(O298,H298,M298,(P298-A298)/365), NormalPutSprd(O298,H298,M298,(P298-A298)/365))</f>
        <v>6.5492294210255875E-2</v>
      </c>
      <c r="R298" s="9">
        <f t="shared" si="9"/>
        <v>4.5077057897441319E-3</v>
      </c>
    </row>
    <row r="299" spans="1:18" x14ac:dyDescent="0.2">
      <c r="A299" s="2">
        <v>42622</v>
      </c>
      <c r="B299" s="1" t="s">
        <v>13</v>
      </c>
      <c r="C299" s="1" t="s">
        <v>14</v>
      </c>
      <c r="D299" s="2">
        <v>42739</v>
      </c>
      <c r="E299" s="2">
        <f t="shared" si="8"/>
        <v>42826</v>
      </c>
      <c r="F299" s="1" t="s">
        <v>15</v>
      </c>
      <c r="G299" s="1" t="s">
        <v>18</v>
      </c>
      <c r="H299" s="1">
        <v>-0.05</v>
      </c>
      <c r="I299" s="1">
        <v>0.39</v>
      </c>
      <c r="J299" s="1">
        <v>0.03</v>
      </c>
      <c r="K299" s="1" t="s">
        <v>38</v>
      </c>
      <c r="L299" s="1">
        <v>2389</v>
      </c>
      <c r="M299" s="1">
        <v>0.68</v>
      </c>
      <c r="N299" s="1">
        <v>-0.39368999999999998</v>
      </c>
      <c r="O299" s="1">
        <f>VLOOKUP(D299,underlying!$D$2:$H$75,5,FALSE)</f>
        <v>-0.38</v>
      </c>
      <c r="P299" s="2">
        <f>VLOOKUP(D299,underlying!$D$2:$L$39,9,FALSE)</f>
        <v>42793</v>
      </c>
      <c r="Q299" s="7">
        <f>IF(G299="C",NormalCallSprd(O299,H299,M299,(P299-A299)/365), NormalPutSprd(O299,H299,M299,(P299-A299)/365))</f>
        <v>0.39549229421025589</v>
      </c>
      <c r="R299" s="9">
        <f t="shared" si="9"/>
        <v>5.4922942102558769E-3</v>
      </c>
    </row>
    <row r="300" spans="1:18" x14ac:dyDescent="0.2">
      <c r="A300" s="2">
        <v>42622</v>
      </c>
      <c r="B300" s="1" t="s">
        <v>13</v>
      </c>
      <c r="C300" s="1" t="s">
        <v>14</v>
      </c>
      <c r="D300" s="2">
        <v>42740</v>
      </c>
      <c r="E300" s="2">
        <f t="shared" si="8"/>
        <v>42856</v>
      </c>
      <c r="F300" s="1" t="s">
        <v>15</v>
      </c>
      <c r="G300" s="1" t="s">
        <v>16</v>
      </c>
      <c r="H300" s="1">
        <v>-3</v>
      </c>
      <c r="I300" s="1">
        <v>2.65</v>
      </c>
      <c r="J300" s="1">
        <v>-0.04</v>
      </c>
      <c r="K300" s="1" t="s">
        <v>41</v>
      </c>
      <c r="L300" s="1">
        <v>2389</v>
      </c>
      <c r="M300" s="1">
        <v>1</v>
      </c>
      <c r="N300" s="1">
        <v>-0.34460000000000002</v>
      </c>
      <c r="O300" s="1">
        <f>VLOOKUP(D300,underlying!$D$2:$H$75,5,FALSE)</f>
        <v>-0.34</v>
      </c>
      <c r="P300" s="2">
        <f>VLOOKUP(D300,underlying!$D$2:$L$39,9,FALSE)</f>
        <v>42824</v>
      </c>
      <c r="Q300" s="7">
        <f>IF(G300="C",NormalCallSprd(O300,H300,M300,(P300-A300)/365), NormalPutSprd(O300,H300,M300,(P300-A300)/365))</f>
        <v>2.6600321196230063</v>
      </c>
      <c r="R300" s="9">
        <f t="shared" si="9"/>
        <v>1.003211962300643E-2</v>
      </c>
    </row>
    <row r="301" spans="1:18" x14ac:dyDescent="0.2">
      <c r="A301" s="2">
        <v>42622</v>
      </c>
      <c r="B301" s="1" t="s">
        <v>13</v>
      </c>
      <c r="C301" s="1" t="s">
        <v>14</v>
      </c>
      <c r="D301" s="2">
        <v>42740</v>
      </c>
      <c r="E301" s="2">
        <f t="shared" si="8"/>
        <v>42856</v>
      </c>
      <c r="F301" s="1" t="s">
        <v>15</v>
      </c>
      <c r="G301" s="1" t="s">
        <v>18</v>
      </c>
      <c r="H301" s="1">
        <v>-3</v>
      </c>
      <c r="I301" s="1">
        <v>0.01</v>
      </c>
      <c r="J301" s="1">
        <v>0</v>
      </c>
      <c r="K301" s="1" t="s">
        <v>41</v>
      </c>
      <c r="L301" s="1">
        <v>2389</v>
      </c>
      <c r="M301" s="1">
        <v>1</v>
      </c>
      <c r="N301" s="1">
        <v>-0.29933999999999999</v>
      </c>
      <c r="O301" s="1">
        <f>VLOOKUP(D301,underlying!$D$2:$H$75,5,FALSE)</f>
        <v>-0.34</v>
      </c>
      <c r="P301" s="2">
        <f>VLOOKUP(D301,underlying!$D$2:$L$39,9,FALSE)</f>
        <v>42824</v>
      </c>
      <c r="Q301" s="7">
        <f>IF(G301="C",NormalCallSprd(O301,H301,M301,(P301-A301)/365), NormalPutSprd(O301,H301,M301,(P301-A301)/365))</f>
        <v>3.2119623006509373E-5</v>
      </c>
      <c r="R301" s="9">
        <f t="shared" si="9"/>
        <v>9.9678803769934904E-3</v>
      </c>
    </row>
    <row r="302" spans="1:18" x14ac:dyDescent="0.2">
      <c r="A302" s="2">
        <v>42622</v>
      </c>
      <c r="B302" s="1" t="s">
        <v>13</v>
      </c>
      <c r="C302" s="1" t="s">
        <v>14</v>
      </c>
      <c r="D302" s="2">
        <v>42740</v>
      </c>
      <c r="E302" s="2">
        <f t="shared" si="8"/>
        <v>42856</v>
      </c>
      <c r="F302" s="1" t="s">
        <v>15</v>
      </c>
      <c r="G302" s="1" t="s">
        <v>16</v>
      </c>
      <c r="H302" s="1">
        <v>-2</v>
      </c>
      <c r="I302" s="1">
        <v>1.66</v>
      </c>
      <c r="J302" s="1">
        <v>-0.04</v>
      </c>
      <c r="K302" s="1" t="s">
        <v>41</v>
      </c>
      <c r="L302" s="1">
        <v>2389</v>
      </c>
      <c r="M302" s="1">
        <v>0.87</v>
      </c>
      <c r="N302" s="1">
        <v>-0.25799</v>
      </c>
      <c r="O302" s="1">
        <f>VLOOKUP(D302,underlying!$D$2:$H$75,5,FALSE)</f>
        <v>-0.34</v>
      </c>
      <c r="P302" s="2">
        <f>VLOOKUP(D302,underlying!$D$2:$L$39,9,FALSE)</f>
        <v>42824</v>
      </c>
      <c r="Q302" s="7">
        <f>IF(G302="C",NormalCallSprd(O302,H302,M302,(P302-A302)/365), NormalPutSprd(O302,H302,M302,(P302-A302)/365))</f>
        <v>1.6610591319829464</v>
      </c>
      <c r="R302" s="9">
        <f t="shared" si="9"/>
        <v>1.0591319829464929E-3</v>
      </c>
    </row>
    <row r="303" spans="1:18" x14ac:dyDescent="0.2">
      <c r="A303" s="2">
        <v>42622</v>
      </c>
      <c r="B303" s="1" t="s">
        <v>13</v>
      </c>
      <c r="C303" s="1" t="s">
        <v>14</v>
      </c>
      <c r="D303" s="2">
        <v>42740</v>
      </c>
      <c r="E303" s="2">
        <f t="shared" si="8"/>
        <v>42856</v>
      </c>
      <c r="F303" s="1" t="s">
        <v>15</v>
      </c>
      <c r="G303" s="1" t="s">
        <v>18</v>
      </c>
      <c r="H303" s="1">
        <v>-2</v>
      </c>
      <c r="I303" s="1">
        <v>0.01</v>
      </c>
      <c r="J303" s="1">
        <v>0</v>
      </c>
      <c r="K303" s="1" t="s">
        <v>41</v>
      </c>
      <c r="L303" s="1">
        <v>2389</v>
      </c>
      <c r="M303" s="1">
        <v>0.87</v>
      </c>
      <c r="N303" s="1">
        <v>-0.22069</v>
      </c>
      <c r="O303" s="1">
        <f>VLOOKUP(D303,underlying!$D$2:$H$75,5,FALSE)</f>
        <v>-0.34</v>
      </c>
      <c r="P303" s="2">
        <f>VLOOKUP(D303,underlying!$D$2:$L$39,9,FALSE)</f>
        <v>42824</v>
      </c>
      <c r="Q303" s="7">
        <f>IF(G303="C",NormalCallSprd(O303,H303,M303,(P303-A303)/365), NormalPutSprd(O303,H303,M303,(P303-A303)/365))</f>
        <v>1.0591319829464606E-3</v>
      </c>
      <c r="R303" s="9">
        <f t="shared" si="9"/>
        <v>8.9408680170535403E-3</v>
      </c>
    </row>
    <row r="304" spans="1:18" x14ac:dyDescent="0.2">
      <c r="A304" s="2">
        <v>42622</v>
      </c>
      <c r="B304" s="1" t="s">
        <v>13</v>
      </c>
      <c r="C304" s="1" t="s">
        <v>14</v>
      </c>
      <c r="D304" s="2">
        <v>42740</v>
      </c>
      <c r="E304" s="2">
        <f t="shared" si="8"/>
        <v>42856</v>
      </c>
      <c r="F304" s="1" t="s">
        <v>15</v>
      </c>
      <c r="G304" s="1" t="s">
        <v>16</v>
      </c>
      <c r="H304" s="1">
        <v>-1</v>
      </c>
      <c r="I304" s="1">
        <v>0.69</v>
      </c>
      <c r="J304" s="1">
        <v>-0.03</v>
      </c>
      <c r="K304" s="1" t="s">
        <v>41</v>
      </c>
      <c r="L304" s="1">
        <v>2389</v>
      </c>
      <c r="M304" s="1">
        <v>0.71</v>
      </c>
      <c r="N304" s="1">
        <v>-0.18745999999999999</v>
      </c>
      <c r="O304" s="1">
        <f>VLOOKUP(D304,underlying!$D$2:$H$75,5,FALSE)</f>
        <v>-0.34</v>
      </c>
      <c r="P304" s="2">
        <f>VLOOKUP(D304,underlying!$D$2:$L$39,9,FALSE)</f>
        <v>42824</v>
      </c>
      <c r="Q304" s="7">
        <f>IF(G304="C",NormalCallSprd(O304,H304,M304,(P304-A304)/365), NormalPutSprd(O304,H304,M304,(P304-A304)/365))</f>
        <v>0.68674400757418652</v>
      </c>
      <c r="R304" s="9">
        <f t="shared" si="9"/>
        <v>3.2559924258134254E-3</v>
      </c>
    </row>
    <row r="305" spans="1:18" x14ac:dyDescent="0.2">
      <c r="A305" s="2">
        <v>42622</v>
      </c>
      <c r="B305" s="1" t="s">
        <v>13</v>
      </c>
      <c r="C305" s="1" t="s">
        <v>14</v>
      </c>
      <c r="D305" s="2">
        <v>42740</v>
      </c>
      <c r="E305" s="2">
        <f t="shared" si="8"/>
        <v>42856</v>
      </c>
      <c r="F305" s="1" t="s">
        <v>15</v>
      </c>
      <c r="G305" s="1" t="s">
        <v>18</v>
      </c>
      <c r="H305" s="1">
        <v>-1</v>
      </c>
      <c r="I305" s="1">
        <v>0.03</v>
      </c>
      <c r="J305" s="1">
        <v>0.01</v>
      </c>
      <c r="K305" s="1" t="s">
        <v>41</v>
      </c>
      <c r="L305" s="1">
        <v>2389</v>
      </c>
      <c r="M305" s="1">
        <v>0.71</v>
      </c>
      <c r="N305" s="1">
        <v>-0.16045000000000001</v>
      </c>
      <c r="O305" s="1">
        <f>VLOOKUP(D305,underlying!$D$2:$H$75,5,FALSE)</f>
        <v>-0.34</v>
      </c>
      <c r="P305" s="2">
        <f>VLOOKUP(D305,underlying!$D$2:$L$39,9,FALSE)</f>
        <v>42824</v>
      </c>
      <c r="Q305" s="7">
        <f>IF(G305="C",NormalCallSprd(O305,H305,M305,(P305-A305)/365), NormalPutSprd(O305,H305,M305,(P305-A305)/365))</f>
        <v>2.6744007574186567E-2</v>
      </c>
      <c r="R305" s="9">
        <f t="shared" si="9"/>
        <v>3.2559924258134323E-3</v>
      </c>
    </row>
    <row r="306" spans="1:18" x14ac:dyDescent="0.2">
      <c r="A306" s="2">
        <v>42622</v>
      </c>
      <c r="B306" s="1" t="s">
        <v>13</v>
      </c>
      <c r="C306" s="1" t="s">
        <v>14</v>
      </c>
      <c r="D306" s="2">
        <v>42740</v>
      </c>
      <c r="E306" s="2">
        <f t="shared" si="8"/>
        <v>42856</v>
      </c>
      <c r="F306" s="1" t="s">
        <v>15</v>
      </c>
      <c r="G306" s="1" t="s">
        <v>16</v>
      </c>
      <c r="H306" s="1">
        <v>-0.95</v>
      </c>
      <c r="I306" s="1">
        <v>0.64</v>
      </c>
      <c r="J306" s="1">
        <v>-0.04</v>
      </c>
      <c r="K306" s="1" t="s">
        <v>41</v>
      </c>
      <c r="L306" s="1">
        <v>2389</v>
      </c>
      <c r="M306" s="1">
        <v>0.7</v>
      </c>
      <c r="N306" s="1">
        <v>-0.13542000000000001</v>
      </c>
      <c r="O306" s="1">
        <f>VLOOKUP(D306,underlying!$D$2:$H$75,5,FALSE)</f>
        <v>-0.34</v>
      </c>
      <c r="P306" s="2">
        <f>VLOOKUP(D306,underlying!$D$2:$L$39,9,FALSE)</f>
        <v>42824</v>
      </c>
      <c r="Q306" s="7">
        <f>IF(G306="C",NormalCallSprd(O306,H306,M306,(P306-A306)/365), NormalPutSprd(O306,H306,M306,(P306-A306)/365))</f>
        <v>0.64097127927012454</v>
      </c>
      <c r="R306" s="9">
        <f t="shared" si="9"/>
        <v>9.7127927012452542E-4</v>
      </c>
    </row>
    <row r="307" spans="1:18" x14ac:dyDescent="0.2">
      <c r="A307" s="2">
        <v>42622</v>
      </c>
      <c r="B307" s="1" t="s">
        <v>13</v>
      </c>
      <c r="C307" s="1" t="s">
        <v>14</v>
      </c>
      <c r="D307" s="2">
        <v>42740</v>
      </c>
      <c r="E307" s="2">
        <f t="shared" si="8"/>
        <v>42856</v>
      </c>
      <c r="F307" s="1" t="s">
        <v>15</v>
      </c>
      <c r="G307" s="1" t="s">
        <v>18</v>
      </c>
      <c r="H307" s="1">
        <v>-0.95</v>
      </c>
      <c r="I307" s="1">
        <v>0.03</v>
      </c>
      <c r="J307" s="1">
        <v>0</v>
      </c>
      <c r="K307" s="1" t="s">
        <v>41</v>
      </c>
      <c r="L307" s="1">
        <v>2389</v>
      </c>
      <c r="M307" s="1">
        <v>0.7</v>
      </c>
      <c r="N307" s="1">
        <v>-0.11323999999999999</v>
      </c>
      <c r="O307" s="1">
        <f>VLOOKUP(D307,underlying!$D$2:$H$75,5,FALSE)</f>
        <v>-0.34</v>
      </c>
      <c r="P307" s="2">
        <f>VLOOKUP(D307,underlying!$D$2:$L$39,9,FALSE)</f>
        <v>42824</v>
      </c>
      <c r="Q307" s="7">
        <f>IF(G307="C",NormalCallSprd(O307,H307,M307,(P307-A307)/365), NormalPutSprd(O307,H307,M307,(P307-A307)/365))</f>
        <v>3.0971279270124618E-2</v>
      </c>
      <c r="R307" s="9">
        <f t="shared" si="9"/>
        <v>9.7127927012461909E-4</v>
      </c>
    </row>
    <row r="308" spans="1:18" x14ac:dyDescent="0.2">
      <c r="A308" s="2">
        <v>42622</v>
      </c>
      <c r="B308" s="1" t="s">
        <v>13</v>
      </c>
      <c r="C308" s="1" t="s">
        <v>14</v>
      </c>
      <c r="D308" s="2">
        <v>42740</v>
      </c>
      <c r="E308" s="2">
        <f t="shared" si="8"/>
        <v>42856</v>
      </c>
      <c r="F308" s="1" t="s">
        <v>15</v>
      </c>
      <c r="G308" s="1" t="s">
        <v>16</v>
      </c>
      <c r="H308" s="1">
        <v>-0.9</v>
      </c>
      <c r="I308" s="1">
        <v>0.59</v>
      </c>
      <c r="J308" s="1">
        <v>-0.04</v>
      </c>
      <c r="K308" s="1" t="s">
        <v>41</v>
      </c>
      <c r="L308" s="1">
        <v>2389</v>
      </c>
      <c r="M308" s="1">
        <v>0.69</v>
      </c>
      <c r="N308" s="1">
        <v>-9.4200000000000006E-2</v>
      </c>
      <c r="O308" s="1">
        <f>VLOOKUP(D308,underlying!$D$2:$H$75,5,FALSE)</f>
        <v>-0.34</v>
      </c>
      <c r="P308" s="2">
        <f>VLOOKUP(D308,underlying!$D$2:$L$39,9,FALSE)</f>
        <v>42824</v>
      </c>
      <c r="Q308" s="7">
        <f>IF(G308="C",NormalCallSprd(O308,H308,M308,(P308-A308)/365), NormalPutSprd(O308,H308,M308,(P308-A308)/365))</f>
        <v>0.59585693331186607</v>
      </c>
      <c r="R308" s="9">
        <f t="shared" si="9"/>
        <v>5.8569333118660971E-3</v>
      </c>
    </row>
    <row r="309" spans="1:18" x14ac:dyDescent="0.2">
      <c r="A309" s="2">
        <v>42622</v>
      </c>
      <c r="B309" s="1" t="s">
        <v>13</v>
      </c>
      <c r="C309" s="1" t="s">
        <v>14</v>
      </c>
      <c r="D309" s="2">
        <v>42740</v>
      </c>
      <c r="E309" s="2">
        <f t="shared" si="8"/>
        <v>42856</v>
      </c>
      <c r="F309" s="1" t="s">
        <v>15</v>
      </c>
      <c r="G309" s="1" t="s">
        <v>18</v>
      </c>
      <c r="H309" s="1">
        <v>-0.9</v>
      </c>
      <c r="I309" s="1">
        <v>0.04</v>
      </c>
      <c r="J309" s="1">
        <v>0.01</v>
      </c>
      <c r="K309" s="1" t="s">
        <v>41</v>
      </c>
      <c r="L309" s="1">
        <v>2389</v>
      </c>
      <c r="M309" s="1">
        <v>0.69</v>
      </c>
      <c r="N309" s="1">
        <v>-7.6130000000000003E-2</v>
      </c>
      <c r="O309" s="1">
        <f>VLOOKUP(D309,underlying!$D$2:$H$75,5,FALSE)</f>
        <v>-0.34</v>
      </c>
      <c r="P309" s="2">
        <f>VLOOKUP(D309,underlying!$D$2:$L$39,9,FALSE)</f>
        <v>42824</v>
      </c>
      <c r="Q309" s="7">
        <f>IF(G309="C",NormalCallSprd(O309,H309,M309,(P309-A309)/365), NormalPutSprd(O309,H309,M309,(P309-A309)/365))</f>
        <v>3.5856933311866061E-2</v>
      </c>
      <c r="R309" s="9">
        <f t="shared" si="9"/>
        <v>4.1430666881339395E-3</v>
      </c>
    </row>
    <row r="310" spans="1:18" x14ac:dyDescent="0.2">
      <c r="A310" s="2">
        <v>42622</v>
      </c>
      <c r="B310" s="1" t="s">
        <v>13</v>
      </c>
      <c r="C310" s="1" t="s">
        <v>14</v>
      </c>
      <c r="D310" s="2">
        <v>42740</v>
      </c>
      <c r="E310" s="2">
        <f t="shared" si="8"/>
        <v>42856</v>
      </c>
      <c r="F310" s="1" t="s">
        <v>15</v>
      </c>
      <c r="G310" s="1" t="s">
        <v>16</v>
      </c>
      <c r="H310" s="1">
        <v>-0.85</v>
      </c>
      <c r="I310" s="1">
        <v>0.55000000000000004</v>
      </c>
      <c r="J310" s="1">
        <v>-0.04</v>
      </c>
      <c r="K310" s="1" t="s">
        <v>41</v>
      </c>
      <c r="L310" s="1">
        <v>2389</v>
      </c>
      <c r="M310" s="1">
        <v>0.68</v>
      </c>
      <c r="N310" s="1">
        <v>0</v>
      </c>
      <c r="O310" s="1">
        <f>VLOOKUP(D310,underlying!$D$2:$H$75,5,FALSE)</f>
        <v>-0.34</v>
      </c>
      <c r="P310" s="2">
        <f>VLOOKUP(D310,underlying!$D$2:$L$39,9,FALSE)</f>
        <v>42824</v>
      </c>
      <c r="Q310" s="7">
        <f>IF(G310="C",NormalCallSprd(O310,H310,M310,(P310-A310)/365), NormalPutSprd(O310,H310,M310,(P310-A310)/365))</f>
        <v>0.55149540682042175</v>
      </c>
      <c r="R310" s="9">
        <f t="shared" si="9"/>
        <v>1.4954068204217075E-3</v>
      </c>
    </row>
    <row r="311" spans="1:18" x14ac:dyDescent="0.2">
      <c r="A311" s="2">
        <v>42622</v>
      </c>
      <c r="B311" s="1" t="s">
        <v>13</v>
      </c>
      <c r="C311" s="1" t="s">
        <v>14</v>
      </c>
      <c r="D311" s="2">
        <v>42740</v>
      </c>
      <c r="E311" s="2">
        <f t="shared" si="8"/>
        <v>42856</v>
      </c>
      <c r="F311" s="1" t="s">
        <v>15</v>
      </c>
      <c r="G311" s="1" t="s">
        <v>18</v>
      </c>
      <c r="H311" s="1">
        <v>-0.85</v>
      </c>
      <c r="I311" s="1">
        <v>0.04</v>
      </c>
      <c r="J311" s="1">
        <v>0</v>
      </c>
      <c r="K311" s="1" t="s">
        <v>41</v>
      </c>
      <c r="L311" s="1">
        <v>2389</v>
      </c>
      <c r="M311" s="1">
        <v>0.68</v>
      </c>
      <c r="N311" s="1">
        <v>-3.8999999999999999E-4</v>
      </c>
      <c r="O311" s="1">
        <f>VLOOKUP(D311,underlying!$D$2:$H$75,5,FALSE)</f>
        <v>-0.34</v>
      </c>
      <c r="P311" s="2">
        <f>VLOOKUP(D311,underlying!$D$2:$L$39,9,FALSE)</f>
        <v>42824</v>
      </c>
      <c r="Q311" s="7">
        <f>IF(G311="C",NormalCallSprd(O311,H311,M311,(P311-A311)/365), NormalPutSprd(O311,H311,M311,(P311-A311)/365))</f>
        <v>4.1495406820421778E-2</v>
      </c>
      <c r="R311" s="9">
        <f t="shared" si="9"/>
        <v>1.4954068204217769E-3</v>
      </c>
    </row>
    <row r="312" spans="1:18" x14ac:dyDescent="0.2">
      <c r="A312" s="2">
        <v>42622</v>
      </c>
      <c r="B312" s="1" t="s">
        <v>13</v>
      </c>
      <c r="C312" s="1" t="s">
        <v>14</v>
      </c>
      <c r="D312" s="2">
        <v>42740</v>
      </c>
      <c r="E312" s="2">
        <f t="shared" si="8"/>
        <v>42856</v>
      </c>
      <c r="F312" s="1" t="s">
        <v>15</v>
      </c>
      <c r="G312" s="1" t="s">
        <v>16</v>
      </c>
      <c r="H312" s="1">
        <v>-0.8</v>
      </c>
      <c r="I312" s="1">
        <v>0.51</v>
      </c>
      <c r="J312" s="1">
        <v>-0.03</v>
      </c>
      <c r="K312" s="1" t="s">
        <v>41</v>
      </c>
      <c r="L312" s="1">
        <v>2389</v>
      </c>
      <c r="M312" s="1">
        <v>0.68</v>
      </c>
      <c r="N312" s="1">
        <v>0</v>
      </c>
      <c r="O312" s="1">
        <f>VLOOKUP(D312,underlying!$D$2:$H$75,5,FALSE)</f>
        <v>-0.34</v>
      </c>
      <c r="P312" s="2">
        <f>VLOOKUP(D312,underlying!$D$2:$L$39,9,FALSE)</f>
        <v>42824</v>
      </c>
      <c r="Q312" s="7">
        <f>IF(G312="C",NormalCallSprd(O312,H312,M312,(P312-A312)/365), NormalPutSprd(O312,H312,M312,(P312-A312)/365))</f>
        <v>0.50994248957828203</v>
      </c>
      <c r="R312" s="9">
        <f t="shared" si="9"/>
        <v>5.7510421717976712E-5</v>
      </c>
    </row>
    <row r="313" spans="1:18" x14ac:dyDescent="0.2">
      <c r="A313" s="2">
        <v>42622</v>
      </c>
      <c r="B313" s="1" t="s">
        <v>13</v>
      </c>
      <c r="C313" s="1" t="s">
        <v>14</v>
      </c>
      <c r="D313" s="2">
        <v>42740</v>
      </c>
      <c r="E313" s="2">
        <f t="shared" si="8"/>
        <v>42856</v>
      </c>
      <c r="F313" s="1" t="s">
        <v>15</v>
      </c>
      <c r="G313" s="1" t="s">
        <v>18</v>
      </c>
      <c r="H313" s="1">
        <v>-0.8</v>
      </c>
      <c r="I313" s="1">
        <v>0.05</v>
      </c>
      <c r="J313" s="1">
        <v>0.01</v>
      </c>
      <c r="K313" s="1" t="s">
        <v>41</v>
      </c>
      <c r="L313" s="1">
        <v>2389</v>
      </c>
      <c r="M313" s="1">
        <v>0.68</v>
      </c>
      <c r="N313" s="1">
        <v>0</v>
      </c>
      <c r="O313" s="1">
        <f>VLOOKUP(D313,underlying!$D$2:$H$75,5,FALSE)</f>
        <v>-0.34</v>
      </c>
      <c r="P313" s="2">
        <f>VLOOKUP(D313,underlying!$D$2:$L$39,9,FALSE)</f>
        <v>42824</v>
      </c>
      <c r="Q313" s="7">
        <f>IF(G313="C",NormalCallSprd(O313,H313,M313,(P313-A313)/365), NormalPutSprd(O313,H313,M313,(P313-A313)/365))</f>
        <v>4.9942489578282012E-2</v>
      </c>
      <c r="R313" s="9">
        <f t="shared" si="9"/>
        <v>5.751042171799059E-5</v>
      </c>
    </row>
    <row r="314" spans="1:18" x14ac:dyDescent="0.2">
      <c r="A314" s="2">
        <v>42622</v>
      </c>
      <c r="B314" s="1" t="s">
        <v>13</v>
      </c>
      <c r="C314" s="1" t="s">
        <v>14</v>
      </c>
      <c r="D314" s="2">
        <v>42740</v>
      </c>
      <c r="E314" s="2">
        <f t="shared" si="8"/>
        <v>42856</v>
      </c>
      <c r="F314" s="1" t="s">
        <v>15</v>
      </c>
      <c r="G314" s="1" t="s">
        <v>16</v>
      </c>
      <c r="H314" s="1">
        <v>-0.75</v>
      </c>
      <c r="I314" s="1">
        <v>0.47</v>
      </c>
      <c r="J314" s="1">
        <v>-0.03</v>
      </c>
      <c r="K314" s="1" t="s">
        <v>41</v>
      </c>
      <c r="L314" s="1">
        <v>2389</v>
      </c>
      <c r="M314" s="1">
        <v>0.67</v>
      </c>
      <c r="N314" s="1">
        <v>0.39684000000000003</v>
      </c>
      <c r="O314" s="1">
        <f>VLOOKUP(D314,underlying!$D$2:$H$75,5,FALSE)</f>
        <v>-0.34</v>
      </c>
      <c r="P314" s="2">
        <f>VLOOKUP(D314,underlying!$D$2:$L$39,9,FALSE)</f>
        <v>42824</v>
      </c>
      <c r="Q314" s="7">
        <f>IF(G314="C",NormalCallSprd(O314,H314,M314,(P314-A314)/365), NormalPutSprd(O314,H314,M314,(P314-A314)/365))</f>
        <v>0.46756680492124447</v>
      </c>
      <c r="R314" s="9">
        <f t="shared" si="9"/>
        <v>2.4331950787555012E-3</v>
      </c>
    </row>
    <row r="315" spans="1:18" x14ac:dyDescent="0.2">
      <c r="A315" s="2">
        <v>42622</v>
      </c>
      <c r="B315" s="1" t="s">
        <v>13</v>
      </c>
      <c r="C315" s="1" t="s">
        <v>14</v>
      </c>
      <c r="D315" s="2">
        <v>42740</v>
      </c>
      <c r="E315" s="2">
        <f t="shared" si="8"/>
        <v>42856</v>
      </c>
      <c r="F315" s="1" t="s">
        <v>15</v>
      </c>
      <c r="G315" s="1" t="s">
        <v>18</v>
      </c>
      <c r="H315" s="1">
        <v>-0.75</v>
      </c>
      <c r="I315" s="1">
        <v>0.06</v>
      </c>
      <c r="J315" s="1">
        <v>0.01</v>
      </c>
      <c r="K315" s="1" t="s">
        <v>41</v>
      </c>
      <c r="L315" s="1">
        <v>2389</v>
      </c>
      <c r="M315" s="1">
        <v>0.67</v>
      </c>
      <c r="N315" s="1">
        <v>0.42754999999999999</v>
      </c>
      <c r="O315" s="1">
        <f>VLOOKUP(D315,underlying!$D$2:$H$75,5,FALSE)</f>
        <v>-0.34</v>
      </c>
      <c r="P315" s="2">
        <f>VLOOKUP(D315,underlying!$D$2:$L$39,9,FALSE)</f>
        <v>42824</v>
      </c>
      <c r="Q315" s="7">
        <f>IF(G315="C",NormalCallSprd(O315,H315,M315,(P315-A315)/365), NormalPutSprd(O315,H315,M315,(P315-A315)/365))</f>
        <v>5.7566804921244517E-2</v>
      </c>
      <c r="R315" s="9">
        <f t="shared" si="9"/>
        <v>2.4331950787554804E-3</v>
      </c>
    </row>
    <row r="316" spans="1:18" x14ac:dyDescent="0.2">
      <c r="A316" s="2">
        <v>42622</v>
      </c>
      <c r="B316" s="1" t="s">
        <v>13</v>
      </c>
      <c r="C316" s="1" t="s">
        <v>14</v>
      </c>
      <c r="D316" s="2">
        <v>42740</v>
      </c>
      <c r="E316" s="2">
        <f t="shared" si="8"/>
        <v>42856</v>
      </c>
      <c r="F316" s="1" t="s">
        <v>15</v>
      </c>
      <c r="G316" s="1" t="s">
        <v>16</v>
      </c>
      <c r="H316" s="1">
        <v>-0.7</v>
      </c>
      <c r="I316" s="1">
        <v>0.43</v>
      </c>
      <c r="J316" s="1">
        <v>-0.03</v>
      </c>
      <c r="K316" s="1" t="s">
        <v>41</v>
      </c>
      <c r="L316" s="1">
        <v>2389</v>
      </c>
      <c r="M316" s="1">
        <v>0.67</v>
      </c>
      <c r="N316" s="1">
        <v>0.4592</v>
      </c>
      <c r="O316" s="1">
        <f>VLOOKUP(D316,underlying!$D$2:$H$75,5,FALSE)</f>
        <v>-0.34</v>
      </c>
      <c r="P316" s="2">
        <f>VLOOKUP(D316,underlying!$D$2:$L$39,9,FALSE)</f>
        <v>42824</v>
      </c>
      <c r="Q316" s="7">
        <f>IF(G316="C",NormalCallSprd(O316,H316,M316,(P316-A316)/365), NormalPutSprd(O316,H316,M316,(P316-A316)/365))</f>
        <v>0.42856815698130618</v>
      </c>
      <c r="R316" s="9">
        <f t="shared" si="9"/>
        <v>1.4318430186938125E-3</v>
      </c>
    </row>
    <row r="317" spans="1:18" x14ac:dyDescent="0.2">
      <c r="A317" s="2">
        <v>42622</v>
      </c>
      <c r="B317" s="1" t="s">
        <v>13</v>
      </c>
      <c r="C317" s="1" t="s">
        <v>14</v>
      </c>
      <c r="D317" s="2">
        <v>42740</v>
      </c>
      <c r="E317" s="2">
        <f t="shared" si="8"/>
        <v>42856</v>
      </c>
      <c r="F317" s="1" t="s">
        <v>15</v>
      </c>
      <c r="G317" s="1" t="s">
        <v>18</v>
      </c>
      <c r="H317" s="1">
        <v>-0.7</v>
      </c>
      <c r="I317" s="1">
        <v>7.0000000000000007E-2</v>
      </c>
      <c r="J317" s="1">
        <v>0.01</v>
      </c>
      <c r="K317" s="1" t="s">
        <v>41</v>
      </c>
      <c r="L317" s="1">
        <v>2389</v>
      </c>
      <c r="M317" s="1">
        <v>0.67</v>
      </c>
      <c r="N317" s="1">
        <v>0.49015999999999998</v>
      </c>
      <c r="O317" s="1">
        <f>VLOOKUP(D317,underlying!$D$2:$H$75,5,FALSE)</f>
        <v>-0.34</v>
      </c>
      <c r="P317" s="2">
        <f>VLOOKUP(D317,underlying!$D$2:$L$39,9,FALSE)</f>
        <v>42824</v>
      </c>
      <c r="Q317" s="7">
        <f>IF(G317="C",NormalCallSprd(O317,H317,M317,(P317-A317)/365), NormalPutSprd(O317,H317,M317,(P317-A317)/365))</f>
        <v>6.8568156981306277E-2</v>
      </c>
      <c r="R317" s="9">
        <f t="shared" si="9"/>
        <v>1.4318430186937292E-3</v>
      </c>
    </row>
    <row r="318" spans="1:18" x14ac:dyDescent="0.2">
      <c r="A318" s="2">
        <v>42622</v>
      </c>
      <c r="B318" s="1" t="s">
        <v>13</v>
      </c>
      <c r="C318" s="1" t="s">
        <v>14</v>
      </c>
      <c r="D318" s="2">
        <v>42740</v>
      </c>
      <c r="E318" s="2">
        <f t="shared" si="8"/>
        <v>42856</v>
      </c>
      <c r="F318" s="1" t="s">
        <v>15</v>
      </c>
      <c r="G318" s="1" t="s">
        <v>16</v>
      </c>
      <c r="H318" s="1">
        <v>-0.65</v>
      </c>
      <c r="I318" s="1">
        <v>0.39</v>
      </c>
      <c r="J318" s="1">
        <v>-0.03</v>
      </c>
      <c r="K318" s="1" t="s">
        <v>41</v>
      </c>
      <c r="L318" s="1">
        <v>2389</v>
      </c>
      <c r="M318" s="1">
        <v>0.66</v>
      </c>
      <c r="N318" s="1">
        <v>0.52102999999999999</v>
      </c>
      <c r="O318" s="1">
        <f>VLOOKUP(D318,underlying!$D$2:$H$75,5,FALSE)</f>
        <v>-0.34</v>
      </c>
      <c r="P318" s="2">
        <f>VLOOKUP(D318,underlying!$D$2:$L$39,9,FALSE)</f>
        <v>42824</v>
      </c>
      <c r="Q318" s="7">
        <f>IF(G318="C",NormalCallSprd(O318,H318,M318,(P318-A318)/365), NormalPutSprd(O318,H318,M318,(P318-A318)/365))</f>
        <v>0.38867171210405682</v>
      </c>
      <c r="R318" s="9">
        <f t="shared" si="9"/>
        <v>1.3282878959431921E-3</v>
      </c>
    </row>
    <row r="319" spans="1:18" x14ac:dyDescent="0.2">
      <c r="A319" s="2">
        <v>42622</v>
      </c>
      <c r="B319" s="1" t="s">
        <v>13</v>
      </c>
      <c r="C319" s="1" t="s">
        <v>14</v>
      </c>
      <c r="D319" s="2">
        <v>42740</v>
      </c>
      <c r="E319" s="2">
        <f t="shared" si="8"/>
        <v>42856</v>
      </c>
      <c r="F319" s="1" t="s">
        <v>15</v>
      </c>
      <c r="G319" s="1" t="s">
        <v>18</v>
      </c>
      <c r="H319" s="1">
        <v>-0.65</v>
      </c>
      <c r="I319" s="1">
        <v>0.08</v>
      </c>
      <c r="J319" s="1">
        <v>0.01</v>
      </c>
      <c r="K319" s="1" t="s">
        <v>41</v>
      </c>
      <c r="L319" s="1">
        <v>2389</v>
      </c>
      <c r="M319" s="1">
        <v>0.66</v>
      </c>
      <c r="N319" s="1">
        <v>0.55174999999999996</v>
      </c>
      <c r="O319" s="1">
        <f>VLOOKUP(D319,underlying!$D$2:$H$75,5,FALSE)</f>
        <v>-0.34</v>
      </c>
      <c r="P319" s="2">
        <f>VLOOKUP(D319,underlying!$D$2:$L$39,9,FALSE)</f>
        <v>42824</v>
      </c>
      <c r="Q319" s="7">
        <f>IF(G319="C",NormalCallSprd(O319,H319,M319,(P319-A319)/365), NormalPutSprd(O319,H319,M319,(P319-A319)/365))</f>
        <v>7.8671712104056851E-2</v>
      </c>
      <c r="R319" s="9">
        <f t="shared" si="9"/>
        <v>1.3282878959431504E-3</v>
      </c>
    </row>
    <row r="320" spans="1:18" x14ac:dyDescent="0.2">
      <c r="A320" s="2">
        <v>42622</v>
      </c>
      <c r="B320" s="1" t="s">
        <v>13</v>
      </c>
      <c r="C320" s="1" t="s">
        <v>14</v>
      </c>
      <c r="D320" s="2">
        <v>42740</v>
      </c>
      <c r="E320" s="2">
        <f t="shared" si="8"/>
        <v>42856</v>
      </c>
      <c r="F320" s="1" t="s">
        <v>15</v>
      </c>
      <c r="G320" s="1" t="s">
        <v>16</v>
      </c>
      <c r="H320" s="1">
        <v>-0.6</v>
      </c>
      <c r="I320" s="1">
        <v>0.35</v>
      </c>
      <c r="J320" s="1">
        <v>-0.03</v>
      </c>
      <c r="K320" s="1" t="s">
        <v>41</v>
      </c>
      <c r="L320" s="1">
        <v>2389</v>
      </c>
      <c r="M320" s="1">
        <v>0.66</v>
      </c>
      <c r="N320" s="1">
        <v>0.58098000000000005</v>
      </c>
      <c r="O320" s="1">
        <f>VLOOKUP(D320,underlying!$D$2:$H$75,5,FALSE)</f>
        <v>-0.34</v>
      </c>
      <c r="P320" s="2">
        <f>VLOOKUP(D320,underlying!$D$2:$L$39,9,FALSE)</f>
        <v>42824</v>
      </c>
      <c r="Q320" s="7">
        <f>IF(G320="C",NormalCallSprd(O320,H320,M320,(P320-A320)/365), NormalPutSprd(O320,H320,M320,(P320-A320)/365))</f>
        <v>0.35271606344568651</v>
      </c>
      <c r="R320" s="9">
        <f t="shared" si="9"/>
        <v>2.716063445686534E-3</v>
      </c>
    </row>
    <row r="321" spans="1:18" x14ac:dyDescent="0.2">
      <c r="A321" s="2">
        <v>42622</v>
      </c>
      <c r="B321" s="1" t="s">
        <v>13</v>
      </c>
      <c r="C321" s="1" t="s">
        <v>14</v>
      </c>
      <c r="D321" s="2">
        <v>42740</v>
      </c>
      <c r="E321" s="2">
        <f t="shared" si="8"/>
        <v>42856</v>
      </c>
      <c r="F321" s="1" t="s">
        <v>15</v>
      </c>
      <c r="G321" s="1" t="s">
        <v>18</v>
      </c>
      <c r="H321" s="1">
        <v>-0.6</v>
      </c>
      <c r="I321" s="1">
        <v>0.09</v>
      </c>
      <c r="J321" s="1">
        <v>0.01</v>
      </c>
      <c r="K321" s="1" t="s">
        <v>41</v>
      </c>
      <c r="L321" s="1">
        <v>2389</v>
      </c>
      <c r="M321" s="1">
        <v>0.66</v>
      </c>
      <c r="N321" s="1">
        <v>0.60860999999999998</v>
      </c>
      <c r="O321" s="1">
        <f>VLOOKUP(D321,underlying!$D$2:$H$75,5,FALSE)</f>
        <v>-0.34</v>
      </c>
      <c r="P321" s="2">
        <f>VLOOKUP(D321,underlying!$D$2:$L$39,9,FALSE)</f>
        <v>42824</v>
      </c>
      <c r="Q321" s="7">
        <f>IF(G321="C",NormalCallSprd(O321,H321,M321,(P321-A321)/365), NormalPutSprd(O321,H321,M321,(P321-A321)/365))</f>
        <v>9.2716063445686531E-2</v>
      </c>
      <c r="R321" s="9">
        <f t="shared" si="9"/>
        <v>2.716063445686534E-3</v>
      </c>
    </row>
    <row r="322" spans="1:18" x14ac:dyDescent="0.2">
      <c r="A322" s="2">
        <v>42622</v>
      </c>
      <c r="B322" s="1" t="s">
        <v>13</v>
      </c>
      <c r="C322" s="1" t="s">
        <v>14</v>
      </c>
      <c r="D322" s="2">
        <v>42740</v>
      </c>
      <c r="E322" s="2">
        <f t="shared" ref="E322:E385" si="10">DATE(YEAR(D322),DAY(D322),MONTH(D322))</f>
        <v>42856</v>
      </c>
      <c r="F322" s="1" t="s">
        <v>15</v>
      </c>
      <c r="G322" s="1" t="s">
        <v>16</v>
      </c>
      <c r="H322" s="1">
        <v>-0.55000000000000004</v>
      </c>
      <c r="I322" s="1">
        <v>0.32</v>
      </c>
      <c r="J322" s="1">
        <v>-0.03</v>
      </c>
      <c r="K322" s="1" t="s">
        <v>41</v>
      </c>
      <c r="L322" s="1">
        <v>2389</v>
      </c>
      <c r="M322" s="1">
        <v>0.66</v>
      </c>
      <c r="N322" s="1">
        <v>0.63656999999999997</v>
      </c>
      <c r="O322" s="1">
        <f>VLOOKUP(D322,underlying!$D$2:$H$75,5,FALSE)</f>
        <v>-0.34</v>
      </c>
      <c r="P322" s="2">
        <f>VLOOKUP(D322,underlying!$D$2:$L$39,9,FALSE)</f>
        <v>42824</v>
      </c>
      <c r="Q322" s="7">
        <f>IF(G322="C",NormalCallSprd(O322,H322,M322,(P322-A322)/365), NormalPutSprd(O322,H322,M322,(P322-A322)/365))</f>
        <v>0.31852489055131156</v>
      </c>
      <c r="R322" s="9">
        <f t="shared" si="9"/>
        <v>1.4751094486884497E-3</v>
      </c>
    </row>
    <row r="323" spans="1:18" x14ac:dyDescent="0.2">
      <c r="A323" s="2">
        <v>42622</v>
      </c>
      <c r="B323" s="1" t="s">
        <v>13</v>
      </c>
      <c r="C323" s="1" t="s">
        <v>14</v>
      </c>
      <c r="D323" s="2">
        <v>42740</v>
      </c>
      <c r="E323" s="2">
        <f t="shared" si="10"/>
        <v>42856</v>
      </c>
      <c r="F323" s="1" t="s">
        <v>15</v>
      </c>
      <c r="G323" s="1" t="s">
        <v>18</v>
      </c>
      <c r="H323" s="1">
        <v>-0.55000000000000004</v>
      </c>
      <c r="I323" s="1">
        <v>0.11</v>
      </c>
      <c r="J323" s="1">
        <v>0.01</v>
      </c>
      <c r="K323" s="1" t="s">
        <v>41</v>
      </c>
      <c r="L323" s="1">
        <v>2389</v>
      </c>
      <c r="M323" s="1">
        <v>0.66</v>
      </c>
      <c r="N323" s="1">
        <v>0.66205999999999998</v>
      </c>
      <c r="O323" s="1">
        <f>VLOOKUP(D323,underlying!$D$2:$H$75,5,FALSE)</f>
        <v>-0.34</v>
      </c>
      <c r="P323" s="2">
        <f>VLOOKUP(D323,underlying!$D$2:$L$39,9,FALSE)</f>
        <v>42824</v>
      </c>
      <c r="Q323" s="7">
        <f>IF(G323="C",NormalCallSprd(O323,H323,M323,(P323-A323)/365), NormalPutSprd(O323,H323,M323,(P323-A323)/365))</f>
        <v>0.10852489055131152</v>
      </c>
      <c r="R323" s="9">
        <f t="shared" ref="R323:R386" si="11">ABS(Q323-I323)</f>
        <v>1.4751094486884775E-3</v>
      </c>
    </row>
    <row r="324" spans="1:18" x14ac:dyDescent="0.2">
      <c r="A324" s="2">
        <v>42622</v>
      </c>
      <c r="B324" s="1" t="s">
        <v>13</v>
      </c>
      <c r="C324" s="1" t="s">
        <v>14</v>
      </c>
      <c r="D324" s="2">
        <v>42740</v>
      </c>
      <c r="E324" s="2">
        <f t="shared" si="10"/>
        <v>42856</v>
      </c>
      <c r="F324" s="1" t="s">
        <v>15</v>
      </c>
      <c r="G324" s="1" t="s">
        <v>16</v>
      </c>
      <c r="H324" s="1">
        <v>-0.5</v>
      </c>
      <c r="I324" s="1">
        <v>0.28999999999999998</v>
      </c>
      <c r="J324" s="1">
        <v>-0.02</v>
      </c>
      <c r="K324" s="1" t="s">
        <v>41</v>
      </c>
      <c r="L324" s="1">
        <v>2389</v>
      </c>
      <c r="M324" s="1">
        <v>0.66</v>
      </c>
      <c r="N324" s="1">
        <v>0.68786999999999998</v>
      </c>
      <c r="O324" s="1">
        <f>VLOOKUP(D324,underlying!$D$2:$H$75,5,FALSE)</f>
        <v>-0.34</v>
      </c>
      <c r="P324" s="2">
        <f>VLOOKUP(D324,underlying!$D$2:$L$39,9,FALSE)</f>
        <v>42824</v>
      </c>
      <c r="Q324" s="7">
        <f>IF(G324="C",NormalCallSprd(O324,H324,M324,(P324-A324)/365), NormalPutSprd(O324,H324,M324,(P324-A324)/365))</f>
        <v>0.28618616964488419</v>
      </c>
      <c r="R324" s="9">
        <f t="shared" si="11"/>
        <v>3.8138303551157882E-3</v>
      </c>
    </row>
    <row r="325" spans="1:18" x14ac:dyDescent="0.2">
      <c r="A325" s="2">
        <v>42622</v>
      </c>
      <c r="B325" s="1" t="s">
        <v>13</v>
      </c>
      <c r="C325" s="1" t="s">
        <v>14</v>
      </c>
      <c r="D325" s="2">
        <v>42740</v>
      </c>
      <c r="E325" s="2">
        <f t="shared" si="10"/>
        <v>42856</v>
      </c>
      <c r="F325" s="1" t="s">
        <v>15</v>
      </c>
      <c r="G325" s="1" t="s">
        <v>18</v>
      </c>
      <c r="H325" s="1">
        <v>-0.5</v>
      </c>
      <c r="I325" s="1">
        <v>0.13</v>
      </c>
      <c r="J325" s="1">
        <v>0.02</v>
      </c>
      <c r="K325" s="1" t="s">
        <v>41</v>
      </c>
      <c r="L325" s="1">
        <v>2389</v>
      </c>
      <c r="M325" s="1">
        <v>0.66</v>
      </c>
      <c r="N325" s="1">
        <v>0.71072000000000002</v>
      </c>
      <c r="O325" s="1">
        <f>VLOOKUP(D325,underlying!$D$2:$H$75,5,FALSE)</f>
        <v>-0.34</v>
      </c>
      <c r="P325" s="2">
        <f>VLOOKUP(D325,underlying!$D$2:$L$39,9,FALSE)</f>
        <v>42824</v>
      </c>
      <c r="Q325" s="7">
        <f>IF(G325="C",NormalCallSprd(O325,H325,M325,(P325-A325)/365), NormalPutSprd(O325,H325,M325,(P325-A325)/365))</f>
        <v>0.12618616964488419</v>
      </c>
      <c r="R325" s="9">
        <f t="shared" si="11"/>
        <v>3.8138303551158159E-3</v>
      </c>
    </row>
    <row r="326" spans="1:18" x14ac:dyDescent="0.2">
      <c r="A326" s="2">
        <v>42622</v>
      </c>
      <c r="B326" s="1" t="s">
        <v>13</v>
      </c>
      <c r="C326" s="1" t="s">
        <v>14</v>
      </c>
      <c r="D326" s="2">
        <v>42740</v>
      </c>
      <c r="E326" s="2">
        <f t="shared" si="10"/>
        <v>42856</v>
      </c>
      <c r="F326" s="1" t="s">
        <v>15</v>
      </c>
      <c r="G326" s="1" t="s">
        <v>16</v>
      </c>
      <c r="H326" s="1">
        <v>-0.45</v>
      </c>
      <c r="I326" s="1">
        <v>0.26</v>
      </c>
      <c r="J326" s="1">
        <v>-0.02</v>
      </c>
      <c r="K326" s="1" t="s">
        <v>41</v>
      </c>
      <c r="L326" s="1">
        <v>2389</v>
      </c>
      <c r="M326" s="1">
        <v>0.66</v>
      </c>
      <c r="N326" s="1">
        <v>0.73414999999999997</v>
      </c>
      <c r="O326" s="1">
        <f>VLOOKUP(D326,underlying!$D$2:$H$75,5,FALSE)</f>
        <v>-0.34</v>
      </c>
      <c r="P326" s="2">
        <f>VLOOKUP(D326,underlying!$D$2:$L$39,9,FALSE)</f>
        <v>42824</v>
      </c>
      <c r="Q326" s="7">
        <f>IF(G326="C",NormalCallSprd(O326,H326,M326,(P326-A326)/365), NormalPutSprd(O326,H326,M326,(P326-A326)/365))</f>
        <v>0.2557722336699132</v>
      </c>
      <c r="R326" s="9">
        <f t="shared" si="11"/>
        <v>4.2277663300868129E-3</v>
      </c>
    </row>
    <row r="327" spans="1:18" x14ac:dyDescent="0.2">
      <c r="A327" s="2">
        <v>42622</v>
      </c>
      <c r="B327" s="1" t="s">
        <v>13</v>
      </c>
      <c r="C327" s="1" t="s">
        <v>14</v>
      </c>
      <c r="D327" s="2">
        <v>42740</v>
      </c>
      <c r="E327" s="2">
        <f t="shared" si="10"/>
        <v>42856</v>
      </c>
      <c r="F327" s="1" t="s">
        <v>15</v>
      </c>
      <c r="G327" s="1" t="s">
        <v>18</v>
      </c>
      <c r="H327" s="1">
        <v>-0.45</v>
      </c>
      <c r="I327" s="1">
        <v>0.15</v>
      </c>
      <c r="J327" s="1">
        <v>0.02</v>
      </c>
      <c r="K327" s="1" t="s">
        <v>41</v>
      </c>
      <c r="L327" s="1">
        <v>2389</v>
      </c>
      <c r="M327" s="1">
        <v>0.66</v>
      </c>
      <c r="N327" s="1">
        <v>0.75429000000000002</v>
      </c>
      <c r="O327" s="1">
        <f>VLOOKUP(D327,underlying!$D$2:$H$75,5,FALSE)</f>
        <v>-0.34</v>
      </c>
      <c r="P327" s="2">
        <f>VLOOKUP(D327,underlying!$D$2:$L$39,9,FALSE)</f>
        <v>42824</v>
      </c>
      <c r="Q327" s="7">
        <f>IF(G327="C",NormalCallSprd(O327,H327,M327,(P327-A327)/365), NormalPutSprd(O327,H327,M327,(P327-A327)/365))</f>
        <v>0.14577223366991324</v>
      </c>
      <c r="R327" s="9">
        <f t="shared" si="11"/>
        <v>4.2277663300867574E-3</v>
      </c>
    </row>
    <row r="328" spans="1:18" x14ac:dyDescent="0.2">
      <c r="A328" s="2">
        <v>42622</v>
      </c>
      <c r="B328" s="1" t="s">
        <v>13</v>
      </c>
      <c r="C328" s="1" t="s">
        <v>14</v>
      </c>
      <c r="D328" s="2">
        <v>42740</v>
      </c>
      <c r="E328" s="2">
        <f t="shared" si="10"/>
        <v>42856</v>
      </c>
      <c r="F328" s="1" t="s">
        <v>15</v>
      </c>
      <c r="G328" s="1" t="s">
        <v>16</v>
      </c>
      <c r="H328" s="1">
        <v>-0.4</v>
      </c>
      <c r="I328" s="1">
        <v>0.23</v>
      </c>
      <c r="J328" s="1">
        <v>-0.02</v>
      </c>
      <c r="K328" s="1" t="s">
        <v>41</v>
      </c>
      <c r="L328" s="1">
        <v>2389</v>
      </c>
      <c r="M328" s="1">
        <v>0.66</v>
      </c>
      <c r="N328" s="1">
        <v>0.77237</v>
      </c>
      <c r="O328" s="1">
        <f>VLOOKUP(D328,underlying!$D$2:$H$75,5,FALSE)</f>
        <v>-0.34</v>
      </c>
      <c r="P328" s="2">
        <f>VLOOKUP(D328,underlying!$D$2:$L$39,9,FALSE)</f>
        <v>42824</v>
      </c>
      <c r="Q328" s="7">
        <f>IF(G328="C",NormalCallSprd(O328,H328,M328,(P328-A328)/365), NormalPutSprd(O328,H328,M328,(P328-A328)/365))</f>
        <v>0.22733764245545515</v>
      </c>
      <c r="R328" s="9">
        <f t="shared" si="11"/>
        <v>2.6623575445448577E-3</v>
      </c>
    </row>
    <row r="329" spans="1:18" x14ac:dyDescent="0.2">
      <c r="A329" s="2">
        <v>42622</v>
      </c>
      <c r="B329" s="1" t="s">
        <v>13</v>
      </c>
      <c r="C329" s="1" t="s">
        <v>14</v>
      </c>
      <c r="D329" s="2">
        <v>42740</v>
      </c>
      <c r="E329" s="2">
        <f t="shared" si="10"/>
        <v>42856</v>
      </c>
      <c r="F329" s="1" t="s">
        <v>15</v>
      </c>
      <c r="G329" s="1" t="s">
        <v>18</v>
      </c>
      <c r="H329" s="1">
        <v>-0.4</v>
      </c>
      <c r="I329" s="1">
        <v>0.17</v>
      </c>
      <c r="J329" s="1">
        <v>0.02</v>
      </c>
      <c r="K329" s="1" t="s">
        <v>41</v>
      </c>
      <c r="L329" s="1">
        <v>2389</v>
      </c>
      <c r="M329" s="1">
        <v>0.66</v>
      </c>
      <c r="N329" s="1">
        <v>0.84767999999999999</v>
      </c>
      <c r="O329" s="1">
        <f>VLOOKUP(D329,underlying!$D$2:$H$75,5,FALSE)</f>
        <v>-0.34</v>
      </c>
      <c r="P329" s="2">
        <f>VLOOKUP(D329,underlying!$D$2:$L$39,9,FALSE)</f>
        <v>42824</v>
      </c>
      <c r="Q329" s="7">
        <f>IF(G329="C",NormalCallSprd(O329,H329,M329,(P329-A329)/365), NormalPutSprd(O329,H329,M329,(P329-A329)/365))</f>
        <v>0.16733764245545515</v>
      </c>
      <c r="R329" s="9">
        <f t="shared" si="11"/>
        <v>2.6623575445448577E-3</v>
      </c>
    </row>
    <row r="330" spans="1:18" x14ac:dyDescent="0.2">
      <c r="A330" s="2">
        <v>42622</v>
      </c>
      <c r="B330" s="1" t="s">
        <v>13</v>
      </c>
      <c r="C330" s="1" t="s">
        <v>14</v>
      </c>
      <c r="D330" s="2">
        <v>42740</v>
      </c>
      <c r="E330" s="2">
        <f t="shared" si="10"/>
        <v>42856</v>
      </c>
      <c r="F330" s="1" t="s">
        <v>15</v>
      </c>
      <c r="G330" s="1" t="s">
        <v>16</v>
      </c>
      <c r="H330" s="1">
        <v>-0.35</v>
      </c>
      <c r="I330" s="1">
        <v>0.2</v>
      </c>
      <c r="J330" s="1">
        <v>-0.02</v>
      </c>
      <c r="K330" s="1" t="s">
        <v>41</v>
      </c>
      <c r="L330" s="1">
        <v>2389</v>
      </c>
      <c r="M330" s="1">
        <v>0.66</v>
      </c>
      <c r="N330" s="1">
        <v>0.99267000000000005</v>
      </c>
      <c r="O330" s="1">
        <f>VLOOKUP(D330,underlying!$D$2:$H$75,5,FALSE)</f>
        <v>-0.34</v>
      </c>
      <c r="P330" s="2">
        <f>VLOOKUP(D330,underlying!$D$2:$L$39,9,FALSE)</f>
        <v>42824</v>
      </c>
      <c r="Q330" s="7">
        <f>IF(G330="C",NormalCallSprd(O330,H330,M330,(P330-A330)/365), NormalPutSprd(O330,H330,M330,(P330-A330)/365))</f>
        <v>0.20091753916462141</v>
      </c>
      <c r="R330" s="9">
        <f t="shared" si="11"/>
        <v>9.1753916462139484E-4</v>
      </c>
    </row>
    <row r="331" spans="1:18" x14ac:dyDescent="0.2">
      <c r="A331" s="2">
        <v>42622</v>
      </c>
      <c r="B331" s="1" t="s">
        <v>13</v>
      </c>
      <c r="C331" s="1" t="s">
        <v>14</v>
      </c>
      <c r="D331" s="2">
        <v>42740</v>
      </c>
      <c r="E331" s="2">
        <f t="shared" si="10"/>
        <v>42856</v>
      </c>
      <c r="F331" s="1" t="s">
        <v>15</v>
      </c>
      <c r="G331" s="1" t="s">
        <v>18</v>
      </c>
      <c r="H331" s="1">
        <v>-0.35</v>
      </c>
      <c r="I331" s="1">
        <v>0.19</v>
      </c>
      <c r="J331" s="1">
        <v>0.02</v>
      </c>
      <c r="K331" s="1" t="s">
        <v>41</v>
      </c>
      <c r="L331" s="1">
        <v>2389</v>
      </c>
      <c r="M331" s="1">
        <v>0.66</v>
      </c>
      <c r="N331" s="1">
        <v>0.96614999999999995</v>
      </c>
      <c r="O331" s="1">
        <f>VLOOKUP(D331,underlying!$D$2:$H$75,5,FALSE)</f>
        <v>-0.34</v>
      </c>
      <c r="P331" s="2">
        <f>VLOOKUP(D331,underlying!$D$2:$L$39,9,FALSE)</f>
        <v>42824</v>
      </c>
      <c r="Q331" s="7">
        <f>IF(G331="C",NormalCallSprd(O331,H331,M331,(P331-A331)/365), NormalPutSprd(O331,H331,M331,(P331-A331)/365))</f>
        <v>0.19091753916462145</v>
      </c>
      <c r="R331" s="9">
        <f t="shared" si="11"/>
        <v>9.1753916462145035E-4</v>
      </c>
    </row>
    <row r="332" spans="1:18" x14ac:dyDescent="0.2">
      <c r="A332" s="2">
        <v>42622</v>
      </c>
      <c r="B332" s="1" t="s">
        <v>13</v>
      </c>
      <c r="C332" s="1" t="s">
        <v>14</v>
      </c>
      <c r="D332" s="2">
        <v>42740</v>
      </c>
      <c r="E332" s="2">
        <f t="shared" si="10"/>
        <v>42856</v>
      </c>
      <c r="F332" s="1" t="s">
        <v>15</v>
      </c>
      <c r="G332" s="1" t="s">
        <v>16</v>
      </c>
      <c r="H332" s="1">
        <v>-0.3</v>
      </c>
      <c r="I332" s="1">
        <v>0.17</v>
      </c>
      <c r="J332" s="1">
        <v>-0.03</v>
      </c>
      <c r="K332" s="1" t="s">
        <v>41</v>
      </c>
      <c r="L332" s="1">
        <v>2389</v>
      </c>
      <c r="M332" s="1">
        <v>0.65</v>
      </c>
      <c r="N332" s="1">
        <v>0.98939999999999995</v>
      </c>
      <c r="O332" s="1">
        <f>VLOOKUP(D332,underlying!$D$2:$H$75,5,FALSE)</f>
        <v>-0.34</v>
      </c>
      <c r="P332" s="2">
        <f>VLOOKUP(D332,underlying!$D$2:$L$39,9,FALSE)</f>
        <v>42824</v>
      </c>
      <c r="Q332" s="7">
        <f>IF(G332="C",NormalCallSprd(O332,H332,M332,(P332-A332)/365), NormalPutSprd(O332,H332,M332,(P332-A332)/365))</f>
        <v>0.17356872668998649</v>
      </c>
      <c r="R332" s="9">
        <f t="shared" si="11"/>
        <v>3.5687266899864789E-3</v>
      </c>
    </row>
    <row r="333" spans="1:18" x14ac:dyDescent="0.2">
      <c r="A333" s="2">
        <v>42622</v>
      </c>
      <c r="B333" s="1" t="s">
        <v>13</v>
      </c>
      <c r="C333" s="1" t="s">
        <v>14</v>
      </c>
      <c r="D333" s="2">
        <v>42740</v>
      </c>
      <c r="E333" s="2">
        <f t="shared" si="10"/>
        <v>42856</v>
      </c>
      <c r="F333" s="1" t="s">
        <v>15</v>
      </c>
      <c r="G333" s="1" t="s">
        <v>18</v>
      </c>
      <c r="H333" s="1">
        <v>-0.3</v>
      </c>
      <c r="I333" s="1">
        <v>0.21</v>
      </c>
      <c r="J333" s="1">
        <v>0.01</v>
      </c>
      <c r="K333" s="1" t="s">
        <v>41</v>
      </c>
      <c r="L333" s="1">
        <v>2389</v>
      </c>
      <c r="M333" s="1">
        <v>0.65</v>
      </c>
      <c r="N333" s="1">
        <v>-0.59582999999999997</v>
      </c>
      <c r="O333" s="1">
        <f>VLOOKUP(D333,underlying!$D$2:$H$75,5,FALSE)</f>
        <v>-0.34</v>
      </c>
      <c r="P333" s="2">
        <f>VLOOKUP(D333,underlying!$D$2:$L$39,9,FALSE)</f>
        <v>42824</v>
      </c>
      <c r="Q333" s="7">
        <f>IF(G333="C",NormalCallSprd(O333,H333,M333,(P333-A333)/365), NormalPutSprd(O333,H333,M333,(P333-A333)/365))</f>
        <v>0.21356872668998653</v>
      </c>
      <c r="R333" s="9">
        <f t="shared" si="11"/>
        <v>3.5687266899865344E-3</v>
      </c>
    </row>
    <row r="334" spans="1:18" x14ac:dyDescent="0.2">
      <c r="A334" s="2">
        <v>42622</v>
      </c>
      <c r="B334" s="1" t="s">
        <v>13</v>
      </c>
      <c r="C334" s="1" t="s">
        <v>14</v>
      </c>
      <c r="D334" s="2">
        <v>42740</v>
      </c>
      <c r="E334" s="2">
        <f t="shared" si="10"/>
        <v>42856</v>
      </c>
      <c r="F334" s="1" t="s">
        <v>15</v>
      </c>
      <c r="G334" s="1" t="s">
        <v>16</v>
      </c>
      <c r="H334" s="1">
        <v>-0.25</v>
      </c>
      <c r="I334" s="1">
        <v>0.15</v>
      </c>
      <c r="J334" s="1">
        <v>-0.02</v>
      </c>
      <c r="K334" s="1" t="s">
        <v>41</v>
      </c>
      <c r="L334" s="1">
        <v>2389</v>
      </c>
      <c r="M334" s="1">
        <v>0.64</v>
      </c>
      <c r="N334" s="1">
        <v>-0.56511999999999996</v>
      </c>
      <c r="O334" s="1">
        <f>VLOOKUP(D334,underlying!$D$2:$H$75,5,FALSE)</f>
        <v>-0.34</v>
      </c>
      <c r="P334" s="2">
        <f>VLOOKUP(D334,underlying!$D$2:$L$39,9,FALSE)</f>
        <v>42824</v>
      </c>
      <c r="Q334" s="7">
        <f>IF(G334="C",NormalCallSprd(O334,H334,M334,(P334-A334)/365), NormalPutSprd(O334,H334,M334,(P334-A334)/365))</f>
        <v>0.14832474369746182</v>
      </c>
      <c r="R334" s="9">
        <f t="shared" si="11"/>
        <v>1.675256302538175E-3</v>
      </c>
    </row>
    <row r="335" spans="1:18" x14ac:dyDescent="0.2">
      <c r="A335" s="2">
        <v>42622</v>
      </c>
      <c r="B335" s="1" t="s">
        <v>13</v>
      </c>
      <c r="C335" s="1" t="s">
        <v>14</v>
      </c>
      <c r="D335" s="2">
        <v>42740</v>
      </c>
      <c r="E335" s="2">
        <f t="shared" si="10"/>
        <v>42856</v>
      </c>
      <c r="F335" s="1" t="s">
        <v>15</v>
      </c>
      <c r="G335" s="1" t="s">
        <v>18</v>
      </c>
      <c r="H335" s="1">
        <v>-0.25</v>
      </c>
      <c r="I335" s="1">
        <v>0.24</v>
      </c>
      <c r="J335" s="1">
        <v>0.02</v>
      </c>
      <c r="K335" s="1" t="s">
        <v>41</v>
      </c>
      <c r="L335" s="1">
        <v>2389</v>
      </c>
      <c r="M335" s="1">
        <v>0.64</v>
      </c>
      <c r="N335" s="1">
        <v>-0.53347</v>
      </c>
      <c r="O335" s="1">
        <f>VLOOKUP(D335,underlying!$D$2:$H$75,5,FALSE)</f>
        <v>-0.34</v>
      </c>
      <c r="P335" s="2">
        <f>VLOOKUP(D335,underlying!$D$2:$L$39,9,FALSE)</f>
        <v>42824</v>
      </c>
      <c r="Q335" s="7">
        <f>IF(G335="C",NormalCallSprd(O335,H335,M335,(P335-A335)/365), NormalPutSprd(O335,H335,M335,(P335-A335)/365))</f>
        <v>0.23832474369746184</v>
      </c>
      <c r="R335" s="9">
        <f t="shared" si="11"/>
        <v>1.6752563025381473E-3</v>
      </c>
    </row>
    <row r="336" spans="1:18" x14ac:dyDescent="0.2">
      <c r="A336" s="2">
        <v>42622</v>
      </c>
      <c r="B336" s="1" t="s">
        <v>13</v>
      </c>
      <c r="C336" s="1" t="s">
        <v>14</v>
      </c>
      <c r="D336" s="2">
        <v>42740</v>
      </c>
      <c r="E336" s="2">
        <f t="shared" si="10"/>
        <v>42856</v>
      </c>
      <c r="F336" s="1" t="s">
        <v>15</v>
      </c>
      <c r="G336" s="1" t="s">
        <v>16</v>
      </c>
      <c r="H336" s="1">
        <v>-0.2</v>
      </c>
      <c r="I336" s="1">
        <v>0.13</v>
      </c>
      <c r="J336" s="1">
        <v>-0.01</v>
      </c>
      <c r="K336" s="1" t="s">
        <v>41</v>
      </c>
      <c r="L336" s="1">
        <v>2389</v>
      </c>
      <c r="M336" s="1">
        <v>0.65</v>
      </c>
      <c r="N336" s="1">
        <v>-0.50251000000000001</v>
      </c>
      <c r="O336" s="1">
        <f>VLOOKUP(D336,underlying!$D$2:$H$75,5,FALSE)</f>
        <v>-0.34</v>
      </c>
      <c r="P336" s="2">
        <f>VLOOKUP(D336,underlying!$D$2:$L$39,9,FALSE)</f>
        <v>42824</v>
      </c>
      <c r="Q336" s="7">
        <f>IF(G336="C",NormalCallSprd(O336,H336,M336,(P336-A336)/365), NormalPutSprd(O336,H336,M336,(P336-A336)/365))</f>
        <v>0.13093832515673456</v>
      </c>
      <c r="R336" s="9">
        <f t="shared" si="11"/>
        <v>9.3832515673455963E-4</v>
      </c>
    </row>
    <row r="337" spans="1:18" x14ac:dyDescent="0.2">
      <c r="A337" s="2">
        <v>42622</v>
      </c>
      <c r="B337" s="1" t="s">
        <v>13</v>
      </c>
      <c r="C337" s="1" t="s">
        <v>14</v>
      </c>
      <c r="D337" s="2">
        <v>42740</v>
      </c>
      <c r="E337" s="2">
        <f t="shared" si="10"/>
        <v>42856</v>
      </c>
      <c r="F337" s="1" t="s">
        <v>15</v>
      </c>
      <c r="G337" s="1" t="s">
        <v>18</v>
      </c>
      <c r="H337" s="1">
        <v>-0.2</v>
      </c>
      <c r="I337" s="1">
        <v>0.27</v>
      </c>
      <c r="J337" s="1">
        <v>0.03</v>
      </c>
      <c r="K337" s="1" t="s">
        <v>41</v>
      </c>
      <c r="L337" s="1">
        <v>2389</v>
      </c>
      <c r="M337" s="1">
        <v>0.65</v>
      </c>
      <c r="N337" s="1">
        <v>-0.47164</v>
      </c>
      <c r="O337" s="1">
        <f>VLOOKUP(D337,underlying!$D$2:$H$75,5,FALSE)</f>
        <v>-0.34</v>
      </c>
      <c r="P337" s="2">
        <f>VLOOKUP(D337,underlying!$D$2:$L$39,9,FALSE)</f>
        <v>42824</v>
      </c>
      <c r="Q337" s="7">
        <f>IF(G337="C",NormalCallSprd(O337,H337,M337,(P337-A337)/365), NormalPutSprd(O337,H337,M337,(P337-A337)/365))</f>
        <v>0.27093832515673461</v>
      </c>
      <c r="R337" s="9">
        <f t="shared" si="11"/>
        <v>9.3832515673458738E-4</v>
      </c>
    </row>
    <row r="338" spans="1:18" x14ac:dyDescent="0.2">
      <c r="A338" s="2">
        <v>42622</v>
      </c>
      <c r="B338" s="1" t="s">
        <v>13</v>
      </c>
      <c r="C338" s="1" t="s">
        <v>14</v>
      </c>
      <c r="D338" s="2">
        <v>42740</v>
      </c>
      <c r="E338" s="2">
        <f t="shared" si="10"/>
        <v>42856</v>
      </c>
      <c r="F338" s="1" t="s">
        <v>15</v>
      </c>
      <c r="G338" s="1" t="s">
        <v>16</v>
      </c>
      <c r="H338" s="1">
        <v>-0.15</v>
      </c>
      <c r="I338" s="1">
        <v>0.12</v>
      </c>
      <c r="J338" s="1">
        <v>-0.01</v>
      </c>
      <c r="K338" s="1" t="s">
        <v>41</v>
      </c>
      <c r="L338" s="1">
        <v>2389</v>
      </c>
      <c r="M338" s="1">
        <v>0.67</v>
      </c>
      <c r="N338" s="1">
        <v>-0.44092999999999999</v>
      </c>
      <c r="O338" s="1">
        <f>VLOOKUP(D338,underlying!$D$2:$H$75,5,FALSE)</f>
        <v>-0.34</v>
      </c>
      <c r="P338" s="2">
        <f>VLOOKUP(D338,underlying!$D$2:$L$39,9,FALSE)</f>
        <v>42824</v>
      </c>
      <c r="Q338" s="7">
        <f>IF(G338="C",NormalCallSprd(O338,H338,M338,(P338-A338)/365), NormalPutSprd(O338,H338,M338,(P338-A338)/365))</f>
        <v>0.11811949548880223</v>
      </c>
      <c r="R338" s="9">
        <f t="shared" si="11"/>
        <v>1.8805045111977697E-3</v>
      </c>
    </row>
    <row r="339" spans="1:18" x14ac:dyDescent="0.2">
      <c r="A339" s="2">
        <v>42622</v>
      </c>
      <c r="B339" s="1" t="s">
        <v>13</v>
      </c>
      <c r="C339" s="1" t="s">
        <v>14</v>
      </c>
      <c r="D339" s="2">
        <v>42740</v>
      </c>
      <c r="E339" s="2">
        <f t="shared" si="10"/>
        <v>42856</v>
      </c>
      <c r="F339" s="1" t="s">
        <v>15</v>
      </c>
      <c r="G339" s="1" t="s">
        <v>18</v>
      </c>
      <c r="H339" s="1">
        <v>-0.15</v>
      </c>
      <c r="I339" s="1">
        <v>0.31</v>
      </c>
      <c r="J339" s="1">
        <v>0.03</v>
      </c>
      <c r="K339" s="1" t="s">
        <v>41</v>
      </c>
      <c r="L339" s="1">
        <v>2389</v>
      </c>
      <c r="M339" s="1">
        <v>0.67</v>
      </c>
      <c r="N339" s="1">
        <v>-0.41169</v>
      </c>
      <c r="O339" s="1">
        <f>VLOOKUP(D339,underlying!$D$2:$H$75,5,FALSE)</f>
        <v>-0.34</v>
      </c>
      <c r="P339" s="2">
        <f>VLOOKUP(D339,underlying!$D$2:$L$39,9,FALSE)</f>
        <v>42824</v>
      </c>
      <c r="Q339" s="7">
        <f>IF(G339="C",NormalCallSprd(O339,H339,M339,(P339-A339)/365), NormalPutSprd(O339,H339,M339,(P339-A339)/365))</f>
        <v>0.30811949548880224</v>
      </c>
      <c r="R339" s="9">
        <f t="shared" si="11"/>
        <v>1.8805045111977559E-3</v>
      </c>
    </row>
    <row r="340" spans="1:18" x14ac:dyDescent="0.2">
      <c r="A340" s="2">
        <v>42622</v>
      </c>
      <c r="B340" s="1" t="s">
        <v>13</v>
      </c>
      <c r="C340" s="1" t="s">
        <v>14</v>
      </c>
      <c r="D340" s="2">
        <v>42740</v>
      </c>
      <c r="E340" s="2">
        <f t="shared" si="10"/>
        <v>42856</v>
      </c>
      <c r="F340" s="1" t="s">
        <v>15</v>
      </c>
      <c r="G340" s="1" t="s">
        <v>16</v>
      </c>
      <c r="H340" s="1">
        <v>-0.1</v>
      </c>
      <c r="I340" s="1">
        <v>0.1</v>
      </c>
      <c r="J340" s="1">
        <v>-0.01</v>
      </c>
      <c r="K340" s="1" t="s">
        <v>41</v>
      </c>
      <c r="L340" s="1">
        <v>2389</v>
      </c>
      <c r="M340" s="1">
        <v>0.68</v>
      </c>
      <c r="N340" s="1">
        <v>-0.38406000000000001</v>
      </c>
      <c r="O340" s="1">
        <f>VLOOKUP(D340,underlying!$D$2:$H$75,5,FALSE)</f>
        <v>-0.34</v>
      </c>
      <c r="P340" s="2">
        <f>VLOOKUP(D340,underlying!$D$2:$L$39,9,FALSE)</f>
        <v>42824</v>
      </c>
      <c r="Q340" s="7">
        <f>IF(G340="C",NormalCallSprd(O340,H340,M340,(P340-A340)/365), NormalPutSprd(O340,H340,M340,(P340-A340)/365))</f>
        <v>0.10410842984970099</v>
      </c>
      <c r="R340" s="9">
        <f t="shared" si="11"/>
        <v>4.1084298497009869E-3</v>
      </c>
    </row>
    <row r="341" spans="1:18" x14ac:dyDescent="0.2">
      <c r="A341" s="2">
        <v>42622</v>
      </c>
      <c r="B341" s="1" t="s">
        <v>13</v>
      </c>
      <c r="C341" s="1" t="s">
        <v>14</v>
      </c>
      <c r="D341" s="2">
        <v>42740</v>
      </c>
      <c r="E341" s="2">
        <f t="shared" si="10"/>
        <v>42856</v>
      </c>
      <c r="F341" s="1" t="s">
        <v>15</v>
      </c>
      <c r="G341" s="1" t="s">
        <v>18</v>
      </c>
      <c r="H341" s="1">
        <v>-0.1</v>
      </c>
      <c r="I341" s="1">
        <v>0.34</v>
      </c>
      <c r="J341" s="1">
        <v>0.03</v>
      </c>
      <c r="K341" s="1" t="s">
        <v>41</v>
      </c>
      <c r="L341" s="1">
        <v>2389</v>
      </c>
      <c r="M341" s="1">
        <v>0.68</v>
      </c>
      <c r="N341" s="1">
        <v>-0.35610000000000003</v>
      </c>
      <c r="O341" s="1">
        <f>VLOOKUP(D341,underlying!$D$2:$H$75,5,FALSE)</f>
        <v>-0.34</v>
      </c>
      <c r="P341" s="2">
        <f>VLOOKUP(D341,underlying!$D$2:$L$39,9,FALSE)</f>
        <v>42824</v>
      </c>
      <c r="Q341" s="7">
        <f>IF(G341="C",NormalCallSprd(O341,H341,M341,(P341-A341)/365), NormalPutSprd(O341,H341,M341,(P341-A341)/365))</f>
        <v>0.34410842984970103</v>
      </c>
      <c r="R341" s="9">
        <f t="shared" si="11"/>
        <v>4.1084298497010008E-3</v>
      </c>
    </row>
    <row r="342" spans="1:18" x14ac:dyDescent="0.2">
      <c r="A342" s="2">
        <v>42622</v>
      </c>
      <c r="B342" s="1" t="s">
        <v>13</v>
      </c>
      <c r="C342" s="1" t="s">
        <v>14</v>
      </c>
      <c r="D342" s="2">
        <v>42740</v>
      </c>
      <c r="E342" s="2">
        <f t="shared" si="10"/>
        <v>42856</v>
      </c>
      <c r="F342" s="1" t="s">
        <v>15</v>
      </c>
      <c r="G342" s="1" t="s">
        <v>16</v>
      </c>
      <c r="H342" s="1">
        <v>-0.05</v>
      </c>
      <c r="I342" s="1">
        <v>0.09</v>
      </c>
      <c r="J342" s="1">
        <v>-0.01</v>
      </c>
      <c r="K342" s="1" t="s">
        <v>41</v>
      </c>
      <c r="L342" s="1">
        <v>2389</v>
      </c>
      <c r="M342" s="1">
        <v>0.69</v>
      </c>
      <c r="N342" s="1">
        <v>-0.33061000000000001</v>
      </c>
      <c r="O342" s="1">
        <f>VLOOKUP(D342,underlying!$D$2:$H$75,5,FALSE)</f>
        <v>-0.34</v>
      </c>
      <c r="P342" s="2">
        <f>VLOOKUP(D342,underlying!$D$2:$L$39,9,FALSE)</f>
        <v>42824</v>
      </c>
      <c r="Q342" s="7">
        <f>IF(G342="C",NormalCallSprd(O342,H342,M342,(P342-A342)/365), NormalPutSprd(O342,H342,M342,(P342-A342)/365))</f>
        <v>9.1619291914799172E-2</v>
      </c>
      <c r="R342" s="9">
        <f t="shared" si="11"/>
        <v>1.6192919147991758E-3</v>
      </c>
    </row>
    <row r="343" spans="1:18" x14ac:dyDescent="0.2">
      <c r="A343" s="2">
        <v>42622</v>
      </c>
      <c r="B343" s="1" t="s">
        <v>13</v>
      </c>
      <c r="C343" s="1" t="s">
        <v>14</v>
      </c>
      <c r="D343" s="2">
        <v>42740</v>
      </c>
      <c r="E343" s="2">
        <f t="shared" si="10"/>
        <v>42856</v>
      </c>
      <c r="F343" s="1" t="s">
        <v>15</v>
      </c>
      <c r="G343" s="1" t="s">
        <v>18</v>
      </c>
      <c r="H343" s="1">
        <v>-0.05</v>
      </c>
      <c r="I343" s="1">
        <v>0.38</v>
      </c>
      <c r="J343" s="1">
        <v>0.03</v>
      </c>
      <c r="K343" s="1" t="s">
        <v>41</v>
      </c>
      <c r="L343" s="1">
        <v>2389</v>
      </c>
      <c r="M343" s="1">
        <v>0.69</v>
      </c>
      <c r="N343" s="1">
        <v>-0.30480000000000002</v>
      </c>
      <c r="O343" s="1">
        <f>VLOOKUP(D343,underlying!$D$2:$H$75,5,FALSE)</f>
        <v>-0.34</v>
      </c>
      <c r="P343" s="2">
        <f>VLOOKUP(D343,underlying!$D$2:$L$39,9,FALSE)</f>
        <v>42824</v>
      </c>
      <c r="Q343" s="7">
        <f>IF(G343="C",NormalCallSprd(O343,H343,M343,(P343-A343)/365), NormalPutSprd(O343,H343,M343,(P343-A343)/365))</f>
        <v>0.38161929191479915</v>
      </c>
      <c r="R343" s="9">
        <f t="shared" si="11"/>
        <v>1.619291914799148E-3</v>
      </c>
    </row>
    <row r="344" spans="1:18" x14ac:dyDescent="0.2">
      <c r="A344" s="2">
        <v>42622</v>
      </c>
      <c r="B344" s="1" t="s">
        <v>13</v>
      </c>
      <c r="C344" s="1" t="s">
        <v>14</v>
      </c>
      <c r="D344" s="2">
        <v>42741</v>
      </c>
      <c r="E344" s="2">
        <f t="shared" si="10"/>
        <v>42887</v>
      </c>
      <c r="F344" s="1" t="s">
        <v>15</v>
      </c>
      <c r="G344" s="1" t="s">
        <v>16</v>
      </c>
      <c r="H344" s="1">
        <v>-3</v>
      </c>
      <c r="I344" s="1">
        <v>2.68</v>
      </c>
      <c r="J344" s="1">
        <v>-0.03</v>
      </c>
      <c r="K344" s="1" t="s">
        <v>44</v>
      </c>
      <c r="L344" s="1">
        <v>2389</v>
      </c>
      <c r="M344" s="1">
        <v>1.04</v>
      </c>
      <c r="N344" s="1">
        <v>-0.28194999999999998</v>
      </c>
      <c r="O344" s="1">
        <f>VLOOKUP(D344,underlying!$D$2:$H$75,5,FALSE)</f>
        <v>-0.31</v>
      </c>
      <c r="P344" s="2">
        <f>VLOOKUP(D344,underlying!$D$2:$L$39,9,FALSE)</f>
        <v>42852</v>
      </c>
      <c r="Q344" s="7">
        <f>IF(G344="C",NormalCallSprd(O344,H344,M344,(P344-A344)/365), NormalPutSprd(O344,H344,M344,(P344-A344)/365))</f>
        <v>2.6901229702263789</v>
      </c>
      <c r="R344" s="9">
        <f t="shared" si="11"/>
        <v>1.0122970226378758E-2</v>
      </c>
    </row>
    <row r="345" spans="1:18" x14ac:dyDescent="0.2">
      <c r="A345" s="2">
        <v>42622</v>
      </c>
      <c r="B345" s="1" t="s">
        <v>13</v>
      </c>
      <c r="C345" s="1" t="s">
        <v>14</v>
      </c>
      <c r="D345" s="2">
        <v>42741</v>
      </c>
      <c r="E345" s="2">
        <f t="shared" si="10"/>
        <v>42887</v>
      </c>
      <c r="F345" s="1" t="s">
        <v>15</v>
      </c>
      <c r="G345" s="1" t="s">
        <v>18</v>
      </c>
      <c r="H345" s="1">
        <v>-3</v>
      </c>
      <c r="I345" s="1">
        <v>0.01</v>
      </c>
      <c r="J345" s="1">
        <v>0</v>
      </c>
      <c r="K345" s="1" t="s">
        <v>44</v>
      </c>
      <c r="L345" s="1">
        <v>2389</v>
      </c>
      <c r="M345" s="1">
        <v>1.04</v>
      </c>
      <c r="N345" s="1">
        <v>-0.25852999999999998</v>
      </c>
      <c r="O345" s="1">
        <f>VLOOKUP(D345,underlying!$D$2:$H$75,5,FALSE)</f>
        <v>-0.31</v>
      </c>
      <c r="P345" s="2">
        <f>VLOOKUP(D345,underlying!$D$2:$L$39,9,FALSE)</f>
        <v>42852</v>
      </c>
      <c r="Q345" s="7">
        <f>IF(G345="C",NormalCallSprd(O345,H345,M345,(P345-A345)/365), NormalPutSprd(O345,H345,M345,(P345-A345)/365))</f>
        <v>1.22970226378599E-4</v>
      </c>
      <c r="R345" s="9">
        <f t="shared" si="11"/>
        <v>9.877029773621402E-3</v>
      </c>
    </row>
    <row r="346" spans="1:18" x14ac:dyDescent="0.2">
      <c r="A346" s="2">
        <v>42622</v>
      </c>
      <c r="B346" s="1" t="s">
        <v>13</v>
      </c>
      <c r="C346" s="1" t="s">
        <v>14</v>
      </c>
      <c r="D346" s="2">
        <v>42741</v>
      </c>
      <c r="E346" s="2">
        <f t="shared" si="10"/>
        <v>42887</v>
      </c>
      <c r="F346" s="1" t="s">
        <v>15</v>
      </c>
      <c r="G346" s="1" t="s">
        <v>16</v>
      </c>
      <c r="H346" s="1">
        <v>-2</v>
      </c>
      <c r="I346" s="1">
        <v>1.69</v>
      </c>
      <c r="J346" s="1">
        <v>-0.03</v>
      </c>
      <c r="K346" s="1" t="s">
        <v>44</v>
      </c>
      <c r="L346" s="1">
        <v>2389</v>
      </c>
      <c r="M346" s="1">
        <v>0.87</v>
      </c>
      <c r="N346" s="1">
        <v>-0.23838000000000001</v>
      </c>
      <c r="O346" s="1">
        <f>VLOOKUP(D346,underlying!$D$2:$H$75,5,FALSE)</f>
        <v>-0.31</v>
      </c>
      <c r="P346" s="2">
        <f>VLOOKUP(D346,underlying!$D$2:$L$39,9,FALSE)</f>
        <v>42852</v>
      </c>
      <c r="Q346" s="7">
        <f>IF(G346="C",NormalCallSprd(O346,H346,M346,(P346-A346)/365), NormalPutSprd(O346,H346,M346,(P346-A346)/365))</f>
        <v>1.6916287055754697</v>
      </c>
      <c r="R346" s="9">
        <f t="shared" si="11"/>
        <v>1.628705575469791E-3</v>
      </c>
    </row>
    <row r="347" spans="1:18" x14ac:dyDescent="0.2">
      <c r="A347" s="2">
        <v>42622</v>
      </c>
      <c r="B347" s="1" t="s">
        <v>13</v>
      </c>
      <c r="C347" s="1" t="s">
        <v>14</v>
      </c>
      <c r="D347" s="2">
        <v>42741</v>
      </c>
      <c r="E347" s="2">
        <f t="shared" si="10"/>
        <v>42887</v>
      </c>
      <c r="F347" s="1" t="s">
        <v>15</v>
      </c>
      <c r="G347" s="1" t="s">
        <v>18</v>
      </c>
      <c r="H347" s="1">
        <v>-2</v>
      </c>
      <c r="I347" s="1">
        <v>0.01</v>
      </c>
      <c r="J347" s="1">
        <v>0</v>
      </c>
      <c r="K347" s="1" t="s">
        <v>44</v>
      </c>
      <c r="L347" s="1">
        <v>2389</v>
      </c>
      <c r="M347" s="1">
        <v>0.87</v>
      </c>
      <c r="N347" s="1">
        <v>-0.2203</v>
      </c>
      <c r="O347" s="1">
        <f>VLOOKUP(D347,underlying!$D$2:$H$75,5,FALSE)</f>
        <v>-0.31</v>
      </c>
      <c r="P347" s="2">
        <f>VLOOKUP(D347,underlying!$D$2:$L$39,9,FALSE)</f>
        <v>42852</v>
      </c>
      <c r="Q347" s="7">
        <f>IF(G347="C",NormalCallSprd(O347,H347,M347,(P347-A347)/365), NormalPutSprd(O347,H347,M347,(P347-A347)/365))</f>
        <v>1.6287055754698209E-3</v>
      </c>
      <c r="R347" s="9">
        <f t="shared" si="11"/>
        <v>8.3712944245301797E-3</v>
      </c>
    </row>
    <row r="348" spans="1:18" x14ac:dyDescent="0.2">
      <c r="A348" s="2">
        <v>42622</v>
      </c>
      <c r="B348" s="1" t="s">
        <v>13</v>
      </c>
      <c r="C348" s="1" t="s">
        <v>14</v>
      </c>
      <c r="D348" s="2">
        <v>42741</v>
      </c>
      <c r="E348" s="2">
        <f t="shared" si="10"/>
        <v>42887</v>
      </c>
      <c r="F348" s="1" t="s">
        <v>15</v>
      </c>
      <c r="G348" s="1" t="s">
        <v>16</v>
      </c>
      <c r="H348" s="1">
        <v>-1</v>
      </c>
      <c r="I348" s="1">
        <v>0.72</v>
      </c>
      <c r="J348" s="1">
        <v>-0.02</v>
      </c>
      <c r="K348" s="1" t="s">
        <v>44</v>
      </c>
      <c r="L348" s="1">
        <v>2389</v>
      </c>
      <c r="M348" s="1">
        <v>0.69</v>
      </c>
      <c r="N348" s="1">
        <v>-0.14499000000000001</v>
      </c>
      <c r="O348" s="1">
        <f>VLOOKUP(D348,underlying!$D$2:$H$75,5,FALSE)</f>
        <v>-0.31</v>
      </c>
      <c r="P348" s="2">
        <f>VLOOKUP(D348,underlying!$D$2:$L$39,9,FALSE)</f>
        <v>42852</v>
      </c>
      <c r="Q348" s="7">
        <f>IF(G348="C",NormalCallSprd(O348,H348,M348,(P348-A348)/365), NormalPutSprd(O348,H348,M348,(P348-A348)/365))</f>
        <v>0.71714878139542682</v>
      </c>
      <c r="R348" s="9">
        <f t="shared" si="11"/>
        <v>2.851218604573158E-3</v>
      </c>
    </row>
    <row r="349" spans="1:18" x14ac:dyDescent="0.2">
      <c r="A349" s="2">
        <v>42622</v>
      </c>
      <c r="B349" s="1" t="s">
        <v>13</v>
      </c>
      <c r="C349" s="1" t="s">
        <v>14</v>
      </c>
      <c r="D349" s="2">
        <v>42741</v>
      </c>
      <c r="E349" s="2">
        <f t="shared" si="10"/>
        <v>42887</v>
      </c>
      <c r="F349" s="1" t="s">
        <v>15</v>
      </c>
      <c r="G349" s="1" t="s">
        <v>18</v>
      </c>
      <c r="H349" s="1">
        <v>-1</v>
      </c>
      <c r="I349" s="1">
        <v>0.03</v>
      </c>
      <c r="J349" s="1">
        <v>0</v>
      </c>
      <c r="K349" s="1" t="s">
        <v>44</v>
      </c>
      <c r="L349" s="1">
        <v>2389</v>
      </c>
      <c r="M349" s="1">
        <v>0.69</v>
      </c>
      <c r="N349" s="1">
        <v>0</v>
      </c>
      <c r="O349" s="1">
        <f>VLOOKUP(D349,underlying!$D$2:$H$75,5,FALSE)</f>
        <v>-0.31</v>
      </c>
      <c r="P349" s="2">
        <f>VLOOKUP(D349,underlying!$D$2:$L$39,9,FALSE)</f>
        <v>42852</v>
      </c>
      <c r="Q349" s="7">
        <f>IF(G349="C",NormalCallSprd(O349,H349,M349,(P349-A349)/365), NormalPutSprd(O349,H349,M349,(P349-A349)/365))</f>
        <v>2.7148781395426817E-2</v>
      </c>
      <c r="R349" s="9">
        <f t="shared" si="11"/>
        <v>2.8512186045731823E-3</v>
      </c>
    </row>
    <row r="350" spans="1:18" x14ac:dyDescent="0.2">
      <c r="A350" s="2">
        <v>42622</v>
      </c>
      <c r="B350" s="1" t="s">
        <v>13</v>
      </c>
      <c r="C350" s="1" t="s">
        <v>14</v>
      </c>
      <c r="D350" s="2">
        <v>42741</v>
      </c>
      <c r="E350" s="2">
        <f t="shared" si="10"/>
        <v>42887</v>
      </c>
      <c r="F350" s="1" t="s">
        <v>15</v>
      </c>
      <c r="G350" s="1" t="s">
        <v>16</v>
      </c>
      <c r="H350" s="1">
        <v>-0.9</v>
      </c>
      <c r="I350" s="1">
        <v>0.63</v>
      </c>
      <c r="J350" s="1">
        <v>-0.02</v>
      </c>
      <c r="K350" s="1" t="s">
        <v>44</v>
      </c>
      <c r="L350" s="1">
        <v>2389</v>
      </c>
      <c r="M350" s="1">
        <v>0.68</v>
      </c>
      <c r="N350" s="1">
        <v>-2.6519999999999998E-2</v>
      </c>
      <c r="O350" s="1">
        <f>VLOOKUP(D350,underlying!$D$2:$H$75,5,FALSE)</f>
        <v>-0.31</v>
      </c>
      <c r="P350" s="2">
        <f>VLOOKUP(D350,underlying!$D$2:$L$39,9,FALSE)</f>
        <v>42852</v>
      </c>
      <c r="Q350" s="7">
        <f>IF(G350="C",NormalCallSprd(O350,H350,M350,(P350-A350)/365), NormalPutSprd(O350,H350,M350,(P350-A350)/365))</f>
        <v>0.62755475126320837</v>
      </c>
      <c r="R350" s="9">
        <f t="shared" si="11"/>
        <v>2.4452487367916387E-3</v>
      </c>
    </row>
    <row r="351" spans="1:18" x14ac:dyDescent="0.2">
      <c r="A351" s="2">
        <v>42622</v>
      </c>
      <c r="B351" s="1" t="s">
        <v>13</v>
      </c>
      <c r="C351" s="1" t="s">
        <v>14</v>
      </c>
      <c r="D351" s="2">
        <v>42741</v>
      </c>
      <c r="E351" s="2">
        <f t="shared" si="10"/>
        <v>42887</v>
      </c>
      <c r="F351" s="1" t="s">
        <v>15</v>
      </c>
      <c r="G351" s="1" t="s">
        <v>18</v>
      </c>
      <c r="H351" s="1">
        <v>-0.9</v>
      </c>
      <c r="I351" s="1">
        <v>0.04</v>
      </c>
      <c r="J351" s="1">
        <v>0.01</v>
      </c>
      <c r="K351" s="1" t="s">
        <v>44</v>
      </c>
      <c r="L351" s="1">
        <v>2389</v>
      </c>
      <c r="M351" s="1">
        <v>0.68</v>
      </c>
      <c r="N351" s="1">
        <v>-3.2699999999999999E-3</v>
      </c>
      <c r="O351" s="1">
        <f>VLOOKUP(D351,underlying!$D$2:$H$75,5,FALSE)</f>
        <v>-0.31</v>
      </c>
      <c r="P351" s="2">
        <f>VLOOKUP(D351,underlying!$D$2:$L$39,9,FALSE)</f>
        <v>42852</v>
      </c>
      <c r="Q351" s="7">
        <f>IF(G351="C",NormalCallSprd(O351,H351,M351,(P351-A351)/365), NormalPutSprd(O351,H351,M351,(P351-A351)/365))</f>
        <v>3.7554751263208418E-2</v>
      </c>
      <c r="R351" s="9">
        <f t="shared" si="11"/>
        <v>2.4452487367915832E-3</v>
      </c>
    </row>
    <row r="352" spans="1:18" x14ac:dyDescent="0.2">
      <c r="A352" s="2">
        <v>42622</v>
      </c>
      <c r="B352" s="1" t="s">
        <v>13</v>
      </c>
      <c r="C352" s="1" t="s">
        <v>14</v>
      </c>
      <c r="D352" s="2">
        <v>42741</v>
      </c>
      <c r="E352" s="2">
        <f t="shared" si="10"/>
        <v>42887</v>
      </c>
      <c r="F352" s="1" t="s">
        <v>15</v>
      </c>
      <c r="G352" s="1" t="s">
        <v>16</v>
      </c>
      <c r="H352" s="1">
        <v>-0.85</v>
      </c>
      <c r="I352" s="1">
        <v>0.57999999999999996</v>
      </c>
      <c r="J352" s="1">
        <v>-0.03</v>
      </c>
      <c r="K352" s="1" t="s">
        <v>44</v>
      </c>
      <c r="L352" s="1">
        <v>2389</v>
      </c>
      <c r="M352" s="1">
        <v>0.67</v>
      </c>
      <c r="N352" s="1">
        <v>0.41514000000000001</v>
      </c>
      <c r="O352" s="1">
        <f>VLOOKUP(D352,underlying!$D$2:$H$75,5,FALSE)</f>
        <v>-0.31</v>
      </c>
      <c r="P352" s="2">
        <f>VLOOKUP(D352,underlying!$D$2:$L$39,9,FALSE)</f>
        <v>42852</v>
      </c>
      <c r="Q352" s="7">
        <f>IF(G352="C",NormalCallSprd(O352,H352,M352,(P352-A352)/365), NormalPutSprd(O352,H352,M352,(P352-A352)/365))</f>
        <v>0.58303423714390235</v>
      </c>
      <c r="R352" s="9">
        <f t="shared" si="11"/>
        <v>3.0342371439023852E-3</v>
      </c>
    </row>
    <row r="353" spans="1:18" x14ac:dyDescent="0.2">
      <c r="A353" s="2">
        <v>42622</v>
      </c>
      <c r="B353" s="1" t="s">
        <v>13</v>
      </c>
      <c r="C353" s="1" t="s">
        <v>14</v>
      </c>
      <c r="D353" s="2">
        <v>42741</v>
      </c>
      <c r="E353" s="2">
        <f t="shared" si="10"/>
        <v>42887</v>
      </c>
      <c r="F353" s="1" t="s">
        <v>15</v>
      </c>
      <c r="G353" s="1" t="s">
        <v>18</v>
      </c>
      <c r="H353" s="1">
        <v>-0.85</v>
      </c>
      <c r="I353" s="1">
        <v>0.04</v>
      </c>
      <c r="J353" s="1">
        <v>0</v>
      </c>
      <c r="K353" s="1" t="s">
        <v>44</v>
      </c>
      <c r="L353" s="1">
        <v>2389</v>
      </c>
      <c r="M353" s="1">
        <v>0.67</v>
      </c>
      <c r="N353" s="1">
        <v>0.44470999999999999</v>
      </c>
      <c r="O353" s="1">
        <f>VLOOKUP(D353,underlying!$D$2:$H$75,5,FALSE)</f>
        <v>-0.31</v>
      </c>
      <c r="P353" s="2">
        <f>VLOOKUP(D353,underlying!$D$2:$L$39,9,FALSE)</f>
        <v>42852</v>
      </c>
      <c r="Q353" s="7">
        <f>IF(G353="C",NormalCallSprd(O353,H353,M353,(P353-A353)/365), NormalPutSprd(O353,H353,M353,(P353-A353)/365))</f>
        <v>4.30342371439024E-2</v>
      </c>
      <c r="R353" s="9">
        <f t="shared" si="11"/>
        <v>3.0342371439023991E-3</v>
      </c>
    </row>
    <row r="354" spans="1:18" x14ac:dyDescent="0.2">
      <c r="A354" s="2">
        <v>42622</v>
      </c>
      <c r="B354" s="1" t="s">
        <v>13</v>
      </c>
      <c r="C354" s="1" t="s">
        <v>14</v>
      </c>
      <c r="D354" s="2">
        <v>42741</v>
      </c>
      <c r="E354" s="2">
        <f t="shared" si="10"/>
        <v>42887</v>
      </c>
      <c r="F354" s="1" t="s">
        <v>15</v>
      </c>
      <c r="G354" s="1" t="s">
        <v>16</v>
      </c>
      <c r="H354" s="1">
        <v>-0.8</v>
      </c>
      <c r="I354" s="1">
        <v>0.54</v>
      </c>
      <c r="J354" s="1">
        <v>-0.02</v>
      </c>
      <c r="K354" s="1" t="s">
        <v>44</v>
      </c>
      <c r="L354" s="1">
        <v>2389</v>
      </c>
      <c r="M354" s="1">
        <v>0.66</v>
      </c>
      <c r="N354" s="1">
        <v>0.47455000000000003</v>
      </c>
      <c r="O354" s="1">
        <f>VLOOKUP(D354,underlying!$D$2:$H$75,5,FALSE)</f>
        <v>-0.31</v>
      </c>
      <c r="P354" s="2">
        <f>VLOOKUP(D354,underlying!$D$2:$L$39,9,FALSE)</f>
        <v>42852</v>
      </c>
      <c r="Q354" s="7">
        <f>IF(G354="C",NormalCallSprd(O354,H354,M354,(P354-A354)/365), NormalPutSprd(O354,H354,M354,(P354-A354)/365))</f>
        <v>0.53930254652165865</v>
      </c>
      <c r="R354" s="9">
        <f t="shared" si="11"/>
        <v>6.9745347834138105E-4</v>
      </c>
    </row>
    <row r="355" spans="1:18" x14ac:dyDescent="0.2">
      <c r="A355" s="2">
        <v>42622</v>
      </c>
      <c r="B355" s="1" t="s">
        <v>13</v>
      </c>
      <c r="C355" s="1" t="s">
        <v>14</v>
      </c>
      <c r="D355" s="2">
        <v>42741</v>
      </c>
      <c r="E355" s="2">
        <f t="shared" si="10"/>
        <v>42887</v>
      </c>
      <c r="F355" s="1" t="s">
        <v>15</v>
      </c>
      <c r="G355" s="1" t="s">
        <v>18</v>
      </c>
      <c r="H355" s="1">
        <v>-0.8</v>
      </c>
      <c r="I355" s="1">
        <v>0.05</v>
      </c>
      <c r="J355" s="1">
        <v>0</v>
      </c>
      <c r="K355" s="1" t="s">
        <v>44</v>
      </c>
      <c r="L355" s="1">
        <v>2389</v>
      </c>
      <c r="M355" s="1">
        <v>0.66</v>
      </c>
      <c r="N355" s="1">
        <v>0.50449999999999995</v>
      </c>
      <c r="O355" s="1">
        <f>VLOOKUP(D355,underlying!$D$2:$H$75,5,FALSE)</f>
        <v>-0.31</v>
      </c>
      <c r="P355" s="2">
        <f>VLOOKUP(D355,underlying!$D$2:$L$39,9,FALSE)</f>
        <v>42852</v>
      </c>
      <c r="Q355" s="7">
        <f>IF(G355="C",NormalCallSprd(O355,H355,M355,(P355-A355)/365), NormalPutSprd(O355,H355,M355,(P355-A355)/365))</f>
        <v>4.9302546521658552E-2</v>
      </c>
      <c r="R355" s="9">
        <f t="shared" si="11"/>
        <v>6.9745347834145044E-4</v>
      </c>
    </row>
    <row r="356" spans="1:18" x14ac:dyDescent="0.2">
      <c r="A356" s="2">
        <v>42622</v>
      </c>
      <c r="B356" s="1" t="s">
        <v>13</v>
      </c>
      <c r="C356" s="1" t="s">
        <v>14</v>
      </c>
      <c r="D356" s="2">
        <v>42741</v>
      </c>
      <c r="E356" s="2">
        <f t="shared" si="10"/>
        <v>42887</v>
      </c>
      <c r="F356" s="1" t="s">
        <v>15</v>
      </c>
      <c r="G356" s="1" t="s">
        <v>16</v>
      </c>
      <c r="H356" s="1">
        <v>-0.75</v>
      </c>
      <c r="I356" s="1">
        <v>0.5</v>
      </c>
      <c r="J356" s="1">
        <v>-0.02</v>
      </c>
      <c r="K356" s="1" t="s">
        <v>44</v>
      </c>
      <c r="L356" s="1">
        <v>2389</v>
      </c>
      <c r="M356" s="1">
        <v>0.66</v>
      </c>
      <c r="N356" s="1">
        <v>0.53437999999999997</v>
      </c>
      <c r="O356" s="1">
        <f>VLOOKUP(D356,underlying!$D$2:$H$75,5,FALSE)</f>
        <v>-0.31</v>
      </c>
      <c r="P356" s="2">
        <f>VLOOKUP(D356,underlying!$D$2:$L$39,9,FALSE)</f>
        <v>42852</v>
      </c>
      <c r="Q356" s="7">
        <f>IF(G356="C",NormalCallSprd(O356,H356,M356,(P356-A356)/365), NormalPutSprd(O356,H356,M356,(P356-A356)/365))</f>
        <v>0.49867668380711344</v>
      </c>
      <c r="R356" s="9">
        <f t="shared" si="11"/>
        <v>1.3233161928865589E-3</v>
      </c>
    </row>
    <row r="357" spans="1:18" x14ac:dyDescent="0.2">
      <c r="A357" s="2">
        <v>42622</v>
      </c>
      <c r="B357" s="1" t="s">
        <v>13</v>
      </c>
      <c r="C357" s="1" t="s">
        <v>14</v>
      </c>
      <c r="D357" s="2">
        <v>42741</v>
      </c>
      <c r="E357" s="2">
        <f t="shared" si="10"/>
        <v>42887</v>
      </c>
      <c r="F357" s="1" t="s">
        <v>15</v>
      </c>
      <c r="G357" s="1" t="s">
        <v>18</v>
      </c>
      <c r="H357" s="1">
        <v>-0.75</v>
      </c>
      <c r="I357" s="1">
        <v>0.06</v>
      </c>
      <c r="J357" s="1">
        <v>0.01</v>
      </c>
      <c r="K357" s="1" t="s">
        <v>44</v>
      </c>
      <c r="L357" s="1">
        <v>2389</v>
      </c>
      <c r="M357" s="1">
        <v>0.66</v>
      </c>
      <c r="N357" s="1">
        <v>0.56276000000000004</v>
      </c>
      <c r="O357" s="1">
        <f>VLOOKUP(D357,underlying!$D$2:$H$75,5,FALSE)</f>
        <v>-0.31</v>
      </c>
      <c r="P357" s="2">
        <f>VLOOKUP(D357,underlying!$D$2:$L$39,9,FALSE)</f>
        <v>42852</v>
      </c>
      <c r="Q357" s="7">
        <f>IF(G357="C",NormalCallSprd(O357,H357,M357,(P357-A357)/365), NormalPutSprd(O357,H357,M357,(P357-A357)/365))</f>
        <v>5.8676683807113411E-2</v>
      </c>
      <c r="R357" s="9">
        <f t="shared" si="11"/>
        <v>1.3233161928865866E-3</v>
      </c>
    </row>
    <row r="358" spans="1:18" x14ac:dyDescent="0.2">
      <c r="A358" s="2">
        <v>42622</v>
      </c>
      <c r="B358" s="1" t="s">
        <v>13</v>
      </c>
      <c r="C358" s="1" t="s">
        <v>14</v>
      </c>
      <c r="D358" s="2">
        <v>42741</v>
      </c>
      <c r="E358" s="2">
        <f t="shared" si="10"/>
        <v>42887</v>
      </c>
      <c r="F358" s="1" t="s">
        <v>15</v>
      </c>
      <c r="G358" s="1" t="s">
        <v>16</v>
      </c>
      <c r="H358" s="1">
        <v>-0.7</v>
      </c>
      <c r="I358" s="1">
        <v>0.46</v>
      </c>
      <c r="J358" s="1">
        <v>-0.02</v>
      </c>
      <c r="K358" s="1" t="s">
        <v>44</v>
      </c>
      <c r="L358" s="1">
        <v>2389</v>
      </c>
      <c r="M358" s="1">
        <v>0.65</v>
      </c>
      <c r="N358" s="1">
        <v>0.58936999999999995</v>
      </c>
      <c r="O358" s="1">
        <f>VLOOKUP(D358,underlying!$D$2:$H$75,5,FALSE)</f>
        <v>-0.31</v>
      </c>
      <c r="P358" s="2">
        <f>VLOOKUP(D358,underlying!$D$2:$L$39,9,FALSE)</f>
        <v>42852</v>
      </c>
      <c r="Q358" s="7">
        <f>IF(G358="C",NormalCallSprd(O358,H358,M358,(P358-A358)/365), NormalPutSprd(O358,H358,M358,(P358-A358)/365))</f>
        <v>0.45699815198011634</v>
      </c>
      <c r="R358" s="9">
        <f t="shared" si="11"/>
        <v>3.0018480198836794E-3</v>
      </c>
    </row>
    <row r="359" spans="1:18" x14ac:dyDescent="0.2">
      <c r="A359" s="2">
        <v>42622</v>
      </c>
      <c r="B359" s="1" t="s">
        <v>13</v>
      </c>
      <c r="C359" s="1" t="s">
        <v>14</v>
      </c>
      <c r="D359" s="2">
        <v>42741</v>
      </c>
      <c r="E359" s="2">
        <f t="shared" si="10"/>
        <v>42887</v>
      </c>
      <c r="F359" s="1" t="s">
        <v>15</v>
      </c>
      <c r="G359" s="1" t="s">
        <v>18</v>
      </c>
      <c r="H359" s="1">
        <v>-0.7</v>
      </c>
      <c r="I359" s="1">
        <v>7.0000000000000007E-2</v>
      </c>
      <c r="J359" s="1">
        <v>0.01</v>
      </c>
      <c r="K359" s="1" t="s">
        <v>44</v>
      </c>
      <c r="L359" s="1">
        <v>2389</v>
      </c>
      <c r="M359" s="1">
        <v>0.65</v>
      </c>
      <c r="N359" s="1">
        <v>0.61648000000000003</v>
      </c>
      <c r="O359" s="1">
        <f>VLOOKUP(D359,underlying!$D$2:$H$75,5,FALSE)</f>
        <v>-0.31</v>
      </c>
      <c r="P359" s="2">
        <f>VLOOKUP(D359,underlying!$D$2:$L$39,9,FALSE)</f>
        <v>42852</v>
      </c>
      <c r="Q359" s="7">
        <f>IF(G359="C",NormalCallSprd(O359,H359,M359,(P359-A359)/365), NormalPutSprd(O359,H359,M359,(P359-A359)/365))</f>
        <v>6.6998151980116397E-2</v>
      </c>
      <c r="R359" s="9">
        <f t="shared" si="11"/>
        <v>3.0018480198836101E-3</v>
      </c>
    </row>
    <row r="360" spans="1:18" x14ac:dyDescent="0.2">
      <c r="A360" s="2">
        <v>42622</v>
      </c>
      <c r="B360" s="1" t="s">
        <v>13</v>
      </c>
      <c r="C360" s="1" t="s">
        <v>14</v>
      </c>
      <c r="D360" s="2">
        <v>42741</v>
      </c>
      <c r="E360" s="2">
        <f t="shared" si="10"/>
        <v>42887</v>
      </c>
      <c r="F360" s="1" t="s">
        <v>15</v>
      </c>
      <c r="G360" s="1" t="s">
        <v>16</v>
      </c>
      <c r="H360" s="1">
        <v>-0.65</v>
      </c>
      <c r="I360" s="1">
        <v>0.42</v>
      </c>
      <c r="J360" s="1">
        <v>-0.02</v>
      </c>
      <c r="K360" s="1" t="s">
        <v>44</v>
      </c>
      <c r="L360" s="1">
        <v>2389</v>
      </c>
      <c r="M360" s="1">
        <v>0.65</v>
      </c>
      <c r="N360" s="1">
        <v>0.64090000000000003</v>
      </c>
      <c r="O360" s="1">
        <f>VLOOKUP(D360,underlying!$D$2:$H$75,5,FALSE)</f>
        <v>-0.31</v>
      </c>
      <c r="P360" s="2">
        <f>VLOOKUP(D360,underlying!$D$2:$L$39,9,FALSE)</f>
        <v>42852</v>
      </c>
      <c r="Q360" s="7">
        <f>IF(G360="C",NormalCallSprd(O360,H360,M360,(P360-A360)/365), NormalPutSprd(O360,H360,M360,(P360-A360)/365))</f>
        <v>0.41898547468184189</v>
      </c>
      <c r="R360" s="9">
        <f t="shared" si="11"/>
        <v>1.0145253181580993E-3</v>
      </c>
    </row>
    <row r="361" spans="1:18" x14ac:dyDescent="0.2">
      <c r="A361" s="2">
        <v>42622</v>
      </c>
      <c r="B361" s="1" t="s">
        <v>13</v>
      </c>
      <c r="C361" s="1" t="s">
        <v>14</v>
      </c>
      <c r="D361" s="2">
        <v>42741</v>
      </c>
      <c r="E361" s="2">
        <f t="shared" si="10"/>
        <v>42887</v>
      </c>
      <c r="F361" s="1" t="s">
        <v>15</v>
      </c>
      <c r="G361" s="1" t="s">
        <v>18</v>
      </c>
      <c r="H361" s="1">
        <v>-0.65</v>
      </c>
      <c r="I361" s="1">
        <v>0.08</v>
      </c>
      <c r="J361" s="1">
        <v>0.01</v>
      </c>
      <c r="K361" s="1" t="s">
        <v>44</v>
      </c>
      <c r="L361" s="1">
        <v>2389</v>
      </c>
      <c r="M361" s="1">
        <v>0.65</v>
      </c>
      <c r="N361" s="1">
        <v>0.66325000000000001</v>
      </c>
      <c r="O361" s="1">
        <f>VLOOKUP(D361,underlying!$D$2:$H$75,5,FALSE)</f>
        <v>-0.31</v>
      </c>
      <c r="P361" s="2">
        <f>VLOOKUP(D361,underlying!$D$2:$L$39,9,FALSE)</f>
        <v>42852</v>
      </c>
      <c r="Q361" s="7">
        <f>IF(G361="C",NormalCallSprd(O361,H361,M361,(P361-A361)/365), NormalPutSprd(O361,H361,M361,(P361-A361)/365))</f>
        <v>7.8985474681841847E-2</v>
      </c>
      <c r="R361" s="9">
        <f t="shared" si="11"/>
        <v>1.0145253181581548E-3</v>
      </c>
    </row>
    <row r="362" spans="1:18" x14ac:dyDescent="0.2">
      <c r="A362" s="2">
        <v>42622</v>
      </c>
      <c r="B362" s="1" t="s">
        <v>13</v>
      </c>
      <c r="C362" s="1" t="s">
        <v>14</v>
      </c>
      <c r="D362" s="2">
        <v>42741</v>
      </c>
      <c r="E362" s="2">
        <f t="shared" si="10"/>
        <v>42887</v>
      </c>
      <c r="F362" s="1" t="s">
        <v>15</v>
      </c>
      <c r="G362" s="1" t="s">
        <v>16</v>
      </c>
      <c r="H362" s="1">
        <v>-0.6</v>
      </c>
      <c r="I362" s="1">
        <v>0.38</v>
      </c>
      <c r="J362" s="1">
        <v>-0.02</v>
      </c>
      <c r="K362" s="1" t="s">
        <v>44</v>
      </c>
      <c r="L362" s="1">
        <v>2389</v>
      </c>
      <c r="M362" s="1">
        <v>0.65</v>
      </c>
      <c r="N362" s="1">
        <v>0.68411</v>
      </c>
      <c r="O362" s="1">
        <f>VLOOKUP(D362,underlying!$D$2:$H$75,5,FALSE)</f>
        <v>-0.31</v>
      </c>
      <c r="P362" s="2">
        <f>VLOOKUP(D362,underlying!$D$2:$L$39,9,FALSE)</f>
        <v>42852</v>
      </c>
      <c r="Q362" s="7">
        <f>IF(G362="C",NormalCallSprd(O362,H362,M362,(P362-A362)/365), NormalPutSprd(O362,H362,M362,(P362-A362)/365))</f>
        <v>0.38252783272213059</v>
      </c>
      <c r="R362" s="9">
        <f t="shared" si="11"/>
        <v>2.5278327221305852E-3</v>
      </c>
    </row>
    <row r="363" spans="1:18" x14ac:dyDescent="0.2">
      <c r="A363" s="2">
        <v>42622</v>
      </c>
      <c r="B363" s="1" t="s">
        <v>13</v>
      </c>
      <c r="C363" s="1" t="s">
        <v>14</v>
      </c>
      <c r="D363" s="2">
        <v>42741</v>
      </c>
      <c r="E363" s="2">
        <f t="shared" si="10"/>
        <v>42887</v>
      </c>
      <c r="F363" s="1" t="s">
        <v>15</v>
      </c>
      <c r="G363" s="1" t="s">
        <v>18</v>
      </c>
      <c r="H363" s="1">
        <v>-0.6</v>
      </c>
      <c r="I363" s="1">
        <v>0.09</v>
      </c>
      <c r="J363" s="1">
        <v>0.01</v>
      </c>
      <c r="K363" s="1" t="s">
        <v>44</v>
      </c>
      <c r="L363" s="1">
        <v>2389</v>
      </c>
      <c r="M363" s="1">
        <v>0.65</v>
      </c>
      <c r="N363" s="1">
        <v>0.70662999999999998</v>
      </c>
      <c r="O363" s="1">
        <f>VLOOKUP(D363,underlying!$D$2:$H$75,5,FALSE)</f>
        <v>-0.31</v>
      </c>
      <c r="P363" s="2">
        <f>VLOOKUP(D363,underlying!$D$2:$L$39,9,FALSE)</f>
        <v>42852</v>
      </c>
      <c r="Q363" s="7">
        <f>IF(G363="C",NormalCallSprd(O363,H363,M363,(P363-A363)/365), NormalPutSprd(O363,H363,M363,(P363-A363)/365))</f>
        <v>9.2527832722130596E-2</v>
      </c>
      <c r="R363" s="9">
        <f t="shared" si="11"/>
        <v>2.5278327221305991E-3</v>
      </c>
    </row>
    <row r="364" spans="1:18" x14ac:dyDescent="0.2">
      <c r="A364" s="2">
        <v>42622</v>
      </c>
      <c r="B364" s="1" t="s">
        <v>13</v>
      </c>
      <c r="C364" s="1" t="s">
        <v>14</v>
      </c>
      <c r="D364" s="2">
        <v>42741</v>
      </c>
      <c r="E364" s="2">
        <f t="shared" si="10"/>
        <v>42887</v>
      </c>
      <c r="F364" s="1" t="s">
        <v>15</v>
      </c>
      <c r="G364" s="1" t="s">
        <v>16</v>
      </c>
      <c r="H364" s="1">
        <v>-0.55000000000000004</v>
      </c>
      <c r="I364" s="1">
        <v>0.34</v>
      </c>
      <c r="J364" s="1">
        <v>-0.03</v>
      </c>
      <c r="K364" s="1" t="s">
        <v>44</v>
      </c>
      <c r="L364" s="1">
        <v>2389</v>
      </c>
      <c r="M364" s="1">
        <v>0.64</v>
      </c>
      <c r="N364" s="1">
        <v>0.72565999999999997</v>
      </c>
      <c r="O364" s="1">
        <f>VLOOKUP(D364,underlying!$D$2:$H$75,5,FALSE)</f>
        <v>-0.31</v>
      </c>
      <c r="P364" s="2">
        <f>VLOOKUP(D364,underlying!$D$2:$L$39,9,FALSE)</f>
        <v>42852</v>
      </c>
      <c r="Q364" s="7">
        <f>IF(G364="C",NormalCallSprd(O364,H364,M364,(P364-A364)/365), NormalPutSprd(O364,H364,M364,(P364-A364)/365))</f>
        <v>0.34488248940347593</v>
      </c>
      <c r="R364" s="9">
        <f t="shared" si="11"/>
        <v>4.8824894034759092E-3</v>
      </c>
    </row>
    <row r="365" spans="1:18" x14ac:dyDescent="0.2">
      <c r="A365" s="2">
        <v>42622</v>
      </c>
      <c r="B365" s="1" t="s">
        <v>13</v>
      </c>
      <c r="C365" s="1" t="s">
        <v>14</v>
      </c>
      <c r="D365" s="2">
        <v>42741</v>
      </c>
      <c r="E365" s="2">
        <f t="shared" si="10"/>
        <v>42887</v>
      </c>
      <c r="F365" s="1" t="s">
        <v>15</v>
      </c>
      <c r="G365" s="1" t="s">
        <v>18</v>
      </c>
      <c r="H365" s="1">
        <v>-0.55000000000000004</v>
      </c>
      <c r="I365" s="1">
        <v>0.11</v>
      </c>
      <c r="J365" s="1">
        <v>0.01</v>
      </c>
      <c r="K365" s="1" t="s">
        <v>44</v>
      </c>
      <c r="L365" s="1">
        <v>2389</v>
      </c>
      <c r="M365" s="1">
        <v>0.64</v>
      </c>
      <c r="N365" s="1">
        <v>0.74258999999999997</v>
      </c>
      <c r="O365" s="1">
        <f>VLOOKUP(D365,underlying!$D$2:$H$75,5,FALSE)</f>
        <v>-0.31</v>
      </c>
      <c r="P365" s="2">
        <f>VLOOKUP(D365,underlying!$D$2:$L$39,9,FALSE)</f>
        <v>42852</v>
      </c>
      <c r="Q365" s="7">
        <f>IF(G365="C",NormalCallSprd(O365,H365,M365,(P365-A365)/365), NormalPutSprd(O365,H365,M365,(P365-A365)/365))</f>
        <v>0.10488248940347587</v>
      </c>
      <c r="R365" s="9">
        <f t="shared" si="11"/>
        <v>5.1175105965241274E-3</v>
      </c>
    </row>
    <row r="366" spans="1:18" x14ac:dyDescent="0.2">
      <c r="A366" s="2">
        <v>42622</v>
      </c>
      <c r="B366" s="1" t="s">
        <v>13</v>
      </c>
      <c r="C366" s="1" t="s">
        <v>14</v>
      </c>
      <c r="D366" s="2">
        <v>42741</v>
      </c>
      <c r="E366" s="2">
        <f t="shared" si="10"/>
        <v>42887</v>
      </c>
      <c r="F366" s="1" t="s">
        <v>15</v>
      </c>
      <c r="G366" s="1" t="s">
        <v>16</v>
      </c>
      <c r="H366" s="1">
        <v>-0.5</v>
      </c>
      <c r="I366" s="1">
        <v>0.31</v>
      </c>
      <c r="J366" s="1">
        <v>-0.02</v>
      </c>
      <c r="K366" s="1" t="s">
        <v>44</v>
      </c>
      <c r="L366" s="1">
        <v>2389</v>
      </c>
      <c r="M366" s="1">
        <v>0.64</v>
      </c>
      <c r="N366" s="1">
        <v>0.83362000000000003</v>
      </c>
      <c r="O366" s="1">
        <f>VLOOKUP(D366,underlying!$D$2:$H$75,5,FALSE)</f>
        <v>-0.31</v>
      </c>
      <c r="P366" s="2">
        <f>VLOOKUP(D366,underlying!$D$2:$L$39,9,FALSE)</f>
        <v>42852</v>
      </c>
      <c r="Q366" s="7">
        <f>IF(G366="C",NormalCallSprd(O366,H366,M366,(P366-A366)/365), NormalPutSprd(O366,H366,M366,(P366-A366)/365))</f>
        <v>0.31168941985995874</v>
      </c>
      <c r="R366" s="9">
        <f t="shared" si="11"/>
        <v>1.6894198599587407E-3</v>
      </c>
    </row>
    <row r="367" spans="1:18" x14ac:dyDescent="0.2">
      <c r="A367" s="2">
        <v>42622</v>
      </c>
      <c r="B367" s="1" t="s">
        <v>13</v>
      </c>
      <c r="C367" s="1" t="s">
        <v>14</v>
      </c>
      <c r="D367" s="2">
        <v>42741</v>
      </c>
      <c r="E367" s="2">
        <f t="shared" si="10"/>
        <v>42887</v>
      </c>
      <c r="F367" s="1" t="s">
        <v>15</v>
      </c>
      <c r="G367" s="1" t="s">
        <v>18</v>
      </c>
      <c r="H367" s="1">
        <v>-0.5</v>
      </c>
      <c r="I367" s="1">
        <v>0.12</v>
      </c>
      <c r="J367" s="1">
        <v>0.01</v>
      </c>
      <c r="K367" s="1" t="s">
        <v>44</v>
      </c>
      <c r="L367" s="1">
        <v>2389</v>
      </c>
      <c r="M367" s="1">
        <v>0.64</v>
      </c>
      <c r="N367" s="1">
        <v>0.94752999999999998</v>
      </c>
      <c r="O367" s="1">
        <f>VLOOKUP(D367,underlying!$D$2:$H$75,5,FALSE)</f>
        <v>-0.31</v>
      </c>
      <c r="P367" s="2">
        <f>VLOOKUP(D367,underlying!$D$2:$L$39,9,FALSE)</f>
        <v>42852</v>
      </c>
      <c r="Q367" s="7">
        <f>IF(G367="C",NormalCallSprd(O367,H367,M367,(P367-A367)/365), NormalPutSprd(O367,H367,M367,(P367-A367)/365))</f>
        <v>0.12168941985995876</v>
      </c>
      <c r="R367" s="9">
        <f t="shared" si="11"/>
        <v>1.6894198599587684E-3</v>
      </c>
    </row>
    <row r="368" spans="1:18" x14ac:dyDescent="0.2">
      <c r="A368" s="2">
        <v>42622</v>
      </c>
      <c r="B368" s="1" t="s">
        <v>13</v>
      </c>
      <c r="C368" s="1" t="s">
        <v>14</v>
      </c>
      <c r="D368" s="2">
        <v>42741</v>
      </c>
      <c r="E368" s="2">
        <f t="shared" si="10"/>
        <v>42887</v>
      </c>
      <c r="F368" s="1" t="s">
        <v>15</v>
      </c>
      <c r="G368" s="1" t="s">
        <v>16</v>
      </c>
      <c r="H368" s="1">
        <v>-0.45</v>
      </c>
      <c r="I368" s="1">
        <v>0.28000000000000003</v>
      </c>
      <c r="J368" s="1">
        <v>-0.02</v>
      </c>
      <c r="K368" s="1" t="s">
        <v>44</v>
      </c>
      <c r="L368" s="1">
        <v>2389</v>
      </c>
      <c r="M368" s="1">
        <v>0.64</v>
      </c>
      <c r="N368" s="1">
        <v>0.97692000000000001</v>
      </c>
      <c r="O368" s="1">
        <f>VLOOKUP(D368,underlying!$D$2:$H$75,5,FALSE)</f>
        <v>-0.31</v>
      </c>
      <c r="P368" s="2">
        <f>VLOOKUP(D368,underlying!$D$2:$L$39,9,FALSE)</f>
        <v>42852</v>
      </c>
      <c r="Q368" s="7">
        <f>IF(G368="C",NormalCallSprd(O368,H368,M368,(P368-A368)/365), NormalPutSprd(O368,H368,M368,(P368-A368)/365))</f>
        <v>0.28032562832417046</v>
      </c>
      <c r="R368" s="9">
        <f t="shared" si="11"/>
        <v>3.2562832417043497E-4</v>
      </c>
    </row>
    <row r="369" spans="1:18" x14ac:dyDescent="0.2">
      <c r="A369" s="2">
        <v>42622</v>
      </c>
      <c r="B369" s="1" t="s">
        <v>13</v>
      </c>
      <c r="C369" s="1" t="s">
        <v>14</v>
      </c>
      <c r="D369" s="2">
        <v>42741</v>
      </c>
      <c r="E369" s="2">
        <f t="shared" si="10"/>
        <v>42887</v>
      </c>
      <c r="F369" s="1" t="s">
        <v>15</v>
      </c>
      <c r="G369" s="1" t="s">
        <v>18</v>
      </c>
      <c r="H369" s="1">
        <v>-0.45</v>
      </c>
      <c r="I369" s="1">
        <v>0.14000000000000001</v>
      </c>
      <c r="J369" s="1">
        <v>0.01</v>
      </c>
      <c r="K369" s="1" t="s">
        <v>44</v>
      </c>
      <c r="L369" s="1">
        <v>2389</v>
      </c>
      <c r="M369" s="1">
        <v>0.64</v>
      </c>
      <c r="N369" s="1">
        <v>-0.56991000000000003</v>
      </c>
      <c r="O369" s="1">
        <f>VLOOKUP(D369,underlying!$D$2:$H$75,5,FALSE)</f>
        <v>-0.31</v>
      </c>
      <c r="P369" s="2">
        <f>VLOOKUP(D369,underlying!$D$2:$L$39,9,FALSE)</f>
        <v>42852</v>
      </c>
      <c r="Q369" s="7">
        <f>IF(G369="C",NormalCallSprd(O369,H369,M369,(P369-A369)/365), NormalPutSprd(O369,H369,M369,(P369-A369)/365))</f>
        <v>0.14032562832417045</v>
      </c>
      <c r="R369" s="9">
        <f t="shared" si="11"/>
        <v>3.2562832417043497E-4</v>
      </c>
    </row>
    <row r="370" spans="1:18" x14ac:dyDescent="0.2">
      <c r="A370" s="2">
        <v>42622</v>
      </c>
      <c r="B370" s="1" t="s">
        <v>13</v>
      </c>
      <c r="C370" s="1" t="s">
        <v>14</v>
      </c>
      <c r="D370" s="2">
        <v>42741</v>
      </c>
      <c r="E370" s="2">
        <f t="shared" si="10"/>
        <v>42887</v>
      </c>
      <c r="F370" s="1" t="s">
        <v>15</v>
      </c>
      <c r="G370" s="1" t="s">
        <v>16</v>
      </c>
      <c r="H370" s="1">
        <v>-0.4</v>
      </c>
      <c r="I370" s="1">
        <v>0.25</v>
      </c>
      <c r="J370" s="1">
        <v>-0.02</v>
      </c>
      <c r="K370" s="1" t="s">
        <v>44</v>
      </c>
      <c r="L370" s="1">
        <v>2389</v>
      </c>
      <c r="M370" s="1">
        <v>0.64</v>
      </c>
      <c r="N370" s="1">
        <v>-0.54034000000000004</v>
      </c>
      <c r="O370" s="1">
        <f>VLOOKUP(D370,underlying!$D$2:$H$75,5,FALSE)</f>
        <v>-0.31</v>
      </c>
      <c r="P370" s="2">
        <f>VLOOKUP(D370,underlying!$D$2:$L$39,9,FALSE)</f>
        <v>42852</v>
      </c>
      <c r="Q370" s="7">
        <f>IF(G370="C",NormalCallSprd(O370,H370,M370,(P370-A370)/365), NormalPutSprd(O370,H370,M370,(P370-A370)/365))</f>
        <v>0.25085043272526686</v>
      </c>
      <c r="R370" s="9">
        <f t="shared" si="11"/>
        <v>8.5043272526685865E-4</v>
      </c>
    </row>
    <row r="371" spans="1:18" x14ac:dyDescent="0.2">
      <c r="A371" s="2">
        <v>42622</v>
      </c>
      <c r="B371" s="1" t="s">
        <v>13</v>
      </c>
      <c r="C371" s="1" t="s">
        <v>14</v>
      </c>
      <c r="D371" s="2">
        <v>42741</v>
      </c>
      <c r="E371" s="2">
        <f t="shared" si="10"/>
        <v>42887</v>
      </c>
      <c r="F371" s="1" t="s">
        <v>15</v>
      </c>
      <c r="G371" s="1" t="s">
        <v>18</v>
      </c>
      <c r="H371" s="1">
        <v>-0.4</v>
      </c>
      <c r="I371" s="1">
        <v>0.16</v>
      </c>
      <c r="J371" s="1">
        <v>0.01</v>
      </c>
      <c r="K371" s="1" t="s">
        <v>44</v>
      </c>
      <c r="L371" s="1">
        <v>2389</v>
      </c>
      <c r="M371" s="1">
        <v>0.64</v>
      </c>
      <c r="N371" s="1">
        <v>-0.51049</v>
      </c>
      <c r="O371" s="1">
        <f>VLOOKUP(D371,underlying!$D$2:$H$75,5,FALSE)</f>
        <v>-0.31</v>
      </c>
      <c r="P371" s="2">
        <f>VLOOKUP(D371,underlying!$D$2:$L$39,9,FALSE)</f>
        <v>42852</v>
      </c>
      <c r="Q371" s="7">
        <f>IF(G371="C",NormalCallSprd(O371,H371,M371,(P371-A371)/365), NormalPutSprd(O371,H371,M371,(P371-A371)/365))</f>
        <v>0.16085043272526683</v>
      </c>
      <c r="R371" s="9">
        <f t="shared" si="11"/>
        <v>8.5043272526683089E-4</v>
      </c>
    </row>
    <row r="372" spans="1:18" x14ac:dyDescent="0.2">
      <c r="A372" s="2">
        <v>42622</v>
      </c>
      <c r="B372" s="1" t="s">
        <v>13</v>
      </c>
      <c r="C372" s="1" t="s">
        <v>14</v>
      </c>
      <c r="D372" s="2">
        <v>42741</v>
      </c>
      <c r="E372" s="2">
        <f t="shared" si="10"/>
        <v>42887</v>
      </c>
      <c r="F372" s="1" t="s">
        <v>15</v>
      </c>
      <c r="G372" s="1" t="s">
        <v>16</v>
      </c>
      <c r="H372" s="1">
        <v>-0.35</v>
      </c>
      <c r="I372" s="1">
        <v>0.22</v>
      </c>
      <c r="J372" s="1">
        <v>-0.02</v>
      </c>
      <c r="K372" s="1" t="s">
        <v>44</v>
      </c>
      <c r="L372" s="1">
        <v>2389</v>
      </c>
      <c r="M372" s="1">
        <v>0.64</v>
      </c>
      <c r="N372" s="1">
        <v>-0.48054000000000002</v>
      </c>
      <c r="O372" s="1">
        <f>VLOOKUP(D372,underlying!$D$2:$H$75,5,FALSE)</f>
        <v>-0.31</v>
      </c>
      <c r="P372" s="2">
        <f>VLOOKUP(D372,underlying!$D$2:$L$39,9,FALSE)</f>
        <v>42852</v>
      </c>
      <c r="Q372" s="7">
        <f>IF(G372="C",NormalCallSprd(O372,H372,M372,(P372-A372)/365), NormalPutSprd(O372,H372,M372,(P372-A372)/365))</f>
        <v>0.22330630967165363</v>
      </c>
      <c r="R372" s="9">
        <f t="shared" si="11"/>
        <v>3.3063096716536289E-3</v>
      </c>
    </row>
    <row r="373" spans="1:18" x14ac:dyDescent="0.2">
      <c r="A373" s="2">
        <v>42622</v>
      </c>
      <c r="B373" s="1" t="s">
        <v>13</v>
      </c>
      <c r="C373" s="1" t="s">
        <v>14</v>
      </c>
      <c r="D373" s="2">
        <v>42741</v>
      </c>
      <c r="E373" s="2">
        <f t="shared" si="10"/>
        <v>42887</v>
      </c>
      <c r="F373" s="1" t="s">
        <v>15</v>
      </c>
      <c r="G373" s="1" t="s">
        <v>18</v>
      </c>
      <c r="H373" s="1">
        <v>-0.35</v>
      </c>
      <c r="I373" s="1">
        <v>0.18</v>
      </c>
      <c r="J373" s="1">
        <v>0.01</v>
      </c>
      <c r="K373" s="1" t="s">
        <v>44</v>
      </c>
      <c r="L373" s="1">
        <v>2389</v>
      </c>
      <c r="M373" s="1">
        <v>0.64</v>
      </c>
      <c r="N373" s="1">
        <v>-0.45066000000000001</v>
      </c>
      <c r="O373" s="1">
        <f>VLOOKUP(D373,underlying!$D$2:$H$75,5,FALSE)</f>
        <v>-0.31</v>
      </c>
      <c r="P373" s="2">
        <f>VLOOKUP(D373,underlying!$D$2:$L$39,9,FALSE)</f>
        <v>42852</v>
      </c>
      <c r="Q373" s="7">
        <f>IF(G373="C",NormalCallSprd(O373,H373,M373,(P373-A373)/365), NormalPutSprd(O373,H373,M373,(P373-A373)/365))</f>
        <v>0.18330630967165365</v>
      </c>
      <c r="R373" s="9">
        <f t="shared" si="11"/>
        <v>3.3063096716536566E-3</v>
      </c>
    </row>
    <row r="374" spans="1:18" x14ac:dyDescent="0.2">
      <c r="A374" s="2">
        <v>42622</v>
      </c>
      <c r="B374" s="1" t="s">
        <v>13</v>
      </c>
      <c r="C374" s="1" t="s">
        <v>14</v>
      </c>
      <c r="D374" s="2">
        <v>42741</v>
      </c>
      <c r="E374" s="2">
        <f t="shared" si="10"/>
        <v>42887</v>
      </c>
      <c r="F374" s="1" t="s">
        <v>15</v>
      </c>
      <c r="G374" s="1" t="s">
        <v>16</v>
      </c>
      <c r="H374" s="1">
        <v>-0.3</v>
      </c>
      <c r="I374" s="1">
        <v>0.2</v>
      </c>
      <c r="J374" s="1">
        <v>-0.01</v>
      </c>
      <c r="K374" s="1" t="s">
        <v>44</v>
      </c>
      <c r="L374" s="1">
        <v>2389</v>
      </c>
      <c r="M374" s="1">
        <v>0.64</v>
      </c>
      <c r="N374" s="1">
        <v>-0.42227999999999999</v>
      </c>
      <c r="O374" s="1">
        <f>VLOOKUP(D374,underlying!$D$2:$H$75,5,FALSE)</f>
        <v>-0.31</v>
      </c>
      <c r="P374" s="2">
        <f>VLOOKUP(D374,underlying!$D$2:$L$39,9,FALSE)</f>
        <v>42852</v>
      </c>
      <c r="Q374" s="7">
        <f>IF(G374="C",NormalCallSprd(O374,H374,M374,(P374-A374)/365), NormalPutSprd(O374,H374,M374,(P374-A374)/365))</f>
        <v>0.19771768890596528</v>
      </c>
      <c r="R374" s="9">
        <f t="shared" si="11"/>
        <v>2.2823110940347335E-3</v>
      </c>
    </row>
    <row r="375" spans="1:18" x14ac:dyDescent="0.2">
      <c r="A375" s="2">
        <v>42622</v>
      </c>
      <c r="B375" s="1" t="s">
        <v>13</v>
      </c>
      <c r="C375" s="1" t="s">
        <v>14</v>
      </c>
      <c r="D375" s="2">
        <v>42741</v>
      </c>
      <c r="E375" s="2">
        <f t="shared" si="10"/>
        <v>42887</v>
      </c>
      <c r="F375" s="1" t="s">
        <v>15</v>
      </c>
      <c r="G375" s="1" t="s">
        <v>18</v>
      </c>
      <c r="H375" s="1">
        <v>-0.3</v>
      </c>
      <c r="I375" s="1">
        <v>0.21</v>
      </c>
      <c r="J375" s="1">
        <v>0.02</v>
      </c>
      <c r="K375" s="1" t="s">
        <v>44</v>
      </c>
      <c r="L375" s="1">
        <v>2389</v>
      </c>
      <c r="M375" s="1">
        <v>0.64</v>
      </c>
      <c r="N375" s="1">
        <v>-0.39567000000000002</v>
      </c>
      <c r="O375" s="1">
        <f>VLOOKUP(D375,underlying!$D$2:$H$75,5,FALSE)</f>
        <v>-0.31</v>
      </c>
      <c r="P375" s="2">
        <f>VLOOKUP(D375,underlying!$D$2:$L$39,9,FALSE)</f>
        <v>42852</v>
      </c>
      <c r="Q375" s="7">
        <f>IF(G375="C",NormalCallSprd(O375,H375,M375,(P375-A375)/365), NormalPutSprd(O375,H375,M375,(P375-A375)/365))</f>
        <v>0.20771768890596529</v>
      </c>
      <c r="R375" s="9">
        <f t="shared" si="11"/>
        <v>2.2823110940347058E-3</v>
      </c>
    </row>
    <row r="376" spans="1:18" x14ac:dyDescent="0.2">
      <c r="A376" s="2">
        <v>42622</v>
      </c>
      <c r="B376" s="1" t="s">
        <v>13</v>
      </c>
      <c r="C376" s="1" t="s">
        <v>14</v>
      </c>
      <c r="D376" s="2">
        <v>42741</v>
      </c>
      <c r="E376" s="2">
        <f t="shared" si="10"/>
        <v>42887</v>
      </c>
      <c r="F376" s="1" t="s">
        <v>15</v>
      </c>
      <c r="G376" s="1" t="s">
        <v>16</v>
      </c>
      <c r="H376" s="1">
        <v>-0.25</v>
      </c>
      <c r="I376" s="1">
        <v>0.17</v>
      </c>
      <c r="J376" s="1">
        <v>-0.02</v>
      </c>
      <c r="K376" s="1" t="s">
        <v>44</v>
      </c>
      <c r="L376" s="1">
        <v>2389</v>
      </c>
      <c r="M376" s="1">
        <v>0.64</v>
      </c>
      <c r="N376" s="1">
        <v>-0.36857000000000001</v>
      </c>
      <c r="O376" s="1">
        <f>VLOOKUP(D376,underlying!$D$2:$H$75,5,FALSE)</f>
        <v>-0.31</v>
      </c>
      <c r="P376" s="2">
        <f>VLOOKUP(D376,underlying!$D$2:$L$39,9,FALSE)</f>
        <v>42852</v>
      </c>
      <c r="Q376" s="7">
        <f>IF(G376="C",NormalCallSprd(O376,H376,M376,(P376-A376)/365), NormalPutSprd(O376,H376,M376,(P376-A376)/365))</f>
        <v>0.17409025180932836</v>
      </c>
      <c r="R376" s="9">
        <f t="shared" si="11"/>
        <v>4.0902518093283435E-3</v>
      </c>
    </row>
    <row r="377" spans="1:18" x14ac:dyDescent="0.2">
      <c r="A377" s="2">
        <v>42622</v>
      </c>
      <c r="B377" s="1" t="s">
        <v>13</v>
      </c>
      <c r="C377" s="1" t="s">
        <v>14</v>
      </c>
      <c r="D377" s="2">
        <v>42741</v>
      </c>
      <c r="E377" s="2">
        <f t="shared" si="10"/>
        <v>42887</v>
      </c>
      <c r="F377" s="1" t="s">
        <v>15</v>
      </c>
      <c r="G377" s="1" t="s">
        <v>18</v>
      </c>
      <c r="H377" s="1">
        <v>-0.25</v>
      </c>
      <c r="I377" s="1">
        <v>0.23</v>
      </c>
      <c r="J377" s="1">
        <v>0.01</v>
      </c>
      <c r="K377" s="1" t="s">
        <v>44</v>
      </c>
      <c r="L377" s="1">
        <v>2389</v>
      </c>
      <c r="M377" s="1">
        <v>0.64</v>
      </c>
      <c r="N377" s="1">
        <v>-0.34414</v>
      </c>
      <c r="O377" s="1">
        <f>VLOOKUP(D377,underlying!$D$2:$H$75,5,FALSE)</f>
        <v>-0.31</v>
      </c>
      <c r="P377" s="2">
        <f>VLOOKUP(D377,underlying!$D$2:$L$39,9,FALSE)</f>
        <v>42852</v>
      </c>
      <c r="Q377" s="7">
        <f>IF(G377="C",NormalCallSprd(O377,H377,M377,(P377-A377)/365), NormalPutSprd(O377,H377,M377,(P377-A377)/365))</f>
        <v>0.23409025180932835</v>
      </c>
      <c r="R377" s="9">
        <f t="shared" si="11"/>
        <v>4.0902518093283435E-3</v>
      </c>
    </row>
    <row r="378" spans="1:18" x14ac:dyDescent="0.2">
      <c r="A378" s="2">
        <v>42622</v>
      </c>
      <c r="B378" s="1" t="s">
        <v>13</v>
      </c>
      <c r="C378" s="1" t="s">
        <v>14</v>
      </c>
      <c r="D378" s="2">
        <v>42741</v>
      </c>
      <c r="E378" s="2">
        <f t="shared" si="10"/>
        <v>42887</v>
      </c>
      <c r="F378" s="1" t="s">
        <v>15</v>
      </c>
      <c r="G378" s="1" t="s">
        <v>16</v>
      </c>
      <c r="H378" s="1">
        <v>-0.2</v>
      </c>
      <c r="I378" s="1">
        <v>0.15</v>
      </c>
      <c r="J378" s="1">
        <v>-0.02</v>
      </c>
      <c r="K378" s="1" t="s">
        <v>44</v>
      </c>
      <c r="L378" s="1">
        <v>2389</v>
      </c>
      <c r="M378" s="1">
        <v>0.65</v>
      </c>
      <c r="N378" s="1">
        <v>-0.32179000000000002</v>
      </c>
      <c r="O378" s="1">
        <f>VLOOKUP(D378,underlying!$D$2:$H$75,5,FALSE)</f>
        <v>-0.31</v>
      </c>
      <c r="P378" s="2">
        <f>VLOOKUP(D378,underlying!$D$2:$L$39,9,FALSE)</f>
        <v>42852</v>
      </c>
      <c r="Q378" s="7">
        <f>IF(G378="C",NormalCallSprd(O378,H378,M378,(P378-A378)/365), NormalPutSprd(O378,H378,M378,(P378-A378)/365))</f>
        <v>0.15550536545691862</v>
      </c>
      <c r="R378" s="9">
        <f t="shared" si="11"/>
        <v>5.5053654569186261E-3</v>
      </c>
    </row>
    <row r="379" spans="1:18" x14ac:dyDescent="0.2">
      <c r="A379" s="2">
        <v>42622</v>
      </c>
      <c r="B379" s="1" t="s">
        <v>13</v>
      </c>
      <c r="C379" s="1" t="s">
        <v>14</v>
      </c>
      <c r="D379" s="2">
        <v>42741</v>
      </c>
      <c r="E379" s="2">
        <f t="shared" si="10"/>
        <v>42887</v>
      </c>
      <c r="F379" s="1" t="s">
        <v>15</v>
      </c>
      <c r="G379" s="1" t="s">
        <v>18</v>
      </c>
      <c r="H379" s="1">
        <v>-0.2</v>
      </c>
      <c r="I379" s="1">
        <v>0.26</v>
      </c>
      <c r="J379" s="1">
        <v>0.02</v>
      </c>
      <c r="K379" s="1" t="s">
        <v>44</v>
      </c>
      <c r="L379" s="1">
        <v>2389</v>
      </c>
      <c r="M379" s="1">
        <v>0.65</v>
      </c>
      <c r="N379" s="1">
        <v>-0.30092999999999998</v>
      </c>
      <c r="O379" s="1">
        <f>VLOOKUP(D379,underlying!$D$2:$H$75,5,FALSE)</f>
        <v>-0.31</v>
      </c>
      <c r="P379" s="2">
        <f>VLOOKUP(D379,underlying!$D$2:$L$39,9,FALSE)</f>
        <v>42852</v>
      </c>
      <c r="Q379" s="7">
        <f>IF(G379="C",NormalCallSprd(O379,H379,M379,(P379-A379)/365), NormalPutSprd(O379,H379,M379,(P379-A379)/365))</f>
        <v>0.26550536545691861</v>
      </c>
      <c r="R379" s="9">
        <f t="shared" si="11"/>
        <v>5.5053654569185984E-3</v>
      </c>
    </row>
    <row r="380" spans="1:18" x14ac:dyDescent="0.2">
      <c r="A380" s="2">
        <v>42622</v>
      </c>
      <c r="B380" s="1" t="s">
        <v>13</v>
      </c>
      <c r="C380" s="1" t="s">
        <v>14</v>
      </c>
      <c r="D380" s="2">
        <v>42741</v>
      </c>
      <c r="E380" s="2">
        <f t="shared" si="10"/>
        <v>42887</v>
      </c>
      <c r="F380" s="1" t="s">
        <v>15</v>
      </c>
      <c r="G380" s="1" t="s">
        <v>16</v>
      </c>
      <c r="H380" s="1">
        <v>-0.15</v>
      </c>
      <c r="I380" s="1">
        <v>0.14000000000000001</v>
      </c>
      <c r="J380" s="1">
        <v>-0.01</v>
      </c>
      <c r="K380" s="1" t="s">
        <v>44</v>
      </c>
      <c r="L380" s="1">
        <v>2389</v>
      </c>
      <c r="M380" s="1">
        <v>0.65</v>
      </c>
      <c r="N380" s="1">
        <v>-0.27840999999999999</v>
      </c>
      <c r="O380" s="1">
        <f>VLOOKUP(D380,underlying!$D$2:$H$75,5,FALSE)</f>
        <v>-0.31</v>
      </c>
      <c r="P380" s="2">
        <f>VLOOKUP(D380,underlying!$D$2:$L$39,9,FALSE)</f>
        <v>42852</v>
      </c>
      <c r="Q380" s="7">
        <f>IF(G380="C",NormalCallSprd(O380,H380,M380,(P380-A380)/365), NormalPutSprd(O380,H380,M380,(P380-A380)/365))</f>
        <v>0.13566340370962565</v>
      </c>
      <c r="R380" s="9">
        <f t="shared" si="11"/>
        <v>4.3365962903743616E-3</v>
      </c>
    </row>
    <row r="381" spans="1:18" x14ac:dyDescent="0.2">
      <c r="A381" s="2">
        <v>42622</v>
      </c>
      <c r="B381" s="1" t="s">
        <v>13</v>
      </c>
      <c r="C381" s="1" t="s">
        <v>14</v>
      </c>
      <c r="D381" s="2">
        <v>42741</v>
      </c>
      <c r="E381" s="2">
        <f t="shared" si="10"/>
        <v>42887</v>
      </c>
      <c r="F381" s="1" t="s">
        <v>15</v>
      </c>
      <c r="G381" s="1" t="s">
        <v>18</v>
      </c>
      <c r="H381" s="1">
        <v>-0.15</v>
      </c>
      <c r="I381" s="1">
        <v>0.28999999999999998</v>
      </c>
      <c r="J381" s="1">
        <v>0.01</v>
      </c>
      <c r="K381" s="1" t="s">
        <v>44</v>
      </c>
      <c r="L381" s="1">
        <v>2389</v>
      </c>
      <c r="M381" s="1">
        <v>0.65</v>
      </c>
      <c r="N381" s="1">
        <v>-0.25938</v>
      </c>
      <c r="O381" s="1">
        <f>VLOOKUP(D381,underlying!$D$2:$H$75,5,FALSE)</f>
        <v>-0.31</v>
      </c>
      <c r="P381" s="2">
        <f>VLOOKUP(D381,underlying!$D$2:$L$39,9,FALSE)</f>
        <v>42852</v>
      </c>
      <c r="Q381" s="7">
        <f>IF(G381="C",NormalCallSprd(O381,H381,M381,(P381-A381)/365), NormalPutSprd(O381,H381,M381,(P381-A381)/365))</f>
        <v>0.29566340370962568</v>
      </c>
      <c r="R381" s="9">
        <f t="shared" si="11"/>
        <v>5.6634037096257028E-3</v>
      </c>
    </row>
    <row r="382" spans="1:18" x14ac:dyDescent="0.2">
      <c r="A382" s="2">
        <v>42622</v>
      </c>
      <c r="B382" s="1" t="s">
        <v>13</v>
      </c>
      <c r="C382" s="1" t="s">
        <v>14</v>
      </c>
      <c r="D382" s="2">
        <v>42741</v>
      </c>
      <c r="E382" s="2">
        <f t="shared" si="10"/>
        <v>42887</v>
      </c>
      <c r="F382" s="1" t="s">
        <v>15</v>
      </c>
      <c r="G382" s="1" t="s">
        <v>16</v>
      </c>
      <c r="H382" s="1">
        <v>-0.1</v>
      </c>
      <c r="I382" s="1">
        <v>0.12</v>
      </c>
      <c r="J382" s="1">
        <v>-0.01</v>
      </c>
      <c r="K382" s="1" t="s">
        <v>44</v>
      </c>
      <c r="L382" s="1">
        <v>2389</v>
      </c>
      <c r="M382" s="1">
        <v>0.66</v>
      </c>
      <c r="N382" s="1">
        <v>-0.24245</v>
      </c>
      <c r="O382" s="1">
        <f>VLOOKUP(D382,underlying!$D$2:$H$75,5,FALSE)</f>
        <v>-0.31</v>
      </c>
      <c r="P382" s="2">
        <f>VLOOKUP(D382,underlying!$D$2:$L$39,9,FALSE)</f>
        <v>42852</v>
      </c>
      <c r="Q382" s="7">
        <f>IF(G382="C",NormalCallSprd(O382,H382,M382,(P382-A382)/365), NormalPutSprd(O382,H382,M382,(P382-A382)/365))</f>
        <v>0.12058114388943776</v>
      </c>
      <c r="R382" s="9">
        <f t="shared" si="11"/>
        <v>5.8114388943776574E-4</v>
      </c>
    </row>
    <row r="383" spans="1:18" x14ac:dyDescent="0.2">
      <c r="A383" s="2">
        <v>42622</v>
      </c>
      <c r="B383" s="1" t="s">
        <v>13</v>
      </c>
      <c r="C383" s="1" t="s">
        <v>14</v>
      </c>
      <c r="D383" s="2">
        <v>42741</v>
      </c>
      <c r="E383" s="2">
        <f t="shared" si="10"/>
        <v>42887</v>
      </c>
      <c r="F383" s="1" t="s">
        <v>15</v>
      </c>
      <c r="G383" s="1" t="s">
        <v>18</v>
      </c>
      <c r="H383" s="1">
        <v>-0.1</v>
      </c>
      <c r="I383" s="1">
        <v>0.33</v>
      </c>
      <c r="J383" s="1">
        <v>0.02</v>
      </c>
      <c r="K383" s="1" t="s">
        <v>44</v>
      </c>
      <c r="L383" s="1">
        <v>2389</v>
      </c>
      <c r="M383" s="1">
        <v>0.66</v>
      </c>
      <c r="N383" s="1">
        <v>-0.15142</v>
      </c>
      <c r="O383" s="1">
        <f>VLOOKUP(D383,underlying!$D$2:$H$75,5,FALSE)</f>
        <v>-0.31</v>
      </c>
      <c r="P383" s="2">
        <f>VLOOKUP(D383,underlying!$D$2:$L$39,9,FALSE)</f>
        <v>42852</v>
      </c>
      <c r="Q383" s="7">
        <f>IF(G383="C",NormalCallSprd(O383,H383,M383,(P383-A383)/365), NormalPutSprd(O383,H383,M383,(P383-A383)/365))</f>
        <v>0.33058114388943777</v>
      </c>
      <c r="R383" s="9">
        <f t="shared" si="11"/>
        <v>5.8114388943775186E-4</v>
      </c>
    </row>
    <row r="384" spans="1:18" x14ac:dyDescent="0.2">
      <c r="A384" s="2">
        <v>42622</v>
      </c>
      <c r="B384" s="1" t="s">
        <v>13</v>
      </c>
      <c r="C384" s="1" t="s">
        <v>14</v>
      </c>
      <c r="D384" s="2">
        <v>42741</v>
      </c>
      <c r="E384" s="2">
        <f t="shared" si="10"/>
        <v>42887</v>
      </c>
      <c r="F384" s="1" t="s">
        <v>15</v>
      </c>
      <c r="G384" s="1" t="s">
        <v>16</v>
      </c>
      <c r="H384" s="1">
        <v>-0.05</v>
      </c>
      <c r="I384" s="1">
        <v>0.11</v>
      </c>
      <c r="J384" s="1">
        <v>0</v>
      </c>
      <c r="K384" s="1" t="s">
        <v>44</v>
      </c>
      <c r="L384" s="1">
        <v>2389</v>
      </c>
      <c r="M384" s="1">
        <v>0.67</v>
      </c>
      <c r="N384" s="1">
        <v>-3.7510000000000002E-2</v>
      </c>
      <c r="O384" s="1">
        <f>VLOOKUP(D384,underlying!$D$2:$H$75,5,FALSE)</f>
        <v>-0.31</v>
      </c>
      <c r="P384" s="2">
        <f>VLOOKUP(D384,underlying!$D$2:$L$39,9,FALSE)</f>
        <v>42852</v>
      </c>
      <c r="Q384" s="7">
        <f>IF(G384="C",NormalCallSprd(O384,H384,M384,(P384-A384)/365), NormalPutSprd(O384,H384,M384,(P384-A384)/365))</f>
        <v>0.10703917952590328</v>
      </c>
      <c r="R384" s="9">
        <f t="shared" si="11"/>
        <v>2.9608204740967231E-3</v>
      </c>
    </row>
    <row r="385" spans="1:18" x14ac:dyDescent="0.2">
      <c r="A385" s="2">
        <v>42622</v>
      </c>
      <c r="B385" s="1" t="s">
        <v>13</v>
      </c>
      <c r="C385" s="1" t="s">
        <v>14</v>
      </c>
      <c r="D385" s="2">
        <v>42741</v>
      </c>
      <c r="E385" s="2">
        <f t="shared" si="10"/>
        <v>42887</v>
      </c>
      <c r="F385" s="1" t="s">
        <v>15</v>
      </c>
      <c r="G385" s="1" t="s">
        <v>18</v>
      </c>
      <c r="H385" s="1">
        <v>-0.05</v>
      </c>
      <c r="I385" s="1">
        <v>0.36</v>
      </c>
      <c r="J385" s="1">
        <v>0.02</v>
      </c>
      <c r="K385" s="1" t="s">
        <v>44</v>
      </c>
      <c r="L385" s="1">
        <v>2389</v>
      </c>
      <c r="M385" s="1">
        <v>0.67</v>
      </c>
      <c r="N385" s="1">
        <v>-8.1200000000000005E-3</v>
      </c>
      <c r="O385" s="1">
        <f>VLOOKUP(D385,underlying!$D$2:$H$75,5,FALSE)</f>
        <v>-0.31</v>
      </c>
      <c r="P385" s="2">
        <f>VLOOKUP(D385,underlying!$D$2:$L$39,9,FALSE)</f>
        <v>42852</v>
      </c>
      <c r="Q385" s="7">
        <f>IF(G385="C",NormalCallSprd(O385,H385,M385,(P385-A385)/365), NormalPutSprd(O385,H385,M385,(P385-A385)/365))</f>
        <v>0.36703917952590326</v>
      </c>
      <c r="R385" s="9">
        <f t="shared" si="11"/>
        <v>7.0391795259032719E-3</v>
      </c>
    </row>
    <row r="386" spans="1:18" x14ac:dyDescent="0.2">
      <c r="A386" s="2">
        <v>42622</v>
      </c>
      <c r="B386" s="1" t="s">
        <v>13</v>
      </c>
      <c r="C386" s="1" t="s">
        <v>14</v>
      </c>
      <c r="D386" s="2">
        <v>42742</v>
      </c>
      <c r="E386" s="2">
        <f t="shared" ref="E386:E449" si="12">DATE(YEAR(D386),DAY(D386),MONTH(D386))</f>
        <v>42917</v>
      </c>
      <c r="F386" s="1" t="s">
        <v>15</v>
      </c>
      <c r="G386" s="1" t="s">
        <v>16</v>
      </c>
      <c r="H386" s="1">
        <v>-3</v>
      </c>
      <c r="I386" s="1">
        <v>2.72</v>
      </c>
      <c r="J386" s="1">
        <v>-0.02</v>
      </c>
      <c r="K386" s="1" t="s">
        <v>47</v>
      </c>
      <c r="L386" s="1">
        <v>2389</v>
      </c>
      <c r="M386" s="1">
        <v>1.1299999999999999</v>
      </c>
      <c r="N386" s="1">
        <v>0.15964</v>
      </c>
      <c r="O386" s="1">
        <f>VLOOKUP(D386,underlying!$D$2:$H$75,5,FALSE)</f>
        <v>-0.27</v>
      </c>
      <c r="P386" s="2">
        <f>VLOOKUP(D386,underlying!$D$2:$L$39,9,FALSE)</f>
        <v>42885</v>
      </c>
      <c r="Q386" s="7">
        <f>IF(G386="C",NormalCallSprd(O386,H386,M386,(P386-A386)/365), NormalPutSprd(O386,H386,M386,(P386-A386)/365))</f>
        <v>2.7306247437778288</v>
      </c>
      <c r="R386" s="9">
        <f t="shared" si="11"/>
        <v>1.0624743777828627E-2</v>
      </c>
    </row>
    <row r="387" spans="1:18" x14ac:dyDescent="0.2">
      <c r="A387" s="2">
        <v>42622</v>
      </c>
      <c r="B387" s="1" t="s">
        <v>13</v>
      </c>
      <c r="C387" s="1" t="s">
        <v>14</v>
      </c>
      <c r="D387" s="2">
        <v>42742</v>
      </c>
      <c r="E387" s="2">
        <f t="shared" si="12"/>
        <v>42917</v>
      </c>
      <c r="F387" s="1" t="s">
        <v>15</v>
      </c>
      <c r="G387" s="1" t="s">
        <v>18</v>
      </c>
      <c r="H387" s="1">
        <v>-3</v>
      </c>
      <c r="I387" s="1">
        <v>0.01</v>
      </c>
      <c r="J387" s="1">
        <v>0</v>
      </c>
      <c r="K387" s="1" t="s">
        <v>47</v>
      </c>
      <c r="L387" s="1">
        <v>2389</v>
      </c>
      <c r="M387" s="1">
        <v>1.1299999999999999</v>
      </c>
      <c r="N387" s="1">
        <v>0.18445</v>
      </c>
      <c r="O387" s="1">
        <f>VLOOKUP(D387,underlying!$D$2:$H$75,5,FALSE)</f>
        <v>-0.27</v>
      </c>
      <c r="P387" s="2">
        <f>VLOOKUP(D387,underlying!$D$2:$L$39,9,FALSE)</f>
        <v>42885</v>
      </c>
      <c r="Q387" s="7">
        <f>IF(G387="C",NormalCallSprd(O387,H387,M387,(P387-A387)/365), NormalPutSprd(O387,H387,M387,(P387-A387)/365))</f>
        <v>6.2474377782902263E-4</v>
      </c>
      <c r="R387" s="9">
        <f t="shared" ref="R387:R450" si="13">ABS(Q387-I387)</f>
        <v>9.375256222170978E-3</v>
      </c>
    </row>
    <row r="388" spans="1:18" x14ac:dyDescent="0.2">
      <c r="A388" s="2">
        <v>42622</v>
      </c>
      <c r="B388" s="1" t="s">
        <v>13</v>
      </c>
      <c r="C388" s="1" t="s">
        <v>14</v>
      </c>
      <c r="D388" s="2">
        <v>42742</v>
      </c>
      <c r="E388" s="2">
        <f t="shared" si="12"/>
        <v>42917</v>
      </c>
      <c r="F388" s="1" t="s">
        <v>15</v>
      </c>
      <c r="G388" s="1" t="s">
        <v>16</v>
      </c>
      <c r="H388" s="1">
        <v>-2</v>
      </c>
      <c r="I388" s="1">
        <v>1.73</v>
      </c>
      <c r="J388" s="1">
        <v>-0.02</v>
      </c>
      <c r="K388" s="1" t="s">
        <v>47</v>
      </c>
      <c r="L388" s="1">
        <v>2389</v>
      </c>
      <c r="M388" s="1">
        <v>0.94</v>
      </c>
      <c r="N388" s="1">
        <v>0.21268999999999999</v>
      </c>
      <c r="O388" s="1">
        <f>VLOOKUP(D388,underlying!$D$2:$H$75,5,FALSE)</f>
        <v>-0.27</v>
      </c>
      <c r="P388" s="2">
        <f>VLOOKUP(D388,underlying!$D$2:$L$39,9,FALSE)</f>
        <v>42885</v>
      </c>
      <c r="Q388" s="7">
        <f>IF(G388="C",NormalCallSprd(O388,H388,M388,(P388-A388)/365), NormalPutSprd(O388,H388,M388,(P388-A388)/365))</f>
        <v>1.7342676281482989</v>
      </c>
      <c r="R388" s="9">
        <f t="shared" si="13"/>
        <v>4.267628148298952E-3</v>
      </c>
    </row>
    <row r="389" spans="1:18" x14ac:dyDescent="0.2">
      <c r="A389" s="2">
        <v>42622</v>
      </c>
      <c r="B389" s="1" t="s">
        <v>13</v>
      </c>
      <c r="C389" s="1" t="s">
        <v>14</v>
      </c>
      <c r="D389" s="2">
        <v>42742</v>
      </c>
      <c r="E389" s="2">
        <f t="shared" si="12"/>
        <v>42917</v>
      </c>
      <c r="F389" s="1" t="s">
        <v>15</v>
      </c>
      <c r="G389" s="1" t="s">
        <v>18</v>
      </c>
      <c r="H389" s="1">
        <v>-2</v>
      </c>
      <c r="I389" s="1">
        <v>0.01</v>
      </c>
      <c r="J389" s="1">
        <v>0</v>
      </c>
      <c r="K389" s="1" t="s">
        <v>47</v>
      </c>
      <c r="L389" s="1">
        <v>2389</v>
      </c>
      <c r="M389" s="1">
        <v>0.94</v>
      </c>
      <c r="N389" s="1">
        <v>0.24401</v>
      </c>
      <c r="O389" s="1">
        <f>VLOOKUP(D389,underlying!$D$2:$H$75,5,FALSE)</f>
        <v>-0.27</v>
      </c>
      <c r="P389" s="2">
        <f>VLOOKUP(D389,underlying!$D$2:$L$39,9,FALSE)</f>
        <v>42885</v>
      </c>
      <c r="Q389" s="7">
        <f>IF(G389="C",NormalCallSprd(O389,H389,M389,(P389-A389)/365), NormalPutSprd(O389,H389,M389,(P389-A389)/365))</f>
        <v>4.2676281482990361E-3</v>
      </c>
      <c r="R389" s="9">
        <f t="shared" si="13"/>
        <v>5.7323718517009641E-3</v>
      </c>
    </row>
    <row r="390" spans="1:18" x14ac:dyDescent="0.2">
      <c r="A390" s="2">
        <v>42622</v>
      </c>
      <c r="B390" s="1" t="s">
        <v>13</v>
      </c>
      <c r="C390" s="1" t="s">
        <v>14</v>
      </c>
      <c r="D390" s="2">
        <v>42742</v>
      </c>
      <c r="E390" s="2">
        <f t="shared" si="12"/>
        <v>42917</v>
      </c>
      <c r="F390" s="1" t="s">
        <v>15</v>
      </c>
      <c r="G390" s="1" t="s">
        <v>16</v>
      </c>
      <c r="H390" s="1">
        <v>-1</v>
      </c>
      <c r="I390" s="1">
        <v>0.76</v>
      </c>
      <c r="J390" s="1">
        <v>-0.02</v>
      </c>
      <c r="K390" s="1" t="s">
        <v>47</v>
      </c>
      <c r="L390" s="1">
        <v>2389</v>
      </c>
      <c r="M390" s="1">
        <v>0.71</v>
      </c>
      <c r="N390" s="1">
        <v>0.28193000000000001</v>
      </c>
      <c r="O390" s="1">
        <f>VLOOKUP(D390,underlying!$D$2:$H$75,5,FALSE)</f>
        <v>-0.27</v>
      </c>
      <c r="P390" s="2">
        <f>VLOOKUP(D390,underlying!$D$2:$L$39,9,FALSE)</f>
        <v>42885</v>
      </c>
      <c r="Q390" s="7">
        <f>IF(G390="C",NormalCallSprd(O390,H390,M390,(P390-A390)/365), NormalPutSprd(O390,H390,M390,(P390-A390)/365))</f>
        <v>0.76303937385360421</v>
      </c>
      <c r="R390" s="9">
        <f t="shared" si="13"/>
        <v>3.0393738536041992E-3</v>
      </c>
    </row>
    <row r="391" spans="1:18" x14ac:dyDescent="0.2">
      <c r="A391" s="2">
        <v>42622</v>
      </c>
      <c r="B391" s="1" t="s">
        <v>13</v>
      </c>
      <c r="C391" s="1" t="s">
        <v>14</v>
      </c>
      <c r="D391" s="2">
        <v>42742</v>
      </c>
      <c r="E391" s="2">
        <f t="shared" si="12"/>
        <v>42917</v>
      </c>
      <c r="F391" s="1" t="s">
        <v>15</v>
      </c>
      <c r="G391" s="1" t="s">
        <v>18</v>
      </c>
      <c r="H391" s="1">
        <v>-1</v>
      </c>
      <c r="I391" s="1">
        <v>0.03</v>
      </c>
      <c r="J391" s="1">
        <v>0</v>
      </c>
      <c r="K391" s="1" t="s">
        <v>47</v>
      </c>
      <c r="L391" s="1">
        <v>2389</v>
      </c>
      <c r="M391" s="1">
        <v>0.71</v>
      </c>
      <c r="N391" s="1">
        <v>0.32507999999999998</v>
      </c>
      <c r="O391" s="1">
        <f>VLOOKUP(D391,underlying!$D$2:$H$75,5,FALSE)</f>
        <v>-0.27</v>
      </c>
      <c r="P391" s="2">
        <f>VLOOKUP(D391,underlying!$D$2:$L$39,9,FALSE)</f>
        <v>42885</v>
      </c>
      <c r="Q391" s="7">
        <f>IF(G391="C",NormalCallSprd(O391,H391,M391,(P391-A391)/365), NormalPutSprd(O391,H391,M391,(P391-A391)/365))</f>
        <v>3.3039373853604212E-2</v>
      </c>
      <c r="R391" s="9">
        <f t="shared" si="13"/>
        <v>3.0393738536042131E-3</v>
      </c>
    </row>
    <row r="392" spans="1:18" x14ac:dyDescent="0.2">
      <c r="A392" s="2">
        <v>42622</v>
      </c>
      <c r="B392" s="1" t="s">
        <v>13</v>
      </c>
      <c r="C392" s="1" t="s">
        <v>14</v>
      </c>
      <c r="D392" s="2">
        <v>42742</v>
      </c>
      <c r="E392" s="2">
        <f t="shared" si="12"/>
        <v>42917</v>
      </c>
      <c r="F392" s="1" t="s">
        <v>15</v>
      </c>
      <c r="G392" s="1" t="s">
        <v>16</v>
      </c>
      <c r="H392" s="1">
        <v>-0.9</v>
      </c>
      <c r="I392" s="1">
        <v>0.67</v>
      </c>
      <c r="J392" s="1">
        <v>-0.02</v>
      </c>
      <c r="K392" s="1" t="s">
        <v>47</v>
      </c>
      <c r="L392" s="1">
        <v>2389</v>
      </c>
      <c r="M392" s="1">
        <v>0.69</v>
      </c>
      <c r="N392" s="1">
        <v>0.37370999999999999</v>
      </c>
      <c r="O392" s="1">
        <f>VLOOKUP(D392,underlying!$D$2:$H$75,5,FALSE)</f>
        <v>-0.27</v>
      </c>
      <c r="P392" s="2">
        <f>VLOOKUP(D392,underlying!$D$2:$L$39,9,FALSE)</f>
        <v>42885</v>
      </c>
      <c r="Q392" s="7">
        <f>IF(G392="C",NormalCallSprd(O392,H392,M392,(P392-A392)/365), NormalPutSprd(O392,H392,M392,(P392-A392)/365))</f>
        <v>0.67216621281706335</v>
      </c>
      <c r="R392" s="9">
        <f t="shared" si="13"/>
        <v>2.1662128170633066E-3</v>
      </c>
    </row>
    <row r="393" spans="1:18" x14ac:dyDescent="0.2">
      <c r="A393" s="2">
        <v>42622</v>
      </c>
      <c r="B393" s="1" t="s">
        <v>13</v>
      </c>
      <c r="C393" s="1" t="s">
        <v>14</v>
      </c>
      <c r="D393" s="2">
        <v>42742</v>
      </c>
      <c r="E393" s="2">
        <f t="shared" si="12"/>
        <v>42917</v>
      </c>
      <c r="F393" s="1" t="s">
        <v>15</v>
      </c>
      <c r="G393" s="1" t="s">
        <v>18</v>
      </c>
      <c r="H393" s="1">
        <v>-0.9</v>
      </c>
      <c r="I393" s="1">
        <v>0.04</v>
      </c>
      <c r="J393" s="1">
        <v>0</v>
      </c>
      <c r="K393" s="1" t="s">
        <v>47</v>
      </c>
      <c r="L393" s="1">
        <v>2389</v>
      </c>
      <c r="M393" s="1">
        <v>0.69</v>
      </c>
      <c r="N393" s="1">
        <v>0.42786000000000002</v>
      </c>
      <c r="O393" s="1">
        <f>VLOOKUP(D393,underlying!$D$2:$H$75,5,FALSE)</f>
        <v>-0.27</v>
      </c>
      <c r="P393" s="2">
        <f>VLOOKUP(D393,underlying!$D$2:$L$39,9,FALSE)</f>
        <v>42885</v>
      </c>
      <c r="Q393" s="7">
        <f>IF(G393="C",NormalCallSprd(O393,H393,M393,(P393-A393)/365), NormalPutSprd(O393,H393,M393,(P393-A393)/365))</f>
        <v>4.2166212817063356E-2</v>
      </c>
      <c r="R393" s="9">
        <f t="shared" si="13"/>
        <v>2.1662128170633552E-3</v>
      </c>
    </row>
    <row r="394" spans="1:18" x14ac:dyDescent="0.2">
      <c r="A394" s="2">
        <v>42622</v>
      </c>
      <c r="B394" s="1" t="s">
        <v>13</v>
      </c>
      <c r="C394" s="1" t="s">
        <v>14</v>
      </c>
      <c r="D394" s="2">
        <v>42742</v>
      </c>
      <c r="E394" s="2">
        <f t="shared" si="12"/>
        <v>42917</v>
      </c>
      <c r="F394" s="1" t="s">
        <v>15</v>
      </c>
      <c r="G394" s="1" t="s">
        <v>16</v>
      </c>
      <c r="H394" s="1">
        <v>-0.85</v>
      </c>
      <c r="I394" s="1">
        <v>0.62</v>
      </c>
      <c r="J394" s="1">
        <v>-0.02</v>
      </c>
      <c r="K394" s="1" t="s">
        <v>47</v>
      </c>
      <c r="L394" s="1">
        <v>2389</v>
      </c>
      <c r="M394" s="1">
        <v>0.68</v>
      </c>
      <c r="N394" s="1">
        <v>0.48725000000000002</v>
      </c>
      <c r="O394" s="1">
        <f>VLOOKUP(D394,underlying!$D$2:$H$75,5,FALSE)</f>
        <v>-0.27</v>
      </c>
      <c r="P394" s="2">
        <f>VLOOKUP(D394,underlying!$D$2:$L$39,9,FALSE)</f>
        <v>42885</v>
      </c>
      <c r="Q394" s="7">
        <f>IF(G394="C",NormalCallSprd(O394,H394,M394,(P394-A394)/365), NormalPutSprd(O394,H394,M394,(P394-A394)/365))</f>
        <v>0.62765158650328079</v>
      </c>
      <c r="R394" s="9">
        <f t="shared" si="13"/>
        <v>7.6515865032807939E-3</v>
      </c>
    </row>
    <row r="395" spans="1:18" x14ac:dyDescent="0.2">
      <c r="A395" s="2">
        <v>42622</v>
      </c>
      <c r="B395" s="1" t="s">
        <v>13</v>
      </c>
      <c r="C395" s="1" t="s">
        <v>14</v>
      </c>
      <c r="D395" s="2">
        <v>42742</v>
      </c>
      <c r="E395" s="2">
        <f t="shared" si="12"/>
        <v>42917</v>
      </c>
      <c r="F395" s="1" t="s">
        <v>15</v>
      </c>
      <c r="G395" s="1" t="s">
        <v>18</v>
      </c>
      <c r="H395" s="1">
        <v>-0.85</v>
      </c>
      <c r="I395" s="1">
        <v>0.05</v>
      </c>
      <c r="J395" s="1">
        <v>0</v>
      </c>
      <c r="K395" s="1" t="s">
        <v>47</v>
      </c>
      <c r="L395" s="1">
        <v>2389</v>
      </c>
      <c r="M395" s="1">
        <v>0.68</v>
      </c>
      <c r="N395" s="1">
        <v>0.55112000000000005</v>
      </c>
      <c r="O395" s="1">
        <f>VLOOKUP(D395,underlying!$D$2:$H$75,5,FALSE)</f>
        <v>-0.27</v>
      </c>
      <c r="P395" s="2">
        <f>VLOOKUP(D395,underlying!$D$2:$L$39,9,FALSE)</f>
        <v>42885</v>
      </c>
      <c r="Q395" s="7">
        <f>IF(G395="C",NormalCallSprd(O395,H395,M395,(P395-A395)/365), NormalPutSprd(O395,H395,M395,(P395-A395)/365))</f>
        <v>4.7651586503280878E-2</v>
      </c>
      <c r="R395" s="9">
        <f t="shared" si="13"/>
        <v>2.3484134967191247E-3</v>
      </c>
    </row>
    <row r="396" spans="1:18" x14ac:dyDescent="0.2">
      <c r="A396" s="2">
        <v>42622</v>
      </c>
      <c r="B396" s="1" t="s">
        <v>13</v>
      </c>
      <c r="C396" s="1" t="s">
        <v>14</v>
      </c>
      <c r="D396" s="2">
        <v>42742</v>
      </c>
      <c r="E396" s="2">
        <f t="shared" si="12"/>
        <v>42917</v>
      </c>
      <c r="F396" s="1" t="s">
        <v>15</v>
      </c>
      <c r="G396" s="1" t="s">
        <v>16</v>
      </c>
      <c r="H396" s="1">
        <v>-0.8</v>
      </c>
      <c r="I396" s="1">
        <v>0.57999999999999996</v>
      </c>
      <c r="J396" s="1">
        <v>-0.02</v>
      </c>
      <c r="K396" s="1" t="s">
        <v>47</v>
      </c>
      <c r="L396" s="1">
        <v>2389</v>
      </c>
      <c r="M396" s="1">
        <v>0.67</v>
      </c>
      <c r="N396" s="1">
        <v>0.61792000000000002</v>
      </c>
      <c r="O396" s="1">
        <f>VLOOKUP(D396,underlying!$D$2:$H$75,5,FALSE)</f>
        <v>-0.27</v>
      </c>
      <c r="P396" s="2">
        <f>VLOOKUP(D396,underlying!$D$2:$L$39,9,FALSE)</f>
        <v>42885</v>
      </c>
      <c r="Q396" s="7">
        <f>IF(G396="C",NormalCallSprd(O396,H396,M396,(P396-A396)/365), NormalPutSprd(O396,H396,M396,(P396-A396)/365))</f>
        <v>0.58385509808717861</v>
      </c>
      <c r="R396" s="9">
        <f t="shared" si="13"/>
        <v>3.8550980871786544E-3</v>
      </c>
    </row>
    <row r="397" spans="1:18" x14ac:dyDescent="0.2">
      <c r="A397" s="2">
        <v>42622</v>
      </c>
      <c r="B397" s="1" t="s">
        <v>13</v>
      </c>
      <c r="C397" s="1" t="s">
        <v>14</v>
      </c>
      <c r="D397" s="2">
        <v>42742</v>
      </c>
      <c r="E397" s="2">
        <f t="shared" si="12"/>
        <v>42917</v>
      </c>
      <c r="F397" s="1" t="s">
        <v>15</v>
      </c>
      <c r="G397" s="1" t="s">
        <v>18</v>
      </c>
      <c r="H397" s="1">
        <v>-0.8</v>
      </c>
      <c r="I397" s="1">
        <v>0.05</v>
      </c>
      <c r="J397" s="1">
        <v>0</v>
      </c>
      <c r="K397" s="1" t="s">
        <v>47</v>
      </c>
      <c r="L397" s="1">
        <v>2389</v>
      </c>
      <c r="M397" s="1">
        <v>0.67</v>
      </c>
      <c r="N397" s="1">
        <v>0.68398000000000003</v>
      </c>
      <c r="O397" s="1">
        <f>VLOOKUP(D397,underlying!$D$2:$H$75,5,FALSE)</f>
        <v>-0.27</v>
      </c>
      <c r="P397" s="2">
        <f>VLOOKUP(D397,underlying!$D$2:$L$39,9,FALSE)</f>
        <v>42885</v>
      </c>
      <c r="Q397" s="7">
        <f>IF(G397="C",NormalCallSprd(O397,H397,M397,(P397-A397)/365), NormalPutSprd(O397,H397,M397,(P397-A397)/365))</f>
        <v>5.3855098087178525E-2</v>
      </c>
      <c r="R397" s="9">
        <f t="shared" si="13"/>
        <v>3.8550980871785226E-3</v>
      </c>
    </row>
    <row r="398" spans="1:18" x14ac:dyDescent="0.2">
      <c r="A398" s="2">
        <v>42622</v>
      </c>
      <c r="B398" s="1" t="s">
        <v>13</v>
      </c>
      <c r="C398" s="1" t="s">
        <v>14</v>
      </c>
      <c r="D398" s="2">
        <v>42742</v>
      </c>
      <c r="E398" s="2">
        <f t="shared" si="12"/>
        <v>42917</v>
      </c>
      <c r="F398" s="1" t="s">
        <v>15</v>
      </c>
      <c r="G398" s="1" t="s">
        <v>16</v>
      </c>
      <c r="H398" s="1">
        <v>-0.75</v>
      </c>
      <c r="I398" s="1">
        <v>0.54</v>
      </c>
      <c r="J398" s="1">
        <v>-0.02</v>
      </c>
      <c r="K398" s="1" t="s">
        <v>47</v>
      </c>
      <c r="L398" s="1">
        <v>2389</v>
      </c>
      <c r="M398" s="1">
        <v>0.67</v>
      </c>
      <c r="N398" s="1">
        <v>0.74755000000000005</v>
      </c>
      <c r="O398" s="1">
        <f>VLOOKUP(D398,underlying!$D$2:$H$75,5,FALSE)</f>
        <v>-0.27</v>
      </c>
      <c r="P398" s="2">
        <f>VLOOKUP(D398,underlying!$D$2:$L$39,9,FALSE)</f>
        <v>42885</v>
      </c>
      <c r="Q398" s="7">
        <f>IF(G398="C",NormalCallSprd(O398,H398,M398,(P398-A398)/365), NormalPutSprd(O398,H398,M398,(P398-A398)/365))</f>
        <v>0.54322322701936365</v>
      </c>
      <c r="R398" s="9">
        <f t="shared" si="13"/>
        <v>3.223227019363617E-3</v>
      </c>
    </row>
    <row r="399" spans="1:18" x14ac:dyDescent="0.2">
      <c r="A399" s="2">
        <v>42622</v>
      </c>
      <c r="B399" s="1" t="s">
        <v>13</v>
      </c>
      <c r="C399" s="1" t="s">
        <v>14</v>
      </c>
      <c r="D399" s="2">
        <v>42742</v>
      </c>
      <c r="E399" s="2">
        <f t="shared" si="12"/>
        <v>42917</v>
      </c>
      <c r="F399" s="1" t="s">
        <v>15</v>
      </c>
      <c r="G399" s="1" t="s">
        <v>18</v>
      </c>
      <c r="H399" s="1">
        <v>-0.75</v>
      </c>
      <c r="I399" s="1">
        <v>0.06</v>
      </c>
      <c r="J399" s="1">
        <v>0</v>
      </c>
      <c r="K399" s="1" t="s">
        <v>47</v>
      </c>
      <c r="L399" s="1">
        <v>2389</v>
      </c>
      <c r="M399" s="1">
        <v>0.67</v>
      </c>
      <c r="N399" s="1">
        <v>0.80574999999999997</v>
      </c>
      <c r="O399" s="1">
        <f>VLOOKUP(D399,underlying!$D$2:$H$75,5,FALSE)</f>
        <v>-0.27</v>
      </c>
      <c r="P399" s="2">
        <f>VLOOKUP(D399,underlying!$D$2:$L$39,9,FALSE)</f>
        <v>42885</v>
      </c>
      <c r="Q399" s="7">
        <f>IF(G399="C",NormalCallSprd(O399,H399,M399,(P399-A399)/365), NormalPutSprd(O399,H399,M399,(P399-A399)/365))</f>
        <v>6.322322701936367E-2</v>
      </c>
      <c r="R399" s="9">
        <f t="shared" si="13"/>
        <v>3.2232270193636725E-3</v>
      </c>
    </row>
    <row r="400" spans="1:18" x14ac:dyDescent="0.2">
      <c r="A400" s="2">
        <v>42622</v>
      </c>
      <c r="B400" s="1" t="s">
        <v>13</v>
      </c>
      <c r="C400" s="1" t="s">
        <v>14</v>
      </c>
      <c r="D400" s="2">
        <v>42742</v>
      </c>
      <c r="E400" s="2">
        <f t="shared" si="12"/>
        <v>42917</v>
      </c>
      <c r="F400" s="1" t="s">
        <v>15</v>
      </c>
      <c r="G400" s="1" t="s">
        <v>16</v>
      </c>
      <c r="H400" s="1">
        <v>-0.7</v>
      </c>
      <c r="I400" s="1">
        <v>0.5</v>
      </c>
      <c r="J400" s="1">
        <v>-0.02</v>
      </c>
      <c r="K400" s="1" t="s">
        <v>47</v>
      </c>
      <c r="L400" s="1">
        <v>2389</v>
      </c>
      <c r="M400" s="1">
        <v>0.67</v>
      </c>
      <c r="N400" s="1">
        <v>0.85384000000000004</v>
      </c>
      <c r="O400" s="1">
        <f>VLOOKUP(D400,underlying!$D$2:$H$75,5,FALSE)</f>
        <v>-0.27</v>
      </c>
      <c r="P400" s="2">
        <f>VLOOKUP(D400,underlying!$D$2:$L$39,9,FALSE)</f>
        <v>42885</v>
      </c>
      <c r="Q400" s="7">
        <f>IF(G400="C",NormalCallSprd(O400,H400,M400,(P400-A400)/365), NormalPutSprd(O400,H400,M400,(P400-A400)/365))</f>
        <v>0.50381932326366119</v>
      </c>
      <c r="R400" s="9">
        <f t="shared" si="13"/>
        <v>3.8193232636611896E-3</v>
      </c>
    </row>
    <row r="401" spans="1:18" x14ac:dyDescent="0.2">
      <c r="A401" s="2">
        <v>42622</v>
      </c>
      <c r="B401" s="1" t="s">
        <v>13</v>
      </c>
      <c r="C401" s="1" t="s">
        <v>14</v>
      </c>
      <c r="D401" s="2">
        <v>42742</v>
      </c>
      <c r="E401" s="2">
        <f t="shared" si="12"/>
        <v>42917</v>
      </c>
      <c r="F401" s="1" t="s">
        <v>15</v>
      </c>
      <c r="G401" s="1" t="s">
        <v>18</v>
      </c>
      <c r="H401" s="1">
        <v>-0.7</v>
      </c>
      <c r="I401" s="1">
        <v>7.0000000000000007E-2</v>
      </c>
      <c r="J401" s="1">
        <v>0</v>
      </c>
      <c r="K401" s="1" t="s">
        <v>47</v>
      </c>
      <c r="L401" s="1">
        <v>2389</v>
      </c>
      <c r="M401" s="1">
        <v>0.67</v>
      </c>
      <c r="N401" s="1">
        <v>0.89085000000000003</v>
      </c>
      <c r="O401" s="1">
        <f>VLOOKUP(D401,underlying!$D$2:$H$75,5,FALSE)</f>
        <v>-0.27</v>
      </c>
      <c r="P401" s="2">
        <f>VLOOKUP(D401,underlying!$D$2:$L$39,9,FALSE)</f>
        <v>42885</v>
      </c>
      <c r="Q401" s="7">
        <f>IF(G401="C",NormalCallSprd(O401,H401,M401,(P401-A401)/365), NormalPutSprd(O401,H401,M401,(P401-A401)/365))</f>
        <v>7.3819323263661266E-2</v>
      </c>
      <c r="R401" s="9">
        <f t="shared" si="13"/>
        <v>3.819323263661259E-3</v>
      </c>
    </row>
    <row r="402" spans="1:18" x14ac:dyDescent="0.2">
      <c r="A402" s="2">
        <v>42622</v>
      </c>
      <c r="B402" s="1" t="s">
        <v>13</v>
      </c>
      <c r="C402" s="1" t="s">
        <v>14</v>
      </c>
      <c r="D402" s="2">
        <v>42742</v>
      </c>
      <c r="E402" s="2">
        <f t="shared" si="12"/>
        <v>42917</v>
      </c>
      <c r="F402" s="1" t="s">
        <v>15</v>
      </c>
      <c r="G402" s="1" t="s">
        <v>16</v>
      </c>
      <c r="H402" s="1">
        <v>-0.65</v>
      </c>
      <c r="I402" s="1">
        <v>0.46</v>
      </c>
      <c r="J402" s="1">
        <v>-0.02</v>
      </c>
      <c r="K402" s="1" t="s">
        <v>47</v>
      </c>
      <c r="L402" s="1">
        <v>2389</v>
      </c>
      <c r="M402" s="1">
        <v>0.67</v>
      </c>
      <c r="N402" s="1">
        <v>0.91876000000000002</v>
      </c>
      <c r="O402" s="1">
        <f>VLOOKUP(D402,underlying!$D$2:$H$75,5,FALSE)</f>
        <v>-0.27</v>
      </c>
      <c r="P402" s="2">
        <f>VLOOKUP(D402,underlying!$D$2:$L$39,9,FALSE)</f>
        <v>42885</v>
      </c>
      <c r="Q402" s="7">
        <f>IF(G402="C",NormalCallSprd(O402,H402,M402,(P402-A402)/365), NormalPutSprd(O402,H402,M402,(P402-A402)/365))</f>
        <v>0.46573274597412329</v>
      </c>
      <c r="R402" s="9">
        <f t="shared" si="13"/>
        <v>5.7327459741232656E-3</v>
      </c>
    </row>
    <row r="403" spans="1:18" x14ac:dyDescent="0.2">
      <c r="A403" s="2">
        <v>42622</v>
      </c>
      <c r="B403" s="1" t="s">
        <v>13</v>
      </c>
      <c r="C403" s="1" t="s">
        <v>14</v>
      </c>
      <c r="D403" s="2">
        <v>42742</v>
      </c>
      <c r="E403" s="2">
        <f t="shared" si="12"/>
        <v>42917</v>
      </c>
      <c r="F403" s="1" t="s">
        <v>15</v>
      </c>
      <c r="G403" s="1" t="s">
        <v>18</v>
      </c>
      <c r="H403" s="1">
        <v>-0.65</v>
      </c>
      <c r="I403" s="1">
        <v>0.08</v>
      </c>
      <c r="J403" s="1">
        <v>0</v>
      </c>
      <c r="K403" s="1" t="s">
        <v>47</v>
      </c>
      <c r="L403" s="1">
        <v>2389</v>
      </c>
      <c r="M403" s="1">
        <v>0.67</v>
      </c>
      <c r="N403" s="1">
        <v>0.94189999999999996</v>
      </c>
      <c r="O403" s="1">
        <f>VLOOKUP(D403,underlying!$D$2:$H$75,5,FALSE)</f>
        <v>-0.27</v>
      </c>
      <c r="P403" s="2">
        <f>VLOOKUP(D403,underlying!$D$2:$L$39,9,FALSE)</f>
        <v>42885</v>
      </c>
      <c r="Q403" s="7">
        <f>IF(G403="C",NormalCallSprd(O403,H403,M403,(P403-A403)/365), NormalPutSprd(O403,H403,M403,(P403-A403)/365))</f>
        <v>8.5732745974123295E-2</v>
      </c>
      <c r="R403" s="9">
        <f t="shared" si="13"/>
        <v>5.7327459741232933E-3</v>
      </c>
    </row>
    <row r="404" spans="1:18" x14ac:dyDescent="0.2">
      <c r="A404" s="2">
        <v>42622</v>
      </c>
      <c r="B404" s="1" t="s">
        <v>13</v>
      </c>
      <c r="C404" s="1" t="s">
        <v>14</v>
      </c>
      <c r="D404" s="2">
        <v>42742</v>
      </c>
      <c r="E404" s="2">
        <f t="shared" si="12"/>
        <v>42917</v>
      </c>
      <c r="F404" s="1" t="s">
        <v>15</v>
      </c>
      <c r="G404" s="1" t="s">
        <v>16</v>
      </c>
      <c r="H404" s="1">
        <v>-0.6</v>
      </c>
      <c r="I404" s="1">
        <v>0.42</v>
      </c>
      <c r="J404" s="1">
        <v>-0.02</v>
      </c>
      <c r="K404" s="1" t="s">
        <v>47</v>
      </c>
      <c r="L404" s="1">
        <v>2389</v>
      </c>
      <c r="M404" s="1">
        <v>0.66</v>
      </c>
      <c r="N404" s="1">
        <v>0.95779999999999998</v>
      </c>
      <c r="O404" s="1">
        <f>VLOOKUP(D404,underlying!$D$2:$H$75,5,FALSE)</f>
        <v>-0.27</v>
      </c>
      <c r="P404" s="2">
        <f>VLOOKUP(D404,underlying!$D$2:$L$39,9,FALSE)</f>
        <v>42885</v>
      </c>
      <c r="Q404" s="7">
        <f>IF(G404="C",NormalCallSprd(O404,H404,M404,(P404-A404)/365), NormalPutSprd(O404,H404,M404,(P404-A404)/365))</f>
        <v>0.4261940204767693</v>
      </c>
      <c r="R404" s="9">
        <f t="shared" si="13"/>
        <v>6.194020476769313E-3</v>
      </c>
    </row>
    <row r="405" spans="1:18" x14ac:dyDescent="0.2">
      <c r="A405" s="2">
        <v>42622</v>
      </c>
      <c r="B405" s="1" t="s">
        <v>13</v>
      </c>
      <c r="C405" s="1" t="s">
        <v>14</v>
      </c>
      <c r="D405" s="2">
        <v>42742</v>
      </c>
      <c r="E405" s="2">
        <f t="shared" si="12"/>
        <v>42917</v>
      </c>
      <c r="F405" s="1" t="s">
        <v>15</v>
      </c>
      <c r="G405" s="1" t="s">
        <v>18</v>
      </c>
      <c r="H405" s="1">
        <v>-0.6</v>
      </c>
      <c r="I405" s="1">
        <v>0.1</v>
      </c>
      <c r="J405" s="1">
        <v>0.01</v>
      </c>
      <c r="K405" s="1" t="s">
        <v>47</v>
      </c>
      <c r="L405" s="1">
        <v>2389</v>
      </c>
      <c r="M405" s="1">
        <v>0.66</v>
      </c>
      <c r="N405" s="1">
        <v>0.96933999999999998</v>
      </c>
      <c r="O405" s="1">
        <f>VLOOKUP(D405,underlying!$D$2:$H$75,5,FALSE)</f>
        <v>-0.27</v>
      </c>
      <c r="P405" s="2">
        <f>VLOOKUP(D405,underlying!$D$2:$L$39,9,FALSE)</f>
        <v>42885</v>
      </c>
      <c r="Q405" s="7">
        <f>IF(G405="C",NormalCallSprd(O405,H405,M405,(P405-A405)/365), NormalPutSprd(O405,H405,M405,(P405-A405)/365))</f>
        <v>9.619402047676931E-2</v>
      </c>
      <c r="R405" s="9">
        <f t="shared" si="13"/>
        <v>3.8059795232306959E-3</v>
      </c>
    </row>
    <row r="406" spans="1:18" x14ac:dyDescent="0.2">
      <c r="A406" s="2">
        <v>42622</v>
      </c>
      <c r="B406" s="1" t="s">
        <v>13</v>
      </c>
      <c r="C406" s="1" t="s">
        <v>14</v>
      </c>
      <c r="D406" s="2">
        <v>42742</v>
      </c>
      <c r="E406" s="2">
        <f t="shared" si="12"/>
        <v>42917</v>
      </c>
      <c r="F406" s="1" t="s">
        <v>15</v>
      </c>
      <c r="G406" s="1" t="s">
        <v>16</v>
      </c>
      <c r="H406" s="1">
        <v>-0.55000000000000004</v>
      </c>
      <c r="I406" s="1">
        <v>0.39</v>
      </c>
      <c r="J406" s="1">
        <v>-0.01</v>
      </c>
      <c r="K406" s="1" t="s">
        <v>47</v>
      </c>
      <c r="L406" s="1">
        <v>2389</v>
      </c>
      <c r="M406" s="1">
        <v>0.66</v>
      </c>
      <c r="N406" s="1">
        <v>0.9768</v>
      </c>
      <c r="O406" s="1">
        <f>VLOOKUP(D406,underlying!$D$2:$H$75,5,FALSE)</f>
        <v>-0.27</v>
      </c>
      <c r="P406" s="2">
        <f>VLOOKUP(D406,underlying!$D$2:$L$39,9,FALSE)</f>
        <v>42885</v>
      </c>
      <c r="Q406" s="7">
        <f>IF(G406="C",NormalCallSprd(O406,H406,M406,(P406-A406)/365), NormalPutSprd(O406,H406,M406,(P406-A406)/365))</f>
        <v>0.39085114657348674</v>
      </c>
      <c r="R406" s="9">
        <f t="shared" si="13"/>
        <v>8.511465734867274E-4</v>
      </c>
    </row>
    <row r="407" spans="1:18" x14ac:dyDescent="0.2">
      <c r="A407" s="2">
        <v>42622</v>
      </c>
      <c r="B407" s="1" t="s">
        <v>13</v>
      </c>
      <c r="C407" s="1" t="s">
        <v>14</v>
      </c>
      <c r="D407" s="2">
        <v>42742</v>
      </c>
      <c r="E407" s="2">
        <f t="shared" si="12"/>
        <v>42917</v>
      </c>
      <c r="F407" s="1" t="s">
        <v>15</v>
      </c>
      <c r="G407" s="1" t="s">
        <v>18</v>
      </c>
      <c r="H407" s="1">
        <v>-0.55000000000000004</v>
      </c>
      <c r="I407" s="1">
        <v>0.11</v>
      </c>
      <c r="J407" s="1">
        <v>0.01</v>
      </c>
      <c r="K407" s="1" t="s">
        <v>47</v>
      </c>
      <c r="L407" s="1">
        <v>2389</v>
      </c>
      <c r="M407" s="1">
        <v>0.66</v>
      </c>
      <c r="N407" s="1">
        <v>0.99197999999999997</v>
      </c>
      <c r="O407" s="1">
        <f>VLOOKUP(D407,underlying!$D$2:$H$75,5,FALSE)</f>
        <v>-0.27</v>
      </c>
      <c r="P407" s="2">
        <f>VLOOKUP(D407,underlying!$D$2:$L$39,9,FALSE)</f>
        <v>42885</v>
      </c>
      <c r="Q407" s="7">
        <f>IF(G407="C",NormalCallSprd(O407,H407,M407,(P407-A407)/365), NormalPutSprd(O407,H407,M407,(P407-A407)/365))</f>
        <v>0.11085114657348673</v>
      </c>
      <c r="R407" s="9">
        <f t="shared" si="13"/>
        <v>8.511465734867274E-4</v>
      </c>
    </row>
    <row r="408" spans="1:18" x14ac:dyDescent="0.2">
      <c r="A408" s="2">
        <v>42622</v>
      </c>
      <c r="B408" s="1" t="s">
        <v>13</v>
      </c>
      <c r="C408" s="1" t="s">
        <v>14</v>
      </c>
      <c r="D408" s="2">
        <v>42742</v>
      </c>
      <c r="E408" s="2">
        <f t="shared" si="12"/>
        <v>42917</v>
      </c>
      <c r="F408" s="1" t="s">
        <v>15</v>
      </c>
      <c r="G408" s="1" t="s">
        <v>16</v>
      </c>
      <c r="H408" s="1">
        <v>-0.5</v>
      </c>
      <c r="I408" s="1">
        <v>0.35</v>
      </c>
      <c r="J408" s="1">
        <v>-0.02</v>
      </c>
      <c r="K408" s="1" t="s">
        <v>47</v>
      </c>
      <c r="L408" s="1">
        <v>2389</v>
      </c>
      <c r="M408" s="1">
        <v>0.65</v>
      </c>
      <c r="N408" s="1">
        <v>0.99902000000000002</v>
      </c>
      <c r="O408" s="1">
        <f>VLOOKUP(D408,underlying!$D$2:$H$75,5,FALSE)</f>
        <v>-0.27</v>
      </c>
      <c r="P408" s="2">
        <f>VLOOKUP(D408,underlying!$D$2:$L$39,9,FALSE)</f>
        <v>42885</v>
      </c>
      <c r="Q408" s="7">
        <f>IF(G408="C",NormalCallSprd(O408,H408,M408,(P408-A408)/365), NormalPutSprd(O408,H408,M408,(P408-A408)/365))</f>
        <v>0.35396999086906372</v>
      </c>
      <c r="R408" s="9">
        <f t="shared" si="13"/>
        <v>3.9699908690637442E-3</v>
      </c>
    </row>
    <row r="409" spans="1:18" x14ac:dyDescent="0.2">
      <c r="A409" s="2">
        <v>42622</v>
      </c>
      <c r="B409" s="1" t="s">
        <v>13</v>
      </c>
      <c r="C409" s="1" t="s">
        <v>14</v>
      </c>
      <c r="D409" s="2">
        <v>42742</v>
      </c>
      <c r="E409" s="2">
        <f t="shared" si="12"/>
        <v>42917</v>
      </c>
      <c r="F409" s="1" t="s">
        <v>15</v>
      </c>
      <c r="G409" s="1" t="s">
        <v>18</v>
      </c>
      <c r="H409" s="1">
        <v>-0.5</v>
      </c>
      <c r="I409" s="1">
        <v>0.12</v>
      </c>
      <c r="J409" s="1">
        <v>0</v>
      </c>
      <c r="K409" s="1" t="s">
        <v>47</v>
      </c>
      <c r="L409" s="1">
        <v>2389</v>
      </c>
      <c r="M409" s="1">
        <v>0.65</v>
      </c>
      <c r="N409" s="1">
        <v>0.99934999999999996</v>
      </c>
      <c r="O409" s="1">
        <f>VLOOKUP(D409,underlying!$D$2:$H$75,5,FALSE)</f>
        <v>-0.27</v>
      </c>
      <c r="P409" s="2">
        <f>VLOOKUP(D409,underlying!$D$2:$L$39,9,FALSE)</f>
        <v>42885</v>
      </c>
      <c r="Q409" s="7">
        <f>IF(G409="C",NormalCallSprd(O409,H409,M409,(P409-A409)/365), NormalPutSprd(O409,H409,M409,(P409-A409)/365))</f>
        <v>0.12396999086906374</v>
      </c>
      <c r="R409" s="9">
        <f t="shared" si="13"/>
        <v>3.9699908690637442E-3</v>
      </c>
    </row>
    <row r="410" spans="1:18" x14ac:dyDescent="0.2">
      <c r="A410" s="2">
        <v>42622</v>
      </c>
      <c r="B410" s="1" t="s">
        <v>13</v>
      </c>
      <c r="C410" s="1" t="s">
        <v>14</v>
      </c>
      <c r="D410" s="2">
        <v>42742</v>
      </c>
      <c r="E410" s="2">
        <f t="shared" si="12"/>
        <v>42917</v>
      </c>
      <c r="F410" s="1" t="s">
        <v>15</v>
      </c>
      <c r="G410" s="1" t="s">
        <v>16</v>
      </c>
      <c r="H410" s="1">
        <v>-0.45</v>
      </c>
      <c r="I410" s="1">
        <v>0.32</v>
      </c>
      <c r="J410" s="1">
        <v>-0.01</v>
      </c>
      <c r="K410" s="1" t="s">
        <v>47</v>
      </c>
      <c r="L410" s="1">
        <v>2389</v>
      </c>
      <c r="M410" s="1">
        <v>0.64</v>
      </c>
      <c r="N410" s="1">
        <v>0.99938000000000005</v>
      </c>
      <c r="O410" s="1">
        <f>VLOOKUP(D410,underlying!$D$2:$H$75,5,FALSE)</f>
        <v>-0.27</v>
      </c>
      <c r="P410" s="2">
        <f>VLOOKUP(D410,underlying!$D$2:$L$39,9,FALSE)</f>
        <v>42885</v>
      </c>
      <c r="Q410" s="7">
        <f>IF(G410="C",NormalCallSprd(O410,H410,M410,(P410-A410)/365), NormalPutSprd(O410,H410,M410,(P410-A410)/365))</f>
        <v>0.31851992282693725</v>
      </c>
      <c r="R410" s="9">
        <f t="shared" si="13"/>
        <v>1.4800771730627549E-3</v>
      </c>
    </row>
    <row r="411" spans="1:18" x14ac:dyDescent="0.2">
      <c r="A411" s="2">
        <v>42622</v>
      </c>
      <c r="B411" s="1" t="s">
        <v>13</v>
      </c>
      <c r="C411" s="1" t="s">
        <v>14</v>
      </c>
      <c r="D411" s="2">
        <v>42742</v>
      </c>
      <c r="E411" s="2">
        <f t="shared" si="12"/>
        <v>42917</v>
      </c>
      <c r="F411" s="1" t="s">
        <v>15</v>
      </c>
      <c r="G411" s="1" t="s">
        <v>18</v>
      </c>
      <c r="H411" s="1">
        <v>-0.45</v>
      </c>
      <c r="I411" s="1">
        <v>0.14000000000000001</v>
      </c>
      <c r="J411" s="1">
        <v>0.01</v>
      </c>
      <c r="K411" s="1" t="s">
        <v>47</v>
      </c>
      <c r="L411" s="1">
        <v>2389</v>
      </c>
      <c r="M411" s="1">
        <v>0.64</v>
      </c>
      <c r="N411" s="1">
        <v>-0.83975</v>
      </c>
      <c r="O411" s="1">
        <f>VLOOKUP(D411,underlying!$D$2:$H$75,5,FALSE)</f>
        <v>-0.27</v>
      </c>
      <c r="P411" s="2">
        <f>VLOOKUP(D411,underlying!$D$2:$L$39,9,FALSE)</f>
        <v>42885</v>
      </c>
      <c r="Q411" s="7">
        <f>IF(G411="C",NormalCallSprd(O411,H411,M411,(P411-A411)/365), NormalPutSprd(O411,H411,M411,(P411-A411)/365))</f>
        <v>0.13851992282693726</v>
      </c>
      <c r="R411" s="9">
        <f t="shared" si="13"/>
        <v>1.4800771730627549E-3</v>
      </c>
    </row>
    <row r="412" spans="1:18" x14ac:dyDescent="0.2">
      <c r="A412" s="2">
        <v>42622</v>
      </c>
      <c r="B412" s="1" t="s">
        <v>13</v>
      </c>
      <c r="C412" s="1" t="s">
        <v>14</v>
      </c>
      <c r="D412" s="2">
        <v>42742</v>
      </c>
      <c r="E412" s="2">
        <f t="shared" si="12"/>
        <v>42917</v>
      </c>
      <c r="F412" s="1" t="s">
        <v>15</v>
      </c>
      <c r="G412" s="1" t="s">
        <v>16</v>
      </c>
      <c r="H412" s="1">
        <v>-0.4</v>
      </c>
      <c r="I412" s="1">
        <v>0.28999999999999998</v>
      </c>
      <c r="J412" s="1">
        <v>-0.01</v>
      </c>
      <c r="K412" s="1" t="s">
        <v>47</v>
      </c>
      <c r="L412" s="1">
        <v>2389</v>
      </c>
      <c r="M412" s="1">
        <v>0.64</v>
      </c>
      <c r="N412" s="1">
        <v>-0.81494</v>
      </c>
      <c r="O412" s="1">
        <f>VLOOKUP(D412,underlying!$D$2:$H$75,5,FALSE)</f>
        <v>-0.27</v>
      </c>
      <c r="P412" s="2">
        <f>VLOOKUP(D412,underlying!$D$2:$L$39,9,FALSE)</f>
        <v>42885</v>
      </c>
      <c r="Q412" s="7">
        <f>IF(G412="C",NormalCallSprd(O412,H412,M412,(P412-A412)/365), NormalPutSprd(O412,H412,M412,(P412-A412)/365))</f>
        <v>0.28790697570848117</v>
      </c>
      <c r="R412" s="9">
        <f t="shared" si="13"/>
        <v>2.093024291518808E-3</v>
      </c>
    </row>
    <row r="413" spans="1:18" x14ac:dyDescent="0.2">
      <c r="A413" s="2">
        <v>42622</v>
      </c>
      <c r="B413" s="1" t="s">
        <v>13</v>
      </c>
      <c r="C413" s="1" t="s">
        <v>14</v>
      </c>
      <c r="D413" s="2">
        <v>42742</v>
      </c>
      <c r="E413" s="2">
        <f t="shared" si="12"/>
        <v>42917</v>
      </c>
      <c r="F413" s="1" t="s">
        <v>15</v>
      </c>
      <c r="G413" s="1" t="s">
        <v>18</v>
      </c>
      <c r="H413" s="1">
        <v>-0.4</v>
      </c>
      <c r="I413" s="1">
        <v>0.16</v>
      </c>
      <c r="J413" s="1">
        <v>0.01</v>
      </c>
      <c r="K413" s="1" t="s">
        <v>47</v>
      </c>
      <c r="L413" s="1">
        <v>2389</v>
      </c>
      <c r="M413" s="1">
        <v>0.64</v>
      </c>
      <c r="N413" s="1">
        <v>-0.78669999999999995</v>
      </c>
      <c r="O413" s="1">
        <f>VLOOKUP(D413,underlying!$D$2:$H$75,5,FALSE)</f>
        <v>-0.27</v>
      </c>
      <c r="P413" s="2">
        <f>VLOOKUP(D413,underlying!$D$2:$L$39,9,FALSE)</f>
        <v>42885</v>
      </c>
      <c r="Q413" s="7">
        <f>IF(G413="C",NormalCallSprd(O413,H413,M413,(P413-A413)/365), NormalPutSprd(O413,H413,M413,(P413-A413)/365))</f>
        <v>0.15790697570848114</v>
      </c>
      <c r="R413" s="9">
        <f t="shared" si="13"/>
        <v>2.0930242915188635E-3</v>
      </c>
    </row>
    <row r="414" spans="1:18" x14ac:dyDescent="0.2">
      <c r="A414" s="2">
        <v>42622</v>
      </c>
      <c r="B414" s="1" t="s">
        <v>13</v>
      </c>
      <c r="C414" s="1" t="s">
        <v>14</v>
      </c>
      <c r="D414" s="2">
        <v>42742</v>
      </c>
      <c r="E414" s="2">
        <f t="shared" si="12"/>
        <v>42917</v>
      </c>
      <c r="F414" s="1" t="s">
        <v>15</v>
      </c>
      <c r="G414" s="1" t="s">
        <v>16</v>
      </c>
      <c r="H414" s="1">
        <v>-0.35</v>
      </c>
      <c r="I414" s="1">
        <v>0.25</v>
      </c>
      <c r="J414" s="1">
        <v>-0.02</v>
      </c>
      <c r="K414" s="1" t="s">
        <v>47</v>
      </c>
      <c r="L414" s="1">
        <v>2389</v>
      </c>
      <c r="M414" s="1">
        <v>0.63</v>
      </c>
      <c r="N414" s="1">
        <v>-0.75538000000000005</v>
      </c>
      <c r="O414" s="1">
        <f>VLOOKUP(D414,underlying!$D$2:$H$75,5,FALSE)</f>
        <v>-0.27</v>
      </c>
      <c r="P414" s="2">
        <f>VLOOKUP(D414,underlying!$D$2:$L$39,9,FALSE)</f>
        <v>42885</v>
      </c>
      <c r="Q414" s="7">
        <f>IF(G414="C",NormalCallSprd(O414,H414,M414,(P414-A414)/365), NormalPutSprd(O414,H414,M414,(P414-A414)/365))</f>
        <v>0.25572755163370214</v>
      </c>
      <c r="R414" s="9">
        <f t="shared" si="13"/>
        <v>5.7275516337021437E-3</v>
      </c>
    </row>
    <row r="415" spans="1:18" x14ac:dyDescent="0.2">
      <c r="A415" s="2">
        <v>42622</v>
      </c>
      <c r="B415" s="1" t="s">
        <v>13</v>
      </c>
      <c r="C415" s="1" t="s">
        <v>14</v>
      </c>
      <c r="D415" s="2">
        <v>42742</v>
      </c>
      <c r="E415" s="2">
        <f t="shared" si="12"/>
        <v>42917</v>
      </c>
      <c r="F415" s="1" t="s">
        <v>15</v>
      </c>
      <c r="G415" s="1" t="s">
        <v>18</v>
      </c>
      <c r="H415" s="1">
        <v>-0.35</v>
      </c>
      <c r="I415" s="1">
        <v>0.18</v>
      </c>
      <c r="J415" s="1">
        <v>0.01</v>
      </c>
      <c r="K415" s="1" t="s">
        <v>47</v>
      </c>
      <c r="L415" s="1">
        <v>2389</v>
      </c>
      <c r="M415" s="1">
        <v>0.63</v>
      </c>
      <c r="N415" s="1">
        <v>-0.71745999999999999</v>
      </c>
      <c r="O415" s="1">
        <f>VLOOKUP(D415,underlying!$D$2:$H$75,5,FALSE)</f>
        <v>-0.27</v>
      </c>
      <c r="P415" s="2">
        <f>VLOOKUP(D415,underlying!$D$2:$L$39,9,FALSE)</f>
        <v>42885</v>
      </c>
      <c r="Q415" s="7">
        <f>IF(G415="C",NormalCallSprd(O415,H415,M415,(P415-A415)/365), NormalPutSprd(O415,H415,M415,(P415-A415)/365))</f>
        <v>0.17572755163370216</v>
      </c>
      <c r="R415" s="9">
        <f t="shared" si="13"/>
        <v>4.2724483662978374E-3</v>
      </c>
    </row>
    <row r="416" spans="1:18" x14ac:dyDescent="0.2">
      <c r="A416" s="2">
        <v>42622</v>
      </c>
      <c r="B416" s="1" t="s">
        <v>13</v>
      </c>
      <c r="C416" s="1" t="s">
        <v>14</v>
      </c>
      <c r="D416" s="2">
        <v>42742</v>
      </c>
      <c r="E416" s="2">
        <f t="shared" si="12"/>
        <v>42917</v>
      </c>
      <c r="F416" s="1" t="s">
        <v>15</v>
      </c>
      <c r="G416" s="1" t="s">
        <v>16</v>
      </c>
      <c r="H416" s="1">
        <v>-0.3</v>
      </c>
      <c r="I416" s="1">
        <v>0.23</v>
      </c>
      <c r="J416" s="1">
        <v>-0.01</v>
      </c>
      <c r="K416" s="1" t="s">
        <v>47</v>
      </c>
      <c r="L416" s="1">
        <v>2389</v>
      </c>
      <c r="M416" s="1">
        <v>0.63</v>
      </c>
      <c r="N416" s="1">
        <v>-0.67430999999999996</v>
      </c>
      <c r="O416" s="1">
        <f>VLOOKUP(D416,underlying!$D$2:$H$75,5,FALSE)</f>
        <v>-0.27</v>
      </c>
      <c r="P416" s="2">
        <f>VLOOKUP(D416,underlying!$D$2:$L$39,9,FALSE)</f>
        <v>42885</v>
      </c>
      <c r="Q416" s="7">
        <f>IF(G416="C",NormalCallSprd(O416,H416,M416,(P416-A416)/365), NormalPutSprd(O416,H416,M416,(P416-A416)/365))</f>
        <v>0.22868040911187601</v>
      </c>
      <c r="R416" s="9">
        <f t="shared" si="13"/>
        <v>1.3195908881240004E-3</v>
      </c>
    </row>
    <row r="417" spans="1:18" x14ac:dyDescent="0.2">
      <c r="A417" s="2">
        <v>42622</v>
      </c>
      <c r="B417" s="1" t="s">
        <v>13</v>
      </c>
      <c r="C417" s="1" t="s">
        <v>14</v>
      </c>
      <c r="D417" s="2">
        <v>42742</v>
      </c>
      <c r="E417" s="2">
        <f t="shared" si="12"/>
        <v>42917</v>
      </c>
      <c r="F417" s="1" t="s">
        <v>15</v>
      </c>
      <c r="G417" s="1" t="s">
        <v>18</v>
      </c>
      <c r="H417" s="1">
        <v>-0.3</v>
      </c>
      <c r="I417" s="1">
        <v>0.2</v>
      </c>
      <c r="J417" s="1">
        <v>0.01</v>
      </c>
      <c r="K417" s="1" t="s">
        <v>47</v>
      </c>
      <c r="L417" s="1">
        <v>2389</v>
      </c>
      <c r="M417" s="1">
        <v>0.63</v>
      </c>
      <c r="N417" s="1">
        <v>-0.62568000000000001</v>
      </c>
      <c r="O417" s="1">
        <f>VLOOKUP(D417,underlying!$D$2:$H$75,5,FALSE)</f>
        <v>-0.27</v>
      </c>
      <c r="P417" s="2">
        <f>VLOOKUP(D417,underlying!$D$2:$L$39,9,FALSE)</f>
        <v>42885</v>
      </c>
      <c r="Q417" s="7">
        <f>IF(G417="C",NormalCallSprd(O417,H417,M417,(P417-A417)/365), NormalPutSprd(O417,H417,M417,(P417-A417)/365))</f>
        <v>0.19868040911187604</v>
      </c>
      <c r="R417" s="9">
        <f t="shared" si="13"/>
        <v>1.3195908881239726E-3</v>
      </c>
    </row>
    <row r="418" spans="1:18" x14ac:dyDescent="0.2">
      <c r="A418" s="2">
        <v>42622</v>
      </c>
      <c r="B418" s="1" t="s">
        <v>13</v>
      </c>
      <c r="C418" s="1" t="s">
        <v>14</v>
      </c>
      <c r="D418" s="2">
        <v>42742</v>
      </c>
      <c r="E418" s="2">
        <f t="shared" si="12"/>
        <v>42917</v>
      </c>
      <c r="F418" s="1" t="s">
        <v>15</v>
      </c>
      <c r="G418" s="1" t="s">
        <v>16</v>
      </c>
      <c r="H418" s="1">
        <v>-0.25</v>
      </c>
      <c r="I418" s="1">
        <v>0.2</v>
      </c>
      <c r="J418" s="1">
        <v>-0.01</v>
      </c>
      <c r="K418" s="1" t="s">
        <v>47</v>
      </c>
      <c r="L418" s="1">
        <v>2389</v>
      </c>
      <c r="M418" s="1">
        <v>0.63</v>
      </c>
      <c r="N418" s="1">
        <v>-0.57152000000000003</v>
      </c>
      <c r="O418" s="1">
        <f>VLOOKUP(D418,underlying!$D$2:$H$75,5,FALSE)</f>
        <v>-0.27</v>
      </c>
      <c r="P418" s="2">
        <f>VLOOKUP(D418,underlying!$D$2:$L$39,9,FALSE)</f>
        <v>42885</v>
      </c>
      <c r="Q418" s="7">
        <f>IF(G418="C",NormalCallSprd(O418,H418,M418,(P418-A418)/365), NormalPutSprd(O418,H418,M418,(P418-A418)/365))</f>
        <v>0.2034939800574285</v>
      </c>
      <c r="R418" s="9">
        <f t="shared" si="13"/>
        <v>3.4939800574284863E-3</v>
      </c>
    </row>
    <row r="419" spans="1:18" x14ac:dyDescent="0.2">
      <c r="A419" s="2">
        <v>42622</v>
      </c>
      <c r="B419" s="1" t="s">
        <v>13</v>
      </c>
      <c r="C419" s="1" t="s">
        <v>14</v>
      </c>
      <c r="D419" s="2">
        <v>42742</v>
      </c>
      <c r="E419" s="2">
        <f t="shared" si="12"/>
        <v>42917</v>
      </c>
      <c r="F419" s="1" t="s">
        <v>15</v>
      </c>
      <c r="G419" s="1" t="s">
        <v>18</v>
      </c>
      <c r="H419" s="1">
        <v>-0.25</v>
      </c>
      <c r="I419" s="1">
        <v>0.22</v>
      </c>
      <c r="J419" s="1">
        <v>0.01</v>
      </c>
      <c r="K419" s="1" t="s">
        <v>47</v>
      </c>
      <c r="L419" s="1">
        <v>2389</v>
      </c>
      <c r="M419" s="1">
        <v>0.63</v>
      </c>
      <c r="N419" s="1">
        <v>-0.51214000000000004</v>
      </c>
      <c r="O419" s="1">
        <f>VLOOKUP(D419,underlying!$D$2:$H$75,5,FALSE)</f>
        <v>-0.27</v>
      </c>
      <c r="P419" s="2">
        <f>VLOOKUP(D419,underlying!$D$2:$L$39,9,FALSE)</f>
        <v>42885</v>
      </c>
      <c r="Q419" s="7">
        <f>IF(G419="C",NormalCallSprd(O419,H419,M419,(P419-A419)/365), NormalPutSprd(O419,H419,M419,(P419-A419)/365))</f>
        <v>0.22349398005742852</v>
      </c>
      <c r="R419" s="9">
        <f t="shared" si="13"/>
        <v>3.493980057428514E-3</v>
      </c>
    </row>
    <row r="420" spans="1:18" x14ac:dyDescent="0.2">
      <c r="A420" s="2">
        <v>42622</v>
      </c>
      <c r="B420" s="1" t="s">
        <v>13</v>
      </c>
      <c r="C420" s="1" t="s">
        <v>14</v>
      </c>
      <c r="D420" s="2">
        <v>42742</v>
      </c>
      <c r="E420" s="2">
        <f t="shared" si="12"/>
        <v>42917</v>
      </c>
      <c r="F420" s="1" t="s">
        <v>15</v>
      </c>
      <c r="G420" s="1" t="s">
        <v>16</v>
      </c>
      <c r="H420" s="1">
        <v>-0.2</v>
      </c>
      <c r="I420" s="1">
        <v>0.18</v>
      </c>
      <c r="J420" s="1">
        <v>-0.01</v>
      </c>
      <c r="K420" s="1" t="s">
        <v>47</v>
      </c>
      <c r="L420" s="1">
        <v>2389</v>
      </c>
      <c r="M420" s="1">
        <v>0.62</v>
      </c>
      <c r="N420" s="1">
        <v>-0.44827</v>
      </c>
      <c r="O420" s="1">
        <f>VLOOKUP(D420,underlying!$D$2:$H$75,5,FALSE)</f>
        <v>-0.27</v>
      </c>
      <c r="P420" s="2">
        <f>VLOOKUP(D420,underlying!$D$2:$L$39,9,FALSE)</f>
        <v>42885</v>
      </c>
      <c r="Q420" s="7">
        <f>IF(G420="C",NormalCallSprd(O420,H420,M420,(P420-A420)/365), NormalPutSprd(O420,H420,M420,(P420-A420)/365))</f>
        <v>0.17681281506588351</v>
      </c>
      <c r="R420" s="9">
        <f t="shared" si="13"/>
        <v>3.1871849341164882E-3</v>
      </c>
    </row>
    <row r="421" spans="1:18" x14ac:dyDescent="0.2">
      <c r="A421" s="2">
        <v>42622</v>
      </c>
      <c r="B421" s="1" t="s">
        <v>13</v>
      </c>
      <c r="C421" s="1" t="s">
        <v>14</v>
      </c>
      <c r="D421" s="2">
        <v>42742</v>
      </c>
      <c r="E421" s="2">
        <f t="shared" si="12"/>
        <v>42917</v>
      </c>
      <c r="F421" s="1" t="s">
        <v>15</v>
      </c>
      <c r="G421" s="1" t="s">
        <v>18</v>
      </c>
      <c r="H421" s="1">
        <v>-0.2</v>
      </c>
      <c r="I421" s="1">
        <v>0.25</v>
      </c>
      <c r="J421" s="1">
        <v>0.01</v>
      </c>
      <c r="K421" s="1" t="s">
        <v>47</v>
      </c>
      <c r="L421" s="1">
        <v>2389</v>
      </c>
      <c r="M421" s="1">
        <v>0.62</v>
      </c>
      <c r="N421" s="1">
        <v>-0.38146000000000002</v>
      </c>
      <c r="O421" s="1">
        <f>VLOOKUP(D421,underlying!$D$2:$H$75,5,FALSE)</f>
        <v>-0.27</v>
      </c>
      <c r="P421" s="2">
        <f>VLOOKUP(D421,underlying!$D$2:$L$39,9,FALSE)</f>
        <v>42885</v>
      </c>
      <c r="Q421" s="7">
        <f>IF(G421="C",NormalCallSprd(O421,H421,M421,(P421-A421)/365), NormalPutSprd(O421,H421,M421,(P421-A421)/365))</f>
        <v>0.24681281506588351</v>
      </c>
      <c r="R421" s="9">
        <f t="shared" si="13"/>
        <v>3.1871849341164882E-3</v>
      </c>
    </row>
    <row r="422" spans="1:18" x14ac:dyDescent="0.2">
      <c r="A422" s="2">
        <v>42622</v>
      </c>
      <c r="B422" s="1" t="s">
        <v>13</v>
      </c>
      <c r="C422" s="1" t="s">
        <v>14</v>
      </c>
      <c r="D422" s="2">
        <v>42742</v>
      </c>
      <c r="E422" s="2">
        <f t="shared" si="12"/>
        <v>42917</v>
      </c>
      <c r="F422" s="1" t="s">
        <v>15</v>
      </c>
      <c r="G422" s="1" t="s">
        <v>16</v>
      </c>
      <c r="H422" s="1">
        <v>-0.15</v>
      </c>
      <c r="I422" s="1">
        <v>0.15</v>
      </c>
      <c r="J422" s="1">
        <v>-0.01</v>
      </c>
      <c r="K422" s="1" t="s">
        <v>47</v>
      </c>
      <c r="L422" s="1">
        <v>2389</v>
      </c>
      <c r="M422" s="1">
        <v>0.62</v>
      </c>
      <c r="N422" s="1">
        <v>-0.31541000000000002</v>
      </c>
      <c r="O422" s="1">
        <f>VLOOKUP(D422,underlying!$D$2:$H$75,5,FALSE)</f>
        <v>-0.27</v>
      </c>
      <c r="P422" s="2">
        <f>VLOOKUP(D422,underlying!$D$2:$L$39,9,FALSE)</f>
        <v>42885</v>
      </c>
      <c r="Q422" s="7">
        <f>IF(G422="C",NormalCallSprd(O422,H422,M422,(P422-A422)/365), NormalPutSprd(O422,H422,M422,(P422-A422)/365))</f>
        <v>0.15539267168036086</v>
      </c>
      <c r="R422" s="9">
        <f t="shared" si="13"/>
        <v>5.3926716803608665E-3</v>
      </c>
    </row>
    <row r="423" spans="1:18" x14ac:dyDescent="0.2">
      <c r="A423" s="2">
        <v>42622</v>
      </c>
      <c r="B423" s="1" t="s">
        <v>13</v>
      </c>
      <c r="C423" s="1" t="s">
        <v>14</v>
      </c>
      <c r="D423" s="2">
        <v>42742</v>
      </c>
      <c r="E423" s="2">
        <f t="shared" si="12"/>
        <v>42917</v>
      </c>
      <c r="F423" s="1" t="s">
        <v>15</v>
      </c>
      <c r="G423" s="1" t="s">
        <v>18</v>
      </c>
      <c r="H423" s="1">
        <v>-0.15</v>
      </c>
      <c r="I423" s="1">
        <v>0.27</v>
      </c>
      <c r="J423" s="1">
        <v>0.01</v>
      </c>
      <c r="K423" s="1" t="s">
        <v>47</v>
      </c>
      <c r="L423" s="1">
        <v>2389</v>
      </c>
      <c r="M423" s="1">
        <v>0.62</v>
      </c>
      <c r="N423" s="1">
        <v>-0.25183</v>
      </c>
      <c r="O423" s="1">
        <f>VLOOKUP(D423,underlying!$D$2:$H$75,5,FALSE)</f>
        <v>-0.27</v>
      </c>
      <c r="P423" s="2">
        <f>VLOOKUP(D423,underlying!$D$2:$L$39,9,FALSE)</f>
        <v>42885</v>
      </c>
      <c r="Q423" s="7">
        <f>IF(G423="C",NormalCallSprd(O423,H423,M423,(P423-A423)/365), NormalPutSprd(O423,H423,M423,(P423-A423)/365))</f>
        <v>0.27539267168036091</v>
      </c>
      <c r="R423" s="9">
        <f t="shared" si="13"/>
        <v>5.3926716803608943E-3</v>
      </c>
    </row>
    <row r="424" spans="1:18" x14ac:dyDescent="0.2">
      <c r="A424" s="2">
        <v>42622</v>
      </c>
      <c r="B424" s="1" t="s">
        <v>13</v>
      </c>
      <c r="C424" s="1" t="s">
        <v>14</v>
      </c>
      <c r="D424" s="2">
        <v>42742</v>
      </c>
      <c r="E424" s="2">
        <f t="shared" si="12"/>
        <v>42917</v>
      </c>
      <c r="F424" s="1" t="s">
        <v>15</v>
      </c>
      <c r="G424" s="1" t="s">
        <v>16</v>
      </c>
      <c r="H424" s="1">
        <v>-0.1</v>
      </c>
      <c r="I424" s="1">
        <v>0.14000000000000001</v>
      </c>
      <c r="J424" s="1">
        <v>0</v>
      </c>
      <c r="K424" s="1" t="s">
        <v>47</v>
      </c>
      <c r="L424" s="1">
        <v>2389</v>
      </c>
      <c r="M424" s="1">
        <v>0.62</v>
      </c>
      <c r="N424" s="1">
        <v>-0.19363</v>
      </c>
      <c r="O424" s="1">
        <f>VLOOKUP(D424,underlying!$D$2:$H$75,5,FALSE)</f>
        <v>-0.27</v>
      </c>
      <c r="P424" s="2">
        <f>VLOOKUP(D424,underlying!$D$2:$L$39,9,FALSE)</f>
        <v>42885</v>
      </c>
      <c r="Q424" s="7">
        <f>IF(G424="C",NormalCallSprd(O424,H424,M424,(P424-A424)/365), NormalPutSprd(O424,H424,M424,(P424-A424)/365))</f>
        <v>0.13581766278715002</v>
      </c>
      <c r="R424" s="9">
        <f t="shared" si="13"/>
        <v>4.1823372128499958E-3</v>
      </c>
    </row>
    <row r="425" spans="1:18" x14ac:dyDescent="0.2">
      <c r="A425" s="2">
        <v>42622</v>
      </c>
      <c r="B425" s="1" t="s">
        <v>13</v>
      </c>
      <c r="C425" s="1" t="s">
        <v>14</v>
      </c>
      <c r="D425" s="2">
        <v>42742</v>
      </c>
      <c r="E425" s="2">
        <f t="shared" si="12"/>
        <v>42917</v>
      </c>
      <c r="F425" s="1" t="s">
        <v>15</v>
      </c>
      <c r="G425" s="1" t="s">
        <v>18</v>
      </c>
      <c r="H425" s="1">
        <v>-0.1</v>
      </c>
      <c r="I425" s="1">
        <v>0.3</v>
      </c>
      <c r="J425" s="1">
        <v>0.01</v>
      </c>
      <c r="K425" s="1" t="s">
        <v>47</v>
      </c>
      <c r="L425" s="1">
        <v>2389</v>
      </c>
      <c r="M425" s="1">
        <v>0.62</v>
      </c>
      <c r="N425" s="1">
        <v>-0.14555000000000001</v>
      </c>
      <c r="O425" s="1">
        <f>VLOOKUP(D425,underlying!$D$2:$H$75,5,FALSE)</f>
        <v>-0.27</v>
      </c>
      <c r="P425" s="2">
        <f>VLOOKUP(D425,underlying!$D$2:$L$39,9,FALSE)</f>
        <v>42885</v>
      </c>
      <c r="Q425" s="7">
        <f>IF(G425="C",NormalCallSprd(O425,H425,M425,(P425-A425)/365), NormalPutSprd(O425,H425,M425,(P425-A425)/365))</f>
        <v>0.30581766278715</v>
      </c>
      <c r="R425" s="9">
        <f t="shared" si="13"/>
        <v>5.8176627871500131E-3</v>
      </c>
    </row>
    <row r="426" spans="1:18" x14ac:dyDescent="0.2">
      <c r="A426" s="2">
        <v>42622</v>
      </c>
      <c r="B426" s="1" t="s">
        <v>13</v>
      </c>
      <c r="C426" s="1" t="s">
        <v>14</v>
      </c>
      <c r="D426" s="2">
        <v>42742</v>
      </c>
      <c r="E426" s="2">
        <f t="shared" si="12"/>
        <v>42917</v>
      </c>
      <c r="F426" s="1" t="s">
        <v>15</v>
      </c>
      <c r="G426" s="1" t="s">
        <v>16</v>
      </c>
      <c r="H426" s="1">
        <v>-0.05</v>
      </c>
      <c r="I426" s="1">
        <v>0.12</v>
      </c>
      <c r="J426" s="1">
        <v>0</v>
      </c>
      <c r="K426" s="1" t="s">
        <v>47</v>
      </c>
      <c r="L426" s="1">
        <v>2389</v>
      </c>
      <c r="M426" s="1">
        <v>0.62</v>
      </c>
      <c r="N426" s="1">
        <v>-0.10854</v>
      </c>
      <c r="O426" s="1">
        <f>VLOOKUP(D426,underlying!$D$2:$H$75,5,FALSE)</f>
        <v>-0.27</v>
      </c>
      <c r="P426" s="2">
        <f>VLOOKUP(D426,underlying!$D$2:$L$39,9,FALSE)</f>
        <v>42885</v>
      </c>
      <c r="Q426" s="7">
        <f>IF(G426="C",NormalCallSprd(O426,H426,M426,(P426-A426)/365), NormalPutSprd(O426,H426,M426,(P426-A426)/365))</f>
        <v>0.11804018874702597</v>
      </c>
      <c r="R426" s="9">
        <f t="shared" si="13"/>
        <v>1.9598112529740225E-3</v>
      </c>
    </row>
    <row r="427" spans="1:18" x14ac:dyDescent="0.2">
      <c r="A427" s="2">
        <v>42622</v>
      </c>
      <c r="B427" s="1" t="s">
        <v>13</v>
      </c>
      <c r="C427" s="1" t="s">
        <v>14</v>
      </c>
      <c r="D427" s="2">
        <v>42742</v>
      </c>
      <c r="E427" s="2">
        <f t="shared" si="12"/>
        <v>42917</v>
      </c>
      <c r="F427" s="1" t="s">
        <v>15</v>
      </c>
      <c r="G427" s="1" t="s">
        <v>18</v>
      </c>
      <c r="H427" s="1">
        <v>-0.05</v>
      </c>
      <c r="I427" s="1">
        <v>0.34</v>
      </c>
      <c r="J427" s="1">
        <v>0.02</v>
      </c>
      <c r="K427" s="1" t="s">
        <v>47</v>
      </c>
      <c r="L427" s="1">
        <v>2389</v>
      </c>
      <c r="M427" s="1">
        <v>0.62</v>
      </c>
      <c r="N427" s="1">
        <v>-8.0619999999999997E-2</v>
      </c>
      <c r="O427" s="1">
        <f>VLOOKUP(D427,underlying!$D$2:$H$75,5,FALSE)</f>
        <v>-0.27</v>
      </c>
      <c r="P427" s="2">
        <f>VLOOKUP(D427,underlying!$D$2:$L$39,9,FALSE)</f>
        <v>42885</v>
      </c>
      <c r="Q427" s="7">
        <f>IF(G427="C",NormalCallSprd(O427,H427,M427,(P427-A427)/365), NormalPutSprd(O427,H427,M427,(P427-A427)/365))</f>
        <v>0.33804018874702596</v>
      </c>
      <c r="R427" s="9">
        <f t="shared" si="13"/>
        <v>1.9598112529740641E-3</v>
      </c>
    </row>
    <row r="428" spans="1:18" x14ac:dyDescent="0.2">
      <c r="A428" s="2">
        <v>42622</v>
      </c>
      <c r="B428" s="1" t="s">
        <v>13</v>
      </c>
      <c r="C428" s="1" t="s">
        <v>14</v>
      </c>
      <c r="D428" s="2">
        <v>42743</v>
      </c>
      <c r="E428" s="2">
        <f t="shared" si="12"/>
        <v>42948</v>
      </c>
      <c r="F428" s="1" t="s">
        <v>15</v>
      </c>
      <c r="G428" s="1" t="s">
        <v>16</v>
      </c>
      <c r="H428" s="1">
        <v>-3</v>
      </c>
      <c r="I428" s="1">
        <v>2.77</v>
      </c>
      <c r="J428" s="1">
        <v>-0.02</v>
      </c>
      <c r="K428" s="1" t="s">
        <v>50</v>
      </c>
      <c r="L428" s="1">
        <v>2389</v>
      </c>
      <c r="M428" s="1">
        <v>1.17</v>
      </c>
      <c r="N428" s="1">
        <v>-5.7480000000000003E-2</v>
      </c>
      <c r="O428" s="1">
        <f>VLOOKUP(D428,underlying!$D$2:$H$75,5,FALSE)</f>
        <v>-0.22</v>
      </c>
      <c r="P428" s="2">
        <f>VLOOKUP(D428,underlying!$D$2:$L$39,9,FALSE)</f>
        <v>42915</v>
      </c>
      <c r="Q428" s="7">
        <f>IF(G428="C",NormalCallSprd(O428,H428,M428,(P428-A428)/365), NormalPutSprd(O428,H428,M428,(P428-A428)/365))</f>
        <v>2.7812989184656955</v>
      </c>
      <c r="R428" s="9">
        <f t="shared" si="13"/>
        <v>1.1298918465695529E-2</v>
      </c>
    </row>
    <row r="429" spans="1:18" x14ac:dyDescent="0.2">
      <c r="A429" s="2">
        <v>42622</v>
      </c>
      <c r="B429" s="1" t="s">
        <v>13</v>
      </c>
      <c r="C429" s="1" t="s">
        <v>14</v>
      </c>
      <c r="D429" s="2">
        <v>42743</v>
      </c>
      <c r="E429" s="2">
        <f t="shared" si="12"/>
        <v>42948</v>
      </c>
      <c r="F429" s="1" t="s">
        <v>15</v>
      </c>
      <c r="G429" s="1" t="s">
        <v>18</v>
      </c>
      <c r="H429" s="1">
        <v>-3</v>
      </c>
      <c r="I429" s="1">
        <v>0.01</v>
      </c>
      <c r="J429" s="1">
        <v>0</v>
      </c>
      <c r="K429" s="1" t="s">
        <v>50</v>
      </c>
      <c r="L429" s="1">
        <v>2389</v>
      </c>
      <c r="M429" s="1">
        <v>1.17</v>
      </c>
      <c r="N429" s="1">
        <v>-4.1579999999999999E-2</v>
      </c>
      <c r="O429" s="1">
        <f>VLOOKUP(D429,underlying!$D$2:$H$75,5,FALSE)</f>
        <v>-0.22</v>
      </c>
      <c r="P429" s="2">
        <f>VLOOKUP(D429,underlying!$D$2:$L$39,9,FALSE)</f>
        <v>42915</v>
      </c>
      <c r="Q429" s="7">
        <f>IF(G429="C",NormalCallSprd(O429,H429,M429,(P429-A429)/365), NormalPutSprd(O429,H429,M429,(P429-A429)/365))</f>
        <v>1.2989184656954466E-3</v>
      </c>
      <c r="R429" s="9">
        <f t="shared" si="13"/>
        <v>8.7010815343045531E-3</v>
      </c>
    </row>
    <row r="430" spans="1:18" x14ac:dyDescent="0.2">
      <c r="A430" s="2">
        <v>42622</v>
      </c>
      <c r="B430" s="1" t="s">
        <v>13</v>
      </c>
      <c r="C430" s="1" t="s">
        <v>14</v>
      </c>
      <c r="D430" s="2">
        <v>42743</v>
      </c>
      <c r="E430" s="2">
        <f t="shared" si="12"/>
        <v>42948</v>
      </c>
      <c r="F430" s="1" t="s">
        <v>15</v>
      </c>
      <c r="G430" s="1" t="s">
        <v>16</v>
      </c>
      <c r="H430" s="1">
        <v>-2</v>
      </c>
      <c r="I430" s="1">
        <v>1.78</v>
      </c>
      <c r="J430" s="1">
        <v>-0.02</v>
      </c>
      <c r="K430" s="1" t="s">
        <v>50</v>
      </c>
      <c r="L430" s="1">
        <v>2389</v>
      </c>
      <c r="M430" s="1">
        <v>0.98</v>
      </c>
      <c r="N430" s="1">
        <v>-3.005E-2</v>
      </c>
      <c r="O430" s="1">
        <f>VLOOKUP(D430,underlying!$D$2:$H$75,5,FALSE)</f>
        <v>-0.22</v>
      </c>
      <c r="P430" s="2">
        <f>VLOOKUP(D430,underlying!$D$2:$L$39,9,FALSE)</f>
        <v>42915</v>
      </c>
      <c r="Q430" s="7">
        <f>IF(G430="C",NormalCallSprd(O430,H430,M430,(P430-A430)/365), NormalPutSprd(O430,H430,M430,(P430-A430)/365))</f>
        <v>1.7869281809169459</v>
      </c>
      <c r="R430" s="9">
        <f t="shared" si="13"/>
        <v>6.9281809169459141E-3</v>
      </c>
    </row>
    <row r="431" spans="1:18" x14ac:dyDescent="0.2">
      <c r="A431" s="2">
        <v>42622</v>
      </c>
      <c r="B431" s="1" t="s">
        <v>13</v>
      </c>
      <c r="C431" s="1" t="s">
        <v>14</v>
      </c>
      <c r="D431" s="2">
        <v>42743</v>
      </c>
      <c r="E431" s="2">
        <f t="shared" si="12"/>
        <v>42948</v>
      </c>
      <c r="F431" s="1" t="s">
        <v>15</v>
      </c>
      <c r="G431" s="1" t="s">
        <v>18</v>
      </c>
      <c r="H431" s="1">
        <v>-2</v>
      </c>
      <c r="I431" s="1">
        <v>0.01</v>
      </c>
      <c r="J431" s="1">
        <v>0</v>
      </c>
      <c r="K431" s="1" t="s">
        <v>50</v>
      </c>
      <c r="L431" s="1">
        <v>2389</v>
      </c>
      <c r="M431" s="1">
        <v>0.98</v>
      </c>
      <c r="N431" s="1">
        <v>-2.2579999999999999E-2</v>
      </c>
      <c r="O431" s="1">
        <f>VLOOKUP(D431,underlying!$D$2:$H$75,5,FALSE)</f>
        <v>-0.22</v>
      </c>
      <c r="P431" s="2">
        <f>VLOOKUP(D431,underlying!$D$2:$L$39,9,FALSE)</f>
        <v>42915</v>
      </c>
      <c r="Q431" s="7">
        <f>IF(G431="C",NormalCallSprd(O431,H431,M431,(P431-A431)/365), NormalPutSprd(O431,H431,M431,(P431-A431)/365))</f>
        <v>6.9281809169459627E-3</v>
      </c>
      <c r="R431" s="9">
        <f t="shared" si="13"/>
        <v>3.0718190830540375E-3</v>
      </c>
    </row>
    <row r="432" spans="1:18" x14ac:dyDescent="0.2">
      <c r="A432" s="2">
        <v>42622</v>
      </c>
      <c r="B432" s="1" t="s">
        <v>13</v>
      </c>
      <c r="C432" s="1" t="s">
        <v>14</v>
      </c>
      <c r="D432" s="2">
        <v>42743</v>
      </c>
      <c r="E432" s="2">
        <f t="shared" si="12"/>
        <v>42948</v>
      </c>
      <c r="F432" s="1" t="s">
        <v>15</v>
      </c>
      <c r="G432" s="1" t="s">
        <v>16</v>
      </c>
      <c r="H432" s="1">
        <v>-1</v>
      </c>
      <c r="I432" s="1">
        <v>0.81</v>
      </c>
      <c r="J432" s="1">
        <v>-0.02</v>
      </c>
      <c r="K432" s="1" t="s">
        <v>50</v>
      </c>
      <c r="L432" s="1">
        <v>2389</v>
      </c>
      <c r="M432" s="1">
        <v>0.74</v>
      </c>
      <c r="N432" s="1">
        <v>-7.4000000000000003E-3</v>
      </c>
      <c r="O432" s="1">
        <f>VLOOKUP(D432,underlying!$D$2:$H$75,5,FALSE)</f>
        <v>-0.22</v>
      </c>
      <c r="P432" s="2">
        <f>VLOOKUP(D432,underlying!$D$2:$L$39,9,FALSE)</f>
        <v>42915</v>
      </c>
      <c r="Q432" s="7">
        <f>IF(G432="C",NormalCallSprd(O432,H432,M432,(P432-A432)/365), NormalPutSprd(O432,H432,M432,(P432-A432)/365))</f>
        <v>0.8190286844989707</v>
      </c>
      <c r="R432" s="9">
        <f t="shared" si="13"/>
        <v>9.0286844989706516E-3</v>
      </c>
    </row>
    <row r="433" spans="1:18" x14ac:dyDescent="0.2">
      <c r="A433" s="2">
        <v>42622</v>
      </c>
      <c r="B433" s="1" t="s">
        <v>13</v>
      </c>
      <c r="C433" s="1" t="s">
        <v>14</v>
      </c>
      <c r="D433" s="2">
        <v>42743</v>
      </c>
      <c r="E433" s="2">
        <f t="shared" si="12"/>
        <v>42948</v>
      </c>
      <c r="F433" s="1" t="s">
        <v>15</v>
      </c>
      <c r="G433" s="1" t="s">
        <v>18</v>
      </c>
      <c r="H433" s="1">
        <v>-1</v>
      </c>
      <c r="I433" s="1">
        <v>0.04</v>
      </c>
      <c r="J433" s="1">
        <v>0</v>
      </c>
      <c r="K433" s="1" t="s">
        <v>50</v>
      </c>
      <c r="L433" s="1">
        <v>2389</v>
      </c>
      <c r="M433" s="1">
        <v>0.74</v>
      </c>
      <c r="N433" s="1">
        <v>-3.6999999999999999E-4</v>
      </c>
      <c r="O433" s="1">
        <f>VLOOKUP(D433,underlying!$D$2:$H$75,5,FALSE)</f>
        <v>-0.22</v>
      </c>
      <c r="P433" s="2">
        <f>VLOOKUP(D433,underlying!$D$2:$L$39,9,FALSE)</f>
        <v>42915</v>
      </c>
      <c r="Q433" s="7">
        <f>IF(G433="C",NormalCallSprd(O433,H433,M433,(P433-A433)/365), NormalPutSprd(O433,H433,M433,(P433-A433)/365))</f>
        <v>3.9028684498970775E-2</v>
      </c>
      <c r="R433" s="9">
        <f t="shared" si="13"/>
        <v>9.7131550102922543E-4</v>
      </c>
    </row>
    <row r="434" spans="1:18" x14ac:dyDescent="0.2">
      <c r="A434" s="2">
        <v>42622</v>
      </c>
      <c r="B434" s="1" t="s">
        <v>13</v>
      </c>
      <c r="C434" s="1" t="s">
        <v>14</v>
      </c>
      <c r="D434" s="2">
        <v>42743</v>
      </c>
      <c r="E434" s="2">
        <f t="shared" si="12"/>
        <v>42948</v>
      </c>
      <c r="F434" s="1" t="s">
        <v>15</v>
      </c>
      <c r="G434" s="1" t="s">
        <v>16</v>
      </c>
      <c r="H434" s="1">
        <v>-0.9</v>
      </c>
      <c r="I434" s="1">
        <v>0.72</v>
      </c>
      <c r="J434" s="1">
        <v>-0.02</v>
      </c>
      <c r="K434" s="1" t="s">
        <v>50</v>
      </c>
      <c r="L434" s="1">
        <v>2389</v>
      </c>
      <c r="M434" s="1">
        <v>0.72</v>
      </c>
      <c r="N434" s="1">
        <v>-4.0000000000000003E-5</v>
      </c>
      <c r="O434" s="1">
        <f>VLOOKUP(D434,underlying!$D$2:$H$75,5,FALSE)</f>
        <v>-0.22</v>
      </c>
      <c r="P434" s="2">
        <f>VLOOKUP(D434,underlying!$D$2:$L$39,9,FALSE)</f>
        <v>42915</v>
      </c>
      <c r="Q434" s="7">
        <f>IF(G434="C",NormalCallSprd(O434,H434,M434,(P434-A434)/365), NormalPutSprd(O434,H434,M434,(P434-A434)/365))</f>
        <v>0.72843161846387061</v>
      </c>
      <c r="R434" s="9">
        <f t="shared" si="13"/>
        <v>8.4316184638706382E-3</v>
      </c>
    </row>
    <row r="435" spans="1:18" x14ac:dyDescent="0.2">
      <c r="A435" s="2">
        <v>42622</v>
      </c>
      <c r="B435" s="1" t="s">
        <v>13</v>
      </c>
      <c r="C435" s="1" t="s">
        <v>14</v>
      </c>
      <c r="D435" s="2">
        <v>42743</v>
      </c>
      <c r="E435" s="2">
        <f t="shared" si="12"/>
        <v>42948</v>
      </c>
      <c r="F435" s="1" t="s">
        <v>15</v>
      </c>
      <c r="G435" s="1" t="s">
        <v>18</v>
      </c>
      <c r="H435" s="1">
        <v>-0.9</v>
      </c>
      <c r="I435" s="1">
        <v>0.05</v>
      </c>
      <c r="J435" s="1">
        <v>0.01</v>
      </c>
      <c r="K435" s="1" t="s">
        <v>50</v>
      </c>
      <c r="L435" s="1">
        <v>2389</v>
      </c>
      <c r="M435" s="1">
        <v>0.72</v>
      </c>
      <c r="N435" s="1">
        <v>0</v>
      </c>
      <c r="O435" s="1">
        <f>VLOOKUP(D435,underlying!$D$2:$H$75,5,FALSE)</f>
        <v>-0.22</v>
      </c>
      <c r="P435" s="2">
        <f>VLOOKUP(D435,underlying!$D$2:$L$39,9,FALSE)</f>
        <v>42915</v>
      </c>
      <c r="Q435" s="7">
        <f>IF(G435="C",NormalCallSprd(O435,H435,M435,(P435-A435)/365), NormalPutSprd(O435,H435,M435,(P435-A435)/365))</f>
        <v>4.8431618463870542E-2</v>
      </c>
      <c r="R435" s="9">
        <f t="shared" si="13"/>
        <v>1.5683815361294609E-3</v>
      </c>
    </row>
    <row r="436" spans="1:18" x14ac:dyDescent="0.2">
      <c r="A436" s="2">
        <v>42622</v>
      </c>
      <c r="B436" s="1" t="s">
        <v>13</v>
      </c>
      <c r="C436" s="1" t="s">
        <v>14</v>
      </c>
      <c r="D436" s="2">
        <v>42743</v>
      </c>
      <c r="E436" s="2">
        <f t="shared" si="12"/>
        <v>42948</v>
      </c>
      <c r="F436" s="1" t="s">
        <v>15</v>
      </c>
      <c r="G436" s="1" t="s">
        <v>16</v>
      </c>
      <c r="H436" s="1">
        <v>-0.85</v>
      </c>
      <c r="I436" s="1">
        <v>0.68</v>
      </c>
      <c r="J436" s="1">
        <v>-0.02</v>
      </c>
      <c r="K436" s="1" t="s">
        <v>50</v>
      </c>
      <c r="L436" s="1">
        <v>2389</v>
      </c>
      <c r="M436" s="1">
        <v>0.71</v>
      </c>
      <c r="N436" s="1">
        <v>0.40315000000000001</v>
      </c>
      <c r="O436" s="1">
        <f>VLOOKUP(D436,underlying!$D$2:$H$75,5,FALSE)</f>
        <v>-0.22</v>
      </c>
      <c r="P436" s="2">
        <f>VLOOKUP(D436,underlying!$D$2:$L$39,9,FALSE)</f>
        <v>42915</v>
      </c>
      <c r="Q436" s="7">
        <f>IF(G436="C",NormalCallSprd(O436,H436,M436,(P436-A436)/365), NormalPutSprd(O436,H436,M436,(P436-A436)/365))</f>
        <v>0.6839791427461227</v>
      </c>
      <c r="R436" s="9">
        <f t="shared" si="13"/>
        <v>3.9791427461226547E-3</v>
      </c>
    </row>
    <row r="437" spans="1:18" x14ac:dyDescent="0.2">
      <c r="A437" s="2">
        <v>42622</v>
      </c>
      <c r="B437" s="1" t="s">
        <v>13</v>
      </c>
      <c r="C437" s="1" t="s">
        <v>14</v>
      </c>
      <c r="D437" s="2">
        <v>42743</v>
      </c>
      <c r="E437" s="2">
        <f t="shared" si="12"/>
        <v>42948</v>
      </c>
      <c r="F437" s="1" t="s">
        <v>15</v>
      </c>
      <c r="G437" s="1" t="s">
        <v>18</v>
      </c>
      <c r="H437" s="1">
        <v>-0.85</v>
      </c>
      <c r="I437" s="1">
        <v>0.05</v>
      </c>
      <c r="J437" s="1">
        <v>0</v>
      </c>
      <c r="K437" s="1" t="s">
        <v>50</v>
      </c>
      <c r="L437" s="1">
        <v>2389</v>
      </c>
      <c r="M437" s="1">
        <v>0.71</v>
      </c>
      <c r="N437" s="1">
        <v>0.43398999999999999</v>
      </c>
      <c r="O437" s="1">
        <f>VLOOKUP(D437,underlying!$D$2:$H$75,5,FALSE)</f>
        <v>-0.22</v>
      </c>
      <c r="P437" s="2">
        <f>VLOOKUP(D437,underlying!$D$2:$L$39,9,FALSE)</f>
        <v>42915</v>
      </c>
      <c r="Q437" s="7">
        <f>IF(G437="C",NormalCallSprd(O437,H437,M437,(P437-A437)/365), NormalPutSprd(O437,H437,M437,(P437-A437)/365))</f>
        <v>5.3979142746122755E-2</v>
      </c>
      <c r="R437" s="9">
        <f t="shared" si="13"/>
        <v>3.9791427461227519E-3</v>
      </c>
    </row>
    <row r="438" spans="1:18" x14ac:dyDescent="0.2">
      <c r="A438" s="2">
        <v>42622</v>
      </c>
      <c r="B438" s="1" t="s">
        <v>13</v>
      </c>
      <c r="C438" s="1" t="s">
        <v>14</v>
      </c>
      <c r="D438" s="2">
        <v>42743</v>
      </c>
      <c r="E438" s="2">
        <f t="shared" si="12"/>
        <v>42948</v>
      </c>
      <c r="F438" s="1" t="s">
        <v>15</v>
      </c>
      <c r="G438" s="1" t="s">
        <v>16</v>
      </c>
      <c r="H438" s="1">
        <v>-0.8</v>
      </c>
      <c r="I438" s="1">
        <v>0.64</v>
      </c>
      <c r="J438" s="1">
        <v>-0.01</v>
      </c>
      <c r="K438" s="1" t="s">
        <v>50</v>
      </c>
      <c r="L438" s="1">
        <v>2389</v>
      </c>
      <c r="M438" s="1">
        <v>0.7</v>
      </c>
      <c r="N438" s="1">
        <v>0.46521000000000001</v>
      </c>
      <c r="O438" s="1">
        <f>VLOOKUP(D438,underlying!$D$2:$H$75,5,FALSE)</f>
        <v>-0.22</v>
      </c>
      <c r="P438" s="2">
        <f>VLOOKUP(D438,underlying!$D$2:$L$39,9,FALSE)</f>
        <v>42915</v>
      </c>
      <c r="Q438" s="7">
        <f>IF(G438="C",NormalCallSprd(O438,H438,M438,(P438-A438)/365), NormalPutSprd(O438,H438,M438,(P438-A438)/365))</f>
        <v>0.64017675914036332</v>
      </c>
      <c r="R438" s="9">
        <f t="shared" si="13"/>
        <v>1.7675914036330287E-4</v>
      </c>
    </row>
    <row r="439" spans="1:18" x14ac:dyDescent="0.2">
      <c r="A439" s="2">
        <v>42622</v>
      </c>
      <c r="B439" s="1" t="s">
        <v>13</v>
      </c>
      <c r="C439" s="1" t="s">
        <v>14</v>
      </c>
      <c r="D439" s="2">
        <v>42743</v>
      </c>
      <c r="E439" s="2">
        <f t="shared" si="12"/>
        <v>42948</v>
      </c>
      <c r="F439" s="1" t="s">
        <v>15</v>
      </c>
      <c r="G439" s="1" t="s">
        <v>18</v>
      </c>
      <c r="H439" s="1">
        <v>-0.8</v>
      </c>
      <c r="I439" s="1">
        <v>0.06</v>
      </c>
      <c r="J439" s="1">
        <v>0</v>
      </c>
      <c r="K439" s="1" t="s">
        <v>50</v>
      </c>
      <c r="L439" s="1">
        <v>2389</v>
      </c>
      <c r="M439" s="1">
        <v>0.7</v>
      </c>
      <c r="N439" s="1">
        <v>0.49663000000000002</v>
      </c>
      <c r="O439" s="1">
        <f>VLOOKUP(D439,underlying!$D$2:$H$75,5,FALSE)</f>
        <v>-0.22</v>
      </c>
      <c r="P439" s="2">
        <f>VLOOKUP(D439,underlying!$D$2:$L$39,9,FALSE)</f>
        <v>42915</v>
      </c>
      <c r="Q439" s="7">
        <f>IF(G439="C",NormalCallSprd(O439,H439,M439,(P439-A439)/365), NormalPutSprd(O439,H439,M439,(P439-A439)/365))</f>
        <v>6.0176759140363238E-2</v>
      </c>
      <c r="R439" s="9">
        <f t="shared" si="13"/>
        <v>1.7675914036324042E-4</v>
      </c>
    </row>
    <row r="440" spans="1:18" x14ac:dyDescent="0.2">
      <c r="A440" s="2">
        <v>42622</v>
      </c>
      <c r="B440" s="1" t="s">
        <v>13</v>
      </c>
      <c r="C440" s="1" t="s">
        <v>14</v>
      </c>
      <c r="D440" s="2">
        <v>42743</v>
      </c>
      <c r="E440" s="2">
        <f t="shared" si="12"/>
        <v>42948</v>
      </c>
      <c r="F440" s="1" t="s">
        <v>15</v>
      </c>
      <c r="G440" s="1" t="s">
        <v>16</v>
      </c>
      <c r="H440" s="1">
        <v>-0.75</v>
      </c>
      <c r="I440" s="1">
        <v>0.59</v>
      </c>
      <c r="J440" s="1">
        <v>-0.02</v>
      </c>
      <c r="K440" s="1" t="s">
        <v>50</v>
      </c>
      <c r="L440" s="1">
        <v>2389</v>
      </c>
      <c r="M440" s="1">
        <v>0.69</v>
      </c>
      <c r="N440" s="1">
        <v>0.52805999999999997</v>
      </c>
      <c r="O440" s="1">
        <f>VLOOKUP(D440,underlying!$D$2:$H$75,5,FALSE)</f>
        <v>-0.22</v>
      </c>
      <c r="P440" s="2">
        <f>VLOOKUP(D440,underlying!$D$2:$L$39,9,FALSE)</f>
        <v>42915</v>
      </c>
      <c r="Q440" s="7">
        <f>IF(G440="C",NormalCallSprd(O440,H440,M440,(P440-A440)/365), NormalPutSprd(O440,H440,M440,(P440-A440)/365))</f>
        <v>0.59709664965093623</v>
      </c>
      <c r="R440" s="9">
        <f t="shared" si="13"/>
        <v>7.0966496509362598E-3</v>
      </c>
    </row>
    <row r="441" spans="1:18" x14ac:dyDescent="0.2">
      <c r="A441" s="2">
        <v>42622</v>
      </c>
      <c r="B441" s="1" t="s">
        <v>13</v>
      </c>
      <c r="C441" s="1" t="s">
        <v>14</v>
      </c>
      <c r="D441" s="2">
        <v>42743</v>
      </c>
      <c r="E441" s="2">
        <f t="shared" si="12"/>
        <v>42948</v>
      </c>
      <c r="F441" s="1" t="s">
        <v>15</v>
      </c>
      <c r="G441" s="1" t="s">
        <v>18</v>
      </c>
      <c r="H441" s="1">
        <v>-0.75</v>
      </c>
      <c r="I441" s="1">
        <v>7.0000000000000007E-2</v>
      </c>
      <c r="J441" s="1">
        <v>0.01</v>
      </c>
      <c r="K441" s="1" t="s">
        <v>50</v>
      </c>
      <c r="L441" s="1">
        <v>2389</v>
      </c>
      <c r="M441" s="1">
        <v>0.69</v>
      </c>
      <c r="N441" s="1">
        <v>0.55928</v>
      </c>
      <c r="O441" s="1">
        <f>VLOOKUP(D441,underlying!$D$2:$H$75,5,FALSE)</f>
        <v>-0.22</v>
      </c>
      <c r="P441" s="2">
        <f>VLOOKUP(D441,underlying!$D$2:$L$39,9,FALSE)</f>
        <v>42915</v>
      </c>
      <c r="Q441" s="7">
        <f>IF(G441="C",NormalCallSprd(O441,H441,M441,(P441-A441)/365), NormalPutSprd(O441,H441,M441,(P441-A441)/365))</f>
        <v>6.709664965093623E-2</v>
      </c>
      <c r="R441" s="9">
        <f t="shared" si="13"/>
        <v>2.9033503490637769E-3</v>
      </c>
    </row>
    <row r="442" spans="1:18" x14ac:dyDescent="0.2">
      <c r="A442" s="2">
        <v>42622</v>
      </c>
      <c r="B442" s="1" t="s">
        <v>13</v>
      </c>
      <c r="C442" s="1" t="s">
        <v>14</v>
      </c>
      <c r="D442" s="2">
        <v>42743</v>
      </c>
      <c r="E442" s="2">
        <f t="shared" si="12"/>
        <v>42948</v>
      </c>
      <c r="F442" s="1" t="s">
        <v>15</v>
      </c>
      <c r="G442" s="1" t="s">
        <v>16</v>
      </c>
      <c r="H442" s="1">
        <v>-0.7</v>
      </c>
      <c r="I442" s="1">
        <v>0.55000000000000004</v>
      </c>
      <c r="J442" s="1">
        <v>-0.02</v>
      </c>
      <c r="K442" s="1" t="s">
        <v>50</v>
      </c>
      <c r="L442" s="1">
        <v>2389</v>
      </c>
      <c r="M442" s="1">
        <v>0.68</v>
      </c>
      <c r="N442" s="1">
        <v>0.58889000000000002</v>
      </c>
      <c r="O442" s="1">
        <f>VLOOKUP(D442,underlying!$D$2:$H$75,5,FALSE)</f>
        <v>-0.22</v>
      </c>
      <c r="P442" s="2">
        <f>VLOOKUP(D442,underlying!$D$2:$L$39,9,FALSE)</f>
        <v>42915</v>
      </c>
      <c r="Q442" s="7">
        <f>IF(G442="C",NormalCallSprd(O442,H442,M442,(P442-A442)/365), NormalPutSprd(O442,H442,M442,(P442-A442)/365))</f>
        <v>0.55481735708992208</v>
      </c>
      <c r="R442" s="9">
        <f t="shared" si="13"/>
        <v>4.8173570899220364E-3</v>
      </c>
    </row>
    <row r="443" spans="1:18" x14ac:dyDescent="0.2">
      <c r="A443" s="2">
        <v>42622</v>
      </c>
      <c r="B443" s="1" t="s">
        <v>13</v>
      </c>
      <c r="C443" s="1" t="s">
        <v>14</v>
      </c>
      <c r="D443" s="2">
        <v>42743</v>
      </c>
      <c r="E443" s="2">
        <f t="shared" si="12"/>
        <v>42948</v>
      </c>
      <c r="F443" s="1" t="s">
        <v>15</v>
      </c>
      <c r="G443" s="1" t="s">
        <v>18</v>
      </c>
      <c r="H443" s="1">
        <v>-0.7</v>
      </c>
      <c r="I443" s="1">
        <v>7.0000000000000007E-2</v>
      </c>
      <c r="J443" s="1">
        <v>0</v>
      </c>
      <c r="K443" s="1" t="s">
        <v>50</v>
      </c>
      <c r="L443" s="1">
        <v>2389</v>
      </c>
      <c r="M443" s="1">
        <v>0.68</v>
      </c>
      <c r="N443" s="1">
        <v>0.61838000000000004</v>
      </c>
      <c r="O443" s="1">
        <f>VLOOKUP(D443,underlying!$D$2:$H$75,5,FALSE)</f>
        <v>-0.22</v>
      </c>
      <c r="P443" s="2">
        <f>VLOOKUP(D443,underlying!$D$2:$L$39,9,FALSE)</f>
        <v>42915</v>
      </c>
      <c r="Q443" s="7">
        <f>IF(G443="C",NormalCallSprd(O443,H443,M443,(P443-A443)/365), NormalPutSprd(O443,H443,M443,(P443-A443)/365))</f>
        <v>7.4817357089922126E-2</v>
      </c>
      <c r="R443" s="9">
        <f t="shared" si="13"/>
        <v>4.8173570899221196E-3</v>
      </c>
    </row>
    <row r="444" spans="1:18" x14ac:dyDescent="0.2">
      <c r="A444" s="2">
        <v>42622</v>
      </c>
      <c r="B444" s="1" t="s">
        <v>13</v>
      </c>
      <c r="C444" s="1" t="s">
        <v>14</v>
      </c>
      <c r="D444" s="2">
        <v>42743</v>
      </c>
      <c r="E444" s="2">
        <f t="shared" si="12"/>
        <v>42948</v>
      </c>
      <c r="F444" s="1" t="s">
        <v>15</v>
      </c>
      <c r="G444" s="1" t="s">
        <v>16</v>
      </c>
      <c r="H444" s="1">
        <v>-0.65</v>
      </c>
      <c r="I444" s="1">
        <v>0.51</v>
      </c>
      <c r="J444" s="1">
        <v>-0.02</v>
      </c>
      <c r="K444" s="1" t="s">
        <v>50</v>
      </c>
      <c r="L444" s="1">
        <v>2389</v>
      </c>
      <c r="M444" s="1">
        <v>0.68</v>
      </c>
      <c r="N444" s="1">
        <v>0.64556000000000002</v>
      </c>
      <c r="O444" s="1">
        <f>VLOOKUP(D444,underlying!$D$2:$H$75,5,FALSE)</f>
        <v>-0.22</v>
      </c>
      <c r="P444" s="2">
        <f>VLOOKUP(D444,underlying!$D$2:$L$39,9,FALSE)</f>
        <v>42915</v>
      </c>
      <c r="Q444" s="7">
        <f>IF(G444="C",NormalCallSprd(O444,H444,M444,(P444-A444)/365), NormalPutSprd(O444,H444,M444,(P444-A444)/365))</f>
        <v>0.51619984676857245</v>
      </c>
      <c r="R444" s="9">
        <f t="shared" si="13"/>
        <v>6.1998467685724368E-3</v>
      </c>
    </row>
    <row r="445" spans="1:18" x14ac:dyDescent="0.2">
      <c r="A445" s="2">
        <v>42622</v>
      </c>
      <c r="B445" s="1" t="s">
        <v>13</v>
      </c>
      <c r="C445" s="1" t="s">
        <v>14</v>
      </c>
      <c r="D445" s="2">
        <v>42743</v>
      </c>
      <c r="E445" s="2">
        <f t="shared" si="12"/>
        <v>42948</v>
      </c>
      <c r="F445" s="1" t="s">
        <v>15</v>
      </c>
      <c r="G445" s="1" t="s">
        <v>18</v>
      </c>
      <c r="H445" s="1">
        <v>-0.65</v>
      </c>
      <c r="I445" s="1">
        <v>0.08</v>
      </c>
      <c r="J445" s="1">
        <v>0</v>
      </c>
      <c r="K445" s="1" t="s">
        <v>50</v>
      </c>
      <c r="L445" s="1">
        <v>2389</v>
      </c>
      <c r="M445" s="1">
        <v>0.68</v>
      </c>
      <c r="N445" s="1">
        <v>0.67291999999999996</v>
      </c>
      <c r="O445" s="1">
        <f>VLOOKUP(D445,underlying!$D$2:$H$75,5,FALSE)</f>
        <v>-0.22</v>
      </c>
      <c r="P445" s="2">
        <f>VLOOKUP(D445,underlying!$D$2:$L$39,9,FALSE)</f>
        <v>42915</v>
      </c>
      <c r="Q445" s="7">
        <f>IF(G445="C",NormalCallSprd(O445,H445,M445,(P445-A445)/365), NormalPutSprd(O445,H445,M445,(P445-A445)/365))</f>
        <v>8.6199846768572397E-2</v>
      </c>
      <c r="R445" s="9">
        <f t="shared" si="13"/>
        <v>6.1998467685723951E-3</v>
      </c>
    </row>
    <row r="446" spans="1:18" x14ac:dyDescent="0.2">
      <c r="A446" s="2">
        <v>42622</v>
      </c>
      <c r="B446" s="1" t="s">
        <v>13</v>
      </c>
      <c r="C446" s="1" t="s">
        <v>14</v>
      </c>
      <c r="D446" s="2">
        <v>42743</v>
      </c>
      <c r="E446" s="2">
        <f t="shared" si="12"/>
        <v>42948</v>
      </c>
      <c r="F446" s="1" t="s">
        <v>15</v>
      </c>
      <c r="G446" s="1" t="s">
        <v>16</v>
      </c>
      <c r="H446" s="1">
        <v>-0.6</v>
      </c>
      <c r="I446" s="1">
        <v>0.47</v>
      </c>
      <c r="J446" s="1">
        <v>-0.02</v>
      </c>
      <c r="K446" s="1" t="s">
        <v>50</v>
      </c>
      <c r="L446" s="1">
        <v>2389</v>
      </c>
      <c r="M446" s="1">
        <v>0.67</v>
      </c>
      <c r="N446" s="1">
        <v>0.69738999999999995</v>
      </c>
      <c r="O446" s="1">
        <f>VLOOKUP(D446,underlying!$D$2:$H$75,5,FALSE)</f>
        <v>-0.22</v>
      </c>
      <c r="P446" s="2">
        <f>VLOOKUP(D446,underlying!$D$2:$L$39,9,FALSE)</f>
        <v>42915</v>
      </c>
      <c r="Q446" s="7">
        <f>IF(G446="C",NormalCallSprd(O446,H446,M446,(P446-A446)/365), NormalPutSprd(O446,H446,M446,(P446-A446)/365))</f>
        <v>0.4759240668713477</v>
      </c>
      <c r="R446" s="9">
        <f t="shared" si="13"/>
        <v>5.9240668713477218E-3</v>
      </c>
    </row>
    <row r="447" spans="1:18" x14ac:dyDescent="0.2">
      <c r="A447" s="2">
        <v>42622</v>
      </c>
      <c r="B447" s="1" t="s">
        <v>13</v>
      </c>
      <c r="C447" s="1" t="s">
        <v>14</v>
      </c>
      <c r="D447" s="2">
        <v>42743</v>
      </c>
      <c r="E447" s="2">
        <f t="shared" si="12"/>
        <v>42948</v>
      </c>
      <c r="F447" s="1" t="s">
        <v>15</v>
      </c>
      <c r="G447" s="1" t="s">
        <v>18</v>
      </c>
      <c r="H447" s="1">
        <v>-0.6</v>
      </c>
      <c r="I447" s="1">
        <v>0.09</v>
      </c>
      <c r="J447" s="1">
        <v>0</v>
      </c>
      <c r="K447" s="1" t="s">
        <v>50</v>
      </c>
      <c r="L447" s="1">
        <v>2389</v>
      </c>
      <c r="M447" s="1">
        <v>0.67</v>
      </c>
      <c r="N447" s="1">
        <v>0.72228999999999999</v>
      </c>
      <c r="O447" s="1">
        <f>VLOOKUP(D447,underlying!$D$2:$H$75,5,FALSE)</f>
        <v>-0.22</v>
      </c>
      <c r="P447" s="2">
        <f>VLOOKUP(D447,underlying!$D$2:$L$39,9,FALSE)</f>
        <v>42915</v>
      </c>
      <c r="Q447" s="7">
        <f>IF(G447="C",NormalCallSprd(O447,H447,M447,(P447-A447)/365), NormalPutSprd(O447,H447,M447,(P447-A447)/365))</f>
        <v>9.5924066871347705E-2</v>
      </c>
      <c r="R447" s="9">
        <f t="shared" si="13"/>
        <v>5.9240668713477079E-3</v>
      </c>
    </row>
    <row r="448" spans="1:18" x14ac:dyDescent="0.2">
      <c r="A448" s="2">
        <v>42622</v>
      </c>
      <c r="B448" s="1" t="s">
        <v>13</v>
      </c>
      <c r="C448" s="1" t="s">
        <v>14</v>
      </c>
      <c r="D448" s="2">
        <v>42743</v>
      </c>
      <c r="E448" s="2">
        <f t="shared" si="12"/>
        <v>42948</v>
      </c>
      <c r="F448" s="1" t="s">
        <v>15</v>
      </c>
      <c r="G448" s="1" t="s">
        <v>16</v>
      </c>
      <c r="H448" s="1">
        <v>-0.55000000000000004</v>
      </c>
      <c r="I448" s="1">
        <v>0.43</v>
      </c>
      <c r="J448" s="1">
        <v>-0.02</v>
      </c>
      <c r="K448" s="1" t="s">
        <v>50</v>
      </c>
      <c r="L448" s="1">
        <v>2389</v>
      </c>
      <c r="M448" s="1">
        <v>0.66</v>
      </c>
      <c r="N448" s="1">
        <v>0.74390999999999996</v>
      </c>
      <c r="O448" s="1">
        <f>VLOOKUP(D448,underlying!$D$2:$H$75,5,FALSE)</f>
        <v>-0.22</v>
      </c>
      <c r="P448" s="2">
        <f>VLOOKUP(D448,underlying!$D$2:$L$39,9,FALSE)</f>
        <v>42915</v>
      </c>
      <c r="Q448" s="7">
        <f>IF(G448="C",NormalCallSprd(O448,H448,M448,(P448-A448)/365), NormalPutSprd(O448,H448,M448,(P448-A448)/365))</f>
        <v>0.43671752823819987</v>
      </c>
      <c r="R448" s="9">
        <f t="shared" si="13"/>
        <v>6.7175282381998769E-3</v>
      </c>
    </row>
    <row r="449" spans="1:18" x14ac:dyDescent="0.2">
      <c r="A449" s="2">
        <v>42622</v>
      </c>
      <c r="B449" s="1" t="s">
        <v>13</v>
      </c>
      <c r="C449" s="1" t="s">
        <v>14</v>
      </c>
      <c r="D449" s="2">
        <v>42743</v>
      </c>
      <c r="E449" s="2">
        <f t="shared" si="12"/>
        <v>42948</v>
      </c>
      <c r="F449" s="1" t="s">
        <v>15</v>
      </c>
      <c r="G449" s="1" t="s">
        <v>18</v>
      </c>
      <c r="H449" s="1">
        <v>-0.55000000000000004</v>
      </c>
      <c r="I449" s="1">
        <v>0.11</v>
      </c>
      <c r="J449" s="1">
        <v>0.01</v>
      </c>
      <c r="K449" s="1" t="s">
        <v>50</v>
      </c>
      <c r="L449" s="1">
        <v>2389</v>
      </c>
      <c r="M449" s="1">
        <v>0.66</v>
      </c>
      <c r="N449" s="1">
        <v>0.76337999999999995</v>
      </c>
      <c r="O449" s="1">
        <f>VLOOKUP(D449,underlying!$D$2:$H$75,5,FALSE)</f>
        <v>-0.22</v>
      </c>
      <c r="P449" s="2">
        <f>VLOOKUP(D449,underlying!$D$2:$L$39,9,FALSE)</f>
        <v>42915</v>
      </c>
      <c r="Q449" s="7">
        <f>IF(G449="C",NormalCallSprd(O449,H449,M449,(P449-A449)/365), NormalPutSprd(O449,H449,M449,(P449-A449)/365))</f>
        <v>0.1067175282381998</v>
      </c>
      <c r="R449" s="9">
        <f t="shared" si="13"/>
        <v>3.2824717618002014E-3</v>
      </c>
    </row>
    <row r="450" spans="1:18" x14ac:dyDescent="0.2">
      <c r="A450" s="2">
        <v>42622</v>
      </c>
      <c r="B450" s="1" t="s">
        <v>13</v>
      </c>
      <c r="C450" s="1" t="s">
        <v>14</v>
      </c>
      <c r="D450" s="2">
        <v>42743</v>
      </c>
      <c r="E450" s="2">
        <f t="shared" ref="E450:E513" si="14">DATE(YEAR(D450),DAY(D450),MONTH(D450))</f>
        <v>42948</v>
      </c>
      <c r="F450" s="1" t="s">
        <v>15</v>
      </c>
      <c r="G450" s="1" t="s">
        <v>16</v>
      </c>
      <c r="H450" s="1">
        <v>-0.5</v>
      </c>
      <c r="I450" s="1">
        <v>0.4</v>
      </c>
      <c r="J450" s="1">
        <v>-0.01</v>
      </c>
      <c r="K450" s="1" t="s">
        <v>50</v>
      </c>
      <c r="L450" s="1">
        <v>2389</v>
      </c>
      <c r="M450" s="1">
        <v>0.66</v>
      </c>
      <c r="N450" s="1">
        <v>0.78141000000000005</v>
      </c>
      <c r="O450" s="1">
        <f>VLOOKUP(D450,underlying!$D$2:$H$75,5,FALSE)</f>
        <v>-0.22</v>
      </c>
      <c r="P450" s="2">
        <f>VLOOKUP(D450,underlying!$D$2:$L$39,9,FALSE)</f>
        <v>42915</v>
      </c>
      <c r="Q450" s="7">
        <f>IF(G450="C",NormalCallSprd(O450,H450,M450,(P450-A450)/365), NormalPutSprd(O450,H450,M450,(P450-A450)/365))</f>
        <v>0.40187032901915509</v>
      </c>
      <c r="R450" s="9">
        <f t="shared" si="13"/>
        <v>1.8703290191550703E-3</v>
      </c>
    </row>
    <row r="451" spans="1:18" x14ac:dyDescent="0.2">
      <c r="A451" s="2">
        <v>42622</v>
      </c>
      <c r="B451" s="1" t="s">
        <v>13</v>
      </c>
      <c r="C451" s="1" t="s">
        <v>14</v>
      </c>
      <c r="D451" s="2">
        <v>42743</v>
      </c>
      <c r="E451" s="2">
        <f t="shared" si="14"/>
        <v>42948</v>
      </c>
      <c r="F451" s="1" t="s">
        <v>15</v>
      </c>
      <c r="G451" s="1" t="s">
        <v>18</v>
      </c>
      <c r="H451" s="1">
        <v>-0.5</v>
      </c>
      <c r="I451" s="1">
        <v>0.12</v>
      </c>
      <c r="J451" s="1">
        <v>0.01</v>
      </c>
      <c r="K451" s="1" t="s">
        <v>50</v>
      </c>
      <c r="L451" s="1">
        <v>2389</v>
      </c>
      <c r="M451" s="1">
        <v>0.66</v>
      </c>
      <c r="N451" s="1">
        <v>0.79806999999999995</v>
      </c>
      <c r="O451" s="1">
        <f>VLOOKUP(D451,underlying!$D$2:$H$75,5,FALSE)</f>
        <v>-0.22</v>
      </c>
      <c r="P451" s="2">
        <f>VLOOKUP(D451,underlying!$D$2:$L$39,9,FALSE)</f>
        <v>42915</v>
      </c>
      <c r="Q451" s="7">
        <f>IF(G451="C",NormalCallSprd(O451,H451,M451,(P451-A451)/365), NormalPutSprd(O451,H451,M451,(P451-A451)/365))</f>
        <v>0.12187032901915509</v>
      </c>
      <c r="R451" s="9">
        <f t="shared" ref="R451:R514" si="15">ABS(Q451-I451)</f>
        <v>1.8703290191550981E-3</v>
      </c>
    </row>
    <row r="452" spans="1:18" x14ac:dyDescent="0.2">
      <c r="A452" s="2">
        <v>42622</v>
      </c>
      <c r="B452" s="1" t="s">
        <v>13</v>
      </c>
      <c r="C452" s="1" t="s">
        <v>14</v>
      </c>
      <c r="D452" s="2">
        <v>42743</v>
      </c>
      <c r="E452" s="2">
        <f t="shared" si="14"/>
        <v>42948</v>
      </c>
      <c r="F452" s="1" t="s">
        <v>15</v>
      </c>
      <c r="G452" s="1" t="s">
        <v>16</v>
      </c>
      <c r="H452" s="1">
        <v>-0.45</v>
      </c>
      <c r="I452" s="1">
        <v>0.36</v>
      </c>
      <c r="J452" s="1">
        <v>-0.02</v>
      </c>
      <c r="K452" s="1" t="s">
        <v>50</v>
      </c>
      <c r="L452" s="1">
        <v>2389</v>
      </c>
      <c r="M452" s="1">
        <v>0.65</v>
      </c>
      <c r="N452" s="1">
        <v>0.81633</v>
      </c>
      <c r="O452" s="1">
        <f>VLOOKUP(D452,underlying!$D$2:$H$75,5,FALSE)</f>
        <v>-0.22</v>
      </c>
      <c r="P452" s="2">
        <f>VLOOKUP(D452,underlying!$D$2:$L$39,9,FALSE)</f>
        <v>42915</v>
      </c>
      <c r="Q452" s="7">
        <f>IF(G452="C",NormalCallSprd(O452,H452,M452,(P452-A452)/365), NormalPutSprd(O452,H452,M452,(P452-A452)/365))</f>
        <v>0.36522009278084705</v>
      </c>
      <c r="R452" s="9">
        <f t="shared" si="15"/>
        <v>5.2200927808470632E-3</v>
      </c>
    </row>
    <row r="453" spans="1:18" x14ac:dyDescent="0.2">
      <c r="A453" s="2">
        <v>42622</v>
      </c>
      <c r="B453" s="1" t="s">
        <v>13</v>
      </c>
      <c r="C453" s="1" t="s">
        <v>14</v>
      </c>
      <c r="D453" s="2">
        <v>42743</v>
      </c>
      <c r="E453" s="2">
        <f t="shared" si="14"/>
        <v>42948</v>
      </c>
      <c r="F453" s="1" t="s">
        <v>15</v>
      </c>
      <c r="G453" s="1" t="s">
        <v>18</v>
      </c>
      <c r="H453" s="1">
        <v>-0.45</v>
      </c>
      <c r="I453" s="1">
        <v>0.13</v>
      </c>
      <c r="J453" s="1">
        <v>0</v>
      </c>
      <c r="K453" s="1" t="s">
        <v>50</v>
      </c>
      <c r="L453" s="1">
        <v>2389</v>
      </c>
      <c r="M453" s="1">
        <v>0.65</v>
      </c>
      <c r="N453" s="1">
        <v>0.86270000000000002</v>
      </c>
      <c r="O453" s="1">
        <f>VLOOKUP(D453,underlying!$D$2:$H$75,5,FALSE)</f>
        <v>-0.22</v>
      </c>
      <c r="P453" s="2">
        <f>VLOOKUP(D453,underlying!$D$2:$L$39,9,FALSE)</f>
        <v>42915</v>
      </c>
      <c r="Q453" s="7">
        <f>IF(G453="C",NormalCallSprd(O453,H453,M453,(P453-A453)/365), NormalPutSprd(O453,H453,M453,(P453-A453)/365))</f>
        <v>0.13522009278084707</v>
      </c>
      <c r="R453" s="9">
        <f t="shared" si="15"/>
        <v>5.2200927808470632E-3</v>
      </c>
    </row>
    <row r="454" spans="1:18" x14ac:dyDescent="0.2">
      <c r="A454" s="2">
        <v>42622</v>
      </c>
      <c r="B454" s="1" t="s">
        <v>13</v>
      </c>
      <c r="C454" s="1" t="s">
        <v>14</v>
      </c>
      <c r="D454" s="2">
        <v>42743</v>
      </c>
      <c r="E454" s="2">
        <f t="shared" si="14"/>
        <v>42948</v>
      </c>
      <c r="F454" s="1" t="s">
        <v>15</v>
      </c>
      <c r="G454" s="1" t="s">
        <v>16</v>
      </c>
      <c r="H454" s="1">
        <v>-0.4</v>
      </c>
      <c r="I454" s="1">
        <v>0.33</v>
      </c>
      <c r="J454" s="1">
        <v>-0.01</v>
      </c>
      <c r="K454" s="1" t="s">
        <v>50</v>
      </c>
      <c r="L454" s="1">
        <v>2389</v>
      </c>
      <c r="M454" s="1">
        <v>0.65</v>
      </c>
      <c r="N454" s="1">
        <v>0.97370000000000001</v>
      </c>
      <c r="O454" s="1">
        <f>VLOOKUP(D454,underlying!$D$2:$H$75,5,FALSE)</f>
        <v>-0.22</v>
      </c>
      <c r="P454" s="2">
        <f>VLOOKUP(D454,underlying!$D$2:$L$39,9,FALSE)</f>
        <v>42915</v>
      </c>
      <c r="Q454" s="7">
        <f>IF(G454="C",NormalCallSprd(O454,H454,M454,(P454-A454)/365), NormalPutSprd(O454,H454,M454,(P454-A454)/365))</f>
        <v>0.33334291680727562</v>
      </c>
      <c r="R454" s="9">
        <f t="shared" si="15"/>
        <v>3.3429168072756088E-3</v>
      </c>
    </row>
    <row r="455" spans="1:18" x14ac:dyDescent="0.2">
      <c r="A455" s="2">
        <v>42622</v>
      </c>
      <c r="B455" s="1" t="s">
        <v>13</v>
      </c>
      <c r="C455" s="1" t="s">
        <v>14</v>
      </c>
      <c r="D455" s="2">
        <v>42743</v>
      </c>
      <c r="E455" s="2">
        <f t="shared" si="14"/>
        <v>42948</v>
      </c>
      <c r="F455" s="1" t="s">
        <v>15</v>
      </c>
      <c r="G455" s="1" t="s">
        <v>18</v>
      </c>
      <c r="H455" s="1">
        <v>-0.4</v>
      </c>
      <c r="I455" s="1">
        <v>0.15</v>
      </c>
      <c r="J455" s="1">
        <v>0.01</v>
      </c>
      <c r="K455" s="1" t="s">
        <v>50</v>
      </c>
      <c r="L455" s="1">
        <v>2389</v>
      </c>
      <c r="M455" s="1">
        <v>0.65</v>
      </c>
      <c r="N455" s="1">
        <v>0.99214000000000002</v>
      </c>
      <c r="O455" s="1">
        <f>VLOOKUP(D455,underlying!$D$2:$H$75,5,FALSE)</f>
        <v>-0.22</v>
      </c>
      <c r="P455" s="2">
        <f>VLOOKUP(D455,underlying!$D$2:$L$39,9,FALSE)</f>
        <v>42915</v>
      </c>
      <c r="Q455" s="7">
        <f>IF(G455="C",NormalCallSprd(O455,H455,M455,(P455-A455)/365), NormalPutSprd(O455,H455,M455,(P455-A455)/365))</f>
        <v>0.15334291680727563</v>
      </c>
      <c r="R455" s="9">
        <f t="shared" si="15"/>
        <v>3.3429168072756366E-3</v>
      </c>
    </row>
    <row r="456" spans="1:18" x14ac:dyDescent="0.2">
      <c r="A456" s="2">
        <v>42622</v>
      </c>
      <c r="B456" s="1" t="s">
        <v>13</v>
      </c>
      <c r="C456" s="1" t="s">
        <v>14</v>
      </c>
      <c r="D456" s="2">
        <v>42743</v>
      </c>
      <c r="E456" s="2">
        <f t="shared" si="14"/>
        <v>42948</v>
      </c>
      <c r="F456" s="1" t="s">
        <v>15</v>
      </c>
      <c r="G456" s="1" t="s">
        <v>16</v>
      </c>
      <c r="H456" s="1">
        <v>-0.35</v>
      </c>
      <c r="I456" s="1">
        <v>0.3</v>
      </c>
      <c r="J456" s="1">
        <v>-0.01</v>
      </c>
      <c r="K456" s="1" t="s">
        <v>50</v>
      </c>
      <c r="L456" s="1">
        <v>2389</v>
      </c>
      <c r="M456" s="1">
        <v>0.64</v>
      </c>
      <c r="N456" s="1">
        <v>-0.59011999999999998</v>
      </c>
      <c r="O456" s="1">
        <f>VLOOKUP(D456,underlying!$D$2:$H$75,5,FALSE)</f>
        <v>-0.22</v>
      </c>
      <c r="P456" s="2">
        <f>VLOOKUP(D456,underlying!$D$2:$L$39,9,FALSE)</f>
        <v>42915</v>
      </c>
      <c r="Q456" s="7">
        <f>IF(G456="C",NormalCallSprd(O456,H456,M456,(P456-A456)/365), NormalPutSprd(O456,H456,M456,(P456-A456)/365))</f>
        <v>0.29961248689021874</v>
      </c>
      <c r="R456" s="9">
        <f t="shared" si="15"/>
        <v>3.8751310978124565E-4</v>
      </c>
    </row>
    <row r="457" spans="1:18" x14ac:dyDescent="0.2">
      <c r="A457" s="2">
        <v>42622</v>
      </c>
      <c r="B457" s="1" t="s">
        <v>13</v>
      </c>
      <c r="C457" s="1" t="s">
        <v>14</v>
      </c>
      <c r="D457" s="2">
        <v>42743</v>
      </c>
      <c r="E457" s="2">
        <f t="shared" si="14"/>
        <v>42948</v>
      </c>
      <c r="F457" s="1" t="s">
        <v>15</v>
      </c>
      <c r="G457" s="1" t="s">
        <v>18</v>
      </c>
      <c r="H457" s="1">
        <v>-0.35</v>
      </c>
      <c r="I457" s="1">
        <v>0.17</v>
      </c>
      <c r="J457" s="1">
        <v>0.01</v>
      </c>
      <c r="K457" s="1" t="s">
        <v>50</v>
      </c>
      <c r="L457" s="1">
        <v>2389</v>
      </c>
      <c r="M457" s="1">
        <v>0.64</v>
      </c>
      <c r="N457" s="1">
        <v>-0.55928</v>
      </c>
      <c r="O457" s="1">
        <f>VLOOKUP(D457,underlying!$D$2:$H$75,5,FALSE)</f>
        <v>-0.22</v>
      </c>
      <c r="P457" s="2">
        <f>VLOOKUP(D457,underlying!$D$2:$L$39,9,FALSE)</f>
        <v>42915</v>
      </c>
      <c r="Q457" s="7">
        <f>IF(G457="C",NormalCallSprd(O457,H457,M457,(P457-A457)/365), NormalPutSprd(O457,H457,M457,(P457-A457)/365))</f>
        <v>0.16961248689021877</v>
      </c>
      <c r="R457" s="9">
        <f t="shared" si="15"/>
        <v>3.8751310978124565E-4</v>
      </c>
    </row>
    <row r="458" spans="1:18" x14ac:dyDescent="0.2">
      <c r="A458" s="2">
        <v>42622</v>
      </c>
      <c r="B458" s="1" t="s">
        <v>13</v>
      </c>
      <c r="C458" s="1" t="s">
        <v>14</v>
      </c>
      <c r="D458" s="2">
        <v>42743</v>
      </c>
      <c r="E458" s="2">
        <f t="shared" si="14"/>
        <v>42948</v>
      </c>
      <c r="F458" s="1" t="s">
        <v>15</v>
      </c>
      <c r="G458" s="1" t="s">
        <v>16</v>
      </c>
      <c r="H458" s="1">
        <v>-0.3</v>
      </c>
      <c r="I458" s="1">
        <v>0.27</v>
      </c>
      <c r="J458" s="1">
        <v>-0.01</v>
      </c>
      <c r="K458" s="1" t="s">
        <v>50</v>
      </c>
      <c r="L458" s="1">
        <v>2389</v>
      </c>
      <c r="M458" s="1">
        <v>0.63</v>
      </c>
      <c r="N458" s="1">
        <v>-0.52805999999999997</v>
      </c>
      <c r="O458" s="1">
        <f>VLOOKUP(D458,underlying!$D$2:$H$75,5,FALSE)</f>
        <v>-0.22</v>
      </c>
      <c r="P458" s="2">
        <f>VLOOKUP(D458,underlying!$D$2:$L$39,9,FALSE)</f>
        <v>42915</v>
      </c>
      <c r="Q458" s="7">
        <f>IF(G458="C",NormalCallSprd(O458,H458,M458,(P458-A458)/365), NormalPutSprd(O458,H458,M458,(P458-A458)/365))</f>
        <v>0.2674421471576684</v>
      </c>
      <c r="R458" s="9">
        <f t="shared" si="15"/>
        <v>2.5578528423316205E-3</v>
      </c>
    </row>
    <row r="459" spans="1:18" x14ac:dyDescent="0.2">
      <c r="A459" s="2">
        <v>42622</v>
      </c>
      <c r="B459" s="1" t="s">
        <v>13</v>
      </c>
      <c r="C459" s="1" t="s">
        <v>14</v>
      </c>
      <c r="D459" s="2">
        <v>42743</v>
      </c>
      <c r="E459" s="2">
        <f t="shared" si="14"/>
        <v>42948</v>
      </c>
      <c r="F459" s="1" t="s">
        <v>15</v>
      </c>
      <c r="G459" s="1" t="s">
        <v>18</v>
      </c>
      <c r="H459" s="1">
        <v>-0.3</v>
      </c>
      <c r="I459" s="1">
        <v>0.19</v>
      </c>
      <c r="J459" s="1">
        <v>0.01</v>
      </c>
      <c r="K459" s="1" t="s">
        <v>50</v>
      </c>
      <c r="L459" s="1">
        <v>2389</v>
      </c>
      <c r="M459" s="1">
        <v>0.63</v>
      </c>
      <c r="N459" s="1">
        <v>-0.49663000000000002</v>
      </c>
      <c r="O459" s="1">
        <f>VLOOKUP(D459,underlying!$D$2:$H$75,5,FALSE)</f>
        <v>-0.22</v>
      </c>
      <c r="P459" s="2">
        <f>VLOOKUP(D459,underlying!$D$2:$L$39,9,FALSE)</f>
        <v>42915</v>
      </c>
      <c r="Q459" s="7">
        <f>IF(G459="C",NormalCallSprd(O459,H459,M459,(P459-A459)/365), NormalPutSprd(O459,H459,M459,(P459-A459)/365))</f>
        <v>0.18744214715766844</v>
      </c>
      <c r="R459" s="9">
        <f t="shared" si="15"/>
        <v>2.557852842331565E-3</v>
      </c>
    </row>
    <row r="460" spans="1:18" x14ac:dyDescent="0.2">
      <c r="A460" s="2">
        <v>42622</v>
      </c>
      <c r="B460" s="1" t="s">
        <v>13</v>
      </c>
      <c r="C460" s="1" t="s">
        <v>14</v>
      </c>
      <c r="D460" s="2">
        <v>42743</v>
      </c>
      <c r="E460" s="2">
        <f t="shared" si="14"/>
        <v>42948</v>
      </c>
      <c r="F460" s="1" t="s">
        <v>15</v>
      </c>
      <c r="G460" s="1" t="s">
        <v>16</v>
      </c>
      <c r="H460" s="1">
        <v>-0.25</v>
      </c>
      <c r="I460" s="1">
        <v>0.24</v>
      </c>
      <c r="J460" s="1">
        <v>-0.01</v>
      </c>
      <c r="K460" s="1" t="s">
        <v>50</v>
      </c>
      <c r="L460" s="1">
        <v>2389</v>
      </c>
      <c r="M460" s="1">
        <v>0.63</v>
      </c>
      <c r="N460" s="1">
        <v>-0.46521000000000001</v>
      </c>
      <c r="O460" s="1">
        <f>VLOOKUP(D460,underlying!$D$2:$H$75,5,FALSE)</f>
        <v>-0.22</v>
      </c>
      <c r="P460" s="2">
        <f>VLOOKUP(D460,underlying!$D$2:$L$39,9,FALSE)</f>
        <v>42915</v>
      </c>
      <c r="Q460" s="7">
        <f>IF(G460="C",NormalCallSprd(O460,H460,M460,(P460-A460)/365), NormalPutSprd(O460,H460,M460,(P460-A460)/365))</f>
        <v>0.24050221512722558</v>
      </c>
      <c r="R460" s="9">
        <f t="shared" si="15"/>
        <v>5.0221512722559147E-4</v>
      </c>
    </row>
    <row r="461" spans="1:18" x14ac:dyDescent="0.2">
      <c r="A461" s="2">
        <v>42622</v>
      </c>
      <c r="B461" s="1" t="s">
        <v>13</v>
      </c>
      <c r="C461" s="1" t="s">
        <v>14</v>
      </c>
      <c r="D461" s="2">
        <v>42743</v>
      </c>
      <c r="E461" s="2">
        <f t="shared" si="14"/>
        <v>42948</v>
      </c>
      <c r="F461" s="1" t="s">
        <v>15</v>
      </c>
      <c r="G461" s="1" t="s">
        <v>18</v>
      </c>
      <c r="H461" s="1">
        <v>-0.25</v>
      </c>
      <c r="I461" s="1">
        <v>0.21</v>
      </c>
      <c r="J461" s="1">
        <v>0.01</v>
      </c>
      <c r="K461" s="1" t="s">
        <v>50</v>
      </c>
      <c r="L461" s="1">
        <v>2389</v>
      </c>
      <c r="M461" s="1">
        <v>0.63</v>
      </c>
      <c r="N461" s="1">
        <v>-0.43398999999999999</v>
      </c>
      <c r="O461" s="1">
        <f>VLOOKUP(D461,underlying!$D$2:$H$75,5,FALSE)</f>
        <v>-0.22</v>
      </c>
      <c r="P461" s="2">
        <f>VLOOKUP(D461,underlying!$D$2:$L$39,9,FALSE)</f>
        <v>42915</v>
      </c>
      <c r="Q461" s="7">
        <f>IF(G461="C",NormalCallSprd(O461,H461,M461,(P461-A461)/365), NormalPutSprd(O461,H461,M461,(P461-A461)/365))</f>
        <v>0.21050221512722558</v>
      </c>
      <c r="R461" s="9">
        <f t="shared" si="15"/>
        <v>5.0221512722559147E-4</v>
      </c>
    </row>
    <row r="462" spans="1:18" x14ac:dyDescent="0.2">
      <c r="A462" s="2">
        <v>42622</v>
      </c>
      <c r="B462" s="1" t="s">
        <v>13</v>
      </c>
      <c r="C462" s="1" t="s">
        <v>14</v>
      </c>
      <c r="D462" s="2">
        <v>42743</v>
      </c>
      <c r="E462" s="2">
        <f t="shared" si="14"/>
        <v>42948</v>
      </c>
      <c r="F462" s="1" t="s">
        <v>15</v>
      </c>
      <c r="G462" s="1" t="s">
        <v>16</v>
      </c>
      <c r="H462" s="1">
        <v>-0.2</v>
      </c>
      <c r="I462" s="1">
        <v>0.21</v>
      </c>
      <c r="J462" s="1">
        <v>-0.01</v>
      </c>
      <c r="K462" s="1" t="s">
        <v>50</v>
      </c>
      <c r="L462" s="1">
        <v>2389</v>
      </c>
      <c r="M462" s="1">
        <v>0.62</v>
      </c>
      <c r="N462" s="1">
        <v>-0.40438000000000002</v>
      </c>
      <c r="O462" s="1">
        <f>VLOOKUP(D462,underlying!$D$2:$H$75,5,FALSE)</f>
        <v>-0.22</v>
      </c>
      <c r="P462" s="2">
        <f>VLOOKUP(D462,underlying!$D$2:$L$39,9,FALSE)</f>
        <v>42915</v>
      </c>
      <c r="Q462" s="7">
        <f>IF(G462="C",NormalCallSprd(O462,H462,M462,(P462-A462)/365), NormalPutSprd(O462,H462,M462,(P462-A462)/365))</f>
        <v>0.21175350722068159</v>
      </c>
      <c r="R462" s="9">
        <f t="shared" si="15"/>
        <v>1.7535072206815994E-3</v>
      </c>
    </row>
    <row r="463" spans="1:18" x14ac:dyDescent="0.2">
      <c r="A463" s="2">
        <v>42622</v>
      </c>
      <c r="B463" s="1" t="s">
        <v>13</v>
      </c>
      <c r="C463" s="1" t="s">
        <v>14</v>
      </c>
      <c r="D463" s="2">
        <v>42743</v>
      </c>
      <c r="E463" s="2">
        <f t="shared" si="14"/>
        <v>42948</v>
      </c>
      <c r="F463" s="1" t="s">
        <v>15</v>
      </c>
      <c r="G463" s="1" t="s">
        <v>18</v>
      </c>
      <c r="H463" s="1">
        <v>-0.2</v>
      </c>
      <c r="I463" s="1">
        <v>0.23</v>
      </c>
      <c r="J463" s="1">
        <v>0.01</v>
      </c>
      <c r="K463" s="1" t="s">
        <v>50</v>
      </c>
      <c r="L463" s="1">
        <v>2389</v>
      </c>
      <c r="M463" s="1">
        <v>0.62</v>
      </c>
      <c r="N463" s="1">
        <v>-0.37489</v>
      </c>
      <c r="O463" s="1">
        <f>VLOOKUP(D463,underlying!$D$2:$H$75,5,FALSE)</f>
        <v>-0.22</v>
      </c>
      <c r="P463" s="2">
        <f>VLOOKUP(D463,underlying!$D$2:$L$39,9,FALSE)</f>
        <v>42915</v>
      </c>
      <c r="Q463" s="7">
        <f>IF(G463="C",NormalCallSprd(O463,H463,M463,(P463-A463)/365), NormalPutSprd(O463,H463,M463,(P463-A463)/365))</f>
        <v>0.23175350722068158</v>
      </c>
      <c r="R463" s="9">
        <f t="shared" si="15"/>
        <v>1.7535072206815716E-3</v>
      </c>
    </row>
    <row r="464" spans="1:18" x14ac:dyDescent="0.2">
      <c r="A464" s="2">
        <v>42622</v>
      </c>
      <c r="B464" s="1" t="s">
        <v>13</v>
      </c>
      <c r="C464" s="1" t="s">
        <v>14</v>
      </c>
      <c r="D464" s="2">
        <v>42743</v>
      </c>
      <c r="E464" s="2">
        <f t="shared" si="14"/>
        <v>42948</v>
      </c>
      <c r="F464" s="1" t="s">
        <v>15</v>
      </c>
      <c r="G464" s="1" t="s">
        <v>16</v>
      </c>
      <c r="H464" s="1">
        <v>-0.15</v>
      </c>
      <c r="I464" s="1">
        <v>0.19</v>
      </c>
      <c r="J464" s="1">
        <v>-0.01</v>
      </c>
      <c r="K464" s="1" t="s">
        <v>50</v>
      </c>
      <c r="L464" s="1">
        <v>2389</v>
      </c>
      <c r="M464" s="1">
        <v>0.62</v>
      </c>
      <c r="N464" s="1">
        <v>-0.34770000000000001</v>
      </c>
      <c r="O464" s="1">
        <f>VLOOKUP(D464,underlying!$D$2:$H$75,5,FALSE)</f>
        <v>-0.22</v>
      </c>
      <c r="P464" s="2">
        <f>VLOOKUP(D464,underlying!$D$2:$L$39,9,FALSE)</f>
        <v>42915</v>
      </c>
      <c r="Q464" s="7">
        <f>IF(G464="C",NormalCallSprd(O464,H464,M464,(P464-A464)/365), NormalPutSprd(O464,H464,M464,(P464-A464)/365))</f>
        <v>0.18836709445876032</v>
      </c>
      <c r="R464" s="9">
        <f t="shared" si="15"/>
        <v>1.632905541239682E-3</v>
      </c>
    </row>
    <row r="465" spans="1:18" x14ac:dyDescent="0.2">
      <c r="A465" s="2">
        <v>42622</v>
      </c>
      <c r="B465" s="1" t="s">
        <v>13</v>
      </c>
      <c r="C465" s="1" t="s">
        <v>14</v>
      </c>
      <c r="D465" s="2">
        <v>42743</v>
      </c>
      <c r="E465" s="2">
        <f t="shared" si="14"/>
        <v>42948</v>
      </c>
      <c r="F465" s="1" t="s">
        <v>15</v>
      </c>
      <c r="G465" s="1" t="s">
        <v>18</v>
      </c>
      <c r="H465" s="1">
        <v>-0.15</v>
      </c>
      <c r="I465" s="1">
        <v>0.26</v>
      </c>
      <c r="J465" s="1">
        <v>0.01</v>
      </c>
      <c r="K465" s="1" t="s">
        <v>50</v>
      </c>
      <c r="L465" s="1">
        <v>2389</v>
      </c>
      <c r="M465" s="1">
        <v>0.62</v>
      </c>
      <c r="N465" s="1">
        <v>-0.32035000000000002</v>
      </c>
      <c r="O465" s="1">
        <f>VLOOKUP(D465,underlying!$D$2:$H$75,5,FALSE)</f>
        <v>-0.22</v>
      </c>
      <c r="P465" s="2">
        <f>VLOOKUP(D465,underlying!$D$2:$L$39,9,FALSE)</f>
        <v>42915</v>
      </c>
      <c r="Q465" s="7">
        <f>IF(G465="C",NormalCallSprd(O465,H465,M465,(P465-A465)/365), NormalPutSprd(O465,H465,M465,(P465-A465)/365))</f>
        <v>0.25836709445876033</v>
      </c>
      <c r="R465" s="9">
        <f t="shared" si="15"/>
        <v>1.632905541239682E-3</v>
      </c>
    </row>
    <row r="466" spans="1:18" x14ac:dyDescent="0.2">
      <c r="A466" s="2">
        <v>42622</v>
      </c>
      <c r="B466" s="1" t="s">
        <v>13</v>
      </c>
      <c r="C466" s="1" t="s">
        <v>14</v>
      </c>
      <c r="D466" s="2">
        <v>42743</v>
      </c>
      <c r="E466" s="2">
        <f t="shared" si="14"/>
        <v>42948</v>
      </c>
      <c r="F466" s="1" t="s">
        <v>15</v>
      </c>
      <c r="G466" s="1" t="s">
        <v>16</v>
      </c>
      <c r="H466" s="1">
        <v>-0.1</v>
      </c>
      <c r="I466" s="1">
        <v>0.16</v>
      </c>
      <c r="J466" s="1">
        <v>-0.01</v>
      </c>
      <c r="K466" s="1" t="s">
        <v>50</v>
      </c>
      <c r="L466" s="1">
        <v>2389</v>
      </c>
      <c r="M466" s="1">
        <v>0.62</v>
      </c>
      <c r="N466" s="1">
        <v>-0.29587999999999998</v>
      </c>
      <c r="O466" s="1">
        <f>VLOOKUP(D466,underlying!$D$2:$H$75,5,FALSE)</f>
        <v>-0.22</v>
      </c>
      <c r="P466" s="2">
        <f>VLOOKUP(D466,underlying!$D$2:$L$39,9,FALSE)</f>
        <v>42915</v>
      </c>
      <c r="Q466" s="7">
        <f>IF(G466="C",NormalCallSprd(O466,H466,M466,(P466-A466)/365), NormalPutSprd(O466,H466,M466,(P466-A466)/365))</f>
        <v>0.1667607406450558</v>
      </c>
      <c r="R466" s="9">
        <f t="shared" si="15"/>
        <v>6.7607406450558016E-3</v>
      </c>
    </row>
    <row r="467" spans="1:18" x14ac:dyDescent="0.2">
      <c r="A467" s="2">
        <v>42622</v>
      </c>
      <c r="B467" s="1" t="s">
        <v>13</v>
      </c>
      <c r="C467" s="1" t="s">
        <v>14</v>
      </c>
      <c r="D467" s="2">
        <v>42743</v>
      </c>
      <c r="E467" s="2">
        <f t="shared" si="14"/>
        <v>42948</v>
      </c>
      <c r="F467" s="1" t="s">
        <v>15</v>
      </c>
      <c r="G467" s="1" t="s">
        <v>18</v>
      </c>
      <c r="H467" s="1">
        <v>-0.1</v>
      </c>
      <c r="I467" s="1">
        <v>0.28000000000000003</v>
      </c>
      <c r="J467" s="1">
        <v>0.01</v>
      </c>
      <c r="K467" s="1" t="s">
        <v>50</v>
      </c>
      <c r="L467" s="1">
        <v>2389</v>
      </c>
      <c r="M467" s="1">
        <v>0.62</v>
      </c>
      <c r="N467" s="1">
        <v>-0.27098</v>
      </c>
      <c r="O467" s="1">
        <f>VLOOKUP(D467,underlying!$D$2:$H$75,5,FALSE)</f>
        <v>-0.22</v>
      </c>
      <c r="P467" s="2">
        <f>VLOOKUP(D467,underlying!$D$2:$L$39,9,FALSE)</f>
        <v>42915</v>
      </c>
      <c r="Q467" s="7">
        <f>IF(G467="C",NormalCallSprd(O467,H467,M467,(P467-A467)/365), NormalPutSprd(O467,H467,M467,(P467-A467)/365))</f>
        <v>0.2867607406450558</v>
      </c>
      <c r="R467" s="9">
        <f t="shared" si="15"/>
        <v>6.7607406450557739E-3</v>
      </c>
    </row>
    <row r="468" spans="1:18" x14ac:dyDescent="0.2">
      <c r="A468" s="2">
        <v>42622</v>
      </c>
      <c r="B468" s="1" t="s">
        <v>13</v>
      </c>
      <c r="C468" s="1" t="s">
        <v>14</v>
      </c>
      <c r="D468" s="2">
        <v>42743</v>
      </c>
      <c r="E468" s="2">
        <f t="shared" si="14"/>
        <v>42948</v>
      </c>
      <c r="F468" s="1" t="s">
        <v>15</v>
      </c>
      <c r="G468" s="1" t="s">
        <v>16</v>
      </c>
      <c r="H468" s="1">
        <v>-0.05</v>
      </c>
      <c r="I468" s="1">
        <v>0.14000000000000001</v>
      </c>
      <c r="J468" s="1">
        <v>-0.01</v>
      </c>
      <c r="K468" s="1" t="s">
        <v>50</v>
      </c>
      <c r="L468" s="1">
        <v>2389</v>
      </c>
      <c r="M468" s="1">
        <v>0.61</v>
      </c>
      <c r="N468" s="1">
        <v>-0.24936</v>
      </c>
      <c r="O468" s="1">
        <f>VLOOKUP(D468,underlying!$D$2:$H$75,5,FALSE)</f>
        <v>-0.22</v>
      </c>
      <c r="P468" s="2">
        <f>VLOOKUP(D468,underlying!$D$2:$L$39,9,FALSE)</f>
        <v>42915</v>
      </c>
      <c r="Q468" s="7">
        <f>IF(G468="C",NormalCallSprd(O468,H468,M468,(P468-A468)/365), NormalPutSprd(O468,H468,M468,(P468-A468)/365))</f>
        <v>0.14349907758434341</v>
      </c>
      <c r="R468" s="9">
        <f t="shared" si="15"/>
        <v>3.4990775843433963E-3</v>
      </c>
    </row>
    <row r="469" spans="1:18" x14ac:dyDescent="0.2">
      <c r="A469" s="2">
        <v>42622</v>
      </c>
      <c r="B469" s="1" t="s">
        <v>13</v>
      </c>
      <c r="C469" s="1" t="s">
        <v>14</v>
      </c>
      <c r="D469" s="2">
        <v>42743</v>
      </c>
      <c r="E469" s="2">
        <f t="shared" si="14"/>
        <v>42948</v>
      </c>
      <c r="F469" s="1" t="s">
        <v>15</v>
      </c>
      <c r="G469" s="1" t="s">
        <v>18</v>
      </c>
      <c r="H469" s="1">
        <v>-0.05</v>
      </c>
      <c r="I469" s="1">
        <v>0.31</v>
      </c>
      <c r="J469" s="1">
        <v>0.01</v>
      </c>
      <c r="K469" s="1" t="s">
        <v>50</v>
      </c>
      <c r="L469" s="1">
        <v>2389</v>
      </c>
      <c r="M469" s="1">
        <v>0.61</v>
      </c>
      <c r="N469" s="1">
        <v>-0.22989000000000001</v>
      </c>
      <c r="O469" s="1">
        <f>VLOOKUP(D469,underlying!$D$2:$H$75,5,FALSE)</f>
        <v>-0.22</v>
      </c>
      <c r="P469" s="2">
        <f>VLOOKUP(D469,underlying!$D$2:$L$39,9,FALSE)</f>
        <v>42915</v>
      </c>
      <c r="Q469" s="7">
        <f>IF(G469="C",NormalCallSprd(O469,H469,M469,(P469-A469)/365), NormalPutSprd(O469,H469,M469,(P469-A469)/365))</f>
        <v>0.31349907758434342</v>
      </c>
      <c r="R469" s="9">
        <f t="shared" si="15"/>
        <v>3.4990775843434241E-3</v>
      </c>
    </row>
    <row r="470" spans="1:18" x14ac:dyDescent="0.2">
      <c r="A470" s="2">
        <v>42622</v>
      </c>
      <c r="B470" s="1" t="s">
        <v>13</v>
      </c>
      <c r="C470" s="1" t="s">
        <v>14</v>
      </c>
      <c r="D470" s="2">
        <v>42744</v>
      </c>
      <c r="E470" s="2">
        <f t="shared" si="14"/>
        <v>42979</v>
      </c>
      <c r="F470" s="1" t="s">
        <v>15</v>
      </c>
      <c r="G470" s="1" t="s">
        <v>16</v>
      </c>
      <c r="H470" s="1">
        <v>-3</v>
      </c>
      <c r="I470" s="1">
        <v>2.78</v>
      </c>
      <c r="J470" s="1">
        <v>-0.01</v>
      </c>
      <c r="K470" s="1" t="s">
        <v>53</v>
      </c>
      <c r="L470" s="1">
        <v>2389</v>
      </c>
      <c r="M470" s="1">
        <v>1.01</v>
      </c>
      <c r="N470" s="1">
        <v>-0.21185999999999999</v>
      </c>
      <c r="O470" s="1">
        <f>VLOOKUP(D470,underlying!$D$2:$H$75,5,FALSE)</f>
        <v>-0.21</v>
      </c>
      <c r="P470" s="2">
        <f>VLOOKUP(D470,underlying!$D$2:$L$39,9,FALSE)</f>
        <v>42944</v>
      </c>
      <c r="Q470" s="7">
        <f>IF(G470="C",NormalCallSprd(O470,H470,M470,(P470-A470)/365), NormalPutSprd(O470,H470,M470,(P470-A470)/365))</f>
        <v>2.7904457822396584</v>
      </c>
      <c r="R470" s="9">
        <f t="shared" si="15"/>
        <v>1.0445782239658641E-2</v>
      </c>
    </row>
    <row r="471" spans="1:18" x14ac:dyDescent="0.2">
      <c r="A471" s="2">
        <v>42622</v>
      </c>
      <c r="B471" s="1" t="s">
        <v>13</v>
      </c>
      <c r="C471" s="1" t="s">
        <v>14</v>
      </c>
      <c r="D471" s="2">
        <v>42744</v>
      </c>
      <c r="E471" s="2">
        <f t="shared" si="14"/>
        <v>42979</v>
      </c>
      <c r="F471" s="1" t="s">
        <v>15</v>
      </c>
      <c r="G471" s="1" t="s">
        <v>18</v>
      </c>
      <c r="H471" s="1">
        <v>-3</v>
      </c>
      <c r="I471" s="1">
        <v>0.01</v>
      </c>
      <c r="J471" s="1">
        <v>0</v>
      </c>
      <c r="K471" s="1" t="s">
        <v>53</v>
      </c>
      <c r="L471" s="1">
        <v>2389</v>
      </c>
      <c r="M471" s="1">
        <v>1.01</v>
      </c>
      <c r="N471" s="1">
        <v>-0.19519</v>
      </c>
      <c r="O471" s="1">
        <f>VLOOKUP(D471,underlying!$D$2:$H$75,5,FALSE)</f>
        <v>-0.21</v>
      </c>
      <c r="P471" s="2">
        <f>VLOOKUP(D471,underlying!$D$2:$L$39,9,FALSE)</f>
        <v>42944</v>
      </c>
      <c r="Q471" s="7">
        <f>IF(G471="C",NormalCallSprd(O471,H471,M471,(P471-A471)/365), NormalPutSprd(O471,H471,M471,(P471-A471)/365))</f>
        <v>4.4578223965860739E-4</v>
      </c>
      <c r="R471" s="9">
        <f t="shared" si="15"/>
        <v>9.5542177603413925E-3</v>
      </c>
    </row>
    <row r="472" spans="1:18" x14ac:dyDescent="0.2">
      <c r="A472" s="2">
        <v>42622</v>
      </c>
      <c r="B472" s="1" t="s">
        <v>13</v>
      </c>
      <c r="C472" s="1" t="s">
        <v>14</v>
      </c>
      <c r="D472" s="2">
        <v>42744</v>
      </c>
      <c r="E472" s="2">
        <f t="shared" si="14"/>
        <v>42979</v>
      </c>
      <c r="F472" s="1" t="s">
        <v>15</v>
      </c>
      <c r="G472" s="1" t="s">
        <v>16</v>
      </c>
      <c r="H472" s="1">
        <v>-2</v>
      </c>
      <c r="I472" s="1">
        <v>1.79</v>
      </c>
      <c r="J472" s="1">
        <v>-0.01</v>
      </c>
      <c r="K472" s="1" t="s">
        <v>53</v>
      </c>
      <c r="L472" s="1">
        <v>2389</v>
      </c>
      <c r="M472" s="1">
        <v>0.89</v>
      </c>
      <c r="N472" s="1">
        <v>-0.17693</v>
      </c>
      <c r="O472" s="1">
        <f>VLOOKUP(D472,underlying!$D$2:$H$75,5,FALSE)</f>
        <v>-0.21</v>
      </c>
      <c r="P472" s="2">
        <f>VLOOKUP(D472,underlying!$D$2:$L$39,9,FALSE)</f>
        <v>42944</v>
      </c>
      <c r="Q472" s="7">
        <f>IF(G472="C",NormalCallSprd(O472,H472,M472,(P472-A472)/365), NormalPutSprd(O472,H472,M472,(P472-A472)/365))</f>
        <v>1.7948205240456145</v>
      </c>
      <c r="R472" s="9">
        <f t="shared" si="15"/>
        <v>4.8205240456145049E-3</v>
      </c>
    </row>
    <row r="473" spans="1:18" x14ac:dyDescent="0.2">
      <c r="A473" s="2">
        <v>42622</v>
      </c>
      <c r="B473" s="1" t="s">
        <v>13</v>
      </c>
      <c r="C473" s="1" t="s">
        <v>14</v>
      </c>
      <c r="D473" s="2">
        <v>42744</v>
      </c>
      <c r="E473" s="2">
        <f t="shared" si="14"/>
        <v>42979</v>
      </c>
      <c r="F473" s="1" t="s">
        <v>15</v>
      </c>
      <c r="G473" s="1" t="s">
        <v>18</v>
      </c>
      <c r="H473" s="1">
        <v>-2</v>
      </c>
      <c r="I473" s="1">
        <v>0.01</v>
      </c>
      <c r="J473" s="1">
        <v>0</v>
      </c>
      <c r="K473" s="1" t="s">
        <v>53</v>
      </c>
      <c r="L473" s="1">
        <v>2389</v>
      </c>
      <c r="M473" s="1">
        <v>0.89</v>
      </c>
      <c r="N473" s="1">
        <v>-0.13056999999999999</v>
      </c>
      <c r="O473" s="1">
        <f>VLOOKUP(D473,underlying!$D$2:$H$75,5,FALSE)</f>
        <v>-0.21</v>
      </c>
      <c r="P473" s="2">
        <f>VLOOKUP(D473,underlying!$D$2:$L$39,9,FALSE)</f>
        <v>42944</v>
      </c>
      <c r="Q473" s="7">
        <f>IF(G473="C",NormalCallSprd(O473,H473,M473,(P473-A473)/365), NormalPutSprd(O473,H473,M473,(P473-A473)/365))</f>
        <v>4.820524045614602E-3</v>
      </c>
      <c r="R473" s="9">
        <f t="shared" si="15"/>
        <v>5.1794759543853982E-3</v>
      </c>
    </row>
    <row r="474" spans="1:18" x14ac:dyDescent="0.2">
      <c r="A474" s="2">
        <v>42622</v>
      </c>
      <c r="B474" s="1" t="s">
        <v>13</v>
      </c>
      <c r="C474" s="1" t="s">
        <v>14</v>
      </c>
      <c r="D474" s="2">
        <v>42744</v>
      </c>
      <c r="E474" s="2">
        <f t="shared" si="14"/>
        <v>42979</v>
      </c>
      <c r="F474" s="1" t="s">
        <v>15</v>
      </c>
      <c r="G474" s="1" t="s">
        <v>16</v>
      </c>
      <c r="H474" s="1">
        <v>-1</v>
      </c>
      <c r="I474" s="1">
        <v>0.83</v>
      </c>
      <c r="J474" s="1">
        <v>-0.01</v>
      </c>
      <c r="K474" s="1" t="s">
        <v>53</v>
      </c>
      <c r="L474" s="1">
        <v>2389</v>
      </c>
      <c r="M474" s="1">
        <v>0.73</v>
      </c>
      <c r="N474" s="1">
        <v>-1.9570000000000001E-2</v>
      </c>
      <c r="O474" s="1">
        <f>VLOOKUP(D474,underlying!$D$2:$H$75,5,FALSE)</f>
        <v>-0.21</v>
      </c>
      <c r="P474" s="2">
        <f>VLOOKUP(D474,underlying!$D$2:$L$39,9,FALSE)</f>
        <v>42944</v>
      </c>
      <c r="Q474" s="7">
        <f>IF(G474="C",NormalCallSprd(O474,H474,M474,(P474-A474)/365), NormalPutSprd(O474,H474,M474,(P474-A474)/365))</f>
        <v>0.83239432303306315</v>
      </c>
      <c r="R474" s="9">
        <f t="shared" si="15"/>
        <v>2.3943230330631948E-3</v>
      </c>
    </row>
    <row r="475" spans="1:18" x14ac:dyDescent="0.2">
      <c r="A475" s="2">
        <v>42622</v>
      </c>
      <c r="B475" s="1" t="s">
        <v>13</v>
      </c>
      <c r="C475" s="1" t="s">
        <v>14</v>
      </c>
      <c r="D475" s="2">
        <v>42744</v>
      </c>
      <c r="E475" s="2">
        <f t="shared" si="14"/>
        <v>42979</v>
      </c>
      <c r="F475" s="1" t="s">
        <v>15</v>
      </c>
      <c r="G475" s="1" t="s">
        <v>18</v>
      </c>
      <c r="H475" s="1">
        <v>-1</v>
      </c>
      <c r="I475" s="1">
        <v>0.04</v>
      </c>
      <c r="J475" s="1">
        <v>0</v>
      </c>
      <c r="K475" s="1" t="s">
        <v>53</v>
      </c>
      <c r="L475" s="1">
        <v>2389</v>
      </c>
      <c r="M475" s="1">
        <v>0.73</v>
      </c>
      <c r="N475" s="1">
        <v>-1.1299999999999999E-3</v>
      </c>
      <c r="O475" s="1">
        <f>VLOOKUP(D475,underlying!$D$2:$H$75,5,FALSE)</f>
        <v>-0.21</v>
      </c>
      <c r="P475" s="2">
        <f>VLOOKUP(D475,underlying!$D$2:$L$39,9,FALSE)</f>
        <v>42944</v>
      </c>
      <c r="Q475" s="7">
        <f>IF(G475="C",NormalCallSprd(O475,H475,M475,(P475-A475)/365), NormalPutSprd(O475,H475,M475,(P475-A475)/365))</f>
        <v>4.2394323033063126E-2</v>
      </c>
      <c r="R475" s="9">
        <f t="shared" si="15"/>
        <v>2.3943230330631254E-3</v>
      </c>
    </row>
    <row r="476" spans="1:18" x14ac:dyDescent="0.2">
      <c r="A476" s="2">
        <v>42622</v>
      </c>
      <c r="B476" s="1" t="s">
        <v>13</v>
      </c>
      <c r="C476" s="1" t="s">
        <v>14</v>
      </c>
      <c r="D476" s="2">
        <v>42744</v>
      </c>
      <c r="E476" s="2">
        <f t="shared" si="14"/>
        <v>42979</v>
      </c>
      <c r="F476" s="1" t="s">
        <v>15</v>
      </c>
      <c r="G476" s="1" t="s">
        <v>16</v>
      </c>
      <c r="H476" s="1">
        <v>-0.85</v>
      </c>
      <c r="I476" s="1">
        <v>0.69</v>
      </c>
      <c r="J476" s="1">
        <v>-0.01</v>
      </c>
      <c r="K476" s="1" t="s">
        <v>53</v>
      </c>
      <c r="L476" s="1">
        <v>2389</v>
      </c>
      <c r="M476" s="1">
        <v>0.7</v>
      </c>
      <c r="N476" s="1">
        <v>0.41395999999999999</v>
      </c>
      <c r="O476" s="1">
        <f>VLOOKUP(D476,underlying!$D$2:$H$75,5,FALSE)</f>
        <v>-0.21</v>
      </c>
      <c r="P476" s="2">
        <f>VLOOKUP(D476,underlying!$D$2:$L$39,9,FALSE)</f>
        <v>42944</v>
      </c>
      <c r="Q476" s="7">
        <f>IF(G476="C",NormalCallSprd(O476,H476,M476,(P476-A476)/365), NormalPutSprd(O476,H476,M476,(P476-A476)/365))</f>
        <v>0.69760714392296841</v>
      </c>
      <c r="R476" s="9">
        <f t="shared" si="15"/>
        <v>7.6071439229684623E-3</v>
      </c>
    </row>
    <row r="477" spans="1:18" x14ac:dyDescent="0.2">
      <c r="A477" s="2">
        <v>42622</v>
      </c>
      <c r="B477" s="1" t="s">
        <v>13</v>
      </c>
      <c r="C477" s="1" t="s">
        <v>14</v>
      </c>
      <c r="D477" s="2">
        <v>42744</v>
      </c>
      <c r="E477" s="2">
        <f t="shared" si="14"/>
        <v>42979</v>
      </c>
      <c r="F477" s="1" t="s">
        <v>15</v>
      </c>
      <c r="G477" s="1" t="s">
        <v>18</v>
      </c>
      <c r="H477" s="1">
        <v>-0.85</v>
      </c>
      <c r="I477" s="1">
        <v>0.06</v>
      </c>
      <c r="J477" s="1">
        <v>0</v>
      </c>
      <c r="K477" s="1" t="s">
        <v>53</v>
      </c>
      <c r="L477" s="1">
        <v>2389</v>
      </c>
      <c r="M477" s="1">
        <v>0.7</v>
      </c>
      <c r="N477" s="1">
        <v>0.44496000000000002</v>
      </c>
      <c r="O477" s="1">
        <f>VLOOKUP(D477,underlying!$D$2:$H$75,5,FALSE)</f>
        <v>-0.21</v>
      </c>
      <c r="P477" s="2">
        <f>VLOOKUP(D477,underlying!$D$2:$L$39,9,FALSE)</f>
        <v>42944</v>
      </c>
      <c r="Q477" s="7">
        <f>IF(G477="C",NormalCallSprd(O477,H477,M477,(P477-A477)/365), NormalPutSprd(O477,H477,M477,(P477-A477)/365))</f>
        <v>5.7607143922968382E-2</v>
      </c>
      <c r="R477" s="9">
        <f t="shared" si="15"/>
        <v>2.392856077031616E-3</v>
      </c>
    </row>
    <row r="478" spans="1:18" x14ac:dyDescent="0.2">
      <c r="A478" s="2">
        <v>42622</v>
      </c>
      <c r="B478" s="1" t="s">
        <v>13</v>
      </c>
      <c r="C478" s="1" t="s">
        <v>14</v>
      </c>
      <c r="D478" s="2">
        <v>42744</v>
      </c>
      <c r="E478" s="2">
        <f t="shared" si="14"/>
        <v>42979</v>
      </c>
      <c r="F478" s="1" t="s">
        <v>15</v>
      </c>
      <c r="G478" s="1" t="s">
        <v>16</v>
      </c>
      <c r="H478" s="1">
        <v>-0.8</v>
      </c>
      <c r="I478" s="1">
        <v>0.65</v>
      </c>
      <c r="J478" s="1">
        <v>-0.01</v>
      </c>
      <c r="K478" s="1" t="s">
        <v>53</v>
      </c>
      <c r="L478" s="1">
        <v>2389</v>
      </c>
      <c r="M478" s="1">
        <v>0.69</v>
      </c>
      <c r="N478" s="1">
        <v>0.47493000000000002</v>
      </c>
      <c r="O478" s="1">
        <f>VLOOKUP(D478,underlying!$D$2:$H$75,5,FALSE)</f>
        <v>-0.21</v>
      </c>
      <c r="P478" s="2">
        <f>VLOOKUP(D478,underlying!$D$2:$L$39,9,FALSE)</f>
        <v>42944</v>
      </c>
      <c r="Q478" s="7">
        <f>IF(G478="C",NormalCallSprd(O478,H478,M478,(P478-A478)/365), NormalPutSprd(O478,H478,M478,(P478-A478)/365))</f>
        <v>0.65385909533119113</v>
      </c>
      <c r="R478" s="9">
        <f t="shared" si="15"/>
        <v>3.8590953311911091E-3</v>
      </c>
    </row>
    <row r="479" spans="1:18" x14ac:dyDescent="0.2">
      <c r="A479" s="2">
        <v>42622</v>
      </c>
      <c r="B479" s="1" t="s">
        <v>13</v>
      </c>
      <c r="C479" s="1" t="s">
        <v>14</v>
      </c>
      <c r="D479" s="2">
        <v>42744</v>
      </c>
      <c r="E479" s="2">
        <f t="shared" si="14"/>
        <v>42979</v>
      </c>
      <c r="F479" s="1" t="s">
        <v>15</v>
      </c>
      <c r="G479" s="1" t="s">
        <v>18</v>
      </c>
      <c r="H479" s="1">
        <v>-0.8</v>
      </c>
      <c r="I479" s="1">
        <v>0.06</v>
      </c>
      <c r="J479" s="1">
        <v>0</v>
      </c>
      <c r="K479" s="1" t="s">
        <v>53</v>
      </c>
      <c r="L479" s="1">
        <v>2389</v>
      </c>
      <c r="M479" s="1">
        <v>0.69</v>
      </c>
      <c r="N479" s="1">
        <v>0.50480000000000003</v>
      </c>
      <c r="O479" s="1">
        <f>VLOOKUP(D479,underlying!$D$2:$H$75,5,FALSE)</f>
        <v>-0.21</v>
      </c>
      <c r="P479" s="2">
        <f>VLOOKUP(D479,underlying!$D$2:$L$39,9,FALSE)</f>
        <v>42944</v>
      </c>
      <c r="Q479" s="7">
        <f>IF(G479="C",NormalCallSprd(O479,H479,M479,(P479-A479)/365), NormalPutSprd(O479,H479,M479,(P479-A479)/365))</f>
        <v>6.3859095331191135E-2</v>
      </c>
      <c r="R479" s="9">
        <f t="shared" si="15"/>
        <v>3.8590953311911369E-3</v>
      </c>
    </row>
    <row r="480" spans="1:18" x14ac:dyDescent="0.2">
      <c r="A480" s="2">
        <v>42622</v>
      </c>
      <c r="B480" s="1" t="s">
        <v>13</v>
      </c>
      <c r="C480" s="1" t="s">
        <v>14</v>
      </c>
      <c r="D480" s="2">
        <v>42744</v>
      </c>
      <c r="E480" s="2">
        <f t="shared" si="14"/>
        <v>42979</v>
      </c>
      <c r="F480" s="1" t="s">
        <v>15</v>
      </c>
      <c r="G480" s="1" t="s">
        <v>16</v>
      </c>
      <c r="H480" s="1">
        <v>-0.75</v>
      </c>
      <c r="I480" s="1">
        <v>0.61</v>
      </c>
      <c r="J480" s="1">
        <v>-0.01</v>
      </c>
      <c r="K480" s="1" t="s">
        <v>53</v>
      </c>
      <c r="L480" s="1">
        <v>2389</v>
      </c>
      <c r="M480" s="1">
        <v>0.68</v>
      </c>
      <c r="N480" s="1">
        <v>0.53459000000000001</v>
      </c>
      <c r="O480" s="1">
        <f>VLOOKUP(D480,underlying!$D$2:$H$75,5,FALSE)</f>
        <v>-0.21</v>
      </c>
      <c r="P480" s="2">
        <f>VLOOKUP(D480,underlying!$D$2:$L$39,9,FALSE)</f>
        <v>42944</v>
      </c>
      <c r="Q480" s="7">
        <f>IF(G480="C",NormalCallSprd(O480,H480,M480,(P480-A480)/365), NormalPutSprd(O480,H480,M480,(P480-A480)/365))</f>
        <v>0.61081033221926673</v>
      </c>
      <c r="R480" s="9">
        <f t="shared" si="15"/>
        <v>8.1033221926674059E-4</v>
      </c>
    </row>
    <row r="481" spans="1:18" x14ac:dyDescent="0.2">
      <c r="A481" s="2">
        <v>42622</v>
      </c>
      <c r="B481" s="1" t="s">
        <v>13</v>
      </c>
      <c r="C481" s="1" t="s">
        <v>14</v>
      </c>
      <c r="D481" s="2">
        <v>42744</v>
      </c>
      <c r="E481" s="2">
        <f t="shared" si="14"/>
        <v>42979</v>
      </c>
      <c r="F481" s="1" t="s">
        <v>15</v>
      </c>
      <c r="G481" s="1" t="s">
        <v>18</v>
      </c>
      <c r="H481" s="1">
        <v>-0.75</v>
      </c>
      <c r="I481" s="1">
        <v>7.0000000000000007E-2</v>
      </c>
      <c r="J481" s="1">
        <v>0</v>
      </c>
      <c r="K481" s="1" t="s">
        <v>53</v>
      </c>
      <c r="L481" s="1">
        <v>2389</v>
      </c>
      <c r="M481" s="1">
        <v>0.68</v>
      </c>
      <c r="N481" s="1">
        <v>0.56413999999999997</v>
      </c>
      <c r="O481" s="1">
        <f>VLOOKUP(D481,underlying!$D$2:$H$75,5,FALSE)</f>
        <v>-0.21</v>
      </c>
      <c r="P481" s="2">
        <f>VLOOKUP(D481,underlying!$D$2:$L$39,9,FALSE)</f>
        <v>42944</v>
      </c>
      <c r="Q481" s="7">
        <f>IF(G481="C",NormalCallSprd(O481,H481,M481,(P481-A481)/365), NormalPutSprd(O481,H481,M481,(P481-A481)/365))</f>
        <v>7.081033221926672E-2</v>
      </c>
      <c r="R481" s="9">
        <f t="shared" si="15"/>
        <v>8.1033221926671284E-4</v>
      </c>
    </row>
    <row r="482" spans="1:18" x14ac:dyDescent="0.2">
      <c r="A482" s="2">
        <v>42622</v>
      </c>
      <c r="B482" s="1" t="s">
        <v>13</v>
      </c>
      <c r="C482" s="1" t="s">
        <v>14</v>
      </c>
      <c r="D482" s="2">
        <v>42744</v>
      </c>
      <c r="E482" s="2">
        <f t="shared" si="14"/>
        <v>42979</v>
      </c>
      <c r="F482" s="1" t="s">
        <v>15</v>
      </c>
      <c r="G482" s="1" t="s">
        <v>16</v>
      </c>
      <c r="H482" s="1">
        <v>-0.7</v>
      </c>
      <c r="I482" s="1">
        <v>0.56999999999999995</v>
      </c>
      <c r="J482" s="1">
        <v>0</v>
      </c>
      <c r="K482" s="1" t="s">
        <v>53</v>
      </c>
      <c r="L482" s="1">
        <v>2389</v>
      </c>
      <c r="M482" s="1">
        <v>0.67</v>
      </c>
      <c r="N482" s="1">
        <v>0.59328999999999998</v>
      </c>
      <c r="O482" s="1">
        <f>VLOOKUP(D482,underlying!$D$2:$H$75,5,FALSE)</f>
        <v>-0.21</v>
      </c>
      <c r="P482" s="2">
        <f>VLOOKUP(D482,underlying!$D$2:$L$39,9,FALSE)</f>
        <v>42944</v>
      </c>
      <c r="Q482" s="7">
        <f>IF(G482="C",NormalCallSprd(O482,H482,M482,(P482-A482)/365), NormalPutSprd(O482,H482,M482,(P482-A482)/365))</f>
        <v>0.56853495290959011</v>
      </c>
      <c r="R482" s="9">
        <f t="shared" si="15"/>
        <v>1.4650470904098434E-3</v>
      </c>
    </row>
    <row r="483" spans="1:18" x14ac:dyDescent="0.2">
      <c r="A483" s="2">
        <v>42622</v>
      </c>
      <c r="B483" s="1" t="s">
        <v>13</v>
      </c>
      <c r="C483" s="1" t="s">
        <v>14</v>
      </c>
      <c r="D483" s="2">
        <v>42744</v>
      </c>
      <c r="E483" s="2">
        <f t="shared" si="14"/>
        <v>42979</v>
      </c>
      <c r="F483" s="1" t="s">
        <v>15</v>
      </c>
      <c r="G483" s="1" t="s">
        <v>18</v>
      </c>
      <c r="H483" s="1">
        <v>-0.7</v>
      </c>
      <c r="I483" s="1">
        <v>0.08</v>
      </c>
      <c r="J483" s="1">
        <v>0</v>
      </c>
      <c r="K483" s="1" t="s">
        <v>53</v>
      </c>
      <c r="L483" s="1">
        <v>2389</v>
      </c>
      <c r="M483" s="1">
        <v>0.67</v>
      </c>
      <c r="N483" s="1">
        <v>0.61970000000000003</v>
      </c>
      <c r="O483" s="1">
        <f>VLOOKUP(D483,underlying!$D$2:$H$75,5,FALSE)</f>
        <v>-0.21</v>
      </c>
      <c r="P483" s="2">
        <f>VLOOKUP(D483,underlying!$D$2:$L$39,9,FALSE)</f>
        <v>42944</v>
      </c>
      <c r="Q483" s="7">
        <f>IF(G483="C",NormalCallSprd(O483,H483,M483,(P483-A483)/365), NormalPutSprd(O483,H483,M483,(P483-A483)/365))</f>
        <v>7.8534952909590144E-2</v>
      </c>
      <c r="R483" s="9">
        <f t="shared" si="15"/>
        <v>1.4650470904098573E-3</v>
      </c>
    </row>
    <row r="484" spans="1:18" x14ac:dyDescent="0.2">
      <c r="A484" s="2">
        <v>42622</v>
      </c>
      <c r="B484" s="1" t="s">
        <v>13</v>
      </c>
      <c r="C484" s="1" t="s">
        <v>14</v>
      </c>
      <c r="D484" s="2">
        <v>42744</v>
      </c>
      <c r="E484" s="2">
        <f t="shared" si="14"/>
        <v>42979</v>
      </c>
      <c r="F484" s="1" t="s">
        <v>15</v>
      </c>
      <c r="G484" s="1" t="s">
        <v>16</v>
      </c>
      <c r="H484" s="1">
        <v>-0.65</v>
      </c>
      <c r="I484" s="1">
        <v>0.52</v>
      </c>
      <c r="J484" s="1">
        <v>-0.01</v>
      </c>
      <c r="K484" s="1" t="s">
        <v>53</v>
      </c>
      <c r="L484" s="1">
        <v>2389</v>
      </c>
      <c r="M484" s="1">
        <v>0.66</v>
      </c>
      <c r="N484" s="1">
        <v>0.64400999999999997</v>
      </c>
      <c r="O484" s="1">
        <f>VLOOKUP(D484,underlying!$D$2:$H$75,5,FALSE)</f>
        <v>-0.21</v>
      </c>
      <c r="P484" s="2">
        <f>VLOOKUP(D484,underlying!$D$2:$L$39,9,FALSE)</f>
        <v>42944</v>
      </c>
      <c r="Q484" s="7">
        <f>IF(G484="C",NormalCallSprd(O484,H484,M484,(P484-A484)/365), NormalPutSprd(O484,H484,M484,(P484-A484)/365))</f>
        <v>0.52711314804570908</v>
      </c>
      <c r="R484" s="9">
        <f t="shared" si="15"/>
        <v>7.1131480457090612E-3</v>
      </c>
    </row>
    <row r="485" spans="1:18" x14ac:dyDescent="0.2">
      <c r="A485" s="2">
        <v>42622</v>
      </c>
      <c r="B485" s="1" t="s">
        <v>13</v>
      </c>
      <c r="C485" s="1" t="s">
        <v>14</v>
      </c>
      <c r="D485" s="2">
        <v>42744</v>
      </c>
      <c r="E485" s="2">
        <f t="shared" si="14"/>
        <v>42979</v>
      </c>
      <c r="F485" s="1" t="s">
        <v>15</v>
      </c>
      <c r="G485" s="1" t="s">
        <v>18</v>
      </c>
      <c r="H485" s="1">
        <v>-0.65</v>
      </c>
      <c r="I485" s="1">
        <v>0.09</v>
      </c>
      <c r="J485" s="1">
        <v>0.01</v>
      </c>
      <c r="K485" s="1" t="s">
        <v>53</v>
      </c>
      <c r="L485" s="1">
        <v>2389</v>
      </c>
      <c r="M485" s="1">
        <v>0.66</v>
      </c>
      <c r="N485" s="1">
        <v>0.66673000000000004</v>
      </c>
      <c r="O485" s="1">
        <f>VLOOKUP(D485,underlying!$D$2:$H$75,5,FALSE)</f>
        <v>-0.21</v>
      </c>
      <c r="P485" s="2">
        <f>VLOOKUP(D485,underlying!$D$2:$L$39,9,FALSE)</f>
        <v>42944</v>
      </c>
      <c r="Q485" s="7">
        <f>IF(G485="C",NormalCallSprd(O485,H485,M485,(P485-A485)/365), NormalPutSprd(O485,H485,M485,(P485-A485)/365))</f>
        <v>8.7113148045709091E-2</v>
      </c>
      <c r="R485" s="9">
        <f t="shared" si="15"/>
        <v>2.886851954290906E-3</v>
      </c>
    </row>
    <row r="486" spans="1:18" x14ac:dyDescent="0.2">
      <c r="A486" s="2">
        <v>42622</v>
      </c>
      <c r="B486" s="1" t="s">
        <v>13</v>
      </c>
      <c r="C486" s="1" t="s">
        <v>14</v>
      </c>
      <c r="D486" s="2">
        <v>42744</v>
      </c>
      <c r="E486" s="2">
        <f t="shared" si="14"/>
        <v>42979</v>
      </c>
      <c r="F486" s="1" t="s">
        <v>15</v>
      </c>
      <c r="G486" s="1" t="s">
        <v>16</v>
      </c>
      <c r="H486" s="1">
        <v>-0.6</v>
      </c>
      <c r="I486" s="1">
        <v>0.49</v>
      </c>
      <c r="J486" s="1">
        <v>0</v>
      </c>
      <c r="K486" s="1" t="s">
        <v>53</v>
      </c>
      <c r="L486" s="1">
        <v>2389</v>
      </c>
      <c r="M486" s="1">
        <v>0.66</v>
      </c>
      <c r="N486" s="1">
        <v>0.69086999999999998</v>
      </c>
      <c r="O486" s="1">
        <f>VLOOKUP(D486,underlying!$D$2:$H$75,5,FALSE)</f>
        <v>-0.21</v>
      </c>
      <c r="P486" s="2">
        <f>VLOOKUP(D486,underlying!$D$2:$L$39,9,FALSE)</f>
        <v>42944</v>
      </c>
      <c r="Q486" s="7">
        <f>IF(G486="C",NormalCallSprd(O486,H486,M486,(P486-A486)/365), NormalPutSprd(O486,H486,M486,(P486-A486)/365))</f>
        <v>0.48969614129614203</v>
      </c>
      <c r="R486" s="9">
        <f t="shared" si="15"/>
        <v>3.038587038579621E-4</v>
      </c>
    </row>
    <row r="487" spans="1:18" x14ac:dyDescent="0.2">
      <c r="A487" s="2">
        <v>42622</v>
      </c>
      <c r="B487" s="1" t="s">
        <v>13</v>
      </c>
      <c r="C487" s="1" t="s">
        <v>14</v>
      </c>
      <c r="D487" s="2">
        <v>42744</v>
      </c>
      <c r="E487" s="2">
        <f t="shared" si="14"/>
        <v>42979</v>
      </c>
      <c r="F487" s="1" t="s">
        <v>15</v>
      </c>
      <c r="G487" s="1" t="s">
        <v>18</v>
      </c>
      <c r="H487" s="1">
        <v>-0.6</v>
      </c>
      <c r="I487" s="1">
        <v>0.1</v>
      </c>
      <c r="J487" s="1">
        <v>0</v>
      </c>
      <c r="K487" s="1" t="s">
        <v>53</v>
      </c>
      <c r="L487" s="1">
        <v>2389</v>
      </c>
      <c r="M487" s="1">
        <v>0.66</v>
      </c>
      <c r="N487" s="1">
        <v>0.71153</v>
      </c>
      <c r="O487" s="1">
        <f>VLOOKUP(D487,underlying!$D$2:$H$75,5,FALSE)</f>
        <v>-0.21</v>
      </c>
      <c r="P487" s="2">
        <f>VLOOKUP(D487,underlying!$D$2:$L$39,9,FALSE)</f>
        <v>42944</v>
      </c>
      <c r="Q487" s="7">
        <f>IF(G487="C",NormalCallSprd(O487,H487,M487,(P487-A487)/365), NormalPutSprd(O487,H487,M487,(P487-A487)/365))</f>
        <v>9.9696141296142071E-2</v>
      </c>
      <c r="R487" s="9">
        <f t="shared" si="15"/>
        <v>3.0385870385793434E-4</v>
      </c>
    </row>
    <row r="488" spans="1:18" x14ac:dyDescent="0.2">
      <c r="A488" s="2">
        <v>42622</v>
      </c>
      <c r="B488" s="1" t="s">
        <v>13</v>
      </c>
      <c r="C488" s="1" t="s">
        <v>14</v>
      </c>
      <c r="D488" s="2">
        <v>42744</v>
      </c>
      <c r="E488" s="2">
        <f t="shared" si="14"/>
        <v>42979</v>
      </c>
      <c r="F488" s="1" t="s">
        <v>15</v>
      </c>
      <c r="G488" s="1" t="s">
        <v>16</v>
      </c>
      <c r="H488" s="1">
        <v>-0.55000000000000004</v>
      </c>
      <c r="I488" s="1">
        <v>0.45</v>
      </c>
      <c r="J488" s="1">
        <v>0</v>
      </c>
      <c r="K488" s="1" t="s">
        <v>53</v>
      </c>
      <c r="L488" s="1">
        <v>2389</v>
      </c>
      <c r="M488" s="1">
        <v>0.65</v>
      </c>
      <c r="N488" s="1">
        <v>0.73001000000000005</v>
      </c>
      <c r="O488" s="1">
        <f>VLOOKUP(D488,underlying!$D$2:$H$75,5,FALSE)</f>
        <v>-0.21</v>
      </c>
      <c r="P488" s="2">
        <f>VLOOKUP(D488,underlying!$D$2:$L$39,9,FALSE)</f>
        <v>42944</v>
      </c>
      <c r="Q488" s="7">
        <f>IF(G488="C",NormalCallSprd(O488,H488,M488,(P488-A488)/365), NormalPutSprd(O488,H488,M488,(P488-A488)/365))</f>
        <v>0.45038235177916747</v>
      </c>
      <c r="R488" s="9">
        <f t="shared" si="15"/>
        <v>3.8235177916745577E-4</v>
      </c>
    </row>
    <row r="489" spans="1:18" x14ac:dyDescent="0.2">
      <c r="A489" s="2">
        <v>42622</v>
      </c>
      <c r="B489" s="1" t="s">
        <v>13</v>
      </c>
      <c r="C489" s="1" t="s">
        <v>14</v>
      </c>
      <c r="D489" s="2">
        <v>42744</v>
      </c>
      <c r="E489" s="2">
        <f t="shared" si="14"/>
        <v>42979</v>
      </c>
      <c r="F489" s="1" t="s">
        <v>15</v>
      </c>
      <c r="G489" s="1" t="s">
        <v>18</v>
      </c>
      <c r="H489" s="1">
        <v>-0.55000000000000004</v>
      </c>
      <c r="I489" s="1">
        <v>0.11</v>
      </c>
      <c r="J489" s="1">
        <v>0</v>
      </c>
      <c r="K489" s="1" t="s">
        <v>53</v>
      </c>
      <c r="L489" s="1">
        <v>2389</v>
      </c>
      <c r="M489" s="1">
        <v>0.65</v>
      </c>
      <c r="N489" s="1">
        <v>0.75056</v>
      </c>
      <c r="O489" s="1">
        <f>VLOOKUP(D489,underlying!$D$2:$H$75,5,FALSE)</f>
        <v>-0.21</v>
      </c>
      <c r="P489" s="2">
        <f>VLOOKUP(D489,underlying!$D$2:$L$39,9,FALSE)</f>
        <v>42944</v>
      </c>
      <c r="Q489" s="7">
        <f>IF(G489="C",NormalCallSprd(O489,H489,M489,(P489-A489)/365), NormalPutSprd(O489,H489,M489,(P489-A489)/365))</f>
        <v>0.11038235177916741</v>
      </c>
      <c r="R489" s="9">
        <f t="shared" si="15"/>
        <v>3.8235177916741414E-4</v>
      </c>
    </row>
    <row r="490" spans="1:18" x14ac:dyDescent="0.2">
      <c r="A490" s="2">
        <v>42622</v>
      </c>
      <c r="B490" s="1" t="s">
        <v>13</v>
      </c>
      <c r="C490" s="1" t="s">
        <v>14</v>
      </c>
      <c r="D490" s="2">
        <v>42744</v>
      </c>
      <c r="E490" s="2">
        <f t="shared" si="14"/>
        <v>42979</v>
      </c>
      <c r="F490" s="1" t="s">
        <v>15</v>
      </c>
      <c r="G490" s="1" t="s">
        <v>16</v>
      </c>
      <c r="H490" s="1">
        <v>-0.5</v>
      </c>
      <c r="I490" s="1">
        <v>0.41</v>
      </c>
      <c r="J490" s="1">
        <v>-0.01</v>
      </c>
      <c r="K490" s="1" t="s">
        <v>53</v>
      </c>
      <c r="L490" s="1">
        <v>2389</v>
      </c>
      <c r="M490" s="1">
        <v>0.64</v>
      </c>
      <c r="N490" s="1">
        <v>0.83882000000000001</v>
      </c>
      <c r="O490" s="1">
        <f>VLOOKUP(D490,underlying!$D$2:$H$75,5,FALSE)</f>
        <v>-0.21</v>
      </c>
      <c r="P490" s="2">
        <f>VLOOKUP(D490,underlying!$D$2:$L$39,9,FALSE)</f>
        <v>42944</v>
      </c>
      <c r="Q490" s="7">
        <f>IF(G490="C",NormalCallSprd(O490,H490,M490,(P490-A490)/365), NormalPutSprd(O490,H490,M490,(P490-A490)/365))</f>
        <v>0.41219052114255211</v>
      </c>
      <c r="R490" s="9">
        <f t="shared" si="15"/>
        <v>2.1905211425521376E-3</v>
      </c>
    </row>
    <row r="491" spans="1:18" x14ac:dyDescent="0.2">
      <c r="A491" s="2">
        <v>42622</v>
      </c>
      <c r="B491" s="1" t="s">
        <v>13</v>
      </c>
      <c r="C491" s="1" t="s">
        <v>14</v>
      </c>
      <c r="D491" s="2">
        <v>42744</v>
      </c>
      <c r="E491" s="2">
        <f t="shared" si="14"/>
        <v>42979</v>
      </c>
      <c r="F491" s="1" t="s">
        <v>15</v>
      </c>
      <c r="G491" s="1" t="s">
        <v>18</v>
      </c>
      <c r="H491" s="1">
        <v>-0.5</v>
      </c>
      <c r="I491" s="1">
        <v>0.12</v>
      </c>
      <c r="J491" s="1">
        <v>0</v>
      </c>
      <c r="K491" s="1" t="s">
        <v>53</v>
      </c>
      <c r="L491" s="1">
        <v>2389</v>
      </c>
      <c r="M491" s="1">
        <v>0.64</v>
      </c>
      <c r="N491" s="1">
        <v>0.98570000000000002</v>
      </c>
      <c r="O491" s="1">
        <f>VLOOKUP(D491,underlying!$D$2:$H$75,5,FALSE)</f>
        <v>-0.21</v>
      </c>
      <c r="P491" s="2">
        <f>VLOOKUP(D491,underlying!$D$2:$L$39,9,FALSE)</f>
        <v>42944</v>
      </c>
      <c r="Q491" s="7">
        <f>IF(G491="C",NormalCallSprd(O491,H491,M491,(P491-A491)/365), NormalPutSprd(O491,H491,M491,(P491-A491)/365))</f>
        <v>0.12219052114255211</v>
      </c>
      <c r="R491" s="9">
        <f t="shared" si="15"/>
        <v>2.1905211425521098E-3</v>
      </c>
    </row>
    <row r="492" spans="1:18" x14ac:dyDescent="0.2">
      <c r="A492" s="2">
        <v>42622</v>
      </c>
      <c r="B492" s="1" t="s">
        <v>13</v>
      </c>
      <c r="C492" s="1" t="s">
        <v>14</v>
      </c>
      <c r="D492" s="2">
        <v>42744</v>
      </c>
      <c r="E492" s="2">
        <f t="shared" si="14"/>
        <v>42979</v>
      </c>
      <c r="F492" s="1" t="s">
        <v>15</v>
      </c>
      <c r="G492" s="1" t="s">
        <v>16</v>
      </c>
      <c r="H492" s="1">
        <v>-0.45</v>
      </c>
      <c r="I492" s="1">
        <v>0.38</v>
      </c>
      <c r="J492" s="1">
        <v>0</v>
      </c>
      <c r="K492" s="1" t="s">
        <v>53</v>
      </c>
      <c r="L492" s="1">
        <v>2389</v>
      </c>
      <c r="M492" s="1">
        <v>0.64</v>
      </c>
      <c r="N492" s="1">
        <v>0.94882</v>
      </c>
      <c r="O492" s="1">
        <f>VLOOKUP(D492,underlying!$D$2:$H$75,5,FALSE)</f>
        <v>-0.21</v>
      </c>
      <c r="P492" s="2">
        <f>VLOOKUP(D492,underlying!$D$2:$L$39,9,FALSE)</f>
        <v>42944</v>
      </c>
      <c r="Q492" s="7">
        <f>IF(G492="C",NormalCallSprd(O492,H492,M492,(P492-A492)/365), NormalPutSprd(O492,H492,M492,(P492-A492)/365))</f>
        <v>0.3786759791180806</v>
      </c>
      <c r="R492" s="9">
        <f t="shared" si="15"/>
        <v>1.3240208819194077E-3</v>
      </c>
    </row>
    <row r="493" spans="1:18" x14ac:dyDescent="0.2">
      <c r="A493" s="2">
        <v>42622</v>
      </c>
      <c r="B493" s="1" t="s">
        <v>13</v>
      </c>
      <c r="C493" s="1" t="s">
        <v>14</v>
      </c>
      <c r="D493" s="2">
        <v>42744</v>
      </c>
      <c r="E493" s="2">
        <f t="shared" si="14"/>
        <v>42979</v>
      </c>
      <c r="F493" s="1" t="s">
        <v>15</v>
      </c>
      <c r="G493" s="1" t="s">
        <v>18</v>
      </c>
      <c r="H493" s="1">
        <v>-0.45</v>
      </c>
      <c r="I493" s="1">
        <v>0.14000000000000001</v>
      </c>
      <c r="J493" s="1">
        <v>0.01</v>
      </c>
      <c r="K493" s="1" t="s">
        <v>53</v>
      </c>
      <c r="L493" s="1">
        <v>2389</v>
      </c>
      <c r="M493" s="1">
        <v>0.64</v>
      </c>
      <c r="N493" s="1">
        <v>0.97724</v>
      </c>
      <c r="O493" s="1">
        <f>VLOOKUP(D493,underlying!$D$2:$H$75,5,FALSE)</f>
        <v>-0.21</v>
      </c>
      <c r="P493" s="2">
        <f>VLOOKUP(D493,underlying!$D$2:$L$39,9,FALSE)</f>
        <v>42944</v>
      </c>
      <c r="Q493" s="7">
        <f>IF(G493="C",NormalCallSprd(O493,H493,M493,(P493-A493)/365), NormalPutSprd(O493,H493,M493,(P493-A493)/365))</f>
        <v>0.13867597911808058</v>
      </c>
      <c r="R493" s="9">
        <f t="shared" si="15"/>
        <v>1.3240208819194355E-3</v>
      </c>
    </row>
    <row r="494" spans="1:18" x14ac:dyDescent="0.2">
      <c r="A494" s="2">
        <v>42622</v>
      </c>
      <c r="B494" s="1" t="s">
        <v>13</v>
      </c>
      <c r="C494" s="1" t="s">
        <v>14</v>
      </c>
      <c r="D494" s="2">
        <v>42744</v>
      </c>
      <c r="E494" s="2">
        <f t="shared" si="14"/>
        <v>42979</v>
      </c>
      <c r="F494" s="1" t="s">
        <v>15</v>
      </c>
      <c r="G494" s="1" t="s">
        <v>16</v>
      </c>
      <c r="H494" s="1">
        <v>-0.4</v>
      </c>
      <c r="I494" s="1">
        <v>0.34</v>
      </c>
      <c r="J494" s="1">
        <v>-0.01</v>
      </c>
      <c r="K494" s="1" t="s">
        <v>53</v>
      </c>
      <c r="L494" s="1">
        <v>2389</v>
      </c>
      <c r="M494" s="1">
        <v>0.63</v>
      </c>
      <c r="N494" s="1">
        <v>-0.57174000000000003</v>
      </c>
      <c r="O494" s="1">
        <f>VLOOKUP(D494,underlying!$D$2:$H$75,5,FALSE)</f>
        <v>-0.21</v>
      </c>
      <c r="P494" s="2">
        <f>VLOOKUP(D494,underlying!$D$2:$L$39,9,FALSE)</f>
        <v>42944</v>
      </c>
      <c r="Q494" s="7">
        <f>IF(G494="C",NormalCallSprd(O494,H494,M494,(P494-A494)/365), NormalPutSprd(O494,H494,M494,(P494-A494)/365))</f>
        <v>0.34313108321356017</v>
      </c>
      <c r="R494" s="9">
        <f t="shared" si="15"/>
        <v>3.1310832135601485E-3</v>
      </c>
    </row>
    <row r="495" spans="1:18" x14ac:dyDescent="0.2">
      <c r="A495" s="2">
        <v>42622</v>
      </c>
      <c r="B495" s="1" t="s">
        <v>13</v>
      </c>
      <c r="C495" s="1" t="s">
        <v>14</v>
      </c>
      <c r="D495" s="2">
        <v>42744</v>
      </c>
      <c r="E495" s="2">
        <f t="shared" si="14"/>
        <v>42979</v>
      </c>
      <c r="F495" s="1" t="s">
        <v>15</v>
      </c>
      <c r="G495" s="1" t="s">
        <v>18</v>
      </c>
      <c r="H495" s="1">
        <v>-0.4</v>
      </c>
      <c r="I495" s="1">
        <v>0.15</v>
      </c>
      <c r="J495" s="1">
        <v>0</v>
      </c>
      <c r="K495" s="1" t="s">
        <v>53</v>
      </c>
      <c r="L495" s="1">
        <v>2389</v>
      </c>
      <c r="M495" s="1">
        <v>0.63</v>
      </c>
      <c r="N495" s="1">
        <v>-0.54074</v>
      </c>
      <c r="O495" s="1">
        <f>VLOOKUP(D495,underlying!$D$2:$H$75,5,FALSE)</f>
        <v>-0.21</v>
      </c>
      <c r="P495" s="2">
        <f>VLOOKUP(D495,underlying!$D$2:$L$39,9,FALSE)</f>
        <v>42944</v>
      </c>
      <c r="Q495" s="7">
        <f>IF(G495="C",NormalCallSprd(O495,H495,M495,(P495-A495)/365), NormalPutSprd(O495,H495,M495,(P495-A495)/365))</f>
        <v>0.15313108321356017</v>
      </c>
      <c r="R495" s="9">
        <f t="shared" si="15"/>
        <v>3.1310832135601763E-3</v>
      </c>
    </row>
    <row r="496" spans="1:18" x14ac:dyDescent="0.2">
      <c r="A496" s="2">
        <v>42622</v>
      </c>
      <c r="B496" s="1" t="s">
        <v>13</v>
      </c>
      <c r="C496" s="1" t="s">
        <v>14</v>
      </c>
      <c r="D496" s="2">
        <v>42744</v>
      </c>
      <c r="E496" s="2">
        <f t="shared" si="14"/>
        <v>42979</v>
      </c>
      <c r="F496" s="1" t="s">
        <v>15</v>
      </c>
      <c r="G496" s="1" t="s">
        <v>16</v>
      </c>
      <c r="H496" s="1">
        <v>-0.35</v>
      </c>
      <c r="I496" s="1">
        <v>0.31</v>
      </c>
      <c r="J496" s="1">
        <v>-0.01</v>
      </c>
      <c r="K496" s="1" t="s">
        <v>53</v>
      </c>
      <c r="L496" s="1">
        <v>2389</v>
      </c>
      <c r="M496" s="1">
        <v>0.63</v>
      </c>
      <c r="N496" s="1">
        <v>-0.51075999999999999</v>
      </c>
      <c r="O496" s="1">
        <f>VLOOKUP(D496,underlying!$D$2:$H$75,5,FALSE)</f>
        <v>-0.21</v>
      </c>
      <c r="P496" s="2">
        <f>VLOOKUP(D496,underlying!$D$2:$L$39,9,FALSE)</f>
        <v>42944</v>
      </c>
      <c r="Q496" s="7">
        <f>IF(G496="C",NormalCallSprd(O496,H496,M496,(P496-A496)/365), NormalPutSprd(O496,H496,M496,(P496-A496)/365))</f>
        <v>0.31264178084723099</v>
      </c>
      <c r="R496" s="9">
        <f t="shared" si="15"/>
        <v>2.64178084723099E-3</v>
      </c>
    </row>
    <row r="497" spans="1:18" x14ac:dyDescent="0.2">
      <c r="A497" s="2">
        <v>42622</v>
      </c>
      <c r="B497" s="1" t="s">
        <v>13</v>
      </c>
      <c r="C497" s="1" t="s">
        <v>14</v>
      </c>
      <c r="D497" s="2">
        <v>42744</v>
      </c>
      <c r="E497" s="2">
        <f t="shared" si="14"/>
        <v>42979</v>
      </c>
      <c r="F497" s="1" t="s">
        <v>15</v>
      </c>
      <c r="G497" s="1" t="s">
        <v>18</v>
      </c>
      <c r="H497" s="1">
        <v>-0.35</v>
      </c>
      <c r="I497" s="1">
        <v>0.17</v>
      </c>
      <c r="J497" s="1">
        <v>0</v>
      </c>
      <c r="K497" s="1" t="s">
        <v>53</v>
      </c>
      <c r="L497" s="1">
        <v>2389</v>
      </c>
      <c r="M497" s="1">
        <v>0.63</v>
      </c>
      <c r="N497" s="1">
        <v>-0.48089999999999999</v>
      </c>
      <c r="O497" s="1">
        <f>VLOOKUP(D497,underlying!$D$2:$H$75,5,FALSE)</f>
        <v>-0.21</v>
      </c>
      <c r="P497" s="2">
        <f>VLOOKUP(D497,underlying!$D$2:$L$39,9,FALSE)</f>
        <v>42944</v>
      </c>
      <c r="Q497" s="7">
        <f>IF(G497="C",NormalCallSprd(O497,H497,M497,(P497-A497)/365), NormalPutSprd(O497,H497,M497,(P497-A497)/365))</f>
        <v>0.172641780847231</v>
      </c>
      <c r="R497" s="9">
        <f t="shared" si="15"/>
        <v>2.64178084723099E-3</v>
      </c>
    </row>
    <row r="498" spans="1:18" x14ac:dyDescent="0.2">
      <c r="A498" s="2">
        <v>42622</v>
      </c>
      <c r="B498" s="1" t="s">
        <v>13</v>
      </c>
      <c r="C498" s="1" t="s">
        <v>14</v>
      </c>
      <c r="D498" s="2">
        <v>42744</v>
      </c>
      <c r="E498" s="2">
        <f t="shared" si="14"/>
        <v>42979</v>
      </c>
      <c r="F498" s="1" t="s">
        <v>15</v>
      </c>
      <c r="G498" s="1" t="s">
        <v>16</v>
      </c>
      <c r="H498" s="1">
        <v>-0.3</v>
      </c>
      <c r="I498" s="1">
        <v>0.28000000000000003</v>
      </c>
      <c r="J498" s="1">
        <v>0</v>
      </c>
      <c r="K498" s="1" t="s">
        <v>53</v>
      </c>
      <c r="L498" s="1">
        <v>2389</v>
      </c>
      <c r="M498" s="1">
        <v>0.62</v>
      </c>
      <c r="N498" s="1">
        <v>-0.45111000000000001</v>
      </c>
      <c r="O498" s="1">
        <f>VLOOKUP(D498,underlying!$D$2:$H$75,5,FALSE)</f>
        <v>-0.21</v>
      </c>
      <c r="P498" s="2">
        <f>VLOOKUP(D498,underlying!$D$2:$L$39,9,FALSE)</f>
        <v>42944</v>
      </c>
      <c r="Q498" s="7">
        <f>IF(G498="C",NormalCallSprd(O498,H498,M498,(P498-A498)/365), NormalPutSprd(O498,H498,M498,(P498-A498)/365))</f>
        <v>0.2800872495515892</v>
      </c>
      <c r="R498" s="9">
        <f t="shared" si="15"/>
        <v>8.724955158917469E-5</v>
      </c>
    </row>
    <row r="499" spans="1:18" x14ac:dyDescent="0.2">
      <c r="A499" s="2">
        <v>42622</v>
      </c>
      <c r="B499" s="1" t="s">
        <v>13</v>
      </c>
      <c r="C499" s="1" t="s">
        <v>14</v>
      </c>
      <c r="D499" s="2">
        <v>42744</v>
      </c>
      <c r="E499" s="2">
        <f t="shared" si="14"/>
        <v>42979</v>
      </c>
      <c r="F499" s="1" t="s">
        <v>15</v>
      </c>
      <c r="G499" s="1" t="s">
        <v>18</v>
      </c>
      <c r="H499" s="1">
        <v>-0.3</v>
      </c>
      <c r="I499" s="1">
        <v>0.19</v>
      </c>
      <c r="J499" s="1">
        <v>0</v>
      </c>
      <c r="K499" s="1" t="s">
        <v>53</v>
      </c>
      <c r="L499" s="1">
        <v>2389</v>
      </c>
      <c r="M499" s="1">
        <v>0.62</v>
      </c>
      <c r="N499" s="1">
        <v>-0.42155999999999999</v>
      </c>
      <c r="O499" s="1">
        <f>VLOOKUP(D499,underlying!$D$2:$H$75,5,FALSE)</f>
        <v>-0.21</v>
      </c>
      <c r="P499" s="2">
        <f>VLOOKUP(D499,underlying!$D$2:$L$39,9,FALSE)</f>
        <v>42944</v>
      </c>
      <c r="Q499" s="7">
        <f>IF(G499="C",NormalCallSprd(O499,H499,M499,(P499-A499)/365), NormalPutSprd(O499,H499,M499,(P499-A499)/365))</f>
        <v>0.19008724955158923</v>
      </c>
      <c r="R499" s="9">
        <f t="shared" si="15"/>
        <v>8.7249551589230201E-5</v>
      </c>
    </row>
    <row r="500" spans="1:18" x14ac:dyDescent="0.2">
      <c r="A500" s="2">
        <v>42622</v>
      </c>
      <c r="B500" s="1" t="s">
        <v>13</v>
      </c>
      <c r="C500" s="1" t="s">
        <v>14</v>
      </c>
      <c r="D500" s="2">
        <v>42744</v>
      </c>
      <c r="E500" s="2">
        <f t="shared" si="14"/>
        <v>42979</v>
      </c>
      <c r="F500" s="1" t="s">
        <v>15</v>
      </c>
      <c r="G500" s="1" t="s">
        <v>16</v>
      </c>
      <c r="H500" s="1">
        <v>-0.25</v>
      </c>
      <c r="I500" s="1">
        <v>0.25</v>
      </c>
      <c r="J500" s="1">
        <v>-0.01</v>
      </c>
      <c r="K500" s="1" t="s">
        <v>53</v>
      </c>
      <c r="L500" s="1">
        <v>2389</v>
      </c>
      <c r="M500" s="1">
        <v>0.62</v>
      </c>
      <c r="N500" s="1">
        <v>-0.39240999999999998</v>
      </c>
      <c r="O500" s="1">
        <f>VLOOKUP(D500,underlying!$D$2:$H$75,5,FALSE)</f>
        <v>-0.21</v>
      </c>
      <c r="P500" s="2">
        <f>VLOOKUP(D500,underlying!$D$2:$L$39,9,FALSE)</f>
        <v>42944</v>
      </c>
      <c r="Q500" s="7">
        <f>IF(G500="C",NormalCallSprd(O500,H500,M500,(P500-A500)/365), NormalPutSprd(O500,H500,M500,(P500-A500)/365))</f>
        <v>0.25286605631763859</v>
      </c>
      <c r="R500" s="9">
        <f t="shared" si="15"/>
        <v>2.8660563176385878E-3</v>
      </c>
    </row>
    <row r="501" spans="1:18" x14ac:dyDescent="0.2">
      <c r="A501" s="2">
        <v>42622</v>
      </c>
      <c r="B501" s="1" t="s">
        <v>13</v>
      </c>
      <c r="C501" s="1" t="s">
        <v>14</v>
      </c>
      <c r="D501" s="2">
        <v>42744</v>
      </c>
      <c r="E501" s="2">
        <f t="shared" si="14"/>
        <v>42979</v>
      </c>
      <c r="F501" s="1" t="s">
        <v>15</v>
      </c>
      <c r="G501" s="1" t="s">
        <v>18</v>
      </c>
      <c r="H501" s="1">
        <v>-0.25</v>
      </c>
      <c r="I501" s="1">
        <v>0.21</v>
      </c>
      <c r="J501" s="1">
        <v>0</v>
      </c>
      <c r="K501" s="1" t="s">
        <v>53</v>
      </c>
      <c r="L501" s="1">
        <v>2389</v>
      </c>
      <c r="M501" s="1">
        <v>0.62</v>
      </c>
      <c r="N501" s="1">
        <v>-0.36599999999999999</v>
      </c>
      <c r="O501" s="1">
        <f>VLOOKUP(D501,underlying!$D$2:$H$75,5,FALSE)</f>
        <v>-0.21</v>
      </c>
      <c r="P501" s="2">
        <f>VLOOKUP(D501,underlying!$D$2:$L$39,9,FALSE)</f>
        <v>42944</v>
      </c>
      <c r="Q501" s="7">
        <f>IF(G501="C",NormalCallSprd(O501,H501,M501,(P501-A501)/365), NormalPutSprd(O501,H501,M501,(P501-A501)/365))</f>
        <v>0.21286605631763855</v>
      </c>
      <c r="R501" s="9">
        <f t="shared" si="15"/>
        <v>2.8660563176385601E-3</v>
      </c>
    </row>
    <row r="502" spans="1:18" x14ac:dyDescent="0.2">
      <c r="A502" s="2">
        <v>42622</v>
      </c>
      <c r="B502" s="1" t="s">
        <v>13</v>
      </c>
      <c r="C502" s="1" t="s">
        <v>14</v>
      </c>
      <c r="D502" s="2">
        <v>42744</v>
      </c>
      <c r="E502" s="2">
        <f t="shared" si="14"/>
        <v>42979</v>
      </c>
      <c r="F502" s="1" t="s">
        <v>15</v>
      </c>
      <c r="G502" s="1" t="s">
        <v>16</v>
      </c>
      <c r="H502" s="1">
        <v>-0.2</v>
      </c>
      <c r="I502" s="1">
        <v>0.23</v>
      </c>
      <c r="J502" s="1">
        <v>0</v>
      </c>
      <c r="K502" s="1" t="s">
        <v>53</v>
      </c>
      <c r="L502" s="1">
        <v>2389</v>
      </c>
      <c r="M502" s="1">
        <v>0.62</v>
      </c>
      <c r="N502" s="1">
        <v>-0.34167999999999998</v>
      </c>
      <c r="O502" s="1">
        <f>VLOOKUP(D502,underlying!$D$2:$H$75,5,FALSE)</f>
        <v>-0.21</v>
      </c>
      <c r="P502" s="2">
        <f>VLOOKUP(D502,underlying!$D$2:$L$39,9,FALSE)</f>
        <v>42944</v>
      </c>
      <c r="Q502" s="7">
        <f>IF(G502="C",NormalCallSprd(O502,H502,M502,(P502-A502)/365), NormalPutSprd(O502,H502,M502,(P502-A502)/365))</f>
        <v>0.22735246608528842</v>
      </c>
      <c r="R502" s="9">
        <f t="shared" si="15"/>
        <v>2.6475339147115917E-3</v>
      </c>
    </row>
    <row r="503" spans="1:18" x14ac:dyDescent="0.2">
      <c r="A503" s="2">
        <v>42622</v>
      </c>
      <c r="B503" s="1" t="s">
        <v>13</v>
      </c>
      <c r="C503" s="1" t="s">
        <v>14</v>
      </c>
      <c r="D503" s="2">
        <v>42744</v>
      </c>
      <c r="E503" s="2">
        <f t="shared" si="14"/>
        <v>42979</v>
      </c>
      <c r="F503" s="1" t="s">
        <v>15</v>
      </c>
      <c r="G503" s="1" t="s">
        <v>18</v>
      </c>
      <c r="H503" s="1">
        <v>-0.2</v>
      </c>
      <c r="I503" s="1">
        <v>0.24</v>
      </c>
      <c r="J503" s="1">
        <v>0.01</v>
      </c>
      <c r="K503" s="1" t="s">
        <v>53</v>
      </c>
      <c r="L503" s="1">
        <v>2389</v>
      </c>
      <c r="M503" s="1">
        <v>0.62</v>
      </c>
      <c r="N503" s="1">
        <v>-0.31896999999999998</v>
      </c>
      <c r="O503" s="1">
        <f>VLOOKUP(D503,underlying!$D$2:$H$75,5,FALSE)</f>
        <v>-0.21</v>
      </c>
      <c r="P503" s="2">
        <f>VLOOKUP(D503,underlying!$D$2:$L$39,9,FALSE)</f>
        <v>42944</v>
      </c>
      <c r="Q503" s="7">
        <f>IF(G503="C",NormalCallSprd(O503,H503,M503,(P503-A503)/365), NormalPutSprd(O503,H503,M503,(P503-A503)/365))</f>
        <v>0.2373524660852884</v>
      </c>
      <c r="R503" s="9">
        <f t="shared" si="15"/>
        <v>2.6475339147115917E-3</v>
      </c>
    </row>
    <row r="504" spans="1:18" x14ac:dyDescent="0.2">
      <c r="A504" s="2">
        <v>42622</v>
      </c>
      <c r="B504" s="1" t="s">
        <v>13</v>
      </c>
      <c r="C504" s="1" t="s">
        <v>14</v>
      </c>
      <c r="D504" s="2">
        <v>42744</v>
      </c>
      <c r="E504" s="2">
        <f t="shared" si="14"/>
        <v>42979</v>
      </c>
      <c r="F504" s="1" t="s">
        <v>15</v>
      </c>
      <c r="G504" s="1" t="s">
        <v>16</v>
      </c>
      <c r="H504" s="1">
        <v>-0.15</v>
      </c>
      <c r="I504" s="1">
        <v>0.2</v>
      </c>
      <c r="J504" s="1">
        <v>-0.01</v>
      </c>
      <c r="K504" s="1" t="s">
        <v>53</v>
      </c>
      <c r="L504" s="1">
        <v>2389</v>
      </c>
      <c r="M504" s="1">
        <v>0.62</v>
      </c>
      <c r="N504" s="1">
        <v>-0.29482999999999998</v>
      </c>
      <c r="O504" s="1">
        <f>VLOOKUP(D504,underlying!$D$2:$H$75,5,FALSE)</f>
        <v>-0.21</v>
      </c>
      <c r="P504" s="2">
        <f>VLOOKUP(D504,underlying!$D$2:$L$39,9,FALSE)</f>
        <v>42944</v>
      </c>
      <c r="Q504" s="7">
        <f>IF(G504="C",NormalCallSprd(O504,H504,M504,(P504-A504)/365), NormalPutSprd(O504,H504,M504,(P504-A504)/365))</f>
        <v>0.20355025499426102</v>
      </c>
      <c r="R504" s="9">
        <f t="shared" si="15"/>
        <v>3.5502549942610095E-3</v>
      </c>
    </row>
    <row r="505" spans="1:18" x14ac:dyDescent="0.2">
      <c r="A505" s="2">
        <v>42622</v>
      </c>
      <c r="B505" s="1" t="s">
        <v>13</v>
      </c>
      <c r="C505" s="1" t="s">
        <v>14</v>
      </c>
      <c r="D505" s="2">
        <v>42744</v>
      </c>
      <c r="E505" s="2">
        <f t="shared" si="14"/>
        <v>42979</v>
      </c>
      <c r="F505" s="1" t="s">
        <v>15</v>
      </c>
      <c r="G505" s="1" t="s">
        <v>18</v>
      </c>
      <c r="H505" s="1">
        <v>-0.15</v>
      </c>
      <c r="I505" s="1">
        <v>0.26</v>
      </c>
      <c r="J505" s="1">
        <v>0</v>
      </c>
      <c r="K505" s="1" t="s">
        <v>53</v>
      </c>
      <c r="L505" s="1">
        <v>2389</v>
      </c>
      <c r="M505" s="1">
        <v>0.62</v>
      </c>
      <c r="N505" s="1">
        <v>-0.27416000000000001</v>
      </c>
      <c r="O505" s="1">
        <f>VLOOKUP(D505,underlying!$D$2:$H$75,5,FALSE)</f>
        <v>-0.21</v>
      </c>
      <c r="P505" s="2">
        <f>VLOOKUP(D505,underlying!$D$2:$L$39,9,FALSE)</f>
        <v>42944</v>
      </c>
      <c r="Q505" s="7">
        <f>IF(G505="C",NormalCallSprd(O505,H505,M505,(P505-A505)/365), NormalPutSprd(O505,H505,M505,(P505-A505)/365))</f>
        <v>0.26355025499426099</v>
      </c>
      <c r="R505" s="9">
        <f t="shared" si="15"/>
        <v>3.5502549942609818E-3</v>
      </c>
    </row>
    <row r="506" spans="1:18" x14ac:dyDescent="0.2">
      <c r="A506" s="2">
        <v>42622</v>
      </c>
      <c r="B506" s="1" t="s">
        <v>13</v>
      </c>
      <c r="C506" s="1" t="s">
        <v>14</v>
      </c>
      <c r="D506" s="2">
        <v>42744</v>
      </c>
      <c r="E506" s="2">
        <f t="shared" si="14"/>
        <v>42979</v>
      </c>
      <c r="F506" s="1" t="s">
        <v>15</v>
      </c>
      <c r="G506" s="1" t="s">
        <v>16</v>
      </c>
      <c r="H506" s="1">
        <v>-0.1</v>
      </c>
      <c r="I506" s="1">
        <v>0.18</v>
      </c>
      <c r="J506" s="1">
        <v>0</v>
      </c>
      <c r="K506" s="1" t="s">
        <v>53</v>
      </c>
      <c r="L506" s="1">
        <v>2389</v>
      </c>
      <c r="M506" s="1">
        <v>0.61</v>
      </c>
      <c r="N506" s="1">
        <v>-0.25568999999999997</v>
      </c>
      <c r="O506" s="1">
        <f>VLOOKUP(D506,underlying!$D$2:$H$75,5,FALSE)</f>
        <v>-0.21</v>
      </c>
      <c r="P506" s="2">
        <f>VLOOKUP(D506,underlying!$D$2:$L$39,9,FALSE)</f>
        <v>42944</v>
      </c>
      <c r="Q506" s="7">
        <f>IF(G506="C",NormalCallSprd(O506,H506,M506,(P506-A506)/365), NormalPutSprd(O506,H506,M506,(P506-A506)/365))</f>
        <v>0.17777089044300545</v>
      </c>
      <c r="R506" s="9">
        <f t="shared" si="15"/>
        <v>2.2291095569945407E-3</v>
      </c>
    </row>
    <row r="507" spans="1:18" x14ac:dyDescent="0.2">
      <c r="A507" s="2">
        <v>42622</v>
      </c>
      <c r="B507" s="1" t="s">
        <v>13</v>
      </c>
      <c r="C507" s="1" t="s">
        <v>14</v>
      </c>
      <c r="D507" s="2">
        <v>42744</v>
      </c>
      <c r="E507" s="2">
        <f t="shared" si="14"/>
        <v>42979</v>
      </c>
      <c r="F507" s="1" t="s">
        <v>15</v>
      </c>
      <c r="G507" s="1" t="s">
        <v>18</v>
      </c>
      <c r="H507" s="1">
        <v>-0.1</v>
      </c>
      <c r="I507" s="1">
        <v>0.28999999999999998</v>
      </c>
      <c r="J507" s="1">
        <v>0.01</v>
      </c>
      <c r="K507" s="1" t="s">
        <v>53</v>
      </c>
      <c r="L507" s="1">
        <v>2389</v>
      </c>
      <c r="M507" s="1">
        <v>0.61</v>
      </c>
      <c r="N507" s="1">
        <v>-0.23513999999999999</v>
      </c>
      <c r="O507" s="1">
        <f>VLOOKUP(D507,underlying!$D$2:$H$75,5,FALSE)</f>
        <v>-0.21</v>
      </c>
      <c r="P507" s="2">
        <f>VLOOKUP(D507,underlying!$D$2:$L$39,9,FALSE)</f>
        <v>42944</v>
      </c>
      <c r="Q507" s="7">
        <f>IF(G507="C",NormalCallSprd(O507,H507,M507,(P507-A507)/365), NormalPutSprd(O507,H507,M507,(P507-A507)/365))</f>
        <v>0.28777089044300541</v>
      </c>
      <c r="R507" s="9">
        <f t="shared" si="15"/>
        <v>2.2291095569945685E-3</v>
      </c>
    </row>
    <row r="508" spans="1:18" x14ac:dyDescent="0.2">
      <c r="A508" s="2">
        <v>42622</v>
      </c>
      <c r="B508" s="1" t="s">
        <v>13</v>
      </c>
      <c r="C508" s="1" t="s">
        <v>14</v>
      </c>
      <c r="D508" s="2">
        <v>42744</v>
      </c>
      <c r="E508" s="2">
        <f t="shared" si="14"/>
        <v>42979</v>
      </c>
      <c r="F508" s="1" t="s">
        <v>15</v>
      </c>
      <c r="G508" s="1" t="s">
        <v>16</v>
      </c>
      <c r="H508" s="1">
        <v>-0.05</v>
      </c>
      <c r="I508" s="1">
        <v>0.16</v>
      </c>
      <c r="J508" s="1">
        <v>0</v>
      </c>
      <c r="K508" s="1" t="s">
        <v>53</v>
      </c>
      <c r="L508" s="1">
        <v>2389</v>
      </c>
      <c r="M508" s="1">
        <v>0.61</v>
      </c>
      <c r="N508" s="1">
        <v>-0.14688000000000001</v>
      </c>
      <c r="O508" s="1">
        <f>VLOOKUP(D508,underlying!$D$2:$H$75,5,FALSE)</f>
        <v>-0.21</v>
      </c>
      <c r="P508" s="2">
        <f>VLOOKUP(D508,underlying!$D$2:$L$39,9,FALSE)</f>
        <v>42944</v>
      </c>
      <c r="Q508" s="7">
        <f>IF(G508="C",NormalCallSprd(O508,H508,M508,(P508-A508)/365), NormalPutSprd(O508,H508,M508,(P508-A508)/365))</f>
        <v>0.15742635960472615</v>
      </c>
      <c r="R508" s="9">
        <f t="shared" si="15"/>
        <v>2.5736403952738574E-3</v>
      </c>
    </row>
    <row r="509" spans="1:18" x14ac:dyDescent="0.2">
      <c r="A509" s="2">
        <v>42622</v>
      </c>
      <c r="B509" s="1" t="s">
        <v>13</v>
      </c>
      <c r="C509" s="1" t="s">
        <v>14</v>
      </c>
      <c r="D509" s="2">
        <v>42744</v>
      </c>
      <c r="E509" s="2">
        <f t="shared" si="14"/>
        <v>42979</v>
      </c>
      <c r="F509" s="1" t="s">
        <v>15</v>
      </c>
      <c r="G509" s="1" t="s">
        <v>18</v>
      </c>
      <c r="H509" s="1">
        <v>-0.05</v>
      </c>
      <c r="I509" s="1">
        <v>0.32</v>
      </c>
      <c r="J509" s="1">
        <v>0.01</v>
      </c>
      <c r="K509" s="1" t="s">
        <v>53</v>
      </c>
      <c r="L509" s="1">
        <v>2389</v>
      </c>
      <c r="M509" s="1">
        <v>0.61</v>
      </c>
      <c r="N509" s="1">
        <v>0</v>
      </c>
      <c r="O509" s="1">
        <f>VLOOKUP(D509,underlying!$D$2:$H$75,5,FALSE)</f>
        <v>-0.21</v>
      </c>
      <c r="P509" s="2">
        <f>VLOOKUP(D509,underlying!$D$2:$L$39,9,FALSE)</f>
        <v>42944</v>
      </c>
      <c r="Q509" s="7">
        <f>IF(G509="C",NormalCallSprd(O509,H509,M509,(P509-A509)/365), NormalPutSprd(O509,H509,M509,(P509-A509)/365))</f>
        <v>0.31742635960472615</v>
      </c>
      <c r="R509" s="9">
        <f t="shared" si="15"/>
        <v>2.5736403952738574E-3</v>
      </c>
    </row>
    <row r="510" spans="1:18" x14ac:dyDescent="0.2">
      <c r="A510" s="2">
        <v>42622</v>
      </c>
      <c r="B510" s="1" t="s">
        <v>13</v>
      </c>
      <c r="C510" s="1" t="s">
        <v>14</v>
      </c>
      <c r="D510" s="2">
        <v>42745</v>
      </c>
      <c r="E510" s="2">
        <f t="shared" si="14"/>
        <v>43009</v>
      </c>
      <c r="F510" s="1" t="s">
        <v>15</v>
      </c>
      <c r="G510" s="1" t="s">
        <v>16</v>
      </c>
      <c r="H510" s="1">
        <v>-3</v>
      </c>
      <c r="I510" s="1">
        <v>2.79</v>
      </c>
      <c r="J510" s="1">
        <v>0</v>
      </c>
      <c r="K510" s="1" t="s">
        <v>17</v>
      </c>
      <c r="L510" s="1">
        <v>2389</v>
      </c>
      <c r="M510" s="1">
        <v>0.85</v>
      </c>
      <c r="N510" s="1">
        <v>-3.6880000000000003E-2</v>
      </c>
      <c r="O510" s="1">
        <f>VLOOKUP(D510,underlying!$D$2:$H$75,5,FALSE)</f>
        <v>-0.19</v>
      </c>
      <c r="P510" s="2">
        <f>VLOOKUP(D510,underlying!$D$2:$L$39,9,FALSE)</f>
        <v>42977</v>
      </c>
      <c r="Q510" s="7">
        <f>IF(G510="C",NormalCallSprd(O510,H510,M510,(P510-A510)/365), NormalPutSprd(O510,H510,M510,(P510-A510)/365))</f>
        <v>2.8100874183236835</v>
      </c>
      <c r="R510" s="9">
        <f t="shared" si="15"/>
        <v>2.0087418323683437E-2</v>
      </c>
    </row>
    <row r="511" spans="1:18" x14ac:dyDescent="0.2">
      <c r="A511" s="2">
        <v>42622</v>
      </c>
      <c r="B511" s="1" t="s">
        <v>13</v>
      </c>
      <c r="C511" s="1" t="s">
        <v>14</v>
      </c>
      <c r="D511" s="2">
        <v>42745</v>
      </c>
      <c r="E511" s="2">
        <f t="shared" si="14"/>
        <v>43009</v>
      </c>
      <c r="F511" s="1" t="s">
        <v>15</v>
      </c>
      <c r="G511" s="1" t="s">
        <v>18</v>
      </c>
      <c r="H511" s="1">
        <v>-3</v>
      </c>
      <c r="I511" s="1">
        <v>0.01</v>
      </c>
      <c r="J511" s="1">
        <v>0</v>
      </c>
      <c r="K511" s="1" t="s">
        <v>17</v>
      </c>
      <c r="L511" s="1">
        <v>2389</v>
      </c>
      <c r="M511" s="1">
        <v>0.85</v>
      </c>
      <c r="N511" s="1">
        <v>-8.4600000000000005E-3</v>
      </c>
      <c r="O511" s="1">
        <f>VLOOKUP(D511,underlying!$D$2:$H$75,5,FALSE)</f>
        <v>-0.19</v>
      </c>
      <c r="P511" s="2">
        <f>VLOOKUP(D511,underlying!$D$2:$L$39,9,FALSE)</f>
        <v>42977</v>
      </c>
      <c r="Q511" s="7">
        <f>IF(G511="C",NormalCallSprd(O511,H511,M511,(P511-A511)/365), NormalPutSprd(O511,H511,M511,(P511-A511)/365))</f>
        <v>8.7418323683362959E-5</v>
      </c>
      <c r="R511" s="9">
        <f t="shared" si="15"/>
        <v>9.9125816763166365E-3</v>
      </c>
    </row>
    <row r="512" spans="1:18" x14ac:dyDescent="0.2">
      <c r="A512" s="2">
        <v>42622</v>
      </c>
      <c r="B512" s="1" t="s">
        <v>13</v>
      </c>
      <c r="C512" s="1" t="s">
        <v>14</v>
      </c>
      <c r="D512" s="2">
        <v>42745</v>
      </c>
      <c r="E512" s="2">
        <f t="shared" si="14"/>
        <v>43009</v>
      </c>
      <c r="F512" s="1" t="s">
        <v>15</v>
      </c>
      <c r="G512" s="1" t="s">
        <v>16</v>
      </c>
      <c r="H512" s="1">
        <v>-2</v>
      </c>
      <c r="I512" s="1">
        <v>1.8</v>
      </c>
      <c r="J512" s="1">
        <v>0</v>
      </c>
      <c r="K512" s="1" t="s">
        <v>17</v>
      </c>
      <c r="L512" s="1">
        <v>2389</v>
      </c>
      <c r="M512" s="1">
        <v>0.73</v>
      </c>
      <c r="N512" s="1">
        <v>0.43115999999999999</v>
      </c>
      <c r="O512" s="1">
        <f>VLOOKUP(D512,underlying!$D$2:$H$75,5,FALSE)</f>
        <v>-0.19</v>
      </c>
      <c r="P512" s="2">
        <f>VLOOKUP(D512,underlying!$D$2:$L$39,9,FALSE)</f>
        <v>42977</v>
      </c>
      <c r="Q512" s="7">
        <f>IF(G512="C",NormalCallSprd(O512,H512,M512,(P512-A512)/365), NormalPutSprd(O512,H512,M512,(P512-A512)/365))</f>
        <v>1.8113809100845404</v>
      </c>
      <c r="R512" s="9">
        <f t="shared" si="15"/>
        <v>1.1380910084540341E-2</v>
      </c>
    </row>
    <row r="513" spans="1:18" x14ac:dyDescent="0.2">
      <c r="A513" s="2">
        <v>42622</v>
      </c>
      <c r="B513" s="1" t="s">
        <v>13</v>
      </c>
      <c r="C513" s="1" t="s">
        <v>14</v>
      </c>
      <c r="D513" s="2">
        <v>42745</v>
      </c>
      <c r="E513" s="2">
        <f t="shared" si="14"/>
        <v>43009</v>
      </c>
      <c r="F513" s="1" t="s">
        <v>15</v>
      </c>
      <c r="G513" s="1" t="s">
        <v>18</v>
      </c>
      <c r="H513" s="1">
        <v>-2</v>
      </c>
      <c r="I513" s="1">
        <v>0.01</v>
      </c>
      <c r="J513" s="1">
        <v>0</v>
      </c>
      <c r="K513" s="1" t="s">
        <v>17</v>
      </c>
      <c r="L513" s="1">
        <v>2389</v>
      </c>
      <c r="M513" s="1">
        <v>0.73</v>
      </c>
      <c r="N513" s="1">
        <v>0.45717000000000002</v>
      </c>
      <c r="O513" s="1">
        <f>VLOOKUP(D513,underlying!$D$2:$H$75,5,FALSE)</f>
        <v>-0.19</v>
      </c>
      <c r="P513" s="2">
        <f>VLOOKUP(D513,underlying!$D$2:$L$39,9,FALSE)</f>
        <v>42977</v>
      </c>
      <c r="Q513" s="7">
        <f>IF(G513="C",NormalCallSprd(O513,H513,M513,(P513-A513)/365), NormalPutSprd(O513,H513,M513,(P513-A513)/365))</f>
        <v>1.3809100845405364E-3</v>
      </c>
      <c r="R513" s="9">
        <f t="shared" si="15"/>
        <v>8.6190899154594634E-3</v>
      </c>
    </row>
    <row r="514" spans="1:18" x14ac:dyDescent="0.2">
      <c r="A514" s="2">
        <v>42622</v>
      </c>
      <c r="B514" s="1" t="s">
        <v>13</v>
      </c>
      <c r="C514" s="1" t="s">
        <v>14</v>
      </c>
      <c r="D514" s="2">
        <v>42745</v>
      </c>
      <c r="E514" s="2">
        <f t="shared" ref="E514:E577" si="16">DATE(YEAR(D514),DAY(D514),MONTH(D514))</f>
        <v>43009</v>
      </c>
      <c r="F514" s="1" t="s">
        <v>15</v>
      </c>
      <c r="G514" s="1" t="s">
        <v>16</v>
      </c>
      <c r="H514" s="1">
        <v>-1</v>
      </c>
      <c r="I514" s="1">
        <v>0.84</v>
      </c>
      <c r="J514" s="1">
        <v>0</v>
      </c>
      <c r="K514" s="1" t="s">
        <v>17</v>
      </c>
      <c r="L514" s="1">
        <v>2389</v>
      </c>
      <c r="M514" s="1">
        <v>0.68</v>
      </c>
      <c r="N514" s="1">
        <v>0.48332999999999998</v>
      </c>
      <c r="O514" s="1">
        <f>VLOOKUP(D514,underlying!$D$2:$H$75,5,FALSE)</f>
        <v>-0.19</v>
      </c>
      <c r="P514" s="2">
        <f>VLOOKUP(D514,underlying!$D$2:$L$39,9,FALSE)</f>
        <v>42977</v>
      </c>
      <c r="Q514" s="7">
        <f>IF(G514="C",NormalCallSprd(O514,H514,M514,(P514-A514)/365), NormalPutSprd(O514,H514,M514,(P514-A514)/365))</f>
        <v>0.84702265268193289</v>
      </c>
      <c r="R514" s="9">
        <f t="shared" si="15"/>
        <v>7.0226526819329171E-3</v>
      </c>
    </row>
    <row r="515" spans="1:18" x14ac:dyDescent="0.2">
      <c r="A515" s="2">
        <v>42622</v>
      </c>
      <c r="B515" s="1" t="s">
        <v>13</v>
      </c>
      <c r="C515" s="1" t="s">
        <v>14</v>
      </c>
      <c r="D515" s="2">
        <v>42745</v>
      </c>
      <c r="E515" s="2">
        <f t="shared" si="16"/>
        <v>43009</v>
      </c>
      <c r="F515" s="1" t="s">
        <v>15</v>
      </c>
      <c r="G515" s="1" t="s">
        <v>18</v>
      </c>
      <c r="H515" s="1">
        <v>-1</v>
      </c>
      <c r="I515" s="1">
        <v>0.04</v>
      </c>
      <c r="J515" s="1">
        <v>0</v>
      </c>
      <c r="K515" s="1" t="s">
        <v>17</v>
      </c>
      <c r="L515" s="1">
        <v>2389</v>
      </c>
      <c r="M515" s="1">
        <v>0.68</v>
      </c>
      <c r="N515" s="1">
        <v>0.50951000000000002</v>
      </c>
      <c r="O515" s="1">
        <f>VLOOKUP(D515,underlying!$D$2:$H$75,5,FALSE)</f>
        <v>-0.19</v>
      </c>
      <c r="P515" s="2">
        <f>VLOOKUP(D515,underlying!$D$2:$L$39,9,FALSE)</f>
        <v>42977</v>
      </c>
      <c r="Q515" s="7">
        <f>IF(G515="C",NormalCallSprd(O515,H515,M515,(P515-A515)/365), NormalPutSprd(O515,H515,M515,(P515-A515)/365))</f>
        <v>3.7022652681932861E-2</v>
      </c>
      <c r="R515" s="9">
        <f t="shared" ref="R515:R578" si="17">ABS(Q515-I515)</f>
        <v>2.9773473180671403E-3</v>
      </c>
    </row>
    <row r="516" spans="1:18" x14ac:dyDescent="0.2">
      <c r="A516" s="2">
        <v>42622</v>
      </c>
      <c r="B516" s="1" t="s">
        <v>13</v>
      </c>
      <c r="C516" s="1" t="s">
        <v>14</v>
      </c>
      <c r="D516" s="2">
        <v>42745</v>
      </c>
      <c r="E516" s="2">
        <f t="shared" si="16"/>
        <v>43009</v>
      </c>
      <c r="F516" s="1" t="s">
        <v>15</v>
      </c>
      <c r="G516" s="1" t="s">
        <v>16</v>
      </c>
      <c r="H516" s="1">
        <v>-0.8</v>
      </c>
      <c r="I516" s="1">
        <v>0.67</v>
      </c>
      <c r="J516" s="1">
        <v>0</v>
      </c>
      <c r="K516" s="1" t="s">
        <v>17</v>
      </c>
      <c r="L516" s="1">
        <v>2389</v>
      </c>
      <c r="M516" s="1">
        <v>0.66</v>
      </c>
      <c r="N516" s="1">
        <v>0.53559000000000001</v>
      </c>
      <c r="O516" s="1">
        <f>VLOOKUP(D516,underlying!$D$2:$H$75,5,FALSE)</f>
        <v>-0.19</v>
      </c>
      <c r="P516" s="2">
        <f>VLOOKUP(D516,underlying!$D$2:$L$39,9,FALSE)</f>
        <v>42977</v>
      </c>
      <c r="Q516" s="7">
        <f>IF(G516="C",NormalCallSprd(O516,H516,M516,(P516-A516)/365), NormalPutSprd(O516,H516,M516,(P516-A516)/365))</f>
        <v>0.67103548262949064</v>
      </c>
      <c r="R516" s="9">
        <f t="shared" si="17"/>
        <v>1.0354826294906028E-3</v>
      </c>
    </row>
    <row r="517" spans="1:18" x14ac:dyDescent="0.2">
      <c r="A517" s="2">
        <v>42622</v>
      </c>
      <c r="B517" s="1" t="s">
        <v>13</v>
      </c>
      <c r="C517" s="1" t="s">
        <v>14</v>
      </c>
      <c r="D517" s="2">
        <v>42745</v>
      </c>
      <c r="E517" s="2">
        <f t="shared" si="16"/>
        <v>43009</v>
      </c>
      <c r="F517" s="1" t="s">
        <v>15</v>
      </c>
      <c r="G517" s="1" t="s">
        <v>18</v>
      </c>
      <c r="H517" s="1">
        <v>-0.8</v>
      </c>
      <c r="I517" s="1">
        <v>0.06</v>
      </c>
      <c r="J517" s="1">
        <v>0</v>
      </c>
      <c r="K517" s="1" t="s">
        <v>17</v>
      </c>
      <c r="L517" s="1">
        <v>2389</v>
      </c>
      <c r="M517" s="1">
        <v>0.66</v>
      </c>
      <c r="N517" s="1">
        <v>0.56011999999999995</v>
      </c>
      <c r="O517" s="1">
        <f>VLOOKUP(D517,underlying!$D$2:$H$75,5,FALSE)</f>
        <v>-0.19</v>
      </c>
      <c r="P517" s="2">
        <f>VLOOKUP(D517,underlying!$D$2:$L$39,9,FALSE)</f>
        <v>42977</v>
      </c>
      <c r="Q517" s="7">
        <f>IF(G517="C",NormalCallSprd(O517,H517,M517,(P517-A517)/365), NormalPutSprd(O517,H517,M517,(P517-A517)/365))</f>
        <v>6.1035482629490635E-2</v>
      </c>
      <c r="R517" s="9">
        <f t="shared" si="17"/>
        <v>1.0354826294906375E-3</v>
      </c>
    </row>
    <row r="518" spans="1:18" x14ac:dyDescent="0.2">
      <c r="A518" s="2">
        <v>42622</v>
      </c>
      <c r="B518" s="1" t="s">
        <v>13</v>
      </c>
      <c r="C518" s="1" t="s">
        <v>14</v>
      </c>
      <c r="D518" s="2">
        <v>42745</v>
      </c>
      <c r="E518" s="2">
        <f t="shared" si="16"/>
        <v>43009</v>
      </c>
      <c r="F518" s="1" t="s">
        <v>15</v>
      </c>
      <c r="G518" s="1" t="s">
        <v>16</v>
      </c>
      <c r="H518" s="1">
        <v>-0.75</v>
      </c>
      <c r="I518" s="1">
        <v>0.63</v>
      </c>
      <c r="J518" s="1">
        <v>0</v>
      </c>
      <c r="K518" s="1" t="s">
        <v>17</v>
      </c>
      <c r="L518" s="1">
        <v>2389</v>
      </c>
      <c r="M518" s="1">
        <v>0.66</v>
      </c>
      <c r="N518" s="1">
        <v>0.58306000000000002</v>
      </c>
      <c r="O518" s="1">
        <f>VLOOKUP(D518,underlying!$D$2:$H$75,5,FALSE)</f>
        <v>-0.19</v>
      </c>
      <c r="P518" s="2">
        <f>VLOOKUP(D518,underlying!$D$2:$L$39,9,FALSE)</f>
        <v>42977</v>
      </c>
      <c r="Q518" s="7">
        <f>IF(G518="C",NormalCallSprd(O518,H518,M518,(P518-A518)/365), NormalPutSprd(O518,H518,M518,(P518-A518)/365))</f>
        <v>0.630257925720214</v>
      </c>
      <c r="R518" s="9">
        <f t="shared" si="17"/>
        <v>2.5792572021399174E-4</v>
      </c>
    </row>
    <row r="519" spans="1:18" x14ac:dyDescent="0.2">
      <c r="A519" s="2">
        <v>42622</v>
      </c>
      <c r="B519" s="1" t="s">
        <v>13</v>
      </c>
      <c r="C519" s="1" t="s">
        <v>14</v>
      </c>
      <c r="D519" s="2">
        <v>42745</v>
      </c>
      <c r="E519" s="2">
        <f t="shared" si="16"/>
        <v>43009</v>
      </c>
      <c r="F519" s="1" t="s">
        <v>15</v>
      </c>
      <c r="G519" s="1" t="s">
        <v>18</v>
      </c>
      <c r="H519" s="1">
        <v>-0.75</v>
      </c>
      <c r="I519" s="1">
        <v>7.0000000000000007E-2</v>
      </c>
      <c r="J519" s="1">
        <v>0</v>
      </c>
      <c r="K519" s="1" t="s">
        <v>17</v>
      </c>
      <c r="L519" s="1">
        <v>2389</v>
      </c>
      <c r="M519" s="1">
        <v>0.66</v>
      </c>
      <c r="N519" s="1">
        <v>0.60465000000000002</v>
      </c>
      <c r="O519" s="1">
        <f>VLOOKUP(D519,underlying!$D$2:$H$75,5,FALSE)</f>
        <v>-0.19</v>
      </c>
      <c r="P519" s="2">
        <f>VLOOKUP(D519,underlying!$D$2:$L$39,9,FALSE)</f>
        <v>42977</v>
      </c>
      <c r="Q519" s="7">
        <f>IF(G519="C",NormalCallSprd(O519,H519,M519,(P519-A519)/365), NormalPutSprd(O519,H519,M519,(P519-A519)/365))</f>
        <v>7.0257925720214054E-2</v>
      </c>
      <c r="R519" s="9">
        <f t="shared" si="17"/>
        <v>2.5792572021404725E-4</v>
      </c>
    </row>
    <row r="520" spans="1:18" x14ac:dyDescent="0.2">
      <c r="A520" s="2">
        <v>42622</v>
      </c>
      <c r="B520" s="1" t="s">
        <v>13</v>
      </c>
      <c r="C520" s="1" t="s">
        <v>14</v>
      </c>
      <c r="D520" s="2">
        <v>42745</v>
      </c>
      <c r="E520" s="2">
        <f t="shared" si="16"/>
        <v>43009</v>
      </c>
      <c r="F520" s="1" t="s">
        <v>15</v>
      </c>
      <c r="G520" s="1" t="s">
        <v>16</v>
      </c>
      <c r="H520" s="1">
        <v>-0.7</v>
      </c>
      <c r="I520" s="1">
        <v>0.57999999999999996</v>
      </c>
      <c r="J520" s="1">
        <v>-0.01</v>
      </c>
      <c r="K520" s="1" t="s">
        <v>17</v>
      </c>
      <c r="L520" s="1">
        <v>2389</v>
      </c>
      <c r="M520" s="1">
        <v>0.65</v>
      </c>
      <c r="N520" s="1">
        <v>0.62727999999999995</v>
      </c>
      <c r="O520" s="1">
        <f>VLOOKUP(D520,underlying!$D$2:$H$75,5,FALSE)</f>
        <v>-0.19</v>
      </c>
      <c r="P520" s="2">
        <f>VLOOKUP(D520,underlying!$D$2:$L$39,9,FALSE)</f>
        <v>42977</v>
      </c>
      <c r="Q520" s="7">
        <f>IF(G520="C",NormalCallSprd(O520,H520,M520,(P520-A520)/365), NormalPutSprd(O520,H520,M520,(P520-A520)/365))</f>
        <v>0.58765770526695738</v>
      </c>
      <c r="R520" s="9">
        <f t="shared" si="17"/>
        <v>7.6577052669574153E-3</v>
      </c>
    </row>
    <row r="521" spans="1:18" x14ac:dyDescent="0.2">
      <c r="A521" s="2">
        <v>42622</v>
      </c>
      <c r="B521" s="1" t="s">
        <v>13</v>
      </c>
      <c r="C521" s="1" t="s">
        <v>14</v>
      </c>
      <c r="D521" s="2">
        <v>42745</v>
      </c>
      <c r="E521" s="2">
        <f t="shared" si="16"/>
        <v>43009</v>
      </c>
      <c r="F521" s="1" t="s">
        <v>15</v>
      </c>
      <c r="G521" s="1" t="s">
        <v>18</v>
      </c>
      <c r="H521" s="1">
        <v>-0.7</v>
      </c>
      <c r="I521" s="1">
        <v>0.08</v>
      </c>
      <c r="J521" s="1">
        <v>0</v>
      </c>
      <c r="K521" s="1" t="s">
        <v>17</v>
      </c>
      <c r="L521" s="1">
        <v>2389</v>
      </c>
      <c r="M521" s="1">
        <v>0.65</v>
      </c>
      <c r="N521" s="1">
        <v>0.64722999999999997</v>
      </c>
      <c r="O521" s="1">
        <f>VLOOKUP(D521,underlying!$D$2:$H$75,5,FALSE)</f>
        <v>-0.19</v>
      </c>
      <c r="P521" s="2">
        <f>VLOOKUP(D521,underlying!$D$2:$L$39,9,FALSE)</f>
        <v>42977</v>
      </c>
      <c r="Q521" s="7">
        <f>IF(G521="C",NormalCallSprd(O521,H521,M521,(P521-A521)/365), NormalPutSprd(O521,H521,M521,(P521-A521)/365))</f>
        <v>7.7657705266957422E-2</v>
      </c>
      <c r="R521" s="9">
        <f t="shared" si="17"/>
        <v>2.3422947330425797E-3</v>
      </c>
    </row>
    <row r="522" spans="1:18" x14ac:dyDescent="0.2">
      <c r="A522" s="2">
        <v>42622</v>
      </c>
      <c r="B522" s="1" t="s">
        <v>13</v>
      </c>
      <c r="C522" s="1" t="s">
        <v>14</v>
      </c>
      <c r="D522" s="2">
        <v>42745</v>
      </c>
      <c r="E522" s="2">
        <f t="shared" si="16"/>
        <v>43009</v>
      </c>
      <c r="F522" s="1" t="s">
        <v>15</v>
      </c>
      <c r="G522" s="1" t="s">
        <v>16</v>
      </c>
      <c r="H522" s="1">
        <v>-0.65</v>
      </c>
      <c r="I522" s="1">
        <v>0.55000000000000004</v>
      </c>
      <c r="J522" s="1">
        <v>0</v>
      </c>
      <c r="K522" s="1" t="s">
        <v>17</v>
      </c>
      <c r="L522" s="1">
        <v>2389</v>
      </c>
      <c r="M522" s="1">
        <v>0.65</v>
      </c>
      <c r="N522" s="1">
        <v>0.66535999999999995</v>
      </c>
      <c r="O522" s="1">
        <f>VLOOKUP(D522,underlying!$D$2:$H$75,5,FALSE)</f>
        <v>-0.19</v>
      </c>
      <c r="P522" s="2">
        <f>VLOOKUP(D522,underlying!$D$2:$L$39,9,FALSE)</f>
        <v>42977</v>
      </c>
      <c r="Q522" s="7">
        <f>IF(G522="C",NormalCallSprd(O522,H522,M522,(P522-A522)/365), NormalPutSprd(O522,H522,M522,(P522-A522)/365))</f>
        <v>0.54889296549287281</v>
      </c>
      <c r="R522" s="9">
        <f t="shared" si="17"/>
        <v>1.1070345071272358E-3</v>
      </c>
    </row>
    <row r="523" spans="1:18" x14ac:dyDescent="0.2">
      <c r="A523" s="2">
        <v>42622</v>
      </c>
      <c r="B523" s="1" t="s">
        <v>13</v>
      </c>
      <c r="C523" s="1" t="s">
        <v>14</v>
      </c>
      <c r="D523" s="2">
        <v>42745</v>
      </c>
      <c r="E523" s="2">
        <f t="shared" si="16"/>
        <v>43009</v>
      </c>
      <c r="F523" s="1" t="s">
        <v>15</v>
      </c>
      <c r="G523" s="1" t="s">
        <v>18</v>
      </c>
      <c r="H523" s="1">
        <v>-0.65</v>
      </c>
      <c r="I523" s="1">
        <v>0.09</v>
      </c>
      <c r="J523" s="1">
        <v>0</v>
      </c>
      <c r="K523" s="1" t="s">
        <v>17</v>
      </c>
      <c r="L523" s="1">
        <v>2389</v>
      </c>
      <c r="M523" s="1">
        <v>0.65</v>
      </c>
      <c r="N523" s="1">
        <v>0.68532999999999999</v>
      </c>
      <c r="O523" s="1">
        <f>VLOOKUP(D523,underlying!$D$2:$H$75,5,FALSE)</f>
        <v>-0.19</v>
      </c>
      <c r="P523" s="2">
        <f>VLOOKUP(D523,underlying!$D$2:$L$39,9,FALSE)</f>
        <v>42977</v>
      </c>
      <c r="Q523" s="7">
        <f>IF(G523="C",NormalCallSprd(O523,H523,M523,(P523-A523)/365), NormalPutSprd(O523,H523,M523,(P523-A523)/365))</f>
        <v>8.8892965492872844E-2</v>
      </c>
      <c r="R523" s="9">
        <f t="shared" si="17"/>
        <v>1.1070345071271526E-3</v>
      </c>
    </row>
    <row r="524" spans="1:18" x14ac:dyDescent="0.2">
      <c r="A524" s="2">
        <v>42622</v>
      </c>
      <c r="B524" s="1" t="s">
        <v>13</v>
      </c>
      <c r="C524" s="1" t="s">
        <v>14</v>
      </c>
      <c r="D524" s="2">
        <v>42745</v>
      </c>
      <c r="E524" s="2">
        <f t="shared" si="16"/>
        <v>43009</v>
      </c>
      <c r="F524" s="1" t="s">
        <v>15</v>
      </c>
      <c r="G524" s="1" t="s">
        <v>16</v>
      </c>
      <c r="H524" s="1">
        <v>-0.6</v>
      </c>
      <c r="I524" s="1">
        <v>0.51</v>
      </c>
      <c r="J524" s="1">
        <v>0</v>
      </c>
      <c r="K524" s="1" t="s">
        <v>17</v>
      </c>
      <c r="L524" s="1">
        <v>2389</v>
      </c>
      <c r="M524" s="1">
        <v>0.64</v>
      </c>
      <c r="N524" s="1">
        <v>0.70535000000000003</v>
      </c>
      <c r="O524" s="1">
        <f>VLOOKUP(D524,underlying!$D$2:$H$75,5,FALSE)</f>
        <v>-0.19</v>
      </c>
      <c r="P524" s="2">
        <f>VLOOKUP(D524,underlying!$D$2:$L$39,9,FALSE)</f>
        <v>42977</v>
      </c>
      <c r="Q524" s="7">
        <f>IF(G524="C",NormalCallSprd(O524,H524,M524,(P524-A524)/365), NormalPutSprd(O524,H524,M524,(P524-A524)/365))</f>
        <v>0.5081342193878422</v>
      </c>
      <c r="R524" s="9">
        <f t="shared" si="17"/>
        <v>1.865780612157808E-3</v>
      </c>
    </row>
    <row r="525" spans="1:18" x14ac:dyDescent="0.2">
      <c r="A525" s="2">
        <v>42622</v>
      </c>
      <c r="B525" s="1" t="s">
        <v>13</v>
      </c>
      <c r="C525" s="1" t="s">
        <v>14</v>
      </c>
      <c r="D525" s="2">
        <v>42745</v>
      </c>
      <c r="E525" s="2">
        <f t="shared" si="16"/>
        <v>43009</v>
      </c>
      <c r="F525" s="1" t="s">
        <v>15</v>
      </c>
      <c r="G525" s="1" t="s">
        <v>18</v>
      </c>
      <c r="H525" s="1">
        <v>-0.6</v>
      </c>
      <c r="I525" s="1">
        <v>0.1</v>
      </c>
      <c r="J525" s="1">
        <v>0</v>
      </c>
      <c r="K525" s="1" t="s">
        <v>17</v>
      </c>
      <c r="L525" s="1">
        <v>2389</v>
      </c>
      <c r="M525" s="1">
        <v>0.64</v>
      </c>
      <c r="N525" s="1">
        <v>0.80093999999999999</v>
      </c>
      <c r="O525" s="1">
        <f>VLOOKUP(D525,underlying!$D$2:$H$75,5,FALSE)</f>
        <v>-0.19</v>
      </c>
      <c r="P525" s="2">
        <f>VLOOKUP(D525,underlying!$D$2:$L$39,9,FALSE)</f>
        <v>42977</v>
      </c>
      <c r="Q525" s="7">
        <f>IF(G525="C",NormalCallSprd(O525,H525,M525,(P525-A525)/365), NormalPutSprd(O525,H525,M525,(P525-A525)/365))</f>
        <v>9.8134219387842239E-2</v>
      </c>
      <c r="R525" s="9">
        <f t="shared" si="17"/>
        <v>1.8657806121577664E-3</v>
      </c>
    </row>
    <row r="526" spans="1:18" x14ac:dyDescent="0.2">
      <c r="A526" s="2">
        <v>42622</v>
      </c>
      <c r="B526" s="1" t="s">
        <v>13</v>
      </c>
      <c r="C526" s="1" t="s">
        <v>14</v>
      </c>
      <c r="D526" s="2">
        <v>42745</v>
      </c>
      <c r="E526" s="2">
        <f t="shared" si="16"/>
        <v>43009</v>
      </c>
      <c r="F526" s="1" t="s">
        <v>15</v>
      </c>
      <c r="G526" s="1" t="s">
        <v>16</v>
      </c>
      <c r="H526" s="1">
        <v>-0.55000000000000004</v>
      </c>
      <c r="I526" s="1">
        <v>0.47</v>
      </c>
      <c r="J526" s="1">
        <v>0</v>
      </c>
      <c r="K526" s="1" t="s">
        <v>17</v>
      </c>
      <c r="L526" s="1">
        <v>2389</v>
      </c>
      <c r="M526" s="1">
        <v>0.64</v>
      </c>
      <c r="N526" s="1">
        <v>0.91564999999999996</v>
      </c>
      <c r="O526" s="1">
        <f>VLOOKUP(D526,underlying!$D$2:$H$75,5,FALSE)</f>
        <v>-0.19</v>
      </c>
      <c r="P526" s="2">
        <f>VLOOKUP(D526,underlying!$D$2:$L$39,9,FALSE)</f>
        <v>42977</v>
      </c>
      <c r="Q526" s="7">
        <f>IF(G526="C",NormalCallSprd(O526,H526,M526,(P526-A526)/365), NormalPutSprd(O526,H526,M526,(P526-A526)/365))</f>
        <v>0.47168379675083588</v>
      </c>
      <c r="R526" s="9">
        <f t="shared" si="17"/>
        <v>1.6837967508359086E-3</v>
      </c>
    </row>
    <row r="527" spans="1:18" x14ac:dyDescent="0.2">
      <c r="A527" s="2">
        <v>42622</v>
      </c>
      <c r="B527" s="1" t="s">
        <v>13</v>
      </c>
      <c r="C527" s="1" t="s">
        <v>14</v>
      </c>
      <c r="D527" s="2">
        <v>42745</v>
      </c>
      <c r="E527" s="2">
        <f t="shared" si="16"/>
        <v>43009</v>
      </c>
      <c r="F527" s="1" t="s">
        <v>15</v>
      </c>
      <c r="G527" s="1" t="s">
        <v>18</v>
      </c>
      <c r="H527" s="1">
        <v>-0.55000000000000004</v>
      </c>
      <c r="I527" s="1">
        <v>0.11</v>
      </c>
      <c r="J527" s="1">
        <v>0</v>
      </c>
      <c r="K527" s="1" t="s">
        <v>17</v>
      </c>
      <c r="L527" s="1">
        <v>2389</v>
      </c>
      <c r="M527" s="1">
        <v>0.64</v>
      </c>
      <c r="N527" s="1">
        <v>0.95652000000000004</v>
      </c>
      <c r="O527" s="1">
        <f>VLOOKUP(D527,underlying!$D$2:$H$75,5,FALSE)</f>
        <v>-0.19</v>
      </c>
      <c r="P527" s="2">
        <f>VLOOKUP(D527,underlying!$D$2:$L$39,9,FALSE)</f>
        <v>42977</v>
      </c>
      <c r="Q527" s="7">
        <f>IF(G527="C",NormalCallSprd(O527,H527,M527,(P527-A527)/365), NormalPutSprd(O527,H527,M527,(P527-A527)/365))</f>
        <v>0.11168379675083583</v>
      </c>
      <c r="R527" s="9">
        <f t="shared" si="17"/>
        <v>1.6837967508358254E-3</v>
      </c>
    </row>
    <row r="528" spans="1:18" x14ac:dyDescent="0.2">
      <c r="A528" s="2">
        <v>42622</v>
      </c>
      <c r="B528" s="1" t="s">
        <v>13</v>
      </c>
      <c r="C528" s="1" t="s">
        <v>14</v>
      </c>
      <c r="D528" s="2">
        <v>42745</v>
      </c>
      <c r="E528" s="2">
        <f t="shared" si="16"/>
        <v>43009</v>
      </c>
      <c r="F528" s="1" t="s">
        <v>15</v>
      </c>
      <c r="G528" s="1" t="s">
        <v>16</v>
      </c>
      <c r="H528" s="1">
        <v>-0.5</v>
      </c>
      <c r="I528" s="1">
        <v>0.43</v>
      </c>
      <c r="J528" s="1">
        <v>0</v>
      </c>
      <c r="K528" s="1" t="s">
        <v>17</v>
      </c>
      <c r="L528" s="1">
        <v>2389</v>
      </c>
      <c r="M528" s="1">
        <v>0.63</v>
      </c>
      <c r="N528" s="1">
        <v>-0.54598000000000002</v>
      </c>
      <c r="O528" s="1">
        <f>VLOOKUP(D528,underlying!$D$2:$H$75,5,FALSE)</f>
        <v>-0.19</v>
      </c>
      <c r="P528" s="2">
        <f>VLOOKUP(D528,underlying!$D$2:$L$39,9,FALSE)</f>
        <v>42977</v>
      </c>
      <c r="Q528" s="7">
        <f>IF(G528="C",NormalCallSprd(O528,H528,M528,(P528-A528)/365), NormalPutSprd(O528,H528,M528,(P528-A528)/365))</f>
        <v>0.43309516759679073</v>
      </c>
      <c r="R528" s="9">
        <f t="shared" si="17"/>
        <v>3.0951675967907377E-3</v>
      </c>
    </row>
    <row r="529" spans="1:18" x14ac:dyDescent="0.2">
      <c r="A529" s="2">
        <v>42622</v>
      </c>
      <c r="B529" s="1" t="s">
        <v>13</v>
      </c>
      <c r="C529" s="1" t="s">
        <v>14</v>
      </c>
      <c r="D529" s="2">
        <v>42745</v>
      </c>
      <c r="E529" s="2">
        <f t="shared" si="16"/>
        <v>43009</v>
      </c>
      <c r="F529" s="1" t="s">
        <v>15</v>
      </c>
      <c r="G529" s="1" t="s">
        <v>18</v>
      </c>
      <c r="H529" s="1">
        <v>-0.5</v>
      </c>
      <c r="I529" s="1">
        <v>0.12</v>
      </c>
      <c r="J529" s="1">
        <v>0</v>
      </c>
      <c r="K529" s="1" t="s">
        <v>17</v>
      </c>
      <c r="L529" s="1">
        <v>2389</v>
      </c>
      <c r="M529" s="1">
        <v>0.63</v>
      </c>
      <c r="N529" s="1">
        <v>-0.51995999999999998</v>
      </c>
      <c r="O529" s="1">
        <f>VLOOKUP(D529,underlying!$D$2:$H$75,5,FALSE)</f>
        <v>-0.19</v>
      </c>
      <c r="P529" s="2">
        <f>VLOOKUP(D529,underlying!$D$2:$L$39,9,FALSE)</f>
        <v>42977</v>
      </c>
      <c r="Q529" s="7">
        <f>IF(G529="C",NormalCallSprd(O529,H529,M529,(P529-A529)/365), NormalPutSprd(O529,H529,M529,(P529-A529)/365))</f>
        <v>0.12309516759679076</v>
      </c>
      <c r="R529" s="9">
        <f t="shared" si="17"/>
        <v>3.0951675967907655E-3</v>
      </c>
    </row>
    <row r="530" spans="1:18" x14ac:dyDescent="0.2">
      <c r="A530" s="2">
        <v>42622</v>
      </c>
      <c r="B530" s="1" t="s">
        <v>13</v>
      </c>
      <c r="C530" s="1" t="s">
        <v>14</v>
      </c>
      <c r="D530" s="2">
        <v>42745</v>
      </c>
      <c r="E530" s="2">
        <f t="shared" si="16"/>
        <v>43009</v>
      </c>
      <c r="F530" s="1" t="s">
        <v>15</v>
      </c>
      <c r="G530" s="1" t="s">
        <v>16</v>
      </c>
      <c r="H530" s="1">
        <v>-0.45</v>
      </c>
      <c r="I530" s="1">
        <v>0.4</v>
      </c>
      <c r="J530" s="1">
        <v>0</v>
      </c>
      <c r="K530" s="1" t="s">
        <v>17</v>
      </c>
      <c r="L530" s="1">
        <v>2389</v>
      </c>
      <c r="M530" s="1">
        <v>0.63</v>
      </c>
      <c r="N530" s="1">
        <v>-0.49381000000000003</v>
      </c>
      <c r="O530" s="1">
        <f>VLOOKUP(D530,underlying!$D$2:$H$75,5,FALSE)</f>
        <v>-0.19</v>
      </c>
      <c r="P530" s="2">
        <f>VLOOKUP(D530,underlying!$D$2:$L$39,9,FALSE)</f>
        <v>42977</v>
      </c>
      <c r="Q530" s="7">
        <f>IF(G530="C",NormalCallSprd(O530,H530,M530,(P530-A530)/365), NormalPutSprd(O530,H530,M530,(P530-A530)/365))</f>
        <v>0.3992584815102122</v>
      </c>
      <c r="R530" s="9">
        <f t="shared" si="17"/>
        <v>7.4151848978781798E-4</v>
      </c>
    </row>
    <row r="531" spans="1:18" x14ac:dyDescent="0.2">
      <c r="A531" s="2">
        <v>42622</v>
      </c>
      <c r="B531" s="1" t="s">
        <v>13</v>
      </c>
      <c r="C531" s="1" t="s">
        <v>14</v>
      </c>
      <c r="D531" s="2">
        <v>42745</v>
      </c>
      <c r="E531" s="2">
        <f t="shared" si="16"/>
        <v>43009</v>
      </c>
      <c r="F531" s="1" t="s">
        <v>15</v>
      </c>
      <c r="G531" s="1" t="s">
        <v>18</v>
      </c>
      <c r="H531" s="1">
        <v>-0.45</v>
      </c>
      <c r="I531" s="1">
        <v>0.14000000000000001</v>
      </c>
      <c r="J531" s="1">
        <v>0</v>
      </c>
      <c r="K531" s="1" t="s">
        <v>17</v>
      </c>
      <c r="L531" s="1">
        <v>2389</v>
      </c>
      <c r="M531" s="1">
        <v>0.63</v>
      </c>
      <c r="N531" s="1">
        <v>-0.46762999999999999</v>
      </c>
      <c r="O531" s="1">
        <f>VLOOKUP(D531,underlying!$D$2:$H$75,5,FALSE)</f>
        <v>-0.19</v>
      </c>
      <c r="P531" s="2">
        <f>VLOOKUP(D531,underlying!$D$2:$L$39,9,FALSE)</f>
        <v>42977</v>
      </c>
      <c r="Q531" s="7">
        <f>IF(G531="C",NormalCallSprd(O531,H531,M531,(P531-A531)/365), NormalPutSprd(O531,H531,M531,(P531-A531)/365))</f>
        <v>0.1392584815102122</v>
      </c>
      <c r="R531" s="9">
        <f t="shared" si="17"/>
        <v>7.4151848978781798E-4</v>
      </c>
    </row>
    <row r="532" spans="1:18" x14ac:dyDescent="0.2">
      <c r="A532" s="2">
        <v>42622</v>
      </c>
      <c r="B532" s="1" t="s">
        <v>13</v>
      </c>
      <c r="C532" s="1" t="s">
        <v>14</v>
      </c>
      <c r="D532" s="2">
        <v>42745</v>
      </c>
      <c r="E532" s="2">
        <f t="shared" si="16"/>
        <v>43009</v>
      </c>
      <c r="F532" s="1" t="s">
        <v>15</v>
      </c>
      <c r="G532" s="1" t="s">
        <v>16</v>
      </c>
      <c r="H532" s="1">
        <v>-0.4</v>
      </c>
      <c r="I532" s="1">
        <v>0.36</v>
      </c>
      <c r="J532" s="1">
        <v>0</v>
      </c>
      <c r="K532" s="1" t="s">
        <v>17</v>
      </c>
      <c r="L532" s="1">
        <v>2389</v>
      </c>
      <c r="M532" s="1">
        <v>0.62</v>
      </c>
      <c r="N532" s="1">
        <v>-0.44153999999999999</v>
      </c>
      <c r="O532" s="1">
        <f>VLOOKUP(D532,underlying!$D$2:$H$75,5,FALSE)</f>
        <v>-0.19</v>
      </c>
      <c r="P532" s="2">
        <f>VLOOKUP(D532,underlying!$D$2:$L$39,9,FALSE)</f>
        <v>42977</v>
      </c>
      <c r="Q532" s="7">
        <f>IF(G532="C",NormalCallSprd(O532,H532,M532,(P532-A532)/365), NormalPutSprd(O532,H532,M532,(P532-A532)/365))</f>
        <v>0.3631792760768135</v>
      </c>
      <c r="R532" s="9">
        <f t="shared" si="17"/>
        <v>3.1792760768135087E-3</v>
      </c>
    </row>
    <row r="533" spans="1:18" x14ac:dyDescent="0.2">
      <c r="A533" s="2">
        <v>42622</v>
      </c>
      <c r="B533" s="1" t="s">
        <v>13</v>
      </c>
      <c r="C533" s="1" t="s">
        <v>14</v>
      </c>
      <c r="D533" s="2">
        <v>42745</v>
      </c>
      <c r="E533" s="2">
        <f t="shared" si="16"/>
        <v>43009</v>
      </c>
      <c r="F533" s="1" t="s">
        <v>15</v>
      </c>
      <c r="G533" s="1" t="s">
        <v>18</v>
      </c>
      <c r="H533" s="1">
        <v>-0.4</v>
      </c>
      <c r="I533" s="1">
        <v>0.15</v>
      </c>
      <c r="J533" s="1">
        <v>0</v>
      </c>
      <c r="K533" s="1" t="s">
        <v>17</v>
      </c>
      <c r="L533" s="1">
        <v>2389</v>
      </c>
      <c r="M533" s="1">
        <v>0.62</v>
      </c>
      <c r="N533" s="1">
        <v>-0.41700999999999999</v>
      </c>
      <c r="O533" s="1">
        <f>VLOOKUP(D533,underlying!$D$2:$H$75,5,FALSE)</f>
        <v>-0.19</v>
      </c>
      <c r="P533" s="2">
        <f>VLOOKUP(D533,underlying!$D$2:$L$39,9,FALSE)</f>
        <v>42977</v>
      </c>
      <c r="Q533" s="7">
        <f>IF(G533="C",NormalCallSprd(O533,H533,M533,(P533-A533)/365), NormalPutSprd(O533,H533,M533,(P533-A533)/365))</f>
        <v>0.15317927607681345</v>
      </c>
      <c r="R533" s="9">
        <f t="shared" si="17"/>
        <v>3.1792760768134531E-3</v>
      </c>
    </row>
    <row r="534" spans="1:18" x14ac:dyDescent="0.2">
      <c r="A534" s="2">
        <v>42622</v>
      </c>
      <c r="B534" s="1" t="s">
        <v>13</v>
      </c>
      <c r="C534" s="1" t="s">
        <v>14</v>
      </c>
      <c r="D534" s="2">
        <v>42745</v>
      </c>
      <c r="E534" s="2">
        <f t="shared" si="16"/>
        <v>43009</v>
      </c>
      <c r="F534" s="1" t="s">
        <v>15</v>
      </c>
      <c r="G534" s="1" t="s">
        <v>16</v>
      </c>
      <c r="H534" s="1">
        <v>-0.35</v>
      </c>
      <c r="I534" s="1">
        <v>0.33</v>
      </c>
      <c r="J534" s="1">
        <v>0</v>
      </c>
      <c r="K534" s="1" t="s">
        <v>17</v>
      </c>
      <c r="L534" s="1">
        <v>2389</v>
      </c>
      <c r="M534" s="1">
        <v>0.62</v>
      </c>
      <c r="N534" s="1">
        <v>-0.39407999999999999</v>
      </c>
      <c r="O534" s="1">
        <f>VLOOKUP(D534,underlying!$D$2:$H$75,5,FALSE)</f>
        <v>-0.19</v>
      </c>
      <c r="P534" s="2">
        <f>VLOOKUP(D534,underlying!$D$2:$L$39,9,FALSE)</f>
        <v>42977</v>
      </c>
      <c r="Q534" s="7">
        <f>IF(G534="C",NormalCallSprd(O534,H534,M534,(P534-A534)/365), NormalPutSprd(O534,H534,M534,(P534-A534)/365))</f>
        <v>0.33223650162553064</v>
      </c>
      <c r="R534" s="9">
        <f t="shared" si="17"/>
        <v>2.2365016255306291E-3</v>
      </c>
    </row>
    <row r="535" spans="1:18" x14ac:dyDescent="0.2">
      <c r="A535" s="2">
        <v>42622</v>
      </c>
      <c r="B535" s="1" t="s">
        <v>13</v>
      </c>
      <c r="C535" s="1" t="s">
        <v>14</v>
      </c>
      <c r="D535" s="2">
        <v>42745</v>
      </c>
      <c r="E535" s="2">
        <f t="shared" si="16"/>
        <v>43009</v>
      </c>
      <c r="F535" s="1" t="s">
        <v>15</v>
      </c>
      <c r="G535" s="1" t="s">
        <v>18</v>
      </c>
      <c r="H535" s="1">
        <v>-0.35</v>
      </c>
      <c r="I535" s="1">
        <v>0.17</v>
      </c>
      <c r="J535" s="1">
        <v>0</v>
      </c>
      <c r="K535" s="1" t="s">
        <v>17</v>
      </c>
      <c r="L535" s="1">
        <v>2389</v>
      </c>
      <c r="M535" s="1">
        <v>0.62</v>
      </c>
      <c r="N535" s="1">
        <v>-0.37247999999999998</v>
      </c>
      <c r="O535" s="1">
        <f>VLOOKUP(D535,underlying!$D$2:$H$75,5,FALSE)</f>
        <v>-0.19</v>
      </c>
      <c r="P535" s="2">
        <f>VLOOKUP(D535,underlying!$D$2:$L$39,9,FALSE)</f>
        <v>42977</v>
      </c>
      <c r="Q535" s="7">
        <f>IF(G535="C",NormalCallSprd(O535,H535,M535,(P535-A535)/365), NormalPutSprd(O535,H535,M535,(P535-A535)/365))</f>
        <v>0.1722365016255307</v>
      </c>
      <c r="R535" s="9">
        <f t="shared" si="17"/>
        <v>2.2365016255306847E-3</v>
      </c>
    </row>
    <row r="536" spans="1:18" x14ac:dyDescent="0.2">
      <c r="A536" s="2">
        <v>42622</v>
      </c>
      <c r="B536" s="1" t="s">
        <v>13</v>
      </c>
      <c r="C536" s="1" t="s">
        <v>14</v>
      </c>
      <c r="D536" s="2">
        <v>42745</v>
      </c>
      <c r="E536" s="2">
        <f t="shared" si="16"/>
        <v>43009</v>
      </c>
      <c r="F536" s="1" t="s">
        <v>15</v>
      </c>
      <c r="G536" s="1" t="s">
        <v>16</v>
      </c>
      <c r="H536" s="1">
        <v>-0.3</v>
      </c>
      <c r="I536" s="1">
        <v>0.3</v>
      </c>
      <c r="J536" s="1">
        <v>0</v>
      </c>
      <c r="K536" s="1" t="s">
        <v>17</v>
      </c>
      <c r="L536" s="1">
        <v>2389</v>
      </c>
      <c r="M536" s="1">
        <v>0.61</v>
      </c>
      <c r="N536" s="1">
        <v>-0.34986</v>
      </c>
      <c r="O536" s="1">
        <f>VLOOKUP(D536,underlying!$D$2:$H$75,5,FALSE)</f>
        <v>-0.19</v>
      </c>
      <c r="P536" s="2">
        <f>VLOOKUP(D536,underlying!$D$2:$L$39,9,FALSE)</f>
        <v>42977</v>
      </c>
      <c r="Q536" s="7">
        <f>IF(G536="C",NormalCallSprd(O536,H536,M536,(P536-A536)/365), NormalPutSprd(O536,H536,M536,(P536-A536)/365))</f>
        <v>0.29899893548202433</v>
      </c>
      <c r="R536" s="9">
        <f t="shared" si="17"/>
        <v>1.0010645179756583E-3</v>
      </c>
    </row>
    <row r="537" spans="1:18" x14ac:dyDescent="0.2">
      <c r="A537" s="2">
        <v>42622</v>
      </c>
      <c r="B537" s="1" t="s">
        <v>13</v>
      </c>
      <c r="C537" s="1" t="s">
        <v>14</v>
      </c>
      <c r="D537" s="2">
        <v>42745</v>
      </c>
      <c r="E537" s="2">
        <f t="shared" si="16"/>
        <v>43009</v>
      </c>
      <c r="F537" s="1" t="s">
        <v>15</v>
      </c>
      <c r="G537" s="1" t="s">
        <v>18</v>
      </c>
      <c r="H537" s="1">
        <v>-0.3</v>
      </c>
      <c r="I537" s="1">
        <v>0.19</v>
      </c>
      <c r="J537" s="1">
        <v>0</v>
      </c>
      <c r="K537" s="1" t="s">
        <v>17</v>
      </c>
      <c r="L537" s="1">
        <v>2389</v>
      </c>
      <c r="M537" s="1">
        <v>0.61</v>
      </c>
      <c r="N537" s="1">
        <v>-0.32990000000000003</v>
      </c>
      <c r="O537" s="1">
        <f>VLOOKUP(D537,underlying!$D$2:$H$75,5,FALSE)</f>
        <v>-0.19</v>
      </c>
      <c r="P537" s="2">
        <f>VLOOKUP(D537,underlying!$D$2:$L$39,9,FALSE)</f>
        <v>42977</v>
      </c>
      <c r="Q537" s="7">
        <f>IF(G537="C",NormalCallSprd(O537,H537,M537,(P537-A537)/365), NormalPutSprd(O537,H537,M537,(P537-A537)/365))</f>
        <v>0.18899893548202434</v>
      </c>
      <c r="R537" s="9">
        <f t="shared" si="17"/>
        <v>1.0010645179756583E-3</v>
      </c>
    </row>
    <row r="538" spans="1:18" x14ac:dyDescent="0.2">
      <c r="A538" s="2">
        <v>42622</v>
      </c>
      <c r="B538" s="1" t="s">
        <v>13</v>
      </c>
      <c r="C538" s="1" t="s">
        <v>14</v>
      </c>
      <c r="D538" s="2">
        <v>42745</v>
      </c>
      <c r="E538" s="2">
        <f t="shared" si="16"/>
        <v>43009</v>
      </c>
      <c r="F538" s="1" t="s">
        <v>15</v>
      </c>
      <c r="G538" s="1" t="s">
        <v>16</v>
      </c>
      <c r="H538" s="1">
        <v>-0.25</v>
      </c>
      <c r="I538" s="1">
        <v>0.27</v>
      </c>
      <c r="J538" s="1">
        <v>0</v>
      </c>
      <c r="K538" s="1" t="s">
        <v>17</v>
      </c>
      <c r="L538" s="1">
        <v>2389</v>
      </c>
      <c r="M538" s="1">
        <v>0.61</v>
      </c>
      <c r="N538" s="1">
        <v>-0.31178</v>
      </c>
      <c r="O538" s="1">
        <f>VLOOKUP(D538,underlying!$D$2:$H$75,5,FALSE)</f>
        <v>-0.19</v>
      </c>
      <c r="P538" s="2">
        <f>VLOOKUP(D538,underlying!$D$2:$L$39,9,FALSE)</f>
        <v>42977</v>
      </c>
      <c r="Q538" s="7">
        <f>IF(G538="C",NormalCallSprd(O538,H538,M538,(P538-A538)/365), NormalPutSprd(O538,H538,M538,(P538-A538)/365))</f>
        <v>0.27119069591694861</v>
      </c>
      <c r="R538" s="9">
        <f t="shared" si="17"/>
        <v>1.190695916948592E-3</v>
      </c>
    </row>
    <row r="539" spans="1:18" x14ac:dyDescent="0.2">
      <c r="A539" s="2">
        <v>42622</v>
      </c>
      <c r="B539" s="1" t="s">
        <v>13</v>
      </c>
      <c r="C539" s="1" t="s">
        <v>14</v>
      </c>
      <c r="D539" s="2">
        <v>42745</v>
      </c>
      <c r="E539" s="2">
        <f t="shared" si="16"/>
        <v>43009</v>
      </c>
      <c r="F539" s="1" t="s">
        <v>15</v>
      </c>
      <c r="G539" s="1" t="s">
        <v>18</v>
      </c>
      <c r="H539" s="1">
        <v>-0.25</v>
      </c>
      <c r="I539" s="1">
        <v>0.21</v>
      </c>
      <c r="J539" s="1">
        <v>0</v>
      </c>
      <c r="K539" s="1" t="s">
        <v>17</v>
      </c>
      <c r="L539" s="1">
        <v>2389</v>
      </c>
      <c r="M539" s="1">
        <v>0.61</v>
      </c>
      <c r="N539" s="1">
        <v>-0.29181000000000001</v>
      </c>
      <c r="O539" s="1">
        <f>VLOOKUP(D539,underlying!$D$2:$H$75,5,FALSE)</f>
        <v>-0.19</v>
      </c>
      <c r="P539" s="2">
        <f>VLOOKUP(D539,underlying!$D$2:$L$39,9,FALSE)</f>
        <v>42977</v>
      </c>
      <c r="Q539" s="7">
        <f>IF(G539="C",NormalCallSprd(O539,H539,M539,(P539-A539)/365), NormalPutSprd(O539,H539,M539,(P539-A539)/365))</f>
        <v>0.21119069591694861</v>
      </c>
      <c r="R539" s="9">
        <f t="shared" si="17"/>
        <v>1.1906959169486198E-3</v>
      </c>
    </row>
    <row r="540" spans="1:18" x14ac:dyDescent="0.2">
      <c r="A540" s="2">
        <v>42622</v>
      </c>
      <c r="B540" s="1" t="s">
        <v>13</v>
      </c>
      <c r="C540" s="1" t="s">
        <v>14</v>
      </c>
      <c r="D540" s="2">
        <v>42745</v>
      </c>
      <c r="E540" s="2">
        <f t="shared" si="16"/>
        <v>43009</v>
      </c>
      <c r="F540" s="1" t="s">
        <v>15</v>
      </c>
      <c r="G540" s="1" t="s">
        <v>16</v>
      </c>
      <c r="H540" s="1">
        <v>-0.2</v>
      </c>
      <c r="I540" s="1">
        <v>0.24</v>
      </c>
      <c r="J540" s="1">
        <v>0</v>
      </c>
      <c r="K540" s="1" t="s">
        <v>17</v>
      </c>
      <c r="L540" s="1">
        <v>2389</v>
      </c>
      <c r="M540" s="1">
        <v>0.6</v>
      </c>
      <c r="N540" s="1">
        <v>-0.27178000000000002</v>
      </c>
      <c r="O540" s="1">
        <f>VLOOKUP(D540,underlying!$D$2:$H$75,5,FALSE)</f>
        <v>-0.19</v>
      </c>
      <c r="P540" s="2">
        <f>VLOOKUP(D540,underlying!$D$2:$L$39,9,FALSE)</f>
        <v>42977</v>
      </c>
      <c r="Q540" s="7">
        <f>IF(G540="C",NormalCallSprd(O540,H540,M540,(P540-A540)/365), NormalPutSprd(O540,H540,M540,(P540-A540)/365))</f>
        <v>0.24109732819541257</v>
      </c>
      <c r="R540" s="9">
        <f t="shared" si="17"/>
        <v>1.0973281954125835E-3</v>
      </c>
    </row>
    <row r="541" spans="1:18" x14ac:dyDescent="0.2">
      <c r="A541" s="2">
        <v>42622</v>
      </c>
      <c r="B541" s="1" t="s">
        <v>13</v>
      </c>
      <c r="C541" s="1" t="s">
        <v>14</v>
      </c>
      <c r="D541" s="2">
        <v>42745</v>
      </c>
      <c r="E541" s="2">
        <f t="shared" si="16"/>
        <v>43009</v>
      </c>
      <c r="F541" s="1" t="s">
        <v>15</v>
      </c>
      <c r="G541" s="1" t="s">
        <v>18</v>
      </c>
      <c r="H541" s="1">
        <v>-0.2</v>
      </c>
      <c r="I541" s="1">
        <v>0.23</v>
      </c>
      <c r="J541" s="1">
        <v>0</v>
      </c>
      <c r="K541" s="1" t="s">
        <v>17</v>
      </c>
      <c r="L541" s="1">
        <v>2389</v>
      </c>
      <c r="M541" s="1">
        <v>0.6</v>
      </c>
      <c r="N541" s="1">
        <v>-0.17619000000000001</v>
      </c>
      <c r="O541" s="1">
        <f>VLOOKUP(D541,underlying!$D$2:$H$75,5,FALSE)</f>
        <v>-0.19</v>
      </c>
      <c r="P541" s="2">
        <f>VLOOKUP(D541,underlying!$D$2:$L$39,9,FALSE)</f>
        <v>42977</v>
      </c>
      <c r="Q541" s="7">
        <f>IF(G541="C",NormalCallSprd(O541,H541,M541,(P541-A541)/365), NormalPutSprd(O541,H541,M541,(P541-A541)/365))</f>
        <v>0.23109732819541257</v>
      </c>
      <c r="R541" s="9">
        <f t="shared" si="17"/>
        <v>1.0973281954125558E-3</v>
      </c>
    </row>
    <row r="542" spans="1:18" x14ac:dyDescent="0.2">
      <c r="A542" s="2">
        <v>42622</v>
      </c>
      <c r="B542" s="1" t="s">
        <v>13</v>
      </c>
      <c r="C542" s="1" t="s">
        <v>14</v>
      </c>
      <c r="D542" s="2">
        <v>42745</v>
      </c>
      <c r="E542" s="2">
        <f t="shared" si="16"/>
        <v>43009</v>
      </c>
      <c r="F542" s="1" t="s">
        <v>15</v>
      </c>
      <c r="G542" s="1" t="s">
        <v>16</v>
      </c>
      <c r="H542" s="1">
        <v>-0.15</v>
      </c>
      <c r="I542" s="1">
        <v>0.22</v>
      </c>
      <c r="J542" s="1">
        <v>0</v>
      </c>
      <c r="K542" s="1" t="s">
        <v>17</v>
      </c>
      <c r="L542" s="1">
        <v>2389</v>
      </c>
      <c r="M542" s="1">
        <v>0.6</v>
      </c>
      <c r="N542" s="1">
        <v>-6.1490000000000003E-2</v>
      </c>
      <c r="O542" s="1">
        <f>VLOOKUP(D542,underlying!$D$2:$H$75,5,FALSE)</f>
        <v>-0.19</v>
      </c>
      <c r="P542" s="2">
        <f>VLOOKUP(D542,underlying!$D$2:$L$39,9,FALSE)</f>
        <v>42977</v>
      </c>
      <c r="Q542" s="7">
        <f>IF(G542="C",NormalCallSprd(O542,H542,M542,(P542-A542)/365), NormalPutSprd(O542,H542,M542,(P542-A542)/365))</f>
        <v>0.21660277640495626</v>
      </c>
      <c r="R542" s="9">
        <f t="shared" si="17"/>
        <v>3.3972235950437413E-3</v>
      </c>
    </row>
    <row r="543" spans="1:18" x14ac:dyDescent="0.2">
      <c r="A543" s="2">
        <v>42622</v>
      </c>
      <c r="B543" s="1" t="s">
        <v>13</v>
      </c>
      <c r="C543" s="1" t="s">
        <v>14</v>
      </c>
      <c r="D543" s="2">
        <v>42745</v>
      </c>
      <c r="E543" s="2">
        <f t="shared" si="16"/>
        <v>43009</v>
      </c>
      <c r="F543" s="1" t="s">
        <v>15</v>
      </c>
      <c r="G543" s="1" t="s">
        <v>18</v>
      </c>
      <c r="H543" s="1">
        <v>-0.15</v>
      </c>
      <c r="I543" s="1">
        <v>0.26</v>
      </c>
      <c r="J543" s="1">
        <v>0</v>
      </c>
      <c r="K543" s="1" t="s">
        <v>17</v>
      </c>
      <c r="L543" s="1">
        <v>2389</v>
      </c>
      <c r="M543" s="1">
        <v>0.6</v>
      </c>
      <c r="N543" s="1">
        <v>-2.061E-2</v>
      </c>
      <c r="O543" s="1">
        <f>VLOOKUP(D543,underlying!$D$2:$H$75,5,FALSE)</f>
        <v>-0.19</v>
      </c>
      <c r="P543" s="2">
        <f>VLOOKUP(D543,underlying!$D$2:$L$39,9,FALSE)</f>
        <v>42977</v>
      </c>
      <c r="Q543" s="7">
        <f>IF(G543="C",NormalCallSprd(O543,H543,M543,(P543-A543)/365), NormalPutSprd(O543,H543,M543,(P543-A543)/365))</f>
        <v>0.25660277640495627</v>
      </c>
      <c r="R543" s="9">
        <f t="shared" si="17"/>
        <v>3.3972235950437413E-3</v>
      </c>
    </row>
    <row r="544" spans="1:18" x14ac:dyDescent="0.2">
      <c r="A544" s="2">
        <v>42622</v>
      </c>
      <c r="B544" s="1" t="s">
        <v>13</v>
      </c>
      <c r="C544" s="1" t="s">
        <v>14</v>
      </c>
      <c r="D544" s="2">
        <v>42745</v>
      </c>
      <c r="E544" s="2">
        <f t="shared" si="16"/>
        <v>43009</v>
      </c>
      <c r="F544" s="1" t="s">
        <v>15</v>
      </c>
      <c r="G544" s="1" t="s">
        <v>16</v>
      </c>
      <c r="H544" s="1">
        <v>-0.1</v>
      </c>
      <c r="I544" s="1">
        <v>0.19</v>
      </c>
      <c r="J544" s="1">
        <v>0</v>
      </c>
      <c r="K544" s="1" t="s">
        <v>17</v>
      </c>
      <c r="L544" s="1">
        <v>2389</v>
      </c>
      <c r="M544" s="1">
        <v>0.6</v>
      </c>
      <c r="N544" s="1">
        <v>0.17216000000000001</v>
      </c>
      <c r="O544" s="1">
        <f>VLOOKUP(D544,underlying!$D$2:$H$75,5,FALSE)</f>
        <v>-0.19</v>
      </c>
      <c r="P544" s="2">
        <f>VLOOKUP(D544,underlying!$D$2:$L$39,9,FALSE)</f>
        <v>42977</v>
      </c>
      <c r="Q544" s="7">
        <f>IF(G544="C",NormalCallSprd(O544,H544,M544,(P544-A544)/365), NormalPutSprd(O544,H544,M544,(P544-A544)/365))</f>
        <v>0.19378889162330407</v>
      </c>
      <c r="R544" s="9">
        <f t="shared" si="17"/>
        <v>3.7888916233040637E-3</v>
      </c>
    </row>
    <row r="545" spans="1:18" x14ac:dyDescent="0.2">
      <c r="A545" s="2">
        <v>42622</v>
      </c>
      <c r="B545" s="1" t="s">
        <v>13</v>
      </c>
      <c r="C545" s="1" t="s">
        <v>14</v>
      </c>
      <c r="D545" s="2">
        <v>42745</v>
      </c>
      <c r="E545" s="2">
        <f t="shared" si="16"/>
        <v>43009</v>
      </c>
      <c r="F545" s="1" t="s">
        <v>15</v>
      </c>
      <c r="G545" s="1" t="s">
        <v>18</v>
      </c>
      <c r="H545" s="1">
        <v>-0.1</v>
      </c>
      <c r="I545" s="1">
        <v>0.28000000000000003</v>
      </c>
      <c r="J545" s="1">
        <v>0</v>
      </c>
      <c r="K545" s="1" t="s">
        <v>17</v>
      </c>
      <c r="L545" s="1">
        <v>2389</v>
      </c>
      <c r="M545" s="1">
        <v>0.6</v>
      </c>
      <c r="N545" s="1">
        <v>0.20416999999999999</v>
      </c>
      <c r="O545" s="1">
        <f>VLOOKUP(D545,underlying!$D$2:$H$75,5,FALSE)</f>
        <v>-0.19</v>
      </c>
      <c r="P545" s="2">
        <f>VLOOKUP(D545,underlying!$D$2:$L$39,9,FALSE)</f>
        <v>42977</v>
      </c>
      <c r="Q545" s="7">
        <f>IF(G545="C",NormalCallSprd(O545,H545,M545,(P545-A545)/365), NormalPutSprd(O545,H545,M545,(P545-A545)/365))</f>
        <v>0.28378889162330406</v>
      </c>
      <c r="R545" s="9">
        <f t="shared" si="17"/>
        <v>3.7888916233040359E-3</v>
      </c>
    </row>
    <row r="546" spans="1:18" x14ac:dyDescent="0.2">
      <c r="A546" s="2">
        <v>42622</v>
      </c>
      <c r="B546" s="1" t="s">
        <v>13</v>
      </c>
      <c r="C546" s="1" t="s">
        <v>14</v>
      </c>
      <c r="D546" s="2">
        <v>42745</v>
      </c>
      <c r="E546" s="2">
        <f t="shared" si="16"/>
        <v>43009</v>
      </c>
      <c r="F546" s="1" t="s">
        <v>15</v>
      </c>
      <c r="G546" s="1" t="s">
        <v>16</v>
      </c>
      <c r="H546" s="1">
        <v>-0.05</v>
      </c>
      <c r="I546" s="1">
        <v>0.17</v>
      </c>
      <c r="J546" s="1">
        <v>0</v>
      </c>
      <c r="K546" s="1" t="s">
        <v>17</v>
      </c>
      <c r="L546" s="1">
        <v>2389</v>
      </c>
      <c r="M546" s="1">
        <v>0.6</v>
      </c>
      <c r="N546" s="1">
        <v>0.24027000000000001</v>
      </c>
      <c r="O546" s="1">
        <f>VLOOKUP(D546,underlying!$D$2:$H$75,5,FALSE)</f>
        <v>-0.19</v>
      </c>
      <c r="P546" s="2">
        <f>VLOOKUP(D546,underlying!$D$2:$L$39,9,FALSE)</f>
        <v>42977</v>
      </c>
      <c r="Q546" s="7">
        <f>IF(G546="C",NormalCallSprd(O546,H546,M546,(P546-A546)/365), NormalPutSprd(O546,H546,M546,(P546-A546)/365))</f>
        <v>0.17264016431717225</v>
      </c>
      <c r="R546" s="9">
        <f t="shared" si="17"/>
        <v>2.6401643171722333E-3</v>
      </c>
    </row>
    <row r="547" spans="1:18" x14ac:dyDescent="0.2">
      <c r="A547" s="2">
        <v>42622</v>
      </c>
      <c r="B547" s="1" t="s">
        <v>13</v>
      </c>
      <c r="C547" s="1" t="s">
        <v>14</v>
      </c>
      <c r="D547" s="2">
        <v>42745</v>
      </c>
      <c r="E547" s="2">
        <f t="shared" si="16"/>
        <v>43009</v>
      </c>
      <c r="F547" s="1" t="s">
        <v>15</v>
      </c>
      <c r="G547" s="1" t="s">
        <v>18</v>
      </c>
      <c r="H547" s="1">
        <v>-0.05</v>
      </c>
      <c r="I547" s="1">
        <v>0.31</v>
      </c>
      <c r="J547" s="1">
        <v>0</v>
      </c>
      <c r="K547" s="1" t="s">
        <v>17</v>
      </c>
      <c r="L547" s="1">
        <v>2389</v>
      </c>
      <c r="M547" s="1">
        <v>0.6</v>
      </c>
      <c r="N547" s="1">
        <v>0.27958</v>
      </c>
      <c r="O547" s="1">
        <f>VLOOKUP(D547,underlying!$D$2:$H$75,5,FALSE)</f>
        <v>-0.19</v>
      </c>
      <c r="P547" s="2">
        <f>VLOOKUP(D547,underlying!$D$2:$L$39,9,FALSE)</f>
        <v>42977</v>
      </c>
      <c r="Q547" s="7">
        <f>IF(G547="C",NormalCallSprd(O547,H547,M547,(P547-A547)/365), NormalPutSprd(O547,H547,M547,(P547-A547)/365))</f>
        <v>0.31264016431717223</v>
      </c>
      <c r="R547" s="9">
        <f t="shared" si="17"/>
        <v>2.6401643171722333E-3</v>
      </c>
    </row>
    <row r="548" spans="1:18" x14ac:dyDescent="0.2">
      <c r="A548" s="2">
        <v>42622</v>
      </c>
      <c r="B548" s="1" t="s">
        <v>13</v>
      </c>
      <c r="C548" s="1" t="s">
        <v>14</v>
      </c>
      <c r="D548" s="2">
        <v>42746</v>
      </c>
      <c r="E548" s="2">
        <f t="shared" si="16"/>
        <v>43040</v>
      </c>
      <c r="F548" s="1" t="s">
        <v>15</v>
      </c>
      <c r="G548" s="1" t="s">
        <v>16</v>
      </c>
      <c r="H548" s="1">
        <v>-3</v>
      </c>
      <c r="I548" s="1">
        <v>2.81</v>
      </c>
      <c r="J548" s="1">
        <v>-0.01</v>
      </c>
      <c r="K548" s="1" t="s">
        <v>22</v>
      </c>
      <c r="L548" s="1">
        <v>2389</v>
      </c>
      <c r="M548" s="1">
        <v>0.87</v>
      </c>
      <c r="N548" s="1">
        <v>0.32177</v>
      </c>
      <c r="O548" s="1">
        <f>VLOOKUP(D548,underlying!$D$2:$H$75,5,FALSE)</f>
        <v>-0.17</v>
      </c>
      <c r="P548" s="2">
        <f>VLOOKUP(D548,underlying!$D$2:$L$39,9,FALSE)</f>
        <v>43006</v>
      </c>
      <c r="Q548" s="7">
        <f>IF(G548="C",NormalCallSprd(O548,H548,M548,(P548-A548)/365), NormalPutSprd(O548,H548,M548,(P548-A548)/365))</f>
        <v>2.8301837550321034</v>
      </c>
      <c r="R548" s="9">
        <f t="shared" si="17"/>
        <v>2.0183755032103345E-2</v>
      </c>
    </row>
    <row r="549" spans="1:18" x14ac:dyDescent="0.2">
      <c r="A549" s="2">
        <v>42622</v>
      </c>
      <c r="B549" s="1" t="s">
        <v>13</v>
      </c>
      <c r="C549" s="1" t="s">
        <v>14</v>
      </c>
      <c r="D549" s="2">
        <v>42746</v>
      </c>
      <c r="E549" s="2">
        <f t="shared" si="16"/>
        <v>43040</v>
      </c>
      <c r="F549" s="1" t="s">
        <v>15</v>
      </c>
      <c r="G549" s="1" t="s">
        <v>18</v>
      </c>
      <c r="H549" s="1">
        <v>-3</v>
      </c>
      <c r="I549" s="1">
        <v>0.01</v>
      </c>
      <c r="J549" s="1">
        <v>0</v>
      </c>
      <c r="K549" s="1" t="s">
        <v>22</v>
      </c>
      <c r="L549" s="1">
        <v>2389</v>
      </c>
      <c r="M549" s="1">
        <v>0.87</v>
      </c>
      <c r="N549" s="1">
        <v>0.3664</v>
      </c>
      <c r="O549" s="1">
        <f>VLOOKUP(D549,underlying!$D$2:$H$75,5,FALSE)</f>
        <v>-0.17</v>
      </c>
      <c r="P549" s="2">
        <f>VLOOKUP(D549,underlying!$D$2:$L$39,9,FALSE)</f>
        <v>43006</v>
      </c>
      <c r="Q549" s="7">
        <f>IF(G549="C",NormalCallSprd(O549,H549,M549,(P549-A549)/365), NormalPutSprd(O549,H549,M549,(P549-A549)/365))</f>
        <v>1.8375503210334816E-4</v>
      </c>
      <c r="R549" s="9">
        <f t="shared" si="17"/>
        <v>9.8162449678966517E-3</v>
      </c>
    </row>
    <row r="550" spans="1:18" x14ac:dyDescent="0.2">
      <c r="A550" s="2">
        <v>42622</v>
      </c>
      <c r="B550" s="1" t="s">
        <v>13</v>
      </c>
      <c r="C550" s="1" t="s">
        <v>14</v>
      </c>
      <c r="D550" s="2">
        <v>42746</v>
      </c>
      <c r="E550" s="2">
        <f t="shared" si="16"/>
        <v>43040</v>
      </c>
      <c r="F550" s="1" t="s">
        <v>15</v>
      </c>
      <c r="G550" s="1" t="s">
        <v>16</v>
      </c>
      <c r="H550" s="1">
        <v>-2</v>
      </c>
      <c r="I550" s="1">
        <v>1.82</v>
      </c>
      <c r="J550" s="1">
        <v>-0.01</v>
      </c>
      <c r="K550" s="1" t="s">
        <v>22</v>
      </c>
      <c r="L550" s="1">
        <v>2389</v>
      </c>
      <c r="M550" s="1">
        <v>0.74</v>
      </c>
      <c r="N550" s="1">
        <v>0.41289999999999999</v>
      </c>
      <c r="O550" s="1">
        <f>VLOOKUP(D550,underlying!$D$2:$H$75,5,FALSE)</f>
        <v>-0.17</v>
      </c>
      <c r="P550" s="2">
        <f>VLOOKUP(D550,underlying!$D$2:$L$39,9,FALSE)</f>
        <v>43006</v>
      </c>
      <c r="Q550" s="7">
        <f>IF(G550="C",NormalCallSprd(O550,H550,M550,(P550-A550)/365), NormalPutSprd(O550,H550,M550,(P550-A550)/365))</f>
        <v>1.831997337264571</v>
      </c>
      <c r="R550" s="9">
        <f t="shared" si="17"/>
        <v>1.1997337264570973E-2</v>
      </c>
    </row>
    <row r="551" spans="1:18" x14ac:dyDescent="0.2">
      <c r="A551" s="2">
        <v>42622</v>
      </c>
      <c r="B551" s="1" t="s">
        <v>13</v>
      </c>
      <c r="C551" s="1" t="s">
        <v>14</v>
      </c>
      <c r="D551" s="2">
        <v>42746</v>
      </c>
      <c r="E551" s="2">
        <f t="shared" si="16"/>
        <v>43040</v>
      </c>
      <c r="F551" s="1" t="s">
        <v>15</v>
      </c>
      <c r="G551" s="1" t="s">
        <v>18</v>
      </c>
      <c r="H551" s="1">
        <v>-2</v>
      </c>
      <c r="I551" s="1">
        <v>0.01</v>
      </c>
      <c r="J551" s="1">
        <v>0</v>
      </c>
      <c r="K551" s="1" t="s">
        <v>22</v>
      </c>
      <c r="L551" s="1">
        <v>2389</v>
      </c>
      <c r="M551" s="1">
        <v>0.74</v>
      </c>
      <c r="N551" s="1">
        <v>0.46065</v>
      </c>
      <c r="O551" s="1">
        <f>VLOOKUP(D551,underlying!$D$2:$H$75,5,FALSE)</f>
        <v>-0.17</v>
      </c>
      <c r="P551" s="2">
        <f>VLOOKUP(D551,underlying!$D$2:$L$39,9,FALSE)</f>
        <v>43006</v>
      </c>
      <c r="Q551" s="7">
        <f>IF(G551="C",NormalCallSprd(O551,H551,M551,(P551-A551)/365), NormalPutSprd(O551,H551,M551,(P551-A551)/365))</f>
        <v>1.9973372645710674E-3</v>
      </c>
      <c r="R551" s="9">
        <f t="shared" si="17"/>
        <v>8.0026627354289337E-3</v>
      </c>
    </row>
    <row r="552" spans="1:18" x14ac:dyDescent="0.2">
      <c r="A552" s="2">
        <v>42622</v>
      </c>
      <c r="B552" s="1" t="s">
        <v>13</v>
      </c>
      <c r="C552" s="1" t="s">
        <v>14</v>
      </c>
      <c r="D552" s="2">
        <v>42746</v>
      </c>
      <c r="E552" s="2">
        <f t="shared" si="16"/>
        <v>43040</v>
      </c>
      <c r="F552" s="1" t="s">
        <v>15</v>
      </c>
      <c r="G552" s="1" t="s">
        <v>16</v>
      </c>
      <c r="H552" s="1">
        <v>-1</v>
      </c>
      <c r="I552" s="1">
        <v>0.86</v>
      </c>
      <c r="J552" s="1">
        <v>-0.01</v>
      </c>
      <c r="K552" s="1" t="s">
        <v>22</v>
      </c>
      <c r="L552" s="1">
        <v>2389</v>
      </c>
      <c r="M552" s="1">
        <v>0.67</v>
      </c>
      <c r="N552" s="1">
        <v>0.50895999999999997</v>
      </c>
      <c r="O552" s="1">
        <f>VLOOKUP(D552,underlying!$D$2:$H$75,5,FALSE)</f>
        <v>-0.17</v>
      </c>
      <c r="P552" s="2">
        <f>VLOOKUP(D552,underlying!$D$2:$L$39,9,FALSE)</f>
        <v>43006</v>
      </c>
      <c r="Q552" s="7">
        <f>IF(G552="C",NormalCallSprd(O552,H552,M552,(P552-A552)/365), NormalPutSprd(O552,H552,M552,(P552-A552)/365))</f>
        <v>0.86794417445619787</v>
      </c>
      <c r="R552" s="9">
        <f t="shared" si="17"/>
        <v>7.9441744561978833E-3</v>
      </c>
    </row>
    <row r="553" spans="1:18" x14ac:dyDescent="0.2">
      <c r="A553" s="2">
        <v>42622</v>
      </c>
      <c r="B553" s="1" t="s">
        <v>13</v>
      </c>
      <c r="C553" s="1" t="s">
        <v>14</v>
      </c>
      <c r="D553" s="2">
        <v>42746</v>
      </c>
      <c r="E553" s="2">
        <f t="shared" si="16"/>
        <v>43040</v>
      </c>
      <c r="F553" s="1" t="s">
        <v>15</v>
      </c>
      <c r="G553" s="1" t="s">
        <v>18</v>
      </c>
      <c r="H553" s="1">
        <v>-1</v>
      </c>
      <c r="I553" s="1">
        <v>0.04</v>
      </c>
      <c r="J553" s="1">
        <v>0</v>
      </c>
      <c r="K553" s="1" t="s">
        <v>22</v>
      </c>
      <c r="L553" s="1">
        <v>2389</v>
      </c>
      <c r="M553" s="1">
        <v>0.67</v>
      </c>
      <c r="N553" s="1">
        <v>0.55652999999999997</v>
      </c>
      <c r="O553" s="1">
        <f>VLOOKUP(D553,underlying!$D$2:$H$75,5,FALSE)</f>
        <v>-0.17</v>
      </c>
      <c r="P553" s="2">
        <f>VLOOKUP(D553,underlying!$D$2:$L$39,9,FALSE)</f>
        <v>43006</v>
      </c>
      <c r="Q553" s="7">
        <f>IF(G553="C",NormalCallSprd(O553,H553,M553,(P553-A553)/365), NormalPutSprd(O553,H553,M553,(P553-A553)/365))</f>
        <v>3.7944174456197903E-2</v>
      </c>
      <c r="R553" s="9">
        <f t="shared" si="17"/>
        <v>2.0558255438020978E-3</v>
      </c>
    </row>
    <row r="554" spans="1:18" x14ac:dyDescent="0.2">
      <c r="A554" s="2">
        <v>42622</v>
      </c>
      <c r="B554" s="1" t="s">
        <v>13</v>
      </c>
      <c r="C554" s="1" t="s">
        <v>14</v>
      </c>
      <c r="D554" s="2">
        <v>42746</v>
      </c>
      <c r="E554" s="2">
        <f t="shared" si="16"/>
        <v>43040</v>
      </c>
      <c r="F554" s="1" t="s">
        <v>15</v>
      </c>
      <c r="G554" s="1" t="s">
        <v>16</v>
      </c>
      <c r="H554" s="1">
        <v>-0.8</v>
      </c>
      <c r="I554" s="1">
        <v>0.69</v>
      </c>
      <c r="J554" s="1">
        <v>-0.01</v>
      </c>
      <c r="K554" s="1" t="s">
        <v>22</v>
      </c>
      <c r="L554" s="1">
        <v>2389</v>
      </c>
      <c r="M554" s="1">
        <v>0.66</v>
      </c>
      <c r="N554" s="1">
        <v>0.60311999999999999</v>
      </c>
      <c r="O554" s="1">
        <f>VLOOKUP(D554,underlying!$D$2:$H$75,5,FALSE)</f>
        <v>-0.17</v>
      </c>
      <c r="P554" s="2">
        <f>VLOOKUP(D554,underlying!$D$2:$L$39,9,FALSE)</f>
        <v>43006</v>
      </c>
      <c r="Q554" s="7">
        <f>IF(G554="C",NormalCallSprd(O554,H554,M554,(P554-A554)/365), NormalPutSprd(O554,H554,M554,(P554-A554)/365))</f>
        <v>0.69425496154759514</v>
      </c>
      <c r="R554" s="9">
        <f t="shared" si="17"/>
        <v>4.254961547595193E-3</v>
      </c>
    </row>
    <row r="555" spans="1:18" x14ac:dyDescent="0.2">
      <c r="A555" s="2">
        <v>42622</v>
      </c>
      <c r="B555" s="1" t="s">
        <v>13</v>
      </c>
      <c r="C555" s="1" t="s">
        <v>14</v>
      </c>
      <c r="D555" s="2">
        <v>42746</v>
      </c>
      <c r="E555" s="2">
        <f t="shared" si="16"/>
        <v>43040</v>
      </c>
      <c r="F555" s="1" t="s">
        <v>15</v>
      </c>
      <c r="G555" s="1" t="s">
        <v>18</v>
      </c>
      <c r="H555" s="1">
        <v>-0.8</v>
      </c>
      <c r="I555" s="1">
        <v>0.06</v>
      </c>
      <c r="J555" s="1">
        <v>0</v>
      </c>
      <c r="K555" s="1" t="s">
        <v>22</v>
      </c>
      <c r="L555" s="1">
        <v>2389</v>
      </c>
      <c r="M555" s="1">
        <v>0.66</v>
      </c>
      <c r="N555" s="1">
        <v>0.64692000000000005</v>
      </c>
      <c r="O555" s="1">
        <f>VLOOKUP(D555,underlying!$D$2:$H$75,5,FALSE)</f>
        <v>-0.17</v>
      </c>
      <c r="P555" s="2">
        <f>VLOOKUP(D555,underlying!$D$2:$L$39,9,FALSE)</f>
        <v>43006</v>
      </c>
      <c r="Q555" s="7">
        <f>IF(G555="C",NormalCallSprd(O555,H555,M555,(P555-A555)/365), NormalPutSprd(O555,H555,M555,(P555-A555)/365))</f>
        <v>6.4254961547595177E-2</v>
      </c>
      <c r="R555" s="9">
        <f t="shared" si="17"/>
        <v>4.2549615475951791E-3</v>
      </c>
    </row>
    <row r="556" spans="1:18" x14ac:dyDescent="0.2">
      <c r="A556" s="2">
        <v>42622</v>
      </c>
      <c r="B556" s="1" t="s">
        <v>13</v>
      </c>
      <c r="C556" s="1" t="s">
        <v>14</v>
      </c>
      <c r="D556" s="2">
        <v>42746</v>
      </c>
      <c r="E556" s="2">
        <f t="shared" si="16"/>
        <v>43040</v>
      </c>
      <c r="F556" s="1" t="s">
        <v>15</v>
      </c>
      <c r="G556" s="1" t="s">
        <v>16</v>
      </c>
      <c r="H556" s="1">
        <v>-0.75</v>
      </c>
      <c r="I556" s="1">
        <v>0.65</v>
      </c>
      <c r="J556" s="1">
        <v>-0.01</v>
      </c>
      <c r="K556" s="1" t="s">
        <v>22</v>
      </c>
      <c r="L556" s="1">
        <v>2389</v>
      </c>
      <c r="M556" s="1">
        <v>0.66</v>
      </c>
      <c r="N556" s="1">
        <v>0.68935000000000002</v>
      </c>
      <c r="O556" s="1">
        <f>VLOOKUP(D556,underlying!$D$2:$H$75,5,FALSE)</f>
        <v>-0.17</v>
      </c>
      <c r="P556" s="2">
        <f>VLOOKUP(D556,underlying!$D$2:$L$39,9,FALSE)</f>
        <v>43006</v>
      </c>
      <c r="Q556" s="7">
        <f>IF(G556="C",NormalCallSprd(O556,H556,M556,(P556-A556)/365), NormalPutSprd(O556,H556,M556,(P556-A556)/365))</f>
        <v>0.65354472590915014</v>
      </c>
      <c r="R556" s="9">
        <f t="shared" si="17"/>
        <v>3.5447259091501149E-3</v>
      </c>
    </row>
    <row r="557" spans="1:18" x14ac:dyDescent="0.2">
      <c r="A557" s="2">
        <v>42622</v>
      </c>
      <c r="B557" s="1" t="s">
        <v>13</v>
      </c>
      <c r="C557" s="1" t="s">
        <v>14</v>
      </c>
      <c r="D557" s="2">
        <v>42746</v>
      </c>
      <c r="E557" s="2">
        <f t="shared" si="16"/>
        <v>43040</v>
      </c>
      <c r="F557" s="1" t="s">
        <v>15</v>
      </c>
      <c r="G557" s="1" t="s">
        <v>18</v>
      </c>
      <c r="H557" s="1">
        <v>-0.75</v>
      </c>
      <c r="I557" s="1">
        <v>7.0000000000000007E-2</v>
      </c>
      <c r="J557" s="1">
        <v>0</v>
      </c>
      <c r="K557" s="1" t="s">
        <v>22</v>
      </c>
      <c r="L557" s="1">
        <v>2389</v>
      </c>
      <c r="M557" s="1">
        <v>0.66</v>
      </c>
      <c r="N557" s="1">
        <v>0.72970999999999997</v>
      </c>
      <c r="O557" s="1">
        <f>VLOOKUP(D557,underlying!$D$2:$H$75,5,FALSE)</f>
        <v>-0.17</v>
      </c>
      <c r="P557" s="2">
        <f>VLOOKUP(D557,underlying!$D$2:$L$39,9,FALSE)</f>
        <v>43006</v>
      </c>
      <c r="Q557" s="7">
        <f>IF(G557="C",NormalCallSprd(O557,H557,M557,(P557-A557)/365), NormalPutSprd(O557,H557,M557,(P557-A557)/365))</f>
        <v>7.3544725909150135E-2</v>
      </c>
      <c r="R557" s="9">
        <f t="shared" si="17"/>
        <v>3.5447259091501288E-3</v>
      </c>
    </row>
    <row r="558" spans="1:18" x14ac:dyDescent="0.2">
      <c r="A558" s="2">
        <v>42622</v>
      </c>
      <c r="B558" s="1" t="s">
        <v>13</v>
      </c>
      <c r="C558" s="1" t="s">
        <v>14</v>
      </c>
      <c r="D558" s="2">
        <v>42746</v>
      </c>
      <c r="E558" s="2">
        <f t="shared" si="16"/>
        <v>43040</v>
      </c>
      <c r="F558" s="1" t="s">
        <v>15</v>
      </c>
      <c r="G558" s="1" t="s">
        <v>16</v>
      </c>
      <c r="H558" s="1">
        <v>-0.7</v>
      </c>
      <c r="I558" s="1">
        <v>0.61</v>
      </c>
      <c r="J558" s="1">
        <v>-0.01</v>
      </c>
      <c r="K558" s="1" t="s">
        <v>22</v>
      </c>
      <c r="L558" s="1">
        <v>2389</v>
      </c>
      <c r="M558" s="1">
        <v>0.66</v>
      </c>
      <c r="N558" s="1">
        <v>0.76493999999999995</v>
      </c>
      <c r="O558" s="1">
        <f>VLOOKUP(D558,underlying!$D$2:$H$75,5,FALSE)</f>
        <v>-0.17</v>
      </c>
      <c r="P558" s="2">
        <f>VLOOKUP(D558,underlying!$D$2:$L$39,9,FALSE)</f>
        <v>43006</v>
      </c>
      <c r="Q558" s="7">
        <f>IF(G558="C",NormalCallSprd(O558,H558,M558,(P558-A558)/365), NormalPutSprd(O558,H558,M558,(P558-A558)/365))</f>
        <v>0.61385504424276294</v>
      </c>
      <c r="R558" s="9">
        <f t="shared" si="17"/>
        <v>3.8550442427629505E-3</v>
      </c>
    </row>
    <row r="559" spans="1:18" x14ac:dyDescent="0.2">
      <c r="A559" s="2">
        <v>42622</v>
      </c>
      <c r="B559" s="1" t="s">
        <v>13</v>
      </c>
      <c r="C559" s="1" t="s">
        <v>14</v>
      </c>
      <c r="D559" s="2">
        <v>42746</v>
      </c>
      <c r="E559" s="2">
        <f t="shared" si="16"/>
        <v>43040</v>
      </c>
      <c r="F559" s="1" t="s">
        <v>15</v>
      </c>
      <c r="G559" s="1" t="s">
        <v>18</v>
      </c>
      <c r="H559" s="1">
        <v>-0.7</v>
      </c>
      <c r="I559" s="1">
        <v>0.08</v>
      </c>
      <c r="J559" s="1">
        <v>0</v>
      </c>
      <c r="K559" s="1" t="s">
        <v>22</v>
      </c>
      <c r="L559" s="1">
        <v>2389</v>
      </c>
      <c r="M559" s="1">
        <v>0.66</v>
      </c>
      <c r="N559" s="1">
        <v>0.79861000000000004</v>
      </c>
      <c r="O559" s="1">
        <f>VLOOKUP(D559,underlying!$D$2:$H$75,5,FALSE)</f>
        <v>-0.17</v>
      </c>
      <c r="P559" s="2">
        <f>VLOOKUP(D559,underlying!$D$2:$L$39,9,FALSE)</f>
        <v>43006</v>
      </c>
      <c r="Q559" s="7">
        <f>IF(G559="C",NormalCallSprd(O559,H559,M559,(P559-A559)/365), NormalPutSprd(O559,H559,M559,(P559-A559)/365))</f>
        <v>8.3855044242762938E-2</v>
      </c>
      <c r="R559" s="9">
        <f t="shared" si="17"/>
        <v>3.8550442427629367E-3</v>
      </c>
    </row>
    <row r="560" spans="1:18" x14ac:dyDescent="0.2">
      <c r="A560" s="2">
        <v>42622</v>
      </c>
      <c r="B560" s="1" t="s">
        <v>13</v>
      </c>
      <c r="C560" s="1" t="s">
        <v>14</v>
      </c>
      <c r="D560" s="2">
        <v>42746</v>
      </c>
      <c r="E560" s="2">
        <f t="shared" si="16"/>
        <v>43040</v>
      </c>
      <c r="F560" s="1" t="s">
        <v>15</v>
      </c>
      <c r="G560" s="1" t="s">
        <v>16</v>
      </c>
      <c r="H560" s="1">
        <v>-0.65</v>
      </c>
      <c r="I560" s="1">
        <v>0.56999999999999995</v>
      </c>
      <c r="J560" s="1">
        <v>-0.01</v>
      </c>
      <c r="K560" s="1" t="s">
        <v>22</v>
      </c>
      <c r="L560" s="1">
        <v>2389</v>
      </c>
      <c r="M560" s="1">
        <v>0.66</v>
      </c>
      <c r="N560" s="1">
        <v>0.82720000000000005</v>
      </c>
      <c r="O560" s="1">
        <f>VLOOKUP(D560,underlying!$D$2:$H$75,5,FALSE)</f>
        <v>-0.17</v>
      </c>
      <c r="P560" s="2">
        <f>VLOOKUP(D560,underlying!$D$2:$L$39,9,FALSE)</f>
        <v>43006</v>
      </c>
      <c r="Q560" s="7">
        <f>IF(G560="C",NormalCallSprd(O560,H560,M560,(P560-A560)/365), NormalPutSprd(O560,H560,M560,(P560-A560)/365))</f>
        <v>0.57524956402618277</v>
      </c>
      <c r="R560" s="9">
        <f t="shared" si="17"/>
        <v>5.249564026182818E-3</v>
      </c>
    </row>
    <row r="561" spans="1:18" x14ac:dyDescent="0.2">
      <c r="A561" s="2">
        <v>42622</v>
      </c>
      <c r="B561" s="1" t="s">
        <v>13</v>
      </c>
      <c r="C561" s="1" t="s">
        <v>14</v>
      </c>
      <c r="D561" s="2">
        <v>42746</v>
      </c>
      <c r="E561" s="2">
        <f t="shared" si="16"/>
        <v>43040</v>
      </c>
      <c r="F561" s="1" t="s">
        <v>15</v>
      </c>
      <c r="G561" s="1" t="s">
        <v>18</v>
      </c>
      <c r="H561" s="1">
        <v>-0.65</v>
      </c>
      <c r="I561" s="1">
        <v>0.09</v>
      </c>
      <c r="J561" s="1">
        <v>0</v>
      </c>
      <c r="K561" s="1" t="s">
        <v>22</v>
      </c>
      <c r="L561" s="1">
        <v>2389</v>
      </c>
      <c r="M561" s="1">
        <v>0.66</v>
      </c>
      <c r="N561" s="1">
        <v>0.85194000000000003</v>
      </c>
      <c r="O561" s="1">
        <f>VLOOKUP(D561,underlying!$D$2:$H$75,5,FALSE)</f>
        <v>-0.17</v>
      </c>
      <c r="P561" s="2">
        <f>VLOOKUP(D561,underlying!$D$2:$L$39,9,FALSE)</f>
        <v>43006</v>
      </c>
      <c r="Q561" s="7">
        <f>IF(G561="C",NormalCallSprd(O561,H561,M561,(P561-A561)/365), NormalPutSprd(O561,H561,M561,(P561-A561)/365))</f>
        <v>9.5249564026182718E-2</v>
      </c>
      <c r="R561" s="9">
        <f t="shared" si="17"/>
        <v>5.2495640261827209E-3</v>
      </c>
    </row>
    <row r="562" spans="1:18" x14ac:dyDescent="0.2">
      <c r="A562" s="2">
        <v>42622</v>
      </c>
      <c r="B562" s="1" t="s">
        <v>13</v>
      </c>
      <c r="C562" s="1" t="s">
        <v>14</v>
      </c>
      <c r="D562" s="2">
        <v>42746</v>
      </c>
      <c r="E562" s="2">
        <f t="shared" si="16"/>
        <v>43040</v>
      </c>
      <c r="F562" s="1" t="s">
        <v>15</v>
      </c>
      <c r="G562" s="1" t="s">
        <v>16</v>
      </c>
      <c r="H562" s="1">
        <v>-0.6</v>
      </c>
      <c r="I562" s="1">
        <v>0.53</v>
      </c>
      <c r="J562" s="1">
        <v>-0.01</v>
      </c>
      <c r="K562" s="1" t="s">
        <v>22</v>
      </c>
      <c r="L562" s="1">
        <v>2389</v>
      </c>
      <c r="M562" s="1">
        <v>0.65</v>
      </c>
      <c r="N562" s="1">
        <v>0.87599000000000005</v>
      </c>
      <c r="O562" s="1">
        <f>VLOOKUP(D562,underlying!$D$2:$H$75,5,FALSE)</f>
        <v>-0.17</v>
      </c>
      <c r="P562" s="2">
        <f>VLOOKUP(D562,underlying!$D$2:$L$39,9,FALSE)</f>
        <v>43006</v>
      </c>
      <c r="Q562" s="7">
        <f>IF(G562="C",NormalCallSprd(O562,H562,M562,(P562-A562)/365), NormalPutSprd(O562,H562,M562,(P562-A562)/365))</f>
        <v>0.53445560929342784</v>
      </c>
      <c r="R562" s="9">
        <f t="shared" si="17"/>
        <v>4.4556092934278091E-3</v>
      </c>
    </row>
    <row r="563" spans="1:18" x14ac:dyDescent="0.2">
      <c r="A563" s="2">
        <v>42622</v>
      </c>
      <c r="B563" s="1" t="s">
        <v>13</v>
      </c>
      <c r="C563" s="1" t="s">
        <v>14</v>
      </c>
      <c r="D563" s="2">
        <v>42746</v>
      </c>
      <c r="E563" s="2">
        <f t="shared" si="16"/>
        <v>43040</v>
      </c>
      <c r="F563" s="1" t="s">
        <v>15</v>
      </c>
      <c r="G563" s="1" t="s">
        <v>18</v>
      </c>
      <c r="H563" s="1">
        <v>-0.6</v>
      </c>
      <c r="I563" s="1">
        <v>0.1</v>
      </c>
      <c r="J563" s="1">
        <v>0</v>
      </c>
      <c r="K563" s="1" t="s">
        <v>22</v>
      </c>
      <c r="L563" s="1">
        <v>2389</v>
      </c>
      <c r="M563" s="1">
        <v>0.65</v>
      </c>
      <c r="N563" s="1">
        <v>0.89534000000000002</v>
      </c>
      <c r="O563" s="1">
        <f>VLOOKUP(D563,underlying!$D$2:$H$75,5,FALSE)</f>
        <v>-0.17</v>
      </c>
      <c r="P563" s="2">
        <f>VLOOKUP(D563,underlying!$D$2:$L$39,9,FALSE)</f>
        <v>43006</v>
      </c>
      <c r="Q563" s="7">
        <f>IF(G563="C",NormalCallSprd(O563,H563,M563,(P563-A563)/365), NormalPutSprd(O563,H563,M563,(P563-A563)/365))</f>
        <v>0.10445560929342788</v>
      </c>
      <c r="R563" s="9">
        <f t="shared" si="17"/>
        <v>4.4556092934278785E-3</v>
      </c>
    </row>
    <row r="564" spans="1:18" x14ac:dyDescent="0.2">
      <c r="A564" s="2">
        <v>42622</v>
      </c>
      <c r="B564" s="1" t="s">
        <v>13</v>
      </c>
      <c r="C564" s="1" t="s">
        <v>14</v>
      </c>
      <c r="D564" s="2">
        <v>42746</v>
      </c>
      <c r="E564" s="2">
        <f t="shared" si="16"/>
        <v>43040</v>
      </c>
      <c r="F564" s="1" t="s">
        <v>15</v>
      </c>
      <c r="G564" s="1" t="s">
        <v>16</v>
      </c>
      <c r="H564" s="1">
        <v>-0.55000000000000004</v>
      </c>
      <c r="I564" s="1">
        <v>0.49</v>
      </c>
      <c r="J564" s="1">
        <v>-0.01</v>
      </c>
      <c r="K564" s="1" t="s">
        <v>22</v>
      </c>
      <c r="L564" s="1">
        <v>2389</v>
      </c>
      <c r="M564" s="1">
        <v>0.65</v>
      </c>
      <c r="N564" s="1">
        <v>0.91364000000000001</v>
      </c>
      <c r="O564" s="1">
        <f>VLOOKUP(D564,underlying!$D$2:$H$75,5,FALSE)</f>
        <v>-0.17</v>
      </c>
      <c r="P564" s="2">
        <f>VLOOKUP(D564,underlying!$D$2:$L$39,9,FALSE)</f>
        <v>43006</v>
      </c>
      <c r="Q564" s="7">
        <f>IF(G564="C",NormalCallSprd(O564,H564,M564,(P564-A564)/365), NormalPutSprd(O564,H564,M564,(P564-A564)/365))</f>
        <v>0.49804650070550199</v>
      </c>
      <c r="R564" s="9">
        <f t="shared" si="17"/>
        <v>8.0465007055020021E-3</v>
      </c>
    </row>
    <row r="565" spans="1:18" x14ac:dyDescent="0.2">
      <c r="A565" s="2">
        <v>42622</v>
      </c>
      <c r="B565" s="1" t="s">
        <v>13</v>
      </c>
      <c r="C565" s="1" t="s">
        <v>14</v>
      </c>
      <c r="D565" s="2">
        <v>42746</v>
      </c>
      <c r="E565" s="2">
        <f t="shared" si="16"/>
        <v>43040</v>
      </c>
      <c r="F565" s="1" t="s">
        <v>15</v>
      </c>
      <c r="G565" s="1" t="s">
        <v>18</v>
      </c>
      <c r="H565" s="1">
        <v>-0.55000000000000004</v>
      </c>
      <c r="I565" s="1">
        <v>0.12</v>
      </c>
      <c r="J565" s="1">
        <v>0.01</v>
      </c>
      <c r="K565" s="1" t="s">
        <v>22</v>
      </c>
      <c r="L565" s="1">
        <v>2389</v>
      </c>
      <c r="M565" s="1">
        <v>0.65</v>
      </c>
      <c r="N565" s="1">
        <v>0.99856999999999996</v>
      </c>
      <c r="O565" s="1">
        <f>VLOOKUP(D565,underlying!$D$2:$H$75,5,FALSE)</f>
        <v>-0.17</v>
      </c>
      <c r="P565" s="2">
        <f>VLOOKUP(D565,underlying!$D$2:$L$39,9,FALSE)</f>
        <v>43006</v>
      </c>
      <c r="Q565" s="7">
        <f>IF(G565="C",NormalCallSprd(O565,H565,M565,(P565-A565)/365), NormalPutSprd(O565,H565,M565,(P565-A565)/365))</f>
        <v>0.11804650070550193</v>
      </c>
      <c r="R565" s="9">
        <f t="shared" si="17"/>
        <v>1.9534992944980623E-3</v>
      </c>
    </row>
    <row r="566" spans="1:18" x14ac:dyDescent="0.2">
      <c r="A566" s="2">
        <v>42622</v>
      </c>
      <c r="B566" s="1" t="s">
        <v>13</v>
      </c>
      <c r="C566" s="1" t="s">
        <v>14</v>
      </c>
      <c r="D566" s="2">
        <v>42746</v>
      </c>
      <c r="E566" s="2">
        <f t="shared" si="16"/>
        <v>43040</v>
      </c>
      <c r="F566" s="1" t="s">
        <v>15</v>
      </c>
      <c r="G566" s="1" t="s">
        <v>16</v>
      </c>
      <c r="H566" s="1">
        <v>-0.5</v>
      </c>
      <c r="I566" s="1">
        <v>0.46</v>
      </c>
      <c r="J566" s="1">
        <v>0</v>
      </c>
      <c r="K566" s="1" t="s">
        <v>22</v>
      </c>
      <c r="L566" s="1">
        <v>2389</v>
      </c>
      <c r="M566" s="1">
        <v>0.64</v>
      </c>
      <c r="N566" s="1">
        <v>0.99734999999999996</v>
      </c>
      <c r="O566" s="1">
        <f>VLOOKUP(D566,underlying!$D$2:$H$75,5,FALSE)</f>
        <v>-0.17</v>
      </c>
      <c r="P566" s="2">
        <f>VLOOKUP(D566,underlying!$D$2:$L$39,9,FALSE)</f>
        <v>43006</v>
      </c>
      <c r="Q566" s="7">
        <f>IF(G566="C",NormalCallSprd(O566,H566,M566,(P566-A566)/365), NormalPutSprd(O566,H566,M566,(P566-A566)/365))</f>
        <v>0.45929541255105422</v>
      </c>
      <c r="R566" s="9">
        <f t="shared" si="17"/>
        <v>7.0458744894580372E-4</v>
      </c>
    </row>
    <row r="567" spans="1:18" x14ac:dyDescent="0.2">
      <c r="A567" s="2">
        <v>42622</v>
      </c>
      <c r="B567" s="1" t="s">
        <v>13</v>
      </c>
      <c r="C567" s="1" t="s">
        <v>14</v>
      </c>
      <c r="D567" s="2">
        <v>42746</v>
      </c>
      <c r="E567" s="2">
        <f t="shared" si="16"/>
        <v>43040</v>
      </c>
      <c r="F567" s="1" t="s">
        <v>15</v>
      </c>
      <c r="G567" s="1" t="s">
        <v>18</v>
      </c>
      <c r="H567" s="1">
        <v>-0.5</v>
      </c>
      <c r="I567" s="1">
        <v>0.13</v>
      </c>
      <c r="J567" s="1">
        <v>0</v>
      </c>
      <c r="K567" s="1" t="s">
        <v>22</v>
      </c>
      <c r="L567" s="1">
        <v>2389</v>
      </c>
      <c r="M567" s="1">
        <v>0.64</v>
      </c>
      <c r="N567" s="1">
        <v>0.99858000000000002</v>
      </c>
      <c r="O567" s="1">
        <f>VLOOKUP(D567,underlying!$D$2:$H$75,5,FALSE)</f>
        <v>-0.17</v>
      </c>
      <c r="P567" s="2">
        <f>VLOOKUP(D567,underlying!$D$2:$L$39,9,FALSE)</f>
        <v>43006</v>
      </c>
      <c r="Q567" s="7">
        <f>IF(G567="C",NormalCallSprd(O567,H567,M567,(P567-A567)/365), NormalPutSprd(O567,H567,M567,(P567-A567)/365))</f>
        <v>0.12929541255105426</v>
      </c>
      <c r="R567" s="9">
        <f t="shared" si="17"/>
        <v>7.0458744894574821E-4</v>
      </c>
    </row>
    <row r="568" spans="1:18" x14ac:dyDescent="0.2">
      <c r="A568" s="2">
        <v>42622</v>
      </c>
      <c r="B568" s="1" t="s">
        <v>13</v>
      </c>
      <c r="C568" s="1" t="s">
        <v>14</v>
      </c>
      <c r="D568" s="2">
        <v>42746</v>
      </c>
      <c r="E568" s="2">
        <f t="shared" si="16"/>
        <v>43040</v>
      </c>
      <c r="F568" s="1" t="s">
        <v>15</v>
      </c>
      <c r="G568" s="1" t="s">
        <v>16</v>
      </c>
      <c r="H568" s="1">
        <v>-0.45</v>
      </c>
      <c r="I568" s="1">
        <v>0.42</v>
      </c>
      <c r="J568" s="1">
        <v>-0.01</v>
      </c>
      <c r="K568" s="1" t="s">
        <v>22</v>
      </c>
      <c r="L568" s="1">
        <v>2389</v>
      </c>
      <c r="M568" s="1">
        <v>0.64</v>
      </c>
      <c r="N568" s="1">
        <v>0.99858000000000002</v>
      </c>
      <c r="O568" s="1">
        <f>VLOOKUP(D568,underlying!$D$2:$H$75,5,FALSE)</f>
        <v>-0.17</v>
      </c>
      <c r="P568" s="2">
        <f>VLOOKUP(D568,underlying!$D$2:$L$39,9,FALSE)</f>
        <v>43006</v>
      </c>
      <c r="Q568" s="7">
        <f>IF(G568="C",NormalCallSprd(O568,H568,M568,(P568-A568)/365), NormalPutSprd(O568,H568,M568,(P568-A568)/365))</f>
        <v>0.42535246008061595</v>
      </c>
      <c r="R568" s="9">
        <f t="shared" si="17"/>
        <v>5.3524600806159617E-3</v>
      </c>
    </row>
    <row r="569" spans="1:18" x14ac:dyDescent="0.2">
      <c r="A569" s="2">
        <v>42622</v>
      </c>
      <c r="B569" s="1" t="s">
        <v>13</v>
      </c>
      <c r="C569" s="1" t="s">
        <v>14</v>
      </c>
      <c r="D569" s="2">
        <v>42746</v>
      </c>
      <c r="E569" s="2">
        <f t="shared" si="16"/>
        <v>43040</v>
      </c>
      <c r="F569" s="1" t="s">
        <v>15</v>
      </c>
      <c r="G569" s="1" t="s">
        <v>18</v>
      </c>
      <c r="H569" s="1">
        <v>-0.45</v>
      </c>
      <c r="I569" s="1">
        <v>0.14000000000000001</v>
      </c>
      <c r="J569" s="1">
        <v>0</v>
      </c>
      <c r="K569" s="1" t="s">
        <v>22</v>
      </c>
      <c r="L569" s="1">
        <v>2389</v>
      </c>
      <c r="M569" s="1">
        <v>0.64</v>
      </c>
      <c r="N569" s="1">
        <v>-0.82642000000000004</v>
      </c>
      <c r="O569" s="1">
        <f>VLOOKUP(D569,underlying!$D$2:$H$75,5,FALSE)</f>
        <v>-0.17</v>
      </c>
      <c r="P569" s="2">
        <f>VLOOKUP(D569,underlying!$D$2:$L$39,9,FALSE)</f>
        <v>43006</v>
      </c>
      <c r="Q569" s="7">
        <f>IF(G569="C",NormalCallSprd(O569,H569,M569,(P569-A569)/365), NormalPutSprd(O569,H569,M569,(P569-A569)/365))</f>
        <v>0.14535246008061595</v>
      </c>
      <c r="R569" s="9">
        <f t="shared" si="17"/>
        <v>5.3524600806159339E-3</v>
      </c>
    </row>
    <row r="570" spans="1:18" x14ac:dyDescent="0.2">
      <c r="A570" s="2">
        <v>42622</v>
      </c>
      <c r="B570" s="1" t="s">
        <v>13</v>
      </c>
      <c r="C570" s="1" t="s">
        <v>14</v>
      </c>
      <c r="D570" s="2">
        <v>42746</v>
      </c>
      <c r="E570" s="2">
        <f t="shared" si="16"/>
        <v>43040</v>
      </c>
      <c r="F570" s="1" t="s">
        <v>15</v>
      </c>
      <c r="G570" s="1" t="s">
        <v>16</v>
      </c>
      <c r="H570" s="1">
        <v>-0.4</v>
      </c>
      <c r="I570" s="1">
        <v>0.39</v>
      </c>
      <c r="J570" s="1">
        <v>0</v>
      </c>
      <c r="K570" s="1" t="s">
        <v>22</v>
      </c>
      <c r="L570" s="1">
        <v>2389</v>
      </c>
      <c r="M570" s="1">
        <v>0.63</v>
      </c>
      <c r="N570" s="1">
        <v>-0.79440999999999995</v>
      </c>
      <c r="O570" s="1">
        <f>VLOOKUP(D570,underlying!$D$2:$H$75,5,FALSE)</f>
        <v>-0.17</v>
      </c>
      <c r="P570" s="2">
        <f>VLOOKUP(D570,underlying!$D$2:$L$39,9,FALSE)</f>
        <v>43006</v>
      </c>
      <c r="Q570" s="7">
        <f>IF(G570="C",NormalCallSprd(O570,H570,M570,(P570-A570)/365), NormalPutSprd(O570,H570,M570,(P570-A570)/365))</f>
        <v>0.38895159294433551</v>
      </c>
      <c r="R570" s="9">
        <f t="shared" si="17"/>
        <v>1.048407055664502E-3</v>
      </c>
    </row>
    <row r="571" spans="1:18" x14ac:dyDescent="0.2">
      <c r="A571" s="2">
        <v>42622</v>
      </c>
      <c r="B571" s="1" t="s">
        <v>13</v>
      </c>
      <c r="C571" s="1" t="s">
        <v>14</v>
      </c>
      <c r="D571" s="2">
        <v>42746</v>
      </c>
      <c r="E571" s="2">
        <f t="shared" si="16"/>
        <v>43040</v>
      </c>
      <c r="F571" s="1" t="s">
        <v>15</v>
      </c>
      <c r="G571" s="1" t="s">
        <v>18</v>
      </c>
      <c r="H571" s="1">
        <v>-0.4</v>
      </c>
      <c r="I571" s="1">
        <v>0.16</v>
      </c>
      <c r="J571" s="1">
        <v>0</v>
      </c>
      <c r="K571" s="1" t="s">
        <v>22</v>
      </c>
      <c r="L571" s="1">
        <v>2389</v>
      </c>
      <c r="M571" s="1">
        <v>0.63</v>
      </c>
      <c r="N571" s="1">
        <v>-0.75831000000000004</v>
      </c>
      <c r="O571" s="1">
        <f>VLOOKUP(D571,underlying!$D$2:$H$75,5,FALSE)</f>
        <v>-0.17</v>
      </c>
      <c r="P571" s="2">
        <f>VLOOKUP(D571,underlying!$D$2:$L$39,9,FALSE)</f>
        <v>43006</v>
      </c>
      <c r="Q571" s="7">
        <f>IF(G571="C",NormalCallSprd(O571,H571,M571,(P571-A571)/365), NormalPutSprd(O571,H571,M571,(P571-A571)/365))</f>
        <v>0.15895159294433547</v>
      </c>
      <c r="R571" s="9">
        <f t="shared" si="17"/>
        <v>1.0484070556645297E-3</v>
      </c>
    </row>
    <row r="572" spans="1:18" x14ac:dyDescent="0.2">
      <c r="A572" s="2">
        <v>42622</v>
      </c>
      <c r="B572" s="1" t="s">
        <v>13</v>
      </c>
      <c r="C572" s="1" t="s">
        <v>14</v>
      </c>
      <c r="D572" s="2">
        <v>42746</v>
      </c>
      <c r="E572" s="2">
        <f t="shared" si="16"/>
        <v>43040</v>
      </c>
      <c r="F572" s="1" t="s">
        <v>15</v>
      </c>
      <c r="G572" s="1" t="s">
        <v>16</v>
      </c>
      <c r="H572" s="1">
        <v>-0.35</v>
      </c>
      <c r="I572" s="1">
        <v>0.35</v>
      </c>
      <c r="J572" s="1">
        <v>-0.01</v>
      </c>
      <c r="K572" s="1" t="s">
        <v>22</v>
      </c>
      <c r="L572" s="1">
        <v>2389</v>
      </c>
      <c r="M572" s="1">
        <v>0.63</v>
      </c>
      <c r="N572" s="1">
        <v>-0.71899999999999997</v>
      </c>
      <c r="O572" s="1">
        <f>VLOOKUP(D572,underlying!$D$2:$H$75,5,FALSE)</f>
        <v>-0.17</v>
      </c>
      <c r="P572" s="2">
        <f>VLOOKUP(D572,underlying!$D$2:$L$39,9,FALSE)</f>
        <v>43006</v>
      </c>
      <c r="Q572" s="7">
        <f>IF(G572="C",NormalCallSprd(O572,H572,M572,(P572-A572)/365), NormalPutSprd(O572,H572,M572,(P572-A572)/365))</f>
        <v>0.35772954552688946</v>
      </c>
      <c r="R572" s="9">
        <f t="shared" si="17"/>
        <v>7.7295455268894808E-3</v>
      </c>
    </row>
    <row r="573" spans="1:18" x14ac:dyDescent="0.2">
      <c r="A573" s="2">
        <v>42622</v>
      </c>
      <c r="B573" s="1" t="s">
        <v>13</v>
      </c>
      <c r="C573" s="1" t="s">
        <v>14</v>
      </c>
      <c r="D573" s="2">
        <v>42746</v>
      </c>
      <c r="E573" s="2">
        <f t="shared" si="16"/>
        <v>43040</v>
      </c>
      <c r="F573" s="1" t="s">
        <v>15</v>
      </c>
      <c r="G573" s="1" t="s">
        <v>18</v>
      </c>
      <c r="H573" s="1">
        <v>-0.35</v>
      </c>
      <c r="I573" s="1">
        <v>0.18</v>
      </c>
      <c r="J573" s="1">
        <v>0.01</v>
      </c>
      <c r="K573" s="1" t="s">
        <v>22</v>
      </c>
      <c r="L573" s="1">
        <v>2389</v>
      </c>
      <c r="M573" s="1">
        <v>0.63</v>
      </c>
      <c r="N573" s="1">
        <v>-0.67681000000000002</v>
      </c>
      <c r="O573" s="1">
        <f>VLOOKUP(D573,underlying!$D$2:$H$75,5,FALSE)</f>
        <v>-0.17</v>
      </c>
      <c r="P573" s="2">
        <f>VLOOKUP(D573,underlying!$D$2:$L$39,9,FALSE)</f>
        <v>43006</v>
      </c>
      <c r="Q573" s="7">
        <f>IF(G573="C",NormalCallSprd(O573,H573,M573,(P573-A573)/365), NormalPutSprd(O573,H573,M573,(P573-A573)/365))</f>
        <v>0.17772954552688949</v>
      </c>
      <c r="R573" s="9">
        <f t="shared" si="17"/>
        <v>2.2704544731105003E-3</v>
      </c>
    </row>
    <row r="574" spans="1:18" x14ac:dyDescent="0.2">
      <c r="A574" s="2">
        <v>42622</v>
      </c>
      <c r="B574" s="1" t="s">
        <v>13</v>
      </c>
      <c r="C574" s="1" t="s">
        <v>14</v>
      </c>
      <c r="D574" s="2">
        <v>42746</v>
      </c>
      <c r="E574" s="2">
        <f t="shared" si="16"/>
        <v>43040</v>
      </c>
      <c r="F574" s="1" t="s">
        <v>15</v>
      </c>
      <c r="G574" s="1" t="s">
        <v>16</v>
      </c>
      <c r="H574" s="1">
        <v>-0.3</v>
      </c>
      <c r="I574" s="1">
        <v>0.32</v>
      </c>
      <c r="J574" s="1">
        <v>-0.01</v>
      </c>
      <c r="K574" s="1" t="s">
        <v>22</v>
      </c>
      <c r="L574" s="1">
        <v>2389</v>
      </c>
      <c r="M574" s="1">
        <v>0.62</v>
      </c>
      <c r="N574" s="1">
        <v>-0.63217999999999996</v>
      </c>
      <c r="O574" s="1">
        <f>VLOOKUP(D574,underlying!$D$2:$H$75,5,FALSE)</f>
        <v>-0.17</v>
      </c>
      <c r="P574" s="2">
        <f>VLOOKUP(D574,underlying!$D$2:$L$39,9,FALSE)</f>
        <v>43006</v>
      </c>
      <c r="Q574" s="7">
        <f>IF(G574="C",NormalCallSprd(O574,H574,M574,(P574-A574)/365), NormalPutSprd(O574,H574,M574,(P574-A574)/365))</f>
        <v>0.32398286676319527</v>
      </c>
      <c r="R574" s="9">
        <f t="shared" si="17"/>
        <v>3.9828667631952586E-3</v>
      </c>
    </row>
    <row r="575" spans="1:18" x14ac:dyDescent="0.2">
      <c r="A575" s="2">
        <v>42622</v>
      </c>
      <c r="B575" s="1" t="s">
        <v>13</v>
      </c>
      <c r="C575" s="1" t="s">
        <v>14</v>
      </c>
      <c r="D575" s="2">
        <v>42746</v>
      </c>
      <c r="E575" s="2">
        <f t="shared" si="16"/>
        <v>43040</v>
      </c>
      <c r="F575" s="1" t="s">
        <v>15</v>
      </c>
      <c r="G575" s="1" t="s">
        <v>18</v>
      </c>
      <c r="H575" s="1">
        <v>-0.3</v>
      </c>
      <c r="I575" s="1">
        <v>0.19</v>
      </c>
      <c r="J575" s="1">
        <v>0</v>
      </c>
      <c r="K575" s="1" t="s">
        <v>22</v>
      </c>
      <c r="L575" s="1">
        <v>2389</v>
      </c>
      <c r="M575" s="1">
        <v>0.62</v>
      </c>
      <c r="N575" s="1">
        <v>-0.58567999999999998</v>
      </c>
      <c r="O575" s="1">
        <f>VLOOKUP(D575,underlying!$D$2:$H$75,5,FALSE)</f>
        <v>-0.17</v>
      </c>
      <c r="P575" s="2">
        <f>VLOOKUP(D575,underlying!$D$2:$L$39,9,FALSE)</f>
        <v>43006</v>
      </c>
      <c r="Q575" s="7">
        <f>IF(G575="C",NormalCallSprd(O575,H575,M575,(P575-A575)/365), NormalPutSprd(O575,H575,M575,(P575-A575)/365))</f>
        <v>0.19398286676319529</v>
      </c>
      <c r="R575" s="9">
        <f t="shared" si="17"/>
        <v>3.9828667631952863E-3</v>
      </c>
    </row>
    <row r="576" spans="1:18" x14ac:dyDescent="0.2">
      <c r="A576" s="2">
        <v>42622</v>
      </c>
      <c r="B576" s="1" t="s">
        <v>13</v>
      </c>
      <c r="C576" s="1" t="s">
        <v>14</v>
      </c>
      <c r="D576" s="2">
        <v>42746</v>
      </c>
      <c r="E576" s="2">
        <f t="shared" si="16"/>
        <v>43040</v>
      </c>
      <c r="F576" s="1" t="s">
        <v>15</v>
      </c>
      <c r="G576" s="1" t="s">
        <v>16</v>
      </c>
      <c r="H576" s="1">
        <v>-0.25</v>
      </c>
      <c r="I576" s="1">
        <v>0.28999999999999998</v>
      </c>
      <c r="J576" s="1">
        <v>-0.01</v>
      </c>
      <c r="K576" s="1" t="s">
        <v>22</v>
      </c>
      <c r="L576" s="1">
        <v>2389</v>
      </c>
      <c r="M576" s="1">
        <v>0.62</v>
      </c>
      <c r="N576" s="1">
        <v>-0.53793000000000002</v>
      </c>
      <c r="O576" s="1">
        <f>VLOOKUP(D576,underlying!$D$2:$H$75,5,FALSE)</f>
        <v>-0.17</v>
      </c>
      <c r="P576" s="2">
        <f>VLOOKUP(D576,underlying!$D$2:$L$39,9,FALSE)</f>
        <v>43006</v>
      </c>
      <c r="Q576" s="7">
        <f>IF(G576="C",NormalCallSprd(O576,H576,M576,(P576-A576)/365), NormalPutSprd(O576,H576,M576,(P576-A576)/365))</f>
        <v>0.29570510067674588</v>
      </c>
      <c r="R576" s="9">
        <f t="shared" si="17"/>
        <v>5.7051006767459E-3</v>
      </c>
    </row>
    <row r="577" spans="1:18" x14ac:dyDescent="0.2">
      <c r="A577" s="2">
        <v>42622</v>
      </c>
      <c r="B577" s="1" t="s">
        <v>13</v>
      </c>
      <c r="C577" s="1" t="s">
        <v>14</v>
      </c>
      <c r="D577" s="2">
        <v>42746</v>
      </c>
      <c r="E577" s="2">
        <f t="shared" si="16"/>
        <v>43040</v>
      </c>
      <c r="F577" s="1" t="s">
        <v>15</v>
      </c>
      <c r="G577" s="1" t="s">
        <v>18</v>
      </c>
      <c r="H577" s="1">
        <v>-0.25</v>
      </c>
      <c r="I577" s="1">
        <v>0.21</v>
      </c>
      <c r="J577" s="1">
        <v>0</v>
      </c>
      <c r="K577" s="1" t="s">
        <v>22</v>
      </c>
      <c r="L577" s="1">
        <v>2389</v>
      </c>
      <c r="M577" s="1">
        <v>0.62</v>
      </c>
      <c r="N577" s="1">
        <v>-0.48960999999999999</v>
      </c>
      <c r="O577" s="1">
        <f>VLOOKUP(D577,underlying!$D$2:$H$75,5,FALSE)</f>
        <v>-0.17</v>
      </c>
      <c r="P577" s="2">
        <f>VLOOKUP(D577,underlying!$D$2:$L$39,9,FALSE)</f>
        <v>43006</v>
      </c>
      <c r="Q577" s="7">
        <f>IF(G577="C",NormalCallSprd(O577,H577,M577,(P577-A577)/365), NormalPutSprd(O577,H577,M577,(P577-A577)/365))</f>
        <v>0.21570510067674586</v>
      </c>
      <c r="R577" s="9">
        <f t="shared" si="17"/>
        <v>5.7051006767458723E-3</v>
      </c>
    </row>
    <row r="578" spans="1:18" x14ac:dyDescent="0.2">
      <c r="A578" s="2">
        <v>42622</v>
      </c>
      <c r="B578" s="1" t="s">
        <v>13</v>
      </c>
      <c r="C578" s="1" t="s">
        <v>14</v>
      </c>
      <c r="D578" s="2">
        <v>42746</v>
      </c>
      <c r="E578" s="2">
        <f t="shared" ref="E578:E641" si="18">DATE(YEAR(D578),DAY(D578),MONTH(D578))</f>
        <v>43040</v>
      </c>
      <c r="F578" s="1" t="s">
        <v>15</v>
      </c>
      <c r="G578" s="1" t="s">
        <v>16</v>
      </c>
      <c r="H578" s="1">
        <v>-0.2</v>
      </c>
      <c r="I578" s="1">
        <v>0.26</v>
      </c>
      <c r="J578" s="1">
        <v>-0.01</v>
      </c>
      <c r="K578" s="1" t="s">
        <v>22</v>
      </c>
      <c r="L578" s="1">
        <v>2389</v>
      </c>
      <c r="M578" s="1">
        <v>0.61</v>
      </c>
      <c r="N578" s="1">
        <v>-0.44205</v>
      </c>
      <c r="O578" s="1">
        <f>VLOOKUP(D578,underlying!$D$2:$H$75,5,FALSE)</f>
        <v>-0.17</v>
      </c>
      <c r="P578" s="2">
        <f>VLOOKUP(D578,underlying!$D$2:$L$39,9,FALSE)</f>
        <v>43006</v>
      </c>
      <c r="Q578" s="7">
        <f>IF(G578="C",NormalCallSprd(O578,H578,M578,(P578-A578)/365), NormalPutSprd(O578,H578,M578,(P578-A578)/365))</f>
        <v>0.26489520698660196</v>
      </c>
      <c r="R578" s="9">
        <f t="shared" si="17"/>
        <v>4.8952069866019521E-3</v>
      </c>
    </row>
    <row r="579" spans="1:18" x14ac:dyDescent="0.2">
      <c r="A579" s="2">
        <v>42622</v>
      </c>
      <c r="B579" s="1" t="s">
        <v>13</v>
      </c>
      <c r="C579" s="1" t="s">
        <v>14</v>
      </c>
      <c r="D579" s="2">
        <v>42746</v>
      </c>
      <c r="E579" s="2">
        <f t="shared" si="18"/>
        <v>43040</v>
      </c>
      <c r="F579" s="1" t="s">
        <v>15</v>
      </c>
      <c r="G579" s="1" t="s">
        <v>18</v>
      </c>
      <c r="H579" s="1">
        <v>-0.2</v>
      </c>
      <c r="I579" s="1">
        <v>0.23</v>
      </c>
      <c r="J579" s="1">
        <v>0</v>
      </c>
      <c r="K579" s="1" t="s">
        <v>22</v>
      </c>
      <c r="L579" s="1">
        <v>2389</v>
      </c>
      <c r="M579" s="1">
        <v>0.61</v>
      </c>
      <c r="N579" s="1">
        <v>-0.39545999999999998</v>
      </c>
      <c r="O579" s="1">
        <f>VLOOKUP(D579,underlying!$D$2:$H$75,5,FALSE)</f>
        <v>-0.17</v>
      </c>
      <c r="P579" s="2">
        <f>VLOOKUP(D579,underlying!$D$2:$L$39,9,FALSE)</f>
        <v>43006</v>
      </c>
      <c r="Q579" s="7">
        <f>IF(G579="C",NormalCallSprd(O579,H579,M579,(P579-A579)/365), NormalPutSprd(O579,H579,M579,(P579-A579)/365))</f>
        <v>0.23489520698660196</v>
      </c>
      <c r="R579" s="9">
        <f t="shared" ref="R579:R642" si="19">ABS(Q579-I579)</f>
        <v>4.8952069866019521E-3</v>
      </c>
    </row>
    <row r="580" spans="1:18" x14ac:dyDescent="0.2">
      <c r="A580" s="2">
        <v>42622</v>
      </c>
      <c r="B580" s="1" t="s">
        <v>13</v>
      </c>
      <c r="C580" s="1" t="s">
        <v>14</v>
      </c>
      <c r="D580" s="2">
        <v>42746</v>
      </c>
      <c r="E580" s="2">
        <f t="shared" si="18"/>
        <v>43040</v>
      </c>
      <c r="F580" s="1" t="s">
        <v>15</v>
      </c>
      <c r="G580" s="1" t="s">
        <v>16</v>
      </c>
      <c r="H580" s="1">
        <v>-0.15</v>
      </c>
      <c r="I580" s="1">
        <v>0.23</v>
      </c>
      <c r="J580" s="1">
        <v>-0.01</v>
      </c>
      <c r="K580" s="1" t="s">
        <v>22</v>
      </c>
      <c r="L580" s="1">
        <v>2389</v>
      </c>
      <c r="M580" s="1">
        <v>0.6</v>
      </c>
      <c r="N580" s="1">
        <v>-0.35165999999999997</v>
      </c>
      <c r="O580" s="1">
        <f>VLOOKUP(D580,underlying!$D$2:$H$75,5,FALSE)</f>
        <v>-0.17</v>
      </c>
      <c r="P580" s="2">
        <f>VLOOKUP(D580,underlying!$D$2:$L$39,9,FALSE)</f>
        <v>43006</v>
      </c>
      <c r="Q580" s="7">
        <f>IF(G580="C",NormalCallSprd(O580,H580,M580,(P580-A580)/365), NormalPutSprd(O580,H580,M580,(P580-A580)/365))</f>
        <v>0.23564603136084475</v>
      </c>
      <c r="R580" s="9">
        <f t="shared" si="19"/>
        <v>5.6460313608447388E-3</v>
      </c>
    </row>
    <row r="581" spans="1:18" x14ac:dyDescent="0.2">
      <c r="A581" s="2">
        <v>42622</v>
      </c>
      <c r="B581" s="1" t="s">
        <v>13</v>
      </c>
      <c r="C581" s="1" t="s">
        <v>14</v>
      </c>
      <c r="D581" s="2">
        <v>42746</v>
      </c>
      <c r="E581" s="2">
        <f t="shared" si="18"/>
        <v>43040</v>
      </c>
      <c r="F581" s="1" t="s">
        <v>15</v>
      </c>
      <c r="G581" s="1" t="s">
        <v>18</v>
      </c>
      <c r="H581" s="1">
        <v>-0.15</v>
      </c>
      <c r="I581" s="1">
        <v>0.25</v>
      </c>
      <c r="J581" s="1">
        <v>0</v>
      </c>
      <c r="K581" s="1" t="s">
        <v>22</v>
      </c>
      <c r="L581" s="1">
        <v>2389</v>
      </c>
      <c r="M581" s="1">
        <v>0.6</v>
      </c>
      <c r="N581" s="1">
        <v>-0.30923</v>
      </c>
      <c r="O581" s="1">
        <f>VLOOKUP(D581,underlying!$D$2:$H$75,5,FALSE)</f>
        <v>-0.17</v>
      </c>
      <c r="P581" s="2">
        <f>VLOOKUP(D581,underlying!$D$2:$L$39,9,FALSE)</f>
        <v>43006</v>
      </c>
      <c r="Q581" s="7">
        <f>IF(G581="C",NormalCallSprd(O581,H581,M581,(P581-A581)/365), NormalPutSprd(O581,H581,M581,(P581-A581)/365))</f>
        <v>0.25564603136084479</v>
      </c>
      <c r="R581" s="9">
        <f t="shared" si="19"/>
        <v>5.6460313608447943E-3</v>
      </c>
    </row>
    <row r="582" spans="1:18" x14ac:dyDescent="0.2">
      <c r="A582" s="2">
        <v>42622</v>
      </c>
      <c r="B582" s="1" t="s">
        <v>13</v>
      </c>
      <c r="C582" s="1" t="s">
        <v>14</v>
      </c>
      <c r="D582" s="2">
        <v>42746</v>
      </c>
      <c r="E582" s="2">
        <f t="shared" si="18"/>
        <v>43040</v>
      </c>
      <c r="F582" s="1" t="s">
        <v>15</v>
      </c>
      <c r="G582" s="1" t="s">
        <v>16</v>
      </c>
      <c r="H582" s="1">
        <v>-0.1</v>
      </c>
      <c r="I582" s="1">
        <v>0.21</v>
      </c>
      <c r="J582" s="1">
        <v>-0.01</v>
      </c>
      <c r="K582" s="1" t="s">
        <v>22</v>
      </c>
      <c r="L582" s="1">
        <v>2389</v>
      </c>
      <c r="M582" s="1">
        <v>0.6</v>
      </c>
      <c r="N582" s="1">
        <v>-0.26887</v>
      </c>
      <c r="O582" s="1">
        <f>VLOOKUP(D582,underlying!$D$2:$H$75,5,FALSE)</f>
        <v>-0.17</v>
      </c>
      <c r="P582" s="2">
        <f>VLOOKUP(D582,underlying!$D$2:$L$39,9,FALSE)</f>
        <v>43006</v>
      </c>
      <c r="Q582" s="7">
        <f>IF(G582="C",NormalCallSprd(O582,H582,M582,(P582-A582)/365), NormalPutSprd(O582,H582,M582,(P582-A582)/365))</f>
        <v>0.21210288547782094</v>
      </c>
      <c r="R582" s="9">
        <f t="shared" si="19"/>
        <v>2.1028854778209483E-3</v>
      </c>
    </row>
    <row r="583" spans="1:18" x14ac:dyDescent="0.2">
      <c r="A583" s="2">
        <v>42622</v>
      </c>
      <c r="B583" s="1" t="s">
        <v>13</v>
      </c>
      <c r="C583" s="1" t="s">
        <v>14</v>
      </c>
      <c r="D583" s="2">
        <v>42746</v>
      </c>
      <c r="E583" s="2">
        <f t="shared" si="18"/>
        <v>43040</v>
      </c>
      <c r="F583" s="1" t="s">
        <v>15</v>
      </c>
      <c r="G583" s="1" t="s">
        <v>18</v>
      </c>
      <c r="H583" s="1">
        <v>-0.1</v>
      </c>
      <c r="I583" s="1">
        <v>0.28000000000000003</v>
      </c>
      <c r="J583" s="1">
        <v>0</v>
      </c>
      <c r="K583" s="1" t="s">
        <v>22</v>
      </c>
      <c r="L583" s="1">
        <v>2389</v>
      </c>
      <c r="M583" s="1">
        <v>0.6</v>
      </c>
      <c r="N583" s="1">
        <v>-0.23363999999999999</v>
      </c>
      <c r="O583" s="1">
        <f>VLOOKUP(D583,underlying!$D$2:$H$75,5,FALSE)</f>
        <v>-0.17</v>
      </c>
      <c r="P583" s="2">
        <f>VLOOKUP(D583,underlying!$D$2:$L$39,9,FALSE)</f>
        <v>43006</v>
      </c>
      <c r="Q583" s="7">
        <f>IF(G583="C",NormalCallSprd(O583,H583,M583,(P583-A583)/365), NormalPutSprd(O583,H583,M583,(P583-A583)/365))</f>
        <v>0.28210288547782097</v>
      </c>
      <c r="R583" s="9">
        <f t="shared" si="19"/>
        <v>2.1028854778209483E-3</v>
      </c>
    </row>
    <row r="584" spans="1:18" x14ac:dyDescent="0.2">
      <c r="A584" s="2">
        <v>42622</v>
      </c>
      <c r="B584" s="1" t="s">
        <v>13</v>
      </c>
      <c r="C584" s="1" t="s">
        <v>14</v>
      </c>
      <c r="D584" s="2">
        <v>42746</v>
      </c>
      <c r="E584" s="2">
        <f t="shared" si="18"/>
        <v>43040</v>
      </c>
      <c r="F584" s="1" t="s">
        <v>15</v>
      </c>
      <c r="G584" s="1" t="s">
        <v>16</v>
      </c>
      <c r="H584" s="1">
        <v>-0.05</v>
      </c>
      <c r="I584" s="1">
        <v>0.19</v>
      </c>
      <c r="J584" s="1">
        <v>0</v>
      </c>
      <c r="K584" s="1" t="s">
        <v>22</v>
      </c>
      <c r="L584" s="1">
        <v>2389</v>
      </c>
      <c r="M584" s="1">
        <v>0.6</v>
      </c>
      <c r="N584" s="1">
        <v>-0.19996</v>
      </c>
      <c r="O584" s="1">
        <f>VLOOKUP(D584,underlying!$D$2:$H$75,5,FALSE)</f>
        <v>-0.17</v>
      </c>
      <c r="P584" s="2">
        <f>VLOOKUP(D584,underlying!$D$2:$L$39,9,FALSE)</f>
        <v>43006</v>
      </c>
      <c r="Q584" s="7">
        <f>IF(G584="C",NormalCallSprd(O584,H584,M584,(P584-A584)/365), NormalPutSprd(O584,H584,M584,(P584-A584)/365))</f>
        <v>0.19016903050499179</v>
      </c>
      <c r="R584" s="9">
        <f t="shared" si="19"/>
        <v>1.6903050499178507E-4</v>
      </c>
    </row>
    <row r="585" spans="1:18" x14ac:dyDescent="0.2">
      <c r="A585" s="2">
        <v>42622</v>
      </c>
      <c r="B585" s="1" t="s">
        <v>13</v>
      </c>
      <c r="C585" s="1" t="s">
        <v>14</v>
      </c>
      <c r="D585" s="2">
        <v>42746</v>
      </c>
      <c r="E585" s="2">
        <f t="shared" si="18"/>
        <v>43040</v>
      </c>
      <c r="F585" s="1" t="s">
        <v>15</v>
      </c>
      <c r="G585" s="1" t="s">
        <v>18</v>
      </c>
      <c r="H585" s="1">
        <v>-0.05</v>
      </c>
      <c r="I585" s="1">
        <v>0.31</v>
      </c>
      <c r="J585" s="1">
        <v>0.01</v>
      </c>
      <c r="K585" s="1" t="s">
        <v>22</v>
      </c>
      <c r="L585" s="1">
        <v>2389</v>
      </c>
      <c r="M585" s="1">
        <v>0.6</v>
      </c>
      <c r="N585" s="1">
        <v>-0.17138</v>
      </c>
      <c r="O585" s="1">
        <f>VLOOKUP(D585,underlying!$D$2:$H$75,5,FALSE)</f>
        <v>-0.17</v>
      </c>
      <c r="P585" s="2">
        <f>VLOOKUP(D585,underlying!$D$2:$L$39,9,FALSE)</f>
        <v>43006</v>
      </c>
      <c r="Q585" s="7">
        <f>IF(G585="C",NormalCallSprd(O585,H585,M585,(P585-A585)/365), NormalPutSprd(O585,H585,M585,(P585-A585)/365))</f>
        <v>0.31016903050499178</v>
      </c>
      <c r="R585" s="9">
        <f t="shared" si="19"/>
        <v>1.6903050499178507E-4</v>
      </c>
    </row>
    <row r="586" spans="1:18" x14ac:dyDescent="0.2">
      <c r="A586" s="2">
        <v>42622</v>
      </c>
      <c r="B586" s="1" t="s">
        <v>13</v>
      </c>
      <c r="C586" s="1" t="s">
        <v>14</v>
      </c>
      <c r="D586" s="2">
        <v>42747</v>
      </c>
      <c r="E586" s="2">
        <f t="shared" si="18"/>
        <v>43070</v>
      </c>
      <c r="F586" s="1" t="s">
        <v>15</v>
      </c>
      <c r="G586" s="1" t="s">
        <v>16</v>
      </c>
      <c r="H586" s="1">
        <v>-3</v>
      </c>
      <c r="I586" s="1">
        <v>2.78</v>
      </c>
      <c r="J586" s="1">
        <v>-0.01</v>
      </c>
      <c r="K586" s="1" t="s">
        <v>29</v>
      </c>
      <c r="L586" s="1">
        <v>2389</v>
      </c>
      <c r="M586" s="1">
        <v>0.86</v>
      </c>
      <c r="N586" s="1">
        <v>-0.14663999999999999</v>
      </c>
      <c r="O586" s="1">
        <f>VLOOKUP(D586,underlying!$D$2:$H$75,5,FALSE)</f>
        <v>-0.2</v>
      </c>
      <c r="P586" s="2">
        <f>VLOOKUP(D586,underlying!$D$2:$L$39,9,FALSE)</f>
        <v>43038</v>
      </c>
      <c r="Q586" s="7">
        <f>IF(G586="C",NormalCallSprd(O586,H586,M586,(P586-A586)/365), NormalPutSprd(O586,H586,M586,(P586-A586)/365))</f>
        <v>2.8002940336414981</v>
      </c>
      <c r="R586" s="9">
        <f t="shared" si="19"/>
        <v>2.0294033641498288E-2</v>
      </c>
    </row>
    <row r="587" spans="1:18" x14ac:dyDescent="0.2">
      <c r="A587" s="2">
        <v>42622</v>
      </c>
      <c r="B587" s="1" t="s">
        <v>13</v>
      </c>
      <c r="C587" s="1" t="s">
        <v>14</v>
      </c>
      <c r="D587" s="2">
        <v>42747</v>
      </c>
      <c r="E587" s="2">
        <f t="shared" si="18"/>
        <v>43070</v>
      </c>
      <c r="F587" s="1" t="s">
        <v>15</v>
      </c>
      <c r="G587" s="1" t="s">
        <v>18</v>
      </c>
      <c r="H587" s="1">
        <v>-3</v>
      </c>
      <c r="I587" s="1">
        <v>0.01</v>
      </c>
      <c r="J587" s="1">
        <v>0</v>
      </c>
      <c r="K587" s="1" t="s">
        <v>29</v>
      </c>
      <c r="L587" s="1">
        <v>2389</v>
      </c>
      <c r="M587" s="1">
        <v>0.86</v>
      </c>
      <c r="N587" s="1">
        <v>-0.12259</v>
      </c>
      <c r="O587" s="1">
        <f>VLOOKUP(D587,underlying!$D$2:$H$75,5,FALSE)</f>
        <v>-0.2</v>
      </c>
      <c r="P587" s="2">
        <f>VLOOKUP(D587,underlying!$D$2:$L$39,9,FALSE)</f>
        <v>43038</v>
      </c>
      <c r="Q587" s="7">
        <f>IF(G587="C",NormalCallSprd(O587,H587,M587,(P587-A587)/365), NormalPutSprd(O587,H587,M587,(P587-A587)/365))</f>
        <v>2.9403364149818917E-4</v>
      </c>
      <c r="R587" s="9">
        <f t="shared" si="19"/>
        <v>9.7059663585018115E-3</v>
      </c>
    </row>
    <row r="588" spans="1:18" x14ac:dyDescent="0.2">
      <c r="A588" s="2">
        <v>42622</v>
      </c>
      <c r="B588" s="1" t="s">
        <v>13</v>
      </c>
      <c r="C588" s="1" t="s">
        <v>14</v>
      </c>
      <c r="D588" s="2">
        <v>42747</v>
      </c>
      <c r="E588" s="2">
        <f t="shared" si="18"/>
        <v>43070</v>
      </c>
      <c r="F588" s="1" t="s">
        <v>15</v>
      </c>
      <c r="G588" s="1" t="s">
        <v>16</v>
      </c>
      <c r="H588" s="1">
        <v>-2</v>
      </c>
      <c r="I588" s="1">
        <v>1.79</v>
      </c>
      <c r="J588" s="1">
        <v>-0.01</v>
      </c>
      <c r="K588" s="1" t="s">
        <v>29</v>
      </c>
      <c r="L588" s="1">
        <v>2389</v>
      </c>
      <c r="M588" s="1">
        <v>0.82</v>
      </c>
      <c r="N588" s="1">
        <v>-0.10324</v>
      </c>
      <c r="O588" s="1">
        <f>VLOOKUP(D588,underlying!$D$2:$H$75,5,FALSE)</f>
        <v>-0.2</v>
      </c>
      <c r="P588" s="2">
        <f>VLOOKUP(D588,underlying!$D$2:$L$39,9,FALSE)</f>
        <v>43038</v>
      </c>
      <c r="Q588" s="7">
        <f>IF(G588="C",NormalCallSprd(O588,H588,M588,(P588-A588)/365), NormalPutSprd(O588,H588,M588,(P588-A588)/365))</f>
        <v>1.8063860960694629</v>
      </c>
      <c r="R588" s="9">
        <f t="shared" si="19"/>
        <v>1.6386096069462841E-2</v>
      </c>
    </row>
    <row r="589" spans="1:18" x14ac:dyDescent="0.2">
      <c r="A589" s="2">
        <v>42622</v>
      </c>
      <c r="B589" s="1" t="s">
        <v>13</v>
      </c>
      <c r="C589" s="1" t="s">
        <v>14</v>
      </c>
      <c r="D589" s="2">
        <v>42747</v>
      </c>
      <c r="E589" s="2">
        <f t="shared" si="18"/>
        <v>43070</v>
      </c>
      <c r="F589" s="1" t="s">
        <v>15</v>
      </c>
      <c r="G589" s="1" t="s">
        <v>18</v>
      </c>
      <c r="H589" s="1">
        <v>-2</v>
      </c>
      <c r="I589" s="1">
        <v>0.01</v>
      </c>
      <c r="J589" s="1">
        <v>0</v>
      </c>
      <c r="K589" s="1" t="s">
        <v>29</v>
      </c>
      <c r="L589" s="1">
        <v>2389</v>
      </c>
      <c r="M589" s="1">
        <v>0.82</v>
      </c>
      <c r="N589" s="1">
        <v>-8.4940000000000002E-2</v>
      </c>
      <c r="O589" s="1">
        <f>VLOOKUP(D589,underlying!$D$2:$H$75,5,FALSE)</f>
        <v>-0.2</v>
      </c>
      <c r="P589" s="2">
        <f>VLOOKUP(D589,underlying!$D$2:$L$39,9,FALSE)</f>
        <v>43038</v>
      </c>
      <c r="Q589" s="7">
        <f>IF(G589="C",NormalCallSprd(O589,H589,M589,(P589-A589)/365), NormalPutSprd(O589,H589,M589,(P589-A589)/365))</f>
        <v>6.3860960694630143E-3</v>
      </c>
      <c r="R589" s="9">
        <f t="shared" si="19"/>
        <v>3.6139039305369859E-3</v>
      </c>
    </row>
    <row r="590" spans="1:18" x14ac:dyDescent="0.2">
      <c r="A590" s="2">
        <v>42622</v>
      </c>
      <c r="B590" s="1" t="s">
        <v>13</v>
      </c>
      <c r="C590" s="1" t="s">
        <v>14</v>
      </c>
      <c r="D590" s="2">
        <v>42747</v>
      </c>
      <c r="E590" s="2">
        <f t="shared" si="18"/>
        <v>43070</v>
      </c>
      <c r="F590" s="1" t="s">
        <v>15</v>
      </c>
      <c r="G590" s="1" t="s">
        <v>16</v>
      </c>
      <c r="H590" s="1">
        <v>-1</v>
      </c>
      <c r="I590" s="1">
        <v>0.84</v>
      </c>
      <c r="J590" s="1">
        <v>-0.01</v>
      </c>
      <c r="K590" s="1" t="s">
        <v>29</v>
      </c>
      <c r="L590" s="1">
        <v>2389</v>
      </c>
      <c r="M590" s="1">
        <v>0.67</v>
      </c>
      <c r="N590" s="1">
        <v>-1.0000000000000001E-5</v>
      </c>
      <c r="O590" s="1">
        <f>VLOOKUP(D590,underlying!$D$2:$H$75,5,FALSE)</f>
        <v>-0.2</v>
      </c>
      <c r="P590" s="2">
        <f>VLOOKUP(D590,underlying!$D$2:$L$39,9,FALSE)</f>
        <v>43038</v>
      </c>
      <c r="Q590" s="7">
        <f>IF(G590="C",NormalCallSprd(O590,H590,M590,(P590-A590)/365), NormalPutSprd(O590,H590,M590,(P590-A590)/365))</f>
        <v>0.84731841154610288</v>
      </c>
      <c r="R590" s="9">
        <f t="shared" si="19"/>
        <v>7.3184115461029098E-3</v>
      </c>
    </row>
    <row r="591" spans="1:18" x14ac:dyDescent="0.2">
      <c r="A591" s="2">
        <v>42622</v>
      </c>
      <c r="B591" s="1" t="s">
        <v>13</v>
      </c>
      <c r="C591" s="1" t="s">
        <v>14</v>
      </c>
      <c r="D591" s="2">
        <v>42747</v>
      </c>
      <c r="E591" s="2">
        <f t="shared" si="18"/>
        <v>43070</v>
      </c>
      <c r="F591" s="1" t="s">
        <v>15</v>
      </c>
      <c r="G591" s="1" t="s">
        <v>18</v>
      </c>
      <c r="H591" s="1">
        <v>-1</v>
      </c>
      <c r="I591" s="1">
        <v>0.05</v>
      </c>
      <c r="J591" s="1">
        <v>0</v>
      </c>
      <c r="K591" s="1" t="s">
        <v>29</v>
      </c>
      <c r="L591" s="1">
        <v>2389</v>
      </c>
      <c r="M591" s="1">
        <v>0.67</v>
      </c>
      <c r="N591" s="1">
        <v>-1.23E-3</v>
      </c>
      <c r="O591" s="1">
        <f>VLOOKUP(D591,underlying!$D$2:$H$75,5,FALSE)</f>
        <v>-0.2</v>
      </c>
      <c r="P591" s="2">
        <f>VLOOKUP(D591,underlying!$D$2:$L$39,9,FALSE)</f>
        <v>43038</v>
      </c>
      <c r="Q591" s="7">
        <f>IF(G591="C",NormalCallSprd(O591,H591,M591,(P591-A591)/365), NormalPutSprd(O591,H591,M591,(P591-A591)/365))</f>
        <v>4.7318411546102924E-2</v>
      </c>
      <c r="R591" s="9">
        <f t="shared" si="19"/>
        <v>2.6815884538970783E-3</v>
      </c>
    </row>
    <row r="592" spans="1:18" x14ac:dyDescent="0.2">
      <c r="A592" s="2">
        <v>42622</v>
      </c>
      <c r="B592" s="1" t="s">
        <v>13</v>
      </c>
      <c r="C592" s="1" t="s">
        <v>14</v>
      </c>
      <c r="D592" s="2">
        <v>42747</v>
      </c>
      <c r="E592" s="2">
        <f t="shared" si="18"/>
        <v>43070</v>
      </c>
      <c r="F592" s="1" t="s">
        <v>15</v>
      </c>
      <c r="G592" s="1" t="s">
        <v>16</v>
      </c>
      <c r="H592" s="1">
        <v>-0.85</v>
      </c>
      <c r="I592" s="1">
        <v>0.71</v>
      </c>
      <c r="J592" s="1">
        <v>-0.01</v>
      </c>
      <c r="K592" s="1" t="s">
        <v>29</v>
      </c>
      <c r="L592" s="1">
        <v>2389</v>
      </c>
      <c r="M592" s="1">
        <v>0.66</v>
      </c>
      <c r="N592" s="1">
        <v>0</v>
      </c>
      <c r="O592" s="1">
        <f>VLOOKUP(D592,underlying!$D$2:$H$75,5,FALSE)</f>
        <v>-0.2</v>
      </c>
      <c r="P592" s="2">
        <f>VLOOKUP(D592,underlying!$D$2:$L$39,9,FALSE)</f>
        <v>43038</v>
      </c>
      <c r="Q592" s="7">
        <f>IF(G592="C",NormalCallSprd(O592,H592,M592,(P592-A592)/365), NormalPutSprd(O592,H592,M592,(P592-A592)/365))</f>
        <v>0.71789240723508829</v>
      </c>
      <c r="R592" s="9">
        <f t="shared" si="19"/>
        <v>7.8924072350883279E-3</v>
      </c>
    </row>
    <row r="593" spans="1:18" x14ac:dyDescent="0.2">
      <c r="A593" s="2">
        <v>42622</v>
      </c>
      <c r="B593" s="1" t="s">
        <v>13</v>
      </c>
      <c r="C593" s="1" t="s">
        <v>14</v>
      </c>
      <c r="D593" s="2">
        <v>42747</v>
      </c>
      <c r="E593" s="2">
        <f t="shared" si="18"/>
        <v>43070</v>
      </c>
      <c r="F593" s="1" t="s">
        <v>15</v>
      </c>
      <c r="G593" s="1" t="s">
        <v>18</v>
      </c>
      <c r="H593" s="1">
        <v>-0.85</v>
      </c>
      <c r="I593" s="1">
        <v>7.0000000000000007E-2</v>
      </c>
      <c r="J593" s="1">
        <v>0</v>
      </c>
      <c r="K593" s="1" t="s">
        <v>29</v>
      </c>
      <c r="L593" s="1">
        <v>2389</v>
      </c>
      <c r="M593" s="1">
        <v>0.66</v>
      </c>
      <c r="N593" s="1">
        <v>0</v>
      </c>
      <c r="O593" s="1">
        <f>VLOOKUP(D593,underlying!$D$2:$H$75,5,FALSE)</f>
        <v>-0.2</v>
      </c>
      <c r="P593" s="2">
        <f>VLOOKUP(D593,underlying!$D$2:$L$39,9,FALSE)</f>
        <v>43038</v>
      </c>
      <c r="Q593" s="7">
        <f>IF(G593="C",NormalCallSprd(O593,H593,M593,(P593-A593)/365), NormalPutSprd(O593,H593,M593,(P593-A593)/365))</f>
        <v>6.7892407235088298E-2</v>
      </c>
      <c r="R593" s="9">
        <f t="shared" si="19"/>
        <v>2.1075927649117088E-3</v>
      </c>
    </row>
    <row r="594" spans="1:18" x14ac:dyDescent="0.2">
      <c r="A594" s="2">
        <v>42622</v>
      </c>
      <c r="B594" s="1" t="s">
        <v>13</v>
      </c>
      <c r="C594" s="1" t="s">
        <v>14</v>
      </c>
      <c r="D594" s="2">
        <v>42747</v>
      </c>
      <c r="E594" s="2">
        <f t="shared" si="18"/>
        <v>43070</v>
      </c>
      <c r="F594" s="1" t="s">
        <v>15</v>
      </c>
      <c r="G594" s="1" t="s">
        <v>16</v>
      </c>
      <c r="H594" s="1">
        <v>-0.8</v>
      </c>
      <c r="I594" s="1">
        <v>0.67</v>
      </c>
      <c r="J594" s="1">
        <v>-0.01</v>
      </c>
      <c r="K594" s="1" t="s">
        <v>29</v>
      </c>
      <c r="L594" s="1">
        <v>2389</v>
      </c>
      <c r="M594" s="1">
        <v>0.66</v>
      </c>
      <c r="N594" s="1">
        <v>0.39363999999999999</v>
      </c>
      <c r="O594" s="1">
        <f>VLOOKUP(D594,underlying!$D$2:$H$75,5,FALSE)</f>
        <v>-0.2</v>
      </c>
      <c r="P594" s="2">
        <f>VLOOKUP(D594,underlying!$D$2:$L$39,9,FALSE)</f>
        <v>43038</v>
      </c>
      <c r="Q594" s="7">
        <f>IF(G594="C",NormalCallSprd(O594,H594,M594,(P594-A594)/365), NormalPutSprd(O594,H594,M594,(P594-A594)/365))</f>
        <v>0.67727154819223656</v>
      </c>
      <c r="R594" s="9">
        <f t="shared" si="19"/>
        <v>7.271548192236521E-3</v>
      </c>
    </row>
    <row r="595" spans="1:18" x14ac:dyDescent="0.2">
      <c r="A595" s="2">
        <v>42622</v>
      </c>
      <c r="B595" s="1" t="s">
        <v>13</v>
      </c>
      <c r="C595" s="1" t="s">
        <v>14</v>
      </c>
      <c r="D595" s="2">
        <v>42747</v>
      </c>
      <c r="E595" s="2">
        <f t="shared" si="18"/>
        <v>43070</v>
      </c>
      <c r="F595" s="1" t="s">
        <v>15</v>
      </c>
      <c r="G595" s="1" t="s">
        <v>18</v>
      </c>
      <c r="H595" s="1">
        <v>-0.8</v>
      </c>
      <c r="I595" s="1">
        <v>0.08</v>
      </c>
      <c r="J595" s="1">
        <v>0</v>
      </c>
      <c r="K595" s="1" t="s">
        <v>29</v>
      </c>
      <c r="L595" s="1">
        <v>2389</v>
      </c>
      <c r="M595" s="1">
        <v>0.66</v>
      </c>
      <c r="N595" s="1">
        <v>0.42335</v>
      </c>
      <c r="O595" s="1">
        <f>VLOOKUP(D595,underlying!$D$2:$H$75,5,FALSE)</f>
        <v>-0.2</v>
      </c>
      <c r="P595" s="2">
        <f>VLOOKUP(D595,underlying!$D$2:$L$39,9,FALSE)</f>
        <v>43038</v>
      </c>
      <c r="Q595" s="7">
        <f>IF(G595="C",NormalCallSprd(O595,H595,M595,(P595-A595)/365), NormalPutSprd(O595,H595,M595,(P595-A595)/365))</f>
        <v>7.7271548192236528E-2</v>
      </c>
      <c r="R595" s="9">
        <f t="shared" si="19"/>
        <v>2.728451807763474E-3</v>
      </c>
    </row>
    <row r="596" spans="1:18" x14ac:dyDescent="0.2">
      <c r="A596" s="2">
        <v>42622</v>
      </c>
      <c r="B596" s="1" t="s">
        <v>13</v>
      </c>
      <c r="C596" s="1" t="s">
        <v>14</v>
      </c>
      <c r="D596" s="2">
        <v>42747</v>
      </c>
      <c r="E596" s="2">
        <f t="shared" si="18"/>
        <v>43070</v>
      </c>
      <c r="F596" s="1" t="s">
        <v>15</v>
      </c>
      <c r="G596" s="1" t="s">
        <v>16</v>
      </c>
      <c r="H596" s="1">
        <v>-0.75</v>
      </c>
      <c r="I596" s="1">
        <v>0.63</v>
      </c>
      <c r="J596" s="1">
        <v>-0.01</v>
      </c>
      <c r="K596" s="1" t="s">
        <v>29</v>
      </c>
      <c r="L596" s="1">
        <v>2389</v>
      </c>
      <c r="M596" s="1">
        <v>0.65</v>
      </c>
      <c r="N596" s="1">
        <v>0.45347999999999999</v>
      </c>
      <c r="O596" s="1">
        <f>VLOOKUP(D596,underlying!$D$2:$H$75,5,FALSE)</f>
        <v>-0.2</v>
      </c>
      <c r="P596" s="2">
        <f>VLOOKUP(D596,underlying!$D$2:$L$39,9,FALSE)</f>
        <v>43038</v>
      </c>
      <c r="Q596" s="7">
        <f>IF(G596="C",NormalCallSprd(O596,H596,M596,(P596-A596)/365), NormalPutSprd(O596,H596,M596,(P596-A596)/365))</f>
        <v>0.63450975860936942</v>
      </c>
      <c r="R596" s="9">
        <f t="shared" si="19"/>
        <v>4.5097586093694186E-3</v>
      </c>
    </row>
    <row r="597" spans="1:18" x14ac:dyDescent="0.2">
      <c r="A597" s="2">
        <v>42622</v>
      </c>
      <c r="B597" s="1" t="s">
        <v>13</v>
      </c>
      <c r="C597" s="1" t="s">
        <v>14</v>
      </c>
      <c r="D597" s="2">
        <v>42747</v>
      </c>
      <c r="E597" s="2">
        <f t="shared" si="18"/>
        <v>43070</v>
      </c>
      <c r="F597" s="1" t="s">
        <v>15</v>
      </c>
      <c r="G597" s="1" t="s">
        <v>18</v>
      </c>
      <c r="H597" s="1">
        <v>-0.75</v>
      </c>
      <c r="I597" s="1">
        <v>0.08</v>
      </c>
      <c r="J597" s="1">
        <v>0</v>
      </c>
      <c r="K597" s="1" t="s">
        <v>29</v>
      </c>
      <c r="L597" s="1">
        <v>2389</v>
      </c>
      <c r="M597" s="1">
        <v>0.65</v>
      </c>
      <c r="N597" s="1">
        <v>0.48387000000000002</v>
      </c>
      <c r="O597" s="1">
        <f>VLOOKUP(D597,underlying!$D$2:$H$75,5,FALSE)</f>
        <v>-0.2</v>
      </c>
      <c r="P597" s="2">
        <f>VLOOKUP(D597,underlying!$D$2:$L$39,9,FALSE)</f>
        <v>43038</v>
      </c>
      <c r="Q597" s="7">
        <f>IF(G597="C",NormalCallSprd(O597,H597,M597,(P597-A597)/365), NormalPutSprd(O597,H597,M597,(P597-A597)/365))</f>
        <v>8.4509758609369448E-2</v>
      </c>
      <c r="R597" s="9">
        <f t="shared" si="19"/>
        <v>4.5097586093694464E-3</v>
      </c>
    </row>
    <row r="598" spans="1:18" x14ac:dyDescent="0.2">
      <c r="A598" s="2">
        <v>42622</v>
      </c>
      <c r="B598" s="1" t="s">
        <v>13</v>
      </c>
      <c r="C598" s="1" t="s">
        <v>14</v>
      </c>
      <c r="D598" s="2">
        <v>42747</v>
      </c>
      <c r="E598" s="2">
        <f t="shared" si="18"/>
        <v>43070</v>
      </c>
      <c r="F598" s="1" t="s">
        <v>15</v>
      </c>
      <c r="G598" s="1" t="s">
        <v>16</v>
      </c>
      <c r="H598" s="1">
        <v>-0.7</v>
      </c>
      <c r="I598" s="1">
        <v>0.59</v>
      </c>
      <c r="J598" s="1">
        <v>-0.01</v>
      </c>
      <c r="K598" s="1" t="s">
        <v>29</v>
      </c>
      <c r="L598" s="1">
        <v>2389</v>
      </c>
      <c r="M598" s="1">
        <v>0.64</v>
      </c>
      <c r="N598" s="1">
        <v>0.51412999999999998</v>
      </c>
      <c r="O598" s="1">
        <f>VLOOKUP(D598,underlying!$D$2:$H$75,5,FALSE)</f>
        <v>-0.2</v>
      </c>
      <c r="P598" s="2">
        <f>VLOOKUP(D598,underlying!$D$2:$L$39,9,FALSE)</f>
        <v>43038</v>
      </c>
      <c r="Q598" s="7">
        <f>IF(G598="C",NormalCallSprd(O598,H598,M598,(P598-A598)/365), NormalPutSprd(O598,H598,M598,(P598-A598)/365))</f>
        <v>0.59247299073072324</v>
      </c>
      <c r="R598" s="9">
        <f t="shared" si="19"/>
        <v>2.4729907307232679E-3</v>
      </c>
    </row>
    <row r="599" spans="1:18" x14ac:dyDescent="0.2">
      <c r="A599" s="2">
        <v>42622</v>
      </c>
      <c r="B599" s="1" t="s">
        <v>13</v>
      </c>
      <c r="C599" s="1" t="s">
        <v>14</v>
      </c>
      <c r="D599" s="2">
        <v>42747</v>
      </c>
      <c r="E599" s="2">
        <f t="shared" si="18"/>
        <v>43070</v>
      </c>
      <c r="F599" s="1" t="s">
        <v>15</v>
      </c>
      <c r="G599" s="1" t="s">
        <v>18</v>
      </c>
      <c r="H599" s="1">
        <v>-0.7</v>
      </c>
      <c r="I599" s="1">
        <v>0.09</v>
      </c>
      <c r="J599" s="1">
        <v>0</v>
      </c>
      <c r="K599" s="1" t="s">
        <v>29</v>
      </c>
      <c r="L599" s="1">
        <v>2389</v>
      </c>
      <c r="M599" s="1">
        <v>0.64</v>
      </c>
      <c r="N599" s="1">
        <v>0.54383999999999999</v>
      </c>
      <c r="O599" s="1">
        <f>VLOOKUP(D599,underlying!$D$2:$H$75,5,FALSE)</f>
        <v>-0.2</v>
      </c>
      <c r="P599" s="2">
        <f>VLOOKUP(D599,underlying!$D$2:$L$39,9,FALSE)</f>
        <v>43038</v>
      </c>
      <c r="Q599" s="7">
        <f>IF(G599="C",NormalCallSprd(O599,H599,M599,(P599-A599)/365), NormalPutSprd(O599,H599,M599,(P599-A599)/365))</f>
        <v>9.247299073072332E-2</v>
      </c>
      <c r="R599" s="9">
        <f t="shared" si="19"/>
        <v>2.4729907307233234E-3</v>
      </c>
    </row>
    <row r="600" spans="1:18" x14ac:dyDescent="0.2">
      <c r="A600" s="2">
        <v>42622</v>
      </c>
      <c r="B600" s="1" t="s">
        <v>13</v>
      </c>
      <c r="C600" s="1" t="s">
        <v>14</v>
      </c>
      <c r="D600" s="2">
        <v>42747</v>
      </c>
      <c r="E600" s="2">
        <f t="shared" si="18"/>
        <v>43070</v>
      </c>
      <c r="F600" s="1" t="s">
        <v>15</v>
      </c>
      <c r="G600" s="1" t="s">
        <v>16</v>
      </c>
      <c r="H600" s="1">
        <v>-0.65</v>
      </c>
      <c r="I600" s="1">
        <v>0.55000000000000004</v>
      </c>
      <c r="J600" s="1">
        <v>-0.01</v>
      </c>
      <c r="K600" s="1" t="s">
        <v>29</v>
      </c>
      <c r="L600" s="1">
        <v>2389</v>
      </c>
      <c r="M600" s="1">
        <v>0.63</v>
      </c>
      <c r="N600" s="1">
        <v>0.57262000000000002</v>
      </c>
      <c r="O600" s="1">
        <f>VLOOKUP(D600,underlying!$D$2:$H$75,5,FALSE)</f>
        <v>-0.2</v>
      </c>
      <c r="P600" s="2">
        <f>VLOOKUP(D600,underlying!$D$2:$L$39,9,FALSE)</f>
        <v>43038</v>
      </c>
      <c r="Q600" s="7">
        <f>IF(G600="C",NormalCallSprd(O600,H600,M600,(P600-A600)/365), NormalPutSprd(O600,H600,M600,(P600-A600)/365))</f>
        <v>0.55123175151002646</v>
      </c>
      <c r="R600" s="9">
        <f t="shared" si="19"/>
        <v>1.2317515100264131E-3</v>
      </c>
    </row>
    <row r="601" spans="1:18" x14ac:dyDescent="0.2">
      <c r="A601" s="2">
        <v>42622</v>
      </c>
      <c r="B601" s="1" t="s">
        <v>13</v>
      </c>
      <c r="C601" s="1" t="s">
        <v>14</v>
      </c>
      <c r="D601" s="2">
        <v>42747</v>
      </c>
      <c r="E601" s="2">
        <f t="shared" si="18"/>
        <v>43070</v>
      </c>
      <c r="F601" s="1" t="s">
        <v>15</v>
      </c>
      <c r="G601" s="1" t="s">
        <v>18</v>
      </c>
      <c r="H601" s="1">
        <v>-0.65</v>
      </c>
      <c r="I601" s="1">
        <v>0.1</v>
      </c>
      <c r="J601" s="1">
        <v>0</v>
      </c>
      <c r="K601" s="1" t="s">
        <v>29</v>
      </c>
      <c r="L601" s="1">
        <v>2389</v>
      </c>
      <c r="M601" s="1">
        <v>0.63</v>
      </c>
      <c r="N601" s="1">
        <v>0.60075999999999996</v>
      </c>
      <c r="O601" s="1">
        <f>VLOOKUP(D601,underlying!$D$2:$H$75,5,FALSE)</f>
        <v>-0.2</v>
      </c>
      <c r="P601" s="2">
        <f>VLOOKUP(D601,underlying!$D$2:$L$39,9,FALSE)</f>
        <v>43038</v>
      </c>
      <c r="Q601" s="7">
        <f>IF(G601="C",NormalCallSprd(O601,H601,M601,(P601-A601)/365), NormalPutSprd(O601,H601,M601,(P601-A601)/365))</f>
        <v>0.10123175151002645</v>
      </c>
      <c r="R601" s="9">
        <f t="shared" si="19"/>
        <v>1.2317515100264409E-3</v>
      </c>
    </row>
    <row r="602" spans="1:18" x14ac:dyDescent="0.2">
      <c r="A602" s="2">
        <v>42622</v>
      </c>
      <c r="B602" s="1" t="s">
        <v>13</v>
      </c>
      <c r="C602" s="1" t="s">
        <v>14</v>
      </c>
      <c r="D602" s="2">
        <v>42747</v>
      </c>
      <c r="E602" s="2">
        <f t="shared" si="18"/>
        <v>43070</v>
      </c>
      <c r="F602" s="1" t="s">
        <v>15</v>
      </c>
      <c r="G602" s="1" t="s">
        <v>16</v>
      </c>
      <c r="H602" s="1">
        <v>-0.6</v>
      </c>
      <c r="I602" s="1">
        <v>0.51</v>
      </c>
      <c r="J602" s="1">
        <v>-0.01</v>
      </c>
      <c r="K602" s="1" t="s">
        <v>29</v>
      </c>
      <c r="L602" s="1">
        <v>2389</v>
      </c>
      <c r="M602" s="1">
        <v>0.62</v>
      </c>
      <c r="N602" s="1">
        <v>0.62756000000000001</v>
      </c>
      <c r="O602" s="1">
        <f>VLOOKUP(D602,underlying!$D$2:$H$75,5,FALSE)</f>
        <v>-0.2</v>
      </c>
      <c r="P602" s="2">
        <f>VLOOKUP(D602,underlying!$D$2:$L$39,9,FALSE)</f>
        <v>43038</v>
      </c>
      <c r="Q602" s="7">
        <f>IF(G602="C",NormalCallSprd(O602,H602,M602,(P602-A602)/365), NormalPutSprd(O602,H602,M602,(P602-A602)/365))</f>
        <v>0.51086194247558492</v>
      </c>
      <c r="R602" s="9">
        <f t="shared" si="19"/>
        <v>8.6194247558490922E-4</v>
      </c>
    </row>
    <row r="603" spans="1:18" x14ac:dyDescent="0.2">
      <c r="A603" s="2">
        <v>42622</v>
      </c>
      <c r="B603" s="1" t="s">
        <v>13</v>
      </c>
      <c r="C603" s="1" t="s">
        <v>14</v>
      </c>
      <c r="D603" s="2">
        <v>42747</v>
      </c>
      <c r="E603" s="2">
        <f t="shared" si="18"/>
        <v>43070</v>
      </c>
      <c r="F603" s="1" t="s">
        <v>15</v>
      </c>
      <c r="G603" s="1" t="s">
        <v>18</v>
      </c>
      <c r="H603" s="1">
        <v>-0.6</v>
      </c>
      <c r="I603" s="1">
        <v>0.11</v>
      </c>
      <c r="J603" s="1">
        <v>0</v>
      </c>
      <c r="K603" s="1" t="s">
        <v>29</v>
      </c>
      <c r="L603" s="1">
        <v>2389</v>
      </c>
      <c r="M603" s="1">
        <v>0.62</v>
      </c>
      <c r="N603" s="1">
        <v>0.65222999999999998</v>
      </c>
      <c r="O603" s="1">
        <f>VLOOKUP(D603,underlying!$D$2:$H$75,5,FALSE)</f>
        <v>-0.2</v>
      </c>
      <c r="P603" s="2">
        <f>VLOOKUP(D603,underlying!$D$2:$L$39,9,FALSE)</f>
        <v>43038</v>
      </c>
      <c r="Q603" s="7">
        <f>IF(G603="C",NormalCallSprd(O603,H603,M603,(P603-A603)/365), NormalPutSprd(O603,H603,M603,(P603-A603)/365))</f>
        <v>0.11086194247558499</v>
      </c>
      <c r="R603" s="9">
        <f t="shared" si="19"/>
        <v>8.6194247558499248E-4</v>
      </c>
    </row>
    <row r="604" spans="1:18" x14ac:dyDescent="0.2">
      <c r="A604" s="2">
        <v>42622</v>
      </c>
      <c r="B604" s="1" t="s">
        <v>13</v>
      </c>
      <c r="C604" s="1" t="s">
        <v>14</v>
      </c>
      <c r="D604" s="2">
        <v>42747</v>
      </c>
      <c r="E604" s="2">
        <f t="shared" si="18"/>
        <v>43070</v>
      </c>
      <c r="F604" s="1" t="s">
        <v>15</v>
      </c>
      <c r="G604" s="1" t="s">
        <v>16</v>
      </c>
      <c r="H604" s="1">
        <v>-0.55000000000000004</v>
      </c>
      <c r="I604" s="1">
        <v>0.47</v>
      </c>
      <c r="J604" s="1">
        <v>-0.01</v>
      </c>
      <c r="K604" s="1" t="s">
        <v>29</v>
      </c>
      <c r="L604" s="1">
        <v>2389</v>
      </c>
      <c r="M604" s="1">
        <v>0.62</v>
      </c>
      <c r="N604" s="1">
        <v>0.67712000000000006</v>
      </c>
      <c r="O604" s="1">
        <f>VLOOKUP(D604,underlying!$D$2:$H$75,5,FALSE)</f>
        <v>-0.2</v>
      </c>
      <c r="P604" s="2">
        <f>VLOOKUP(D604,underlying!$D$2:$L$39,9,FALSE)</f>
        <v>43038</v>
      </c>
      <c r="Q604" s="7">
        <f>IF(G604="C",NormalCallSprd(O604,H604,M604,(P604-A604)/365), NormalPutSprd(O604,H604,M604,(P604-A604)/365))</f>
        <v>0.47513970503818909</v>
      </c>
      <c r="R604" s="9">
        <f t="shared" si="19"/>
        <v>5.139705038189113E-3</v>
      </c>
    </row>
    <row r="605" spans="1:18" x14ac:dyDescent="0.2">
      <c r="A605" s="2">
        <v>42622</v>
      </c>
      <c r="B605" s="1" t="s">
        <v>13</v>
      </c>
      <c r="C605" s="1" t="s">
        <v>14</v>
      </c>
      <c r="D605" s="2">
        <v>42747</v>
      </c>
      <c r="E605" s="2">
        <f t="shared" si="18"/>
        <v>43070</v>
      </c>
      <c r="F605" s="1" t="s">
        <v>15</v>
      </c>
      <c r="G605" s="1" t="s">
        <v>18</v>
      </c>
      <c r="H605" s="1">
        <v>-0.55000000000000004</v>
      </c>
      <c r="I605" s="1">
        <v>0.12</v>
      </c>
      <c r="J605" s="1">
        <v>0</v>
      </c>
      <c r="K605" s="1" t="s">
        <v>29</v>
      </c>
      <c r="L605" s="1">
        <v>2389</v>
      </c>
      <c r="M605" s="1">
        <v>0.62</v>
      </c>
      <c r="N605" s="1">
        <v>0.70028000000000001</v>
      </c>
      <c r="O605" s="1">
        <f>VLOOKUP(D605,underlying!$D$2:$H$75,5,FALSE)</f>
        <v>-0.2</v>
      </c>
      <c r="P605" s="2">
        <f>VLOOKUP(D605,underlying!$D$2:$L$39,9,FALSE)</f>
        <v>43038</v>
      </c>
      <c r="Q605" s="7">
        <f>IF(G605="C",NormalCallSprd(O605,H605,M605,(P605-A605)/365), NormalPutSprd(O605,H605,M605,(P605-A605)/365))</f>
        <v>0.12513970503818905</v>
      </c>
      <c r="R605" s="9">
        <f t="shared" si="19"/>
        <v>5.1397050381890574E-3</v>
      </c>
    </row>
    <row r="606" spans="1:18" x14ac:dyDescent="0.2">
      <c r="A606" s="2">
        <v>42622</v>
      </c>
      <c r="B606" s="1" t="s">
        <v>13</v>
      </c>
      <c r="C606" s="1" t="s">
        <v>14</v>
      </c>
      <c r="D606" s="2">
        <v>42747</v>
      </c>
      <c r="E606" s="2">
        <f t="shared" si="18"/>
        <v>43070</v>
      </c>
      <c r="F606" s="1" t="s">
        <v>15</v>
      </c>
      <c r="G606" s="1" t="s">
        <v>16</v>
      </c>
      <c r="H606" s="1">
        <v>-0.5</v>
      </c>
      <c r="I606" s="1">
        <v>0.43</v>
      </c>
      <c r="J606" s="1">
        <v>-0.01</v>
      </c>
      <c r="K606" s="1" t="s">
        <v>29</v>
      </c>
      <c r="L606" s="1">
        <v>2389</v>
      </c>
      <c r="M606" s="1">
        <v>0.61</v>
      </c>
      <c r="N606" s="1">
        <v>0.72092999999999996</v>
      </c>
      <c r="O606" s="1">
        <f>VLOOKUP(D606,underlying!$D$2:$H$75,5,FALSE)</f>
        <v>-0.2</v>
      </c>
      <c r="P606" s="2">
        <f>VLOOKUP(D606,underlying!$D$2:$L$39,9,FALSE)</f>
        <v>43038</v>
      </c>
      <c r="Q606" s="7">
        <f>IF(G606="C",NormalCallSprd(O606,H606,M606,(P606-A606)/365), NormalPutSprd(O606,H606,M606,(P606-A606)/365))</f>
        <v>0.43689041319005772</v>
      </c>
      <c r="R606" s="9">
        <f t="shared" si="19"/>
        <v>6.8904131900577315E-3</v>
      </c>
    </row>
    <row r="607" spans="1:18" x14ac:dyDescent="0.2">
      <c r="A607" s="2">
        <v>42622</v>
      </c>
      <c r="B607" s="1" t="s">
        <v>13</v>
      </c>
      <c r="C607" s="1" t="s">
        <v>14</v>
      </c>
      <c r="D607" s="2">
        <v>42747</v>
      </c>
      <c r="E607" s="2">
        <f t="shared" si="18"/>
        <v>43070</v>
      </c>
      <c r="F607" s="1" t="s">
        <v>15</v>
      </c>
      <c r="G607" s="1" t="s">
        <v>18</v>
      </c>
      <c r="H607" s="1">
        <v>-0.5</v>
      </c>
      <c r="I607" s="1">
        <v>0.14000000000000001</v>
      </c>
      <c r="J607" s="1">
        <v>0.01</v>
      </c>
      <c r="K607" s="1" t="s">
        <v>29</v>
      </c>
      <c r="L607" s="1">
        <v>2389</v>
      </c>
      <c r="M607" s="1">
        <v>0.61</v>
      </c>
      <c r="N607" s="1">
        <v>0.74021000000000003</v>
      </c>
      <c r="O607" s="1">
        <f>VLOOKUP(D607,underlying!$D$2:$H$75,5,FALSE)</f>
        <v>-0.2</v>
      </c>
      <c r="P607" s="2">
        <f>VLOOKUP(D607,underlying!$D$2:$L$39,9,FALSE)</f>
        <v>43038</v>
      </c>
      <c r="Q607" s="7">
        <f>IF(G607="C",NormalCallSprd(O607,H607,M607,(P607-A607)/365), NormalPutSprd(O607,H607,M607,(P607-A607)/365))</f>
        <v>0.13689041319005771</v>
      </c>
      <c r="R607" s="9">
        <f t="shared" si="19"/>
        <v>3.1095868099423052E-3</v>
      </c>
    </row>
    <row r="608" spans="1:18" x14ac:dyDescent="0.2">
      <c r="A608" s="2">
        <v>42622</v>
      </c>
      <c r="B608" s="1" t="s">
        <v>13</v>
      </c>
      <c r="C608" s="1" t="s">
        <v>14</v>
      </c>
      <c r="D608" s="2">
        <v>42747</v>
      </c>
      <c r="E608" s="2">
        <f t="shared" si="18"/>
        <v>43070</v>
      </c>
      <c r="F608" s="1" t="s">
        <v>15</v>
      </c>
      <c r="G608" s="1" t="s">
        <v>16</v>
      </c>
      <c r="H608" s="1">
        <v>-0.45</v>
      </c>
      <c r="I608" s="1">
        <v>0.4</v>
      </c>
      <c r="J608" s="1">
        <v>-0.01</v>
      </c>
      <c r="K608" s="1" t="s">
        <v>29</v>
      </c>
      <c r="L608" s="1">
        <v>2389</v>
      </c>
      <c r="M608" s="1">
        <v>0.61</v>
      </c>
      <c r="N608" s="1">
        <v>0.76024000000000003</v>
      </c>
      <c r="O608" s="1">
        <f>VLOOKUP(D608,underlying!$D$2:$H$75,5,FALSE)</f>
        <v>-0.2</v>
      </c>
      <c r="P608" s="2">
        <f>VLOOKUP(D608,underlying!$D$2:$L$39,9,FALSE)</f>
        <v>43038</v>
      </c>
      <c r="Q608" s="7">
        <f>IF(G608="C",NormalCallSprd(O608,H608,M608,(P608-A608)/365), NormalPutSprd(O608,H608,M608,(P608-A608)/365))</f>
        <v>0.40371278414811712</v>
      </c>
      <c r="R608" s="9">
        <f t="shared" si="19"/>
        <v>3.7127841481170987E-3</v>
      </c>
    </row>
    <row r="609" spans="1:18" x14ac:dyDescent="0.2">
      <c r="A609" s="2">
        <v>42622</v>
      </c>
      <c r="B609" s="1" t="s">
        <v>13</v>
      </c>
      <c r="C609" s="1" t="s">
        <v>14</v>
      </c>
      <c r="D609" s="2">
        <v>42747</v>
      </c>
      <c r="E609" s="2">
        <f t="shared" si="18"/>
        <v>43070</v>
      </c>
      <c r="F609" s="1" t="s">
        <v>15</v>
      </c>
      <c r="G609" s="1" t="s">
        <v>18</v>
      </c>
      <c r="H609" s="1">
        <v>-0.45</v>
      </c>
      <c r="I609" s="1">
        <v>0.15</v>
      </c>
      <c r="J609" s="1">
        <v>0</v>
      </c>
      <c r="K609" s="1" t="s">
        <v>29</v>
      </c>
      <c r="L609" s="1">
        <v>2389</v>
      </c>
      <c r="M609" s="1">
        <v>0.61</v>
      </c>
      <c r="N609" s="1">
        <v>0.83740000000000003</v>
      </c>
      <c r="O609" s="1">
        <f>VLOOKUP(D609,underlying!$D$2:$H$75,5,FALSE)</f>
        <v>-0.2</v>
      </c>
      <c r="P609" s="2">
        <f>VLOOKUP(D609,underlying!$D$2:$L$39,9,FALSE)</f>
        <v>43038</v>
      </c>
      <c r="Q609" s="7">
        <f>IF(G609="C",NormalCallSprd(O609,H609,M609,(P609-A609)/365), NormalPutSprd(O609,H609,M609,(P609-A609)/365))</f>
        <v>0.15371278414811712</v>
      </c>
      <c r="R609" s="9">
        <f t="shared" si="19"/>
        <v>3.7127841481171264E-3</v>
      </c>
    </row>
    <row r="610" spans="1:18" x14ac:dyDescent="0.2">
      <c r="A610" s="2">
        <v>42622</v>
      </c>
      <c r="B610" s="1" t="s">
        <v>13</v>
      </c>
      <c r="C610" s="1" t="s">
        <v>14</v>
      </c>
      <c r="D610" s="2">
        <v>42747</v>
      </c>
      <c r="E610" s="2">
        <f t="shared" si="18"/>
        <v>43070</v>
      </c>
      <c r="F610" s="1" t="s">
        <v>15</v>
      </c>
      <c r="G610" s="1" t="s">
        <v>16</v>
      </c>
      <c r="H610" s="1">
        <v>-0.4</v>
      </c>
      <c r="I610" s="1">
        <v>0.37</v>
      </c>
      <c r="J610" s="1">
        <v>0</v>
      </c>
      <c r="K610" s="1" t="s">
        <v>29</v>
      </c>
      <c r="L610" s="1">
        <v>2389</v>
      </c>
      <c r="M610" s="1">
        <v>0.6</v>
      </c>
      <c r="N610" s="1">
        <v>0.99209999999999998</v>
      </c>
      <c r="O610" s="1">
        <f>VLOOKUP(D610,underlying!$D$2:$H$75,5,FALSE)</f>
        <v>-0.2</v>
      </c>
      <c r="P610" s="2">
        <f>VLOOKUP(D610,underlying!$D$2:$L$39,9,FALSE)</f>
        <v>43038</v>
      </c>
      <c r="Q610" s="7">
        <f>IF(G610="C",NormalCallSprd(O610,H610,M610,(P610-A610)/365), NormalPutSprd(O610,H610,M610,(P610-A610)/365))</f>
        <v>0.36789763246116453</v>
      </c>
      <c r="R610" s="9">
        <f t="shared" si="19"/>
        <v>2.1023675388354701E-3</v>
      </c>
    </row>
    <row r="611" spans="1:18" x14ac:dyDescent="0.2">
      <c r="A611" s="2">
        <v>42622</v>
      </c>
      <c r="B611" s="1" t="s">
        <v>13</v>
      </c>
      <c r="C611" s="1" t="s">
        <v>14</v>
      </c>
      <c r="D611" s="2">
        <v>42747</v>
      </c>
      <c r="E611" s="2">
        <f t="shared" si="18"/>
        <v>43070</v>
      </c>
      <c r="F611" s="1" t="s">
        <v>15</v>
      </c>
      <c r="G611" s="1" t="s">
        <v>18</v>
      </c>
      <c r="H611" s="1">
        <v>-0.4</v>
      </c>
      <c r="I611" s="1">
        <v>0.17</v>
      </c>
      <c r="J611" s="1">
        <v>0.01</v>
      </c>
      <c r="K611" s="1" t="s">
        <v>29</v>
      </c>
      <c r="L611" s="1">
        <v>2389</v>
      </c>
      <c r="M611" s="1">
        <v>0.6</v>
      </c>
      <c r="N611" s="1">
        <v>0.96287</v>
      </c>
      <c r="O611" s="1">
        <f>VLOOKUP(D611,underlying!$D$2:$H$75,5,FALSE)</f>
        <v>-0.2</v>
      </c>
      <c r="P611" s="2">
        <f>VLOOKUP(D611,underlying!$D$2:$L$39,9,FALSE)</f>
        <v>43038</v>
      </c>
      <c r="Q611" s="7">
        <f>IF(G611="C",NormalCallSprd(O611,H611,M611,(P611-A611)/365), NormalPutSprd(O611,H611,M611,(P611-A611)/365))</f>
        <v>0.16789763246116451</v>
      </c>
      <c r="R611" s="9">
        <f t="shared" si="19"/>
        <v>2.1023675388354979E-3</v>
      </c>
    </row>
    <row r="612" spans="1:18" x14ac:dyDescent="0.2">
      <c r="A612" s="2">
        <v>42622</v>
      </c>
      <c r="B612" s="1" t="s">
        <v>13</v>
      </c>
      <c r="C612" s="1" t="s">
        <v>14</v>
      </c>
      <c r="D612" s="2">
        <v>42747</v>
      </c>
      <c r="E612" s="2">
        <f t="shared" si="18"/>
        <v>43070</v>
      </c>
      <c r="F612" s="1" t="s">
        <v>15</v>
      </c>
      <c r="G612" s="1" t="s">
        <v>16</v>
      </c>
      <c r="H612" s="1">
        <v>-0.35</v>
      </c>
      <c r="I612" s="1">
        <v>0.33</v>
      </c>
      <c r="J612" s="1">
        <v>-0.01</v>
      </c>
      <c r="K612" s="1" t="s">
        <v>29</v>
      </c>
      <c r="L612" s="1">
        <v>2389</v>
      </c>
      <c r="M612" s="1">
        <v>0.6</v>
      </c>
      <c r="N612" s="1">
        <v>0.98673</v>
      </c>
      <c r="O612" s="1">
        <f>VLOOKUP(D612,underlying!$D$2:$H$75,5,FALSE)</f>
        <v>-0.2</v>
      </c>
      <c r="P612" s="2">
        <f>VLOOKUP(D612,underlying!$D$2:$L$39,9,FALSE)</f>
        <v>43038</v>
      </c>
      <c r="Q612" s="7">
        <f>IF(G612="C",NormalCallSprd(O612,H612,M612,(P612-A612)/365), NormalPutSprd(O612,H612,M612,(P612-A612)/365))</f>
        <v>0.33751638106176857</v>
      </c>
      <c r="R612" s="9">
        <f t="shared" si="19"/>
        <v>7.5163810617685511E-3</v>
      </c>
    </row>
    <row r="613" spans="1:18" x14ac:dyDescent="0.2">
      <c r="A613" s="2">
        <v>42622</v>
      </c>
      <c r="B613" s="1" t="s">
        <v>13</v>
      </c>
      <c r="C613" s="1" t="s">
        <v>14</v>
      </c>
      <c r="D613" s="2">
        <v>42747</v>
      </c>
      <c r="E613" s="2">
        <f t="shared" si="18"/>
        <v>43070</v>
      </c>
      <c r="F613" s="1" t="s">
        <v>15</v>
      </c>
      <c r="G613" s="1" t="s">
        <v>18</v>
      </c>
      <c r="H613" s="1">
        <v>-0.35</v>
      </c>
      <c r="I613" s="1">
        <v>0.19</v>
      </c>
      <c r="J613" s="1">
        <v>0.01</v>
      </c>
      <c r="K613" s="1" t="s">
        <v>29</v>
      </c>
      <c r="L613" s="1">
        <v>2389</v>
      </c>
      <c r="M613" s="1">
        <v>0.6</v>
      </c>
      <c r="N613" s="1">
        <v>-0.59845999999999999</v>
      </c>
      <c r="O613" s="1">
        <f>VLOOKUP(D613,underlying!$D$2:$H$75,5,FALSE)</f>
        <v>-0.2</v>
      </c>
      <c r="P613" s="2">
        <f>VLOOKUP(D613,underlying!$D$2:$L$39,9,FALSE)</f>
        <v>43038</v>
      </c>
      <c r="Q613" s="7">
        <f>IF(G613="C",NormalCallSprd(O613,H613,M613,(P613-A613)/365), NormalPutSprd(O613,H613,M613,(P613-A613)/365))</f>
        <v>0.18751638106176857</v>
      </c>
      <c r="R613" s="9">
        <f t="shared" si="19"/>
        <v>2.48361893823143E-3</v>
      </c>
    </row>
    <row r="614" spans="1:18" x14ac:dyDescent="0.2">
      <c r="A614" s="2">
        <v>42622</v>
      </c>
      <c r="B614" s="1" t="s">
        <v>13</v>
      </c>
      <c r="C614" s="1" t="s">
        <v>14</v>
      </c>
      <c r="D614" s="2">
        <v>42747</v>
      </c>
      <c r="E614" s="2">
        <f t="shared" si="18"/>
        <v>43070</v>
      </c>
      <c r="F614" s="1" t="s">
        <v>15</v>
      </c>
      <c r="G614" s="1" t="s">
        <v>16</v>
      </c>
      <c r="H614" s="1">
        <v>-0.3</v>
      </c>
      <c r="I614" s="1">
        <v>0.3</v>
      </c>
      <c r="J614" s="1">
        <v>-0.01</v>
      </c>
      <c r="K614" s="1" t="s">
        <v>29</v>
      </c>
      <c r="L614" s="1">
        <v>2389</v>
      </c>
      <c r="M614" s="1">
        <v>0.59</v>
      </c>
      <c r="N614" s="1">
        <v>-0.56876000000000004</v>
      </c>
      <c r="O614" s="1">
        <f>VLOOKUP(D614,underlying!$D$2:$H$75,5,FALSE)</f>
        <v>-0.2</v>
      </c>
      <c r="P614" s="2">
        <f>VLOOKUP(D614,underlying!$D$2:$L$39,9,FALSE)</f>
        <v>43038</v>
      </c>
      <c r="Q614" s="7">
        <f>IF(G614="C",NormalCallSprd(O614,H614,M614,(P614-A614)/365), NormalPutSprd(O614,H614,M614,(P614-A614)/365))</f>
        <v>0.30444275570083668</v>
      </c>
      <c r="R614" s="9">
        <f t="shared" si="19"/>
        <v>4.4427557008366869E-3</v>
      </c>
    </row>
    <row r="615" spans="1:18" x14ac:dyDescent="0.2">
      <c r="A615" s="2">
        <v>42622</v>
      </c>
      <c r="B615" s="1" t="s">
        <v>13</v>
      </c>
      <c r="C615" s="1" t="s">
        <v>14</v>
      </c>
      <c r="D615" s="2">
        <v>42747</v>
      </c>
      <c r="E615" s="2">
        <f t="shared" si="18"/>
        <v>43070</v>
      </c>
      <c r="F615" s="1" t="s">
        <v>15</v>
      </c>
      <c r="G615" s="1" t="s">
        <v>18</v>
      </c>
      <c r="H615" s="1">
        <v>-0.3</v>
      </c>
      <c r="I615" s="1">
        <v>0.2</v>
      </c>
      <c r="J615" s="1">
        <v>0</v>
      </c>
      <c r="K615" s="1" t="s">
        <v>29</v>
      </c>
      <c r="L615" s="1">
        <v>2389</v>
      </c>
      <c r="M615" s="1">
        <v>0.59</v>
      </c>
      <c r="N615" s="1">
        <v>-0.53861999999999999</v>
      </c>
      <c r="O615" s="1">
        <f>VLOOKUP(D615,underlying!$D$2:$H$75,5,FALSE)</f>
        <v>-0.2</v>
      </c>
      <c r="P615" s="2">
        <f>VLOOKUP(D615,underlying!$D$2:$L$39,9,FALSE)</f>
        <v>43038</v>
      </c>
      <c r="Q615" s="7">
        <f>IF(G615="C",NormalCallSprd(O615,H615,M615,(P615-A615)/365), NormalPutSprd(O615,H615,M615,(P615-A615)/365))</f>
        <v>0.2044427557008367</v>
      </c>
      <c r="R615" s="9">
        <f t="shared" si="19"/>
        <v>4.4427557008366869E-3</v>
      </c>
    </row>
    <row r="616" spans="1:18" x14ac:dyDescent="0.2">
      <c r="A616" s="2">
        <v>42622</v>
      </c>
      <c r="B616" s="1" t="s">
        <v>13</v>
      </c>
      <c r="C616" s="1" t="s">
        <v>14</v>
      </c>
      <c r="D616" s="2">
        <v>42747</v>
      </c>
      <c r="E616" s="2">
        <f t="shared" si="18"/>
        <v>43070</v>
      </c>
      <c r="F616" s="1" t="s">
        <v>15</v>
      </c>
      <c r="G616" s="1" t="s">
        <v>16</v>
      </c>
      <c r="H616" s="1">
        <v>-0.25</v>
      </c>
      <c r="I616" s="1">
        <v>0.28000000000000003</v>
      </c>
      <c r="J616" s="1">
        <v>0</v>
      </c>
      <c r="K616" s="1" t="s">
        <v>29</v>
      </c>
      <c r="L616" s="1">
        <v>2389</v>
      </c>
      <c r="M616" s="1">
        <v>0.59</v>
      </c>
      <c r="N616" s="1">
        <v>-0.50822999999999996</v>
      </c>
      <c r="O616" s="1">
        <f>VLOOKUP(D616,underlying!$D$2:$H$75,5,FALSE)</f>
        <v>-0.2</v>
      </c>
      <c r="P616" s="2">
        <f>VLOOKUP(D616,underlying!$D$2:$L$39,9,FALSE)</f>
        <v>43038</v>
      </c>
      <c r="Q616" s="7">
        <f>IF(G616="C",NormalCallSprd(O616,H616,M616,(P616-A616)/365), NormalPutSprd(O616,H616,M616,(P616-A616)/365))</f>
        <v>0.27707383602133451</v>
      </c>
      <c r="R616" s="9">
        <f t="shared" si="19"/>
        <v>2.9261639786655191E-3</v>
      </c>
    </row>
    <row r="617" spans="1:18" x14ac:dyDescent="0.2">
      <c r="A617" s="2">
        <v>42622</v>
      </c>
      <c r="B617" s="1" t="s">
        <v>13</v>
      </c>
      <c r="C617" s="1" t="s">
        <v>14</v>
      </c>
      <c r="D617" s="2">
        <v>42747</v>
      </c>
      <c r="E617" s="2">
        <f t="shared" si="18"/>
        <v>43070</v>
      </c>
      <c r="F617" s="1" t="s">
        <v>15</v>
      </c>
      <c r="G617" s="1" t="s">
        <v>18</v>
      </c>
      <c r="H617" s="1">
        <v>-0.25</v>
      </c>
      <c r="I617" s="1">
        <v>0.23</v>
      </c>
      <c r="J617" s="1">
        <v>0.01</v>
      </c>
      <c r="K617" s="1" t="s">
        <v>29</v>
      </c>
      <c r="L617" s="1">
        <v>2389</v>
      </c>
      <c r="M617" s="1">
        <v>0.59</v>
      </c>
      <c r="N617" s="1">
        <v>-0.47797000000000001</v>
      </c>
      <c r="O617" s="1">
        <f>VLOOKUP(D617,underlying!$D$2:$H$75,5,FALSE)</f>
        <v>-0.2</v>
      </c>
      <c r="P617" s="2">
        <f>VLOOKUP(D617,underlying!$D$2:$L$39,9,FALSE)</f>
        <v>43038</v>
      </c>
      <c r="Q617" s="7">
        <f>IF(G617="C",NormalCallSprd(O617,H617,M617,(P617-A617)/365), NormalPutSprd(O617,H617,M617,(P617-A617)/365))</f>
        <v>0.22707383602133455</v>
      </c>
      <c r="R617" s="9">
        <f t="shared" si="19"/>
        <v>2.9261639786654636E-3</v>
      </c>
    </row>
    <row r="618" spans="1:18" x14ac:dyDescent="0.2">
      <c r="A618" s="2">
        <v>42622</v>
      </c>
      <c r="B618" s="1" t="s">
        <v>13</v>
      </c>
      <c r="C618" s="1" t="s">
        <v>14</v>
      </c>
      <c r="D618" s="2">
        <v>42747</v>
      </c>
      <c r="E618" s="2">
        <f t="shared" si="18"/>
        <v>43070</v>
      </c>
      <c r="F618" s="1" t="s">
        <v>15</v>
      </c>
      <c r="G618" s="1" t="s">
        <v>16</v>
      </c>
      <c r="H618" s="1">
        <v>-0.2</v>
      </c>
      <c r="I618" s="1">
        <v>0.25</v>
      </c>
      <c r="J618" s="1">
        <v>0</v>
      </c>
      <c r="K618" s="1" t="s">
        <v>29</v>
      </c>
      <c r="L618" s="1">
        <v>2389</v>
      </c>
      <c r="M618" s="1">
        <v>0.59</v>
      </c>
      <c r="N618" s="1">
        <v>-0.44825999999999999</v>
      </c>
      <c r="O618" s="1">
        <f>VLOOKUP(D618,underlying!$D$2:$H$75,5,FALSE)</f>
        <v>-0.2</v>
      </c>
      <c r="P618" s="2">
        <f>VLOOKUP(D618,underlying!$D$2:$L$39,9,FALSE)</f>
        <v>43038</v>
      </c>
      <c r="Q618" s="7">
        <f>IF(G618="C",NormalCallSprd(O618,H618,M618,(P618-A618)/365), NormalPutSprd(O618,H618,M618,(P618-A618)/365))</f>
        <v>0.25128253839415221</v>
      </c>
      <c r="R618" s="9">
        <f t="shared" si="19"/>
        <v>1.2825383941522106E-3</v>
      </c>
    </row>
    <row r="619" spans="1:18" x14ac:dyDescent="0.2">
      <c r="A619" s="2">
        <v>42622</v>
      </c>
      <c r="B619" s="1" t="s">
        <v>13</v>
      </c>
      <c r="C619" s="1" t="s">
        <v>14</v>
      </c>
      <c r="D619" s="2">
        <v>42747</v>
      </c>
      <c r="E619" s="2">
        <f t="shared" si="18"/>
        <v>43070</v>
      </c>
      <c r="F619" s="1" t="s">
        <v>15</v>
      </c>
      <c r="G619" s="1" t="s">
        <v>18</v>
      </c>
      <c r="H619" s="1">
        <v>-0.2</v>
      </c>
      <c r="I619" s="1">
        <v>0.25</v>
      </c>
      <c r="J619" s="1">
        <v>0</v>
      </c>
      <c r="K619" s="1" t="s">
        <v>29</v>
      </c>
      <c r="L619" s="1">
        <v>2389</v>
      </c>
      <c r="M619" s="1">
        <v>0.59</v>
      </c>
      <c r="N619" s="1">
        <v>-0.41948000000000002</v>
      </c>
      <c r="O619" s="1">
        <f>VLOOKUP(D619,underlying!$D$2:$H$75,5,FALSE)</f>
        <v>-0.2</v>
      </c>
      <c r="P619" s="2">
        <f>VLOOKUP(D619,underlying!$D$2:$L$39,9,FALSE)</f>
        <v>43038</v>
      </c>
      <c r="Q619" s="7">
        <f>IF(G619="C",NormalCallSprd(O619,H619,M619,(P619-A619)/365), NormalPutSprd(O619,H619,M619,(P619-A619)/365))</f>
        <v>0.25128253839415221</v>
      </c>
      <c r="R619" s="9">
        <f t="shared" si="19"/>
        <v>1.2825383941522106E-3</v>
      </c>
    </row>
    <row r="620" spans="1:18" x14ac:dyDescent="0.2">
      <c r="A620" s="2">
        <v>42622</v>
      </c>
      <c r="B620" s="1" t="s">
        <v>13</v>
      </c>
      <c r="C620" s="1" t="s">
        <v>14</v>
      </c>
      <c r="D620" s="2">
        <v>42747</v>
      </c>
      <c r="E620" s="2">
        <f t="shared" si="18"/>
        <v>43070</v>
      </c>
      <c r="F620" s="1" t="s">
        <v>15</v>
      </c>
      <c r="G620" s="1" t="s">
        <v>16</v>
      </c>
      <c r="H620" s="1">
        <v>-0.15</v>
      </c>
      <c r="I620" s="1">
        <v>0.23</v>
      </c>
      <c r="J620" s="1">
        <v>0</v>
      </c>
      <c r="K620" s="1" t="s">
        <v>29</v>
      </c>
      <c r="L620" s="1">
        <v>2389</v>
      </c>
      <c r="M620" s="1">
        <v>0.59</v>
      </c>
      <c r="N620" s="1">
        <v>-0.39134000000000002</v>
      </c>
      <c r="O620" s="1">
        <f>VLOOKUP(D620,underlying!$D$2:$H$75,5,FALSE)</f>
        <v>-0.2</v>
      </c>
      <c r="P620" s="2">
        <f>VLOOKUP(D620,underlying!$D$2:$L$39,9,FALSE)</f>
        <v>43038</v>
      </c>
      <c r="Q620" s="7">
        <f>IF(G620="C",NormalCallSprd(O620,H620,M620,(P620-A620)/365), NormalPutSprd(O620,H620,M620,(P620-A620)/365))</f>
        <v>0.22707383602133455</v>
      </c>
      <c r="R620" s="9">
        <f t="shared" si="19"/>
        <v>2.9261639786654636E-3</v>
      </c>
    </row>
    <row r="621" spans="1:18" x14ac:dyDescent="0.2">
      <c r="A621" s="2">
        <v>42622</v>
      </c>
      <c r="B621" s="1" t="s">
        <v>13</v>
      </c>
      <c r="C621" s="1" t="s">
        <v>14</v>
      </c>
      <c r="D621" s="2">
        <v>42747</v>
      </c>
      <c r="E621" s="2">
        <f t="shared" si="18"/>
        <v>43070</v>
      </c>
      <c r="F621" s="1" t="s">
        <v>15</v>
      </c>
      <c r="G621" s="1" t="s">
        <v>18</v>
      </c>
      <c r="H621" s="1">
        <v>-0.15</v>
      </c>
      <c r="I621" s="1">
        <v>0.28000000000000003</v>
      </c>
      <c r="J621" s="1">
        <v>0.01</v>
      </c>
      <c r="K621" s="1" t="s">
        <v>29</v>
      </c>
      <c r="L621" s="1">
        <v>2389</v>
      </c>
      <c r="M621" s="1">
        <v>0.59</v>
      </c>
      <c r="N621" s="1">
        <v>-0.36453999999999998</v>
      </c>
      <c r="O621" s="1">
        <f>VLOOKUP(D621,underlying!$D$2:$H$75,5,FALSE)</f>
        <v>-0.2</v>
      </c>
      <c r="P621" s="2">
        <f>VLOOKUP(D621,underlying!$D$2:$L$39,9,FALSE)</f>
        <v>43038</v>
      </c>
      <c r="Q621" s="7">
        <f>IF(G621="C",NormalCallSprd(O621,H621,M621,(P621-A621)/365), NormalPutSprd(O621,H621,M621,(P621-A621)/365))</f>
        <v>0.27707383602133456</v>
      </c>
      <c r="R621" s="9">
        <f t="shared" si="19"/>
        <v>2.9261639786654636E-3</v>
      </c>
    </row>
    <row r="622" spans="1:18" x14ac:dyDescent="0.2">
      <c r="A622" s="2">
        <v>42622</v>
      </c>
      <c r="B622" s="1" t="s">
        <v>13</v>
      </c>
      <c r="C622" s="1" t="s">
        <v>14</v>
      </c>
      <c r="D622" s="2">
        <v>42747</v>
      </c>
      <c r="E622" s="2">
        <f t="shared" si="18"/>
        <v>43070</v>
      </c>
      <c r="F622" s="1" t="s">
        <v>15</v>
      </c>
      <c r="G622" s="1" t="s">
        <v>16</v>
      </c>
      <c r="H622" s="1">
        <v>-0.1</v>
      </c>
      <c r="I622" s="1">
        <v>0.2</v>
      </c>
      <c r="J622" s="1">
        <v>-0.01</v>
      </c>
      <c r="K622" s="1" t="s">
        <v>29</v>
      </c>
      <c r="L622" s="1">
        <v>2389</v>
      </c>
      <c r="M622" s="1">
        <v>0.59</v>
      </c>
      <c r="N622" s="1">
        <v>-0.33987000000000001</v>
      </c>
      <c r="O622" s="1">
        <f>VLOOKUP(D622,underlying!$D$2:$H$75,5,FALSE)</f>
        <v>-0.2</v>
      </c>
      <c r="P622" s="2">
        <f>VLOOKUP(D622,underlying!$D$2:$L$39,9,FALSE)</f>
        <v>43038</v>
      </c>
      <c r="Q622" s="7">
        <f>IF(G622="C",NormalCallSprd(O622,H622,M622,(P622-A622)/365), NormalPutSprd(O622,H622,M622,(P622-A622)/365))</f>
        <v>0.20444275570083667</v>
      </c>
      <c r="R622" s="9">
        <f t="shared" si="19"/>
        <v>4.4427557008366592E-3</v>
      </c>
    </row>
    <row r="623" spans="1:18" x14ac:dyDescent="0.2">
      <c r="A623" s="2">
        <v>42622</v>
      </c>
      <c r="B623" s="1" t="s">
        <v>13</v>
      </c>
      <c r="C623" s="1" t="s">
        <v>14</v>
      </c>
      <c r="D623" s="2">
        <v>42747</v>
      </c>
      <c r="E623" s="2">
        <f t="shared" si="18"/>
        <v>43070</v>
      </c>
      <c r="F623" s="1" t="s">
        <v>15</v>
      </c>
      <c r="G623" s="1" t="s">
        <v>18</v>
      </c>
      <c r="H623" s="1">
        <v>-0.1</v>
      </c>
      <c r="I623" s="1">
        <v>0.3</v>
      </c>
      <c r="J623" s="1">
        <v>0</v>
      </c>
      <c r="K623" s="1" t="s">
        <v>29</v>
      </c>
      <c r="L623" s="1">
        <v>2389</v>
      </c>
      <c r="M623" s="1">
        <v>0.59</v>
      </c>
      <c r="N623" s="1">
        <v>-0.31497999999999998</v>
      </c>
      <c r="O623" s="1">
        <f>VLOOKUP(D623,underlying!$D$2:$H$75,5,FALSE)</f>
        <v>-0.2</v>
      </c>
      <c r="P623" s="2">
        <f>VLOOKUP(D623,underlying!$D$2:$L$39,9,FALSE)</f>
        <v>43038</v>
      </c>
      <c r="Q623" s="7">
        <f>IF(G623="C",NormalCallSprd(O623,H623,M623,(P623-A623)/365), NormalPutSprd(O623,H623,M623,(P623-A623)/365))</f>
        <v>0.30444275570083668</v>
      </c>
      <c r="R623" s="9">
        <f t="shared" si="19"/>
        <v>4.4427557008366869E-3</v>
      </c>
    </row>
    <row r="624" spans="1:18" x14ac:dyDescent="0.2">
      <c r="A624" s="2">
        <v>42622</v>
      </c>
      <c r="B624" s="1" t="s">
        <v>13</v>
      </c>
      <c r="C624" s="1" t="s">
        <v>14</v>
      </c>
      <c r="D624" s="2">
        <v>42747</v>
      </c>
      <c r="E624" s="2">
        <f t="shared" si="18"/>
        <v>43070</v>
      </c>
      <c r="F624" s="1" t="s">
        <v>15</v>
      </c>
      <c r="G624" s="1" t="s">
        <v>16</v>
      </c>
      <c r="H624" s="1">
        <v>-0.05</v>
      </c>
      <c r="I624" s="1">
        <v>0.18</v>
      </c>
      <c r="J624" s="1">
        <v>-0.01</v>
      </c>
      <c r="K624" s="1" t="s">
        <v>29</v>
      </c>
      <c r="L624" s="1">
        <v>2389</v>
      </c>
      <c r="M624" s="1">
        <v>0.59</v>
      </c>
      <c r="N624" s="1">
        <v>-0.29182000000000002</v>
      </c>
      <c r="O624" s="1">
        <f>VLOOKUP(D624,underlying!$D$2:$H$75,5,FALSE)</f>
        <v>-0.2</v>
      </c>
      <c r="P624" s="2">
        <f>VLOOKUP(D624,underlying!$D$2:$L$39,9,FALSE)</f>
        <v>43038</v>
      </c>
      <c r="Q624" s="7">
        <f>IF(G624="C",NormalCallSprd(O624,H624,M624,(P624-A624)/365), NormalPutSprd(O624,H624,M624,(P624-A624)/365))</f>
        <v>0.18337447139799068</v>
      </c>
      <c r="R624" s="9">
        <f t="shared" si="19"/>
        <v>3.374471397990686E-3</v>
      </c>
    </row>
    <row r="625" spans="1:18" x14ac:dyDescent="0.2">
      <c r="A625" s="2">
        <v>42622</v>
      </c>
      <c r="B625" s="1" t="s">
        <v>13</v>
      </c>
      <c r="C625" s="1" t="s">
        <v>14</v>
      </c>
      <c r="D625" s="2">
        <v>42747</v>
      </c>
      <c r="E625" s="2">
        <f t="shared" si="18"/>
        <v>43070</v>
      </c>
      <c r="F625" s="1" t="s">
        <v>15</v>
      </c>
      <c r="G625" s="1" t="s">
        <v>18</v>
      </c>
      <c r="H625" s="1">
        <v>-0.05</v>
      </c>
      <c r="I625" s="1">
        <v>0.33</v>
      </c>
      <c r="J625" s="1">
        <v>0</v>
      </c>
      <c r="K625" s="1" t="s">
        <v>29</v>
      </c>
      <c r="L625" s="1">
        <v>2389</v>
      </c>
      <c r="M625" s="1">
        <v>0.59</v>
      </c>
      <c r="N625" s="1">
        <v>-0.27117000000000002</v>
      </c>
      <c r="O625" s="1">
        <f>VLOOKUP(D625,underlying!$D$2:$H$75,5,FALSE)</f>
        <v>-0.2</v>
      </c>
      <c r="P625" s="2">
        <f>VLOOKUP(D625,underlying!$D$2:$L$39,9,FALSE)</f>
        <v>43038</v>
      </c>
      <c r="Q625" s="7">
        <f>IF(G625="C",NormalCallSprd(O625,H625,M625,(P625-A625)/365), NormalPutSprd(O625,H625,M625,(P625-A625)/365))</f>
        <v>0.3333744713979907</v>
      </c>
      <c r="R625" s="9">
        <f t="shared" si="19"/>
        <v>3.374471397990686E-3</v>
      </c>
    </row>
    <row r="626" spans="1:18" x14ac:dyDescent="0.2">
      <c r="A626" s="2">
        <v>42622</v>
      </c>
      <c r="B626" s="1" t="s">
        <v>13</v>
      </c>
      <c r="C626" s="1" t="s">
        <v>14</v>
      </c>
      <c r="D626" s="2">
        <v>43101</v>
      </c>
      <c r="E626" s="2">
        <f t="shared" si="18"/>
        <v>43101</v>
      </c>
      <c r="F626" s="1" t="s">
        <v>15</v>
      </c>
      <c r="G626" s="1" t="s">
        <v>16</v>
      </c>
      <c r="H626" s="1">
        <v>-20</v>
      </c>
      <c r="I626" s="1">
        <v>19.64</v>
      </c>
      <c r="J626" s="1">
        <v>-0.02</v>
      </c>
      <c r="K626" s="1" t="s">
        <v>26</v>
      </c>
      <c r="L626" s="1">
        <v>2389</v>
      </c>
      <c r="M626" s="1">
        <v>0.93</v>
      </c>
      <c r="N626" s="1">
        <v>-0.25189</v>
      </c>
      <c r="O626" s="1">
        <f>VLOOKUP(D626,underlying!$D$2:$H$75,5,FALSE)</f>
        <v>-0.21</v>
      </c>
      <c r="P626" s="2">
        <f>VLOOKUP(D626,underlying!$D$2:$L$39,9,FALSE)</f>
        <v>43068</v>
      </c>
      <c r="Q626" s="7">
        <f>IF(G626="C",NormalCallSprd(O626,H626,M626,(P626-A626)/365), NormalPutSprd(O626,H626,M626,(P626-A626)/365))</f>
        <v>19.79</v>
      </c>
      <c r="R626" s="9">
        <f t="shared" si="19"/>
        <v>0.14999999999999858</v>
      </c>
    </row>
    <row r="627" spans="1:18" x14ac:dyDescent="0.2">
      <c r="A627" s="2">
        <v>42622</v>
      </c>
      <c r="B627" s="1" t="s">
        <v>13</v>
      </c>
      <c r="C627" s="1" t="s">
        <v>14</v>
      </c>
      <c r="D627" s="2">
        <v>43101</v>
      </c>
      <c r="E627" s="2">
        <f t="shared" si="18"/>
        <v>43101</v>
      </c>
      <c r="F627" s="1" t="s">
        <v>15</v>
      </c>
      <c r="G627" s="1" t="s">
        <v>18</v>
      </c>
      <c r="H627" s="1">
        <v>-20</v>
      </c>
      <c r="I627" s="1">
        <v>0.01</v>
      </c>
      <c r="J627" s="1">
        <v>0</v>
      </c>
      <c r="K627" s="1" t="s">
        <v>26</v>
      </c>
      <c r="L627" s="1">
        <v>2389</v>
      </c>
      <c r="M627" s="1">
        <v>0.93</v>
      </c>
      <c r="N627" s="1">
        <v>-0.23186000000000001</v>
      </c>
      <c r="O627" s="1">
        <f>VLOOKUP(D627,underlying!$D$2:$H$75,5,FALSE)</f>
        <v>-0.21</v>
      </c>
      <c r="P627" s="2">
        <f>VLOOKUP(D627,underlying!$D$2:$L$39,9,FALSE)</f>
        <v>43068</v>
      </c>
      <c r="Q627" s="7">
        <f>IF(G627="C",NormalCallSprd(O627,H627,M627,(P627-A627)/365), NormalPutSprd(O627,H627,M627,(P627-A627)/365))</f>
        <v>3.7136750452296822E-84</v>
      </c>
      <c r="R627" s="9">
        <f t="shared" si="19"/>
        <v>0.01</v>
      </c>
    </row>
    <row r="628" spans="1:18" x14ac:dyDescent="0.2">
      <c r="A628" s="2">
        <v>42622</v>
      </c>
      <c r="B628" s="1" t="s">
        <v>13</v>
      </c>
      <c r="C628" s="1" t="s">
        <v>14</v>
      </c>
      <c r="D628" s="2">
        <v>43101</v>
      </c>
      <c r="E628" s="2">
        <f t="shared" si="18"/>
        <v>43101</v>
      </c>
      <c r="F628" s="1" t="s">
        <v>15</v>
      </c>
      <c r="G628" s="1" t="s">
        <v>16</v>
      </c>
      <c r="H628" s="1">
        <v>-3</v>
      </c>
      <c r="I628" s="1">
        <v>2.77</v>
      </c>
      <c r="J628" s="1">
        <v>-0.01</v>
      </c>
      <c r="K628" s="1" t="s">
        <v>26</v>
      </c>
      <c r="L628" s="1">
        <v>2389</v>
      </c>
      <c r="M628" s="1">
        <v>0.93</v>
      </c>
      <c r="N628" s="1">
        <v>-0.1547</v>
      </c>
      <c r="O628" s="1">
        <f>VLOOKUP(D628,underlying!$D$2:$H$75,5,FALSE)</f>
        <v>-0.21</v>
      </c>
      <c r="P628" s="2">
        <f>VLOOKUP(D628,underlying!$D$2:$L$39,9,FALSE)</f>
        <v>43068</v>
      </c>
      <c r="Q628" s="7">
        <f>IF(G628="C",NormalCallSprd(O628,H628,M628,(P628-A628)/365), NormalPutSprd(O628,H628,M628,(P628-A628)/365))</f>
        <v>2.7910411592042981</v>
      </c>
      <c r="R628" s="9">
        <f t="shared" si="19"/>
        <v>2.1041159204298054E-2</v>
      </c>
    </row>
    <row r="629" spans="1:18" x14ac:dyDescent="0.2">
      <c r="A629" s="2">
        <v>42622</v>
      </c>
      <c r="B629" s="1" t="s">
        <v>13</v>
      </c>
      <c r="C629" s="1" t="s">
        <v>14</v>
      </c>
      <c r="D629" s="2">
        <v>43101</v>
      </c>
      <c r="E629" s="2">
        <f t="shared" si="18"/>
        <v>43101</v>
      </c>
      <c r="F629" s="1" t="s">
        <v>15</v>
      </c>
      <c r="G629" s="1" t="s">
        <v>18</v>
      </c>
      <c r="H629" s="1">
        <v>-3</v>
      </c>
      <c r="I629" s="1">
        <v>0.01</v>
      </c>
      <c r="J629" s="1">
        <v>0</v>
      </c>
      <c r="K629" s="1" t="s">
        <v>26</v>
      </c>
      <c r="L629" s="1">
        <v>2389</v>
      </c>
      <c r="M629" s="1">
        <v>0.93</v>
      </c>
      <c r="N629" s="1">
        <v>0</v>
      </c>
      <c r="O629" s="1">
        <f>VLOOKUP(D629,underlying!$D$2:$H$75,5,FALSE)</f>
        <v>-0.21</v>
      </c>
      <c r="P629" s="2">
        <f>VLOOKUP(D629,underlying!$D$2:$L$39,9,FALSE)</f>
        <v>43068</v>
      </c>
      <c r="Q629" s="7">
        <f>IF(G629="C",NormalCallSprd(O629,H629,M629,(P629-A629)/365), NormalPutSprd(O629,H629,M629,(P629-A629)/365))</f>
        <v>1.0411592042982221E-3</v>
      </c>
      <c r="R629" s="9">
        <f t="shared" si="19"/>
        <v>8.9588407957017779E-3</v>
      </c>
    </row>
    <row r="630" spans="1:18" x14ac:dyDescent="0.2">
      <c r="A630" s="2">
        <v>42622</v>
      </c>
      <c r="B630" s="1" t="s">
        <v>13</v>
      </c>
      <c r="C630" s="1" t="s">
        <v>14</v>
      </c>
      <c r="D630" s="2">
        <v>43101</v>
      </c>
      <c r="E630" s="2">
        <f t="shared" si="18"/>
        <v>43101</v>
      </c>
      <c r="F630" s="1" t="s">
        <v>15</v>
      </c>
      <c r="G630" s="1" t="s">
        <v>16</v>
      </c>
      <c r="H630" s="1">
        <v>-2</v>
      </c>
      <c r="I630" s="1">
        <v>1.79</v>
      </c>
      <c r="J630" s="1">
        <v>-0.01</v>
      </c>
      <c r="K630" s="1" t="s">
        <v>26</v>
      </c>
      <c r="L630" s="1">
        <v>2389</v>
      </c>
      <c r="M630" s="1">
        <v>0.84</v>
      </c>
      <c r="N630" s="1">
        <v>-2.9229999999999999E-2</v>
      </c>
      <c r="O630" s="1">
        <f>VLOOKUP(D630,underlying!$D$2:$H$75,5,FALSE)</f>
        <v>-0.21</v>
      </c>
      <c r="P630" s="2">
        <f>VLOOKUP(D630,underlying!$D$2:$L$39,9,FALSE)</f>
        <v>43068</v>
      </c>
      <c r="Q630" s="7">
        <f>IF(G630="C",NormalCallSprd(O630,H630,M630,(P630-A630)/365), NormalPutSprd(O630,H630,M630,(P630-A630)/365))</f>
        <v>1.7995472849865284</v>
      </c>
      <c r="R630" s="9">
        <f t="shared" si="19"/>
        <v>9.5472849865283482E-3</v>
      </c>
    </row>
    <row r="631" spans="1:18" x14ac:dyDescent="0.2">
      <c r="A631" s="2">
        <v>42622</v>
      </c>
      <c r="B631" s="1" t="s">
        <v>13</v>
      </c>
      <c r="C631" s="1" t="s">
        <v>14</v>
      </c>
      <c r="D631" s="2">
        <v>43101</v>
      </c>
      <c r="E631" s="2">
        <f t="shared" si="18"/>
        <v>43101</v>
      </c>
      <c r="F631" s="1" t="s">
        <v>15</v>
      </c>
      <c r="G631" s="1" t="s">
        <v>18</v>
      </c>
      <c r="H631" s="1">
        <v>-2</v>
      </c>
      <c r="I631" s="1">
        <v>0.01</v>
      </c>
      <c r="J631" s="1">
        <v>0</v>
      </c>
      <c r="K631" s="1" t="s">
        <v>26</v>
      </c>
      <c r="L631" s="1">
        <v>2389</v>
      </c>
      <c r="M631" s="1">
        <v>0.84</v>
      </c>
      <c r="N631" s="1">
        <v>-5.3699999999999998E-3</v>
      </c>
      <c r="O631" s="1">
        <f>VLOOKUP(D631,underlying!$D$2:$H$75,5,FALSE)</f>
        <v>-0.21</v>
      </c>
      <c r="P631" s="2">
        <f>VLOOKUP(D631,underlying!$D$2:$L$39,9,FALSE)</f>
        <v>43068</v>
      </c>
      <c r="Q631" s="7">
        <f>IF(G631="C",NormalCallSprd(O631,H631,M631,(P631-A631)/365), NormalPutSprd(O631,H631,M631,(P631-A631)/365))</f>
        <v>9.5472849865282823E-3</v>
      </c>
      <c r="R631" s="9">
        <f t="shared" si="19"/>
        <v>4.527150134717179E-4</v>
      </c>
    </row>
    <row r="632" spans="1:18" x14ac:dyDescent="0.2">
      <c r="A632" s="2">
        <v>42622</v>
      </c>
      <c r="B632" s="1" t="s">
        <v>13</v>
      </c>
      <c r="C632" s="1" t="s">
        <v>14</v>
      </c>
      <c r="D632" s="2">
        <v>43101</v>
      </c>
      <c r="E632" s="2">
        <f t="shared" si="18"/>
        <v>43101</v>
      </c>
      <c r="F632" s="1" t="s">
        <v>15</v>
      </c>
      <c r="G632" s="1" t="s">
        <v>16</v>
      </c>
      <c r="H632" s="1">
        <v>-1</v>
      </c>
      <c r="I632" s="1">
        <v>0.84</v>
      </c>
      <c r="J632" s="1">
        <v>-0.01</v>
      </c>
      <c r="K632" s="1" t="s">
        <v>26</v>
      </c>
      <c r="L632" s="1">
        <v>2389</v>
      </c>
      <c r="M632" s="1">
        <v>0.68</v>
      </c>
      <c r="N632" s="1">
        <v>0.41615999999999997</v>
      </c>
      <c r="O632" s="1">
        <f>VLOOKUP(D632,underlying!$D$2:$H$75,5,FALSE)</f>
        <v>-0.21</v>
      </c>
      <c r="P632" s="2">
        <f>VLOOKUP(D632,underlying!$D$2:$L$39,9,FALSE)</f>
        <v>43068</v>
      </c>
      <c r="Q632" s="7">
        <f>IF(G632="C",NormalCallSprd(O632,H632,M632,(P632-A632)/365), NormalPutSprd(O632,H632,M632,(P632-A632)/365))</f>
        <v>0.84677800947756887</v>
      </c>
      <c r="R632" s="9">
        <f t="shared" si="19"/>
        <v>6.7780094775689026E-3</v>
      </c>
    </row>
    <row r="633" spans="1:18" x14ac:dyDescent="0.2">
      <c r="A633" s="2">
        <v>42622</v>
      </c>
      <c r="B633" s="1" t="s">
        <v>13</v>
      </c>
      <c r="C633" s="1" t="s">
        <v>14</v>
      </c>
      <c r="D633" s="2">
        <v>43101</v>
      </c>
      <c r="E633" s="2">
        <f t="shared" si="18"/>
        <v>43101</v>
      </c>
      <c r="F633" s="1" t="s">
        <v>15</v>
      </c>
      <c r="G633" s="1" t="s">
        <v>18</v>
      </c>
      <c r="H633" s="1">
        <v>-1</v>
      </c>
      <c r="I633" s="1">
        <v>0.06</v>
      </c>
      <c r="J633" s="1">
        <v>0</v>
      </c>
      <c r="K633" s="1" t="s">
        <v>26</v>
      </c>
      <c r="L633" s="1">
        <v>2389</v>
      </c>
      <c r="M633" s="1">
        <v>0.68</v>
      </c>
      <c r="N633" s="1">
        <v>0.44523000000000001</v>
      </c>
      <c r="O633" s="1">
        <f>VLOOKUP(D633,underlying!$D$2:$H$75,5,FALSE)</f>
        <v>-0.21</v>
      </c>
      <c r="P633" s="2">
        <f>VLOOKUP(D633,underlying!$D$2:$L$39,9,FALSE)</f>
        <v>43068</v>
      </c>
      <c r="Q633" s="7">
        <f>IF(G633="C",NormalCallSprd(O633,H633,M633,(P633-A633)/365), NormalPutSprd(O633,H633,M633,(P633-A633)/365))</f>
        <v>5.6778009477568843E-2</v>
      </c>
      <c r="R633" s="9">
        <f t="shared" si="19"/>
        <v>3.2219905224311549E-3</v>
      </c>
    </row>
    <row r="634" spans="1:18" x14ac:dyDescent="0.2">
      <c r="A634" s="2">
        <v>42622</v>
      </c>
      <c r="B634" s="1" t="s">
        <v>13</v>
      </c>
      <c r="C634" s="1" t="s">
        <v>14</v>
      </c>
      <c r="D634" s="2">
        <v>43101</v>
      </c>
      <c r="E634" s="2">
        <f t="shared" si="18"/>
        <v>43101</v>
      </c>
      <c r="F634" s="1" t="s">
        <v>15</v>
      </c>
      <c r="G634" s="1" t="s">
        <v>16</v>
      </c>
      <c r="H634" s="1">
        <v>-0.75</v>
      </c>
      <c r="I634" s="1">
        <v>0.63</v>
      </c>
      <c r="J634" s="1">
        <v>0</v>
      </c>
      <c r="K634" s="1" t="s">
        <v>26</v>
      </c>
      <c r="L634" s="1">
        <v>2389</v>
      </c>
      <c r="M634" s="1">
        <v>0.64</v>
      </c>
      <c r="N634" s="1">
        <v>0.47455999999999998</v>
      </c>
      <c r="O634" s="1">
        <f>VLOOKUP(D634,underlying!$D$2:$H$75,5,FALSE)</f>
        <v>-0.21</v>
      </c>
      <c r="P634" s="2">
        <f>VLOOKUP(D634,underlying!$D$2:$L$39,9,FALSE)</f>
        <v>43068</v>
      </c>
      <c r="Q634" s="7">
        <f>IF(G634="C",NormalCallSprd(O634,H634,M634,(P634-A634)/365), NormalPutSprd(O634,H634,M634,(P634-A634)/365))</f>
        <v>0.63068223432580006</v>
      </c>
      <c r="R634" s="9">
        <f t="shared" si="19"/>
        <v>6.8223432580005738E-4</v>
      </c>
    </row>
    <row r="635" spans="1:18" x14ac:dyDescent="0.2">
      <c r="A635" s="2">
        <v>42622</v>
      </c>
      <c r="B635" s="1" t="s">
        <v>13</v>
      </c>
      <c r="C635" s="1" t="s">
        <v>14</v>
      </c>
      <c r="D635" s="2">
        <v>43101</v>
      </c>
      <c r="E635" s="2">
        <f t="shared" si="18"/>
        <v>43101</v>
      </c>
      <c r="F635" s="1" t="s">
        <v>15</v>
      </c>
      <c r="G635" s="1" t="s">
        <v>18</v>
      </c>
      <c r="H635" s="1">
        <v>-0.75</v>
      </c>
      <c r="I635" s="1">
        <v>0.09</v>
      </c>
      <c r="J635" s="1">
        <v>0</v>
      </c>
      <c r="K635" s="1" t="s">
        <v>26</v>
      </c>
      <c r="L635" s="1">
        <v>2389</v>
      </c>
      <c r="M635" s="1">
        <v>0.64</v>
      </c>
      <c r="N635" s="1">
        <v>0.50397999999999998</v>
      </c>
      <c r="O635" s="1">
        <f>VLOOKUP(D635,underlying!$D$2:$H$75,5,FALSE)</f>
        <v>-0.21</v>
      </c>
      <c r="P635" s="2">
        <f>VLOOKUP(D635,underlying!$D$2:$L$39,9,FALSE)</f>
        <v>43068</v>
      </c>
      <c r="Q635" s="7">
        <f>IF(G635="C",NormalCallSprd(O635,H635,M635,(P635-A635)/365), NormalPutSprd(O635,H635,M635,(P635-A635)/365))</f>
        <v>9.0682234325799999E-2</v>
      </c>
      <c r="R635" s="9">
        <f t="shared" si="19"/>
        <v>6.8223432580000187E-4</v>
      </c>
    </row>
    <row r="636" spans="1:18" x14ac:dyDescent="0.2">
      <c r="A636" s="2">
        <v>42622</v>
      </c>
      <c r="B636" s="1" t="s">
        <v>13</v>
      </c>
      <c r="C636" s="1" t="s">
        <v>14</v>
      </c>
      <c r="D636" s="2">
        <v>43101</v>
      </c>
      <c r="E636" s="2">
        <f t="shared" si="18"/>
        <v>43101</v>
      </c>
      <c r="F636" s="1" t="s">
        <v>15</v>
      </c>
      <c r="G636" s="1" t="s">
        <v>16</v>
      </c>
      <c r="H636" s="1">
        <v>-0.7</v>
      </c>
      <c r="I636" s="1">
        <v>0.57999999999999996</v>
      </c>
      <c r="J636" s="1">
        <v>-0.01</v>
      </c>
      <c r="K636" s="1" t="s">
        <v>26</v>
      </c>
      <c r="L636" s="1">
        <v>2389</v>
      </c>
      <c r="M636" s="1">
        <v>0.63</v>
      </c>
      <c r="N636" s="1">
        <v>0.53334999999999999</v>
      </c>
      <c r="O636" s="1">
        <f>VLOOKUP(D636,underlying!$D$2:$H$75,5,FALSE)</f>
        <v>-0.21</v>
      </c>
      <c r="P636" s="2">
        <f>VLOOKUP(D636,underlying!$D$2:$L$39,9,FALSE)</f>
        <v>43068</v>
      </c>
      <c r="Q636" s="7">
        <f>IF(G636="C",NormalCallSprd(O636,H636,M636,(P636-A636)/365), NormalPutSprd(O636,H636,M636,(P636-A636)/365))</f>
        <v>0.58889426261337652</v>
      </c>
      <c r="R636" s="9">
        <f t="shared" si="19"/>
        <v>8.8942626133765579E-3</v>
      </c>
    </row>
    <row r="637" spans="1:18" x14ac:dyDescent="0.2">
      <c r="A637" s="2">
        <v>42622</v>
      </c>
      <c r="B637" s="1" t="s">
        <v>13</v>
      </c>
      <c r="C637" s="1" t="s">
        <v>14</v>
      </c>
      <c r="D637" s="2">
        <v>43101</v>
      </c>
      <c r="E637" s="2">
        <f t="shared" si="18"/>
        <v>43101</v>
      </c>
      <c r="F637" s="1" t="s">
        <v>15</v>
      </c>
      <c r="G637" s="1" t="s">
        <v>18</v>
      </c>
      <c r="H637" s="1">
        <v>-0.7</v>
      </c>
      <c r="I637" s="1">
        <v>0.1</v>
      </c>
      <c r="J637" s="1">
        <v>0</v>
      </c>
      <c r="K637" s="1" t="s">
        <v>26</v>
      </c>
      <c r="L637" s="1">
        <v>2389</v>
      </c>
      <c r="M637" s="1">
        <v>0.63</v>
      </c>
      <c r="N637" s="1">
        <v>0.56123999999999996</v>
      </c>
      <c r="O637" s="1">
        <f>VLOOKUP(D637,underlying!$D$2:$H$75,5,FALSE)</f>
        <v>-0.21</v>
      </c>
      <c r="P637" s="2">
        <f>VLOOKUP(D637,underlying!$D$2:$L$39,9,FALSE)</f>
        <v>43068</v>
      </c>
      <c r="Q637" s="7">
        <f>IF(G637="C",NormalCallSprd(O637,H637,M637,(P637-A637)/365), NormalPutSprd(O637,H637,M637,(P637-A637)/365))</f>
        <v>9.8894262613376555E-2</v>
      </c>
      <c r="R637" s="9">
        <f t="shared" si="19"/>
        <v>1.105737386623451E-3</v>
      </c>
    </row>
    <row r="638" spans="1:18" x14ac:dyDescent="0.2">
      <c r="A638" s="2">
        <v>42622</v>
      </c>
      <c r="B638" s="1" t="s">
        <v>13</v>
      </c>
      <c r="C638" s="1" t="s">
        <v>14</v>
      </c>
      <c r="D638" s="2">
        <v>43101</v>
      </c>
      <c r="E638" s="2">
        <f t="shared" si="18"/>
        <v>43101</v>
      </c>
      <c r="F638" s="1" t="s">
        <v>15</v>
      </c>
      <c r="G638" s="1" t="s">
        <v>16</v>
      </c>
      <c r="H638" s="1">
        <v>-0.65</v>
      </c>
      <c r="I638" s="1">
        <v>0.54</v>
      </c>
      <c r="J638" s="1">
        <v>-0.01</v>
      </c>
      <c r="K638" s="1" t="s">
        <v>26</v>
      </c>
      <c r="L638" s="1">
        <v>2389</v>
      </c>
      <c r="M638" s="1">
        <v>0.62</v>
      </c>
      <c r="N638" s="1">
        <v>0.58740999999999999</v>
      </c>
      <c r="O638" s="1">
        <f>VLOOKUP(D638,underlying!$D$2:$H$75,5,FALSE)</f>
        <v>-0.21</v>
      </c>
      <c r="P638" s="2">
        <f>VLOOKUP(D638,underlying!$D$2:$L$39,9,FALSE)</f>
        <v>43068</v>
      </c>
      <c r="Q638" s="7">
        <f>IF(G638="C",NormalCallSprd(O638,H638,M638,(P638-A638)/365), NormalPutSprd(O638,H638,M638,(P638-A638)/365))</f>
        <v>0.54790403772398533</v>
      </c>
      <c r="R638" s="9">
        <f t="shared" si="19"/>
        <v>7.904037723985291E-3</v>
      </c>
    </row>
    <row r="639" spans="1:18" x14ac:dyDescent="0.2">
      <c r="A639" s="2">
        <v>42622</v>
      </c>
      <c r="B639" s="1" t="s">
        <v>13</v>
      </c>
      <c r="C639" s="1" t="s">
        <v>14</v>
      </c>
      <c r="D639" s="2">
        <v>43101</v>
      </c>
      <c r="E639" s="2">
        <f t="shared" si="18"/>
        <v>43101</v>
      </c>
      <c r="F639" s="1" t="s">
        <v>15</v>
      </c>
      <c r="G639" s="1" t="s">
        <v>18</v>
      </c>
      <c r="H639" s="1">
        <v>-0.65</v>
      </c>
      <c r="I639" s="1">
        <v>0.11</v>
      </c>
      <c r="J639" s="1">
        <v>0</v>
      </c>
      <c r="K639" s="1" t="s">
        <v>26</v>
      </c>
      <c r="L639" s="1">
        <v>2389</v>
      </c>
      <c r="M639" s="1">
        <v>0.62</v>
      </c>
      <c r="N639" s="1">
        <v>0.61206000000000005</v>
      </c>
      <c r="O639" s="1">
        <f>VLOOKUP(D639,underlying!$D$2:$H$75,5,FALSE)</f>
        <v>-0.21</v>
      </c>
      <c r="P639" s="2">
        <f>VLOOKUP(D639,underlying!$D$2:$L$39,9,FALSE)</f>
        <v>43068</v>
      </c>
      <c r="Q639" s="7">
        <f>IF(G639="C",NormalCallSprd(O639,H639,M639,(P639-A639)/365), NormalPutSprd(O639,H639,M639,(P639-A639)/365))</f>
        <v>0.10790403772398524</v>
      </c>
      <c r="R639" s="9">
        <f t="shared" si="19"/>
        <v>2.0959622760147595E-3</v>
      </c>
    </row>
    <row r="640" spans="1:18" x14ac:dyDescent="0.2">
      <c r="A640" s="2">
        <v>42622</v>
      </c>
      <c r="B640" s="1" t="s">
        <v>13</v>
      </c>
      <c r="C640" s="1" t="s">
        <v>14</v>
      </c>
      <c r="D640" s="2">
        <v>43101</v>
      </c>
      <c r="E640" s="2">
        <f t="shared" si="18"/>
        <v>43101</v>
      </c>
      <c r="F640" s="1" t="s">
        <v>15</v>
      </c>
      <c r="G640" s="1" t="s">
        <v>16</v>
      </c>
      <c r="H640" s="1">
        <v>-0.6</v>
      </c>
      <c r="I640" s="1">
        <v>0.51</v>
      </c>
      <c r="J640" s="1">
        <v>-0.01</v>
      </c>
      <c r="K640" s="1" t="s">
        <v>26</v>
      </c>
      <c r="L640" s="1">
        <v>2389</v>
      </c>
      <c r="M640" s="1">
        <v>0.62</v>
      </c>
      <c r="N640" s="1">
        <v>0.63753000000000004</v>
      </c>
      <c r="O640" s="1">
        <f>VLOOKUP(D640,underlying!$D$2:$H$75,5,FALSE)</f>
        <v>-0.21</v>
      </c>
      <c r="P640" s="2">
        <f>VLOOKUP(D640,underlying!$D$2:$L$39,9,FALSE)</f>
        <v>43068</v>
      </c>
      <c r="Q640" s="7">
        <f>IF(G640="C",NormalCallSprd(O640,H640,M640,(P640-A640)/365), NormalPutSprd(O640,H640,M640,(P640-A640)/365))</f>
        <v>0.51152694562754952</v>
      </c>
      <c r="R640" s="9">
        <f t="shared" si="19"/>
        <v>1.5269456275495141E-3</v>
      </c>
    </row>
    <row r="641" spans="1:18" x14ac:dyDescent="0.2">
      <c r="A641" s="2">
        <v>42622</v>
      </c>
      <c r="B641" s="1" t="s">
        <v>13</v>
      </c>
      <c r="C641" s="1" t="s">
        <v>14</v>
      </c>
      <c r="D641" s="2">
        <v>43101</v>
      </c>
      <c r="E641" s="2">
        <f t="shared" si="18"/>
        <v>43101</v>
      </c>
      <c r="F641" s="1" t="s">
        <v>15</v>
      </c>
      <c r="G641" s="1" t="s">
        <v>18</v>
      </c>
      <c r="H641" s="1">
        <v>-0.6</v>
      </c>
      <c r="I641" s="1">
        <v>0.12</v>
      </c>
      <c r="J641" s="1">
        <v>0</v>
      </c>
      <c r="K641" s="1" t="s">
        <v>26</v>
      </c>
      <c r="L641" s="1">
        <v>2389</v>
      </c>
      <c r="M641" s="1">
        <v>0.62</v>
      </c>
      <c r="N641" s="1">
        <v>0.66015000000000001</v>
      </c>
      <c r="O641" s="1">
        <f>VLOOKUP(D641,underlying!$D$2:$H$75,5,FALSE)</f>
        <v>-0.21</v>
      </c>
      <c r="P641" s="2">
        <f>VLOOKUP(D641,underlying!$D$2:$L$39,9,FALSE)</f>
        <v>43068</v>
      </c>
      <c r="Q641" s="7">
        <f>IF(G641="C",NormalCallSprd(O641,H641,M641,(P641-A641)/365), NormalPutSprd(O641,H641,M641,(P641-A641)/365))</f>
        <v>0.12152694562754955</v>
      </c>
      <c r="R641" s="9">
        <f t="shared" si="19"/>
        <v>1.5269456275495558E-3</v>
      </c>
    </row>
    <row r="642" spans="1:18" x14ac:dyDescent="0.2">
      <c r="A642" s="2">
        <v>42622</v>
      </c>
      <c r="B642" s="1" t="s">
        <v>13</v>
      </c>
      <c r="C642" s="1" t="s">
        <v>14</v>
      </c>
      <c r="D642" s="2">
        <v>43101</v>
      </c>
      <c r="E642" s="2">
        <f t="shared" ref="E642:E705" si="20">DATE(YEAR(D642),DAY(D642),MONTH(D642))</f>
        <v>43101</v>
      </c>
      <c r="F642" s="1" t="s">
        <v>15</v>
      </c>
      <c r="G642" s="1" t="s">
        <v>16</v>
      </c>
      <c r="H642" s="1">
        <v>-0.55000000000000004</v>
      </c>
      <c r="I642" s="1">
        <v>0.47</v>
      </c>
      <c r="J642" s="1">
        <v>-0.01</v>
      </c>
      <c r="K642" s="1" t="s">
        <v>26</v>
      </c>
      <c r="L642" s="1">
        <v>2389</v>
      </c>
      <c r="M642" s="1">
        <v>0.61</v>
      </c>
      <c r="N642" s="1">
        <v>0.68071999999999999</v>
      </c>
      <c r="O642" s="1">
        <f>VLOOKUP(D642,underlying!$D$2:$H$75,5,FALSE)</f>
        <v>-0.21</v>
      </c>
      <c r="P642" s="2">
        <f>VLOOKUP(D642,underlying!$D$2:$L$39,9,FALSE)</f>
        <v>43068</v>
      </c>
      <c r="Q642" s="7">
        <f>IF(G642="C",NormalCallSprd(O642,H642,M642,(P642-A642)/365), NormalPutSprd(O642,H642,M642,(P642-A642)/365))</f>
        <v>0.47249573603633616</v>
      </c>
      <c r="R642" s="9">
        <f t="shared" si="19"/>
        <v>2.4957360363361825E-3</v>
      </c>
    </row>
    <row r="643" spans="1:18" x14ac:dyDescent="0.2">
      <c r="A643" s="2">
        <v>42622</v>
      </c>
      <c r="B643" s="1" t="s">
        <v>13</v>
      </c>
      <c r="C643" s="1" t="s">
        <v>14</v>
      </c>
      <c r="D643" s="2">
        <v>43101</v>
      </c>
      <c r="E643" s="2">
        <f t="shared" si="20"/>
        <v>43101</v>
      </c>
      <c r="F643" s="1" t="s">
        <v>15</v>
      </c>
      <c r="G643" s="1" t="s">
        <v>18</v>
      </c>
      <c r="H643" s="1">
        <v>-0.55000000000000004</v>
      </c>
      <c r="I643" s="1">
        <v>0.13</v>
      </c>
      <c r="J643" s="1">
        <v>0</v>
      </c>
      <c r="K643" s="1" t="s">
        <v>26</v>
      </c>
      <c r="L643" s="1">
        <v>2389</v>
      </c>
      <c r="M643" s="1">
        <v>0.61</v>
      </c>
      <c r="N643" s="1">
        <v>0.70296000000000003</v>
      </c>
      <c r="O643" s="1">
        <f>VLOOKUP(D643,underlying!$D$2:$H$75,5,FALSE)</f>
        <v>-0.21</v>
      </c>
      <c r="P643" s="2">
        <f>VLOOKUP(D643,underlying!$D$2:$L$39,9,FALSE)</f>
        <v>43068</v>
      </c>
      <c r="Q643" s="7">
        <f>IF(G643="C",NormalCallSprd(O643,H643,M643,(P643-A643)/365), NormalPutSprd(O643,H643,M643,(P643-A643)/365))</f>
        <v>0.1324957360363361</v>
      </c>
      <c r="R643" s="9">
        <f t="shared" ref="R643:R706" si="21">ABS(Q643-I643)</f>
        <v>2.4957360363360992E-3</v>
      </c>
    </row>
    <row r="644" spans="1:18" x14ac:dyDescent="0.2">
      <c r="A644" s="2">
        <v>42622</v>
      </c>
      <c r="B644" s="1" t="s">
        <v>13</v>
      </c>
      <c r="C644" s="1" t="s">
        <v>14</v>
      </c>
      <c r="D644" s="2">
        <v>43101</v>
      </c>
      <c r="E644" s="2">
        <f t="shared" si="20"/>
        <v>43101</v>
      </c>
      <c r="F644" s="1" t="s">
        <v>15</v>
      </c>
      <c r="G644" s="1" t="s">
        <v>16</v>
      </c>
      <c r="H644" s="1">
        <v>-0.5</v>
      </c>
      <c r="I644" s="1">
        <v>0.43</v>
      </c>
      <c r="J644" s="1">
        <v>-0.01</v>
      </c>
      <c r="K644" s="1" t="s">
        <v>26</v>
      </c>
      <c r="L644" s="1">
        <v>2389</v>
      </c>
      <c r="M644" s="1">
        <v>0.61</v>
      </c>
      <c r="N644" s="1">
        <v>0.72177000000000002</v>
      </c>
      <c r="O644" s="1">
        <f>VLOOKUP(D644,underlying!$D$2:$H$75,5,FALSE)</f>
        <v>-0.21</v>
      </c>
      <c r="P644" s="2">
        <f>VLOOKUP(D644,underlying!$D$2:$L$39,9,FALSE)</f>
        <v>43068</v>
      </c>
      <c r="Q644" s="7">
        <f>IF(G644="C",NormalCallSprd(O644,H644,M644,(P644-A644)/365), NormalPutSprd(O644,H644,M644,(P644-A644)/365))</f>
        <v>0.43850739911489472</v>
      </c>
      <c r="R644" s="9">
        <f t="shared" si="21"/>
        <v>8.5073991148947314E-3</v>
      </c>
    </row>
    <row r="645" spans="1:18" x14ac:dyDescent="0.2">
      <c r="A645" s="2">
        <v>42622</v>
      </c>
      <c r="B645" s="1" t="s">
        <v>13</v>
      </c>
      <c r="C645" s="1" t="s">
        <v>14</v>
      </c>
      <c r="D645" s="2">
        <v>43101</v>
      </c>
      <c r="E645" s="2">
        <f t="shared" si="20"/>
        <v>43101</v>
      </c>
      <c r="F645" s="1" t="s">
        <v>15</v>
      </c>
      <c r="G645" s="1" t="s">
        <v>18</v>
      </c>
      <c r="H645" s="1">
        <v>-0.5</v>
      </c>
      <c r="I645" s="1">
        <v>0.15</v>
      </c>
      <c r="J645" s="1">
        <v>0.01</v>
      </c>
      <c r="K645" s="1" t="s">
        <v>26</v>
      </c>
      <c r="L645" s="1">
        <v>2389</v>
      </c>
      <c r="M645" s="1">
        <v>0.61</v>
      </c>
      <c r="N645" s="1">
        <v>0.74189000000000005</v>
      </c>
      <c r="O645" s="1">
        <f>VLOOKUP(D645,underlying!$D$2:$H$75,5,FALSE)</f>
        <v>-0.21</v>
      </c>
      <c r="P645" s="2">
        <f>VLOOKUP(D645,underlying!$D$2:$L$39,9,FALSE)</f>
        <v>43068</v>
      </c>
      <c r="Q645" s="7">
        <f>IF(G645="C",NormalCallSprd(O645,H645,M645,(P645-A645)/365), NormalPutSprd(O645,H645,M645,(P645-A645)/365))</f>
        <v>0.14850739911489474</v>
      </c>
      <c r="R645" s="9">
        <f t="shared" si="21"/>
        <v>1.4926008851052497E-3</v>
      </c>
    </row>
    <row r="646" spans="1:18" x14ac:dyDescent="0.2">
      <c r="A646" s="2">
        <v>42622</v>
      </c>
      <c r="B646" s="1" t="s">
        <v>13</v>
      </c>
      <c r="C646" s="1" t="s">
        <v>14</v>
      </c>
      <c r="D646" s="2">
        <v>43101</v>
      </c>
      <c r="E646" s="2">
        <f t="shared" si="20"/>
        <v>43101</v>
      </c>
      <c r="F646" s="1" t="s">
        <v>15</v>
      </c>
      <c r="G646" s="1" t="s">
        <v>16</v>
      </c>
      <c r="H646" s="1">
        <v>-0.45</v>
      </c>
      <c r="I646" s="1">
        <v>0.4</v>
      </c>
      <c r="J646" s="1">
        <v>-0.01</v>
      </c>
      <c r="K646" s="1" t="s">
        <v>26</v>
      </c>
      <c r="L646" s="1">
        <v>2389</v>
      </c>
      <c r="M646" s="1">
        <v>0.6</v>
      </c>
      <c r="N646" s="1">
        <v>0.83352000000000004</v>
      </c>
      <c r="O646" s="1">
        <f>VLOOKUP(D646,underlying!$D$2:$H$75,5,FALSE)</f>
        <v>-0.21</v>
      </c>
      <c r="P646" s="2">
        <f>VLOOKUP(D646,underlying!$D$2:$L$39,9,FALSE)</f>
        <v>43068</v>
      </c>
      <c r="Q646" s="7">
        <f>IF(G646="C",NormalCallSprd(O646,H646,M646,(P646-A646)/365), NormalPutSprd(O646,H646,M646,(P646-A646)/365))</f>
        <v>0.4017321197521545</v>
      </c>
      <c r="R646" s="9">
        <f t="shared" si="21"/>
        <v>1.7321197521544818E-3</v>
      </c>
    </row>
    <row r="647" spans="1:18" x14ac:dyDescent="0.2">
      <c r="A647" s="2">
        <v>42622</v>
      </c>
      <c r="B647" s="1" t="s">
        <v>13</v>
      </c>
      <c r="C647" s="1" t="s">
        <v>14</v>
      </c>
      <c r="D647" s="2">
        <v>43101</v>
      </c>
      <c r="E647" s="2">
        <f t="shared" si="20"/>
        <v>43101</v>
      </c>
      <c r="F647" s="1" t="s">
        <v>15</v>
      </c>
      <c r="G647" s="1" t="s">
        <v>18</v>
      </c>
      <c r="H647" s="1">
        <v>-0.45</v>
      </c>
      <c r="I647" s="1">
        <v>0.16</v>
      </c>
      <c r="J647" s="1">
        <v>0</v>
      </c>
      <c r="K647" s="1" t="s">
        <v>26</v>
      </c>
      <c r="L647" s="1">
        <v>2389</v>
      </c>
      <c r="M647" s="1">
        <v>0.6</v>
      </c>
      <c r="N647" s="1">
        <v>0.94445999999999997</v>
      </c>
      <c r="O647" s="1">
        <f>VLOOKUP(D647,underlying!$D$2:$H$75,5,FALSE)</f>
        <v>-0.21</v>
      </c>
      <c r="P647" s="2">
        <f>VLOOKUP(D647,underlying!$D$2:$L$39,9,FALSE)</f>
        <v>43068</v>
      </c>
      <c r="Q647" s="7">
        <f>IF(G647="C",NormalCallSprd(O647,H647,M647,(P647-A647)/365), NormalPutSprd(O647,H647,M647,(P647-A647)/365))</f>
        <v>0.16173211975215451</v>
      </c>
      <c r="R647" s="9">
        <f t="shared" si="21"/>
        <v>1.7321197521545095E-3</v>
      </c>
    </row>
    <row r="648" spans="1:18" x14ac:dyDescent="0.2">
      <c r="A648" s="2">
        <v>42622</v>
      </c>
      <c r="B648" s="1" t="s">
        <v>13</v>
      </c>
      <c r="C648" s="1" t="s">
        <v>14</v>
      </c>
      <c r="D648" s="2">
        <v>43101</v>
      </c>
      <c r="E648" s="2">
        <f t="shared" si="20"/>
        <v>43101</v>
      </c>
      <c r="F648" s="1" t="s">
        <v>15</v>
      </c>
      <c r="G648" s="1" t="s">
        <v>16</v>
      </c>
      <c r="H648" s="1">
        <v>-0.4</v>
      </c>
      <c r="I648" s="1">
        <v>0.37</v>
      </c>
      <c r="J648" s="1">
        <v>0</v>
      </c>
      <c r="K648" s="1" t="s">
        <v>26</v>
      </c>
      <c r="L648" s="1">
        <v>2389</v>
      </c>
      <c r="M648" s="1">
        <v>0.6</v>
      </c>
      <c r="N648" s="1">
        <v>0.97463</v>
      </c>
      <c r="O648" s="1">
        <f>VLOOKUP(D648,underlying!$D$2:$H$75,5,FALSE)</f>
        <v>-0.21</v>
      </c>
      <c r="P648" s="2">
        <f>VLOOKUP(D648,underlying!$D$2:$L$39,9,FALSE)</f>
        <v>43068</v>
      </c>
      <c r="Q648" s="7">
        <f>IF(G648="C",NormalCallSprd(O648,H648,M648,(P648-A648)/365), NormalPutSprd(O648,H648,M648,(P648-A648)/365))</f>
        <v>0.37037889896518106</v>
      </c>
      <c r="R648" s="9">
        <f t="shared" si="21"/>
        <v>3.7889896518106259E-4</v>
      </c>
    </row>
    <row r="649" spans="1:18" x14ac:dyDescent="0.2">
      <c r="A649" s="2">
        <v>42622</v>
      </c>
      <c r="B649" s="1" t="s">
        <v>13</v>
      </c>
      <c r="C649" s="1" t="s">
        <v>14</v>
      </c>
      <c r="D649" s="2">
        <v>43101</v>
      </c>
      <c r="E649" s="2">
        <f t="shared" si="20"/>
        <v>43101</v>
      </c>
      <c r="F649" s="1" t="s">
        <v>15</v>
      </c>
      <c r="G649" s="1" t="s">
        <v>18</v>
      </c>
      <c r="H649" s="1">
        <v>-0.4</v>
      </c>
      <c r="I649" s="1">
        <v>0.18</v>
      </c>
      <c r="J649" s="1">
        <v>0</v>
      </c>
      <c r="K649" s="1" t="s">
        <v>26</v>
      </c>
      <c r="L649" s="1">
        <v>2389</v>
      </c>
      <c r="M649" s="1">
        <v>0.6</v>
      </c>
      <c r="N649" s="1">
        <v>-0.56825999999999999</v>
      </c>
      <c r="O649" s="1">
        <f>VLOOKUP(D649,underlying!$D$2:$H$75,5,FALSE)</f>
        <v>-0.21</v>
      </c>
      <c r="P649" s="2">
        <f>VLOOKUP(D649,underlying!$D$2:$L$39,9,FALSE)</f>
        <v>43068</v>
      </c>
      <c r="Q649" s="7">
        <f>IF(G649="C",NormalCallSprd(O649,H649,M649,(P649-A649)/365), NormalPutSprd(O649,H649,M649,(P649-A649)/365))</f>
        <v>0.180378898965181</v>
      </c>
      <c r="R649" s="9">
        <f t="shared" si="21"/>
        <v>3.7889896518100707E-4</v>
      </c>
    </row>
    <row r="650" spans="1:18" x14ac:dyDescent="0.2">
      <c r="A650" s="2">
        <v>42622</v>
      </c>
      <c r="B650" s="1" t="s">
        <v>13</v>
      </c>
      <c r="C650" s="1" t="s">
        <v>14</v>
      </c>
      <c r="D650" s="2">
        <v>43101</v>
      </c>
      <c r="E650" s="2">
        <f t="shared" si="20"/>
        <v>43101</v>
      </c>
      <c r="F650" s="1" t="s">
        <v>15</v>
      </c>
      <c r="G650" s="1" t="s">
        <v>16</v>
      </c>
      <c r="H650" s="1">
        <v>-0.35</v>
      </c>
      <c r="I650" s="1">
        <v>0.33</v>
      </c>
      <c r="J650" s="1">
        <v>-0.01</v>
      </c>
      <c r="K650" s="1" t="s">
        <v>26</v>
      </c>
      <c r="L650" s="1">
        <v>2389</v>
      </c>
      <c r="M650" s="1">
        <v>0.59</v>
      </c>
      <c r="N650" s="1">
        <v>-0.53920000000000001</v>
      </c>
      <c r="O650" s="1">
        <f>VLOOKUP(D650,underlying!$D$2:$H$75,5,FALSE)</f>
        <v>-0.21</v>
      </c>
      <c r="P650" s="2">
        <f>VLOOKUP(D650,underlying!$D$2:$L$39,9,FALSE)</f>
        <v>43068</v>
      </c>
      <c r="Q650" s="7">
        <f>IF(G650="C",NormalCallSprd(O650,H650,M650,(P650-A650)/365), NormalPutSprd(O650,H650,M650,(P650-A650)/365))</f>
        <v>0.33615721752761257</v>
      </c>
      <c r="R650" s="9">
        <f t="shared" si="21"/>
        <v>6.1572175276125574E-3</v>
      </c>
    </row>
    <row r="651" spans="1:18" x14ac:dyDescent="0.2">
      <c r="A651" s="2">
        <v>42622</v>
      </c>
      <c r="B651" s="1" t="s">
        <v>13</v>
      </c>
      <c r="C651" s="1" t="s">
        <v>14</v>
      </c>
      <c r="D651" s="2">
        <v>43101</v>
      </c>
      <c r="E651" s="2">
        <f t="shared" si="20"/>
        <v>43101</v>
      </c>
      <c r="F651" s="1" t="s">
        <v>15</v>
      </c>
      <c r="G651" s="1" t="s">
        <v>18</v>
      </c>
      <c r="H651" s="1">
        <v>-0.35</v>
      </c>
      <c r="I651" s="1">
        <v>0.19</v>
      </c>
      <c r="J651" s="1">
        <v>0</v>
      </c>
      <c r="K651" s="1" t="s">
        <v>26</v>
      </c>
      <c r="L651" s="1">
        <v>2389</v>
      </c>
      <c r="M651" s="1">
        <v>0.59</v>
      </c>
      <c r="N651" s="1">
        <v>-0.50987000000000005</v>
      </c>
      <c r="O651" s="1">
        <f>VLOOKUP(D651,underlying!$D$2:$H$75,5,FALSE)</f>
        <v>-0.21</v>
      </c>
      <c r="P651" s="2">
        <f>VLOOKUP(D651,underlying!$D$2:$L$39,9,FALSE)</f>
        <v>43068</v>
      </c>
      <c r="Q651" s="7">
        <f>IF(G651="C",NormalCallSprd(O651,H651,M651,(P651-A651)/365), NormalPutSprd(O651,H651,M651,(P651-A651)/365))</f>
        <v>0.19615721752761259</v>
      </c>
      <c r="R651" s="9">
        <f t="shared" si="21"/>
        <v>6.1572175276125851E-3</v>
      </c>
    </row>
    <row r="652" spans="1:18" x14ac:dyDescent="0.2">
      <c r="A652" s="2">
        <v>42622</v>
      </c>
      <c r="B652" s="1" t="s">
        <v>13</v>
      </c>
      <c r="C652" s="1" t="s">
        <v>14</v>
      </c>
      <c r="D652" s="2">
        <v>43101</v>
      </c>
      <c r="E652" s="2">
        <f t="shared" si="20"/>
        <v>43101</v>
      </c>
      <c r="F652" s="1" t="s">
        <v>15</v>
      </c>
      <c r="G652" s="1" t="s">
        <v>16</v>
      </c>
      <c r="H652" s="1">
        <v>-0.3</v>
      </c>
      <c r="I652" s="1">
        <v>0.3</v>
      </c>
      <c r="J652" s="1">
        <v>-0.01</v>
      </c>
      <c r="K652" s="1" t="s">
        <v>26</v>
      </c>
      <c r="L652" s="1">
        <v>2389</v>
      </c>
      <c r="M652" s="1">
        <v>0.57999999999999996</v>
      </c>
      <c r="N652" s="1">
        <v>-0.48043999999999998</v>
      </c>
      <c r="O652" s="1">
        <f>VLOOKUP(D652,underlying!$D$2:$H$75,5,FALSE)</f>
        <v>-0.21</v>
      </c>
      <c r="P652" s="2">
        <f>VLOOKUP(D652,underlying!$D$2:$L$39,9,FALSE)</f>
        <v>43068</v>
      </c>
      <c r="Q652" s="7">
        <f>IF(G652="C",NormalCallSprd(O652,H652,M652,(P652-A652)/365), NormalPutSprd(O652,H652,M652,(P652-A652)/365))</f>
        <v>0.30329152737152598</v>
      </c>
      <c r="R652" s="9">
        <f t="shared" si="21"/>
        <v>3.291527371525993E-3</v>
      </c>
    </row>
    <row r="653" spans="1:18" x14ac:dyDescent="0.2">
      <c r="A653" s="2">
        <v>42622</v>
      </c>
      <c r="B653" s="1" t="s">
        <v>13</v>
      </c>
      <c r="C653" s="1" t="s">
        <v>14</v>
      </c>
      <c r="D653" s="2">
        <v>43101</v>
      </c>
      <c r="E653" s="2">
        <f t="shared" si="20"/>
        <v>43101</v>
      </c>
      <c r="F653" s="1" t="s">
        <v>15</v>
      </c>
      <c r="G653" s="1" t="s">
        <v>18</v>
      </c>
      <c r="H653" s="1">
        <v>-0.3</v>
      </c>
      <c r="I653" s="1">
        <v>0.21</v>
      </c>
      <c r="J653" s="1">
        <v>0</v>
      </c>
      <c r="K653" s="1" t="s">
        <v>26</v>
      </c>
      <c r="L653" s="1">
        <v>2389</v>
      </c>
      <c r="M653" s="1">
        <v>0.57999999999999996</v>
      </c>
      <c r="N653" s="1">
        <v>-0.45107999999999998</v>
      </c>
      <c r="O653" s="1">
        <f>VLOOKUP(D653,underlying!$D$2:$H$75,5,FALSE)</f>
        <v>-0.21</v>
      </c>
      <c r="P653" s="2">
        <f>VLOOKUP(D653,underlying!$D$2:$L$39,9,FALSE)</f>
        <v>43068</v>
      </c>
      <c r="Q653" s="7">
        <f>IF(G653="C",NormalCallSprd(O653,H653,M653,(P653-A653)/365), NormalPutSprd(O653,H653,M653,(P653-A653)/365))</f>
        <v>0.21329152737152599</v>
      </c>
      <c r="R653" s="9">
        <f t="shared" si="21"/>
        <v>3.291527371525993E-3</v>
      </c>
    </row>
    <row r="654" spans="1:18" x14ac:dyDescent="0.2">
      <c r="A654" s="2">
        <v>42622</v>
      </c>
      <c r="B654" s="1" t="s">
        <v>13</v>
      </c>
      <c r="C654" s="1" t="s">
        <v>14</v>
      </c>
      <c r="D654" s="2">
        <v>43101</v>
      </c>
      <c r="E654" s="2">
        <f t="shared" si="20"/>
        <v>43101</v>
      </c>
      <c r="F654" s="1" t="s">
        <v>15</v>
      </c>
      <c r="G654" s="1" t="s">
        <v>16</v>
      </c>
      <c r="H654" s="1">
        <v>-0.25</v>
      </c>
      <c r="I654" s="1">
        <v>0.27</v>
      </c>
      <c r="J654" s="1">
        <v>-0.01</v>
      </c>
      <c r="K654" s="1" t="s">
        <v>26</v>
      </c>
      <c r="L654" s="1">
        <v>2389</v>
      </c>
      <c r="M654" s="1">
        <v>0.57999999999999996</v>
      </c>
      <c r="N654" s="1">
        <v>-0.42319000000000001</v>
      </c>
      <c r="O654" s="1">
        <f>VLOOKUP(D654,underlying!$D$2:$H$75,5,FALSE)</f>
        <v>-0.21</v>
      </c>
      <c r="P654" s="2">
        <f>VLOOKUP(D654,underlying!$D$2:$L$39,9,FALSE)</f>
        <v>43068</v>
      </c>
      <c r="Q654" s="7">
        <f>IF(G654="C",NormalCallSprd(O654,H654,M654,(P654-A654)/365), NormalPutSprd(O654,H654,M654,(P654-A654)/365))</f>
        <v>0.27627320145839535</v>
      </c>
      <c r="R654" s="9">
        <f t="shared" si="21"/>
        <v>6.2732014583953277E-3</v>
      </c>
    </row>
    <row r="655" spans="1:18" x14ac:dyDescent="0.2">
      <c r="A655" s="2">
        <v>42622</v>
      </c>
      <c r="B655" s="1" t="s">
        <v>13</v>
      </c>
      <c r="C655" s="1" t="s">
        <v>14</v>
      </c>
      <c r="D655" s="2">
        <v>43101</v>
      </c>
      <c r="E655" s="2">
        <f t="shared" si="20"/>
        <v>43101</v>
      </c>
      <c r="F655" s="1" t="s">
        <v>15</v>
      </c>
      <c r="G655" s="1" t="s">
        <v>18</v>
      </c>
      <c r="H655" s="1">
        <v>-0.25</v>
      </c>
      <c r="I655" s="1">
        <v>0.23</v>
      </c>
      <c r="J655" s="1">
        <v>0</v>
      </c>
      <c r="K655" s="1" t="s">
        <v>26</v>
      </c>
      <c r="L655" s="1">
        <v>2389</v>
      </c>
      <c r="M655" s="1">
        <v>0.57999999999999996</v>
      </c>
      <c r="N655" s="1">
        <v>-0.39701999999999998</v>
      </c>
      <c r="O655" s="1">
        <f>VLOOKUP(D655,underlying!$D$2:$H$75,5,FALSE)</f>
        <v>-0.21</v>
      </c>
      <c r="P655" s="2">
        <f>VLOOKUP(D655,underlying!$D$2:$L$39,9,FALSE)</f>
        <v>43068</v>
      </c>
      <c r="Q655" s="7">
        <f>IF(G655="C",NormalCallSprd(O655,H655,M655,(P655-A655)/365), NormalPutSprd(O655,H655,M655,(P655-A655)/365))</f>
        <v>0.23627320145839534</v>
      </c>
      <c r="R655" s="9">
        <f t="shared" si="21"/>
        <v>6.2732014583953277E-3</v>
      </c>
    </row>
    <row r="656" spans="1:18" x14ac:dyDescent="0.2">
      <c r="A656" s="2">
        <v>42622</v>
      </c>
      <c r="B656" s="1" t="s">
        <v>13</v>
      </c>
      <c r="C656" s="1" t="s">
        <v>14</v>
      </c>
      <c r="D656" s="2">
        <v>43101</v>
      </c>
      <c r="E656" s="2">
        <f t="shared" si="20"/>
        <v>43101</v>
      </c>
      <c r="F656" s="1" t="s">
        <v>15</v>
      </c>
      <c r="G656" s="1" t="s">
        <v>16</v>
      </c>
      <c r="H656" s="1">
        <v>-0.2</v>
      </c>
      <c r="I656" s="1">
        <v>0.25</v>
      </c>
      <c r="J656" s="1">
        <v>0</v>
      </c>
      <c r="K656" s="1" t="s">
        <v>26</v>
      </c>
      <c r="L656" s="1">
        <v>2389</v>
      </c>
      <c r="M656" s="1">
        <v>0.57999999999999996</v>
      </c>
      <c r="N656" s="1">
        <v>-0.37236999999999998</v>
      </c>
      <c r="O656" s="1">
        <f>VLOOKUP(D656,underlying!$D$2:$H$75,5,FALSE)</f>
        <v>-0.21</v>
      </c>
      <c r="P656" s="2">
        <f>VLOOKUP(D656,underlying!$D$2:$L$39,9,FALSE)</f>
        <v>43068</v>
      </c>
      <c r="Q656" s="7">
        <f>IF(G656="C",NormalCallSprd(O656,H656,M656,(P656-A656)/365), NormalPutSprd(O656,H656,M656,(P656-A656)/365))</f>
        <v>0.25080667885064312</v>
      </c>
      <c r="R656" s="9">
        <f t="shared" si="21"/>
        <v>8.0667885064311662E-4</v>
      </c>
    </row>
    <row r="657" spans="1:18" x14ac:dyDescent="0.2">
      <c r="A657" s="2">
        <v>42622</v>
      </c>
      <c r="B657" s="1" t="s">
        <v>13</v>
      </c>
      <c r="C657" s="1" t="s">
        <v>14</v>
      </c>
      <c r="D657" s="2">
        <v>43101</v>
      </c>
      <c r="E657" s="2">
        <f t="shared" si="20"/>
        <v>43101</v>
      </c>
      <c r="F657" s="1" t="s">
        <v>15</v>
      </c>
      <c r="G657" s="1" t="s">
        <v>18</v>
      </c>
      <c r="H657" s="1">
        <v>-0.2</v>
      </c>
      <c r="I657" s="1">
        <v>0.26</v>
      </c>
      <c r="J657" s="1">
        <v>0.01</v>
      </c>
      <c r="K657" s="1" t="s">
        <v>26</v>
      </c>
      <c r="L657" s="1">
        <v>2389</v>
      </c>
      <c r="M657" s="1">
        <v>0.57999999999999996</v>
      </c>
      <c r="N657" s="1">
        <v>-0.34688999999999998</v>
      </c>
      <c r="O657" s="1">
        <f>VLOOKUP(D657,underlying!$D$2:$H$75,5,FALSE)</f>
        <v>-0.21</v>
      </c>
      <c r="P657" s="2">
        <f>VLOOKUP(D657,underlying!$D$2:$L$39,9,FALSE)</f>
        <v>43068</v>
      </c>
      <c r="Q657" s="7">
        <f>IF(G657="C",NormalCallSprd(O657,H657,M657,(P657-A657)/365), NormalPutSprd(O657,H657,M657,(P657-A657)/365))</f>
        <v>0.26080667885064313</v>
      </c>
      <c r="R657" s="9">
        <f t="shared" si="21"/>
        <v>8.0667885064311662E-4</v>
      </c>
    </row>
    <row r="658" spans="1:18" x14ac:dyDescent="0.2">
      <c r="A658" s="2">
        <v>42622</v>
      </c>
      <c r="B658" s="1" t="s">
        <v>13</v>
      </c>
      <c r="C658" s="1" t="s">
        <v>14</v>
      </c>
      <c r="D658" s="2">
        <v>43101</v>
      </c>
      <c r="E658" s="2">
        <f t="shared" si="20"/>
        <v>43101</v>
      </c>
      <c r="F658" s="1" t="s">
        <v>15</v>
      </c>
      <c r="G658" s="1" t="s">
        <v>16</v>
      </c>
      <c r="H658" s="1">
        <v>-0.15</v>
      </c>
      <c r="I658" s="1">
        <v>0.22</v>
      </c>
      <c r="J658" s="1">
        <v>-0.01</v>
      </c>
      <c r="K658" s="1" t="s">
        <v>26</v>
      </c>
      <c r="L658" s="1">
        <v>2389</v>
      </c>
      <c r="M658" s="1">
        <v>0.57999999999999996</v>
      </c>
      <c r="N658" s="1">
        <v>-0.32427</v>
      </c>
      <c r="O658" s="1">
        <f>VLOOKUP(D658,underlying!$D$2:$H$75,5,FALSE)</f>
        <v>-0.21</v>
      </c>
      <c r="P658" s="2">
        <f>VLOOKUP(D658,underlying!$D$2:$L$39,9,FALSE)</f>
        <v>43068</v>
      </c>
      <c r="Q658" s="7">
        <f>IF(G658="C",NormalCallSprd(O658,H658,M658,(P658-A658)/365), NormalPutSprd(O658,H658,M658,(P658-A658)/365))</f>
        <v>0.22689479065133608</v>
      </c>
      <c r="R658" s="9">
        <f t="shared" si="21"/>
        <v>6.8947906513360802E-3</v>
      </c>
    </row>
    <row r="659" spans="1:18" x14ac:dyDescent="0.2">
      <c r="A659" s="2">
        <v>42622</v>
      </c>
      <c r="B659" s="1" t="s">
        <v>13</v>
      </c>
      <c r="C659" s="1" t="s">
        <v>14</v>
      </c>
      <c r="D659" s="2">
        <v>43101</v>
      </c>
      <c r="E659" s="2">
        <f t="shared" si="20"/>
        <v>43101</v>
      </c>
      <c r="F659" s="1" t="s">
        <v>15</v>
      </c>
      <c r="G659" s="1" t="s">
        <v>18</v>
      </c>
      <c r="H659" s="1">
        <v>-0.15</v>
      </c>
      <c r="I659" s="1">
        <v>0.28000000000000003</v>
      </c>
      <c r="J659" s="1">
        <v>0</v>
      </c>
      <c r="K659" s="1" t="s">
        <v>26</v>
      </c>
      <c r="L659" s="1">
        <v>2389</v>
      </c>
      <c r="M659" s="1">
        <v>0.57999999999999996</v>
      </c>
      <c r="N659" s="1">
        <v>-0.30370000000000003</v>
      </c>
      <c r="O659" s="1">
        <f>VLOOKUP(D659,underlying!$D$2:$H$75,5,FALSE)</f>
        <v>-0.21</v>
      </c>
      <c r="P659" s="2">
        <f>VLOOKUP(D659,underlying!$D$2:$L$39,9,FALSE)</f>
        <v>43068</v>
      </c>
      <c r="Q659" s="7">
        <f>IF(G659="C",NormalCallSprd(O659,H659,M659,(P659-A659)/365), NormalPutSprd(O659,H659,M659,(P659-A659)/365))</f>
        <v>0.28689479065133611</v>
      </c>
      <c r="R659" s="9">
        <f t="shared" si="21"/>
        <v>6.8947906513360802E-3</v>
      </c>
    </row>
    <row r="660" spans="1:18" x14ac:dyDescent="0.2">
      <c r="A660" s="2">
        <v>42622</v>
      </c>
      <c r="B660" s="1" t="s">
        <v>13</v>
      </c>
      <c r="C660" s="1" t="s">
        <v>14</v>
      </c>
      <c r="D660" s="2">
        <v>43101</v>
      </c>
      <c r="E660" s="2">
        <f t="shared" si="20"/>
        <v>43101</v>
      </c>
      <c r="F660" s="1" t="s">
        <v>15</v>
      </c>
      <c r="G660" s="1" t="s">
        <v>16</v>
      </c>
      <c r="H660" s="1">
        <v>-0.1</v>
      </c>
      <c r="I660" s="1">
        <v>0.2</v>
      </c>
      <c r="J660" s="1">
        <v>0</v>
      </c>
      <c r="K660" s="1" t="s">
        <v>26</v>
      </c>
      <c r="L660" s="1">
        <v>2389</v>
      </c>
      <c r="M660" s="1">
        <v>0.56999999999999995</v>
      </c>
      <c r="N660" s="1">
        <v>-0.28145999999999999</v>
      </c>
      <c r="O660" s="1">
        <f>VLOOKUP(D660,underlying!$D$2:$H$75,5,FALSE)</f>
        <v>-0.21</v>
      </c>
      <c r="P660" s="2">
        <f>VLOOKUP(D660,underlying!$D$2:$L$39,9,FALSE)</f>
        <v>43068</v>
      </c>
      <c r="Q660" s="7">
        <f>IF(G660="C",NormalCallSprd(O660,H660,M660,(P660-A660)/365), NormalPutSprd(O660,H660,M660,(P660-A660)/365))</f>
        <v>0.20018656849610011</v>
      </c>
      <c r="R660" s="9">
        <f t="shared" si="21"/>
        <v>1.8656849610010351E-4</v>
      </c>
    </row>
    <row r="661" spans="1:18" x14ac:dyDescent="0.2">
      <c r="A661" s="2">
        <v>42622</v>
      </c>
      <c r="B661" s="1" t="s">
        <v>13</v>
      </c>
      <c r="C661" s="1" t="s">
        <v>14</v>
      </c>
      <c r="D661" s="2">
        <v>43101</v>
      </c>
      <c r="E661" s="2">
        <f t="shared" si="20"/>
        <v>43101</v>
      </c>
      <c r="F661" s="1" t="s">
        <v>15</v>
      </c>
      <c r="G661" s="1" t="s">
        <v>18</v>
      </c>
      <c r="H661" s="1">
        <v>-0.1</v>
      </c>
      <c r="I661" s="1">
        <v>0.31</v>
      </c>
      <c r="J661" s="1">
        <v>0.01</v>
      </c>
      <c r="K661" s="1" t="s">
        <v>26</v>
      </c>
      <c r="L661" s="1">
        <v>2389</v>
      </c>
      <c r="M661" s="1">
        <v>0.56999999999999995</v>
      </c>
      <c r="N661" s="1">
        <v>-0.26264999999999999</v>
      </c>
      <c r="O661" s="1">
        <f>VLOOKUP(D661,underlying!$D$2:$H$75,5,FALSE)</f>
        <v>-0.21</v>
      </c>
      <c r="P661" s="2">
        <f>VLOOKUP(D661,underlying!$D$2:$L$39,9,FALSE)</f>
        <v>43068</v>
      </c>
      <c r="Q661" s="7">
        <f>IF(G661="C",NormalCallSprd(O661,H661,M661,(P661-A661)/365), NormalPutSprd(O661,H661,M661,(P661-A661)/365))</f>
        <v>0.3101865684961001</v>
      </c>
      <c r="R661" s="9">
        <f t="shared" si="21"/>
        <v>1.8656849610010351E-4</v>
      </c>
    </row>
    <row r="662" spans="1:18" x14ac:dyDescent="0.2">
      <c r="A662" s="2">
        <v>42622</v>
      </c>
      <c r="B662" s="1" t="s">
        <v>13</v>
      </c>
      <c r="C662" s="1" t="s">
        <v>14</v>
      </c>
      <c r="D662" s="2">
        <v>43101</v>
      </c>
      <c r="E662" s="2">
        <f t="shared" si="20"/>
        <v>43101</v>
      </c>
      <c r="F662" s="1" t="s">
        <v>15</v>
      </c>
      <c r="G662" s="1" t="s">
        <v>16</v>
      </c>
      <c r="H662" s="1">
        <v>-0.05</v>
      </c>
      <c r="I662" s="1">
        <v>0.18</v>
      </c>
      <c r="J662" s="1">
        <v>0</v>
      </c>
      <c r="K662" s="1" t="s">
        <v>26</v>
      </c>
      <c r="L662" s="1">
        <v>2389</v>
      </c>
      <c r="M662" s="1">
        <v>0.56999999999999995</v>
      </c>
      <c r="N662" s="1">
        <v>-0.24253</v>
      </c>
      <c r="O662" s="1">
        <f>VLOOKUP(D662,underlying!$D$2:$H$75,5,FALSE)</f>
        <v>-0.21</v>
      </c>
      <c r="P662" s="2">
        <f>VLOOKUP(D662,underlying!$D$2:$L$39,9,FALSE)</f>
        <v>43068</v>
      </c>
      <c r="Q662" s="7">
        <f>IF(G662="C",NormalCallSprd(O662,H662,M662,(P662-A662)/365), NormalPutSprd(O662,H662,M662,(P662-A662)/365))</f>
        <v>0.1794268344542127</v>
      </c>
      <c r="R662" s="9">
        <f t="shared" si="21"/>
        <v>5.7316554578729084E-4</v>
      </c>
    </row>
    <row r="663" spans="1:18" x14ac:dyDescent="0.2">
      <c r="A663" s="2">
        <v>42622</v>
      </c>
      <c r="B663" s="1" t="s">
        <v>13</v>
      </c>
      <c r="C663" s="1" t="s">
        <v>14</v>
      </c>
      <c r="D663" s="2">
        <v>43101</v>
      </c>
      <c r="E663" s="2">
        <f t="shared" si="20"/>
        <v>43101</v>
      </c>
      <c r="F663" s="1" t="s">
        <v>15</v>
      </c>
      <c r="G663" s="1" t="s">
        <v>18</v>
      </c>
      <c r="H663" s="1">
        <v>-0.05</v>
      </c>
      <c r="I663" s="1">
        <v>0.34</v>
      </c>
      <c r="J663" s="1">
        <v>0.01</v>
      </c>
      <c r="K663" s="1" t="s">
        <v>26</v>
      </c>
      <c r="L663" s="1">
        <v>2389</v>
      </c>
      <c r="M663" s="1">
        <v>0.56999999999999995</v>
      </c>
      <c r="N663" s="1">
        <v>-0.15090999999999999</v>
      </c>
      <c r="O663" s="1">
        <f>VLOOKUP(D663,underlying!$D$2:$H$75,5,FALSE)</f>
        <v>-0.21</v>
      </c>
      <c r="P663" s="2">
        <f>VLOOKUP(D663,underlying!$D$2:$L$39,9,FALSE)</f>
        <v>43068</v>
      </c>
      <c r="Q663" s="7">
        <f>IF(G663="C",NormalCallSprd(O663,H663,M663,(P663-A663)/365), NormalPutSprd(O663,H663,M663,(P663-A663)/365))</f>
        <v>0.33942683445421268</v>
      </c>
      <c r="R663" s="9">
        <f t="shared" si="21"/>
        <v>5.7316554578734635E-4</v>
      </c>
    </row>
    <row r="664" spans="1:18" x14ac:dyDescent="0.2">
      <c r="A664" s="2">
        <v>42622</v>
      </c>
      <c r="B664" s="1" t="s">
        <v>13</v>
      </c>
      <c r="C664" s="1" t="s">
        <v>14</v>
      </c>
      <c r="D664" s="2">
        <v>43102</v>
      </c>
      <c r="E664" s="2">
        <f t="shared" si="20"/>
        <v>43132</v>
      </c>
      <c r="F664" s="1" t="s">
        <v>15</v>
      </c>
      <c r="G664" s="1" t="s">
        <v>16</v>
      </c>
      <c r="H664" s="1">
        <v>-20</v>
      </c>
      <c r="I664" s="1">
        <v>19.62</v>
      </c>
      <c r="J664" s="1">
        <v>-0.03</v>
      </c>
      <c r="K664" s="1" t="s">
        <v>33</v>
      </c>
      <c r="L664" s="1">
        <v>2389</v>
      </c>
      <c r="M664" s="1">
        <v>0.96</v>
      </c>
      <c r="N664" s="1">
        <v>-3.9969999999999999E-2</v>
      </c>
      <c r="O664" s="1">
        <f>VLOOKUP(D664,underlying!$D$2:$H$75,5,FALSE)</f>
        <v>-0.22</v>
      </c>
      <c r="P664" s="2">
        <f>VLOOKUP(D664,underlying!$D$2:$L$39,9,FALSE)</f>
        <v>43096</v>
      </c>
      <c r="Q664" s="7">
        <f>IF(G664="C",NormalCallSprd(O664,H664,M664,(P664-A664)/365), NormalPutSprd(O664,H664,M664,(P664-A664)/365))</f>
        <v>19.78</v>
      </c>
      <c r="R664" s="9">
        <f t="shared" si="21"/>
        <v>0.16000000000000014</v>
      </c>
    </row>
    <row r="665" spans="1:18" x14ac:dyDescent="0.2">
      <c r="A665" s="2">
        <v>42622</v>
      </c>
      <c r="B665" s="1" t="s">
        <v>13</v>
      </c>
      <c r="C665" s="1" t="s">
        <v>14</v>
      </c>
      <c r="D665" s="2">
        <v>43102</v>
      </c>
      <c r="E665" s="2">
        <f t="shared" si="20"/>
        <v>43132</v>
      </c>
      <c r="F665" s="1" t="s">
        <v>15</v>
      </c>
      <c r="G665" s="1" t="s">
        <v>18</v>
      </c>
      <c r="H665" s="1">
        <v>-20</v>
      </c>
      <c r="I665" s="1">
        <v>0.01</v>
      </c>
      <c r="J665" s="1">
        <v>0</v>
      </c>
      <c r="K665" s="1" t="s">
        <v>33</v>
      </c>
      <c r="L665" s="1">
        <v>2389</v>
      </c>
      <c r="M665" s="1">
        <v>0.96</v>
      </c>
      <c r="N665" s="1">
        <v>-9.7999999999999997E-3</v>
      </c>
      <c r="O665" s="1">
        <f>VLOOKUP(D665,underlying!$D$2:$H$75,5,FALSE)</f>
        <v>-0.22</v>
      </c>
      <c r="P665" s="2">
        <f>VLOOKUP(D665,underlying!$D$2:$L$39,9,FALSE)</f>
        <v>43096</v>
      </c>
      <c r="Q665" s="7">
        <f>IF(G665="C",NormalCallSprd(O665,H665,M665,(P665-A665)/365), NormalPutSprd(O665,H665,M665,(P665-A665)/365))</f>
        <v>1.3631243296590967E-74</v>
      </c>
      <c r="R665" s="9">
        <f t="shared" si="21"/>
        <v>0.01</v>
      </c>
    </row>
    <row r="666" spans="1:18" x14ac:dyDescent="0.2">
      <c r="A666" s="2">
        <v>42622</v>
      </c>
      <c r="B666" s="1" t="s">
        <v>13</v>
      </c>
      <c r="C666" s="1" t="s">
        <v>14</v>
      </c>
      <c r="D666" s="2">
        <v>43102</v>
      </c>
      <c r="E666" s="2">
        <f t="shared" si="20"/>
        <v>43132</v>
      </c>
      <c r="F666" s="1" t="s">
        <v>15</v>
      </c>
      <c r="G666" s="1" t="s">
        <v>16</v>
      </c>
      <c r="H666" s="1">
        <v>-3</v>
      </c>
      <c r="I666" s="1">
        <v>2.76</v>
      </c>
      <c r="J666" s="1">
        <v>-0.02</v>
      </c>
      <c r="K666" s="1" t="s">
        <v>33</v>
      </c>
      <c r="L666" s="1">
        <v>2389</v>
      </c>
      <c r="M666" s="1">
        <v>0.96</v>
      </c>
      <c r="N666" s="1">
        <v>0.19844000000000001</v>
      </c>
      <c r="O666" s="1">
        <f>VLOOKUP(D666,underlying!$D$2:$H$75,5,FALSE)</f>
        <v>-0.22</v>
      </c>
      <c r="P666" s="2">
        <f>VLOOKUP(D666,underlying!$D$2:$L$39,9,FALSE)</f>
        <v>43096</v>
      </c>
      <c r="Q666" s="7">
        <f>IF(G666="C",NormalCallSprd(O666,H666,M666,(P666-A666)/365), NormalPutSprd(O666,H666,M666,(P666-A666)/365))</f>
        <v>2.7819286360488835</v>
      </c>
      <c r="R666" s="9">
        <f t="shared" si="21"/>
        <v>2.1928636048883732E-2</v>
      </c>
    </row>
    <row r="667" spans="1:18" x14ac:dyDescent="0.2">
      <c r="A667" s="2">
        <v>42622</v>
      </c>
      <c r="B667" s="1" t="s">
        <v>13</v>
      </c>
      <c r="C667" s="1" t="s">
        <v>14</v>
      </c>
      <c r="D667" s="2">
        <v>43102</v>
      </c>
      <c r="E667" s="2">
        <f t="shared" si="20"/>
        <v>43132</v>
      </c>
      <c r="F667" s="1" t="s">
        <v>15</v>
      </c>
      <c r="G667" s="1" t="s">
        <v>18</v>
      </c>
      <c r="H667" s="1">
        <v>-3</v>
      </c>
      <c r="I667" s="1">
        <v>0.01</v>
      </c>
      <c r="J667" s="1">
        <v>0</v>
      </c>
      <c r="K667" s="1" t="s">
        <v>33</v>
      </c>
      <c r="L667" s="1">
        <v>2389</v>
      </c>
      <c r="M667" s="1">
        <v>0.96</v>
      </c>
      <c r="N667" s="1">
        <v>0.23275000000000001</v>
      </c>
      <c r="O667" s="1">
        <f>VLOOKUP(D667,underlying!$D$2:$H$75,5,FALSE)</f>
        <v>-0.22</v>
      </c>
      <c r="P667" s="2">
        <f>VLOOKUP(D667,underlying!$D$2:$L$39,9,FALSE)</f>
        <v>43096</v>
      </c>
      <c r="Q667" s="7">
        <f>IF(G667="C",NormalCallSprd(O667,H667,M667,(P667-A667)/365), NormalPutSprd(O667,H667,M667,(P667-A667)/365))</f>
        <v>1.9286360488834087E-3</v>
      </c>
      <c r="R667" s="9">
        <f t="shared" si="21"/>
        <v>8.0713639511165915E-3</v>
      </c>
    </row>
    <row r="668" spans="1:18" x14ac:dyDescent="0.2">
      <c r="A668" s="2">
        <v>42622</v>
      </c>
      <c r="B668" s="1" t="s">
        <v>13</v>
      </c>
      <c r="C668" s="1" t="s">
        <v>14</v>
      </c>
      <c r="D668" s="2">
        <v>43102</v>
      </c>
      <c r="E668" s="2">
        <f t="shared" si="20"/>
        <v>43132</v>
      </c>
      <c r="F668" s="1" t="s">
        <v>15</v>
      </c>
      <c r="G668" s="1" t="s">
        <v>16</v>
      </c>
      <c r="H668" s="1">
        <v>-2</v>
      </c>
      <c r="I668" s="1">
        <v>1.78</v>
      </c>
      <c r="J668" s="1">
        <v>-0.02</v>
      </c>
      <c r="K668" s="1" t="s">
        <v>33</v>
      </c>
      <c r="L668" s="1">
        <v>2389</v>
      </c>
      <c r="M668" s="1">
        <v>0.83</v>
      </c>
      <c r="N668" s="1">
        <v>0.27071000000000001</v>
      </c>
      <c r="O668" s="1">
        <f>VLOOKUP(D668,underlying!$D$2:$H$75,5,FALSE)</f>
        <v>-0.22</v>
      </c>
      <c r="P668" s="2">
        <f>VLOOKUP(D668,underlying!$D$2:$L$39,9,FALSE)</f>
        <v>43096</v>
      </c>
      <c r="Q668" s="7">
        <f>IF(G668="C",NormalCallSprd(O668,H668,M668,(P668-A668)/365), NormalPutSprd(O668,H668,M668,(P668-A668)/365))</f>
        <v>1.7909573069488156</v>
      </c>
      <c r="R668" s="9">
        <f t="shared" si="21"/>
        <v>1.0957306948815582E-2</v>
      </c>
    </row>
    <row r="669" spans="1:18" x14ac:dyDescent="0.2">
      <c r="A669" s="2">
        <v>42622</v>
      </c>
      <c r="B669" s="1" t="s">
        <v>13</v>
      </c>
      <c r="C669" s="1" t="s">
        <v>14</v>
      </c>
      <c r="D669" s="2">
        <v>43102</v>
      </c>
      <c r="E669" s="2">
        <f t="shared" si="20"/>
        <v>43132</v>
      </c>
      <c r="F669" s="1" t="s">
        <v>15</v>
      </c>
      <c r="G669" s="1" t="s">
        <v>18</v>
      </c>
      <c r="H669" s="1">
        <v>-2</v>
      </c>
      <c r="I669" s="1">
        <v>0.01</v>
      </c>
      <c r="J669" s="1">
        <v>0</v>
      </c>
      <c r="K669" s="1" t="s">
        <v>33</v>
      </c>
      <c r="L669" s="1">
        <v>2389</v>
      </c>
      <c r="M669" s="1">
        <v>0.83</v>
      </c>
      <c r="N669" s="1">
        <v>0.31329000000000001</v>
      </c>
      <c r="O669" s="1">
        <f>VLOOKUP(D669,underlying!$D$2:$H$75,5,FALSE)</f>
        <v>-0.22</v>
      </c>
      <c r="P669" s="2">
        <f>VLOOKUP(D669,underlying!$D$2:$L$39,9,FALSE)</f>
        <v>43096</v>
      </c>
      <c r="Q669" s="7">
        <f>IF(G669="C",NormalCallSprd(O669,H669,M669,(P669-A669)/365), NormalPutSprd(O669,H669,M669,(P669-A669)/365))</f>
        <v>1.0957306948815738E-2</v>
      </c>
      <c r="R669" s="9">
        <f t="shared" si="21"/>
        <v>9.5730694881573757E-4</v>
      </c>
    </row>
    <row r="670" spans="1:18" x14ac:dyDescent="0.2">
      <c r="A670" s="2">
        <v>42622</v>
      </c>
      <c r="B670" s="1" t="s">
        <v>13</v>
      </c>
      <c r="C670" s="1" t="s">
        <v>14</v>
      </c>
      <c r="D670" s="2">
        <v>43102</v>
      </c>
      <c r="E670" s="2">
        <f t="shared" si="20"/>
        <v>43132</v>
      </c>
      <c r="F670" s="1" t="s">
        <v>15</v>
      </c>
      <c r="G670" s="1" t="s">
        <v>16</v>
      </c>
      <c r="H670" s="1">
        <v>-1</v>
      </c>
      <c r="I670" s="1">
        <v>0.84</v>
      </c>
      <c r="J670" s="1">
        <v>-0.02</v>
      </c>
      <c r="K670" s="1" t="s">
        <v>33</v>
      </c>
      <c r="L670" s="1">
        <v>2389</v>
      </c>
      <c r="M670" s="1">
        <v>0.68</v>
      </c>
      <c r="N670" s="1">
        <v>0.35718</v>
      </c>
      <c r="O670" s="1">
        <f>VLOOKUP(D670,underlying!$D$2:$H$75,5,FALSE)</f>
        <v>-0.22</v>
      </c>
      <c r="P670" s="2">
        <f>VLOOKUP(D670,underlying!$D$2:$L$39,9,FALSE)</f>
        <v>43096</v>
      </c>
      <c r="Q670" s="7">
        <f>IF(G670="C",NormalCallSprd(O670,H670,M670,(P670-A670)/365), NormalPutSprd(O670,H670,M670,(P670-A670)/365))</f>
        <v>0.84375863773336435</v>
      </c>
      <c r="R670" s="9">
        <f t="shared" si="21"/>
        <v>3.7586377333643783E-3</v>
      </c>
    </row>
    <row r="671" spans="1:18" x14ac:dyDescent="0.2">
      <c r="A671" s="2">
        <v>42622</v>
      </c>
      <c r="B671" s="1" t="s">
        <v>13</v>
      </c>
      <c r="C671" s="1" t="s">
        <v>14</v>
      </c>
      <c r="D671" s="2">
        <v>43102</v>
      </c>
      <c r="E671" s="2">
        <f t="shared" si="20"/>
        <v>43132</v>
      </c>
      <c r="F671" s="1" t="s">
        <v>15</v>
      </c>
      <c r="G671" s="1" t="s">
        <v>18</v>
      </c>
      <c r="H671" s="1">
        <v>-1</v>
      </c>
      <c r="I671" s="1">
        <v>0.06</v>
      </c>
      <c r="J671" s="1">
        <v>0</v>
      </c>
      <c r="K671" s="1" t="s">
        <v>33</v>
      </c>
      <c r="L671" s="1">
        <v>2389</v>
      </c>
      <c r="M671" s="1">
        <v>0.68</v>
      </c>
      <c r="N671" s="1">
        <v>0.40173999999999999</v>
      </c>
      <c r="O671" s="1">
        <f>VLOOKUP(D671,underlying!$D$2:$H$75,5,FALSE)</f>
        <v>-0.22</v>
      </c>
      <c r="P671" s="2">
        <f>VLOOKUP(D671,underlying!$D$2:$L$39,9,FALSE)</f>
        <v>43096</v>
      </c>
      <c r="Q671" s="7">
        <f>IF(G671="C",NormalCallSprd(O671,H671,M671,(P671-A671)/365), NormalPutSprd(O671,H671,M671,(P671-A671)/365))</f>
        <v>6.3758637733364362E-2</v>
      </c>
      <c r="R671" s="9">
        <f t="shared" si="21"/>
        <v>3.7586377333643645E-3</v>
      </c>
    </row>
    <row r="672" spans="1:18" x14ac:dyDescent="0.2">
      <c r="A672" s="2">
        <v>42622</v>
      </c>
      <c r="B672" s="1" t="s">
        <v>13</v>
      </c>
      <c r="C672" s="1" t="s">
        <v>14</v>
      </c>
      <c r="D672" s="2">
        <v>43102</v>
      </c>
      <c r="E672" s="2">
        <f t="shared" si="20"/>
        <v>43132</v>
      </c>
      <c r="F672" s="1" t="s">
        <v>15</v>
      </c>
      <c r="G672" s="1" t="s">
        <v>16</v>
      </c>
      <c r="H672" s="1">
        <v>-0.75</v>
      </c>
      <c r="I672" s="1">
        <v>0.62</v>
      </c>
      <c r="J672" s="1">
        <v>-0.02</v>
      </c>
      <c r="K672" s="1" t="s">
        <v>33</v>
      </c>
      <c r="L672" s="1">
        <v>2389</v>
      </c>
      <c r="M672" s="1">
        <v>0.64</v>
      </c>
      <c r="N672" s="1">
        <v>0.44618000000000002</v>
      </c>
      <c r="O672" s="1">
        <f>VLOOKUP(D672,underlying!$D$2:$H$75,5,FALSE)</f>
        <v>-0.22</v>
      </c>
      <c r="P672" s="2">
        <f>VLOOKUP(D672,underlying!$D$2:$L$39,9,FALSE)</f>
        <v>43096</v>
      </c>
      <c r="Q672" s="7">
        <f>IF(G672="C",NormalCallSprd(O672,H672,M672,(P672-A672)/365), NormalPutSprd(O672,H672,M672,(P672-A672)/365))</f>
        <v>0.6295753563639237</v>
      </c>
      <c r="R672" s="9">
        <f t="shared" si="21"/>
        <v>9.5753563639237038E-3</v>
      </c>
    </row>
    <row r="673" spans="1:18" x14ac:dyDescent="0.2">
      <c r="A673" s="2">
        <v>42622</v>
      </c>
      <c r="B673" s="1" t="s">
        <v>13</v>
      </c>
      <c r="C673" s="1" t="s">
        <v>14</v>
      </c>
      <c r="D673" s="2">
        <v>43102</v>
      </c>
      <c r="E673" s="2">
        <f t="shared" si="20"/>
        <v>43132</v>
      </c>
      <c r="F673" s="1" t="s">
        <v>15</v>
      </c>
      <c r="G673" s="1" t="s">
        <v>18</v>
      </c>
      <c r="H673" s="1">
        <v>-0.75</v>
      </c>
      <c r="I673" s="1">
        <v>0.1</v>
      </c>
      <c r="J673" s="1">
        <v>0</v>
      </c>
      <c r="K673" s="1" t="s">
        <v>33</v>
      </c>
      <c r="L673" s="1">
        <v>2389</v>
      </c>
      <c r="M673" s="1">
        <v>0.64</v>
      </c>
      <c r="N673" s="1">
        <v>0.49021999999999999</v>
      </c>
      <c r="O673" s="1">
        <f>VLOOKUP(D673,underlying!$D$2:$H$75,5,FALSE)</f>
        <v>-0.22</v>
      </c>
      <c r="P673" s="2">
        <f>VLOOKUP(D673,underlying!$D$2:$L$39,9,FALSE)</f>
        <v>43096</v>
      </c>
      <c r="Q673" s="7">
        <f>IF(G673="C",NormalCallSprd(O673,H673,M673,(P673-A673)/365), NormalPutSprd(O673,H673,M673,(P673-A673)/365))</f>
        <v>9.9575356363923659E-2</v>
      </c>
      <c r="R673" s="9">
        <f t="shared" si="21"/>
        <v>4.246436360763467E-4</v>
      </c>
    </row>
    <row r="674" spans="1:18" x14ac:dyDescent="0.2">
      <c r="A674" s="2">
        <v>42622</v>
      </c>
      <c r="B674" s="1" t="s">
        <v>13</v>
      </c>
      <c r="C674" s="1" t="s">
        <v>14</v>
      </c>
      <c r="D674" s="2">
        <v>43102</v>
      </c>
      <c r="E674" s="2">
        <f t="shared" si="20"/>
        <v>43132</v>
      </c>
      <c r="F674" s="1" t="s">
        <v>15</v>
      </c>
      <c r="G674" s="1" t="s">
        <v>16</v>
      </c>
      <c r="H674" s="1">
        <v>-0.7</v>
      </c>
      <c r="I674" s="1">
        <v>0.59</v>
      </c>
      <c r="J674" s="1">
        <v>-0.01</v>
      </c>
      <c r="K674" s="1" t="s">
        <v>33</v>
      </c>
      <c r="L674" s="1">
        <v>2389</v>
      </c>
      <c r="M674" s="1">
        <v>0.64</v>
      </c>
      <c r="N674" s="1">
        <v>0.53374999999999995</v>
      </c>
      <c r="O674" s="1">
        <f>VLOOKUP(D674,underlying!$D$2:$H$75,5,FALSE)</f>
        <v>-0.22</v>
      </c>
      <c r="P674" s="2">
        <f>VLOOKUP(D674,underlying!$D$2:$L$39,9,FALSE)</f>
        <v>43096</v>
      </c>
      <c r="Q674" s="7">
        <f>IF(G674="C",NormalCallSprd(O674,H674,M674,(P674-A674)/365), NormalPutSprd(O674,H674,M674,(P674-A674)/365))</f>
        <v>0.5917943480095369</v>
      </c>
      <c r="R674" s="9">
        <f t="shared" si="21"/>
        <v>1.794348009536928E-3</v>
      </c>
    </row>
    <row r="675" spans="1:18" x14ac:dyDescent="0.2">
      <c r="A675" s="2">
        <v>42622</v>
      </c>
      <c r="B675" s="1" t="s">
        <v>13</v>
      </c>
      <c r="C675" s="1" t="s">
        <v>14</v>
      </c>
      <c r="D675" s="2">
        <v>43102</v>
      </c>
      <c r="E675" s="2">
        <f t="shared" si="20"/>
        <v>43132</v>
      </c>
      <c r="F675" s="1" t="s">
        <v>15</v>
      </c>
      <c r="G675" s="1" t="s">
        <v>18</v>
      </c>
      <c r="H675" s="1">
        <v>-0.7</v>
      </c>
      <c r="I675" s="1">
        <v>0.11</v>
      </c>
      <c r="J675" s="1">
        <v>0</v>
      </c>
      <c r="K675" s="1" t="s">
        <v>33</v>
      </c>
      <c r="L675" s="1">
        <v>2389</v>
      </c>
      <c r="M675" s="1">
        <v>0.64</v>
      </c>
      <c r="N675" s="1">
        <v>0.57591000000000003</v>
      </c>
      <c r="O675" s="1">
        <f>VLOOKUP(D675,underlying!$D$2:$H$75,5,FALSE)</f>
        <v>-0.22</v>
      </c>
      <c r="P675" s="2">
        <f>VLOOKUP(D675,underlying!$D$2:$L$39,9,FALSE)</f>
        <v>43096</v>
      </c>
      <c r="Q675" s="7">
        <f>IF(G675="C",NormalCallSprd(O675,H675,M675,(P675-A675)/365), NormalPutSprd(O675,H675,M675,(P675-A675)/365))</f>
        <v>0.11179434800953701</v>
      </c>
      <c r="R675" s="9">
        <f t="shared" si="21"/>
        <v>1.7943480095370112E-3</v>
      </c>
    </row>
    <row r="676" spans="1:18" x14ac:dyDescent="0.2">
      <c r="A676" s="2">
        <v>42622</v>
      </c>
      <c r="B676" s="1" t="s">
        <v>13</v>
      </c>
      <c r="C676" s="1" t="s">
        <v>14</v>
      </c>
      <c r="D676" s="2">
        <v>43102</v>
      </c>
      <c r="E676" s="2">
        <f t="shared" si="20"/>
        <v>43132</v>
      </c>
      <c r="F676" s="1" t="s">
        <v>15</v>
      </c>
      <c r="G676" s="1" t="s">
        <v>16</v>
      </c>
      <c r="H676" s="1">
        <v>-0.65</v>
      </c>
      <c r="I676" s="1">
        <v>0.55000000000000004</v>
      </c>
      <c r="J676" s="1">
        <v>-0.01</v>
      </c>
      <c r="K676" s="1" t="s">
        <v>33</v>
      </c>
      <c r="L676" s="1">
        <v>2389</v>
      </c>
      <c r="M676" s="1">
        <v>0.63</v>
      </c>
      <c r="N676" s="1">
        <v>0.61726000000000003</v>
      </c>
      <c r="O676" s="1">
        <f>VLOOKUP(D676,underlying!$D$2:$H$75,5,FALSE)</f>
        <v>-0.22</v>
      </c>
      <c r="P676" s="2">
        <f>VLOOKUP(D676,underlying!$D$2:$L$39,9,FALSE)</f>
        <v>43096</v>
      </c>
      <c r="Q676" s="7">
        <f>IF(G676="C",NormalCallSprd(O676,H676,M676,(P676-A676)/365), NormalPutSprd(O676,H676,M676,(P676-A676)/365))</f>
        <v>0.5513038859310132</v>
      </c>
      <c r="R676" s="9">
        <f t="shared" si="21"/>
        <v>1.3038859310131601E-3</v>
      </c>
    </row>
    <row r="677" spans="1:18" x14ac:dyDescent="0.2">
      <c r="A677" s="2">
        <v>42622</v>
      </c>
      <c r="B677" s="1" t="s">
        <v>13</v>
      </c>
      <c r="C677" s="1" t="s">
        <v>14</v>
      </c>
      <c r="D677" s="2">
        <v>43102</v>
      </c>
      <c r="E677" s="2">
        <f t="shared" si="20"/>
        <v>43132</v>
      </c>
      <c r="F677" s="1" t="s">
        <v>15</v>
      </c>
      <c r="G677" s="1" t="s">
        <v>18</v>
      </c>
      <c r="H677" s="1">
        <v>-0.65</v>
      </c>
      <c r="I677" s="1">
        <v>0.12</v>
      </c>
      <c r="J677" s="1">
        <v>0</v>
      </c>
      <c r="K677" s="1" t="s">
        <v>33</v>
      </c>
      <c r="L677" s="1">
        <v>2389</v>
      </c>
      <c r="M677" s="1">
        <v>0.63</v>
      </c>
      <c r="N677" s="1">
        <v>0.65549000000000002</v>
      </c>
      <c r="O677" s="1">
        <f>VLOOKUP(D677,underlying!$D$2:$H$75,5,FALSE)</f>
        <v>-0.22</v>
      </c>
      <c r="P677" s="2">
        <f>VLOOKUP(D677,underlying!$D$2:$L$39,9,FALSE)</f>
        <v>43096</v>
      </c>
      <c r="Q677" s="7">
        <f>IF(G677="C",NormalCallSprd(O677,H677,M677,(P677-A677)/365), NormalPutSprd(O677,H677,M677,(P677-A677)/365))</f>
        <v>0.12130388593101317</v>
      </c>
      <c r="R677" s="9">
        <f t="shared" si="21"/>
        <v>1.303885931013174E-3</v>
      </c>
    </row>
    <row r="678" spans="1:18" x14ac:dyDescent="0.2">
      <c r="A678" s="2">
        <v>42622</v>
      </c>
      <c r="B678" s="1" t="s">
        <v>13</v>
      </c>
      <c r="C678" s="1" t="s">
        <v>14</v>
      </c>
      <c r="D678" s="2">
        <v>43102</v>
      </c>
      <c r="E678" s="2">
        <f t="shared" si="20"/>
        <v>43132</v>
      </c>
      <c r="F678" s="1" t="s">
        <v>15</v>
      </c>
      <c r="G678" s="1" t="s">
        <v>16</v>
      </c>
      <c r="H678" s="1">
        <v>-0.6</v>
      </c>
      <c r="I678" s="1">
        <v>0.51</v>
      </c>
      <c r="J678" s="1">
        <v>-0.01</v>
      </c>
      <c r="K678" s="1" t="s">
        <v>33</v>
      </c>
      <c r="L678" s="1">
        <v>2389</v>
      </c>
      <c r="M678" s="1">
        <v>0.62</v>
      </c>
      <c r="N678" s="1">
        <v>0.69123999999999997</v>
      </c>
      <c r="O678" s="1">
        <f>VLOOKUP(D678,underlying!$D$2:$H$75,5,FALSE)</f>
        <v>-0.22</v>
      </c>
      <c r="P678" s="2">
        <f>VLOOKUP(D678,underlying!$D$2:$L$39,9,FALSE)</f>
        <v>43096</v>
      </c>
      <c r="Q678" s="7">
        <f>IF(G678="C",NormalCallSprd(O678,H678,M678,(P678-A678)/365), NormalPutSprd(O678,H678,M678,(P678-A678)/365))</f>
        <v>0.51167954093518719</v>
      </c>
      <c r="R678" s="9">
        <f t="shared" si="21"/>
        <v>1.6795409351871848E-3</v>
      </c>
    </row>
    <row r="679" spans="1:18" x14ac:dyDescent="0.2">
      <c r="A679" s="2">
        <v>42622</v>
      </c>
      <c r="B679" s="1" t="s">
        <v>13</v>
      </c>
      <c r="C679" s="1" t="s">
        <v>14</v>
      </c>
      <c r="D679" s="2">
        <v>43102</v>
      </c>
      <c r="E679" s="2">
        <f t="shared" si="20"/>
        <v>43132</v>
      </c>
      <c r="F679" s="1" t="s">
        <v>15</v>
      </c>
      <c r="G679" s="1" t="s">
        <v>18</v>
      </c>
      <c r="H679" s="1">
        <v>-0.6</v>
      </c>
      <c r="I679" s="1">
        <v>0.13</v>
      </c>
      <c r="J679" s="1">
        <v>0</v>
      </c>
      <c r="K679" s="1" t="s">
        <v>33</v>
      </c>
      <c r="L679" s="1">
        <v>2389</v>
      </c>
      <c r="M679" s="1">
        <v>0.62</v>
      </c>
      <c r="N679" s="1">
        <v>0.72491000000000005</v>
      </c>
      <c r="O679" s="1">
        <f>VLOOKUP(D679,underlying!$D$2:$H$75,5,FALSE)</f>
        <v>-0.22</v>
      </c>
      <c r="P679" s="2">
        <f>VLOOKUP(D679,underlying!$D$2:$L$39,9,FALSE)</f>
        <v>43096</v>
      </c>
      <c r="Q679" s="7">
        <f>IF(G679="C",NormalCallSprd(O679,H679,M679,(P679-A679)/365), NormalPutSprd(O679,H679,M679,(P679-A679)/365))</f>
        <v>0.13167954093518719</v>
      </c>
      <c r="R679" s="9">
        <f t="shared" si="21"/>
        <v>1.6795409351871848E-3</v>
      </c>
    </row>
    <row r="680" spans="1:18" x14ac:dyDescent="0.2">
      <c r="A680" s="2">
        <v>42622</v>
      </c>
      <c r="B680" s="1" t="s">
        <v>13</v>
      </c>
      <c r="C680" s="1" t="s">
        <v>14</v>
      </c>
      <c r="D680" s="2">
        <v>43102</v>
      </c>
      <c r="E680" s="2">
        <f t="shared" si="20"/>
        <v>43132</v>
      </c>
      <c r="F680" s="1" t="s">
        <v>15</v>
      </c>
      <c r="G680" s="1" t="s">
        <v>16</v>
      </c>
      <c r="H680" s="1">
        <v>-0.55000000000000004</v>
      </c>
      <c r="I680" s="1">
        <v>0.47</v>
      </c>
      <c r="J680" s="1">
        <v>-0.01</v>
      </c>
      <c r="K680" s="1" t="s">
        <v>33</v>
      </c>
      <c r="L680" s="1">
        <v>2389</v>
      </c>
      <c r="M680" s="1">
        <v>0.61</v>
      </c>
      <c r="N680" s="1">
        <v>0.75768999999999997</v>
      </c>
      <c r="O680" s="1">
        <f>VLOOKUP(D680,underlying!$D$2:$H$75,5,FALSE)</f>
        <v>-0.22</v>
      </c>
      <c r="P680" s="2">
        <f>VLOOKUP(D680,underlying!$D$2:$L$39,9,FALSE)</f>
        <v>43096</v>
      </c>
      <c r="Q680" s="7">
        <f>IF(G680="C",NormalCallSprd(O680,H680,M680,(P680-A680)/365), NormalPutSprd(O680,H680,M680,(P680-A680)/365))</f>
        <v>0.47299597178637964</v>
      </c>
      <c r="R680" s="9">
        <f t="shared" si="21"/>
        <v>2.9959717863796698E-3</v>
      </c>
    </row>
    <row r="681" spans="1:18" x14ac:dyDescent="0.2">
      <c r="A681" s="2">
        <v>42622</v>
      </c>
      <c r="B681" s="1" t="s">
        <v>13</v>
      </c>
      <c r="C681" s="1" t="s">
        <v>14</v>
      </c>
      <c r="D681" s="2">
        <v>43102</v>
      </c>
      <c r="E681" s="2">
        <f t="shared" si="20"/>
        <v>43132</v>
      </c>
      <c r="F681" s="1" t="s">
        <v>15</v>
      </c>
      <c r="G681" s="1" t="s">
        <v>18</v>
      </c>
      <c r="H681" s="1">
        <v>-0.55000000000000004</v>
      </c>
      <c r="I681" s="1">
        <v>0.14000000000000001</v>
      </c>
      <c r="J681" s="1">
        <v>0</v>
      </c>
      <c r="K681" s="1" t="s">
        <v>33</v>
      </c>
      <c r="L681" s="1">
        <v>2389</v>
      </c>
      <c r="M681" s="1">
        <v>0.61</v>
      </c>
      <c r="N681" s="1">
        <v>0.78568000000000005</v>
      </c>
      <c r="O681" s="1">
        <f>VLOOKUP(D681,underlying!$D$2:$H$75,5,FALSE)</f>
        <v>-0.22</v>
      </c>
      <c r="P681" s="2">
        <f>VLOOKUP(D681,underlying!$D$2:$L$39,9,FALSE)</f>
        <v>43096</v>
      </c>
      <c r="Q681" s="7">
        <f>IF(G681="C",NormalCallSprd(O681,H681,M681,(P681-A681)/365), NormalPutSprd(O681,H681,M681,(P681-A681)/365))</f>
        <v>0.1429959717863796</v>
      </c>
      <c r="R681" s="9">
        <f t="shared" si="21"/>
        <v>2.9959717863795865E-3</v>
      </c>
    </row>
    <row r="682" spans="1:18" x14ac:dyDescent="0.2">
      <c r="A682" s="2">
        <v>42622</v>
      </c>
      <c r="B682" s="1" t="s">
        <v>13</v>
      </c>
      <c r="C682" s="1" t="s">
        <v>14</v>
      </c>
      <c r="D682" s="2">
        <v>43102</v>
      </c>
      <c r="E682" s="2">
        <f t="shared" si="20"/>
        <v>43132</v>
      </c>
      <c r="F682" s="1" t="s">
        <v>15</v>
      </c>
      <c r="G682" s="1" t="s">
        <v>16</v>
      </c>
      <c r="H682" s="1">
        <v>-0.5</v>
      </c>
      <c r="I682" s="1">
        <v>0.43</v>
      </c>
      <c r="J682" s="1">
        <v>-0.02</v>
      </c>
      <c r="K682" s="1" t="s">
        <v>33</v>
      </c>
      <c r="L682" s="1">
        <v>2389</v>
      </c>
      <c r="M682" s="1">
        <v>0.61</v>
      </c>
      <c r="N682" s="1">
        <v>0.81103999999999998</v>
      </c>
      <c r="O682" s="1">
        <f>VLOOKUP(D682,underlying!$D$2:$H$75,5,FALSE)</f>
        <v>-0.22</v>
      </c>
      <c r="P682" s="2">
        <f>VLOOKUP(D682,underlying!$D$2:$L$39,9,FALSE)</f>
        <v>43096</v>
      </c>
      <c r="Q682" s="7">
        <f>IF(G682="C",NormalCallSprd(O682,H682,M682,(P682-A682)/365), NormalPutSprd(O682,H682,M682,(P682-A682)/365))</f>
        <v>0.43951856680150653</v>
      </c>
      <c r="R682" s="9">
        <f t="shared" si="21"/>
        <v>9.5185668015065339E-3</v>
      </c>
    </row>
    <row r="683" spans="1:18" x14ac:dyDescent="0.2">
      <c r="A683" s="2">
        <v>42622</v>
      </c>
      <c r="B683" s="1" t="s">
        <v>13</v>
      </c>
      <c r="C683" s="1" t="s">
        <v>14</v>
      </c>
      <c r="D683" s="2">
        <v>43102</v>
      </c>
      <c r="E683" s="2">
        <f t="shared" si="20"/>
        <v>43132</v>
      </c>
      <c r="F683" s="1" t="s">
        <v>15</v>
      </c>
      <c r="G683" s="1" t="s">
        <v>18</v>
      </c>
      <c r="H683" s="1">
        <v>-0.5</v>
      </c>
      <c r="I683" s="1">
        <v>0.16</v>
      </c>
      <c r="J683" s="1">
        <v>0.01</v>
      </c>
      <c r="K683" s="1" t="s">
        <v>33</v>
      </c>
      <c r="L683" s="1">
        <v>2389</v>
      </c>
      <c r="M683" s="1">
        <v>0.61</v>
      </c>
      <c r="N683" s="1">
        <v>0.83387</v>
      </c>
      <c r="O683" s="1">
        <f>VLOOKUP(D683,underlying!$D$2:$H$75,5,FALSE)</f>
        <v>-0.22</v>
      </c>
      <c r="P683" s="2">
        <f>VLOOKUP(D683,underlying!$D$2:$L$39,9,FALSE)</f>
        <v>43096</v>
      </c>
      <c r="Q683" s="7">
        <f>IF(G683="C",NormalCallSprd(O683,H683,M683,(P683-A683)/365), NormalPutSprd(O683,H683,M683,(P683-A683)/365))</f>
        <v>0.1595185668015065</v>
      </c>
      <c r="R683" s="9">
        <f t="shared" si="21"/>
        <v>4.8143319849350275E-4</v>
      </c>
    </row>
    <row r="684" spans="1:18" x14ac:dyDescent="0.2">
      <c r="A684" s="2">
        <v>42622</v>
      </c>
      <c r="B684" s="1" t="s">
        <v>13</v>
      </c>
      <c r="C684" s="1" t="s">
        <v>14</v>
      </c>
      <c r="D684" s="2">
        <v>43102</v>
      </c>
      <c r="E684" s="2">
        <f t="shared" si="20"/>
        <v>43132</v>
      </c>
      <c r="F684" s="1" t="s">
        <v>15</v>
      </c>
      <c r="G684" s="1" t="s">
        <v>16</v>
      </c>
      <c r="H684" s="1">
        <v>-0.45</v>
      </c>
      <c r="I684" s="1">
        <v>0.4</v>
      </c>
      <c r="J684" s="1">
        <v>-0.01</v>
      </c>
      <c r="K684" s="1" t="s">
        <v>33</v>
      </c>
      <c r="L684" s="1">
        <v>2389</v>
      </c>
      <c r="M684" s="1">
        <v>0.6</v>
      </c>
      <c r="N684" s="1">
        <v>0.85433000000000003</v>
      </c>
      <c r="O684" s="1">
        <f>VLOOKUP(D684,underlying!$D$2:$H$75,5,FALSE)</f>
        <v>-0.22</v>
      </c>
      <c r="P684" s="2">
        <f>VLOOKUP(D684,underlying!$D$2:$L$39,9,FALSE)</f>
        <v>43096</v>
      </c>
      <c r="Q684" s="7">
        <f>IF(G684="C",NormalCallSprd(O684,H684,M684,(P684-A684)/365), NormalPutSprd(O684,H684,M684,(P684-A684)/365))</f>
        <v>0.40306348248597035</v>
      </c>
      <c r="R684" s="9">
        <f t="shared" si="21"/>
        <v>3.0634824859703258E-3</v>
      </c>
    </row>
    <row r="685" spans="1:18" x14ac:dyDescent="0.2">
      <c r="A685" s="2">
        <v>42622</v>
      </c>
      <c r="B685" s="1" t="s">
        <v>13</v>
      </c>
      <c r="C685" s="1" t="s">
        <v>14</v>
      </c>
      <c r="D685" s="2">
        <v>43102</v>
      </c>
      <c r="E685" s="2">
        <f t="shared" si="20"/>
        <v>43132</v>
      </c>
      <c r="F685" s="1" t="s">
        <v>15</v>
      </c>
      <c r="G685" s="1" t="s">
        <v>18</v>
      </c>
      <c r="H685" s="1">
        <v>-0.45</v>
      </c>
      <c r="I685" s="1">
        <v>0.17</v>
      </c>
      <c r="J685" s="1">
        <v>0</v>
      </c>
      <c r="K685" s="1" t="s">
        <v>33</v>
      </c>
      <c r="L685" s="1">
        <v>2389</v>
      </c>
      <c r="M685" s="1">
        <v>0.6</v>
      </c>
      <c r="N685" s="1">
        <v>0.87255000000000005</v>
      </c>
      <c r="O685" s="1">
        <f>VLOOKUP(D685,underlying!$D$2:$H$75,5,FALSE)</f>
        <v>-0.22</v>
      </c>
      <c r="P685" s="2">
        <f>VLOOKUP(D685,underlying!$D$2:$L$39,9,FALSE)</f>
        <v>43096</v>
      </c>
      <c r="Q685" s="7">
        <f>IF(G685="C",NormalCallSprd(O685,H685,M685,(P685-A685)/365), NormalPutSprd(O685,H685,M685,(P685-A685)/365))</f>
        <v>0.17306348248597037</v>
      </c>
      <c r="R685" s="9">
        <f t="shared" si="21"/>
        <v>3.0634824859703536E-3</v>
      </c>
    </row>
    <row r="686" spans="1:18" x14ac:dyDescent="0.2">
      <c r="A686" s="2">
        <v>42622</v>
      </c>
      <c r="B686" s="1" t="s">
        <v>13</v>
      </c>
      <c r="C686" s="1" t="s">
        <v>14</v>
      </c>
      <c r="D686" s="2">
        <v>43102</v>
      </c>
      <c r="E686" s="2">
        <f t="shared" si="20"/>
        <v>43132</v>
      </c>
      <c r="F686" s="1" t="s">
        <v>15</v>
      </c>
      <c r="G686" s="1" t="s">
        <v>16</v>
      </c>
      <c r="H686" s="1">
        <v>-0.4</v>
      </c>
      <c r="I686" s="1">
        <v>0.36</v>
      </c>
      <c r="J686" s="1">
        <v>-0.02</v>
      </c>
      <c r="K686" s="1" t="s">
        <v>33</v>
      </c>
      <c r="L686" s="1">
        <v>2389</v>
      </c>
      <c r="M686" s="1">
        <v>0.59</v>
      </c>
      <c r="N686" s="1">
        <v>0.99804000000000004</v>
      </c>
      <c r="O686" s="1">
        <f>VLOOKUP(D686,underlying!$D$2:$H$75,5,FALSE)</f>
        <v>-0.22</v>
      </c>
      <c r="P686" s="2">
        <f>VLOOKUP(D686,underlying!$D$2:$L$39,9,FALSE)</f>
        <v>43096</v>
      </c>
      <c r="Q686" s="7">
        <f>IF(G686="C",NormalCallSprd(O686,H686,M686,(P686-A686)/365), NormalPutSprd(O686,H686,M686,(P686-A686)/365))</f>
        <v>0.36778379855644971</v>
      </c>
      <c r="R686" s="9">
        <f t="shared" si="21"/>
        <v>7.7837985564497281E-3</v>
      </c>
    </row>
    <row r="687" spans="1:18" x14ac:dyDescent="0.2">
      <c r="A687" s="2">
        <v>42622</v>
      </c>
      <c r="B687" s="1" t="s">
        <v>13</v>
      </c>
      <c r="C687" s="1" t="s">
        <v>14</v>
      </c>
      <c r="D687" s="2">
        <v>43102</v>
      </c>
      <c r="E687" s="2">
        <f t="shared" si="20"/>
        <v>43132</v>
      </c>
      <c r="F687" s="1" t="s">
        <v>15</v>
      </c>
      <c r="G687" s="1" t="s">
        <v>18</v>
      </c>
      <c r="H687" s="1">
        <v>-0.4</v>
      </c>
      <c r="I687" s="1">
        <v>0.19</v>
      </c>
      <c r="J687" s="1">
        <v>0.01</v>
      </c>
      <c r="K687" s="1" t="s">
        <v>33</v>
      </c>
      <c r="L687" s="1">
        <v>2389</v>
      </c>
      <c r="M687" s="1">
        <v>0.59</v>
      </c>
      <c r="N687" s="1">
        <v>0.99117</v>
      </c>
      <c r="O687" s="1">
        <f>VLOOKUP(D687,underlying!$D$2:$H$75,5,FALSE)</f>
        <v>-0.22</v>
      </c>
      <c r="P687" s="2">
        <f>VLOOKUP(D687,underlying!$D$2:$L$39,9,FALSE)</f>
        <v>43096</v>
      </c>
      <c r="Q687" s="7">
        <f>IF(G687="C",NormalCallSprd(O687,H687,M687,(P687-A687)/365), NormalPutSprd(O687,H687,M687,(P687-A687)/365))</f>
        <v>0.18778379855644967</v>
      </c>
      <c r="R687" s="9">
        <f t="shared" si="21"/>
        <v>2.2162014435503363E-3</v>
      </c>
    </row>
    <row r="688" spans="1:18" x14ac:dyDescent="0.2">
      <c r="A688" s="2">
        <v>42622</v>
      </c>
      <c r="B688" s="1" t="s">
        <v>13</v>
      </c>
      <c r="C688" s="1" t="s">
        <v>14</v>
      </c>
      <c r="D688" s="2">
        <v>43102</v>
      </c>
      <c r="E688" s="2">
        <f t="shared" si="20"/>
        <v>43132</v>
      </c>
      <c r="F688" s="1" t="s">
        <v>15</v>
      </c>
      <c r="G688" s="1" t="s">
        <v>16</v>
      </c>
      <c r="H688" s="1">
        <v>-0.35</v>
      </c>
      <c r="I688" s="1">
        <v>0.33</v>
      </c>
      <c r="J688" s="1">
        <v>-0.02</v>
      </c>
      <c r="K688" s="1" t="s">
        <v>33</v>
      </c>
      <c r="L688" s="1">
        <v>2389</v>
      </c>
      <c r="M688" s="1">
        <v>0.59</v>
      </c>
      <c r="N688" s="1">
        <v>0.99744999999999995</v>
      </c>
      <c r="O688" s="1">
        <f>VLOOKUP(D688,underlying!$D$2:$H$75,5,FALSE)</f>
        <v>-0.22</v>
      </c>
      <c r="P688" s="2">
        <f>VLOOKUP(D688,underlying!$D$2:$L$39,9,FALSE)</f>
        <v>43096</v>
      </c>
      <c r="Q688" s="7">
        <f>IF(G688="C",NormalCallSprd(O688,H688,M688,(P688-A688)/365), NormalPutSprd(O688,H688,M688,(P688-A688)/365))</f>
        <v>0.33822673113034191</v>
      </c>
      <c r="R688" s="9">
        <f t="shared" si="21"/>
        <v>8.2267311303418911E-3</v>
      </c>
    </row>
    <row r="689" spans="1:18" x14ac:dyDescent="0.2">
      <c r="A689" s="2">
        <v>42622</v>
      </c>
      <c r="B689" s="1" t="s">
        <v>13</v>
      </c>
      <c r="C689" s="1" t="s">
        <v>14</v>
      </c>
      <c r="D689" s="2">
        <v>43102</v>
      </c>
      <c r="E689" s="2">
        <f t="shared" si="20"/>
        <v>43132</v>
      </c>
      <c r="F689" s="1" t="s">
        <v>15</v>
      </c>
      <c r="G689" s="1" t="s">
        <v>18</v>
      </c>
      <c r="H689" s="1">
        <v>-0.35</v>
      </c>
      <c r="I689" s="1">
        <v>0.2</v>
      </c>
      <c r="J689" s="1">
        <v>0</v>
      </c>
      <c r="K689" s="1" t="s">
        <v>33</v>
      </c>
      <c r="L689" s="1">
        <v>2389</v>
      </c>
      <c r="M689" s="1">
        <v>0.59</v>
      </c>
      <c r="N689" s="1">
        <v>0.99778999999999995</v>
      </c>
      <c r="O689" s="1">
        <f>VLOOKUP(D689,underlying!$D$2:$H$75,5,FALSE)</f>
        <v>-0.22</v>
      </c>
      <c r="P689" s="2">
        <f>VLOOKUP(D689,underlying!$D$2:$L$39,9,FALSE)</f>
        <v>43096</v>
      </c>
      <c r="Q689" s="7">
        <f>IF(G689="C",NormalCallSprd(O689,H689,M689,(P689-A689)/365), NormalPutSprd(O689,H689,M689,(P689-A689)/365))</f>
        <v>0.20822673113034193</v>
      </c>
      <c r="R689" s="9">
        <f t="shared" si="21"/>
        <v>8.2267311303419188E-3</v>
      </c>
    </row>
    <row r="690" spans="1:18" x14ac:dyDescent="0.2">
      <c r="A690" s="2">
        <v>42622</v>
      </c>
      <c r="B690" s="1" t="s">
        <v>13</v>
      </c>
      <c r="C690" s="1" t="s">
        <v>14</v>
      </c>
      <c r="D690" s="2">
        <v>43102</v>
      </c>
      <c r="E690" s="2">
        <f t="shared" si="20"/>
        <v>43132</v>
      </c>
      <c r="F690" s="1" t="s">
        <v>15</v>
      </c>
      <c r="G690" s="1" t="s">
        <v>16</v>
      </c>
      <c r="H690" s="1">
        <v>-0.3</v>
      </c>
      <c r="I690" s="1">
        <v>0.3</v>
      </c>
      <c r="J690" s="1">
        <v>-0.02</v>
      </c>
      <c r="K690" s="1" t="s">
        <v>33</v>
      </c>
      <c r="L690" s="1">
        <v>2389</v>
      </c>
      <c r="M690" s="1">
        <v>0.57999999999999996</v>
      </c>
      <c r="N690" s="1">
        <v>-0.79961000000000004</v>
      </c>
      <c r="O690" s="1">
        <f>VLOOKUP(D690,underlying!$D$2:$H$75,5,FALSE)</f>
        <v>-0.22</v>
      </c>
      <c r="P690" s="2">
        <f>VLOOKUP(D690,underlying!$D$2:$L$39,9,FALSE)</f>
        <v>43096</v>
      </c>
      <c r="Q690" s="7">
        <f>IF(G690="C",NormalCallSprd(O690,H690,M690,(P690-A690)/365), NormalPutSprd(O690,H690,M690,(P690-A690)/365))</f>
        <v>0.30561131199238317</v>
      </c>
      <c r="R690" s="9">
        <f t="shared" si="21"/>
        <v>5.6113119923831833E-3</v>
      </c>
    </row>
    <row r="691" spans="1:18" x14ac:dyDescent="0.2">
      <c r="A691" s="2">
        <v>42622</v>
      </c>
      <c r="B691" s="1" t="s">
        <v>13</v>
      </c>
      <c r="C691" s="1" t="s">
        <v>14</v>
      </c>
      <c r="D691" s="2">
        <v>43102</v>
      </c>
      <c r="E691" s="2">
        <f t="shared" si="20"/>
        <v>43132</v>
      </c>
      <c r="F691" s="1" t="s">
        <v>15</v>
      </c>
      <c r="G691" s="1" t="s">
        <v>18</v>
      </c>
      <c r="H691" s="1">
        <v>-0.3</v>
      </c>
      <c r="I691" s="1">
        <v>0.22</v>
      </c>
      <c r="J691" s="1">
        <v>0</v>
      </c>
      <c r="K691" s="1" t="s">
        <v>33</v>
      </c>
      <c r="L691" s="1">
        <v>2389</v>
      </c>
      <c r="M691" s="1">
        <v>0.57999999999999996</v>
      </c>
      <c r="N691" s="1">
        <v>-0.76531000000000005</v>
      </c>
      <c r="O691" s="1">
        <f>VLOOKUP(D691,underlying!$D$2:$H$75,5,FALSE)</f>
        <v>-0.22</v>
      </c>
      <c r="P691" s="2">
        <f>VLOOKUP(D691,underlying!$D$2:$L$39,9,FALSE)</f>
        <v>43096</v>
      </c>
      <c r="Q691" s="7">
        <f>IF(G691="C",NormalCallSprd(O691,H691,M691,(P691-A691)/365), NormalPutSprd(O691,H691,M691,(P691-A691)/365))</f>
        <v>0.22561131199238321</v>
      </c>
      <c r="R691" s="9">
        <f t="shared" si="21"/>
        <v>5.6113119923832111E-3</v>
      </c>
    </row>
    <row r="692" spans="1:18" x14ac:dyDescent="0.2">
      <c r="A692" s="2">
        <v>42622</v>
      </c>
      <c r="B692" s="1" t="s">
        <v>13</v>
      </c>
      <c r="C692" s="1" t="s">
        <v>14</v>
      </c>
      <c r="D692" s="2">
        <v>43102</v>
      </c>
      <c r="E692" s="2">
        <f t="shared" si="20"/>
        <v>43132</v>
      </c>
      <c r="F692" s="1" t="s">
        <v>15</v>
      </c>
      <c r="G692" s="1" t="s">
        <v>16</v>
      </c>
      <c r="H692" s="1">
        <v>-0.25</v>
      </c>
      <c r="I692" s="1">
        <v>0.27</v>
      </c>
      <c r="J692" s="1">
        <v>-0.02</v>
      </c>
      <c r="K692" s="1" t="s">
        <v>33</v>
      </c>
      <c r="L692" s="1">
        <v>2389</v>
      </c>
      <c r="M692" s="1">
        <v>0.57999999999999996</v>
      </c>
      <c r="N692" s="1">
        <v>-0.72735000000000005</v>
      </c>
      <c r="O692" s="1">
        <f>VLOOKUP(D692,underlying!$D$2:$H$75,5,FALSE)</f>
        <v>-0.22</v>
      </c>
      <c r="P692" s="2">
        <f>VLOOKUP(D692,underlying!$D$2:$L$39,9,FALSE)</f>
        <v>43096</v>
      </c>
      <c r="Q692" s="7">
        <f>IF(G692="C",NormalCallSprd(O692,H692,M692,(P692-A692)/365), NormalPutSprd(O692,H692,M692,(P692-A692)/365))</f>
        <v>0.27895375776464248</v>
      </c>
      <c r="R692" s="9">
        <f t="shared" si="21"/>
        <v>8.9537577646424671E-3</v>
      </c>
    </row>
    <row r="693" spans="1:18" x14ac:dyDescent="0.2">
      <c r="A693" s="2">
        <v>42622</v>
      </c>
      <c r="B693" s="1" t="s">
        <v>13</v>
      </c>
      <c r="C693" s="1" t="s">
        <v>14</v>
      </c>
      <c r="D693" s="2">
        <v>43102</v>
      </c>
      <c r="E693" s="2">
        <f t="shared" si="20"/>
        <v>43132</v>
      </c>
      <c r="F693" s="1" t="s">
        <v>15</v>
      </c>
      <c r="G693" s="1" t="s">
        <v>18</v>
      </c>
      <c r="H693" s="1">
        <v>-0.25</v>
      </c>
      <c r="I693" s="1">
        <v>0.25</v>
      </c>
      <c r="J693" s="1">
        <v>0.01</v>
      </c>
      <c r="K693" s="1" t="s">
        <v>33</v>
      </c>
      <c r="L693" s="1">
        <v>2389</v>
      </c>
      <c r="M693" s="1">
        <v>0.57999999999999996</v>
      </c>
      <c r="N693" s="1">
        <v>-0.68476999999999999</v>
      </c>
      <c r="O693" s="1">
        <f>VLOOKUP(D693,underlying!$D$2:$H$75,5,FALSE)</f>
        <v>-0.22</v>
      </c>
      <c r="P693" s="2">
        <f>VLOOKUP(D693,underlying!$D$2:$L$39,9,FALSE)</f>
        <v>43096</v>
      </c>
      <c r="Q693" s="7">
        <f>IF(G693="C",NormalCallSprd(O693,H693,M693,(P693-A693)/365), NormalPutSprd(O693,H693,M693,(P693-A693)/365))</f>
        <v>0.24895375776464246</v>
      </c>
      <c r="R693" s="9">
        <f t="shared" si="21"/>
        <v>1.0462422353575418E-3</v>
      </c>
    </row>
    <row r="694" spans="1:18" x14ac:dyDescent="0.2">
      <c r="A694" s="2">
        <v>42622</v>
      </c>
      <c r="B694" s="1" t="s">
        <v>13</v>
      </c>
      <c r="C694" s="1" t="s">
        <v>14</v>
      </c>
      <c r="D694" s="2">
        <v>43102</v>
      </c>
      <c r="E694" s="2">
        <f t="shared" si="20"/>
        <v>43132</v>
      </c>
      <c r="F694" s="1" t="s">
        <v>15</v>
      </c>
      <c r="G694" s="1" t="s">
        <v>16</v>
      </c>
      <c r="H694" s="1">
        <v>-0.2</v>
      </c>
      <c r="I694" s="1">
        <v>0.25</v>
      </c>
      <c r="J694" s="1">
        <v>-0.01</v>
      </c>
      <c r="K694" s="1" t="s">
        <v>33</v>
      </c>
      <c r="L694" s="1">
        <v>2389</v>
      </c>
      <c r="M694" s="1">
        <v>0.56999999999999995</v>
      </c>
      <c r="N694" s="1">
        <v>-0.64087000000000005</v>
      </c>
      <c r="O694" s="1">
        <f>VLOOKUP(D694,underlying!$D$2:$H$75,5,FALSE)</f>
        <v>-0.22</v>
      </c>
      <c r="P694" s="2">
        <f>VLOOKUP(D694,underlying!$D$2:$L$39,9,FALSE)</f>
        <v>43096</v>
      </c>
      <c r="Q694" s="7">
        <f>IF(G694="C",NormalCallSprd(O694,H694,M694,(P694-A694)/365), NormalPutSprd(O694,H694,M694,(P694-A694)/365))</f>
        <v>0.24925877130258869</v>
      </c>
      <c r="R694" s="9">
        <f t="shared" si="21"/>
        <v>7.4122869741130581E-4</v>
      </c>
    </row>
    <row r="695" spans="1:18" x14ac:dyDescent="0.2">
      <c r="A695" s="2">
        <v>42622</v>
      </c>
      <c r="B695" s="1" t="s">
        <v>13</v>
      </c>
      <c r="C695" s="1" t="s">
        <v>14</v>
      </c>
      <c r="D695" s="2">
        <v>43102</v>
      </c>
      <c r="E695" s="2">
        <f t="shared" si="20"/>
        <v>43132</v>
      </c>
      <c r="F695" s="1" t="s">
        <v>15</v>
      </c>
      <c r="G695" s="1" t="s">
        <v>18</v>
      </c>
      <c r="H695" s="1">
        <v>-0.2</v>
      </c>
      <c r="I695" s="1">
        <v>0.27</v>
      </c>
      <c r="J695" s="1">
        <v>0.01</v>
      </c>
      <c r="K695" s="1" t="s">
        <v>33</v>
      </c>
      <c r="L695" s="1">
        <v>2389</v>
      </c>
      <c r="M695" s="1">
        <v>0.56999999999999995</v>
      </c>
      <c r="N695" s="1">
        <v>-0.59631999999999996</v>
      </c>
      <c r="O695" s="1">
        <f>VLOOKUP(D695,underlying!$D$2:$H$75,5,FALSE)</f>
        <v>-0.22</v>
      </c>
      <c r="P695" s="2">
        <f>VLOOKUP(D695,underlying!$D$2:$L$39,9,FALSE)</f>
        <v>43096</v>
      </c>
      <c r="Q695" s="7">
        <f>IF(G695="C",NormalCallSprd(O695,H695,M695,(P695-A695)/365), NormalPutSprd(O695,H695,M695,(P695-A695)/365))</f>
        <v>0.26925877130258868</v>
      </c>
      <c r="R695" s="9">
        <f t="shared" si="21"/>
        <v>7.4122869741133357E-4</v>
      </c>
    </row>
    <row r="696" spans="1:18" x14ac:dyDescent="0.2">
      <c r="A696" s="2">
        <v>42622</v>
      </c>
      <c r="B696" s="1" t="s">
        <v>13</v>
      </c>
      <c r="C696" s="1" t="s">
        <v>14</v>
      </c>
      <c r="D696" s="2">
        <v>43102</v>
      </c>
      <c r="E696" s="2">
        <f t="shared" si="20"/>
        <v>43132</v>
      </c>
      <c r="F696" s="1" t="s">
        <v>15</v>
      </c>
      <c r="G696" s="1" t="s">
        <v>16</v>
      </c>
      <c r="H696" s="1">
        <v>-0.15</v>
      </c>
      <c r="I696" s="1">
        <v>0.22</v>
      </c>
      <c r="J696" s="1">
        <v>-0.01</v>
      </c>
      <c r="K696" s="1" t="s">
        <v>33</v>
      </c>
      <c r="L696" s="1">
        <v>2389</v>
      </c>
      <c r="M696" s="1">
        <v>0.56999999999999995</v>
      </c>
      <c r="N696" s="1">
        <v>-0.55188000000000004</v>
      </c>
      <c r="O696" s="1">
        <f>VLOOKUP(D696,underlying!$D$2:$H$75,5,FALSE)</f>
        <v>-0.22</v>
      </c>
      <c r="P696" s="2">
        <f>VLOOKUP(D696,underlying!$D$2:$L$39,9,FALSE)</f>
        <v>43096</v>
      </c>
      <c r="Q696" s="7">
        <f>IF(G696="C",NormalCallSprd(O696,H696,M696,(P696-A696)/365), NormalPutSprd(O696,H696,M696,(P696-A696)/365))</f>
        <v>0.22563922126030472</v>
      </c>
      <c r="R696" s="9">
        <f t="shared" si="21"/>
        <v>5.639221260304722E-3</v>
      </c>
    </row>
    <row r="697" spans="1:18" x14ac:dyDescent="0.2">
      <c r="A697" s="2">
        <v>42622</v>
      </c>
      <c r="B697" s="1" t="s">
        <v>13</v>
      </c>
      <c r="C697" s="1" t="s">
        <v>14</v>
      </c>
      <c r="D697" s="2">
        <v>43102</v>
      </c>
      <c r="E697" s="2">
        <f t="shared" si="20"/>
        <v>43132</v>
      </c>
      <c r="F697" s="1" t="s">
        <v>15</v>
      </c>
      <c r="G697" s="1" t="s">
        <v>18</v>
      </c>
      <c r="H697" s="1">
        <v>-0.15</v>
      </c>
      <c r="I697" s="1">
        <v>0.28999999999999998</v>
      </c>
      <c r="J697" s="1">
        <v>0.01</v>
      </c>
      <c r="K697" s="1" t="s">
        <v>33</v>
      </c>
      <c r="L697" s="1">
        <v>2389</v>
      </c>
      <c r="M697" s="1">
        <v>0.56999999999999995</v>
      </c>
      <c r="N697" s="1">
        <v>-0.50783999999999996</v>
      </c>
      <c r="O697" s="1">
        <f>VLOOKUP(D697,underlying!$D$2:$H$75,5,FALSE)</f>
        <v>-0.22</v>
      </c>
      <c r="P697" s="2">
        <f>VLOOKUP(D697,underlying!$D$2:$L$39,9,FALSE)</f>
        <v>43096</v>
      </c>
      <c r="Q697" s="7">
        <f>IF(G697="C",NormalCallSprd(O697,H697,M697,(P697-A697)/365), NormalPutSprd(O697,H697,M697,(P697-A697)/365))</f>
        <v>0.29563922126030473</v>
      </c>
      <c r="R697" s="9">
        <f t="shared" si="21"/>
        <v>5.6392212603047498E-3</v>
      </c>
    </row>
    <row r="698" spans="1:18" x14ac:dyDescent="0.2">
      <c r="A698" s="2">
        <v>42622</v>
      </c>
      <c r="B698" s="1" t="s">
        <v>13</v>
      </c>
      <c r="C698" s="1" t="s">
        <v>14</v>
      </c>
      <c r="D698" s="2">
        <v>43102</v>
      </c>
      <c r="E698" s="2">
        <f t="shared" si="20"/>
        <v>43132</v>
      </c>
      <c r="F698" s="1" t="s">
        <v>15</v>
      </c>
      <c r="G698" s="1" t="s">
        <v>16</v>
      </c>
      <c r="H698" s="1">
        <v>-0.1</v>
      </c>
      <c r="I698" s="1">
        <v>0.2</v>
      </c>
      <c r="J698" s="1">
        <v>-0.01</v>
      </c>
      <c r="K698" s="1" t="s">
        <v>33</v>
      </c>
      <c r="L698" s="1">
        <v>2389</v>
      </c>
      <c r="M698" s="1">
        <v>0.56999999999999995</v>
      </c>
      <c r="N698" s="1">
        <v>-0.46431</v>
      </c>
      <c r="O698" s="1">
        <f>VLOOKUP(D698,underlying!$D$2:$H$75,5,FALSE)</f>
        <v>-0.22</v>
      </c>
      <c r="P698" s="2">
        <f>VLOOKUP(D698,underlying!$D$2:$L$39,9,FALSE)</f>
        <v>43096</v>
      </c>
      <c r="Q698" s="7">
        <f>IF(G698="C",NormalCallSprd(O698,H698,M698,(P698-A698)/365), NormalPutSprd(O698,H698,M698,(P698-A698)/365))</f>
        <v>0.20354547531057185</v>
      </c>
      <c r="R698" s="9">
        <f t="shared" si="21"/>
        <v>3.5454753105718384E-3</v>
      </c>
    </row>
    <row r="699" spans="1:18" x14ac:dyDescent="0.2">
      <c r="A699" s="2">
        <v>42622</v>
      </c>
      <c r="B699" s="1" t="s">
        <v>13</v>
      </c>
      <c r="C699" s="1" t="s">
        <v>14</v>
      </c>
      <c r="D699" s="2">
        <v>43102</v>
      </c>
      <c r="E699" s="2">
        <f t="shared" si="20"/>
        <v>43132</v>
      </c>
      <c r="F699" s="1" t="s">
        <v>15</v>
      </c>
      <c r="G699" s="1" t="s">
        <v>18</v>
      </c>
      <c r="H699" s="1">
        <v>-0.1</v>
      </c>
      <c r="I699" s="1">
        <v>0.32</v>
      </c>
      <c r="J699" s="1">
        <v>0.01</v>
      </c>
      <c r="K699" s="1" t="s">
        <v>33</v>
      </c>
      <c r="L699" s="1">
        <v>2389</v>
      </c>
      <c r="M699" s="1">
        <v>0.56999999999999995</v>
      </c>
      <c r="N699" s="1">
        <v>-0.42215000000000003</v>
      </c>
      <c r="O699" s="1">
        <f>VLOOKUP(D699,underlying!$D$2:$H$75,5,FALSE)</f>
        <v>-0.22</v>
      </c>
      <c r="P699" s="2">
        <f>VLOOKUP(D699,underlying!$D$2:$L$39,9,FALSE)</f>
        <v>43096</v>
      </c>
      <c r="Q699" s="7">
        <f>IF(G699="C",NormalCallSprd(O699,H699,M699,(P699-A699)/365), NormalPutSprd(O699,H699,M699,(P699-A699)/365))</f>
        <v>0.32354547531057187</v>
      </c>
      <c r="R699" s="9">
        <f t="shared" si="21"/>
        <v>3.5454753105718662E-3</v>
      </c>
    </row>
    <row r="700" spans="1:18" x14ac:dyDescent="0.2">
      <c r="A700" s="2">
        <v>42622</v>
      </c>
      <c r="B700" s="1" t="s">
        <v>13</v>
      </c>
      <c r="C700" s="1" t="s">
        <v>14</v>
      </c>
      <c r="D700" s="2">
        <v>43102</v>
      </c>
      <c r="E700" s="2">
        <f t="shared" si="20"/>
        <v>43132</v>
      </c>
      <c r="F700" s="1" t="s">
        <v>15</v>
      </c>
      <c r="G700" s="1" t="s">
        <v>16</v>
      </c>
      <c r="H700" s="1">
        <v>-0.05</v>
      </c>
      <c r="I700" s="1">
        <v>0.18</v>
      </c>
      <c r="J700" s="1">
        <v>-0.01</v>
      </c>
      <c r="K700" s="1" t="s">
        <v>33</v>
      </c>
      <c r="L700" s="1">
        <v>2389</v>
      </c>
      <c r="M700" s="1">
        <v>0.56999999999999995</v>
      </c>
      <c r="N700" s="1">
        <v>-0.38080000000000003</v>
      </c>
      <c r="O700" s="1">
        <f>VLOOKUP(D700,underlying!$D$2:$H$75,5,FALSE)</f>
        <v>-0.22</v>
      </c>
      <c r="P700" s="2">
        <f>VLOOKUP(D700,underlying!$D$2:$L$39,9,FALSE)</f>
        <v>43096</v>
      </c>
      <c r="Q700" s="7">
        <f>IF(G700="C",NormalCallSprd(O700,H700,M700,(P700-A700)/365), NormalPutSprd(O700,H700,M700,(P700-A700)/365))</f>
        <v>0.18296046915354122</v>
      </c>
      <c r="R700" s="9">
        <f t="shared" si="21"/>
        <v>2.9604691535412286E-3</v>
      </c>
    </row>
    <row r="701" spans="1:18" x14ac:dyDescent="0.2">
      <c r="A701" s="2">
        <v>42622</v>
      </c>
      <c r="B701" s="1" t="s">
        <v>13</v>
      </c>
      <c r="C701" s="1" t="s">
        <v>14</v>
      </c>
      <c r="D701" s="2">
        <v>43102</v>
      </c>
      <c r="E701" s="2">
        <f t="shared" si="20"/>
        <v>43132</v>
      </c>
      <c r="F701" s="1" t="s">
        <v>15</v>
      </c>
      <c r="G701" s="1" t="s">
        <v>18</v>
      </c>
      <c r="H701" s="1">
        <v>-0.05</v>
      </c>
      <c r="I701" s="1">
        <v>0.35</v>
      </c>
      <c r="J701" s="1">
        <v>0.01</v>
      </c>
      <c r="K701" s="1" t="s">
        <v>33</v>
      </c>
      <c r="L701" s="1">
        <v>2389</v>
      </c>
      <c r="M701" s="1">
        <v>0.56999999999999995</v>
      </c>
      <c r="N701" s="1">
        <v>-0.34256999999999999</v>
      </c>
      <c r="O701" s="1">
        <f>VLOOKUP(D701,underlying!$D$2:$H$75,5,FALSE)</f>
        <v>-0.22</v>
      </c>
      <c r="P701" s="2">
        <f>VLOOKUP(D701,underlying!$D$2:$L$39,9,FALSE)</f>
        <v>43096</v>
      </c>
      <c r="Q701" s="7">
        <f>IF(G701="C",NormalCallSprd(O701,H701,M701,(P701-A701)/365), NormalPutSprd(O701,H701,M701,(P701-A701)/365))</f>
        <v>0.35296046915354123</v>
      </c>
      <c r="R701" s="9">
        <f t="shared" si="21"/>
        <v>2.9604691535412564E-3</v>
      </c>
    </row>
    <row r="702" spans="1:18" x14ac:dyDescent="0.2">
      <c r="A702" s="2">
        <v>42622</v>
      </c>
      <c r="B702" s="1" t="s">
        <v>13</v>
      </c>
      <c r="C702" s="1" t="s">
        <v>14</v>
      </c>
      <c r="D702" s="2">
        <v>43103</v>
      </c>
      <c r="E702" s="2">
        <f t="shared" si="20"/>
        <v>43160</v>
      </c>
      <c r="F702" s="1" t="s">
        <v>15</v>
      </c>
      <c r="G702" s="1" t="s">
        <v>16</v>
      </c>
      <c r="H702" s="1">
        <v>-20</v>
      </c>
      <c r="I702" s="1">
        <v>19.62</v>
      </c>
      <c r="J702" s="1">
        <v>-0.02</v>
      </c>
      <c r="K702" s="1" t="s">
        <v>36</v>
      </c>
      <c r="L702" s="1">
        <v>2389</v>
      </c>
      <c r="M702" s="1">
        <v>0.96</v>
      </c>
      <c r="N702" s="1">
        <v>-0.30681999999999998</v>
      </c>
      <c r="O702" s="1">
        <f>VLOOKUP(D702,underlying!$D$2:$H$75,5,FALSE)</f>
        <v>-0.21</v>
      </c>
      <c r="P702" s="2">
        <f>VLOOKUP(D702,underlying!$D$2:$L$39,9,FALSE)</f>
        <v>43130</v>
      </c>
      <c r="Q702" s="7">
        <f>IF(G702="C",NormalCallSprd(O702,H702,M702,(P702-A702)/365), NormalPutSprd(O702,H702,M702,(P702-A702)/365))</f>
        <v>19.79</v>
      </c>
      <c r="R702" s="9">
        <f t="shared" si="21"/>
        <v>0.16999999999999815</v>
      </c>
    </row>
    <row r="703" spans="1:18" x14ac:dyDescent="0.2">
      <c r="A703" s="2">
        <v>42622</v>
      </c>
      <c r="B703" s="1" t="s">
        <v>13</v>
      </c>
      <c r="C703" s="1" t="s">
        <v>14</v>
      </c>
      <c r="D703" s="2">
        <v>43103</v>
      </c>
      <c r="E703" s="2">
        <f t="shared" si="20"/>
        <v>43160</v>
      </c>
      <c r="F703" s="1" t="s">
        <v>15</v>
      </c>
      <c r="G703" s="1" t="s">
        <v>18</v>
      </c>
      <c r="H703" s="1">
        <v>-20</v>
      </c>
      <c r="I703" s="1">
        <v>0.01</v>
      </c>
      <c r="J703" s="1">
        <v>0</v>
      </c>
      <c r="K703" s="1" t="s">
        <v>36</v>
      </c>
      <c r="L703" s="1">
        <v>2389</v>
      </c>
      <c r="M703" s="1">
        <v>0.96</v>
      </c>
      <c r="N703" s="1">
        <v>-0.27315</v>
      </c>
      <c r="O703" s="1">
        <f>VLOOKUP(D703,underlying!$D$2:$H$75,5,FALSE)</f>
        <v>-0.21</v>
      </c>
      <c r="P703" s="2">
        <f>VLOOKUP(D703,underlying!$D$2:$L$39,9,FALSE)</f>
        <v>43130</v>
      </c>
      <c r="Q703" s="7">
        <f>IF(G703="C",NormalCallSprd(O703,H703,M703,(P703-A703)/365), NormalPutSprd(O703,H703,M703,(P703-A703)/365))</f>
        <v>7.2955701415910858E-70</v>
      </c>
      <c r="R703" s="9">
        <f t="shared" si="21"/>
        <v>0.01</v>
      </c>
    </row>
    <row r="704" spans="1:18" x14ac:dyDescent="0.2">
      <c r="A704" s="2">
        <v>42622</v>
      </c>
      <c r="B704" s="1" t="s">
        <v>13</v>
      </c>
      <c r="C704" s="1" t="s">
        <v>14</v>
      </c>
      <c r="D704" s="2">
        <v>43103</v>
      </c>
      <c r="E704" s="2">
        <f t="shared" si="20"/>
        <v>43160</v>
      </c>
      <c r="F704" s="1" t="s">
        <v>15</v>
      </c>
      <c r="G704" s="1" t="s">
        <v>16</v>
      </c>
      <c r="H704" s="1">
        <v>-3</v>
      </c>
      <c r="I704" s="1">
        <v>2.77</v>
      </c>
      <c r="J704" s="1">
        <v>-0.01</v>
      </c>
      <c r="K704" s="1" t="s">
        <v>36</v>
      </c>
      <c r="L704" s="1">
        <v>2389</v>
      </c>
      <c r="M704" s="1">
        <v>0.95</v>
      </c>
      <c r="N704" s="1">
        <v>-0.24037</v>
      </c>
      <c r="O704" s="1">
        <f>VLOOKUP(D704,underlying!$D$2:$H$75,5,FALSE)</f>
        <v>-0.21</v>
      </c>
      <c r="P704" s="2">
        <f>VLOOKUP(D704,underlying!$D$2:$L$39,9,FALSE)</f>
        <v>43130</v>
      </c>
      <c r="Q704" s="7">
        <f>IF(G704="C",NormalCallSprd(O704,H704,M704,(P704-A704)/365), NormalPutSprd(O704,H704,M704,(P704-A704)/365))</f>
        <v>2.7923210021201408</v>
      </c>
      <c r="R704" s="9">
        <f t="shared" si="21"/>
        <v>2.2321002120140765E-2</v>
      </c>
    </row>
    <row r="705" spans="1:18" x14ac:dyDescent="0.2">
      <c r="A705" s="2">
        <v>42622</v>
      </c>
      <c r="B705" s="1" t="s">
        <v>13</v>
      </c>
      <c r="C705" s="1" t="s">
        <v>14</v>
      </c>
      <c r="D705" s="2">
        <v>43103</v>
      </c>
      <c r="E705" s="2">
        <f t="shared" si="20"/>
        <v>43160</v>
      </c>
      <c r="F705" s="1" t="s">
        <v>15</v>
      </c>
      <c r="G705" s="1" t="s">
        <v>18</v>
      </c>
      <c r="H705" s="1">
        <v>-3</v>
      </c>
      <c r="I705" s="1">
        <v>0.01</v>
      </c>
      <c r="J705" s="1">
        <v>0</v>
      </c>
      <c r="K705" s="1" t="s">
        <v>36</v>
      </c>
      <c r="L705" s="1">
        <v>2389</v>
      </c>
      <c r="M705" s="1">
        <v>0.95</v>
      </c>
      <c r="N705" s="1">
        <v>-0.21238000000000001</v>
      </c>
      <c r="O705" s="1">
        <f>VLOOKUP(D705,underlying!$D$2:$H$75,5,FALSE)</f>
        <v>-0.21</v>
      </c>
      <c r="P705" s="2">
        <f>VLOOKUP(D705,underlying!$D$2:$L$39,9,FALSE)</f>
        <v>43130</v>
      </c>
      <c r="Q705" s="7">
        <f>IF(G705="C",NormalCallSprd(O705,H705,M705,(P705-A705)/365), NormalPutSprd(O705,H705,M705,(P705-A705)/365))</f>
        <v>2.3210021201408629E-3</v>
      </c>
      <c r="R705" s="9">
        <f t="shared" si="21"/>
        <v>7.6789978798591368E-3</v>
      </c>
    </row>
    <row r="706" spans="1:18" x14ac:dyDescent="0.2">
      <c r="A706" s="2">
        <v>42622</v>
      </c>
      <c r="B706" s="1" t="s">
        <v>13</v>
      </c>
      <c r="C706" s="1" t="s">
        <v>14</v>
      </c>
      <c r="D706" s="2">
        <v>43103</v>
      </c>
      <c r="E706" s="2">
        <f t="shared" ref="E706:E769" si="22">DATE(YEAR(D706),DAY(D706),MONTH(D706))</f>
        <v>43160</v>
      </c>
      <c r="F706" s="1" t="s">
        <v>15</v>
      </c>
      <c r="G706" s="1" t="s">
        <v>16</v>
      </c>
      <c r="H706" s="1">
        <v>-2</v>
      </c>
      <c r="I706" s="1">
        <v>1.79</v>
      </c>
      <c r="J706" s="1">
        <v>-0.01</v>
      </c>
      <c r="K706" s="1" t="s">
        <v>36</v>
      </c>
      <c r="L706" s="1">
        <v>2389</v>
      </c>
      <c r="M706" s="1">
        <v>0.81</v>
      </c>
      <c r="N706" s="1">
        <v>-0.18701999999999999</v>
      </c>
      <c r="O706" s="1">
        <f>VLOOKUP(D706,underlying!$D$2:$H$75,5,FALSE)</f>
        <v>-0.21</v>
      </c>
      <c r="P706" s="2">
        <f>VLOOKUP(D706,underlying!$D$2:$L$39,9,FALSE)</f>
        <v>43130</v>
      </c>
      <c r="Q706" s="7">
        <f>IF(G706="C",NormalCallSprd(O706,H706,M706,(P706-A706)/365), NormalPutSprd(O706,H706,M706,(P706-A706)/365))</f>
        <v>1.8013219225720674</v>
      </c>
      <c r="R706" s="9">
        <f t="shared" si="21"/>
        <v>1.1321922572067322E-2</v>
      </c>
    </row>
    <row r="707" spans="1:18" x14ac:dyDescent="0.2">
      <c r="A707" s="2">
        <v>42622</v>
      </c>
      <c r="B707" s="1" t="s">
        <v>13</v>
      </c>
      <c r="C707" s="1" t="s">
        <v>14</v>
      </c>
      <c r="D707" s="2">
        <v>43103</v>
      </c>
      <c r="E707" s="2">
        <f t="shared" si="22"/>
        <v>43160</v>
      </c>
      <c r="F707" s="1" t="s">
        <v>15</v>
      </c>
      <c r="G707" s="1" t="s">
        <v>18</v>
      </c>
      <c r="H707" s="1">
        <v>-2</v>
      </c>
      <c r="I707" s="1">
        <v>0.01</v>
      </c>
      <c r="J707" s="1">
        <v>0</v>
      </c>
      <c r="K707" s="1" t="s">
        <v>36</v>
      </c>
      <c r="L707" s="1">
        <v>2389</v>
      </c>
      <c r="M707" s="1">
        <v>0.81</v>
      </c>
      <c r="N707" s="1">
        <v>-0.16419</v>
      </c>
      <c r="O707" s="1">
        <f>VLOOKUP(D707,underlying!$D$2:$H$75,5,FALSE)</f>
        <v>-0.21</v>
      </c>
      <c r="P707" s="2">
        <f>VLOOKUP(D707,underlying!$D$2:$L$39,9,FALSE)</f>
        <v>43130</v>
      </c>
      <c r="Q707" s="7">
        <f>IF(G707="C",NormalCallSprd(O707,H707,M707,(P707-A707)/365), NormalPutSprd(O707,H707,M707,(P707-A707)/365))</f>
        <v>1.1321922572067393E-2</v>
      </c>
      <c r="R707" s="9">
        <f t="shared" ref="R707:R770" si="23">ABS(Q707-I707)</f>
        <v>1.3219225720673931E-3</v>
      </c>
    </row>
    <row r="708" spans="1:18" x14ac:dyDescent="0.2">
      <c r="A708" s="2">
        <v>42622</v>
      </c>
      <c r="B708" s="1" t="s">
        <v>13</v>
      </c>
      <c r="C708" s="1" t="s">
        <v>14</v>
      </c>
      <c r="D708" s="2">
        <v>43103</v>
      </c>
      <c r="E708" s="2">
        <f t="shared" si="22"/>
        <v>43160</v>
      </c>
      <c r="F708" s="1" t="s">
        <v>15</v>
      </c>
      <c r="G708" s="1" t="s">
        <v>16</v>
      </c>
      <c r="H708" s="1">
        <v>-1</v>
      </c>
      <c r="I708" s="1">
        <v>0.84</v>
      </c>
      <c r="J708" s="1">
        <v>-0.01</v>
      </c>
      <c r="K708" s="1" t="s">
        <v>36</v>
      </c>
      <c r="L708" s="1">
        <v>2389</v>
      </c>
      <c r="M708" s="1">
        <v>0.65</v>
      </c>
      <c r="N708" s="1">
        <v>-0.14373</v>
      </c>
      <c r="O708" s="1">
        <f>VLOOKUP(D708,underlying!$D$2:$H$75,5,FALSE)</f>
        <v>-0.21</v>
      </c>
      <c r="P708" s="2">
        <f>VLOOKUP(D708,underlying!$D$2:$L$39,9,FALSE)</f>
        <v>43130</v>
      </c>
      <c r="Q708" s="7">
        <f>IF(G708="C",NormalCallSprd(O708,H708,M708,(P708-A708)/365), NormalPutSprd(O708,H708,M708,(P708-A708)/365))</f>
        <v>0.8502964772302638</v>
      </c>
      <c r="R708" s="9">
        <f t="shared" si="23"/>
        <v>1.0296477230263834E-2</v>
      </c>
    </row>
    <row r="709" spans="1:18" x14ac:dyDescent="0.2">
      <c r="A709" s="2">
        <v>42622</v>
      </c>
      <c r="B709" s="1" t="s">
        <v>13</v>
      </c>
      <c r="C709" s="1" t="s">
        <v>14</v>
      </c>
      <c r="D709" s="2">
        <v>43103</v>
      </c>
      <c r="E709" s="2">
        <f t="shared" si="22"/>
        <v>43160</v>
      </c>
      <c r="F709" s="1" t="s">
        <v>15</v>
      </c>
      <c r="G709" s="1" t="s">
        <v>18</v>
      </c>
      <c r="H709" s="1">
        <v>-1</v>
      </c>
      <c r="I709" s="1">
        <v>0.06</v>
      </c>
      <c r="J709" s="1">
        <v>0</v>
      </c>
      <c r="K709" s="1" t="s">
        <v>36</v>
      </c>
      <c r="L709" s="1">
        <v>2389</v>
      </c>
      <c r="M709" s="1">
        <v>0.65</v>
      </c>
      <c r="N709" s="1">
        <v>-0.1255</v>
      </c>
      <c r="O709" s="1">
        <f>VLOOKUP(D709,underlying!$D$2:$H$75,5,FALSE)</f>
        <v>-0.21</v>
      </c>
      <c r="P709" s="2">
        <f>VLOOKUP(D709,underlying!$D$2:$L$39,9,FALSE)</f>
        <v>43130</v>
      </c>
      <c r="Q709" s="7">
        <f>IF(G709="C",NormalCallSprd(O709,H709,M709,(P709-A709)/365), NormalPutSprd(O709,H709,M709,(P709-A709)/365))</f>
        <v>6.0296477230263872E-2</v>
      </c>
      <c r="R709" s="9">
        <f t="shared" si="23"/>
        <v>2.9647723026387379E-4</v>
      </c>
    </row>
    <row r="710" spans="1:18" x14ac:dyDescent="0.2">
      <c r="A710" s="2">
        <v>42622</v>
      </c>
      <c r="B710" s="1" t="s">
        <v>13</v>
      </c>
      <c r="C710" s="1" t="s">
        <v>14</v>
      </c>
      <c r="D710" s="2">
        <v>43103</v>
      </c>
      <c r="E710" s="2">
        <f t="shared" si="22"/>
        <v>43160</v>
      </c>
      <c r="F710" s="1" t="s">
        <v>15</v>
      </c>
      <c r="G710" s="1" t="s">
        <v>16</v>
      </c>
      <c r="H710" s="1">
        <v>-0.75</v>
      </c>
      <c r="I710" s="1">
        <v>0.63</v>
      </c>
      <c r="J710" s="1">
        <v>-0.01</v>
      </c>
      <c r="K710" s="1" t="s">
        <v>36</v>
      </c>
      <c r="L710" s="1">
        <v>2389</v>
      </c>
      <c r="M710" s="1">
        <v>0.61</v>
      </c>
      <c r="N710" s="1">
        <v>-2.0000000000000002E-5</v>
      </c>
      <c r="O710" s="1">
        <f>VLOOKUP(D710,underlying!$D$2:$H$75,5,FALSE)</f>
        <v>-0.21</v>
      </c>
      <c r="P710" s="2">
        <f>VLOOKUP(D710,underlying!$D$2:$L$39,9,FALSE)</f>
        <v>43130</v>
      </c>
      <c r="Q710" s="7">
        <f>IF(G710="C",NormalCallSprd(O710,H710,M710,(P710-A710)/365), NormalPutSprd(O710,H710,M710,(P710-A710)/365))</f>
        <v>0.63433176870440644</v>
      </c>
      <c r="R710" s="9">
        <f t="shared" si="23"/>
        <v>4.3317687044064357E-3</v>
      </c>
    </row>
    <row r="711" spans="1:18" x14ac:dyDescent="0.2">
      <c r="A711" s="2">
        <v>42622</v>
      </c>
      <c r="B711" s="1" t="s">
        <v>13</v>
      </c>
      <c r="C711" s="1" t="s">
        <v>14</v>
      </c>
      <c r="D711" s="2">
        <v>43103</v>
      </c>
      <c r="E711" s="2">
        <f t="shared" si="22"/>
        <v>43160</v>
      </c>
      <c r="F711" s="1" t="s">
        <v>15</v>
      </c>
      <c r="G711" s="1" t="s">
        <v>18</v>
      </c>
      <c r="H711" s="1">
        <v>-0.75</v>
      </c>
      <c r="I711" s="1">
        <v>0.09</v>
      </c>
      <c r="J711" s="1">
        <v>0</v>
      </c>
      <c r="K711" s="1" t="s">
        <v>36</v>
      </c>
      <c r="L711" s="1">
        <v>2389</v>
      </c>
      <c r="M711" s="1">
        <v>0.61</v>
      </c>
      <c r="N711" s="1">
        <v>-6.8900000000000003E-3</v>
      </c>
      <c r="O711" s="1">
        <f>VLOOKUP(D711,underlying!$D$2:$H$75,5,FALSE)</f>
        <v>-0.21</v>
      </c>
      <c r="P711" s="2">
        <f>VLOOKUP(D711,underlying!$D$2:$L$39,9,FALSE)</f>
        <v>43130</v>
      </c>
      <c r="Q711" s="7">
        <f>IF(G711="C",NormalCallSprd(O711,H711,M711,(P711-A711)/365), NormalPutSprd(O711,H711,M711,(P711-A711)/365))</f>
        <v>9.4331768704406391E-2</v>
      </c>
      <c r="R711" s="9">
        <f t="shared" si="23"/>
        <v>4.3317687044063941E-3</v>
      </c>
    </row>
    <row r="712" spans="1:18" x14ac:dyDescent="0.2">
      <c r="A712" s="2">
        <v>42622</v>
      </c>
      <c r="B712" s="1" t="s">
        <v>13</v>
      </c>
      <c r="C712" s="1" t="s">
        <v>14</v>
      </c>
      <c r="D712" s="2">
        <v>43103</v>
      </c>
      <c r="E712" s="2">
        <f t="shared" si="22"/>
        <v>43160</v>
      </c>
      <c r="F712" s="1" t="s">
        <v>15</v>
      </c>
      <c r="G712" s="1" t="s">
        <v>16</v>
      </c>
      <c r="H712" s="1">
        <v>-0.7</v>
      </c>
      <c r="I712" s="1">
        <v>0.59</v>
      </c>
      <c r="J712" s="1">
        <v>-0.01</v>
      </c>
      <c r="K712" s="1" t="s">
        <v>36</v>
      </c>
      <c r="L712" s="1">
        <v>2389</v>
      </c>
      <c r="M712" s="1">
        <v>0.6</v>
      </c>
      <c r="N712" s="1">
        <v>-6.0999999999999997E-4</v>
      </c>
      <c r="O712" s="1">
        <f>VLOOKUP(D712,underlying!$D$2:$H$75,5,FALSE)</f>
        <v>-0.21</v>
      </c>
      <c r="P712" s="2">
        <f>VLOOKUP(D712,underlying!$D$2:$L$39,9,FALSE)</f>
        <v>43130</v>
      </c>
      <c r="Q712" s="7">
        <f>IF(G712="C",NormalCallSprd(O712,H712,M712,(P712-A712)/365), NormalPutSprd(O712,H712,M712,(P712-A712)/365))</f>
        <v>0.59247109476847937</v>
      </c>
      <c r="R712" s="9">
        <f t="shared" si="23"/>
        <v>2.4710947684793982E-3</v>
      </c>
    </row>
    <row r="713" spans="1:18" x14ac:dyDescent="0.2">
      <c r="A713" s="2">
        <v>42622</v>
      </c>
      <c r="B713" s="1" t="s">
        <v>13</v>
      </c>
      <c r="C713" s="1" t="s">
        <v>14</v>
      </c>
      <c r="D713" s="2">
        <v>43103</v>
      </c>
      <c r="E713" s="2">
        <f t="shared" si="22"/>
        <v>43160</v>
      </c>
      <c r="F713" s="1" t="s">
        <v>15</v>
      </c>
      <c r="G713" s="1" t="s">
        <v>18</v>
      </c>
      <c r="H713" s="1">
        <v>-0.7</v>
      </c>
      <c r="I713" s="1">
        <v>0.1</v>
      </c>
      <c r="J713" s="1">
        <v>0</v>
      </c>
      <c r="K713" s="1" t="s">
        <v>36</v>
      </c>
      <c r="L713" s="1">
        <v>2389</v>
      </c>
      <c r="M713" s="1">
        <v>0.6</v>
      </c>
      <c r="N713" s="1">
        <v>-2.5999999999999998E-4</v>
      </c>
      <c r="O713" s="1">
        <f>VLOOKUP(D713,underlying!$D$2:$H$75,5,FALSE)</f>
        <v>-0.21</v>
      </c>
      <c r="P713" s="2">
        <f>VLOOKUP(D713,underlying!$D$2:$L$39,9,FALSE)</f>
        <v>43130</v>
      </c>
      <c r="Q713" s="7">
        <f>IF(G713="C",NormalCallSprd(O713,H713,M713,(P713-A713)/365), NormalPutSprd(O713,H713,M713,(P713-A713)/365))</f>
        <v>0.10247109476847942</v>
      </c>
      <c r="R713" s="9">
        <f t="shared" si="23"/>
        <v>2.4710947684794121E-3</v>
      </c>
    </row>
    <row r="714" spans="1:18" x14ac:dyDescent="0.2">
      <c r="A714" s="2">
        <v>42622</v>
      </c>
      <c r="B714" s="1" t="s">
        <v>13</v>
      </c>
      <c r="C714" s="1" t="s">
        <v>14</v>
      </c>
      <c r="D714" s="2">
        <v>43103</v>
      </c>
      <c r="E714" s="2">
        <f t="shared" si="22"/>
        <v>43160</v>
      </c>
      <c r="F714" s="1" t="s">
        <v>15</v>
      </c>
      <c r="G714" s="1" t="s">
        <v>16</v>
      </c>
      <c r="H714" s="1">
        <v>-0.65</v>
      </c>
      <c r="I714" s="1">
        <v>0.55000000000000004</v>
      </c>
      <c r="J714" s="1">
        <v>-0.01</v>
      </c>
      <c r="K714" s="1" t="s">
        <v>36</v>
      </c>
      <c r="L714" s="1">
        <v>2389</v>
      </c>
      <c r="M714" s="1">
        <v>0.59</v>
      </c>
      <c r="N714" s="1">
        <v>0.39916000000000001</v>
      </c>
      <c r="O714" s="1">
        <f>VLOOKUP(D714,underlying!$D$2:$H$75,5,FALSE)</f>
        <v>-0.21</v>
      </c>
      <c r="P714" s="2">
        <f>VLOOKUP(D714,underlying!$D$2:$L$39,9,FALSE)</f>
        <v>43130</v>
      </c>
      <c r="Q714" s="7">
        <f>IF(G714="C",NormalCallSprd(O714,H714,M714,(P714-A714)/365), NormalPutSprd(O714,H714,M714,(P714-A714)/365))</f>
        <v>0.55138704859282939</v>
      </c>
      <c r="R714" s="9">
        <f t="shared" si="23"/>
        <v>1.387048592829343E-3</v>
      </c>
    </row>
    <row r="715" spans="1:18" x14ac:dyDescent="0.2">
      <c r="A715" s="2">
        <v>42622</v>
      </c>
      <c r="B715" s="1" t="s">
        <v>13</v>
      </c>
      <c r="C715" s="1" t="s">
        <v>14</v>
      </c>
      <c r="D715" s="2">
        <v>43103</v>
      </c>
      <c r="E715" s="2">
        <f t="shared" si="22"/>
        <v>43160</v>
      </c>
      <c r="F715" s="1" t="s">
        <v>15</v>
      </c>
      <c r="G715" s="1" t="s">
        <v>18</v>
      </c>
      <c r="H715" s="1">
        <v>-0.65</v>
      </c>
      <c r="I715" s="1">
        <v>0.11</v>
      </c>
      <c r="J715" s="1">
        <v>0</v>
      </c>
      <c r="K715" s="1" t="s">
        <v>36</v>
      </c>
      <c r="L715" s="1">
        <v>2389</v>
      </c>
      <c r="M715" s="1">
        <v>0.59</v>
      </c>
      <c r="N715" s="1">
        <v>0.42897000000000002</v>
      </c>
      <c r="O715" s="1">
        <f>VLOOKUP(D715,underlying!$D$2:$H$75,5,FALSE)</f>
        <v>-0.21</v>
      </c>
      <c r="P715" s="2">
        <f>VLOOKUP(D715,underlying!$D$2:$L$39,9,FALSE)</f>
        <v>43130</v>
      </c>
      <c r="Q715" s="7">
        <f>IF(G715="C",NormalCallSprd(O715,H715,M715,(P715-A715)/365), NormalPutSprd(O715,H715,M715,(P715-A715)/365))</f>
        <v>0.11138704859282936</v>
      </c>
      <c r="R715" s="9">
        <f t="shared" si="23"/>
        <v>1.3870485928293569E-3</v>
      </c>
    </row>
    <row r="716" spans="1:18" x14ac:dyDescent="0.2">
      <c r="A716" s="2">
        <v>42622</v>
      </c>
      <c r="B716" s="1" t="s">
        <v>13</v>
      </c>
      <c r="C716" s="1" t="s">
        <v>14</v>
      </c>
      <c r="D716" s="2">
        <v>43103</v>
      </c>
      <c r="E716" s="2">
        <f t="shared" si="22"/>
        <v>43160</v>
      </c>
      <c r="F716" s="1" t="s">
        <v>15</v>
      </c>
      <c r="G716" s="1" t="s">
        <v>16</v>
      </c>
      <c r="H716" s="1">
        <v>-0.6</v>
      </c>
      <c r="I716" s="1">
        <v>0.51</v>
      </c>
      <c r="J716" s="1">
        <v>-0.01</v>
      </c>
      <c r="K716" s="1" t="s">
        <v>36</v>
      </c>
      <c r="L716" s="1">
        <v>2389</v>
      </c>
      <c r="M716" s="1">
        <v>0.59</v>
      </c>
      <c r="N716" s="1">
        <v>0.45971000000000001</v>
      </c>
      <c r="O716" s="1">
        <f>VLOOKUP(D716,underlying!$D$2:$H$75,5,FALSE)</f>
        <v>-0.21</v>
      </c>
      <c r="P716" s="2">
        <f>VLOOKUP(D716,underlying!$D$2:$L$39,9,FALSE)</f>
        <v>43130</v>
      </c>
      <c r="Q716" s="7">
        <f>IF(G716="C",NormalCallSprd(O716,H716,M716,(P716-A716)/365), NormalPutSprd(O716,H716,M716,(P716-A716)/365))</f>
        <v>0.51516480109552643</v>
      </c>
      <c r="R716" s="9">
        <f t="shared" si="23"/>
        <v>5.1648010955264168E-3</v>
      </c>
    </row>
    <row r="717" spans="1:18" x14ac:dyDescent="0.2">
      <c r="A717" s="2">
        <v>42622</v>
      </c>
      <c r="B717" s="1" t="s">
        <v>13</v>
      </c>
      <c r="C717" s="1" t="s">
        <v>14</v>
      </c>
      <c r="D717" s="2">
        <v>43103</v>
      </c>
      <c r="E717" s="2">
        <f t="shared" si="22"/>
        <v>43160</v>
      </c>
      <c r="F717" s="1" t="s">
        <v>15</v>
      </c>
      <c r="G717" s="1" t="s">
        <v>18</v>
      </c>
      <c r="H717" s="1">
        <v>-0.6</v>
      </c>
      <c r="I717" s="1">
        <v>0.12</v>
      </c>
      <c r="J717" s="1">
        <v>0</v>
      </c>
      <c r="K717" s="1" t="s">
        <v>36</v>
      </c>
      <c r="L717" s="1">
        <v>2389</v>
      </c>
      <c r="M717" s="1">
        <v>0.59</v>
      </c>
      <c r="N717" s="1">
        <v>0.48971999999999999</v>
      </c>
      <c r="O717" s="1">
        <f>VLOOKUP(D717,underlying!$D$2:$H$75,5,FALSE)</f>
        <v>-0.21</v>
      </c>
      <c r="P717" s="2">
        <f>VLOOKUP(D717,underlying!$D$2:$L$39,9,FALSE)</f>
        <v>43130</v>
      </c>
      <c r="Q717" s="7">
        <f>IF(G717="C",NormalCallSprd(O717,H717,M717,(P717-A717)/365), NormalPutSprd(O717,H717,M717,(P717-A717)/365))</f>
        <v>0.12516480109552647</v>
      </c>
      <c r="R717" s="9">
        <f t="shared" si="23"/>
        <v>5.1648010955264723E-3</v>
      </c>
    </row>
    <row r="718" spans="1:18" x14ac:dyDescent="0.2">
      <c r="A718" s="2">
        <v>42622</v>
      </c>
      <c r="B718" s="1" t="s">
        <v>13</v>
      </c>
      <c r="C718" s="1" t="s">
        <v>14</v>
      </c>
      <c r="D718" s="2">
        <v>43103</v>
      </c>
      <c r="E718" s="2">
        <f t="shared" si="22"/>
        <v>43160</v>
      </c>
      <c r="F718" s="1" t="s">
        <v>15</v>
      </c>
      <c r="G718" s="1" t="s">
        <v>16</v>
      </c>
      <c r="H718" s="1">
        <v>-0.55000000000000004</v>
      </c>
      <c r="I718" s="1">
        <v>0.47</v>
      </c>
      <c r="J718" s="1">
        <v>-0.01</v>
      </c>
      <c r="K718" s="1" t="s">
        <v>36</v>
      </c>
      <c r="L718" s="1">
        <v>2389</v>
      </c>
      <c r="M718" s="1">
        <v>0.57999999999999996</v>
      </c>
      <c r="N718" s="1">
        <v>0.51963999999999999</v>
      </c>
      <c r="O718" s="1">
        <f>VLOOKUP(D718,underlying!$D$2:$H$75,5,FALSE)</f>
        <v>-0.21</v>
      </c>
      <c r="P718" s="2">
        <f>VLOOKUP(D718,underlying!$D$2:$L$39,9,FALSE)</f>
        <v>43130</v>
      </c>
      <c r="Q718" s="7">
        <f>IF(G718="C",NormalCallSprd(O718,H718,M718,(P718-A718)/365), NormalPutSprd(O718,H718,M718,(P718-A718)/365))</f>
        <v>0.47599832753511928</v>
      </c>
      <c r="R718" s="9">
        <f t="shared" si="23"/>
        <v>5.9983275351193077E-3</v>
      </c>
    </row>
    <row r="719" spans="1:18" x14ac:dyDescent="0.2">
      <c r="A719" s="2">
        <v>42622</v>
      </c>
      <c r="B719" s="1" t="s">
        <v>13</v>
      </c>
      <c r="C719" s="1" t="s">
        <v>14</v>
      </c>
      <c r="D719" s="2">
        <v>43103</v>
      </c>
      <c r="E719" s="2">
        <f t="shared" si="22"/>
        <v>43160</v>
      </c>
      <c r="F719" s="1" t="s">
        <v>15</v>
      </c>
      <c r="G719" s="1" t="s">
        <v>18</v>
      </c>
      <c r="H719" s="1">
        <v>-0.55000000000000004</v>
      </c>
      <c r="I719" s="1">
        <v>0.13</v>
      </c>
      <c r="J719" s="1">
        <v>0</v>
      </c>
      <c r="K719" s="1" t="s">
        <v>36</v>
      </c>
      <c r="L719" s="1">
        <v>2389</v>
      </c>
      <c r="M719" s="1">
        <v>0.57999999999999996</v>
      </c>
      <c r="N719" s="1">
        <v>0.54942000000000002</v>
      </c>
      <c r="O719" s="1">
        <f>VLOOKUP(D719,underlying!$D$2:$H$75,5,FALSE)</f>
        <v>-0.21</v>
      </c>
      <c r="P719" s="2">
        <f>VLOOKUP(D719,underlying!$D$2:$L$39,9,FALSE)</f>
        <v>43130</v>
      </c>
      <c r="Q719" s="7">
        <f>IF(G719="C",NormalCallSprd(O719,H719,M719,(P719-A719)/365), NormalPutSprd(O719,H719,M719,(P719-A719)/365))</f>
        <v>0.13599832753511923</v>
      </c>
      <c r="R719" s="9">
        <f t="shared" si="23"/>
        <v>5.9983275351192245E-3</v>
      </c>
    </row>
    <row r="720" spans="1:18" x14ac:dyDescent="0.2">
      <c r="A720" s="2">
        <v>42622</v>
      </c>
      <c r="B720" s="1" t="s">
        <v>13</v>
      </c>
      <c r="C720" s="1" t="s">
        <v>14</v>
      </c>
      <c r="D720" s="2">
        <v>43103</v>
      </c>
      <c r="E720" s="2">
        <f t="shared" si="22"/>
        <v>43160</v>
      </c>
      <c r="F720" s="1" t="s">
        <v>15</v>
      </c>
      <c r="G720" s="1" t="s">
        <v>16</v>
      </c>
      <c r="H720" s="1">
        <v>-0.5</v>
      </c>
      <c r="I720" s="1">
        <v>0.44</v>
      </c>
      <c r="J720" s="1">
        <v>-0.01</v>
      </c>
      <c r="K720" s="1" t="s">
        <v>36</v>
      </c>
      <c r="L720" s="1">
        <v>2389</v>
      </c>
      <c r="M720" s="1">
        <v>0.57999999999999996</v>
      </c>
      <c r="N720" s="1">
        <v>0.57774000000000003</v>
      </c>
      <c r="O720" s="1">
        <f>VLOOKUP(D720,underlying!$D$2:$H$75,5,FALSE)</f>
        <v>-0.21</v>
      </c>
      <c r="P720" s="2">
        <f>VLOOKUP(D720,underlying!$D$2:$L$39,9,FALSE)</f>
        <v>43130</v>
      </c>
      <c r="Q720" s="7">
        <f>IF(G720="C",NormalCallSprd(O720,H720,M720,(P720-A720)/365), NormalPutSprd(O720,H720,M720,(P720-A720)/365))</f>
        <v>0.44213161931376482</v>
      </c>
      <c r="R720" s="9">
        <f t="shared" si="23"/>
        <v>2.1316193137648209E-3</v>
      </c>
    </row>
    <row r="721" spans="1:18" x14ac:dyDescent="0.2">
      <c r="A721" s="2">
        <v>42622</v>
      </c>
      <c r="B721" s="1" t="s">
        <v>13</v>
      </c>
      <c r="C721" s="1" t="s">
        <v>14</v>
      </c>
      <c r="D721" s="2">
        <v>43103</v>
      </c>
      <c r="E721" s="2">
        <f t="shared" si="22"/>
        <v>43160</v>
      </c>
      <c r="F721" s="1" t="s">
        <v>15</v>
      </c>
      <c r="G721" s="1" t="s">
        <v>18</v>
      </c>
      <c r="H721" s="1">
        <v>-0.5</v>
      </c>
      <c r="I721" s="1">
        <v>0.15</v>
      </c>
      <c r="J721" s="1">
        <v>0</v>
      </c>
      <c r="K721" s="1" t="s">
        <v>36</v>
      </c>
      <c r="L721" s="1">
        <v>2389</v>
      </c>
      <c r="M721" s="1">
        <v>0.57999999999999996</v>
      </c>
      <c r="N721" s="1">
        <v>0.60599000000000003</v>
      </c>
      <c r="O721" s="1">
        <f>VLOOKUP(D721,underlying!$D$2:$H$75,5,FALSE)</f>
        <v>-0.21</v>
      </c>
      <c r="P721" s="2">
        <f>VLOOKUP(D721,underlying!$D$2:$L$39,9,FALSE)</f>
        <v>43130</v>
      </c>
      <c r="Q721" s="7">
        <f>IF(G721="C",NormalCallSprd(O721,H721,M721,(P721-A721)/365), NormalPutSprd(O721,H721,M721,(P721-A721)/365))</f>
        <v>0.15213161931376482</v>
      </c>
      <c r="R721" s="9">
        <f t="shared" si="23"/>
        <v>2.1316193137648209E-3</v>
      </c>
    </row>
    <row r="722" spans="1:18" x14ac:dyDescent="0.2">
      <c r="A722" s="2">
        <v>42622</v>
      </c>
      <c r="B722" s="1" t="s">
        <v>13</v>
      </c>
      <c r="C722" s="1" t="s">
        <v>14</v>
      </c>
      <c r="D722" s="2">
        <v>43103</v>
      </c>
      <c r="E722" s="2">
        <f t="shared" si="22"/>
        <v>43160</v>
      </c>
      <c r="F722" s="1" t="s">
        <v>15</v>
      </c>
      <c r="G722" s="1" t="s">
        <v>16</v>
      </c>
      <c r="H722" s="1">
        <v>-0.45</v>
      </c>
      <c r="I722" s="1">
        <v>0.41</v>
      </c>
      <c r="J722" s="1">
        <v>0</v>
      </c>
      <c r="K722" s="1" t="s">
        <v>36</v>
      </c>
      <c r="L722" s="1">
        <v>2389</v>
      </c>
      <c r="M722" s="1">
        <v>0.57999999999999996</v>
      </c>
      <c r="N722" s="1">
        <v>0.63209000000000004</v>
      </c>
      <c r="O722" s="1">
        <f>VLOOKUP(D722,underlying!$D$2:$H$75,5,FALSE)</f>
        <v>-0.21</v>
      </c>
      <c r="P722" s="2">
        <f>VLOOKUP(D722,underlying!$D$2:$L$39,9,FALSE)</f>
        <v>43130</v>
      </c>
      <c r="Q722" s="7">
        <f>IF(G722="C",NormalCallSprd(O722,H722,M722,(P722-A722)/365), NormalPutSprd(O722,H722,M722,(P722-A722)/365))</f>
        <v>0.40959681493639161</v>
      </c>
      <c r="R722" s="9">
        <f t="shared" si="23"/>
        <v>4.0318506360836892E-4</v>
      </c>
    </row>
    <row r="723" spans="1:18" x14ac:dyDescent="0.2">
      <c r="A723" s="2">
        <v>42622</v>
      </c>
      <c r="B723" s="1" t="s">
        <v>13</v>
      </c>
      <c r="C723" s="1" t="s">
        <v>14</v>
      </c>
      <c r="D723" s="2">
        <v>43103</v>
      </c>
      <c r="E723" s="2">
        <f t="shared" si="22"/>
        <v>43160</v>
      </c>
      <c r="F723" s="1" t="s">
        <v>15</v>
      </c>
      <c r="G723" s="1" t="s">
        <v>18</v>
      </c>
      <c r="H723" s="1">
        <v>-0.45</v>
      </c>
      <c r="I723" s="1">
        <v>0.17</v>
      </c>
      <c r="J723" s="1">
        <v>0.01</v>
      </c>
      <c r="K723" s="1" t="s">
        <v>36</v>
      </c>
      <c r="L723" s="1">
        <v>2389</v>
      </c>
      <c r="M723" s="1">
        <v>0.57999999999999996</v>
      </c>
      <c r="N723" s="1">
        <v>0.65844999999999998</v>
      </c>
      <c r="O723" s="1">
        <f>VLOOKUP(D723,underlying!$D$2:$H$75,5,FALSE)</f>
        <v>-0.21</v>
      </c>
      <c r="P723" s="2">
        <f>VLOOKUP(D723,underlying!$D$2:$L$39,9,FALSE)</f>
        <v>43130</v>
      </c>
      <c r="Q723" s="7">
        <f>IF(G723="C",NormalCallSprd(O723,H723,M723,(P723-A723)/365), NormalPutSprd(O723,H723,M723,(P723-A723)/365))</f>
        <v>0.16959681493639159</v>
      </c>
      <c r="R723" s="9">
        <f t="shared" si="23"/>
        <v>4.0318506360842443E-4</v>
      </c>
    </row>
    <row r="724" spans="1:18" x14ac:dyDescent="0.2">
      <c r="A724" s="2">
        <v>42622</v>
      </c>
      <c r="B724" s="1" t="s">
        <v>13</v>
      </c>
      <c r="C724" s="1" t="s">
        <v>14</v>
      </c>
      <c r="D724" s="2">
        <v>43103</v>
      </c>
      <c r="E724" s="2">
        <f t="shared" si="22"/>
        <v>43160</v>
      </c>
      <c r="F724" s="1" t="s">
        <v>15</v>
      </c>
      <c r="G724" s="1" t="s">
        <v>16</v>
      </c>
      <c r="H724" s="1">
        <v>-0.4</v>
      </c>
      <c r="I724" s="1">
        <v>0.37</v>
      </c>
      <c r="J724" s="1">
        <v>-0.01</v>
      </c>
      <c r="K724" s="1" t="s">
        <v>36</v>
      </c>
      <c r="L724" s="1">
        <v>2389</v>
      </c>
      <c r="M724" s="1">
        <v>0.56999999999999995</v>
      </c>
      <c r="N724" s="1">
        <v>0.68444000000000005</v>
      </c>
      <c r="O724" s="1">
        <f>VLOOKUP(D724,underlying!$D$2:$H$75,5,FALSE)</f>
        <v>-0.21</v>
      </c>
      <c r="P724" s="2">
        <f>VLOOKUP(D724,underlying!$D$2:$L$39,9,FALSE)</f>
        <v>43130</v>
      </c>
      <c r="Q724" s="7">
        <f>IF(G724="C",NormalCallSprd(O724,H724,M724,(P724-A724)/365), NormalPutSprd(O724,H724,M724,(P724-A724)/365))</f>
        <v>0.37390669312238417</v>
      </c>
      <c r="R724" s="9">
        <f t="shared" si="23"/>
        <v>3.906693122384175E-3</v>
      </c>
    </row>
    <row r="725" spans="1:18" x14ac:dyDescent="0.2">
      <c r="A725" s="2">
        <v>42622</v>
      </c>
      <c r="B725" s="1" t="s">
        <v>13</v>
      </c>
      <c r="C725" s="1" t="s">
        <v>14</v>
      </c>
      <c r="D725" s="2">
        <v>43103</v>
      </c>
      <c r="E725" s="2">
        <f t="shared" si="22"/>
        <v>43160</v>
      </c>
      <c r="F725" s="1" t="s">
        <v>15</v>
      </c>
      <c r="G725" s="1" t="s">
        <v>18</v>
      </c>
      <c r="H725" s="1">
        <v>-0.4</v>
      </c>
      <c r="I725" s="1">
        <v>0.18</v>
      </c>
      <c r="J725" s="1">
        <v>0</v>
      </c>
      <c r="K725" s="1" t="s">
        <v>36</v>
      </c>
      <c r="L725" s="1">
        <v>2389</v>
      </c>
      <c r="M725" s="1">
        <v>0.56999999999999995</v>
      </c>
      <c r="N725" s="1">
        <v>0.70689000000000002</v>
      </c>
      <c r="O725" s="1">
        <f>VLOOKUP(D725,underlying!$D$2:$H$75,5,FALSE)</f>
        <v>-0.21</v>
      </c>
      <c r="P725" s="2">
        <f>VLOOKUP(D725,underlying!$D$2:$L$39,9,FALSE)</f>
        <v>43130</v>
      </c>
      <c r="Q725" s="7">
        <f>IF(G725="C",NormalCallSprd(O725,H725,M725,(P725-A725)/365), NormalPutSprd(O725,H725,M725,(P725-A725)/365))</f>
        <v>0.18390669312238414</v>
      </c>
      <c r="R725" s="9">
        <f t="shared" si="23"/>
        <v>3.9066931223841472E-3</v>
      </c>
    </row>
    <row r="726" spans="1:18" x14ac:dyDescent="0.2">
      <c r="A726" s="2">
        <v>42622</v>
      </c>
      <c r="B726" s="1" t="s">
        <v>13</v>
      </c>
      <c r="C726" s="1" t="s">
        <v>14</v>
      </c>
      <c r="D726" s="2">
        <v>43103</v>
      </c>
      <c r="E726" s="2">
        <f t="shared" si="22"/>
        <v>43160</v>
      </c>
      <c r="F726" s="1" t="s">
        <v>15</v>
      </c>
      <c r="G726" s="1" t="s">
        <v>16</v>
      </c>
      <c r="H726" s="1">
        <v>-0.35</v>
      </c>
      <c r="I726" s="1">
        <v>0.34</v>
      </c>
      <c r="J726" s="1">
        <v>-0.01</v>
      </c>
      <c r="K726" s="1" t="s">
        <v>36</v>
      </c>
      <c r="L726" s="1">
        <v>2389</v>
      </c>
      <c r="M726" s="1">
        <v>0.56999999999999995</v>
      </c>
      <c r="N726" s="1">
        <v>0.73002999999999996</v>
      </c>
      <c r="O726" s="1">
        <f>VLOOKUP(D726,underlying!$D$2:$H$75,5,FALSE)</f>
        <v>-0.21</v>
      </c>
      <c r="P726" s="2">
        <f>VLOOKUP(D726,underlying!$D$2:$L$39,9,FALSE)</f>
        <v>43130</v>
      </c>
      <c r="Q726" s="7">
        <f>IF(G726="C",NormalCallSprd(O726,H726,M726,(P726-A726)/365), NormalPutSprd(O726,H726,M726,(P726-A726)/365))</f>
        <v>0.34406201176623491</v>
      </c>
      <c r="R726" s="9">
        <f t="shared" si="23"/>
        <v>4.0620117662348854E-3</v>
      </c>
    </row>
    <row r="727" spans="1:18" x14ac:dyDescent="0.2">
      <c r="A727" s="2">
        <v>42622</v>
      </c>
      <c r="B727" s="1" t="s">
        <v>13</v>
      </c>
      <c r="C727" s="1" t="s">
        <v>14</v>
      </c>
      <c r="D727" s="2">
        <v>43103</v>
      </c>
      <c r="E727" s="2">
        <f t="shared" si="22"/>
        <v>43160</v>
      </c>
      <c r="F727" s="1" t="s">
        <v>15</v>
      </c>
      <c r="G727" s="1" t="s">
        <v>18</v>
      </c>
      <c r="H727" s="1">
        <v>-0.35</v>
      </c>
      <c r="I727" s="1">
        <v>0.2</v>
      </c>
      <c r="J727" s="1">
        <v>0</v>
      </c>
      <c r="K727" s="1" t="s">
        <v>36</v>
      </c>
      <c r="L727" s="1">
        <v>2389</v>
      </c>
      <c r="M727" s="1">
        <v>0.56999999999999995</v>
      </c>
      <c r="N727" s="1">
        <v>0.74983999999999995</v>
      </c>
      <c r="O727" s="1">
        <f>VLOOKUP(D727,underlying!$D$2:$H$75,5,FALSE)</f>
        <v>-0.21</v>
      </c>
      <c r="P727" s="2">
        <f>VLOOKUP(D727,underlying!$D$2:$L$39,9,FALSE)</f>
        <v>43130</v>
      </c>
      <c r="Q727" s="7">
        <f>IF(G727="C",NormalCallSprd(O727,H727,M727,(P727-A727)/365), NormalPutSprd(O727,H727,M727,(P727-A727)/365))</f>
        <v>0.20406201176623492</v>
      </c>
      <c r="R727" s="9">
        <f t="shared" si="23"/>
        <v>4.0620117662349131E-3</v>
      </c>
    </row>
    <row r="728" spans="1:18" x14ac:dyDescent="0.2">
      <c r="A728" s="2">
        <v>42622</v>
      </c>
      <c r="B728" s="1" t="s">
        <v>13</v>
      </c>
      <c r="C728" s="1" t="s">
        <v>14</v>
      </c>
      <c r="D728" s="2">
        <v>43103</v>
      </c>
      <c r="E728" s="2">
        <f t="shared" si="22"/>
        <v>43160</v>
      </c>
      <c r="F728" s="1" t="s">
        <v>15</v>
      </c>
      <c r="G728" s="1" t="s">
        <v>16</v>
      </c>
      <c r="H728" s="1">
        <v>-0.3</v>
      </c>
      <c r="I728" s="1">
        <v>0.31</v>
      </c>
      <c r="J728" s="1">
        <v>-0.01</v>
      </c>
      <c r="K728" s="1" t="s">
        <v>36</v>
      </c>
      <c r="L728" s="1">
        <v>2389</v>
      </c>
      <c r="M728" s="1">
        <v>0.56000000000000005</v>
      </c>
      <c r="N728" s="1">
        <v>0.76758000000000004</v>
      </c>
      <c r="O728" s="1">
        <f>VLOOKUP(D728,underlying!$D$2:$H$75,5,FALSE)</f>
        <v>-0.21</v>
      </c>
      <c r="P728" s="2">
        <f>VLOOKUP(D728,underlying!$D$2:$L$39,9,FALSE)</f>
        <v>43130</v>
      </c>
      <c r="Q728" s="7">
        <f>IF(G728="C",NormalCallSprd(O728,H728,M728,(P728-A728)/365), NormalPutSprd(O728,H728,M728,(P728-A728)/365))</f>
        <v>0.311004298086618</v>
      </c>
      <c r="R728" s="9">
        <f t="shared" si="23"/>
        <v>1.0042980866180051E-3</v>
      </c>
    </row>
    <row r="729" spans="1:18" x14ac:dyDescent="0.2">
      <c r="A729" s="2">
        <v>42622</v>
      </c>
      <c r="B729" s="1" t="s">
        <v>13</v>
      </c>
      <c r="C729" s="1" t="s">
        <v>14</v>
      </c>
      <c r="D729" s="2">
        <v>43103</v>
      </c>
      <c r="E729" s="2">
        <f t="shared" si="22"/>
        <v>43160</v>
      </c>
      <c r="F729" s="1" t="s">
        <v>15</v>
      </c>
      <c r="G729" s="1" t="s">
        <v>18</v>
      </c>
      <c r="H729" s="1">
        <v>-0.3</v>
      </c>
      <c r="I729" s="1">
        <v>0.22</v>
      </c>
      <c r="J729" s="1">
        <v>0</v>
      </c>
      <c r="K729" s="1" t="s">
        <v>36</v>
      </c>
      <c r="L729" s="1">
        <v>2389</v>
      </c>
      <c r="M729" s="1">
        <v>0.56000000000000005</v>
      </c>
      <c r="N729" s="1">
        <v>0.84184999999999999</v>
      </c>
      <c r="O729" s="1">
        <f>VLOOKUP(D729,underlying!$D$2:$H$75,5,FALSE)</f>
        <v>-0.21</v>
      </c>
      <c r="P729" s="2">
        <f>VLOOKUP(D729,underlying!$D$2:$L$39,9,FALSE)</f>
        <v>43130</v>
      </c>
      <c r="Q729" s="7">
        <f>IF(G729="C",NormalCallSprd(O729,H729,M729,(P729-A729)/365), NormalPutSprd(O729,H729,M729,(P729-A729)/365))</f>
        <v>0.22100429808661803</v>
      </c>
      <c r="R729" s="9">
        <f t="shared" si="23"/>
        <v>1.0042980866180329E-3</v>
      </c>
    </row>
    <row r="730" spans="1:18" x14ac:dyDescent="0.2">
      <c r="A730" s="2">
        <v>42622</v>
      </c>
      <c r="B730" s="1" t="s">
        <v>13</v>
      </c>
      <c r="C730" s="1" t="s">
        <v>14</v>
      </c>
      <c r="D730" s="2">
        <v>43103</v>
      </c>
      <c r="E730" s="2">
        <f t="shared" si="22"/>
        <v>43160</v>
      </c>
      <c r="F730" s="1" t="s">
        <v>15</v>
      </c>
      <c r="G730" s="1" t="s">
        <v>16</v>
      </c>
      <c r="H730" s="1">
        <v>-0.25</v>
      </c>
      <c r="I730" s="1">
        <v>0.28000000000000003</v>
      </c>
      <c r="J730" s="1">
        <v>-0.01</v>
      </c>
      <c r="K730" s="1" t="s">
        <v>36</v>
      </c>
      <c r="L730" s="1">
        <v>2389</v>
      </c>
      <c r="M730" s="1">
        <v>0.56000000000000005</v>
      </c>
      <c r="N730" s="1">
        <v>0.99141000000000001</v>
      </c>
      <c r="O730" s="1">
        <f>VLOOKUP(D730,underlying!$D$2:$H$75,5,FALSE)</f>
        <v>-0.21</v>
      </c>
      <c r="P730" s="2">
        <f>VLOOKUP(D730,underlying!$D$2:$L$39,9,FALSE)</f>
        <v>43130</v>
      </c>
      <c r="Q730" s="7">
        <f>IF(G730="C",NormalCallSprd(O730,H730,M730,(P730-A730)/365), NormalPutSprd(O730,H730,M730,(P730-A730)/365))</f>
        <v>0.28404537919949968</v>
      </c>
      <c r="R730" s="9">
        <f t="shared" si="23"/>
        <v>4.0453791994996546E-3</v>
      </c>
    </row>
    <row r="731" spans="1:18" x14ac:dyDescent="0.2">
      <c r="A731" s="2">
        <v>42622</v>
      </c>
      <c r="B731" s="1" t="s">
        <v>13</v>
      </c>
      <c r="C731" s="1" t="s">
        <v>14</v>
      </c>
      <c r="D731" s="2">
        <v>43103</v>
      </c>
      <c r="E731" s="2">
        <f t="shared" si="22"/>
        <v>43160</v>
      </c>
      <c r="F731" s="1" t="s">
        <v>15</v>
      </c>
      <c r="G731" s="1" t="s">
        <v>18</v>
      </c>
      <c r="H731" s="1">
        <v>-0.25</v>
      </c>
      <c r="I731" s="1">
        <v>0.24</v>
      </c>
      <c r="J731" s="1">
        <v>0</v>
      </c>
      <c r="K731" s="1" t="s">
        <v>36</v>
      </c>
      <c r="L731" s="1">
        <v>2389</v>
      </c>
      <c r="M731" s="1">
        <v>0.56000000000000005</v>
      </c>
      <c r="N731" s="1">
        <v>0.96140999999999999</v>
      </c>
      <c r="O731" s="1">
        <f>VLOOKUP(D731,underlying!$D$2:$H$75,5,FALSE)</f>
        <v>-0.21</v>
      </c>
      <c r="P731" s="2">
        <f>VLOOKUP(D731,underlying!$D$2:$L$39,9,FALSE)</f>
        <v>43130</v>
      </c>
      <c r="Q731" s="7">
        <f>IF(G731="C",NormalCallSprd(O731,H731,M731,(P731-A731)/365), NormalPutSprd(O731,H731,M731,(P731-A731)/365))</f>
        <v>0.24404537919949967</v>
      </c>
      <c r="R731" s="9">
        <f t="shared" si="23"/>
        <v>4.0453791994996824E-3</v>
      </c>
    </row>
    <row r="732" spans="1:18" x14ac:dyDescent="0.2">
      <c r="A732" s="2">
        <v>42622</v>
      </c>
      <c r="B732" s="1" t="s">
        <v>13</v>
      </c>
      <c r="C732" s="1" t="s">
        <v>14</v>
      </c>
      <c r="D732" s="2">
        <v>43103</v>
      </c>
      <c r="E732" s="2">
        <f t="shared" si="22"/>
        <v>43160</v>
      </c>
      <c r="F732" s="1" t="s">
        <v>15</v>
      </c>
      <c r="G732" s="1" t="s">
        <v>16</v>
      </c>
      <c r="H732" s="1">
        <v>-0.2</v>
      </c>
      <c r="I732" s="1">
        <v>0.26</v>
      </c>
      <c r="J732" s="1">
        <v>0</v>
      </c>
      <c r="K732" s="1" t="s">
        <v>36</v>
      </c>
      <c r="L732" s="1">
        <v>2389</v>
      </c>
      <c r="M732" s="1">
        <v>0.56000000000000005</v>
      </c>
      <c r="N732" s="1">
        <v>0.98512999999999995</v>
      </c>
      <c r="O732" s="1">
        <f>VLOOKUP(D732,underlying!$D$2:$H$75,5,FALSE)</f>
        <v>-0.21</v>
      </c>
      <c r="P732" s="2">
        <f>VLOOKUP(D732,underlying!$D$2:$L$39,9,FALSE)</f>
        <v>43130</v>
      </c>
      <c r="Q732" s="7">
        <f>IF(G732="C",NormalCallSprd(O732,H732,M732,(P732-A732)/365), NormalPutSprd(O732,H732,M732,(P732-A732)/365))</f>
        <v>0.25859263077855915</v>
      </c>
      <c r="R732" s="9">
        <f t="shared" si="23"/>
        <v>1.4073692214408573E-3</v>
      </c>
    </row>
    <row r="733" spans="1:18" x14ac:dyDescent="0.2">
      <c r="A733" s="2">
        <v>42622</v>
      </c>
      <c r="B733" s="1" t="s">
        <v>13</v>
      </c>
      <c r="C733" s="1" t="s">
        <v>14</v>
      </c>
      <c r="D733" s="2">
        <v>43103</v>
      </c>
      <c r="E733" s="2">
        <f t="shared" si="22"/>
        <v>43160</v>
      </c>
      <c r="F733" s="1" t="s">
        <v>15</v>
      </c>
      <c r="G733" s="1" t="s">
        <v>18</v>
      </c>
      <c r="H733" s="1">
        <v>-0.2</v>
      </c>
      <c r="I733" s="1">
        <v>0.27</v>
      </c>
      <c r="J733" s="1">
        <v>0.01</v>
      </c>
      <c r="K733" s="1" t="s">
        <v>36</v>
      </c>
      <c r="L733" s="1">
        <v>2389</v>
      </c>
      <c r="M733" s="1">
        <v>0.56000000000000005</v>
      </c>
      <c r="N733" s="1">
        <v>-0.59226000000000001</v>
      </c>
      <c r="O733" s="1">
        <f>VLOOKUP(D733,underlying!$D$2:$H$75,5,FALSE)</f>
        <v>-0.21</v>
      </c>
      <c r="P733" s="2">
        <f>VLOOKUP(D733,underlying!$D$2:$L$39,9,FALSE)</f>
        <v>43130</v>
      </c>
      <c r="Q733" s="7">
        <f>IF(G733="C",NormalCallSprd(O733,H733,M733,(P733-A733)/365), NormalPutSprd(O733,H733,M733,(P733-A733)/365))</f>
        <v>0.2685926307785591</v>
      </c>
      <c r="R733" s="9">
        <f t="shared" si="23"/>
        <v>1.4073692214409128E-3</v>
      </c>
    </row>
    <row r="734" spans="1:18" x14ac:dyDescent="0.2">
      <c r="A734" s="2">
        <v>42622</v>
      </c>
      <c r="B734" s="1" t="s">
        <v>13</v>
      </c>
      <c r="C734" s="1" t="s">
        <v>14</v>
      </c>
      <c r="D734" s="2">
        <v>43103</v>
      </c>
      <c r="E734" s="2">
        <f t="shared" si="22"/>
        <v>43160</v>
      </c>
      <c r="F734" s="1" t="s">
        <v>15</v>
      </c>
      <c r="G734" s="1" t="s">
        <v>16</v>
      </c>
      <c r="H734" s="1">
        <v>-0.15</v>
      </c>
      <c r="I734" s="1">
        <v>0.23</v>
      </c>
      <c r="J734" s="1">
        <v>-0.01</v>
      </c>
      <c r="K734" s="1" t="s">
        <v>36</v>
      </c>
      <c r="L734" s="1">
        <v>2389</v>
      </c>
      <c r="M734" s="1">
        <v>0.56000000000000005</v>
      </c>
      <c r="N734" s="1">
        <v>-0.56244000000000005</v>
      </c>
      <c r="O734" s="1">
        <f>VLOOKUP(D734,underlying!$D$2:$H$75,5,FALSE)</f>
        <v>-0.21</v>
      </c>
      <c r="P734" s="2">
        <f>VLOOKUP(D734,underlying!$D$2:$L$39,9,FALSE)</f>
        <v>43130</v>
      </c>
      <c r="Q734" s="7">
        <f>IF(G734="C",NormalCallSprd(O734,H734,M734,(P734-A734)/365), NormalPutSprd(O734,H734,M734,(P734-A734)/365))</f>
        <v>0.23464864071971661</v>
      </c>
      <c r="R734" s="9">
        <f t="shared" si="23"/>
        <v>4.6486407197166013E-3</v>
      </c>
    </row>
    <row r="735" spans="1:18" x14ac:dyDescent="0.2">
      <c r="A735" s="2">
        <v>42622</v>
      </c>
      <c r="B735" s="1" t="s">
        <v>13</v>
      </c>
      <c r="C735" s="1" t="s">
        <v>14</v>
      </c>
      <c r="D735" s="2">
        <v>43103</v>
      </c>
      <c r="E735" s="2">
        <f t="shared" si="22"/>
        <v>43160</v>
      </c>
      <c r="F735" s="1" t="s">
        <v>15</v>
      </c>
      <c r="G735" s="1" t="s">
        <v>18</v>
      </c>
      <c r="H735" s="1">
        <v>-0.15</v>
      </c>
      <c r="I735" s="1">
        <v>0.28999999999999998</v>
      </c>
      <c r="J735" s="1">
        <v>0</v>
      </c>
      <c r="K735" s="1" t="s">
        <v>36</v>
      </c>
      <c r="L735" s="1">
        <v>2389</v>
      </c>
      <c r="M735" s="1">
        <v>0.56000000000000005</v>
      </c>
      <c r="N735" s="1">
        <v>-0.53171000000000002</v>
      </c>
      <c r="O735" s="1">
        <f>VLOOKUP(D735,underlying!$D$2:$H$75,5,FALSE)</f>
        <v>-0.21</v>
      </c>
      <c r="P735" s="2">
        <f>VLOOKUP(D735,underlying!$D$2:$L$39,9,FALSE)</f>
        <v>43130</v>
      </c>
      <c r="Q735" s="7">
        <f>IF(G735="C",NormalCallSprd(O735,H735,M735,(P735-A735)/365), NormalPutSprd(O735,H735,M735,(P735-A735)/365))</f>
        <v>0.29464864071971658</v>
      </c>
      <c r="R735" s="9">
        <f t="shared" si="23"/>
        <v>4.6486407197166013E-3</v>
      </c>
    </row>
    <row r="736" spans="1:18" x14ac:dyDescent="0.2">
      <c r="A736" s="2">
        <v>42622</v>
      </c>
      <c r="B736" s="1" t="s">
        <v>13</v>
      </c>
      <c r="C736" s="1" t="s">
        <v>14</v>
      </c>
      <c r="D736" s="2">
        <v>43103</v>
      </c>
      <c r="E736" s="2">
        <f t="shared" si="22"/>
        <v>43160</v>
      </c>
      <c r="F736" s="1" t="s">
        <v>15</v>
      </c>
      <c r="G736" s="1" t="s">
        <v>16</v>
      </c>
      <c r="H736" s="1">
        <v>-0.1</v>
      </c>
      <c r="I736" s="1">
        <v>0.21</v>
      </c>
      <c r="J736" s="1">
        <v>0</v>
      </c>
      <c r="K736" s="1" t="s">
        <v>36</v>
      </c>
      <c r="L736" s="1">
        <v>2389</v>
      </c>
      <c r="M736" s="1">
        <v>0.55000000000000004</v>
      </c>
      <c r="N736" s="1">
        <v>-0.50168999999999997</v>
      </c>
      <c r="O736" s="1">
        <f>VLOOKUP(D736,underlying!$D$2:$H$75,5,FALSE)</f>
        <v>-0.21</v>
      </c>
      <c r="P736" s="2">
        <f>VLOOKUP(D736,underlying!$D$2:$L$39,9,FALSE)</f>
        <v>43130</v>
      </c>
      <c r="Q736" s="7">
        <f>IF(G736="C",NormalCallSprd(O736,H736,M736,(P736-A736)/365), NormalPutSprd(O736,H736,M736,(P736-A736)/365))</f>
        <v>0.20756686344982619</v>
      </c>
      <c r="R736" s="9">
        <f t="shared" si="23"/>
        <v>2.4331365501737978E-3</v>
      </c>
    </row>
    <row r="737" spans="1:18" x14ac:dyDescent="0.2">
      <c r="A737" s="2">
        <v>42622</v>
      </c>
      <c r="B737" s="1" t="s">
        <v>13</v>
      </c>
      <c r="C737" s="1" t="s">
        <v>14</v>
      </c>
      <c r="D737" s="2">
        <v>43103</v>
      </c>
      <c r="E737" s="2">
        <f t="shared" si="22"/>
        <v>43160</v>
      </c>
      <c r="F737" s="1" t="s">
        <v>15</v>
      </c>
      <c r="G737" s="1" t="s">
        <v>18</v>
      </c>
      <c r="H737" s="1">
        <v>-0.1</v>
      </c>
      <c r="I737" s="1">
        <v>0.31</v>
      </c>
      <c r="J737" s="1">
        <v>0</v>
      </c>
      <c r="K737" s="1" t="s">
        <v>36</v>
      </c>
      <c r="L737" s="1">
        <v>2389</v>
      </c>
      <c r="M737" s="1">
        <v>0.55000000000000004</v>
      </c>
      <c r="N737" s="1">
        <v>-0.47177000000000002</v>
      </c>
      <c r="O737" s="1">
        <f>VLOOKUP(D737,underlying!$D$2:$H$75,5,FALSE)</f>
        <v>-0.21</v>
      </c>
      <c r="P737" s="2">
        <f>VLOOKUP(D737,underlying!$D$2:$L$39,9,FALSE)</f>
        <v>43130</v>
      </c>
      <c r="Q737" s="7">
        <f>IF(G737="C",NormalCallSprd(O737,H737,M737,(P737-A737)/365), NormalPutSprd(O737,H737,M737,(P737-A737)/365))</f>
        <v>0.31756686344982615</v>
      </c>
      <c r="R737" s="9">
        <f t="shared" si="23"/>
        <v>7.5668634498261556E-3</v>
      </c>
    </row>
    <row r="738" spans="1:18" x14ac:dyDescent="0.2">
      <c r="A738" s="2">
        <v>42622</v>
      </c>
      <c r="B738" s="1" t="s">
        <v>13</v>
      </c>
      <c r="C738" s="1" t="s">
        <v>14</v>
      </c>
      <c r="D738" s="2">
        <v>43103</v>
      </c>
      <c r="E738" s="2">
        <f t="shared" si="22"/>
        <v>43160</v>
      </c>
      <c r="F738" s="1" t="s">
        <v>15</v>
      </c>
      <c r="G738" s="1" t="s">
        <v>16</v>
      </c>
      <c r="H738" s="1">
        <v>-0.05</v>
      </c>
      <c r="I738" s="1">
        <v>0.19</v>
      </c>
      <c r="J738" s="1">
        <v>0</v>
      </c>
      <c r="K738" s="1" t="s">
        <v>36</v>
      </c>
      <c r="L738" s="1">
        <v>2389</v>
      </c>
      <c r="M738" s="1">
        <v>0.55000000000000004</v>
      </c>
      <c r="N738" s="1">
        <v>-0.44198999999999999</v>
      </c>
      <c r="O738" s="1">
        <f>VLOOKUP(D738,underlying!$D$2:$H$75,5,FALSE)</f>
        <v>-0.21</v>
      </c>
      <c r="P738" s="2">
        <f>VLOOKUP(D738,underlying!$D$2:$L$39,9,FALSE)</f>
        <v>43130</v>
      </c>
      <c r="Q738" s="7">
        <f>IF(G738="C",NormalCallSprd(O738,H738,M738,(P738-A738)/365), NormalPutSprd(O738,H738,M738,(P738-A738)/365))</f>
        <v>0.1866862783662652</v>
      </c>
      <c r="R738" s="9">
        <f t="shared" si="23"/>
        <v>3.3137216337348063E-3</v>
      </c>
    </row>
    <row r="739" spans="1:18" x14ac:dyDescent="0.2">
      <c r="A739" s="2">
        <v>42622</v>
      </c>
      <c r="B739" s="1" t="s">
        <v>13</v>
      </c>
      <c r="C739" s="1" t="s">
        <v>14</v>
      </c>
      <c r="D739" s="2">
        <v>43103</v>
      </c>
      <c r="E739" s="2">
        <f t="shared" si="22"/>
        <v>43160</v>
      </c>
      <c r="F739" s="1" t="s">
        <v>15</v>
      </c>
      <c r="G739" s="1" t="s">
        <v>18</v>
      </c>
      <c r="H739" s="1">
        <v>-0.05</v>
      </c>
      <c r="I739" s="1">
        <v>0.34</v>
      </c>
      <c r="J739" s="1">
        <v>0</v>
      </c>
      <c r="K739" s="1" t="s">
        <v>36</v>
      </c>
      <c r="L739" s="1">
        <v>2389</v>
      </c>
      <c r="M739" s="1">
        <v>0.55000000000000004</v>
      </c>
      <c r="N739" s="1">
        <v>-0.41366999999999998</v>
      </c>
      <c r="O739" s="1">
        <f>VLOOKUP(D739,underlying!$D$2:$H$75,5,FALSE)</f>
        <v>-0.21</v>
      </c>
      <c r="P739" s="2">
        <f>VLOOKUP(D739,underlying!$D$2:$L$39,9,FALSE)</f>
        <v>43130</v>
      </c>
      <c r="Q739" s="7">
        <f>IF(G739="C",NormalCallSprd(O739,H739,M739,(P739-A739)/365), NormalPutSprd(O739,H739,M739,(P739-A739)/365))</f>
        <v>0.3466862783662652</v>
      </c>
      <c r="R739" s="9">
        <f t="shared" si="23"/>
        <v>6.6862783662651748E-3</v>
      </c>
    </row>
    <row r="740" spans="1:18" x14ac:dyDescent="0.2">
      <c r="A740" s="2">
        <v>42622</v>
      </c>
      <c r="B740" s="1" t="s">
        <v>13</v>
      </c>
      <c r="C740" s="1" t="s">
        <v>14</v>
      </c>
      <c r="D740" s="2">
        <v>43104</v>
      </c>
      <c r="E740" s="2">
        <f t="shared" si="22"/>
        <v>43191</v>
      </c>
      <c r="F740" s="1" t="s">
        <v>15</v>
      </c>
      <c r="G740" s="1" t="s">
        <v>16</v>
      </c>
      <c r="H740" s="1">
        <v>-20</v>
      </c>
      <c r="I740" s="1">
        <v>19.600000000000001</v>
      </c>
      <c r="J740" s="1">
        <v>-0.02</v>
      </c>
      <c r="K740" s="1" t="s">
        <v>39</v>
      </c>
      <c r="L740" s="1">
        <v>2389</v>
      </c>
      <c r="M740" s="1">
        <v>0.98</v>
      </c>
      <c r="N740" s="1">
        <v>-0.38541999999999998</v>
      </c>
      <c r="O740" s="1">
        <f>VLOOKUP(D740,underlying!$D$2:$H$75,5,FALSE)</f>
        <v>-0.22</v>
      </c>
      <c r="P740" s="2">
        <f>VLOOKUP(D740,underlying!$D$2:$L$39,9,FALSE)</f>
        <v>43158</v>
      </c>
      <c r="Q740" s="7">
        <f>IF(G740="C",NormalCallSprd(O740,H740,M740,(P740-A740)/365), NormalPutSprd(O740,H740,M740,(P740-A740)/365))</f>
        <v>19.78</v>
      </c>
      <c r="R740" s="9">
        <f t="shared" si="23"/>
        <v>0.17999999999999972</v>
      </c>
    </row>
    <row r="741" spans="1:18" x14ac:dyDescent="0.2">
      <c r="A741" s="2">
        <v>42622</v>
      </c>
      <c r="B741" s="1" t="s">
        <v>13</v>
      </c>
      <c r="C741" s="1" t="s">
        <v>14</v>
      </c>
      <c r="D741" s="2">
        <v>43104</v>
      </c>
      <c r="E741" s="2">
        <f t="shared" si="22"/>
        <v>43191</v>
      </c>
      <c r="F741" s="1" t="s">
        <v>15</v>
      </c>
      <c r="G741" s="1" t="s">
        <v>18</v>
      </c>
      <c r="H741" s="1">
        <v>-20</v>
      </c>
      <c r="I741" s="1">
        <v>0.01</v>
      </c>
      <c r="J741" s="1">
        <v>0</v>
      </c>
      <c r="K741" s="1" t="s">
        <v>39</v>
      </c>
      <c r="L741" s="1">
        <v>2389</v>
      </c>
      <c r="M741" s="1">
        <v>0.98</v>
      </c>
      <c r="N741" s="1">
        <v>-0.35931999999999997</v>
      </c>
      <c r="O741" s="1">
        <f>VLOOKUP(D741,underlying!$D$2:$H$75,5,FALSE)</f>
        <v>-0.22</v>
      </c>
      <c r="P741" s="2">
        <f>VLOOKUP(D741,underlying!$D$2:$L$39,9,FALSE)</f>
        <v>43158</v>
      </c>
      <c r="Q741" s="7">
        <f>IF(G741="C",NormalCallSprd(O741,H741,M741,(P741-A741)/365), NormalPutSprd(O741,H741,M741,(P741-A741)/365))</f>
        <v>9.7297827743879806E-64</v>
      </c>
      <c r="R741" s="9">
        <f t="shared" si="23"/>
        <v>0.01</v>
      </c>
    </row>
    <row r="742" spans="1:18" x14ac:dyDescent="0.2">
      <c r="A742" s="2">
        <v>42622</v>
      </c>
      <c r="B742" s="1" t="s">
        <v>13</v>
      </c>
      <c r="C742" s="1" t="s">
        <v>14</v>
      </c>
      <c r="D742" s="2">
        <v>43104</v>
      </c>
      <c r="E742" s="2">
        <f t="shared" si="22"/>
        <v>43191</v>
      </c>
      <c r="F742" s="1" t="s">
        <v>15</v>
      </c>
      <c r="G742" s="1" t="s">
        <v>16</v>
      </c>
      <c r="H742" s="1">
        <v>-3</v>
      </c>
      <c r="I742" s="1">
        <v>2.76</v>
      </c>
      <c r="J742" s="1">
        <v>-0.01</v>
      </c>
      <c r="K742" s="1" t="s">
        <v>39</v>
      </c>
      <c r="L742" s="1">
        <v>2389</v>
      </c>
      <c r="M742" s="1">
        <v>0.95</v>
      </c>
      <c r="N742" s="1">
        <v>-0.33295999999999998</v>
      </c>
      <c r="O742" s="1">
        <f>VLOOKUP(D742,underlying!$D$2:$H$75,5,FALSE)</f>
        <v>-0.22</v>
      </c>
      <c r="P742" s="2">
        <f>VLOOKUP(D742,underlying!$D$2:$L$39,9,FALSE)</f>
        <v>43158</v>
      </c>
      <c r="Q742" s="7">
        <f>IF(G742="C",NormalCallSprd(O742,H742,M742,(P742-A742)/365), NormalPutSprd(O742,H742,M742,(P742-A742)/365))</f>
        <v>2.7829947538532034</v>
      </c>
      <c r="R742" s="9">
        <f t="shared" si="23"/>
        <v>2.2994753853203598E-2</v>
      </c>
    </row>
    <row r="743" spans="1:18" x14ac:dyDescent="0.2">
      <c r="A743" s="2">
        <v>42622</v>
      </c>
      <c r="B743" s="1" t="s">
        <v>13</v>
      </c>
      <c r="C743" s="1" t="s">
        <v>14</v>
      </c>
      <c r="D743" s="2">
        <v>43104</v>
      </c>
      <c r="E743" s="2">
        <f t="shared" si="22"/>
        <v>43191</v>
      </c>
      <c r="F743" s="1" t="s">
        <v>15</v>
      </c>
      <c r="G743" s="1" t="s">
        <v>18</v>
      </c>
      <c r="H743" s="1">
        <v>-3</v>
      </c>
      <c r="I743" s="1">
        <v>0.01</v>
      </c>
      <c r="J743" s="1">
        <v>0</v>
      </c>
      <c r="K743" s="1" t="s">
        <v>39</v>
      </c>
      <c r="L743" s="1">
        <v>2389</v>
      </c>
      <c r="M743" s="1">
        <v>0.95</v>
      </c>
      <c r="N743" s="1">
        <v>-0.30697000000000002</v>
      </c>
      <c r="O743" s="1">
        <f>VLOOKUP(D743,underlying!$D$2:$H$75,5,FALSE)</f>
        <v>-0.22</v>
      </c>
      <c r="P743" s="2">
        <f>VLOOKUP(D743,underlying!$D$2:$L$39,9,FALSE)</f>
        <v>43158</v>
      </c>
      <c r="Q743" s="7">
        <f>IF(G743="C",NormalCallSprd(O743,H743,M743,(P743-A743)/365), NormalPutSprd(O743,H743,M743,(P743-A743)/365))</f>
        <v>2.9947538532033315E-3</v>
      </c>
      <c r="R743" s="9">
        <f t="shared" si="23"/>
        <v>7.0052461467966683E-3</v>
      </c>
    </row>
    <row r="744" spans="1:18" x14ac:dyDescent="0.2">
      <c r="A744" s="2">
        <v>42622</v>
      </c>
      <c r="B744" s="1" t="s">
        <v>13</v>
      </c>
      <c r="C744" s="1" t="s">
        <v>14</v>
      </c>
      <c r="D744" s="2">
        <v>43104</v>
      </c>
      <c r="E744" s="2">
        <f t="shared" si="22"/>
        <v>43191</v>
      </c>
      <c r="F744" s="1" t="s">
        <v>15</v>
      </c>
      <c r="G744" s="1" t="s">
        <v>16</v>
      </c>
      <c r="H744" s="1">
        <v>-2</v>
      </c>
      <c r="I744" s="1">
        <v>1.78</v>
      </c>
      <c r="J744" s="1">
        <v>-0.01</v>
      </c>
      <c r="K744" s="1" t="s">
        <v>39</v>
      </c>
      <c r="L744" s="1">
        <v>2389</v>
      </c>
      <c r="M744" s="1">
        <v>0.8</v>
      </c>
      <c r="N744" s="1">
        <v>-0.28452</v>
      </c>
      <c r="O744" s="1">
        <f>VLOOKUP(D744,underlying!$D$2:$H$75,5,FALSE)</f>
        <v>-0.22</v>
      </c>
      <c r="P744" s="2">
        <f>VLOOKUP(D744,underlying!$D$2:$L$39,9,FALSE)</f>
        <v>43158</v>
      </c>
      <c r="Q744" s="7">
        <f>IF(G744="C",NormalCallSprd(O744,H744,M744,(P744-A744)/365), NormalPutSprd(O744,H744,M744,(P744-A744)/365))</f>
        <v>1.7926311360363392</v>
      </c>
      <c r="R744" s="9">
        <f t="shared" si="23"/>
        <v>1.2631136036339141E-2</v>
      </c>
    </row>
    <row r="745" spans="1:18" x14ac:dyDescent="0.2">
      <c r="A745" s="2">
        <v>42622</v>
      </c>
      <c r="B745" s="1" t="s">
        <v>13</v>
      </c>
      <c r="C745" s="1" t="s">
        <v>14</v>
      </c>
      <c r="D745" s="2">
        <v>43104</v>
      </c>
      <c r="E745" s="2">
        <f t="shared" si="22"/>
        <v>43191</v>
      </c>
      <c r="F745" s="1" t="s">
        <v>15</v>
      </c>
      <c r="G745" s="1" t="s">
        <v>18</v>
      </c>
      <c r="H745" s="1">
        <v>-2</v>
      </c>
      <c r="I745" s="1">
        <v>0.01</v>
      </c>
      <c r="J745" s="1">
        <v>0</v>
      </c>
      <c r="K745" s="1" t="s">
        <v>39</v>
      </c>
      <c r="L745" s="1">
        <v>2389</v>
      </c>
      <c r="M745" s="1">
        <v>0.8</v>
      </c>
      <c r="N745" s="1">
        <v>-0.26138</v>
      </c>
      <c r="O745" s="1">
        <f>VLOOKUP(D745,underlying!$D$2:$H$75,5,FALSE)</f>
        <v>-0.22</v>
      </c>
      <c r="P745" s="2">
        <f>VLOOKUP(D745,underlying!$D$2:$L$39,9,FALSE)</f>
        <v>43158</v>
      </c>
      <c r="Q745" s="7">
        <f>IF(G745="C",NormalCallSprd(O745,H745,M745,(P745-A745)/365), NormalPutSprd(O745,H745,M745,(P745-A745)/365))</f>
        <v>1.263113603633928E-2</v>
      </c>
      <c r="R745" s="9">
        <f t="shared" si="23"/>
        <v>2.6311360363392797E-3</v>
      </c>
    </row>
    <row r="746" spans="1:18" x14ac:dyDescent="0.2">
      <c r="A746" s="2">
        <v>42622</v>
      </c>
      <c r="B746" s="1" t="s">
        <v>13</v>
      </c>
      <c r="C746" s="1" t="s">
        <v>14</v>
      </c>
      <c r="D746" s="2">
        <v>43104</v>
      </c>
      <c r="E746" s="2">
        <f t="shared" si="22"/>
        <v>43191</v>
      </c>
      <c r="F746" s="1" t="s">
        <v>15</v>
      </c>
      <c r="G746" s="1" t="s">
        <v>16</v>
      </c>
      <c r="H746" s="1">
        <v>-1</v>
      </c>
      <c r="I746" s="1">
        <v>0.84</v>
      </c>
      <c r="J746" s="1">
        <v>-0.01</v>
      </c>
      <c r="K746" s="1" t="s">
        <v>39</v>
      </c>
      <c r="L746" s="1">
        <v>2389</v>
      </c>
      <c r="M746" s="1">
        <v>0.65</v>
      </c>
      <c r="N746" s="1">
        <v>-0.24157000000000001</v>
      </c>
      <c r="O746" s="1">
        <f>VLOOKUP(D746,underlying!$D$2:$H$75,5,FALSE)</f>
        <v>-0.22</v>
      </c>
      <c r="P746" s="2">
        <f>VLOOKUP(D746,underlying!$D$2:$L$39,9,FALSE)</f>
        <v>43158</v>
      </c>
      <c r="Q746" s="7">
        <f>IF(G746="C",NormalCallSprd(O746,H746,M746,(P746-A746)/365), NormalPutSprd(O746,H746,M746,(P746-A746)/365))</f>
        <v>0.84685326999031096</v>
      </c>
      <c r="R746" s="9">
        <f t="shared" si="23"/>
        <v>6.853269990310995E-3</v>
      </c>
    </row>
    <row r="747" spans="1:18" x14ac:dyDescent="0.2">
      <c r="A747" s="2">
        <v>42622</v>
      </c>
      <c r="B747" s="1" t="s">
        <v>13</v>
      </c>
      <c r="C747" s="1" t="s">
        <v>14</v>
      </c>
      <c r="D747" s="2">
        <v>43104</v>
      </c>
      <c r="E747" s="2">
        <f t="shared" si="22"/>
        <v>43191</v>
      </c>
      <c r="F747" s="1" t="s">
        <v>15</v>
      </c>
      <c r="G747" s="1" t="s">
        <v>18</v>
      </c>
      <c r="H747" s="1">
        <v>-1</v>
      </c>
      <c r="I747" s="1">
        <v>7.0000000000000007E-2</v>
      </c>
      <c r="J747" s="1">
        <v>0</v>
      </c>
      <c r="K747" s="1" t="s">
        <v>39</v>
      </c>
      <c r="L747" s="1">
        <v>2389</v>
      </c>
      <c r="M747" s="1">
        <v>0.65</v>
      </c>
      <c r="N747" s="1">
        <v>-0.22383</v>
      </c>
      <c r="O747" s="1">
        <f>VLOOKUP(D747,underlying!$D$2:$H$75,5,FALSE)</f>
        <v>-0.22</v>
      </c>
      <c r="P747" s="2">
        <f>VLOOKUP(D747,underlying!$D$2:$L$39,9,FALSE)</f>
        <v>43158</v>
      </c>
      <c r="Q747" s="7">
        <f>IF(G747="C",NormalCallSprd(O747,H747,M747,(P747-A747)/365), NormalPutSprd(O747,H747,M747,(P747-A747)/365))</f>
        <v>6.6853269990310896E-2</v>
      </c>
      <c r="R747" s="9">
        <f t="shared" si="23"/>
        <v>3.146730009689111E-3</v>
      </c>
    </row>
    <row r="748" spans="1:18" x14ac:dyDescent="0.2">
      <c r="A748" s="2">
        <v>42622</v>
      </c>
      <c r="B748" s="1" t="s">
        <v>13</v>
      </c>
      <c r="C748" s="1" t="s">
        <v>14</v>
      </c>
      <c r="D748" s="2">
        <v>43104</v>
      </c>
      <c r="E748" s="2">
        <f t="shared" si="22"/>
        <v>43191</v>
      </c>
      <c r="F748" s="1" t="s">
        <v>15</v>
      </c>
      <c r="G748" s="1" t="s">
        <v>16</v>
      </c>
      <c r="H748" s="1">
        <v>-0.8</v>
      </c>
      <c r="I748" s="1">
        <v>0.67</v>
      </c>
      <c r="J748" s="1">
        <v>-0.01</v>
      </c>
      <c r="K748" s="1" t="s">
        <v>39</v>
      </c>
      <c r="L748" s="1">
        <v>2389</v>
      </c>
      <c r="M748" s="1">
        <v>0.62</v>
      </c>
      <c r="N748" s="1">
        <v>-0.14956</v>
      </c>
      <c r="O748" s="1">
        <f>VLOOKUP(D748,underlying!$D$2:$H$75,5,FALSE)</f>
        <v>-0.22</v>
      </c>
      <c r="P748" s="2">
        <f>VLOOKUP(D748,underlying!$D$2:$L$39,9,FALSE)</f>
        <v>43158</v>
      </c>
      <c r="Q748" s="7">
        <f>IF(G748="C",NormalCallSprd(O748,H748,M748,(P748-A748)/365), NormalPutSprd(O748,H748,M748,(P748-A748)/365))</f>
        <v>0.67486242112130523</v>
      </c>
      <c r="R748" s="9">
        <f t="shared" si="23"/>
        <v>4.8624211213051938E-3</v>
      </c>
    </row>
    <row r="749" spans="1:18" x14ac:dyDescent="0.2">
      <c r="A749" s="2">
        <v>42622</v>
      </c>
      <c r="B749" s="1" t="s">
        <v>13</v>
      </c>
      <c r="C749" s="1" t="s">
        <v>14</v>
      </c>
      <c r="D749" s="2">
        <v>43104</v>
      </c>
      <c r="E749" s="2">
        <f t="shared" si="22"/>
        <v>43191</v>
      </c>
      <c r="F749" s="1" t="s">
        <v>15</v>
      </c>
      <c r="G749" s="1" t="s">
        <v>18</v>
      </c>
      <c r="H749" s="1">
        <v>-0.8</v>
      </c>
      <c r="I749" s="1">
        <v>0.09</v>
      </c>
      <c r="J749" s="1">
        <v>0</v>
      </c>
      <c r="K749" s="1" t="s">
        <v>39</v>
      </c>
      <c r="L749" s="1">
        <v>2389</v>
      </c>
      <c r="M749" s="1">
        <v>0.62</v>
      </c>
      <c r="N749" s="1">
        <v>0</v>
      </c>
      <c r="O749" s="1">
        <f>VLOOKUP(D749,underlying!$D$2:$H$75,5,FALSE)</f>
        <v>-0.22</v>
      </c>
      <c r="P749" s="2">
        <f>VLOOKUP(D749,underlying!$D$2:$L$39,9,FALSE)</f>
        <v>43158</v>
      </c>
      <c r="Q749" s="7">
        <f>IF(G749="C",NormalCallSprd(O749,H749,M749,(P749-A749)/365), NormalPutSprd(O749,H749,M749,(P749-A749)/365))</f>
        <v>9.4862421121305163E-2</v>
      </c>
      <c r="R749" s="9">
        <f t="shared" si="23"/>
        <v>4.862421121305166E-3</v>
      </c>
    </row>
    <row r="750" spans="1:18" x14ac:dyDescent="0.2">
      <c r="A750" s="2">
        <v>42622</v>
      </c>
      <c r="B750" s="1" t="s">
        <v>13</v>
      </c>
      <c r="C750" s="1" t="s">
        <v>14</v>
      </c>
      <c r="D750" s="2">
        <v>43104</v>
      </c>
      <c r="E750" s="2">
        <f t="shared" si="22"/>
        <v>43191</v>
      </c>
      <c r="F750" s="1" t="s">
        <v>15</v>
      </c>
      <c r="G750" s="1" t="s">
        <v>16</v>
      </c>
      <c r="H750" s="1">
        <v>-0.75</v>
      </c>
      <c r="I750" s="1">
        <v>0.63</v>
      </c>
      <c r="J750" s="1">
        <v>-0.01</v>
      </c>
      <c r="K750" s="1" t="s">
        <v>39</v>
      </c>
      <c r="L750" s="1">
        <v>2389</v>
      </c>
      <c r="M750" s="1">
        <v>0.62</v>
      </c>
      <c r="N750" s="1">
        <v>-3.0009999999999998E-2</v>
      </c>
      <c r="O750" s="1">
        <f>VLOOKUP(D750,underlying!$D$2:$H$75,5,FALSE)</f>
        <v>-0.22</v>
      </c>
      <c r="P750" s="2">
        <f>VLOOKUP(D750,underlying!$D$2:$L$39,9,FALSE)</f>
        <v>43158</v>
      </c>
      <c r="Q750" s="7">
        <f>IF(G750="C",NormalCallSprd(O750,H750,M750,(P750-A750)/365), NormalPutSprd(O750,H750,M750,(P750-A750)/365))</f>
        <v>0.63636679177177291</v>
      </c>
      <c r="R750" s="9">
        <f t="shared" si="23"/>
        <v>6.3667917717729061E-3</v>
      </c>
    </row>
    <row r="751" spans="1:18" x14ac:dyDescent="0.2">
      <c r="A751" s="2">
        <v>42622</v>
      </c>
      <c r="B751" s="1" t="s">
        <v>13</v>
      </c>
      <c r="C751" s="1" t="s">
        <v>14</v>
      </c>
      <c r="D751" s="2">
        <v>43104</v>
      </c>
      <c r="E751" s="2">
        <f t="shared" si="22"/>
        <v>43191</v>
      </c>
      <c r="F751" s="1" t="s">
        <v>15</v>
      </c>
      <c r="G751" s="1" t="s">
        <v>18</v>
      </c>
      <c r="H751" s="1">
        <v>-0.75</v>
      </c>
      <c r="I751" s="1">
        <v>0.1</v>
      </c>
      <c r="J751" s="1">
        <v>0</v>
      </c>
      <c r="K751" s="1" t="s">
        <v>39</v>
      </c>
      <c r="L751" s="1">
        <v>2389</v>
      </c>
      <c r="M751" s="1">
        <v>0.62</v>
      </c>
      <c r="N751" s="1">
        <v>-6.28E-3</v>
      </c>
      <c r="O751" s="1">
        <f>VLOOKUP(D751,underlying!$D$2:$H$75,5,FALSE)</f>
        <v>-0.22</v>
      </c>
      <c r="P751" s="2">
        <f>VLOOKUP(D751,underlying!$D$2:$L$39,9,FALSE)</f>
        <v>43158</v>
      </c>
      <c r="Q751" s="7">
        <f>IF(G751="C",NormalCallSprd(O751,H751,M751,(P751-A751)/365), NormalPutSprd(O751,H751,M751,(P751-A751)/365))</f>
        <v>0.10636679177177287</v>
      </c>
      <c r="R751" s="9">
        <f t="shared" si="23"/>
        <v>6.3667917717728645E-3</v>
      </c>
    </row>
    <row r="752" spans="1:18" x14ac:dyDescent="0.2">
      <c r="A752" s="2">
        <v>42622</v>
      </c>
      <c r="B752" s="1" t="s">
        <v>13</v>
      </c>
      <c r="C752" s="1" t="s">
        <v>14</v>
      </c>
      <c r="D752" s="2">
        <v>43104</v>
      </c>
      <c r="E752" s="2">
        <f t="shared" si="22"/>
        <v>43191</v>
      </c>
      <c r="F752" s="1" t="s">
        <v>15</v>
      </c>
      <c r="G752" s="1" t="s">
        <v>16</v>
      </c>
      <c r="H752" s="1">
        <v>-0.7</v>
      </c>
      <c r="I752" s="1">
        <v>0.59</v>
      </c>
      <c r="J752" s="1">
        <v>-0.01</v>
      </c>
      <c r="K752" s="1" t="s">
        <v>39</v>
      </c>
      <c r="L752" s="1">
        <v>2389</v>
      </c>
      <c r="M752" s="1">
        <v>0.61</v>
      </c>
      <c r="N752" s="1">
        <v>0.40405999999999997</v>
      </c>
      <c r="O752" s="1">
        <f>VLOOKUP(D752,underlying!$D$2:$H$75,5,FALSE)</f>
        <v>-0.22</v>
      </c>
      <c r="P752" s="2">
        <f>VLOOKUP(D752,underlying!$D$2:$L$39,9,FALSE)</f>
        <v>43158</v>
      </c>
      <c r="Q752" s="7">
        <f>IF(G752="C",NormalCallSprd(O752,H752,M752,(P752-A752)/365), NormalPutSprd(O752,H752,M752,(P752-A752)/365))</f>
        <v>0.59497719693535811</v>
      </c>
      <c r="R752" s="9">
        <f t="shared" si="23"/>
        <v>4.9771969353581413E-3</v>
      </c>
    </row>
    <row r="753" spans="1:18" x14ac:dyDescent="0.2">
      <c r="A753" s="2">
        <v>42622</v>
      </c>
      <c r="B753" s="1" t="s">
        <v>13</v>
      </c>
      <c r="C753" s="1" t="s">
        <v>14</v>
      </c>
      <c r="D753" s="2">
        <v>43104</v>
      </c>
      <c r="E753" s="2">
        <f t="shared" si="22"/>
        <v>43191</v>
      </c>
      <c r="F753" s="1" t="s">
        <v>15</v>
      </c>
      <c r="G753" s="1" t="s">
        <v>18</v>
      </c>
      <c r="H753" s="1">
        <v>-0.7</v>
      </c>
      <c r="I753" s="1">
        <v>0.11</v>
      </c>
      <c r="J753" s="1">
        <v>0</v>
      </c>
      <c r="K753" s="1" t="s">
        <v>39</v>
      </c>
      <c r="L753" s="1">
        <v>2389</v>
      </c>
      <c r="M753" s="1">
        <v>0.61</v>
      </c>
      <c r="N753" s="1">
        <v>0.43436999999999998</v>
      </c>
      <c r="O753" s="1">
        <f>VLOOKUP(D753,underlying!$D$2:$H$75,5,FALSE)</f>
        <v>-0.22</v>
      </c>
      <c r="P753" s="2">
        <f>VLOOKUP(D753,underlying!$D$2:$L$39,9,FALSE)</f>
        <v>43158</v>
      </c>
      <c r="Q753" s="7">
        <f>IF(G753="C",NormalCallSprd(O753,H753,M753,(P753-A753)/365), NormalPutSprd(O753,H753,M753,(P753-A753)/365))</f>
        <v>0.11497719693535814</v>
      </c>
      <c r="R753" s="9">
        <f t="shared" si="23"/>
        <v>4.9771969353581413E-3</v>
      </c>
    </row>
    <row r="754" spans="1:18" x14ac:dyDescent="0.2">
      <c r="A754" s="2">
        <v>42622</v>
      </c>
      <c r="B754" s="1" t="s">
        <v>13</v>
      </c>
      <c r="C754" s="1" t="s">
        <v>14</v>
      </c>
      <c r="D754" s="2">
        <v>43104</v>
      </c>
      <c r="E754" s="2">
        <f t="shared" si="22"/>
        <v>43191</v>
      </c>
      <c r="F754" s="1" t="s">
        <v>15</v>
      </c>
      <c r="G754" s="1" t="s">
        <v>16</v>
      </c>
      <c r="H754" s="1">
        <v>-0.65</v>
      </c>
      <c r="I754" s="1">
        <v>0.55000000000000004</v>
      </c>
      <c r="J754" s="1">
        <v>-0.01</v>
      </c>
      <c r="K754" s="1" t="s">
        <v>39</v>
      </c>
      <c r="L754" s="1">
        <v>2389</v>
      </c>
      <c r="M754" s="1">
        <v>0.61</v>
      </c>
      <c r="N754" s="1">
        <v>0.46301999999999999</v>
      </c>
      <c r="O754" s="1">
        <f>VLOOKUP(D754,underlying!$D$2:$H$75,5,FALSE)</f>
        <v>-0.22</v>
      </c>
      <c r="P754" s="2">
        <f>VLOOKUP(D754,underlying!$D$2:$L$39,9,FALSE)</f>
        <v>43158</v>
      </c>
      <c r="Q754" s="7">
        <f>IF(G754="C",NormalCallSprd(O754,H754,M754,(P754-A754)/365), NormalPutSprd(O754,H754,M754,(P754-A754)/365))</f>
        <v>0.55843433719738833</v>
      </c>
      <c r="R754" s="9">
        <f t="shared" si="23"/>
        <v>8.4343371973882864E-3</v>
      </c>
    </row>
    <row r="755" spans="1:18" x14ac:dyDescent="0.2">
      <c r="A755" s="2">
        <v>42622</v>
      </c>
      <c r="B755" s="1" t="s">
        <v>13</v>
      </c>
      <c r="C755" s="1" t="s">
        <v>14</v>
      </c>
      <c r="D755" s="2">
        <v>43104</v>
      </c>
      <c r="E755" s="2">
        <f t="shared" si="22"/>
        <v>43191</v>
      </c>
      <c r="F755" s="1" t="s">
        <v>15</v>
      </c>
      <c r="G755" s="1" t="s">
        <v>18</v>
      </c>
      <c r="H755" s="1">
        <v>-0.65</v>
      </c>
      <c r="I755" s="1">
        <v>0.13</v>
      </c>
      <c r="J755" s="1">
        <v>0.01</v>
      </c>
      <c r="K755" s="1" t="s">
        <v>39</v>
      </c>
      <c r="L755" s="1">
        <v>2389</v>
      </c>
      <c r="M755" s="1">
        <v>0.61</v>
      </c>
      <c r="N755" s="1">
        <v>0.49182999999999999</v>
      </c>
      <c r="O755" s="1">
        <f>VLOOKUP(D755,underlying!$D$2:$H$75,5,FALSE)</f>
        <v>-0.22</v>
      </c>
      <c r="P755" s="2">
        <f>VLOOKUP(D755,underlying!$D$2:$L$39,9,FALSE)</f>
        <v>43158</v>
      </c>
      <c r="Q755" s="7">
        <f>IF(G755="C",NormalCallSprd(O755,H755,M755,(P755-A755)/365), NormalPutSprd(O755,H755,M755,(P755-A755)/365))</f>
        <v>0.12843433719738831</v>
      </c>
      <c r="R755" s="9">
        <f t="shared" si="23"/>
        <v>1.5656628026116948E-3</v>
      </c>
    </row>
    <row r="756" spans="1:18" x14ac:dyDescent="0.2">
      <c r="A756" s="2">
        <v>42622</v>
      </c>
      <c r="B756" s="1" t="s">
        <v>13</v>
      </c>
      <c r="C756" s="1" t="s">
        <v>14</v>
      </c>
      <c r="D756" s="2">
        <v>43104</v>
      </c>
      <c r="E756" s="2">
        <f t="shared" si="22"/>
        <v>43191</v>
      </c>
      <c r="F756" s="1" t="s">
        <v>15</v>
      </c>
      <c r="G756" s="1" t="s">
        <v>16</v>
      </c>
      <c r="H756" s="1">
        <v>-0.6</v>
      </c>
      <c r="I756" s="1">
        <v>0.51</v>
      </c>
      <c r="J756" s="1">
        <v>-0.01</v>
      </c>
      <c r="K756" s="1" t="s">
        <v>39</v>
      </c>
      <c r="L756" s="1">
        <v>2389</v>
      </c>
      <c r="M756" s="1">
        <v>0.6</v>
      </c>
      <c r="N756" s="1">
        <v>0.52063999999999999</v>
      </c>
      <c r="O756" s="1">
        <f>VLOOKUP(D756,underlying!$D$2:$H$75,5,FALSE)</f>
        <v>-0.22</v>
      </c>
      <c r="P756" s="2">
        <f>VLOOKUP(D756,underlying!$D$2:$L$39,9,FALSE)</f>
        <v>43158</v>
      </c>
      <c r="Q756" s="7">
        <f>IF(G756="C",NormalCallSprd(O756,H756,M756,(P756-A756)/365), NormalPutSprd(O756,H756,M756,(P756-A756)/365))</f>
        <v>0.51880366008942747</v>
      </c>
      <c r="R756" s="9">
        <f t="shared" si="23"/>
        <v>8.8036600894274564E-3</v>
      </c>
    </row>
    <row r="757" spans="1:18" x14ac:dyDescent="0.2">
      <c r="A757" s="2">
        <v>42622</v>
      </c>
      <c r="B757" s="1" t="s">
        <v>13</v>
      </c>
      <c r="C757" s="1" t="s">
        <v>14</v>
      </c>
      <c r="D757" s="2">
        <v>43104</v>
      </c>
      <c r="E757" s="2">
        <f t="shared" si="22"/>
        <v>43191</v>
      </c>
      <c r="F757" s="1" t="s">
        <v>15</v>
      </c>
      <c r="G757" s="1" t="s">
        <v>18</v>
      </c>
      <c r="H757" s="1">
        <v>-0.6</v>
      </c>
      <c r="I757" s="1">
        <v>0.14000000000000001</v>
      </c>
      <c r="J757" s="1">
        <v>0</v>
      </c>
      <c r="K757" s="1" t="s">
        <v>39</v>
      </c>
      <c r="L757" s="1">
        <v>2389</v>
      </c>
      <c r="M757" s="1">
        <v>0.6</v>
      </c>
      <c r="N757" s="1">
        <v>0.54928999999999994</v>
      </c>
      <c r="O757" s="1">
        <f>VLOOKUP(D757,underlying!$D$2:$H$75,5,FALSE)</f>
        <v>-0.22</v>
      </c>
      <c r="P757" s="2">
        <f>VLOOKUP(D757,underlying!$D$2:$L$39,9,FALSE)</f>
        <v>43158</v>
      </c>
      <c r="Q757" s="7">
        <f>IF(G757="C",NormalCallSprd(O757,H757,M757,(P757-A757)/365), NormalPutSprd(O757,H757,M757,(P757-A757)/365))</f>
        <v>0.13880366008942746</v>
      </c>
      <c r="R757" s="9">
        <f t="shared" si="23"/>
        <v>1.1963399105725525E-3</v>
      </c>
    </row>
    <row r="758" spans="1:18" x14ac:dyDescent="0.2">
      <c r="A758" s="2">
        <v>42622</v>
      </c>
      <c r="B758" s="1" t="s">
        <v>13</v>
      </c>
      <c r="C758" s="1" t="s">
        <v>14</v>
      </c>
      <c r="D758" s="2">
        <v>43104</v>
      </c>
      <c r="E758" s="2">
        <f t="shared" si="22"/>
        <v>43191</v>
      </c>
      <c r="F758" s="1" t="s">
        <v>15</v>
      </c>
      <c r="G758" s="1" t="s">
        <v>16</v>
      </c>
      <c r="H758" s="1">
        <v>-0.55000000000000004</v>
      </c>
      <c r="I758" s="1">
        <v>0.48</v>
      </c>
      <c r="J758" s="1">
        <v>0</v>
      </c>
      <c r="K758" s="1" t="s">
        <v>39</v>
      </c>
      <c r="L758" s="1">
        <v>2389</v>
      </c>
      <c r="M758" s="1">
        <v>0.59</v>
      </c>
      <c r="N758" s="1">
        <v>0.57764000000000004</v>
      </c>
      <c r="O758" s="1">
        <f>VLOOKUP(D758,underlying!$D$2:$H$75,5,FALSE)</f>
        <v>-0.22</v>
      </c>
      <c r="P758" s="2">
        <f>VLOOKUP(D758,underlying!$D$2:$L$39,9,FALSE)</f>
        <v>43158</v>
      </c>
      <c r="Q758" s="7">
        <f>IF(G758="C",NormalCallSprd(O758,H758,M758,(P758-A758)/365), NormalPutSprd(O758,H758,M758,(P758-A758)/365))</f>
        <v>0.48008601778619181</v>
      </c>
      <c r="R758" s="9">
        <f t="shared" si="23"/>
        <v>8.601778619182765E-5</v>
      </c>
    </row>
    <row r="759" spans="1:18" x14ac:dyDescent="0.2">
      <c r="A759" s="2">
        <v>42622</v>
      </c>
      <c r="B759" s="1" t="s">
        <v>13</v>
      </c>
      <c r="C759" s="1" t="s">
        <v>14</v>
      </c>
      <c r="D759" s="2">
        <v>43104</v>
      </c>
      <c r="E759" s="2">
        <f t="shared" si="22"/>
        <v>43191</v>
      </c>
      <c r="F759" s="1" t="s">
        <v>15</v>
      </c>
      <c r="G759" s="1" t="s">
        <v>18</v>
      </c>
      <c r="H759" s="1">
        <v>-0.55000000000000004</v>
      </c>
      <c r="I759" s="1">
        <v>0.15</v>
      </c>
      <c r="J759" s="1">
        <v>0</v>
      </c>
      <c r="K759" s="1" t="s">
        <v>39</v>
      </c>
      <c r="L759" s="1">
        <v>2389</v>
      </c>
      <c r="M759" s="1">
        <v>0.59</v>
      </c>
      <c r="N759" s="1">
        <v>0.60306999999999999</v>
      </c>
      <c r="O759" s="1">
        <f>VLOOKUP(D759,underlying!$D$2:$H$75,5,FALSE)</f>
        <v>-0.22</v>
      </c>
      <c r="P759" s="2">
        <f>VLOOKUP(D759,underlying!$D$2:$L$39,9,FALSE)</f>
        <v>43158</v>
      </c>
      <c r="Q759" s="7">
        <f>IF(G759="C",NormalCallSprd(O759,H759,M759,(P759-A759)/365), NormalPutSprd(O759,H759,M759,(P759-A759)/365))</f>
        <v>0.15008601778619177</v>
      </c>
      <c r="R759" s="9">
        <f t="shared" si="23"/>
        <v>8.6017786191772139E-5</v>
      </c>
    </row>
    <row r="760" spans="1:18" x14ac:dyDescent="0.2">
      <c r="A760" s="2">
        <v>42622</v>
      </c>
      <c r="B760" s="1" t="s">
        <v>13</v>
      </c>
      <c r="C760" s="1" t="s">
        <v>14</v>
      </c>
      <c r="D760" s="2">
        <v>43104</v>
      </c>
      <c r="E760" s="2">
        <f t="shared" si="22"/>
        <v>43191</v>
      </c>
      <c r="F760" s="1" t="s">
        <v>15</v>
      </c>
      <c r="G760" s="1" t="s">
        <v>16</v>
      </c>
      <c r="H760" s="1">
        <v>-0.5</v>
      </c>
      <c r="I760" s="1">
        <v>0.44</v>
      </c>
      <c r="J760" s="1">
        <v>-0.01</v>
      </c>
      <c r="K760" s="1" t="s">
        <v>39</v>
      </c>
      <c r="L760" s="1">
        <v>2389</v>
      </c>
      <c r="M760" s="1">
        <v>0.59</v>
      </c>
      <c r="N760" s="1">
        <v>0.62695000000000001</v>
      </c>
      <c r="O760" s="1">
        <f>VLOOKUP(D760,underlying!$D$2:$H$75,5,FALSE)</f>
        <v>-0.22</v>
      </c>
      <c r="P760" s="2">
        <f>VLOOKUP(D760,underlying!$D$2:$L$39,9,FALSE)</f>
        <v>43158</v>
      </c>
      <c r="Q760" s="7">
        <f>IF(G760="C",NormalCallSprd(O760,H760,M760,(P760-A760)/365), NormalPutSprd(O760,H760,M760,(P760-A760)/365))</f>
        <v>0.44682952888377564</v>
      </c>
      <c r="R760" s="9">
        <f t="shared" si="23"/>
        <v>6.8295288837756374E-3</v>
      </c>
    </row>
    <row r="761" spans="1:18" x14ac:dyDescent="0.2">
      <c r="A761" s="2">
        <v>42622</v>
      </c>
      <c r="B761" s="1" t="s">
        <v>13</v>
      </c>
      <c r="C761" s="1" t="s">
        <v>14</v>
      </c>
      <c r="D761" s="2">
        <v>43104</v>
      </c>
      <c r="E761" s="2">
        <f t="shared" si="22"/>
        <v>43191</v>
      </c>
      <c r="F761" s="1" t="s">
        <v>15</v>
      </c>
      <c r="G761" s="1" t="s">
        <v>18</v>
      </c>
      <c r="H761" s="1">
        <v>-0.5</v>
      </c>
      <c r="I761" s="1">
        <v>0.16</v>
      </c>
      <c r="J761" s="1">
        <v>0</v>
      </c>
      <c r="K761" s="1" t="s">
        <v>39</v>
      </c>
      <c r="L761" s="1">
        <v>2389</v>
      </c>
      <c r="M761" s="1">
        <v>0.59</v>
      </c>
      <c r="N761" s="1">
        <v>0.64931000000000005</v>
      </c>
      <c r="O761" s="1">
        <f>VLOOKUP(D761,underlying!$D$2:$H$75,5,FALSE)</f>
        <v>-0.22</v>
      </c>
      <c r="P761" s="2">
        <f>VLOOKUP(D761,underlying!$D$2:$L$39,9,FALSE)</f>
        <v>43158</v>
      </c>
      <c r="Q761" s="7">
        <f>IF(G761="C",NormalCallSprd(O761,H761,M761,(P761-A761)/365), NormalPutSprd(O761,H761,M761,(P761-A761)/365))</f>
        <v>0.16682952888377564</v>
      </c>
      <c r="R761" s="9">
        <f t="shared" si="23"/>
        <v>6.8295288837756374E-3</v>
      </c>
    </row>
    <row r="762" spans="1:18" x14ac:dyDescent="0.2">
      <c r="A762" s="2">
        <v>42622</v>
      </c>
      <c r="B762" s="1" t="s">
        <v>13</v>
      </c>
      <c r="C762" s="1" t="s">
        <v>14</v>
      </c>
      <c r="D762" s="2">
        <v>43104</v>
      </c>
      <c r="E762" s="2">
        <f t="shared" si="22"/>
        <v>43191</v>
      </c>
      <c r="F762" s="1" t="s">
        <v>15</v>
      </c>
      <c r="G762" s="1" t="s">
        <v>16</v>
      </c>
      <c r="H762" s="1">
        <v>-0.45</v>
      </c>
      <c r="I762" s="1">
        <v>0.41</v>
      </c>
      <c r="J762" s="1">
        <v>0</v>
      </c>
      <c r="K762" s="1" t="s">
        <v>39</v>
      </c>
      <c r="L762" s="1">
        <v>2389</v>
      </c>
      <c r="M762" s="1">
        <v>0.57999999999999996</v>
      </c>
      <c r="N762" s="1">
        <v>0.67373000000000005</v>
      </c>
      <c r="O762" s="1">
        <f>VLOOKUP(D762,underlying!$D$2:$H$75,5,FALSE)</f>
        <v>-0.22</v>
      </c>
      <c r="P762" s="2">
        <f>VLOOKUP(D762,underlying!$D$2:$L$39,9,FALSE)</f>
        <v>43158</v>
      </c>
      <c r="Q762" s="7">
        <f>IF(G762="C",NormalCallSprd(O762,H762,M762,(P762-A762)/365), NormalPutSprd(O762,H762,M762,(P762-A762)/365))</f>
        <v>0.41027802206490233</v>
      </c>
      <c r="R762" s="9">
        <f t="shared" si="23"/>
        <v>2.7802206490235015E-4</v>
      </c>
    </row>
    <row r="763" spans="1:18" x14ac:dyDescent="0.2">
      <c r="A763" s="2">
        <v>42622</v>
      </c>
      <c r="B763" s="1" t="s">
        <v>13</v>
      </c>
      <c r="C763" s="1" t="s">
        <v>14</v>
      </c>
      <c r="D763" s="2">
        <v>43104</v>
      </c>
      <c r="E763" s="2">
        <f t="shared" si="22"/>
        <v>43191</v>
      </c>
      <c r="F763" s="1" t="s">
        <v>15</v>
      </c>
      <c r="G763" s="1" t="s">
        <v>18</v>
      </c>
      <c r="H763" s="1">
        <v>-0.45</v>
      </c>
      <c r="I763" s="1">
        <v>0.18</v>
      </c>
      <c r="J763" s="1">
        <v>0</v>
      </c>
      <c r="K763" s="1" t="s">
        <v>39</v>
      </c>
      <c r="L763" s="1">
        <v>2389</v>
      </c>
      <c r="M763" s="1">
        <v>0.57999999999999996</v>
      </c>
      <c r="N763" s="1">
        <v>0.69347999999999999</v>
      </c>
      <c r="O763" s="1">
        <f>VLOOKUP(D763,underlying!$D$2:$H$75,5,FALSE)</f>
        <v>-0.22</v>
      </c>
      <c r="P763" s="2">
        <f>VLOOKUP(D763,underlying!$D$2:$L$39,9,FALSE)</f>
        <v>43158</v>
      </c>
      <c r="Q763" s="7">
        <f>IF(G763="C",NormalCallSprd(O763,H763,M763,(P763-A763)/365), NormalPutSprd(O763,H763,M763,(P763-A763)/365))</f>
        <v>0.18027802206490232</v>
      </c>
      <c r="R763" s="9">
        <f t="shared" si="23"/>
        <v>2.780220649023224E-4</v>
      </c>
    </row>
    <row r="764" spans="1:18" x14ac:dyDescent="0.2">
      <c r="A764" s="2">
        <v>42622</v>
      </c>
      <c r="B764" s="1" t="s">
        <v>13</v>
      </c>
      <c r="C764" s="1" t="s">
        <v>14</v>
      </c>
      <c r="D764" s="2">
        <v>43104</v>
      </c>
      <c r="E764" s="2">
        <f t="shared" si="22"/>
        <v>43191</v>
      </c>
      <c r="F764" s="1" t="s">
        <v>15</v>
      </c>
      <c r="G764" s="1" t="s">
        <v>16</v>
      </c>
      <c r="H764" s="1">
        <v>-0.4</v>
      </c>
      <c r="I764" s="1">
        <v>0.38</v>
      </c>
      <c r="J764" s="1">
        <v>0</v>
      </c>
      <c r="K764" s="1" t="s">
        <v>39</v>
      </c>
      <c r="L764" s="1">
        <v>2389</v>
      </c>
      <c r="M764" s="1">
        <v>0.57999999999999996</v>
      </c>
      <c r="N764" s="1">
        <v>0.71186000000000005</v>
      </c>
      <c r="O764" s="1">
        <f>VLOOKUP(D764,underlying!$D$2:$H$75,5,FALSE)</f>
        <v>-0.22</v>
      </c>
      <c r="P764" s="2">
        <f>VLOOKUP(D764,underlying!$D$2:$L$39,9,FALSE)</f>
        <v>43158</v>
      </c>
      <c r="Q764" s="7">
        <f>IF(G764="C",NormalCallSprd(O764,H764,M764,(P764-A764)/365), NormalPutSprd(O764,H764,M764,(P764-A764)/365))</f>
        <v>0.37954269511137595</v>
      </c>
      <c r="R764" s="9">
        <f t="shared" si="23"/>
        <v>4.5730488862405494E-4</v>
      </c>
    </row>
    <row r="765" spans="1:18" x14ac:dyDescent="0.2">
      <c r="A765" s="2">
        <v>42622</v>
      </c>
      <c r="B765" s="1" t="s">
        <v>13</v>
      </c>
      <c r="C765" s="1" t="s">
        <v>14</v>
      </c>
      <c r="D765" s="2">
        <v>43104</v>
      </c>
      <c r="E765" s="2">
        <f t="shared" si="22"/>
        <v>43191</v>
      </c>
      <c r="F765" s="1" t="s">
        <v>15</v>
      </c>
      <c r="G765" s="1" t="s">
        <v>18</v>
      </c>
      <c r="H765" s="1">
        <v>-0.4</v>
      </c>
      <c r="I765" s="1">
        <v>0.2</v>
      </c>
      <c r="J765" s="1">
        <v>0.01</v>
      </c>
      <c r="K765" s="1" t="s">
        <v>39</v>
      </c>
      <c r="L765" s="1">
        <v>2389</v>
      </c>
      <c r="M765" s="1">
        <v>0.57999999999999996</v>
      </c>
      <c r="N765" s="1">
        <v>0.73312999999999995</v>
      </c>
      <c r="O765" s="1">
        <f>VLOOKUP(D765,underlying!$D$2:$H$75,5,FALSE)</f>
        <v>-0.22</v>
      </c>
      <c r="P765" s="2">
        <f>VLOOKUP(D765,underlying!$D$2:$L$39,9,FALSE)</f>
        <v>43158</v>
      </c>
      <c r="Q765" s="7">
        <f>IF(G765="C",NormalCallSprd(O765,H765,M765,(P765-A765)/365), NormalPutSprd(O765,H765,M765,(P765-A765)/365))</f>
        <v>0.19954269511137593</v>
      </c>
      <c r="R765" s="9">
        <f t="shared" si="23"/>
        <v>4.5730488862408269E-4</v>
      </c>
    </row>
    <row r="766" spans="1:18" x14ac:dyDescent="0.2">
      <c r="A766" s="2">
        <v>42622</v>
      </c>
      <c r="B766" s="1" t="s">
        <v>13</v>
      </c>
      <c r="C766" s="1" t="s">
        <v>14</v>
      </c>
      <c r="D766" s="2">
        <v>43104</v>
      </c>
      <c r="E766" s="2">
        <f t="shared" si="22"/>
        <v>43191</v>
      </c>
      <c r="F766" s="1" t="s">
        <v>15</v>
      </c>
      <c r="G766" s="1" t="s">
        <v>16</v>
      </c>
      <c r="H766" s="1">
        <v>-0.35</v>
      </c>
      <c r="I766" s="1">
        <v>0.34</v>
      </c>
      <c r="J766" s="1">
        <v>-0.01</v>
      </c>
      <c r="K766" s="1" t="s">
        <v>39</v>
      </c>
      <c r="L766" s="1">
        <v>2389</v>
      </c>
      <c r="M766" s="1">
        <v>0.56999999999999995</v>
      </c>
      <c r="N766" s="1">
        <v>0.74909999999999999</v>
      </c>
      <c r="O766" s="1">
        <f>VLOOKUP(D766,underlying!$D$2:$H$75,5,FALSE)</f>
        <v>-0.22</v>
      </c>
      <c r="P766" s="2">
        <f>VLOOKUP(D766,underlying!$D$2:$L$39,9,FALSE)</f>
        <v>43158</v>
      </c>
      <c r="Q766" s="7">
        <f>IF(G766="C",NormalCallSprd(O766,H766,M766,(P766-A766)/365), NormalPutSprd(O766,H766,M766,(P766-A766)/365))</f>
        <v>0.34542903829701427</v>
      </c>
      <c r="R766" s="9">
        <f t="shared" si="23"/>
        <v>5.4290382970142437E-3</v>
      </c>
    </row>
    <row r="767" spans="1:18" x14ac:dyDescent="0.2">
      <c r="A767" s="2">
        <v>42622</v>
      </c>
      <c r="B767" s="1" t="s">
        <v>13</v>
      </c>
      <c r="C767" s="1" t="s">
        <v>14</v>
      </c>
      <c r="D767" s="2">
        <v>43104</v>
      </c>
      <c r="E767" s="2">
        <f t="shared" si="22"/>
        <v>43191</v>
      </c>
      <c r="F767" s="1" t="s">
        <v>15</v>
      </c>
      <c r="G767" s="1" t="s">
        <v>18</v>
      </c>
      <c r="H767" s="1">
        <v>-0.35</v>
      </c>
      <c r="I767" s="1">
        <v>0.21</v>
      </c>
      <c r="J767" s="1">
        <v>0</v>
      </c>
      <c r="K767" s="1" t="s">
        <v>39</v>
      </c>
      <c r="L767" s="1">
        <v>2389</v>
      </c>
      <c r="M767" s="1">
        <v>0.56999999999999995</v>
      </c>
      <c r="N767" s="1">
        <v>0.81301999999999996</v>
      </c>
      <c r="O767" s="1">
        <f>VLOOKUP(D767,underlying!$D$2:$H$75,5,FALSE)</f>
        <v>-0.22</v>
      </c>
      <c r="P767" s="2">
        <f>VLOOKUP(D767,underlying!$D$2:$L$39,9,FALSE)</f>
        <v>43158</v>
      </c>
      <c r="Q767" s="7">
        <f>IF(G767="C",NormalCallSprd(O767,H767,M767,(P767-A767)/365), NormalPutSprd(O767,H767,M767,(P767-A767)/365))</f>
        <v>0.21542903829701429</v>
      </c>
      <c r="R767" s="9">
        <f t="shared" si="23"/>
        <v>5.4290382970142992E-3</v>
      </c>
    </row>
    <row r="768" spans="1:18" x14ac:dyDescent="0.2">
      <c r="A768" s="2">
        <v>42622</v>
      </c>
      <c r="B768" s="1" t="s">
        <v>13</v>
      </c>
      <c r="C768" s="1" t="s">
        <v>14</v>
      </c>
      <c r="D768" s="2">
        <v>43104</v>
      </c>
      <c r="E768" s="2">
        <f t="shared" si="22"/>
        <v>43191</v>
      </c>
      <c r="F768" s="1" t="s">
        <v>15</v>
      </c>
      <c r="G768" s="1" t="s">
        <v>16</v>
      </c>
      <c r="H768" s="1">
        <v>-0.3</v>
      </c>
      <c r="I768" s="1">
        <v>0.31</v>
      </c>
      <c r="J768" s="1">
        <v>-0.01</v>
      </c>
      <c r="K768" s="1" t="s">
        <v>39</v>
      </c>
      <c r="L768" s="1">
        <v>2389</v>
      </c>
      <c r="M768" s="1">
        <v>0.56000000000000005</v>
      </c>
      <c r="N768" s="1">
        <v>0.93391000000000002</v>
      </c>
      <c r="O768" s="1">
        <f>VLOOKUP(D768,underlying!$D$2:$H$75,5,FALSE)</f>
        <v>-0.22</v>
      </c>
      <c r="P768" s="2">
        <f>VLOOKUP(D768,underlying!$D$2:$L$39,9,FALSE)</f>
        <v>43158</v>
      </c>
      <c r="Q768" s="7">
        <f>IF(G768="C",NormalCallSprd(O768,H768,M768,(P768-A768)/365), NormalPutSprd(O768,H768,M768,(P768-A768)/365))</f>
        <v>0.31260757796546862</v>
      </c>
      <c r="R768" s="9">
        <f t="shared" si="23"/>
        <v>2.6075779654686215E-3</v>
      </c>
    </row>
    <row r="769" spans="1:18" x14ac:dyDescent="0.2">
      <c r="A769" s="2">
        <v>42622</v>
      </c>
      <c r="B769" s="1" t="s">
        <v>13</v>
      </c>
      <c r="C769" s="1" t="s">
        <v>14</v>
      </c>
      <c r="D769" s="2">
        <v>43104</v>
      </c>
      <c r="E769" s="2">
        <f t="shared" si="22"/>
        <v>43191</v>
      </c>
      <c r="F769" s="1" t="s">
        <v>15</v>
      </c>
      <c r="G769" s="1" t="s">
        <v>18</v>
      </c>
      <c r="H769" s="1">
        <v>-0.3</v>
      </c>
      <c r="I769" s="1">
        <v>0.23</v>
      </c>
      <c r="J769" s="1">
        <v>0</v>
      </c>
      <c r="K769" s="1" t="s">
        <v>39</v>
      </c>
      <c r="L769" s="1">
        <v>2389</v>
      </c>
      <c r="M769" s="1">
        <v>0.56000000000000005</v>
      </c>
      <c r="N769" s="1">
        <v>0.97116000000000002</v>
      </c>
      <c r="O769" s="1">
        <f>VLOOKUP(D769,underlying!$D$2:$H$75,5,FALSE)</f>
        <v>-0.22</v>
      </c>
      <c r="P769" s="2">
        <f>VLOOKUP(D769,underlying!$D$2:$L$39,9,FALSE)</f>
        <v>43158</v>
      </c>
      <c r="Q769" s="7">
        <f>IF(G769="C",NormalCallSprd(O769,H769,M769,(P769-A769)/365), NormalPutSprd(O769,H769,M769,(P769-A769)/365))</f>
        <v>0.2326075779654686</v>
      </c>
      <c r="R769" s="9">
        <f t="shared" si="23"/>
        <v>2.6075779654685938E-3</v>
      </c>
    </row>
    <row r="770" spans="1:18" x14ac:dyDescent="0.2">
      <c r="A770" s="2">
        <v>42622</v>
      </c>
      <c r="B770" s="1" t="s">
        <v>13</v>
      </c>
      <c r="C770" s="1" t="s">
        <v>14</v>
      </c>
      <c r="D770" s="2">
        <v>43104</v>
      </c>
      <c r="E770" s="2">
        <f t="shared" ref="E770:E833" si="24">DATE(YEAR(D770),DAY(D770),MONTH(D770))</f>
        <v>43191</v>
      </c>
      <c r="F770" s="1" t="s">
        <v>15</v>
      </c>
      <c r="G770" s="1" t="s">
        <v>16</v>
      </c>
      <c r="H770" s="1">
        <v>-0.25</v>
      </c>
      <c r="I770" s="1">
        <v>0.28000000000000003</v>
      </c>
      <c r="J770" s="1">
        <v>-0.01</v>
      </c>
      <c r="K770" s="1" t="s">
        <v>39</v>
      </c>
      <c r="L770" s="1">
        <v>2389</v>
      </c>
      <c r="M770" s="1">
        <v>0.56000000000000005</v>
      </c>
      <c r="N770" s="1">
        <v>-0.5796</v>
      </c>
      <c r="O770" s="1">
        <f>VLOOKUP(D770,underlying!$D$2:$H$75,5,FALSE)</f>
        <v>-0.22</v>
      </c>
      <c r="P770" s="2">
        <f>VLOOKUP(D770,underlying!$D$2:$L$39,9,FALSE)</f>
        <v>43158</v>
      </c>
      <c r="Q770" s="7">
        <f>IF(G770="C",NormalCallSprd(O770,H770,M770,(P770-A770)/365), NormalPutSprd(O770,H770,M770,(P770-A770)/365))</f>
        <v>0.2859930502261524</v>
      </c>
      <c r="R770" s="9">
        <f t="shared" si="23"/>
        <v>5.9930502261523744E-3</v>
      </c>
    </row>
    <row r="771" spans="1:18" x14ac:dyDescent="0.2">
      <c r="A771" s="2">
        <v>42622</v>
      </c>
      <c r="B771" s="1" t="s">
        <v>13</v>
      </c>
      <c r="C771" s="1" t="s">
        <v>14</v>
      </c>
      <c r="D771" s="2">
        <v>43104</v>
      </c>
      <c r="E771" s="2">
        <f t="shared" si="24"/>
        <v>43191</v>
      </c>
      <c r="F771" s="1" t="s">
        <v>15</v>
      </c>
      <c r="G771" s="1" t="s">
        <v>18</v>
      </c>
      <c r="H771" s="1">
        <v>-0.25</v>
      </c>
      <c r="I771" s="1">
        <v>0.25</v>
      </c>
      <c r="J771" s="1">
        <v>0</v>
      </c>
      <c r="K771" s="1" t="s">
        <v>39</v>
      </c>
      <c r="L771" s="1">
        <v>2389</v>
      </c>
      <c r="M771" s="1">
        <v>0.56000000000000005</v>
      </c>
      <c r="N771" s="1">
        <v>-0.54928999999999994</v>
      </c>
      <c r="O771" s="1">
        <f>VLOOKUP(D771,underlying!$D$2:$H$75,5,FALSE)</f>
        <v>-0.22</v>
      </c>
      <c r="P771" s="2">
        <f>VLOOKUP(D771,underlying!$D$2:$L$39,9,FALSE)</f>
        <v>43158</v>
      </c>
      <c r="Q771" s="7">
        <f>IF(G771="C",NormalCallSprd(O771,H771,M771,(P771-A771)/365), NormalPutSprd(O771,H771,M771,(P771-A771)/365))</f>
        <v>0.25599305022615243</v>
      </c>
      <c r="R771" s="9">
        <f t="shared" ref="R771:R834" si="25">ABS(Q771-I771)</f>
        <v>5.9930502261524299E-3</v>
      </c>
    </row>
    <row r="772" spans="1:18" x14ac:dyDescent="0.2">
      <c r="A772" s="2">
        <v>42622</v>
      </c>
      <c r="B772" s="1" t="s">
        <v>13</v>
      </c>
      <c r="C772" s="1" t="s">
        <v>14</v>
      </c>
      <c r="D772" s="2">
        <v>43104</v>
      </c>
      <c r="E772" s="2">
        <f t="shared" si="24"/>
        <v>43191</v>
      </c>
      <c r="F772" s="1" t="s">
        <v>15</v>
      </c>
      <c r="G772" s="1" t="s">
        <v>16</v>
      </c>
      <c r="H772" s="1">
        <v>-0.2</v>
      </c>
      <c r="I772" s="1">
        <v>0.25</v>
      </c>
      <c r="J772" s="1">
        <v>-0.01</v>
      </c>
      <c r="K772" s="1" t="s">
        <v>39</v>
      </c>
      <c r="L772" s="1">
        <v>2389</v>
      </c>
      <c r="M772" s="1">
        <v>0.55000000000000004</v>
      </c>
      <c r="N772" s="1">
        <v>-0.52063999999999999</v>
      </c>
      <c r="O772" s="1">
        <f>VLOOKUP(D772,underlying!$D$2:$H$75,5,FALSE)</f>
        <v>-0.22</v>
      </c>
      <c r="P772" s="2">
        <f>VLOOKUP(D772,underlying!$D$2:$L$39,9,FALSE)</f>
        <v>43158</v>
      </c>
      <c r="Q772" s="7">
        <f>IF(G772="C",NormalCallSprd(O772,H772,M772,(P772-A772)/365), NormalPutSprd(O772,H772,M772,(P772-A772)/365))</f>
        <v>0.25601381456167882</v>
      </c>
      <c r="R772" s="9">
        <f t="shared" si="25"/>
        <v>6.0138145616788208E-3</v>
      </c>
    </row>
    <row r="773" spans="1:18" x14ac:dyDescent="0.2">
      <c r="A773" s="2">
        <v>42622</v>
      </c>
      <c r="B773" s="1" t="s">
        <v>13</v>
      </c>
      <c r="C773" s="1" t="s">
        <v>14</v>
      </c>
      <c r="D773" s="2">
        <v>43104</v>
      </c>
      <c r="E773" s="2">
        <f t="shared" si="24"/>
        <v>43191</v>
      </c>
      <c r="F773" s="1" t="s">
        <v>15</v>
      </c>
      <c r="G773" s="1" t="s">
        <v>18</v>
      </c>
      <c r="H773" s="1">
        <v>-0.2</v>
      </c>
      <c r="I773" s="1">
        <v>0.27</v>
      </c>
      <c r="J773" s="1">
        <v>0</v>
      </c>
      <c r="K773" s="1" t="s">
        <v>39</v>
      </c>
      <c r="L773" s="1">
        <v>2389</v>
      </c>
      <c r="M773" s="1">
        <v>0.55000000000000004</v>
      </c>
      <c r="N773" s="1">
        <v>-0.49182999999999999</v>
      </c>
      <c r="O773" s="1">
        <f>VLOOKUP(D773,underlying!$D$2:$H$75,5,FALSE)</f>
        <v>-0.22</v>
      </c>
      <c r="P773" s="2">
        <f>VLOOKUP(D773,underlying!$D$2:$L$39,9,FALSE)</f>
        <v>43158</v>
      </c>
      <c r="Q773" s="7">
        <f>IF(G773="C",NormalCallSprd(O773,H773,M773,(P773-A773)/365), NormalPutSprd(O773,H773,M773,(P773-A773)/365))</f>
        <v>0.27601381456167884</v>
      </c>
      <c r="R773" s="9">
        <f t="shared" si="25"/>
        <v>6.0138145616788208E-3</v>
      </c>
    </row>
    <row r="774" spans="1:18" x14ac:dyDescent="0.2">
      <c r="A774" s="2">
        <v>42622</v>
      </c>
      <c r="B774" s="1" t="s">
        <v>13</v>
      </c>
      <c r="C774" s="1" t="s">
        <v>14</v>
      </c>
      <c r="D774" s="2">
        <v>43104</v>
      </c>
      <c r="E774" s="2">
        <f t="shared" si="24"/>
        <v>43191</v>
      </c>
      <c r="F774" s="1" t="s">
        <v>15</v>
      </c>
      <c r="G774" s="1" t="s">
        <v>16</v>
      </c>
      <c r="H774" s="1">
        <v>-0.15</v>
      </c>
      <c r="I774" s="1">
        <v>0.23</v>
      </c>
      <c r="J774" s="1">
        <v>-0.01</v>
      </c>
      <c r="K774" s="1" t="s">
        <v>39</v>
      </c>
      <c r="L774" s="1">
        <v>2389</v>
      </c>
      <c r="M774" s="1">
        <v>0.55000000000000004</v>
      </c>
      <c r="N774" s="1">
        <v>-0.46301999999999999</v>
      </c>
      <c r="O774" s="1">
        <f>VLOOKUP(D774,underlying!$D$2:$H$75,5,FALSE)</f>
        <v>-0.22</v>
      </c>
      <c r="P774" s="2">
        <f>VLOOKUP(D774,underlying!$D$2:$L$39,9,FALSE)</f>
        <v>43158</v>
      </c>
      <c r="Q774" s="7">
        <f>IF(G774="C",NormalCallSprd(O774,H774,M774,(P774-A774)/365), NormalPutSprd(O774,H774,M774,(P774-A774)/365))</f>
        <v>0.23235924855816842</v>
      </c>
      <c r="R774" s="9">
        <f t="shared" si="25"/>
        <v>2.3592485581684086E-3</v>
      </c>
    </row>
    <row r="775" spans="1:18" x14ac:dyDescent="0.2">
      <c r="A775" s="2">
        <v>42622</v>
      </c>
      <c r="B775" s="1" t="s">
        <v>13</v>
      </c>
      <c r="C775" s="1" t="s">
        <v>14</v>
      </c>
      <c r="D775" s="2">
        <v>43104</v>
      </c>
      <c r="E775" s="2">
        <f t="shared" si="24"/>
        <v>43191</v>
      </c>
      <c r="F775" s="1" t="s">
        <v>15</v>
      </c>
      <c r="G775" s="1" t="s">
        <v>18</v>
      </c>
      <c r="H775" s="1">
        <v>-0.15</v>
      </c>
      <c r="I775" s="1">
        <v>0.3</v>
      </c>
      <c r="J775" s="1">
        <v>0.01</v>
      </c>
      <c r="K775" s="1" t="s">
        <v>39</v>
      </c>
      <c r="L775" s="1">
        <v>2389</v>
      </c>
      <c r="M775" s="1">
        <v>0.55000000000000004</v>
      </c>
      <c r="N775" s="1">
        <v>-0.43436999999999998</v>
      </c>
      <c r="O775" s="1">
        <f>VLOOKUP(D775,underlying!$D$2:$H$75,5,FALSE)</f>
        <v>-0.22</v>
      </c>
      <c r="P775" s="2">
        <f>VLOOKUP(D775,underlying!$D$2:$L$39,9,FALSE)</f>
        <v>43158</v>
      </c>
      <c r="Q775" s="7">
        <f>IF(G775="C",NormalCallSprd(O775,H775,M775,(P775-A775)/365), NormalPutSprd(O775,H775,M775,(P775-A775)/365))</f>
        <v>0.30235924855816843</v>
      </c>
      <c r="R775" s="9">
        <f t="shared" si="25"/>
        <v>2.3592485581684364E-3</v>
      </c>
    </row>
    <row r="776" spans="1:18" x14ac:dyDescent="0.2">
      <c r="A776" s="2">
        <v>42622</v>
      </c>
      <c r="B776" s="1" t="s">
        <v>13</v>
      </c>
      <c r="C776" s="1" t="s">
        <v>14</v>
      </c>
      <c r="D776" s="2">
        <v>43104</v>
      </c>
      <c r="E776" s="2">
        <f t="shared" si="24"/>
        <v>43191</v>
      </c>
      <c r="F776" s="1" t="s">
        <v>15</v>
      </c>
      <c r="G776" s="1" t="s">
        <v>16</v>
      </c>
      <c r="H776" s="1">
        <v>-0.1</v>
      </c>
      <c r="I776" s="1">
        <v>0.21</v>
      </c>
      <c r="J776" s="1">
        <v>0</v>
      </c>
      <c r="K776" s="1" t="s">
        <v>39</v>
      </c>
      <c r="L776" s="1">
        <v>2389</v>
      </c>
      <c r="M776" s="1">
        <v>0.55000000000000004</v>
      </c>
      <c r="N776" s="1">
        <v>-0.40601999999999999</v>
      </c>
      <c r="O776" s="1">
        <f>VLOOKUP(D776,underlying!$D$2:$H$75,5,FALSE)</f>
        <v>-0.22</v>
      </c>
      <c r="P776" s="2">
        <f>VLOOKUP(D776,underlying!$D$2:$L$39,9,FALSE)</f>
        <v>43158</v>
      </c>
      <c r="Q776" s="7">
        <f>IF(G776="C",NormalCallSprd(O776,H776,M776,(P776-A776)/365), NormalPutSprd(O776,H776,M776,(P776-A776)/365))</f>
        <v>0.21019217508422644</v>
      </c>
      <c r="R776" s="9">
        <f t="shared" si="25"/>
        <v>1.9217508422644802E-4</v>
      </c>
    </row>
    <row r="777" spans="1:18" x14ac:dyDescent="0.2">
      <c r="A777" s="2">
        <v>42622</v>
      </c>
      <c r="B777" s="1" t="s">
        <v>13</v>
      </c>
      <c r="C777" s="1" t="s">
        <v>14</v>
      </c>
      <c r="D777" s="2">
        <v>43104</v>
      </c>
      <c r="E777" s="2">
        <f t="shared" si="24"/>
        <v>43191</v>
      </c>
      <c r="F777" s="1" t="s">
        <v>15</v>
      </c>
      <c r="G777" s="1" t="s">
        <v>18</v>
      </c>
      <c r="H777" s="1">
        <v>-0.1</v>
      </c>
      <c r="I777" s="1">
        <v>0.33</v>
      </c>
      <c r="J777" s="1">
        <v>0.01</v>
      </c>
      <c r="K777" s="1" t="s">
        <v>39</v>
      </c>
      <c r="L777" s="1">
        <v>2389</v>
      </c>
      <c r="M777" s="1">
        <v>0.55000000000000004</v>
      </c>
      <c r="N777" s="1">
        <v>-0.38058999999999998</v>
      </c>
      <c r="O777" s="1">
        <f>VLOOKUP(D777,underlying!$D$2:$H$75,5,FALSE)</f>
        <v>-0.22</v>
      </c>
      <c r="P777" s="2">
        <f>VLOOKUP(D777,underlying!$D$2:$L$39,9,FALSE)</f>
        <v>43158</v>
      </c>
      <c r="Q777" s="7">
        <f>IF(G777="C",NormalCallSprd(O777,H777,M777,(P777-A777)/365), NormalPutSprd(O777,H777,M777,(P777-A777)/365))</f>
        <v>0.33019217508422644</v>
      </c>
      <c r="R777" s="9">
        <f t="shared" si="25"/>
        <v>1.9217508422642027E-4</v>
      </c>
    </row>
    <row r="778" spans="1:18" x14ac:dyDescent="0.2">
      <c r="A778" s="2">
        <v>42622</v>
      </c>
      <c r="B778" s="1" t="s">
        <v>13</v>
      </c>
      <c r="C778" s="1" t="s">
        <v>14</v>
      </c>
      <c r="D778" s="2">
        <v>43104</v>
      </c>
      <c r="E778" s="2">
        <f t="shared" si="24"/>
        <v>43191</v>
      </c>
      <c r="F778" s="1" t="s">
        <v>15</v>
      </c>
      <c r="G778" s="1" t="s">
        <v>16</v>
      </c>
      <c r="H778" s="1">
        <v>-0.05</v>
      </c>
      <c r="I778" s="1">
        <v>0.19</v>
      </c>
      <c r="J778" s="1">
        <v>0</v>
      </c>
      <c r="K778" s="1" t="s">
        <v>39</v>
      </c>
      <c r="L778" s="1">
        <v>2389</v>
      </c>
      <c r="M778" s="1">
        <v>0.55000000000000004</v>
      </c>
      <c r="N778" s="1">
        <v>-0.35671000000000003</v>
      </c>
      <c r="O778" s="1">
        <f>VLOOKUP(D778,underlying!$D$2:$H$75,5,FALSE)</f>
        <v>-0.22</v>
      </c>
      <c r="P778" s="2">
        <f>VLOOKUP(D778,underlying!$D$2:$L$39,9,FALSE)</f>
        <v>43158</v>
      </c>
      <c r="Q778" s="7">
        <f>IF(G778="C",NormalCallSprd(O778,H778,M778,(P778-A778)/365), NormalPutSprd(O778,H778,M778,(P778-A778)/365))</f>
        <v>0.18949678798901645</v>
      </c>
      <c r="R778" s="9">
        <f t="shared" si="25"/>
        <v>5.0321201098355028E-4</v>
      </c>
    </row>
    <row r="779" spans="1:18" x14ac:dyDescent="0.2">
      <c r="A779" s="2">
        <v>42622</v>
      </c>
      <c r="B779" s="1" t="s">
        <v>13</v>
      </c>
      <c r="C779" s="1" t="s">
        <v>14</v>
      </c>
      <c r="D779" s="2">
        <v>43104</v>
      </c>
      <c r="E779" s="2">
        <f t="shared" si="24"/>
        <v>43191</v>
      </c>
      <c r="F779" s="1" t="s">
        <v>15</v>
      </c>
      <c r="G779" s="1" t="s">
        <v>18</v>
      </c>
      <c r="H779" s="1">
        <v>-0.05</v>
      </c>
      <c r="I779" s="1">
        <v>0.36</v>
      </c>
      <c r="J779" s="1">
        <v>0.01</v>
      </c>
      <c r="K779" s="1" t="s">
        <v>39</v>
      </c>
      <c r="L779" s="1">
        <v>2389</v>
      </c>
      <c r="M779" s="1">
        <v>0.55000000000000004</v>
      </c>
      <c r="N779" s="1">
        <v>-0.33434999999999998</v>
      </c>
      <c r="O779" s="1">
        <f>VLOOKUP(D779,underlying!$D$2:$H$75,5,FALSE)</f>
        <v>-0.22</v>
      </c>
      <c r="P779" s="2">
        <f>VLOOKUP(D779,underlying!$D$2:$L$39,9,FALSE)</f>
        <v>43158</v>
      </c>
      <c r="Q779" s="7">
        <f>IF(G779="C",NormalCallSprd(O779,H779,M779,(P779-A779)/365), NormalPutSprd(O779,H779,M779,(P779-A779)/365))</f>
        <v>0.35949678798901646</v>
      </c>
      <c r="R779" s="9">
        <f t="shared" si="25"/>
        <v>5.0321201098352253E-4</v>
      </c>
    </row>
    <row r="780" spans="1:18" x14ac:dyDescent="0.2">
      <c r="A780" s="2">
        <v>42622</v>
      </c>
      <c r="B780" s="1" t="s">
        <v>13</v>
      </c>
      <c r="C780" s="1" t="s">
        <v>14</v>
      </c>
      <c r="D780" s="2">
        <v>43105</v>
      </c>
      <c r="E780" s="2">
        <f t="shared" si="24"/>
        <v>43221</v>
      </c>
      <c r="F780" s="1" t="s">
        <v>15</v>
      </c>
      <c r="G780" s="1" t="s">
        <v>16</v>
      </c>
      <c r="H780" s="1">
        <v>-20</v>
      </c>
      <c r="I780" s="1">
        <v>19.579999999999998</v>
      </c>
      <c r="J780" s="1">
        <v>-0.02</v>
      </c>
      <c r="K780" s="1" t="s">
        <v>42</v>
      </c>
      <c r="L780" s="1">
        <v>2389</v>
      </c>
      <c r="M780" s="1">
        <v>1</v>
      </c>
      <c r="N780" s="1">
        <v>-0.30992999999999998</v>
      </c>
      <c r="O780" s="1">
        <f>VLOOKUP(D780,underlying!$D$2:$H$75,5,FALSE)</f>
        <v>-0.23</v>
      </c>
      <c r="P780" s="2">
        <f>VLOOKUP(D780,underlying!$D$2:$L$39,9,FALSE)</f>
        <v>43187</v>
      </c>
      <c r="Q780" s="7">
        <f>IF(G780="C",NormalCallSprd(O780,H780,M780,(P780-A780)/365), NormalPutSprd(O780,H780,M780,(P780-A780)/365))</f>
        <v>19.77</v>
      </c>
      <c r="R780" s="9">
        <f t="shared" si="25"/>
        <v>0.19000000000000128</v>
      </c>
    </row>
    <row r="781" spans="1:18" x14ac:dyDescent="0.2">
      <c r="A781" s="2">
        <v>42622</v>
      </c>
      <c r="B781" s="1" t="s">
        <v>13</v>
      </c>
      <c r="C781" s="1" t="s">
        <v>14</v>
      </c>
      <c r="D781" s="2">
        <v>43105</v>
      </c>
      <c r="E781" s="2">
        <f t="shared" si="24"/>
        <v>43221</v>
      </c>
      <c r="F781" s="1" t="s">
        <v>15</v>
      </c>
      <c r="G781" s="1" t="s">
        <v>18</v>
      </c>
      <c r="H781" s="1">
        <v>-20</v>
      </c>
      <c r="I781" s="1">
        <v>0.01</v>
      </c>
      <c r="J781" s="1">
        <v>0</v>
      </c>
      <c r="K781" s="1" t="s">
        <v>42</v>
      </c>
      <c r="L781" s="1">
        <v>2389</v>
      </c>
      <c r="M781" s="1">
        <v>1</v>
      </c>
      <c r="N781" s="1">
        <v>-0.29017999999999999</v>
      </c>
      <c r="O781" s="1">
        <f>VLOOKUP(D781,underlying!$D$2:$H$75,5,FALSE)</f>
        <v>-0.23</v>
      </c>
      <c r="P781" s="2">
        <f>VLOOKUP(D781,underlying!$D$2:$L$39,9,FALSE)</f>
        <v>43187</v>
      </c>
      <c r="Q781" s="7">
        <f>IF(G781="C",NormalCallSprd(O781,H781,M781,(P781-A781)/365), NormalPutSprd(O781,H781,M781,(P781-A781)/365))</f>
        <v>2.8788526949422672E-58</v>
      </c>
      <c r="R781" s="9">
        <f t="shared" si="25"/>
        <v>0.01</v>
      </c>
    </row>
    <row r="782" spans="1:18" x14ac:dyDescent="0.2">
      <c r="A782" s="2">
        <v>42622</v>
      </c>
      <c r="B782" s="1" t="s">
        <v>13</v>
      </c>
      <c r="C782" s="1" t="s">
        <v>14</v>
      </c>
      <c r="D782" s="2">
        <v>43105</v>
      </c>
      <c r="E782" s="2">
        <f t="shared" si="24"/>
        <v>43221</v>
      </c>
      <c r="F782" s="1" t="s">
        <v>15</v>
      </c>
      <c r="G782" s="1" t="s">
        <v>16</v>
      </c>
      <c r="H782" s="1">
        <v>-3</v>
      </c>
      <c r="I782" s="1">
        <v>2.75</v>
      </c>
      <c r="J782" s="1">
        <v>-0.01</v>
      </c>
      <c r="K782" s="1" t="s">
        <v>42</v>
      </c>
      <c r="L782" s="1">
        <v>2389</v>
      </c>
      <c r="M782" s="1">
        <v>0.97</v>
      </c>
      <c r="N782" s="1">
        <v>-0.27179999999999999</v>
      </c>
      <c r="O782" s="1">
        <f>VLOOKUP(D782,underlying!$D$2:$H$75,5,FALSE)</f>
        <v>-0.23</v>
      </c>
      <c r="P782" s="2">
        <f>VLOOKUP(D782,underlying!$D$2:$L$39,9,FALSE)</f>
        <v>43187</v>
      </c>
      <c r="Q782" s="7">
        <f>IF(G782="C",NormalCallSprd(O782,H782,M782,(P782-A782)/365), NormalPutSprd(O782,H782,M782,(P782-A782)/365))</f>
        <v>2.7744807909255997</v>
      </c>
      <c r="R782" s="9">
        <f t="shared" si="25"/>
        <v>2.4480790925599738E-2</v>
      </c>
    </row>
    <row r="783" spans="1:18" x14ac:dyDescent="0.2">
      <c r="A783" s="2">
        <v>42622</v>
      </c>
      <c r="B783" s="1" t="s">
        <v>13</v>
      </c>
      <c r="C783" s="1" t="s">
        <v>14</v>
      </c>
      <c r="D783" s="2">
        <v>43105</v>
      </c>
      <c r="E783" s="2">
        <f t="shared" si="24"/>
        <v>43221</v>
      </c>
      <c r="F783" s="1" t="s">
        <v>15</v>
      </c>
      <c r="G783" s="1" t="s">
        <v>18</v>
      </c>
      <c r="H783" s="1">
        <v>-3</v>
      </c>
      <c r="I783" s="1">
        <v>0.01</v>
      </c>
      <c r="J783" s="1">
        <v>0</v>
      </c>
      <c r="K783" s="1" t="s">
        <v>42</v>
      </c>
      <c r="L783" s="1">
        <v>2389</v>
      </c>
      <c r="M783" s="1">
        <v>0.97</v>
      </c>
      <c r="N783" s="1">
        <v>-0.25052999999999997</v>
      </c>
      <c r="O783" s="1">
        <f>VLOOKUP(D783,underlying!$D$2:$H$75,5,FALSE)</f>
        <v>-0.23</v>
      </c>
      <c r="P783" s="2">
        <f>VLOOKUP(D783,underlying!$D$2:$L$39,9,FALSE)</f>
        <v>43187</v>
      </c>
      <c r="Q783" s="7">
        <f>IF(G783="C",NormalCallSprd(O783,H783,M783,(P783-A783)/365), NormalPutSprd(O783,H783,M783,(P783-A783)/365))</f>
        <v>4.4807909255996526E-3</v>
      </c>
      <c r="R783" s="9">
        <f t="shared" si="25"/>
        <v>5.5192090744003476E-3</v>
      </c>
    </row>
    <row r="784" spans="1:18" x14ac:dyDescent="0.2">
      <c r="A784" s="2">
        <v>42622</v>
      </c>
      <c r="B784" s="1" t="s">
        <v>13</v>
      </c>
      <c r="C784" s="1" t="s">
        <v>14</v>
      </c>
      <c r="D784" s="2">
        <v>43105</v>
      </c>
      <c r="E784" s="2">
        <f t="shared" si="24"/>
        <v>43221</v>
      </c>
      <c r="F784" s="1" t="s">
        <v>15</v>
      </c>
      <c r="G784" s="1" t="s">
        <v>16</v>
      </c>
      <c r="H784" s="1">
        <v>-2</v>
      </c>
      <c r="I784" s="1">
        <v>1.77</v>
      </c>
      <c r="J784" s="1">
        <v>-0.01</v>
      </c>
      <c r="K784" s="1" t="s">
        <v>42</v>
      </c>
      <c r="L784" s="1">
        <v>2389</v>
      </c>
      <c r="M784" s="1">
        <v>0.81</v>
      </c>
      <c r="N784" s="1">
        <v>-0.23455999999999999</v>
      </c>
      <c r="O784" s="1">
        <f>VLOOKUP(D784,underlying!$D$2:$H$75,5,FALSE)</f>
        <v>-0.23</v>
      </c>
      <c r="P784" s="2">
        <f>VLOOKUP(D784,underlying!$D$2:$L$39,9,FALSE)</f>
        <v>43187</v>
      </c>
      <c r="Q784" s="7">
        <f>IF(G784="C",NormalCallSprd(O784,H784,M784,(P784-A784)/365), NormalPutSprd(O784,H784,M784,(P784-A784)/365))</f>
        <v>1.7860450083202049</v>
      </c>
      <c r="R784" s="9">
        <f t="shared" si="25"/>
        <v>1.6045008320204834E-2</v>
      </c>
    </row>
    <row r="785" spans="1:18" x14ac:dyDescent="0.2">
      <c r="A785" s="2">
        <v>42622</v>
      </c>
      <c r="B785" s="1" t="s">
        <v>13</v>
      </c>
      <c r="C785" s="1" t="s">
        <v>14</v>
      </c>
      <c r="D785" s="2">
        <v>43105</v>
      </c>
      <c r="E785" s="2">
        <f t="shared" si="24"/>
        <v>43221</v>
      </c>
      <c r="F785" s="1" t="s">
        <v>15</v>
      </c>
      <c r="G785" s="1" t="s">
        <v>18</v>
      </c>
      <c r="H785" s="1">
        <v>-2</v>
      </c>
      <c r="I785" s="1">
        <v>0.02</v>
      </c>
      <c r="J785" s="1">
        <v>0</v>
      </c>
      <c r="K785" s="1" t="s">
        <v>42</v>
      </c>
      <c r="L785" s="1">
        <v>2389</v>
      </c>
      <c r="M785" s="1">
        <v>0.81</v>
      </c>
      <c r="N785" s="1">
        <v>-0.17063999999999999</v>
      </c>
      <c r="O785" s="1">
        <f>VLOOKUP(D785,underlying!$D$2:$H$75,5,FALSE)</f>
        <v>-0.23</v>
      </c>
      <c r="P785" s="2">
        <f>VLOOKUP(D785,underlying!$D$2:$L$39,9,FALSE)</f>
        <v>43187</v>
      </c>
      <c r="Q785" s="7">
        <f>IF(G785="C",NormalCallSprd(O785,H785,M785,(P785-A785)/365), NormalPutSprd(O785,H785,M785,(P785-A785)/365))</f>
        <v>1.6045008320204928E-2</v>
      </c>
      <c r="R785" s="9">
        <f t="shared" si="25"/>
        <v>3.9549916797950724E-3</v>
      </c>
    </row>
    <row r="786" spans="1:18" x14ac:dyDescent="0.2">
      <c r="A786" s="2">
        <v>42622</v>
      </c>
      <c r="B786" s="1" t="s">
        <v>13</v>
      </c>
      <c r="C786" s="1" t="s">
        <v>14</v>
      </c>
      <c r="D786" s="2">
        <v>43105</v>
      </c>
      <c r="E786" s="2">
        <f t="shared" si="24"/>
        <v>43221</v>
      </c>
      <c r="F786" s="1" t="s">
        <v>15</v>
      </c>
      <c r="G786" s="1" t="s">
        <v>16</v>
      </c>
      <c r="H786" s="1">
        <v>-1</v>
      </c>
      <c r="I786" s="1">
        <v>0.83</v>
      </c>
      <c r="J786" s="1">
        <v>-0.01</v>
      </c>
      <c r="K786" s="1" t="s">
        <v>42</v>
      </c>
      <c r="L786" s="1">
        <v>2389</v>
      </c>
      <c r="M786" s="1">
        <v>0.65</v>
      </c>
      <c r="N786" s="1">
        <v>-4.9750000000000003E-2</v>
      </c>
      <c r="O786" s="1">
        <f>VLOOKUP(D786,underlying!$D$2:$H$75,5,FALSE)</f>
        <v>-0.23</v>
      </c>
      <c r="P786" s="2">
        <f>VLOOKUP(D786,underlying!$D$2:$L$39,9,FALSE)</f>
        <v>43187</v>
      </c>
      <c r="Q786" s="7">
        <f>IF(G786="C",NormalCallSprd(O786,H786,M786,(P786-A786)/365), NormalPutSprd(O786,H786,M786,(P786-A786)/365))</f>
        <v>0.84374656354675481</v>
      </c>
      <c r="R786" s="9">
        <f t="shared" si="25"/>
        <v>1.3746563546754853E-2</v>
      </c>
    </row>
    <row r="787" spans="1:18" x14ac:dyDescent="0.2">
      <c r="A787" s="2">
        <v>42622</v>
      </c>
      <c r="B787" s="1" t="s">
        <v>13</v>
      </c>
      <c r="C787" s="1" t="s">
        <v>14</v>
      </c>
      <c r="D787" s="2">
        <v>43105</v>
      </c>
      <c r="E787" s="2">
        <f t="shared" si="24"/>
        <v>43221</v>
      </c>
      <c r="F787" s="1" t="s">
        <v>15</v>
      </c>
      <c r="G787" s="1" t="s">
        <v>18</v>
      </c>
      <c r="H787" s="1">
        <v>-1</v>
      </c>
      <c r="I787" s="1">
        <v>7.0000000000000007E-2</v>
      </c>
      <c r="J787" s="1">
        <v>0</v>
      </c>
      <c r="K787" s="1" t="s">
        <v>42</v>
      </c>
      <c r="L787" s="1">
        <v>2389</v>
      </c>
      <c r="M787" s="1">
        <v>0.65</v>
      </c>
      <c r="N787" s="1">
        <v>-1.2500000000000001E-2</v>
      </c>
      <c r="O787" s="1">
        <f>VLOOKUP(D787,underlying!$D$2:$H$75,5,FALSE)</f>
        <v>-0.23</v>
      </c>
      <c r="P787" s="2">
        <f>VLOOKUP(D787,underlying!$D$2:$L$39,9,FALSE)</f>
        <v>43187</v>
      </c>
      <c r="Q787" s="7">
        <f>IF(G787="C",NormalCallSprd(O787,H787,M787,(P787-A787)/365), NormalPutSprd(O787,H787,M787,(P787-A787)/365))</f>
        <v>7.3746563546754823E-2</v>
      </c>
      <c r="R787" s="9">
        <f t="shared" si="25"/>
        <v>3.7465635467548164E-3</v>
      </c>
    </row>
    <row r="788" spans="1:18" x14ac:dyDescent="0.2">
      <c r="A788" s="2">
        <v>42622</v>
      </c>
      <c r="B788" s="1" t="s">
        <v>13</v>
      </c>
      <c r="C788" s="1" t="s">
        <v>14</v>
      </c>
      <c r="D788" s="2">
        <v>43105</v>
      </c>
      <c r="E788" s="2">
        <f t="shared" si="24"/>
        <v>43221</v>
      </c>
      <c r="F788" s="1" t="s">
        <v>15</v>
      </c>
      <c r="G788" s="1" t="s">
        <v>16</v>
      </c>
      <c r="H788" s="1">
        <v>-0.75</v>
      </c>
      <c r="I788" s="1">
        <v>0.62</v>
      </c>
      <c r="J788" s="1">
        <v>-0.01</v>
      </c>
      <c r="K788" s="1" t="s">
        <v>42</v>
      </c>
      <c r="L788" s="1">
        <v>2389</v>
      </c>
      <c r="M788" s="1">
        <v>0.6</v>
      </c>
      <c r="N788" s="1">
        <v>0.23859</v>
      </c>
      <c r="O788" s="1">
        <f>VLOOKUP(D788,underlying!$D$2:$H$75,5,FALSE)</f>
        <v>-0.23</v>
      </c>
      <c r="P788" s="2">
        <f>VLOOKUP(D788,underlying!$D$2:$L$39,9,FALSE)</f>
        <v>43187</v>
      </c>
      <c r="Q788" s="7">
        <f>IF(G788="C",NormalCallSprd(O788,H788,M788,(P788-A788)/365), NormalPutSprd(O788,H788,M788,(P788-A788)/365))</f>
        <v>0.62727740888888606</v>
      </c>
      <c r="R788" s="9">
        <f t="shared" si="25"/>
        <v>7.2774088888860611E-3</v>
      </c>
    </row>
    <row r="789" spans="1:18" x14ac:dyDescent="0.2">
      <c r="A789" s="2">
        <v>42622</v>
      </c>
      <c r="B789" s="1" t="s">
        <v>13</v>
      </c>
      <c r="C789" s="1" t="s">
        <v>14</v>
      </c>
      <c r="D789" s="2">
        <v>43105</v>
      </c>
      <c r="E789" s="2">
        <f t="shared" si="24"/>
        <v>43221</v>
      </c>
      <c r="F789" s="1" t="s">
        <v>15</v>
      </c>
      <c r="G789" s="1" t="s">
        <v>18</v>
      </c>
      <c r="H789" s="1">
        <v>-0.75</v>
      </c>
      <c r="I789" s="1">
        <v>0.11</v>
      </c>
      <c r="J789" s="1">
        <v>0.01</v>
      </c>
      <c r="K789" s="1" t="s">
        <v>42</v>
      </c>
      <c r="L789" s="1">
        <v>2389</v>
      </c>
      <c r="M789" s="1">
        <v>0.6</v>
      </c>
      <c r="N789" s="1">
        <v>0.27249000000000001</v>
      </c>
      <c r="O789" s="1">
        <f>VLOOKUP(D789,underlying!$D$2:$H$75,5,FALSE)</f>
        <v>-0.23</v>
      </c>
      <c r="P789" s="2">
        <f>VLOOKUP(D789,underlying!$D$2:$L$39,9,FALSE)</f>
        <v>43187</v>
      </c>
      <c r="Q789" s="7">
        <f>IF(G789="C",NormalCallSprd(O789,H789,M789,(P789-A789)/365), NormalPutSprd(O789,H789,M789,(P789-A789)/365))</f>
        <v>0.10727740888888604</v>
      </c>
      <c r="R789" s="9">
        <f t="shared" si="25"/>
        <v>2.7225911111139617E-3</v>
      </c>
    </row>
    <row r="790" spans="1:18" x14ac:dyDescent="0.2">
      <c r="A790" s="2">
        <v>42622</v>
      </c>
      <c r="B790" s="1" t="s">
        <v>13</v>
      </c>
      <c r="C790" s="1" t="s">
        <v>14</v>
      </c>
      <c r="D790" s="2">
        <v>43105</v>
      </c>
      <c r="E790" s="2">
        <f t="shared" si="24"/>
        <v>43221</v>
      </c>
      <c r="F790" s="1" t="s">
        <v>15</v>
      </c>
      <c r="G790" s="1" t="s">
        <v>16</v>
      </c>
      <c r="H790" s="1">
        <v>-0.7</v>
      </c>
      <c r="I790" s="1">
        <v>0.57999999999999996</v>
      </c>
      <c r="J790" s="1">
        <v>-0.01</v>
      </c>
      <c r="K790" s="1" t="s">
        <v>42</v>
      </c>
      <c r="L790" s="1">
        <v>2389</v>
      </c>
      <c r="M790" s="1">
        <v>0.59</v>
      </c>
      <c r="N790" s="1">
        <v>0.30620999999999998</v>
      </c>
      <c r="O790" s="1">
        <f>VLOOKUP(D790,underlying!$D$2:$H$75,5,FALSE)</f>
        <v>-0.23</v>
      </c>
      <c r="P790" s="2">
        <f>VLOOKUP(D790,underlying!$D$2:$L$39,9,FALSE)</f>
        <v>43187</v>
      </c>
      <c r="Q790" s="7">
        <f>IF(G790="C",NormalCallSprd(O790,H790,M790,(P790-A790)/365), NormalPutSprd(O790,H790,M790,(P790-A790)/365))</f>
        <v>0.58590368905726609</v>
      </c>
      <c r="R790" s="9">
        <f t="shared" si="25"/>
        <v>5.903689057266126E-3</v>
      </c>
    </row>
    <row r="791" spans="1:18" x14ac:dyDescent="0.2">
      <c r="A791" s="2">
        <v>42622</v>
      </c>
      <c r="B791" s="1" t="s">
        <v>13</v>
      </c>
      <c r="C791" s="1" t="s">
        <v>14</v>
      </c>
      <c r="D791" s="2">
        <v>43105</v>
      </c>
      <c r="E791" s="2">
        <f t="shared" si="24"/>
        <v>43221</v>
      </c>
      <c r="F791" s="1" t="s">
        <v>15</v>
      </c>
      <c r="G791" s="1" t="s">
        <v>18</v>
      </c>
      <c r="H791" s="1">
        <v>-0.7</v>
      </c>
      <c r="I791" s="1">
        <v>0.11</v>
      </c>
      <c r="J791" s="1">
        <v>0</v>
      </c>
      <c r="K791" s="1" t="s">
        <v>42</v>
      </c>
      <c r="L791" s="1">
        <v>2389</v>
      </c>
      <c r="M791" s="1">
        <v>0.59</v>
      </c>
      <c r="N791" s="1">
        <v>0.34208</v>
      </c>
      <c r="O791" s="1">
        <f>VLOOKUP(D791,underlying!$D$2:$H$75,5,FALSE)</f>
        <v>-0.23</v>
      </c>
      <c r="P791" s="2">
        <f>VLOOKUP(D791,underlying!$D$2:$L$39,9,FALSE)</f>
        <v>43187</v>
      </c>
      <c r="Q791" s="7">
        <f>IF(G791="C",NormalCallSprd(O791,H791,M791,(P791-A791)/365), NormalPutSprd(O791,H791,M791,(P791-A791)/365))</f>
        <v>0.11590368905726615</v>
      </c>
      <c r="R791" s="9">
        <f t="shared" si="25"/>
        <v>5.9036890572661538E-3</v>
      </c>
    </row>
    <row r="792" spans="1:18" x14ac:dyDescent="0.2">
      <c r="A792" s="2">
        <v>42622</v>
      </c>
      <c r="B792" s="1" t="s">
        <v>13</v>
      </c>
      <c r="C792" s="1" t="s">
        <v>14</v>
      </c>
      <c r="D792" s="2">
        <v>43105</v>
      </c>
      <c r="E792" s="2">
        <f t="shared" si="24"/>
        <v>43221</v>
      </c>
      <c r="F792" s="1" t="s">
        <v>15</v>
      </c>
      <c r="G792" s="1" t="s">
        <v>16</v>
      </c>
      <c r="H792" s="1">
        <v>-0.65</v>
      </c>
      <c r="I792" s="1">
        <v>0.54</v>
      </c>
      <c r="J792" s="1">
        <v>-0.01</v>
      </c>
      <c r="K792" s="1" t="s">
        <v>42</v>
      </c>
      <c r="L792" s="1">
        <v>2389</v>
      </c>
      <c r="M792" s="1">
        <v>0.57999999999999996</v>
      </c>
      <c r="N792" s="1">
        <v>0.38483000000000001</v>
      </c>
      <c r="O792" s="1">
        <f>VLOOKUP(D792,underlying!$D$2:$H$75,5,FALSE)</f>
        <v>-0.23</v>
      </c>
      <c r="P792" s="2">
        <f>VLOOKUP(D792,underlying!$D$2:$L$39,9,FALSE)</f>
        <v>43187</v>
      </c>
      <c r="Q792" s="7">
        <f>IF(G792="C",NormalCallSprd(O792,H792,M792,(P792-A792)/365), NormalPutSprd(O792,H792,M792,(P792-A792)/365))</f>
        <v>0.54531266590537852</v>
      </c>
      <c r="R792" s="9">
        <f t="shared" si="25"/>
        <v>5.3126659053784886E-3</v>
      </c>
    </row>
    <row r="793" spans="1:18" x14ac:dyDescent="0.2">
      <c r="A793" s="2">
        <v>42622</v>
      </c>
      <c r="B793" s="1" t="s">
        <v>13</v>
      </c>
      <c r="C793" s="1" t="s">
        <v>14</v>
      </c>
      <c r="D793" s="2">
        <v>43105</v>
      </c>
      <c r="E793" s="2">
        <f t="shared" si="24"/>
        <v>43221</v>
      </c>
      <c r="F793" s="1" t="s">
        <v>15</v>
      </c>
      <c r="G793" s="1" t="s">
        <v>18</v>
      </c>
      <c r="H793" s="1">
        <v>-0.65</v>
      </c>
      <c r="I793" s="1">
        <v>0.12</v>
      </c>
      <c r="J793" s="1">
        <v>0</v>
      </c>
      <c r="K793" s="1" t="s">
        <v>42</v>
      </c>
      <c r="L793" s="1">
        <v>2389</v>
      </c>
      <c r="M793" s="1">
        <v>0.57999999999999996</v>
      </c>
      <c r="N793" s="1">
        <v>0.42993999999999999</v>
      </c>
      <c r="O793" s="1">
        <f>VLOOKUP(D793,underlying!$D$2:$H$75,5,FALSE)</f>
        <v>-0.23</v>
      </c>
      <c r="P793" s="2">
        <f>VLOOKUP(D793,underlying!$D$2:$L$39,9,FALSE)</f>
        <v>43187</v>
      </c>
      <c r="Q793" s="7">
        <f>IF(G793="C",NormalCallSprd(O793,H793,M793,(P793-A793)/365), NormalPutSprd(O793,H793,M793,(P793-A793)/365))</f>
        <v>0.12531266590537848</v>
      </c>
      <c r="R793" s="9">
        <f t="shared" si="25"/>
        <v>5.3126659053784886E-3</v>
      </c>
    </row>
    <row r="794" spans="1:18" x14ac:dyDescent="0.2">
      <c r="A794" s="2">
        <v>42622</v>
      </c>
      <c r="B794" s="1" t="s">
        <v>13</v>
      </c>
      <c r="C794" s="1" t="s">
        <v>14</v>
      </c>
      <c r="D794" s="2">
        <v>43105</v>
      </c>
      <c r="E794" s="2">
        <f t="shared" si="24"/>
        <v>43221</v>
      </c>
      <c r="F794" s="1" t="s">
        <v>15</v>
      </c>
      <c r="G794" s="1" t="s">
        <v>16</v>
      </c>
      <c r="H794" s="1">
        <v>-0.6</v>
      </c>
      <c r="I794" s="1">
        <v>0.5</v>
      </c>
      <c r="J794" s="1">
        <v>-0.01</v>
      </c>
      <c r="K794" s="1" t="s">
        <v>42</v>
      </c>
      <c r="L794" s="1">
        <v>2389</v>
      </c>
      <c r="M794" s="1">
        <v>0.57999999999999996</v>
      </c>
      <c r="N794" s="1">
        <v>0.47325</v>
      </c>
      <c r="O794" s="1">
        <f>VLOOKUP(D794,underlying!$D$2:$H$75,5,FALSE)</f>
        <v>-0.23</v>
      </c>
      <c r="P794" s="2">
        <f>VLOOKUP(D794,underlying!$D$2:$L$39,9,FALSE)</f>
        <v>43187</v>
      </c>
      <c r="Q794" s="7">
        <f>IF(G794="C",NormalCallSprd(O794,H794,M794,(P794-A794)/365), NormalPutSprd(O794,H794,M794,(P794-A794)/365))</f>
        <v>0.5099174365874124</v>
      </c>
      <c r="R794" s="9">
        <f t="shared" si="25"/>
        <v>9.9174365874123982E-3</v>
      </c>
    </row>
    <row r="795" spans="1:18" x14ac:dyDescent="0.2">
      <c r="A795" s="2">
        <v>42622</v>
      </c>
      <c r="B795" s="1" t="s">
        <v>13</v>
      </c>
      <c r="C795" s="1" t="s">
        <v>14</v>
      </c>
      <c r="D795" s="2">
        <v>43105</v>
      </c>
      <c r="E795" s="2">
        <f t="shared" si="24"/>
        <v>43221</v>
      </c>
      <c r="F795" s="1" t="s">
        <v>15</v>
      </c>
      <c r="G795" s="1" t="s">
        <v>18</v>
      </c>
      <c r="H795" s="1">
        <v>-0.6</v>
      </c>
      <c r="I795" s="1">
        <v>0.14000000000000001</v>
      </c>
      <c r="J795" s="1">
        <v>0</v>
      </c>
      <c r="K795" s="1" t="s">
        <v>42</v>
      </c>
      <c r="L795" s="1">
        <v>2389</v>
      </c>
      <c r="M795" s="1">
        <v>0.57999999999999996</v>
      </c>
      <c r="N795" s="1">
        <v>0.51566000000000001</v>
      </c>
      <c r="O795" s="1">
        <f>VLOOKUP(D795,underlying!$D$2:$H$75,5,FALSE)</f>
        <v>-0.23</v>
      </c>
      <c r="P795" s="2">
        <f>VLOOKUP(D795,underlying!$D$2:$L$39,9,FALSE)</f>
        <v>43187</v>
      </c>
      <c r="Q795" s="7">
        <f>IF(G795="C",NormalCallSprd(O795,H795,M795,(P795-A795)/365), NormalPutSprd(O795,H795,M795,(P795-A795)/365))</f>
        <v>0.13991743658741237</v>
      </c>
      <c r="R795" s="9">
        <f t="shared" si="25"/>
        <v>8.2563412587638441E-5</v>
      </c>
    </row>
    <row r="796" spans="1:18" x14ac:dyDescent="0.2">
      <c r="A796" s="2">
        <v>42622</v>
      </c>
      <c r="B796" s="1" t="s">
        <v>13</v>
      </c>
      <c r="C796" s="1" t="s">
        <v>14</v>
      </c>
      <c r="D796" s="2">
        <v>43105</v>
      </c>
      <c r="E796" s="2">
        <f t="shared" si="24"/>
        <v>43221</v>
      </c>
      <c r="F796" s="1" t="s">
        <v>15</v>
      </c>
      <c r="G796" s="1" t="s">
        <v>16</v>
      </c>
      <c r="H796" s="1">
        <v>-0.55000000000000004</v>
      </c>
      <c r="I796" s="1">
        <v>0.47</v>
      </c>
      <c r="J796" s="1">
        <v>0</v>
      </c>
      <c r="K796" s="1" t="s">
        <v>42</v>
      </c>
      <c r="L796" s="1">
        <v>2389</v>
      </c>
      <c r="M796" s="1">
        <v>0.56999999999999995</v>
      </c>
      <c r="N796" s="1">
        <v>0.55742000000000003</v>
      </c>
      <c r="O796" s="1">
        <f>VLOOKUP(D796,underlying!$D$2:$H$75,5,FALSE)</f>
        <v>-0.23</v>
      </c>
      <c r="P796" s="2">
        <f>VLOOKUP(D796,underlying!$D$2:$L$39,9,FALSE)</f>
        <v>43187</v>
      </c>
      <c r="Q796" s="7">
        <f>IF(G796="C",NormalCallSprd(O796,H796,M796,(P796-A796)/365), NormalPutSprd(O796,H796,M796,(P796-A796)/365))</f>
        <v>0.47124277796525488</v>
      </c>
      <c r="R796" s="9">
        <f t="shared" si="25"/>
        <v>1.2427779652549042E-3</v>
      </c>
    </row>
    <row r="797" spans="1:18" x14ac:dyDescent="0.2">
      <c r="A797" s="2">
        <v>42622</v>
      </c>
      <c r="B797" s="1" t="s">
        <v>13</v>
      </c>
      <c r="C797" s="1" t="s">
        <v>14</v>
      </c>
      <c r="D797" s="2">
        <v>43105</v>
      </c>
      <c r="E797" s="2">
        <f t="shared" si="24"/>
        <v>43221</v>
      </c>
      <c r="F797" s="1" t="s">
        <v>15</v>
      </c>
      <c r="G797" s="1" t="s">
        <v>18</v>
      </c>
      <c r="H797" s="1">
        <v>-0.55000000000000004</v>
      </c>
      <c r="I797" s="1">
        <v>0.15</v>
      </c>
      <c r="J797" s="1">
        <v>0</v>
      </c>
      <c r="K797" s="1" t="s">
        <v>42</v>
      </c>
      <c r="L797" s="1">
        <v>2389</v>
      </c>
      <c r="M797" s="1">
        <v>0.56999999999999995</v>
      </c>
      <c r="N797" s="1">
        <v>0.59718000000000004</v>
      </c>
      <c r="O797" s="1">
        <f>VLOOKUP(D797,underlying!$D$2:$H$75,5,FALSE)</f>
        <v>-0.23</v>
      </c>
      <c r="P797" s="2">
        <f>VLOOKUP(D797,underlying!$D$2:$L$39,9,FALSE)</f>
        <v>43187</v>
      </c>
      <c r="Q797" s="7">
        <f>IF(G797="C",NormalCallSprd(O797,H797,M797,(P797-A797)/365), NormalPutSprd(O797,H797,M797,(P797-A797)/365))</f>
        <v>0.15124277796525487</v>
      </c>
      <c r="R797" s="9">
        <f t="shared" si="25"/>
        <v>1.2427779652548765E-3</v>
      </c>
    </row>
    <row r="798" spans="1:18" x14ac:dyDescent="0.2">
      <c r="A798" s="2">
        <v>42622</v>
      </c>
      <c r="B798" s="1" t="s">
        <v>13</v>
      </c>
      <c r="C798" s="1" t="s">
        <v>14</v>
      </c>
      <c r="D798" s="2">
        <v>43105</v>
      </c>
      <c r="E798" s="2">
        <f t="shared" si="24"/>
        <v>43221</v>
      </c>
      <c r="F798" s="1" t="s">
        <v>15</v>
      </c>
      <c r="G798" s="1" t="s">
        <v>16</v>
      </c>
      <c r="H798" s="1">
        <v>-0.5</v>
      </c>
      <c r="I798" s="1">
        <v>0.43</v>
      </c>
      <c r="J798" s="1">
        <v>-0.01</v>
      </c>
      <c r="K798" s="1" t="s">
        <v>42</v>
      </c>
      <c r="L798" s="1">
        <v>2389</v>
      </c>
      <c r="M798" s="1">
        <v>0.56999999999999995</v>
      </c>
      <c r="N798" s="1">
        <v>0.63488</v>
      </c>
      <c r="O798" s="1">
        <f>VLOOKUP(D798,underlying!$D$2:$H$75,5,FALSE)</f>
        <v>-0.23</v>
      </c>
      <c r="P798" s="2">
        <f>VLOOKUP(D798,underlying!$D$2:$L$39,9,FALSE)</f>
        <v>43187</v>
      </c>
      <c r="Q798" s="7">
        <f>IF(G798="C",NormalCallSprd(O798,H798,M798,(P798-A798)/365), NormalPutSprd(O798,H798,M798,(P798-A798)/365))</f>
        <v>0.43818002380053267</v>
      </c>
      <c r="R798" s="9">
        <f t="shared" si="25"/>
        <v>8.1800238005326764E-3</v>
      </c>
    </row>
    <row r="799" spans="1:18" x14ac:dyDescent="0.2">
      <c r="A799" s="2">
        <v>42622</v>
      </c>
      <c r="B799" s="1" t="s">
        <v>13</v>
      </c>
      <c r="C799" s="1" t="s">
        <v>14</v>
      </c>
      <c r="D799" s="2">
        <v>43105</v>
      </c>
      <c r="E799" s="2">
        <f t="shared" si="24"/>
        <v>43221</v>
      </c>
      <c r="F799" s="1" t="s">
        <v>15</v>
      </c>
      <c r="G799" s="1" t="s">
        <v>18</v>
      </c>
      <c r="H799" s="1">
        <v>-0.5</v>
      </c>
      <c r="I799" s="1">
        <v>0.17</v>
      </c>
      <c r="J799" s="1">
        <v>0.01</v>
      </c>
      <c r="K799" s="1" t="s">
        <v>42</v>
      </c>
      <c r="L799" s="1">
        <v>2389</v>
      </c>
      <c r="M799" s="1">
        <v>0.56999999999999995</v>
      </c>
      <c r="N799" s="1">
        <v>0.67030999999999996</v>
      </c>
      <c r="O799" s="1">
        <f>VLOOKUP(D799,underlying!$D$2:$H$75,5,FALSE)</f>
        <v>-0.23</v>
      </c>
      <c r="P799" s="2">
        <f>VLOOKUP(D799,underlying!$D$2:$L$39,9,FALSE)</f>
        <v>43187</v>
      </c>
      <c r="Q799" s="7">
        <f>IF(G799="C",NormalCallSprd(O799,H799,M799,(P799-A799)/365), NormalPutSprd(O799,H799,M799,(P799-A799)/365))</f>
        <v>0.16818002380053265</v>
      </c>
      <c r="R799" s="9">
        <f t="shared" si="25"/>
        <v>1.8199761994673602E-3</v>
      </c>
    </row>
    <row r="800" spans="1:18" x14ac:dyDescent="0.2">
      <c r="A800" s="2">
        <v>42622</v>
      </c>
      <c r="B800" s="1" t="s">
        <v>13</v>
      </c>
      <c r="C800" s="1" t="s">
        <v>14</v>
      </c>
      <c r="D800" s="2">
        <v>43105</v>
      </c>
      <c r="E800" s="2">
        <f t="shared" si="24"/>
        <v>43221</v>
      </c>
      <c r="F800" s="1" t="s">
        <v>15</v>
      </c>
      <c r="G800" s="1" t="s">
        <v>16</v>
      </c>
      <c r="H800" s="1">
        <v>-0.45</v>
      </c>
      <c r="I800" s="1">
        <v>0.4</v>
      </c>
      <c r="J800" s="1">
        <v>0</v>
      </c>
      <c r="K800" s="1" t="s">
        <v>42</v>
      </c>
      <c r="L800" s="1">
        <v>2389</v>
      </c>
      <c r="M800" s="1">
        <v>0.56000000000000005</v>
      </c>
      <c r="N800" s="1">
        <v>0.70333999999999997</v>
      </c>
      <c r="O800" s="1">
        <f>VLOOKUP(D800,underlying!$D$2:$H$75,5,FALSE)</f>
        <v>-0.23</v>
      </c>
      <c r="P800" s="2">
        <f>VLOOKUP(D800,underlying!$D$2:$L$39,9,FALSE)</f>
        <v>43187</v>
      </c>
      <c r="Q800" s="7">
        <f>IF(G800="C",NormalCallSprd(O800,H800,M800,(P800-A800)/365), NormalPutSprd(O800,H800,M800,(P800-A800)/365))</f>
        <v>0.40169859240842687</v>
      </c>
      <c r="R800" s="9">
        <f t="shared" si="25"/>
        <v>1.6985924084268467E-3</v>
      </c>
    </row>
    <row r="801" spans="1:18" x14ac:dyDescent="0.2">
      <c r="A801" s="2">
        <v>42622</v>
      </c>
      <c r="B801" s="1" t="s">
        <v>13</v>
      </c>
      <c r="C801" s="1" t="s">
        <v>14</v>
      </c>
      <c r="D801" s="2">
        <v>43105</v>
      </c>
      <c r="E801" s="2">
        <f t="shared" si="24"/>
        <v>43221</v>
      </c>
      <c r="F801" s="1" t="s">
        <v>15</v>
      </c>
      <c r="G801" s="1" t="s">
        <v>18</v>
      </c>
      <c r="H801" s="1">
        <v>-0.45</v>
      </c>
      <c r="I801" s="1">
        <v>0.18</v>
      </c>
      <c r="J801" s="1">
        <v>0</v>
      </c>
      <c r="K801" s="1" t="s">
        <v>42</v>
      </c>
      <c r="L801" s="1">
        <v>2389</v>
      </c>
      <c r="M801" s="1">
        <v>0.56000000000000005</v>
      </c>
      <c r="N801" s="1">
        <v>0.73392999999999997</v>
      </c>
      <c r="O801" s="1">
        <f>VLOOKUP(D801,underlying!$D$2:$H$75,5,FALSE)</f>
        <v>-0.23</v>
      </c>
      <c r="P801" s="2">
        <f>VLOOKUP(D801,underlying!$D$2:$L$39,9,FALSE)</f>
        <v>43187</v>
      </c>
      <c r="Q801" s="7">
        <f>IF(G801="C",NormalCallSprd(O801,H801,M801,(P801-A801)/365), NormalPutSprd(O801,H801,M801,(P801-A801)/365))</f>
        <v>0.1816985924084269</v>
      </c>
      <c r="R801" s="9">
        <f t="shared" si="25"/>
        <v>1.6985924084269022E-3</v>
      </c>
    </row>
    <row r="802" spans="1:18" x14ac:dyDescent="0.2">
      <c r="A802" s="2">
        <v>42622</v>
      </c>
      <c r="B802" s="1" t="s">
        <v>13</v>
      </c>
      <c r="C802" s="1" t="s">
        <v>14</v>
      </c>
      <c r="D802" s="2">
        <v>43105</v>
      </c>
      <c r="E802" s="2">
        <f t="shared" si="24"/>
        <v>43221</v>
      </c>
      <c r="F802" s="1" t="s">
        <v>15</v>
      </c>
      <c r="G802" s="1" t="s">
        <v>16</v>
      </c>
      <c r="H802" s="1">
        <v>-0.4</v>
      </c>
      <c r="I802" s="1">
        <v>0.37</v>
      </c>
      <c r="J802" s="1">
        <v>0</v>
      </c>
      <c r="K802" s="1" t="s">
        <v>42</v>
      </c>
      <c r="L802" s="1">
        <v>2389</v>
      </c>
      <c r="M802" s="1">
        <v>0.56000000000000005</v>
      </c>
      <c r="N802" s="1">
        <v>0.76205999999999996</v>
      </c>
      <c r="O802" s="1">
        <f>VLOOKUP(D802,underlying!$D$2:$H$75,5,FALSE)</f>
        <v>-0.23</v>
      </c>
      <c r="P802" s="2">
        <f>VLOOKUP(D802,underlying!$D$2:$L$39,9,FALSE)</f>
        <v>43187</v>
      </c>
      <c r="Q802" s="7">
        <f>IF(G802="C",NormalCallSprd(O802,H802,M802,(P802-A802)/365), NormalPutSprd(O802,H802,M802,(P802-A802)/365))</f>
        <v>0.37118902142820764</v>
      </c>
      <c r="R802" s="9">
        <f t="shared" si="25"/>
        <v>1.1890214282076483E-3</v>
      </c>
    </row>
    <row r="803" spans="1:18" x14ac:dyDescent="0.2">
      <c r="A803" s="2">
        <v>42622</v>
      </c>
      <c r="B803" s="1" t="s">
        <v>13</v>
      </c>
      <c r="C803" s="1" t="s">
        <v>14</v>
      </c>
      <c r="D803" s="2">
        <v>43105</v>
      </c>
      <c r="E803" s="2">
        <f t="shared" si="24"/>
        <v>43221</v>
      </c>
      <c r="F803" s="1" t="s">
        <v>15</v>
      </c>
      <c r="G803" s="1" t="s">
        <v>18</v>
      </c>
      <c r="H803" s="1">
        <v>-0.4</v>
      </c>
      <c r="I803" s="1">
        <v>0.2</v>
      </c>
      <c r="J803" s="1">
        <v>0</v>
      </c>
      <c r="K803" s="1" t="s">
        <v>42</v>
      </c>
      <c r="L803" s="1">
        <v>2389</v>
      </c>
      <c r="M803" s="1">
        <v>0.56000000000000005</v>
      </c>
      <c r="N803" s="1">
        <v>0.78778999999999999</v>
      </c>
      <c r="O803" s="1">
        <f>VLOOKUP(D803,underlying!$D$2:$H$75,5,FALSE)</f>
        <v>-0.23</v>
      </c>
      <c r="P803" s="2">
        <f>VLOOKUP(D803,underlying!$D$2:$L$39,9,FALSE)</f>
        <v>43187</v>
      </c>
      <c r="Q803" s="7">
        <f>IF(G803="C",NormalCallSprd(O803,H803,M803,(P803-A803)/365), NormalPutSprd(O803,H803,M803,(P803-A803)/365))</f>
        <v>0.20118902142820766</v>
      </c>
      <c r="R803" s="9">
        <f t="shared" si="25"/>
        <v>1.1890214282076483E-3</v>
      </c>
    </row>
    <row r="804" spans="1:18" x14ac:dyDescent="0.2">
      <c r="A804" s="2">
        <v>42622</v>
      </c>
      <c r="B804" s="1" t="s">
        <v>13</v>
      </c>
      <c r="C804" s="1" t="s">
        <v>14</v>
      </c>
      <c r="D804" s="2">
        <v>43105</v>
      </c>
      <c r="E804" s="2">
        <f t="shared" si="24"/>
        <v>43221</v>
      </c>
      <c r="F804" s="1" t="s">
        <v>15</v>
      </c>
      <c r="G804" s="1" t="s">
        <v>16</v>
      </c>
      <c r="H804" s="1">
        <v>-0.35</v>
      </c>
      <c r="I804" s="1">
        <v>0.33</v>
      </c>
      <c r="J804" s="1">
        <v>-0.01</v>
      </c>
      <c r="K804" s="1" t="s">
        <v>42</v>
      </c>
      <c r="L804" s="1">
        <v>2389</v>
      </c>
      <c r="M804" s="1">
        <v>0.55000000000000004</v>
      </c>
      <c r="N804" s="1">
        <v>0.81118999999999997</v>
      </c>
      <c r="O804" s="1">
        <f>VLOOKUP(D804,underlying!$D$2:$H$75,5,FALSE)</f>
        <v>-0.23</v>
      </c>
      <c r="P804" s="2">
        <f>VLOOKUP(D804,underlying!$D$2:$L$39,9,FALSE)</f>
        <v>43187</v>
      </c>
      <c r="Q804" s="7">
        <f>IF(G804="C",NormalCallSprd(O804,H804,M804,(P804-A804)/365), NormalPutSprd(O804,H804,M804,(P804-A804)/365))</f>
        <v>0.33717927961657373</v>
      </c>
      <c r="R804" s="9">
        <f t="shared" si="25"/>
        <v>7.1792796165737194E-3</v>
      </c>
    </row>
    <row r="805" spans="1:18" x14ac:dyDescent="0.2">
      <c r="A805" s="2">
        <v>42622</v>
      </c>
      <c r="B805" s="1" t="s">
        <v>13</v>
      </c>
      <c r="C805" s="1" t="s">
        <v>14</v>
      </c>
      <c r="D805" s="2">
        <v>43105</v>
      </c>
      <c r="E805" s="2">
        <f t="shared" si="24"/>
        <v>43221</v>
      </c>
      <c r="F805" s="1" t="s">
        <v>15</v>
      </c>
      <c r="G805" s="1" t="s">
        <v>18</v>
      </c>
      <c r="H805" s="1">
        <v>-0.35</v>
      </c>
      <c r="I805" s="1">
        <v>0.22</v>
      </c>
      <c r="J805" s="1">
        <v>0.01</v>
      </c>
      <c r="K805" s="1" t="s">
        <v>42</v>
      </c>
      <c r="L805" s="1">
        <v>2389</v>
      </c>
      <c r="M805" s="1">
        <v>0.55000000000000004</v>
      </c>
      <c r="N805" s="1">
        <v>0.83237000000000005</v>
      </c>
      <c r="O805" s="1">
        <f>VLOOKUP(D805,underlying!$D$2:$H$75,5,FALSE)</f>
        <v>-0.23</v>
      </c>
      <c r="P805" s="2">
        <f>VLOOKUP(D805,underlying!$D$2:$L$39,9,FALSE)</f>
        <v>43187</v>
      </c>
      <c r="Q805" s="7">
        <f>IF(G805="C",NormalCallSprd(O805,H805,M805,(P805-A805)/365), NormalPutSprd(O805,H805,M805,(P805-A805)/365))</f>
        <v>0.21717927961657377</v>
      </c>
      <c r="R805" s="9">
        <f t="shared" si="25"/>
        <v>2.820720383426234E-3</v>
      </c>
    </row>
    <row r="806" spans="1:18" x14ac:dyDescent="0.2">
      <c r="A806" s="2">
        <v>42622</v>
      </c>
      <c r="B806" s="1" t="s">
        <v>13</v>
      </c>
      <c r="C806" s="1" t="s">
        <v>14</v>
      </c>
      <c r="D806" s="2">
        <v>43105</v>
      </c>
      <c r="E806" s="2">
        <f t="shared" si="24"/>
        <v>43221</v>
      </c>
      <c r="F806" s="1" t="s">
        <v>15</v>
      </c>
      <c r="G806" s="1" t="s">
        <v>16</v>
      </c>
      <c r="H806" s="1">
        <v>-0.3</v>
      </c>
      <c r="I806" s="1">
        <v>0.31</v>
      </c>
      <c r="J806" s="1">
        <v>0</v>
      </c>
      <c r="K806" s="1" t="s">
        <v>42</v>
      </c>
      <c r="L806" s="1">
        <v>2389</v>
      </c>
      <c r="M806" s="1">
        <v>0.55000000000000004</v>
      </c>
      <c r="N806" s="1">
        <v>0.85145000000000004</v>
      </c>
      <c r="O806" s="1">
        <f>VLOOKUP(D806,underlying!$D$2:$H$75,5,FALSE)</f>
        <v>-0.23</v>
      </c>
      <c r="P806" s="2">
        <f>VLOOKUP(D806,underlying!$D$2:$L$39,9,FALSE)</f>
        <v>43187</v>
      </c>
      <c r="Q806" s="7">
        <f>IF(G806="C",NormalCallSprd(O806,H806,M806,(P806-A806)/365), NormalPutSprd(O806,H806,M806,(P806-A806)/365))</f>
        <v>0.30941950306428623</v>
      </c>
      <c r="R806" s="9">
        <f t="shared" si="25"/>
        <v>5.8049693571377015E-4</v>
      </c>
    </row>
    <row r="807" spans="1:18" x14ac:dyDescent="0.2">
      <c r="A807" s="2">
        <v>42622</v>
      </c>
      <c r="B807" s="1" t="s">
        <v>13</v>
      </c>
      <c r="C807" s="1" t="s">
        <v>14</v>
      </c>
      <c r="D807" s="2">
        <v>43105</v>
      </c>
      <c r="E807" s="2">
        <f t="shared" si="24"/>
        <v>43221</v>
      </c>
      <c r="F807" s="1" t="s">
        <v>15</v>
      </c>
      <c r="G807" s="1" t="s">
        <v>18</v>
      </c>
      <c r="H807" s="1">
        <v>-0.3</v>
      </c>
      <c r="I807" s="1">
        <v>0.24</v>
      </c>
      <c r="J807" s="1">
        <v>0.01</v>
      </c>
      <c r="K807" s="1" t="s">
        <v>42</v>
      </c>
      <c r="L807" s="1">
        <v>2389</v>
      </c>
      <c r="M807" s="1">
        <v>0.55000000000000004</v>
      </c>
      <c r="N807" s="1">
        <v>0.86856999999999995</v>
      </c>
      <c r="O807" s="1">
        <f>VLOOKUP(D807,underlying!$D$2:$H$75,5,FALSE)</f>
        <v>-0.23</v>
      </c>
      <c r="P807" s="2">
        <f>VLOOKUP(D807,underlying!$D$2:$L$39,9,FALSE)</f>
        <v>43187</v>
      </c>
      <c r="Q807" s="7">
        <f>IF(G807="C",NormalCallSprd(O807,H807,M807,(P807-A807)/365), NormalPutSprd(O807,H807,M807,(P807-A807)/365))</f>
        <v>0.23941950306428628</v>
      </c>
      <c r="R807" s="9">
        <f t="shared" si="25"/>
        <v>5.8049693571371463E-4</v>
      </c>
    </row>
    <row r="808" spans="1:18" x14ac:dyDescent="0.2">
      <c r="A808" s="2">
        <v>42622</v>
      </c>
      <c r="B808" s="1" t="s">
        <v>13</v>
      </c>
      <c r="C808" s="1" t="s">
        <v>14</v>
      </c>
      <c r="D808" s="2">
        <v>43105</v>
      </c>
      <c r="E808" s="2">
        <f t="shared" si="24"/>
        <v>43221</v>
      </c>
      <c r="F808" s="1" t="s">
        <v>15</v>
      </c>
      <c r="G808" s="1" t="s">
        <v>16</v>
      </c>
      <c r="H808" s="1">
        <v>-0.25</v>
      </c>
      <c r="I808" s="1">
        <v>0.28000000000000003</v>
      </c>
      <c r="J808" s="1">
        <v>-0.01</v>
      </c>
      <c r="K808" s="1" t="s">
        <v>42</v>
      </c>
      <c r="L808" s="1">
        <v>2389</v>
      </c>
      <c r="M808" s="1">
        <v>0.55000000000000004</v>
      </c>
      <c r="N808" s="1">
        <v>0.9849</v>
      </c>
      <c r="O808" s="1">
        <f>VLOOKUP(D808,underlying!$D$2:$H$75,5,FALSE)</f>
        <v>-0.23</v>
      </c>
      <c r="P808" s="2">
        <f>VLOOKUP(D808,underlying!$D$2:$L$39,9,FALSE)</f>
        <v>43187</v>
      </c>
      <c r="Q808" s="7">
        <f>IF(G808="C",NormalCallSprd(O808,H808,M808,(P808-A808)/365), NormalPutSprd(O808,H808,M808,(P808-A808)/365))</f>
        <v>0.28310898592575284</v>
      </c>
      <c r="R808" s="9">
        <f t="shared" si="25"/>
        <v>3.1089859257528163E-3</v>
      </c>
    </row>
    <row r="809" spans="1:18" x14ac:dyDescent="0.2">
      <c r="A809" s="2">
        <v>42622</v>
      </c>
      <c r="B809" s="1" t="s">
        <v>13</v>
      </c>
      <c r="C809" s="1" t="s">
        <v>14</v>
      </c>
      <c r="D809" s="2">
        <v>43105</v>
      </c>
      <c r="E809" s="2">
        <f t="shared" si="24"/>
        <v>43221</v>
      </c>
      <c r="F809" s="1" t="s">
        <v>15</v>
      </c>
      <c r="G809" s="1" t="s">
        <v>18</v>
      </c>
      <c r="H809" s="1">
        <v>-0.25</v>
      </c>
      <c r="I809" s="1">
        <v>0.26</v>
      </c>
      <c r="J809" s="1">
        <v>0</v>
      </c>
      <c r="K809" s="1" t="s">
        <v>42</v>
      </c>
      <c r="L809" s="1">
        <v>2389</v>
      </c>
      <c r="M809" s="1">
        <v>0.55000000000000004</v>
      </c>
      <c r="N809" s="1">
        <v>0.99589000000000005</v>
      </c>
      <c r="O809" s="1">
        <f>VLOOKUP(D809,underlying!$D$2:$H$75,5,FALSE)</f>
        <v>-0.23</v>
      </c>
      <c r="P809" s="2">
        <f>VLOOKUP(D809,underlying!$D$2:$L$39,9,FALSE)</f>
        <v>43187</v>
      </c>
      <c r="Q809" s="7">
        <f>IF(G809="C",NormalCallSprd(O809,H809,M809,(P809-A809)/365), NormalPutSprd(O809,H809,M809,(P809-A809)/365))</f>
        <v>0.26310898592575288</v>
      </c>
      <c r="R809" s="9">
        <f t="shared" si="25"/>
        <v>3.1089859257528718E-3</v>
      </c>
    </row>
    <row r="810" spans="1:18" x14ac:dyDescent="0.2">
      <c r="A810" s="2">
        <v>42622</v>
      </c>
      <c r="B810" s="1" t="s">
        <v>13</v>
      </c>
      <c r="C810" s="1" t="s">
        <v>14</v>
      </c>
      <c r="D810" s="2">
        <v>43105</v>
      </c>
      <c r="E810" s="2">
        <f t="shared" si="24"/>
        <v>43221</v>
      </c>
      <c r="F810" s="1" t="s">
        <v>15</v>
      </c>
      <c r="G810" s="1" t="s">
        <v>16</v>
      </c>
      <c r="H810" s="1">
        <v>-0.2</v>
      </c>
      <c r="I810" s="1">
        <v>0.25</v>
      </c>
      <c r="J810" s="1">
        <v>-0.01</v>
      </c>
      <c r="K810" s="1" t="s">
        <v>42</v>
      </c>
      <c r="L810" s="1">
        <v>2389</v>
      </c>
      <c r="M810" s="1">
        <v>0.54</v>
      </c>
      <c r="N810" s="1">
        <v>0.99739</v>
      </c>
      <c r="O810" s="1">
        <f>VLOOKUP(D810,underlying!$D$2:$H$75,5,FALSE)</f>
        <v>-0.23</v>
      </c>
      <c r="P810" s="2">
        <f>VLOOKUP(D810,underlying!$D$2:$L$39,9,FALSE)</f>
        <v>43187</v>
      </c>
      <c r="Q810" s="7">
        <f>IF(G810="C",NormalCallSprd(O810,H810,M810,(P810-A810)/365), NormalPutSprd(O810,H810,M810,(P810-A810)/365))</f>
        <v>0.25329606045436021</v>
      </c>
      <c r="R810" s="9">
        <f t="shared" si="25"/>
        <v>3.2960604543602057E-3</v>
      </c>
    </row>
    <row r="811" spans="1:18" x14ac:dyDescent="0.2">
      <c r="A811" s="2">
        <v>42622</v>
      </c>
      <c r="B811" s="1" t="s">
        <v>13</v>
      </c>
      <c r="C811" s="1" t="s">
        <v>14</v>
      </c>
      <c r="D811" s="2">
        <v>43105</v>
      </c>
      <c r="E811" s="2">
        <f t="shared" si="24"/>
        <v>43221</v>
      </c>
      <c r="F811" s="1" t="s">
        <v>15</v>
      </c>
      <c r="G811" s="1" t="s">
        <v>18</v>
      </c>
      <c r="H811" s="1">
        <v>-0.2</v>
      </c>
      <c r="I811" s="1">
        <v>0.28000000000000003</v>
      </c>
      <c r="J811" s="1">
        <v>0</v>
      </c>
      <c r="K811" s="1" t="s">
        <v>42</v>
      </c>
      <c r="L811" s="1">
        <v>2389</v>
      </c>
      <c r="M811" s="1">
        <v>0.54</v>
      </c>
      <c r="N811" s="1">
        <v>-0.75902999999999998</v>
      </c>
      <c r="O811" s="1">
        <f>VLOOKUP(D811,underlying!$D$2:$H$75,5,FALSE)</f>
        <v>-0.23</v>
      </c>
      <c r="P811" s="2">
        <f>VLOOKUP(D811,underlying!$D$2:$L$39,9,FALSE)</f>
        <v>43187</v>
      </c>
      <c r="Q811" s="7">
        <f>IF(G811="C",NormalCallSprd(O811,H811,M811,(P811-A811)/365), NormalPutSprd(O811,H811,M811,(P811-A811)/365))</f>
        <v>0.28329606045436023</v>
      </c>
      <c r="R811" s="9">
        <f t="shared" si="25"/>
        <v>3.2960604543602057E-3</v>
      </c>
    </row>
    <row r="812" spans="1:18" x14ac:dyDescent="0.2">
      <c r="A812" s="2">
        <v>42622</v>
      </c>
      <c r="B812" s="1" t="s">
        <v>13</v>
      </c>
      <c r="C812" s="1" t="s">
        <v>14</v>
      </c>
      <c r="D812" s="2">
        <v>43105</v>
      </c>
      <c r="E812" s="2">
        <f t="shared" si="24"/>
        <v>43221</v>
      </c>
      <c r="F812" s="1" t="s">
        <v>15</v>
      </c>
      <c r="G812" s="1" t="s">
        <v>16</v>
      </c>
      <c r="H812" s="1">
        <v>-0.15</v>
      </c>
      <c r="I812" s="1">
        <v>0.23</v>
      </c>
      <c r="J812" s="1">
        <v>0</v>
      </c>
      <c r="K812" s="1" t="s">
        <v>42</v>
      </c>
      <c r="L812" s="1">
        <v>2389</v>
      </c>
      <c r="M812" s="1">
        <v>0.54</v>
      </c>
      <c r="N812" s="1">
        <v>-0.72514000000000001</v>
      </c>
      <c r="O812" s="1">
        <f>VLOOKUP(D812,underlying!$D$2:$H$75,5,FALSE)</f>
        <v>-0.23</v>
      </c>
      <c r="P812" s="2">
        <f>VLOOKUP(D812,underlying!$D$2:$L$39,9,FALSE)</f>
        <v>43187</v>
      </c>
      <c r="Q812" s="7">
        <f>IF(G812="C",NormalCallSprd(O812,H812,M812,(P812-A812)/365), NormalPutSprd(O812,H812,M812,(P812-A812)/365))</f>
        <v>0.22992680656700609</v>
      </c>
      <c r="R812" s="9">
        <f t="shared" si="25"/>
        <v>7.3193432993917673E-5</v>
      </c>
    </row>
    <row r="813" spans="1:18" x14ac:dyDescent="0.2">
      <c r="A813" s="2">
        <v>42622</v>
      </c>
      <c r="B813" s="1" t="s">
        <v>13</v>
      </c>
      <c r="C813" s="1" t="s">
        <v>14</v>
      </c>
      <c r="D813" s="2">
        <v>43105</v>
      </c>
      <c r="E813" s="2">
        <f t="shared" si="24"/>
        <v>43221</v>
      </c>
      <c r="F813" s="1" t="s">
        <v>15</v>
      </c>
      <c r="G813" s="1" t="s">
        <v>18</v>
      </c>
      <c r="H813" s="1">
        <v>-0.15</v>
      </c>
      <c r="I813" s="1">
        <v>0.31</v>
      </c>
      <c r="J813" s="1">
        <v>0.01</v>
      </c>
      <c r="K813" s="1" t="s">
        <v>42</v>
      </c>
      <c r="L813" s="1">
        <v>2389</v>
      </c>
      <c r="M813" s="1">
        <v>0.54</v>
      </c>
      <c r="N813" s="1">
        <v>-0.69140999999999997</v>
      </c>
      <c r="O813" s="1">
        <f>VLOOKUP(D813,underlying!$D$2:$H$75,5,FALSE)</f>
        <v>-0.23</v>
      </c>
      <c r="P813" s="2">
        <f>VLOOKUP(D813,underlying!$D$2:$L$39,9,FALSE)</f>
        <v>43187</v>
      </c>
      <c r="Q813" s="7">
        <f>IF(G813="C",NormalCallSprd(O813,H813,M813,(P813-A813)/365), NormalPutSprd(O813,H813,M813,(P813-A813)/365))</f>
        <v>0.30992680656700611</v>
      </c>
      <c r="R813" s="9">
        <f t="shared" si="25"/>
        <v>7.3193432993889918E-5</v>
      </c>
    </row>
    <row r="814" spans="1:18" x14ac:dyDescent="0.2">
      <c r="A814" s="2">
        <v>42622</v>
      </c>
      <c r="B814" s="1" t="s">
        <v>13</v>
      </c>
      <c r="C814" s="1" t="s">
        <v>14</v>
      </c>
      <c r="D814" s="2">
        <v>43105</v>
      </c>
      <c r="E814" s="2">
        <f t="shared" si="24"/>
        <v>43221</v>
      </c>
      <c r="F814" s="1" t="s">
        <v>15</v>
      </c>
      <c r="G814" s="1" t="s">
        <v>16</v>
      </c>
      <c r="H814" s="1">
        <v>-0.1</v>
      </c>
      <c r="I814" s="1">
        <v>0.21</v>
      </c>
      <c r="J814" s="1">
        <v>0</v>
      </c>
      <c r="K814" s="1" t="s">
        <v>42</v>
      </c>
      <c r="L814" s="1">
        <v>2389</v>
      </c>
      <c r="M814" s="1">
        <v>0.54</v>
      </c>
      <c r="N814" s="1">
        <v>-0.65554000000000001</v>
      </c>
      <c r="O814" s="1">
        <f>VLOOKUP(D814,underlying!$D$2:$H$75,5,FALSE)</f>
        <v>-0.23</v>
      </c>
      <c r="P814" s="2">
        <f>VLOOKUP(D814,underlying!$D$2:$L$39,9,FALSE)</f>
        <v>43187</v>
      </c>
      <c r="Q814" s="7">
        <f>IF(G814="C",NormalCallSprd(O814,H814,M814,(P814-A814)/365), NormalPutSprd(O814,H814,M814,(P814-A814)/365))</f>
        <v>0.20803088973565867</v>
      </c>
      <c r="R814" s="9">
        <f t="shared" si="25"/>
        <v>1.9691102643413227E-3</v>
      </c>
    </row>
    <row r="815" spans="1:18" x14ac:dyDescent="0.2">
      <c r="A815" s="2">
        <v>42622</v>
      </c>
      <c r="B815" s="1" t="s">
        <v>13</v>
      </c>
      <c r="C815" s="1" t="s">
        <v>14</v>
      </c>
      <c r="D815" s="2">
        <v>43105</v>
      </c>
      <c r="E815" s="2">
        <f t="shared" si="24"/>
        <v>43221</v>
      </c>
      <c r="F815" s="1" t="s">
        <v>15</v>
      </c>
      <c r="G815" s="1" t="s">
        <v>18</v>
      </c>
      <c r="H815" s="1">
        <v>-0.1</v>
      </c>
      <c r="I815" s="1">
        <v>0.33</v>
      </c>
      <c r="J815" s="1">
        <v>0</v>
      </c>
      <c r="K815" s="1" t="s">
        <v>42</v>
      </c>
      <c r="L815" s="1">
        <v>2389</v>
      </c>
      <c r="M815" s="1">
        <v>0.54</v>
      </c>
      <c r="N815" s="1">
        <v>-0.61278999999999995</v>
      </c>
      <c r="O815" s="1">
        <f>VLOOKUP(D815,underlying!$D$2:$H$75,5,FALSE)</f>
        <v>-0.23</v>
      </c>
      <c r="P815" s="2">
        <f>VLOOKUP(D815,underlying!$D$2:$L$39,9,FALSE)</f>
        <v>43187</v>
      </c>
      <c r="Q815" s="7">
        <f>IF(G815="C",NormalCallSprd(O815,H815,M815,(P815-A815)/365), NormalPutSprd(O815,H815,M815,(P815-A815)/365))</f>
        <v>0.3380308897356587</v>
      </c>
      <c r="R815" s="9">
        <f t="shared" si="25"/>
        <v>8.0308897356586861E-3</v>
      </c>
    </row>
    <row r="816" spans="1:18" x14ac:dyDescent="0.2">
      <c r="A816" s="2">
        <v>42622</v>
      </c>
      <c r="B816" s="1" t="s">
        <v>13</v>
      </c>
      <c r="C816" s="1" t="s">
        <v>14</v>
      </c>
      <c r="D816" s="2">
        <v>43105</v>
      </c>
      <c r="E816" s="2">
        <f t="shared" si="24"/>
        <v>43221</v>
      </c>
      <c r="F816" s="1" t="s">
        <v>15</v>
      </c>
      <c r="G816" s="1" t="s">
        <v>16</v>
      </c>
      <c r="H816" s="1">
        <v>-0.05</v>
      </c>
      <c r="I816" s="1">
        <v>0.18</v>
      </c>
      <c r="J816" s="1">
        <v>-0.01</v>
      </c>
      <c r="K816" s="1" t="s">
        <v>42</v>
      </c>
      <c r="L816" s="1">
        <v>2389</v>
      </c>
      <c r="M816" s="1">
        <v>0.54</v>
      </c>
      <c r="N816" s="1">
        <v>-0.56769000000000003</v>
      </c>
      <c r="O816" s="1">
        <f>VLOOKUP(D816,underlying!$D$2:$H$75,5,FALSE)</f>
        <v>-0.23</v>
      </c>
      <c r="P816" s="2">
        <f>VLOOKUP(D816,underlying!$D$2:$L$39,9,FALSE)</f>
        <v>43187</v>
      </c>
      <c r="Q816" s="7">
        <f>IF(G816="C",NormalCallSprd(O816,H816,M816,(P816-A816)/365), NormalPutSprd(O816,H816,M816,(P816-A816)/365))</f>
        <v>0.18759128850724893</v>
      </c>
      <c r="R816" s="9">
        <f t="shared" si="25"/>
        <v>7.5912885072489389E-3</v>
      </c>
    </row>
    <row r="817" spans="1:18" x14ac:dyDescent="0.2">
      <c r="A817" s="2">
        <v>42622</v>
      </c>
      <c r="B817" s="1" t="s">
        <v>13</v>
      </c>
      <c r="C817" s="1" t="s">
        <v>14</v>
      </c>
      <c r="D817" s="2">
        <v>43105</v>
      </c>
      <c r="E817" s="2">
        <f t="shared" si="24"/>
        <v>43221</v>
      </c>
      <c r="F817" s="1" t="s">
        <v>15</v>
      </c>
      <c r="G817" s="1" t="s">
        <v>18</v>
      </c>
      <c r="H817" s="1">
        <v>-0.05</v>
      </c>
      <c r="I817" s="1">
        <v>0.36</v>
      </c>
      <c r="J817" s="1">
        <v>0</v>
      </c>
      <c r="K817" s="1" t="s">
        <v>42</v>
      </c>
      <c r="L817" s="1">
        <v>2389</v>
      </c>
      <c r="M817" s="1">
        <v>0.54</v>
      </c>
      <c r="N817" s="1">
        <v>-0.52437</v>
      </c>
      <c r="O817" s="1">
        <f>VLOOKUP(D817,underlying!$D$2:$H$75,5,FALSE)</f>
        <v>-0.23</v>
      </c>
      <c r="P817" s="2">
        <f>VLOOKUP(D817,underlying!$D$2:$L$39,9,FALSE)</f>
        <v>43187</v>
      </c>
      <c r="Q817" s="7">
        <f>IF(G817="C",NormalCallSprd(O817,H817,M817,(P817-A817)/365), NormalPutSprd(O817,H817,M817,(P817-A817)/365))</f>
        <v>0.36759128850724893</v>
      </c>
      <c r="R817" s="9">
        <f t="shared" si="25"/>
        <v>7.5912885072489389E-3</v>
      </c>
    </row>
    <row r="818" spans="1:18" x14ac:dyDescent="0.2">
      <c r="A818" s="2">
        <v>42622</v>
      </c>
      <c r="B818" s="1" t="s">
        <v>13</v>
      </c>
      <c r="C818" s="1" t="s">
        <v>14</v>
      </c>
      <c r="D818" s="2">
        <v>43106</v>
      </c>
      <c r="E818" s="2">
        <f t="shared" si="24"/>
        <v>43252</v>
      </c>
      <c r="F818" s="1" t="s">
        <v>15</v>
      </c>
      <c r="G818" s="1" t="s">
        <v>16</v>
      </c>
      <c r="H818" s="1">
        <v>-20</v>
      </c>
      <c r="I818" s="1">
        <v>19.57</v>
      </c>
      <c r="J818" s="1">
        <v>-0.01</v>
      </c>
      <c r="K818" s="1" t="s">
        <v>45</v>
      </c>
      <c r="L818" s="1">
        <v>2389</v>
      </c>
      <c r="M818" s="1">
        <v>0.99</v>
      </c>
      <c r="N818" s="1">
        <v>-0.48196</v>
      </c>
      <c r="O818" s="1">
        <f>VLOOKUP(D818,underlying!$D$2:$H$75,5,FALSE)</f>
        <v>-0.23</v>
      </c>
      <c r="P818" s="2">
        <f>VLOOKUP(D818,underlying!$D$2:$L$39,9,FALSE)</f>
        <v>43217</v>
      </c>
      <c r="Q818" s="7">
        <f>IF(G818="C",NormalCallSprd(O818,H818,M818,(P818-A818)/365), NormalPutSprd(O818,H818,M818,(P818-A818)/365))</f>
        <v>19.77</v>
      </c>
      <c r="R818" s="9">
        <f t="shared" si="25"/>
        <v>0.19999999999999929</v>
      </c>
    </row>
    <row r="819" spans="1:18" x14ac:dyDescent="0.2">
      <c r="A819" s="2">
        <v>42622</v>
      </c>
      <c r="B819" s="1" t="s">
        <v>13</v>
      </c>
      <c r="C819" s="1" t="s">
        <v>14</v>
      </c>
      <c r="D819" s="2">
        <v>43106</v>
      </c>
      <c r="E819" s="2">
        <f t="shared" si="24"/>
        <v>43252</v>
      </c>
      <c r="F819" s="1" t="s">
        <v>15</v>
      </c>
      <c r="G819" s="1" t="s">
        <v>18</v>
      </c>
      <c r="H819" s="1">
        <v>-20</v>
      </c>
      <c r="I819" s="1">
        <v>0.01</v>
      </c>
      <c r="J819" s="1">
        <v>0</v>
      </c>
      <c r="K819" s="1" t="s">
        <v>45</v>
      </c>
      <c r="L819" s="1">
        <v>2389</v>
      </c>
      <c r="M819" s="1">
        <v>0.99</v>
      </c>
      <c r="N819" s="1">
        <v>-0.44020999999999999</v>
      </c>
      <c r="O819" s="1">
        <f>VLOOKUP(D819,underlying!$D$2:$H$75,5,FALSE)</f>
        <v>-0.23</v>
      </c>
      <c r="P819" s="2">
        <f>VLOOKUP(D819,underlying!$D$2:$L$39,9,FALSE)</f>
        <v>43217</v>
      </c>
      <c r="Q819" s="7">
        <f>IF(G819="C",NormalCallSprd(O819,H819,M819,(P819-A819)/365), NormalPutSprd(O819,H819,M819,(P819-A819)/365))</f>
        <v>1.5382970720697986E-56</v>
      </c>
      <c r="R819" s="9">
        <f t="shared" si="25"/>
        <v>0.01</v>
      </c>
    </row>
    <row r="820" spans="1:18" x14ac:dyDescent="0.2">
      <c r="A820" s="2">
        <v>42622</v>
      </c>
      <c r="B820" s="1" t="s">
        <v>13</v>
      </c>
      <c r="C820" s="1" t="s">
        <v>14</v>
      </c>
      <c r="D820" s="2">
        <v>43106</v>
      </c>
      <c r="E820" s="2">
        <f t="shared" si="24"/>
        <v>43252</v>
      </c>
      <c r="F820" s="1" t="s">
        <v>15</v>
      </c>
      <c r="G820" s="1" t="s">
        <v>16</v>
      </c>
      <c r="H820" s="1">
        <v>-3</v>
      </c>
      <c r="I820" s="1">
        <v>2.75</v>
      </c>
      <c r="J820" s="1">
        <v>-0.01</v>
      </c>
      <c r="K820" s="1" t="s">
        <v>45</v>
      </c>
      <c r="L820" s="1">
        <v>2389</v>
      </c>
      <c r="M820" s="1">
        <v>0.95</v>
      </c>
      <c r="N820" s="1">
        <v>-0.40044000000000002</v>
      </c>
      <c r="O820" s="1">
        <f>VLOOKUP(D820,underlying!$D$2:$H$75,5,FALSE)</f>
        <v>-0.23</v>
      </c>
      <c r="P820" s="2">
        <f>VLOOKUP(D820,underlying!$D$2:$L$39,9,FALSE)</f>
        <v>43217</v>
      </c>
      <c r="Q820" s="7">
        <f>IF(G820="C",NormalCallSprd(O820,H820,M820,(P820-A820)/365), NormalPutSprd(O820,H820,M820,(P820-A820)/365))</f>
        <v>2.7746575293323197</v>
      </c>
      <c r="R820" s="9">
        <f t="shared" si="25"/>
        <v>2.4657529332319683E-2</v>
      </c>
    </row>
    <row r="821" spans="1:18" x14ac:dyDescent="0.2">
      <c r="A821" s="2">
        <v>42622</v>
      </c>
      <c r="B821" s="1" t="s">
        <v>13</v>
      </c>
      <c r="C821" s="1" t="s">
        <v>14</v>
      </c>
      <c r="D821" s="2">
        <v>43106</v>
      </c>
      <c r="E821" s="2">
        <f t="shared" si="24"/>
        <v>43252</v>
      </c>
      <c r="F821" s="1" t="s">
        <v>15</v>
      </c>
      <c r="G821" s="1" t="s">
        <v>18</v>
      </c>
      <c r="H821" s="1">
        <v>-3</v>
      </c>
      <c r="I821" s="1">
        <v>0.01</v>
      </c>
      <c r="J821" s="1">
        <v>0</v>
      </c>
      <c r="K821" s="1" t="s">
        <v>45</v>
      </c>
      <c r="L821" s="1">
        <v>2389</v>
      </c>
      <c r="M821" s="1">
        <v>0.95</v>
      </c>
      <c r="N821" s="1">
        <v>-0.36274000000000001</v>
      </c>
      <c r="O821" s="1">
        <f>VLOOKUP(D821,underlying!$D$2:$H$75,5,FALSE)</f>
        <v>-0.23</v>
      </c>
      <c r="P821" s="2">
        <f>VLOOKUP(D821,underlying!$D$2:$L$39,9,FALSE)</f>
        <v>43217</v>
      </c>
      <c r="Q821" s="7">
        <f>IF(G821="C",NormalCallSprd(O821,H821,M821,(P821-A821)/365), NormalPutSprd(O821,H821,M821,(P821-A821)/365))</f>
        <v>4.657529332319982E-3</v>
      </c>
      <c r="R821" s="9">
        <f t="shared" si="25"/>
        <v>5.3424706676800182E-3</v>
      </c>
    </row>
    <row r="822" spans="1:18" x14ac:dyDescent="0.2">
      <c r="A822" s="2">
        <v>42622</v>
      </c>
      <c r="B822" s="1" t="s">
        <v>13</v>
      </c>
      <c r="C822" s="1" t="s">
        <v>14</v>
      </c>
      <c r="D822" s="2">
        <v>43106</v>
      </c>
      <c r="E822" s="2">
        <f t="shared" si="24"/>
        <v>43252</v>
      </c>
      <c r="F822" s="1" t="s">
        <v>15</v>
      </c>
      <c r="G822" s="1" t="s">
        <v>16</v>
      </c>
      <c r="H822" s="1">
        <v>-2</v>
      </c>
      <c r="I822" s="1">
        <v>1.77</v>
      </c>
      <c r="J822" s="1">
        <v>-0.01</v>
      </c>
      <c r="K822" s="1" t="s">
        <v>45</v>
      </c>
      <c r="L822" s="1">
        <v>2389</v>
      </c>
      <c r="M822" s="1">
        <v>0.8</v>
      </c>
      <c r="N822" s="1">
        <v>-0.32732</v>
      </c>
      <c r="O822" s="1">
        <f>VLOOKUP(D822,underlying!$D$2:$H$75,5,FALSE)</f>
        <v>-0.23</v>
      </c>
      <c r="P822" s="2">
        <f>VLOOKUP(D822,underlying!$D$2:$L$39,9,FALSE)</f>
        <v>43217</v>
      </c>
      <c r="Q822" s="7">
        <f>IF(G822="C",NormalCallSprd(O822,H822,M822,(P822-A822)/365), NormalPutSprd(O822,H822,M822,(P822-A822)/365))</f>
        <v>1.7872332279880754</v>
      </c>
      <c r="R822" s="9">
        <f t="shared" si="25"/>
        <v>1.7233227988075361E-2</v>
      </c>
    </row>
    <row r="823" spans="1:18" x14ac:dyDescent="0.2">
      <c r="A823" s="2">
        <v>42622</v>
      </c>
      <c r="B823" s="1" t="s">
        <v>13</v>
      </c>
      <c r="C823" s="1" t="s">
        <v>14</v>
      </c>
      <c r="D823" s="2">
        <v>43106</v>
      </c>
      <c r="E823" s="2">
        <f t="shared" si="24"/>
        <v>43252</v>
      </c>
      <c r="F823" s="1" t="s">
        <v>15</v>
      </c>
      <c r="G823" s="1" t="s">
        <v>18</v>
      </c>
      <c r="H823" s="1">
        <v>-2</v>
      </c>
      <c r="I823" s="1">
        <v>0.02</v>
      </c>
      <c r="J823" s="1">
        <v>0</v>
      </c>
      <c r="K823" s="1" t="s">
        <v>45</v>
      </c>
      <c r="L823" s="1">
        <v>2389</v>
      </c>
      <c r="M823" s="1">
        <v>0.8</v>
      </c>
      <c r="N823" s="1">
        <v>-0.29427999999999999</v>
      </c>
      <c r="O823" s="1">
        <f>VLOOKUP(D823,underlying!$D$2:$H$75,5,FALSE)</f>
        <v>-0.23</v>
      </c>
      <c r="P823" s="2">
        <f>VLOOKUP(D823,underlying!$D$2:$L$39,9,FALSE)</f>
        <v>43217</v>
      </c>
      <c r="Q823" s="7">
        <f>IF(G823="C",NormalCallSprd(O823,H823,M823,(P823-A823)/365), NormalPutSprd(O823,H823,M823,(P823-A823)/365))</f>
        <v>1.7233227988075406E-2</v>
      </c>
      <c r="R823" s="9">
        <f t="shared" si="25"/>
        <v>2.7667720119245939E-3</v>
      </c>
    </row>
    <row r="824" spans="1:18" x14ac:dyDescent="0.2">
      <c r="A824" s="2">
        <v>42622</v>
      </c>
      <c r="B824" s="1" t="s">
        <v>13</v>
      </c>
      <c r="C824" s="1" t="s">
        <v>14</v>
      </c>
      <c r="D824" s="2">
        <v>43106</v>
      </c>
      <c r="E824" s="2">
        <f t="shared" si="24"/>
        <v>43252</v>
      </c>
      <c r="F824" s="1" t="s">
        <v>15</v>
      </c>
      <c r="G824" s="1" t="s">
        <v>16</v>
      </c>
      <c r="H824" s="1">
        <v>-1</v>
      </c>
      <c r="I824" s="1">
        <v>0.84</v>
      </c>
      <c r="J824" s="1">
        <v>-0.01</v>
      </c>
      <c r="K824" s="1" t="s">
        <v>45</v>
      </c>
      <c r="L824" s="1">
        <v>2389</v>
      </c>
      <c r="M824" s="1">
        <v>0.64</v>
      </c>
      <c r="N824" s="1">
        <v>-0.26368999999999998</v>
      </c>
      <c r="O824" s="1">
        <f>VLOOKUP(D824,underlying!$D$2:$H$75,5,FALSE)</f>
        <v>-0.23</v>
      </c>
      <c r="P824" s="2">
        <f>VLOOKUP(D824,underlying!$D$2:$L$39,9,FALSE)</f>
        <v>43217</v>
      </c>
      <c r="Q824" s="7">
        <f>IF(G824="C",NormalCallSprd(O824,H824,M824,(P824-A824)/365), NormalPutSprd(O824,H824,M824,(P824-A824)/365))</f>
        <v>0.84589261128363746</v>
      </c>
      <c r="R824" s="9">
        <f t="shared" si="25"/>
        <v>5.8926112836374944E-3</v>
      </c>
    </row>
    <row r="825" spans="1:18" x14ac:dyDescent="0.2">
      <c r="A825" s="2">
        <v>42622</v>
      </c>
      <c r="B825" s="1" t="s">
        <v>13</v>
      </c>
      <c r="C825" s="1" t="s">
        <v>14</v>
      </c>
      <c r="D825" s="2">
        <v>43106</v>
      </c>
      <c r="E825" s="2">
        <f t="shared" si="24"/>
        <v>43252</v>
      </c>
      <c r="F825" s="1" t="s">
        <v>15</v>
      </c>
      <c r="G825" s="1" t="s">
        <v>18</v>
      </c>
      <c r="H825" s="1">
        <v>-1</v>
      </c>
      <c r="I825" s="1">
        <v>7.0000000000000007E-2</v>
      </c>
      <c r="J825" s="1">
        <v>0</v>
      </c>
      <c r="K825" s="1" t="s">
        <v>45</v>
      </c>
      <c r="L825" s="1">
        <v>2389</v>
      </c>
      <c r="M825" s="1">
        <v>0.64</v>
      </c>
      <c r="N825" s="1">
        <v>-0.23555999999999999</v>
      </c>
      <c r="O825" s="1">
        <f>VLOOKUP(D825,underlying!$D$2:$H$75,5,FALSE)</f>
        <v>-0.23</v>
      </c>
      <c r="P825" s="2">
        <f>VLOOKUP(D825,underlying!$D$2:$L$39,9,FALSE)</f>
        <v>43217</v>
      </c>
      <c r="Q825" s="7">
        <f>IF(G825="C",NormalCallSprd(O825,H825,M825,(P825-A825)/365), NormalPutSprd(O825,H825,M825,(P825-A825)/365))</f>
        <v>7.5892611283637529E-2</v>
      </c>
      <c r="R825" s="9">
        <f t="shared" si="25"/>
        <v>5.8926112836375222E-3</v>
      </c>
    </row>
    <row r="826" spans="1:18" x14ac:dyDescent="0.2">
      <c r="A826" s="2">
        <v>42622</v>
      </c>
      <c r="B826" s="1" t="s">
        <v>13</v>
      </c>
      <c r="C826" s="1" t="s">
        <v>14</v>
      </c>
      <c r="D826" s="2">
        <v>43106</v>
      </c>
      <c r="E826" s="2">
        <f t="shared" si="24"/>
        <v>43252</v>
      </c>
      <c r="F826" s="1" t="s">
        <v>15</v>
      </c>
      <c r="G826" s="1" t="s">
        <v>16</v>
      </c>
      <c r="H826" s="1">
        <v>-0.75</v>
      </c>
      <c r="I826" s="1">
        <v>0.62</v>
      </c>
      <c r="J826" s="1">
        <v>-0.01</v>
      </c>
      <c r="K826" s="1" t="s">
        <v>45</v>
      </c>
      <c r="L826" s="1">
        <v>2389</v>
      </c>
      <c r="M826" s="1">
        <v>0.59</v>
      </c>
      <c r="N826" s="1">
        <v>-0.20982999999999999</v>
      </c>
      <c r="O826" s="1">
        <f>VLOOKUP(D826,underlying!$D$2:$H$75,5,FALSE)</f>
        <v>-0.23</v>
      </c>
      <c r="P826" s="2">
        <f>VLOOKUP(D826,underlying!$D$2:$L$39,9,FALSE)</f>
        <v>43217</v>
      </c>
      <c r="Q826" s="7">
        <f>IF(G826="C",NormalCallSprd(O826,H826,M826,(P826-A826)/365), NormalPutSprd(O826,H826,M826,(P826-A826)/365))</f>
        <v>0.62940875950970754</v>
      </c>
      <c r="R826" s="9">
        <f t="shared" si="25"/>
        <v>9.4087595097075427E-3</v>
      </c>
    </row>
    <row r="827" spans="1:18" x14ac:dyDescent="0.2">
      <c r="A827" s="2">
        <v>42622</v>
      </c>
      <c r="B827" s="1" t="s">
        <v>13</v>
      </c>
      <c r="C827" s="1" t="s">
        <v>14</v>
      </c>
      <c r="D827" s="2">
        <v>43106</v>
      </c>
      <c r="E827" s="2">
        <f t="shared" si="24"/>
        <v>43252</v>
      </c>
      <c r="F827" s="1" t="s">
        <v>15</v>
      </c>
      <c r="G827" s="1" t="s">
        <v>18</v>
      </c>
      <c r="H827" s="1">
        <v>-0.75</v>
      </c>
      <c r="I827" s="1">
        <v>0.11</v>
      </c>
      <c r="J827" s="1">
        <v>0</v>
      </c>
      <c r="K827" s="1" t="s">
        <v>45</v>
      </c>
      <c r="L827" s="1">
        <v>2389</v>
      </c>
      <c r="M827" s="1">
        <v>0.59</v>
      </c>
      <c r="N827" s="1">
        <v>-0.18643000000000001</v>
      </c>
      <c r="O827" s="1">
        <f>VLOOKUP(D827,underlying!$D$2:$H$75,5,FALSE)</f>
        <v>-0.23</v>
      </c>
      <c r="P827" s="2">
        <f>VLOOKUP(D827,underlying!$D$2:$L$39,9,FALSE)</f>
        <v>43217</v>
      </c>
      <c r="Q827" s="7">
        <f>IF(G827="C",NormalCallSprd(O827,H827,M827,(P827-A827)/365), NormalPutSprd(O827,H827,M827,(P827-A827)/365))</f>
        <v>0.10940875950970749</v>
      </c>
      <c r="R827" s="9">
        <f t="shared" si="25"/>
        <v>5.912404902925078E-4</v>
      </c>
    </row>
    <row r="828" spans="1:18" x14ac:dyDescent="0.2">
      <c r="A828" s="2">
        <v>42622</v>
      </c>
      <c r="B828" s="1" t="s">
        <v>13</v>
      </c>
      <c r="C828" s="1" t="s">
        <v>14</v>
      </c>
      <c r="D828" s="2">
        <v>43106</v>
      </c>
      <c r="E828" s="2">
        <f t="shared" si="24"/>
        <v>43252</v>
      </c>
      <c r="F828" s="1" t="s">
        <v>15</v>
      </c>
      <c r="G828" s="1" t="s">
        <v>16</v>
      </c>
      <c r="H828" s="1">
        <v>-0.7</v>
      </c>
      <c r="I828" s="1">
        <v>0.57999999999999996</v>
      </c>
      <c r="J828" s="1">
        <v>-0.01</v>
      </c>
      <c r="K828" s="1" t="s">
        <v>45</v>
      </c>
      <c r="L828" s="1">
        <v>2389</v>
      </c>
      <c r="M828" s="1">
        <v>0.57999999999999996</v>
      </c>
      <c r="N828" s="1">
        <v>-0.16525000000000001</v>
      </c>
      <c r="O828" s="1">
        <f>VLOOKUP(D828,underlying!$D$2:$H$75,5,FALSE)</f>
        <v>-0.23</v>
      </c>
      <c r="P828" s="2">
        <f>VLOOKUP(D828,underlying!$D$2:$L$39,9,FALSE)</f>
        <v>43217</v>
      </c>
      <c r="Q828" s="7">
        <f>IF(G828="C",NormalCallSprd(O828,H828,M828,(P828-A828)/365), NormalPutSprd(O828,H828,M828,(P828-A828)/365))</f>
        <v>0.58800975395267396</v>
      </c>
      <c r="R828" s="9">
        <f t="shared" si="25"/>
        <v>8.0097539526740036E-3</v>
      </c>
    </row>
    <row r="829" spans="1:18" x14ac:dyDescent="0.2">
      <c r="A829" s="2">
        <v>42622</v>
      </c>
      <c r="B829" s="1" t="s">
        <v>13</v>
      </c>
      <c r="C829" s="1" t="s">
        <v>14</v>
      </c>
      <c r="D829" s="2">
        <v>43106</v>
      </c>
      <c r="E829" s="2">
        <f t="shared" si="24"/>
        <v>43252</v>
      </c>
      <c r="F829" s="1" t="s">
        <v>15</v>
      </c>
      <c r="G829" s="1" t="s">
        <v>18</v>
      </c>
      <c r="H829" s="1">
        <v>-0.7</v>
      </c>
      <c r="I829" s="1">
        <v>0.12</v>
      </c>
      <c r="J829" s="1">
        <v>0</v>
      </c>
      <c r="K829" s="1" t="s">
        <v>45</v>
      </c>
      <c r="L829" s="1">
        <v>2389</v>
      </c>
      <c r="M829" s="1">
        <v>0.57999999999999996</v>
      </c>
      <c r="N829" s="1">
        <v>-0.14616999999999999</v>
      </c>
      <c r="O829" s="1">
        <f>VLOOKUP(D829,underlying!$D$2:$H$75,5,FALSE)</f>
        <v>-0.23</v>
      </c>
      <c r="P829" s="2">
        <f>VLOOKUP(D829,underlying!$D$2:$L$39,9,FALSE)</f>
        <v>43217</v>
      </c>
      <c r="Q829" s="7">
        <f>IF(G829="C",NormalCallSprd(O829,H829,M829,(P829-A829)/365), NormalPutSprd(O829,H829,M829,(P829-A829)/365))</f>
        <v>0.11800975395267402</v>
      </c>
      <c r="R829" s="9">
        <f t="shared" si="25"/>
        <v>1.9902460473259775E-3</v>
      </c>
    </row>
    <row r="830" spans="1:18" x14ac:dyDescent="0.2">
      <c r="A830" s="2">
        <v>42622</v>
      </c>
      <c r="B830" s="1" t="s">
        <v>13</v>
      </c>
      <c r="C830" s="1" t="s">
        <v>14</v>
      </c>
      <c r="D830" s="2">
        <v>43106</v>
      </c>
      <c r="E830" s="2">
        <f t="shared" si="24"/>
        <v>43252</v>
      </c>
      <c r="F830" s="1" t="s">
        <v>15</v>
      </c>
      <c r="G830" s="1" t="s">
        <v>16</v>
      </c>
      <c r="H830" s="1">
        <v>-0.65</v>
      </c>
      <c r="I830" s="1">
        <v>0.54</v>
      </c>
      <c r="J830" s="1">
        <v>-0.01</v>
      </c>
      <c r="K830" s="1" t="s">
        <v>45</v>
      </c>
      <c r="L830" s="1">
        <v>2389</v>
      </c>
      <c r="M830" s="1">
        <v>0.56999999999999995</v>
      </c>
      <c r="N830" s="1">
        <v>-0.12905</v>
      </c>
      <c r="O830" s="1">
        <f>VLOOKUP(D830,underlying!$D$2:$H$75,5,FALSE)</f>
        <v>-0.23</v>
      </c>
      <c r="P830" s="2">
        <f>VLOOKUP(D830,underlying!$D$2:$L$39,9,FALSE)</f>
        <v>43217</v>
      </c>
      <c r="Q830" s="7">
        <f>IF(G830="C",NormalCallSprd(O830,H830,M830,(P830-A830)/365), NormalPutSprd(O830,H830,M830,(P830-A830)/365))</f>
        <v>0.54738430730107412</v>
      </c>
      <c r="R830" s="9">
        <f t="shared" si="25"/>
        <v>7.3843073010740889E-3</v>
      </c>
    </row>
    <row r="831" spans="1:18" x14ac:dyDescent="0.2">
      <c r="A831" s="2">
        <v>42622</v>
      </c>
      <c r="B831" s="1" t="s">
        <v>13</v>
      </c>
      <c r="C831" s="1" t="s">
        <v>14</v>
      </c>
      <c r="D831" s="2">
        <v>43106</v>
      </c>
      <c r="E831" s="2">
        <f t="shared" si="24"/>
        <v>43252</v>
      </c>
      <c r="F831" s="1" t="s">
        <v>15</v>
      </c>
      <c r="G831" s="1" t="s">
        <v>18</v>
      </c>
      <c r="H831" s="1">
        <v>-0.65</v>
      </c>
      <c r="I831" s="1">
        <v>0.13</v>
      </c>
      <c r="J831" s="1">
        <v>0.01</v>
      </c>
      <c r="K831" s="1" t="s">
        <v>45</v>
      </c>
      <c r="L831" s="1">
        <v>2389</v>
      </c>
      <c r="M831" s="1">
        <v>0.56999999999999995</v>
      </c>
      <c r="N831" s="1">
        <v>-1.272E-2</v>
      </c>
      <c r="O831" s="1">
        <f>VLOOKUP(D831,underlying!$D$2:$H$75,5,FALSE)</f>
        <v>-0.23</v>
      </c>
      <c r="P831" s="2">
        <f>VLOOKUP(D831,underlying!$D$2:$L$39,9,FALSE)</f>
        <v>43217</v>
      </c>
      <c r="Q831" s="7">
        <f>IF(G831="C",NormalCallSprd(O831,H831,M831,(P831-A831)/365), NormalPutSprd(O831,H831,M831,(P831-A831)/365))</f>
        <v>0.12738430730107414</v>
      </c>
      <c r="R831" s="9">
        <f t="shared" si="25"/>
        <v>2.6156926989258644E-3</v>
      </c>
    </row>
    <row r="832" spans="1:18" x14ac:dyDescent="0.2">
      <c r="A832" s="2">
        <v>42622</v>
      </c>
      <c r="B832" s="1" t="s">
        <v>13</v>
      </c>
      <c r="C832" s="1" t="s">
        <v>14</v>
      </c>
      <c r="D832" s="2">
        <v>43106</v>
      </c>
      <c r="E832" s="2">
        <f t="shared" si="24"/>
        <v>43252</v>
      </c>
      <c r="F832" s="1" t="s">
        <v>15</v>
      </c>
      <c r="G832" s="1" t="s">
        <v>16</v>
      </c>
      <c r="H832" s="1">
        <v>-0.6</v>
      </c>
      <c r="I832" s="1">
        <v>0.5</v>
      </c>
      <c r="J832" s="1">
        <v>-0.01</v>
      </c>
      <c r="K832" s="1" t="s">
        <v>45</v>
      </c>
      <c r="L832" s="1">
        <v>2389</v>
      </c>
      <c r="M832" s="1">
        <v>0.56000000000000005</v>
      </c>
      <c r="N832" s="1">
        <v>-1.74E-3</v>
      </c>
      <c r="O832" s="1">
        <f>VLOOKUP(D832,underlying!$D$2:$H$75,5,FALSE)</f>
        <v>-0.23</v>
      </c>
      <c r="P832" s="2">
        <f>VLOOKUP(D832,underlying!$D$2:$L$39,9,FALSE)</f>
        <v>43217</v>
      </c>
      <c r="Q832" s="7">
        <f>IF(G832="C",NormalCallSprd(O832,H832,M832,(P832-A832)/365), NormalPutSprd(O832,H832,M832,(P832-A832)/365))</f>
        <v>0.50760274884725032</v>
      </c>
      <c r="R832" s="9">
        <f t="shared" si="25"/>
        <v>7.602748847250318E-3</v>
      </c>
    </row>
    <row r="833" spans="1:18" x14ac:dyDescent="0.2">
      <c r="A833" s="2">
        <v>42622</v>
      </c>
      <c r="B833" s="1" t="s">
        <v>13</v>
      </c>
      <c r="C833" s="1" t="s">
        <v>14</v>
      </c>
      <c r="D833" s="2">
        <v>43106</v>
      </c>
      <c r="E833" s="2">
        <f t="shared" si="24"/>
        <v>43252</v>
      </c>
      <c r="F833" s="1" t="s">
        <v>15</v>
      </c>
      <c r="G833" s="1" t="s">
        <v>18</v>
      </c>
      <c r="H833" s="1">
        <v>-0.6</v>
      </c>
      <c r="I833" s="1">
        <v>0.14000000000000001</v>
      </c>
      <c r="J833" s="1">
        <v>0.01</v>
      </c>
      <c r="K833" s="1" t="s">
        <v>45</v>
      </c>
      <c r="L833" s="1">
        <v>2389</v>
      </c>
      <c r="M833" s="1">
        <v>0.56000000000000005</v>
      </c>
      <c r="N833" s="1">
        <v>-2.3000000000000001E-4</v>
      </c>
      <c r="O833" s="1">
        <f>VLOOKUP(D833,underlying!$D$2:$H$75,5,FALSE)</f>
        <v>-0.23</v>
      </c>
      <c r="P833" s="2">
        <f>VLOOKUP(D833,underlying!$D$2:$L$39,9,FALSE)</f>
        <v>43217</v>
      </c>
      <c r="Q833" s="7">
        <f>IF(G833="C",NormalCallSprd(O833,H833,M833,(P833-A833)/365), NormalPutSprd(O833,H833,M833,(P833-A833)/365))</f>
        <v>0.13760274884725041</v>
      </c>
      <c r="R833" s="9">
        <f t="shared" si="25"/>
        <v>2.3972511527496076E-3</v>
      </c>
    </row>
    <row r="834" spans="1:18" x14ac:dyDescent="0.2">
      <c r="A834" s="2">
        <v>42622</v>
      </c>
      <c r="B834" s="1" t="s">
        <v>13</v>
      </c>
      <c r="C834" s="1" t="s">
        <v>14</v>
      </c>
      <c r="D834" s="2">
        <v>43106</v>
      </c>
      <c r="E834" s="2">
        <f t="shared" ref="E834:E897" si="26">DATE(YEAR(D834),DAY(D834),MONTH(D834))</f>
        <v>43252</v>
      </c>
      <c r="F834" s="1" t="s">
        <v>15</v>
      </c>
      <c r="G834" s="1" t="s">
        <v>16</v>
      </c>
      <c r="H834" s="1">
        <v>-0.55000000000000004</v>
      </c>
      <c r="I834" s="1">
        <v>0.47</v>
      </c>
      <c r="J834" s="1">
        <v>-0.01</v>
      </c>
      <c r="K834" s="1" t="s">
        <v>45</v>
      </c>
      <c r="L834" s="1">
        <v>2389</v>
      </c>
      <c r="M834" s="1">
        <v>0.56000000000000005</v>
      </c>
      <c r="N834" s="1">
        <v>0.39567999999999998</v>
      </c>
      <c r="O834" s="1">
        <f>VLOOKUP(D834,underlying!$D$2:$H$75,5,FALSE)</f>
        <v>-0.23</v>
      </c>
      <c r="P834" s="2">
        <f>VLOOKUP(D834,underlying!$D$2:$L$39,9,FALSE)</f>
        <v>43217</v>
      </c>
      <c r="Q834" s="7">
        <f>IF(G834="C",NormalCallSprd(O834,H834,M834,(P834-A834)/365), NormalPutSprd(O834,H834,M834,(P834-A834)/365))</f>
        <v>0.47334033615317145</v>
      </c>
      <c r="R834" s="9">
        <f t="shared" si="25"/>
        <v>3.3403361531714748E-3</v>
      </c>
    </row>
    <row r="835" spans="1:18" x14ac:dyDescent="0.2">
      <c r="A835" s="2">
        <v>42622</v>
      </c>
      <c r="B835" s="1" t="s">
        <v>13</v>
      </c>
      <c r="C835" s="1" t="s">
        <v>14</v>
      </c>
      <c r="D835" s="2">
        <v>43106</v>
      </c>
      <c r="E835" s="2">
        <f t="shared" si="26"/>
        <v>43252</v>
      </c>
      <c r="F835" s="1" t="s">
        <v>15</v>
      </c>
      <c r="G835" s="1" t="s">
        <v>18</v>
      </c>
      <c r="H835" s="1">
        <v>-0.55000000000000004</v>
      </c>
      <c r="I835" s="1">
        <v>0.15</v>
      </c>
      <c r="J835" s="1">
        <v>0</v>
      </c>
      <c r="K835" s="1" t="s">
        <v>45</v>
      </c>
      <c r="L835" s="1">
        <v>2389</v>
      </c>
      <c r="M835" s="1">
        <v>0.56000000000000005</v>
      </c>
      <c r="N835" s="1">
        <v>0.42464000000000002</v>
      </c>
      <c r="O835" s="1">
        <f>VLOOKUP(D835,underlying!$D$2:$H$75,5,FALSE)</f>
        <v>-0.23</v>
      </c>
      <c r="P835" s="2">
        <f>VLOOKUP(D835,underlying!$D$2:$L$39,9,FALSE)</f>
        <v>43217</v>
      </c>
      <c r="Q835" s="7">
        <f>IF(G835="C",NormalCallSprd(O835,H835,M835,(P835-A835)/365), NormalPutSprd(O835,H835,M835,(P835-A835)/365))</f>
        <v>0.15334033615317141</v>
      </c>
      <c r="R835" s="9">
        <f t="shared" ref="R835:R898" si="27">ABS(Q835-I835)</f>
        <v>3.3403361531714193E-3</v>
      </c>
    </row>
    <row r="836" spans="1:18" x14ac:dyDescent="0.2">
      <c r="A836" s="2">
        <v>42622</v>
      </c>
      <c r="B836" s="1" t="s">
        <v>13</v>
      </c>
      <c r="C836" s="1" t="s">
        <v>14</v>
      </c>
      <c r="D836" s="2">
        <v>43106</v>
      </c>
      <c r="E836" s="2">
        <f t="shared" si="26"/>
        <v>43252</v>
      </c>
      <c r="F836" s="1" t="s">
        <v>15</v>
      </c>
      <c r="G836" s="1" t="s">
        <v>16</v>
      </c>
      <c r="H836" s="1">
        <v>-0.5</v>
      </c>
      <c r="I836" s="1">
        <v>0.43</v>
      </c>
      <c r="J836" s="1">
        <v>-0.01</v>
      </c>
      <c r="K836" s="1" t="s">
        <v>45</v>
      </c>
      <c r="L836" s="1">
        <v>2389</v>
      </c>
      <c r="M836" s="1">
        <v>0.56000000000000005</v>
      </c>
      <c r="N836" s="1">
        <v>0.45399</v>
      </c>
      <c r="O836" s="1">
        <f>VLOOKUP(D836,underlying!$D$2:$H$75,5,FALSE)</f>
        <v>-0.23</v>
      </c>
      <c r="P836" s="2">
        <f>VLOOKUP(D836,underlying!$D$2:$L$39,9,FALSE)</f>
        <v>43217</v>
      </c>
      <c r="Q836" s="7">
        <f>IF(G836="C",NormalCallSprd(O836,H836,M836,(P836-A836)/365), NormalPutSprd(O836,H836,M836,(P836-A836)/365))</f>
        <v>0.44033949537033795</v>
      </c>
      <c r="R836" s="9">
        <f t="shared" si="27"/>
        <v>1.0339495370337959E-2</v>
      </c>
    </row>
    <row r="837" spans="1:18" x14ac:dyDescent="0.2">
      <c r="A837" s="2">
        <v>42622</v>
      </c>
      <c r="B837" s="1" t="s">
        <v>13</v>
      </c>
      <c r="C837" s="1" t="s">
        <v>14</v>
      </c>
      <c r="D837" s="2">
        <v>43106</v>
      </c>
      <c r="E837" s="2">
        <f t="shared" si="26"/>
        <v>43252</v>
      </c>
      <c r="F837" s="1" t="s">
        <v>15</v>
      </c>
      <c r="G837" s="1" t="s">
        <v>18</v>
      </c>
      <c r="H837" s="1">
        <v>-0.5</v>
      </c>
      <c r="I837" s="1">
        <v>0.17</v>
      </c>
      <c r="J837" s="1">
        <v>0</v>
      </c>
      <c r="K837" s="1" t="s">
        <v>45</v>
      </c>
      <c r="L837" s="1">
        <v>2389</v>
      </c>
      <c r="M837" s="1">
        <v>0.56000000000000005</v>
      </c>
      <c r="N837" s="1">
        <v>0.48357</v>
      </c>
      <c r="O837" s="1">
        <f>VLOOKUP(D837,underlying!$D$2:$H$75,5,FALSE)</f>
        <v>-0.23</v>
      </c>
      <c r="P837" s="2">
        <f>VLOOKUP(D837,underlying!$D$2:$L$39,9,FALSE)</f>
        <v>43217</v>
      </c>
      <c r="Q837" s="7">
        <f>IF(G837="C",NormalCallSprd(O837,H837,M837,(P837-A837)/365), NormalPutSprd(O837,H837,M837,(P837-A837)/365))</f>
        <v>0.17033949537033796</v>
      </c>
      <c r="R837" s="9">
        <f t="shared" si="27"/>
        <v>3.3949537033794996E-4</v>
      </c>
    </row>
    <row r="838" spans="1:18" x14ac:dyDescent="0.2">
      <c r="A838" s="2">
        <v>42622</v>
      </c>
      <c r="B838" s="1" t="s">
        <v>13</v>
      </c>
      <c r="C838" s="1" t="s">
        <v>14</v>
      </c>
      <c r="D838" s="2">
        <v>43106</v>
      </c>
      <c r="E838" s="2">
        <f t="shared" si="26"/>
        <v>43252</v>
      </c>
      <c r="F838" s="1" t="s">
        <v>15</v>
      </c>
      <c r="G838" s="1" t="s">
        <v>16</v>
      </c>
      <c r="H838" s="1">
        <v>-0.45</v>
      </c>
      <c r="I838" s="1">
        <v>0.4</v>
      </c>
      <c r="J838" s="1">
        <v>-0.01</v>
      </c>
      <c r="K838" s="1" t="s">
        <v>45</v>
      </c>
      <c r="L838" s="1">
        <v>2389</v>
      </c>
      <c r="M838" s="1">
        <v>0.55000000000000004</v>
      </c>
      <c r="N838" s="1">
        <v>0.51295999999999997</v>
      </c>
      <c r="O838" s="1">
        <f>VLOOKUP(D838,underlying!$D$2:$H$75,5,FALSE)</f>
        <v>-0.23</v>
      </c>
      <c r="P838" s="2">
        <f>VLOOKUP(D838,underlying!$D$2:$L$39,9,FALSE)</f>
        <v>43217</v>
      </c>
      <c r="Q838" s="7">
        <f>IF(G838="C",NormalCallSprd(O838,H838,M838,(P838-A838)/365), NormalPutSprd(O838,H838,M838,(P838-A838)/365))</f>
        <v>0.40378324132459398</v>
      </c>
      <c r="R838" s="9">
        <f t="shared" si="27"/>
        <v>3.7832413245939556E-3</v>
      </c>
    </row>
    <row r="839" spans="1:18" x14ac:dyDescent="0.2">
      <c r="A839" s="2">
        <v>42622</v>
      </c>
      <c r="B839" s="1" t="s">
        <v>13</v>
      </c>
      <c r="C839" s="1" t="s">
        <v>14</v>
      </c>
      <c r="D839" s="2">
        <v>43106</v>
      </c>
      <c r="E839" s="2">
        <f t="shared" si="26"/>
        <v>43252</v>
      </c>
      <c r="F839" s="1" t="s">
        <v>15</v>
      </c>
      <c r="G839" s="1" t="s">
        <v>18</v>
      </c>
      <c r="H839" s="1">
        <v>-0.45</v>
      </c>
      <c r="I839" s="1">
        <v>0.18</v>
      </c>
      <c r="J839" s="1">
        <v>0</v>
      </c>
      <c r="K839" s="1" t="s">
        <v>45</v>
      </c>
      <c r="L839" s="1">
        <v>2389</v>
      </c>
      <c r="M839" s="1">
        <v>0.55000000000000004</v>
      </c>
      <c r="N839" s="1">
        <v>0.54191999999999996</v>
      </c>
      <c r="O839" s="1">
        <f>VLOOKUP(D839,underlying!$D$2:$H$75,5,FALSE)</f>
        <v>-0.23</v>
      </c>
      <c r="P839" s="2">
        <f>VLOOKUP(D839,underlying!$D$2:$L$39,9,FALSE)</f>
        <v>43217</v>
      </c>
      <c r="Q839" s="7">
        <f>IF(G839="C",NormalCallSprd(O839,H839,M839,(P839-A839)/365), NormalPutSprd(O839,H839,M839,(P839-A839)/365))</f>
        <v>0.18378324132459395</v>
      </c>
      <c r="R839" s="9">
        <f t="shared" si="27"/>
        <v>3.7832413245939556E-3</v>
      </c>
    </row>
    <row r="840" spans="1:18" x14ac:dyDescent="0.2">
      <c r="A840" s="2">
        <v>42622</v>
      </c>
      <c r="B840" s="1" t="s">
        <v>13</v>
      </c>
      <c r="C840" s="1" t="s">
        <v>14</v>
      </c>
      <c r="D840" s="2">
        <v>43106</v>
      </c>
      <c r="E840" s="2">
        <f t="shared" si="26"/>
        <v>43252</v>
      </c>
      <c r="F840" s="1" t="s">
        <v>15</v>
      </c>
      <c r="G840" s="1" t="s">
        <v>16</v>
      </c>
      <c r="H840" s="1">
        <v>-0.4</v>
      </c>
      <c r="I840" s="1">
        <v>0.36</v>
      </c>
      <c r="J840" s="1">
        <v>-0.01</v>
      </c>
      <c r="K840" s="1" t="s">
        <v>45</v>
      </c>
      <c r="L840" s="1">
        <v>2389</v>
      </c>
      <c r="M840" s="1">
        <v>0.54</v>
      </c>
      <c r="N840" s="1">
        <v>0.56964000000000004</v>
      </c>
      <c r="O840" s="1">
        <f>VLOOKUP(D840,underlying!$D$2:$H$75,5,FALSE)</f>
        <v>-0.23</v>
      </c>
      <c r="P840" s="2">
        <f>VLOOKUP(D840,underlying!$D$2:$L$39,9,FALSE)</f>
        <v>43217</v>
      </c>
      <c r="Q840" s="7">
        <f>IF(G840="C",NormalCallSprd(O840,H840,M840,(P840-A840)/365), NormalPutSprd(O840,H840,M840,(P840-A840)/365))</f>
        <v>0.36837183837929227</v>
      </c>
      <c r="R840" s="9">
        <f t="shared" si="27"/>
        <v>8.3718383792922846E-3</v>
      </c>
    </row>
    <row r="841" spans="1:18" x14ac:dyDescent="0.2">
      <c r="A841" s="2">
        <v>42622</v>
      </c>
      <c r="B841" s="1" t="s">
        <v>13</v>
      </c>
      <c r="C841" s="1" t="s">
        <v>14</v>
      </c>
      <c r="D841" s="2">
        <v>43106</v>
      </c>
      <c r="E841" s="2">
        <f t="shared" si="26"/>
        <v>43252</v>
      </c>
      <c r="F841" s="1" t="s">
        <v>15</v>
      </c>
      <c r="G841" s="1" t="s">
        <v>18</v>
      </c>
      <c r="H841" s="1">
        <v>-0.4</v>
      </c>
      <c r="I841" s="1">
        <v>0.2</v>
      </c>
      <c r="J841" s="1">
        <v>0.01</v>
      </c>
      <c r="K841" s="1" t="s">
        <v>45</v>
      </c>
      <c r="L841" s="1">
        <v>2389</v>
      </c>
      <c r="M841" s="1">
        <v>0.54</v>
      </c>
      <c r="N841" s="1">
        <v>0.59589999999999999</v>
      </c>
      <c r="O841" s="1">
        <f>VLOOKUP(D841,underlying!$D$2:$H$75,5,FALSE)</f>
        <v>-0.23</v>
      </c>
      <c r="P841" s="2">
        <f>VLOOKUP(D841,underlying!$D$2:$L$39,9,FALSE)</f>
        <v>43217</v>
      </c>
      <c r="Q841" s="7">
        <f>IF(G841="C",NormalCallSprd(O841,H841,M841,(P841-A841)/365), NormalPutSprd(O841,H841,M841,(P841-A841)/365))</f>
        <v>0.19837183837929226</v>
      </c>
      <c r="R841" s="9">
        <f t="shared" si="27"/>
        <v>1.6281616207077521E-3</v>
      </c>
    </row>
    <row r="842" spans="1:18" x14ac:dyDescent="0.2">
      <c r="A842" s="2">
        <v>42622</v>
      </c>
      <c r="B842" s="1" t="s">
        <v>13</v>
      </c>
      <c r="C842" s="1" t="s">
        <v>14</v>
      </c>
      <c r="D842" s="2">
        <v>43106</v>
      </c>
      <c r="E842" s="2">
        <f t="shared" si="26"/>
        <v>43252</v>
      </c>
      <c r="F842" s="1" t="s">
        <v>15</v>
      </c>
      <c r="G842" s="1" t="s">
        <v>16</v>
      </c>
      <c r="H842" s="1">
        <v>-0.35</v>
      </c>
      <c r="I842" s="1">
        <v>0.33</v>
      </c>
      <c r="J842" s="1">
        <v>-0.01</v>
      </c>
      <c r="K842" s="1" t="s">
        <v>45</v>
      </c>
      <c r="L842" s="1">
        <v>2389</v>
      </c>
      <c r="M842" s="1">
        <v>0.54</v>
      </c>
      <c r="N842" s="1">
        <v>0.62251000000000001</v>
      </c>
      <c r="O842" s="1">
        <f>VLOOKUP(D842,underlying!$D$2:$H$75,5,FALSE)</f>
        <v>-0.23</v>
      </c>
      <c r="P842" s="2">
        <f>VLOOKUP(D842,underlying!$D$2:$L$39,9,FALSE)</f>
        <v>43217</v>
      </c>
      <c r="Q842" s="7">
        <f>IF(G842="C",NormalCallSprd(O842,H842,M842,(P842-A842)/365), NormalPutSprd(O842,H842,M842,(P842-A842)/365))</f>
        <v>0.33920835924290083</v>
      </c>
      <c r="R842" s="9">
        <f t="shared" si="27"/>
        <v>9.2083592429008099E-3</v>
      </c>
    </row>
    <row r="843" spans="1:18" x14ac:dyDescent="0.2">
      <c r="A843" s="2">
        <v>42622</v>
      </c>
      <c r="B843" s="1" t="s">
        <v>13</v>
      </c>
      <c r="C843" s="1" t="s">
        <v>14</v>
      </c>
      <c r="D843" s="2">
        <v>43106</v>
      </c>
      <c r="E843" s="2">
        <f t="shared" si="26"/>
        <v>43252</v>
      </c>
      <c r="F843" s="1" t="s">
        <v>15</v>
      </c>
      <c r="G843" s="1" t="s">
        <v>18</v>
      </c>
      <c r="H843" s="1">
        <v>-0.35</v>
      </c>
      <c r="I843" s="1">
        <v>0.22</v>
      </c>
      <c r="J843" s="1">
        <v>0.01</v>
      </c>
      <c r="K843" s="1" t="s">
        <v>45</v>
      </c>
      <c r="L843" s="1">
        <v>2389</v>
      </c>
      <c r="M843" s="1">
        <v>0.54</v>
      </c>
      <c r="N843" s="1">
        <v>0.64685000000000004</v>
      </c>
      <c r="O843" s="1">
        <f>VLOOKUP(D843,underlying!$D$2:$H$75,5,FALSE)</f>
        <v>-0.23</v>
      </c>
      <c r="P843" s="2">
        <f>VLOOKUP(D843,underlying!$D$2:$L$39,9,FALSE)</f>
        <v>43217</v>
      </c>
      <c r="Q843" s="7">
        <f>IF(G843="C",NormalCallSprd(O843,H843,M843,(P843-A843)/365), NormalPutSprd(O843,H843,M843,(P843-A843)/365))</f>
        <v>0.21920835924290083</v>
      </c>
      <c r="R843" s="9">
        <f t="shared" si="27"/>
        <v>7.9164075709917126E-4</v>
      </c>
    </row>
    <row r="844" spans="1:18" x14ac:dyDescent="0.2">
      <c r="A844" s="2">
        <v>42622</v>
      </c>
      <c r="B844" s="1" t="s">
        <v>13</v>
      </c>
      <c r="C844" s="1" t="s">
        <v>14</v>
      </c>
      <c r="D844" s="2">
        <v>43106</v>
      </c>
      <c r="E844" s="2">
        <f t="shared" si="26"/>
        <v>43252</v>
      </c>
      <c r="F844" s="1" t="s">
        <v>15</v>
      </c>
      <c r="G844" s="1" t="s">
        <v>16</v>
      </c>
      <c r="H844" s="1">
        <v>-0.3</v>
      </c>
      <c r="I844" s="1">
        <v>0.3</v>
      </c>
      <c r="J844" s="1">
        <v>-0.01</v>
      </c>
      <c r="K844" s="1" t="s">
        <v>45</v>
      </c>
      <c r="L844" s="1">
        <v>2389</v>
      </c>
      <c r="M844" s="1">
        <v>0.53</v>
      </c>
      <c r="N844" s="1">
        <v>0.67159999999999997</v>
      </c>
      <c r="O844" s="1">
        <f>VLOOKUP(D844,underlying!$D$2:$H$75,5,FALSE)</f>
        <v>-0.23</v>
      </c>
      <c r="P844" s="2">
        <f>VLOOKUP(D844,underlying!$D$2:$L$39,9,FALSE)</f>
        <v>43217</v>
      </c>
      <c r="Q844" s="7">
        <f>IF(G844="C",NormalCallSprd(O844,H844,M844,(P844-A844)/365), NormalPutSprd(O844,H844,M844,(P844-A844)/365))</f>
        <v>0.30640222482275514</v>
      </c>
      <c r="R844" s="9">
        <f t="shared" si="27"/>
        <v>6.4022248227551537E-3</v>
      </c>
    </row>
    <row r="845" spans="1:18" x14ac:dyDescent="0.2">
      <c r="A845" s="2">
        <v>42622</v>
      </c>
      <c r="B845" s="1" t="s">
        <v>13</v>
      </c>
      <c r="C845" s="1" t="s">
        <v>14</v>
      </c>
      <c r="D845" s="2">
        <v>43106</v>
      </c>
      <c r="E845" s="2">
        <f t="shared" si="26"/>
        <v>43252</v>
      </c>
      <c r="F845" s="1" t="s">
        <v>15</v>
      </c>
      <c r="G845" s="1" t="s">
        <v>18</v>
      </c>
      <c r="H845" s="1">
        <v>-0.3</v>
      </c>
      <c r="I845" s="1">
        <v>0.23</v>
      </c>
      <c r="J845" s="1">
        <v>0</v>
      </c>
      <c r="K845" s="1" t="s">
        <v>45</v>
      </c>
      <c r="L845" s="1">
        <v>2389</v>
      </c>
      <c r="M845" s="1">
        <v>0.53</v>
      </c>
      <c r="N845" s="1">
        <v>0.69359000000000004</v>
      </c>
      <c r="O845" s="1">
        <f>VLOOKUP(D845,underlying!$D$2:$H$75,5,FALSE)</f>
        <v>-0.23</v>
      </c>
      <c r="P845" s="2">
        <f>VLOOKUP(D845,underlying!$D$2:$L$39,9,FALSE)</f>
        <v>43217</v>
      </c>
      <c r="Q845" s="7">
        <f>IF(G845="C",NormalCallSprd(O845,H845,M845,(P845-A845)/365), NormalPutSprd(O845,H845,M845,(P845-A845)/365))</f>
        <v>0.23640222482275516</v>
      </c>
      <c r="R845" s="9">
        <f t="shared" si="27"/>
        <v>6.4022248227551537E-3</v>
      </c>
    </row>
    <row r="846" spans="1:18" x14ac:dyDescent="0.2">
      <c r="A846" s="2">
        <v>42622</v>
      </c>
      <c r="B846" s="1" t="s">
        <v>13</v>
      </c>
      <c r="C846" s="1" t="s">
        <v>14</v>
      </c>
      <c r="D846" s="2">
        <v>43106</v>
      </c>
      <c r="E846" s="2">
        <f t="shared" si="26"/>
        <v>43252</v>
      </c>
      <c r="F846" s="1" t="s">
        <v>15</v>
      </c>
      <c r="G846" s="1" t="s">
        <v>16</v>
      </c>
      <c r="H846" s="1">
        <v>-0.25</v>
      </c>
      <c r="I846" s="1">
        <v>0.28000000000000003</v>
      </c>
      <c r="J846" s="1">
        <v>0</v>
      </c>
      <c r="K846" s="1" t="s">
        <v>45</v>
      </c>
      <c r="L846" s="1">
        <v>2389</v>
      </c>
      <c r="M846" s="1">
        <v>0.53</v>
      </c>
      <c r="N846" s="1">
        <v>0.71367000000000003</v>
      </c>
      <c r="O846" s="1">
        <f>VLOOKUP(D846,underlying!$D$2:$H$75,5,FALSE)</f>
        <v>-0.23</v>
      </c>
      <c r="P846" s="2">
        <f>VLOOKUP(D846,underlying!$D$2:$L$39,9,FALSE)</f>
        <v>43217</v>
      </c>
      <c r="Q846" s="7">
        <f>IF(G846="C",NormalCallSprd(O846,H846,M846,(P846-A846)/365), NormalPutSprd(O846,H846,M846,(P846-A846)/365))</f>
        <v>0.28007701080960723</v>
      </c>
      <c r="R846" s="9">
        <f t="shared" si="27"/>
        <v>7.7010809607203079E-5</v>
      </c>
    </row>
    <row r="847" spans="1:18" x14ac:dyDescent="0.2">
      <c r="A847" s="2">
        <v>42622</v>
      </c>
      <c r="B847" s="1" t="s">
        <v>13</v>
      </c>
      <c r="C847" s="1" t="s">
        <v>14</v>
      </c>
      <c r="D847" s="2">
        <v>43106</v>
      </c>
      <c r="E847" s="2">
        <f t="shared" si="26"/>
        <v>43252</v>
      </c>
      <c r="F847" s="1" t="s">
        <v>15</v>
      </c>
      <c r="G847" s="1" t="s">
        <v>18</v>
      </c>
      <c r="H847" s="1">
        <v>-0.25</v>
      </c>
      <c r="I847" s="1">
        <v>0.26</v>
      </c>
      <c r="J847" s="1">
        <v>0.01</v>
      </c>
      <c r="K847" s="1" t="s">
        <v>45</v>
      </c>
      <c r="L847" s="1">
        <v>2389</v>
      </c>
      <c r="M847" s="1">
        <v>0.53</v>
      </c>
      <c r="N847" s="1">
        <v>0.73514999999999997</v>
      </c>
      <c r="O847" s="1">
        <f>VLOOKUP(D847,underlying!$D$2:$H$75,5,FALSE)</f>
        <v>-0.23</v>
      </c>
      <c r="P847" s="2">
        <f>VLOOKUP(D847,underlying!$D$2:$L$39,9,FALSE)</f>
        <v>43217</v>
      </c>
      <c r="Q847" s="7">
        <f>IF(G847="C",NormalCallSprd(O847,H847,M847,(P847-A847)/365), NormalPutSprd(O847,H847,M847,(P847-A847)/365))</f>
        <v>0.26007701080960727</v>
      </c>
      <c r="R847" s="9">
        <f t="shared" si="27"/>
        <v>7.701080960725859E-5</v>
      </c>
    </row>
    <row r="848" spans="1:18" x14ac:dyDescent="0.2">
      <c r="A848" s="2">
        <v>42622</v>
      </c>
      <c r="B848" s="1" t="s">
        <v>13</v>
      </c>
      <c r="C848" s="1" t="s">
        <v>14</v>
      </c>
      <c r="D848" s="2">
        <v>43106</v>
      </c>
      <c r="E848" s="2">
        <f t="shared" si="26"/>
        <v>43252</v>
      </c>
      <c r="F848" s="1" t="s">
        <v>15</v>
      </c>
      <c r="G848" s="1" t="s">
        <v>16</v>
      </c>
      <c r="H848" s="1">
        <v>-0.2</v>
      </c>
      <c r="I848" s="1">
        <v>0.25</v>
      </c>
      <c r="J848" s="1">
        <v>0</v>
      </c>
      <c r="K848" s="1" t="s">
        <v>45</v>
      </c>
      <c r="L848" s="1">
        <v>2389</v>
      </c>
      <c r="M848" s="1">
        <v>0.52</v>
      </c>
      <c r="N848" s="1">
        <v>0.75348000000000004</v>
      </c>
      <c r="O848" s="1">
        <f>VLOOKUP(D848,underlying!$D$2:$H$75,5,FALSE)</f>
        <v>-0.23</v>
      </c>
      <c r="P848" s="2">
        <f>VLOOKUP(D848,underlying!$D$2:$L$39,9,FALSE)</f>
        <v>43217</v>
      </c>
      <c r="Q848" s="7">
        <f>IF(G848="C",NormalCallSprd(O848,H848,M848,(P848-A848)/365), NormalPutSprd(O848,H848,M848,(P848-A848)/365))</f>
        <v>0.25013589520140406</v>
      </c>
      <c r="R848" s="9">
        <f t="shared" si="27"/>
        <v>1.3589520140405709E-4</v>
      </c>
    </row>
    <row r="849" spans="1:18" x14ac:dyDescent="0.2">
      <c r="A849" s="2">
        <v>42622</v>
      </c>
      <c r="B849" s="1" t="s">
        <v>13</v>
      </c>
      <c r="C849" s="1" t="s">
        <v>14</v>
      </c>
      <c r="D849" s="2">
        <v>43106</v>
      </c>
      <c r="E849" s="2">
        <f t="shared" si="26"/>
        <v>43252</v>
      </c>
      <c r="F849" s="1" t="s">
        <v>15</v>
      </c>
      <c r="G849" s="1" t="s">
        <v>18</v>
      </c>
      <c r="H849" s="1">
        <v>-0.2</v>
      </c>
      <c r="I849" s="1">
        <v>0.28000000000000003</v>
      </c>
      <c r="J849" s="1">
        <v>0.01</v>
      </c>
      <c r="K849" s="1" t="s">
        <v>45</v>
      </c>
      <c r="L849" s="1">
        <v>2389</v>
      </c>
      <c r="M849" s="1">
        <v>0.52</v>
      </c>
      <c r="N849" s="1">
        <v>0.77280000000000004</v>
      </c>
      <c r="O849" s="1">
        <f>VLOOKUP(D849,underlying!$D$2:$H$75,5,FALSE)</f>
        <v>-0.23</v>
      </c>
      <c r="P849" s="2">
        <f>VLOOKUP(D849,underlying!$D$2:$L$39,9,FALSE)</f>
        <v>43217</v>
      </c>
      <c r="Q849" s="7">
        <f>IF(G849="C",NormalCallSprd(O849,H849,M849,(P849-A849)/365), NormalPutSprd(O849,H849,M849,(P849-A849)/365))</f>
        <v>0.28013589520140408</v>
      </c>
      <c r="R849" s="9">
        <f t="shared" si="27"/>
        <v>1.3589520140405709E-4</v>
      </c>
    </row>
    <row r="850" spans="1:18" x14ac:dyDescent="0.2">
      <c r="A850" s="2">
        <v>42622</v>
      </c>
      <c r="B850" s="1" t="s">
        <v>13</v>
      </c>
      <c r="C850" s="1" t="s">
        <v>14</v>
      </c>
      <c r="D850" s="2">
        <v>43106</v>
      </c>
      <c r="E850" s="2">
        <f t="shared" si="26"/>
        <v>43252</v>
      </c>
      <c r="F850" s="1" t="s">
        <v>15</v>
      </c>
      <c r="G850" s="1" t="s">
        <v>16</v>
      </c>
      <c r="H850" s="1">
        <v>-0.15</v>
      </c>
      <c r="I850" s="1">
        <v>0.22</v>
      </c>
      <c r="J850" s="1">
        <v>-0.01</v>
      </c>
      <c r="K850" s="1" t="s">
        <v>45</v>
      </c>
      <c r="L850" s="1">
        <v>2389</v>
      </c>
      <c r="M850" s="1">
        <v>0.52</v>
      </c>
      <c r="N850" s="1">
        <v>0.83184999999999998</v>
      </c>
      <c r="O850" s="1">
        <f>VLOOKUP(D850,underlying!$D$2:$H$75,5,FALSE)</f>
        <v>-0.23</v>
      </c>
      <c r="P850" s="2">
        <f>VLOOKUP(D850,underlying!$D$2:$L$39,9,FALSE)</f>
        <v>43217</v>
      </c>
      <c r="Q850" s="7">
        <f>IF(G850="C",NormalCallSprd(O850,H850,M850,(P850-A850)/365), NormalPutSprd(O850,H850,M850,(P850-A850)/365))</f>
        <v>0.2267860643625402</v>
      </c>
      <c r="R850" s="9">
        <f t="shared" si="27"/>
        <v>6.7860643625402006E-3</v>
      </c>
    </row>
    <row r="851" spans="1:18" x14ac:dyDescent="0.2">
      <c r="A851" s="2">
        <v>42622</v>
      </c>
      <c r="B851" s="1" t="s">
        <v>13</v>
      </c>
      <c r="C851" s="1" t="s">
        <v>14</v>
      </c>
      <c r="D851" s="2">
        <v>43106</v>
      </c>
      <c r="E851" s="2">
        <f t="shared" si="26"/>
        <v>43252</v>
      </c>
      <c r="F851" s="1" t="s">
        <v>15</v>
      </c>
      <c r="G851" s="1" t="s">
        <v>18</v>
      </c>
      <c r="H851" s="1">
        <v>-0.15</v>
      </c>
      <c r="I851" s="1">
        <v>0.3</v>
      </c>
      <c r="J851" s="1">
        <v>0</v>
      </c>
      <c r="K851" s="1" t="s">
        <v>45</v>
      </c>
      <c r="L851" s="1">
        <v>2389</v>
      </c>
      <c r="M851" s="1">
        <v>0.52</v>
      </c>
      <c r="N851" s="1">
        <v>0.99085000000000001</v>
      </c>
      <c r="O851" s="1">
        <f>VLOOKUP(D851,underlying!$D$2:$H$75,5,FALSE)</f>
        <v>-0.23</v>
      </c>
      <c r="P851" s="2">
        <f>VLOOKUP(D851,underlying!$D$2:$L$39,9,FALSE)</f>
        <v>43217</v>
      </c>
      <c r="Q851" s="7">
        <f>IF(G851="C",NormalCallSprd(O851,H851,M851,(P851-A851)/365), NormalPutSprd(O851,H851,M851,(P851-A851)/365))</f>
        <v>0.30678606436254019</v>
      </c>
      <c r="R851" s="9">
        <f t="shared" si="27"/>
        <v>6.7860643625402006E-3</v>
      </c>
    </row>
    <row r="852" spans="1:18" x14ac:dyDescent="0.2">
      <c r="A852" s="2">
        <v>42622</v>
      </c>
      <c r="B852" s="1" t="s">
        <v>13</v>
      </c>
      <c r="C852" s="1" t="s">
        <v>14</v>
      </c>
      <c r="D852" s="2">
        <v>43106</v>
      </c>
      <c r="E852" s="2">
        <f t="shared" si="26"/>
        <v>43252</v>
      </c>
      <c r="F852" s="1" t="s">
        <v>15</v>
      </c>
      <c r="G852" s="1" t="s">
        <v>16</v>
      </c>
      <c r="H852" s="1">
        <v>-0.1</v>
      </c>
      <c r="I852" s="1">
        <v>0.2</v>
      </c>
      <c r="J852" s="1">
        <v>0</v>
      </c>
      <c r="K852" s="1" t="s">
        <v>45</v>
      </c>
      <c r="L852" s="1">
        <v>2389</v>
      </c>
      <c r="M852" s="1">
        <v>0.51</v>
      </c>
      <c r="N852" s="1">
        <v>0.95823000000000003</v>
      </c>
      <c r="O852" s="1">
        <f>VLOOKUP(D852,underlying!$D$2:$H$75,5,FALSE)</f>
        <v>-0.23</v>
      </c>
      <c r="P852" s="2">
        <f>VLOOKUP(D852,underlying!$D$2:$L$39,9,FALSE)</f>
        <v>43217</v>
      </c>
      <c r="Q852" s="7">
        <f>IF(G852="C",NormalCallSprd(O852,H852,M852,(P852-A852)/365), NormalPutSprd(O852,H852,M852,(P852-A852)/365))</f>
        <v>0.19993192125796488</v>
      </c>
      <c r="R852" s="9">
        <f t="shared" si="27"/>
        <v>6.8078742035126982E-5</v>
      </c>
    </row>
    <row r="853" spans="1:18" x14ac:dyDescent="0.2">
      <c r="A853" s="2">
        <v>42622</v>
      </c>
      <c r="B853" s="1" t="s">
        <v>13</v>
      </c>
      <c r="C853" s="1" t="s">
        <v>14</v>
      </c>
      <c r="D853" s="2">
        <v>43106</v>
      </c>
      <c r="E853" s="2">
        <f t="shared" si="26"/>
        <v>43252</v>
      </c>
      <c r="F853" s="1" t="s">
        <v>15</v>
      </c>
      <c r="G853" s="1" t="s">
        <v>18</v>
      </c>
      <c r="H853" s="1">
        <v>-0.1</v>
      </c>
      <c r="I853" s="1">
        <v>0.33</v>
      </c>
      <c r="J853" s="1">
        <v>0.01</v>
      </c>
      <c r="K853" s="1" t="s">
        <v>45</v>
      </c>
      <c r="L853" s="1">
        <v>2389</v>
      </c>
      <c r="M853" s="1">
        <v>0.51</v>
      </c>
      <c r="N853" s="1">
        <v>0.98312999999999995</v>
      </c>
      <c r="O853" s="1">
        <f>VLOOKUP(D853,underlying!$D$2:$H$75,5,FALSE)</f>
        <v>-0.23</v>
      </c>
      <c r="P853" s="2">
        <f>VLOOKUP(D853,underlying!$D$2:$L$39,9,FALSE)</f>
        <v>43217</v>
      </c>
      <c r="Q853" s="7">
        <f>IF(G853="C",NormalCallSprd(O853,H853,M853,(P853-A853)/365), NormalPutSprd(O853,H853,M853,(P853-A853)/365))</f>
        <v>0.32993192125796489</v>
      </c>
      <c r="R853" s="9">
        <f t="shared" si="27"/>
        <v>6.8078742035126982E-5</v>
      </c>
    </row>
    <row r="854" spans="1:18" x14ac:dyDescent="0.2">
      <c r="A854" s="2">
        <v>42622</v>
      </c>
      <c r="B854" s="1" t="s">
        <v>13</v>
      </c>
      <c r="C854" s="1" t="s">
        <v>14</v>
      </c>
      <c r="D854" s="2">
        <v>43106</v>
      </c>
      <c r="E854" s="2">
        <f t="shared" si="26"/>
        <v>43252</v>
      </c>
      <c r="F854" s="1" t="s">
        <v>15</v>
      </c>
      <c r="G854" s="1" t="s">
        <v>16</v>
      </c>
      <c r="H854" s="1">
        <v>-0.05</v>
      </c>
      <c r="I854" s="1">
        <v>0.18</v>
      </c>
      <c r="J854" s="1">
        <v>0</v>
      </c>
      <c r="K854" s="1" t="s">
        <v>45</v>
      </c>
      <c r="L854" s="1">
        <v>2389</v>
      </c>
      <c r="M854" s="1">
        <v>0.51</v>
      </c>
      <c r="N854" s="1">
        <v>-0.59516999999999998</v>
      </c>
      <c r="O854" s="1">
        <f>VLOOKUP(D854,underlying!$D$2:$H$75,5,FALSE)</f>
        <v>-0.23</v>
      </c>
      <c r="P854" s="2">
        <f>VLOOKUP(D854,underlying!$D$2:$L$39,9,FALSE)</f>
        <v>43217</v>
      </c>
      <c r="Q854" s="7">
        <f>IF(G854="C",NormalCallSprd(O854,H854,M854,(P854-A854)/365), NormalPutSprd(O854,H854,M854,(P854-A854)/365))</f>
        <v>0.17963453081342393</v>
      </c>
      <c r="R854" s="9">
        <f t="shared" si="27"/>
        <v>3.6546918657606731E-4</v>
      </c>
    </row>
    <row r="855" spans="1:18" x14ac:dyDescent="0.2">
      <c r="A855" s="2">
        <v>42622</v>
      </c>
      <c r="B855" s="1" t="s">
        <v>13</v>
      </c>
      <c r="C855" s="1" t="s">
        <v>14</v>
      </c>
      <c r="D855" s="2">
        <v>43106</v>
      </c>
      <c r="E855" s="2">
        <f t="shared" si="26"/>
        <v>43252</v>
      </c>
      <c r="F855" s="1" t="s">
        <v>15</v>
      </c>
      <c r="G855" s="1" t="s">
        <v>18</v>
      </c>
      <c r="H855" s="1">
        <v>-0.05</v>
      </c>
      <c r="I855" s="1">
        <v>0.36</v>
      </c>
      <c r="J855" s="1">
        <v>0.01</v>
      </c>
      <c r="K855" s="1" t="s">
        <v>45</v>
      </c>
      <c r="L855" s="1">
        <v>2389</v>
      </c>
      <c r="M855" s="1">
        <v>0.51</v>
      </c>
      <c r="N855" s="1">
        <v>-0.56620999999999999</v>
      </c>
      <c r="O855" s="1">
        <f>VLOOKUP(D855,underlying!$D$2:$H$75,5,FALSE)</f>
        <v>-0.23</v>
      </c>
      <c r="P855" s="2">
        <f>VLOOKUP(D855,underlying!$D$2:$L$39,9,FALSE)</f>
        <v>43217</v>
      </c>
      <c r="Q855" s="7">
        <f>IF(G855="C",NormalCallSprd(O855,H855,M855,(P855-A855)/365), NormalPutSprd(O855,H855,M855,(P855-A855)/365))</f>
        <v>0.35963453081342395</v>
      </c>
      <c r="R855" s="9">
        <f t="shared" si="27"/>
        <v>3.6546918657603955E-4</v>
      </c>
    </row>
    <row r="856" spans="1:18" x14ac:dyDescent="0.2">
      <c r="A856" s="2">
        <v>42622</v>
      </c>
      <c r="B856" s="1" t="s">
        <v>13</v>
      </c>
      <c r="C856" s="1" t="s">
        <v>14</v>
      </c>
      <c r="D856" s="2">
        <v>43107</v>
      </c>
      <c r="E856" s="2">
        <f t="shared" si="26"/>
        <v>43282</v>
      </c>
      <c r="F856" s="1" t="s">
        <v>15</v>
      </c>
      <c r="G856" s="1" t="s">
        <v>16</v>
      </c>
      <c r="H856" s="1">
        <v>-20</v>
      </c>
      <c r="I856" s="1">
        <v>19.61</v>
      </c>
      <c r="J856" s="1">
        <v>-0.02</v>
      </c>
      <c r="K856" s="1" t="s">
        <v>48</v>
      </c>
      <c r="L856" s="1">
        <v>2389</v>
      </c>
      <c r="M856" s="1">
        <v>1.01</v>
      </c>
      <c r="N856" s="1">
        <v>-0.53686999999999996</v>
      </c>
      <c r="O856" s="1">
        <f>VLOOKUP(D856,underlying!$D$2:$H$75,5,FALSE)</f>
        <v>-0.17</v>
      </c>
      <c r="P856" s="2">
        <f>VLOOKUP(D856,underlying!$D$2:$L$39,9,FALSE)</f>
        <v>43250</v>
      </c>
      <c r="Q856" s="7">
        <f>IF(G856="C",NormalCallSprd(O856,H856,M856,(P856-A856)/365), NormalPutSprd(O856,H856,M856,(P856-A856)/365))</f>
        <v>19.829999999999998</v>
      </c>
      <c r="R856" s="9">
        <f t="shared" si="27"/>
        <v>0.21999999999999886</v>
      </c>
    </row>
    <row r="857" spans="1:18" x14ac:dyDescent="0.2">
      <c r="A857" s="2">
        <v>42622</v>
      </c>
      <c r="B857" s="1" t="s">
        <v>13</v>
      </c>
      <c r="C857" s="1" t="s">
        <v>14</v>
      </c>
      <c r="D857" s="2">
        <v>43107</v>
      </c>
      <c r="E857" s="2">
        <f t="shared" si="26"/>
        <v>43282</v>
      </c>
      <c r="F857" s="1" t="s">
        <v>15</v>
      </c>
      <c r="G857" s="1" t="s">
        <v>18</v>
      </c>
      <c r="H857" s="1">
        <v>-20</v>
      </c>
      <c r="I857" s="1">
        <v>0.01</v>
      </c>
      <c r="J857" s="1">
        <v>0</v>
      </c>
      <c r="K857" s="1" t="s">
        <v>48</v>
      </c>
      <c r="L857" s="1">
        <v>2389</v>
      </c>
      <c r="M857" s="1">
        <v>1.01</v>
      </c>
      <c r="N857" s="1">
        <v>-0.50729000000000002</v>
      </c>
      <c r="O857" s="1">
        <f>VLOOKUP(D857,underlying!$D$2:$H$75,5,FALSE)</f>
        <v>-0.17</v>
      </c>
      <c r="P857" s="2">
        <f>VLOOKUP(D857,underlying!$D$2:$L$39,9,FALSE)</f>
        <v>43250</v>
      </c>
      <c r="Q857" s="7">
        <f>IF(G857="C",NormalCallSprd(O857,H857,M857,(P857-A857)/365), NormalPutSprd(O857,H857,M857,(P857-A857)/365))</f>
        <v>5.2020683487577858E-52</v>
      </c>
      <c r="R857" s="9">
        <f t="shared" si="27"/>
        <v>0.01</v>
      </c>
    </row>
    <row r="858" spans="1:18" x14ac:dyDescent="0.2">
      <c r="A858" s="2">
        <v>42622</v>
      </c>
      <c r="B858" s="1" t="s">
        <v>13</v>
      </c>
      <c r="C858" s="1" t="s">
        <v>14</v>
      </c>
      <c r="D858" s="2">
        <v>43107</v>
      </c>
      <c r="E858" s="2">
        <f t="shared" si="26"/>
        <v>43282</v>
      </c>
      <c r="F858" s="1" t="s">
        <v>15</v>
      </c>
      <c r="G858" s="1" t="s">
        <v>16</v>
      </c>
      <c r="H858" s="1">
        <v>-3</v>
      </c>
      <c r="I858" s="1">
        <v>2.81</v>
      </c>
      <c r="J858" s="1">
        <v>-0.01</v>
      </c>
      <c r="K858" s="1" t="s">
        <v>48</v>
      </c>
      <c r="L858" s="1">
        <v>2389</v>
      </c>
      <c r="M858" s="1">
        <v>0.99</v>
      </c>
      <c r="N858" s="1">
        <v>-0.47788999999999998</v>
      </c>
      <c r="O858" s="1">
        <f>VLOOKUP(D858,underlying!$D$2:$H$75,5,FALSE)</f>
        <v>-0.17</v>
      </c>
      <c r="P858" s="2">
        <f>VLOOKUP(D858,underlying!$D$2:$L$39,9,FALSE)</f>
        <v>43250</v>
      </c>
      <c r="Q858" s="7">
        <f>IF(G858="C",NormalCallSprd(O858,H858,M858,(P858-A858)/365), NormalPutSprd(O858,H858,M858,(P858-A858)/365))</f>
        <v>2.8367298436326376</v>
      </c>
      <c r="R858" s="9">
        <f t="shared" si="27"/>
        <v>2.6729843632637529E-2</v>
      </c>
    </row>
    <row r="859" spans="1:18" x14ac:dyDescent="0.2">
      <c r="A859" s="2">
        <v>42622</v>
      </c>
      <c r="B859" s="1" t="s">
        <v>13</v>
      </c>
      <c r="C859" s="1" t="s">
        <v>14</v>
      </c>
      <c r="D859" s="2">
        <v>43107</v>
      </c>
      <c r="E859" s="2">
        <f t="shared" si="26"/>
        <v>43282</v>
      </c>
      <c r="F859" s="1" t="s">
        <v>15</v>
      </c>
      <c r="G859" s="1" t="s">
        <v>18</v>
      </c>
      <c r="H859" s="1">
        <v>-3</v>
      </c>
      <c r="I859" s="1">
        <v>0.01</v>
      </c>
      <c r="J859" s="1">
        <v>0</v>
      </c>
      <c r="K859" s="1" t="s">
        <v>48</v>
      </c>
      <c r="L859" s="1">
        <v>2389</v>
      </c>
      <c r="M859" s="1">
        <v>0.99</v>
      </c>
      <c r="N859" s="1">
        <v>-0.44893</v>
      </c>
      <c r="O859" s="1">
        <f>VLOOKUP(D859,underlying!$D$2:$H$75,5,FALSE)</f>
        <v>-0.17</v>
      </c>
      <c r="P859" s="2">
        <f>VLOOKUP(D859,underlying!$D$2:$L$39,9,FALSE)</f>
        <v>43250</v>
      </c>
      <c r="Q859" s="7">
        <f>IF(G859="C",NormalCallSprd(O859,H859,M859,(P859-A859)/365), NormalPutSprd(O859,H859,M859,(P859-A859)/365))</f>
        <v>6.7298436326374252E-3</v>
      </c>
      <c r="R859" s="9">
        <f t="shared" si="27"/>
        <v>3.270156367362575E-3</v>
      </c>
    </row>
    <row r="860" spans="1:18" x14ac:dyDescent="0.2">
      <c r="A860" s="2">
        <v>42622</v>
      </c>
      <c r="B860" s="1" t="s">
        <v>13</v>
      </c>
      <c r="C860" s="1" t="s">
        <v>14</v>
      </c>
      <c r="D860" s="2">
        <v>43107</v>
      </c>
      <c r="E860" s="2">
        <f t="shared" si="26"/>
        <v>43282</v>
      </c>
      <c r="F860" s="1" t="s">
        <v>15</v>
      </c>
      <c r="G860" s="1" t="s">
        <v>16</v>
      </c>
      <c r="H860" s="1">
        <v>-2</v>
      </c>
      <c r="I860" s="1">
        <v>1.83</v>
      </c>
      <c r="J860" s="1">
        <v>-0.01</v>
      </c>
      <c r="K860" s="1" t="s">
        <v>48</v>
      </c>
      <c r="L860" s="1">
        <v>2389</v>
      </c>
      <c r="M860" s="1">
        <v>0.79</v>
      </c>
      <c r="N860" s="1">
        <v>-0.42120999999999997</v>
      </c>
      <c r="O860" s="1">
        <f>VLOOKUP(D860,underlying!$D$2:$H$75,5,FALSE)</f>
        <v>-0.17</v>
      </c>
      <c r="P860" s="2">
        <f>VLOOKUP(D860,underlying!$D$2:$L$39,9,FALSE)</f>
        <v>43250</v>
      </c>
      <c r="Q860" s="7">
        <f>IF(G860="C",NormalCallSprd(O860,H860,M860,(P860-A860)/365), NormalPutSprd(O860,H860,M860,(P860-A860)/365))</f>
        <v>1.8461071151283175</v>
      </c>
      <c r="R860" s="9">
        <f t="shared" si="27"/>
        <v>1.6107115128317417E-2</v>
      </c>
    </row>
    <row r="861" spans="1:18" x14ac:dyDescent="0.2">
      <c r="A861" s="2">
        <v>42622</v>
      </c>
      <c r="B861" s="1" t="s">
        <v>13</v>
      </c>
      <c r="C861" s="1" t="s">
        <v>14</v>
      </c>
      <c r="D861" s="2">
        <v>43107</v>
      </c>
      <c r="E861" s="2">
        <f t="shared" si="26"/>
        <v>43282</v>
      </c>
      <c r="F861" s="1" t="s">
        <v>15</v>
      </c>
      <c r="G861" s="1" t="s">
        <v>18</v>
      </c>
      <c r="H861" s="1">
        <v>-2</v>
      </c>
      <c r="I861" s="1">
        <v>0.02</v>
      </c>
      <c r="J861" s="1">
        <v>0</v>
      </c>
      <c r="K861" s="1" t="s">
        <v>48</v>
      </c>
      <c r="L861" s="1">
        <v>2389</v>
      </c>
      <c r="M861" s="1">
        <v>0.79</v>
      </c>
      <c r="N861" s="1">
        <v>-0.39495000000000002</v>
      </c>
      <c r="O861" s="1">
        <f>VLOOKUP(D861,underlying!$D$2:$H$75,5,FALSE)</f>
        <v>-0.17</v>
      </c>
      <c r="P861" s="2">
        <f>VLOOKUP(D861,underlying!$D$2:$L$39,9,FALSE)</f>
        <v>43250</v>
      </c>
      <c r="Q861" s="7">
        <f>IF(G861="C",NormalCallSprd(O861,H861,M861,(P861-A861)/365), NormalPutSprd(O861,H861,M861,(P861-A861)/365))</f>
        <v>1.610711512831766E-2</v>
      </c>
      <c r="R861" s="9">
        <f t="shared" si="27"/>
        <v>3.8928848716823401E-3</v>
      </c>
    </row>
    <row r="862" spans="1:18" x14ac:dyDescent="0.2">
      <c r="A862" s="2">
        <v>42622</v>
      </c>
      <c r="B862" s="1" t="s">
        <v>13</v>
      </c>
      <c r="C862" s="1" t="s">
        <v>14</v>
      </c>
      <c r="D862" s="2">
        <v>43107</v>
      </c>
      <c r="E862" s="2">
        <f t="shared" si="26"/>
        <v>43282</v>
      </c>
      <c r="F862" s="1" t="s">
        <v>15</v>
      </c>
      <c r="G862" s="1" t="s">
        <v>16</v>
      </c>
      <c r="H862" s="1">
        <v>-1</v>
      </c>
      <c r="I862" s="1">
        <v>0.88</v>
      </c>
      <c r="J862" s="1">
        <v>-0.01</v>
      </c>
      <c r="K862" s="1" t="s">
        <v>48</v>
      </c>
      <c r="L862" s="1">
        <v>2389</v>
      </c>
      <c r="M862" s="1">
        <v>0.62</v>
      </c>
      <c r="N862" s="1">
        <v>-0.36834</v>
      </c>
      <c r="O862" s="1">
        <f>VLOOKUP(D862,underlying!$D$2:$H$75,5,FALSE)</f>
        <v>-0.17</v>
      </c>
      <c r="P862" s="2">
        <f>VLOOKUP(D862,underlying!$D$2:$L$39,9,FALSE)</f>
        <v>43250</v>
      </c>
      <c r="Q862" s="7">
        <f>IF(G862="C",NormalCallSprd(O862,H862,M862,(P862-A862)/365), NormalPutSprd(O862,H862,M862,(P862-A862)/365))</f>
        <v>0.89514073002482752</v>
      </c>
      <c r="R862" s="9">
        <f t="shared" si="27"/>
        <v>1.514073002482752E-2</v>
      </c>
    </row>
    <row r="863" spans="1:18" x14ac:dyDescent="0.2">
      <c r="A863" s="2">
        <v>42622</v>
      </c>
      <c r="B863" s="1" t="s">
        <v>13</v>
      </c>
      <c r="C863" s="1" t="s">
        <v>14</v>
      </c>
      <c r="D863" s="2">
        <v>43107</v>
      </c>
      <c r="E863" s="2">
        <f t="shared" si="26"/>
        <v>43282</v>
      </c>
      <c r="F863" s="1" t="s">
        <v>15</v>
      </c>
      <c r="G863" s="1" t="s">
        <v>18</v>
      </c>
      <c r="H863" s="1">
        <v>-1</v>
      </c>
      <c r="I863" s="1">
        <v>0.06</v>
      </c>
      <c r="J863" s="1">
        <v>0</v>
      </c>
      <c r="K863" s="1" t="s">
        <v>48</v>
      </c>
      <c r="L863" s="1">
        <v>2389</v>
      </c>
      <c r="M863" s="1">
        <v>0.62</v>
      </c>
      <c r="N863" s="1">
        <v>-0.34399999999999997</v>
      </c>
      <c r="O863" s="1">
        <f>VLOOKUP(D863,underlying!$D$2:$H$75,5,FALSE)</f>
        <v>-0.17</v>
      </c>
      <c r="P863" s="2">
        <f>VLOOKUP(D863,underlying!$D$2:$L$39,9,FALSE)</f>
        <v>43250</v>
      </c>
      <c r="Q863" s="7">
        <f>IF(G863="C",NormalCallSprd(O863,H863,M863,(P863-A863)/365), NormalPutSprd(O863,H863,M863,(P863-A863)/365))</f>
        <v>6.5140730024827495E-2</v>
      </c>
      <c r="R863" s="9">
        <f t="shared" si="27"/>
        <v>5.1407300248274973E-3</v>
      </c>
    </row>
    <row r="864" spans="1:18" x14ac:dyDescent="0.2">
      <c r="A864" s="2">
        <v>42622</v>
      </c>
      <c r="B864" s="1" t="s">
        <v>13</v>
      </c>
      <c r="C864" s="1" t="s">
        <v>14</v>
      </c>
      <c r="D864" s="2">
        <v>43107</v>
      </c>
      <c r="E864" s="2">
        <f t="shared" si="26"/>
        <v>43282</v>
      </c>
      <c r="F864" s="1" t="s">
        <v>15</v>
      </c>
      <c r="G864" s="1" t="s">
        <v>16</v>
      </c>
      <c r="H864" s="1">
        <v>-0.7</v>
      </c>
      <c r="I864" s="1">
        <v>0.63</v>
      </c>
      <c r="J864" s="1">
        <v>-0.01</v>
      </c>
      <c r="K864" s="1" t="s">
        <v>48</v>
      </c>
      <c r="L864" s="1">
        <v>2389</v>
      </c>
      <c r="M864" s="1">
        <v>0.56999999999999995</v>
      </c>
      <c r="N864" s="1">
        <v>-0.31924999999999998</v>
      </c>
      <c r="O864" s="1">
        <f>VLOOKUP(D864,underlying!$D$2:$H$75,5,FALSE)</f>
        <v>-0.17</v>
      </c>
      <c r="P864" s="2">
        <f>VLOOKUP(D864,underlying!$D$2:$L$39,9,FALSE)</f>
        <v>43250</v>
      </c>
      <c r="Q864" s="7">
        <f>IF(G864="C",NormalCallSprd(O864,H864,M864,(P864-A864)/365), NormalPutSprd(O864,H864,M864,(P864-A864)/365))</f>
        <v>0.63523041202294939</v>
      </c>
      <c r="R864" s="9">
        <f t="shared" si="27"/>
        <v>5.2304120229493822E-3</v>
      </c>
    </row>
    <row r="865" spans="1:18" x14ac:dyDescent="0.2">
      <c r="A865" s="2">
        <v>42622</v>
      </c>
      <c r="B865" s="1" t="s">
        <v>13</v>
      </c>
      <c r="C865" s="1" t="s">
        <v>14</v>
      </c>
      <c r="D865" s="2">
        <v>43107</v>
      </c>
      <c r="E865" s="2">
        <f t="shared" si="26"/>
        <v>43282</v>
      </c>
      <c r="F865" s="1" t="s">
        <v>15</v>
      </c>
      <c r="G865" s="1" t="s">
        <v>18</v>
      </c>
      <c r="H865" s="1">
        <v>-0.7</v>
      </c>
      <c r="I865" s="1">
        <v>0.1</v>
      </c>
      <c r="J865" s="1">
        <v>0</v>
      </c>
      <c r="K865" s="1" t="s">
        <v>48</v>
      </c>
      <c r="L865" s="1">
        <v>2389</v>
      </c>
      <c r="M865" s="1">
        <v>0.56999999999999995</v>
      </c>
      <c r="N865" s="1">
        <v>-0.29726000000000002</v>
      </c>
      <c r="O865" s="1">
        <f>VLOOKUP(D865,underlying!$D$2:$H$75,5,FALSE)</f>
        <v>-0.17</v>
      </c>
      <c r="P865" s="2">
        <f>VLOOKUP(D865,underlying!$D$2:$L$39,9,FALSE)</f>
        <v>43250</v>
      </c>
      <c r="Q865" s="7">
        <f>IF(G865="C",NormalCallSprd(O865,H865,M865,(P865-A865)/365), NormalPutSprd(O865,H865,M865,(P865-A865)/365))</f>
        <v>0.10523041202294943</v>
      </c>
      <c r="R865" s="9">
        <f t="shared" si="27"/>
        <v>5.2304120229494239E-3</v>
      </c>
    </row>
    <row r="866" spans="1:18" x14ac:dyDescent="0.2">
      <c r="A866" s="2">
        <v>42622</v>
      </c>
      <c r="B866" s="1" t="s">
        <v>13</v>
      </c>
      <c r="C866" s="1" t="s">
        <v>14</v>
      </c>
      <c r="D866" s="2">
        <v>43107</v>
      </c>
      <c r="E866" s="2">
        <f t="shared" si="26"/>
        <v>43282</v>
      </c>
      <c r="F866" s="1" t="s">
        <v>15</v>
      </c>
      <c r="G866" s="1" t="s">
        <v>16</v>
      </c>
      <c r="H866" s="1">
        <v>-0.65</v>
      </c>
      <c r="I866" s="1">
        <v>0.59</v>
      </c>
      <c r="J866" s="1">
        <v>-0.01</v>
      </c>
      <c r="K866" s="1" t="s">
        <v>48</v>
      </c>
      <c r="L866" s="1">
        <v>2389</v>
      </c>
      <c r="M866" s="1">
        <v>0.56000000000000005</v>
      </c>
      <c r="N866" s="1">
        <v>-0.27717999999999998</v>
      </c>
      <c r="O866" s="1">
        <f>VLOOKUP(D866,underlying!$D$2:$H$75,5,FALSE)</f>
        <v>-0.17</v>
      </c>
      <c r="P866" s="2">
        <f>VLOOKUP(D866,underlying!$D$2:$L$39,9,FALSE)</f>
        <v>43250</v>
      </c>
      <c r="Q866" s="7">
        <f>IF(G866="C",NormalCallSprd(O866,H866,M866,(P866-A866)/365), NormalPutSprd(O866,H866,M866,(P866-A866)/365))</f>
        <v>0.59347466287643469</v>
      </c>
      <c r="R866" s="9">
        <f t="shared" si="27"/>
        <v>3.4746628764347198E-3</v>
      </c>
    </row>
    <row r="867" spans="1:18" x14ac:dyDescent="0.2">
      <c r="A867" s="2">
        <v>42622</v>
      </c>
      <c r="B867" s="1" t="s">
        <v>13</v>
      </c>
      <c r="C867" s="1" t="s">
        <v>14</v>
      </c>
      <c r="D867" s="2">
        <v>43107</v>
      </c>
      <c r="E867" s="2">
        <f t="shared" si="26"/>
        <v>43282</v>
      </c>
      <c r="F867" s="1" t="s">
        <v>15</v>
      </c>
      <c r="G867" s="1" t="s">
        <v>18</v>
      </c>
      <c r="H867" s="1">
        <v>-0.65</v>
      </c>
      <c r="I867" s="1">
        <v>0.11</v>
      </c>
      <c r="J867" s="1">
        <v>0</v>
      </c>
      <c r="K867" s="1" t="s">
        <v>48</v>
      </c>
      <c r="L867" s="1">
        <v>2389</v>
      </c>
      <c r="M867" s="1">
        <v>0.56000000000000005</v>
      </c>
      <c r="N867" s="1">
        <v>-0.25569999999999998</v>
      </c>
      <c r="O867" s="1">
        <f>VLOOKUP(D867,underlying!$D$2:$H$75,5,FALSE)</f>
        <v>-0.17</v>
      </c>
      <c r="P867" s="2">
        <f>VLOOKUP(D867,underlying!$D$2:$L$39,9,FALSE)</f>
        <v>43250</v>
      </c>
      <c r="Q867" s="7">
        <f>IF(G867="C",NormalCallSprd(O867,H867,M867,(P867-A867)/365), NormalPutSprd(O867,H867,M867,(P867-A867)/365))</f>
        <v>0.11347466287643472</v>
      </c>
      <c r="R867" s="9">
        <f t="shared" si="27"/>
        <v>3.4746628764347198E-3</v>
      </c>
    </row>
    <row r="868" spans="1:18" x14ac:dyDescent="0.2">
      <c r="A868" s="2">
        <v>42622</v>
      </c>
      <c r="B868" s="1" t="s">
        <v>13</v>
      </c>
      <c r="C868" s="1" t="s">
        <v>14</v>
      </c>
      <c r="D868" s="2">
        <v>43107</v>
      </c>
      <c r="E868" s="2">
        <f t="shared" si="26"/>
        <v>43282</v>
      </c>
      <c r="F868" s="1" t="s">
        <v>15</v>
      </c>
      <c r="G868" s="1" t="s">
        <v>16</v>
      </c>
      <c r="H868" s="1">
        <v>-0.6</v>
      </c>
      <c r="I868" s="1">
        <v>0.55000000000000004</v>
      </c>
      <c r="J868" s="1">
        <v>0</v>
      </c>
      <c r="K868" s="1" t="s">
        <v>48</v>
      </c>
      <c r="L868" s="1">
        <v>2389</v>
      </c>
      <c r="M868" s="1">
        <v>0.55000000000000004</v>
      </c>
      <c r="N868" s="1">
        <v>-0.23737</v>
      </c>
      <c r="O868" s="1">
        <f>VLOOKUP(D868,underlying!$D$2:$H$75,5,FALSE)</f>
        <v>-0.17</v>
      </c>
      <c r="P868" s="2">
        <f>VLOOKUP(D868,underlying!$D$2:$L$39,9,FALSE)</f>
        <v>43250</v>
      </c>
      <c r="Q868" s="7">
        <f>IF(G868="C",NormalCallSprd(O868,H868,M868,(P868-A868)/365), NormalPutSprd(O868,H868,M868,(P868-A868)/365))</f>
        <v>0.55247231623985726</v>
      </c>
      <c r="R868" s="9">
        <f t="shared" si="27"/>
        <v>2.4723162398572196E-3</v>
      </c>
    </row>
    <row r="869" spans="1:18" x14ac:dyDescent="0.2">
      <c r="A869" s="2">
        <v>42622</v>
      </c>
      <c r="B869" s="1" t="s">
        <v>13</v>
      </c>
      <c r="C869" s="1" t="s">
        <v>14</v>
      </c>
      <c r="D869" s="2">
        <v>43107</v>
      </c>
      <c r="E869" s="2">
        <f t="shared" si="26"/>
        <v>43282</v>
      </c>
      <c r="F869" s="1" t="s">
        <v>15</v>
      </c>
      <c r="G869" s="1" t="s">
        <v>18</v>
      </c>
      <c r="H869" s="1">
        <v>-0.6</v>
      </c>
      <c r="I869" s="1">
        <v>0.12</v>
      </c>
      <c r="J869" s="1">
        <v>0</v>
      </c>
      <c r="K869" s="1" t="s">
        <v>48</v>
      </c>
      <c r="L869" s="1">
        <v>2389</v>
      </c>
      <c r="M869" s="1">
        <v>0.55000000000000004</v>
      </c>
      <c r="N869" s="1">
        <v>-0.21804999999999999</v>
      </c>
      <c r="O869" s="1">
        <f>VLOOKUP(D869,underlying!$D$2:$H$75,5,FALSE)</f>
        <v>-0.17</v>
      </c>
      <c r="P869" s="2">
        <f>VLOOKUP(D869,underlying!$D$2:$L$39,9,FALSE)</f>
        <v>43250</v>
      </c>
      <c r="Q869" s="7">
        <f>IF(G869="C",NormalCallSprd(O869,H869,M869,(P869-A869)/365), NormalPutSprd(O869,H869,M869,(P869-A869)/365))</f>
        <v>0.12247231623985726</v>
      </c>
      <c r="R869" s="9">
        <f t="shared" si="27"/>
        <v>2.4723162398572612E-3</v>
      </c>
    </row>
    <row r="870" spans="1:18" x14ac:dyDescent="0.2">
      <c r="A870" s="2">
        <v>42622</v>
      </c>
      <c r="B870" s="1" t="s">
        <v>13</v>
      </c>
      <c r="C870" s="1" t="s">
        <v>14</v>
      </c>
      <c r="D870" s="2">
        <v>43107</v>
      </c>
      <c r="E870" s="2">
        <f t="shared" si="26"/>
        <v>43282</v>
      </c>
      <c r="F870" s="1" t="s">
        <v>15</v>
      </c>
      <c r="G870" s="1" t="s">
        <v>16</v>
      </c>
      <c r="H870" s="1">
        <v>-0.55000000000000004</v>
      </c>
      <c r="I870" s="1">
        <v>0.51</v>
      </c>
      <c r="J870" s="1">
        <v>0</v>
      </c>
      <c r="K870" s="1" t="s">
        <v>48</v>
      </c>
      <c r="L870" s="1">
        <v>2389</v>
      </c>
      <c r="M870" s="1">
        <v>0.54</v>
      </c>
      <c r="N870" s="1">
        <v>-0.159</v>
      </c>
      <c r="O870" s="1">
        <f>VLOOKUP(D870,underlying!$D$2:$H$75,5,FALSE)</f>
        <v>-0.17</v>
      </c>
      <c r="P870" s="2">
        <f>VLOOKUP(D870,underlying!$D$2:$L$39,9,FALSE)</f>
        <v>43250</v>
      </c>
      <c r="Q870" s="7">
        <f>IF(G870="C",NormalCallSprd(O870,H870,M870,(P870-A870)/365), NormalPutSprd(O870,H870,M870,(P870-A870)/365))</f>
        <v>0.51229423708509492</v>
      </c>
      <c r="R870" s="9">
        <f t="shared" si="27"/>
        <v>2.2942370850949079E-3</v>
      </c>
    </row>
    <row r="871" spans="1:18" x14ac:dyDescent="0.2">
      <c r="A871" s="2">
        <v>42622</v>
      </c>
      <c r="B871" s="1" t="s">
        <v>13</v>
      </c>
      <c r="C871" s="1" t="s">
        <v>14</v>
      </c>
      <c r="D871" s="2">
        <v>43107</v>
      </c>
      <c r="E871" s="2">
        <f t="shared" si="26"/>
        <v>43282</v>
      </c>
      <c r="F871" s="1" t="s">
        <v>15</v>
      </c>
      <c r="G871" s="1" t="s">
        <v>18</v>
      </c>
      <c r="H871" s="1">
        <v>-0.55000000000000004</v>
      </c>
      <c r="I871" s="1">
        <v>0.13</v>
      </c>
      <c r="J871" s="1">
        <v>0</v>
      </c>
      <c r="K871" s="1" t="s">
        <v>48</v>
      </c>
      <c r="L871" s="1">
        <v>2389</v>
      </c>
      <c r="M871" s="1">
        <v>0.54</v>
      </c>
      <c r="N871" s="1">
        <v>0</v>
      </c>
      <c r="O871" s="1">
        <f>VLOOKUP(D871,underlying!$D$2:$H$75,5,FALSE)</f>
        <v>-0.17</v>
      </c>
      <c r="P871" s="2">
        <f>VLOOKUP(D871,underlying!$D$2:$L$39,9,FALSE)</f>
        <v>43250</v>
      </c>
      <c r="Q871" s="7">
        <f>IF(G871="C",NormalCallSprd(O871,H871,M871,(P871-A871)/365), NormalPutSprd(O871,H871,M871,(P871-A871)/365))</f>
        <v>0.13229423708509486</v>
      </c>
      <c r="R871" s="9">
        <f t="shared" si="27"/>
        <v>2.2942370850948524E-3</v>
      </c>
    </row>
    <row r="872" spans="1:18" x14ac:dyDescent="0.2">
      <c r="A872" s="2">
        <v>42622</v>
      </c>
      <c r="B872" s="1" t="s">
        <v>13</v>
      </c>
      <c r="C872" s="1" t="s">
        <v>14</v>
      </c>
      <c r="D872" s="2">
        <v>43107</v>
      </c>
      <c r="E872" s="2">
        <f t="shared" si="26"/>
        <v>43282</v>
      </c>
      <c r="F872" s="1" t="s">
        <v>15</v>
      </c>
      <c r="G872" s="1" t="s">
        <v>16</v>
      </c>
      <c r="H872" s="1">
        <v>-0.5</v>
      </c>
      <c r="I872" s="1">
        <v>0.47</v>
      </c>
      <c r="J872" s="1">
        <v>-0.01</v>
      </c>
      <c r="K872" s="1" t="s">
        <v>48</v>
      </c>
      <c r="L872" s="1">
        <v>2389</v>
      </c>
      <c r="M872" s="1">
        <v>0.54</v>
      </c>
      <c r="N872" s="1">
        <v>-3.2620000000000003E-2</v>
      </c>
      <c r="O872" s="1">
        <f>VLOOKUP(D872,underlying!$D$2:$H$75,5,FALSE)</f>
        <v>-0.17</v>
      </c>
      <c r="P872" s="2">
        <f>VLOOKUP(D872,underlying!$D$2:$L$39,9,FALSE)</f>
        <v>43250</v>
      </c>
      <c r="Q872" s="7">
        <f>IF(G872="C",NormalCallSprd(O872,H872,M872,(P872-A872)/365), NormalPutSprd(O872,H872,M872,(P872-A872)/365))</f>
        <v>0.47770202696088043</v>
      </c>
      <c r="R872" s="9">
        <f t="shared" si="27"/>
        <v>7.7020269608804592E-3</v>
      </c>
    </row>
    <row r="873" spans="1:18" x14ac:dyDescent="0.2">
      <c r="A873" s="2">
        <v>42622</v>
      </c>
      <c r="B873" s="1" t="s">
        <v>13</v>
      </c>
      <c r="C873" s="1" t="s">
        <v>14</v>
      </c>
      <c r="D873" s="2">
        <v>43107</v>
      </c>
      <c r="E873" s="2">
        <f t="shared" si="26"/>
        <v>43282</v>
      </c>
      <c r="F873" s="1" t="s">
        <v>15</v>
      </c>
      <c r="G873" s="1" t="s">
        <v>18</v>
      </c>
      <c r="H873" s="1">
        <v>-0.5</v>
      </c>
      <c r="I873" s="1">
        <v>0.15</v>
      </c>
      <c r="J873" s="1">
        <v>0.01</v>
      </c>
      <c r="K873" s="1" t="s">
        <v>48</v>
      </c>
      <c r="L873" s="1">
        <v>2389</v>
      </c>
      <c r="M873" s="1">
        <v>0.54</v>
      </c>
      <c r="N873" s="1">
        <v>-7.7200000000000003E-3</v>
      </c>
      <c r="O873" s="1">
        <f>VLOOKUP(D873,underlying!$D$2:$H$75,5,FALSE)</f>
        <v>-0.17</v>
      </c>
      <c r="P873" s="2">
        <f>VLOOKUP(D873,underlying!$D$2:$L$39,9,FALSE)</f>
        <v>43250</v>
      </c>
      <c r="Q873" s="7">
        <f>IF(G873="C",NormalCallSprd(O873,H873,M873,(P873-A873)/365), NormalPutSprd(O873,H873,M873,(P873-A873)/365))</f>
        <v>0.14770202696088042</v>
      </c>
      <c r="R873" s="9">
        <f t="shared" si="27"/>
        <v>2.2979730391195774E-3</v>
      </c>
    </row>
    <row r="874" spans="1:18" x14ac:dyDescent="0.2">
      <c r="A874" s="2">
        <v>42622</v>
      </c>
      <c r="B874" s="1" t="s">
        <v>13</v>
      </c>
      <c r="C874" s="1" t="s">
        <v>14</v>
      </c>
      <c r="D874" s="2">
        <v>43107</v>
      </c>
      <c r="E874" s="2">
        <f t="shared" si="26"/>
        <v>43282</v>
      </c>
      <c r="F874" s="1" t="s">
        <v>15</v>
      </c>
      <c r="G874" s="1" t="s">
        <v>16</v>
      </c>
      <c r="H874" s="1">
        <v>-0.45</v>
      </c>
      <c r="I874" s="1">
        <v>0.43</v>
      </c>
      <c r="J874" s="1">
        <v>-0.01</v>
      </c>
      <c r="K874" s="1" t="s">
        <v>48</v>
      </c>
      <c r="L874" s="1">
        <v>2389</v>
      </c>
      <c r="M874" s="1">
        <v>0.53</v>
      </c>
      <c r="N874" s="1">
        <v>0.39906999999999998</v>
      </c>
      <c r="O874" s="1">
        <f>VLOOKUP(D874,underlying!$D$2:$H$75,5,FALSE)</f>
        <v>-0.17</v>
      </c>
      <c r="P874" s="2">
        <f>VLOOKUP(D874,underlying!$D$2:$L$39,9,FALSE)</f>
        <v>43250</v>
      </c>
      <c r="Q874" s="7">
        <f>IF(G874="C",NormalCallSprd(O874,H874,M874,(P874-A874)/365), NormalPutSprd(O874,H874,M874,(P874-A874)/365))</f>
        <v>0.4395401683312643</v>
      </c>
      <c r="R874" s="9">
        <f t="shared" si="27"/>
        <v>9.5401683312643093E-3</v>
      </c>
    </row>
    <row r="875" spans="1:18" x14ac:dyDescent="0.2">
      <c r="A875" s="2">
        <v>42622</v>
      </c>
      <c r="B875" s="1" t="s">
        <v>13</v>
      </c>
      <c r="C875" s="1" t="s">
        <v>14</v>
      </c>
      <c r="D875" s="2">
        <v>43107</v>
      </c>
      <c r="E875" s="2">
        <f t="shared" si="26"/>
        <v>43282</v>
      </c>
      <c r="F875" s="1" t="s">
        <v>15</v>
      </c>
      <c r="G875" s="1" t="s">
        <v>18</v>
      </c>
      <c r="H875" s="1">
        <v>-0.45</v>
      </c>
      <c r="I875" s="1">
        <v>0.16</v>
      </c>
      <c r="J875" s="1">
        <v>0</v>
      </c>
      <c r="K875" s="1" t="s">
        <v>48</v>
      </c>
      <c r="L875" s="1">
        <v>2389</v>
      </c>
      <c r="M875" s="1">
        <v>0.53</v>
      </c>
      <c r="N875" s="1">
        <v>0.42793999999999999</v>
      </c>
      <c r="O875" s="1">
        <f>VLOOKUP(D875,underlying!$D$2:$H$75,5,FALSE)</f>
        <v>-0.17</v>
      </c>
      <c r="P875" s="2">
        <f>VLOOKUP(D875,underlying!$D$2:$L$39,9,FALSE)</f>
        <v>43250</v>
      </c>
      <c r="Q875" s="7">
        <f>IF(G875="C",NormalCallSprd(O875,H875,M875,(P875-A875)/365), NormalPutSprd(O875,H875,M875,(P875-A875)/365))</f>
        <v>0.1595401683312643</v>
      </c>
      <c r="R875" s="9">
        <f t="shared" si="27"/>
        <v>4.5983166873569958E-4</v>
      </c>
    </row>
    <row r="876" spans="1:18" x14ac:dyDescent="0.2">
      <c r="A876" s="2">
        <v>42622</v>
      </c>
      <c r="B876" s="1" t="s">
        <v>13</v>
      </c>
      <c r="C876" s="1" t="s">
        <v>14</v>
      </c>
      <c r="D876" s="2">
        <v>43107</v>
      </c>
      <c r="E876" s="2">
        <f t="shared" si="26"/>
        <v>43282</v>
      </c>
      <c r="F876" s="1" t="s">
        <v>15</v>
      </c>
      <c r="G876" s="1" t="s">
        <v>16</v>
      </c>
      <c r="H876" s="1">
        <v>-0.4</v>
      </c>
      <c r="I876" s="1">
        <v>0.4</v>
      </c>
      <c r="J876" s="1">
        <v>-0.01</v>
      </c>
      <c r="K876" s="1" t="s">
        <v>48</v>
      </c>
      <c r="L876" s="1">
        <v>2389</v>
      </c>
      <c r="M876" s="1">
        <v>0.53</v>
      </c>
      <c r="N876" s="1">
        <v>0.45673000000000002</v>
      </c>
      <c r="O876" s="1">
        <f>VLOOKUP(D876,underlying!$D$2:$H$75,5,FALSE)</f>
        <v>-0.17</v>
      </c>
      <c r="P876" s="2">
        <f>VLOOKUP(D876,underlying!$D$2:$L$39,9,FALSE)</f>
        <v>43250</v>
      </c>
      <c r="Q876" s="7">
        <f>IF(G876="C",NormalCallSprd(O876,H876,M876,(P876-A876)/365), NormalPutSprd(O876,H876,M876,(P876-A876)/365))</f>
        <v>0.40738582250562461</v>
      </c>
      <c r="R876" s="9">
        <f t="shared" si="27"/>
        <v>7.3858225056245841E-3</v>
      </c>
    </row>
    <row r="877" spans="1:18" x14ac:dyDescent="0.2">
      <c r="A877" s="2">
        <v>42622</v>
      </c>
      <c r="B877" s="1" t="s">
        <v>13</v>
      </c>
      <c r="C877" s="1" t="s">
        <v>14</v>
      </c>
      <c r="D877" s="2">
        <v>43107</v>
      </c>
      <c r="E877" s="2">
        <f t="shared" si="26"/>
        <v>43282</v>
      </c>
      <c r="F877" s="1" t="s">
        <v>15</v>
      </c>
      <c r="G877" s="1" t="s">
        <v>18</v>
      </c>
      <c r="H877" s="1">
        <v>-0.4</v>
      </c>
      <c r="I877" s="1">
        <v>0.17</v>
      </c>
      <c r="J877" s="1">
        <v>0</v>
      </c>
      <c r="K877" s="1" t="s">
        <v>48</v>
      </c>
      <c r="L877" s="1">
        <v>2389</v>
      </c>
      <c r="M877" s="1">
        <v>0.53</v>
      </c>
      <c r="N877" s="1">
        <v>0.48570999999999998</v>
      </c>
      <c r="O877" s="1">
        <f>VLOOKUP(D877,underlying!$D$2:$H$75,5,FALSE)</f>
        <v>-0.17</v>
      </c>
      <c r="P877" s="2">
        <f>VLOOKUP(D877,underlying!$D$2:$L$39,9,FALSE)</f>
        <v>43250</v>
      </c>
      <c r="Q877" s="7">
        <f>IF(G877="C",NormalCallSprd(O877,H877,M877,(P877-A877)/365), NormalPutSprd(O877,H877,M877,(P877-A877)/365))</f>
        <v>0.1773858225056246</v>
      </c>
      <c r="R877" s="9">
        <f t="shared" si="27"/>
        <v>7.3858225056245841E-3</v>
      </c>
    </row>
    <row r="878" spans="1:18" x14ac:dyDescent="0.2">
      <c r="A878" s="2">
        <v>42622</v>
      </c>
      <c r="B878" s="1" t="s">
        <v>13</v>
      </c>
      <c r="C878" s="1" t="s">
        <v>14</v>
      </c>
      <c r="D878" s="2">
        <v>43107</v>
      </c>
      <c r="E878" s="2">
        <f t="shared" si="26"/>
        <v>43282</v>
      </c>
      <c r="F878" s="1" t="s">
        <v>15</v>
      </c>
      <c r="G878" s="1" t="s">
        <v>16</v>
      </c>
      <c r="H878" s="1">
        <v>-0.35</v>
      </c>
      <c r="I878" s="1">
        <v>0.37</v>
      </c>
      <c r="J878" s="1">
        <v>0</v>
      </c>
      <c r="K878" s="1" t="s">
        <v>48</v>
      </c>
      <c r="L878" s="1">
        <v>2389</v>
      </c>
      <c r="M878" s="1">
        <v>0.52</v>
      </c>
      <c r="N878" s="1">
        <v>0.51471999999999996</v>
      </c>
      <c r="O878" s="1">
        <f>VLOOKUP(D878,underlying!$D$2:$H$75,5,FALSE)</f>
        <v>-0.17</v>
      </c>
      <c r="P878" s="2">
        <f>VLOOKUP(D878,underlying!$D$2:$L$39,9,FALSE)</f>
        <v>43250</v>
      </c>
      <c r="Q878" s="7">
        <f>IF(G878="C",NormalCallSprd(O878,H878,M878,(P878-A878)/365), NormalPutSprd(O878,H878,M878,(P878-A878)/365))</f>
        <v>0.37153202944772423</v>
      </c>
      <c r="R878" s="9">
        <f t="shared" si="27"/>
        <v>1.5320294477242369E-3</v>
      </c>
    </row>
    <row r="879" spans="1:18" x14ac:dyDescent="0.2">
      <c r="A879" s="2">
        <v>42622</v>
      </c>
      <c r="B879" s="1" t="s">
        <v>13</v>
      </c>
      <c r="C879" s="1" t="s">
        <v>14</v>
      </c>
      <c r="D879" s="2">
        <v>43107</v>
      </c>
      <c r="E879" s="2">
        <f t="shared" si="26"/>
        <v>43282</v>
      </c>
      <c r="F879" s="1" t="s">
        <v>15</v>
      </c>
      <c r="G879" s="1" t="s">
        <v>18</v>
      </c>
      <c r="H879" s="1">
        <v>-0.35</v>
      </c>
      <c r="I879" s="1">
        <v>0.19</v>
      </c>
      <c r="J879" s="1">
        <v>0</v>
      </c>
      <c r="K879" s="1" t="s">
        <v>48</v>
      </c>
      <c r="L879" s="1">
        <v>2389</v>
      </c>
      <c r="M879" s="1">
        <v>0.52</v>
      </c>
      <c r="N879" s="1">
        <v>0.54359999999999997</v>
      </c>
      <c r="O879" s="1">
        <f>VLOOKUP(D879,underlying!$D$2:$H$75,5,FALSE)</f>
        <v>-0.17</v>
      </c>
      <c r="P879" s="2">
        <f>VLOOKUP(D879,underlying!$D$2:$L$39,9,FALSE)</f>
        <v>43250</v>
      </c>
      <c r="Q879" s="7">
        <f>IF(G879="C",NormalCallSprd(O879,H879,M879,(P879-A879)/365), NormalPutSprd(O879,H879,M879,(P879-A879)/365))</f>
        <v>0.19153202944772427</v>
      </c>
      <c r="R879" s="9">
        <f t="shared" si="27"/>
        <v>1.5320294477242646E-3</v>
      </c>
    </row>
    <row r="880" spans="1:18" x14ac:dyDescent="0.2">
      <c r="A880" s="2">
        <v>42622</v>
      </c>
      <c r="B880" s="1" t="s">
        <v>13</v>
      </c>
      <c r="C880" s="1" t="s">
        <v>14</v>
      </c>
      <c r="D880" s="2">
        <v>43107</v>
      </c>
      <c r="E880" s="2">
        <f t="shared" si="26"/>
        <v>43282</v>
      </c>
      <c r="F880" s="1" t="s">
        <v>15</v>
      </c>
      <c r="G880" s="1" t="s">
        <v>16</v>
      </c>
      <c r="H880" s="1">
        <v>-0.3</v>
      </c>
      <c r="I880" s="1">
        <v>0.34</v>
      </c>
      <c r="J880" s="1">
        <v>0</v>
      </c>
      <c r="K880" s="1" t="s">
        <v>48</v>
      </c>
      <c r="L880" s="1">
        <v>2389</v>
      </c>
      <c r="M880" s="1">
        <v>0.52</v>
      </c>
      <c r="N880" s="1">
        <v>0.57074999999999998</v>
      </c>
      <c r="O880" s="1">
        <f>VLOOKUP(D880,underlying!$D$2:$H$75,5,FALSE)</f>
        <v>-0.17</v>
      </c>
      <c r="P880" s="2">
        <f>VLOOKUP(D880,underlying!$D$2:$L$39,9,FALSE)</f>
        <v>43250</v>
      </c>
      <c r="Q880" s="7">
        <f>IF(G880="C",NormalCallSprd(O880,H880,M880,(P880-A880)/365), NormalPutSprd(O880,H880,M880,(P880-A880)/365))</f>
        <v>0.34203884285319752</v>
      </c>
      <c r="R880" s="9">
        <f t="shared" si="27"/>
        <v>2.0388428531974978E-3</v>
      </c>
    </row>
    <row r="881" spans="1:18" x14ac:dyDescent="0.2">
      <c r="A881" s="2">
        <v>42622</v>
      </c>
      <c r="B881" s="1" t="s">
        <v>13</v>
      </c>
      <c r="C881" s="1" t="s">
        <v>14</v>
      </c>
      <c r="D881" s="2">
        <v>43107</v>
      </c>
      <c r="E881" s="2">
        <f t="shared" si="26"/>
        <v>43282</v>
      </c>
      <c r="F881" s="1" t="s">
        <v>15</v>
      </c>
      <c r="G881" s="1" t="s">
        <v>18</v>
      </c>
      <c r="H881" s="1">
        <v>-0.3</v>
      </c>
      <c r="I881" s="1">
        <v>0.21</v>
      </c>
      <c r="J881" s="1">
        <v>0</v>
      </c>
      <c r="K881" s="1" t="s">
        <v>48</v>
      </c>
      <c r="L881" s="1">
        <v>2389</v>
      </c>
      <c r="M881" s="1">
        <v>0.52</v>
      </c>
      <c r="N881" s="1">
        <v>0.59609999999999996</v>
      </c>
      <c r="O881" s="1">
        <f>VLOOKUP(D881,underlying!$D$2:$H$75,5,FALSE)</f>
        <v>-0.17</v>
      </c>
      <c r="P881" s="2">
        <f>VLOOKUP(D881,underlying!$D$2:$L$39,9,FALSE)</f>
        <v>43250</v>
      </c>
      <c r="Q881" s="7">
        <f>IF(G881="C",NormalCallSprd(O881,H881,M881,(P881-A881)/365), NormalPutSprd(O881,H881,M881,(P881-A881)/365))</f>
        <v>0.21203884285319755</v>
      </c>
      <c r="R881" s="9">
        <f t="shared" si="27"/>
        <v>2.0388428531975533E-3</v>
      </c>
    </row>
    <row r="882" spans="1:18" x14ac:dyDescent="0.2">
      <c r="A882" s="2">
        <v>42622</v>
      </c>
      <c r="B882" s="1" t="s">
        <v>13</v>
      </c>
      <c r="C882" s="1" t="s">
        <v>14</v>
      </c>
      <c r="D882" s="2">
        <v>43107</v>
      </c>
      <c r="E882" s="2">
        <f t="shared" si="26"/>
        <v>43282</v>
      </c>
      <c r="F882" s="1" t="s">
        <v>15</v>
      </c>
      <c r="G882" s="1" t="s">
        <v>16</v>
      </c>
      <c r="H882" s="1">
        <v>-0.25</v>
      </c>
      <c r="I882" s="1">
        <v>0.31</v>
      </c>
      <c r="J882" s="1">
        <v>0</v>
      </c>
      <c r="K882" s="1" t="s">
        <v>48</v>
      </c>
      <c r="L882" s="1">
        <v>2389</v>
      </c>
      <c r="M882" s="1">
        <v>0.51</v>
      </c>
      <c r="N882" s="1">
        <v>0.61992000000000003</v>
      </c>
      <c r="O882" s="1">
        <f>VLOOKUP(D882,underlying!$D$2:$H$75,5,FALSE)</f>
        <v>-0.17</v>
      </c>
      <c r="P882" s="2">
        <f>VLOOKUP(D882,underlying!$D$2:$L$39,9,FALSE)</f>
        <v>43250</v>
      </c>
      <c r="Q882" s="7">
        <f>IF(G882="C",NormalCallSprd(O882,H882,M882,(P882-A882)/365), NormalPutSprd(O882,H882,M882,(P882-A882)/365))</f>
        <v>0.30878459890149917</v>
      </c>
      <c r="R882" s="9">
        <f t="shared" si="27"/>
        <v>1.2154010985008235E-3</v>
      </c>
    </row>
    <row r="883" spans="1:18" x14ac:dyDescent="0.2">
      <c r="A883" s="2">
        <v>42622</v>
      </c>
      <c r="B883" s="1" t="s">
        <v>13</v>
      </c>
      <c r="C883" s="1" t="s">
        <v>14</v>
      </c>
      <c r="D883" s="2">
        <v>43107</v>
      </c>
      <c r="E883" s="2">
        <f t="shared" si="26"/>
        <v>43282</v>
      </c>
      <c r="F883" s="1" t="s">
        <v>15</v>
      </c>
      <c r="G883" s="1" t="s">
        <v>18</v>
      </c>
      <c r="H883" s="1">
        <v>-0.25</v>
      </c>
      <c r="I883" s="1">
        <v>0.23</v>
      </c>
      <c r="J883" s="1">
        <v>0.01</v>
      </c>
      <c r="K883" s="1" t="s">
        <v>48</v>
      </c>
      <c r="L883" s="1">
        <v>2389</v>
      </c>
      <c r="M883" s="1">
        <v>0.51</v>
      </c>
      <c r="N883" s="1">
        <v>0.64475000000000005</v>
      </c>
      <c r="O883" s="1">
        <f>VLOOKUP(D883,underlying!$D$2:$H$75,5,FALSE)</f>
        <v>-0.17</v>
      </c>
      <c r="P883" s="2">
        <f>VLOOKUP(D883,underlying!$D$2:$L$39,9,FALSE)</f>
        <v>43250</v>
      </c>
      <c r="Q883" s="7">
        <f>IF(G883="C",NormalCallSprd(O883,H883,M883,(P883-A883)/365), NormalPutSprd(O883,H883,M883,(P883-A883)/365))</f>
        <v>0.22878459890149919</v>
      </c>
      <c r="R883" s="9">
        <f t="shared" si="27"/>
        <v>1.2154010985008235E-3</v>
      </c>
    </row>
    <row r="884" spans="1:18" x14ac:dyDescent="0.2">
      <c r="A884" s="2">
        <v>42622</v>
      </c>
      <c r="B884" s="1" t="s">
        <v>13</v>
      </c>
      <c r="C884" s="1" t="s">
        <v>14</v>
      </c>
      <c r="D884" s="2">
        <v>43107</v>
      </c>
      <c r="E884" s="2">
        <f t="shared" si="26"/>
        <v>43282</v>
      </c>
      <c r="F884" s="1" t="s">
        <v>15</v>
      </c>
      <c r="G884" s="1" t="s">
        <v>16</v>
      </c>
      <c r="H884" s="1">
        <v>-0.2</v>
      </c>
      <c r="I884" s="1">
        <v>0.28000000000000003</v>
      </c>
      <c r="J884" s="1">
        <v>0</v>
      </c>
      <c r="K884" s="1" t="s">
        <v>48</v>
      </c>
      <c r="L884" s="1">
        <v>2389</v>
      </c>
      <c r="M884" s="1">
        <v>0.51</v>
      </c>
      <c r="N884" s="1">
        <v>0.66659000000000002</v>
      </c>
      <c r="O884" s="1">
        <f>VLOOKUP(D884,underlying!$D$2:$H$75,5,FALSE)</f>
        <v>-0.17</v>
      </c>
      <c r="P884" s="2">
        <f>VLOOKUP(D884,underlying!$D$2:$L$39,9,FALSE)</f>
        <v>43250</v>
      </c>
      <c r="Q884" s="7">
        <f>IF(G884="C",NormalCallSprd(O884,H884,M884,(P884-A884)/365), NormalPutSprd(O884,H884,M884,(P884-A884)/365))</f>
        <v>0.28214684256368744</v>
      </c>
      <c r="R884" s="9">
        <f t="shared" si="27"/>
        <v>2.1468425636874122E-3</v>
      </c>
    </row>
    <row r="885" spans="1:18" x14ac:dyDescent="0.2">
      <c r="A885" s="2">
        <v>42622</v>
      </c>
      <c r="B885" s="1" t="s">
        <v>13</v>
      </c>
      <c r="C885" s="1" t="s">
        <v>14</v>
      </c>
      <c r="D885" s="2">
        <v>43107</v>
      </c>
      <c r="E885" s="2">
        <f t="shared" si="26"/>
        <v>43282</v>
      </c>
      <c r="F885" s="1" t="s">
        <v>15</v>
      </c>
      <c r="G885" s="1" t="s">
        <v>18</v>
      </c>
      <c r="H885" s="1">
        <v>-0.2</v>
      </c>
      <c r="I885" s="1">
        <v>0.25</v>
      </c>
      <c r="J885" s="1">
        <v>0.01</v>
      </c>
      <c r="K885" s="1" t="s">
        <v>48</v>
      </c>
      <c r="L885" s="1">
        <v>2389</v>
      </c>
      <c r="M885" s="1">
        <v>0.51</v>
      </c>
      <c r="N885" s="1">
        <v>0.68637000000000004</v>
      </c>
      <c r="O885" s="1">
        <f>VLOOKUP(D885,underlying!$D$2:$H$75,5,FALSE)</f>
        <v>-0.17</v>
      </c>
      <c r="P885" s="2">
        <f>VLOOKUP(D885,underlying!$D$2:$L$39,9,FALSE)</f>
        <v>43250</v>
      </c>
      <c r="Q885" s="7">
        <f>IF(G885="C",NormalCallSprd(O885,H885,M885,(P885-A885)/365), NormalPutSprd(O885,H885,M885,(P885-A885)/365))</f>
        <v>0.25214684256368741</v>
      </c>
      <c r="R885" s="9">
        <f t="shared" si="27"/>
        <v>2.1468425636874122E-3</v>
      </c>
    </row>
    <row r="886" spans="1:18" x14ac:dyDescent="0.2">
      <c r="A886" s="2">
        <v>42622</v>
      </c>
      <c r="B886" s="1" t="s">
        <v>13</v>
      </c>
      <c r="C886" s="1" t="s">
        <v>14</v>
      </c>
      <c r="D886" s="2">
        <v>43107</v>
      </c>
      <c r="E886" s="2">
        <f t="shared" si="26"/>
        <v>43282</v>
      </c>
      <c r="F886" s="1" t="s">
        <v>15</v>
      </c>
      <c r="G886" s="1" t="s">
        <v>16</v>
      </c>
      <c r="H886" s="1">
        <v>-0.15</v>
      </c>
      <c r="I886" s="1">
        <v>0.25</v>
      </c>
      <c r="J886" s="1">
        <v>-0.01</v>
      </c>
      <c r="K886" s="1" t="s">
        <v>48</v>
      </c>
      <c r="L886" s="1">
        <v>2389</v>
      </c>
      <c r="M886" s="1">
        <v>0.51</v>
      </c>
      <c r="N886" s="1">
        <v>0.70796999999999999</v>
      </c>
      <c r="O886" s="1">
        <f>VLOOKUP(D886,underlying!$D$2:$H$75,5,FALSE)</f>
        <v>-0.17</v>
      </c>
      <c r="P886" s="2">
        <f>VLOOKUP(D886,underlying!$D$2:$L$39,9,FALSE)</f>
        <v>43250</v>
      </c>
      <c r="Q886" s="7">
        <f>IF(G886="C",NormalCallSprd(O886,H886,M886,(P886-A886)/365), NormalPutSprd(O886,H886,M886,(P886-A886)/365))</f>
        <v>0.25699778933529094</v>
      </c>
      <c r="R886" s="9">
        <f t="shared" si="27"/>
        <v>6.9977893352909382E-3</v>
      </c>
    </row>
    <row r="887" spans="1:18" x14ac:dyDescent="0.2">
      <c r="A887" s="2">
        <v>42622</v>
      </c>
      <c r="B887" s="1" t="s">
        <v>13</v>
      </c>
      <c r="C887" s="1" t="s">
        <v>14</v>
      </c>
      <c r="D887" s="2">
        <v>43107</v>
      </c>
      <c r="E887" s="2">
        <f t="shared" si="26"/>
        <v>43282</v>
      </c>
      <c r="F887" s="1" t="s">
        <v>15</v>
      </c>
      <c r="G887" s="1" t="s">
        <v>18</v>
      </c>
      <c r="H887" s="1">
        <v>-0.15</v>
      </c>
      <c r="I887" s="1">
        <v>0.27</v>
      </c>
      <c r="J887" s="1">
        <v>0</v>
      </c>
      <c r="K887" s="1" t="s">
        <v>48</v>
      </c>
      <c r="L887" s="1">
        <v>2389</v>
      </c>
      <c r="M887" s="1">
        <v>0.51</v>
      </c>
      <c r="N887" s="1">
        <v>0.72607999999999995</v>
      </c>
      <c r="O887" s="1">
        <f>VLOOKUP(D887,underlying!$D$2:$H$75,5,FALSE)</f>
        <v>-0.17</v>
      </c>
      <c r="P887" s="2">
        <f>VLOOKUP(D887,underlying!$D$2:$L$39,9,FALSE)</f>
        <v>43250</v>
      </c>
      <c r="Q887" s="7">
        <f>IF(G887="C",NormalCallSprd(O887,H887,M887,(P887-A887)/365), NormalPutSprd(O887,H887,M887,(P887-A887)/365))</f>
        <v>0.27699778933529096</v>
      </c>
      <c r="R887" s="9">
        <f t="shared" si="27"/>
        <v>6.9977893352909382E-3</v>
      </c>
    </row>
    <row r="888" spans="1:18" x14ac:dyDescent="0.2">
      <c r="A888" s="2">
        <v>42622</v>
      </c>
      <c r="B888" s="1" t="s">
        <v>13</v>
      </c>
      <c r="C888" s="1" t="s">
        <v>14</v>
      </c>
      <c r="D888" s="2">
        <v>43107</v>
      </c>
      <c r="E888" s="2">
        <f t="shared" si="26"/>
        <v>43282</v>
      </c>
      <c r="F888" s="1" t="s">
        <v>15</v>
      </c>
      <c r="G888" s="1" t="s">
        <v>16</v>
      </c>
      <c r="H888" s="1">
        <v>-0.1</v>
      </c>
      <c r="I888" s="1">
        <v>0.23</v>
      </c>
      <c r="J888" s="1">
        <v>-0.01</v>
      </c>
      <c r="K888" s="1" t="s">
        <v>48</v>
      </c>
      <c r="L888" s="1">
        <v>2389</v>
      </c>
      <c r="M888" s="1">
        <v>0.51</v>
      </c>
      <c r="N888" s="1">
        <v>0.81084999999999996</v>
      </c>
      <c r="O888" s="1">
        <f>VLOOKUP(D888,underlying!$D$2:$H$75,5,FALSE)</f>
        <v>-0.17</v>
      </c>
      <c r="P888" s="2">
        <f>VLOOKUP(D888,underlying!$D$2:$L$39,9,FALSE)</f>
        <v>43250</v>
      </c>
      <c r="Q888" s="7">
        <f>IF(G888="C",NormalCallSprd(O888,H888,M888,(P888-A888)/365), NormalPutSprd(O888,H888,M888,(P888-A888)/365))</f>
        <v>0.2333382703251278</v>
      </c>
      <c r="R888" s="9">
        <f t="shared" si="27"/>
        <v>3.3382703251277901E-3</v>
      </c>
    </row>
    <row r="889" spans="1:18" x14ac:dyDescent="0.2">
      <c r="A889" s="2">
        <v>42622</v>
      </c>
      <c r="B889" s="1" t="s">
        <v>13</v>
      </c>
      <c r="C889" s="1" t="s">
        <v>14</v>
      </c>
      <c r="D889" s="2">
        <v>43107</v>
      </c>
      <c r="E889" s="2">
        <f t="shared" si="26"/>
        <v>43282</v>
      </c>
      <c r="F889" s="1" t="s">
        <v>15</v>
      </c>
      <c r="G889" s="1" t="s">
        <v>18</v>
      </c>
      <c r="H889" s="1">
        <v>-0.1</v>
      </c>
      <c r="I889" s="1">
        <v>0.3</v>
      </c>
      <c r="J889" s="1">
        <v>0</v>
      </c>
      <c r="K889" s="1" t="s">
        <v>48</v>
      </c>
      <c r="L889" s="1">
        <v>2389</v>
      </c>
      <c r="M889" s="1">
        <v>0.51</v>
      </c>
      <c r="N889" s="1">
        <v>0.93247999999999998</v>
      </c>
      <c r="O889" s="1">
        <f>VLOOKUP(D889,underlying!$D$2:$H$75,5,FALSE)</f>
        <v>-0.17</v>
      </c>
      <c r="P889" s="2">
        <f>VLOOKUP(D889,underlying!$D$2:$L$39,9,FALSE)</f>
        <v>43250</v>
      </c>
      <c r="Q889" s="7">
        <f>IF(G889="C",NormalCallSprd(O889,H889,M889,(P889-A889)/365), NormalPutSprd(O889,H889,M889,(P889-A889)/365))</f>
        <v>0.30333827032512783</v>
      </c>
      <c r="R889" s="9">
        <f t="shared" si="27"/>
        <v>3.3382703251278456E-3</v>
      </c>
    </row>
    <row r="890" spans="1:18" x14ac:dyDescent="0.2">
      <c r="A890" s="2">
        <v>42622</v>
      </c>
      <c r="B890" s="1" t="s">
        <v>13</v>
      </c>
      <c r="C890" s="1" t="s">
        <v>14</v>
      </c>
      <c r="D890" s="2">
        <v>43107</v>
      </c>
      <c r="E890" s="2">
        <f t="shared" si="26"/>
        <v>43282</v>
      </c>
      <c r="F890" s="1" t="s">
        <v>15</v>
      </c>
      <c r="G890" s="1" t="s">
        <v>16</v>
      </c>
      <c r="H890" s="1">
        <v>-0.05</v>
      </c>
      <c r="I890" s="1">
        <v>0.21</v>
      </c>
      <c r="J890" s="1">
        <v>0</v>
      </c>
      <c r="K890" s="1" t="s">
        <v>48</v>
      </c>
      <c r="L890" s="1">
        <v>2389</v>
      </c>
      <c r="M890" s="1">
        <v>0.51</v>
      </c>
      <c r="N890" s="1">
        <v>0.97011999999999998</v>
      </c>
      <c r="O890" s="1">
        <f>VLOOKUP(D890,underlying!$D$2:$H$75,5,FALSE)</f>
        <v>-0.17</v>
      </c>
      <c r="P890" s="2">
        <f>VLOOKUP(D890,underlying!$D$2:$L$39,9,FALSE)</f>
        <v>43250</v>
      </c>
      <c r="Q890" s="7">
        <f>IF(G890="C",NormalCallSprd(O890,H890,M890,(P890-A890)/365), NormalPutSprd(O890,H890,M890,(P890-A890)/365))</f>
        <v>0.21116082222639901</v>
      </c>
      <c r="R890" s="9">
        <f t="shared" si="27"/>
        <v>1.1608222263990164E-3</v>
      </c>
    </row>
    <row r="891" spans="1:18" x14ac:dyDescent="0.2">
      <c r="A891" s="2">
        <v>42622</v>
      </c>
      <c r="B891" s="1" t="s">
        <v>13</v>
      </c>
      <c r="C891" s="1" t="s">
        <v>14</v>
      </c>
      <c r="D891" s="2">
        <v>43107</v>
      </c>
      <c r="E891" s="2">
        <f t="shared" si="26"/>
        <v>43282</v>
      </c>
      <c r="F891" s="1" t="s">
        <v>15</v>
      </c>
      <c r="G891" s="1" t="s">
        <v>18</v>
      </c>
      <c r="H891" s="1">
        <v>-0.05</v>
      </c>
      <c r="I891" s="1">
        <v>0.33</v>
      </c>
      <c r="J891" s="1">
        <v>0.01</v>
      </c>
      <c r="K891" s="1" t="s">
        <v>48</v>
      </c>
      <c r="L891" s="1">
        <v>2389</v>
      </c>
      <c r="M891" s="1">
        <v>0.51</v>
      </c>
      <c r="N891" s="1">
        <v>-0.58394999999999997</v>
      </c>
      <c r="O891" s="1">
        <f>VLOOKUP(D891,underlying!$D$2:$H$75,5,FALSE)</f>
        <v>-0.17</v>
      </c>
      <c r="P891" s="2">
        <f>VLOOKUP(D891,underlying!$D$2:$L$39,9,FALSE)</f>
        <v>43250</v>
      </c>
      <c r="Q891" s="7">
        <f>IF(G891="C",NormalCallSprd(O891,H891,M891,(P891-A891)/365), NormalPutSprd(O891,H891,M891,(P891-A891)/365))</f>
        <v>0.33116082222639903</v>
      </c>
      <c r="R891" s="9">
        <f t="shared" si="27"/>
        <v>1.1608222263990164E-3</v>
      </c>
    </row>
    <row r="892" spans="1:18" x14ac:dyDescent="0.2">
      <c r="A892" s="2">
        <v>42622</v>
      </c>
      <c r="B892" s="1" t="s">
        <v>13</v>
      </c>
      <c r="C892" s="1" t="s">
        <v>14</v>
      </c>
      <c r="D892" s="2">
        <v>43108</v>
      </c>
      <c r="E892" s="2">
        <f t="shared" si="26"/>
        <v>43313</v>
      </c>
      <c r="F892" s="1" t="s">
        <v>15</v>
      </c>
      <c r="G892" s="1" t="s">
        <v>16</v>
      </c>
      <c r="H892" s="1">
        <v>-20</v>
      </c>
      <c r="I892" s="1">
        <v>19.600000000000001</v>
      </c>
      <c r="J892" s="1">
        <v>-0.03</v>
      </c>
      <c r="K892" s="1" t="s">
        <v>51</v>
      </c>
      <c r="L892" s="1">
        <v>2389</v>
      </c>
      <c r="M892" s="1">
        <v>0.83</v>
      </c>
      <c r="N892" s="1">
        <v>-0.55508000000000002</v>
      </c>
      <c r="O892" s="1">
        <f>VLOOKUP(D892,underlying!$D$2:$H$75,5,FALSE)</f>
        <v>-0.17</v>
      </c>
      <c r="P892" s="2">
        <f>VLOOKUP(D892,underlying!$D$2:$L$39,9,FALSE)</f>
        <v>43279</v>
      </c>
      <c r="Q892" s="7">
        <f>IF(G892="C",NormalCallSprd(O892,H892,M892,(P892-A892)/365), NormalPutSprd(O892,H892,M892,(P892-A892)/365))</f>
        <v>19.829999999999998</v>
      </c>
      <c r="R892" s="9">
        <f t="shared" si="27"/>
        <v>0.22999999999999687</v>
      </c>
    </row>
    <row r="893" spans="1:18" x14ac:dyDescent="0.2">
      <c r="A893" s="2">
        <v>42622</v>
      </c>
      <c r="B893" s="1" t="s">
        <v>13</v>
      </c>
      <c r="C893" s="1" t="s">
        <v>14</v>
      </c>
      <c r="D893" s="2">
        <v>43108</v>
      </c>
      <c r="E893" s="2">
        <f t="shared" si="26"/>
        <v>43313</v>
      </c>
      <c r="F893" s="1" t="s">
        <v>15</v>
      </c>
      <c r="G893" s="1" t="s">
        <v>18</v>
      </c>
      <c r="H893" s="1">
        <v>-20</v>
      </c>
      <c r="I893" s="1">
        <v>0.01</v>
      </c>
      <c r="J893" s="1">
        <v>0</v>
      </c>
      <c r="K893" s="1" t="s">
        <v>51</v>
      </c>
      <c r="L893" s="1">
        <v>2389</v>
      </c>
      <c r="M893" s="1">
        <v>0.83</v>
      </c>
      <c r="N893" s="1">
        <v>-0.52629000000000004</v>
      </c>
      <c r="O893" s="1">
        <f>VLOOKUP(D893,underlying!$D$2:$H$75,5,FALSE)</f>
        <v>-0.17</v>
      </c>
      <c r="P893" s="2">
        <f>VLOOKUP(D893,underlying!$D$2:$L$39,9,FALSE)</f>
        <v>43279</v>
      </c>
      <c r="Q893" s="7">
        <f>IF(G893="C",NormalCallSprd(O893,H893,M893,(P893-A893)/365), NormalPutSprd(O893,H893,M893,(P893-A893)/365))</f>
        <v>1.9129501178441062E-72</v>
      </c>
      <c r="R893" s="9">
        <f t="shared" si="27"/>
        <v>0.01</v>
      </c>
    </row>
    <row r="894" spans="1:18" x14ac:dyDescent="0.2">
      <c r="A894" s="2">
        <v>42622</v>
      </c>
      <c r="B894" s="1" t="s">
        <v>13</v>
      </c>
      <c r="C894" s="1" t="s">
        <v>14</v>
      </c>
      <c r="D894" s="2">
        <v>43108</v>
      </c>
      <c r="E894" s="2">
        <f t="shared" si="26"/>
        <v>43313</v>
      </c>
      <c r="F894" s="1" t="s">
        <v>15</v>
      </c>
      <c r="G894" s="1" t="s">
        <v>16</v>
      </c>
      <c r="H894" s="1">
        <v>-3</v>
      </c>
      <c r="I894" s="1">
        <v>2.8</v>
      </c>
      <c r="J894" s="1">
        <v>-0.02</v>
      </c>
      <c r="K894" s="1" t="s">
        <v>51</v>
      </c>
      <c r="L894" s="1">
        <v>2389</v>
      </c>
      <c r="M894" s="1">
        <v>0.83</v>
      </c>
      <c r="N894" s="1">
        <v>-0.49731999999999998</v>
      </c>
      <c r="O894" s="1">
        <f>VLOOKUP(D894,underlying!$D$2:$H$75,5,FALSE)</f>
        <v>-0.17</v>
      </c>
      <c r="P894" s="2">
        <f>VLOOKUP(D894,underlying!$D$2:$L$39,9,FALSE)</f>
        <v>43279</v>
      </c>
      <c r="Q894" s="7">
        <f>IF(G894="C",NormalCallSprd(O894,H894,M894,(P894-A894)/365), NormalPutSprd(O894,H894,M894,(P894-A894)/365))</f>
        <v>2.8319616522570277</v>
      </c>
      <c r="R894" s="9">
        <f t="shared" si="27"/>
        <v>3.1961652257027851E-2</v>
      </c>
    </row>
    <row r="895" spans="1:18" x14ac:dyDescent="0.2">
      <c r="A895" s="2">
        <v>42622</v>
      </c>
      <c r="B895" s="1" t="s">
        <v>13</v>
      </c>
      <c r="C895" s="1" t="s">
        <v>14</v>
      </c>
      <c r="D895" s="2">
        <v>43108</v>
      </c>
      <c r="E895" s="2">
        <f t="shared" si="26"/>
        <v>43313</v>
      </c>
      <c r="F895" s="1" t="s">
        <v>15</v>
      </c>
      <c r="G895" s="1" t="s">
        <v>18</v>
      </c>
      <c r="H895" s="1">
        <v>-3</v>
      </c>
      <c r="I895" s="1">
        <v>0.01</v>
      </c>
      <c r="J895" s="1">
        <v>0</v>
      </c>
      <c r="K895" s="1" t="s">
        <v>51</v>
      </c>
      <c r="L895" s="1">
        <v>2389</v>
      </c>
      <c r="M895" s="1">
        <v>0.83</v>
      </c>
      <c r="N895" s="1">
        <v>-0.46831</v>
      </c>
      <c r="O895" s="1">
        <f>VLOOKUP(D895,underlying!$D$2:$H$75,5,FALSE)</f>
        <v>-0.17</v>
      </c>
      <c r="P895" s="2">
        <f>VLOOKUP(D895,underlying!$D$2:$L$39,9,FALSE)</f>
        <v>43279</v>
      </c>
      <c r="Q895" s="7">
        <f>IF(G895="C",NormalCallSprd(O895,H895,M895,(P895-A895)/365), NormalPutSprd(O895,H895,M895,(P895-A895)/365))</f>
        <v>1.9616522570277918E-3</v>
      </c>
      <c r="R895" s="9">
        <f t="shared" si="27"/>
        <v>8.0383477429722093E-3</v>
      </c>
    </row>
    <row r="896" spans="1:18" x14ac:dyDescent="0.2">
      <c r="A896" s="2">
        <v>42622</v>
      </c>
      <c r="B896" s="1" t="s">
        <v>13</v>
      </c>
      <c r="C896" s="1" t="s">
        <v>14</v>
      </c>
      <c r="D896" s="2">
        <v>43108</v>
      </c>
      <c r="E896" s="2">
        <f t="shared" si="26"/>
        <v>43313</v>
      </c>
      <c r="F896" s="1" t="s">
        <v>15</v>
      </c>
      <c r="G896" s="1" t="s">
        <v>16</v>
      </c>
      <c r="H896" s="1">
        <v>-2</v>
      </c>
      <c r="I896" s="1">
        <v>1.82</v>
      </c>
      <c r="J896" s="1">
        <v>-0.02</v>
      </c>
      <c r="K896" s="1" t="s">
        <v>51</v>
      </c>
      <c r="L896" s="1">
        <v>2389</v>
      </c>
      <c r="M896" s="1">
        <v>0.76</v>
      </c>
      <c r="N896" s="1">
        <v>-0.43941999999999998</v>
      </c>
      <c r="O896" s="1">
        <f>VLOOKUP(D896,underlying!$D$2:$H$75,5,FALSE)</f>
        <v>-0.17</v>
      </c>
      <c r="P896" s="2">
        <f>VLOOKUP(D896,underlying!$D$2:$L$39,9,FALSE)</f>
        <v>43279</v>
      </c>
      <c r="Q896" s="7">
        <f>IF(G896="C",NormalCallSprd(O896,H896,M896,(P896-A896)/365), NormalPutSprd(O896,H896,M896,(P896-A896)/365))</f>
        <v>1.844749925587869</v>
      </c>
      <c r="R896" s="9">
        <f t="shared" si="27"/>
        <v>2.4749925587868926E-2</v>
      </c>
    </row>
    <row r="897" spans="1:18" x14ac:dyDescent="0.2">
      <c r="A897" s="2">
        <v>42622</v>
      </c>
      <c r="B897" s="1" t="s">
        <v>13</v>
      </c>
      <c r="C897" s="1" t="s">
        <v>14</v>
      </c>
      <c r="D897" s="2">
        <v>43108</v>
      </c>
      <c r="E897" s="2">
        <f t="shared" si="26"/>
        <v>43313</v>
      </c>
      <c r="F897" s="1" t="s">
        <v>15</v>
      </c>
      <c r="G897" s="1" t="s">
        <v>18</v>
      </c>
      <c r="H897" s="1">
        <v>-2</v>
      </c>
      <c r="I897" s="1">
        <v>0.01</v>
      </c>
      <c r="J897" s="1">
        <v>0</v>
      </c>
      <c r="K897" s="1" t="s">
        <v>51</v>
      </c>
      <c r="L897" s="1">
        <v>2389</v>
      </c>
      <c r="M897" s="1">
        <v>0.76</v>
      </c>
      <c r="N897" s="1">
        <v>-0.41227999999999998</v>
      </c>
      <c r="O897" s="1">
        <f>VLOOKUP(D897,underlying!$D$2:$H$75,5,FALSE)</f>
        <v>-0.17</v>
      </c>
      <c r="P897" s="2">
        <f>VLOOKUP(D897,underlying!$D$2:$L$39,9,FALSE)</f>
        <v>43279</v>
      </c>
      <c r="Q897" s="7">
        <f>IF(G897="C",NormalCallSprd(O897,H897,M897,(P897-A897)/365), NormalPutSprd(O897,H897,M897,(P897-A897)/365))</f>
        <v>1.4749925587868865E-2</v>
      </c>
      <c r="R897" s="9">
        <f t="shared" si="27"/>
        <v>4.749925587868865E-3</v>
      </c>
    </row>
    <row r="898" spans="1:18" x14ac:dyDescent="0.2">
      <c r="A898" s="2">
        <v>42622</v>
      </c>
      <c r="B898" s="1" t="s">
        <v>13</v>
      </c>
      <c r="C898" s="1" t="s">
        <v>14</v>
      </c>
      <c r="D898" s="2">
        <v>43108</v>
      </c>
      <c r="E898" s="2">
        <f t="shared" ref="E898:E961" si="28">DATE(YEAR(D898),DAY(D898),MONTH(D898))</f>
        <v>43313</v>
      </c>
      <c r="F898" s="1" t="s">
        <v>15</v>
      </c>
      <c r="G898" s="1" t="s">
        <v>16</v>
      </c>
      <c r="H898" s="1">
        <v>-1</v>
      </c>
      <c r="I898" s="1">
        <v>0.88</v>
      </c>
      <c r="J898" s="1">
        <v>-0.02</v>
      </c>
      <c r="K898" s="1" t="s">
        <v>51</v>
      </c>
      <c r="L898" s="1">
        <v>2389</v>
      </c>
      <c r="M898" s="1">
        <v>0.6</v>
      </c>
      <c r="N898" s="1">
        <v>-0.38691999999999999</v>
      </c>
      <c r="O898" s="1">
        <f>VLOOKUP(D898,underlying!$D$2:$H$75,5,FALSE)</f>
        <v>-0.17</v>
      </c>
      <c r="P898" s="2">
        <f>VLOOKUP(D898,underlying!$D$2:$L$39,9,FALSE)</f>
        <v>43279</v>
      </c>
      <c r="Q898" s="7">
        <f>IF(G898="C",NormalCallSprd(O898,H898,M898,(P898-A898)/365), NormalPutSprd(O898,H898,M898,(P898-A898)/365))</f>
        <v>0.89319189225644735</v>
      </c>
      <c r="R898" s="9">
        <f t="shared" si="27"/>
        <v>1.3191892256447346E-2</v>
      </c>
    </row>
    <row r="899" spans="1:18" x14ac:dyDescent="0.2">
      <c r="A899" s="2">
        <v>42622</v>
      </c>
      <c r="B899" s="1" t="s">
        <v>13</v>
      </c>
      <c r="C899" s="1" t="s">
        <v>14</v>
      </c>
      <c r="D899" s="2">
        <v>43108</v>
      </c>
      <c r="E899" s="2">
        <f t="shared" si="28"/>
        <v>43313</v>
      </c>
      <c r="F899" s="1" t="s">
        <v>15</v>
      </c>
      <c r="G899" s="1" t="s">
        <v>18</v>
      </c>
      <c r="H899" s="1">
        <v>-1</v>
      </c>
      <c r="I899" s="1">
        <v>0.06</v>
      </c>
      <c r="J899" s="1">
        <v>0</v>
      </c>
      <c r="K899" s="1" t="s">
        <v>51</v>
      </c>
      <c r="L899" s="1">
        <v>2389</v>
      </c>
      <c r="M899" s="1">
        <v>0.6</v>
      </c>
      <c r="N899" s="1">
        <v>-0.36309999999999998</v>
      </c>
      <c r="O899" s="1">
        <f>VLOOKUP(D899,underlying!$D$2:$H$75,5,FALSE)</f>
        <v>-0.17</v>
      </c>
      <c r="P899" s="2">
        <f>VLOOKUP(D899,underlying!$D$2:$L$39,9,FALSE)</f>
        <v>43279</v>
      </c>
      <c r="Q899" s="7">
        <f>IF(G899="C",NormalCallSprd(O899,H899,M899,(P899-A899)/365), NormalPutSprd(O899,H899,M899,(P899-A899)/365))</f>
        <v>6.3191892256447349E-2</v>
      </c>
      <c r="R899" s="9">
        <f t="shared" ref="R899:R962" si="29">ABS(Q899-I899)</f>
        <v>3.1918922564473512E-3</v>
      </c>
    </row>
    <row r="900" spans="1:18" x14ac:dyDescent="0.2">
      <c r="A900" s="2">
        <v>42622</v>
      </c>
      <c r="B900" s="1" t="s">
        <v>13</v>
      </c>
      <c r="C900" s="1" t="s">
        <v>14</v>
      </c>
      <c r="D900" s="2">
        <v>43108</v>
      </c>
      <c r="E900" s="2">
        <f t="shared" si="28"/>
        <v>43313</v>
      </c>
      <c r="F900" s="1" t="s">
        <v>15</v>
      </c>
      <c r="G900" s="1" t="s">
        <v>16</v>
      </c>
      <c r="H900" s="1">
        <v>-0.7</v>
      </c>
      <c r="I900" s="1">
        <v>0.63</v>
      </c>
      <c r="J900" s="1">
        <v>-0.02</v>
      </c>
      <c r="K900" s="1" t="s">
        <v>51</v>
      </c>
      <c r="L900" s="1">
        <v>2389</v>
      </c>
      <c r="M900" s="1">
        <v>0.56000000000000005</v>
      </c>
      <c r="N900" s="1">
        <v>-0.33827000000000002</v>
      </c>
      <c r="O900" s="1">
        <f>VLOOKUP(D900,underlying!$D$2:$H$75,5,FALSE)</f>
        <v>-0.17</v>
      </c>
      <c r="P900" s="2">
        <f>VLOOKUP(D900,underlying!$D$2:$L$39,9,FALSE)</f>
        <v>43279</v>
      </c>
      <c r="Q900" s="7">
        <f>IF(G900="C",NormalCallSprd(O900,H900,M900,(P900-A900)/365), NormalPutSprd(O900,H900,M900,(P900-A900)/365))</f>
        <v>0.63636497686669669</v>
      </c>
      <c r="R900" s="9">
        <f t="shared" si="29"/>
        <v>6.3649768666966811E-3</v>
      </c>
    </row>
    <row r="901" spans="1:18" x14ac:dyDescent="0.2">
      <c r="A901" s="2">
        <v>42622</v>
      </c>
      <c r="B901" s="1" t="s">
        <v>13</v>
      </c>
      <c r="C901" s="1" t="s">
        <v>14</v>
      </c>
      <c r="D901" s="2">
        <v>43108</v>
      </c>
      <c r="E901" s="2">
        <f t="shared" si="28"/>
        <v>43313</v>
      </c>
      <c r="F901" s="1" t="s">
        <v>15</v>
      </c>
      <c r="G901" s="1" t="s">
        <v>18</v>
      </c>
      <c r="H901" s="1">
        <v>-0.7</v>
      </c>
      <c r="I901" s="1">
        <v>0.1</v>
      </c>
      <c r="J901" s="1">
        <v>0</v>
      </c>
      <c r="K901" s="1" t="s">
        <v>51</v>
      </c>
      <c r="L901" s="1">
        <v>2389</v>
      </c>
      <c r="M901" s="1">
        <v>0.56000000000000005</v>
      </c>
      <c r="N901" s="1">
        <v>-0.31642999999999999</v>
      </c>
      <c r="O901" s="1">
        <f>VLOOKUP(D901,underlying!$D$2:$H$75,5,FALSE)</f>
        <v>-0.17</v>
      </c>
      <c r="P901" s="2">
        <f>VLOOKUP(D901,underlying!$D$2:$L$39,9,FALSE)</f>
        <v>43279</v>
      </c>
      <c r="Q901" s="7">
        <f>IF(G901="C",NormalCallSprd(O901,H901,M901,(P901-A901)/365), NormalPutSprd(O901,H901,M901,(P901-A901)/365))</f>
        <v>0.10636497686669676</v>
      </c>
      <c r="R901" s="9">
        <f t="shared" si="29"/>
        <v>6.3649768666967504E-3</v>
      </c>
    </row>
    <row r="902" spans="1:18" x14ac:dyDescent="0.2">
      <c r="A902" s="2">
        <v>42622</v>
      </c>
      <c r="B902" s="1" t="s">
        <v>13</v>
      </c>
      <c r="C902" s="1" t="s">
        <v>14</v>
      </c>
      <c r="D902" s="2">
        <v>43108</v>
      </c>
      <c r="E902" s="2">
        <f t="shared" si="28"/>
        <v>43313</v>
      </c>
      <c r="F902" s="1" t="s">
        <v>15</v>
      </c>
      <c r="G902" s="1" t="s">
        <v>16</v>
      </c>
      <c r="H902" s="1">
        <v>-0.65</v>
      </c>
      <c r="I902" s="1">
        <v>0.59</v>
      </c>
      <c r="J902" s="1">
        <v>-0.01</v>
      </c>
      <c r="K902" s="1" t="s">
        <v>51</v>
      </c>
      <c r="L902" s="1">
        <v>2389</v>
      </c>
      <c r="M902" s="1">
        <v>0.55000000000000004</v>
      </c>
      <c r="N902" s="1">
        <v>-0.29665000000000002</v>
      </c>
      <c r="O902" s="1">
        <f>VLOOKUP(D902,underlying!$D$2:$H$75,5,FALSE)</f>
        <v>-0.17</v>
      </c>
      <c r="P902" s="2">
        <f>VLOOKUP(D902,underlying!$D$2:$L$39,9,FALSE)</f>
        <v>43279</v>
      </c>
      <c r="Q902" s="7">
        <f>IF(G902="C",NormalCallSprd(O902,H902,M902,(P902-A902)/365), NormalPutSprd(O902,H902,M902,(P902-A902)/365))</f>
        <v>0.59455598556707479</v>
      </c>
      <c r="R902" s="9">
        <f t="shared" si="29"/>
        <v>4.5559855670748162E-3</v>
      </c>
    </row>
    <row r="903" spans="1:18" x14ac:dyDescent="0.2">
      <c r="A903" s="2">
        <v>42622</v>
      </c>
      <c r="B903" s="1" t="s">
        <v>13</v>
      </c>
      <c r="C903" s="1" t="s">
        <v>14</v>
      </c>
      <c r="D903" s="2">
        <v>43108</v>
      </c>
      <c r="E903" s="2">
        <f t="shared" si="28"/>
        <v>43313</v>
      </c>
      <c r="F903" s="1" t="s">
        <v>15</v>
      </c>
      <c r="G903" s="1" t="s">
        <v>18</v>
      </c>
      <c r="H903" s="1">
        <v>-0.65</v>
      </c>
      <c r="I903" s="1">
        <v>0.11</v>
      </c>
      <c r="J903" s="1">
        <v>0</v>
      </c>
      <c r="K903" s="1" t="s">
        <v>51</v>
      </c>
      <c r="L903" s="1">
        <v>2389</v>
      </c>
      <c r="M903" s="1">
        <v>0.55000000000000004</v>
      </c>
      <c r="N903" s="1">
        <v>-0.27505000000000002</v>
      </c>
      <c r="O903" s="1">
        <f>VLOOKUP(D903,underlying!$D$2:$H$75,5,FALSE)</f>
        <v>-0.17</v>
      </c>
      <c r="P903" s="2">
        <f>VLOOKUP(D903,underlying!$D$2:$L$39,9,FALSE)</f>
        <v>43279</v>
      </c>
      <c r="Q903" s="7">
        <f>IF(G903="C",NormalCallSprd(O903,H903,M903,(P903-A903)/365), NormalPutSprd(O903,H903,M903,(P903-A903)/365))</f>
        <v>0.11455598556707473</v>
      </c>
      <c r="R903" s="9">
        <f t="shared" si="29"/>
        <v>4.5559855670747329E-3</v>
      </c>
    </row>
    <row r="904" spans="1:18" x14ac:dyDescent="0.2">
      <c r="A904" s="2">
        <v>42622</v>
      </c>
      <c r="B904" s="1" t="s">
        <v>13</v>
      </c>
      <c r="C904" s="1" t="s">
        <v>14</v>
      </c>
      <c r="D904" s="2">
        <v>43108</v>
      </c>
      <c r="E904" s="2">
        <f t="shared" si="28"/>
        <v>43313</v>
      </c>
      <c r="F904" s="1" t="s">
        <v>15</v>
      </c>
      <c r="G904" s="1" t="s">
        <v>16</v>
      </c>
      <c r="H904" s="1">
        <v>-0.6</v>
      </c>
      <c r="I904" s="1">
        <v>0.55000000000000004</v>
      </c>
      <c r="J904" s="1">
        <v>-0.01</v>
      </c>
      <c r="K904" s="1" t="s">
        <v>51</v>
      </c>
      <c r="L904" s="1">
        <v>2389</v>
      </c>
      <c r="M904" s="1">
        <v>0.54</v>
      </c>
      <c r="N904" s="1">
        <v>-0.25695000000000001</v>
      </c>
      <c r="O904" s="1">
        <f>VLOOKUP(D904,underlying!$D$2:$H$75,5,FALSE)</f>
        <v>-0.17</v>
      </c>
      <c r="P904" s="2">
        <f>VLOOKUP(D904,underlying!$D$2:$L$39,9,FALSE)</f>
        <v>43279</v>
      </c>
      <c r="Q904" s="7">
        <f>IF(G904="C",NormalCallSprd(O904,H904,M904,(P904-A904)/365), NormalPutSprd(O904,H904,M904,(P904-A904)/365))</f>
        <v>0.55349279579227129</v>
      </c>
      <c r="R904" s="9">
        <f t="shared" si="29"/>
        <v>3.4927957922712416E-3</v>
      </c>
    </row>
    <row r="905" spans="1:18" x14ac:dyDescent="0.2">
      <c r="A905" s="2">
        <v>42622</v>
      </c>
      <c r="B905" s="1" t="s">
        <v>13</v>
      </c>
      <c r="C905" s="1" t="s">
        <v>14</v>
      </c>
      <c r="D905" s="2">
        <v>43108</v>
      </c>
      <c r="E905" s="2">
        <f t="shared" si="28"/>
        <v>43313</v>
      </c>
      <c r="F905" s="1" t="s">
        <v>15</v>
      </c>
      <c r="G905" s="1" t="s">
        <v>18</v>
      </c>
      <c r="H905" s="1">
        <v>-0.6</v>
      </c>
      <c r="I905" s="1">
        <v>0.12</v>
      </c>
      <c r="J905" s="1">
        <v>0</v>
      </c>
      <c r="K905" s="1" t="s">
        <v>51</v>
      </c>
      <c r="L905" s="1">
        <v>2389</v>
      </c>
      <c r="M905" s="1">
        <v>0.54</v>
      </c>
      <c r="N905" s="1">
        <v>-0.17216999999999999</v>
      </c>
      <c r="O905" s="1">
        <f>VLOOKUP(D905,underlying!$D$2:$H$75,5,FALSE)</f>
        <v>-0.17</v>
      </c>
      <c r="P905" s="2">
        <f>VLOOKUP(D905,underlying!$D$2:$L$39,9,FALSE)</f>
        <v>43279</v>
      </c>
      <c r="Q905" s="7">
        <f>IF(G905="C",NormalCallSprd(O905,H905,M905,(P905-A905)/365), NormalPutSprd(O905,H905,M905,(P905-A905)/365))</f>
        <v>0.12349279579227128</v>
      </c>
      <c r="R905" s="9">
        <f t="shared" si="29"/>
        <v>3.4927957922712832E-3</v>
      </c>
    </row>
    <row r="906" spans="1:18" x14ac:dyDescent="0.2">
      <c r="A906" s="2">
        <v>42622</v>
      </c>
      <c r="B906" s="1" t="s">
        <v>13</v>
      </c>
      <c r="C906" s="1" t="s">
        <v>14</v>
      </c>
      <c r="D906" s="2">
        <v>43108</v>
      </c>
      <c r="E906" s="2">
        <f t="shared" si="28"/>
        <v>43313</v>
      </c>
      <c r="F906" s="1" t="s">
        <v>15</v>
      </c>
      <c r="G906" s="1" t="s">
        <v>16</v>
      </c>
      <c r="H906" s="1">
        <v>-0.55000000000000004</v>
      </c>
      <c r="I906" s="1">
        <v>0.51</v>
      </c>
      <c r="J906" s="1">
        <v>-0.01</v>
      </c>
      <c r="K906" s="1" t="s">
        <v>51</v>
      </c>
      <c r="L906" s="1">
        <v>2389</v>
      </c>
      <c r="M906" s="1">
        <v>0.53</v>
      </c>
      <c r="N906" s="1">
        <v>-5.0540000000000002E-2</v>
      </c>
      <c r="O906" s="1">
        <f>VLOOKUP(D906,underlying!$D$2:$H$75,5,FALSE)</f>
        <v>-0.17</v>
      </c>
      <c r="P906" s="2">
        <f>VLOOKUP(D906,underlying!$D$2:$L$39,9,FALSE)</f>
        <v>43279</v>
      </c>
      <c r="Q906" s="7">
        <f>IF(G906="C",NormalCallSprd(O906,H906,M906,(P906-A906)/365), NormalPutSprd(O906,H906,M906,(P906-A906)/365))</f>
        <v>0.51324600794576669</v>
      </c>
      <c r="R906" s="9">
        <f t="shared" si="29"/>
        <v>3.2460079457666824E-3</v>
      </c>
    </row>
    <row r="907" spans="1:18" x14ac:dyDescent="0.2">
      <c r="A907" s="2">
        <v>42622</v>
      </c>
      <c r="B907" s="1" t="s">
        <v>13</v>
      </c>
      <c r="C907" s="1" t="s">
        <v>14</v>
      </c>
      <c r="D907" s="2">
        <v>43108</v>
      </c>
      <c r="E907" s="2">
        <f t="shared" si="28"/>
        <v>43313</v>
      </c>
      <c r="F907" s="1" t="s">
        <v>15</v>
      </c>
      <c r="G907" s="1" t="s">
        <v>18</v>
      </c>
      <c r="H907" s="1">
        <v>-0.55000000000000004</v>
      </c>
      <c r="I907" s="1">
        <v>0.13</v>
      </c>
      <c r="J907" s="1">
        <v>0</v>
      </c>
      <c r="K907" s="1" t="s">
        <v>51</v>
      </c>
      <c r="L907" s="1">
        <v>2389</v>
      </c>
      <c r="M907" s="1">
        <v>0.53</v>
      </c>
      <c r="N907" s="1">
        <v>-1.29E-2</v>
      </c>
      <c r="O907" s="1">
        <f>VLOOKUP(D907,underlying!$D$2:$H$75,5,FALSE)</f>
        <v>-0.17</v>
      </c>
      <c r="P907" s="2">
        <f>VLOOKUP(D907,underlying!$D$2:$L$39,9,FALSE)</f>
        <v>43279</v>
      </c>
      <c r="Q907" s="7">
        <f>IF(G907="C",NormalCallSprd(O907,H907,M907,(P907-A907)/365), NormalPutSprd(O907,H907,M907,(P907-A907)/365))</f>
        <v>0.13324600794576663</v>
      </c>
      <c r="R907" s="9">
        <f t="shared" si="29"/>
        <v>3.2460079457666269E-3</v>
      </c>
    </row>
    <row r="908" spans="1:18" x14ac:dyDescent="0.2">
      <c r="A908" s="2">
        <v>42622</v>
      </c>
      <c r="B908" s="1" t="s">
        <v>13</v>
      </c>
      <c r="C908" s="1" t="s">
        <v>14</v>
      </c>
      <c r="D908" s="2">
        <v>43108</v>
      </c>
      <c r="E908" s="2">
        <f t="shared" si="28"/>
        <v>43313</v>
      </c>
      <c r="F908" s="1" t="s">
        <v>15</v>
      </c>
      <c r="G908" s="1" t="s">
        <v>16</v>
      </c>
      <c r="H908" s="1">
        <v>-0.5</v>
      </c>
      <c r="I908" s="1">
        <v>0.47</v>
      </c>
      <c r="J908" s="1">
        <v>-0.01</v>
      </c>
      <c r="K908" s="1" t="s">
        <v>51</v>
      </c>
      <c r="L908" s="1">
        <v>2389</v>
      </c>
      <c r="M908" s="1">
        <v>0.52</v>
      </c>
      <c r="N908" s="1">
        <v>0.28466999999999998</v>
      </c>
      <c r="O908" s="1">
        <f>VLOOKUP(D908,underlying!$D$2:$H$75,5,FALSE)</f>
        <v>-0.17</v>
      </c>
      <c r="P908" s="2">
        <f>VLOOKUP(D908,underlying!$D$2:$L$39,9,FALSE)</f>
        <v>43279</v>
      </c>
      <c r="Q908" s="7">
        <f>IF(G908="C",NormalCallSprd(O908,H908,M908,(P908-A908)/365), NormalPutSprd(O908,H908,M908,(P908-A908)/365))</f>
        <v>0.47389194830331366</v>
      </c>
      <c r="R908" s="9">
        <f t="shared" si="29"/>
        <v>3.8919483033136859E-3</v>
      </c>
    </row>
    <row r="909" spans="1:18" x14ac:dyDescent="0.2">
      <c r="A909" s="2">
        <v>42622</v>
      </c>
      <c r="B909" s="1" t="s">
        <v>13</v>
      </c>
      <c r="C909" s="1" t="s">
        <v>14</v>
      </c>
      <c r="D909" s="2">
        <v>43108</v>
      </c>
      <c r="E909" s="2">
        <f t="shared" si="28"/>
        <v>43313</v>
      </c>
      <c r="F909" s="1" t="s">
        <v>15</v>
      </c>
      <c r="G909" s="1" t="s">
        <v>18</v>
      </c>
      <c r="H909" s="1">
        <v>-0.5</v>
      </c>
      <c r="I909" s="1">
        <v>0.14000000000000001</v>
      </c>
      <c r="J909" s="1">
        <v>0</v>
      </c>
      <c r="K909" s="1" t="s">
        <v>51</v>
      </c>
      <c r="L909" s="1">
        <v>2389</v>
      </c>
      <c r="M909" s="1">
        <v>0.52</v>
      </c>
      <c r="N909" s="1">
        <v>0.31618000000000002</v>
      </c>
      <c r="O909" s="1">
        <f>VLOOKUP(D909,underlying!$D$2:$H$75,5,FALSE)</f>
        <v>-0.17</v>
      </c>
      <c r="P909" s="2">
        <f>VLOOKUP(D909,underlying!$D$2:$L$39,9,FALSE)</f>
        <v>43279</v>
      </c>
      <c r="Q909" s="7">
        <f>IF(G909="C",NormalCallSprd(O909,H909,M909,(P909-A909)/365), NormalPutSprd(O909,H909,M909,(P909-A909)/365))</f>
        <v>0.1438919483033137</v>
      </c>
      <c r="R909" s="9">
        <f t="shared" si="29"/>
        <v>3.8919483033136859E-3</v>
      </c>
    </row>
    <row r="910" spans="1:18" x14ac:dyDescent="0.2">
      <c r="A910" s="2">
        <v>42622</v>
      </c>
      <c r="B910" s="1" t="s">
        <v>13</v>
      </c>
      <c r="C910" s="1" t="s">
        <v>14</v>
      </c>
      <c r="D910" s="2">
        <v>43108</v>
      </c>
      <c r="E910" s="2">
        <f t="shared" si="28"/>
        <v>43313</v>
      </c>
      <c r="F910" s="1" t="s">
        <v>15</v>
      </c>
      <c r="G910" s="1" t="s">
        <v>16</v>
      </c>
      <c r="H910" s="1">
        <v>-0.45</v>
      </c>
      <c r="I910" s="1">
        <v>0.43</v>
      </c>
      <c r="J910" s="1">
        <v>-0.02</v>
      </c>
      <c r="K910" s="1" t="s">
        <v>51</v>
      </c>
      <c r="L910" s="1">
        <v>2389</v>
      </c>
      <c r="M910" s="1">
        <v>0.52</v>
      </c>
      <c r="N910" s="1">
        <v>0.34966999999999998</v>
      </c>
      <c r="O910" s="1">
        <f>VLOOKUP(D910,underlying!$D$2:$H$75,5,FALSE)</f>
        <v>-0.17</v>
      </c>
      <c r="P910" s="2">
        <f>VLOOKUP(D910,underlying!$D$2:$L$39,9,FALSE)</f>
        <v>43279</v>
      </c>
      <c r="Q910" s="7">
        <f>IF(G910="C",NormalCallSprd(O910,H910,M910,(P910-A910)/365), NormalPutSprd(O910,H910,M910,(P910-A910)/365))</f>
        <v>0.44044316533968825</v>
      </c>
      <c r="R910" s="9">
        <f t="shared" si="29"/>
        <v>1.0443165339688254E-2</v>
      </c>
    </row>
    <row r="911" spans="1:18" x14ac:dyDescent="0.2">
      <c r="A911" s="2">
        <v>42622</v>
      </c>
      <c r="B911" s="1" t="s">
        <v>13</v>
      </c>
      <c r="C911" s="1" t="s">
        <v>14</v>
      </c>
      <c r="D911" s="2">
        <v>43108</v>
      </c>
      <c r="E911" s="2">
        <f t="shared" si="28"/>
        <v>43313</v>
      </c>
      <c r="F911" s="1" t="s">
        <v>15</v>
      </c>
      <c r="G911" s="1" t="s">
        <v>18</v>
      </c>
      <c r="H911" s="1">
        <v>-0.45</v>
      </c>
      <c r="I911" s="1">
        <v>0.16</v>
      </c>
      <c r="J911" s="1">
        <v>0.01</v>
      </c>
      <c r="K911" s="1" t="s">
        <v>51</v>
      </c>
      <c r="L911" s="1">
        <v>2389</v>
      </c>
      <c r="M911" s="1">
        <v>0.52</v>
      </c>
      <c r="N911" s="1">
        <v>0.38463999999999998</v>
      </c>
      <c r="O911" s="1">
        <f>VLOOKUP(D911,underlying!$D$2:$H$75,5,FALSE)</f>
        <v>-0.17</v>
      </c>
      <c r="P911" s="2">
        <f>VLOOKUP(D911,underlying!$D$2:$L$39,9,FALSE)</f>
        <v>43279</v>
      </c>
      <c r="Q911" s="7">
        <f>IF(G911="C",NormalCallSprd(O911,H911,M911,(P911-A911)/365), NormalPutSprd(O911,H911,M911,(P911-A911)/365))</f>
        <v>0.16044316533968825</v>
      </c>
      <c r="R911" s="9">
        <f t="shared" si="29"/>
        <v>4.4316533968824512E-4</v>
      </c>
    </row>
    <row r="912" spans="1:18" x14ac:dyDescent="0.2">
      <c r="A912" s="2">
        <v>42622</v>
      </c>
      <c r="B912" s="1" t="s">
        <v>13</v>
      </c>
      <c r="C912" s="1" t="s">
        <v>14</v>
      </c>
      <c r="D912" s="2">
        <v>43108</v>
      </c>
      <c r="E912" s="2">
        <f t="shared" si="28"/>
        <v>43313</v>
      </c>
      <c r="F912" s="1" t="s">
        <v>15</v>
      </c>
      <c r="G912" s="1" t="s">
        <v>16</v>
      </c>
      <c r="H912" s="1">
        <v>-0.4</v>
      </c>
      <c r="I912" s="1">
        <v>0.4</v>
      </c>
      <c r="J912" s="1">
        <v>-0.01</v>
      </c>
      <c r="K912" s="1" t="s">
        <v>51</v>
      </c>
      <c r="L912" s="1">
        <v>2389</v>
      </c>
      <c r="M912" s="1">
        <v>0.51</v>
      </c>
      <c r="N912" s="1">
        <v>0.42403999999999997</v>
      </c>
      <c r="O912" s="1">
        <f>VLOOKUP(D912,underlying!$D$2:$H$75,5,FALSE)</f>
        <v>-0.17</v>
      </c>
      <c r="P912" s="2">
        <f>VLOOKUP(D912,underlying!$D$2:$L$39,9,FALSE)</f>
        <v>43279</v>
      </c>
      <c r="Q912" s="7">
        <f>IF(G912="C",NormalCallSprd(O912,H912,M912,(P912-A912)/365), NormalPutSprd(O912,H912,M912,(P912-A912)/365))</f>
        <v>0.40324900167721056</v>
      </c>
      <c r="R912" s="9">
        <f t="shared" si="29"/>
        <v>3.249001677210539E-3</v>
      </c>
    </row>
    <row r="913" spans="1:18" x14ac:dyDescent="0.2">
      <c r="A913" s="2">
        <v>42622</v>
      </c>
      <c r="B913" s="1" t="s">
        <v>13</v>
      </c>
      <c r="C913" s="1" t="s">
        <v>14</v>
      </c>
      <c r="D913" s="2">
        <v>43108</v>
      </c>
      <c r="E913" s="2">
        <f t="shared" si="28"/>
        <v>43313</v>
      </c>
      <c r="F913" s="1" t="s">
        <v>15</v>
      </c>
      <c r="G913" s="1" t="s">
        <v>18</v>
      </c>
      <c r="H913" s="1">
        <v>-0.4</v>
      </c>
      <c r="I913" s="1">
        <v>0.17</v>
      </c>
      <c r="J913" s="1">
        <v>0</v>
      </c>
      <c r="K913" s="1" t="s">
        <v>51</v>
      </c>
      <c r="L913" s="1">
        <v>2389</v>
      </c>
      <c r="M913" s="1">
        <v>0.51</v>
      </c>
      <c r="N913" s="1">
        <v>0.46578999999999998</v>
      </c>
      <c r="O913" s="1">
        <f>VLOOKUP(D913,underlying!$D$2:$H$75,5,FALSE)</f>
        <v>-0.17</v>
      </c>
      <c r="P913" s="2">
        <f>VLOOKUP(D913,underlying!$D$2:$L$39,9,FALSE)</f>
        <v>43279</v>
      </c>
      <c r="Q913" s="7">
        <f>IF(G913="C",NormalCallSprd(O913,H913,M913,(P913-A913)/365), NormalPutSprd(O913,H913,M913,(P913-A913)/365))</f>
        <v>0.17324900167721052</v>
      </c>
      <c r="R913" s="9">
        <f t="shared" si="29"/>
        <v>3.2490016772105113E-3</v>
      </c>
    </row>
    <row r="914" spans="1:18" x14ac:dyDescent="0.2">
      <c r="A914" s="2">
        <v>42622</v>
      </c>
      <c r="B914" s="1" t="s">
        <v>13</v>
      </c>
      <c r="C914" s="1" t="s">
        <v>14</v>
      </c>
      <c r="D914" s="2">
        <v>43108</v>
      </c>
      <c r="E914" s="2">
        <f t="shared" si="28"/>
        <v>43313</v>
      </c>
      <c r="F914" s="1" t="s">
        <v>15</v>
      </c>
      <c r="G914" s="1" t="s">
        <v>16</v>
      </c>
      <c r="H914" s="1">
        <v>-0.35</v>
      </c>
      <c r="I914" s="1">
        <v>0.37</v>
      </c>
      <c r="J914" s="1">
        <v>-0.01</v>
      </c>
      <c r="K914" s="1" t="s">
        <v>51</v>
      </c>
      <c r="L914" s="1">
        <v>2389</v>
      </c>
      <c r="M914" s="1">
        <v>0.51</v>
      </c>
      <c r="N914" s="1">
        <v>0.50666</v>
      </c>
      <c r="O914" s="1">
        <f>VLOOKUP(D914,underlying!$D$2:$H$75,5,FALSE)</f>
        <v>-0.17</v>
      </c>
      <c r="P914" s="2">
        <f>VLOOKUP(D914,underlying!$D$2:$L$39,9,FALSE)</f>
        <v>43279</v>
      </c>
      <c r="Q914" s="7">
        <f>IF(G914="C",NormalCallSprd(O914,H914,M914,(P914-A914)/365), NormalPutSprd(O914,H914,M914,(P914-A914)/365))</f>
        <v>0.37236225585999055</v>
      </c>
      <c r="R914" s="9">
        <f t="shared" si="29"/>
        <v>2.3622558599905585E-3</v>
      </c>
    </row>
    <row r="915" spans="1:18" x14ac:dyDescent="0.2">
      <c r="A915" s="2">
        <v>42622</v>
      </c>
      <c r="B915" s="1" t="s">
        <v>13</v>
      </c>
      <c r="C915" s="1" t="s">
        <v>14</v>
      </c>
      <c r="D915" s="2">
        <v>43108</v>
      </c>
      <c r="E915" s="2">
        <f t="shared" si="28"/>
        <v>43313</v>
      </c>
      <c r="F915" s="1" t="s">
        <v>15</v>
      </c>
      <c r="G915" s="1" t="s">
        <v>18</v>
      </c>
      <c r="H915" s="1">
        <v>-0.35</v>
      </c>
      <c r="I915" s="1">
        <v>0.19</v>
      </c>
      <c r="J915" s="1">
        <v>0.01</v>
      </c>
      <c r="K915" s="1" t="s">
        <v>51</v>
      </c>
      <c r="L915" s="1">
        <v>2389</v>
      </c>
      <c r="M915" s="1">
        <v>0.51</v>
      </c>
      <c r="N915" s="1">
        <v>0.54705000000000004</v>
      </c>
      <c r="O915" s="1">
        <f>VLOOKUP(D915,underlying!$D$2:$H$75,5,FALSE)</f>
        <v>-0.17</v>
      </c>
      <c r="P915" s="2">
        <f>VLOOKUP(D915,underlying!$D$2:$L$39,9,FALSE)</f>
        <v>43279</v>
      </c>
      <c r="Q915" s="7">
        <f>IF(G915="C",NormalCallSprd(O915,H915,M915,(P915-A915)/365), NormalPutSprd(O915,H915,M915,(P915-A915)/365))</f>
        <v>0.19236225585999059</v>
      </c>
      <c r="R915" s="9">
        <f t="shared" si="29"/>
        <v>2.3622558599905863E-3</v>
      </c>
    </row>
    <row r="916" spans="1:18" x14ac:dyDescent="0.2">
      <c r="A916" s="2">
        <v>42622</v>
      </c>
      <c r="B916" s="1" t="s">
        <v>13</v>
      </c>
      <c r="C916" s="1" t="s">
        <v>14</v>
      </c>
      <c r="D916" s="2">
        <v>43108</v>
      </c>
      <c r="E916" s="2">
        <f t="shared" si="28"/>
        <v>43313</v>
      </c>
      <c r="F916" s="1" t="s">
        <v>15</v>
      </c>
      <c r="G916" s="1" t="s">
        <v>16</v>
      </c>
      <c r="H916" s="1">
        <v>-0.3</v>
      </c>
      <c r="I916" s="1">
        <v>0.33</v>
      </c>
      <c r="J916" s="1">
        <v>-0.02</v>
      </c>
      <c r="K916" s="1" t="s">
        <v>51</v>
      </c>
      <c r="L916" s="1">
        <v>2389</v>
      </c>
      <c r="M916" s="1">
        <v>0.5</v>
      </c>
      <c r="N916" s="1">
        <v>0.58694000000000002</v>
      </c>
      <c r="O916" s="1">
        <f>VLOOKUP(D916,underlying!$D$2:$H$75,5,FALSE)</f>
        <v>-0.17</v>
      </c>
      <c r="P916" s="2">
        <f>VLOOKUP(D916,underlying!$D$2:$L$39,9,FALSE)</f>
        <v>43279</v>
      </c>
      <c r="Q916" s="7">
        <f>IF(G916="C",NormalCallSprd(O916,H916,M916,(P916-A916)/365), NormalPutSprd(O916,H916,M916,(P916-A916)/365))</f>
        <v>0.3376282319429087</v>
      </c>
      <c r="R916" s="9">
        <f t="shared" si="29"/>
        <v>7.6282319429086809E-3</v>
      </c>
    </row>
    <row r="917" spans="1:18" x14ac:dyDescent="0.2">
      <c r="A917" s="2">
        <v>42622</v>
      </c>
      <c r="B917" s="1" t="s">
        <v>13</v>
      </c>
      <c r="C917" s="1" t="s">
        <v>14</v>
      </c>
      <c r="D917" s="2">
        <v>43108</v>
      </c>
      <c r="E917" s="2">
        <f t="shared" si="28"/>
        <v>43313</v>
      </c>
      <c r="F917" s="1" t="s">
        <v>15</v>
      </c>
      <c r="G917" s="1" t="s">
        <v>18</v>
      </c>
      <c r="H917" s="1">
        <v>-0.3</v>
      </c>
      <c r="I917" s="1">
        <v>0.21</v>
      </c>
      <c r="J917" s="1">
        <v>0.01</v>
      </c>
      <c r="K917" s="1" t="s">
        <v>51</v>
      </c>
      <c r="L917" s="1">
        <v>2389</v>
      </c>
      <c r="M917" s="1">
        <v>0.5</v>
      </c>
      <c r="N917" s="1">
        <v>0.62592999999999999</v>
      </c>
      <c r="O917" s="1">
        <f>VLOOKUP(D917,underlying!$D$2:$H$75,5,FALSE)</f>
        <v>-0.17</v>
      </c>
      <c r="P917" s="2">
        <f>VLOOKUP(D917,underlying!$D$2:$L$39,9,FALSE)</f>
        <v>43279</v>
      </c>
      <c r="Q917" s="7">
        <f>IF(G917="C",NormalCallSprd(O917,H917,M917,(P917-A917)/365), NormalPutSprd(O917,H917,M917,(P917-A917)/365))</f>
        <v>0.20762823194290872</v>
      </c>
      <c r="R917" s="9">
        <f t="shared" si="29"/>
        <v>2.3717680570912725E-3</v>
      </c>
    </row>
    <row r="918" spans="1:18" x14ac:dyDescent="0.2">
      <c r="A918" s="2">
        <v>42622</v>
      </c>
      <c r="B918" s="1" t="s">
        <v>13</v>
      </c>
      <c r="C918" s="1" t="s">
        <v>14</v>
      </c>
      <c r="D918" s="2">
        <v>43108</v>
      </c>
      <c r="E918" s="2">
        <f t="shared" si="28"/>
        <v>43313</v>
      </c>
      <c r="F918" s="1" t="s">
        <v>15</v>
      </c>
      <c r="G918" s="1" t="s">
        <v>16</v>
      </c>
      <c r="H918" s="1">
        <v>-0.25</v>
      </c>
      <c r="I918" s="1">
        <v>0.3</v>
      </c>
      <c r="J918" s="1">
        <v>-0.02</v>
      </c>
      <c r="K918" s="1" t="s">
        <v>51</v>
      </c>
      <c r="L918" s="1">
        <v>2389</v>
      </c>
      <c r="M918" s="1">
        <v>0.5</v>
      </c>
      <c r="N918" s="1">
        <v>0.66364999999999996</v>
      </c>
      <c r="O918" s="1">
        <f>VLOOKUP(D918,underlying!$D$2:$H$75,5,FALSE)</f>
        <v>-0.17</v>
      </c>
      <c r="P918" s="2">
        <f>VLOOKUP(D918,underlying!$D$2:$L$39,9,FALSE)</f>
        <v>43279</v>
      </c>
      <c r="Q918" s="7">
        <f>IF(G918="C",NormalCallSprd(O918,H918,M918,(P918-A918)/365), NormalPutSprd(O918,H918,M918,(P918-A918)/365))</f>
        <v>0.30951943086524203</v>
      </c>
      <c r="R918" s="9">
        <f t="shared" si="29"/>
        <v>9.5194308652420401E-3</v>
      </c>
    </row>
    <row r="919" spans="1:18" x14ac:dyDescent="0.2">
      <c r="A919" s="2">
        <v>42622</v>
      </c>
      <c r="B919" s="1" t="s">
        <v>13</v>
      </c>
      <c r="C919" s="1" t="s">
        <v>14</v>
      </c>
      <c r="D919" s="2">
        <v>43108</v>
      </c>
      <c r="E919" s="2">
        <f t="shared" si="28"/>
        <v>43313</v>
      </c>
      <c r="F919" s="1" t="s">
        <v>15</v>
      </c>
      <c r="G919" s="1" t="s">
        <v>18</v>
      </c>
      <c r="H919" s="1">
        <v>-0.25</v>
      </c>
      <c r="I919" s="1">
        <v>0.22</v>
      </c>
      <c r="J919" s="1">
        <v>0</v>
      </c>
      <c r="K919" s="1" t="s">
        <v>51</v>
      </c>
      <c r="L919" s="1">
        <v>2389</v>
      </c>
      <c r="M919" s="1">
        <v>0.5</v>
      </c>
      <c r="N919" s="1">
        <v>0.69976000000000005</v>
      </c>
      <c r="O919" s="1">
        <f>VLOOKUP(D919,underlying!$D$2:$H$75,5,FALSE)</f>
        <v>-0.17</v>
      </c>
      <c r="P919" s="2">
        <f>VLOOKUP(D919,underlying!$D$2:$L$39,9,FALSE)</f>
        <v>43279</v>
      </c>
      <c r="Q919" s="7">
        <f>IF(G919="C",NormalCallSprd(O919,H919,M919,(P919-A919)/365), NormalPutSprd(O919,H919,M919,(P919-A919)/365))</f>
        <v>0.22951943086524201</v>
      </c>
      <c r="R919" s="9">
        <f t="shared" si="29"/>
        <v>9.5194308652420123E-3</v>
      </c>
    </row>
    <row r="920" spans="1:18" x14ac:dyDescent="0.2">
      <c r="A920" s="2">
        <v>42622</v>
      </c>
      <c r="B920" s="1" t="s">
        <v>13</v>
      </c>
      <c r="C920" s="1" t="s">
        <v>14</v>
      </c>
      <c r="D920" s="2">
        <v>43108</v>
      </c>
      <c r="E920" s="2">
        <f t="shared" si="28"/>
        <v>43313</v>
      </c>
      <c r="F920" s="1" t="s">
        <v>15</v>
      </c>
      <c r="G920" s="1" t="s">
        <v>16</v>
      </c>
      <c r="H920" s="1">
        <v>-0.2</v>
      </c>
      <c r="I920" s="1">
        <v>0.27</v>
      </c>
      <c r="J920" s="1">
        <v>-0.02</v>
      </c>
      <c r="K920" s="1" t="s">
        <v>51</v>
      </c>
      <c r="L920" s="1">
        <v>2389</v>
      </c>
      <c r="M920" s="1">
        <v>0.49</v>
      </c>
      <c r="N920" s="1">
        <v>0.73336000000000001</v>
      </c>
      <c r="O920" s="1">
        <f>VLOOKUP(D920,underlying!$D$2:$H$75,5,FALSE)</f>
        <v>-0.17</v>
      </c>
      <c r="P920" s="2">
        <f>VLOOKUP(D920,underlying!$D$2:$L$39,9,FALSE)</f>
        <v>43279</v>
      </c>
      <c r="Q920" s="7">
        <f>IF(G920="C",NormalCallSprd(O920,H920,M920,(P920-A920)/365), NormalPutSprd(O920,H920,M920,(P920-A920)/365))</f>
        <v>0.27753927791616956</v>
      </c>
      <c r="R920" s="9">
        <f t="shared" si="29"/>
        <v>7.53927791616954E-3</v>
      </c>
    </row>
    <row r="921" spans="1:18" x14ac:dyDescent="0.2">
      <c r="A921" s="2">
        <v>42622</v>
      </c>
      <c r="B921" s="1" t="s">
        <v>13</v>
      </c>
      <c r="C921" s="1" t="s">
        <v>14</v>
      </c>
      <c r="D921" s="2">
        <v>43108</v>
      </c>
      <c r="E921" s="2">
        <f t="shared" si="28"/>
        <v>43313</v>
      </c>
      <c r="F921" s="1" t="s">
        <v>15</v>
      </c>
      <c r="G921" s="1" t="s">
        <v>18</v>
      </c>
      <c r="H921" s="1">
        <v>-0.2</v>
      </c>
      <c r="I921" s="1">
        <v>0.24</v>
      </c>
      <c r="J921" s="1">
        <v>0</v>
      </c>
      <c r="K921" s="1" t="s">
        <v>51</v>
      </c>
      <c r="L921" s="1">
        <v>2389</v>
      </c>
      <c r="M921" s="1">
        <v>0.49</v>
      </c>
      <c r="N921" s="1">
        <v>0.76273000000000002</v>
      </c>
      <c r="O921" s="1">
        <f>VLOOKUP(D921,underlying!$D$2:$H$75,5,FALSE)</f>
        <v>-0.17</v>
      </c>
      <c r="P921" s="2">
        <f>VLOOKUP(D921,underlying!$D$2:$L$39,9,FALSE)</f>
        <v>43279</v>
      </c>
      <c r="Q921" s="7">
        <f>IF(G921="C",NormalCallSprd(O921,H921,M921,(P921-A921)/365), NormalPutSprd(O921,H921,M921,(P921-A921)/365))</f>
        <v>0.24753927791616956</v>
      </c>
      <c r="R921" s="9">
        <f t="shared" si="29"/>
        <v>7.5392779161695678E-3</v>
      </c>
    </row>
    <row r="922" spans="1:18" x14ac:dyDescent="0.2">
      <c r="A922" s="2">
        <v>42622</v>
      </c>
      <c r="B922" s="1" t="s">
        <v>13</v>
      </c>
      <c r="C922" s="1" t="s">
        <v>14</v>
      </c>
      <c r="D922" s="2">
        <v>43108</v>
      </c>
      <c r="E922" s="2">
        <f t="shared" si="28"/>
        <v>43313</v>
      </c>
      <c r="F922" s="1" t="s">
        <v>15</v>
      </c>
      <c r="G922" s="1" t="s">
        <v>16</v>
      </c>
      <c r="H922" s="1">
        <v>-0.15</v>
      </c>
      <c r="I922" s="1">
        <v>0.25</v>
      </c>
      <c r="J922" s="1">
        <v>-0.01</v>
      </c>
      <c r="K922" s="1" t="s">
        <v>51</v>
      </c>
      <c r="L922" s="1">
        <v>2389</v>
      </c>
      <c r="M922" s="1">
        <v>0.49</v>
      </c>
      <c r="N922" s="1">
        <v>0.79164000000000001</v>
      </c>
      <c r="O922" s="1">
        <f>VLOOKUP(D922,underlying!$D$2:$H$75,5,FALSE)</f>
        <v>-0.17</v>
      </c>
      <c r="P922" s="2">
        <f>VLOOKUP(D922,underlying!$D$2:$L$39,9,FALSE)</f>
        <v>43279</v>
      </c>
      <c r="Q922" s="7">
        <f>IF(G922="C",NormalCallSprd(O922,H922,M922,(P922-A922)/365), NormalPutSprd(O922,H922,M922,(P922-A922)/365))</f>
        <v>0.25238760470182647</v>
      </c>
      <c r="R922" s="9">
        <f t="shared" si="29"/>
        <v>2.3876047018264734E-3</v>
      </c>
    </row>
    <row r="923" spans="1:18" x14ac:dyDescent="0.2">
      <c r="A923" s="2">
        <v>42622</v>
      </c>
      <c r="B923" s="1" t="s">
        <v>13</v>
      </c>
      <c r="C923" s="1" t="s">
        <v>14</v>
      </c>
      <c r="D923" s="2">
        <v>43108</v>
      </c>
      <c r="E923" s="2">
        <f t="shared" si="28"/>
        <v>43313</v>
      </c>
      <c r="F923" s="1" t="s">
        <v>15</v>
      </c>
      <c r="G923" s="1" t="s">
        <v>18</v>
      </c>
      <c r="H923" s="1">
        <v>-0.15</v>
      </c>
      <c r="I923" s="1">
        <v>0.27</v>
      </c>
      <c r="J923" s="1">
        <v>0.01</v>
      </c>
      <c r="K923" s="1" t="s">
        <v>51</v>
      </c>
      <c r="L923" s="1">
        <v>2389</v>
      </c>
      <c r="M923" s="1">
        <v>0.49</v>
      </c>
      <c r="N923" s="1">
        <v>0.81605000000000005</v>
      </c>
      <c r="O923" s="1">
        <f>VLOOKUP(D923,underlying!$D$2:$H$75,5,FALSE)</f>
        <v>-0.17</v>
      </c>
      <c r="P923" s="2">
        <f>VLOOKUP(D923,underlying!$D$2:$L$39,9,FALSE)</f>
        <v>43279</v>
      </c>
      <c r="Q923" s="7">
        <f>IF(G923="C",NormalCallSprd(O923,H923,M923,(P923-A923)/365), NormalPutSprd(O923,H923,M923,(P923-A923)/365))</f>
        <v>0.27238760470182649</v>
      </c>
      <c r="R923" s="9">
        <f t="shared" si="29"/>
        <v>2.3876047018264734E-3</v>
      </c>
    </row>
    <row r="924" spans="1:18" x14ac:dyDescent="0.2">
      <c r="A924" s="2">
        <v>42622</v>
      </c>
      <c r="B924" s="1" t="s">
        <v>13</v>
      </c>
      <c r="C924" s="1" t="s">
        <v>14</v>
      </c>
      <c r="D924" s="2">
        <v>43108</v>
      </c>
      <c r="E924" s="2">
        <f t="shared" si="28"/>
        <v>43313</v>
      </c>
      <c r="F924" s="1" t="s">
        <v>15</v>
      </c>
      <c r="G924" s="1" t="s">
        <v>16</v>
      </c>
      <c r="H924" s="1">
        <v>-0.1</v>
      </c>
      <c r="I924" s="1">
        <v>0.23</v>
      </c>
      <c r="J924" s="1">
        <v>-0.01</v>
      </c>
      <c r="K924" s="1" t="s">
        <v>51</v>
      </c>
      <c r="L924" s="1">
        <v>2389</v>
      </c>
      <c r="M924" s="1">
        <v>0.49</v>
      </c>
      <c r="N924" s="1">
        <v>0.84016999999999997</v>
      </c>
      <c r="O924" s="1">
        <f>VLOOKUP(D924,underlying!$D$2:$H$75,5,FALSE)</f>
        <v>-0.17</v>
      </c>
      <c r="P924" s="2">
        <f>VLOOKUP(D924,underlying!$D$2:$L$39,9,FALSE)</f>
        <v>43279</v>
      </c>
      <c r="Q924" s="7">
        <f>IF(G924="C",NormalCallSprd(O924,H924,M924,(P924-A924)/365), NormalPutSprd(O924,H924,M924,(P924-A924)/365))</f>
        <v>0.22875161202865749</v>
      </c>
      <c r="R924" s="9">
        <f t="shared" si="29"/>
        <v>1.2483879713425239E-3</v>
      </c>
    </row>
    <row r="925" spans="1:18" x14ac:dyDescent="0.2">
      <c r="A925" s="2">
        <v>42622</v>
      </c>
      <c r="B925" s="1" t="s">
        <v>13</v>
      </c>
      <c r="C925" s="1" t="s">
        <v>14</v>
      </c>
      <c r="D925" s="2">
        <v>43108</v>
      </c>
      <c r="E925" s="2">
        <f t="shared" si="28"/>
        <v>43313</v>
      </c>
      <c r="F925" s="1" t="s">
        <v>15</v>
      </c>
      <c r="G925" s="1" t="s">
        <v>18</v>
      </c>
      <c r="H925" s="1">
        <v>-0.1</v>
      </c>
      <c r="I925" s="1">
        <v>0.3</v>
      </c>
      <c r="J925" s="1">
        <v>0.01</v>
      </c>
      <c r="K925" s="1" t="s">
        <v>51</v>
      </c>
      <c r="L925" s="1">
        <v>2389</v>
      </c>
      <c r="M925" s="1">
        <v>0.49</v>
      </c>
      <c r="N925" s="1">
        <v>0.85916999999999999</v>
      </c>
      <c r="O925" s="1">
        <f>VLOOKUP(D925,underlying!$D$2:$H$75,5,FALSE)</f>
        <v>-0.17</v>
      </c>
      <c r="P925" s="2">
        <f>VLOOKUP(D925,underlying!$D$2:$L$39,9,FALSE)</f>
        <v>43279</v>
      </c>
      <c r="Q925" s="7">
        <f>IF(G925="C",NormalCallSprd(O925,H925,M925,(P925-A925)/365), NormalPutSprd(O925,H925,M925,(P925-A925)/365))</f>
        <v>0.29875161202865752</v>
      </c>
      <c r="R925" s="9">
        <f t="shared" si="29"/>
        <v>1.2483879713424684E-3</v>
      </c>
    </row>
    <row r="926" spans="1:18" x14ac:dyDescent="0.2">
      <c r="A926" s="2">
        <v>42622</v>
      </c>
      <c r="B926" s="1" t="s">
        <v>13</v>
      </c>
      <c r="C926" s="1" t="s">
        <v>14</v>
      </c>
      <c r="D926" s="2">
        <v>43108</v>
      </c>
      <c r="E926" s="2">
        <f t="shared" si="28"/>
        <v>43313</v>
      </c>
      <c r="F926" s="1" t="s">
        <v>15</v>
      </c>
      <c r="G926" s="1" t="s">
        <v>16</v>
      </c>
      <c r="H926" s="1">
        <v>-0.05</v>
      </c>
      <c r="I926" s="1">
        <v>0.21</v>
      </c>
      <c r="J926" s="1">
        <v>-0.01</v>
      </c>
      <c r="K926" s="1" t="s">
        <v>51</v>
      </c>
      <c r="L926" s="1">
        <v>2389</v>
      </c>
      <c r="M926" s="1">
        <v>0.5</v>
      </c>
      <c r="N926" s="1">
        <v>0.87607000000000002</v>
      </c>
      <c r="O926" s="1">
        <f>VLOOKUP(D926,underlying!$D$2:$H$75,5,FALSE)</f>
        <v>-0.17</v>
      </c>
      <c r="P926" s="2">
        <f>VLOOKUP(D926,underlying!$D$2:$L$39,9,FALSE)</f>
        <v>43279</v>
      </c>
      <c r="Q926" s="7">
        <f>IF(G926="C",NormalCallSprd(O926,H926,M926,(P926-A926)/365), NormalPutSprd(O926,H926,M926,(P926-A926)/365))</f>
        <v>0.21188913334206338</v>
      </c>
      <c r="R926" s="9">
        <f t="shared" si="29"/>
        <v>1.8891333420633927E-3</v>
      </c>
    </row>
    <row r="927" spans="1:18" x14ac:dyDescent="0.2">
      <c r="A927" s="2">
        <v>42622</v>
      </c>
      <c r="B927" s="1" t="s">
        <v>13</v>
      </c>
      <c r="C927" s="1" t="s">
        <v>14</v>
      </c>
      <c r="D927" s="2">
        <v>43108</v>
      </c>
      <c r="E927" s="2">
        <f t="shared" si="28"/>
        <v>43313</v>
      </c>
      <c r="F927" s="1" t="s">
        <v>15</v>
      </c>
      <c r="G927" s="1" t="s">
        <v>18</v>
      </c>
      <c r="H927" s="1">
        <v>-0.05</v>
      </c>
      <c r="I927" s="1">
        <v>0.33</v>
      </c>
      <c r="J927" s="1">
        <v>0.01</v>
      </c>
      <c r="K927" s="1" t="s">
        <v>51</v>
      </c>
      <c r="L927" s="1">
        <v>2389</v>
      </c>
      <c r="M927" s="1">
        <v>0.5</v>
      </c>
      <c r="N927" s="1">
        <v>0.89105000000000001</v>
      </c>
      <c r="O927" s="1">
        <f>VLOOKUP(D927,underlying!$D$2:$H$75,5,FALSE)</f>
        <v>-0.17</v>
      </c>
      <c r="P927" s="2">
        <f>VLOOKUP(D927,underlying!$D$2:$L$39,9,FALSE)</f>
        <v>43279</v>
      </c>
      <c r="Q927" s="7">
        <f>IF(G927="C",NormalCallSprd(O927,H927,M927,(P927-A927)/365), NormalPutSprd(O927,H927,M927,(P927-A927)/365))</f>
        <v>0.33188913334206338</v>
      </c>
      <c r="R927" s="9">
        <f t="shared" si="29"/>
        <v>1.8891333420633649E-3</v>
      </c>
    </row>
    <row r="928" spans="1:18" x14ac:dyDescent="0.2">
      <c r="A928" s="2">
        <v>42622</v>
      </c>
      <c r="B928" s="1" t="s">
        <v>13</v>
      </c>
      <c r="C928" s="1" t="s">
        <v>14</v>
      </c>
      <c r="D928" s="2">
        <v>43109</v>
      </c>
      <c r="E928" s="2">
        <f t="shared" si="28"/>
        <v>43344</v>
      </c>
      <c r="F928" s="1" t="s">
        <v>15</v>
      </c>
      <c r="G928" s="1" t="s">
        <v>16</v>
      </c>
      <c r="H928" s="1">
        <v>-20</v>
      </c>
      <c r="I928" s="1">
        <v>19.61</v>
      </c>
      <c r="J928" s="1">
        <v>-0.02</v>
      </c>
      <c r="K928" s="1" t="s">
        <v>54</v>
      </c>
      <c r="L928" s="1">
        <v>2389</v>
      </c>
      <c r="M928" s="1">
        <v>0.84</v>
      </c>
      <c r="N928" s="1">
        <v>0.99180999999999997</v>
      </c>
      <c r="O928" s="1">
        <f>VLOOKUP(D928,underlying!$D$2:$H$75,5,FALSE)</f>
        <v>-0.15</v>
      </c>
      <c r="P928" s="2">
        <f>VLOOKUP(D928,underlying!$D$2:$L$39,9,FALSE)</f>
        <v>43311</v>
      </c>
      <c r="Q928" s="7">
        <f>IF(G928="C",NormalCallSprd(O928,H928,M928,(P928-A928)/365), NormalPutSprd(O928,H928,M928,(P928-A928)/365))</f>
        <v>19.850000000000001</v>
      </c>
      <c r="R928" s="9">
        <f t="shared" si="29"/>
        <v>0.24000000000000199</v>
      </c>
    </row>
    <row r="929" spans="1:18" x14ac:dyDescent="0.2">
      <c r="A929" s="2">
        <v>42622</v>
      </c>
      <c r="B929" s="1" t="s">
        <v>13</v>
      </c>
      <c r="C929" s="1" t="s">
        <v>14</v>
      </c>
      <c r="D929" s="2">
        <v>43109</v>
      </c>
      <c r="E929" s="2">
        <f t="shared" si="28"/>
        <v>43344</v>
      </c>
      <c r="F929" s="1" t="s">
        <v>15</v>
      </c>
      <c r="G929" s="1" t="s">
        <v>18</v>
      </c>
      <c r="H929" s="1">
        <v>-20</v>
      </c>
      <c r="I929" s="1">
        <v>0.01</v>
      </c>
      <c r="J929" s="1">
        <v>0</v>
      </c>
      <c r="K929" s="1" t="s">
        <v>54</v>
      </c>
      <c r="L929" s="1">
        <v>2389</v>
      </c>
      <c r="M929" s="1">
        <v>0.84</v>
      </c>
      <c r="N929" s="1">
        <v>0.99692999999999998</v>
      </c>
      <c r="O929" s="1">
        <f>VLOOKUP(D929,underlying!$D$2:$H$75,5,FALSE)</f>
        <v>-0.15</v>
      </c>
      <c r="P929" s="2">
        <f>VLOOKUP(D929,underlying!$D$2:$L$39,9,FALSE)</f>
        <v>43311</v>
      </c>
      <c r="Q929" s="7">
        <f>IF(G929="C",NormalCallSprd(O929,H929,M929,(P929-A929)/365), NormalPutSprd(O929,H929,M929,(P929-A929)/365))</f>
        <v>8.9125149911940147E-68</v>
      </c>
      <c r="R929" s="9">
        <f t="shared" si="29"/>
        <v>0.01</v>
      </c>
    </row>
    <row r="930" spans="1:18" x14ac:dyDescent="0.2">
      <c r="A930" s="2">
        <v>42622</v>
      </c>
      <c r="B930" s="1" t="s">
        <v>13</v>
      </c>
      <c r="C930" s="1" t="s">
        <v>14</v>
      </c>
      <c r="D930" s="2">
        <v>43109</v>
      </c>
      <c r="E930" s="2">
        <f t="shared" si="28"/>
        <v>43344</v>
      </c>
      <c r="F930" s="1" t="s">
        <v>15</v>
      </c>
      <c r="G930" s="1" t="s">
        <v>16</v>
      </c>
      <c r="H930" s="1">
        <v>-3</v>
      </c>
      <c r="I930" s="1">
        <v>2.82</v>
      </c>
      <c r="J930" s="1">
        <v>-0.01</v>
      </c>
      <c r="K930" s="1" t="s">
        <v>54</v>
      </c>
      <c r="L930" s="1">
        <v>2389</v>
      </c>
      <c r="M930" s="1">
        <v>0.83</v>
      </c>
      <c r="N930" s="1">
        <v>-0.71245000000000003</v>
      </c>
      <c r="O930" s="1">
        <f>VLOOKUP(D930,underlying!$D$2:$H$75,5,FALSE)</f>
        <v>-0.15</v>
      </c>
      <c r="P930" s="2">
        <f>VLOOKUP(D930,underlying!$D$2:$L$39,9,FALSE)</f>
        <v>43311</v>
      </c>
      <c r="Q930" s="7">
        <f>IF(G930="C",NormalCallSprd(O930,H930,M930,(P930-A930)/365), NormalPutSprd(O930,H930,M930,(P930-A930)/365))</f>
        <v>2.8522910003262907</v>
      </c>
      <c r="R930" s="9">
        <f t="shared" si="29"/>
        <v>3.2291000326290842E-2</v>
      </c>
    </row>
    <row r="931" spans="1:18" x14ac:dyDescent="0.2">
      <c r="A931" s="2">
        <v>42622</v>
      </c>
      <c r="B931" s="1" t="s">
        <v>13</v>
      </c>
      <c r="C931" s="1" t="s">
        <v>14</v>
      </c>
      <c r="D931" s="2">
        <v>43109</v>
      </c>
      <c r="E931" s="2">
        <f t="shared" si="28"/>
        <v>43344</v>
      </c>
      <c r="F931" s="1" t="s">
        <v>15</v>
      </c>
      <c r="G931" s="1" t="s">
        <v>18</v>
      </c>
      <c r="H931" s="1">
        <v>-3</v>
      </c>
      <c r="I931" s="1">
        <v>0.01</v>
      </c>
      <c r="J931" s="1">
        <v>0</v>
      </c>
      <c r="K931" s="1" t="s">
        <v>54</v>
      </c>
      <c r="L931" s="1">
        <v>2389</v>
      </c>
      <c r="M931" s="1">
        <v>0.83</v>
      </c>
      <c r="N931" s="1">
        <v>-0.68093000000000004</v>
      </c>
      <c r="O931" s="1">
        <f>VLOOKUP(D931,underlying!$D$2:$H$75,5,FALSE)</f>
        <v>-0.15</v>
      </c>
      <c r="P931" s="2">
        <f>VLOOKUP(D931,underlying!$D$2:$L$39,9,FALSE)</f>
        <v>43311</v>
      </c>
      <c r="Q931" s="7">
        <f>IF(G931="C",NormalCallSprd(O931,H931,M931,(P931-A931)/365), NormalPutSprd(O931,H931,M931,(P931-A931)/365))</f>
        <v>2.2910003262904531E-3</v>
      </c>
      <c r="R931" s="9">
        <f t="shared" si="29"/>
        <v>7.7089996737095476E-3</v>
      </c>
    </row>
    <row r="932" spans="1:18" x14ac:dyDescent="0.2">
      <c r="A932" s="2">
        <v>42622</v>
      </c>
      <c r="B932" s="1" t="s">
        <v>13</v>
      </c>
      <c r="C932" s="1" t="s">
        <v>14</v>
      </c>
      <c r="D932" s="2">
        <v>43109</v>
      </c>
      <c r="E932" s="2">
        <f t="shared" si="28"/>
        <v>43344</v>
      </c>
      <c r="F932" s="1" t="s">
        <v>15</v>
      </c>
      <c r="G932" s="1" t="s">
        <v>16</v>
      </c>
      <c r="H932" s="1">
        <v>-2</v>
      </c>
      <c r="I932" s="1">
        <v>1.84</v>
      </c>
      <c r="J932" s="1">
        <v>-0.01</v>
      </c>
      <c r="K932" s="1" t="s">
        <v>54</v>
      </c>
      <c r="L932" s="1">
        <v>2389</v>
      </c>
      <c r="M932" s="1">
        <v>0.73</v>
      </c>
      <c r="N932" s="1">
        <v>-0.64744999999999997</v>
      </c>
      <c r="O932" s="1">
        <f>VLOOKUP(D932,underlying!$D$2:$H$75,5,FALSE)</f>
        <v>-0.15</v>
      </c>
      <c r="P932" s="2">
        <f>VLOOKUP(D932,underlying!$D$2:$L$39,9,FALSE)</f>
        <v>43311</v>
      </c>
      <c r="Q932" s="7">
        <f>IF(G932="C",NormalCallSprd(O932,H932,M932,(P932-A932)/365), NormalPutSprd(O932,H932,M932,(P932-A932)/365))</f>
        <v>1.8627896417739598</v>
      </c>
      <c r="R932" s="9">
        <f t="shared" si="29"/>
        <v>2.2789641773959701E-2</v>
      </c>
    </row>
    <row r="933" spans="1:18" x14ac:dyDescent="0.2">
      <c r="A933" s="2">
        <v>42622</v>
      </c>
      <c r="B933" s="1" t="s">
        <v>13</v>
      </c>
      <c r="C933" s="1" t="s">
        <v>14</v>
      </c>
      <c r="D933" s="2">
        <v>43109</v>
      </c>
      <c r="E933" s="2">
        <f t="shared" si="28"/>
        <v>43344</v>
      </c>
      <c r="F933" s="1" t="s">
        <v>15</v>
      </c>
      <c r="G933" s="1" t="s">
        <v>18</v>
      </c>
      <c r="H933" s="1">
        <v>-2</v>
      </c>
      <c r="I933" s="1">
        <v>0.01</v>
      </c>
      <c r="J933" s="1">
        <v>0</v>
      </c>
      <c r="K933" s="1" t="s">
        <v>54</v>
      </c>
      <c r="L933" s="1">
        <v>2389</v>
      </c>
      <c r="M933" s="1">
        <v>0.73</v>
      </c>
      <c r="N933" s="1">
        <v>-0.61248000000000002</v>
      </c>
      <c r="O933" s="1">
        <f>VLOOKUP(D933,underlying!$D$2:$H$75,5,FALSE)</f>
        <v>-0.15</v>
      </c>
      <c r="P933" s="2">
        <f>VLOOKUP(D933,underlying!$D$2:$L$39,9,FALSE)</f>
        <v>43311</v>
      </c>
      <c r="Q933" s="7">
        <f>IF(G933="C",NormalCallSprd(O933,H933,M933,(P933-A933)/365), NormalPutSprd(O933,H933,M933,(P933-A933)/365))</f>
        <v>1.2789641773959784E-2</v>
      </c>
      <c r="R933" s="9">
        <f t="shared" si="29"/>
        <v>2.7896417739597841E-3</v>
      </c>
    </row>
    <row r="934" spans="1:18" x14ac:dyDescent="0.2">
      <c r="A934" s="2">
        <v>42622</v>
      </c>
      <c r="B934" s="1" t="s">
        <v>13</v>
      </c>
      <c r="C934" s="1" t="s">
        <v>14</v>
      </c>
      <c r="D934" s="2">
        <v>43109</v>
      </c>
      <c r="E934" s="2">
        <f t="shared" si="28"/>
        <v>43344</v>
      </c>
      <c r="F934" s="1" t="s">
        <v>15</v>
      </c>
      <c r="G934" s="1" t="s">
        <v>16</v>
      </c>
      <c r="H934" s="1">
        <v>-1</v>
      </c>
      <c r="I934" s="1">
        <v>0.9</v>
      </c>
      <c r="J934" s="1">
        <v>-0.01</v>
      </c>
      <c r="K934" s="1" t="s">
        <v>54</v>
      </c>
      <c r="L934" s="1">
        <v>2389</v>
      </c>
      <c r="M934" s="1">
        <v>0.6</v>
      </c>
      <c r="N934" s="1">
        <v>-0.57308000000000003</v>
      </c>
      <c r="O934" s="1">
        <f>VLOOKUP(D934,underlying!$D$2:$H$75,5,FALSE)</f>
        <v>-0.15</v>
      </c>
      <c r="P934" s="2">
        <f>VLOOKUP(D934,underlying!$D$2:$L$39,9,FALSE)</f>
        <v>43311</v>
      </c>
      <c r="Q934" s="7">
        <f>IF(G934="C",NormalCallSprd(O934,H934,M934,(P934-A934)/365), NormalPutSprd(O934,H934,M934,(P934-A934)/365))</f>
        <v>0.91470839938610649</v>
      </c>
      <c r="R934" s="9">
        <f t="shared" si="29"/>
        <v>1.4708399386106463E-2</v>
      </c>
    </row>
    <row r="935" spans="1:18" x14ac:dyDescent="0.2">
      <c r="A935" s="2">
        <v>42622</v>
      </c>
      <c r="B935" s="1" t="s">
        <v>13</v>
      </c>
      <c r="C935" s="1" t="s">
        <v>14</v>
      </c>
      <c r="D935" s="2">
        <v>43109</v>
      </c>
      <c r="E935" s="2">
        <f t="shared" si="28"/>
        <v>43344</v>
      </c>
      <c r="F935" s="1" t="s">
        <v>15</v>
      </c>
      <c r="G935" s="1" t="s">
        <v>18</v>
      </c>
      <c r="H935" s="1">
        <v>-1</v>
      </c>
      <c r="I935" s="1">
        <v>0.06</v>
      </c>
      <c r="J935" s="1">
        <v>0</v>
      </c>
      <c r="K935" s="1" t="s">
        <v>54</v>
      </c>
      <c r="L935" s="1">
        <v>2389</v>
      </c>
      <c r="M935" s="1">
        <v>0.6</v>
      </c>
      <c r="N935" s="1">
        <v>-0.53132000000000001</v>
      </c>
      <c r="O935" s="1">
        <f>VLOOKUP(D935,underlying!$D$2:$H$75,5,FALSE)</f>
        <v>-0.15</v>
      </c>
      <c r="P935" s="2">
        <f>VLOOKUP(D935,underlying!$D$2:$L$39,9,FALSE)</f>
        <v>43311</v>
      </c>
      <c r="Q935" s="7">
        <f>IF(G935="C",NormalCallSprd(O935,H935,M935,(P935-A935)/365), NormalPutSprd(O935,H935,M935,(P935-A935)/365))</f>
        <v>6.4708399386106383E-2</v>
      </c>
      <c r="R935" s="9">
        <f t="shared" si="29"/>
        <v>4.708399386106385E-3</v>
      </c>
    </row>
    <row r="936" spans="1:18" x14ac:dyDescent="0.2">
      <c r="A936" s="2">
        <v>42622</v>
      </c>
      <c r="B936" s="1" t="s">
        <v>13</v>
      </c>
      <c r="C936" s="1" t="s">
        <v>14</v>
      </c>
      <c r="D936" s="2">
        <v>43109</v>
      </c>
      <c r="E936" s="2">
        <f t="shared" si="28"/>
        <v>43344</v>
      </c>
      <c r="F936" s="1" t="s">
        <v>15</v>
      </c>
      <c r="G936" s="1" t="s">
        <v>16</v>
      </c>
      <c r="H936" s="1">
        <v>-0.7</v>
      </c>
      <c r="I936" s="1">
        <v>0.65</v>
      </c>
      <c r="J936" s="1">
        <v>-0.01</v>
      </c>
      <c r="K936" s="1" t="s">
        <v>54</v>
      </c>
      <c r="L936" s="1">
        <v>2389</v>
      </c>
      <c r="M936" s="1">
        <v>0.56000000000000005</v>
      </c>
      <c r="N936" s="1">
        <v>-0.49046000000000001</v>
      </c>
      <c r="O936" s="1">
        <f>VLOOKUP(D936,underlying!$D$2:$H$75,5,FALSE)</f>
        <v>-0.15</v>
      </c>
      <c r="P936" s="2">
        <f>VLOOKUP(D936,underlying!$D$2:$L$39,9,FALSE)</f>
        <v>43311</v>
      </c>
      <c r="Q936" s="7">
        <f>IF(G936="C",NormalCallSprd(O936,H936,M936,(P936-A936)/365), NormalPutSprd(O936,H936,M936,(P936-A936)/365))</f>
        <v>0.65719400545522377</v>
      </c>
      <c r="R936" s="9">
        <f t="shared" si="29"/>
        <v>7.1940054552237509E-3</v>
      </c>
    </row>
    <row r="937" spans="1:18" x14ac:dyDescent="0.2">
      <c r="A937" s="2">
        <v>42622</v>
      </c>
      <c r="B937" s="1" t="s">
        <v>13</v>
      </c>
      <c r="C937" s="1" t="s">
        <v>14</v>
      </c>
      <c r="D937" s="2">
        <v>43109</v>
      </c>
      <c r="E937" s="2">
        <f t="shared" si="28"/>
        <v>43344</v>
      </c>
      <c r="F937" s="1" t="s">
        <v>15</v>
      </c>
      <c r="G937" s="1" t="s">
        <v>18</v>
      </c>
      <c r="H937" s="1">
        <v>-0.7</v>
      </c>
      <c r="I937" s="1">
        <v>0.11</v>
      </c>
      <c r="J937" s="1">
        <v>0.01</v>
      </c>
      <c r="K937" s="1" t="s">
        <v>54</v>
      </c>
      <c r="L937" s="1">
        <v>2389</v>
      </c>
      <c r="M937" s="1">
        <v>0.56000000000000005</v>
      </c>
      <c r="N937" s="1">
        <v>-0.45007000000000003</v>
      </c>
      <c r="O937" s="1">
        <f>VLOOKUP(D937,underlying!$D$2:$H$75,5,FALSE)</f>
        <v>-0.15</v>
      </c>
      <c r="P937" s="2">
        <f>VLOOKUP(D937,underlying!$D$2:$L$39,9,FALSE)</f>
        <v>43311</v>
      </c>
      <c r="Q937" s="7">
        <f>IF(G937="C",NormalCallSprd(O937,H937,M937,(P937-A937)/365), NormalPutSprd(O937,H937,M937,(P937-A937)/365))</f>
        <v>0.10719400545522378</v>
      </c>
      <c r="R937" s="9">
        <f t="shared" si="29"/>
        <v>2.8059945447762163E-3</v>
      </c>
    </row>
    <row r="938" spans="1:18" x14ac:dyDescent="0.2">
      <c r="A938" s="2">
        <v>42622</v>
      </c>
      <c r="B938" s="1" t="s">
        <v>13</v>
      </c>
      <c r="C938" s="1" t="s">
        <v>14</v>
      </c>
      <c r="D938" s="2">
        <v>43109</v>
      </c>
      <c r="E938" s="2">
        <f t="shared" si="28"/>
        <v>43344</v>
      </c>
      <c r="F938" s="1" t="s">
        <v>15</v>
      </c>
      <c r="G938" s="1" t="s">
        <v>16</v>
      </c>
      <c r="H938" s="1">
        <v>-0.65</v>
      </c>
      <c r="I938" s="1">
        <v>0.61</v>
      </c>
      <c r="J938" s="1">
        <v>-0.01</v>
      </c>
      <c r="K938" s="1" t="s">
        <v>54</v>
      </c>
      <c r="L938" s="1">
        <v>2389</v>
      </c>
      <c r="M938" s="1">
        <v>0.56000000000000005</v>
      </c>
      <c r="N938" s="1">
        <v>-0.41017999999999999</v>
      </c>
      <c r="O938" s="1">
        <f>VLOOKUP(D938,underlying!$D$2:$H$75,5,FALSE)</f>
        <v>-0.15</v>
      </c>
      <c r="P938" s="2">
        <f>VLOOKUP(D938,underlying!$D$2:$L$39,9,FALSE)</f>
        <v>43311</v>
      </c>
      <c r="Q938" s="7">
        <f>IF(G938="C",NormalCallSprd(O938,H938,M938,(P938-A938)/365), NormalPutSprd(O938,H938,M938,(P938-A938)/365))</f>
        <v>0.61957132202909071</v>
      </c>
      <c r="R938" s="9">
        <f t="shared" si="29"/>
        <v>9.571322029090723E-3</v>
      </c>
    </row>
    <row r="939" spans="1:18" x14ac:dyDescent="0.2">
      <c r="A939" s="2">
        <v>42622</v>
      </c>
      <c r="B939" s="1" t="s">
        <v>13</v>
      </c>
      <c r="C939" s="1" t="s">
        <v>14</v>
      </c>
      <c r="D939" s="2">
        <v>43109</v>
      </c>
      <c r="E939" s="2">
        <f t="shared" si="28"/>
        <v>43344</v>
      </c>
      <c r="F939" s="1" t="s">
        <v>15</v>
      </c>
      <c r="G939" s="1" t="s">
        <v>18</v>
      </c>
      <c r="H939" s="1">
        <v>-0.65</v>
      </c>
      <c r="I939" s="1">
        <v>0.12</v>
      </c>
      <c r="J939" s="1">
        <v>0</v>
      </c>
      <c r="K939" s="1" t="s">
        <v>54</v>
      </c>
      <c r="L939" s="1">
        <v>2389</v>
      </c>
      <c r="M939" s="1">
        <v>0.56000000000000005</v>
      </c>
      <c r="N939" s="1">
        <v>-0.37119000000000002</v>
      </c>
      <c r="O939" s="1">
        <f>VLOOKUP(D939,underlying!$D$2:$H$75,5,FALSE)</f>
        <v>-0.15</v>
      </c>
      <c r="P939" s="2">
        <f>VLOOKUP(D939,underlying!$D$2:$L$39,9,FALSE)</f>
        <v>43311</v>
      </c>
      <c r="Q939" s="7">
        <f>IF(G939="C",NormalCallSprd(O939,H939,M939,(P939-A939)/365), NormalPutSprd(O939,H939,M939,(P939-A939)/365))</f>
        <v>0.11957132202909061</v>
      </c>
      <c r="R939" s="9">
        <f t="shared" si="29"/>
        <v>4.2867797090938298E-4</v>
      </c>
    </row>
    <row r="940" spans="1:18" x14ac:dyDescent="0.2">
      <c r="A940" s="2">
        <v>42622</v>
      </c>
      <c r="B940" s="1" t="s">
        <v>13</v>
      </c>
      <c r="C940" s="1" t="s">
        <v>14</v>
      </c>
      <c r="D940" s="2">
        <v>43109</v>
      </c>
      <c r="E940" s="2">
        <f t="shared" si="28"/>
        <v>43344</v>
      </c>
      <c r="F940" s="1" t="s">
        <v>15</v>
      </c>
      <c r="G940" s="1" t="s">
        <v>16</v>
      </c>
      <c r="H940" s="1">
        <v>-0.6</v>
      </c>
      <c r="I940" s="1">
        <v>0.56999999999999995</v>
      </c>
      <c r="J940" s="1">
        <v>-0.01</v>
      </c>
      <c r="K940" s="1" t="s">
        <v>54</v>
      </c>
      <c r="L940" s="1">
        <v>2389</v>
      </c>
      <c r="M940" s="1">
        <v>0.55000000000000004</v>
      </c>
      <c r="N940" s="1">
        <v>-0.33346999999999999</v>
      </c>
      <c r="O940" s="1">
        <f>VLOOKUP(D940,underlying!$D$2:$H$75,5,FALSE)</f>
        <v>-0.15</v>
      </c>
      <c r="P940" s="2">
        <f>VLOOKUP(D940,underlying!$D$2:$L$39,9,FALSE)</f>
        <v>43311</v>
      </c>
      <c r="Q940" s="7">
        <f>IF(G940="C",NormalCallSprd(O940,H940,M940,(P940-A940)/365), NormalPutSprd(O940,H940,M940,(P940-A940)/365))</f>
        <v>0.57839281664943487</v>
      </c>
      <c r="R940" s="9">
        <f t="shared" si="29"/>
        <v>8.3928166494349199E-3</v>
      </c>
    </row>
    <row r="941" spans="1:18" x14ac:dyDescent="0.2">
      <c r="A941" s="2">
        <v>42622</v>
      </c>
      <c r="B941" s="1" t="s">
        <v>13</v>
      </c>
      <c r="C941" s="1" t="s">
        <v>14</v>
      </c>
      <c r="D941" s="2">
        <v>43109</v>
      </c>
      <c r="E941" s="2">
        <f t="shared" si="28"/>
        <v>43344</v>
      </c>
      <c r="F941" s="1" t="s">
        <v>15</v>
      </c>
      <c r="G941" s="1" t="s">
        <v>18</v>
      </c>
      <c r="H941" s="1">
        <v>-0.6</v>
      </c>
      <c r="I941" s="1">
        <v>0.13</v>
      </c>
      <c r="J941" s="1">
        <v>0</v>
      </c>
      <c r="K941" s="1" t="s">
        <v>54</v>
      </c>
      <c r="L941" s="1">
        <v>2389</v>
      </c>
      <c r="M941" s="1">
        <v>0.55000000000000004</v>
      </c>
      <c r="N941" s="1">
        <v>-0.29735</v>
      </c>
      <c r="O941" s="1">
        <f>VLOOKUP(D941,underlying!$D$2:$H$75,5,FALSE)</f>
        <v>-0.15</v>
      </c>
      <c r="P941" s="2">
        <f>VLOOKUP(D941,underlying!$D$2:$L$39,9,FALSE)</f>
        <v>43311</v>
      </c>
      <c r="Q941" s="7">
        <f>IF(G941="C",NormalCallSprd(O941,H941,M941,(P941-A941)/365), NormalPutSprd(O941,H941,M941,(P941-A941)/365))</f>
        <v>0.12839281664943486</v>
      </c>
      <c r="R941" s="9">
        <f t="shared" si="29"/>
        <v>1.6071833505651445E-3</v>
      </c>
    </row>
    <row r="942" spans="1:18" x14ac:dyDescent="0.2">
      <c r="A942" s="2">
        <v>42622</v>
      </c>
      <c r="B942" s="1" t="s">
        <v>13</v>
      </c>
      <c r="C942" s="1" t="s">
        <v>14</v>
      </c>
      <c r="D942" s="2">
        <v>43109</v>
      </c>
      <c r="E942" s="2">
        <f t="shared" si="28"/>
        <v>43344</v>
      </c>
      <c r="F942" s="1" t="s">
        <v>15</v>
      </c>
      <c r="G942" s="1" t="s">
        <v>16</v>
      </c>
      <c r="H942" s="1">
        <v>-0.55000000000000004</v>
      </c>
      <c r="I942" s="1">
        <v>0.53</v>
      </c>
      <c r="J942" s="1">
        <v>-0.01</v>
      </c>
      <c r="K942" s="1" t="s">
        <v>54</v>
      </c>
      <c r="L942" s="1">
        <v>2389</v>
      </c>
      <c r="M942" s="1">
        <v>0.54</v>
      </c>
      <c r="N942" s="1">
        <v>-0.26375999999999999</v>
      </c>
      <c r="O942" s="1">
        <f>VLOOKUP(D942,underlying!$D$2:$H$75,5,FALSE)</f>
        <v>-0.15</v>
      </c>
      <c r="P942" s="2">
        <f>VLOOKUP(D942,underlying!$D$2:$L$39,9,FALSE)</f>
        <v>43311</v>
      </c>
      <c r="Q942" s="7">
        <f>IF(G942="C",NormalCallSprd(O942,H942,M942,(P942-A942)/365), NormalPutSprd(O942,H942,M942,(P942-A942)/365))</f>
        <v>0.53798797688137356</v>
      </c>
      <c r="R942" s="9">
        <f t="shared" si="29"/>
        <v>7.9879768813735375E-3</v>
      </c>
    </row>
    <row r="943" spans="1:18" x14ac:dyDescent="0.2">
      <c r="A943" s="2">
        <v>42622</v>
      </c>
      <c r="B943" s="1" t="s">
        <v>13</v>
      </c>
      <c r="C943" s="1" t="s">
        <v>14</v>
      </c>
      <c r="D943" s="2">
        <v>43109</v>
      </c>
      <c r="E943" s="2">
        <f t="shared" si="28"/>
        <v>43344</v>
      </c>
      <c r="F943" s="1" t="s">
        <v>15</v>
      </c>
      <c r="G943" s="1" t="s">
        <v>18</v>
      </c>
      <c r="H943" s="1">
        <v>-0.55000000000000004</v>
      </c>
      <c r="I943" s="1">
        <v>0.14000000000000001</v>
      </c>
      <c r="J943" s="1">
        <v>0.01</v>
      </c>
      <c r="K943" s="1" t="s">
        <v>54</v>
      </c>
      <c r="L943" s="1">
        <v>2389</v>
      </c>
      <c r="M943" s="1">
        <v>0.54</v>
      </c>
      <c r="N943" s="1">
        <v>-0.23438999999999999</v>
      </c>
      <c r="O943" s="1">
        <f>VLOOKUP(D943,underlying!$D$2:$H$75,5,FALSE)</f>
        <v>-0.15</v>
      </c>
      <c r="P943" s="2">
        <f>VLOOKUP(D943,underlying!$D$2:$L$39,9,FALSE)</f>
        <v>43311</v>
      </c>
      <c r="Q943" s="7">
        <f>IF(G943="C",NormalCallSprd(O943,H943,M943,(P943-A943)/365), NormalPutSprd(O943,H943,M943,(P943-A943)/365))</f>
        <v>0.13798797688137351</v>
      </c>
      <c r="R943" s="9">
        <f t="shared" si="29"/>
        <v>2.0120231186264992E-3</v>
      </c>
    </row>
    <row r="944" spans="1:18" x14ac:dyDescent="0.2">
      <c r="A944" s="2">
        <v>42622</v>
      </c>
      <c r="B944" s="1" t="s">
        <v>13</v>
      </c>
      <c r="C944" s="1" t="s">
        <v>14</v>
      </c>
      <c r="D944" s="2">
        <v>43109</v>
      </c>
      <c r="E944" s="2">
        <f t="shared" si="28"/>
        <v>43344</v>
      </c>
      <c r="F944" s="1" t="s">
        <v>15</v>
      </c>
      <c r="G944" s="1" t="s">
        <v>16</v>
      </c>
      <c r="H944" s="1">
        <v>-0.5</v>
      </c>
      <c r="I944" s="1">
        <v>0.49</v>
      </c>
      <c r="J944" s="1">
        <v>-0.01</v>
      </c>
      <c r="K944" s="1" t="s">
        <v>54</v>
      </c>
      <c r="L944" s="1">
        <v>2389</v>
      </c>
      <c r="M944" s="1">
        <v>0.53</v>
      </c>
      <c r="N944" s="1">
        <v>-0.20548</v>
      </c>
      <c r="O944" s="1">
        <f>VLOOKUP(D944,underlying!$D$2:$H$75,5,FALSE)</f>
        <v>-0.15</v>
      </c>
      <c r="P944" s="2">
        <f>VLOOKUP(D944,underlying!$D$2:$L$39,9,FALSE)</f>
        <v>43311</v>
      </c>
      <c r="Q944" s="7">
        <f>IF(G944="C",NormalCallSprd(O944,H944,M944,(P944-A944)/365), NormalPutSprd(O944,H944,M944,(P944-A944)/365))</f>
        <v>0.49842711741987139</v>
      </c>
      <c r="R944" s="9">
        <f t="shared" si="29"/>
        <v>8.4271174198713994E-3</v>
      </c>
    </row>
    <row r="945" spans="1:18" x14ac:dyDescent="0.2">
      <c r="A945" s="2">
        <v>42622</v>
      </c>
      <c r="B945" s="1" t="s">
        <v>13</v>
      </c>
      <c r="C945" s="1" t="s">
        <v>14</v>
      </c>
      <c r="D945" s="2">
        <v>43109</v>
      </c>
      <c r="E945" s="2">
        <f t="shared" si="28"/>
        <v>43344</v>
      </c>
      <c r="F945" s="1" t="s">
        <v>15</v>
      </c>
      <c r="G945" s="1" t="s">
        <v>18</v>
      </c>
      <c r="H945" s="1">
        <v>-0.5</v>
      </c>
      <c r="I945" s="1">
        <v>0.15</v>
      </c>
      <c r="J945" s="1">
        <v>0.01</v>
      </c>
      <c r="K945" s="1" t="s">
        <v>54</v>
      </c>
      <c r="L945" s="1">
        <v>2389</v>
      </c>
      <c r="M945" s="1">
        <v>0.53</v>
      </c>
      <c r="N945" s="1">
        <v>-0.18107000000000001</v>
      </c>
      <c r="O945" s="1">
        <f>VLOOKUP(D945,underlying!$D$2:$H$75,5,FALSE)</f>
        <v>-0.15</v>
      </c>
      <c r="P945" s="2">
        <f>VLOOKUP(D945,underlying!$D$2:$L$39,9,FALSE)</f>
        <v>43311</v>
      </c>
      <c r="Q945" s="7">
        <f>IF(G945="C",NormalCallSprd(O945,H945,M945,(P945-A945)/365), NormalPutSprd(O945,H945,M945,(P945-A945)/365))</f>
        <v>0.14842711741987141</v>
      </c>
      <c r="R945" s="9">
        <f t="shared" si="29"/>
        <v>1.5728825801285817E-3</v>
      </c>
    </row>
    <row r="946" spans="1:18" x14ac:dyDescent="0.2">
      <c r="A946" s="2">
        <v>42622</v>
      </c>
      <c r="B946" s="1" t="s">
        <v>13</v>
      </c>
      <c r="C946" s="1" t="s">
        <v>14</v>
      </c>
      <c r="D946" s="2">
        <v>43109</v>
      </c>
      <c r="E946" s="2">
        <f t="shared" si="28"/>
        <v>43344</v>
      </c>
      <c r="F946" s="1" t="s">
        <v>15</v>
      </c>
      <c r="G946" s="1" t="s">
        <v>16</v>
      </c>
      <c r="H946" s="1">
        <v>-0.45</v>
      </c>
      <c r="I946" s="1">
        <v>0.45</v>
      </c>
      <c r="J946" s="1">
        <v>-0.01</v>
      </c>
      <c r="K946" s="1" t="s">
        <v>54</v>
      </c>
      <c r="L946" s="1">
        <v>2389</v>
      </c>
      <c r="M946" s="1">
        <v>0.52</v>
      </c>
      <c r="N946" s="1">
        <v>-0.15694</v>
      </c>
      <c r="O946" s="1">
        <f>VLOOKUP(D946,underlying!$D$2:$H$75,5,FALSE)</f>
        <v>-0.15</v>
      </c>
      <c r="P946" s="2">
        <f>VLOOKUP(D946,underlying!$D$2:$L$39,9,FALSE)</f>
        <v>43311</v>
      </c>
      <c r="Q946" s="7">
        <f>IF(G946="C",NormalCallSprd(O946,H946,M946,(P946-A946)/365), NormalPutSprd(O946,H946,M946,(P946-A946)/365))</f>
        <v>0.459785903869389</v>
      </c>
      <c r="R946" s="9">
        <f t="shared" si="29"/>
        <v>9.7859038693889899E-3</v>
      </c>
    </row>
    <row r="947" spans="1:18" x14ac:dyDescent="0.2">
      <c r="A947" s="2">
        <v>42622</v>
      </c>
      <c r="B947" s="1" t="s">
        <v>13</v>
      </c>
      <c r="C947" s="1" t="s">
        <v>14</v>
      </c>
      <c r="D947" s="2">
        <v>43109</v>
      </c>
      <c r="E947" s="2">
        <f t="shared" si="28"/>
        <v>43344</v>
      </c>
      <c r="F947" s="1" t="s">
        <v>15</v>
      </c>
      <c r="G947" s="1" t="s">
        <v>18</v>
      </c>
      <c r="H947" s="1">
        <v>-0.45</v>
      </c>
      <c r="I947" s="1">
        <v>0.16</v>
      </c>
      <c r="J947" s="1">
        <v>0</v>
      </c>
      <c r="K947" s="1" t="s">
        <v>54</v>
      </c>
      <c r="L947" s="1">
        <v>2389</v>
      </c>
      <c r="M947" s="1">
        <v>0.52</v>
      </c>
      <c r="N947" s="1">
        <v>-0.13794000000000001</v>
      </c>
      <c r="O947" s="1">
        <f>VLOOKUP(D947,underlying!$D$2:$H$75,5,FALSE)</f>
        <v>-0.15</v>
      </c>
      <c r="P947" s="2">
        <f>VLOOKUP(D947,underlying!$D$2:$L$39,9,FALSE)</f>
        <v>43311</v>
      </c>
      <c r="Q947" s="7">
        <f>IF(G947="C",NormalCallSprd(O947,H947,M947,(P947-A947)/365), NormalPutSprd(O947,H947,M947,(P947-A947)/365))</f>
        <v>0.15978590386938901</v>
      </c>
      <c r="R947" s="9">
        <f t="shared" si="29"/>
        <v>2.140961306109912E-4</v>
      </c>
    </row>
    <row r="948" spans="1:18" x14ac:dyDescent="0.2">
      <c r="A948" s="2">
        <v>42622</v>
      </c>
      <c r="B948" s="1" t="s">
        <v>13</v>
      </c>
      <c r="C948" s="1" t="s">
        <v>14</v>
      </c>
      <c r="D948" s="2">
        <v>43109</v>
      </c>
      <c r="E948" s="2">
        <f t="shared" si="28"/>
        <v>43344</v>
      </c>
      <c r="F948" s="1" t="s">
        <v>15</v>
      </c>
      <c r="G948" s="1" t="s">
        <v>16</v>
      </c>
      <c r="H948" s="1">
        <v>-0.4</v>
      </c>
      <c r="I948" s="1">
        <v>0.42</v>
      </c>
      <c r="J948" s="1">
        <v>0</v>
      </c>
      <c r="K948" s="1" t="s">
        <v>54</v>
      </c>
      <c r="L948" s="1">
        <v>2389</v>
      </c>
      <c r="M948" s="1">
        <v>0.51</v>
      </c>
      <c r="N948" s="1">
        <v>-0.12103999999999999</v>
      </c>
      <c r="O948" s="1">
        <f>VLOOKUP(D948,underlying!$D$2:$H$75,5,FALSE)</f>
        <v>-0.15</v>
      </c>
      <c r="P948" s="2">
        <f>VLOOKUP(D948,underlying!$D$2:$L$39,9,FALSE)</f>
        <v>43311</v>
      </c>
      <c r="Q948" s="7">
        <f>IF(G948="C",NormalCallSprd(O948,H948,M948,(P948-A948)/365), NormalPutSprd(O948,H948,M948,(P948-A948)/365))</f>
        <v>0.42214537046155959</v>
      </c>
      <c r="R948" s="9">
        <f t="shared" si="29"/>
        <v>2.1453704615596036E-3</v>
      </c>
    </row>
    <row r="949" spans="1:18" x14ac:dyDescent="0.2">
      <c r="A949" s="2">
        <v>42622</v>
      </c>
      <c r="B949" s="1" t="s">
        <v>13</v>
      </c>
      <c r="C949" s="1" t="s">
        <v>14</v>
      </c>
      <c r="D949" s="2">
        <v>43109</v>
      </c>
      <c r="E949" s="2">
        <f t="shared" si="28"/>
        <v>43344</v>
      </c>
      <c r="F949" s="1" t="s">
        <v>15</v>
      </c>
      <c r="G949" s="1" t="s">
        <v>18</v>
      </c>
      <c r="H949" s="1">
        <v>-0.4</v>
      </c>
      <c r="I949" s="1">
        <v>0.17</v>
      </c>
      <c r="J949" s="1">
        <v>0</v>
      </c>
      <c r="K949" s="1" t="s">
        <v>54</v>
      </c>
      <c r="L949" s="1">
        <v>2389</v>
      </c>
      <c r="M949" s="1">
        <v>0.51</v>
      </c>
      <c r="N949" s="1">
        <v>-0.10607</v>
      </c>
      <c r="O949" s="1">
        <f>VLOOKUP(D949,underlying!$D$2:$H$75,5,FALSE)</f>
        <v>-0.15</v>
      </c>
      <c r="P949" s="2">
        <f>VLOOKUP(D949,underlying!$D$2:$L$39,9,FALSE)</f>
        <v>43311</v>
      </c>
      <c r="Q949" s="7">
        <f>IF(G949="C",NormalCallSprd(O949,H949,M949,(P949-A949)/365), NormalPutSprd(O949,H949,M949,(P949-A949)/365))</f>
        <v>0.17214537046155953</v>
      </c>
      <c r="R949" s="9">
        <f t="shared" si="29"/>
        <v>2.1453704615595204E-3</v>
      </c>
    </row>
    <row r="950" spans="1:18" x14ac:dyDescent="0.2">
      <c r="A950" s="2">
        <v>42622</v>
      </c>
      <c r="B950" s="1" t="s">
        <v>13</v>
      </c>
      <c r="C950" s="1" t="s">
        <v>14</v>
      </c>
      <c r="D950" s="2">
        <v>43109</v>
      </c>
      <c r="E950" s="2">
        <f t="shared" si="28"/>
        <v>43344</v>
      </c>
      <c r="F950" s="1" t="s">
        <v>15</v>
      </c>
      <c r="G950" s="1" t="s">
        <v>16</v>
      </c>
      <c r="H950" s="1">
        <v>-0.35</v>
      </c>
      <c r="I950" s="1">
        <v>0.38</v>
      </c>
      <c r="J950" s="1">
        <v>-0.01</v>
      </c>
      <c r="K950" s="1" t="s">
        <v>54</v>
      </c>
      <c r="L950" s="1">
        <v>2389</v>
      </c>
      <c r="M950" s="1">
        <v>0.5</v>
      </c>
      <c r="N950" s="1">
        <v>-5.3099999999999996E-3</v>
      </c>
      <c r="O950" s="1">
        <f>VLOOKUP(D950,underlying!$D$2:$H$75,5,FALSE)</f>
        <v>-0.15</v>
      </c>
      <c r="P950" s="2">
        <f>VLOOKUP(D950,underlying!$D$2:$L$39,9,FALSE)</f>
        <v>43311</v>
      </c>
      <c r="Q950" s="7">
        <f>IF(G950="C",NormalCallSprd(O950,H950,M950,(P950-A950)/365), NormalPutSprd(O950,H950,M950,(P950-A950)/365))</f>
        <v>0.38559180408461197</v>
      </c>
      <c r="R950" s="9">
        <f t="shared" si="29"/>
        <v>5.5918040846119621E-3</v>
      </c>
    </row>
    <row r="951" spans="1:18" x14ac:dyDescent="0.2">
      <c r="A951" s="2">
        <v>42622</v>
      </c>
      <c r="B951" s="1" t="s">
        <v>13</v>
      </c>
      <c r="C951" s="1" t="s">
        <v>14</v>
      </c>
      <c r="D951" s="2">
        <v>43109</v>
      </c>
      <c r="E951" s="2">
        <f t="shared" si="28"/>
        <v>43344</v>
      </c>
      <c r="F951" s="1" t="s">
        <v>15</v>
      </c>
      <c r="G951" s="1" t="s">
        <v>18</v>
      </c>
      <c r="H951" s="1">
        <v>-0.35</v>
      </c>
      <c r="I951" s="1">
        <v>0.18</v>
      </c>
      <c r="J951" s="1">
        <v>0</v>
      </c>
      <c r="K951" s="1" t="s">
        <v>54</v>
      </c>
      <c r="L951" s="1">
        <v>2389</v>
      </c>
      <c r="M951" s="1">
        <v>0.5</v>
      </c>
      <c r="N951" s="1">
        <v>-1.9000000000000001E-4</v>
      </c>
      <c r="O951" s="1">
        <f>VLOOKUP(D951,underlying!$D$2:$H$75,5,FALSE)</f>
        <v>-0.15</v>
      </c>
      <c r="P951" s="2">
        <f>VLOOKUP(D951,underlying!$D$2:$L$39,9,FALSE)</f>
        <v>43311</v>
      </c>
      <c r="Q951" s="7">
        <f>IF(G951="C",NormalCallSprd(O951,H951,M951,(P951-A951)/365), NormalPutSprd(O951,H951,M951,(P951-A951)/365))</f>
        <v>0.18559180408461198</v>
      </c>
      <c r="R951" s="9">
        <f t="shared" si="29"/>
        <v>5.5918040846119899E-3</v>
      </c>
    </row>
    <row r="952" spans="1:18" x14ac:dyDescent="0.2">
      <c r="A952" s="2">
        <v>42622</v>
      </c>
      <c r="B952" s="1" t="s">
        <v>13</v>
      </c>
      <c r="C952" s="1" t="s">
        <v>14</v>
      </c>
      <c r="D952" s="2">
        <v>43109</v>
      </c>
      <c r="E952" s="2">
        <f t="shared" si="28"/>
        <v>43344</v>
      </c>
      <c r="F952" s="1" t="s">
        <v>15</v>
      </c>
      <c r="G952" s="1" t="s">
        <v>16</v>
      </c>
      <c r="H952" s="1">
        <v>-0.3</v>
      </c>
      <c r="I952" s="1">
        <v>0.35</v>
      </c>
      <c r="J952" s="1">
        <v>-0.01</v>
      </c>
      <c r="K952" s="1" t="s">
        <v>54</v>
      </c>
      <c r="L952" s="1">
        <v>2389</v>
      </c>
      <c r="M952" s="1">
        <v>0.5</v>
      </c>
      <c r="N952" s="1">
        <v>0.39016000000000001</v>
      </c>
      <c r="O952" s="1">
        <f>VLOOKUP(D952,underlying!$D$2:$H$75,5,FALSE)</f>
        <v>-0.15</v>
      </c>
      <c r="P952" s="2">
        <f>VLOOKUP(D952,underlying!$D$2:$L$39,9,FALSE)</f>
        <v>43311</v>
      </c>
      <c r="Q952" s="7">
        <f>IF(G952="C",NormalCallSprd(O952,H952,M952,(P952-A952)/365), NormalPutSprd(O952,H952,M952,(P952-A952)/365))</f>
        <v>0.35556590022299783</v>
      </c>
      <c r="R952" s="9">
        <f t="shared" si="29"/>
        <v>5.5659002229978549E-3</v>
      </c>
    </row>
    <row r="953" spans="1:18" x14ac:dyDescent="0.2">
      <c r="A953" s="2">
        <v>42622</v>
      </c>
      <c r="B953" s="1" t="s">
        <v>13</v>
      </c>
      <c r="C953" s="1" t="s">
        <v>14</v>
      </c>
      <c r="D953" s="2">
        <v>43109</v>
      </c>
      <c r="E953" s="2">
        <f t="shared" si="28"/>
        <v>43344</v>
      </c>
      <c r="F953" s="1" t="s">
        <v>15</v>
      </c>
      <c r="G953" s="1" t="s">
        <v>18</v>
      </c>
      <c r="H953" s="1">
        <v>-0.3</v>
      </c>
      <c r="I953" s="1">
        <v>0.2</v>
      </c>
      <c r="J953" s="1">
        <v>0</v>
      </c>
      <c r="K953" s="1" t="s">
        <v>54</v>
      </c>
      <c r="L953" s="1">
        <v>2389</v>
      </c>
      <c r="M953" s="1">
        <v>0.5</v>
      </c>
      <c r="N953" s="1">
        <v>0.41916999999999999</v>
      </c>
      <c r="O953" s="1">
        <f>VLOOKUP(D953,underlying!$D$2:$H$75,5,FALSE)</f>
        <v>-0.15</v>
      </c>
      <c r="P953" s="2">
        <f>VLOOKUP(D953,underlying!$D$2:$L$39,9,FALSE)</f>
        <v>43311</v>
      </c>
      <c r="Q953" s="7">
        <f>IF(G953="C",NormalCallSprd(O953,H953,M953,(P953-A953)/365), NormalPutSprd(O953,H953,M953,(P953-A953)/365))</f>
        <v>0.20556590022299781</v>
      </c>
      <c r="R953" s="9">
        <f t="shared" si="29"/>
        <v>5.5659002229977994E-3</v>
      </c>
    </row>
    <row r="954" spans="1:18" x14ac:dyDescent="0.2">
      <c r="A954" s="2">
        <v>42622</v>
      </c>
      <c r="B954" s="1" t="s">
        <v>13</v>
      </c>
      <c r="C954" s="1" t="s">
        <v>14</v>
      </c>
      <c r="D954" s="2">
        <v>43109</v>
      </c>
      <c r="E954" s="2">
        <f t="shared" si="28"/>
        <v>43344</v>
      </c>
      <c r="F954" s="1" t="s">
        <v>15</v>
      </c>
      <c r="G954" s="1" t="s">
        <v>16</v>
      </c>
      <c r="H954" s="1">
        <v>-0.25</v>
      </c>
      <c r="I954" s="1">
        <v>0.32</v>
      </c>
      <c r="J954" s="1">
        <v>-0.01</v>
      </c>
      <c r="K954" s="1" t="s">
        <v>54</v>
      </c>
      <c r="L954" s="1">
        <v>2389</v>
      </c>
      <c r="M954" s="1">
        <v>0.5</v>
      </c>
      <c r="N954" s="1">
        <v>0.44819999999999999</v>
      </c>
      <c r="O954" s="1">
        <f>VLOOKUP(D954,underlying!$D$2:$H$75,5,FALSE)</f>
        <v>-0.15</v>
      </c>
      <c r="P954" s="2">
        <f>VLOOKUP(D954,underlying!$D$2:$L$39,9,FALSE)</f>
        <v>43311</v>
      </c>
      <c r="Q954" s="7">
        <f>IF(G954="C",NormalCallSprd(O954,H954,M954,(P954-A954)/365), NormalPutSprd(O954,H954,M954,(P954-A954)/365))</f>
        <v>0.32695703359074996</v>
      </c>
      <c r="R954" s="9">
        <f t="shared" si="29"/>
        <v>6.9570335907499503E-3</v>
      </c>
    </row>
    <row r="955" spans="1:18" x14ac:dyDescent="0.2">
      <c r="A955" s="2">
        <v>42622</v>
      </c>
      <c r="B955" s="1" t="s">
        <v>13</v>
      </c>
      <c r="C955" s="1" t="s">
        <v>14</v>
      </c>
      <c r="D955" s="2">
        <v>43109</v>
      </c>
      <c r="E955" s="2">
        <f t="shared" si="28"/>
        <v>43344</v>
      </c>
      <c r="F955" s="1" t="s">
        <v>15</v>
      </c>
      <c r="G955" s="1" t="s">
        <v>18</v>
      </c>
      <c r="H955" s="1">
        <v>-0.25</v>
      </c>
      <c r="I955" s="1">
        <v>0.22</v>
      </c>
      <c r="J955" s="1">
        <v>0</v>
      </c>
      <c r="K955" s="1" t="s">
        <v>54</v>
      </c>
      <c r="L955" s="1">
        <v>2389</v>
      </c>
      <c r="M955" s="1">
        <v>0.5</v>
      </c>
      <c r="N955" s="1">
        <v>0.47749999999999998</v>
      </c>
      <c r="O955" s="1">
        <f>VLOOKUP(D955,underlying!$D$2:$H$75,5,FALSE)</f>
        <v>-0.15</v>
      </c>
      <c r="P955" s="2">
        <f>VLOOKUP(D955,underlying!$D$2:$L$39,9,FALSE)</f>
        <v>43311</v>
      </c>
      <c r="Q955" s="7">
        <f>IF(G955="C",NormalCallSprd(O955,H955,M955,(P955-A955)/365), NormalPutSprd(O955,H955,M955,(P955-A955)/365))</f>
        <v>0.22695703359074992</v>
      </c>
      <c r="R955" s="9">
        <f t="shared" si="29"/>
        <v>6.9570335907499226E-3</v>
      </c>
    </row>
    <row r="956" spans="1:18" x14ac:dyDescent="0.2">
      <c r="A956" s="2">
        <v>42622</v>
      </c>
      <c r="B956" s="1" t="s">
        <v>13</v>
      </c>
      <c r="C956" s="1" t="s">
        <v>14</v>
      </c>
      <c r="D956" s="2">
        <v>43109</v>
      </c>
      <c r="E956" s="2">
        <f t="shared" si="28"/>
        <v>43344</v>
      </c>
      <c r="F956" s="1" t="s">
        <v>15</v>
      </c>
      <c r="G956" s="1" t="s">
        <v>16</v>
      </c>
      <c r="H956" s="1">
        <v>-0.2</v>
      </c>
      <c r="I956" s="1">
        <v>0.28999999999999998</v>
      </c>
      <c r="J956" s="1">
        <v>-0.01</v>
      </c>
      <c r="K956" s="1" t="s">
        <v>54</v>
      </c>
      <c r="L956" s="1">
        <v>2389</v>
      </c>
      <c r="M956" s="1">
        <v>0.49</v>
      </c>
      <c r="N956" s="1">
        <v>0.50671999999999995</v>
      </c>
      <c r="O956" s="1">
        <f>VLOOKUP(D956,underlying!$D$2:$H$75,5,FALSE)</f>
        <v>-0.15</v>
      </c>
      <c r="P956" s="2">
        <f>VLOOKUP(D956,underlying!$D$2:$L$39,9,FALSE)</f>
        <v>43311</v>
      </c>
      <c r="Q956" s="7">
        <f>IF(G956="C",NormalCallSprd(O956,H956,M956,(P956-A956)/365), NormalPutSprd(O956,H956,M956,(P956-A956)/365))</f>
        <v>0.29431770420603987</v>
      </c>
      <c r="R956" s="9">
        <f t="shared" si="29"/>
        <v>4.3177042060398851E-3</v>
      </c>
    </row>
    <row r="957" spans="1:18" x14ac:dyDescent="0.2">
      <c r="A957" s="2">
        <v>42622</v>
      </c>
      <c r="B957" s="1" t="s">
        <v>13</v>
      </c>
      <c r="C957" s="1" t="s">
        <v>14</v>
      </c>
      <c r="D957" s="2">
        <v>43109</v>
      </c>
      <c r="E957" s="2">
        <f t="shared" si="28"/>
        <v>43344</v>
      </c>
      <c r="F957" s="1" t="s">
        <v>15</v>
      </c>
      <c r="G957" s="1" t="s">
        <v>18</v>
      </c>
      <c r="H957" s="1">
        <v>-0.2</v>
      </c>
      <c r="I957" s="1">
        <v>0.24</v>
      </c>
      <c r="J957" s="1">
        <v>0</v>
      </c>
      <c r="K957" s="1" t="s">
        <v>54</v>
      </c>
      <c r="L957" s="1">
        <v>2389</v>
      </c>
      <c r="M957" s="1">
        <v>0.49</v>
      </c>
      <c r="N957" s="1">
        <v>0.53547999999999996</v>
      </c>
      <c r="O957" s="1">
        <f>VLOOKUP(D957,underlying!$D$2:$H$75,5,FALSE)</f>
        <v>-0.15</v>
      </c>
      <c r="P957" s="2">
        <f>VLOOKUP(D957,underlying!$D$2:$L$39,9,FALSE)</f>
        <v>43311</v>
      </c>
      <c r="Q957" s="7">
        <f>IF(G957="C",NormalCallSprd(O957,H957,M957,(P957-A957)/365), NormalPutSprd(O957,H957,M957,(P957-A957)/365))</f>
        <v>0.24431770420603982</v>
      </c>
      <c r="R957" s="9">
        <f t="shared" si="29"/>
        <v>4.3177042060398296E-3</v>
      </c>
    </row>
    <row r="958" spans="1:18" x14ac:dyDescent="0.2">
      <c r="A958" s="2">
        <v>42622</v>
      </c>
      <c r="B958" s="1" t="s">
        <v>13</v>
      </c>
      <c r="C958" s="1" t="s">
        <v>14</v>
      </c>
      <c r="D958" s="2">
        <v>43109</v>
      </c>
      <c r="E958" s="2">
        <f t="shared" si="28"/>
        <v>43344</v>
      </c>
      <c r="F958" s="1" t="s">
        <v>15</v>
      </c>
      <c r="G958" s="1" t="s">
        <v>16</v>
      </c>
      <c r="H958" s="1">
        <v>-0.15</v>
      </c>
      <c r="I958" s="1">
        <v>0.26</v>
      </c>
      <c r="J958" s="1">
        <v>-0.01</v>
      </c>
      <c r="K958" s="1" t="s">
        <v>54</v>
      </c>
      <c r="L958" s="1">
        <v>2389</v>
      </c>
      <c r="M958" s="1">
        <v>0.48</v>
      </c>
      <c r="N958" s="1">
        <v>0.56406000000000001</v>
      </c>
      <c r="O958" s="1">
        <f>VLOOKUP(D958,underlying!$D$2:$H$75,5,FALSE)</f>
        <v>-0.15</v>
      </c>
      <c r="P958" s="2">
        <f>VLOOKUP(D958,underlying!$D$2:$L$39,9,FALSE)</f>
        <v>43311</v>
      </c>
      <c r="Q958" s="7">
        <f>IF(G958="C",NormalCallSprd(O958,H958,M958,(P958-A958)/365), NormalPutSprd(O958,H958,M958,(P958-A958)/365))</f>
        <v>0.2630961433418193</v>
      </c>
      <c r="R958" s="9">
        <f t="shared" si="29"/>
        <v>3.0961433418192907E-3</v>
      </c>
    </row>
    <row r="959" spans="1:18" x14ac:dyDescent="0.2">
      <c r="A959" s="2">
        <v>42622</v>
      </c>
      <c r="B959" s="1" t="s">
        <v>13</v>
      </c>
      <c r="C959" s="1" t="s">
        <v>14</v>
      </c>
      <c r="D959" s="2">
        <v>43109</v>
      </c>
      <c r="E959" s="2">
        <f t="shared" si="28"/>
        <v>43344</v>
      </c>
      <c r="F959" s="1" t="s">
        <v>15</v>
      </c>
      <c r="G959" s="1" t="s">
        <v>18</v>
      </c>
      <c r="H959" s="1">
        <v>-0.15</v>
      </c>
      <c r="I959" s="1">
        <v>0.26</v>
      </c>
      <c r="J959" s="1">
        <v>0</v>
      </c>
      <c r="K959" s="1" t="s">
        <v>54</v>
      </c>
      <c r="L959" s="1">
        <v>2389</v>
      </c>
      <c r="M959" s="1">
        <v>0.48</v>
      </c>
      <c r="N959" s="1">
        <v>0.59091000000000005</v>
      </c>
      <c r="O959" s="1">
        <f>VLOOKUP(D959,underlying!$D$2:$H$75,5,FALSE)</f>
        <v>-0.15</v>
      </c>
      <c r="P959" s="2">
        <f>VLOOKUP(D959,underlying!$D$2:$L$39,9,FALSE)</f>
        <v>43311</v>
      </c>
      <c r="Q959" s="7">
        <f>IF(G959="C",NormalCallSprd(O959,H959,M959,(P959-A959)/365), NormalPutSprd(O959,H959,M959,(P959-A959)/365))</f>
        <v>0.2630961433418193</v>
      </c>
      <c r="R959" s="9">
        <f t="shared" si="29"/>
        <v>3.0961433418192907E-3</v>
      </c>
    </row>
    <row r="960" spans="1:18" x14ac:dyDescent="0.2">
      <c r="A960" s="2">
        <v>42622</v>
      </c>
      <c r="B960" s="1" t="s">
        <v>13</v>
      </c>
      <c r="C960" s="1" t="s">
        <v>14</v>
      </c>
      <c r="D960" s="2">
        <v>43109</v>
      </c>
      <c r="E960" s="2">
        <f t="shared" si="28"/>
        <v>43344</v>
      </c>
      <c r="F960" s="1" t="s">
        <v>15</v>
      </c>
      <c r="G960" s="1" t="s">
        <v>16</v>
      </c>
      <c r="H960" s="1">
        <v>-0.1</v>
      </c>
      <c r="I960" s="1">
        <v>0.24</v>
      </c>
      <c r="J960" s="1">
        <v>0</v>
      </c>
      <c r="K960" s="1" t="s">
        <v>54</v>
      </c>
      <c r="L960" s="1">
        <v>2389</v>
      </c>
      <c r="M960" s="1">
        <v>0.48</v>
      </c>
      <c r="N960" s="1">
        <v>0.61783999999999994</v>
      </c>
      <c r="O960" s="1">
        <f>VLOOKUP(D960,underlying!$D$2:$H$75,5,FALSE)</f>
        <v>-0.15</v>
      </c>
      <c r="P960" s="2">
        <f>VLOOKUP(D960,underlying!$D$2:$L$39,9,FALSE)</f>
        <v>43311</v>
      </c>
      <c r="Q960" s="7">
        <f>IF(G960="C",NormalCallSprd(O960,H960,M960,(P960-A960)/365), NormalPutSprd(O960,H960,M960,(P960-A960)/365))</f>
        <v>0.2388519447530601</v>
      </c>
      <c r="R960" s="9">
        <f t="shared" si="29"/>
        <v>1.1480552469398941E-3</v>
      </c>
    </row>
    <row r="961" spans="1:18" x14ac:dyDescent="0.2">
      <c r="A961" s="2">
        <v>42622</v>
      </c>
      <c r="B961" s="1" t="s">
        <v>13</v>
      </c>
      <c r="C961" s="1" t="s">
        <v>14</v>
      </c>
      <c r="D961" s="2">
        <v>43109</v>
      </c>
      <c r="E961" s="2">
        <f t="shared" si="28"/>
        <v>43344</v>
      </c>
      <c r="F961" s="1" t="s">
        <v>15</v>
      </c>
      <c r="G961" s="1" t="s">
        <v>18</v>
      </c>
      <c r="H961" s="1">
        <v>-0.1</v>
      </c>
      <c r="I961" s="1">
        <v>0.28999999999999998</v>
      </c>
      <c r="J961" s="1">
        <v>0.01</v>
      </c>
      <c r="K961" s="1" t="s">
        <v>54</v>
      </c>
      <c r="L961" s="1">
        <v>2389</v>
      </c>
      <c r="M961" s="1">
        <v>0.48</v>
      </c>
      <c r="N961" s="1">
        <v>0.64248000000000005</v>
      </c>
      <c r="O961" s="1">
        <f>VLOOKUP(D961,underlying!$D$2:$H$75,5,FALSE)</f>
        <v>-0.15</v>
      </c>
      <c r="P961" s="2">
        <f>VLOOKUP(D961,underlying!$D$2:$L$39,9,FALSE)</f>
        <v>43311</v>
      </c>
      <c r="Q961" s="7">
        <f>IF(G961="C",NormalCallSprd(O961,H961,M961,(P961-A961)/365), NormalPutSprd(O961,H961,M961,(P961-A961)/365))</f>
        <v>0.28885194475306009</v>
      </c>
      <c r="R961" s="9">
        <f t="shared" si="29"/>
        <v>1.1480552469398941E-3</v>
      </c>
    </row>
    <row r="962" spans="1:18" x14ac:dyDescent="0.2">
      <c r="A962" s="2">
        <v>42622</v>
      </c>
      <c r="B962" s="1" t="s">
        <v>13</v>
      </c>
      <c r="C962" s="1" t="s">
        <v>14</v>
      </c>
      <c r="D962" s="2">
        <v>43109</v>
      </c>
      <c r="E962" s="2">
        <f t="shared" ref="E962:E1025" si="30">DATE(YEAR(D962),DAY(D962),MONTH(D962))</f>
        <v>43344</v>
      </c>
      <c r="F962" s="1" t="s">
        <v>15</v>
      </c>
      <c r="G962" s="1" t="s">
        <v>16</v>
      </c>
      <c r="H962" s="1">
        <v>-0.05</v>
      </c>
      <c r="I962" s="1">
        <v>0.21</v>
      </c>
      <c r="J962" s="1">
        <v>-0.01</v>
      </c>
      <c r="K962" s="1" t="s">
        <v>54</v>
      </c>
      <c r="L962" s="1">
        <v>2389</v>
      </c>
      <c r="M962" s="1">
        <v>0.48</v>
      </c>
      <c r="N962" s="1">
        <v>0.66752999999999996</v>
      </c>
      <c r="O962" s="1">
        <f>VLOOKUP(D962,underlying!$D$2:$H$75,5,FALSE)</f>
        <v>-0.15</v>
      </c>
      <c r="P962" s="2">
        <f>VLOOKUP(D962,underlying!$D$2:$L$39,9,FALSE)</f>
        <v>43311</v>
      </c>
      <c r="Q962" s="7">
        <f>IF(G962="C",NormalCallSprd(O962,H962,M962,(P962-A962)/365), NormalPutSprd(O962,H962,M962,(P962-A962)/365))</f>
        <v>0.2161150148807528</v>
      </c>
      <c r="R962" s="9">
        <f t="shared" si="29"/>
        <v>6.115014880752806E-3</v>
      </c>
    </row>
    <row r="963" spans="1:18" x14ac:dyDescent="0.2">
      <c r="A963" s="2">
        <v>42622</v>
      </c>
      <c r="B963" s="1" t="s">
        <v>13</v>
      </c>
      <c r="C963" s="1" t="s">
        <v>14</v>
      </c>
      <c r="D963" s="2">
        <v>43109</v>
      </c>
      <c r="E963" s="2">
        <f t="shared" si="30"/>
        <v>43344</v>
      </c>
      <c r="F963" s="1" t="s">
        <v>15</v>
      </c>
      <c r="G963" s="1" t="s">
        <v>18</v>
      </c>
      <c r="H963" s="1">
        <v>-0.05</v>
      </c>
      <c r="I963" s="1">
        <v>0.31</v>
      </c>
      <c r="J963" s="1">
        <v>0</v>
      </c>
      <c r="K963" s="1" t="s">
        <v>54</v>
      </c>
      <c r="L963" s="1">
        <v>2389</v>
      </c>
      <c r="M963" s="1">
        <v>0.48</v>
      </c>
      <c r="N963" s="1">
        <v>0.68976999999999999</v>
      </c>
      <c r="O963" s="1">
        <f>VLOOKUP(D963,underlying!$D$2:$H$75,5,FALSE)</f>
        <v>-0.15</v>
      </c>
      <c r="P963" s="2">
        <f>VLOOKUP(D963,underlying!$D$2:$L$39,9,FALSE)</f>
        <v>43311</v>
      </c>
      <c r="Q963" s="7">
        <f>IF(G963="C",NormalCallSprd(O963,H963,M963,(P963-A963)/365), NormalPutSprd(O963,H963,M963,(P963-A963)/365))</f>
        <v>0.31611501488075278</v>
      </c>
      <c r="R963" s="9">
        <f t="shared" ref="R963:R1026" si="31">ABS(Q963-I963)</f>
        <v>6.1150148807527782E-3</v>
      </c>
    </row>
    <row r="964" spans="1:18" x14ac:dyDescent="0.2">
      <c r="A964" s="2">
        <v>42622</v>
      </c>
      <c r="B964" s="1" t="s">
        <v>13</v>
      </c>
      <c r="C964" s="1" t="s">
        <v>14</v>
      </c>
      <c r="D964" s="2">
        <v>43110</v>
      </c>
      <c r="E964" s="2">
        <f t="shared" si="30"/>
        <v>43374</v>
      </c>
      <c r="F964" s="1" t="s">
        <v>15</v>
      </c>
      <c r="G964" s="1" t="s">
        <v>16</v>
      </c>
      <c r="H964" s="1">
        <v>-20</v>
      </c>
      <c r="I964" s="1">
        <v>19.61</v>
      </c>
      <c r="J964" s="1">
        <v>-0.01</v>
      </c>
      <c r="K964" s="1" t="s">
        <v>19</v>
      </c>
      <c r="L964" s="1">
        <v>2389</v>
      </c>
      <c r="M964" s="1">
        <v>0.85</v>
      </c>
      <c r="N964" s="1">
        <v>0.71272000000000002</v>
      </c>
      <c r="O964" s="1">
        <f>VLOOKUP(D964,underlying!$D$2:$H$75,5,FALSE)</f>
        <v>-0.13</v>
      </c>
      <c r="P964" s="2">
        <f>VLOOKUP(D964,underlying!$D$2:$L$39,9,FALSE)</f>
        <v>43342</v>
      </c>
      <c r="Q964" s="7">
        <f>IF(G964="C",NormalCallSprd(O964,H964,M964,(P964-A964)/365), NormalPutSprd(O964,H964,M964,(P964-A964)/365))</f>
        <v>19.87</v>
      </c>
      <c r="R964" s="9">
        <f t="shared" si="31"/>
        <v>0.26000000000000156</v>
      </c>
    </row>
    <row r="965" spans="1:18" x14ac:dyDescent="0.2">
      <c r="A965" s="2">
        <v>42622</v>
      </c>
      <c r="B965" s="1" t="s">
        <v>13</v>
      </c>
      <c r="C965" s="1" t="s">
        <v>14</v>
      </c>
      <c r="D965" s="2">
        <v>43110</v>
      </c>
      <c r="E965" s="2">
        <f t="shared" si="30"/>
        <v>43374</v>
      </c>
      <c r="F965" s="1" t="s">
        <v>15</v>
      </c>
      <c r="G965" s="1" t="s">
        <v>18</v>
      </c>
      <c r="H965" s="1">
        <v>-20</v>
      </c>
      <c r="I965" s="1">
        <v>0.01</v>
      </c>
      <c r="J965" s="1">
        <v>0</v>
      </c>
      <c r="K965" s="1" t="s">
        <v>19</v>
      </c>
      <c r="L965" s="1">
        <v>2389</v>
      </c>
      <c r="M965" s="1">
        <v>0.85</v>
      </c>
      <c r="N965" s="1">
        <v>0.73250999999999999</v>
      </c>
      <c r="O965" s="1">
        <f>VLOOKUP(D965,underlying!$D$2:$H$75,5,FALSE)</f>
        <v>-0.13</v>
      </c>
      <c r="P965" s="2">
        <f>VLOOKUP(D965,underlying!$D$2:$L$39,9,FALSE)</f>
        <v>43342</v>
      </c>
      <c r="Q965" s="7">
        <f>IF(G965="C",NormalCallSprd(O965,H965,M965,(P965-A965)/365), NormalPutSprd(O965,H965,M965,(P965-A965)/365))</f>
        <v>1.1900625170589678E-63</v>
      </c>
      <c r="R965" s="9">
        <f t="shared" si="31"/>
        <v>0.01</v>
      </c>
    </row>
    <row r="966" spans="1:18" x14ac:dyDescent="0.2">
      <c r="A966" s="2">
        <v>42622</v>
      </c>
      <c r="B966" s="1" t="s">
        <v>13</v>
      </c>
      <c r="C966" s="1" t="s">
        <v>14</v>
      </c>
      <c r="D966" s="2">
        <v>43110</v>
      </c>
      <c r="E966" s="2">
        <f t="shared" si="30"/>
        <v>43374</v>
      </c>
      <c r="F966" s="1" t="s">
        <v>15</v>
      </c>
      <c r="G966" s="1" t="s">
        <v>16</v>
      </c>
      <c r="H966" s="1">
        <v>-3</v>
      </c>
      <c r="I966" s="1">
        <v>2.84</v>
      </c>
      <c r="J966" s="1">
        <v>0</v>
      </c>
      <c r="K966" s="1" t="s">
        <v>19</v>
      </c>
      <c r="L966" s="1">
        <v>2389</v>
      </c>
      <c r="M966" s="1">
        <v>0.85</v>
      </c>
      <c r="N966" s="1">
        <v>0.75031999999999999</v>
      </c>
      <c r="O966" s="1">
        <f>VLOOKUP(D966,underlying!$D$2:$H$75,5,FALSE)</f>
        <v>-0.13</v>
      </c>
      <c r="P966" s="2">
        <f>VLOOKUP(D966,underlying!$D$2:$L$39,9,FALSE)</f>
        <v>43342</v>
      </c>
      <c r="Q966" s="7">
        <f>IF(G966="C",NormalCallSprd(O966,H966,M966,(P966-A966)/365), NormalPutSprd(O966,H966,M966,(P966-A966)/365))</f>
        <v>2.8732083217143827</v>
      </c>
      <c r="R966" s="9">
        <f t="shared" si="31"/>
        <v>3.3208321714382816E-2</v>
      </c>
    </row>
    <row r="967" spans="1:18" x14ac:dyDescent="0.2">
      <c r="A967" s="2">
        <v>42622</v>
      </c>
      <c r="B967" s="1" t="s">
        <v>13</v>
      </c>
      <c r="C967" s="1" t="s">
        <v>14</v>
      </c>
      <c r="D967" s="2">
        <v>43110</v>
      </c>
      <c r="E967" s="2">
        <f t="shared" si="30"/>
        <v>43374</v>
      </c>
      <c r="F967" s="1" t="s">
        <v>15</v>
      </c>
      <c r="G967" s="1" t="s">
        <v>18</v>
      </c>
      <c r="H967" s="1">
        <v>-3</v>
      </c>
      <c r="I967" s="1">
        <v>0.01</v>
      </c>
      <c r="J967" s="1">
        <v>0</v>
      </c>
      <c r="K967" s="1" t="s">
        <v>19</v>
      </c>
      <c r="L967" s="1">
        <v>2389</v>
      </c>
      <c r="M967" s="1">
        <v>0.85</v>
      </c>
      <c r="N967" s="1">
        <v>0.82215000000000005</v>
      </c>
      <c r="O967" s="1">
        <f>VLOOKUP(D967,underlying!$D$2:$H$75,5,FALSE)</f>
        <v>-0.13</v>
      </c>
      <c r="P967" s="2">
        <f>VLOOKUP(D967,underlying!$D$2:$L$39,9,FALSE)</f>
        <v>43342</v>
      </c>
      <c r="Q967" s="7">
        <f>IF(G967="C",NormalCallSprd(O967,H967,M967,(P967-A967)/365), NormalPutSprd(O967,H967,M967,(P967-A967)/365))</f>
        <v>3.208321714382502E-3</v>
      </c>
      <c r="R967" s="9">
        <f t="shared" si="31"/>
        <v>6.7916782856174982E-3</v>
      </c>
    </row>
    <row r="968" spans="1:18" x14ac:dyDescent="0.2">
      <c r="A968" s="2">
        <v>42622</v>
      </c>
      <c r="B968" s="1" t="s">
        <v>13</v>
      </c>
      <c r="C968" s="1" t="s">
        <v>14</v>
      </c>
      <c r="D968" s="2">
        <v>43110</v>
      </c>
      <c r="E968" s="2">
        <f t="shared" si="30"/>
        <v>43374</v>
      </c>
      <c r="F968" s="1" t="s">
        <v>15</v>
      </c>
      <c r="G968" s="1" t="s">
        <v>16</v>
      </c>
      <c r="H968" s="1">
        <v>-2</v>
      </c>
      <c r="I968" s="1">
        <v>1.86</v>
      </c>
      <c r="J968" s="1">
        <v>0</v>
      </c>
      <c r="K968" s="1" t="s">
        <v>19</v>
      </c>
      <c r="L968" s="1">
        <v>2389</v>
      </c>
      <c r="M968" s="1">
        <v>0.71</v>
      </c>
      <c r="N968" s="1">
        <v>0.99026999999999998</v>
      </c>
      <c r="O968" s="1">
        <f>VLOOKUP(D968,underlying!$D$2:$H$75,5,FALSE)</f>
        <v>-0.13</v>
      </c>
      <c r="P968" s="2">
        <f>VLOOKUP(D968,underlying!$D$2:$L$39,9,FALSE)</f>
        <v>43342</v>
      </c>
      <c r="Q968" s="7">
        <f>IF(G968="C",NormalCallSprd(O968,H968,M968,(P968-A968)/365), NormalPutSprd(O968,H968,M968,(P968-A968)/365))</f>
        <v>1.8817518318523063</v>
      </c>
      <c r="R968" s="9">
        <f t="shared" si="31"/>
        <v>2.1751831852306225E-2</v>
      </c>
    </row>
    <row r="969" spans="1:18" x14ac:dyDescent="0.2">
      <c r="A969" s="2">
        <v>42622</v>
      </c>
      <c r="B969" s="1" t="s">
        <v>13</v>
      </c>
      <c r="C969" s="1" t="s">
        <v>14</v>
      </c>
      <c r="D969" s="2">
        <v>43110</v>
      </c>
      <c r="E969" s="2">
        <f t="shared" si="30"/>
        <v>43374</v>
      </c>
      <c r="F969" s="1" t="s">
        <v>15</v>
      </c>
      <c r="G969" s="1" t="s">
        <v>18</v>
      </c>
      <c r="H969" s="1">
        <v>-2</v>
      </c>
      <c r="I969" s="1">
        <v>0.01</v>
      </c>
      <c r="J969" s="1">
        <v>0</v>
      </c>
      <c r="K969" s="1" t="s">
        <v>19</v>
      </c>
      <c r="L969" s="1">
        <v>2389</v>
      </c>
      <c r="M969" s="1">
        <v>0.71</v>
      </c>
      <c r="N969" s="1">
        <v>0.95143</v>
      </c>
      <c r="O969" s="1">
        <f>VLOOKUP(D969,underlying!$D$2:$H$75,5,FALSE)</f>
        <v>-0.13</v>
      </c>
      <c r="P969" s="2">
        <f>VLOOKUP(D969,underlying!$D$2:$L$39,9,FALSE)</f>
        <v>43342</v>
      </c>
      <c r="Q969" s="7">
        <f>IF(G969="C",NormalCallSprd(O969,H969,M969,(P969-A969)/365), NormalPutSprd(O969,H969,M969,(P969-A969)/365))</f>
        <v>1.1751831852306291E-2</v>
      </c>
      <c r="R969" s="9">
        <f t="shared" si="31"/>
        <v>1.7518318523062903E-3</v>
      </c>
    </row>
    <row r="970" spans="1:18" x14ac:dyDescent="0.2">
      <c r="A970" s="2">
        <v>42622</v>
      </c>
      <c r="B970" s="1" t="s">
        <v>13</v>
      </c>
      <c r="C970" s="1" t="s">
        <v>14</v>
      </c>
      <c r="D970" s="2">
        <v>43110</v>
      </c>
      <c r="E970" s="2">
        <f t="shared" si="30"/>
        <v>43374</v>
      </c>
      <c r="F970" s="1" t="s">
        <v>15</v>
      </c>
      <c r="G970" s="1" t="s">
        <v>16</v>
      </c>
      <c r="H970" s="1">
        <v>-1</v>
      </c>
      <c r="I970" s="1">
        <v>0.92</v>
      </c>
      <c r="J970" s="1">
        <v>0</v>
      </c>
      <c r="K970" s="1" t="s">
        <v>19</v>
      </c>
      <c r="L970" s="1">
        <v>2389</v>
      </c>
      <c r="M970" s="1">
        <v>0.57999999999999996</v>
      </c>
      <c r="N970" s="1">
        <v>0.97962000000000005</v>
      </c>
      <c r="O970" s="1">
        <f>VLOOKUP(D970,underlying!$D$2:$H$75,5,FALSE)</f>
        <v>-0.13</v>
      </c>
      <c r="P970" s="2">
        <f>VLOOKUP(D970,underlying!$D$2:$L$39,9,FALSE)</f>
        <v>43342</v>
      </c>
      <c r="Q970" s="7">
        <f>IF(G970="C",NormalCallSprd(O970,H970,M970,(P970-A970)/365), NormalPutSprd(O970,H970,M970,(P970-A970)/365))</f>
        <v>0.92952622764578052</v>
      </c>
      <c r="R970" s="9">
        <f t="shared" si="31"/>
        <v>9.5262276457804829E-3</v>
      </c>
    </row>
    <row r="971" spans="1:18" x14ac:dyDescent="0.2">
      <c r="A971" s="2">
        <v>42622</v>
      </c>
      <c r="B971" s="1" t="s">
        <v>13</v>
      </c>
      <c r="C971" s="1" t="s">
        <v>14</v>
      </c>
      <c r="D971" s="2">
        <v>43110</v>
      </c>
      <c r="E971" s="2">
        <f t="shared" si="30"/>
        <v>43374</v>
      </c>
      <c r="F971" s="1" t="s">
        <v>15</v>
      </c>
      <c r="G971" s="1" t="s">
        <v>18</v>
      </c>
      <c r="H971" s="1">
        <v>-1</v>
      </c>
      <c r="I971" s="1">
        <v>0.06</v>
      </c>
      <c r="J971" s="1">
        <v>0</v>
      </c>
      <c r="K971" s="1" t="s">
        <v>19</v>
      </c>
      <c r="L971" s="1">
        <v>2389</v>
      </c>
      <c r="M971" s="1">
        <v>0.57999999999999996</v>
      </c>
      <c r="N971" s="1">
        <v>-0.60009999999999997</v>
      </c>
      <c r="O971" s="1">
        <f>VLOOKUP(D971,underlying!$D$2:$H$75,5,FALSE)</f>
        <v>-0.13</v>
      </c>
      <c r="P971" s="2">
        <f>VLOOKUP(D971,underlying!$D$2:$L$39,9,FALSE)</f>
        <v>43342</v>
      </c>
      <c r="Q971" s="7">
        <f>IF(G971="C",NormalCallSprd(O971,H971,M971,(P971-A971)/365), NormalPutSprd(O971,H971,M971,(P971-A971)/365))</f>
        <v>5.95262276457805E-2</v>
      </c>
      <c r="R971" s="9">
        <f t="shared" si="31"/>
        <v>4.7377235421949826E-4</v>
      </c>
    </row>
    <row r="972" spans="1:18" x14ac:dyDescent="0.2">
      <c r="A972" s="2">
        <v>42622</v>
      </c>
      <c r="B972" s="1" t="s">
        <v>13</v>
      </c>
      <c r="C972" s="1" t="s">
        <v>14</v>
      </c>
      <c r="D972" s="2">
        <v>43110</v>
      </c>
      <c r="E972" s="2">
        <f t="shared" si="30"/>
        <v>43374</v>
      </c>
      <c r="F972" s="1" t="s">
        <v>15</v>
      </c>
      <c r="G972" s="1" t="s">
        <v>16</v>
      </c>
      <c r="H972" s="1">
        <v>-0.65</v>
      </c>
      <c r="I972" s="1">
        <v>0.62</v>
      </c>
      <c r="J972" s="1">
        <v>0</v>
      </c>
      <c r="K972" s="1" t="s">
        <v>19</v>
      </c>
      <c r="L972" s="1">
        <v>2389</v>
      </c>
      <c r="M972" s="1">
        <v>0.53</v>
      </c>
      <c r="N972" s="1">
        <v>-0.57110000000000005</v>
      </c>
      <c r="O972" s="1">
        <f>VLOOKUP(D972,underlying!$D$2:$H$75,5,FALSE)</f>
        <v>-0.13</v>
      </c>
      <c r="P972" s="2">
        <f>VLOOKUP(D972,underlying!$D$2:$L$39,9,FALSE)</f>
        <v>43342</v>
      </c>
      <c r="Q972" s="7">
        <f>IF(G972="C",NormalCallSprd(O972,H972,M972,(P972-A972)/365), NormalPutSprd(O972,H972,M972,(P972-A972)/365))</f>
        <v>0.62661525234944304</v>
      </c>
      <c r="R972" s="9">
        <f t="shared" si="31"/>
        <v>6.615252349443046E-3</v>
      </c>
    </row>
    <row r="973" spans="1:18" x14ac:dyDescent="0.2">
      <c r="A973" s="2">
        <v>42622</v>
      </c>
      <c r="B973" s="1" t="s">
        <v>13</v>
      </c>
      <c r="C973" s="1" t="s">
        <v>14</v>
      </c>
      <c r="D973" s="2">
        <v>43110</v>
      </c>
      <c r="E973" s="2">
        <f t="shared" si="30"/>
        <v>43374</v>
      </c>
      <c r="F973" s="1" t="s">
        <v>15</v>
      </c>
      <c r="G973" s="1" t="s">
        <v>18</v>
      </c>
      <c r="H973" s="1">
        <v>-0.65</v>
      </c>
      <c r="I973" s="1">
        <v>0.11</v>
      </c>
      <c r="J973" s="1">
        <v>0</v>
      </c>
      <c r="K973" s="1" t="s">
        <v>19</v>
      </c>
      <c r="L973" s="1">
        <v>2389</v>
      </c>
      <c r="M973" s="1">
        <v>0.53</v>
      </c>
      <c r="N973" s="1">
        <v>-0.54205999999999999</v>
      </c>
      <c r="O973" s="1">
        <f>VLOOKUP(D973,underlying!$D$2:$H$75,5,FALSE)</f>
        <v>-0.13</v>
      </c>
      <c r="P973" s="2">
        <f>VLOOKUP(D973,underlying!$D$2:$L$39,9,FALSE)</f>
        <v>43342</v>
      </c>
      <c r="Q973" s="7">
        <f>IF(G973="C",NormalCallSprd(O973,H973,M973,(P973-A973)/365), NormalPutSprd(O973,H973,M973,(P973-A973)/365))</f>
        <v>0.10661525234944305</v>
      </c>
      <c r="R973" s="9">
        <f t="shared" si="31"/>
        <v>3.384747650556949E-3</v>
      </c>
    </row>
    <row r="974" spans="1:18" x14ac:dyDescent="0.2">
      <c r="A974" s="2">
        <v>42622</v>
      </c>
      <c r="B974" s="1" t="s">
        <v>13</v>
      </c>
      <c r="C974" s="1" t="s">
        <v>14</v>
      </c>
      <c r="D974" s="2">
        <v>43110</v>
      </c>
      <c r="E974" s="2">
        <f t="shared" si="30"/>
        <v>43374</v>
      </c>
      <c r="F974" s="1" t="s">
        <v>15</v>
      </c>
      <c r="G974" s="1" t="s">
        <v>16</v>
      </c>
      <c r="H974" s="1">
        <v>-0.6</v>
      </c>
      <c r="I974" s="1">
        <v>0.57999999999999996</v>
      </c>
      <c r="J974" s="1">
        <v>0</v>
      </c>
      <c r="K974" s="1" t="s">
        <v>19</v>
      </c>
      <c r="L974" s="1">
        <v>2389</v>
      </c>
      <c r="M974" s="1">
        <v>0.52</v>
      </c>
      <c r="N974" s="1">
        <v>-0.51276999999999995</v>
      </c>
      <c r="O974" s="1">
        <f>VLOOKUP(D974,underlying!$D$2:$H$75,5,FALSE)</f>
        <v>-0.13</v>
      </c>
      <c r="P974" s="2">
        <f>VLOOKUP(D974,underlying!$D$2:$L$39,9,FALSE)</f>
        <v>43342</v>
      </c>
      <c r="Q974" s="7">
        <f>IF(G974="C",NormalCallSprd(O974,H974,M974,(P974-A974)/365), NormalPutSprd(O974,H974,M974,(P974-A974)/365))</f>
        <v>0.58469584476041825</v>
      </c>
      <c r="R974" s="9">
        <f t="shared" si="31"/>
        <v>4.6958447604182885E-3</v>
      </c>
    </row>
    <row r="975" spans="1:18" x14ac:dyDescent="0.2">
      <c r="A975" s="2">
        <v>42622</v>
      </c>
      <c r="B975" s="1" t="s">
        <v>13</v>
      </c>
      <c r="C975" s="1" t="s">
        <v>14</v>
      </c>
      <c r="D975" s="2">
        <v>43110</v>
      </c>
      <c r="E975" s="2">
        <f t="shared" si="30"/>
        <v>43374</v>
      </c>
      <c r="F975" s="1" t="s">
        <v>15</v>
      </c>
      <c r="G975" s="1" t="s">
        <v>18</v>
      </c>
      <c r="H975" s="1">
        <v>-0.6</v>
      </c>
      <c r="I975" s="1">
        <v>0.11</v>
      </c>
      <c r="J975" s="1">
        <v>0</v>
      </c>
      <c r="K975" s="1" t="s">
        <v>19</v>
      </c>
      <c r="L975" s="1">
        <v>2389</v>
      </c>
      <c r="M975" s="1">
        <v>0.52</v>
      </c>
      <c r="N975" s="1">
        <v>-0.48354999999999998</v>
      </c>
      <c r="O975" s="1">
        <f>VLOOKUP(D975,underlying!$D$2:$H$75,5,FALSE)</f>
        <v>-0.13</v>
      </c>
      <c r="P975" s="2">
        <f>VLOOKUP(D975,underlying!$D$2:$L$39,9,FALSE)</f>
        <v>43342</v>
      </c>
      <c r="Q975" s="7">
        <f>IF(G975="C",NormalCallSprd(O975,H975,M975,(P975-A975)/365), NormalPutSprd(O975,H975,M975,(P975-A975)/365))</f>
        <v>0.11469584476041833</v>
      </c>
      <c r="R975" s="9">
        <f t="shared" si="31"/>
        <v>4.6958447604183301E-3</v>
      </c>
    </row>
    <row r="976" spans="1:18" x14ac:dyDescent="0.2">
      <c r="A976" s="2">
        <v>42622</v>
      </c>
      <c r="B976" s="1" t="s">
        <v>13</v>
      </c>
      <c r="C976" s="1" t="s">
        <v>14</v>
      </c>
      <c r="D976" s="2">
        <v>43110</v>
      </c>
      <c r="E976" s="2">
        <f t="shared" si="30"/>
        <v>43374</v>
      </c>
      <c r="F976" s="1" t="s">
        <v>15</v>
      </c>
      <c r="G976" s="1" t="s">
        <v>16</v>
      </c>
      <c r="H976" s="1">
        <v>-0.55000000000000004</v>
      </c>
      <c r="I976" s="1">
        <v>0.54</v>
      </c>
      <c r="J976" s="1">
        <v>0</v>
      </c>
      <c r="K976" s="1" t="s">
        <v>19</v>
      </c>
      <c r="L976" s="1">
        <v>2389</v>
      </c>
      <c r="M976" s="1">
        <v>0.51</v>
      </c>
      <c r="N976" s="1">
        <v>-0.45479000000000003</v>
      </c>
      <c r="O976" s="1">
        <f>VLOOKUP(D976,underlying!$D$2:$H$75,5,FALSE)</f>
        <v>-0.13</v>
      </c>
      <c r="P976" s="2">
        <f>VLOOKUP(D976,underlying!$D$2:$L$39,9,FALSE)</f>
        <v>43342</v>
      </c>
      <c r="Q976" s="7">
        <f>IF(G976="C",NormalCallSprd(O976,H976,M976,(P976-A976)/365), NormalPutSprd(O976,H976,M976,(P976-A976)/365))</f>
        <v>0.54352203441202718</v>
      </c>
      <c r="R976" s="9">
        <f t="shared" si="31"/>
        <v>3.5220344120271418E-3</v>
      </c>
    </row>
    <row r="977" spans="1:18" x14ac:dyDescent="0.2">
      <c r="A977" s="2">
        <v>42622</v>
      </c>
      <c r="B977" s="1" t="s">
        <v>13</v>
      </c>
      <c r="C977" s="1" t="s">
        <v>14</v>
      </c>
      <c r="D977" s="2">
        <v>43110</v>
      </c>
      <c r="E977" s="2">
        <f t="shared" si="30"/>
        <v>43374</v>
      </c>
      <c r="F977" s="1" t="s">
        <v>15</v>
      </c>
      <c r="G977" s="1" t="s">
        <v>18</v>
      </c>
      <c r="H977" s="1">
        <v>-0.55000000000000004</v>
      </c>
      <c r="I977" s="1">
        <v>0.12</v>
      </c>
      <c r="J977" s="1">
        <v>0</v>
      </c>
      <c r="K977" s="1" t="s">
        <v>19</v>
      </c>
      <c r="L977" s="1">
        <v>2389</v>
      </c>
      <c r="M977" s="1">
        <v>0.51</v>
      </c>
      <c r="N977" s="1">
        <v>-0.42620999999999998</v>
      </c>
      <c r="O977" s="1">
        <f>VLOOKUP(D977,underlying!$D$2:$H$75,5,FALSE)</f>
        <v>-0.13</v>
      </c>
      <c r="P977" s="2">
        <f>VLOOKUP(D977,underlying!$D$2:$L$39,9,FALSE)</f>
        <v>43342</v>
      </c>
      <c r="Q977" s="7">
        <f>IF(G977="C",NormalCallSprd(O977,H977,M977,(P977-A977)/365), NormalPutSprd(O977,H977,M977,(P977-A977)/365))</f>
        <v>0.12352203441202715</v>
      </c>
      <c r="R977" s="9">
        <f t="shared" si="31"/>
        <v>3.5220344120271557E-3</v>
      </c>
    </row>
    <row r="978" spans="1:18" x14ac:dyDescent="0.2">
      <c r="A978" s="2">
        <v>42622</v>
      </c>
      <c r="B978" s="1" t="s">
        <v>13</v>
      </c>
      <c r="C978" s="1" t="s">
        <v>14</v>
      </c>
      <c r="D978" s="2">
        <v>43110</v>
      </c>
      <c r="E978" s="2">
        <f t="shared" si="30"/>
        <v>43374</v>
      </c>
      <c r="F978" s="1" t="s">
        <v>15</v>
      </c>
      <c r="G978" s="1" t="s">
        <v>16</v>
      </c>
      <c r="H978" s="1">
        <v>-0.5</v>
      </c>
      <c r="I978" s="1">
        <v>0.5</v>
      </c>
      <c r="J978" s="1">
        <v>0</v>
      </c>
      <c r="K978" s="1" t="s">
        <v>19</v>
      </c>
      <c r="L978" s="1">
        <v>2389</v>
      </c>
      <c r="M978" s="1">
        <v>0.51</v>
      </c>
      <c r="N978" s="1">
        <v>-0.39934999999999998</v>
      </c>
      <c r="O978" s="1">
        <f>VLOOKUP(D978,underlying!$D$2:$H$75,5,FALSE)</f>
        <v>-0.13</v>
      </c>
      <c r="P978" s="2">
        <f>VLOOKUP(D978,underlying!$D$2:$L$39,9,FALSE)</f>
        <v>43342</v>
      </c>
      <c r="Q978" s="7">
        <f>IF(G978="C",NormalCallSprd(O978,H978,M978,(P978-A978)/365), NormalPutSprd(O978,H978,M978,(P978-A978)/365))</f>
        <v>0.50805706222314839</v>
      </c>
      <c r="R978" s="9">
        <f t="shared" si="31"/>
        <v>8.0570622231483924E-3</v>
      </c>
    </row>
    <row r="979" spans="1:18" x14ac:dyDescent="0.2">
      <c r="A979" s="2">
        <v>42622</v>
      </c>
      <c r="B979" s="1" t="s">
        <v>13</v>
      </c>
      <c r="C979" s="1" t="s">
        <v>14</v>
      </c>
      <c r="D979" s="2">
        <v>43110</v>
      </c>
      <c r="E979" s="2">
        <f t="shared" si="30"/>
        <v>43374</v>
      </c>
      <c r="F979" s="1" t="s">
        <v>15</v>
      </c>
      <c r="G979" s="1" t="s">
        <v>18</v>
      </c>
      <c r="H979" s="1">
        <v>-0.5</v>
      </c>
      <c r="I979" s="1">
        <v>0.14000000000000001</v>
      </c>
      <c r="J979" s="1">
        <v>0</v>
      </c>
      <c r="K979" s="1" t="s">
        <v>19</v>
      </c>
      <c r="L979" s="1">
        <v>2389</v>
      </c>
      <c r="M979" s="1">
        <v>0.51</v>
      </c>
      <c r="N979" s="1">
        <v>-0.37242999999999998</v>
      </c>
      <c r="O979" s="1">
        <f>VLOOKUP(D979,underlying!$D$2:$H$75,5,FALSE)</f>
        <v>-0.13</v>
      </c>
      <c r="P979" s="2">
        <f>VLOOKUP(D979,underlying!$D$2:$L$39,9,FALSE)</f>
        <v>43342</v>
      </c>
      <c r="Q979" s="7">
        <f>IF(G979="C",NormalCallSprd(O979,H979,M979,(P979-A979)/365), NormalPutSprd(O979,H979,M979,(P979-A979)/365))</f>
        <v>0.13805706222314837</v>
      </c>
      <c r="R979" s="9">
        <f t="shared" si="31"/>
        <v>1.9429377768516443E-3</v>
      </c>
    </row>
    <row r="980" spans="1:18" x14ac:dyDescent="0.2">
      <c r="A980" s="2">
        <v>42622</v>
      </c>
      <c r="B980" s="1" t="s">
        <v>13</v>
      </c>
      <c r="C980" s="1" t="s">
        <v>14</v>
      </c>
      <c r="D980" s="2">
        <v>43110</v>
      </c>
      <c r="E980" s="2">
        <f t="shared" si="30"/>
        <v>43374</v>
      </c>
      <c r="F980" s="1" t="s">
        <v>15</v>
      </c>
      <c r="G980" s="1" t="s">
        <v>16</v>
      </c>
      <c r="H980" s="1">
        <v>-0.45</v>
      </c>
      <c r="I980" s="1">
        <v>0.46</v>
      </c>
      <c r="J980" s="1">
        <v>0</v>
      </c>
      <c r="K980" s="1" t="s">
        <v>19</v>
      </c>
      <c r="L980" s="1">
        <v>2389</v>
      </c>
      <c r="M980" s="1">
        <v>0.5</v>
      </c>
      <c r="N980" s="1">
        <v>-0.34778999999999999</v>
      </c>
      <c r="O980" s="1">
        <f>VLOOKUP(D980,underlying!$D$2:$H$75,5,FALSE)</f>
        <v>-0.13</v>
      </c>
      <c r="P980" s="2">
        <f>VLOOKUP(D980,underlying!$D$2:$L$39,9,FALSE)</f>
        <v>43342</v>
      </c>
      <c r="Q980" s="7">
        <f>IF(G980="C",NormalCallSprd(O980,H980,M980,(P980-A980)/365), NormalPutSprd(O980,H980,M980,(P980-A980)/365))</f>
        <v>0.46874934607631019</v>
      </c>
      <c r="R980" s="9">
        <f t="shared" si="31"/>
        <v>8.7493460763101716E-3</v>
      </c>
    </row>
    <row r="981" spans="1:18" x14ac:dyDescent="0.2">
      <c r="A981" s="2">
        <v>42622</v>
      </c>
      <c r="B981" s="1" t="s">
        <v>13</v>
      </c>
      <c r="C981" s="1" t="s">
        <v>14</v>
      </c>
      <c r="D981" s="2">
        <v>43110</v>
      </c>
      <c r="E981" s="2">
        <f t="shared" si="30"/>
        <v>43374</v>
      </c>
      <c r="F981" s="1" t="s">
        <v>15</v>
      </c>
      <c r="G981" s="1" t="s">
        <v>18</v>
      </c>
      <c r="H981" s="1">
        <v>-0.45</v>
      </c>
      <c r="I981" s="1">
        <v>0.15</v>
      </c>
      <c r="J981" s="1">
        <v>0</v>
      </c>
      <c r="K981" s="1" t="s">
        <v>19</v>
      </c>
      <c r="L981" s="1">
        <v>2389</v>
      </c>
      <c r="M981" s="1">
        <v>0.5</v>
      </c>
      <c r="N981" s="1">
        <v>-0.32274000000000003</v>
      </c>
      <c r="O981" s="1">
        <f>VLOOKUP(D981,underlying!$D$2:$H$75,5,FALSE)</f>
        <v>-0.13</v>
      </c>
      <c r="P981" s="2">
        <f>VLOOKUP(D981,underlying!$D$2:$L$39,9,FALSE)</f>
        <v>43342</v>
      </c>
      <c r="Q981" s="7">
        <f>IF(G981="C",NormalCallSprd(O981,H981,M981,(P981-A981)/365), NormalPutSprd(O981,H981,M981,(P981-A981)/365))</f>
        <v>0.14874934607631016</v>
      </c>
      <c r="R981" s="9">
        <f t="shared" si="31"/>
        <v>1.2506539236898373E-3</v>
      </c>
    </row>
    <row r="982" spans="1:18" x14ac:dyDescent="0.2">
      <c r="A982" s="2">
        <v>42622</v>
      </c>
      <c r="B982" s="1" t="s">
        <v>13</v>
      </c>
      <c r="C982" s="1" t="s">
        <v>14</v>
      </c>
      <c r="D982" s="2">
        <v>43110</v>
      </c>
      <c r="E982" s="2">
        <f t="shared" si="30"/>
        <v>43374</v>
      </c>
      <c r="F982" s="1" t="s">
        <v>15</v>
      </c>
      <c r="G982" s="1" t="s">
        <v>16</v>
      </c>
      <c r="H982" s="1">
        <v>-0.4</v>
      </c>
      <c r="I982" s="1">
        <v>0.43</v>
      </c>
      <c r="J982" s="1">
        <v>0</v>
      </c>
      <c r="K982" s="1" t="s">
        <v>19</v>
      </c>
      <c r="L982" s="1">
        <v>2389</v>
      </c>
      <c r="M982" s="1">
        <v>0.5</v>
      </c>
      <c r="N982" s="1">
        <v>-0.30048999999999998</v>
      </c>
      <c r="O982" s="1">
        <f>VLOOKUP(D982,underlying!$D$2:$H$75,5,FALSE)</f>
        <v>-0.13</v>
      </c>
      <c r="P982" s="2">
        <f>VLOOKUP(D982,underlying!$D$2:$L$39,9,FALSE)</f>
        <v>43342</v>
      </c>
      <c r="Q982" s="7">
        <f>IF(G982="C",NormalCallSprd(O982,H982,M982,(P982-A982)/365), NormalPutSprd(O982,H982,M982,(P982-A982)/365))</f>
        <v>0.43561163821345189</v>
      </c>
      <c r="R982" s="9">
        <f t="shared" si="31"/>
        <v>5.6116382134518972E-3</v>
      </c>
    </row>
    <row r="983" spans="1:18" x14ac:dyDescent="0.2">
      <c r="A983" s="2">
        <v>42622</v>
      </c>
      <c r="B983" s="1" t="s">
        <v>13</v>
      </c>
      <c r="C983" s="1" t="s">
        <v>14</v>
      </c>
      <c r="D983" s="2">
        <v>43110</v>
      </c>
      <c r="E983" s="2">
        <f t="shared" si="30"/>
        <v>43374</v>
      </c>
      <c r="F983" s="1" t="s">
        <v>15</v>
      </c>
      <c r="G983" s="1" t="s">
        <v>18</v>
      </c>
      <c r="H983" s="1">
        <v>-0.4</v>
      </c>
      <c r="I983" s="1">
        <v>0.16</v>
      </c>
      <c r="J983" s="1">
        <v>0</v>
      </c>
      <c r="K983" s="1" t="s">
        <v>19</v>
      </c>
      <c r="L983" s="1">
        <v>2389</v>
      </c>
      <c r="M983" s="1">
        <v>0.5</v>
      </c>
      <c r="N983" s="1">
        <v>-0.27755000000000002</v>
      </c>
      <c r="O983" s="1">
        <f>VLOOKUP(D983,underlying!$D$2:$H$75,5,FALSE)</f>
        <v>-0.13</v>
      </c>
      <c r="P983" s="2">
        <f>VLOOKUP(D983,underlying!$D$2:$L$39,9,FALSE)</f>
        <v>43342</v>
      </c>
      <c r="Q983" s="7">
        <f>IF(G983="C",NormalCallSprd(O983,H983,M983,(P983-A983)/365), NormalPutSprd(O983,H983,M983,(P983-A983)/365))</f>
        <v>0.1656116382134519</v>
      </c>
      <c r="R983" s="9">
        <f t="shared" si="31"/>
        <v>5.6116382134518972E-3</v>
      </c>
    </row>
    <row r="984" spans="1:18" x14ac:dyDescent="0.2">
      <c r="A984" s="2">
        <v>42622</v>
      </c>
      <c r="B984" s="1" t="s">
        <v>13</v>
      </c>
      <c r="C984" s="1" t="s">
        <v>14</v>
      </c>
      <c r="D984" s="2">
        <v>43110</v>
      </c>
      <c r="E984" s="2">
        <f t="shared" si="30"/>
        <v>43374</v>
      </c>
      <c r="F984" s="1" t="s">
        <v>15</v>
      </c>
      <c r="G984" s="1" t="s">
        <v>16</v>
      </c>
      <c r="H984" s="1">
        <v>-0.35</v>
      </c>
      <c r="I984" s="1">
        <v>0.39</v>
      </c>
      <c r="J984" s="1">
        <v>0</v>
      </c>
      <c r="K984" s="1" t="s">
        <v>19</v>
      </c>
      <c r="L984" s="1">
        <v>2389</v>
      </c>
      <c r="M984" s="1">
        <v>0.49</v>
      </c>
      <c r="N984" s="1">
        <v>-0.25775999999999999</v>
      </c>
      <c r="O984" s="1">
        <f>VLOOKUP(D984,underlying!$D$2:$H$75,5,FALSE)</f>
        <v>-0.13</v>
      </c>
      <c r="P984" s="2">
        <f>VLOOKUP(D984,underlying!$D$2:$L$39,9,FALSE)</f>
        <v>43342</v>
      </c>
      <c r="Q984" s="7">
        <f>IF(G984="C",NormalCallSprd(O984,H984,M984,(P984-A984)/365), NormalPutSprd(O984,H984,M984,(P984-A984)/365))</f>
        <v>0.39846304304106162</v>
      </c>
      <c r="R984" s="9">
        <f t="shared" si="31"/>
        <v>8.463043041061602E-3</v>
      </c>
    </row>
    <row r="985" spans="1:18" x14ac:dyDescent="0.2">
      <c r="A985" s="2">
        <v>42622</v>
      </c>
      <c r="B985" s="1" t="s">
        <v>13</v>
      </c>
      <c r="C985" s="1" t="s">
        <v>14</v>
      </c>
      <c r="D985" s="2">
        <v>43110</v>
      </c>
      <c r="E985" s="2">
        <f t="shared" si="30"/>
        <v>43374</v>
      </c>
      <c r="F985" s="1" t="s">
        <v>15</v>
      </c>
      <c r="G985" s="1" t="s">
        <v>18</v>
      </c>
      <c r="H985" s="1">
        <v>-0.35</v>
      </c>
      <c r="I985" s="1">
        <v>0.18</v>
      </c>
      <c r="J985" s="1">
        <v>0</v>
      </c>
      <c r="K985" s="1" t="s">
        <v>19</v>
      </c>
      <c r="L985" s="1">
        <v>2389</v>
      </c>
      <c r="M985" s="1">
        <v>0.49</v>
      </c>
      <c r="N985" s="1">
        <v>-0.23993999999999999</v>
      </c>
      <c r="O985" s="1">
        <f>VLOOKUP(D985,underlying!$D$2:$H$75,5,FALSE)</f>
        <v>-0.13</v>
      </c>
      <c r="P985" s="2">
        <f>VLOOKUP(D985,underlying!$D$2:$L$39,9,FALSE)</f>
        <v>43342</v>
      </c>
      <c r="Q985" s="7">
        <f>IF(G985="C",NormalCallSprd(O985,H985,M985,(P985-A985)/365), NormalPutSprd(O985,H985,M985,(P985-A985)/365))</f>
        <v>0.17846304304106164</v>
      </c>
      <c r="R985" s="9">
        <f t="shared" si="31"/>
        <v>1.5369569589383514E-3</v>
      </c>
    </row>
    <row r="986" spans="1:18" x14ac:dyDescent="0.2">
      <c r="A986" s="2">
        <v>42622</v>
      </c>
      <c r="B986" s="1" t="s">
        <v>13</v>
      </c>
      <c r="C986" s="1" t="s">
        <v>14</v>
      </c>
      <c r="D986" s="2">
        <v>43110</v>
      </c>
      <c r="E986" s="2">
        <f t="shared" si="30"/>
        <v>43374</v>
      </c>
      <c r="F986" s="1" t="s">
        <v>15</v>
      </c>
      <c r="G986" s="1" t="s">
        <v>16</v>
      </c>
      <c r="H986" s="1">
        <v>-0.3</v>
      </c>
      <c r="I986" s="1">
        <v>0.36</v>
      </c>
      <c r="J986" s="1">
        <v>0</v>
      </c>
      <c r="K986" s="1" t="s">
        <v>19</v>
      </c>
      <c r="L986" s="1">
        <v>2389</v>
      </c>
      <c r="M986" s="1">
        <v>0.49</v>
      </c>
      <c r="N986" s="1">
        <v>-0.16811999999999999</v>
      </c>
      <c r="O986" s="1">
        <f>VLOOKUP(D986,underlying!$D$2:$H$75,5,FALSE)</f>
        <v>-0.13</v>
      </c>
      <c r="P986" s="2">
        <f>VLOOKUP(D986,underlying!$D$2:$L$39,9,FALSE)</f>
        <v>43342</v>
      </c>
      <c r="Q986" s="7">
        <f>IF(G986="C",NormalCallSprd(O986,H986,M986,(P986-A986)/365), NormalPutSprd(O986,H986,M986,(P986-A986)/365))</f>
        <v>0.36788700706345934</v>
      </c>
      <c r="R986" s="9">
        <f t="shared" si="31"/>
        <v>7.8870070634593503E-3</v>
      </c>
    </row>
    <row r="987" spans="1:18" x14ac:dyDescent="0.2">
      <c r="A987" s="2">
        <v>42622</v>
      </c>
      <c r="B987" s="1" t="s">
        <v>13</v>
      </c>
      <c r="C987" s="1" t="s">
        <v>14</v>
      </c>
      <c r="D987" s="2">
        <v>43110</v>
      </c>
      <c r="E987" s="2">
        <f t="shared" si="30"/>
        <v>43374</v>
      </c>
      <c r="F987" s="1" t="s">
        <v>15</v>
      </c>
      <c r="G987" s="1" t="s">
        <v>18</v>
      </c>
      <c r="H987" s="1">
        <v>-0.3</v>
      </c>
      <c r="I987" s="1">
        <v>0.2</v>
      </c>
      <c r="J987" s="1">
        <v>0</v>
      </c>
      <c r="K987" s="1" t="s">
        <v>19</v>
      </c>
      <c r="L987" s="1">
        <v>2389</v>
      </c>
      <c r="M987" s="1">
        <v>0.49</v>
      </c>
      <c r="N987" s="1">
        <v>0</v>
      </c>
      <c r="O987" s="1">
        <f>VLOOKUP(D987,underlying!$D$2:$H$75,5,FALSE)</f>
        <v>-0.13</v>
      </c>
      <c r="P987" s="2">
        <f>VLOOKUP(D987,underlying!$D$2:$L$39,9,FALSE)</f>
        <v>43342</v>
      </c>
      <c r="Q987" s="7">
        <f>IF(G987="C",NormalCallSprd(O987,H987,M987,(P987-A987)/365), NormalPutSprd(O987,H987,M987,(P987-A987)/365))</f>
        <v>0.19788700706345932</v>
      </c>
      <c r="R987" s="9">
        <f t="shared" si="31"/>
        <v>2.1129929365406863E-3</v>
      </c>
    </row>
    <row r="988" spans="1:18" x14ac:dyDescent="0.2">
      <c r="A988" s="2">
        <v>42622</v>
      </c>
      <c r="B988" s="1" t="s">
        <v>13</v>
      </c>
      <c r="C988" s="1" t="s">
        <v>14</v>
      </c>
      <c r="D988" s="2">
        <v>43110</v>
      </c>
      <c r="E988" s="2">
        <f t="shared" si="30"/>
        <v>43374</v>
      </c>
      <c r="F988" s="1" t="s">
        <v>15</v>
      </c>
      <c r="G988" s="1" t="s">
        <v>16</v>
      </c>
      <c r="H988" s="1">
        <v>-0.25</v>
      </c>
      <c r="I988" s="1">
        <v>0.33</v>
      </c>
      <c r="J988" s="1">
        <v>0</v>
      </c>
      <c r="K988" s="1" t="s">
        <v>19</v>
      </c>
      <c r="L988" s="1">
        <v>2389</v>
      </c>
      <c r="M988" s="1">
        <v>0.48</v>
      </c>
      <c r="N988" s="1">
        <v>-3.884E-2</v>
      </c>
      <c r="O988" s="1">
        <f>VLOOKUP(D988,underlying!$D$2:$H$75,5,FALSE)</f>
        <v>-0.13</v>
      </c>
      <c r="P988" s="2">
        <f>VLOOKUP(D988,underlying!$D$2:$L$39,9,FALSE)</f>
        <v>43342</v>
      </c>
      <c r="Q988" s="7">
        <f>IF(G988="C",NormalCallSprd(O988,H988,M988,(P988-A988)/365), NormalPutSprd(O988,H988,M988,(P988-A988)/365))</f>
        <v>0.33319922533312335</v>
      </c>
      <c r="R988" s="9">
        <f t="shared" si="31"/>
        <v>3.1992253331233345E-3</v>
      </c>
    </row>
    <row r="989" spans="1:18" x14ac:dyDescent="0.2">
      <c r="A989" s="2">
        <v>42622</v>
      </c>
      <c r="B989" s="1" t="s">
        <v>13</v>
      </c>
      <c r="C989" s="1" t="s">
        <v>14</v>
      </c>
      <c r="D989" s="2">
        <v>43110</v>
      </c>
      <c r="E989" s="2">
        <f t="shared" si="30"/>
        <v>43374</v>
      </c>
      <c r="F989" s="1" t="s">
        <v>15</v>
      </c>
      <c r="G989" s="1" t="s">
        <v>18</v>
      </c>
      <c r="H989" s="1">
        <v>-0.25</v>
      </c>
      <c r="I989" s="1">
        <v>0.21</v>
      </c>
      <c r="J989" s="1">
        <v>0</v>
      </c>
      <c r="K989" s="1" t="s">
        <v>19</v>
      </c>
      <c r="L989" s="1">
        <v>2389</v>
      </c>
      <c r="M989" s="1">
        <v>0.48</v>
      </c>
      <c r="N989" s="1">
        <v>-1.065E-2</v>
      </c>
      <c r="O989" s="1">
        <f>VLOOKUP(D989,underlying!$D$2:$H$75,5,FALSE)</f>
        <v>-0.13</v>
      </c>
      <c r="P989" s="2">
        <f>VLOOKUP(D989,underlying!$D$2:$L$39,9,FALSE)</f>
        <v>43342</v>
      </c>
      <c r="Q989" s="7">
        <f>IF(G989="C",NormalCallSprd(O989,H989,M989,(P989-A989)/365), NormalPutSprd(O989,H989,M989,(P989-A989)/365))</f>
        <v>0.21319922533312338</v>
      </c>
      <c r="R989" s="9">
        <f t="shared" si="31"/>
        <v>3.19922533312339E-3</v>
      </c>
    </row>
    <row r="990" spans="1:18" x14ac:dyDescent="0.2">
      <c r="A990" s="2">
        <v>42622</v>
      </c>
      <c r="B990" s="1" t="s">
        <v>13</v>
      </c>
      <c r="C990" s="1" t="s">
        <v>14</v>
      </c>
      <c r="D990" s="2">
        <v>43110</v>
      </c>
      <c r="E990" s="2">
        <f t="shared" si="30"/>
        <v>43374</v>
      </c>
      <c r="F990" s="1" t="s">
        <v>15</v>
      </c>
      <c r="G990" s="1" t="s">
        <v>16</v>
      </c>
      <c r="H990" s="1">
        <v>-0.2</v>
      </c>
      <c r="I990" s="1">
        <v>0.3</v>
      </c>
      <c r="J990" s="1">
        <v>0</v>
      </c>
      <c r="K990" s="1" t="s">
        <v>19</v>
      </c>
      <c r="L990" s="1">
        <v>2389</v>
      </c>
      <c r="M990" s="1">
        <v>0.47</v>
      </c>
      <c r="N990" s="1">
        <v>0.40064</v>
      </c>
      <c r="O990" s="1">
        <f>VLOOKUP(D990,underlying!$D$2:$H$75,5,FALSE)</f>
        <v>-0.13</v>
      </c>
      <c r="P990" s="2">
        <f>VLOOKUP(D990,underlying!$D$2:$L$39,9,FALSE)</f>
        <v>43342</v>
      </c>
      <c r="Q990" s="7">
        <f>IF(G990="C",NormalCallSprd(O990,H990,M990,(P990-A990)/365), NormalPutSprd(O990,H990,M990,(P990-A990)/365))</f>
        <v>0.29982589932210885</v>
      </c>
      <c r="R990" s="9">
        <f t="shared" si="31"/>
        <v>1.7410067789114247E-4</v>
      </c>
    </row>
    <row r="991" spans="1:18" x14ac:dyDescent="0.2">
      <c r="A991" s="2">
        <v>42622</v>
      </c>
      <c r="B991" s="1" t="s">
        <v>13</v>
      </c>
      <c r="C991" s="1" t="s">
        <v>14</v>
      </c>
      <c r="D991" s="2">
        <v>43110</v>
      </c>
      <c r="E991" s="2">
        <f t="shared" si="30"/>
        <v>43374</v>
      </c>
      <c r="F991" s="1" t="s">
        <v>15</v>
      </c>
      <c r="G991" s="1" t="s">
        <v>18</v>
      </c>
      <c r="H991" s="1">
        <v>-0.2</v>
      </c>
      <c r="I991" s="1">
        <v>0.23</v>
      </c>
      <c r="J991" s="1">
        <v>0</v>
      </c>
      <c r="K991" s="1" t="s">
        <v>19</v>
      </c>
      <c r="L991" s="1">
        <v>2389</v>
      </c>
      <c r="M991" s="1">
        <v>0.47</v>
      </c>
      <c r="N991" s="1">
        <v>0.42864000000000002</v>
      </c>
      <c r="O991" s="1">
        <f>VLOOKUP(D991,underlying!$D$2:$H$75,5,FALSE)</f>
        <v>-0.13</v>
      </c>
      <c r="P991" s="2">
        <f>VLOOKUP(D991,underlying!$D$2:$L$39,9,FALSE)</f>
        <v>43342</v>
      </c>
      <c r="Q991" s="7">
        <f>IF(G991="C",NormalCallSprd(O991,H991,M991,(P991-A991)/365), NormalPutSprd(O991,H991,M991,(P991-A991)/365))</f>
        <v>0.22982589932210884</v>
      </c>
      <c r="R991" s="9">
        <f t="shared" si="31"/>
        <v>1.7410067789117023E-4</v>
      </c>
    </row>
    <row r="992" spans="1:18" x14ac:dyDescent="0.2">
      <c r="A992" s="2">
        <v>42622</v>
      </c>
      <c r="B992" s="1" t="s">
        <v>13</v>
      </c>
      <c r="C992" s="1" t="s">
        <v>14</v>
      </c>
      <c r="D992" s="2">
        <v>43110</v>
      </c>
      <c r="E992" s="2">
        <f t="shared" si="30"/>
        <v>43374</v>
      </c>
      <c r="F992" s="1" t="s">
        <v>15</v>
      </c>
      <c r="G992" s="1" t="s">
        <v>16</v>
      </c>
      <c r="H992" s="1">
        <v>-0.15</v>
      </c>
      <c r="I992" s="1">
        <v>0.27</v>
      </c>
      <c r="J992" s="1">
        <v>0</v>
      </c>
      <c r="K992" s="1" t="s">
        <v>19</v>
      </c>
      <c r="L992" s="1">
        <v>2389</v>
      </c>
      <c r="M992" s="1">
        <v>0.47</v>
      </c>
      <c r="N992" s="1">
        <v>0.45695999999999998</v>
      </c>
      <c r="O992" s="1">
        <f>VLOOKUP(D992,underlying!$D$2:$H$75,5,FALSE)</f>
        <v>-0.13</v>
      </c>
      <c r="P992" s="2">
        <f>VLOOKUP(D992,underlying!$D$2:$L$39,9,FALSE)</f>
        <v>43342</v>
      </c>
      <c r="Q992" s="7">
        <f>IF(G992="C",NormalCallSprd(O992,H992,M992,(P992-A992)/365), NormalPutSprd(O992,H992,M992,(P992-A992)/365))</f>
        <v>0.27346747643099184</v>
      </c>
      <c r="R992" s="9">
        <f t="shared" si="31"/>
        <v>3.4674764309918227E-3</v>
      </c>
    </row>
    <row r="993" spans="1:18" x14ac:dyDescent="0.2">
      <c r="A993" s="2">
        <v>42622</v>
      </c>
      <c r="B993" s="1" t="s">
        <v>13</v>
      </c>
      <c r="C993" s="1" t="s">
        <v>14</v>
      </c>
      <c r="D993" s="2">
        <v>43110</v>
      </c>
      <c r="E993" s="2">
        <f t="shared" si="30"/>
        <v>43374</v>
      </c>
      <c r="F993" s="1" t="s">
        <v>15</v>
      </c>
      <c r="G993" s="1" t="s">
        <v>18</v>
      </c>
      <c r="H993" s="1">
        <v>-0.15</v>
      </c>
      <c r="I993" s="1">
        <v>0.25</v>
      </c>
      <c r="J993" s="1">
        <v>0</v>
      </c>
      <c r="K993" s="1" t="s">
        <v>19</v>
      </c>
      <c r="L993" s="1">
        <v>2389</v>
      </c>
      <c r="M993" s="1">
        <v>0.47</v>
      </c>
      <c r="N993" s="1">
        <v>0.48547000000000001</v>
      </c>
      <c r="O993" s="1">
        <f>VLOOKUP(D993,underlying!$D$2:$H$75,5,FALSE)</f>
        <v>-0.13</v>
      </c>
      <c r="P993" s="2">
        <f>VLOOKUP(D993,underlying!$D$2:$L$39,9,FALSE)</f>
        <v>43342</v>
      </c>
      <c r="Q993" s="7">
        <f>IF(G993="C",NormalCallSprd(O993,H993,M993,(P993-A993)/365), NormalPutSprd(O993,H993,M993,(P993-A993)/365))</f>
        <v>0.25346747643099182</v>
      </c>
      <c r="R993" s="9">
        <f t="shared" si="31"/>
        <v>3.4674764309918227E-3</v>
      </c>
    </row>
    <row r="994" spans="1:18" x14ac:dyDescent="0.2">
      <c r="A994" s="2">
        <v>42622</v>
      </c>
      <c r="B994" s="1" t="s">
        <v>13</v>
      </c>
      <c r="C994" s="1" t="s">
        <v>14</v>
      </c>
      <c r="D994" s="2">
        <v>43110</v>
      </c>
      <c r="E994" s="2">
        <f t="shared" si="30"/>
        <v>43374</v>
      </c>
      <c r="F994" s="1" t="s">
        <v>15</v>
      </c>
      <c r="G994" s="1" t="s">
        <v>16</v>
      </c>
      <c r="H994" s="1">
        <v>-0.1</v>
      </c>
      <c r="I994" s="1">
        <v>0.24</v>
      </c>
      <c r="J994" s="1">
        <v>0</v>
      </c>
      <c r="K994" s="1" t="s">
        <v>19</v>
      </c>
      <c r="L994" s="1">
        <v>2389</v>
      </c>
      <c r="M994" s="1">
        <v>0.46</v>
      </c>
      <c r="N994" s="1">
        <v>0.51400000000000001</v>
      </c>
      <c r="O994" s="1">
        <f>VLOOKUP(D994,underlying!$D$2:$H$75,5,FALSE)</f>
        <v>-0.13</v>
      </c>
      <c r="P994" s="2">
        <f>VLOOKUP(D994,underlying!$D$2:$L$39,9,FALSE)</f>
        <v>43342</v>
      </c>
      <c r="Q994" s="7">
        <f>IF(G994="C",NormalCallSprd(O994,H994,M994,(P994-A994)/365), NormalPutSprd(O994,H994,M994,(P994-A994)/365))</f>
        <v>0.24302131731575155</v>
      </c>
      <c r="R994" s="9">
        <f t="shared" si="31"/>
        <v>3.0213173157515594E-3</v>
      </c>
    </row>
    <row r="995" spans="1:18" x14ac:dyDescent="0.2">
      <c r="A995" s="2">
        <v>42622</v>
      </c>
      <c r="B995" s="1" t="s">
        <v>13</v>
      </c>
      <c r="C995" s="1" t="s">
        <v>14</v>
      </c>
      <c r="D995" s="2">
        <v>43110</v>
      </c>
      <c r="E995" s="2">
        <f t="shared" si="30"/>
        <v>43374</v>
      </c>
      <c r="F995" s="1" t="s">
        <v>15</v>
      </c>
      <c r="G995" s="1" t="s">
        <v>18</v>
      </c>
      <c r="H995" s="1">
        <v>-0.1</v>
      </c>
      <c r="I995" s="1">
        <v>0.27</v>
      </c>
      <c r="J995" s="1">
        <v>0</v>
      </c>
      <c r="K995" s="1" t="s">
        <v>19</v>
      </c>
      <c r="L995" s="1">
        <v>2389</v>
      </c>
      <c r="M995" s="1">
        <v>0.46</v>
      </c>
      <c r="N995" s="1">
        <v>0.54149000000000003</v>
      </c>
      <c r="O995" s="1">
        <f>VLOOKUP(D995,underlying!$D$2:$H$75,5,FALSE)</f>
        <v>-0.13</v>
      </c>
      <c r="P995" s="2">
        <f>VLOOKUP(D995,underlying!$D$2:$L$39,9,FALSE)</f>
        <v>43342</v>
      </c>
      <c r="Q995" s="7">
        <f>IF(G995="C",NormalCallSprd(O995,H995,M995,(P995-A995)/365), NormalPutSprd(O995,H995,M995,(P995-A995)/365))</f>
        <v>0.27302131731575158</v>
      </c>
      <c r="R995" s="9">
        <f t="shared" si="31"/>
        <v>3.0213173157515594E-3</v>
      </c>
    </row>
    <row r="996" spans="1:18" x14ac:dyDescent="0.2">
      <c r="A996" s="2">
        <v>42622</v>
      </c>
      <c r="B996" s="1" t="s">
        <v>13</v>
      </c>
      <c r="C996" s="1" t="s">
        <v>14</v>
      </c>
      <c r="D996" s="2">
        <v>43110</v>
      </c>
      <c r="E996" s="2">
        <f t="shared" si="30"/>
        <v>43374</v>
      </c>
      <c r="F996" s="1" t="s">
        <v>15</v>
      </c>
      <c r="G996" s="1" t="s">
        <v>16</v>
      </c>
      <c r="H996" s="1">
        <v>-0.05</v>
      </c>
      <c r="I996" s="1">
        <v>0.22</v>
      </c>
      <c r="J996" s="1">
        <v>0</v>
      </c>
      <c r="K996" s="1" t="s">
        <v>19</v>
      </c>
      <c r="L996" s="1">
        <v>2389</v>
      </c>
      <c r="M996" s="1">
        <v>0.46</v>
      </c>
      <c r="N996" s="1">
        <v>0.56740999999999997</v>
      </c>
      <c r="O996" s="1">
        <f>VLOOKUP(D996,underlying!$D$2:$H$75,5,FALSE)</f>
        <v>-0.13</v>
      </c>
      <c r="P996" s="2">
        <f>VLOOKUP(D996,underlying!$D$2:$L$39,9,FALSE)</f>
        <v>43342</v>
      </c>
      <c r="Q996" s="7">
        <f>IF(G996="C",NormalCallSprd(O996,H996,M996,(P996-A996)/365), NormalPutSprd(O996,H996,M996,(P996-A996)/365))</f>
        <v>0.21971695353997478</v>
      </c>
      <c r="R996" s="9">
        <f t="shared" si="31"/>
        <v>2.8304646002522138E-4</v>
      </c>
    </row>
    <row r="997" spans="1:18" x14ac:dyDescent="0.2">
      <c r="A997" s="2">
        <v>42622</v>
      </c>
      <c r="B997" s="1" t="s">
        <v>13</v>
      </c>
      <c r="C997" s="1" t="s">
        <v>14</v>
      </c>
      <c r="D997" s="2">
        <v>43110</v>
      </c>
      <c r="E997" s="2">
        <f t="shared" si="30"/>
        <v>43374</v>
      </c>
      <c r="F997" s="1" t="s">
        <v>15</v>
      </c>
      <c r="G997" s="1" t="s">
        <v>18</v>
      </c>
      <c r="H997" s="1">
        <v>-0.05</v>
      </c>
      <c r="I997" s="1">
        <v>0.3</v>
      </c>
      <c r="J997" s="1">
        <v>0</v>
      </c>
      <c r="K997" s="1" t="s">
        <v>19</v>
      </c>
      <c r="L997" s="1">
        <v>2389</v>
      </c>
      <c r="M997" s="1">
        <v>0.46</v>
      </c>
      <c r="N997" s="1">
        <v>0.59189000000000003</v>
      </c>
      <c r="O997" s="1">
        <f>VLOOKUP(D997,underlying!$D$2:$H$75,5,FALSE)</f>
        <v>-0.13</v>
      </c>
      <c r="P997" s="2">
        <f>VLOOKUP(D997,underlying!$D$2:$L$39,9,FALSE)</f>
        <v>43342</v>
      </c>
      <c r="Q997" s="7">
        <f>IF(G997="C",NormalCallSprd(O997,H997,M997,(P997-A997)/365), NormalPutSprd(O997,H997,M997,(P997-A997)/365))</f>
        <v>0.2997169535399748</v>
      </c>
      <c r="R997" s="9">
        <f t="shared" si="31"/>
        <v>2.8304646002519362E-4</v>
      </c>
    </row>
    <row r="998" spans="1:18" x14ac:dyDescent="0.2">
      <c r="A998" s="2">
        <v>42622</v>
      </c>
      <c r="B998" s="1" t="s">
        <v>13</v>
      </c>
      <c r="C998" s="1" t="s">
        <v>14</v>
      </c>
      <c r="D998" s="2">
        <v>43111</v>
      </c>
      <c r="E998" s="2">
        <f t="shared" si="30"/>
        <v>43405</v>
      </c>
      <c r="F998" s="1" t="s">
        <v>15</v>
      </c>
      <c r="G998" s="1" t="s">
        <v>16</v>
      </c>
      <c r="H998" s="1">
        <v>-20</v>
      </c>
      <c r="I998" s="1">
        <v>19.600000000000001</v>
      </c>
      <c r="J998" s="1">
        <v>-0.02</v>
      </c>
      <c r="K998" s="1" t="s">
        <v>23</v>
      </c>
      <c r="L998" s="1">
        <v>2389</v>
      </c>
      <c r="M998" s="1">
        <v>0.85</v>
      </c>
      <c r="N998" s="1">
        <v>0.61702999999999997</v>
      </c>
      <c r="O998" s="1">
        <f>VLOOKUP(D998,underlying!$D$2:$H$75,5,FALSE)</f>
        <v>-0.13</v>
      </c>
      <c r="P998" s="2">
        <f>VLOOKUP(D998,underlying!$D$2:$L$39,9,FALSE)</f>
        <v>43370</v>
      </c>
      <c r="Q998" s="7">
        <f>IF(G998="C",NormalCallSprd(O998,H998,M998,(P998-A998)/365), NormalPutSprd(O998,H998,M998,(P998-A998)/365))</f>
        <v>19.87</v>
      </c>
      <c r="R998" s="9">
        <f t="shared" si="31"/>
        <v>0.26999999999999957</v>
      </c>
    </row>
    <row r="999" spans="1:18" x14ac:dyDescent="0.2">
      <c r="A999" s="2">
        <v>42622</v>
      </c>
      <c r="B999" s="1" t="s">
        <v>13</v>
      </c>
      <c r="C999" s="1" t="s">
        <v>14</v>
      </c>
      <c r="D999" s="2">
        <v>43111</v>
      </c>
      <c r="E999" s="2">
        <f t="shared" si="30"/>
        <v>43405</v>
      </c>
      <c r="F999" s="1" t="s">
        <v>15</v>
      </c>
      <c r="G999" s="1" t="s">
        <v>18</v>
      </c>
      <c r="H999" s="1">
        <v>-20</v>
      </c>
      <c r="I999" s="1">
        <v>0.01</v>
      </c>
      <c r="J999" s="1">
        <v>0</v>
      </c>
      <c r="K999" s="1" t="s">
        <v>23</v>
      </c>
      <c r="L999" s="1">
        <v>2389</v>
      </c>
      <c r="M999" s="1">
        <v>0.85</v>
      </c>
      <c r="N999" s="1">
        <v>0.63958000000000004</v>
      </c>
      <c r="O999" s="1">
        <f>VLOOKUP(D999,underlying!$D$2:$H$75,5,FALSE)</f>
        <v>-0.13</v>
      </c>
      <c r="P999" s="2">
        <f>VLOOKUP(D999,underlying!$D$2:$L$39,9,FALSE)</f>
        <v>43370</v>
      </c>
      <c r="Q999" s="7">
        <f>IF(G999="C",NormalCallSprd(O999,H999,M999,(P999-A999)/365), NormalPutSprd(O999,H999,M999,(P999-A999)/365))</f>
        <v>2.2492661731446219E-61</v>
      </c>
      <c r="R999" s="9">
        <f t="shared" si="31"/>
        <v>0.01</v>
      </c>
    </row>
    <row r="1000" spans="1:18" x14ac:dyDescent="0.2">
      <c r="A1000" s="2">
        <v>42622</v>
      </c>
      <c r="B1000" s="1" t="s">
        <v>13</v>
      </c>
      <c r="C1000" s="1" t="s">
        <v>14</v>
      </c>
      <c r="D1000" s="2">
        <v>43111</v>
      </c>
      <c r="E1000" s="2">
        <f t="shared" si="30"/>
        <v>43405</v>
      </c>
      <c r="F1000" s="1" t="s">
        <v>15</v>
      </c>
      <c r="G1000" s="1" t="s">
        <v>16</v>
      </c>
      <c r="H1000" s="1">
        <v>-3</v>
      </c>
      <c r="I1000" s="1">
        <v>2.83</v>
      </c>
      <c r="J1000" s="1">
        <v>-0.02</v>
      </c>
      <c r="K1000" s="1" t="s">
        <v>23</v>
      </c>
      <c r="L1000" s="1">
        <v>2389</v>
      </c>
      <c r="M1000" s="1">
        <v>0.84</v>
      </c>
      <c r="N1000" s="1">
        <v>0.66020000000000001</v>
      </c>
      <c r="O1000" s="1">
        <f>VLOOKUP(D1000,underlying!$D$2:$H$75,5,FALSE)</f>
        <v>-0.13</v>
      </c>
      <c r="P1000" s="2">
        <f>VLOOKUP(D1000,underlying!$D$2:$L$39,9,FALSE)</f>
        <v>43370</v>
      </c>
      <c r="Q1000" s="7">
        <f>IF(G1000="C",NormalCallSprd(O1000,H1000,M1000,(P1000-A1000)/365), NormalPutSprd(O1000,H1000,M1000,(P1000-A1000)/365))</f>
        <v>2.8734048122173199</v>
      </c>
      <c r="R1000" s="9">
        <f t="shared" si="31"/>
        <v>4.3404812217319844E-2</v>
      </c>
    </row>
    <row r="1001" spans="1:18" x14ac:dyDescent="0.2">
      <c r="A1001" s="2">
        <v>42622</v>
      </c>
      <c r="B1001" s="1" t="s">
        <v>13</v>
      </c>
      <c r="C1001" s="1" t="s">
        <v>14</v>
      </c>
      <c r="D1001" s="2">
        <v>43111</v>
      </c>
      <c r="E1001" s="2">
        <f t="shared" si="30"/>
        <v>43405</v>
      </c>
      <c r="F1001" s="1" t="s">
        <v>15</v>
      </c>
      <c r="G1001" s="1" t="s">
        <v>18</v>
      </c>
      <c r="H1001" s="1">
        <v>-3</v>
      </c>
      <c r="I1001" s="1">
        <v>0.01</v>
      </c>
      <c r="J1001" s="1">
        <v>0</v>
      </c>
      <c r="K1001" s="1" t="s">
        <v>23</v>
      </c>
      <c r="L1001" s="1">
        <v>2389</v>
      </c>
      <c r="M1001" s="1">
        <v>0.84</v>
      </c>
      <c r="N1001" s="1">
        <v>0.68237000000000003</v>
      </c>
      <c r="O1001" s="1">
        <f>VLOOKUP(D1001,underlying!$D$2:$H$75,5,FALSE)</f>
        <v>-0.13</v>
      </c>
      <c r="P1001" s="2">
        <f>VLOOKUP(D1001,underlying!$D$2:$L$39,9,FALSE)</f>
        <v>43370</v>
      </c>
      <c r="Q1001" s="7">
        <f>IF(G1001="C",NormalCallSprd(O1001,H1001,M1001,(P1001-A1001)/365), NormalPutSprd(O1001,H1001,M1001,(P1001-A1001)/365))</f>
        <v>3.404812217319861E-3</v>
      </c>
      <c r="R1001" s="9">
        <f t="shared" si="31"/>
        <v>6.5951877826801392E-3</v>
      </c>
    </row>
    <row r="1002" spans="1:18" x14ac:dyDescent="0.2">
      <c r="A1002" s="2">
        <v>42622</v>
      </c>
      <c r="B1002" s="1" t="s">
        <v>13</v>
      </c>
      <c r="C1002" s="1" t="s">
        <v>14</v>
      </c>
      <c r="D1002" s="2">
        <v>43111</v>
      </c>
      <c r="E1002" s="2">
        <f t="shared" si="30"/>
        <v>43405</v>
      </c>
      <c r="F1002" s="1" t="s">
        <v>15</v>
      </c>
      <c r="G1002" s="1" t="s">
        <v>16</v>
      </c>
      <c r="H1002" s="1">
        <v>-2</v>
      </c>
      <c r="I1002" s="1">
        <v>1.86</v>
      </c>
      <c r="J1002" s="1">
        <v>-0.01</v>
      </c>
      <c r="K1002" s="1" t="s">
        <v>23</v>
      </c>
      <c r="L1002" s="1">
        <v>2389</v>
      </c>
      <c r="M1002" s="1">
        <v>0.69</v>
      </c>
      <c r="N1002" s="1">
        <v>0.70132000000000005</v>
      </c>
      <c r="O1002" s="1">
        <f>VLOOKUP(D1002,underlying!$D$2:$H$75,5,FALSE)</f>
        <v>-0.13</v>
      </c>
      <c r="P1002" s="2">
        <f>VLOOKUP(D1002,underlying!$D$2:$L$39,9,FALSE)</f>
        <v>43370</v>
      </c>
      <c r="Q1002" s="7">
        <f>IF(G1002="C",NormalCallSprd(O1002,H1002,M1002,(P1002-A1002)/365), NormalPutSprd(O1002,H1002,M1002,(P1002-A1002)/365))</f>
        <v>1.8811145332765284</v>
      </c>
      <c r="R1002" s="9">
        <f t="shared" si="31"/>
        <v>2.1114533276528347E-2</v>
      </c>
    </row>
    <row r="1003" spans="1:18" x14ac:dyDescent="0.2">
      <c r="A1003" s="2">
        <v>42622</v>
      </c>
      <c r="B1003" s="1" t="s">
        <v>13</v>
      </c>
      <c r="C1003" s="1" t="s">
        <v>14</v>
      </c>
      <c r="D1003" s="2">
        <v>43111</v>
      </c>
      <c r="E1003" s="2">
        <f t="shared" si="30"/>
        <v>43405</v>
      </c>
      <c r="F1003" s="1" t="s">
        <v>15</v>
      </c>
      <c r="G1003" s="1" t="s">
        <v>18</v>
      </c>
      <c r="H1003" s="1">
        <v>-2</v>
      </c>
      <c r="I1003" s="1">
        <v>0.01</v>
      </c>
      <c r="J1003" s="1">
        <v>0</v>
      </c>
      <c r="K1003" s="1" t="s">
        <v>23</v>
      </c>
      <c r="L1003" s="1">
        <v>2389</v>
      </c>
      <c r="M1003" s="1">
        <v>0.69</v>
      </c>
      <c r="N1003" s="1">
        <v>0.72153999999999996</v>
      </c>
      <c r="O1003" s="1">
        <f>VLOOKUP(D1003,underlying!$D$2:$H$75,5,FALSE)</f>
        <v>-0.13</v>
      </c>
      <c r="P1003" s="2">
        <f>VLOOKUP(D1003,underlying!$D$2:$L$39,9,FALSE)</f>
        <v>43370</v>
      </c>
      <c r="Q1003" s="7">
        <f>IF(G1003="C",NormalCallSprd(O1003,H1003,M1003,(P1003-A1003)/365), NormalPutSprd(O1003,H1003,M1003,(P1003-A1003)/365))</f>
        <v>1.1114533276528584E-2</v>
      </c>
      <c r="R1003" s="9">
        <f t="shared" si="31"/>
        <v>1.1145332765285839E-3</v>
      </c>
    </row>
    <row r="1004" spans="1:18" x14ac:dyDescent="0.2">
      <c r="A1004" s="2">
        <v>42622</v>
      </c>
      <c r="B1004" s="1" t="s">
        <v>13</v>
      </c>
      <c r="C1004" s="1" t="s">
        <v>14</v>
      </c>
      <c r="D1004" s="2">
        <v>43111</v>
      </c>
      <c r="E1004" s="2">
        <f t="shared" si="30"/>
        <v>43405</v>
      </c>
      <c r="F1004" s="1" t="s">
        <v>15</v>
      </c>
      <c r="G1004" s="1" t="s">
        <v>16</v>
      </c>
      <c r="H1004" s="1">
        <v>-1</v>
      </c>
      <c r="I1004" s="1">
        <v>0.91</v>
      </c>
      <c r="J1004" s="1">
        <v>-0.01</v>
      </c>
      <c r="K1004" s="1" t="s">
        <v>23</v>
      </c>
      <c r="L1004" s="1">
        <v>2389</v>
      </c>
      <c r="M1004" s="1">
        <v>0.55000000000000004</v>
      </c>
      <c r="N1004" s="1">
        <v>0.80656000000000005</v>
      </c>
      <c r="O1004" s="1">
        <f>VLOOKUP(D1004,underlying!$D$2:$H$75,5,FALSE)</f>
        <v>-0.13</v>
      </c>
      <c r="P1004" s="2">
        <f>VLOOKUP(D1004,underlying!$D$2:$L$39,9,FALSE)</f>
        <v>43370</v>
      </c>
      <c r="Q1004" s="7">
        <f>IF(G1004="C",NormalCallSprd(O1004,H1004,M1004,(P1004-A1004)/365), NormalPutSprd(O1004,H1004,M1004,(P1004-A1004)/365))</f>
        <v>0.92349825048573542</v>
      </c>
      <c r="R1004" s="9">
        <f t="shared" si="31"/>
        <v>1.3498250485735386E-2</v>
      </c>
    </row>
    <row r="1005" spans="1:18" x14ac:dyDescent="0.2">
      <c r="A1005" s="2">
        <v>42622</v>
      </c>
      <c r="B1005" s="1" t="s">
        <v>13</v>
      </c>
      <c r="C1005" s="1" t="s">
        <v>14</v>
      </c>
      <c r="D1005" s="2">
        <v>43111</v>
      </c>
      <c r="E1005" s="2">
        <f t="shared" si="30"/>
        <v>43405</v>
      </c>
      <c r="F1005" s="1" t="s">
        <v>15</v>
      </c>
      <c r="G1005" s="1" t="s">
        <v>18</v>
      </c>
      <c r="H1005" s="1">
        <v>-1</v>
      </c>
      <c r="I1005" s="1">
        <v>0.05</v>
      </c>
      <c r="J1005" s="1">
        <v>0</v>
      </c>
      <c r="K1005" s="1" t="s">
        <v>23</v>
      </c>
      <c r="L1005" s="1">
        <v>2389</v>
      </c>
      <c r="M1005" s="1">
        <v>0.55000000000000004</v>
      </c>
      <c r="N1005" s="1">
        <v>0.93157999999999996</v>
      </c>
      <c r="O1005" s="1">
        <f>VLOOKUP(D1005,underlying!$D$2:$H$75,5,FALSE)</f>
        <v>-0.13</v>
      </c>
      <c r="P1005" s="2">
        <f>VLOOKUP(D1005,underlying!$D$2:$L$39,9,FALSE)</f>
        <v>43370</v>
      </c>
      <c r="Q1005" s="7">
        <f>IF(G1005="C",NormalCallSprd(O1005,H1005,M1005,(P1005-A1005)/365), NormalPutSprd(O1005,H1005,M1005,(P1005-A1005)/365))</f>
        <v>5.3498250485735435E-2</v>
      </c>
      <c r="R1005" s="9">
        <f t="shared" si="31"/>
        <v>3.4982504857354324E-3</v>
      </c>
    </row>
    <row r="1006" spans="1:18" x14ac:dyDescent="0.2">
      <c r="A1006" s="2">
        <v>42622</v>
      </c>
      <c r="B1006" s="1" t="s">
        <v>13</v>
      </c>
      <c r="C1006" s="1" t="s">
        <v>14</v>
      </c>
      <c r="D1006" s="2">
        <v>43111</v>
      </c>
      <c r="E1006" s="2">
        <f t="shared" si="30"/>
        <v>43405</v>
      </c>
      <c r="F1006" s="1" t="s">
        <v>15</v>
      </c>
      <c r="G1006" s="1" t="s">
        <v>16</v>
      </c>
      <c r="H1006" s="1">
        <v>-0.65</v>
      </c>
      <c r="I1006" s="1">
        <v>0.61</v>
      </c>
      <c r="J1006" s="1">
        <v>-0.01</v>
      </c>
      <c r="K1006" s="1" t="s">
        <v>23</v>
      </c>
      <c r="L1006" s="1">
        <v>2389</v>
      </c>
      <c r="M1006" s="1">
        <v>0.5</v>
      </c>
      <c r="N1006" s="1">
        <v>0.96826999999999996</v>
      </c>
      <c r="O1006" s="1">
        <f>VLOOKUP(D1006,underlying!$D$2:$H$75,5,FALSE)</f>
        <v>-0.13</v>
      </c>
      <c r="P1006" s="2">
        <f>VLOOKUP(D1006,underlying!$D$2:$L$39,9,FALSE)</f>
        <v>43370</v>
      </c>
      <c r="Q1006" s="7">
        <f>IF(G1006="C",NormalCallSprd(O1006,H1006,M1006,(P1006-A1006)/365), NormalPutSprd(O1006,H1006,M1006,(P1006-A1006)/365))</f>
        <v>0.61775927569620559</v>
      </c>
      <c r="R1006" s="9">
        <f t="shared" si="31"/>
        <v>7.7592756962056031E-3</v>
      </c>
    </row>
    <row r="1007" spans="1:18" x14ac:dyDescent="0.2">
      <c r="A1007" s="2">
        <v>42622</v>
      </c>
      <c r="B1007" s="1" t="s">
        <v>13</v>
      </c>
      <c r="C1007" s="1" t="s">
        <v>14</v>
      </c>
      <c r="D1007" s="2">
        <v>43111</v>
      </c>
      <c r="E1007" s="2">
        <f t="shared" si="30"/>
        <v>43405</v>
      </c>
      <c r="F1007" s="1" t="s">
        <v>15</v>
      </c>
      <c r="G1007" s="1" t="s">
        <v>18</v>
      </c>
      <c r="H1007" s="1">
        <v>-0.65</v>
      </c>
      <c r="I1007" s="1">
        <v>0.1</v>
      </c>
      <c r="J1007" s="1">
        <v>0.01</v>
      </c>
      <c r="K1007" s="1" t="s">
        <v>23</v>
      </c>
      <c r="L1007" s="1">
        <v>2389</v>
      </c>
      <c r="M1007" s="1">
        <v>0.5</v>
      </c>
      <c r="N1007" s="1">
        <v>-0.58170999999999995</v>
      </c>
      <c r="O1007" s="1">
        <f>VLOOKUP(D1007,underlying!$D$2:$H$75,5,FALSE)</f>
        <v>-0.13</v>
      </c>
      <c r="P1007" s="2">
        <f>VLOOKUP(D1007,underlying!$D$2:$L$39,9,FALSE)</f>
        <v>43370</v>
      </c>
      <c r="Q1007" s="7">
        <f>IF(G1007="C",NormalCallSprd(O1007,H1007,M1007,(P1007-A1007)/365), NormalPutSprd(O1007,H1007,M1007,(P1007-A1007)/365))</f>
        <v>9.7759275696205544E-2</v>
      </c>
      <c r="R1007" s="9">
        <f t="shared" si="31"/>
        <v>2.2407243037944613E-3</v>
      </c>
    </row>
    <row r="1008" spans="1:18" x14ac:dyDescent="0.2">
      <c r="A1008" s="2">
        <v>42622</v>
      </c>
      <c r="B1008" s="1" t="s">
        <v>13</v>
      </c>
      <c r="C1008" s="1" t="s">
        <v>14</v>
      </c>
      <c r="D1008" s="2">
        <v>43111</v>
      </c>
      <c r="E1008" s="2">
        <f t="shared" si="30"/>
        <v>43405</v>
      </c>
      <c r="F1008" s="1" t="s">
        <v>15</v>
      </c>
      <c r="G1008" s="1" t="s">
        <v>16</v>
      </c>
      <c r="H1008" s="1">
        <v>-0.6</v>
      </c>
      <c r="I1008" s="1">
        <v>0.56999999999999995</v>
      </c>
      <c r="J1008" s="1">
        <v>-0.01</v>
      </c>
      <c r="K1008" s="1" t="s">
        <v>23</v>
      </c>
      <c r="L1008" s="1">
        <v>2389</v>
      </c>
      <c r="M1008" s="1">
        <v>0.49</v>
      </c>
      <c r="N1008" s="1">
        <v>-0.55371999999999999</v>
      </c>
      <c r="O1008" s="1">
        <f>VLOOKUP(D1008,underlying!$D$2:$H$75,5,FALSE)</f>
        <v>-0.13</v>
      </c>
      <c r="P1008" s="2">
        <f>VLOOKUP(D1008,underlying!$D$2:$L$39,9,FALSE)</f>
        <v>43370</v>
      </c>
      <c r="Q1008" s="7">
        <f>IF(G1008="C",NormalCallSprd(O1008,H1008,M1008,(P1008-A1008)/365), NormalPutSprd(O1008,H1008,M1008,(P1008-A1008)/365))</f>
        <v>0.57540850401121024</v>
      </c>
      <c r="R1008" s="9">
        <f t="shared" si="31"/>
        <v>5.4085040112102911E-3</v>
      </c>
    </row>
    <row r="1009" spans="1:18" x14ac:dyDescent="0.2">
      <c r="A1009" s="2">
        <v>42622</v>
      </c>
      <c r="B1009" s="1" t="s">
        <v>13</v>
      </c>
      <c r="C1009" s="1" t="s">
        <v>14</v>
      </c>
      <c r="D1009" s="2">
        <v>43111</v>
      </c>
      <c r="E1009" s="2">
        <f t="shared" si="30"/>
        <v>43405</v>
      </c>
      <c r="F1009" s="1" t="s">
        <v>15</v>
      </c>
      <c r="G1009" s="1" t="s">
        <v>18</v>
      </c>
      <c r="H1009" s="1">
        <v>-0.6</v>
      </c>
      <c r="I1009" s="1">
        <v>0.1</v>
      </c>
      <c r="J1009" s="1">
        <v>0</v>
      </c>
      <c r="K1009" s="1" t="s">
        <v>23</v>
      </c>
      <c r="L1009" s="1">
        <v>2389</v>
      </c>
      <c r="M1009" s="1">
        <v>0.49</v>
      </c>
      <c r="N1009" s="1">
        <v>-0.52539000000000002</v>
      </c>
      <c r="O1009" s="1">
        <f>VLOOKUP(D1009,underlying!$D$2:$H$75,5,FALSE)</f>
        <v>-0.13</v>
      </c>
      <c r="P1009" s="2">
        <f>VLOOKUP(D1009,underlying!$D$2:$L$39,9,FALSE)</f>
        <v>43370</v>
      </c>
      <c r="Q1009" s="7">
        <f>IF(G1009="C",NormalCallSprd(O1009,H1009,M1009,(P1009-A1009)/365), NormalPutSprd(O1009,H1009,M1009,(P1009-A1009)/365))</f>
        <v>0.10540850401121024</v>
      </c>
      <c r="R1009" s="9">
        <f t="shared" si="31"/>
        <v>5.4085040112102356E-3</v>
      </c>
    </row>
    <row r="1010" spans="1:18" x14ac:dyDescent="0.2">
      <c r="A1010" s="2">
        <v>42622</v>
      </c>
      <c r="B1010" s="1" t="s">
        <v>13</v>
      </c>
      <c r="C1010" s="1" t="s">
        <v>14</v>
      </c>
      <c r="D1010" s="2">
        <v>43111</v>
      </c>
      <c r="E1010" s="2">
        <f t="shared" si="30"/>
        <v>43405</v>
      </c>
      <c r="F1010" s="1" t="s">
        <v>15</v>
      </c>
      <c r="G1010" s="1" t="s">
        <v>16</v>
      </c>
      <c r="H1010" s="1">
        <v>-0.55000000000000004</v>
      </c>
      <c r="I1010" s="1">
        <v>0.53</v>
      </c>
      <c r="J1010" s="1">
        <v>-0.01</v>
      </c>
      <c r="K1010" s="1" t="s">
        <v>23</v>
      </c>
      <c r="L1010" s="1">
        <v>2389</v>
      </c>
      <c r="M1010" s="1">
        <v>0.49</v>
      </c>
      <c r="N1010" s="1">
        <v>-0.49689</v>
      </c>
      <c r="O1010" s="1">
        <f>VLOOKUP(D1010,underlying!$D$2:$H$75,5,FALSE)</f>
        <v>-0.13</v>
      </c>
      <c r="P1010" s="2">
        <f>VLOOKUP(D1010,underlying!$D$2:$L$39,9,FALSE)</f>
        <v>43370</v>
      </c>
      <c r="Q1010" s="7">
        <f>IF(G1010="C",NormalCallSprd(O1010,H1010,M1010,(P1010-A1010)/365), NormalPutSprd(O1010,H1010,M1010,(P1010-A1010)/365))</f>
        <v>0.53855627556647068</v>
      </c>
      <c r="R1010" s="9">
        <f t="shared" si="31"/>
        <v>8.5562755664706502E-3</v>
      </c>
    </row>
    <row r="1011" spans="1:18" x14ac:dyDescent="0.2">
      <c r="A1011" s="2">
        <v>42622</v>
      </c>
      <c r="B1011" s="1" t="s">
        <v>13</v>
      </c>
      <c r="C1011" s="1" t="s">
        <v>14</v>
      </c>
      <c r="D1011" s="2">
        <v>43111</v>
      </c>
      <c r="E1011" s="2">
        <f t="shared" si="30"/>
        <v>43405</v>
      </c>
      <c r="F1011" s="1" t="s">
        <v>15</v>
      </c>
      <c r="G1011" s="1" t="s">
        <v>18</v>
      </c>
      <c r="H1011" s="1">
        <v>-0.55000000000000004</v>
      </c>
      <c r="I1011" s="1">
        <v>0.12</v>
      </c>
      <c r="J1011" s="1">
        <v>0.01</v>
      </c>
      <c r="K1011" s="1" t="s">
        <v>23</v>
      </c>
      <c r="L1011" s="1">
        <v>2389</v>
      </c>
      <c r="M1011" s="1">
        <v>0.49</v>
      </c>
      <c r="N1011" s="1">
        <v>-0.46834999999999999</v>
      </c>
      <c r="O1011" s="1">
        <f>VLOOKUP(D1011,underlying!$D$2:$H$75,5,FALSE)</f>
        <v>-0.13</v>
      </c>
      <c r="P1011" s="2">
        <f>VLOOKUP(D1011,underlying!$D$2:$L$39,9,FALSE)</f>
        <v>43370</v>
      </c>
      <c r="Q1011" s="7">
        <f>IF(G1011="C",NormalCallSprd(O1011,H1011,M1011,(P1011-A1011)/365), NormalPutSprd(O1011,H1011,M1011,(P1011-A1011)/365))</f>
        <v>0.11855627556647058</v>
      </c>
      <c r="R1011" s="9">
        <f t="shared" si="31"/>
        <v>1.4437244335294142E-3</v>
      </c>
    </row>
    <row r="1012" spans="1:18" x14ac:dyDescent="0.2">
      <c r="A1012" s="2">
        <v>42622</v>
      </c>
      <c r="B1012" s="1" t="s">
        <v>13</v>
      </c>
      <c r="C1012" s="1" t="s">
        <v>14</v>
      </c>
      <c r="D1012" s="2">
        <v>43111</v>
      </c>
      <c r="E1012" s="2">
        <f t="shared" si="30"/>
        <v>43405</v>
      </c>
      <c r="F1012" s="1" t="s">
        <v>15</v>
      </c>
      <c r="G1012" s="1" t="s">
        <v>16</v>
      </c>
      <c r="H1012" s="1">
        <v>-0.5</v>
      </c>
      <c r="I1012" s="1">
        <v>0.49</v>
      </c>
      <c r="J1012" s="1">
        <v>-0.01</v>
      </c>
      <c r="K1012" s="1" t="s">
        <v>23</v>
      </c>
      <c r="L1012" s="1">
        <v>2389</v>
      </c>
      <c r="M1012" s="1">
        <v>0.48</v>
      </c>
      <c r="N1012" s="1">
        <v>-0.44086999999999998</v>
      </c>
      <c r="O1012" s="1">
        <f>VLOOKUP(D1012,underlying!$D$2:$H$75,5,FALSE)</f>
        <v>-0.13</v>
      </c>
      <c r="P1012" s="2">
        <f>VLOOKUP(D1012,underlying!$D$2:$L$39,9,FALSE)</f>
        <v>43370</v>
      </c>
      <c r="Q1012" s="7">
        <f>IF(G1012="C",NormalCallSprd(O1012,H1012,M1012,(P1012-A1012)/365), NormalPutSprd(O1012,H1012,M1012,(P1012-A1012)/365))</f>
        <v>0.4979372741228042</v>
      </c>
      <c r="R1012" s="9">
        <f t="shared" si="31"/>
        <v>7.9372741228042054E-3</v>
      </c>
    </row>
    <row r="1013" spans="1:18" x14ac:dyDescent="0.2">
      <c r="A1013" s="2">
        <v>42622</v>
      </c>
      <c r="B1013" s="1" t="s">
        <v>13</v>
      </c>
      <c r="C1013" s="1" t="s">
        <v>14</v>
      </c>
      <c r="D1013" s="2">
        <v>43111</v>
      </c>
      <c r="E1013" s="2">
        <f t="shared" si="30"/>
        <v>43405</v>
      </c>
      <c r="F1013" s="1" t="s">
        <v>15</v>
      </c>
      <c r="G1013" s="1" t="s">
        <v>18</v>
      </c>
      <c r="H1013" s="1">
        <v>-0.5</v>
      </c>
      <c r="I1013" s="1">
        <v>0.13</v>
      </c>
      <c r="J1013" s="1">
        <v>0.01</v>
      </c>
      <c r="K1013" s="1" t="s">
        <v>23</v>
      </c>
      <c r="L1013" s="1">
        <v>2389</v>
      </c>
      <c r="M1013" s="1">
        <v>0.48</v>
      </c>
      <c r="N1013" s="1">
        <v>-0.41493999999999998</v>
      </c>
      <c r="O1013" s="1">
        <f>VLOOKUP(D1013,underlying!$D$2:$H$75,5,FALSE)</f>
        <v>-0.13</v>
      </c>
      <c r="P1013" s="2">
        <f>VLOOKUP(D1013,underlying!$D$2:$L$39,9,FALSE)</f>
        <v>43370</v>
      </c>
      <c r="Q1013" s="7">
        <f>IF(G1013="C",NormalCallSprd(O1013,H1013,M1013,(P1013-A1013)/365), NormalPutSprd(O1013,H1013,M1013,(P1013-A1013)/365))</f>
        <v>0.12793727412280417</v>
      </c>
      <c r="R1013" s="9">
        <f t="shared" si="31"/>
        <v>2.0627258771958312E-3</v>
      </c>
    </row>
    <row r="1014" spans="1:18" x14ac:dyDescent="0.2">
      <c r="A1014" s="2">
        <v>42622</v>
      </c>
      <c r="B1014" s="1" t="s">
        <v>13</v>
      </c>
      <c r="C1014" s="1" t="s">
        <v>14</v>
      </c>
      <c r="D1014" s="2">
        <v>43111</v>
      </c>
      <c r="E1014" s="2">
        <f t="shared" si="30"/>
        <v>43405</v>
      </c>
      <c r="F1014" s="1" t="s">
        <v>15</v>
      </c>
      <c r="G1014" s="1" t="s">
        <v>16</v>
      </c>
      <c r="H1014" s="1">
        <v>-0.45</v>
      </c>
      <c r="I1014" s="1">
        <v>0.46</v>
      </c>
      <c r="J1014" s="1">
        <v>0</v>
      </c>
      <c r="K1014" s="1" t="s">
        <v>23</v>
      </c>
      <c r="L1014" s="1">
        <v>2389</v>
      </c>
      <c r="M1014" s="1">
        <v>0.48</v>
      </c>
      <c r="N1014" s="1">
        <v>-0.39045999999999997</v>
      </c>
      <c r="O1014" s="1">
        <f>VLOOKUP(D1014,underlying!$D$2:$H$75,5,FALSE)</f>
        <v>-0.13</v>
      </c>
      <c r="P1014" s="2">
        <f>VLOOKUP(D1014,underlying!$D$2:$L$39,9,FALSE)</f>
        <v>43370</v>
      </c>
      <c r="Q1014" s="7">
        <f>IF(G1014="C",NormalCallSprd(O1014,H1014,M1014,(P1014-A1014)/365), NormalPutSprd(O1014,H1014,M1014,(P1014-A1014)/365))</f>
        <v>0.46332949123335565</v>
      </c>
      <c r="R1014" s="9">
        <f t="shared" si="31"/>
        <v>3.3294912333556304E-3</v>
      </c>
    </row>
    <row r="1015" spans="1:18" x14ac:dyDescent="0.2">
      <c r="A1015" s="2">
        <v>42622</v>
      </c>
      <c r="B1015" s="1" t="s">
        <v>13</v>
      </c>
      <c r="C1015" s="1" t="s">
        <v>14</v>
      </c>
      <c r="D1015" s="2">
        <v>43111</v>
      </c>
      <c r="E1015" s="2">
        <f t="shared" si="30"/>
        <v>43405</v>
      </c>
      <c r="F1015" s="1" t="s">
        <v>15</v>
      </c>
      <c r="G1015" s="1" t="s">
        <v>18</v>
      </c>
      <c r="H1015" s="1">
        <v>-0.45</v>
      </c>
      <c r="I1015" s="1">
        <v>0.14000000000000001</v>
      </c>
      <c r="J1015" s="1">
        <v>0</v>
      </c>
      <c r="K1015" s="1" t="s">
        <v>23</v>
      </c>
      <c r="L1015" s="1">
        <v>2389</v>
      </c>
      <c r="M1015" s="1">
        <v>0.48</v>
      </c>
      <c r="N1015" s="1">
        <v>-0.36532999999999999</v>
      </c>
      <c r="O1015" s="1">
        <f>VLOOKUP(D1015,underlying!$D$2:$H$75,5,FALSE)</f>
        <v>-0.13</v>
      </c>
      <c r="P1015" s="2">
        <f>VLOOKUP(D1015,underlying!$D$2:$L$39,9,FALSE)</f>
        <v>43370</v>
      </c>
      <c r="Q1015" s="7">
        <f>IF(G1015="C",NormalCallSprd(O1015,H1015,M1015,(P1015-A1015)/365), NormalPutSprd(O1015,H1015,M1015,(P1015-A1015)/365))</f>
        <v>0.14332949123335567</v>
      </c>
      <c r="R1015" s="9">
        <f t="shared" si="31"/>
        <v>3.3294912333556581E-3</v>
      </c>
    </row>
    <row r="1016" spans="1:18" x14ac:dyDescent="0.2">
      <c r="A1016" s="2">
        <v>42622</v>
      </c>
      <c r="B1016" s="1" t="s">
        <v>13</v>
      </c>
      <c r="C1016" s="1" t="s">
        <v>14</v>
      </c>
      <c r="D1016" s="2">
        <v>43111</v>
      </c>
      <c r="E1016" s="2">
        <f t="shared" si="30"/>
        <v>43405</v>
      </c>
      <c r="F1016" s="1" t="s">
        <v>15</v>
      </c>
      <c r="G1016" s="1" t="s">
        <v>16</v>
      </c>
      <c r="H1016" s="1">
        <v>-0.4</v>
      </c>
      <c r="I1016" s="1">
        <v>0.42</v>
      </c>
      <c r="J1016" s="1">
        <v>-0.01</v>
      </c>
      <c r="K1016" s="1" t="s">
        <v>23</v>
      </c>
      <c r="L1016" s="1">
        <v>2389</v>
      </c>
      <c r="M1016" s="1">
        <v>0.48</v>
      </c>
      <c r="N1016" s="1">
        <v>-0.34277999999999997</v>
      </c>
      <c r="O1016" s="1">
        <f>VLOOKUP(D1016,underlying!$D$2:$H$75,5,FALSE)</f>
        <v>-0.13</v>
      </c>
      <c r="P1016" s="2">
        <f>VLOOKUP(D1016,underlying!$D$2:$L$39,9,FALSE)</f>
        <v>43370</v>
      </c>
      <c r="Q1016" s="7">
        <f>IF(G1016="C",NormalCallSprd(O1016,H1016,M1016,(P1016-A1016)/365), NormalPutSprd(O1016,H1016,M1016,(P1016-A1016)/365))</f>
        <v>0.43002355763216887</v>
      </c>
      <c r="R1016" s="9">
        <f t="shared" si="31"/>
        <v>1.0023557632168889E-2</v>
      </c>
    </row>
    <row r="1017" spans="1:18" x14ac:dyDescent="0.2">
      <c r="A1017" s="2">
        <v>42622</v>
      </c>
      <c r="B1017" s="1" t="s">
        <v>13</v>
      </c>
      <c r="C1017" s="1" t="s">
        <v>14</v>
      </c>
      <c r="D1017" s="2">
        <v>43111</v>
      </c>
      <c r="E1017" s="2">
        <f t="shared" si="30"/>
        <v>43405</v>
      </c>
      <c r="F1017" s="1" t="s">
        <v>15</v>
      </c>
      <c r="G1017" s="1" t="s">
        <v>18</v>
      </c>
      <c r="H1017" s="1">
        <v>-0.4</v>
      </c>
      <c r="I1017" s="1">
        <v>0.16</v>
      </c>
      <c r="J1017" s="1">
        <v>0.01</v>
      </c>
      <c r="K1017" s="1" t="s">
        <v>23</v>
      </c>
      <c r="L1017" s="1">
        <v>2389</v>
      </c>
      <c r="M1017" s="1">
        <v>0.48</v>
      </c>
      <c r="N1017" s="1">
        <v>-0.32214999999999999</v>
      </c>
      <c r="O1017" s="1">
        <f>VLOOKUP(D1017,underlying!$D$2:$H$75,5,FALSE)</f>
        <v>-0.13</v>
      </c>
      <c r="P1017" s="2">
        <f>VLOOKUP(D1017,underlying!$D$2:$L$39,9,FALSE)</f>
        <v>43370</v>
      </c>
      <c r="Q1017" s="7">
        <f>IF(G1017="C",NormalCallSprd(O1017,H1017,M1017,(P1017-A1017)/365), NormalPutSprd(O1017,H1017,M1017,(P1017-A1017)/365))</f>
        <v>0.16002355763216886</v>
      </c>
      <c r="R1017" s="9">
        <f t="shared" si="31"/>
        <v>2.3557632168852427E-5</v>
      </c>
    </row>
    <row r="1018" spans="1:18" x14ac:dyDescent="0.2">
      <c r="A1018" s="2">
        <v>42622</v>
      </c>
      <c r="B1018" s="1" t="s">
        <v>13</v>
      </c>
      <c r="C1018" s="1" t="s">
        <v>14</v>
      </c>
      <c r="D1018" s="2">
        <v>43111</v>
      </c>
      <c r="E1018" s="2">
        <f t="shared" si="30"/>
        <v>43405</v>
      </c>
      <c r="F1018" s="1" t="s">
        <v>15</v>
      </c>
      <c r="G1018" s="1" t="s">
        <v>16</v>
      </c>
      <c r="H1018" s="1">
        <v>-0.35</v>
      </c>
      <c r="I1018" s="1">
        <v>0.39</v>
      </c>
      <c r="J1018" s="1">
        <v>-0.01</v>
      </c>
      <c r="K1018" s="1" t="s">
        <v>23</v>
      </c>
      <c r="L1018" s="1">
        <v>2389</v>
      </c>
      <c r="M1018" s="1">
        <v>0.47</v>
      </c>
      <c r="N1018" s="1">
        <v>-0.29998000000000002</v>
      </c>
      <c r="O1018" s="1">
        <f>VLOOKUP(D1018,underlying!$D$2:$H$75,5,FALSE)</f>
        <v>-0.13</v>
      </c>
      <c r="P1018" s="2">
        <f>VLOOKUP(D1018,underlying!$D$2:$L$39,9,FALSE)</f>
        <v>43370</v>
      </c>
      <c r="Q1018" s="7">
        <f>IF(G1018="C",NormalCallSprd(O1018,H1018,M1018,(P1018-A1018)/365), NormalPutSprd(O1018,H1018,M1018,(P1018-A1018)/365))</f>
        <v>0.3926409655432368</v>
      </c>
      <c r="R1018" s="9">
        <f t="shared" si="31"/>
        <v>2.640965543236784E-3</v>
      </c>
    </row>
    <row r="1019" spans="1:18" x14ac:dyDescent="0.2">
      <c r="A1019" s="2">
        <v>42622</v>
      </c>
      <c r="B1019" s="1" t="s">
        <v>13</v>
      </c>
      <c r="C1019" s="1" t="s">
        <v>14</v>
      </c>
      <c r="D1019" s="2">
        <v>43111</v>
      </c>
      <c r="E1019" s="2">
        <f t="shared" si="30"/>
        <v>43405</v>
      </c>
      <c r="F1019" s="1" t="s">
        <v>15</v>
      </c>
      <c r="G1019" s="1" t="s">
        <v>18</v>
      </c>
      <c r="H1019" s="1">
        <v>-0.35</v>
      </c>
      <c r="I1019" s="1">
        <v>0.17</v>
      </c>
      <c r="J1019" s="1">
        <v>0</v>
      </c>
      <c r="K1019" s="1" t="s">
        <v>23</v>
      </c>
      <c r="L1019" s="1">
        <v>2389</v>
      </c>
      <c r="M1019" s="1">
        <v>0.47</v>
      </c>
      <c r="N1019" s="1">
        <v>-0.28104000000000001</v>
      </c>
      <c r="O1019" s="1">
        <f>VLOOKUP(D1019,underlying!$D$2:$H$75,5,FALSE)</f>
        <v>-0.13</v>
      </c>
      <c r="P1019" s="2">
        <f>VLOOKUP(D1019,underlying!$D$2:$L$39,9,FALSE)</f>
        <v>43370</v>
      </c>
      <c r="Q1019" s="7">
        <f>IF(G1019="C",NormalCallSprd(O1019,H1019,M1019,(P1019-A1019)/365), NormalPutSprd(O1019,H1019,M1019,(P1019-A1019)/365))</f>
        <v>0.1726409655432368</v>
      </c>
      <c r="R1019" s="9">
        <f t="shared" si="31"/>
        <v>2.640965543236784E-3</v>
      </c>
    </row>
    <row r="1020" spans="1:18" x14ac:dyDescent="0.2">
      <c r="A1020" s="2">
        <v>42622</v>
      </c>
      <c r="B1020" s="1" t="s">
        <v>13</v>
      </c>
      <c r="C1020" s="1" t="s">
        <v>14</v>
      </c>
      <c r="D1020" s="2">
        <v>43111</v>
      </c>
      <c r="E1020" s="2">
        <f t="shared" si="30"/>
        <v>43405</v>
      </c>
      <c r="F1020" s="1" t="s">
        <v>15</v>
      </c>
      <c r="G1020" s="1" t="s">
        <v>16</v>
      </c>
      <c r="H1020" s="1">
        <v>-0.3</v>
      </c>
      <c r="I1020" s="1">
        <v>0.35</v>
      </c>
      <c r="J1020" s="1">
        <v>-0.01</v>
      </c>
      <c r="K1020" s="1" t="s">
        <v>23</v>
      </c>
      <c r="L1020" s="1">
        <v>2389</v>
      </c>
      <c r="M1020" s="1">
        <v>0.46</v>
      </c>
      <c r="N1020" s="1">
        <v>-0.26082</v>
      </c>
      <c r="O1020" s="1">
        <f>VLOOKUP(D1020,underlying!$D$2:$H$75,5,FALSE)</f>
        <v>-0.13</v>
      </c>
      <c r="P1020" s="2">
        <f>VLOOKUP(D1020,underlying!$D$2:$L$39,9,FALSE)</f>
        <v>43370</v>
      </c>
      <c r="Q1020" s="7">
        <f>IF(G1020="C",NormalCallSprd(O1020,H1020,M1020,(P1020-A1020)/365), NormalPutSprd(O1020,H1020,M1020,(P1020-A1020)/365))</f>
        <v>0.35641326234342113</v>
      </c>
      <c r="R1020" s="9">
        <f t="shared" si="31"/>
        <v>6.4132623434211555E-3</v>
      </c>
    </row>
    <row r="1021" spans="1:18" x14ac:dyDescent="0.2">
      <c r="A1021" s="2">
        <v>42622</v>
      </c>
      <c r="B1021" s="1" t="s">
        <v>13</v>
      </c>
      <c r="C1021" s="1" t="s">
        <v>14</v>
      </c>
      <c r="D1021" s="2">
        <v>43111</v>
      </c>
      <c r="E1021" s="2">
        <f t="shared" si="30"/>
        <v>43405</v>
      </c>
      <c r="F1021" s="1" t="s">
        <v>15</v>
      </c>
      <c r="G1021" s="1" t="s">
        <v>18</v>
      </c>
      <c r="H1021" s="1">
        <v>-0.3</v>
      </c>
      <c r="I1021" s="1">
        <v>0.18</v>
      </c>
      <c r="J1021" s="1">
        <v>0</v>
      </c>
      <c r="K1021" s="1" t="s">
        <v>23</v>
      </c>
      <c r="L1021" s="1">
        <v>2389</v>
      </c>
      <c r="M1021" s="1">
        <v>0.46</v>
      </c>
      <c r="N1021" s="1">
        <v>-0.17580000000000001</v>
      </c>
      <c r="O1021" s="1">
        <f>VLOOKUP(D1021,underlying!$D$2:$H$75,5,FALSE)</f>
        <v>-0.13</v>
      </c>
      <c r="P1021" s="2">
        <f>VLOOKUP(D1021,underlying!$D$2:$L$39,9,FALSE)</f>
        <v>43370</v>
      </c>
      <c r="Q1021" s="7">
        <f>IF(G1021="C",NormalCallSprd(O1021,H1021,M1021,(P1021-A1021)/365), NormalPutSprd(O1021,H1021,M1021,(P1021-A1021)/365))</f>
        <v>0.18641326234342115</v>
      </c>
      <c r="R1021" s="9">
        <f t="shared" si="31"/>
        <v>6.4132623434211555E-3</v>
      </c>
    </row>
    <row r="1022" spans="1:18" x14ac:dyDescent="0.2">
      <c r="A1022" s="2">
        <v>42622</v>
      </c>
      <c r="B1022" s="1" t="s">
        <v>13</v>
      </c>
      <c r="C1022" s="1" t="s">
        <v>14</v>
      </c>
      <c r="D1022" s="2">
        <v>43111</v>
      </c>
      <c r="E1022" s="2">
        <f t="shared" si="30"/>
        <v>43405</v>
      </c>
      <c r="F1022" s="1" t="s">
        <v>15</v>
      </c>
      <c r="G1022" s="1" t="s">
        <v>16</v>
      </c>
      <c r="H1022" s="1">
        <v>-0.25</v>
      </c>
      <c r="I1022" s="1">
        <v>0.32</v>
      </c>
      <c r="J1022" s="1">
        <v>-0.01</v>
      </c>
      <c r="K1022" s="1" t="s">
        <v>23</v>
      </c>
      <c r="L1022" s="1">
        <v>2389</v>
      </c>
      <c r="M1022" s="1">
        <v>0.46</v>
      </c>
      <c r="N1022" s="1">
        <v>-5.0770000000000003E-2</v>
      </c>
      <c r="O1022" s="1">
        <f>VLOOKUP(D1022,underlying!$D$2:$H$75,5,FALSE)</f>
        <v>-0.13</v>
      </c>
      <c r="P1022" s="2">
        <f>VLOOKUP(D1022,underlying!$D$2:$L$39,9,FALSE)</f>
        <v>43370</v>
      </c>
      <c r="Q1022" s="7">
        <f>IF(G1022="C",NormalCallSprd(O1022,H1022,M1022,(P1022-A1022)/365), NormalPutSprd(O1022,H1022,M1022,(P1022-A1022)/365))</f>
        <v>0.32705729048866711</v>
      </c>
      <c r="R1022" s="9">
        <f t="shared" si="31"/>
        <v>7.0572904886671006E-3</v>
      </c>
    </row>
    <row r="1023" spans="1:18" x14ac:dyDescent="0.2">
      <c r="A1023" s="2">
        <v>42622</v>
      </c>
      <c r="B1023" s="1" t="s">
        <v>13</v>
      </c>
      <c r="C1023" s="1" t="s">
        <v>14</v>
      </c>
      <c r="D1023" s="2">
        <v>43111</v>
      </c>
      <c r="E1023" s="2">
        <f t="shared" si="30"/>
        <v>43405</v>
      </c>
      <c r="F1023" s="1" t="s">
        <v>15</v>
      </c>
      <c r="G1023" s="1" t="s">
        <v>18</v>
      </c>
      <c r="H1023" s="1">
        <v>-0.25</v>
      </c>
      <c r="I1023" s="1">
        <v>0.2</v>
      </c>
      <c r="J1023" s="1">
        <v>0</v>
      </c>
      <c r="K1023" s="1" t="s">
        <v>23</v>
      </c>
      <c r="L1023" s="1">
        <v>2389</v>
      </c>
      <c r="M1023" s="1">
        <v>0.46</v>
      </c>
      <c r="N1023" s="1">
        <v>-1.409E-2</v>
      </c>
      <c r="O1023" s="1">
        <f>VLOOKUP(D1023,underlying!$D$2:$H$75,5,FALSE)</f>
        <v>-0.13</v>
      </c>
      <c r="P1023" s="2">
        <f>VLOOKUP(D1023,underlying!$D$2:$L$39,9,FALSE)</f>
        <v>43370</v>
      </c>
      <c r="Q1023" s="7">
        <f>IF(G1023="C",NormalCallSprd(O1023,H1023,M1023,(P1023-A1023)/365), NormalPutSprd(O1023,H1023,M1023,(P1023-A1023)/365))</f>
        <v>0.20705729048866711</v>
      </c>
      <c r="R1023" s="9">
        <f t="shared" si="31"/>
        <v>7.0572904886671006E-3</v>
      </c>
    </row>
    <row r="1024" spans="1:18" x14ac:dyDescent="0.2">
      <c r="A1024" s="2">
        <v>42622</v>
      </c>
      <c r="B1024" s="1" t="s">
        <v>13</v>
      </c>
      <c r="C1024" s="1" t="s">
        <v>14</v>
      </c>
      <c r="D1024" s="2">
        <v>43111</v>
      </c>
      <c r="E1024" s="2">
        <f t="shared" si="30"/>
        <v>43405</v>
      </c>
      <c r="F1024" s="1" t="s">
        <v>15</v>
      </c>
      <c r="G1024" s="1" t="s">
        <v>16</v>
      </c>
      <c r="H1024" s="1">
        <v>-0.2</v>
      </c>
      <c r="I1024" s="1">
        <v>0.3</v>
      </c>
      <c r="J1024" s="1">
        <v>0</v>
      </c>
      <c r="K1024" s="1" t="s">
        <v>23</v>
      </c>
      <c r="L1024" s="1">
        <v>2389</v>
      </c>
      <c r="M1024" s="1">
        <v>0.46</v>
      </c>
      <c r="N1024" s="1">
        <v>0.31037999999999999</v>
      </c>
      <c r="O1024" s="1">
        <f>VLOOKUP(D1024,underlying!$D$2:$H$75,5,FALSE)</f>
        <v>-0.13</v>
      </c>
      <c r="P1024" s="2">
        <f>VLOOKUP(D1024,underlying!$D$2:$L$39,9,FALSE)</f>
        <v>43370</v>
      </c>
      <c r="Q1024" s="7">
        <f>IF(G1024="C",NormalCallSprd(O1024,H1024,M1024,(P1024-A1024)/365), NormalPutSprd(O1024,H1024,M1024,(P1024-A1024)/365))</f>
        <v>0.29919025203135519</v>
      </c>
      <c r="R1024" s="9">
        <f t="shared" si="31"/>
        <v>8.0974796864480281E-4</v>
      </c>
    </row>
    <row r="1025" spans="1:18" x14ac:dyDescent="0.2">
      <c r="A1025" s="2">
        <v>42622</v>
      </c>
      <c r="B1025" s="1" t="s">
        <v>13</v>
      </c>
      <c r="C1025" s="1" t="s">
        <v>14</v>
      </c>
      <c r="D1025" s="2">
        <v>43111</v>
      </c>
      <c r="E1025" s="2">
        <f t="shared" si="30"/>
        <v>43405</v>
      </c>
      <c r="F1025" s="1" t="s">
        <v>15</v>
      </c>
      <c r="G1025" s="1" t="s">
        <v>18</v>
      </c>
      <c r="H1025" s="1">
        <v>-0.2</v>
      </c>
      <c r="I1025" s="1">
        <v>0.23</v>
      </c>
      <c r="J1025" s="1">
        <v>0.01</v>
      </c>
      <c r="K1025" s="1" t="s">
        <v>23</v>
      </c>
      <c r="L1025" s="1">
        <v>2389</v>
      </c>
      <c r="M1025" s="1">
        <v>0.46</v>
      </c>
      <c r="N1025" s="1">
        <v>0.34221000000000001</v>
      </c>
      <c r="O1025" s="1">
        <f>VLOOKUP(D1025,underlying!$D$2:$H$75,5,FALSE)</f>
        <v>-0.13</v>
      </c>
      <c r="P1025" s="2">
        <f>VLOOKUP(D1025,underlying!$D$2:$L$39,9,FALSE)</f>
        <v>43370</v>
      </c>
      <c r="Q1025" s="7">
        <f>IF(G1025="C",NormalCallSprd(O1025,H1025,M1025,(P1025-A1025)/365), NormalPutSprd(O1025,H1025,M1025,(P1025-A1025)/365))</f>
        <v>0.22919025203135518</v>
      </c>
      <c r="R1025" s="9">
        <f t="shared" si="31"/>
        <v>8.0974796864483056E-4</v>
      </c>
    </row>
    <row r="1026" spans="1:18" x14ac:dyDescent="0.2">
      <c r="A1026" s="2">
        <v>42622</v>
      </c>
      <c r="B1026" s="1" t="s">
        <v>13</v>
      </c>
      <c r="C1026" s="1" t="s">
        <v>14</v>
      </c>
      <c r="D1026" s="2">
        <v>43111</v>
      </c>
      <c r="E1026" s="2">
        <f t="shared" ref="E1026:E1089" si="32">DATE(YEAR(D1026),DAY(D1026),MONTH(D1026))</f>
        <v>43405</v>
      </c>
      <c r="F1026" s="1" t="s">
        <v>15</v>
      </c>
      <c r="G1026" s="1" t="s">
        <v>16</v>
      </c>
      <c r="H1026" s="1">
        <v>-0.15</v>
      </c>
      <c r="I1026" s="1">
        <v>0.27</v>
      </c>
      <c r="J1026" s="1">
        <v>0</v>
      </c>
      <c r="K1026" s="1" t="s">
        <v>23</v>
      </c>
      <c r="L1026" s="1">
        <v>2389</v>
      </c>
      <c r="M1026" s="1">
        <v>0.46</v>
      </c>
      <c r="N1026" s="1">
        <v>0.37697000000000003</v>
      </c>
      <c r="O1026" s="1">
        <f>VLOOKUP(D1026,underlying!$D$2:$H$75,5,FALSE)</f>
        <v>-0.13</v>
      </c>
      <c r="P1026" s="2">
        <f>VLOOKUP(D1026,underlying!$D$2:$L$39,9,FALSE)</f>
        <v>43370</v>
      </c>
      <c r="Q1026" s="7">
        <f>IF(G1026="C",NormalCallSprd(O1026,H1026,M1026,(P1026-A1026)/365), NormalPutSprd(O1026,H1026,M1026,(P1026-A1026)/365))</f>
        <v>0.27282853043656474</v>
      </c>
      <c r="R1026" s="9">
        <f t="shared" si="31"/>
        <v>2.8285304365647246E-3</v>
      </c>
    </row>
    <row r="1027" spans="1:18" x14ac:dyDescent="0.2">
      <c r="A1027" s="2">
        <v>42622</v>
      </c>
      <c r="B1027" s="1" t="s">
        <v>13</v>
      </c>
      <c r="C1027" s="1" t="s">
        <v>14</v>
      </c>
      <c r="D1027" s="2">
        <v>43111</v>
      </c>
      <c r="E1027" s="2">
        <f t="shared" si="32"/>
        <v>43405</v>
      </c>
      <c r="F1027" s="1" t="s">
        <v>15</v>
      </c>
      <c r="G1027" s="1" t="s">
        <v>18</v>
      </c>
      <c r="H1027" s="1">
        <v>-0.15</v>
      </c>
      <c r="I1027" s="1">
        <v>0.25</v>
      </c>
      <c r="J1027" s="1">
        <v>0.01</v>
      </c>
      <c r="K1027" s="1" t="s">
        <v>23</v>
      </c>
      <c r="L1027" s="1">
        <v>2389</v>
      </c>
      <c r="M1027" s="1">
        <v>0.46</v>
      </c>
      <c r="N1027" s="1">
        <v>0.41366999999999998</v>
      </c>
      <c r="O1027" s="1">
        <f>VLOOKUP(D1027,underlying!$D$2:$H$75,5,FALSE)</f>
        <v>-0.13</v>
      </c>
      <c r="P1027" s="2">
        <f>VLOOKUP(D1027,underlying!$D$2:$L$39,9,FALSE)</f>
        <v>43370</v>
      </c>
      <c r="Q1027" s="7">
        <f>IF(G1027="C",NormalCallSprd(O1027,H1027,M1027,(P1027-A1027)/365), NormalPutSprd(O1027,H1027,M1027,(P1027-A1027)/365))</f>
        <v>0.25282853043656472</v>
      </c>
      <c r="R1027" s="9">
        <f t="shared" ref="R1027:R1090" si="33">ABS(Q1027-I1027)</f>
        <v>2.8285304365647246E-3</v>
      </c>
    </row>
    <row r="1028" spans="1:18" x14ac:dyDescent="0.2">
      <c r="A1028" s="2">
        <v>42622</v>
      </c>
      <c r="B1028" s="1" t="s">
        <v>13</v>
      </c>
      <c r="C1028" s="1" t="s">
        <v>14</v>
      </c>
      <c r="D1028" s="2">
        <v>43111</v>
      </c>
      <c r="E1028" s="2">
        <f t="shared" si="32"/>
        <v>43405</v>
      </c>
      <c r="F1028" s="1" t="s">
        <v>15</v>
      </c>
      <c r="G1028" s="1" t="s">
        <v>16</v>
      </c>
      <c r="H1028" s="1">
        <v>-0.1</v>
      </c>
      <c r="I1028" s="1">
        <v>0.24</v>
      </c>
      <c r="J1028" s="1">
        <v>-0.01</v>
      </c>
      <c r="K1028" s="1" t="s">
        <v>23</v>
      </c>
      <c r="L1028" s="1">
        <v>2389</v>
      </c>
      <c r="M1028" s="1">
        <v>0.46</v>
      </c>
      <c r="N1028" s="1">
        <v>0.45145999999999997</v>
      </c>
      <c r="O1028" s="1">
        <f>VLOOKUP(D1028,underlying!$D$2:$H$75,5,FALSE)</f>
        <v>-0.13</v>
      </c>
      <c r="P1028" s="2">
        <f>VLOOKUP(D1028,underlying!$D$2:$L$39,9,FALSE)</f>
        <v>43370</v>
      </c>
      <c r="Q1028" s="7">
        <f>IF(G1028="C",NormalCallSprd(O1028,H1028,M1028,(P1028-A1028)/365), NormalPutSprd(O1028,H1028,M1028,(P1028-A1028)/365))</f>
        <v>0.247979949093623</v>
      </c>
      <c r="R1028" s="9">
        <f t="shared" si="33"/>
        <v>7.9799490936230122E-3</v>
      </c>
    </row>
    <row r="1029" spans="1:18" x14ac:dyDescent="0.2">
      <c r="A1029" s="2">
        <v>42622</v>
      </c>
      <c r="B1029" s="1" t="s">
        <v>13</v>
      </c>
      <c r="C1029" s="1" t="s">
        <v>14</v>
      </c>
      <c r="D1029" s="2">
        <v>43111</v>
      </c>
      <c r="E1029" s="2">
        <f t="shared" si="32"/>
        <v>43405</v>
      </c>
      <c r="F1029" s="1" t="s">
        <v>15</v>
      </c>
      <c r="G1029" s="1" t="s">
        <v>18</v>
      </c>
      <c r="H1029" s="1">
        <v>-0.1</v>
      </c>
      <c r="I1029" s="1">
        <v>0.27</v>
      </c>
      <c r="J1029" s="1">
        <v>0</v>
      </c>
      <c r="K1029" s="1" t="s">
        <v>23</v>
      </c>
      <c r="L1029" s="1">
        <v>2389</v>
      </c>
      <c r="M1029" s="1">
        <v>0.46</v>
      </c>
      <c r="N1029" s="1">
        <v>0.49048000000000003</v>
      </c>
      <c r="O1029" s="1">
        <f>VLOOKUP(D1029,underlying!$D$2:$H$75,5,FALSE)</f>
        <v>-0.13</v>
      </c>
      <c r="P1029" s="2">
        <f>VLOOKUP(D1029,underlying!$D$2:$L$39,9,FALSE)</f>
        <v>43370</v>
      </c>
      <c r="Q1029" s="7">
        <f>IF(G1029="C",NormalCallSprd(O1029,H1029,M1029,(P1029-A1029)/365), NormalPutSprd(O1029,H1029,M1029,(P1029-A1029)/365))</f>
        <v>0.277979949093623</v>
      </c>
      <c r="R1029" s="9">
        <f t="shared" si="33"/>
        <v>7.9799490936229844E-3</v>
      </c>
    </row>
    <row r="1030" spans="1:18" x14ac:dyDescent="0.2">
      <c r="A1030" s="2">
        <v>42622</v>
      </c>
      <c r="B1030" s="1" t="s">
        <v>13</v>
      </c>
      <c r="C1030" s="1" t="s">
        <v>14</v>
      </c>
      <c r="D1030" s="2">
        <v>43111</v>
      </c>
      <c r="E1030" s="2">
        <f t="shared" si="32"/>
        <v>43405</v>
      </c>
      <c r="F1030" s="1" t="s">
        <v>15</v>
      </c>
      <c r="G1030" s="1" t="s">
        <v>16</v>
      </c>
      <c r="H1030" s="1">
        <v>-0.05</v>
      </c>
      <c r="I1030" s="1">
        <v>0.22</v>
      </c>
      <c r="J1030" s="1">
        <v>-0.01</v>
      </c>
      <c r="K1030" s="1" t="s">
        <v>23</v>
      </c>
      <c r="L1030" s="1">
        <v>2389</v>
      </c>
      <c r="M1030" s="1">
        <v>0.46</v>
      </c>
      <c r="N1030" s="1">
        <v>0.52958000000000005</v>
      </c>
      <c r="O1030" s="1">
        <f>VLOOKUP(D1030,underlying!$D$2:$H$75,5,FALSE)</f>
        <v>-0.13</v>
      </c>
      <c r="P1030" s="2">
        <f>VLOOKUP(D1030,underlying!$D$2:$L$39,9,FALSE)</f>
        <v>43370</v>
      </c>
      <c r="Q1030" s="7">
        <f>IF(G1030="C",NormalCallSprd(O1030,H1030,M1030,(P1030-A1030)/365), NormalPutSprd(O1030,H1030,M1030,(P1030-A1030)/365))</f>
        <v>0.22464363673302762</v>
      </c>
      <c r="R1030" s="9">
        <f t="shared" si="33"/>
        <v>4.6436367330276174E-3</v>
      </c>
    </row>
    <row r="1031" spans="1:18" x14ac:dyDescent="0.2">
      <c r="A1031" s="2">
        <v>42622</v>
      </c>
      <c r="B1031" s="1" t="s">
        <v>13</v>
      </c>
      <c r="C1031" s="1" t="s">
        <v>14</v>
      </c>
      <c r="D1031" s="2">
        <v>43111</v>
      </c>
      <c r="E1031" s="2">
        <f t="shared" si="32"/>
        <v>43405</v>
      </c>
      <c r="F1031" s="1" t="s">
        <v>15</v>
      </c>
      <c r="G1031" s="1" t="s">
        <v>18</v>
      </c>
      <c r="H1031" s="1">
        <v>-0.05</v>
      </c>
      <c r="I1031" s="1">
        <v>0.3</v>
      </c>
      <c r="J1031" s="1">
        <v>0</v>
      </c>
      <c r="K1031" s="1" t="s">
        <v>23</v>
      </c>
      <c r="L1031" s="1">
        <v>2389</v>
      </c>
      <c r="M1031" s="1">
        <v>0.46</v>
      </c>
      <c r="N1031" s="1">
        <v>0.56838</v>
      </c>
      <c r="O1031" s="1">
        <f>VLOOKUP(D1031,underlying!$D$2:$H$75,5,FALSE)</f>
        <v>-0.13</v>
      </c>
      <c r="P1031" s="2">
        <f>VLOOKUP(D1031,underlying!$D$2:$L$39,9,FALSE)</f>
        <v>43370</v>
      </c>
      <c r="Q1031" s="7">
        <f>IF(G1031="C",NormalCallSprd(O1031,H1031,M1031,(P1031-A1031)/365), NormalPutSprd(O1031,H1031,M1031,(P1031-A1031)/365))</f>
        <v>0.30464363673302763</v>
      </c>
      <c r="R1031" s="9">
        <f t="shared" si="33"/>
        <v>4.6436367330276451E-3</v>
      </c>
    </row>
    <row r="1032" spans="1:18" x14ac:dyDescent="0.2">
      <c r="A1032" s="2">
        <v>42622</v>
      </c>
      <c r="B1032" s="1" t="s">
        <v>13</v>
      </c>
      <c r="C1032" s="1" t="s">
        <v>14</v>
      </c>
      <c r="D1032" s="2">
        <v>43112</v>
      </c>
      <c r="E1032" s="2">
        <f t="shared" si="32"/>
        <v>43435</v>
      </c>
      <c r="F1032" s="1" t="s">
        <v>15</v>
      </c>
      <c r="G1032" s="1" t="s">
        <v>16</v>
      </c>
      <c r="H1032" s="1">
        <v>-20</v>
      </c>
      <c r="I1032" s="1">
        <v>19.54</v>
      </c>
      <c r="J1032" s="1">
        <v>-0.02</v>
      </c>
      <c r="K1032" s="1" t="s">
        <v>30</v>
      </c>
      <c r="L1032" s="1">
        <v>2389</v>
      </c>
      <c r="M1032" s="1">
        <v>0.82</v>
      </c>
      <c r="N1032" s="1">
        <v>0.60650000000000004</v>
      </c>
      <c r="O1032" s="1">
        <f>VLOOKUP(D1032,underlying!$D$2:$H$75,5,FALSE)</f>
        <v>-0.18</v>
      </c>
      <c r="P1032" s="2">
        <f>VLOOKUP(D1032,underlying!$D$2:$L$39,9,FALSE)</f>
        <v>43403</v>
      </c>
      <c r="Q1032" s="7">
        <f>IF(G1032="C",NormalCallSprd(O1032,H1032,M1032,(P1032-A1032)/365), NormalPutSprd(O1032,H1032,M1032,(P1032-A1032)/365))</f>
        <v>19.82</v>
      </c>
      <c r="R1032" s="9">
        <f t="shared" si="33"/>
        <v>0.28000000000000114</v>
      </c>
    </row>
    <row r="1033" spans="1:18" x14ac:dyDescent="0.2">
      <c r="A1033" s="2">
        <v>42622</v>
      </c>
      <c r="B1033" s="1" t="s">
        <v>13</v>
      </c>
      <c r="C1033" s="1" t="s">
        <v>14</v>
      </c>
      <c r="D1033" s="2">
        <v>43112</v>
      </c>
      <c r="E1033" s="2">
        <f t="shared" si="32"/>
        <v>43435</v>
      </c>
      <c r="F1033" s="1" t="s">
        <v>15</v>
      </c>
      <c r="G1033" s="1" t="s">
        <v>18</v>
      </c>
      <c r="H1033" s="1">
        <v>-20</v>
      </c>
      <c r="I1033" s="1">
        <v>0.01</v>
      </c>
      <c r="J1033" s="1">
        <v>0</v>
      </c>
      <c r="K1033" s="1" t="s">
        <v>30</v>
      </c>
      <c r="L1033" s="1">
        <v>2389</v>
      </c>
      <c r="M1033" s="1">
        <v>0.82</v>
      </c>
      <c r="N1033" s="1">
        <v>0.64361000000000002</v>
      </c>
      <c r="O1033" s="1">
        <f>VLOOKUP(D1033,underlying!$D$2:$H$75,5,FALSE)</f>
        <v>-0.18</v>
      </c>
      <c r="P1033" s="2">
        <f>VLOOKUP(D1033,underlying!$D$2:$L$39,9,FALSE)</f>
        <v>43403</v>
      </c>
      <c r="Q1033" s="7">
        <f>IF(G1033="C",NormalCallSprd(O1033,H1033,M1033,(P1033-A1033)/365), NormalPutSprd(O1033,H1033,M1033,(P1033-A1033)/365))</f>
        <v>8.9073564949761241E-63</v>
      </c>
      <c r="R1033" s="9">
        <f t="shared" si="33"/>
        <v>0.01</v>
      </c>
    </row>
    <row r="1034" spans="1:18" x14ac:dyDescent="0.2">
      <c r="A1034" s="2">
        <v>42622</v>
      </c>
      <c r="B1034" s="1" t="s">
        <v>13</v>
      </c>
      <c r="C1034" s="1" t="s">
        <v>14</v>
      </c>
      <c r="D1034" s="2">
        <v>43112</v>
      </c>
      <c r="E1034" s="2">
        <f t="shared" si="32"/>
        <v>43435</v>
      </c>
      <c r="F1034" s="1" t="s">
        <v>15</v>
      </c>
      <c r="G1034" s="1" t="s">
        <v>16</v>
      </c>
      <c r="H1034" s="1">
        <v>-3</v>
      </c>
      <c r="I1034" s="1">
        <v>2.78</v>
      </c>
      <c r="J1034" s="1">
        <v>-0.01</v>
      </c>
      <c r="K1034" s="1" t="s">
        <v>30</v>
      </c>
      <c r="L1034" s="1">
        <v>2389</v>
      </c>
      <c r="M1034" s="1">
        <v>0.81</v>
      </c>
      <c r="N1034" s="1">
        <v>0.67832999999999999</v>
      </c>
      <c r="O1034" s="1">
        <f>VLOOKUP(D1034,underlying!$D$2:$H$75,5,FALSE)</f>
        <v>-0.18</v>
      </c>
      <c r="P1034" s="2">
        <f>VLOOKUP(D1034,underlying!$D$2:$L$39,9,FALSE)</f>
        <v>43403</v>
      </c>
      <c r="Q1034" s="7">
        <f>IF(G1034="C",NormalCallSprd(O1034,H1034,M1034,(P1034-A1034)/365), NormalPutSprd(O1034,H1034,M1034,(P1034-A1034)/365))</f>
        <v>2.8234225212067932</v>
      </c>
      <c r="R1034" s="9">
        <f t="shared" si="33"/>
        <v>4.3422521206793352E-2</v>
      </c>
    </row>
    <row r="1035" spans="1:18" x14ac:dyDescent="0.2">
      <c r="A1035" s="2">
        <v>42622</v>
      </c>
      <c r="B1035" s="1" t="s">
        <v>13</v>
      </c>
      <c r="C1035" s="1" t="s">
        <v>14</v>
      </c>
      <c r="D1035" s="2">
        <v>43112</v>
      </c>
      <c r="E1035" s="2">
        <f t="shared" si="32"/>
        <v>43435</v>
      </c>
      <c r="F1035" s="1" t="s">
        <v>15</v>
      </c>
      <c r="G1035" s="1" t="s">
        <v>18</v>
      </c>
      <c r="H1035" s="1">
        <v>-3</v>
      </c>
      <c r="I1035" s="1">
        <v>0.01</v>
      </c>
      <c r="J1035" s="1">
        <v>0</v>
      </c>
      <c r="K1035" s="1" t="s">
        <v>30</v>
      </c>
      <c r="L1035" s="1">
        <v>2389</v>
      </c>
      <c r="M1035" s="1">
        <v>0.81</v>
      </c>
      <c r="N1035" s="1">
        <v>0.71053999999999995</v>
      </c>
      <c r="O1035" s="1">
        <f>VLOOKUP(D1035,underlying!$D$2:$H$75,5,FALSE)</f>
        <v>-0.18</v>
      </c>
      <c r="P1035" s="2">
        <f>VLOOKUP(D1035,underlying!$D$2:$L$39,9,FALSE)</f>
        <v>43403</v>
      </c>
      <c r="Q1035" s="7">
        <f>IF(G1035="C",NormalCallSprd(O1035,H1035,M1035,(P1035-A1035)/365), NormalPutSprd(O1035,H1035,M1035,(P1035-A1035)/365))</f>
        <v>3.4225212067931412E-3</v>
      </c>
      <c r="R1035" s="9">
        <f t="shared" si="33"/>
        <v>6.577478793206859E-3</v>
      </c>
    </row>
    <row r="1036" spans="1:18" x14ac:dyDescent="0.2">
      <c r="A1036" s="2">
        <v>42622</v>
      </c>
      <c r="B1036" s="1" t="s">
        <v>13</v>
      </c>
      <c r="C1036" s="1" t="s">
        <v>14</v>
      </c>
      <c r="D1036" s="2">
        <v>43112</v>
      </c>
      <c r="E1036" s="2">
        <f t="shared" si="32"/>
        <v>43435</v>
      </c>
      <c r="F1036" s="1" t="s">
        <v>15</v>
      </c>
      <c r="G1036" s="1" t="s">
        <v>16</v>
      </c>
      <c r="H1036" s="1">
        <v>-2</v>
      </c>
      <c r="I1036" s="1">
        <v>1.81</v>
      </c>
      <c r="J1036" s="1">
        <v>-0.01</v>
      </c>
      <c r="K1036" s="1" t="s">
        <v>30</v>
      </c>
      <c r="L1036" s="1">
        <v>2389</v>
      </c>
      <c r="M1036" s="1">
        <v>0.7</v>
      </c>
      <c r="N1036" s="1">
        <v>0.74251</v>
      </c>
      <c r="O1036" s="1">
        <f>VLOOKUP(D1036,underlying!$D$2:$H$75,5,FALSE)</f>
        <v>-0.18</v>
      </c>
      <c r="P1036" s="2">
        <f>VLOOKUP(D1036,underlying!$D$2:$L$39,9,FALSE)</f>
        <v>43403</v>
      </c>
      <c r="Q1036" s="7">
        <f>IF(G1036="C",NormalCallSprd(O1036,H1036,M1036,(P1036-A1036)/365), NormalPutSprd(O1036,H1036,M1036,(P1036-A1036)/365))</f>
        <v>1.835468388942834</v>
      </c>
      <c r="R1036" s="9">
        <f t="shared" si="33"/>
        <v>2.5468388942833986E-2</v>
      </c>
    </row>
    <row r="1037" spans="1:18" x14ac:dyDescent="0.2">
      <c r="A1037" s="2">
        <v>42622</v>
      </c>
      <c r="B1037" s="1" t="s">
        <v>13</v>
      </c>
      <c r="C1037" s="1" t="s">
        <v>14</v>
      </c>
      <c r="D1037" s="2">
        <v>43112</v>
      </c>
      <c r="E1037" s="2">
        <f t="shared" si="32"/>
        <v>43435</v>
      </c>
      <c r="F1037" s="1" t="s">
        <v>15</v>
      </c>
      <c r="G1037" s="1" t="s">
        <v>18</v>
      </c>
      <c r="H1037" s="1">
        <v>-2</v>
      </c>
      <c r="I1037" s="1">
        <v>0.02</v>
      </c>
      <c r="J1037" s="1">
        <v>0</v>
      </c>
      <c r="K1037" s="1" t="s">
        <v>30</v>
      </c>
      <c r="L1037" s="1">
        <v>2389</v>
      </c>
      <c r="M1037" s="1">
        <v>0.7</v>
      </c>
      <c r="N1037" s="1">
        <v>0.77112000000000003</v>
      </c>
      <c r="O1037" s="1">
        <f>VLOOKUP(D1037,underlying!$D$2:$H$75,5,FALSE)</f>
        <v>-0.18</v>
      </c>
      <c r="P1037" s="2">
        <f>VLOOKUP(D1037,underlying!$D$2:$L$39,9,FALSE)</f>
        <v>43403</v>
      </c>
      <c r="Q1037" s="7">
        <f>IF(G1037="C",NormalCallSprd(O1037,H1037,M1037,(P1037-A1037)/365), NormalPutSprd(O1037,H1037,M1037,(P1037-A1037)/365))</f>
        <v>1.5468388942834161E-2</v>
      </c>
      <c r="R1037" s="9">
        <f t="shared" si="33"/>
        <v>4.5316110571658394E-3</v>
      </c>
    </row>
    <row r="1038" spans="1:18" x14ac:dyDescent="0.2">
      <c r="A1038" s="2">
        <v>42622</v>
      </c>
      <c r="B1038" s="1" t="s">
        <v>13</v>
      </c>
      <c r="C1038" s="1" t="s">
        <v>14</v>
      </c>
      <c r="D1038" s="2">
        <v>43112</v>
      </c>
      <c r="E1038" s="2">
        <f t="shared" si="32"/>
        <v>43435</v>
      </c>
      <c r="F1038" s="1" t="s">
        <v>15</v>
      </c>
      <c r="G1038" s="1" t="s">
        <v>16</v>
      </c>
      <c r="H1038" s="1">
        <v>-1</v>
      </c>
      <c r="I1038" s="1">
        <v>0.87</v>
      </c>
      <c r="J1038" s="1">
        <v>-0.01</v>
      </c>
      <c r="K1038" s="1" t="s">
        <v>30</v>
      </c>
      <c r="L1038" s="1">
        <v>2389</v>
      </c>
      <c r="M1038" s="1">
        <v>0.54</v>
      </c>
      <c r="N1038" s="1">
        <v>0.79679</v>
      </c>
      <c r="O1038" s="1">
        <f>VLOOKUP(D1038,underlying!$D$2:$H$75,5,FALSE)</f>
        <v>-0.18</v>
      </c>
      <c r="P1038" s="2">
        <f>VLOOKUP(D1038,underlying!$D$2:$L$39,9,FALSE)</f>
        <v>43403</v>
      </c>
      <c r="Q1038" s="7">
        <f>IF(G1038="C",NormalCallSprd(O1038,H1038,M1038,(P1038-A1038)/365), NormalPutSprd(O1038,H1038,M1038,(P1038-A1038)/365))</f>
        <v>0.8811726834098712</v>
      </c>
      <c r="R1038" s="9">
        <f t="shared" si="33"/>
        <v>1.1172683409871209E-2</v>
      </c>
    </row>
    <row r="1039" spans="1:18" x14ac:dyDescent="0.2">
      <c r="A1039" s="2">
        <v>42622</v>
      </c>
      <c r="B1039" s="1" t="s">
        <v>13</v>
      </c>
      <c r="C1039" s="1" t="s">
        <v>14</v>
      </c>
      <c r="D1039" s="2">
        <v>43112</v>
      </c>
      <c r="E1039" s="2">
        <f t="shared" si="32"/>
        <v>43435</v>
      </c>
      <c r="F1039" s="1" t="s">
        <v>15</v>
      </c>
      <c r="G1039" s="1" t="s">
        <v>18</v>
      </c>
      <c r="H1039" s="1">
        <v>-1</v>
      </c>
      <c r="I1039" s="1">
        <v>0.06</v>
      </c>
      <c r="J1039" s="1">
        <v>0</v>
      </c>
      <c r="K1039" s="1" t="s">
        <v>30</v>
      </c>
      <c r="L1039" s="1">
        <v>2389</v>
      </c>
      <c r="M1039" s="1">
        <v>0.54</v>
      </c>
      <c r="N1039" s="1">
        <v>0.82093000000000005</v>
      </c>
      <c r="O1039" s="1">
        <f>VLOOKUP(D1039,underlying!$D$2:$H$75,5,FALSE)</f>
        <v>-0.18</v>
      </c>
      <c r="P1039" s="2">
        <f>VLOOKUP(D1039,underlying!$D$2:$L$39,9,FALSE)</f>
        <v>43403</v>
      </c>
      <c r="Q1039" s="7">
        <f>IF(G1039="C",NormalCallSprd(O1039,H1039,M1039,(P1039-A1039)/365), NormalPutSprd(O1039,H1039,M1039,(P1039-A1039)/365))</f>
        <v>6.1172683409871247E-2</v>
      </c>
      <c r="R1039" s="9">
        <f t="shared" si="33"/>
        <v>1.1726834098712488E-3</v>
      </c>
    </row>
    <row r="1040" spans="1:18" x14ac:dyDescent="0.2">
      <c r="A1040" s="2">
        <v>42622</v>
      </c>
      <c r="B1040" s="1" t="s">
        <v>13</v>
      </c>
      <c r="C1040" s="1" t="s">
        <v>14</v>
      </c>
      <c r="D1040" s="2">
        <v>43112</v>
      </c>
      <c r="E1040" s="2">
        <f t="shared" si="32"/>
        <v>43435</v>
      </c>
      <c r="F1040" s="1" t="s">
        <v>15</v>
      </c>
      <c r="G1040" s="1" t="s">
        <v>16</v>
      </c>
      <c r="H1040" s="1">
        <v>-0.7</v>
      </c>
      <c r="I1040" s="1">
        <v>0.61</v>
      </c>
      <c r="J1040" s="1">
        <v>-0.01</v>
      </c>
      <c r="K1040" s="1" t="s">
        <v>30</v>
      </c>
      <c r="L1040" s="1">
        <v>2389</v>
      </c>
      <c r="M1040" s="1">
        <v>0.5</v>
      </c>
      <c r="N1040" s="1">
        <v>0.84072999999999998</v>
      </c>
      <c r="O1040" s="1">
        <f>VLOOKUP(D1040,underlying!$D$2:$H$75,5,FALSE)</f>
        <v>-0.18</v>
      </c>
      <c r="P1040" s="2">
        <f>VLOOKUP(D1040,underlying!$D$2:$L$39,9,FALSE)</f>
        <v>43403</v>
      </c>
      <c r="Q1040" s="7">
        <f>IF(G1040="C",NormalCallSprd(O1040,H1040,M1040,(P1040-A1040)/365), NormalPutSprd(O1040,H1040,M1040,(P1040-A1040)/365))</f>
        <v>0.62257206109538477</v>
      </c>
      <c r="R1040" s="9">
        <f t="shared" si="33"/>
        <v>1.2572061095384779E-2</v>
      </c>
    </row>
    <row r="1041" spans="1:18" x14ac:dyDescent="0.2">
      <c r="A1041" s="2">
        <v>42622</v>
      </c>
      <c r="B1041" s="1" t="s">
        <v>13</v>
      </c>
      <c r="C1041" s="1" t="s">
        <v>14</v>
      </c>
      <c r="D1041" s="2">
        <v>43112</v>
      </c>
      <c r="E1041" s="2">
        <f t="shared" si="32"/>
        <v>43435</v>
      </c>
      <c r="F1041" s="1" t="s">
        <v>15</v>
      </c>
      <c r="G1041" s="1" t="s">
        <v>18</v>
      </c>
      <c r="H1041" s="1">
        <v>-0.7</v>
      </c>
      <c r="I1041" s="1">
        <v>0.1</v>
      </c>
      <c r="J1041" s="1">
        <v>0</v>
      </c>
      <c r="K1041" s="1" t="s">
        <v>30</v>
      </c>
      <c r="L1041" s="1">
        <v>2389</v>
      </c>
      <c r="M1041" s="1">
        <v>0.5</v>
      </c>
      <c r="N1041" s="1">
        <v>0.85989000000000004</v>
      </c>
      <c r="O1041" s="1">
        <f>VLOOKUP(D1041,underlying!$D$2:$H$75,5,FALSE)</f>
        <v>-0.18</v>
      </c>
      <c r="P1041" s="2">
        <f>VLOOKUP(D1041,underlying!$D$2:$L$39,9,FALSE)</f>
        <v>43403</v>
      </c>
      <c r="Q1041" s="7">
        <f>IF(G1041="C",NormalCallSprd(O1041,H1041,M1041,(P1041-A1041)/365), NormalPutSprd(O1041,H1041,M1041,(P1041-A1041)/365))</f>
        <v>0.10257206109538473</v>
      </c>
      <c r="R1041" s="9">
        <f t="shared" si="33"/>
        <v>2.5720610953847284E-3</v>
      </c>
    </row>
    <row r="1042" spans="1:18" x14ac:dyDescent="0.2">
      <c r="A1042" s="2">
        <v>42622</v>
      </c>
      <c r="B1042" s="1" t="s">
        <v>13</v>
      </c>
      <c r="C1042" s="1" t="s">
        <v>14</v>
      </c>
      <c r="D1042" s="2">
        <v>43112</v>
      </c>
      <c r="E1042" s="2">
        <f t="shared" si="32"/>
        <v>43435</v>
      </c>
      <c r="F1042" s="1" t="s">
        <v>15</v>
      </c>
      <c r="G1042" s="1" t="s">
        <v>16</v>
      </c>
      <c r="H1042" s="1">
        <v>-0.65</v>
      </c>
      <c r="I1042" s="1">
        <v>0.57999999999999996</v>
      </c>
      <c r="J1042" s="1">
        <v>0</v>
      </c>
      <c r="K1042" s="1" t="s">
        <v>30</v>
      </c>
      <c r="L1042" s="1">
        <v>2389</v>
      </c>
      <c r="M1042" s="1">
        <v>0.5</v>
      </c>
      <c r="N1042" s="1">
        <v>0.89178000000000002</v>
      </c>
      <c r="O1042" s="1">
        <f>VLOOKUP(D1042,underlying!$D$2:$H$75,5,FALSE)</f>
        <v>-0.18</v>
      </c>
      <c r="P1042" s="2">
        <f>VLOOKUP(D1042,underlying!$D$2:$L$39,9,FALSE)</f>
        <v>43403</v>
      </c>
      <c r="Q1042" s="7">
        <f>IF(G1042="C",NormalCallSprd(O1042,H1042,M1042,(P1042-A1042)/365), NormalPutSprd(O1042,H1042,M1042,(P1042-A1042)/365))</f>
        <v>0.58503757781738486</v>
      </c>
      <c r="R1042" s="9">
        <f t="shared" si="33"/>
        <v>5.0375778173848973E-3</v>
      </c>
    </row>
    <row r="1043" spans="1:18" x14ac:dyDescent="0.2">
      <c r="A1043" s="2">
        <v>42622</v>
      </c>
      <c r="B1043" s="1" t="s">
        <v>13</v>
      </c>
      <c r="C1043" s="1" t="s">
        <v>14</v>
      </c>
      <c r="D1043" s="2">
        <v>43112</v>
      </c>
      <c r="E1043" s="2">
        <f t="shared" si="32"/>
        <v>43435</v>
      </c>
      <c r="F1043" s="1" t="s">
        <v>15</v>
      </c>
      <c r="G1043" s="1" t="s">
        <v>18</v>
      </c>
      <c r="H1043" s="1">
        <v>-0.65</v>
      </c>
      <c r="I1043" s="1">
        <v>0.11</v>
      </c>
      <c r="J1043" s="1">
        <v>0</v>
      </c>
      <c r="K1043" s="1" t="s">
        <v>30</v>
      </c>
      <c r="L1043" s="1">
        <v>2389</v>
      </c>
      <c r="M1043" s="1">
        <v>0.5</v>
      </c>
      <c r="N1043" s="1">
        <v>0.98917999999999995</v>
      </c>
      <c r="O1043" s="1">
        <f>VLOOKUP(D1043,underlying!$D$2:$H$75,5,FALSE)</f>
        <v>-0.18</v>
      </c>
      <c r="P1043" s="2">
        <f>VLOOKUP(D1043,underlying!$D$2:$L$39,9,FALSE)</f>
        <v>43403</v>
      </c>
      <c r="Q1043" s="7">
        <f>IF(G1043="C",NormalCallSprd(O1043,H1043,M1043,(P1043-A1043)/365), NormalPutSprd(O1043,H1043,M1043,(P1043-A1043)/365))</f>
        <v>0.11503757781738481</v>
      </c>
      <c r="R1043" s="9">
        <f t="shared" si="33"/>
        <v>5.037577817384814E-3</v>
      </c>
    </row>
    <row r="1044" spans="1:18" x14ac:dyDescent="0.2">
      <c r="A1044" s="2">
        <v>42622</v>
      </c>
      <c r="B1044" s="1" t="s">
        <v>13</v>
      </c>
      <c r="C1044" s="1" t="s">
        <v>14</v>
      </c>
      <c r="D1044" s="2">
        <v>43112</v>
      </c>
      <c r="E1044" s="2">
        <f t="shared" si="32"/>
        <v>43435</v>
      </c>
      <c r="F1044" s="1" t="s">
        <v>15</v>
      </c>
      <c r="G1044" s="1" t="s">
        <v>16</v>
      </c>
      <c r="H1044" s="1">
        <v>-0.6</v>
      </c>
      <c r="I1044" s="1">
        <v>0.53</v>
      </c>
      <c r="J1044" s="1">
        <v>-0.01</v>
      </c>
      <c r="K1044" s="1" t="s">
        <v>30</v>
      </c>
      <c r="L1044" s="1">
        <v>2389</v>
      </c>
      <c r="M1044" s="1">
        <v>0.49</v>
      </c>
      <c r="N1044" s="1">
        <v>0.99609000000000003</v>
      </c>
      <c r="O1044" s="1">
        <f>VLOOKUP(D1044,underlying!$D$2:$H$75,5,FALSE)</f>
        <v>-0.18</v>
      </c>
      <c r="P1044" s="2">
        <f>VLOOKUP(D1044,underlying!$D$2:$L$39,9,FALSE)</f>
        <v>43403</v>
      </c>
      <c r="Q1044" s="7">
        <f>IF(G1044="C",NormalCallSprd(O1044,H1044,M1044,(P1044-A1044)/365), NormalPutSprd(O1044,H1044,M1044,(P1044-A1044)/365))</f>
        <v>0.54368010745592099</v>
      </c>
      <c r="R1044" s="9">
        <f t="shared" si="33"/>
        <v>1.3680107455920965E-2</v>
      </c>
    </row>
    <row r="1045" spans="1:18" x14ac:dyDescent="0.2">
      <c r="A1045" s="2">
        <v>42622</v>
      </c>
      <c r="B1045" s="1" t="s">
        <v>13</v>
      </c>
      <c r="C1045" s="1" t="s">
        <v>14</v>
      </c>
      <c r="D1045" s="2">
        <v>43112</v>
      </c>
      <c r="E1045" s="2">
        <f t="shared" si="32"/>
        <v>43435</v>
      </c>
      <c r="F1045" s="1" t="s">
        <v>15</v>
      </c>
      <c r="G1045" s="1" t="s">
        <v>18</v>
      </c>
      <c r="H1045" s="1">
        <v>-0.6</v>
      </c>
      <c r="I1045" s="1">
        <v>0.12</v>
      </c>
      <c r="J1045" s="1">
        <v>0</v>
      </c>
      <c r="K1045" s="1" t="s">
        <v>30</v>
      </c>
      <c r="L1045" s="1">
        <v>2389</v>
      </c>
      <c r="M1045" s="1">
        <v>0.49</v>
      </c>
      <c r="N1045" s="1">
        <v>-0.68623999999999996</v>
      </c>
      <c r="O1045" s="1">
        <f>VLOOKUP(D1045,underlying!$D$2:$H$75,5,FALSE)</f>
        <v>-0.18</v>
      </c>
      <c r="P1045" s="2">
        <f>VLOOKUP(D1045,underlying!$D$2:$L$39,9,FALSE)</f>
        <v>43403</v>
      </c>
      <c r="Q1045" s="7">
        <f>IF(G1045="C",NormalCallSprd(O1045,H1045,M1045,(P1045-A1045)/365), NormalPutSprd(O1045,H1045,M1045,(P1045-A1045)/365))</f>
        <v>0.12368010745592101</v>
      </c>
      <c r="R1045" s="9">
        <f t="shared" si="33"/>
        <v>3.6801074559210112E-3</v>
      </c>
    </row>
    <row r="1046" spans="1:18" x14ac:dyDescent="0.2">
      <c r="A1046" s="2">
        <v>42622</v>
      </c>
      <c r="B1046" s="1" t="s">
        <v>13</v>
      </c>
      <c r="C1046" s="1" t="s">
        <v>14</v>
      </c>
      <c r="D1046" s="2">
        <v>43112</v>
      </c>
      <c r="E1046" s="2">
        <f t="shared" si="32"/>
        <v>43435</v>
      </c>
      <c r="F1046" s="1" t="s">
        <v>15</v>
      </c>
      <c r="G1046" s="1" t="s">
        <v>16</v>
      </c>
      <c r="H1046" s="1">
        <v>-0.55000000000000004</v>
      </c>
      <c r="I1046" s="1">
        <v>0.5</v>
      </c>
      <c r="J1046" s="1">
        <v>0</v>
      </c>
      <c r="K1046" s="1" t="s">
        <v>30</v>
      </c>
      <c r="L1046" s="1">
        <v>2389</v>
      </c>
      <c r="M1046" s="1">
        <v>0.48</v>
      </c>
      <c r="N1046" s="1">
        <v>-0.65441000000000005</v>
      </c>
      <c r="O1046" s="1">
        <f>VLOOKUP(D1046,underlying!$D$2:$H$75,5,FALSE)</f>
        <v>-0.18</v>
      </c>
      <c r="P1046" s="2">
        <f>VLOOKUP(D1046,underlying!$D$2:$L$39,9,FALSE)</f>
        <v>43403</v>
      </c>
      <c r="Q1046" s="7">
        <f>IF(G1046="C",NormalCallSprd(O1046,H1046,M1046,(P1046-A1046)/365), NormalPutSprd(O1046,H1046,M1046,(P1046-A1046)/365))</f>
        <v>0.50312778705277228</v>
      </c>
      <c r="R1046" s="9">
        <f t="shared" si="33"/>
        <v>3.1277870527722795E-3</v>
      </c>
    </row>
    <row r="1047" spans="1:18" x14ac:dyDescent="0.2">
      <c r="A1047" s="2">
        <v>42622</v>
      </c>
      <c r="B1047" s="1" t="s">
        <v>13</v>
      </c>
      <c r="C1047" s="1" t="s">
        <v>14</v>
      </c>
      <c r="D1047" s="2">
        <v>43112</v>
      </c>
      <c r="E1047" s="2">
        <f t="shared" si="32"/>
        <v>43435</v>
      </c>
      <c r="F1047" s="1" t="s">
        <v>15</v>
      </c>
      <c r="G1047" s="1" t="s">
        <v>18</v>
      </c>
      <c r="H1047" s="1">
        <v>-0.55000000000000004</v>
      </c>
      <c r="I1047" s="1">
        <v>0.13</v>
      </c>
      <c r="J1047" s="1">
        <v>0</v>
      </c>
      <c r="K1047" s="1" t="s">
        <v>30</v>
      </c>
      <c r="L1047" s="1">
        <v>2389</v>
      </c>
      <c r="M1047" s="1">
        <v>0.48</v>
      </c>
      <c r="N1047" s="1">
        <v>-0.61965000000000003</v>
      </c>
      <c r="O1047" s="1">
        <f>VLOOKUP(D1047,underlying!$D$2:$H$75,5,FALSE)</f>
        <v>-0.18</v>
      </c>
      <c r="P1047" s="2">
        <f>VLOOKUP(D1047,underlying!$D$2:$L$39,9,FALSE)</f>
        <v>43403</v>
      </c>
      <c r="Q1047" s="7">
        <f>IF(G1047="C",NormalCallSprd(O1047,H1047,M1047,(P1047-A1047)/365), NormalPutSprd(O1047,H1047,M1047,(P1047-A1047)/365))</f>
        <v>0.1331277870527722</v>
      </c>
      <c r="R1047" s="9">
        <f t="shared" si="33"/>
        <v>3.1277870527721963E-3</v>
      </c>
    </row>
    <row r="1048" spans="1:18" x14ac:dyDescent="0.2">
      <c r="A1048" s="2">
        <v>42622</v>
      </c>
      <c r="B1048" s="1" t="s">
        <v>13</v>
      </c>
      <c r="C1048" s="1" t="s">
        <v>14</v>
      </c>
      <c r="D1048" s="2">
        <v>43112</v>
      </c>
      <c r="E1048" s="2">
        <f t="shared" si="32"/>
        <v>43435</v>
      </c>
      <c r="F1048" s="1" t="s">
        <v>15</v>
      </c>
      <c r="G1048" s="1" t="s">
        <v>16</v>
      </c>
      <c r="H1048" s="1">
        <v>-0.5</v>
      </c>
      <c r="I1048" s="1">
        <v>0.46</v>
      </c>
      <c r="J1048" s="1">
        <v>-0.01</v>
      </c>
      <c r="K1048" s="1" t="s">
        <v>30</v>
      </c>
      <c r="L1048" s="1">
        <v>2389</v>
      </c>
      <c r="M1048" s="1">
        <v>0.48</v>
      </c>
      <c r="N1048" s="1">
        <v>-0.58294999999999997</v>
      </c>
      <c r="O1048" s="1">
        <f>VLOOKUP(D1048,underlying!$D$2:$H$75,5,FALSE)</f>
        <v>-0.18</v>
      </c>
      <c r="P1048" s="2">
        <f>VLOOKUP(D1048,underlying!$D$2:$L$39,9,FALSE)</f>
        <v>43403</v>
      </c>
      <c r="Q1048" s="7">
        <f>IF(G1048="C",NormalCallSprd(O1048,H1048,M1048,(P1048-A1048)/365), NormalPutSprd(O1048,H1048,M1048,(P1048-A1048)/365))</f>
        <v>0.46870893894841048</v>
      </c>
      <c r="R1048" s="9">
        <f t="shared" si="33"/>
        <v>8.7089389484104607E-3</v>
      </c>
    </row>
    <row r="1049" spans="1:18" x14ac:dyDescent="0.2">
      <c r="A1049" s="2">
        <v>42622</v>
      </c>
      <c r="B1049" s="1" t="s">
        <v>13</v>
      </c>
      <c r="C1049" s="1" t="s">
        <v>14</v>
      </c>
      <c r="D1049" s="2">
        <v>43112</v>
      </c>
      <c r="E1049" s="2">
        <f t="shared" si="32"/>
        <v>43435</v>
      </c>
      <c r="F1049" s="1" t="s">
        <v>15</v>
      </c>
      <c r="G1049" s="1" t="s">
        <v>18</v>
      </c>
      <c r="H1049" s="1">
        <v>-0.5</v>
      </c>
      <c r="I1049" s="1">
        <v>0.15</v>
      </c>
      <c r="J1049" s="1">
        <v>0.01</v>
      </c>
      <c r="K1049" s="1" t="s">
        <v>30</v>
      </c>
      <c r="L1049" s="1">
        <v>2389</v>
      </c>
      <c r="M1049" s="1">
        <v>0.48</v>
      </c>
      <c r="N1049" s="1">
        <v>-0.54515999999999998</v>
      </c>
      <c r="O1049" s="1">
        <f>VLOOKUP(D1049,underlying!$D$2:$H$75,5,FALSE)</f>
        <v>-0.18</v>
      </c>
      <c r="P1049" s="2">
        <f>VLOOKUP(D1049,underlying!$D$2:$L$39,9,FALSE)</f>
        <v>43403</v>
      </c>
      <c r="Q1049" s="7">
        <f>IF(G1049="C",NormalCallSprd(O1049,H1049,M1049,(P1049-A1049)/365), NormalPutSprd(O1049,H1049,M1049,(P1049-A1049)/365))</f>
        <v>0.14870893894841045</v>
      </c>
      <c r="R1049" s="9">
        <f t="shared" si="33"/>
        <v>1.2910610515895482E-3</v>
      </c>
    </row>
    <row r="1050" spans="1:18" x14ac:dyDescent="0.2">
      <c r="A1050" s="2">
        <v>42622</v>
      </c>
      <c r="B1050" s="1" t="s">
        <v>13</v>
      </c>
      <c r="C1050" s="1" t="s">
        <v>14</v>
      </c>
      <c r="D1050" s="2">
        <v>43112</v>
      </c>
      <c r="E1050" s="2">
        <f t="shared" si="32"/>
        <v>43435</v>
      </c>
      <c r="F1050" s="1" t="s">
        <v>15</v>
      </c>
      <c r="G1050" s="1" t="s">
        <v>16</v>
      </c>
      <c r="H1050" s="1">
        <v>-0.45</v>
      </c>
      <c r="I1050" s="1">
        <v>0.42</v>
      </c>
      <c r="J1050" s="1">
        <v>-0.01</v>
      </c>
      <c r="K1050" s="1" t="s">
        <v>30</v>
      </c>
      <c r="L1050" s="1">
        <v>2389</v>
      </c>
      <c r="M1050" s="1">
        <v>0.47</v>
      </c>
      <c r="N1050" s="1">
        <v>-0.50612999999999997</v>
      </c>
      <c r="O1050" s="1">
        <f>VLOOKUP(D1050,underlying!$D$2:$H$75,5,FALSE)</f>
        <v>-0.18</v>
      </c>
      <c r="P1050" s="2">
        <f>VLOOKUP(D1050,underlying!$D$2:$L$39,9,FALSE)</f>
        <v>43403</v>
      </c>
      <c r="Q1050" s="7">
        <f>IF(G1050="C",NormalCallSprd(O1050,H1050,M1050,(P1050-A1050)/365), NormalPutSprd(O1050,H1050,M1050,(P1050-A1050)/365))</f>
        <v>0.43015877305818823</v>
      </c>
      <c r="R1050" s="9">
        <f t="shared" si="33"/>
        <v>1.0158773058188242E-2</v>
      </c>
    </row>
    <row r="1051" spans="1:18" x14ac:dyDescent="0.2">
      <c r="A1051" s="2">
        <v>42622</v>
      </c>
      <c r="B1051" s="1" t="s">
        <v>13</v>
      </c>
      <c r="C1051" s="1" t="s">
        <v>14</v>
      </c>
      <c r="D1051" s="2">
        <v>43112</v>
      </c>
      <c r="E1051" s="2">
        <f t="shared" si="32"/>
        <v>43435</v>
      </c>
      <c r="F1051" s="1" t="s">
        <v>15</v>
      </c>
      <c r="G1051" s="1" t="s">
        <v>18</v>
      </c>
      <c r="H1051" s="1">
        <v>-0.45</v>
      </c>
      <c r="I1051" s="1">
        <v>0.16</v>
      </c>
      <c r="J1051" s="1">
        <v>0</v>
      </c>
      <c r="K1051" s="1" t="s">
        <v>30</v>
      </c>
      <c r="L1051" s="1">
        <v>2389</v>
      </c>
      <c r="M1051" s="1">
        <v>0.47</v>
      </c>
      <c r="N1051" s="1">
        <v>-0.46704000000000001</v>
      </c>
      <c r="O1051" s="1">
        <f>VLOOKUP(D1051,underlying!$D$2:$H$75,5,FALSE)</f>
        <v>-0.18</v>
      </c>
      <c r="P1051" s="2">
        <f>VLOOKUP(D1051,underlying!$D$2:$L$39,9,FALSE)</f>
        <v>43403</v>
      </c>
      <c r="Q1051" s="7">
        <f>IF(G1051="C",NormalCallSprd(O1051,H1051,M1051,(P1051-A1051)/365), NormalPutSprd(O1051,H1051,M1051,(P1051-A1051)/365))</f>
        <v>0.16015877305818821</v>
      </c>
      <c r="R1051" s="9">
        <f t="shared" si="33"/>
        <v>1.587730581882052E-4</v>
      </c>
    </row>
    <row r="1052" spans="1:18" x14ac:dyDescent="0.2">
      <c r="A1052" s="2">
        <v>42622</v>
      </c>
      <c r="B1052" s="1" t="s">
        <v>13</v>
      </c>
      <c r="C1052" s="1" t="s">
        <v>14</v>
      </c>
      <c r="D1052" s="2">
        <v>43112</v>
      </c>
      <c r="E1052" s="2">
        <f t="shared" si="32"/>
        <v>43435</v>
      </c>
      <c r="F1052" s="1" t="s">
        <v>15</v>
      </c>
      <c r="G1052" s="1" t="s">
        <v>16</v>
      </c>
      <c r="H1052" s="1">
        <v>-0.4</v>
      </c>
      <c r="I1052" s="1">
        <v>0.39</v>
      </c>
      <c r="J1052" s="1">
        <v>0</v>
      </c>
      <c r="K1052" s="1" t="s">
        <v>30</v>
      </c>
      <c r="L1052" s="1">
        <v>2389</v>
      </c>
      <c r="M1052" s="1">
        <v>0.46</v>
      </c>
      <c r="N1052" s="1">
        <v>-0.42824000000000001</v>
      </c>
      <c r="O1052" s="1">
        <f>VLOOKUP(D1052,underlying!$D$2:$H$75,5,FALSE)</f>
        <v>-0.18</v>
      </c>
      <c r="P1052" s="2">
        <f>VLOOKUP(D1052,underlying!$D$2:$L$39,9,FALSE)</f>
        <v>43403</v>
      </c>
      <c r="Q1052" s="7">
        <f>IF(G1052="C",NormalCallSprd(O1052,H1052,M1052,(P1052-A1052)/365), NormalPutSprd(O1052,H1052,M1052,(P1052-A1052)/365))</f>
        <v>0.39266129178081677</v>
      </c>
      <c r="R1052" s="9">
        <f t="shared" si="33"/>
        <v>2.6612917808167547E-3</v>
      </c>
    </row>
    <row r="1053" spans="1:18" x14ac:dyDescent="0.2">
      <c r="A1053" s="2">
        <v>42622</v>
      </c>
      <c r="B1053" s="1" t="s">
        <v>13</v>
      </c>
      <c r="C1053" s="1" t="s">
        <v>14</v>
      </c>
      <c r="D1053" s="2">
        <v>43112</v>
      </c>
      <c r="E1053" s="2">
        <f t="shared" si="32"/>
        <v>43435</v>
      </c>
      <c r="F1053" s="1" t="s">
        <v>15</v>
      </c>
      <c r="G1053" s="1" t="s">
        <v>18</v>
      </c>
      <c r="H1053" s="1">
        <v>-0.4</v>
      </c>
      <c r="I1053" s="1">
        <v>0.17</v>
      </c>
      <c r="J1053" s="1">
        <v>0</v>
      </c>
      <c r="K1053" s="1" t="s">
        <v>30</v>
      </c>
      <c r="L1053" s="1">
        <v>2389</v>
      </c>
      <c r="M1053" s="1">
        <v>0.46</v>
      </c>
      <c r="N1053" s="1">
        <v>-0.39012000000000002</v>
      </c>
      <c r="O1053" s="1">
        <f>VLOOKUP(D1053,underlying!$D$2:$H$75,5,FALSE)</f>
        <v>-0.18</v>
      </c>
      <c r="P1053" s="2">
        <f>VLOOKUP(D1053,underlying!$D$2:$L$39,9,FALSE)</f>
        <v>43403</v>
      </c>
      <c r="Q1053" s="7">
        <f>IF(G1053="C",NormalCallSprd(O1053,H1053,M1053,(P1053-A1053)/365), NormalPutSprd(O1053,H1053,M1053,(P1053-A1053)/365))</f>
        <v>0.17266129178081674</v>
      </c>
      <c r="R1053" s="9">
        <f t="shared" si="33"/>
        <v>2.6612917808167269E-3</v>
      </c>
    </row>
    <row r="1054" spans="1:18" x14ac:dyDescent="0.2">
      <c r="A1054" s="2">
        <v>42622</v>
      </c>
      <c r="B1054" s="1" t="s">
        <v>13</v>
      </c>
      <c r="C1054" s="1" t="s">
        <v>14</v>
      </c>
      <c r="D1054" s="2">
        <v>43112</v>
      </c>
      <c r="E1054" s="2">
        <f t="shared" si="32"/>
        <v>43435</v>
      </c>
      <c r="F1054" s="1" t="s">
        <v>15</v>
      </c>
      <c r="G1054" s="1" t="s">
        <v>16</v>
      </c>
      <c r="H1054" s="1">
        <v>-0.35</v>
      </c>
      <c r="I1054" s="1">
        <v>0.35</v>
      </c>
      <c r="J1054" s="1">
        <v>-0.01</v>
      </c>
      <c r="K1054" s="1" t="s">
        <v>30</v>
      </c>
      <c r="L1054" s="1">
        <v>2389</v>
      </c>
      <c r="M1054" s="1">
        <v>0.45</v>
      </c>
      <c r="N1054" s="1">
        <v>-0.35300999999999999</v>
      </c>
      <c r="O1054" s="1">
        <f>VLOOKUP(D1054,underlying!$D$2:$H$75,5,FALSE)</f>
        <v>-0.18</v>
      </c>
      <c r="P1054" s="2">
        <f>VLOOKUP(D1054,underlying!$D$2:$L$39,9,FALSE)</f>
        <v>43403</v>
      </c>
      <c r="Q1054" s="7">
        <f>IF(G1054="C",NormalCallSprd(O1054,H1054,M1054,(P1054-A1054)/365), NormalPutSprd(O1054,H1054,M1054,(P1054-A1054)/365))</f>
        <v>0.35631346849569467</v>
      </c>
      <c r="R1054" s="9">
        <f t="shared" si="33"/>
        <v>6.3134684956946963E-3</v>
      </c>
    </row>
    <row r="1055" spans="1:18" x14ac:dyDescent="0.2">
      <c r="A1055" s="2">
        <v>42622</v>
      </c>
      <c r="B1055" s="1" t="s">
        <v>13</v>
      </c>
      <c r="C1055" s="1" t="s">
        <v>14</v>
      </c>
      <c r="D1055" s="2">
        <v>43112</v>
      </c>
      <c r="E1055" s="2">
        <f t="shared" si="32"/>
        <v>43435</v>
      </c>
      <c r="F1055" s="1" t="s">
        <v>15</v>
      </c>
      <c r="G1055" s="1" t="s">
        <v>18</v>
      </c>
      <c r="H1055" s="1">
        <v>-0.35</v>
      </c>
      <c r="I1055" s="1">
        <v>0.18</v>
      </c>
      <c r="J1055" s="1">
        <v>0</v>
      </c>
      <c r="K1055" s="1" t="s">
        <v>30</v>
      </c>
      <c r="L1055" s="1">
        <v>2389</v>
      </c>
      <c r="M1055" s="1">
        <v>0.45</v>
      </c>
      <c r="N1055" s="1">
        <v>-0.31829000000000002</v>
      </c>
      <c r="O1055" s="1">
        <f>VLOOKUP(D1055,underlying!$D$2:$H$75,5,FALSE)</f>
        <v>-0.18</v>
      </c>
      <c r="P1055" s="2">
        <f>VLOOKUP(D1055,underlying!$D$2:$L$39,9,FALSE)</f>
        <v>43403</v>
      </c>
      <c r="Q1055" s="7">
        <f>IF(G1055="C",NormalCallSprd(O1055,H1055,M1055,(P1055-A1055)/365), NormalPutSprd(O1055,H1055,M1055,(P1055-A1055)/365))</f>
        <v>0.18631346849569469</v>
      </c>
      <c r="R1055" s="9">
        <f t="shared" si="33"/>
        <v>6.3134684956946963E-3</v>
      </c>
    </row>
    <row r="1056" spans="1:18" x14ac:dyDescent="0.2">
      <c r="A1056" s="2">
        <v>42622</v>
      </c>
      <c r="B1056" s="1" t="s">
        <v>13</v>
      </c>
      <c r="C1056" s="1" t="s">
        <v>14</v>
      </c>
      <c r="D1056" s="2">
        <v>43112</v>
      </c>
      <c r="E1056" s="2">
        <f t="shared" si="32"/>
        <v>43435</v>
      </c>
      <c r="F1056" s="1" t="s">
        <v>15</v>
      </c>
      <c r="G1056" s="1" t="s">
        <v>16</v>
      </c>
      <c r="H1056" s="1">
        <v>-0.3</v>
      </c>
      <c r="I1056" s="1">
        <v>0.32</v>
      </c>
      <c r="J1056" s="1">
        <v>-0.01</v>
      </c>
      <c r="K1056" s="1" t="s">
        <v>30</v>
      </c>
      <c r="L1056" s="1">
        <v>2389</v>
      </c>
      <c r="M1056" s="1">
        <v>0.45</v>
      </c>
      <c r="N1056" s="1">
        <v>-0.28606999999999999</v>
      </c>
      <c r="O1056" s="1">
        <f>VLOOKUP(D1056,underlying!$D$2:$H$75,5,FALSE)</f>
        <v>-0.18</v>
      </c>
      <c r="P1056" s="2">
        <f>VLOOKUP(D1056,underlying!$D$2:$L$39,9,FALSE)</f>
        <v>43403</v>
      </c>
      <c r="Q1056" s="7">
        <f>IF(G1056="C",NormalCallSprd(O1056,H1056,M1056,(P1056-A1056)/365), NormalPutSprd(O1056,H1056,M1056,(P1056-A1056)/365))</f>
        <v>0.32695581348258212</v>
      </c>
      <c r="R1056" s="9">
        <f t="shared" si="33"/>
        <v>6.9558134825821183E-3</v>
      </c>
    </row>
    <row r="1057" spans="1:18" x14ac:dyDescent="0.2">
      <c r="A1057" s="2">
        <v>42622</v>
      </c>
      <c r="B1057" s="1" t="s">
        <v>13</v>
      </c>
      <c r="C1057" s="1" t="s">
        <v>14</v>
      </c>
      <c r="D1057" s="2">
        <v>43112</v>
      </c>
      <c r="E1057" s="2">
        <f t="shared" si="32"/>
        <v>43435</v>
      </c>
      <c r="F1057" s="1" t="s">
        <v>15</v>
      </c>
      <c r="G1057" s="1" t="s">
        <v>18</v>
      </c>
      <c r="H1057" s="1">
        <v>-0.3</v>
      </c>
      <c r="I1057" s="1">
        <v>0.2</v>
      </c>
      <c r="J1057" s="1">
        <v>0</v>
      </c>
      <c r="K1057" s="1" t="s">
        <v>30</v>
      </c>
      <c r="L1057" s="1">
        <v>2389</v>
      </c>
      <c r="M1057" s="1">
        <v>0.45</v>
      </c>
      <c r="N1057" s="1">
        <v>-0.25409999999999999</v>
      </c>
      <c r="O1057" s="1">
        <f>VLOOKUP(D1057,underlying!$D$2:$H$75,5,FALSE)</f>
        <v>-0.18</v>
      </c>
      <c r="P1057" s="2">
        <f>VLOOKUP(D1057,underlying!$D$2:$L$39,9,FALSE)</f>
        <v>43403</v>
      </c>
      <c r="Q1057" s="7">
        <f>IF(G1057="C",NormalCallSprd(O1057,H1057,M1057,(P1057-A1057)/365), NormalPutSprd(O1057,H1057,M1057,(P1057-A1057)/365))</f>
        <v>0.20695581348258216</v>
      </c>
      <c r="R1057" s="9">
        <f t="shared" si="33"/>
        <v>6.955813482582146E-3</v>
      </c>
    </row>
    <row r="1058" spans="1:18" x14ac:dyDescent="0.2">
      <c r="A1058" s="2">
        <v>42622</v>
      </c>
      <c r="B1058" s="1" t="s">
        <v>13</v>
      </c>
      <c r="C1058" s="1" t="s">
        <v>14</v>
      </c>
      <c r="D1058" s="2">
        <v>43112</v>
      </c>
      <c r="E1058" s="2">
        <f t="shared" si="32"/>
        <v>43435</v>
      </c>
      <c r="F1058" s="1" t="s">
        <v>15</v>
      </c>
      <c r="G1058" s="1" t="s">
        <v>16</v>
      </c>
      <c r="H1058" s="1">
        <v>-0.25</v>
      </c>
      <c r="I1058" s="1">
        <v>0.28999999999999998</v>
      </c>
      <c r="J1058" s="1">
        <v>-0.01</v>
      </c>
      <c r="K1058" s="1" t="s">
        <v>30</v>
      </c>
      <c r="L1058" s="1">
        <v>2389</v>
      </c>
      <c r="M1058" s="1">
        <v>0.45</v>
      </c>
      <c r="N1058" s="1">
        <v>-0.22549</v>
      </c>
      <c r="O1058" s="1">
        <f>VLOOKUP(D1058,underlying!$D$2:$H$75,5,FALSE)</f>
        <v>-0.18</v>
      </c>
      <c r="P1058" s="2">
        <f>VLOOKUP(D1058,underlying!$D$2:$L$39,9,FALSE)</f>
        <v>43403</v>
      </c>
      <c r="Q1058" s="7">
        <f>IF(G1058="C",NormalCallSprd(O1058,H1058,M1058,(P1058-A1058)/365), NormalPutSprd(O1058,H1058,M1058,(P1058-A1058)/365))</f>
        <v>0.29908765690331007</v>
      </c>
      <c r="R1058" s="9">
        <f t="shared" si="33"/>
        <v>9.0876569033100929E-3</v>
      </c>
    </row>
    <row r="1059" spans="1:18" x14ac:dyDescent="0.2">
      <c r="A1059" s="2">
        <v>42622</v>
      </c>
      <c r="B1059" s="1" t="s">
        <v>13</v>
      </c>
      <c r="C1059" s="1" t="s">
        <v>14</v>
      </c>
      <c r="D1059" s="2">
        <v>43112</v>
      </c>
      <c r="E1059" s="2">
        <f t="shared" si="32"/>
        <v>43435</v>
      </c>
      <c r="F1059" s="1" t="s">
        <v>15</v>
      </c>
      <c r="G1059" s="1" t="s">
        <v>18</v>
      </c>
      <c r="H1059" s="1">
        <v>-0.25</v>
      </c>
      <c r="I1059" s="1">
        <v>0.23</v>
      </c>
      <c r="J1059" s="1">
        <v>0.01</v>
      </c>
      <c r="K1059" s="1" t="s">
        <v>30</v>
      </c>
      <c r="L1059" s="1">
        <v>2389</v>
      </c>
      <c r="M1059" s="1">
        <v>0.45</v>
      </c>
      <c r="N1059" s="1">
        <v>-0.19982</v>
      </c>
      <c r="O1059" s="1">
        <f>VLOOKUP(D1059,underlying!$D$2:$H$75,5,FALSE)</f>
        <v>-0.18</v>
      </c>
      <c r="P1059" s="2">
        <f>VLOOKUP(D1059,underlying!$D$2:$L$39,9,FALSE)</f>
        <v>43403</v>
      </c>
      <c r="Q1059" s="7">
        <f>IF(G1059="C",NormalCallSprd(O1059,H1059,M1059,(P1059-A1059)/365), NormalPutSprd(O1059,H1059,M1059,(P1059-A1059)/365))</f>
        <v>0.22908765690331009</v>
      </c>
      <c r="R1059" s="9">
        <f t="shared" si="33"/>
        <v>9.1234309668991598E-4</v>
      </c>
    </row>
    <row r="1060" spans="1:18" x14ac:dyDescent="0.2">
      <c r="A1060" s="2">
        <v>42622</v>
      </c>
      <c r="B1060" s="1" t="s">
        <v>13</v>
      </c>
      <c r="C1060" s="1" t="s">
        <v>14</v>
      </c>
      <c r="D1060" s="2">
        <v>43112</v>
      </c>
      <c r="E1060" s="2">
        <f t="shared" si="32"/>
        <v>43435</v>
      </c>
      <c r="F1060" s="1" t="s">
        <v>15</v>
      </c>
      <c r="G1060" s="1" t="s">
        <v>16</v>
      </c>
      <c r="H1060" s="1">
        <v>-0.2</v>
      </c>
      <c r="I1060" s="1">
        <v>0.27</v>
      </c>
      <c r="J1060" s="1">
        <v>0</v>
      </c>
      <c r="K1060" s="1" t="s">
        <v>30</v>
      </c>
      <c r="L1060" s="1">
        <v>2389</v>
      </c>
      <c r="M1060" s="1">
        <v>0.45</v>
      </c>
      <c r="N1060" s="1">
        <v>-0.17569000000000001</v>
      </c>
      <c r="O1060" s="1">
        <f>VLOOKUP(D1060,underlying!$D$2:$H$75,5,FALSE)</f>
        <v>-0.18</v>
      </c>
      <c r="P1060" s="2">
        <f>VLOOKUP(D1060,underlying!$D$2:$L$39,9,FALSE)</f>
        <v>43403</v>
      </c>
      <c r="Q1060" s="7">
        <f>IF(G1060="C",NormalCallSprd(O1060,H1060,M1060,(P1060-A1060)/365), NormalPutSprd(O1060,H1060,M1060,(P1060-A1060)/365))</f>
        <v>0.27272540138002366</v>
      </c>
      <c r="R1060" s="9">
        <f t="shared" si="33"/>
        <v>2.7254013800236399E-3</v>
      </c>
    </row>
    <row r="1061" spans="1:18" x14ac:dyDescent="0.2">
      <c r="A1061" s="2">
        <v>42622</v>
      </c>
      <c r="B1061" s="1" t="s">
        <v>13</v>
      </c>
      <c r="C1061" s="1" t="s">
        <v>14</v>
      </c>
      <c r="D1061" s="2">
        <v>43112</v>
      </c>
      <c r="E1061" s="2">
        <f t="shared" si="32"/>
        <v>43435</v>
      </c>
      <c r="F1061" s="1" t="s">
        <v>15</v>
      </c>
      <c r="G1061" s="1" t="s">
        <v>18</v>
      </c>
      <c r="H1061" s="1">
        <v>-0.2</v>
      </c>
      <c r="I1061" s="1">
        <v>0.25</v>
      </c>
      <c r="J1061" s="1">
        <v>0.01</v>
      </c>
      <c r="K1061" s="1" t="s">
        <v>30</v>
      </c>
      <c r="L1061" s="1">
        <v>2389</v>
      </c>
      <c r="M1061" s="1">
        <v>0.45</v>
      </c>
      <c r="N1061" s="1">
        <v>-0.15589</v>
      </c>
      <c r="O1061" s="1">
        <f>VLOOKUP(D1061,underlying!$D$2:$H$75,5,FALSE)</f>
        <v>-0.18</v>
      </c>
      <c r="P1061" s="2">
        <f>VLOOKUP(D1061,underlying!$D$2:$L$39,9,FALSE)</f>
        <v>43403</v>
      </c>
      <c r="Q1061" s="7">
        <f>IF(G1061="C",NormalCallSprd(O1061,H1061,M1061,(P1061-A1061)/365), NormalPutSprd(O1061,H1061,M1061,(P1061-A1061)/365))</f>
        <v>0.25272540138002364</v>
      </c>
      <c r="R1061" s="9">
        <f t="shared" si="33"/>
        <v>2.7254013800236399E-3</v>
      </c>
    </row>
    <row r="1062" spans="1:18" x14ac:dyDescent="0.2">
      <c r="A1062" s="2">
        <v>42622</v>
      </c>
      <c r="B1062" s="1" t="s">
        <v>13</v>
      </c>
      <c r="C1062" s="1" t="s">
        <v>14</v>
      </c>
      <c r="D1062" s="2">
        <v>43112</v>
      </c>
      <c r="E1062" s="2">
        <f t="shared" si="32"/>
        <v>43435</v>
      </c>
      <c r="F1062" s="1" t="s">
        <v>15</v>
      </c>
      <c r="G1062" s="1" t="s">
        <v>16</v>
      </c>
      <c r="H1062" s="1">
        <v>-0.15</v>
      </c>
      <c r="I1062" s="1">
        <v>0.24</v>
      </c>
      <c r="J1062" s="1">
        <v>-0.01</v>
      </c>
      <c r="K1062" s="1" t="s">
        <v>30</v>
      </c>
      <c r="L1062" s="1">
        <v>2389</v>
      </c>
      <c r="M1062" s="1">
        <v>0.45</v>
      </c>
      <c r="N1062" s="1">
        <v>-0.13672999999999999</v>
      </c>
      <c r="O1062" s="1">
        <f>VLOOKUP(D1062,underlying!$D$2:$H$75,5,FALSE)</f>
        <v>-0.18</v>
      </c>
      <c r="P1062" s="2">
        <f>VLOOKUP(D1062,underlying!$D$2:$L$39,9,FALSE)</f>
        <v>43403</v>
      </c>
      <c r="Q1062" s="7">
        <f>IF(G1062="C",NormalCallSprd(O1062,H1062,M1062,(P1062-A1062)/365), NormalPutSprd(O1062,H1062,M1062,(P1062-A1062)/365))</f>
        <v>0.24787687949942561</v>
      </c>
      <c r="R1062" s="9">
        <f t="shared" si="33"/>
        <v>7.8768794994256153E-3</v>
      </c>
    </row>
    <row r="1063" spans="1:18" x14ac:dyDescent="0.2">
      <c r="A1063" s="2">
        <v>42622</v>
      </c>
      <c r="B1063" s="1" t="s">
        <v>13</v>
      </c>
      <c r="C1063" s="1" t="s">
        <v>14</v>
      </c>
      <c r="D1063" s="2">
        <v>43112</v>
      </c>
      <c r="E1063" s="2">
        <f t="shared" si="32"/>
        <v>43435</v>
      </c>
      <c r="F1063" s="1" t="s">
        <v>15</v>
      </c>
      <c r="G1063" s="1" t="s">
        <v>18</v>
      </c>
      <c r="H1063" s="1">
        <v>-0.15</v>
      </c>
      <c r="I1063" s="1">
        <v>0.27</v>
      </c>
      <c r="J1063" s="1">
        <v>0</v>
      </c>
      <c r="K1063" s="1" t="s">
        <v>30</v>
      </c>
      <c r="L1063" s="1">
        <v>2389</v>
      </c>
      <c r="M1063" s="1">
        <v>0.45</v>
      </c>
      <c r="N1063" s="1">
        <v>-0.10484</v>
      </c>
      <c r="O1063" s="1">
        <f>VLOOKUP(D1063,underlying!$D$2:$H$75,5,FALSE)</f>
        <v>-0.18</v>
      </c>
      <c r="P1063" s="2">
        <f>VLOOKUP(D1063,underlying!$D$2:$L$39,9,FALSE)</f>
        <v>43403</v>
      </c>
      <c r="Q1063" s="7">
        <f>IF(G1063="C",NormalCallSprd(O1063,H1063,M1063,(P1063-A1063)/365), NormalPutSprd(O1063,H1063,M1063,(P1063-A1063)/365))</f>
        <v>0.27787687949942563</v>
      </c>
      <c r="R1063" s="9">
        <f t="shared" si="33"/>
        <v>7.8768794994256153E-3</v>
      </c>
    </row>
    <row r="1064" spans="1:18" x14ac:dyDescent="0.2">
      <c r="A1064" s="2">
        <v>42622</v>
      </c>
      <c r="B1064" s="1" t="s">
        <v>13</v>
      </c>
      <c r="C1064" s="1" t="s">
        <v>14</v>
      </c>
      <c r="D1064" s="2">
        <v>43112</v>
      </c>
      <c r="E1064" s="2">
        <f t="shared" si="32"/>
        <v>43435</v>
      </c>
      <c r="F1064" s="1" t="s">
        <v>15</v>
      </c>
      <c r="G1064" s="1" t="s">
        <v>16</v>
      </c>
      <c r="H1064" s="1">
        <v>-0.1</v>
      </c>
      <c r="I1064" s="1">
        <v>0.22</v>
      </c>
      <c r="J1064" s="1">
        <v>-0.01</v>
      </c>
      <c r="K1064" s="1" t="s">
        <v>30</v>
      </c>
      <c r="L1064" s="1">
        <v>2389</v>
      </c>
      <c r="M1064" s="1">
        <v>0.45</v>
      </c>
      <c r="N1064" s="1">
        <v>-7.4400000000000004E-3</v>
      </c>
      <c r="O1064" s="1">
        <f>VLOOKUP(D1064,underlying!$D$2:$H$75,5,FALSE)</f>
        <v>-0.18</v>
      </c>
      <c r="P1064" s="2">
        <f>VLOOKUP(D1064,underlying!$D$2:$L$39,9,FALSE)</f>
        <v>43403</v>
      </c>
      <c r="Q1064" s="7">
        <f>IF(G1064="C",NormalCallSprd(O1064,H1064,M1064,(P1064-A1064)/365), NormalPutSprd(O1064,H1064,M1064,(P1064-A1064)/365))</f>
        <v>0.2245412189661507</v>
      </c>
      <c r="R1064" s="9">
        <f t="shared" si="33"/>
        <v>4.5412189661507008E-3</v>
      </c>
    </row>
    <row r="1065" spans="1:18" x14ac:dyDescent="0.2">
      <c r="A1065" s="2">
        <v>42622</v>
      </c>
      <c r="B1065" s="1" t="s">
        <v>13</v>
      </c>
      <c r="C1065" s="1" t="s">
        <v>14</v>
      </c>
      <c r="D1065" s="2">
        <v>43112</v>
      </c>
      <c r="E1065" s="2">
        <f t="shared" si="32"/>
        <v>43435</v>
      </c>
      <c r="F1065" s="1" t="s">
        <v>15</v>
      </c>
      <c r="G1065" s="1" t="s">
        <v>18</v>
      </c>
      <c r="H1065" s="1">
        <v>-0.1</v>
      </c>
      <c r="I1065" s="1">
        <v>0.3</v>
      </c>
      <c r="J1065" s="1">
        <v>0</v>
      </c>
      <c r="K1065" s="1" t="s">
        <v>30</v>
      </c>
      <c r="L1065" s="1">
        <v>2389</v>
      </c>
      <c r="M1065" s="1">
        <v>0.45</v>
      </c>
      <c r="N1065" s="1">
        <v>-5.2999999999999998E-4</v>
      </c>
      <c r="O1065" s="1">
        <f>VLOOKUP(D1065,underlying!$D$2:$H$75,5,FALSE)</f>
        <v>-0.18</v>
      </c>
      <c r="P1065" s="2">
        <f>VLOOKUP(D1065,underlying!$D$2:$L$39,9,FALSE)</f>
        <v>43403</v>
      </c>
      <c r="Q1065" s="7">
        <f>IF(G1065="C",NormalCallSprd(O1065,H1065,M1065,(P1065-A1065)/365), NormalPutSprd(O1065,H1065,M1065,(P1065-A1065)/365))</f>
        <v>0.30454121896615072</v>
      </c>
      <c r="R1065" s="9">
        <f t="shared" si="33"/>
        <v>4.5412189661507285E-3</v>
      </c>
    </row>
    <row r="1066" spans="1:18" x14ac:dyDescent="0.2">
      <c r="A1066" s="2">
        <v>42622</v>
      </c>
      <c r="B1066" s="1" t="s">
        <v>13</v>
      </c>
      <c r="C1066" s="1" t="s">
        <v>14</v>
      </c>
      <c r="D1066" s="2">
        <v>43112</v>
      </c>
      <c r="E1066" s="2">
        <f t="shared" si="32"/>
        <v>43435</v>
      </c>
      <c r="F1066" s="1" t="s">
        <v>15</v>
      </c>
      <c r="G1066" s="1" t="s">
        <v>16</v>
      </c>
      <c r="H1066" s="1">
        <v>-0.05</v>
      </c>
      <c r="I1066" s="1">
        <v>0.19</v>
      </c>
      <c r="J1066" s="1">
        <v>-0.01</v>
      </c>
      <c r="K1066" s="1" t="s">
        <v>30</v>
      </c>
      <c r="L1066" s="1">
        <v>2389</v>
      </c>
      <c r="M1066" s="1">
        <v>0.44</v>
      </c>
      <c r="N1066" s="1">
        <v>0.38706000000000002</v>
      </c>
      <c r="O1066" s="1">
        <f>VLOOKUP(D1066,underlying!$D$2:$H$75,5,FALSE)</f>
        <v>-0.18</v>
      </c>
      <c r="P1066" s="2">
        <f>VLOOKUP(D1066,underlying!$D$2:$L$39,9,FALSE)</f>
        <v>43403</v>
      </c>
      <c r="Q1066" s="7">
        <f>IF(G1066="C",NormalCallSprd(O1066,H1066,M1066,(P1066-A1066)/365), NormalPutSprd(O1066,H1066,M1066,(P1066-A1066)/365))</f>
        <v>0.19698844740303245</v>
      </c>
      <c r="R1066" s="9">
        <f t="shared" si="33"/>
        <v>6.9884474030324495E-3</v>
      </c>
    </row>
    <row r="1067" spans="1:18" x14ac:dyDescent="0.2">
      <c r="A1067" s="2">
        <v>42622</v>
      </c>
      <c r="B1067" s="1" t="s">
        <v>13</v>
      </c>
      <c r="C1067" s="1" t="s">
        <v>14</v>
      </c>
      <c r="D1067" s="2">
        <v>43112</v>
      </c>
      <c r="E1067" s="2">
        <f t="shared" si="32"/>
        <v>43435</v>
      </c>
      <c r="F1067" s="1" t="s">
        <v>15</v>
      </c>
      <c r="G1067" s="1" t="s">
        <v>18</v>
      </c>
      <c r="H1067" s="1">
        <v>-0.05</v>
      </c>
      <c r="I1067" s="1">
        <v>0.32</v>
      </c>
      <c r="J1067" s="1">
        <v>0</v>
      </c>
      <c r="K1067" s="1" t="s">
        <v>30</v>
      </c>
      <c r="L1067" s="1">
        <v>2389</v>
      </c>
      <c r="M1067" s="1">
        <v>0.44</v>
      </c>
      <c r="N1067" s="1">
        <v>0.41652</v>
      </c>
      <c r="O1067" s="1">
        <f>VLOOKUP(D1067,underlying!$D$2:$H$75,5,FALSE)</f>
        <v>-0.18</v>
      </c>
      <c r="P1067" s="2">
        <f>VLOOKUP(D1067,underlying!$D$2:$L$39,9,FALSE)</f>
        <v>43403</v>
      </c>
      <c r="Q1067" s="7">
        <f>IF(G1067="C",NormalCallSprd(O1067,H1067,M1067,(P1067-A1067)/365), NormalPutSprd(O1067,H1067,M1067,(P1067-A1067)/365))</f>
        <v>0.32698844740303246</v>
      </c>
      <c r="R1067" s="9">
        <f t="shared" si="33"/>
        <v>6.9884474030324495E-3</v>
      </c>
    </row>
    <row r="1068" spans="1:18" x14ac:dyDescent="0.2">
      <c r="A1068" s="2">
        <v>42622</v>
      </c>
      <c r="B1068" s="1" t="s">
        <v>13</v>
      </c>
      <c r="C1068" s="1" t="s">
        <v>14</v>
      </c>
      <c r="D1068" s="2">
        <v>43466</v>
      </c>
      <c r="E1068" s="2">
        <f t="shared" si="32"/>
        <v>43466</v>
      </c>
      <c r="F1068" s="1" t="s">
        <v>15</v>
      </c>
      <c r="G1068" s="1" t="s">
        <v>16</v>
      </c>
      <c r="H1068" s="1">
        <v>-3</v>
      </c>
      <c r="I1068" s="1">
        <v>2.78</v>
      </c>
      <c r="J1068" s="1">
        <v>-0.01</v>
      </c>
      <c r="K1068" s="1" t="s">
        <v>27</v>
      </c>
      <c r="L1068" s="1">
        <v>2389</v>
      </c>
      <c r="M1068" s="1">
        <v>0.79</v>
      </c>
      <c r="N1068" s="1">
        <v>0.44718000000000002</v>
      </c>
      <c r="O1068" s="1">
        <f>VLOOKUP(D1068,underlying!$D$2:$H$75,5,FALSE)</f>
        <v>-0.18</v>
      </c>
      <c r="P1068" s="2">
        <f>VLOOKUP(D1068,underlying!$D$2:$L$39,9,FALSE)</f>
        <v>43433</v>
      </c>
      <c r="Q1068" s="7">
        <f>IF(G1068="C",NormalCallSprd(O1068,H1068,M1068,(P1068-A1068)/365), NormalPutSprd(O1068,H1068,M1068,(P1068-A1068)/365))</f>
        <v>2.8232547066897182</v>
      </c>
      <c r="R1068" s="9">
        <f t="shared" si="33"/>
        <v>4.3254706689718425E-2</v>
      </c>
    </row>
    <row r="1069" spans="1:18" x14ac:dyDescent="0.2">
      <c r="A1069" s="2">
        <v>42622</v>
      </c>
      <c r="B1069" s="1" t="s">
        <v>13</v>
      </c>
      <c r="C1069" s="1" t="s">
        <v>14</v>
      </c>
      <c r="D1069" s="2">
        <v>43466</v>
      </c>
      <c r="E1069" s="2">
        <f t="shared" si="32"/>
        <v>43466</v>
      </c>
      <c r="F1069" s="1" t="s">
        <v>15</v>
      </c>
      <c r="G1069" s="1" t="s">
        <v>18</v>
      </c>
      <c r="H1069" s="1">
        <v>-3</v>
      </c>
      <c r="I1069" s="1">
        <v>0.01</v>
      </c>
      <c r="J1069" s="1">
        <v>0</v>
      </c>
      <c r="K1069" s="1" t="s">
        <v>27</v>
      </c>
      <c r="L1069" s="1">
        <v>2389</v>
      </c>
      <c r="M1069" s="1">
        <v>0.79</v>
      </c>
      <c r="N1069" s="1">
        <v>0.47699000000000003</v>
      </c>
      <c r="O1069" s="1">
        <f>VLOOKUP(D1069,underlying!$D$2:$H$75,5,FALSE)</f>
        <v>-0.18</v>
      </c>
      <c r="P1069" s="2">
        <f>VLOOKUP(D1069,underlying!$D$2:$L$39,9,FALSE)</f>
        <v>43433</v>
      </c>
      <c r="Q1069" s="7">
        <f>IF(G1069="C",NormalCallSprd(O1069,H1069,M1069,(P1069-A1069)/365), NormalPutSprd(O1069,H1069,M1069,(P1069-A1069)/365))</f>
        <v>3.2547066897179893E-3</v>
      </c>
      <c r="R1069" s="9">
        <f t="shared" si="33"/>
        <v>6.7452933102820113E-3</v>
      </c>
    </row>
    <row r="1070" spans="1:18" x14ac:dyDescent="0.2">
      <c r="A1070" s="2">
        <v>42622</v>
      </c>
      <c r="B1070" s="1" t="s">
        <v>13</v>
      </c>
      <c r="C1070" s="1" t="s">
        <v>14</v>
      </c>
      <c r="D1070" s="2">
        <v>43466</v>
      </c>
      <c r="E1070" s="2">
        <f t="shared" si="32"/>
        <v>43466</v>
      </c>
      <c r="F1070" s="1" t="s">
        <v>15</v>
      </c>
      <c r="G1070" s="1" t="s">
        <v>16</v>
      </c>
      <c r="H1070" s="1">
        <v>-2</v>
      </c>
      <c r="I1070" s="1">
        <v>1.81</v>
      </c>
      <c r="J1070" s="1">
        <v>-0.01</v>
      </c>
      <c r="K1070" s="1" t="s">
        <v>27</v>
      </c>
      <c r="L1070" s="1">
        <v>2389</v>
      </c>
      <c r="M1070" s="1">
        <v>0.69</v>
      </c>
      <c r="N1070" s="1">
        <v>0.50653999999999999</v>
      </c>
      <c r="O1070" s="1">
        <f>VLOOKUP(D1070,underlying!$D$2:$H$75,5,FALSE)</f>
        <v>-0.18</v>
      </c>
      <c r="P1070" s="2">
        <f>VLOOKUP(D1070,underlying!$D$2:$L$39,9,FALSE)</f>
        <v>43433</v>
      </c>
      <c r="Q1070" s="7">
        <f>IF(G1070="C",NormalCallSprd(O1070,H1070,M1070,(P1070-A1070)/365), NormalPutSprd(O1070,H1070,M1070,(P1070-A1070)/365))</f>
        <v>1.8358470870144035</v>
      </c>
      <c r="R1070" s="9">
        <f t="shared" si="33"/>
        <v>2.5847087014403414E-2</v>
      </c>
    </row>
    <row r="1071" spans="1:18" x14ac:dyDescent="0.2">
      <c r="A1071" s="2">
        <v>42622</v>
      </c>
      <c r="B1071" s="1" t="s">
        <v>13</v>
      </c>
      <c r="C1071" s="1" t="s">
        <v>14</v>
      </c>
      <c r="D1071" s="2">
        <v>43466</v>
      </c>
      <c r="E1071" s="2">
        <f t="shared" si="32"/>
        <v>43466</v>
      </c>
      <c r="F1071" s="1" t="s">
        <v>15</v>
      </c>
      <c r="G1071" s="1" t="s">
        <v>18</v>
      </c>
      <c r="H1071" s="1">
        <v>-2</v>
      </c>
      <c r="I1071" s="1">
        <v>0.02</v>
      </c>
      <c r="J1071" s="1">
        <v>0</v>
      </c>
      <c r="K1071" s="1" t="s">
        <v>27</v>
      </c>
      <c r="L1071" s="1">
        <v>2389</v>
      </c>
      <c r="M1071" s="1">
        <v>0.69</v>
      </c>
      <c r="N1071" s="1">
        <v>0.53559000000000001</v>
      </c>
      <c r="O1071" s="1">
        <f>VLOOKUP(D1071,underlying!$D$2:$H$75,5,FALSE)</f>
        <v>-0.18</v>
      </c>
      <c r="P1071" s="2">
        <f>VLOOKUP(D1071,underlying!$D$2:$L$39,9,FALSE)</f>
        <v>43433</v>
      </c>
      <c r="Q1071" s="7">
        <f>IF(G1071="C",NormalCallSprd(O1071,H1071,M1071,(P1071-A1071)/365), NormalPutSprd(O1071,H1071,M1071,(P1071-A1071)/365))</f>
        <v>1.5847087014403519E-2</v>
      </c>
      <c r="R1071" s="9">
        <f t="shared" si="33"/>
        <v>4.1529129855964811E-3</v>
      </c>
    </row>
    <row r="1072" spans="1:18" x14ac:dyDescent="0.2">
      <c r="A1072" s="2">
        <v>42622</v>
      </c>
      <c r="B1072" s="1" t="s">
        <v>13</v>
      </c>
      <c r="C1072" s="1" t="s">
        <v>14</v>
      </c>
      <c r="D1072" s="2">
        <v>43466</v>
      </c>
      <c r="E1072" s="2">
        <f t="shared" si="32"/>
        <v>43466</v>
      </c>
      <c r="F1072" s="1" t="s">
        <v>15</v>
      </c>
      <c r="G1072" s="1" t="s">
        <v>16</v>
      </c>
      <c r="H1072" s="1">
        <v>-1</v>
      </c>
      <c r="I1072" s="1">
        <v>0.87</v>
      </c>
      <c r="J1072" s="1">
        <v>-0.01</v>
      </c>
      <c r="K1072" s="1" t="s">
        <v>27</v>
      </c>
      <c r="L1072" s="1">
        <v>2389</v>
      </c>
      <c r="M1072" s="1">
        <v>0.54</v>
      </c>
      <c r="N1072" s="1">
        <v>0.56345000000000001</v>
      </c>
      <c r="O1072" s="1">
        <f>VLOOKUP(D1072,underlying!$D$2:$H$75,5,FALSE)</f>
        <v>-0.18</v>
      </c>
      <c r="P1072" s="2">
        <f>VLOOKUP(D1072,underlying!$D$2:$L$39,9,FALSE)</f>
        <v>43433</v>
      </c>
      <c r="Q1072" s="7">
        <f>IF(G1072="C",NormalCallSprd(O1072,H1072,M1072,(P1072-A1072)/365), NormalPutSprd(O1072,H1072,M1072,(P1072-A1072)/365))</f>
        <v>0.88470595103222183</v>
      </c>
      <c r="R1072" s="9">
        <f t="shared" si="33"/>
        <v>1.4705951032221831E-2</v>
      </c>
    </row>
    <row r="1073" spans="1:18" x14ac:dyDescent="0.2">
      <c r="A1073" s="2">
        <v>42622</v>
      </c>
      <c r="B1073" s="1" t="s">
        <v>13</v>
      </c>
      <c r="C1073" s="1" t="s">
        <v>14</v>
      </c>
      <c r="D1073" s="2">
        <v>43466</v>
      </c>
      <c r="E1073" s="2">
        <f t="shared" si="32"/>
        <v>43466</v>
      </c>
      <c r="F1073" s="1" t="s">
        <v>15</v>
      </c>
      <c r="G1073" s="1" t="s">
        <v>18</v>
      </c>
      <c r="H1073" s="1">
        <v>-1</v>
      </c>
      <c r="I1073" s="1">
        <v>0.06</v>
      </c>
      <c r="J1073" s="1">
        <v>0</v>
      </c>
      <c r="K1073" s="1" t="s">
        <v>27</v>
      </c>
      <c r="L1073" s="1">
        <v>2389</v>
      </c>
      <c r="M1073" s="1">
        <v>0.54</v>
      </c>
      <c r="N1073" s="1">
        <v>0.59119999999999995</v>
      </c>
      <c r="O1073" s="1">
        <f>VLOOKUP(D1073,underlying!$D$2:$H$75,5,FALSE)</f>
        <v>-0.18</v>
      </c>
      <c r="P1073" s="2">
        <f>VLOOKUP(D1073,underlying!$D$2:$L$39,9,FALSE)</f>
        <v>43433</v>
      </c>
      <c r="Q1073" s="7">
        <f>IF(G1073="C",NormalCallSprd(O1073,H1073,M1073,(P1073-A1073)/365), NormalPutSprd(O1073,H1073,M1073,(P1073-A1073)/365))</f>
        <v>6.4705951032221876E-2</v>
      </c>
      <c r="R1073" s="9">
        <f t="shared" si="33"/>
        <v>4.7059510322218778E-3</v>
      </c>
    </row>
    <row r="1074" spans="1:18" x14ac:dyDescent="0.2">
      <c r="A1074" s="2">
        <v>42622</v>
      </c>
      <c r="B1074" s="1" t="s">
        <v>13</v>
      </c>
      <c r="C1074" s="1" t="s">
        <v>14</v>
      </c>
      <c r="D1074" s="2">
        <v>43466</v>
      </c>
      <c r="E1074" s="2">
        <f t="shared" si="32"/>
        <v>43466</v>
      </c>
      <c r="F1074" s="1" t="s">
        <v>15</v>
      </c>
      <c r="G1074" s="1" t="s">
        <v>16</v>
      </c>
      <c r="H1074" s="1">
        <v>-0.7</v>
      </c>
      <c r="I1074" s="1">
        <v>0.62</v>
      </c>
      <c r="J1074" s="1">
        <v>-0.01</v>
      </c>
      <c r="K1074" s="1" t="s">
        <v>27</v>
      </c>
      <c r="L1074" s="1">
        <v>2389</v>
      </c>
      <c r="M1074" s="1">
        <v>0.51</v>
      </c>
      <c r="N1074" s="1">
        <v>0.61695</v>
      </c>
      <c r="O1074" s="1">
        <f>VLOOKUP(D1074,underlying!$D$2:$H$75,5,FALSE)</f>
        <v>-0.18</v>
      </c>
      <c r="P1074" s="2">
        <f>VLOOKUP(D1074,underlying!$D$2:$L$39,9,FALSE)</f>
        <v>43433</v>
      </c>
      <c r="Q1074" s="7">
        <f>IF(G1074="C",NormalCallSprd(O1074,H1074,M1074,(P1074-A1074)/365), NormalPutSprd(O1074,H1074,M1074,(P1074-A1074)/365))</f>
        <v>0.63158820659462844</v>
      </c>
      <c r="R1074" s="9">
        <f t="shared" si="33"/>
        <v>1.1588206594628447E-2</v>
      </c>
    </row>
    <row r="1075" spans="1:18" x14ac:dyDescent="0.2">
      <c r="A1075" s="2">
        <v>42622</v>
      </c>
      <c r="B1075" s="1" t="s">
        <v>13</v>
      </c>
      <c r="C1075" s="1" t="s">
        <v>14</v>
      </c>
      <c r="D1075" s="2">
        <v>43466</v>
      </c>
      <c r="E1075" s="2">
        <f t="shared" si="32"/>
        <v>43466</v>
      </c>
      <c r="F1075" s="1" t="s">
        <v>15</v>
      </c>
      <c r="G1075" s="1" t="s">
        <v>18</v>
      </c>
      <c r="H1075" s="1">
        <v>-0.7</v>
      </c>
      <c r="I1075" s="1">
        <v>0.11</v>
      </c>
      <c r="J1075" s="1">
        <v>0</v>
      </c>
      <c r="K1075" s="1" t="s">
        <v>27</v>
      </c>
      <c r="L1075" s="1">
        <v>2389</v>
      </c>
      <c r="M1075" s="1">
        <v>0.51</v>
      </c>
      <c r="N1075" s="1">
        <v>0.64095000000000002</v>
      </c>
      <c r="O1075" s="1">
        <f>VLOOKUP(D1075,underlying!$D$2:$H$75,5,FALSE)</f>
        <v>-0.18</v>
      </c>
      <c r="P1075" s="2">
        <f>VLOOKUP(D1075,underlying!$D$2:$L$39,9,FALSE)</f>
        <v>43433</v>
      </c>
      <c r="Q1075" s="7">
        <f>IF(G1075="C",NormalCallSprd(O1075,H1075,M1075,(P1075-A1075)/365), NormalPutSprd(O1075,H1075,M1075,(P1075-A1075)/365))</f>
        <v>0.11158820659462841</v>
      </c>
      <c r="R1075" s="9">
        <f t="shared" si="33"/>
        <v>1.5882065946284107E-3</v>
      </c>
    </row>
    <row r="1076" spans="1:18" x14ac:dyDescent="0.2">
      <c r="A1076" s="2">
        <v>42622</v>
      </c>
      <c r="B1076" s="1" t="s">
        <v>13</v>
      </c>
      <c r="C1076" s="1" t="s">
        <v>14</v>
      </c>
      <c r="D1076" s="2">
        <v>43466</v>
      </c>
      <c r="E1076" s="2">
        <f t="shared" si="32"/>
        <v>43466</v>
      </c>
      <c r="F1076" s="1" t="s">
        <v>15</v>
      </c>
      <c r="G1076" s="1" t="s">
        <v>16</v>
      </c>
      <c r="H1076" s="1">
        <v>-0.65</v>
      </c>
      <c r="I1076" s="1">
        <v>0.57999999999999996</v>
      </c>
      <c r="J1076" s="1">
        <v>-0.01</v>
      </c>
      <c r="K1076" s="1" t="s">
        <v>27</v>
      </c>
      <c r="L1076" s="1">
        <v>2389</v>
      </c>
      <c r="M1076" s="1">
        <v>0.5</v>
      </c>
      <c r="N1076" s="1">
        <v>0.66579999999999995</v>
      </c>
      <c r="O1076" s="1">
        <f>VLOOKUP(D1076,underlying!$D$2:$H$75,5,FALSE)</f>
        <v>-0.18</v>
      </c>
      <c r="P1076" s="2">
        <f>VLOOKUP(D1076,underlying!$D$2:$L$39,9,FALSE)</f>
        <v>43433</v>
      </c>
      <c r="Q1076" s="7">
        <f>IF(G1076="C",NormalCallSprd(O1076,H1076,M1076,(P1076-A1076)/365), NormalPutSprd(O1076,H1076,M1076,(P1076-A1076)/365))</f>
        <v>0.58957064218337962</v>
      </c>
      <c r="R1076" s="9">
        <f t="shared" si="33"/>
        <v>9.5706421833796629E-3</v>
      </c>
    </row>
    <row r="1077" spans="1:18" x14ac:dyDescent="0.2">
      <c r="A1077" s="2">
        <v>42622</v>
      </c>
      <c r="B1077" s="1" t="s">
        <v>13</v>
      </c>
      <c r="C1077" s="1" t="s">
        <v>14</v>
      </c>
      <c r="D1077" s="2">
        <v>43466</v>
      </c>
      <c r="E1077" s="2">
        <f t="shared" si="32"/>
        <v>43466</v>
      </c>
      <c r="F1077" s="1" t="s">
        <v>15</v>
      </c>
      <c r="G1077" s="1" t="s">
        <v>18</v>
      </c>
      <c r="H1077" s="1">
        <v>-0.65</v>
      </c>
      <c r="I1077" s="1">
        <v>0.12</v>
      </c>
      <c r="J1077" s="1">
        <v>0</v>
      </c>
      <c r="K1077" s="1" t="s">
        <v>27</v>
      </c>
      <c r="L1077" s="1">
        <v>2389</v>
      </c>
      <c r="M1077" s="1">
        <v>0.5</v>
      </c>
      <c r="N1077" s="1">
        <v>0.69037000000000004</v>
      </c>
      <c r="O1077" s="1">
        <f>VLOOKUP(D1077,underlying!$D$2:$H$75,5,FALSE)</f>
        <v>-0.18</v>
      </c>
      <c r="P1077" s="2">
        <f>VLOOKUP(D1077,underlying!$D$2:$L$39,9,FALSE)</f>
        <v>43433</v>
      </c>
      <c r="Q1077" s="7">
        <f>IF(G1077="C",NormalCallSprd(O1077,H1077,M1077,(P1077-A1077)/365), NormalPutSprd(O1077,H1077,M1077,(P1077-A1077)/365))</f>
        <v>0.11957064218337964</v>
      </c>
      <c r="R1077" s="9">
        <f t="shared" si="33"/>
        <v>4.2935781662035988E-4</v>
      </c>
    </row>
    <row r="1078" spans="1:18" x14ac:dyDescent="0.2">
      <c r="A1078" s="2">
        <v>42622</v>
      </c>
      <c r="B1078" s="1" t="s">
        <v>13</v>
      </c>
      <c r="C1078" s="1" t="s">
        <v>14</v>
      </c>
      <c r="D1078" s="2">
        <v>43466</v>
      </c>
      <c r="E1078" s="2">
        <f t="shared" si="32"/>
        <v>43466</v>
      </c>
      <c r="F1078" s="1" t="s">
        <v>15</v>
      </c>
      <c r="G1078" s="1" t="s">
        <v>16</v>
      </c>
      <c r="H1078" s="1">
        <v>-0.6</v>
      </c>
      <c r="I1078" s="1">
        <v>0.54</v>
      </c>
      <c r="J1078" s="1">
        <v>-0.01</v>
      </c>
      <c r="K1078" s="1" t="s">
        <v>27</v>
      </c>
      <c r="L1078" s="1">
        <v>2389</v>
      </c>
      <c r="M1078" s="1">
        <v>0.49</v>
      </c>
      <c r="N1078" s="1">
        <v>0.71131999999999995</v>
      </c>
      <c r="O1078" s="1">
        <f>VLOOKUP(D1078,underlying!$D$2:$H$75,5,FALSE)</f>
        <v>-0.18</v>
      </c>
      <c r="P1078" s="2">
        <f>VLOOKUP(D1078,underlying!$D$2:$L$39,9,FALSE)</f>
        <v>43433</v>
      </c>
      <c r="Q1078" s="7">
        <f>IF(G1078="C",NormalCallSprd(O1078,H1078,M1078,(P1078-A1078)/365), NormalPutSprd(O1078,H1078,M1078,(P1078-A1078)/365))</f>
        <v>0.54827681679209228</v>
      </c>
      <c r="R1078" s="9">
        <f t="shared" si="33"/>
        <v>8.2768167920922453E-3</v>
      </c>
    </row>
    <row r="1079" spans="1:18" x14ac:dyDescent="0.2">
      <c r="A1079" s="2">
        <v>42622</v>
      </c>
      <c r="B1079" s="1" t="s">
        <v>13</v>
      </c>
      <c r="C1079" s="1" t="s">
        <v>14</v>
      </c>
      <c r="D1079" s="2">
        <v>43466</v>
      </c>
      <c r="E1079" s="2">
        <f t="shared" si="32"/>
        <v>43466</v>
      </c>
      <c r="F1079" s="1" t="s">
        <v>15</v>
      </c>
      <c r="G1079" s="1" t="s">
        <v>18</v>
      </c>
      <c r="H1079" s="1">
        <v>-0.6</v>
      </c>
      <c r="I1079" s="1">
        <v>0.13</v>
      </c>
      <c r="J1079" s="1">
        <v>0.01</v>
      </c>
      <c r="K1079" s="1" t="s">
        <v>27</v>
      </c>
      <c r="L1079" s="1">
        <v>2389</v>
      </c>
      <c r="M1079" s="1">
        <v>0.49</v>
      </c>
      <c r="N1079" s="1">
        <v>0.73026000000000002</v>
      </c>
      <c r="O1079" s="1">
        <f>VLOOKUP(D1079,underlying!$D$2:$H$75,5,FALSE)</f>
        <v>-0.18</v>
      </c>
      <c r="P1079" s="2">
        <f>VLOOKUP(D1079,underlying!$D$2:$L$39,9,FALSE)</f>
        <v>43433</v>
      </c>
      <c r="Q1079" s="7">
        <f>IF(G1079="C",NormalCallSprd(O1079,H1079,M1079,(P1079-A1079)/365), NormalPutSprd(O1079,H1079,M1079,(P1079-A1079)/365))</f>
        <v>0.12827681679209227</v>
      </c>
      <c r="R1079" s="9">
        <f t="shared" si="33"/>
        <v>1.7231832079077358E-3</v>
      </c>
    </row>
    <row r="1080" spans="1:18" x14ac:dyDescent="0.2">
      <c r="A1080" s="2">
        <v>42622</v>
      </c>
      <c r="B1080" s="1" t="s">
        <v>13</v>
      </c>
      <c r="C1080" s="1" t="s">
        <v>14</v>
      </c>
      <c r="D1080" s="2">
        <v>43466</v>
      </c>
      <c r="E1080" s="2">
        <f t="shared" si="32"/>
        <v>43466</v>
      </c>
      <c r="F1080" s="1" t="s">
        <v>15</v>
      </c>
      <c r="G1080" s="1" t="s">
        <v>16</v>
      </c>
      <c r="H1080" s="1">
        <v>-0.55000000000000004</v>
      </c>
      <c r="I1080" s="1">
        <v>0.5</v>
      </c>
      <c r="J1080" s="1">
        <v>-0.01</v>
      </c>
      <c r="K1080" s="1" t="s">
        <v>27</v>
      </c>
      <c r="L1080" s="1">
        <v>2389</v>
      </c>
      <c r="M1080" s="1">
        <v>0.49</v>
      </c>
      <c r="N1080" s="1">
        <v>0.74790999999999996</v>
      </c>
      <c r="O1080" s="1">
        <f>VLOOKUP(D1080,underlying!$D$2:$H$75,5,FALSE)</f>
        <v>-0.18</v>
      </c>
      <c r="P1080" s="2">
        <f>VLOOKUP(D1080,underlying!$D$2:$L$39,9,FALSE)</f>
        <v>43433</v>
      </c>
      <c r="Q1080" s="7">
        <f>IF(G1080="C",NormalCallSprd(O1080,H1080,M1080,(P1080-A1080)/365), NormalPutSprd(O1080,H1080,M1080,(P1080-A1080)/365))</f>
        <v>0.51299476510078834</v>
      </c>
      <c r="R1080" s="9">
        <f t="shared" si="33"/>
        <v>1.2994765100788341E-2</v>
      </c>
    </row>
    <row r="1081" spans="1:18" x14ac:dyDescent="0.2">
      <c r="A1081" s="2">
        <v>42622</v>
      </c>
      <c r="B1081" s="1" t="s">
        <v>13</v>
      </c>
      <c r="C1081" s="1" t="s">
        <v>14</v>
      </c>
      <c r="D1081" s="2">
        <v>43466</v>
      </c>
      <c r="E1081" s="2">
        <f t="shared" si="32"/>
        <v>43466</v>
      </c>
      <c r="F1081" s="1" t="s">
        <v>15</v>
      </c>
      <c r="G1081" s="1" t="s">
        <v>18</v>
      </c>
      <c r="H1081" s="1">
        <v>-0.55000000000000004</v>
      </c>
      <c r="I1081" s="1">
        <v>0.14000000000000001</v>
      </c>
      <c r="J1081" s="1">
        <v>0</v>
      </c>
      <c r="K1081" s="1" t="s">
        <v>27</v>
      </c>
      <c r="L1081" s="1">
        <v>2389</v>
      </c>
      <c r="M1081" s="1">
        <v>0.49</v>
      </c>
      <c r="N1081" s="1">
        <v>0.81916999999999995</v>
      </c>
      <c r="O1081" s="1">
        <f>VLOOKUP(D1081,underlying!$D$2:$H$75,5,FALSE)</f>
        <v>-0.18</v>
      </c>
      <c r="P1081" s="2">
        <f>VLOOKUP(D1081,underlying!$D$2:$L$39,9,FALSE)</f>
        <v>43433</v>
      </c>
      <c r="Q1081" s="7">
        <f>IF(G1081="C",NormalCallSprd(O1081,H1081,M1081,(P1081-A1081)/365), NormalPutSprd(O1081,H1081,M1081,(P1081-A1081)/365))</f>
        <v>0.14299476510078829</v>
      </c>
      <c r="R1081" s="9">
        <f t="shared" si="33"/>
        <v>2.994765100788277E-3</v>
      </c>
    </row>
    <row r="1082" spans="1:18" x14ac:dyDescent="0.2">
      <c r="A1082" s="2">
        <v>42622</v>
      </c>
      <c r="B1082" s="1" t="s">
        <v>13</v>
      </c>
      <c r="C1082" s="1" t="s">
        <v>14</v>
      </c>
      <c r="D1082" s="2">
        <v>43466</v>
      </c>
      <c r="E1082" s="2">
        <f t="shared" si="32"/>
        <v>43466</v>
      </c>
      <c r="F1082" s="1" t="s">
        <v>15</v>
      </c>
      <c r="G1082" s="1" t="s">
        <v>16</v>
      </c>
      <c r="H1082" s="1">
        <v>-0.5</v>
      </c>
      <c r="I1082" s="1">
        <v>0.47</v>
      </c>
      <c r="J1082" s="1">
        <v>0</v>
      </c>
      <c r="K1082" s="1" t="s">
        <v>27</v>
      </c>
      <c r="L1082" s="1">
        <v>2389</v>
      </c>
      <c r="M1082" s="1">
        <v>0.48</v>
      </c>
      <c r="N1082" s="1">
        <v>0.98965000000000003</v>
      </c>
      <c r="O1082" s="1">
        <f>VLOOKUP(D1082,underlying!$D$2:$H$75,5,FALSE)</f>
        <v>-0.18</v>
      </c>
      <c r="P1082" s="2">
        <f>VLOOKUP(D1082,underlying!$D$2:$L$39,9,FALSE)</f>
        <v>43433</v>
      </c>
      <c r="Q1082" s="7">
        <f>IF(G1082="C",NormalCallSprd(O1082,H1082,M1082,(P1082-A1082)/365), NormalPutSprd(O1082,H1082,M1082,(P1082-A1082)/365))</f>
        <v>0.47352173412475035</v>
      </c>
      <c r="R1082" s="9">
        <f t="shared" si="33"/>
        <v>3.5217341247503753E-3</v>
      </c>
    </row>
    <row r="1083" spans="1:18" x14ac:dyDescent="0.2">
      <c r="A1083" s="2">
        <v>42622</v>
      </c>
      <c r="B1083" s="1" t="s">
        <v>13</v>
      </c>
      <c r="C1083" s="1" t="s">
        <v>14</v>
      </c>
      <c r="D1083" s="2">
        <v>43466</v>
      </c>
      <c r="E1083" s="2">
        <f t="shared" si="32"/>
        <v>43466</v>
      </c>
      <c r="F1083" s="1" t="s">
        <v>15</v>
      </c>
      <c r="G1083" s="1" t="s">
        <v>18</v>
      </c>
      <c r="H1083" s="1">
        <v>-0.5</v>
      </c>
      <c r="I1083" s="1">
        <v>0.15</v>
      </c>
      <c r="J1083" s="1">
        <v>0</v>
      </c>
      <c r="K1083" s="1" t="s">
        <v>27</v>
      </c>
      <c r="L1083" s="1">
        <v>2389</v>
      </c>
      <c r="M1083" s="1">
        <v>0.48</v>
      </c>
      <c r="N1083" s="1">
        <v>0.94882999999999995</v>
      </c>
      <c r="O1083" s="1">
        <f>VLOOKUP(D1083,underlying!$D$2:$H$75,5,FALSE)</f>
        <v>-0.18</v>
      </c>
      <c r="P1083" s="2">
        <f>VLOOKUP(D1083,underlying!$D$2:$L$39,9,FALSE)</f>
        <v>43433</v>
      </c>
      <c r="Q1083" s="7">
        <f>IF(G1083="C",NormalCallSprd(O1083,H1083,M1083,(P1083-A1083)/365), NormalPutSprd(O1083,H1083,M1083,(P1083-A1083)/365))</f>
        <v>0.15352173412475034</v>
      </c>
      <c r="R1083" s="9">
        <f t="shared" si="33"/>
        <v>3.5217341247503475E-3</v>
      </c>
    </row>
    <row r="1084" spans="1:18" x14ac:dyDescent="0.2">
      <c r="A1084" s="2">
        <v>42622</v>
      </c>
      <c r="B1084" s="1" t="s">
        <v>13</v>
      </c>
      <c r="C1084" s="1" t="s">
        <v>14</v>
      </c>
      <c r="D1084" s="2">
        <v>43466</v>
      </c>
      <c r="E1084" s="2">
        <f t="shared" si="32"/>
        <v>43466</v>
      </c>
      <c r="F1084" s="1" t="s">
        <v>15</v>
      </c>
      <c r="G1084" s="1" t="s">
        <v>16</v>
      </c>
      <c r="H1084" s="1">
        <v>-0.45</v>
      </c>
      <c r="I1084" s="1">
        <v>0.43</v>
      </c>
      <c r="J1084" s="1">
        <v>-0.01</v>
      </c>
      <c r="K1084" s="1" t="s">
        <v>27</v>
      </c>
      <c r="L1084" s="1">
        <v>2389</v>
      </c>
      <c r="M1084" s="1">
        <v>0.47</v>
      </c>
      <c r="N1084" s="1">
        <v>0.97867999999999999</v>
      </c>
      <c r="O1084" s="1">
        <f>VLOOKUP(D1084,underlying!$D$2:$H$75,5,FALSE)</f>
        <v>-0.18</v>
      </c>
      <c r="P1084" s="2">
        <f>VLOOKUP(D1084,underlying!$D$2:$L$39,9,FALSE)</f>
        <v>43433</v>
      </c>
      <c r="Q1084" s="7">
        <f>IF(G1084="C",NormalCallSprd(O1084,H1084,M1084,(P1084-A1084)/365), NormalPutSprd(O1084,H1084,M1084,(P1084-A1084)/365))</f>
        <v>0.43499659557764686</v>
      </c>
      <c r="R1084" s="9">
        <f t="shared" si="33"/>
        <v>4.9965955776468673E-3</v>
      </c>
    </row>
    <row r="1085" spans="1:18" x14ac:dyDescent="0.2">
      <c r="A1085" s="2">
        <v>42622</v>
      </c>
      <c r="B1085" s="1" t="s">
        <v>13</v>
      </c>
      <c r="C1085" s="1" t="s">
        <v>14</v>
      </c>
      <c r="D1085" s="2">
        <v>43466</v>
      </c>
      <c r="E1085" s="2">
        <f t="shared" si="32"/>
        <v>43466</v>
      </c>
      <c r="F1085" s="1" t="s">
        <v>15</v>
      </c>
      <c r="G1085" s="1" t="s">
        <v>18</v>
      </c>
      <c r="H1085" s="1">
        <v>-0.45</v>
      </c>
      <c r="I1085" s="1">
        <v>0.16</v>
      </c>
      <c r="J1085" s="1">
        <v>0</v>
      </c>
      <c r="K1085" s="1" t="s">
        <v>27</v>
      </c>
      <c r="L1085" s="1">
        <v>2389</v>
      </c>
      <c r="M1085" s="1">
        <v>0.47</v>
      </c>
      <c r="N1085" s="1">
        <v>-0.60258999999999996</v>
      </c>
      <c r="O1085" s="1">
        <f>VLOOKUP(D1085,underlying!$D$2:$H$75,5,FALSE)</f>
        <v>-0.18</v>
      </c>
      <c r="P1085" s="2">
        <f>VLOOKUP(D1085,underlying!$D$2:$L$39,9,FALSE)</f>
        <v>43433</v>
      </c>
      <c r="Q1085" s="7">
        <f>IF(G1085="C",NormalCallSprd(O1085,H1085,M1085,(P1085-A1085)/365), NormalPutSprd(O1085,H1085,M1085,(P1085-A1085)/365))</f>
        <v>0.16499659557764682</v>
      </c>
      <c r="R1085" s="9">
        <f t="shared" si="33"/>
        <v>4.9965955776468118E-3</v>
      </c>
    </row>
    <row r="1086" spans="1:18" x14ac:dyDescent="0.2">
      <c r="A1086" s="2">
        <v>42622</v>
      </c>
      <c r="B1086" s="1" t="s">
        <v>13</v>
      </c>
      <c r="C1086" s="1" t="s">
        <v>14</v>
      </c>
      <c r="D1086" s="2">
        <v>43466</v>
      </c>
      <c r="E1086" s="2">
        <f t="shared" si="32"/>
        <v>43466</v>
      </c>
      <c r="F1086" s="1" t="s">
        <v>15</v>
      </c>
      <c r="G1086" s="1" t="s">
        <v>16</v>
      </c>
      <c r="H1086" s="1">
        <v>-0.4</v>
      </c>
      <c r="I1086" s="1">
        <v>0.39</v>
      </c>
      <c r="J1086" s="1">
        <v>-0.01</v>
      </c>
      <c r="K1086" s="1" t="s">
        <v>27</v>
      </c>
      <c r="L1086" s="1">
        <v>2389</v>
      </c>
      <c r="M1086" s="1">
        <v>0.46</v>
      </c>
      <c r="N1086" s="1">
        <v>-0.57313000000000003</v>
      </c>
      <c r="O1086" s="1">
        <f>VLOOKUP(D1086,underlying!$D$2:$H$75,5,FALSE)</f>
        <v>-0.18</v>
      </c>
      <c r="P1086" s="2">
        <f>VLOOKUP(D1086,underlying!$D$2:$L$39,9,FALSE)</f>
        <v>43433</v>
      </c>
      <c r="Q1086" s="7">
        <f>IF(G1086="C",NormalCallSprd(O1086,H1086,M1086,(P1086-A1086)/365), NormalPutSprd(O1086,H1086,M1086,(P1086-A1086)/365))</f>
        <v>0.39750743463273414</v>
      </c>
      <c r="R1086" s="9">
        <f t="shared" si="33"/>
        <v>7.5074346327341224E-3</v>
      </c>
    </row>
    <row r="1087" spans="1:18" x14ac:dyDescent="0.2">
      <c r="A1087" s="2">
        <v>42622</v>
      </c>
      <c r="B1087" s="1" t="s">
        <v>13</v>
      </c>
      <c r="C1087" s="1" t="s">
        <v>14</v>
      </c>
      <c r="D1087" s="2">
        <v>43466</v>
      </c>
      <c r="E1087" s="2">
        <f t="shared" si="32"/>
        <v>43466</v>
      </c>
      <c r="F1087" s="1" t="s">
        <v>15</v>
      </c>
      <c r="G1087" s="1" t="s">
        <v>18</v>
      </c>
      <c r="H1087" s="1">
        <v>-0.4</v>
      </c>
      <c r="I1087" s="1">
        <v>0.17</v>
      </c>
      <c r="J1087" s="1">
        <v>0</v>
      </c>
      <c r="K1087" s="1" t="s">
        <v>27</v>
      </c>
      <c r="L1087" s="1">
        <v>2389</v>
      </c>
      <c r="M1087" s="1">
        <v>0.46</v>
      </c>
      <c r="N1087" s="1">
        <v>-0.54247000000000001</v>
      </c>
      <c r="O1087" s="1">
        <f>VLOOKUP(D1087,underlying!$D$2:$H$75,5,FALSE)</f>
        <v>-0.18</v>
      </c>
      <c r="P1087" s="2">
        <f>VLOOKUP(D1087,underlying!$D$2:$L$39,9,FALSE)</f>
        <v>43433</v>
      </c>
      <c r="Q1087" s="7">
        <f>IF(G1087="C",NormalCallSprd(O1087,H1087,M1087,(P1087-A1087)/365), NormalPutSprd(O1087,H1087,M1087,(P1087-A1087)/365))</f>
        <v>0.17750743463273411</v>
      </c>
      <c r="R1087" s="9">
        <f t="shared" si="33"/>
        <v>7.5074346327340946E-3</v>
      </c>
    </row>
    <row r="1088" spans="1:18" x14ac:dyDescent="0.2">
      <c r="A1088" s="2">
        <v>42622</v>
      </c>
      <c r="B1088" s="1" t="s">
        <v>13</v>
      </c>
      <c r="C1088" s="1" t="s">
        <v>14</v>
      </c>
      <c r="D1088" s="2">
        <v>43466</v>
      </c>
      <c r="E1088" s="2">
        <f t="shared" si="32"/>
        <v>43466</v>
      </c>
      <c r="F1088" s="1" t="s">
        <v>15</v>
      </c>
      <c r="G1088" s="1" t="s">
        <v>16</v>
      </c>
      <c r="H1088" s="1">
        <v>-0.35</v>
      </c>
      <c r="I1088" s="1">
        <v>0.36</v>
      </c>
      <c r="J1088" s="1">
        <v>-0.01</v>
      </c>
      <c r="K1088" s="1" t="s">
        <v>27</v>
      </c>
      <c r="L1088" s="1">
        <v>2389</v>
      </c>
      <c r="M1088" s="1">
        <v>0.46</v>
      </c>
      <c r="N1088" s="1">
        <v>-0.51266</v>
      </c>
      <c r="O1088" s="1">
        <f>VLOOKUP(D1088,underlying!$D$2:$H$75,5,FALSE)</f>
        <v>-0.18</v>
      </c>
      <c r="P1088" s="2">
        <f>VLOOKUP(D1088,underlying!$D$2:$L$39,9,FALSE)</f>
        <v>43433</v>
      </c>
      <c r="Q1088" s="7">
        <f>IF(G1088="C",NormalCallSprd(O1088,H1088,M1088,(P1088-A1088)/365), NormalPutSprd(O1088,H1088,M1088,(P1088-A1088)/365))</f>
        <v>0.3669114487359898</v>
      </c>
      <c r="R1088" s="9">
        <f t="shared" si="33"/>
        <v>6.9114487359898114E-3</v>
      </c>
    </row>
    <row r="1089" spans="1:18" x14ac:dyDescent="0.2">
      <c r="A1089" s="2">
        <v>42622</v>
      </c>
      <c r="B1089" s="1" t="s">
        <v>13</v>
      </c>
      <c r="C1089" s="1" t="s">
        <v>14</v>
      </c>
      <c r="D1089" s="2">
        <v>43466</v>
      </c>
      <c r="E1089" s="2">
        <f t="shared" si="32"/>
        <v>43466</v>
      </c>
      <c r="F1089" s="1" t="s">
        <v>15</v>
      </c>
      <c r="G1089" s="1" t="s">
        <v>18</v>
      </c>
      <c r="H1089" s="1">
        <v>-0.35</v>
      </c>
      <c r="I1089" s="1">
        <v>0.19</v>
      </c>
      <c r="J1089" s="1">
        <v>0</v>
      </c>
      <c r="K1089" s="1" t="s">
        <v>27</v>
      </c>
      <c r="L1089" s="1">
        <v>2389</v>
      </c>
      <c r="M1089" s="1">
        <v>0.46</v>
      </c>
      <c r="N1089" s="1">
        <v>-0.48310999999999998</v>
      </c>
      <c r="O1089" s="1">
        <f>VLOOKUP(D1089,underlying!$D$2:$H$75,5,FALSE)</f>
        <v>-0.18</v>
      </c>
      <c r="P1089" s="2">
        <f>VLOOKUP(D1089,underlying!$D$2:$L$39,9,FALSE)</f>
        <v>43433</v>
      </c>
      <c r="Q1089" s="7">
        <f>IF(G1089="C",NormalCallSprd(O1089,H1089,M1089,(P1089-A1089)/365), NormalPutSprd(O1089,H1089,M1089,(P1089-A1089)/365))</f>
        <v>0.19691144873598984</v>
      </c>
      <c r="R1089" s="9">
        <f t="shared" si="33"/>
        <v>6.9114487359898391E-3</v>
      </c>
    </row>
    <row r="1090" spans="1:18" x14ac:dyDescent="0.2">
      <c r="A1090" s="2">
        <v>42622</v>
      </c>
      <c r="B1090" s="1" t="s">
        <v>13</v>
      </c>
      <c r="C1090" s="1" t="s">
        <v>14</v>
      </c>
      <c r="D1090" s="2">
        <v>43466</v>
      </c>
      <c r="E1090" s="2">
        <f t="shared" ref="E1090:E1153" si="34">DATE(YEAR(D1090),DAY(D1090),MONTH(D1090))</f>
        <v>43466</v>
      </c>
      <c r="F1090" s="1" t="s">
        <v>15</v>
      </c>
      <c r="G1090" s="1" t="s">
        <v>16</v>
      </c>
      <c r="H1090" s="1">
        <v>-0.3</v>
      </c>
      <c r="I1090" s="1">
        <v>0.33</v>
      </c>
      <c r="J1090" s="1">
        <v>0</v>
      </c>
      <c r="K1090" s="1" t="s">
        <v>27</v>
      </c>
      <c r="L1090" s="1">
        <v>2389</v>
      </c>
      <c r="M1090" s="1">
        <v>0.45</v>
      </c>
      <c r="N1090" s="1">
        <v>-0.45406000000000002</v>
      </c>
      <c r="O1090" s="1">
        <f>VLOOKUP(D1090,underlying!$D$2:$H$75,5,FALSE)</f>
        <v>-0.18</v>
      </c>
      <c r="P1090" s="2">
        <f>VLOOKUP(D1090,underlying!$D$2:$L$39,9,FALSE)</f>
        <v>43433</v>
      </c>
      <c r="Q1090" s="7">
        <f>IF(G1090="C",NormalCallSprd(O1090,H1090,M1090,(P1090-A1090)/365), NormalPutSprd(O1090,H1090,M1090,(P1090-A1090)/365))</f>
        <v>0.33187109364862083</v>
      </c>
      <c r="R1090" s="9">
        <f t="shared" si="33"/>
        <v>1.8710936486208141E-3</v>
      </c>
    </row>
    <row r="1091" spans="1:18" x14ac:dyDescent="0.2">
      <c r="A1091" s="2">
        <v>42622</v>
      </c>
      <c r="B1091" s="1" t="s">
        <v>13</v>
      </c>
      <c r="C1091" s="1" t="s">
        <v>14</v>
      </c>
      <c r="D1091" s="2">
        <v>43466</v>
      </c>
      <c r="E1091" s="2">
        <f t="shared" si="34"/>
        <v>43466</v>
      </c>
      <c r="F1091" s="1" t="s">
        <v>15</v>
      </c>
      <c r="G1091" s="1" t="s">
        <v>18</v>
      </c>
      <c r="H1091" s="1">
        <v>-0.3</v>
      </c>
      <c r="I1091" s="1">
        <v>0.21</v>
      </c>
      <c r="J1091" s="1">
        <v>0</v>
      </c>
      <c r="K1091" s="1" t="s">
        <v>27</v>
      </c>
      <c r="L1091" s="1">
        <v>2389</v>
      </c>
      <c r="M1091" s="1">
        <v>0.45</v>
      </c>
      <c r="N1091" s="1">
        <v>-0.42620000000000002</v>
      </c>
      <c r="O1091" s="1">
        <f>VLOOKUP(D1091,underlying!$D$2:$H$75,5,FALSE)</f>
        <v>-0.18</v>
      </c>
      <c r="P1091" s="2">
        <f>VLOOKUP(D1091,underlying!$D$2:$L$39,9,FALSE)</f>
        <v>43433</v>
      </c>
      <c r="Q1091" s="7">
        <f>IF(G1091="C",NormalCallSprd(O1091,H1091,M1091,(P1091-A1091)/365), NormalPutSprd(O1091,H1091,M1091,(P1091-A1091)/365))</f>
        <v>0.21187109364862083</v>
      </c>
      <c r="R1091" s="9">
        <f t="shared" ref="R1091:R1154" si="35">ABS(Q1091-I1091)</f>
        <v>1.8710936486208418E-3</v>
      </c>
    </row>
    <row r="1092" spans="1:18" x14ac:dyDescent="0.2">
      <c r="A1092" s="2">
        <v>42622</v>
      </c>
      <c r="B1092" s="1" t="s">
        <v>13</v>
      </c>
      <c r="C1092" s="1" t="s">
        <v>14</v>
      </c>
      <c r="D1092" s="2">
        <v>43466</v>
      </c>
      <c r="E1092" s="2">
        <f t="shared" si="34"/>
        <v>43466</v>
      </c>
      <c r="F1092" s="1" t="s">
        <v>15</v>
      </c>
      <c r="G1092" s="1" t="s">
        <v>16</v>
      </c>
      <c r="H1092" s="1">
        <v>-0.25</v>
      </c>
      <c r="I1092" s="1">
        <v>0.28999999999999998</v>
      </c>
      <c r="J1092" s="1">
        <v>-0.01</v>
      </c>
      <c r="K1092" s="1" t="s">
        <v>27</v>
      </c>
      <c r="L1092" s="1">
        <v>2389</v>
      </c>
      <c r="M1092" s="1">
        <v>0.44</v>
      </c>
      <c r="N1092" s="1">
        <v>-0.39845000000000003</v>
      </c>
      <c r="O1092" s="1">
        <f>VLOOKUP(D1092,underlying!$D$2:$H$75,5,FALSE)</f>
        <v>-0.18</v>
      </c>
      <c r="P1092" s="2">
        <f>VLOOKUP(D1092,underlying!$D$2:$L$39,9,FALSE)</f>
        <v>43433</v>
      </c>
      <c r="Q1092" s="7">
        <f>IF(G1092="C",NormalCallSprd(O1092,H1092,M1092,(P1092-A1092)/365), NormalPutSprd(O1092,H1092,M1092,(P1092-A1092)/365))</f>
        <v>0.29814245189505967</v>
      </c>
      <c r="R1092" s="9">
        <f t="shared" si="35"/>
        <v>8.142451895059688E-3</v>
      </c>
    </row>
    <row r="1093" spans="1:18" x14ac:dyDescent="0.2">
      <c r="A1093" s="2">
        <v>42622</v>
      </c>
      <c r="B1093" s="1" t="s">
        <v>13</v>
      </c>
      <c r="C1093" s="1" t="s">
        <v>14</v>
      </c>
      <c r="D1093" s="2">
        <v>43466</v>
      </c>
      <c r="E1093" s="2">
        <f t="shared" si="34"/>
        <v>43466</v>
      </c>
      <c r="F1093" s="1" t="s">
        <v>15</v>
      </c>
      <c r="G1093" s="1" t="s">
        <v>18</v>
      </c>
      <c r="H1093" s="1">
        <v>-0.25</v>
      </c>
      <c r="I1093" s="1">
        <v>0.22</v>
      </c>
      <c r="J1093" s="1">
        <v>0</v>
      </c>
      <c r="K1093" s="1" t="s">
        <v>27</v>
      </c>
      <c r="L1093" s="1">
        <v>2389</v>
      </c>
      <c r="M1093" s="1">
        <v>0.44</v>
      </c>
      <c r="N1093" s="1">
        <v>-0.37269999999999998</v>
      </c>
      <c r="O1093" s="1">
        <f>VLOOKUP(D1093,underlying!$D$2:$H$75,5,FALSE)</f>
        <v>-0.18</v>
      </c>
      <c r="P1093" s="2">
        <f>VLOOKUP(D1093,underlying!$D$2:$L$39,9,FALSE)</f>
        <v>43433</v>
      </c>
      <c r="Q1093" s="7">
        <f>IF(G1093="C",NormalCallSprd(O1093,H1093,M1093,(P1093-A1093)/365), NormalPutSprd(O1093,H1093,M1093,(P1093-A1093)/365))</f>
        <v>0.22814245189505966</v>
      </c>
      <c r="R1093" s="9">
        <f t="shared" si="35"/>
        <v>8.1424518950596603E-3</v>
      </c>
    </row>
    <row r="1094" spans="1:18" x14ac:dyDescent="0.2">
      <c r="A1094" s="2">
        <v>42622</v>
      </c>
      <c r="B1094" s="1" t="s">
        <v>13</v>
      </c>
      <c r="C1094" s="1" t="s">
        <v>14</v>
      </c>
      <c r="D1094" s="2">
        <v>43466</v>
      </c>
      <c r="E1094" s="2">
        <f t="shared" si="34"/>
        <v>43466</v>
      </c>
      <c r="F1094" s="1" t="s">
        <v>15</v>
      </c>
      <c r="G1094" s="1" t="s">
        <v>16</v>
      </c>
      <c r="H1094" s="1">
        <v>-0.2</v>
      </c>
      <c r="I1094" s="1">
        <v>0.27</v>
      </c>
      <c r="J1094" s="1">
        <v>0</v>
      </c>
      <c r="K1094" s="1" t="s">
        <v>27</v>
      </c>
      <c r="L1094" s="1">
        <v>2389</v>
      </c>
      <c r="M1094" s="1">
        <v>0.44</v>
      </c>
      <c r="N1094" s="1">
        <v>-0.34870000000000001</v>
      </c>
      <c r="O1094" s="1">
        <f>VLOOKUP(D1094,underlying!$D$2:$H$75,5,FALSE)</f>
        <v>-0.18</v>
      </c>
      <c r="P1094" s="2">
        <f>VLOOKUP(D1094,underlying!$D$2:$L$39,9,FALSE)</f>
        <v>43433</v>
      </c>
      <c r="Q1094" s="7">
        <f>IF(G1094="C",NormalCallSprd(O1094,H1094,M1094,(P1094-A1094)/365), NormalPutSprd(O1094,H1094,M1094,(P1094-A1094)/365))</f>
        <v>0.27177525744666398</v>
      </c>
      <c r="R1094" s="9">
        <f t="shared" si="35"/>
        <v>1.7752574466639581E-3</v>
      </c>
    </row>
    <row r="1095" spans="1:18" x14ac:dyDescent="0.2">
      <c r="A1095" s="2">
        <v>42622</v>
      </c>
      <c r="B1095" s="1" t="s">
        <v>13</v>
      </c>
      <c r="C1095" s="1" t="s">
        <v>14</v>
      </c>
      <c r="D1095" s="2">
        <v>43466</v>
      </c>
      <c r="E1095" s="2">
        <f t="shared" si="34"/>
        <v>43466</v>
      </c>
      <c r="F1095" s="1" t="s">
        <v>15</v>
      </c>
      <c r="G1095" s="1" t="s">
        <v>18</v>
      </c>
      <c r="H1095" s="1">
        <v>-0.2</v>
      </c>
      <c r="I1095" s="1">
        <v>0.25</v>
      </c>
      <c r="J1095" s="1">
        <v>0.01</v>
      </c>
      <c r="K1095" s="1" t="s">
        <v>27</v>
      </c>
      <c r="L1095" s="1">
        <v>2389</v>
      </c>
      <c r="M1095" s="1">
        <v>0.44</v>
      </c>
      <c r="N1095" s="1">
        <v>-0.32385000000000003</v>
      </c>
      <c r="O1095" s="1">
        <f>VLOOKUP(D1095,underlying!$D$2:$H$75,5,FALSE)</f>
        <v>-0.18</v>
      </c>
      <c r="P1095" s="2">
        <f>VLOOKUP(D1095,underlying!$D$2:$L$39,9,FALSE)</f>
        <v>43433</v>
      </c>
      <c r="Q1095" s="7">
        <f>IF(G1095="C",NormalCallSprd(O1095,H1095,M1095,(P1095-A1095)/365), NormalPutSprd(O1095,H1095,M1095,(P1095-A1095)/365))</f>
        <v>0.25177525744666396</v>
      </c>
      <c r="R1095" s="9">
        <f t="shared" si="35"/>
        <v>1.7752574466639581E-3</v>
      </c>
    </row>
    <row r="1096" spans="1:18" x14ac:dyDescent="0.2">
      <c r="A1096" s="2">
        <v>42622</v>
      </c>
      <c r="B1096" s="1" t="s">
        <v>13</v>
      </c>
      <c r="C1096" s="1" t="s">
        <v>14</v>
      </c>
      <c r="D1096" s="2">
        <v>43466</v>
      </c>
      <c r="E1096" s="2">
        <f t="shared" si="34"/>
        <v>43466</v>
      </c>
      <c r="F1096" s="1" t="s">
        <v>15</v>
      </c>
      <c r="G1096" s="1" t="s">
        <v>16</v>
      </c>
      <c r="H1096" s="1">
        <v>-0.15</v>
      </c>
      <c r="I1096" s="1">
        <v>0.24</v>
      </c>
      <c r="J1096" s="1">
        <v>-0.01</v>
      </c>
      <c r="K1096" s="1" t="s">
        <v>27</v>
      </c>
      <c r="L1096" s="1">
        <v>2389</v>
      </c>
      <c r="M1096" s="1">
        <v>0.44</v>
      </c>
      <c r="N1096" s="1">
        <v>-0.29927999999999999</v>
      </c>
      <c r="O1096" s="1">
        <f>VLOOKUP(D1096,underlying!$D$2:$H$75,5,FALSE)</f>
        <v>-0.18</v>
      </c>
      <c r="P1096" s="2">
        <f>VLOOKUP(D1096,underlying!$D$2:$L$39,9,FALSE)</f>
        <v>43433</v>
      </c>
      <c r="Q1096" s="7">
        <f>IF(G1096="C",NormalCallSprd(O1096,H1096,M1096,(P1096-A1096)/365), NormalPutSprd(O1096,H1096,M1096,(P1096-A1096)/365))</f>
        <v>0.24692728560749222</v>
      </c>
      <c r="R1096" s="9">
        <f t="shared" si="35"/>
        <v>6.9272856074922284E-3</v>
      </c>
    </row>
    <row r="1097" spans="1:18" x14ac:dyDescent="0.2">
      <c r="A1097" s="2">
        <v>42622</v>
      </c>
      <c r="B1097" s="1" t="s">
        <v>13</v>
      </c>
      <c r="C1097" s="1" t="s">
        <v>14</v>
      </c>
      <c r="D1097" s="2">
        <v>43466</v>
      </c>
      <c r="E1097" s="2">
        <f t="shared" si="34"/>
        <v>43466</v>
      </c>
      <c r="F1097" s="1" t="s">
        <v>15</v>
      </c>
      <c r="G1097" s="1" t="s">
        <v>18</v>
      </c>
      <c r="H1097" s="1">
        <v>-0.15</v>
      </c>
      <c r="I1097" s="1">
        <v>0.27</v>
      </c>
      <c r="J1097" s="1">
        <v>0</v>
      </c>
      <c r="K1097" s="1" t="s">
        <v>27</v>
      </c>
      <c r="L1097" s="1">
        <v>2389</v>
      </c>
      <c r="M1097" s="1">
        <v>0.44</v>
      </c>
      <c r="N1097" s="1">
        <v>-0.27833000000000002</v>
      </c>
      <c r="O1097" s="1">
        <f>VLOOKUP(D1097,underlying!$D$2:$H$75,5,FALSE)</f>
        <v>-0.18</v>
      </c>
      <c r="P1097" s="2">
        <f>VLOOKUP(D1097,underlying!$D$2:$L$39,9,FALSE)</f>
        <v>43433</v>
      </c>
      <c r="Q1097" s="7">
        <f>IF(G1097="C",NormalCallSprd(O1097,H1097,M1097,(P1097-A1097)/365), NormalPutSprd(O1097,H1097,M1097,(P1097-A1097)/365))</f>
        <v>0.27692728560749225</v>
      </c>
      <c r="R1097" s="9">
        <f t="shared" si="35"/>
        <v>6.9272856074922284E-3</v>
      </c>
    </row>
    <row r="1098" spans="1:18" x14ac:dyDescent="0.2">
      <c r="A1098" s="2">
        <v>42622</v>
      </c>
      <c r="B1098" s="1" t="s">
        <v>13</v>
      </c>
      <c r="C1098" s="1" t="s">
        <v>14</v>
      </c>
      <c r="D1098" s="2">
        <v>43466</v>
      </c>
      <c r="E1098" s="2">
        <f t="shared" si="34"/>
        <v>43466</v>
      </c>
      <c r="F1098" s="1" t="s">
        <v>15</v>
      </c>
      <c r="G1098" s="1" t="s">
        <v>16</v>
      </c>
      <c r="H1098" s="1">
        <v>-0.1</v>
      </c>
      <c r="I1098" s="1">
        <v>0.22</v>
      </c>
      <c r="J1098" s="1">
        <v>-0.01</v>
      </c>
      <c r="K1098" s="1" t="s">
        <v>27</v>
      </c>
      <c r="L1098" s="1">
        <v>2389</v>
      </c>
      <c r="M1098" s="1">
        <v>0.44</v>
      </c>
      <c r="N1098" s="1">
        <v>-0.25939000000000001</v>
      </c>
      <c r="O1098" s="1">
        <f>VLOOKUP(D1098,underlying!$D$2:$H$75,5,FALSE)</f>
        <v>-0.18</v>
      </c>
      <c r="P1098" s="2">
        <f>VLOOKUP(D1098,underlying!$D$2:$L$39,9,FALSE)</f>
        <v>43433</v>
      </c>
      <c r="Q1098" s="7">
        <f>IF(G1098="C",NormalCallSprd(O1098,H1098,M1098,(P1098-A1098)/365), NormalPutSprd(O1098,H1098,M1098,(P1098-A1098)/365))</f>
        <v>0.22359765455454447</v>
      </c>
      <c r="R1098" s="9">
        <f t="shared" si="35"/>
        <v>3.5976545545444716E-3</v>
      </c>
    </row>
    <row r="1099" spans="1:18" x14ac:dyDescent="0.2">
      <c r="A1099" s="2">
        <v>42622</v>
      </c>
      <c r="B1099" s="1" t="s">
        <v>13</v>
      </c>
      <c r="C1099" s="1" t="s">
        <v>14</v>
      </c>
      <c r="D1099" s="2">
        <v>43466</v>
      </c>
      <c r="E1099" s="2">
        <f t="shared" si="34"/>
        <v>43466</v>
      </c>
      <c r="F1099" s="1" t="s">
        <v>15</v>
      </c>
      <c r="G1099" s="1" t="s">
        <v>18</v>
      </c>
      <c r="H1099" s="1">
        <v>-0.1</v>
      </c>
      <c r="I1099" s="1">
        <v>0.3</v>
      </c>
      <c r="J1099" s="1">
        <v>0.01</v>
      </c>
      <c r="K1099" s="1" t="s">
        <v>27</v>
      </c>
      <c r="L1099" s="1">
        <v>2389</v>
      </c>
      <c r="M1099" s="1">
        <v>0.44</v>
      </c>
      <c r="N1099" s="1">
        <v>-0.24174000000000001</v>
      </c>
      <c r="O1099" s="1">
        <f>VLOOKUP(D1099,underlying!$D$2:$H$75,5,FALSE)</f>
        <v>-0.18</v>
      </c>
      <c r="P1099" s="2">
        <f>VLOOKUP(D1099,underlying!$D$2:$L$39,9,FALSE)</f>
        <v>43433</v>
      </c>
      <c r="Q1099" s="7">
        <f>IF(G1099="C",NormalCallSprd(O1099,H1099,M1099,(P1099-A1099)/365), NormalPutSprd(O1099,H1099,M1099,(P1099-A1099)/365))</f>
        <v>0.30359765455454446</v>
      </c>
      <c r="R1099" s="9">
        <f t="shared" si="35"/>
        <v>3.5976545545444716E-3</v>
      </c>
    </row>
    <row r="1100" spans="1:18" x14ac:dyDescent="0.2">
      <c r="A1100" s="2">
        <v>42622</v>
      </c>
      <c r="B1100" s="1" t="s">
        <v>13</v>
      </c>
      <c r="C1100" s="1" t="s">
        <v>14</v>
      </c>
      <c r="D1100" s="2">
        <v>43466</v>
      </c>
      <c r="E1100" s="2">
        <f t="shared" si="34"/>
        <v>43466</v>
      </c>
      <c r="F1100" s="1" t="s">
        <v>15</v>
      </c>
      <c r="G1100" s="1" t="s">
        <v>16</v>
      </c>
      <c r="H1100" s="1">
        <v>-0.05</v>
      </c>
      <c r="I1100" s="1">
        <v>0.2</v>
      </c>
      <c r="J1100" s="1">
        <v>0</v>
      </c>
      <c r="K1100" s="1" t="s">
        <v>27</v>
      </c>
      <c r="L1100" s="1">
        <v>2389</v>
      </c>
      <c r="M1100" s="1">
        <v>0.44</v>
      </c>
      <c r="N1100" s="1">
        <v>-0.17047999999999999</v>
      </c>
      <c r="O1100" s="1">
        <f>VLOOKUP(D1100,underlying!$D$2:$H$75,5,FALSE)</f>
        <v>-0.18</v>
      </c>
      <c r="P1100" s="2">
        <f>VLOOKUP(D1100,underlying!$D$2:$L$39,9,FALSE)</f>
        <v>43433</v>
      </c>
      <c r="Q1100" s="7">
        <f>IF(G1100="C",NormalCallSprd(O1100,H1100,M1100,(P1100-A1100)/365), NormalPutSprd(O1100,H1100,M1100,(P1100-A1100)/365))</f>
        <v>0.20177669795153833</v>
      </c>
      <c r="R1100" s="9">
        <f t="shared" si="35"/>
        <v>1.7766979515383141E-3</v>
      </c>
    </row>
    <row r="1101" spans="1:18" x14ac:dyDescent="0.2">
      <c r="A1101" s="2">
        <v>42622</v>
      </c>
      <c r="B1101" s="1" t="s">
        <v>13</v>
      </c>
      <c r="C1101" s="1" t="s">
        <v>14</v>
      </c>
      <c r="D1101" s="2">
        <v>43466</v>
      </c>
      <c r="E1101" s="2">
        <f t="shared" si="34"/>
        <v>43466</v>
      </c>
      <c r="F1101" s="1" t="s">
        <v>15</v>
      </c>
      <c r="G1101" s="1" t="s">
        <v>18</v>
      </c>
      <c r="H1101" s="1">
        <v>-0.05</v>
      </c>
      <c r="I1101" s="1">
        <v>0.33</v>
      </c>
      <c r="J1101" s="1">
        <v>0.01</v>
      </c>
      <c r="K1101" s="1" t="s">
        <v>27</v>
      </c>
      <c r="L1101" s="1">
        <v>2389</v>
      </c>
      <c r="M1101" s="1">
        <v>0.44</v>
      </c>
      <c r="N1101" s="1">
        <v>0</v>
      </c>
      <c r="O1101" s="1">
        <f>VLOOKUP(D1101,underlying!$D$2:$H$75,5,FALSE)</f>
        <v>-0.18</v>
      </c>
      <c r="P1101" s="2">
        <f>VLOOKUP(D1101,underlying!$D$2:$L$39,9,FALSE)</f>
        <v>43433</v>
      </c>
      <c r="Q1101" s="7">
        <f>IF(G1101="C",NormalCallSprd(O1101,H1101,M1101,(P1101-A1101)/365), NormalPutSprd(O1101,H1101,M1101,(P1101-A1101)/365))</f>
        <v>0.3317766979515383</v>
      </c>
      <c r="R1101" s="9">
        <f t="shared" si="35"/>
        <v>1.7766979515382864E-3</v>
      </c>
    </row>
    <row r="1102" spans="1:18" x14ac:dyDescent="0.2">
      <c r="A1102" s="2">
        <v>42622</v>
      </c>
      <c r="B1102" s="1" t="s">
        <v>13</v>
      </c>
      <c r="C1102" s="1" t="s">
        <v>14</v>
      </c>
      <c r="D1102" s="2">
        <v>43467</v>
      </c>
      <c r="E1102" s="2">
        <f t="shared" si="34"/>
        <v>43497</v>
      </c>
      <c r="F1102" s="1" t="s">
        <v>15</v>
      </c>
      <c r="G1102" s="1" t="s">
        <v>16</v>
      </c>
      <c r="H1102" s="1">
        <v>-3</v>
      </c>
      <c r="I1102" s="1">
        <v>2.78</v>
      </c>
      <c r="J1102" s="1">
        <v>-0.01</v>
      </c>
      <c r="K1102" s="1" t="s">
        <v>34</v>
      </c>
      <c r="L1102" s="1">
        <v>2389</v>
      </c>
      <c r="M1102" s="1">
        <v>0.8</v>
      </c>
      <c r="N1102" s="1">
        <v>-4.0820000000000002E-2</v>
      </c>
      <c r="O1102" s="1">
        <f>VLOOKUP(D1102,underlying!$D$2:$H$75,5,FALSE)</f>
        <v>-0.18</v>
      </c>
      <c r="P1102" s="2">
        <f>VLOOKUP(D1102,underlying!$D$2:$L$39,9,FALSE)</f>
        <v>43461</v>
      </c>
      <c r="Q1102" s="7">
        <f>IF(G1102="C",NormalCallSprd(O1102,H1102,M1102,(P1102-A1102)/365), NormalPutSprd(O1102,H1102,M1102,(P1102-A1102)/365))</f>
        <v>2.8241263779927688</v>
      </c>
      <c r="R1102" s="9">
        <f t="shared" si="35"/>
        <v>4.4126377992768973E-2</v>
      </c>
    </row>
    <row r="1103" spans="1:18" x14ac:dyDescent="0.2">
      <c r="A1103" s="2">
        <v>42622</v>
      </c>
      <c r="B1103" s="1" t="s">
        <v>13</v>
      </c>
      <c r="C1103" s="1" t="s">
        <v>14</v>
      </c>
      <c r="D1103" s="2">
        <v>43467</v>
      </c>
      <c r="E1103" s="2">
        <f t="shared" si="34"/>
        <v>43497</v>
      </c>
      <c r="F1103" s="1" t="s">
        <v>15</v>
      </c>
      <c r="G1103" s="1" t="s">
        <v>18</v>
      </c>
      <c r="H1103" s="1">
        <v>-3</v>
      </c>
      <c r="I1103" s="1">
        <v>0.01</v>
      </c>
      <c r="J1103" s="1">
        <v>0</v>
      </c>
      <c r="K1103" s="1" t="s">
        <v>34</v>
      </c>
      <c r="L1103" s="1">
        <v>2389</v>
      </c>
      <c r="M1103" s="1">
        <v>0.8</v>
      </c>
      <c r="N1103" s="1">
        <v>-1.0970000000000001E-2</v>
      </c>
      <c r="O1103" s="1">
        <f>VLOOKUP(D1103,underlying!$D$2:$H$75,5,FALSE)</f>
        <v>-0.18</v>
      </c>
      <c r="P1103" s="2">
        <f>VLOOKUP(D1103,underlying!$D$2:$L$39,9,FALSE)</f>
        <v>43461</v>
      </c>
      <c r="Q1103" s="7">
        <f>IF(G1103="C",NormalCallSprd(O1103,H1103,M1103,(P1103-A1103)/365), NormalPutSprd(O1103,H1103,M1103,(P1103-A1103)/365))</f>
        <v>4.1263779927688191E-3</v>
      </c>
      <c r="R1103" s="9">
        <f t="shared" si="35"/>
        <v>5.8736220072311811E-3</v>
      </c>
    </row>
    <row r="1104" spans="1:18" x14ac:dyDescent="0.2">
      <c r="A1104" s="2">
        <v>42622</v>
      </c>
      <c r="B1104" s="1" t="s">
        <v>13</v>
      </c>
      <c r="C1104" s="1" t="s">
        <v>14</v>
      </c>
      <c r="D1104" s="2">
        <v>43467</v>
      </c>
      <c r="E1104" s="2">
        <f t="shared" si="34"/>
        <v>43497</v>
      </c>
      <c r="F1104" s="1" t="s">
        <v>15</v>
      </c>
      <c r="G1104" s="1" t="s">
        <v>16</v>
      </c>
      <c r="H1104" s="1">
        <v>-2</v>
      </c>
      <c r="I1104" s="1">
        <v>1.81</v>
      </c>
      <c r="J1104" s="1">
        <v>-0.01</v>
      </c>
      <c r="K1104" s="1" t="s">
        <v>34</v>
      </c>
      <c r="L1104" s="1">
        <v>2389</v>
      </c>
      <c r="M1104" s="1">
        <v>0.69</v>
      </c>
      <c r="N1104" s="1">
        <v>0.45067000000000002</v>
      </c>
      <c r="O1104" s="1">
        <f>VLOOKUP(D1104,underlying!$D$2:$H$75,5,FALSE)</f>
        <v>-0.18</v>
      </c>
      <c r="P1104" s="2">
        <f>VLOOKUP(D1104,underlying!$D$2:$L$39,9,FALSE)</f>
        <v>43461</v>
      </c>
      <c r="Q1104" s="7">
        <f>IF(G1104="C",NormalCallSprd(O1104,H1104,M1104,(P1104-A1104)/365), NormalPutSprd(O1104,H1104,M1104,(P1104-A1104)/365))</f>
        <v>1.8373539730924269</v>
      </c>
      <c r="R1104" s="9">
        <f t="shared" si="35"/>
        <v>2.735397309242682E-2</v>
      </c>
    </row>
    <row r="1105" spans="1:18" x14ac:dyDescent="0.2">
      <c r="A1105" s="2">
        <v>42622</v>
      </c>
      <c r="B1105" s="1" t="s">
        <v>13</v>
      </c>
      <c r="C1105" s="1" t="s">
        <v>14</v>
      </c>
      <c r="D1105" s="2">
        <v>43467</v>
      </c>
      <c r="E1105" s="2">
        <f t="shared" si="34"/>
        <v>43497</v>
      </c>
      <c r="F1105" s="1" t="s">
        <v>15</v>
      </c>
      <c r="G1105" s="1" t="s">
        <v>18</v>
      </c>
      <c r="H1105" s="1">
        <v>-2</v>
      </c>
      <c r="I1105" s="1">
        <v>0.02</v>
      </c>
      <c r="J1105" s="1">
        <v>0</v>
      </c>
      <c r="K1105" s="1" t="s">
        <v>34</v>
      </c>
      <c r="L1105" s="1">
        <v>2389</v>
      </c>
      <c r="M1105" s="1">
        <v>0.69</v>
      </c>
      <c r="N1105" s="1">
        <v>0.47932000000000002</v>
      </c>
      <c r="O1105" s="1">
        <f>VLOOKUP(D1105,underlying!$D$2:$H$75,5,FALSE)</f>
        <v>-0.18</v>
      </c>
      <c r="P1105" s="2">
        <f>VLOOKUP(D1105,underlying!$D$2:$L$39,9,FALSE)</f>
        <v>43461</v>
      </c>
      <c r="Q1105" s="7">
        <f>IF(G1105="C",NormalCallSprd(O1105,H1105,M1105,(P1105-A1105)/365), NormalPutSprd(O1105,H1105,M1105,(P1105-A1105)/365))</f>
        <v>1.7353973092426887E-2</v>
      </c>
      <c r="R1105" s="9">
        <f t="shared" si="35"/>
        <v>2.6460269075731131E-3</v>
      </c>
    </row>
    <row r="1106" spans="1:18" x14ac:dyDescent="0.2">
      <c r="A1106" s="2">
        <v>42622</v>
      </c>
      <c r="B1106" s="1" t="s">
        <v>13</v>
      </c>
      <c r="C1106" s="1" t="s">
        <v>14</v>
      </c>
      <c r="D1106" s="2">
        <v>43467</v>
      </c>
      <c r="E1106" s="2">
        <f t="shared" si="34"/>
        <v>43497</v>
      </c>
      <c r="F1106" s="1" t="s">
        <v>15</v>
      </c>
      <c r="G1106" s="1" t="s">
        <v>16</v>
      </c>
      <c r="H1106" s="1">
        <v>-1</v>
      </c>
      <c r="I1106" s="1">
        <v>0.87</v>
      </c>
      <c r="J1106" s="1">
        <v>-0.01</v>
      </c>
      <c r="K1106" s="1" t="s">
        <v>34</v>
      </c>
      <c r="L1106" s="1">
        <v>2389</v>
      </c>
      <c r="M1106" s="1">
        <v>0.53</v>
      </c>
      <c r="N1106" s="1">
        <v>0.50770999999999999</v>
      </c>
      <c r="O1106" s="1">
        <f>VLOOKUP(D1106,underlying!$D$2:$H$75,5,FALSE)</f>
        <v>-0.18</v>
      </c>
      <c r="P1106" s="2">
        <f>VLOOKUP(D1106,underlying!$D$2:$L$39,9,FALSE)</f>
        <v>43461</v>
      </c>
      <c r="Q1106" s="7">
        <f>IF(G1106="C",NormalCallSprd(O1106,H1106,M1106,(P1106-A1106)/365), NormalPutSprd(O1106,H1106,M1106,(P1106-A1106)/365))</f>
        <v>0.88437764140556963</v>
      </c>
      <c r="R1106" s="9">
        <f t="shared" si="35"/>
        <v>1.437764140556963E-2</v>
      </c>
    </row>
    <row r="1107" spans="1:18" x14ac:dyDescent="0.2">
      <c r="A1107" s="2">
        <v>42622</v>
      </c>
      <c r="B1107" s="1" t="s">
        <v>13</v>
      </c>
      <c r="C1107" s="1" t="s">
        <v>14</v>
      </c>
      <c r="D1107" s="2">
        <v>43467</v>
      </c>
      <c r="E1107" s="2">
        <f t="shared" si="34"/>
        <v>43497</v>
      </c>
      <c r="F1107" s="1" t="s">
        <v>15</v>
      </c>
      <c r="G1107" s="1" t="s">
        <v>18</v>
      </c>
      <c r="H1107" s="1">
        <v>-1</v>
      </c>
      <c r="I1107" s="1">
        <v>0.06</v>
      </c>
      <c r="J1107" s="1">
        <v>0</v>
      </c>
      <c r="K1107" s="1" t="s">
        <v>34</v>
      </c>
      <c r="L1107" s="1">
        <v>2389</v>
      </c>
      <c r="M1107" s="1">
        <v>0.53</v>
      </c>
      <c r="N1107" s="1">
        <v>0.53557999999999995</v>
      </c>
      <c r="O1107" s="1">
        <f>VLOOKUP(D1107,underlying!$D$2:$H$75,5,FALSE)</f>
        <v>-0.18</v>
      </c>
      <c r="P1107" s="2">
        <f>VLOOKUP(D1107,underlying!$D$2:$L$39,9,FALSE)</f>
        <v>43461</v>
      </c>
      <c r="Q1107" s="7">
        <f>IF(G1107="C",NormalCallSprd(O1107,H1107,M1107,(P1107-A1107)/365), NormalPutSprd(O1107,H1107,M1107,(P1107-A1107)/365))</f>
        <v>6.4377641405569605E-2</v>
      </c>
      <c r="R1107" s="9">
        <f t="shared" si="35"/>
        <v>4.3776414055696072E-3</v>
      </c>
    </row>
    <row r="1108" spans="1:18" x14ac:dyDescent="0.2">
      <c r="A1108" s="2">
        <v>42622</v>
      </c>
      <c r="B1108" s="1" t="s">
        <v>13</v>
      </c>
      <c r="C1108" s="1" t="s">
        <v>14</v>
      </c>
      <c r="D1108" s="2">
        <v>43467</v>
      </c>
      <c r="E1108" s="2">
        <f t="shared" si="34"/>
        <v>43497</v>
      </c>
      <c r="F1108" s="1" t="s">
        <v>15</v>
      </c>
      <c r="G1108" s="1" t="s">
        <v>16</v>
      </c>
      <c r="H1108" s="1">
        <v>-0.7</v>
      </c>
      <c r="I1108" s="1">
        <v>0.62</v>
      </c>
      <c r="J1108" s="1">
        <v>-0.01</v>
      </c>
      <c r="K1108" s="1" t="s">
        <v>34</v>
      </c>
      <c r="L1108" s="1">
        <v>2389</v>
      </c>
      <c r="M1108" s="1">
        <v>0.5</v>
      </c>
      <c r="N1108" s="1">
        <v>0.56330999999999998</v>
      </c>
      <c r="O1108" s="1">
        <f>VLOOKUP(D1108,underlying!$D$2:$H$75,5,FALSE)</f>
        <v>-0.18</v>
      </c>
      <c r="P1108" s="2">
        <f>VLOOKUP(D1108,underlying!$D$2:$L$39,9,FALSE)</f>
        <v>43461</v>
      </c>
      <c r="Q1108" s="7">
        <f>IF(G1108="C",NormalCallSprd(O1108,H1108,M1108,(P1108-A1108)/365), NormalPutSprd(O1108,H1108,M1108,(P1108-A1108)/365))</f>
        <v>0.63091005335124839</v>
      </c>
      <c r="R1108" s="9">
        <f t="shared" si="35"/>
        <v>1.0910053351248394E-2</v>
      </c>
    </row>
    <row r="1109" spans="1:18" x14ac:dyDescent="0.2">
      <c r="A1109" s="2">
        <v>42622</v>
      </c>
      <c r="B1109" s="1" t="s">
        <v>13</v>
      </c>
      <c r="C1109" s="1" t="s">
        <v>14</v>
      </c>
      <c r="D1109" s="2">
        <v>43467</v>
      </c>
      <c r="E1109" s="2">
        <f t="shared" si="34"/>
        <v>43497</v>
      </c>
      <c r="F1109" s="1" t="s">
        <v>15</v>
      </c>
      <c r="G1109" s="1" t="s">
        <v>18</v>
      </c>
      <c r="H1109" s="1">
        <v>-0.7</v>
      </c>
      <c r="I1109" s="1">
        <v>0.11</v>
      </c>
      <c r="J1109" s="1">
        <v>0</v>
      </c>
      <c r="K1109" s="1" t="s">
        <v>34</v>
      </c>
      <c r="L1109" s="1">
        <v>2389</v>
      </c>
      <c r="M1109" s="1">
        <v>0.5</v>
      </c>
      <c r="N1109" s="1">
        <v>0.59067000000000003</v>
      </c>
      <c r="O1109" s="1">
        <f>VLOOKUP(D1109,underlying!$D$2:$H$75,5,FALSE)</f>
        <v>-0.18</v>
      </c>
      <c r="P1109" s="2">
        <f>VLOOKUP(D1109,underlying!$D$2:$L$39,9,FALSE)</f>
        <v>43461</v>
      </c>
      <c r="Q1109" s="7">
        <f>IF(G1109="C",NormalCallSprd(O1109,H1109,M1109,(P1109-A1109)/365), NormalPutSprd(O1109,H1109,M1109,(P1109-A1109)/365))</f>
        <v>0.11091005335124839</v>
      </c>
      <c r="R1109" s="9">
        <f t="shared" si="35"/>
        <v>9.1005335124838549E-4</v>
      </c>
    </row>
    <row r="1110" spans="1:18" x14ac:dyDescent="0.2">
      <c r="A1110" s="2">
        <v>42622</v>
      </c>
      <c r="B1110" s="1" t="s">
        <v>13</v>
      </c>
      <c r="C1110" s="1" t="s">
        <v>14</v>
      </c>
      <c r="D1110" s="2">
        <v>43467</v>
      </c>
      <c r="E1110" s="2">
        <f t="shared" si="34"/>
        <v>43497</v>
      </c>
      <c r="F1110" s="1" t="s">
        <v>15</v>
      </c>
      <c r="G1110" s="1" t="s">
        <v>16</v>
      </c>
      <c r="H1110" s="1">
        <v>-0.65</v>
      </c>
      <c r="I1110" s="1">
        <v>0.57999999999999996</v>
      </c>
      <c r="J1110" s="1">
        <v>-0.01</v>
      </c>
      <c r="K1110" s="1" t="s">
        <v>34</v>
      </c>
      <c r="L1110" s="1">
        <v>2389</v>
      </c>
      <c r="M1110" s="1">
        <v>0.5</v>
      </c>
      <c r="N1110" s="1">
        <v>0.61753000000000002</v>
      </c>
      <c r="O1110" s="1">
        <f>VLOOKUP(D1110,underlying!$D$2:$H$75,5,FALSE)</f>
        <v>-0.18</v>
      </c>
      <c r="P1110" s="2">
        <f>VLOOKUP(D1110,underlying!$D$2:$L$39,9,FALSE)</f>
        <v>43461</v>
      </c>
      <c r="Q1110" s="7">
        <f>IF(G1110="C",NormalCallSprd(O1110,H1110,M1110,(P1110-A1110)/365), NormalPutSprd(O1110,H1110,M1110,(P1110-A1110)/365))</f>
        <v>0.59375617151704729</v>
      </c>
      <c r="R1110" s="9">
        <f t="shared" si="35"/>
        <v>1.3756171517047333E-2</v>
      </c>
    </row>
    <row r="1111" spans="1:18" x14ac:dyDescent="0.2">
      <c r="A1111" s="2">
        <v>42622</v>
      </c>
      <c r="B1111" s="1" t="s">
        <v>13</v>
      </c>
      <c r="C1111" s="1" t="s">
        <v>14</v>
      </c>
      <c r="D1111" s="2">
        <v>43467</v>
      </c>
      <c r="E1111" s="2">
        <f t="shared" si="34"/>
        <v>43497</v>
      </c>
      <c r="F1111" s="1" t="s">
        <v>15</v>
      </c>
      <c r="G1111" s="1" t="s">
        <v>18</v>
      </c>
      <c r="H1111" s="1">
        <v>-0.65</v>
      </c>
      <c r="I1111" s="1">
        <v>0.12</v>
      </c>
      <c r="J1111" s="1">
        <v>0</v>
      </c>
      <c r="K1111" s="1" t="s">
        <v>34</v>
      </c>
      <c r="L1111" s="1">
        <v>2389</v>
      </c>
      <c r="M1111" s="1">
        <v>0.5</v>
      </c>
      <c r="N1111" s="1">
        <v>0.64376</v>
      </c>
      <c r="O1111" s="1">
        <f>VLOOKUP(D1111,underlying!$D$2:$H$75,5,FALSE)</f>
        <v>-0.18</v>
      </c>
      <c r="P1111" s="2">
        <f>VLOOKUP(D1111,underlying!$D$2:$L$39,9,FALSE)</f>
        <v>43461</v>
      </c>
      <c r="Q1111" s="7">
        <f>IF(G1111="C",NormalCallSprd(O1111,H1111,M1111,(P1111-A1111)/365), NormalPutSprd(O1111,H1111,M1111,(P1111-A1111)/365))</f>
        <v>0.12375617151704728</v>
      </c>
      <c r="R1111" s="9">
        <f t="shared" si="35"/>
        <v>3.7561715170472826E-3</v>
      </c>
    </row>
    <row r="1112" spans="1:18" x14ac:dyDescent="0.2">
      <c r="A1112" s="2">
        <v>42622</v>
      </c>
      <c r="B1112" s="1" t="s">
        <v>13</v>
      </c>
      <c r="C1112" s="1" t="s">
        <v>14</v>
      </c>
      <c r="D1112" s="2">
        <v>43467</v>
      </c>
      <c r="E1112" s="2">
        <f t="shared" si="34"/>
        <v>43497</v>
      </c>
      <c r="F1112" s="1" t="s">
        <v>15</v>
      </c>
      <c r="G1112" s="1" t="s">
        <v>16</v>
      </c>
      <c r="H1112" s="1">
        <v>-0.6</v>
      </c>
      <c r="I1112" s="1">
        <v>0.54</v>
      </c>
      <c r="J1112" s="1">
        <v>-0.01</v>
      </c>
      <c r="K1112" s="1" t="s">
        <v>34</v>
      </c>
      <c r="L1112" s="1">
        <v>2389</v>
      </c>
      <c r="M1112" s="1">
        <v>0.49</v>
      </c>
      <c r="N1112" s="1">
        <v>0.66622000000000003</v>
      </c>
      <c r="O1112" s="1">
        <f>VLOOKUP(D1112,underlying!$D$2:$H$75,5,FALSE)</f>
        <v>-0.18</v>
      </c>
      <c r="P1112" s="2">
        <f>VLOOKUP(D1112,underlying!$D$2:$L$39,9,FALSE)</f>
        <v>43461</v>
      </c>
      <c r="Q1112" s="7">
        <f>IF(G1112="C",NormalCallSprd(O1112,H1112,M1112,(P1112-A1112)/365), NormalPutSprd(O1112,H1112,M1112,(P1112-A1112)/365))</f>
        <v>0.55251601643952974</v>
      </c>
      <c r="R1112" s="9">
        <f t="shared" si="35"/>
        <v>1.2516016439529709E-2</v>
      </c>
    </row>
    <row r="1113" spans="1:18" x14ac:dyDescent="0.2">
      <c r="A1113" s="2">
        <v>42622</v>
      </c>
      <c r="B1113" s="1" t="s">
        <v>13</v>
      </c>
      <c r="C1113" s="1" t="s">
        <v>14</v>
      </c>
      <c r="D1113" s="2">
        <v>43467</v>
      </c>
      <c r="E1113" s="2">
        <f t="shared" si="34"/>
        <v>43497</v>
      </c>
      <c r="F1113" s="1" t="s">
        <v>15</v>
      </c>
      <c r="G1113" s="1" t="s">
        <v>18</v>
      </c>
      <c r="H1113" s="1">
        <v>-0.6</v>
      </c>
      <c r="I1113" s="1">
        <v>0.13</v>
      </c>
      <c r="J1113" s="1">
        <v>0</v>
      </c>
      <c r="K1113" s="1" t="s">
        <v>34</v>
      </c>
      <c r="L1113" s="1">
        <v>2389</v>
      </c>
      <c r="M1113" s="1">
        <v>0.49</v>
      </c>
      <c r="N1113" s="1">
        <v>0.68647000000000002</v>
      </c>
      <c r="O1113" s="1">
        <f>VLOOKUP(D1113,underlying!$D$2:$H$75,5,FALSE)</f>
        <v>-0.18</v>
      </c>
      <c r="P1113" s="2">
        <f>VLOOKUP(D1113,underlying!$D$2:$L$39,9,FALSE)</f>
        <v>43461</v>
      </c>
      <c r="Q1113" s="7">
        <f>IF(G1113="C",NormalCallSprd(O1113,H1113,M1113,(P1113-A1113)/365), NormalPutSprd(O1113,H1113,M1113,(P1113-A1113)/365))</f>
        <v>0.13251601643952976</v>
      </c>
      <c r="R1113" s="9">
        <f t="shared" si="35"/>
        <v>2.5160164395297557E-3</v>
      </c>
    </row>
    <row r="1114" spans="1:18" x14ac:dyDescent="0.2">
      <c r="A1114" s="2">
        <v>42622</v>
      </c>
      <c r="B1114" s="1" t="s">
        <v>13</v>
      </c>
      <c r="C1114" s="1" t="s">
        <v>14</v>
      </c>
      <c r="D1114" s="2">
        <v>43467</v>
      </c>
      <c r="E1114" s="2">
        <f t="shared" si="34"/>
        <v>43497</v>
      </c>
      <c r="F1114" s="1" t="s">
        <v>15</v>
      </c>
      <c r="G1114" s="1" t="s">
        <v>16</v>
      </c>
      <c r="H1114" s="1">
        <v>-0.55000000000000004</v>
      </c>
      <c r="I1114" s="1">
        <v>0.51</v>
      </c>
      <c r="J1114" s="1">
        <v>-0.01</v>
      </c>
      <c r="K1114" s="1" t="s">
        <v>34</v>
      </c>
      <c r="L1114" s="1">
        <v>2389</v>
      </c>
      <c r="M1114" s="1">
        <v>0.49</v>
      </c>
      <c r="N1114" s="1">
        <v>0.70526</v>
      </c>
      <c r="O1114" s="1">
        <f>VLOOKUP(D1114,underlying!$D$2:$H$75,5,FALSE)</f>
        <v>-0.18</v>
      </c>
      <c r="P1114" s="2">
        <f>VLOOKUP(D1114,underlying!$D$2:$L$39,9,FALSE)</f>
        <v>43461</v>
      </c>
      <c r="Q1114" s="7">
        <f>IF(G1114="C",NormalCallSprd(O1114,H1114,M1114,(P1114-A1114)/365), NormalPutSprd(O1114,H1114,M1114,(P1114-A1114)/365))</f>
        <v>0.51739110296338831</v>
      </c>
      <c r="R1114" s="9">
        <f t="shared" si="35"/>
        <v>7.3911029633882963E-3</v>
      </c>
    </row>
    <row r="1115" spans="1:18" x14ac:dyDescent="0.2">
      <c r="A1115" s="2">
        <v>42622</v>
      </c>
      <c r="B1115" s="1" t="s">
        <v>13</v>
      </c>
      <c r="C1115" s="1" t="s">
        <v>14</v>
      </c>
      <c r="D1115" s="2">
        <v>43467</v>
      </c>
      <c r="E1115" s="2">
        <f t="shared" si="34"/>
        <v>43497</v>
      </c>
      <c r="F1115" s="1" t="s">
        <v>15</v>
      </c>
      <c r="G1115" s="1" t="s">
        <v>18</v>
      </c>
      <c r="H1115" s="1">
        <v>-0.55000000000000004</v>
      </c>
      <c r="I1115" s="1">
        <v>0.14000000000000001</v>
      </c>
      <c r="J1115" s="1">
        <v>0</v>
      </c>
      <c r="K1115" s="1" t="s">
        <v>34</v>
      </c>
      <c r="L1115" s="1">
        <v>2389</v>
      </c>
      <c r="M1115" s="1">
        <v>0.49</v>
      </c>
      <c r="N1115" s="1">
        <v>0.72619999999999996</v>
      </c>
      <c r="O1115" s="1">
        <f>VLOOKUP(D1115,underlying!$D$2:$H$75,5,FALSE)</f>
        <v>-0.18</v>
      </c>
      <c r="P1115" s="2">
        <f>VLOOKUP(D1115,underlying!$D$2:$L$39,9,FALSE)</f>
        <v>43461</v>
      </c>
      <c r="Q1115" s="7">
        <f>IF(G1115="C",NormalCallSprd(O1115,H1115,M1115,(P1115-A1115)/365), NormalPutSprd(O1115,H1115,M1115,(P1115-A1115)/365))</f>
        <v>0.1473911029633882</v>
      </c>
      <c r="R1115" s="9">
        <f t="shared" si="35"/>
        <v>7.3911029633881853E-3</v>
      </c>
    </row>
    <row r="1116" spans="1:18" x14ac:dyDescent="0.2">
      <c r="A1116" s="2">
        <v>42622</v>
      </c>
      <c r="B1116" s="1" t="s">
        <v>13</v>
      </c>
      <c r="C1116" s="1" t="s">
        <v>14</v>
      </c>
      <c r="D1116" s="2">
        <v>43467</v>
      </c>
      <c r="E1116" s="2">
        <f t="shared" si="34"/>
        <v>43497</v>
      </c>
      <c r="F1116" s="1" t="s">
        <v>15</v>
      </c>
      <c r="G1116" s="1" t="s">
        <v>16</v>
      </c>
      <c r="H1116" s="1">
        <v>-0.5</v>
      </c>
      <c r="I1116" s="1">
        <v>0.47</v>
      </c>
      <c r="J1116" s="1">
        <v>-0.01</v>
      </c>
      <c r="K1116" s="1" t="s">
        <v>34</v>
      </c>
      <c r="L1116" s="1">
        <v>2389</v>
      </c>
      <c r="M1116" s="1">
        <v>0.48</v>
      </c>
      <c r="N1116" s="1">
        <v>0.74334999999999996</v>
      </c>
      <c r="O1116" s="1">
        <f>VLOOKUP(D1116,underlying!$D$2:$H$75,5,FALSE)</f>
        <v>-0.18</v>
      </c>
      <c r="P1116" s="2">
        <f>VLOOKUP(D1116,underlying!$D$2:$L$39,9,FALSE)</f>
        <v>43461</v>
      </c>
      <c r="Q1116" s="7">
        <f>IF(G1116="C",NormalCallSprd(O1116,H1116,M1116,(P1116-A1116)/365), NormalPutSprd(O1116,H1116,M1116,(P1116-A1116)/365))</f>
        <v>0.47794983296932869</v>
      </c>
      <c r="R1116" s="9">
        <f t="shared" si="35"/>
        <v>7.9498329693287184E-3</v>
      </c>
    </row>
    <row r="1117" spans="1:18" x14ac:dyDescent="0.2">
      <c r="A1117" s="2">
        <v>42622</v>
      </c>
      <c r="B1117" s="1" t="s">
        <v>13</v>
      </c>
      <c r="C1117" s="1" t="s">
        <v>14</v>
      </c>
      <c r="D1117" s="2">
        <v>43467</v>
      </c>
      <c r="E1117" s="2">
        <f t="shared" si="34"/>
        <v>43497</v>
      </c>
      <c r="F1117" s="1" t="s">
        <v>15</v>
      </c>
      <c r="G1117" s="1" t="s">
        <v>18</v>
      </c>
      <c r="H1117" s="1">
        <v>-0.5</v>
      </c>
      <c r="I1117" s="1">
        <v>0.15</v>
      </c>
      <c r="J1117" s="1">
        <v>0</v>
      </c>
      <c r="K1117" s="1" t="s">
        <v>34</v>
      </c>
      <c r="L1117" s="1">
        <v>2389</v>
      </c>
      <c r="M1117" s="1">
        <v>0.48</v>
      </c>
      <c r="N1117" s="1">
        <v>0.83638000000000001</v>
      </c>
      <c r="O1117" s="1">
        <f>VLOOKUP(D1117,underlying!$D$2:$H$75,5,FALSE)</f>
        <v>-0.18</v>
      </c>
      <c r="P1117" s="2">
        <f>VLOOKUP(D1117,underlying!$D$2:$L$39,9,FALSE)</f>
        <v>43461</v>
      </c>
      <c r="Q1117" s="7">
        <f>IF(G1117="C",NormalCallSprd(O1117,H1117,M1117,(P1117-A1117)/365), NormalPutSprd(O1117,H1117,M1117,(P1117-A1117)/365))</f>
        <v>0.15794983296932866</v>
      </c>
      <c r="R1117" s="9">
        <f t="shared" si="35"/>
        <v>7.9498329693286629E-3</v>
      </c>
    </row>
    <row r="1118" spans="1:18" x14ac:dyDescent="0.2">
      <c r="A1118" s="2">
        <v>42622</v>
      </c>
      <c r="B1118" s="1" t="s">
        <v>13</v>
      </c>
      <c r="C1118" s="1" t="s">
        <v>14</v>
      </c>
      <c r="D1118" s="2">
        <v>43467</v>
      </c>
      <c r="E1118" s="2">
        <f t="shared" si="34"/>
        <v>43497</v>
      </c>
      <c r="F1118" s="1" t="s">
        <v>15</v>
      </c>
      <c r="G1118" s="1" t="s">
        <v>16</v>
      </c>
      <c r="H1118" s="1">
        <v>-0.45</v>
      </c>
      <c r="I1118" s="1">
        <v>0.43</v>
      </c>
      <c r="J1118" s="1">
        <v>-0.01</v>
      </c>
      <c r="K1118" s="1" t="s">
        <v>34</v>
      </c>
      <c r="L1118" s="1">
        <v>2389</v>
      </c>
      <c r="M1118" s="1">
        <v>0.47</v>
      </c>
      <c r="N1118" s="1">
        <v>0.9385</v>
      </c>
      <c r="O1118" s="1">
        <f>VLOOKUP(D1118,underlying!$D$2:$H$75,5,FALSE)</f>
        <v>-0.18</v>
      </c>
      <c r="P1118" s="2">
        <f>VLOOKUP(D1118,underlying!$D$2:$L$39,9,FALSE)</f>
        <v>43461</v>
      </c>
      <c r="Q1118" s="7">
        <f>IF(G1118="C",NormalCallSprd(O1118,H1118,M1118,(P1118-A1118)/365), NormalPutSprd(O1118,H1118,M1118,(P1118-A1118)/365))</f>
        <v>0.43944361402334059</v>
      </c>
      <c r="R1118" s="9">
        <f t="shared" si="35"/>
        <v>9.4436140233405963E-3</v>
      </c>
    </row>
    <row r="1119" spans="1:18" x14ac:dyDescent="0.2">
      <c r="A1119" s="2">
        <v>42622</v>
      </c>
      <c r="B1119" s="1" t="s">
        <v>13</v>
      </c>
      <c r="C1119" s="1" t="s">
        <v>14</v>
      </c>
      <c r="D1119" s="2">
        <v>43467</v>
      </c>
      <c r="E1119" s="2">
        <f t="shared" si="34"/>
        <v>43497</v>
      </c>
      <c r="F1119" s="1" t="s">
        <v>15</v>
      </c>
      <c r="G1119" s="1" t="s">
        <v>18</v>
      </c>
      <c r="H1119" s="1">
        <v>-0.45</v>
      </c>
      <c r="I1119" s="1">
        <v>0.17</v>
      </c>
      <c r="J1119" s="1">
        <v>0.01</v>
      </c>
      <c r="K1119" s="1" t="s">
        <v>34</v>
      </c>
      <c r="L1119" s="1">
        <v>2389</v>
      </c>
      <c r="M1119" s="1">
        <v>0.47</v>
      </c>
      <c r="N1119" s="1">
        <v>0.96957000000000004</v>
      </c>
      <c r="O1119" s="1">
        <f>VLOOKUP(D1119,underlying!$D$2:$H$75,5,FALSE)</f>
        <v>-0.18</v>
      </c>
      <c r="P1119" s="2">
        <f>VLOOKUP(D1119,underlying!$D$2:$L$39,9,FALSE)</f>
        <v>43461</v>
      </c>
      <c r="Q1119" s="7">
        <f>IF(G1119="C",NormalCallSprd(O1119,H1119,M1119,(P1119-A1119)/365), NormalPutSprd(O1119,H1119,M1119,(P1119-A1119)/365))</f>
        <v>0.16944361402334054</v>
      </c>
      <c r="R1119" s="9">
        <f t="shared" si="35"/>
        <v>5.563859766594681E-4</v>
      </c>
    </row>
    <row r="1120" spans="1:18" x14ac:dyDescent="0.2">
      <c r="A1120" s="2">
        <v>42622</v>
      </c>
      <c r="B1120" s="1" t="s">
        <v>13</v>
      </c>
      <c r="C1120" s="1" t="s">
        <v>14</v>
      </c>
      <c r="D1120" s="2">
        <v>43467</v>
      </c>
      <c r="E1120" s="2">
        <f t="shared" si="34"/>
        <v>43497</v>
      </c>
      <c r="F1120" s="1" t="s">
        <v>15</v>
      </c>
      <c r="G1120" s="1" t="s">
        <v>16</v>
      </c>
      <c r="H1120" s="1">
        <v>-0.4</v>
      </c>
      <c r="I1120" s="1">
        <v>0.4</v>
      </c>
      <c r="J1120" s="1">
        <v>-0.01</v>
      </c>
      <c r="K1120" s="1" t="s">
        <v>34</v>
      </c>
      <c r="L1120" s="1">
        <v>2389</v>
      </c>
      <c r="M1120" s="1">
        <v>0.47</v>
      </c>
      <c r="N1120" s="1">
        <v>-0.53093999999999997</v>
      </c>
      <c r="O1120" s="1">
        <f>VLOOKUP(D1120,underlying!$D$2:$H$75,5,FALSE)</f>
        <v>-0.18</v>
      </c>
      <c r="P1120" s="2">
        <f>VLOOKUP(D1120,underlying!$D$2:$L$39,9,FALSE)</f>
        <v>43461</v>
      </c>
      <c r="Q1120" s="7">
        <f>IF(G1120="C",NormalCallSprd(O1120,H1120,M1120,(P1120-A1120)/365), NormalPutSprd(O1120,H1120,M1120,(P1120-A1120)/365))</f>
        <v>0.40771944360127366</v>
      </c>
      <c r="R1120" s="9">
        <f t="shared" si="35"/>
        <v>7.7194436012736345E-3</v>
      </c>
    </row>
    <row r="1121" spans="1:18" x14ac:dyDescent="0.2">
      <c r="A1121" s="2">
        <v>42622</v>
      </c>
      <c r="B1121" s="1" t="s">
        <v>13</v>
      </c>
      <c r="C1121" s="1" t="s">
        <v>14</v>
      </c>
      <c r="D1121" s="2">
        <v>43467</v>
      </c>
      <c r="E1121" s="2">
        <f t="shared" si="34"/>
        <v>43497</v>
      </c>
      <c r="F1121" s="1" t="s">
        <v>15</v>
      </c>
      <c r="G1121" s="1" t="s">
        <v>18</v>
      </c>
      <c r="H1121" s="1">
        <v>-0.4</v>
      </c>
      <c r="I1121" s="1">
        <v>0.18</v>
      </c>
      <c r="J1121" s="1">
        <v>0</v>
      </c>
      <c r="K1121" s="1" t="s">
        <v>34</v>
      </c>
      <c r="L1121" s="1">
        <v>2389</v>
      </c>
      <c r="M1121" s="1">
        <v>0.47</v>
      </c>
      <c r="N1121" s="1">
        <v>-0.50229000000000001</v>
      </c>
      <c r="O1121" s="1">
        <f>VLOOKUP(D1121,underlying!$D$2:$H$75,5,FALSE)</f>
        <v>-0.18</v>
      </c>
      <c r="P1121" s="2">
        <f>VLOOKUP(D1121,underlying!$D$2:$L$39,9,FALSE)</f>
        <v>43461</v>
      </c>
      <c r="Q1121" s="7">
        <f>IF(G1121="C",NormalCallSprd(O1121,H1121,M1121,(P1121-A1121)/365), NormalPutSprd(O1121,H1121,M1121,(P1121-A1121)/365))</f>
        <v>0.1877194436012736</v>
      </c>
      <c r="R1121" s="9">
        <f t="shared" si="35"/>
        <v>7.7194436012736067E-3</v>
      </c>
    </row>
    <row r="1122" spans="1:18" x14ac:dyDescent="0.2">
      <c r="A1122" s="2">
        <v>42622</v>
      </c>
      <c r="B1122" s="1" t="s">
        <v>13</v>
      </c>
      <c r="C1122" s="1" t="s">
        <v>14</v>
      </c>
      <c r="D1122" s="2">
        <v>43467</v>
      </c>
      <c r="E1122" s="2">
        <f t="shared" si="34"/>
        <v>43497</v>
      </c>
      <c r="F1122" s="1" t="s">
        <v>15</v>
      </c>
      <c r="G1122" s="1" t="s">
        <v>16</v>
      </c>
      <c r="H1122" s="1">
        <v>-0.35</v>
      </c>
      <c r="I1122" s="1">
        <v>0.36</v>
      </c>
      <c r="J1122" s="1">
        <v>-0.01</v>
      </c>
      <c r="K1122" s="1" t="s">
        <v>34</v>
      </c>
      <c r="L1122" s="1">
        <v>2389</v>
      </c>
      <c r="M1122" s="1">
        <v>0.46</v>
      </c>
      <c r="N1122" s="1">
        <v>-0.47389999999999999</v>
      </c>
      <c r="O1122" s="1">
        <f>VLOOKUP(D1122,underlying!$D$2:$H$75,5,FALSE)</f>
        <v>-0.18</v>
      </c>
      <c r="P1122" s="2">
        <f>VLOOKUP(D1122,underlying!$D$2:$L$39,9,FALSE)</f>
        <v>43461</v>
      </c>
      <c r="Q1122" s="7">
        <f>IF(G1122="C",NormalCallSprd(O1122,H1122,M1122,(P1122-A1122)/365), NormalPutSprd(O1122,H1122,M1122,(P1122-A1122)/365))</f>
        <v>0.37145415896293255</v>
      </c>
      <c r="R1122" s="9">
        <f t="shared" si="35"/>
        <v>1.1454158962932559E-2</v>
      </c>
    </row>
    <row r="1123" spans="1:18" x14ac:dyDescent="0.2">
      <c r="A1123" s="2">
        <v>42622</v>
      </c>
      <c r="B1123" s="1" t="s">
        <v>13</v>
      </c>
      <c r="C1123" s="1" t="s">
        <v>14</v>
      </c>
      <c r="D1123" s="2">
        <v>43467</v>
      </c>
      <c r="E1123" s="2">
        <f t="shared" si="34"/>
        <v>43497</v>
      </c>
      <c r="F1123" s="1" t="s">
        <v>15</v>
      </c>
      <c r="G1123" s="1" t="s">
        <v>18</v>
      </c>
      <c r="H1123" s="1">
        <v>-0.35</v>
      </c>
      <c r="I1123" s="1">
        <v>0.2</v>
      </c>
      <c r="J1123" s="1">
        <v>0</v>
      </c>
      <c r="K1123" s="1" t="s">
        <v>34</v>
      </c>
      <c r="L1123" s="1">
        <v>2389</v>
      </c>
      <c r="M1123" s="1">
        <v>0.46</v>
      </c>
      <c r="N1123" s="1">
        <v>-0.44602000000000003</v>
      </c>
      <c r="O1123" s="1">
        <f>VLOOKUP(D1123,underlying!$D$2:$H$75,5,FALSE)</f>
        <v>-0.18</v>
      </c>
      <c r="P1123" s="2">
        <f>VLOOKUP(D1123,underlying!$D$2:$L$39,9,FALSE)</f>
        <v>43461</v>
      </c>
      <c r="Q1123" s="7">
        <f>IF(G1123="C",NormalCallSprd(O1123,H1123,M1123,(P1123-A1123)/365), NormalPutSprd(O1123,H1123,M1123,(P1123-A1123)/365))</f>
        <v>0.20145415896293256</v>
      </c>
      <c r="R1123" s="9">
        <f t="shared" si="35"/>
        <v>1.4541589629325502E-3</v>
      </c>
    </row>
    <row r="1124" spans="1:18" x14ac:dyDescent="0.2">
      <c r="A1124" s="2">
        <v>42622</v>
      </c>
      <c r="B1124" s="1" t="s">
        <v>13</v>
      </c>
      <c r="C1124" s="1" t="s">
        <v>14</v>
      </c>
      <c r="D1124" s="2">
        <v>43467</v>
      </c>
      <c r="E1124" s="2">
        <f t="shared" si="34"/>
        <v>43497</v>
      </c>
      <c r="F1124" s="1" t="s">
        <v>15</v>
      </c>
      <c r="G1124" s="1" t="s">
        <v>16</v>
      </c>
      <c r="H1124" s="1">
        <v>-0.3</v>
      </c>
      <c r="I1124" s="1">
        <v>0.33</v>
      </c>
      <c r="J1124" s="1">
        <v>-0.01</v>
      </c>
      <c r="K1124" s="1" t="s">
        <v>34</v>
      </c>
      <c r="L1124" s="1">
        <v>2389</v>
      </c>
      <c r="M1124" s="1">
        <v>0.45</v>
      </c>
      <c r="N1124" s="1">
        <v>-0.41830000000000001</v>
      </c>
      <c r="O1124" s="1">
        <f>VLOOKUP(D1124,underlying!$D$2:$H$75,5,FALSE)</f>
        <v>-0.18</v>
      </c>
      <c r="P1124" s="2">
        <f>VLOOKUP(D1124,underlying!$D$2:$L$39,9,FALSE)</f>
        <v>43461</v>
      </c>
      <c r="Q1124" s="7">
        <f>IF(G1124="C",NormalCallSprd(O1124,H1124,M1124,(P1124-A1124)/365), NormalPutSprd(O1124,H1124,M1124,(P1124-A1124)/365))</f>
        <v>0.336379884961932</v>
      </c>
      <c r="R1124" s="9">
        <f t="shared" si="35"/>
        <v>6.3798849619319808E-3</v>
      </c>
    </row>
    <row r="1125" spans="1:18" x14ac:dyDescent="0.2">
      <c r="A1125" s="2">
        <v>42622</v>
      </c>
      <c r="B1125" s="1" t="s">
        <v>13</v>
      </c>
      <c r="C1125" s="1" t="s">
        <v>14</v>
      </c>
      <c r="D1125" s="2">
        <v>43467</v>
      </c>
      <c r="E1125" s="2">
        <f t="shared" si="34"/>
        <v>43497</v>
      </c>
      <c r="F1125" s="1" t="s">
        <v>15</v>
      </c>
      <c r="G1125" s="1" t="s">
        <v>18</v>
      </c>
      <c r="H1125" s="1">
        <v>-0.3</v>
      </c>
      <c r="I1125" s="1">
        <v>0.21</v>
      </c>
      <c r="J1125" s="1">
        <v>0</v>
      </c>
      <c r="K1125" s="1" t="s">
        <v>34</v>
      </c>
      <c r="L1125" s="1">
        <v>2389</v>
      </c>
      <c r="M1125" s="1">
        <v>0.45</v>
      </c>
      <c r="N1125" s="1">
        <v>-0.39094000000000001</v>
      </c>
      <c r="O1125" s="1">
        <f>VLOOKUP(D1125,underlying!$D$2:$H$75,5,FALSE)</f>
        <v>-0.18</v>
      </c>
      <c r="P1125" s="2">
        <f>VLOOKUP(D1125,underlying!$D$2:$L$39,9,FALSE)</f>
        <v>43461</v>
      </c>
      <c r="Q1125" s="7">
        <f>IF(G1125="C",NormalCallSprd(O1125,H1125,M1125,(P1125-A1125)/365), NormalPutSprd(O1125,H1125,M1125,(P1125-A1125)/365))</f>
        <v>0.216379884961932</v>
      </c>
      <c r="R1125" s="9">
        <f t="shared" si="35"/>
        <v>6.3798849619320086E-3</v>
      </c>
    </row>
    <row r="1126" spans="1:18" x14ac:dyDescent="0.2">
      <c r="A1126" s="2">
        <v>42622</v>
      </c>
      <c r="B1126" s="1" t="s">
        <v>13</v>
      </c>
      <c r="C1126" s="1" t="s">
        <v>14</v>
      </c>
      <c r="D1126" s="2">
        <v>43467</v>
      </c>
      <c r="E1126" s="2">
        <f t="shared" si="34"/>
        <v>43497</v>
      </c>
      <c r="F1126" s="1" t="s">
        <v>15</v>
      </c>
      <c r="G1126" s="1" t="s">
        <v>16</v>
      </c>
      <c r="H1126" s="1">
        <v>-0.25</v>
      </c>
      <c r="I1126" s="1">
        <v>0.3</v>
      </c>
      <c r="J1126" s="1">
        <v>0</v>
      </c>
      <c r="K1126" s="1" t="s">
        <v>34</v>
      </c>
      <c r="L1126" s="1">
        <v>2389</v>
      </c>
      <c r="M1126" s="1">
        <v>0.44</v>
      </c>
      <c r="N1126" s="1">
        <v>-0.36408000000000001</v>
      </c>
      <c r="O1126" s="1">
        <f>VLOOKUP(D1126,underlying!$D$2:$H$75,5,FALSE)</f>
        <v>-0.18</v>
      </c>
      <c r="P1126" s="2">
        <f>VLOOKUP(D1126,underlying!$D$2:$L$39,9,FALSE)</f>
        <v>43461</v>
      </c>
      <c r="Q1126" s="7">
        <f>IF(G1126="C",NormalCallSprd(O1126,H1126,M1126,(P1126-A1126)/365), NormalPutSprd(O1126,H1126,M1126,(P1126-A1126)/365))</f>
        <v>0.3025959482626121</v>
      </c>
      <c r="R1126" s="9">
        <f t="shared" si="35"/>
        <v>2.5959482626121133E-3</v>
      </c>
    </row>
    <row r="1127" spans="1:18" x14ac:dyDescent="0.2">
      <c r="A1127" s="2">
        <v>42622</v>
      </c>
      <c r="B1127" s="1" t="s">
        <v>13</v>
      </c>
      <c r="C1127" s="1" t="s">
        <v>14</v>
      </c>
      <c r="D1127" s="2">
        <v>43467</v>
      </c>
      <c r="E1127" s="2">
        <f t="shared" si="34"/>
        <v>43497</v>
      </c>
      <c r="F1127" s="1" t="s">
        <v>15</v>
      </c>
      <c r="G1127" s="1" t="s">
        <v>18</v>
      </c>
      <c r="H1127" s="1">
        <v>-0.25</v>
      </c>
      <c r="I1127" s="1">
        <v>0.23</v>
      </c>
      <c r="J1127" s="1">
        <v>0</v>
      </c>
      <c r="K1127" s="1" t="s">
        <v>34</v>
      </c>
      <c r="L1127" s="1">
        <v>2389</v>
      </c>
      <c r="M1127" s="1">
        <v>0.44</v>
      </c>
      <c r="N1127" s="1">
        <v>-0.33783999999999997</v>
      </c>
      <c r="O1127" s="1">
        <f>VLOOKUP(D1127,underlying!$D$2:$H$75,5,FALSE)</f>
        <v>-0.18</v>
      </c>
      <c r="P1127" s="2">
        <f>VLOOKUP(D1127,underlying!$D$2:$L$39,9,FALSE)</f>
        <v>43461</v>
      </c>
      <c r="Q1127" s="7">
        <f>IF(G1127="C",NormalCallSprd(O1127,H1127,M1127,(P1127-A1127)/365), NormalPutSprd(O1127,H1127,M1127,(P1127-A1127)/365))</f>
        <v>0.2325959482626121</v>
      </c>
      <c r="R1127" s="9">
        <f t="shared" si="35"/>
        <v>2.5959482626120856E-3</v>
      </c>
    </row>
    <row r="1128" spans="1:18" x14ac:dyDescent="0.2">
      <c r="A1128" s="2">
        <v>42622</v>
      </c>
      <c r="B1128" s="1" t="s">
        <v>13</v>
      </c>
      <c r="C1128" s="1" t="s">
        <v>14</v>
      </c>
      <c r="D1128" s="2">
        <v>43467</v>
      </c>
      <c r="E1128" s="2">
        <f t="shared" si="34"/>
        <v>43497</v>
      </c>
      <c r="F1128" s="1" t="s">
        <v>15</v>
      </c>
      <c r="G1128" s="1" t="s">
        <v>16</v>
      </c>
      <c r="H1128" s="1">
        <v>-0.2</v>
      </c>
      <c r="I1128" s="1">
        <v>0.27</v>
      </c>
      <c r="J1128" s="1">
        <v>-0.01</v>
      </c>
      <c r="K1128" s="1" t="s">
        <v>34</v>
      </c>
      <c r="L1128" s="1">
        <v>2389</v>
      </c>
      <c r="M1128" s="1">
        <v>0.44</v>
      </c>
      <c r="N1128" s="1">
        <v>-0.31537999999999999</v>
      </c>
      <c r="O1128" s="1">
        <f>VLOOKUP(D1128,underlying!$D$2:$H$75,5,FALSE)</f>
        <v>-0.18</v>
      </c>
      <c r="P1128" s="2">
        <f>VLOOKUP(D1128,underlying!$D$2:$L$39,9,FALSE)</f>
        <v>43461</v>
      </c>
      <c r="Q1128" s="7">
        <f>IF(G1128="C",NormalCallSprd(O1128,H1128,M1128,(P1128-A1128)/365), NormalPutSprd(O1128,H1128,M1128,(P1128-A1128)/365))</f>
        <v>0.27625171512978025</v>
      </c>
      <c r="R1128" s="9">
        <f t="shared" si="35"/>
        <v>6.2517151297802331E-3</v>
      </c>
    </row>
    <row r="1129" spans="1:18" x14ac:dyDescent="0.2">
      <c r="A1129" s="2">
        <v>42622</v>
      </c>
      <c r="B1129" s="1" t="s">
        <v>13</v>
      </c>
      <c r="C1129" s="1" t="s">
        <v>14</v>
      </c>
      <c r="D1129" s="2">
        <v>43467</v>
      </c>
      <c r="E1129" s="2">
        <f t="shared" si="34"/>
        <v>43497</v>
      </c>
      <c r="F1129" s="1" t="s">
        <v>15</v>
      </c>
      <c r="G1129" s="1" t="s">
        <v>18</v>
      </c>
      <c r="H1129" s="1">
        <v>-0.2</v>
      </c>
      <c r="I1129" s="1">
        <v>0.25</v>
      </c>
      <c r="J1129" s="1">
        <v>0</v>
      </c>
      <c r="K1129" s="1" t="s">
        <v>34</v>
      </c>
      <c r="L1129" s="1">
        <v>2389</v>
      </c>
      <c r="M1129" s="1">
        <v>0.44</v>
      </c>
      <c r="N1129" s="1">
        <v>-0.29514000000000001</v>
      </c>
      <c r="O1129" s="1">
        <f>VLOOKUP(D1129,underlying!$D$2:$H$75,5,FALSE)</f>
        <v>-0.18</v>
      </c>
      <c r="P1129" s="2">
        <f>VLOOKUP(D1129,underlying!$D$2:$L$39,9,FALSE)</f>
        <v>43461</v>
      </c>
      <c r="Q1129" s="7">
        <f>IF(G1129="C",NormalCallSprd(O1129,H1129,M1129,(P1129-A1129)/365), NormalPutSprd(O1129,H1129,M1129,(P1129-A1129)/365))</f>
        <v>0.25625171512978023</v>
      </c>
      <c r="R1129" s="9">
        <f t="shared" si="35"/>
        <v>6.2517151297802331E-3</v>
      </c>
    </row>
    <row r="1130" spans="1:18" x14ac:dyDescent="0.2">
      <c r="A1130" s="2">
        <v>42622</v>
      </c>
      <c r="B1130" s="1" t="s">
        <v>13</v>
      </c>
      <c r="C1130" s="1" t="s">
        <v>14</v>
      </c>
      <c r="D1130" s="2">
        <v>43467</v>
      </c>
      <c r="E1130" s="2">
        <f t="shared" si="34"/>
        <v>43497</v>
      </c>
      <c r="F1130" s="1" t="s">
        <v>15</v>
      </c>
      <c r="G1130" s="1" t="s">
        <v>16</v>
      </c>
      <c r="H1130" s="1">
        <v>-0.15</v>
      </c>
      <c r="I1130" s="1">
        <v>0.25</v>
      </c>
      <c r="J1130" s="1">
        <v>0</v>
      </c>
      <c r="K1130" s="1" t="s">
        <v>34</v>
      </c>
      <c r="L1130" s="1">
        <v>2389</v>
      </c>
      <c r="M1130" s="1">
        <v>0.44</v>
      </c>
      <c r="N1130" s="1">
        <v>-0.27634999999999998</v>
      </c>
      <c r="O1130" s="1">
        <f>VLOOKUP(D1130,underlying!$D$2:$H$75,5,FALSE)</f>
        <v>-0.18</v>
      </c>
      <c r="P1130" s="2">
        <f>VLOOKUP(D1130,underlying!$D$2:$L$39,9,FALSE)</f>
        <v>43461</v>
      </c>
      <c r="Q1130" s="7">
        <f>IF(G1130="C",NormalCallSprd(O1130,H1130,M1130,(P1130-A1130)/365), NormalPutSprd(O1130,H1130,M1130,(P1130-A1130)/365))</f>
        <v>0.25140118619778018</v>
      </c>
      <c r="R1130" s="9">
        <f t="shared" si="35"/>
        <v>1.4011861977801798E-3</v>
      </c>
    </row>
    <row r="1131" spans="1:18" x14ac:dyDescent="0.2">
      <c r="A1131" s="2">
        <v>42622</v>
      </c>
      <c r="B1131" s="1" t="s">
        <v>13</v>
      </c>
      <c r="C1131" s="1" t="s">
        <v>14</v>
      </c>
      <c r="D1131" s="2">
        <v>43467</v>
      </c>
      <c r="E1131" s="2">
        <f t="shared" si="34"/>
        <v>43497</v>
      </c>
      <c r="F1131" s="1" t="s">
        <v>15</v>
      </c>
      <c r="G1131" s="1" t="s">
        <v>18</v>
      </c>
      <c r="H1131" s="1">
        <v>-0.15</v>
      </c>
      <c r="I1131" s="1">
        <v>0.28000000000000003</v>
      </c>
      <c r="J1131" s="1">
        <v>0.01</v>
      </c>
      <c r="K1131" s="1" t="s">
        <v>34</v>
      </c>
      <c r="L1131" s="1">
        <v>2389</v>
      </c>
      <c r="M1131" s="1">
        <v>0.44</v>
      </c>
      <c r="N1131" s="1">
        <v>-0.25541000000000003</v>
      </c>
      <c r="O1131" s="1">
        <f>VLOOKUP(D1131,underlying!$D$2:$H$75,5,FALSE)</f>
        <v>-0.18</v>
      </c>
      <c r="P1131" s="2">
        <f>VLOOKUP(D1131,underlying!$D$2:$L$39,9,FALSE)</f>
        <v>43461</v>
      </c>
      <c r="Q1131" s="7">
        <f>IF(G1131="C",NormalCallSprd(O1131,H1131,M1131,(P1131-A1131)/365), NormalPutSprd(O1131,H1131,M1131,(P1131-A1131)/365))</f>
        <v>0.28140118619778021</v>
      </c>
      <c r="R1131" s="9">
        <f t="shared" si="35"/>
        <v>1.4011861977801798E-3</v>
      </c>
    </row>
    <row r="1132" spans="1:18" x14ac:dyDescent="0.2">
      <c r="A1132" s="2">
        <v>42622</v>
      </c>
      <c r="B1132" s="1" t="s">
        <v>13</v>
      </c>
      <c r="C1132" s="1" t="s">
        <v>14</v>
      </c>
      <c r="D1132" s="2">
        <v>43467</v>
      </c>
      <c r="E1132" s="2">
        <f t="shared" si="34"/>
        <v>43497</v>
      </c>
      <c r="F1132" s="1" t="s">
        <v>15</v>
      </c>
      <c r="G1132" s="1" t="s">
        <v>16</v>
      </c>
      <c r="H1132" s="1">
        <v>-0.1</v>
      </c>
      <c r="I1132" s="1">
        <v>0.22</v>
      </c>
      <c r="J1132" s="1">
        <v>-0.01</v>
      </c>
      <c r="K1132" s="1" t="s">
        <v>34</v>
      </c>
      <c r="L1132" s="1">
        <v>2389</v>
      </c>
      <c r="M1132" s="1">
        <v>0.44</v>
      </c>
      <c r="N1132" s="1">
        <v>-0.23826</v>
      </c>
      <c r="O1132" s="1">
        <f>VLOOKUP(D1132,underlying!$D$2:$H$75,5,FALSE)</f>
        <v>-0.18</v>
      </c>
      <c r="P1132" s="2">
        <f>VLOOKUP(D1132,underlying!$D$2:$L$39,9,FALSE)</f>
        <v>43461</v>
      </c>
      <c r="Q1132" s="7">
        <f>IF(G1132="C",NormalCallSprd(O1132,H1132,M1132,(P1132-A1132)/365), NormalPutSprd(O1132,H1132,M1132,(P1132-A1132)/365))</f>
        <v>0.22804352335522782</v>
      </c>
      <c r="R1132" s="9">
        <f t="shared" si="35"/>
        <v>8.0435233552278163E-3</v>
      </c>
    </row>
    <row r="1133" spans="1:18" x14ac:dyDescent="0.2">
      <c r="A1133" s="2">
        <v>42622</v>
      </c>
      <c r="B1133" s="1" t="s">
        <v>13</v>
      </c>
      <c r="C1133" s="1" t="s">
        <v>14</v>
      </c>
      <c r="D1133" s="2">
        <v>43467</v>
      </c>
      <c r="E1133" s="2">
        <f t="shared" si="34"/>
        <v>43497</v>
      </c>
      <c r="F1133" s="1" t="s">
        <v>15</v>
      </c>
      <c r="G1133" s="1" t="s">
        <v>18</v>
      </c>
      <c r="H1133" s="1">
        <v>-0.1</v>
      </c>
      <c r="I1133" s="1">
        <v>0.3</v>
      </c>
      <c r="J1133" s="1">
        <v>0</v>
      </c>
      <c r="K1133" s="1" t="s">
        <v>34</v>
      </c>
      <c r="L1133" s="1">
        <v>2389</v>
      </c>
      <c r="M1133" s="1">
        <v>0.44</v>
      </c>
      <c r="N1133" s="1">
        <v>-0.14523</v>
      </c>
      <c r="O1133" s="1">
        <f>VLOOKUP(D1133,underlying!$D$2:$H$75,5,FALSE)</f>
        <v>-0.18</v>
      </c>
      <c r="P1133" s="2">
        <f>VLOOKUP(D1133,underlying!$D$2:$L$39,9,FALSE)</f>
        <v>43461</v>
      </c>
      <c r="Q1133" s="7">
        <f>IF(G1133="C",NormalCallSprd(O1133,H1133,M1133,(P1133-A1133)/365), NormalPutSprd(O1133,H1133,M1133,(P1133-A1133)/365))</f>
        <v>0.30804352335522783</v>
      </c>
      <c r="R1133" s="9">
        <f t="shared" si="35"/>
        <v>8.043523355227844E-3</v>
      </c>
    </row>
    <row r="1134" spans="1:18" x14ac:dyDescent="0.2">
      <c r="A1134" s="2">
        <v>42622</v>
      </c>
      <c r="B1134" s="1" t="s">
        <v>13</v>
      </c>
      <c r="C1134" s="1" t="s">
        <v>14</v>
      </c>
      <c r="D1134" s="2">
        <v>43467</v>
      </c>
      <c r="E1134" s="2">
        <f t="shared" si="34"/>
        <v>43497</v>
      </c>
      <c r="F1134" s="1" t="s">
        <v>15</v>
      </c>
      <c r="G1134" s="1" t="s">
        <v>16</v>
      </c>
      <c r="H1134" s="1">
        <v>-0.05</v>
      </c>
      <c r="I1134" s="1">
        <v>0.2</v>
      </c>
      <c r="J1134" s="1">
        <v>-0.01</v>
      </c>
      <c r="K1134" s="1" t="s">
        <v>34</v>
      </c>
      <c r="L1134" s="1">
        <v>2389</v>
      </c>
      <c r="M1134" s="1">
        <v>0.44</v>
      </c>
      <c r="N1134" s="1">
        <v>-4.3099999999999999E-2</v>
      </c>
      <c r="O1134" s="1">
        <f>VLOOKUP(D1134,underlying!$D$2:$H$75,5,FALSE)</f>
        <v>-0.18</v>
      </c>
      <c r="P1134" s="2">
        <f>VLOOKUP(D1134,underlying!$D$2:$L$39,9,FALSE)</f>
        <v>43461</v>
      </c>
      <c r="Q1134" s="7">
        <f>IF(G1134="C",NormalCallSprd(O1134,H1134,M1134,(P1134-A1134)/365), NormalPutSprd(O1134,H1134,M1134,(P1134-A1134)/365))</f>
        <v>0.20616953835613591</v>
      </c>
      <c r="R1134" s="9">
        <f t="shared" si="35"/>
        <v>6.1695383561359007E-3</v>
      </c>
    </row>
    <row r="1135" spans="1:18" x14ac:dyDescent="0.2">
      <c r="A1135" s="2">
        <v>42622</v>
      </c>
      <c r="B1135" s="1" t="s">
        <v>13</v>
      </c>
      <c r="C1135" s="1" t="s">
        <v>14</v>
      </c>
      <c r="D1135" s="2">
        <v>43467</v>
      </c>
      <c r="E1135" s="2">
        <f t="shared" si="34"/>
        <v>43497</v>
      </c>
      <c r="F1135" s="1" t="s">
        <v>15</v>
      </c>
      <c r="G1135" s="1" t="s">
        <v>18</v>
      </c>
      <c r="H1135" s="1">
        <v>-0.05</v>
      </c>
      <c r="I1135" s="1">
        <v>0.33</v>
      </c>
      <c r="J1135" s="1">
        <v>0</v>
      </c>
      <c r="K1135" s="1" t="s">
        <v>34</v>
      </c>
      <c r="L1135" s="1">
        <v>2389</v>
      </c>
      <c r="M1135" s="1">
        <v>0.44</v>
      </c>
      <c r="N1135" s="1">
        <v>-1.204E-2</v>
      </c>
      <c r="O1135" s="1">
        <f>VLOOKUP(D1135,underlying!$D$2:$H$75,5,FALSE)</f>
        <v>-0.18</v>
      </c>
      <c r="P1135" s="2">
        <f>VLOOKUP(D1135,underlying!$D$2:$L$39,9,FALSE)</f>
        <v>43461</v>
      </c>
      <c r="Q1135" s="7">
        <f>IF(G1135="C",NormalCallSprd(O1135,H1135,M1135,(P1135-A1135)/365), NormalPutSprd(O1135,H1135,M1135,(P1135-A1135)/365))</f>
        <v>0.33616953835613589</v>
      </c>
      <c r="R1135" s="9">
        <f t="shared" si="35"/>
        <v>6.169538356135873E-3</v>
      </c>
    </row>
    <row r="1136" spans="1:18" x14ac:dyDescent="0.2">
      <c r="A1136" s="2">
        <v>42622</v>
      </c>
      <c r="B1136" s="1" t="s">
        <v>13</v>
      </c>
      <c r="C1136" s="1" t="s">
        <v>14</v>
      </c>
      <c r="D1136" s="2">
        <v>43468</v>
      </c>
      <c r="E1136" s="2">
        <f t="shared" si="34"/>
        <v>43525</v>
      </c>
      <c r="F1136" s="1" t="s">
        <v>15</v>
      </c>
      <c r="G1136" s="1" t="s">
        <v>16</v>
      </c>
      <c r="H1136" s="1">
        <v>-3</v>
      </c>
      <c r="I1136" s="1">
        <v>2.76</v>
      </c>
      <c r="J1136" s="1">
        <v>0</v>
      </c>
      <c r="K1136" s="1" t="s">
        <v>37</v>
      </c>
      <c r="L1136" s="1">
        <v>2389</v>
      </c>
      <c r="M1136" s="1">
        <v>0.81</v>
      </c>
      <c r="N1136" s="1">
        <v>0.33663999999999999</v>
      </c>
      <c r="O1136" s="1">
        <f>VLOOKUP(D1136,underlying!$D$2:$H$75,5,FALSE)</f>
        <v>-0.2</v>
      </c>
      <c r="P1136" s="2">
        <f>VLOOKUP(D1136,underlying!$D$2:$L$39,9,FALSE)</f>
        <v>43495</v>
      </c>
      <c r="Q1136" s="7">
        <f>IF(G1136="C",NormalCallSprd(O1136,H1136,M1136,(P1136-A1136)/365), NormalPutSprd(O1136,H1136,M1136,(P1136-A1136)/365))</f>
        <v>2.8055360288133868</v>
      </c>
      <c r="R1136" s="9">
        <f t="shared" si="35"/>
        <v>4.5536028813387031E-2</v>
      </c>
    </row>
    <row r="1137" spans="1:18" x14ac:dyDescent="0.2">
      <c r="A1137" s="2">
        <v>42622</v>
      </c>
      <c r="B1137" s="1" t="s">
        <v>13</v>
      </c>
      <c r="C1137" s="1" t="s">
        <v>14</v>
      </c>
      <c r="D1137" s="2">
        <v>43468</v>
      </c>
      <c r="E1137" s="2">
        <f t="shared" si="34"/>
        <v>43525</v>
      </c>
      <c r="F1137" s="1" t="s">
        <v>15</v>
      </c>
      <c r="G1137" s="1" t="s">
        <v>18</v>
      </c>
      <c r="H1137" s="1">
        <v>-3</v>
      </c>
      <c r="I1137" s="1">
        <v>0.01</v>
      </c>
      <c r="J1137" s="1">
        <v>0</v>
      </c>
      <c r="K1137" s="1" t="s">
        <v>37</v>
      </c>
      <c r="L1137" s="1">
        <v>2389</v>
      </c>
      <c r="M1137" s="1">
        <v>0.81</v>
      </c>
      <c r="N1137" s="1">
        <v>0.37186999999999998</v>
      </c>
      <c r="O1137" s="1">
        <f>VLOOKUP(D1137,underlying!$D$2:$H$75,5,FALSE)</f>
        <v>-0.2</v>
      </c>
      <c r="P1137" s="2">
        <f>VLOOKUP(D1137,underlying!$D$2:$L$39,9,FALSE)</f>
        <v>43495</v>
      </c>
      <c r="Q1137" s="7">
        <f>IF(G1137="C",NormalCallSprd(O1137,H1137,M1137,(P1137-A1137)/365), NormalPutSprd(O1137,H1137,M1137,(P1137-A1137)/365))</f>
        <v>5.5360288133869074E-3</v>
      </c>
      <c r="R1137" s="9">
        <f t="shared" si="35"/>
        <v>4.4639711866130928E-3</v>
      </c>
    </row>
    <row r="1138" spans="1:18" x14ac:dyDescent="0.2">
      <c r="A1138" s="2">
        <v>42622</v>
      </c>
      <c r="B1138" s="1" t="s">
        <v>13</v>
      </c>
      <c r="C1138" s="1" t="s">
        <v>14</v>
      </c>
      <c r="D1138" s="2">
        <v>43468</v>
      </c>
      <c r="E1138" s="2">
        <f t="shared" si="34"/>
        <v>43525</v>
      </c>
      <c r="F1138" s="1" t="s">
        <v>15</v>
      </c>
      <c r="G1138" s="1" t="s">
        <v>16</v>
      </c>
      <c r="H1138" s="1">
        <v>-2</v>
      </c>
      <c r="I1138" s="1">
        <v>1.79</v>
      </c>
      <c r="J1138" s="1">
        <v>-0.01</v>
      </c>
      <c r="K1138" s="1" t="s">
        <v>37</v>
      </c>
      <c r="L1138" s="1">
        <v>2389</v>
      </c>
      <c r="M1138" s="1">
        <v>0.71</v>
      </c>
      <c r="N1138" s="1">
        <v>0.40821000000000002</v>
      </c>
      <c r="O1138" s="1">
        <f>VLOOKUP(D1138,underlying!$D$2:$H$75,5,FALSE)</f>
        <v>-0.2</v>
      </c>
      <c r="P1138" s="2">
        <f>VLOOKUP(D1138,underlying!$D$2:$L$39,9,FALSE)</f>
        <v>43495</v>
      </c>
      <c r="Q1138" s="7">
        <f>IF(G1138="C",NormalCallSprd(O1138,H1138,M1138,(P1138-A1138)/365), NormalPutSprd(O1138,H1138,M1138,(P1138-A1138)/365))</f>
        <v>1.8232490509375536</v>
      </c>
      <c r="R1138" s="9">
        <f t="shared" si="35"/>
        <v>3.3249050937553593E-2</v>
      </c>
    </row>
    <row r="1139" spans="1:18" x14ac:dyDescent="0.2">
      <c r="A1139" s="2">
        <v>42622</v>
      </c>
      <c r="B1139" s="1" t="s">
        <v>13</v>
      </c>
      <c r="C1139" s="1" t="s">
        <v>14</v>
      </c>
      <c r="D1139" s="2">
        <v>43468</v>
      </c>
      <c r="E1139" s="2">
        <f t="shared" si="34"/>
        <v>43525</v>
      </c>
      <c r="F1139" s="1" t="s">
        <v>15</v>
      </c>
      <c r="G1139" s="1" t="s">
        <v>18</v>
      </c>
      <c r="H1139" s="1">
        <v>-2</v>
      </c>
      <c r="I1139" s="1">
        <v>0.02</v>
      </c>
      <c r="J1139" s="1">
        <v>0</v>
      </c>
      <c r="K1139" s="1" t="s">
        <v>37</v>
      </c>
      <c r="L1139" s="1">
        <v>2389</v>
      </c>
      <c r="M1139" s="1">
        <v>0.71</v>
      </c>
      <c r="N1139" s="1">
        <v>0.44533</v>
      </c>
      <c r="O1139" s="1">
        <f>VLOOKUP(D1139,underlying!$D$2:$H$75,5,FALSE)</f>
        <v>-0.2</v>
      </c>
      <c r="P1139" s="2">
        <f>VLOOKUP(D1139,underlying!$D$2:$L$39,9,FALSE)</f>
        <v>43495</v>
      </c>
      <c r="Q1139" s="7">
        <f>IF(G1139="C",NormalCallSprd(O1139,H1139,M1139,(P1139-A1139)/365), NormalPutSprd(O1139,H1139,M1139,(P1139-A1139)/365))</f>
        <v>2.3249050937553771E-2</v>
      </c>
      <c r="R1139" s="9">
        <f t="shared" si="35"/>
        <v>3.2490509375537706E-3</v>
      </c>
    </row>
    <row r="1140" spans="1:18" x14ac:dyDescent="0.2">
      <c r="A1140" s="2">
        <v>42622</v>
      </c>
      <c r="B1140" s="1" t="s">
        <v>13</v>
      </c>
      <c r="C1140" s="1" t="s">
        <v>14</v>
      </c>
      <c r="D1140" s="2">
        <v>43468</v>
      </c>
      <c r="E1140" s="2">
        <f t="shared" si="34"/>
        <v>43525</v>
      </c>
      <c r="F1140" s="1" t="s">
        <v>15</v>
      </c>
      <c r="G1140" s="1" t="s">
        <v>16</v>
      </c>
      <c r="H1140" s="1">
        <v>-1</v>
      </c>
      <c r="I1140" s="1">
        <v>0.86</v>
      </c>
      <c r="J1140" s="1">
        <v>-0.01</v>
      </c>
      <c r="K1140" s="1" t="s">
        <v>37</v>
      </c>
      <c r="L1140" s="1">
        <v>2389</v>
      </c>
      <c r="M1140" s="1">
        <v>0.55000000000000004</v>
      </c>
      <c r="N1140" s="1">
        <v>0.48308000000000001</v>
      </c>
      <c r="O1140" s="1">
        <f>VLOOKUP(D1140,underlying!$D$2:$H$75,5,FALSE)</f>
        <v>-0.2</v>
      </c>
      <c r="P1140" s="2">
        <f>VLOOKUP(D1140,underlying!$D$2:$L$39,9,FALSE)</f>
        <v>43495</v>
      </c>
      <c r="Q1140" s="7">
        <f>IF(G1140="C",NormalCallSprd(O1140,H1140,M1140,(P1140-A1140)/365), NormalPutSprd(O1140,H1140,M1140,(P1140-A1140)/365))</f>
        <v>0.87926648364346238</v>
      </c>
      <c r="R1140" s="9">
        <f t="shared" si="35"/>
        <v>1.9266483643462395E-2</v>
      </c>
    </row>
    <row r="1141" spans="1:18" x14ac:dyDescent="0.2">
      <c r="A1141" s="2">
        <v>42622</v>
      </c>
      <c r="B1141" s="1" t="s">
        <v>13</v>
      </c>
      <c r="C1141" s="1" t="s">
        <v>14</v>
      </c>
      <c r="D1141" s="2">
        <v>43468</v>
      </c>
      <c r="E1141" s="2">
        <f t="shared" si="34"/>
        <v>43525</v>
      </c>
      <c r="F1141" s="1" t="s">
        <v>15</v>
      </c>
      <c r="G1141" s="1" t="s">
        <v>18</v>
      </c>
      <c r="H1141" s="1">
        <v>-1</v>
      </c>
      <c r="I1141" s="1">
        <v>0.08</v>
      </c>
      <c r="J1141" s="1">
        <v>0</v>
      </c>
      <c r="K1141" s="1" t="s">
        <v>37</v>
      </c>
      <c r="L1141" s="1">
        <v>2389</v>
      </c>
      <c r="M1141" s="1">
        <v>0.55000000000000004</v>
      </c>
      <c r="N1141" s="1">
        <v>0.52031000000000005</v>
      </c>
      <c r="O1141" s="1">
        <f>VLOOKUP(D1141,underlying!$D$2:$H$75,5,FALSE)</f>
        <v>-0.2</v>
      </c>
      <c r="P1141" s="2">
        <f>VLOOKUP(D1141,underlying!$D$2:$L$39,9,FALSE)</f>
        <v>43495</v>
      </c>
      <c r="Q1141" s="7">
        <f>IF(G1141="C",NormalCallSprd(O1141,H1141,M1141,(P1141-A1141)/365), NormalPutSprd(O1141,H1141,M1141,(P1141-A1141)/365))</f>
        <v>7.9266483643462393E-2</v>
      </c>
      <c r="R1141" s="9">
        <f t="shared" si="35"/>
        <v>7.3351635653760849E-4</v>
      </c>
    </row>
    <row r="1142" spans="1:18" x14ac:dyDescent="0.2">
      <c r="A1142" s="2">
        <v>42622</v>
      </c>
      <c r="B1142" s="1" t="s">
        <v>13</v>
      </c>
      <c r="C1142" s="1" t="s">
        <v>14</v>
      </c>
      <c r="D1142" s="2">
        <v>43468</v>
      </c>
      <c r="E1142" s="2">
        <f t="shared" si="34"/>
        <v>43525</v>
      </c>
      <c r="F1142" s="1" t="s">
        <v>15</v>
      </c>
      <c r="G1142" s="1" t="s">
        <v>16</v>
      </c>
      <c r="H1142" s="1">
        <v>-0.75</v>
      </c>
      <c r="I1142" s="1">
        <v>0.65</v>
      </c>
      <c r="J1142" s="1">
        <v>0</v>
      </c>
      <c r="K1142" s="1" t="s">
        <v>37</v>
      </c>
      <c r="L1142" s="1">
        <v>2389</v>
      </c>
      <c r="M1142" s="1">
        <v>0.5</v>
      </c>
      <c r="N1142" s="1">
        <v>0.55725999999999998</v>
      </c>
      <c r="O1142" s="1">
        <f>VLOOKUP(D1142,underlying!$D$2:$H$75,5,FALSE)</f>
        <v>-0.2</v>
      </c>
      <c r="P1142" s="2">
        <f>VLOOKUP(D1142,underlying!$D$2:$L$39,9,FALSE)</f>
        <v>43495</v>
      </c>
      <c r="Q1142" s="7">
        <f>IF(G1142="C",NormalCallSprd(O1142,H1142,M1142,(P1142-A1142)/365), NormalPutSprd(O1142,H1142,M1142,(P1142-A1142)/365))</f>
        <v>0.65839161294743664</v>
      </c>
      <c r="R1142" s="9">
        <f t="shared" si="35"/>
        <v>8.3916129474366219E-3</v>
      </c>
    </row>
    <row r="1143" spans="1:18" x14ac:dyDescent="0.2">
      <c r="A1143" s="2">
        <v>42622</v>
      </c>
      <c r="B1143" s="1" t="s">
        <v>13</v>
      </c>
      <c r="C1143" s="1" t="s">
        <v>14</v>
      </c>
      <c r="D1143" s="2">
        <v>43468</v>
      </c>
      <c r="E1143" s="2">
        <f t="shared" si="34"/>
        <v>43525</v>
      </c>
      <c r="F1143" s="1" t="s">
        <v>15</v>
      </c>
      <c r="G1143" s="1" t="s">
        <v>18</v>
      </c>
      <c r="H1143" s="1">
        <v>-0.75</v>
      </c>
      <c r="I1143" s="1">
        <v>0.11</v>
      </c>
      <c r="J1143" s="1">
        <v>0</v>
      </c>
      <c r="K1143" s="1" t="s">
        <v>37</v>
      </c>
      <c r="L1143" s="1">
        <v>2389</v>
      </c>
      <c r="M1143" s="1">
        <v>0.5</v>
      </c>
      <c r="N1143" s="1">
        <v>0.59279999999999999</v>
      </c>
      <c r="O1143" s="1">
        <f>VLOOKUP(D1143,underlying!$D$2:$H$75,5,FALSE)</f>
        <v>-0.2</v>
      </c>
      <c r="P1143" s="2">
        <f>VLOOKUP(D1143,underlying!$D$2:$L$39,9,FALSE)</f>
        <v>43495</v>
      </c>
      <c r="Q1143" s="7">
        <f>IF(G1143="C",NormalCallSprd(O1143,H1143,M1143,(P1143-A1143)/365), NormalPutSprd(O1143,H1143,M1143,(P1143-A1143)/365))</f>
        <v>0.10839161294743666</v>
      </c>
      <c r="R1143" s="9">
        <f t="shared" si="35"/>
        <v>1.6083870525633454E-3</v>
      </c>
    </row>
    <row r="1144" spans="1:18" x14ac:dyDescent="0.2">
      <c r="A1144" s="2">
        <v>42622</v>
      </c>
      <c r="B1144" s="1" t="s">
        <v>13</v>
      </c>
      <c r="C1144" s="1" t="s">
        <v>14</v>
      </c>
      <c r="D1144" s="2">
        <v>43468</v>
      </c>
      <c r="E1144" s="2">
        <f t="shared" si="34"/>
        <v>43525</v>
      </c>
      <c r="F1144" s="1" t="s">
        <v>15</v>
      </c>
      <c r="G1144" s="1" t="s">
        <v>16</v>
      </c>
      <c r="H1144" s="1">
        <v>-0.7</v>
      </c>
      <c r="I1144" s="1">
        <v>0.61</v>
      </c>
      <c r="J1144" s="1">
        <v>0</v>
      </c>
      <c r="K1144" s="1" t="s">
        <v>37</v>
      </c>
      <c r="L1144" s="1">
        <v>2389</v>
      </c>
      <c r="M1144" s="1">
        <v>0.49</v>
      </c>
      <c r="N1144" s="1">
        <v>0.62731999999999999</v>
      </c>
      <c r="O1144" s="1">
        <f>VLOOKUP(D1144,underlying!$D$2:$H$75,5,FALSE)</f>
        <v>-0.2</v>
      </c>
      <c r="P1144" s="2">
        <f>VLOOKUP(D1144,underlying!$D$2:$L$39,9,FALSE)</f>
        <v>43495</v>
      </c>
      <c r="Q1144" s="7">
        <f>IF(G1144="C",NormalCallSprd(O1144,H1144,M1144,(P1144-A1144)/365), NormalPutSprd(O1144,H1144,M1144,(P1144-A1144)/365))</f>
        <v>0.61583835216905214</v>
      </c>
      <c r="R1144" s="9">
        <f t="shared" si="35"/>
        <v>5.8383521690521523E-3</v>
      </c>
    </row>
    <row r="1145" spans="1:18" x14ac:dyDescent="0.2">
      <c r="A1145" s="2">
        <v>42622</v>
      </c>
      <c r="B1145" s="1" t="s">
        <v>13</v>
      </c>
      <c r="C1145" s="1" t="s">
        <v>14</v>
      </c>
      <c r="D1145" s="2">
        <v>43468</v>
      </c>
      <c r="E1145" s="2">
        <f t="shared" si="34"/>
        <v>43525</v>
      </c>
      <c r="F1145" s="1" t="s">
        <v>15</v>
      </c>
      <c r="G1145" s="1" t="s">
        <v>18</v>
      </c>
      <c r="H1145" s="1">
        <v>-0.7</v>
      </c>
      <c r="I1145" s="1">
        <v>0.11</v>
      </c>
      <c r="J1145" s="1">
        <v>-0.01</v>
      </c>
      <c r="K1145" s="1" t="s">
        <v>37</v>
      </c>
      <c r="L1145" s="1">
        <v>2389</v>
      </c>
      <c r="M1145" s="1">
        <v>0.49</v>
      </c>
      <c r="N1145" s="1">
        <v>0.65993999999999997</v>
      </c>
      <c r="O1145" s="1">
        <f>VLOOKUP(D1145,underlying!$D$2:$H$75,5,FALSE)</f>
        <v>-0.2</v>
      </c>
      <c r="P1145" s="2">
        <f>VLOOKUP(D1145,underlying!$D$2:$L$39,9,FALSE)</f>
        <v>43495</v>
      </c>
      <c r="Q1145" s="7">
        <f>IF(G1145="C",NormalCallSprd(O1145,H1145,M1145,(P1145-A1145)/365), NormalPutSprd(O1145,H1145,M1145,(P1145-A1145)/365))</f>
        <v>0.11583835216905214</v>
      </c>
      <c r="R1145" s="9">
        <f t="shared" si="35"/>
        <v>5.8383521690521384E-3</v>
      </c>
    </row>
    <row r="1146" spans="1:18" x14ac:dyDescent="0.2">
      <c r="A1146" s="2">
        <v>42622</v>
      </c>
      <c r="B1146" s="1" t="s">
        <v>13</v>
      </c>
      <c r="C1146" s="1" t="s">
        <v>14</v>
      </c>
      <c r="D1146" s="2">
        <v>43468</v>
      </c>
      <c r="E1146" s="2">
        <f t="shared" si="34"/>
        <v>43525</v>
      </c>
      <c r="F1146" s="1" t="s">
        <v>15</v>
      </c>
      <c r="G1146" s="1" t="s">
        <v>16</v>
      </c>
      <c r="H1146" s="1">
        <v>-0.65</v>
      </c>
      <c r="I1146" s="1">
        <v>0.56999999999999995</v>
      </c>
      <c r="J1146" s="1">
        <v>0</v>
      </c>
      <c r="K1146" s="1" t="s">
        <v>37</v>
      </c>
      <c r="L1146" s="1">
        <v>2389</v>
      </c>
      <c r="M1146" s="1">
        <v>0.49</v>
      </c>
      <c r="N1146" s="1">
        <v>0.68972999999999995</v>
      </c>
      <c r="O1146" s="1">
        <f>VLOOKUP(D1146,underlying!$D$2:$H$75,5,FALSE)</f>
        <v>-0.2</v>
      </c>
      <c r="P1146" s="2">
        <f>VLOOKUP(D1146,underlying!$D$2:$L$39,9,FALSE)</f>
        <v>43495</v>
      </c>
      <c r="Q1146" s="7">
        <f>IF(G1146="C",NormalCallSprd(O1146,H1146,M1146,(P1146-A1146)/365), NormalPutSprd(O1146,H1146,M1146,(P1146-A1146)/365))</f>
        <v>0.57910978819836101</v>
      </c>
      <c r="R1146" s="9">
        <f t="shared" si="35"/>
        <v>9.1097881983610574E-3</v>
      </c>
    </row>
    <row r="1147" spans="1:18" x14ac:dyDescent="0.2">
      <c r="A1147" s="2">
        <v>42622</v>
      </c>
      <c r="B1147" s="1" t="s">
        <v>13</v>
      </c>
      <c r="C1147" s="1" t="s">
        <v>14</v>
      </c>
      <c r="D1147" s="2">
        <v>43468</v>
      </c>
      <c r="E1147" s="2">
        <f t="shared" si="34"/>
        <v>43525</v>
      </c>
      <c r="F1147" s="1" t="s">
        <v>15</v>
      </c>
      <c r="G1147" s="1" t="s">
        <v>18</v>
      </c>
      <c r="H1147" s="1">
        <v>-0.65</v>
      </c>
      <c r="I1147" s="1">
        <v>0.13</v>
      </c>
      <c r="J1147" s="1">
        <v>0</v>
      </c>
      <c r="K1147" s="1" t="s">
        <v>37</v>
      </c>
      <c r="L1147" s="1">
        <v>2389</v>
      </c>
      <c r="M1147" s="1">
        <v>0.49</v>
      </c>
      <c r="N1147" s="1">
        <v>0.71923999999999999</v>
      </c>
      <c r="O1147" s="1">
        <f>VLOOKUP(D1147,underlying!$D$2:$H$75,5,FALSE)</f>
        <v>-0.2</v>
      </c>
      <c r="P1147" s="2">
        <f>VLOOKUP(D1147,underlying!$D$2:$L$39,9,FALSE)</f>
        <v>43495</v>
      </c>
      <c r="Q1147" s="7">
        <f>IF(G1147="C",NormalCallSprd(O1147,H1147,M1147,(P1147-A1147)/365), NormalPutSprd(O1147,H1147,M1147,(P1147-A1147)/365))</f>
        <v>0.12910978819836097</v>
      </c>
      <c r="R1147" s="9">
        <f t="shared" si="35"/>
        <v>8.9021180163903479E-4</v>
      </c>
    </row>
    <row r="1148" spans="1:18" x14ac:dyDescent="0.2">
      <c r="A1148" s="2">
        <v>42622</v>
      </c>
      <c r="B1148" s="1" t="s">
        <v>13</v>
      </c>
      <c r="C1148" s="1" t="s">
        <v>14</v>
      </c>
      <c r="D1148" s="2">
        <v>43468</v>
      </c>
      <c r="E1148" s="2">
        <f t="shared" si="34"/>
        <v>43525</v>
      </c>
      <c r="F1148" s="1" t="s">
        <v>15</v>
      </c>
      <c r="G1148" s="1" t="s">
        <v>16</v>
      </c>
      <c r="H1148" s="1">
        <v>-0.6</v>
      </c>
      <c r="I1148" s="1">
        <v>0.53</v>
      </c>
      <c r="J1148" s="1">
        <v>0</v>
      </c>
      <c r="K1148" s="1" t="s">
        <v>37</v>
      </c>
      <c r="L1148" s="1">
        <v>2389</v>
      </c>
      <c r="M1148" s="1">
        <v>0.48</v>
      </c>
      <c r="N1148" s="1">
        <v>0.74631000000000003</v>
      </c>
      <c r="O1148" s="1">
        <f>VLOOKUP(D1148,underlying!$D$2:$H$75,5,FALSE)</f>
        <v>-0.2</v>
      </c>
      <c r="P1148" s="2">
        <f>VLOOKUP(D1148,underlying!$D$2:$L$39,9,FALSE)</f>
        <v>43495</v>
      </c>
      <c r="Q1148" s="7">
        <f>IF(G1148="C",NormalCallSprd(O1148,H1148,M1148,(P1148-A1148)/365), NormalPutSprd(O1148,H1148,M1148,(P1148-A1148)/365))</f>
        <v>0.53813241018896896</v>
      </c>
      <c r="R1148" s="9">
        <f t="shared" si="35"/>
        <v>8.1324101889689304E-3</v>
      </c>
    </row>
    <row r="1149" spans="1:18" x14ac:dyDescent="0.2">
      <c r="A1149" s="2">
        <v>42622</v>
      </c>
      <c r="B1149" s="1" t="s">
        <v>13</v>
      </c>
      <c r="C1149" s="1" t="s">
        <v>14</v>
      </c>
      <c r="D1149" s="2">
        <v>43468</v>
      </c>
      <c r="E1149" s="2">
        <f t="shared" si="34"/>
        <v>43525</v>
      </c>
      <c r="F1149" s="1" t="s">
        <v>15</v>
      </c>
      <c r="G1149" s="1" t="s">
        <v>18</v>
      </c>
      <c r="H1149" s="1">
        <v>-0.6</v>
      </c>
      <c r="I1149" s="1">
        <v>0.14000000000000001</v>
      </c>
      <c r="J1149" s="1">
        <v>0</v>
      </c>
      <c r="K1149" s="1" t="s">
        <v>37</v>
      </c>
      <c r="L1149" s="1">
        <v>2389</v>
      </c>
      <c r="M1149" s="1">
        <v>0.48</v>
      </c>
      <c r="N1149" s="1">
        <v>0.77214000000000005</v>
      </c>
      <c r="O1149" s="1">
        <f>VLOOKUP(D1149,underlying!$D$2:$H$75,5,FALSE)</f>
        <v>-0.2</v>
      </c>
      <c r="P1149" s="2">
        <f>VLOOKUP(D1149,underlying!$D$2:$L$39,9,FALSE)</f>
        <v>43495</v>
      </c>
      <c r="Q1149" s="7">
        <f>IF(G1149="C",NormalCallSprd(O1149,H1149,M1149,(P1149-A1149)/365), NormalPutSprd(O1149,H1149,M1149,(P1149-A1149)/365))</f>
        <v>0.13813241018896902</v>
      </c>
      <c r="R1149" s="9">
        <f t="shared" si="35"/>
        <v>1.8675898110309952E-3</v>
      </c>
    </row>
    <row r="1150" spans="1:18" x14ac:dyDescent="0.2">
      <c r="A1150" s="2">
        <v>42622</v>
      </c>
      <c r="B1150" s="1" t="s">
        <v>13</v>
      </c>
      <c r="C1150" s="1" t="s">
        <v>14</v>
      </c>
      <c r="D1150" s="2">
        <v>43468</v>
      </c>
      <c r="E1150" s="2">
        <f t="shared" si="34"/>
        <v>43525</v>
      </c>
      <c r="F1150" s="1" t="s">
        <v>15</v>
      </c>
      <c r="G1150" s="1" t="s">
        <v>16</v>
      </c>
      <c r="H1150" s="1">
        <v>-0.55000000000000004</v>
      </c>
      <c r="I1150" s="1">
        <v>0.49</v>
      </c>
      <c r="J1150" s="1">
        <v>0</v>
      </c>
      <c r="K1150" s="1" t="s">
        <v>37</v>
      </c>
      <c r="L1150" s="1">
        <v>2389</v>
      </c>
      <c r="M1150" s="1">
        <v>0.47</v>
      </c>
      <c r="N1150" s="1">
        <v>0.79751000000000005</v>
      </c>
      <c r="O1150" s="1">
        <f>VLOOKUP(D1150,underlying!$D$2:$H$75,5,FALSE)</f>
        <v>-0.2</v>
      </c>
      <c r="P1150" s="2">
        <f>VLOOKUP(D1150,underlying!$D$2:$L$39,9,FALSE)</f>
        <v>43495</v>
      </c>
      <c r="Q1150" s="7">
        <f>IF(G1150="C",NormalCallSprd(O1150,H1150,M1150,(P1150-A1150)/365), NormalPutSprd(O1150,H1150,M1150,(P1150-A1150)/365))</f>
        <v>0.49796250439354534</v>
      </c>
      <c r="R1150" s="9">
        <f t="shared" si="35"/>
        <v>7.9625043935453443E-3</v>
      </c>
    </row>
    <row r="1151" spans="1:18" x14ac:dyDescent="0.2">
      <c r="A1151" s="2">
        <v>42622</v>
      </c>
      <c r="B1151" s="1" t="s">
        <v>13</v>
      </c>
      <c r="C1151" s="1" t="s">
        <v>14</v>
      </c>
      <c r="D1151" s="2">
        <v>43468</v>
      </c>
      <c r="E1151" s="2">
        <f t="shared" si="34"/>
        <v>43525</v>
      </c>
      <c r="F1151" s="1" t="s">
        <v>15</v>
      </c>
      <c r="G1151" s="1" t="s">
        <v>18</v>
      </c>
      <c r="H1151" s="1">
        <v>-0.55000000000000004</v>
      </c>
      <c r="I1151" s="1">
        <v>0.15</v>
      </c>
      <c r="J1151" s="1">
        <v>0</v>
      </c>
      <c r="K1151" s="1" t="s">
        <v>37</v>
      </c>
      <c r="L1151" s="1">
        <v>2389</v>
      </c>
      <c r="M1151" s="1">
        <v>0.47</v>
      </c>
      <c r="N1151" s="1">
        <v>0.82106000000000001</v>
      </c>
      <c r="O1151" s="1">
        <f>VLOOKUP(D1151,underlying!$D$2:$H$75,5,FALSE)</f>
        <v>-0.2</v>
      </c>
      <c r="P1151" s="2">
        <f>VLOOKUP(D1151,underlying!$D$2:$L$39,9,FALSE)</f>
        <v>43495</v>
      </c>
      <c r="Q1151" s="7">
        <f>IF(G1151="C",NormalCallSprd(O1151,H1151,M1151,(P1151-A1151)/365), NormalPutSprd(O1151,H1151,M1151,(P1151-A1151)/365))</f>
        <v>0.14796250439354533</v>
      </c>
      <c r="R1151" s="9">
        <f t="shared" si="35"/>
        <v>2.0374956064546645E-3</v>
      </c>
    </row>
    <row r="1152" spans="1:18" x14ac:dyDescent="0.2">
      <c r="A1152" s="2">
        <v>42622</v>
      </c>
      <c r="B1152" s="1" t="s">
        <v>13</v>
      </c>
      <c r="C1152" s="1" t="s">
        <v>14</v>
      </c>
      <c r="D1152" s="2">
        <v>43468</v>
      </c>
      <c r="E1152" s="2">
        <f t="shared" si="34"/>
        <v>43525</v>
      </c>
      <c r="F1152" s="1" t="s">
        <v>15</v>
      </c>
      <c r="G1152" s="1" t="s">
        <v>16</v>
      </c>
      <c r="H1152" s="1">
        <v>-0.5</v>
      </c>
      <c r="I1152" s="1">
        <v>0.46</v>
      </c>
      <c r="J1152" s="1">
        <v>0</v>
      </c>
      <c r="K1152" s="1" t="s">
        <v>37</v>
      </c>
      <c r="L1152" s="1">
        <v>2389</v>
      </c>
      <c r="M1152" s="1">
        <v>0.47</v>
      </c>
      <c r="N1152" s="1">
        <v>0.84060999999999997</v>
      </c>
      <c r="O1152" s="1">
        <f>VLOOKUP(D1152,underlying!$D$2:$H$75,5,FALSE)</f>
        <v>-0.2</v>
      </c>
      <c r="P1152" s="2">
        <f>VLOOKUP(D1152,underlying!$D$2:$L$39,9,FALSE)</f>
        <v>43495</v>
      </c>
      <c r="Q1152" s="7">
        <f>IF(G1152="C",NormalCallSprd(O1152,H1152,M1152,(P1152-A1152)/365), NormalPutSprd(O1152,H1152,M1152,(P1152-A1152)/365))</f>
        <v>0.46433379241904438</v>
      </c>
      <c r="R1152" s="9">
        <f t="shared" si="35"/>
        <v>4.3337924190443577E-3</v>
      </c>
    </row>
    <row r="1153" spans="1:18" x14ac:dyDescent="0.2">
      <c r="A1153" s="2">
        <v>42622</v>
      </c>
      <c r="B1153" s="1" t="s">
        <v>13</v>
      </c>
      <c r="C1153" s="1" t="s">
        <v>14</v>
      </c>
      <c r="D1153" s="2">
        <v>43468</v>
      </c>
      <c r="E1153" s="2">
        <f t="shared" si="34"/>
        <v>43525</v>
      </c>
      <c r="F1153" s="1" t="s">
        <v>15</v>
      </c>
      <c r="G1153" s="1" t="s">
        <v>18</v>
      </c>
      <c r="H1153" s="1">
        <v>-0.5</v>
      </c>
      <c r="I1153" s="1">
        <v>0.16</v>
      </c>
      <c r="J1153" s="1">
        <v>0</v>
      </c>
      <c r="K1153" s="1" t="s">
        <v>37</v>
      </c>
      <c r="L1153" s="1">
        <v>2389</v>
      </c>
      <c r="M1153" s="1">
        <v>0.47</v>
      </c>
      <c r="N1153" s="1">
        <v>0.85696000000000006</v>
      </c>
      <c r="O1153" s="1">
        <f>VLOOKUP(D1153,underlying!$D$2:$H$75,5,FALSE)</f>
        <v>-0.2</v>
      </c>
      <c r="P1153" s="2">
        <f>VLOOKUP(D1153,underlying!$D$2:$L$39,9,FALSE)</f>
        <v>43495</v>
      </c>
      <c r="Q1153" s="7">
        <f>IF(G1153="C",NormalCallSprd(O1153,H1153,M1153,(P1153-A1153)/365), NormalPutSprd(O1153,H1153,M1153,(P1153-A1153)/365))</f>
        <v>0.16433379241904436</v>
      </c>
      <c r="R1153" s="9">
        <f t="shared" si="35"/>
        <v>4.3337924190443577E-3</v>
      </c>
    </row>
    <row r="1154" spans="1:18" x14ac:dyDescent="0.2">
      <c r="A1154" s="2">
        <v>42622</v>
      </c>
      <c r="B1154" s="1" t="s">
        <v>13</v>
      </c>
      <c r="C1154" s="1" t="s">
        <v>14</v>
      </c>
      <c r="D1154" s="2">
        <v>43468</v>
      </c>
      <c r="E1154" s="2">
        <f t="shared" ref="E1154:E1217" si="36">DATE(YEAR(D1154),DAY(D1154),MONTH(D1154))</f>
        <v>43525</v>
      </c>
      <c r="F1154" s="1" t="s">
        <v>15</v>
      </c>
      <c r="G1154" s="1" t="s">
        <v>16</v>
      </c>
      <c r="H1154" s="1">
        <v>-0.45</v>
      </c>
      <c r="I1154" s="1">
        <v>0.42</v>
      </c>
      <c r="J1154" s="1">
        <v>0</v>
      </c>
      <c r="K1154" s="1" t="s">
        <v>37</v>
      </c>
      <c r="L1154" s="1">
        <v>2389</v>
      </c>
      <c r="M1154" s="1">
        <v>0.46</v>
      </c>
      <c r="N1154" s="1">
        <v>0.88490999999999997</v>
      </c>
      <c r="O1154" s="1">
        <f>VLOOKUP(D1154,underlying!$D$2:$H$75,5,FALSE)</f>
        <v>-0.2</v>
      </c>
      <c r="P1154" s="2">
        <f>VLOOKUP(D1154,underlying!$D$2:$L$39,9,FALSE)</f>
        <v>43495</v>
      </c>
      <c r="Q1154" s="7">
        <f>IF(G1154="C",NormalCallSprd(O1154,H1154,M1154,(P1154-A1154)/365), NormalPutSprd(O1154,H1154,M1154,(P1154-A1154)/365))</f>
        <v>0.4261567777953893</v>
      </c>
      <c r="R1154" s="9">
        <f t="shared" si="35"/>
        <v>6.1567777953893121E-3</v>
      </c>
    </row>
    <row r="1155" spans="1:18" x14ac:dyDescent="0.2">
      <c r="A1155" s="2">
        <v>42622</v>
      </c>
      <c r="B1155" s="1" t="s">
        <v>13</v>
      </c>
      <c r="C1155" s="1" t="s">
        <v>14</v>
      </c>
      <c r="D1155" s="2">
        <v>43468</v>
      </c>
      <c r="E1155" s="2">
        <f t="shared" si="36"/>
        <v>43525</v>
      </c>
      <c r="F1155" s="1" t="s">
        <v>15</v>
      </c>
      <c r="G1155" s="1" t="s">
        <v>18</v>
      </c>
      <c r="H1155" s="1">
        <v>-0.45</v>
      </c>
      <c r="I1155" s="1">
        <v>0.17</v>
      </c>
      <c r="J1155" s="1">
        <v>0</v>
      </c>
      <c r="K1155" s="1" t="s">
        <v>37</v>
      </c>
      <c r="L1155" s="1">
        <v>2389</v>
      </c>
      <c r="M1155" s="1">
        <v>0.46</v>
      </c>
      <c r="N1155" s="1">
        <v>0.98145000000000004</v>
      </c>
      <c r="O1155" s="1">
        <f>VLOOKUP(D1155,underlying!$D$2:$H$75,5,FALSE)</f>
        <v>-0.2</v>
      </c>
      <c r="P1155" s="2">
        <f>VLOOKUP(D1155,underlying!$D$2:$L$39,9,FALSE)</f>
        <v>43495</v>
      </c>
      <c r="Q1155" s="7">
        <f>IF(G1155="C",NormalCallSprd(O1155,H1155,M1155,(P1155-A1155)/365), NormalPutSprd(O1155,H1155,M1155,(P1155-A1155)/365))</f>
        <v>0.17615677779538932</v>
      </c>
      <c r="R1155" s="9">
        <f t="shared" ref="R1155:R1218" si="37">ABS(Q1155-I1155)</f>
        <v>6.1567777953893121E-3</v>
      </c>
    </row>
    <row r="1156" spans="1:18" x14ac:dyDescent="0.2">
      <c r="A1156" s="2">
        <v>42622</v>
      </c>
      <c r="B1156" s="1" t="s">
        <v>13</v>
      </c>
      <c r="C1156" s="1" t="s">
        <v>14</v>
      </c>
      <c r="D1156" s="2">
        <v>43468</v>
      </c>
      <c r="E1156" s="2">
        <f t="shared" si="36"/>
        <v>43525</v>
      </c>
      <c r="F1156" s="1" t="s">
        <v>15</v>
      </c>
      <c r="G1156" s="1" t="s">
        <v>16</v>
      </c>
      <c r="H1156" s="1">
        <v>-0.4</v>
      </c>
      <c r="I1156" s="1">
        <v>0.38</v>
      </c>
      <c r="J1156" s="1">
        <v>0</v>
      </c>
      <c r="K1156" s="1" t="s">
        <v>37</v>
      </c>
      <c r="L1156" s="1">
        <v>2389</v>
      </c>
      <c r="M1156" s="1">
        <v>0.45</v>
      </c>
      <c r="N1156" s="1">
        <v>0.99392000000000003</v>
      </c>
      <c r="O1156" s="1">
        <f>VLOOKUP(D1156,underlying!$D$2:$H$75,5,FALSE)</f>
        <v>-0.2</v>
      </c>
      <c r="P1156" s="2">
        <f>VLOOKUP(D1156,underlying!$D$2:$L$39,9,FALSE)</f>
        <v>43495</v>
      </c>
      <c r="Q1156" s="7">
        <f>IF(G1156="C",NormalCallSprd(O1156,H1156,M1156,(P1156-A1156)/365), NormalPutSprd(O1156,H1156,M1156,(P1156-A1156)/365))</f>
        <v>0.3890273413018574</v>
      </c>
      <c r="R1156" s="9">
        <f t="shared" si="37"/>
        <v>9.0273413018573945E-3</v>
      </c>
    </row>
    <row r="1157" spans="1:18" x14ac:dyDescent="0.2">
      <c r="A1157" s="2">
        <v>42622</v>
      </c>
      <c r="B1157" s="1" t="s">
        <v>13</v>
      </c>
      <c r="C1157" s="1" t="s">
        <v>14</v>
      </c>
      <c r="D1157" s="2">
        <v>43468</v>
      </c>
      <c r="E1157" s="2">
        <f t="shared" si="36"/>
        <v>43525</v>
      </c>
      <c r="F1157" s="1" t="s">
        <v>15</v>
      </c>
      <c r="G1157" s="1" t="s">
        <v>18</v>
      </c>
      <c r="H1157" s="1">
        <v>-0.4</v>
      </c>
      <c r="I1157" s="1">
        <v>0.19</v>
      </c>
      <c r="J1157" s="1">
        <v>0</v>
      </c>
      <c r="K1157" s="1" t="s">
        <v>37</v>
      </c>
      <c r="L1157" s="1">
        <v>2389</v>
      </c>
      <c r="M1157" s="1">
        <v>0.45</v>
      </c>
      <c r="N1157" s="1">
        <v>-0.65942999999999996</v>
      </c>
      <c r="O1157" s="1">
        <f>VLOOKUP(D1157,underlying!$D$2:$H$75,5,FALSE)</f>
        <v>-0.2</v>
      </c>
      <c r="P1157" s="2">
        <f>VLOOKUP(D1157,underlying!$D$2:$L$39,9,FALSE)</f>
        <v>43495</v>
      </c>
      <c r="Q1157" s="7">
        <f>IF(G1157="C",NormalCallSprd(O1157,H1157,M1157,(P1157-A1157)/365), NormalPutSprd(O1157,H1157,M1157,(P1157-A1157)/365))</f>
        <v>0.18902734130185739</v>
      </c>
      <c r="R1157" s="9">
        <f t="shared" si="37"/>
        <v>9.7265869814261441E-4</v>
      </c>
    </row>
    <row r="1158" spans="1:18" x14ac:dyDescent="0.2">
      <c r="A1158" s="2">
        <v>42622</v>
      </c>
      <c r="B1158" s="1" t="s">
        <v>13</v>
      </c>
      <c r="C1158" s="1" t="s">
        <v>14</v>
      </c>
      <c r="D1158" s="2">
        <v>43468</v>
      </c>
      <c r="E1158" s="2">
        <f t="shared" si="36"/>
        <v>43525</v>
      </c>
      <c r="F1158" s="1" t="s">
        <v>15</v>
      </c>
      <c r="G1158" s="1" t="s">
        <v>16</v>
      </c>
      <c r="H1158" s="1">
        <v>-0.35</v>
      </c>
      <c r="I1158" s="1">
        <v>0.35</v>
      </c>
      <c r="J1158" s="1">
        <v>0</v>
      </c>
      <c r="K1158" s="1" t="s">
        <v>37</v>
      </c>
      <c r="L1158" s="1">
        <v>2389</v>
      </c>
      <c r="M1158" s="1">
        <v>0.44</v>
      </c>
      <c r="N1158" s="1">
        <v>-0.62419000000000002</v>
      </c>
      <c r="O1158" s="1">
        <f>VLOOKUP(D1158,underlying!$D$2:$H$75,5,FALSE)</f>
        <v>-0.2</v>
      </c>
      <c r="P1158" s="2">
        <f>VLOOKUP(D1158,underlying!$D$2:$L$39,9,FALSE)</f>
        <v>43495</v>
      </c>
      <c r="Q1158" s="7">
        <f>IF(G1158="C",NormalCallSprd(O1158,H1158,M1158,(P1158-A1158)/365), NormalPutSprd(O1158,H1158,M1158,(P1158-A1158)/365))</f>
        <v>0.35303993829282387</v>
      </c>
      <c r="R1158" s="9">
        <f t="shared" si="37"/>
        <v>3.039938292823896E-3</v>
      </c>
    </row>
    <row r="1159" spans="1:18" x14ac:dyDescent="0.2">
      <c r="A1159" s="2">
        <v>42622</v>
      </c>
      <c r="B1159" s="1" t="s">
        <v>13</v>
      </c>
      <c r="C1159" s="1" t="s">
        <v>14</v>
      </c>
      <c r="D1159" s="2">
        <v>43468</v>
      </c>
      <c r="E1159" s="2">
        <f t="shared" si="36"/>
        <v>43525</v>
      </c>
      <c r="F1159" s="1" t="s">
        <v>15</v>
      </c>
      <c r="G1159" s="1" t="s">
        <v>18</v>
      </c>
      <c r="H1159" s="1">
        <v>-0.35</v>
      </c>
      <c r="I1159" s="1">
        <v>0.2</v>
      </c>
      <c r="J1159" s="1">
        <v>0</v>
      </c>
      <c r="K1159" s="1" t="s">
        <v>37</v>
      </c>
      <c r="L1159" s="1">
        <v>2389</v>
      </c>
      <c r="M1159" s="1">
        <v>0.44</v>
      </c>
      <c r="N1159" s="1">
        <v>-0.58786000000000005</v>
      </c>
      <c r="O1159" s="1">
        <f>VLOOKUP(D1159,underlying!$D$2:$H$75,5,FALSE)</f>
        <v>-0.2</v>
      </c>
      <c r="P1159" s="2">
        <f>VLOOKUP(D1159,underlying!$D$2:$L$39,9,FALSE)</f>
        <v>43495</v>
      </c>
      <c r="Q1159" s="7">
        <f>IF(G1159="C",NormalCallSprd(O1159,H1159,M1159,(P1159-A1159)/365), NormalPutSprd(O1159,H1159,M1159,(P1159-A1159)/365))</f>
        <v>0.20303993829282391</v>
      </c>
      <c r="R1159" s="9">
        <f t="shared" si="37"/>
        <v>3.039938292823896E-3</v>
      </c>
    </row>
    <row r="1160" spans="1:18" x14ac:dyDescent="0.2">
      <c r="A1160" s="2">
        <v>42622</v>
      </c>
      <c r="B1160" s="1" t="s">
        <v>13</v>
      </c>
      <c r="C1160" s="1" t="s">
        <v>14</v>
      </c>
      <c r="D1160" s="2">
        <v>43468</v>
      </c>
      <c r="E1160" s="2">
        <f t="shared" si="36"/>
        <v>43525</v>
      </c>
      <c r="F1160" s="1" t="s">
        <v>15</v>
      </c>
      <c r="G1160" s="1" t="s">
        <v>16</v>
      </c>
      <c r="H1160" s="1">
        <v>-0.3</v>
      </c>
      <c r="I1160" s="1">
        <v>0.32</v>
      </c>
      <c r="J1160" s="1">
        <v>0</v>
      </c>
      <c r="K1160" s="1" t="s">
        <v>37</v>
      </c>
      <c r="L1160" s="1">
        <v>2389</v>
      </c>
      <c r="M1160" s="1">
        <v>0.44</v>
      </c>
      <c r="N1160" s="1">
        <v>-0.55073000000000005</v>
      </c>
      <c r="O1160" s="1">
        <f>VLOOKUP(D1160,underlying!$D$2:$H$75,5,FALSE)</f>
        <v>-0.2</v>
      </c>
      <c r="P1160" s="2">
        <f>VLOOKUP(D1160,underlying!$D$2:$L$39,9,FALSE)</f>
        <v>43495</v>
      </c>
      <c r="Q1160" s="7">
        <f>IF(G1160="C",NormalCallSprd(O1160,H1160,M1160,(P1160-A1160)/365), NormalPutSprd(O1160,H1160,M1160,(P1160-A1160)/365))</f>
        <v>0.32439707262889356</v>
      </c>
      <c r="R1160" s="9">
        <f t="shared" si="37"/>
        <v>4.3970726288935502E-3</v>
      </c>
    </row>
    <row r="1161" spans="1:18" x14ac:dyDescent="0.2">
      <c r="A1161" s="2">
        <v>42622</v>
      </c>
      <c r="B1161" s="1" t="s">
        <v>13</v>
      </c>
      <c r="C1161" s="1" t="s">
        <v>14</v>
      </c>
      <c r="D1161" s="2">
        <v>43468</v>
      </c>
      <c r="E1161" s="2">
        <f t="shared" si="36"/>
        <v>43525</v>
      </c>
      <c r="F1161" s="1" t="s">
        <v>15</v>
      </c>
      <c r="G1161" s="1" t="s">
        <v>18</v>
      </c>
      <c r="H1161" s="1">
        <v>-0.3</v>
      </c>
      <c r="I1161" s="1">
        <v>0.22</v>
      </c>
      <c r="J1161" s="1">
        <v>0</v>
      </c>
      <c r="K1161" s="1" t="s">
        <v>37</v>
      </c>
      <c r="L1161" s="1">
        <v>2389</v>
      </c>
      <c r="M1161" s="1">
        <v>0.44</v>
      </c>
      <c r="N1161" s="1">
        <v>-0.51297999999999999</v>
      </c>
      <c r="O1161" s="1">
        <f>VLOOKUP(D1161,underlying!$D$2:$H$75,5,FALSE)</f>
        <v>-0.2</v>
      </c>
      <c r="P1161" s="2">
        <f>VLOOKUP(D1161,underlying!$D$2:$L$39,9,FALSE)</f>
        <v>43495</v>
      </c>
      <c r="Q1161" s="7">
        <f>IF(G1161="C",NormalCallSprd(O1161,H1161,M1161,(P1161-A1161)/365), NormalPutSprd(O1161,H1161,M1161,(P1161-A1161)/365))</f>
        <v>0.22439707262889358</v>
      </c>
      <c r="R1161" s="9">
        <f t="shared" si="37"/>
        <v>4.397072628893578E-3</v>
      </c>
    </row>
    <row r="1162" spans="1:18" x14ac:dyDescent="0.2">
      <c r="A1162" s="2">
        <v>42622</v>
      </c>
      <c r="B1162" s="1" t="s">
        <v>13</v>
      </c>
      <c r="C1162" s="1" t="s">
        <v>14</v>
      </c>
      <c r="D1162" s="2">
        <v>43468</v>
      </c>
      <c r="E1162" s="2">
        <f t="shared" si="36"/>
        <v>43525</v>
      </c>
      <c r="F1162" s="1" t="s">
        <v>15</v>
      </c>
      <c r="G1162" s="1" t="s">
        <v>16</v>
      </c>
      <c r="H1162" s="1">
        <v>-0.25</v>
      </c>
      <c r="I1162" s="1">
        <v>0.28999999999999998</v>
      </c>
      <c r="J1162" s="1">
        <v>0</v>
      </c>
      <c r="K1162" s="1" t="s">
        <v>37</v>
      </c>
      <c r="L1162" s="1">
        <v>2389</v>
      </c>
      <c r="M1162" s="1">
        <v>0.44</v>
      </c>
      <c r="N1162" s="1">
        <v>-0.47575000000000001</v>
      </c>
      <c r="O1162" s="1">
        <f>VLOOKUP(D1162,underlying!$D$2:$H$75,5,FALSE)</f>
        <v>-0.2</v>
      </c>
      <c r="P1162" s="2">
        <f>VLOOKUP(D1162,underlying!$D$2:$L$39,9,FALSE)</f>
        <v>43495</v>
      </c>
      <c r="Q1162" s="7">
        <f>IF(G1162="C",NormalCallSprd(O1162,H1162,M1162,(P1162-A1162)/365), NormalPutSprd(O1162,H1162,M1162,(P1162-A1162)/365))</f>
        <v>0.29720349958072517</v>
      </c>
      <c r="R1162" s="9">
        <f t="shared" si="37"/>
        <v>7.2034995807251923E-3</v>
      </c>
    </row>
    <row r="1163" spans="1:18" x14ac:dyDescent="0.2">
      <c r="A1163" s="2">
        <v>42622</v>
      </c>
      <c r="B1163" s="1" t="s">
        <v>13</v>
      </c>
      <c r="C1163" s="1" t="s">
        <v>14</v>
      </c>
      <c r="D1163" s="2">
        <v>43468</v>
      </c>
      <c r="E1163" s="2">
        <f t="shared" si="36"/>
        <v>43525</v>
      </c>
      <c r="F1163" s="1" t="s">
        <v>15</v>
      </c>
      <c r="G1163" s="1" t="s">
        <v>18</v>
      </c>
      <c r="H1163" s="1">
        <v>-0.25</v>
      </c>
      <c r="I1163" s="1">
        <v>0.24</v>
      </c>
      <c r="J1163" s="1">
        <v>0</v>
      </c>
      <c r="K1163" s="1" t="s">
        <v>37</v>
      </c>
      <c r="L1163" s="1">
        <v>2389</v>
      </c>
      <c r="M1163" s="1">
        <v>0.44</v>
      </c>
      <c r="N1163" s="1">
        <v>-0.43880999999999998</v>
      </c>
      <c r="O1163" s="1">
        <f>VLOOKUP(D1163,underlying!$D$2:$H$75,5,FALSE)</f>
        <v>-0.2</v>
      </c>
      <c r="P1163" s="2">
        <f>VLOOKUP(D1163,underlying!$D$2:$L$39,9,FALSE)</f>
        <v>43495</v>
      </c>
      <c r="Q1163" s="7">
        <f>IF(G1163="C",NormalCallSprd(O1163,H1163,M1163,(P1163-A1163)/365), NormalPutSprd(O1163,H1163,M1163,(P1163-A1163)/365))</f>
        <v>0.24720349958072518</v>
      </c>
      <c r="R1163" s="9">
        <f t="shared" si="37"/>
        <v>7.2034995807251923E-3</v>
      </c>
    </row>
    <row r="1164" spans="1:18" x14ac:dyDescent="0.2">
      <c r="A1164" s="2">
        <v>42622</v>
      </c>
      <c r="B1164" s="1" t="s">
        <v>13</v>
      </c>
      <c r="C1164" s="1" t="s">
        <v>14</v>
      </c>
      <c r="D1164" s="2">
        <v>43468</v>
      </c>
      <c r="E1164" s="2">
        <f t="shared" si="36"/>
        <v>43525</v>
      </c>
      <c r="F1164" s="1" t="s">
        <v>15</v>
      </c>
      <c r="G1164" s="1" t="s">
        <v>16</v>
      </c>
      <c r="H1164" s="1">
        <v>-0.2</v>
      </c>
      <c r="I1164" s="1">
        <v>0.27</v>
      </c>
      <c r="J1164" s="1">
        <v>0</v>
      </c>
      <c r="K1164" s="1" t="s">
        <v>37</v>
      </c>
      <c r="L1164" s="1">
        <v>2389</v>
      </c>
      <c r="M1164" s="1">
        <v>0.44</v>
      </c>
      <c r="N1164" s="1">
        <v>-0.40326000000000001</v>
      </c>
      <c r="O1164" s="1">
        <f>VLOOKUP(D1164,underlying!$D$2:$H$75,5,FALSE)</f>
        <v>-0.2</v>
      </c>
      <c r="P1164" s="2">
        <f>VLOOKUP(D1164,underlying!$D$2:$L$39,9,FALSE)</f>
        <v>43495</v>
      </c>
      <c r="Q1164" s="7">
        <f>IF(G1164="C",NormalCallSprd(O1164,H1164,M1164,(P1164-A1164)/365), NormalPutSprd(O1164,H1164,M1164,(P1164-A1164)/365))</f>
        <v>0.27147099325762075</v>
      </c>
      <c r="R1164" s="9">
        <f t="shared" si="37"/>
        <v>1.4709932576207341E-3</v>
      </c>
    </row>
    <row r="1165" spans="1:18" x14ac:dyDescent="0.2">
      <c r="A1165" s="2">
        <v>42622</v>
      </c>
      <c r="B1165" s="1" t="s">
        <v>13</v>
      </c>
      <c r="C1165" s="1" t="s">
        <v>14</v>
      </c>
      <c r="D1165" s="2">
        <v>43468</v>
      </c>
      <c r="E1165" s="2">
        <f t="shared" si="36"/>
        <v>43525</v>
      </c>
      <c r="F1165" s="1" t="s">
        <v>15</v>
      </c>
      <c r="G1165" s="1" t="s">
        <v>18</v>
      </c>
      <c r="H1165" s="1">
        <v>-0.2</v>
      </c>
      <c r="I1165" s="1">
        <v>0.27</v>
      </c>
      <c r="J1165" s="1">
        <v>0</v>
      </c>
      <c r="K1165" s="1" t="s">
        <v>37</v>
      </c>
      <c r="L1165" s="1">
        <v>2389</v>
      </c>
      <c r="M1165" s="1">
        <v>0.44</v>
      </c>
      <c r="N1165" s="1">
        <v>-0.36874000000000001</v>
      </c>
      <c r="O1165" s="1">
        <f>VLOOKUP(D1165,underlying!$D$2:$H$75,5,FALSE)</f>
        <v>-0.2</v>
      </c>
      <c r="P1165" s="2">
        <f>VLOOKUP(D1165,underlying!$D$2:$L$39,9,FALSE)</f>
        <v>43495</v>
      </c>
      <c r="Q1165" s="7">
        <f>IF(G1165="C",NormalCallSprd(O1165,H1165,M1165,(P1165-A1165)/365), NormalPutSprd(O1165,H1165,M1165,(P1165-A1165)/365))</f>
        <v>0.27147099325762075</v>
      </c>
      <c r="R1165" s="9">
        <f t="shared" si="37"/>
        <v>1.4709932576207341E-3</v>
      </c>
    </row>
    <row r="1166" spans="1:18" x14ac:dyDescent="0.2">
      <c r="A1166" s="2">
        <v>42622</v>
      </c>
      <c r="B1166" s="1" t="s">
        <v>13</v>
      </c>
      <c r="C1166" s="1" t="s">
        <v>14</v>
      </c>
      <c r="D1166" s="2">
        <v>43468</v>
      </c>
      <c r="E1166" s="2">
        <f t="shared" si="36"/>
        <v>43525</v>
      </c>
      <c r="F1166" s="1" t="s">
        <v>15</v>
      </c>
      <c r="G1166" s="1" t="s">
        <v>16</v>
      </c>
      <c r="H1166" s="1">
        <v>-0.15</v>
      </c>
      <c r="I1166" s="1">
        <v>0.24</v>
      </c>
      <c r="J1166" s="1">
        <v>0</v>
      </c>
      <c r="K1166" s="1" t="s">
        <v>37</v>
      </c>
      <c r="L1166" s="1">
        <v>2389</v>
      </c>
      <c r="M1166" s="1">
        <v>0.44</v>
      </c>
      <c r="N1166" s="1">
        <v>-0.33611999999999997</v>
      </c>
      <c r="O1166" s="1">
        <f>VLOOKUP(D1166,underlying!$D$2:$H$75,5,FALSE)</f>
        <v>-0.2</v>
      </c>
      <c r="P1166" s="2">
        <f>VLOOKUP(D1166,underlying!$D$2:$L$39,9,FALSE)</f>
        <v>43495</v>
      </c>
      <c r="Q1166" s="7">
        <f>IF(G1166="C",NormalCallSprd(O1166,H1166,M1166,(P1166-A1166)/365), NormalPutSprd(O1166,H1166,M1166,(P1166-A1166)/365))</f>
        <v>0.24720349958072518</v>
      </c>
      <c r="R1166" s="9">
        <f t="shared" si="37"/>
        <v>7.2034995807251923E-3</v>
      </c>
    </row>
    <row r="1167" spans="1:18" x14ac:dyDescent="0.2">
      <c r="A1167" s="2">
        <v>42622</v>
      </c>
      <c r="B1167" s="1" t="s">
        <v>13</v>
      </c>
      <c r="C1167" s="1" t="s">
        <v>14</v>
      </c>
      <c r="D1167" s="2">
        <v>43468</v>
      </c>
      <c r="E1167" s="2">
        <f t="shared" si="36"/>
        <v>43525</v>
      </c>
      <c r="F1167" s="1" t="s">
        <v>15</v>
      </c>
      <c r="G1167" s="1" t="s">
        <v>18</v>
      </c>
      <c r="H1167" s="1">
        <v>-0.15</v>
      </c>
      <c r="I1167" s="1">
        <v>0.28999999999999998</v>
      </c>
      <c r="J1167" s="1">
        <v>0</v>
      </c>
      <c r="K1167" s="1" t="s">
        <v>37</v>
      </c>
      <c r="L1167" s="1">
        <v>2389</v>
      </c>
      <c r="M1167" s="1">
        <v>0.44</v>
      </c>
      <c r="N1167" s="1">
        <v>-0.30632999999999999</v>
      </c>
      <c r="O1167" s="1">
        <f>VLOOKUP(D1167,underlying!$D$2:$H$75,5,FALSE)</f>
        <v>-0.2</v>
      </c>
      <c r="P1167" s="2">
        <f>VLOOKUP(D1167,underlying!$D$2:$L$39,9,FALSE)</f>
        <v>43495</v>
      </c>
      <c r="Q1167" s="7">
        <f>IF(G1167="C",NormalCallSprd(O1167,H1167,M1167,(P1167-A1167)/365), NormalPutSprd(O1167,H1167,M1167,(P1167-A1167)/365))</f>
        <v>0.29720349958072517</v>
      </c>
      <c r="R1167" s="9">
        <f t="shared" si="37"/>
        <v>7.2034995807251923E-3</v>
      </c>
    </row>
    <row r="1168" spans="1:18" x14ac:dyDescent="0.2">
      <c r="A1168" s="2">
        <v>42622</v>
      </c>
      <c r="B1168" s="1" t="s">
        <v>13</v>
      </c>
      <c r="C1168" s="1" t="s">
        <v>14</v>
      </c>
      <c r="D1168" s="2">
        <v>43468</v>
      </c>
      <c r="E1168" s="2">
        <f t="shared" si="36"/>
        <v>43525</v>
      </c>
      <c r="F1168" s="1" t="s">
        <v>15</v>
      </c>
      <c r="G1168" s="1" t="s">
        <v>16</v>
      </c>
      <c r="H1168" s="1">
        <v>-0.1</v>
      </c>
      <c r="I1168" s="1">
        <v>0.22</v>
      </c>
      <c r="J1168" s="1">
        <v>0</v>
      </c>
      <c r="K1168" s="1" t="s">
        <v>37</v>
      </c>
      <c r="L1168" s="1">
        <v>2389</v>
      </c>
      <c r="M1168" s="1">
        <v>0.44</v>
      </c>
      <c r="N1168" s="1">
        <v>-0.27683000000000002</v>
      </c>
      <c r="O1168" s="1">
        <f>VLOOKUP(D1168,underlying!$D$2:$H$75,5,FALSE)</f>
        <v>-0.2</v>
      </c>
      <c r="P1168" s="2">
        <f>VLOOKUP(D1168,underlying!$D$2:$L$39,9,FALSE)</f>
        <v>43495</v>
      </c>
      <c r="Q1168" s="7">
        <f>IF(G1168="C",NormalCallSprd(O1168,H1168,M1168,(P1168-A1168)/365), NormalPutSprd(O1168,H1168,M1168,(P1168-A1168)/365))</f>
        <v>0.22439707262889358</v>
      </c>
      <c r="R1168" s="9">
        <f t="shared" si="37"/>
        <v>4.397072628893578E-3</v>
      </c>
    </row>
    <row r="1169" spans="1:18" x14ac:dyDescent="0.2">
      <c r="A1169" s="2">
        <v>42622</v>
      </c>
      <c r="B1169" s="1" t="s">
        <v>13</v>
      </c>
      <c r="C1169" s="1" t="s">
        <v>14</v>
      </c>
      <c r="D1169" s="2">
        <v>43468</v>
      </c>
      <c r="E1169" s="2">
        <f t="shared" si="36"/>
        <v>43525</v>
      </c>
      <c r="F1169" s="1" t="s">
        <v>15</v>
      </c>
      <c r="G1169" s="1" t="s">
        <v>18</v>
      </c>
      <c r="H1169" s="1">
        <v>-0.1</v>
      </c>
      <c r="I1169" s="1">
        <v>0.32</v>
      </c>
      <c r="J1169" s="1">
        <v>0</v>
      </c>
      <c r="K1169" s="1" t="s">
        <v>37</v>
      </c>
      <c r="L1169" s="1">
        <v>2389</v>
      </c>
      <c r="M1169" s="1">
        <v>0.44</v>
      </c>
      <c r="N1169" s="1">
        <v>-0.24975</v>
      </c>
      <c r="O1169" s="1">
        <f>VLOOKUP(D1169,underlying!$D$2:$H$75,5,FALSE)</f>
        <v>-0.2</v>
      </c>
      <c r="P1169" s="2">
        <f>VLOOKUP(D1169,underlying!$D$2:$L$39,9,FALSE)</f>
        <v>43495</v>
      </c>
      <c r="Q1169" s="7">
        <f>IF(G1169="C",NormalCallSprd(O1169,H1169,M1169,(P1169-A1169)/365), NormalPutSprd(O1169,H1169,M1169,(P1169-A1169)/365))</f>
        <v>0.32439707262889356</v>
      </c>
      <c r="R1169" s="9">
        <f t="shared" si="37"/>
        <v>4.3970726288935502E-3</v>
      </c>
    </row>
    <row r="1170" spans="1:18" x14ac:dyDescent="0.2">
      <c r="A1170" s="2">
        <v>42622</v>
      </c>
      <c r="B1170" s="1" t="s">
        <v>13</v>
      </c>
      <c r="C1170" s="1" t="s">
        <v>14</v>
      </c>
      <c r="D1170" s="2">
        <v>43468</v>
      </c>
      <c r="E1170" s="2">
        <f t="shared" si="36"/>
        <v>43525</v>
      </c>
      <c r="F1170" s="1" t="s">
        <v>15</v>
      </c>
      <c r="G1170" s="1" t="s">
        <v>16</v>
      </c>
      <c r="H1170" s="1">
        <v>-0.05</v>
      </c>
      <c r="I1170" s="1">
        <v>0.19</v>
      </c>
      <c r="J1170" s="1">
        <v>-0.01</v>
      </c>
      <c r="K1170" s="1" t="s">
        <v>37</v>
      </c>
      <c r="L1170" s="1">
        <v>2389</v>
      </c>
      <c r="M1170" s="1">
        <v>0.43</v>
      </c>
      <c r="N1170" s="1">
        <v>-0.22392000000000001</v>
      </c>
      <c r="O1170" s="1">
        <f>VLOOKUP(D1170,underlying!$D$2:$H$75,5,FALSE)</f>
        <v>-0.2</v>
      </c>
      <c r="P1170" s="2">
        <f>VLOOKUP(D1170,underlying!$D$2:$L$39,9,FALSE)</f>
        <v>43495</v>
      </c>
      <c r="Q1170" s="7">
        <f>IF(G1170="C",NormalCallSprd(O1170,H1170,M1170,(P1170-A1170)/365), NormalPutSprd(O1170,H1170,M1170,(P1170-A1170)/365))</f>
        <v>0.19702163601044237</v>
      </c>
      <c r="R1170" s="9">
        <f t="shared" si="37"/>
        <v>7.021636010442367E-3</v>
      </c>
    </row>
    <row r="1171" spans="1:18" x14ac:dyDescent="0.2">
      <c r="A1171" s="2">
        <v>42622</v>
      </c>
      <c r="B1171" s="1" t="s">
        <v>13</v>
      </c>
      <c r="C1171" s="1" t="s">
        <v>14</v>
      </c>
      <c r="D1171" s="2">
        <v>43468</v>
      </c>
      <c r="E1171" s="2">
        <f t="shared" si="36"/>
        <v>43525</v>
      </c>
      <c r="F1171" s="1" t="s">
        <v>15</v>
      </c>
      <c r="G1171" s="1" t="s">
        <v>18</v>
      </c>
      <c r="H1171" s="1">
        <v>-0.05</v>
      </c>
      <c r="I1171" s="1">
        <v>0.34</v>
      </c>
      <c r="J1171" s="1">
        <v>0</v>
      </c>
      <c r="K1171" s="1" t="s">
        <v>37</v>
      </c>
      <c r="L1171" s="1">
        <v>2389</v>
      </c>
      <c r="M1171" s="1">
        <v>0.43</v>
      </c>
      <c r="N1171" s="1">
        <v>-0.19855</v>
      </c>
      <c r="O1171" s="1">
        <f>VLOOKUP(D1171,underlying!$D$2:$H$75,5,FALSE)</f>
        <v>-0.2</v>
      </c>
      <c r="P1171" s="2">
        <f>VLOOKUP(D1171,underlying!$D$2:$L$39,9,FALSE)</f>
        <v>43495</v>
      </c>
      <c r="Q1171" s="7">
        <f>IF(G1171="C",NormalCallSprd(O1171,H1171,M1171,(P1171-A1171)/365), NormalPutSprd(O1171,H1171,M1171,(P1171-A1171)/365))</f>
        <v>0.34702163601044239</v>
      </c>
      <c r="R1171" s="9">
        <f t="shared" si="37"/>
        <v>7.021636010442367E-3</v>
      </c>
    </row>
    <row r="1172" spans="1:18" x14ac:dyDescent="0.2">
      <c r="A1172" s="2">
        <v>42622</v>
      </c>
      <c r="B1172" s="1" t="s">
        <v>13</v>
      </c>
      <c r="C1172" s="1" t="s">
        <v>14</v>
      </c>
      <c r="D1172" s="2">
        <v>43469</v>
      </c>
      <c r="E1172" s="2">
        <f t="shared" si="36"/>
        <v>43556</v>
      </c>
      <c r="F1172" s="1" t="s">
        <v>15</v>
      </c>
      <c r="G1172" s="1" t="s">
        <v>16</v>
      </c>
      <c r="H1172" s="1">
        <v>-3</v>
      </c>
      <c r="I1172" s="1">
        <v>2.75</v>
      </c>
      <c r="J1172" s="1">
        <v>-0.01</v>
      </c>
      <c r="K1172" s="1" t="s">
        <v>40</v>
      </c>
      <c r="L1172" s="1">
        <v>2389</v>
      </c>
      <c r="M1172" s="1">
        <v>0.8</v>
      </c>
      <c r="N1172" s="1">
        <v>-0.17499999999999999</v>
      </c>
      <c r="O1172" s="1">
        <f>VLOOKUP(D1172,underlying!$D$2:$H$75,5,FALSE)</f>
        <v>-0.21</v>
      </c>
      <c r="P1172" s="2">
        <f>VLOOKUP(D1172,underlying!$D$2:$L$39,9,FALSE)</f>
        <v>43523</v>
      </c>
      <c r="Q1172" s="7">
        <f>IF(G1172="C",NormalCallSprd(O1172,H1172,M1172,(P1172-A1172)/365), NormalPutSprd(O1172,H1172,M1172,(P1172-A1172)/365))</f>
        <v>2.7958064792421964</v>
      </c>
      <c r="R1172" s="9">
        <f t="shared" si="37"/>
        <v>4.5806479242196385E-2</v>
      </c>
    </row>
    <row r="1173" spans="1:18" x14ac:dyDescent="0.2">
      <c r="A1173" s="2">
        <v>42622</v>
      </c>
      <c r="B1173" s="1" t="s">
        <v>13</v>
      </c>
      <c r="C1173" s="1" t="s">
        <v>14</v>
      </c>
      <c r="D1173" s="2">
        <v>43469</v>
      </c>
      <c r="E1173" s="2">
        <f t="shared" si="36"/>
        <v>43556</v>
      </c>
      <c r="F1173" s="1" t="s">
        <v>15</v>
      </c>
      <c r="G1173" s="1" t="s">
        <v>18</v>
      </c>
      <c r="H1173" s="1">
        <v>-3</v>
      </c>
      <c r="I1173" s="1">
        <v>0.01</v>
      </c>
      <c r="J1173" s="1">
        <v>0</v>
      </c>
      <c r="K1173" s="1" t="s">
        <v>40</v>
      </c>
      <c r="L1173" s="1">
        <v>2389</v>
      </c>
      <c r="M1173" s="1">
        <v>0.8</v>
      </c>
      <c r="N1173" s="1">
        <v>-0.15545</v>
      </c>
      <c r="O1173" s="1">
        <f>VLOOKUP(D1173,underlying!$D$2:$H$75,5,FALSE)</f>
        <v>-0.21</v>
      </c>
      <c r="P1173" s="2">
        <f>VLOOKUP(D1173,underlying!$D$2:$L$39,9,FALSE)</f>
        <v>43523</v>
      </c>
      <c r="Q1173" s="7">
        <f>IF(G1173="C",NormalCallSprd(O1173,H1173,M1173,(P1173-A1173)/365), NormalPutSprd(O1173,H1173,M1173,(P1173-A1173)/365))</f>
        <v>5.8064792421961909E-3</v>
      </c>
      <c r="R1173" s="9">
        <f t="shared" si="37"/>
        <v>4.1935207578038093E-3</v>
      </c>
    </row>
    <row r="1174" spans="1:18" x14ac:dyDescent="0.2">
      <c r="A1174" s="2">
        <v>42622</v>
      </c>
      <c r="B1174" s="1" t="s">
        <v>13</v>
      </c>
      <c r="C1174" s="1" t="s">
        <v>14</v>
      </c>
      <c r="D1174" s="2">
        <v>43469</v>
      </c>
      <c r="E1174" s="2">
        <f t="shared" si="36"/>
        <v>43556</v>
      </c>
      <c r="F1174" s="1" t="s">
        <v>15</v>
      </c>
      <c r="G1174" s="1" t="s">
        <v>16</v>
      </c>
      <c r="H1174" s="1">
        <v>-2</v>
      </c>
      <c r="I1174" s="1">
        <v>1.78</v>
      </c>
      <c r="J1174" s="1">
        <v>-0.01</v>
      </c>
      <c r="K1174" s="1" t="s">
        <v>40</v>
      </c>
      <c r="L1174" s="1">
        <v>2389</v>
      </c>
      <c r="M1174" s="1">
        <v>0.7</v>
      </c>
      <c r="N1174" s="1">
        <v>-0.1391</v>
      </c>
      <c r="O1174" s="1">
        <f>VLOOKUP(D1174,underlying!$D$2:$H$75,5,FALSE)</f>
        <v>-0.21</v>
      </c>
      <c r="P1174" s="2">
        <f>VLOOKUP(D1174,underlying!$D$2:$L$39,9,FALSE)</f>
        <v>43523</v>
      </c>
      <c r="Q1174" s="7">
        <f>IF(G1174="C",NormalCallSprd(O1174,H1174,M1174,(P1174-A1174)/365), NormalPutSprd(O1174,H1174,M1174,(P1174-A1174)/365))</f>
        <v>1.8139457605016658</v>
      </c>
      <c r="R1174" s="9">
        <f t="shared" si="37"/>
        <v>3.3945760501665756E-2</v>
      </c>
    </row>
    <row r="1175" spans="1:18" x14ac:dyDescent="0.2">
      <c r="A1175" s="2">
        <v>42622</v>
      </c>
      <c r="B1175" s="1" t="s">
        <v>13</v>
      </c>
      <c r="C1175" s="1" t="s">
        <v>14</v>
      </c>
      <c r="D1175" s="2">
        <v>43469</v>
      </c>
      <c r="E1175" s="2">
        <f t="shared" si="36"/>
        <v>43556</v>
      </c>
      <c r="F1175" s="1" t="s">
        <v>15</v>
      </c>
      <c r="G1175" s="1" t="s">
        <v>18</v>
      </c>
      <c r="H1175" s="1">
        <v>-2</v>
      </c>
      <c r="I1175" s="1">
        <v>0.02</v>
      </c>
      <c r="J1175" s="1">
        <v>0</v>
      </c>
      <c r="K1175" s="1" t="s">
        <v>40</v>
      </c>
      <c r="L1175" s="1">
        <v>2389</v>
      </c>
      <c r="M1175" s="1">
        <v>0.7</v>
      </c>
      <c r="N1175" s="1">
        <v>-0.11115</v>
      </c>
      <c r="O1175" s="1">
        <f>VLOOKUP(D1175,underlying!$D$2:$H$75,5,FALSE)</f>
        <v>-0.21</v>
      </c>
      <c r="P1175" s="2">
        <f>VLOOKUP(D1175,underlying!$D$2:$L$39,9,FALSE)</f>
        <v>43523</v>
      </c>
      <c r="Q1175" s="7">
        <f>IF(G1175="C",NormalCallSprd(O1175,H1175,M1175,(P1175-A1175)/365), NormalPutSprd(O1175,H1175,M1175,(P1175-A1175)/365))</f>
        <v>2.3945760501665751E-2</v>
      </c>
      <c r="R1175" s="9">
        <f t="shared" si="37"/>
        <v>3.9457605016657502E-3</v>
      </c>
    </row>
    <row r="1176" spans="1:18" x14ac:dyDescent="0.2">
      <c r="A1176" s="2">
        <v>42622</v>
      </c>
      <c r="B1176" s="1" t="s">
        <v>13</v>
      </c>
      <c r="C1176" s="1" t="s">
        <v>14</v>
      </c>
      <c r="D1176" s="2">
        <v>43469</v>
      </c>
      <c r="E1176" s="2">
        <f t="shared" si="36"/>
        <v>43556</v>
      </c>
      <c r="F1176" s="1" t="s">
        <v>15</v>
      </c>
      <c r="G1176" s="1" t="s">
        <v>16</v>
      </c>
      <c r="H1176" s="1">
        <v>-1</v>
      </c>
      <c r="I1176" s="1">
        <v>0.86</v>
      </c>
      <c r="J1176" s="1">
        <v>-0.01</v>
      </c>
      <c r="K1176" s="1" t="s">
        <v>40</v>
      </c>
      <c r="L1176" s="1">
        <v>2389</v>
      </c>
      <c r="M1176" s="1">
        <v>0.54</v>
      </c>
      <c r="N1176" s="1">
        <v>-1.4619999999999999E-2</v>
      </c>
      <c r="O1176" s="1">
        <f>VLOOKUP(D1176,underlying!$D$2:$H$75,5,FALSE)</f>
        <v>-0.21</v>
      </c>
      <c r="P1176" s="2">
        <f>VLOOKUP(D1176,underlying!$D$2:$L$39,9,FALSE)</f>
        <v>43523</v>
      </c>
      <c r="Q1176" s="7">
        <f>IF(G1176="C",NormalCallSprd(O1176,H1176,M1176,(P1176-A1176)/365), NormalPutSprd(O1176,H1176,M1176,(P1176-A1176)/365))</f>
        <v>0.87045240499513532</v>
      </c>
      <c r="R1176" s="9">
        <f t="shared" si="37"/>
        <v>1.0452404995135334E-2</v>
      </c>
    </row>
    <row r="1177" spans="1:18" x14ac:dyDescent="0.2">
      <c r="A1177" s="2">
        <v>42622</v>
      </c>
      <c r="B1177" s="1" t="s">
        <v>13</v>
      </c>
      <c r="C1177" s="1" t="s">
        <v>14</v>
      </c>
      <c r="D1177" s="2">
        <v>43469</v>
      </c>
      <c r="E1177" s="2">
        <f t="shared" si="36"/>
        <v>43556</v>
      </c>
      <c r="F1177" s="1" t="s">
        <v>15</v>
      </c>
      <c r="G1177" s="1" t="s">
        <v>18</v>
      </c>
      <c r="H1177" s="1">
        <v>-1</v>
      </c>
      <c r="I1177" s="1">
        <v>0.08</v>
      </c>
      <c r="J1177" s="1">
        <v>0</v>
      </c>
      <c r="K1177" s="1" t="s">
        <v>40</v>
      </c>
      <c r="L1177" s="1">
        <v>2389</v>
      </c>
      <c r="M1177" s="1">
        <v>0.54</v>
      </c>
      <c r="N1177" s="1">
        <v>-2.14E-3</v>
      </c>
      <c r="O1177" s="1">
        <f>VLOOKUP(D1177,underlying!$D$2:$H$75,5,FALSE)</f>
        <v>-0.21</v>
      </c>
      <c r="P1177" s="2">
        <f>VLOOKUP(D1177,underlying!$D$2:$L$39,9,FALSE)</f>
        <v>43523</v>
      </c>
      <c r="Q1177" s="7">
        <f>IF(G1177="C",NormalCallSprd(O1177,H1177,M1177,(P1177-A1177)/365), NormalPutSprd(O1177,H1177,M1177,(P1177-A1177)/365))</f>
        <v>8.0452404995135257E-2</v>
      </c>
      <c r="R1177" s="9">
        <f t="shared" si="37"/>
        <v>4.5240499513525545E-4</v>
      </c>
    </row>
    <row r="1178" spans="1:18" x14ac:dyDescent="0.2">
      <c r="A1178" s="2">
        <v>42622</v>
      </c>
      <c r="B1178" s="1" t="s">
        <v>13</v>
      </c>
      <c r="C1178" s="1" t="s">
        <v>14</v>
      </c>
      <c r="D1178" s="2">
        <v>43469</v>
      </c>
      <c r="E1178" s="2">
        <f t="shared" si="36"/>
        <v>43556</v>
      </c>
      <c r="F1178" s="1" t="s">
        <v>15</v>
      </c>
      <c r="G1178" s="1" t="s">
        <v>16</v>
      </c>
      <c r="H1178" s="1">
        <v>-0.7</v>
      </c>
      <c r="I1178" s="1">
        <v>0.6</v>
      </c>
      <c r="J1178" s="1">
        <v>-0.01</v>
      </c>
      <c r="K1178" s="1" t="s">
        <v>40</v>
      </c>
      <c r="L1178" s="1">
        <v>2389</v>
      </c>
      <c r="M1178" s="1">
        <v>0.49</v>
      </c>
      <c r="N1178" s="1">
        <v>0.42408000000000001</v>
      </c>
      <c r="O1178" s="1">
        <f>VLOOKUP(D1178,underlying!$D$2:$H$75,5,FALSE)</f>
        <v>-0.21</v>
      </c>
      <c r="P1178" s="2">
        <f>VLOOKUP(D1178,underlying!$D$2:$L$39,9,FALSE)</f>
        <v>43523</v>
      </c>
      <c r="Q1178" s="7">
        <f>IF(G1178="C",NormalCallSprd(O1178,H1178,M1178,(P1178-A1178)/365), NormalPutSprd(O1178,H1178,M1178,(P1178-A1178)/365))</f>
        <v>0.61232186615630069</v>
      </c>
      <c r="R1178" s="9">
        <f t="shared" si="37"/>
        <v>1.2321866156300709E-2</v>
      </c>
    </row>
    <row r="1179" spans="1:18" x14ac:dyDescent="0.2">
      <c r="A1179" s="2">
        <v>42622</v>
      </c>
      <c r="B1179" s="1" t="s">
        <v>13</v>
      </c>
      <c r="C1179" s="1" t="s">
        <v>14</v>
      </c>
      <c r="D1179" s="2">
        <v>43469</v>
      </c>
      <c r="E1179" s="2">
        <f t="shared" si="36"/>
        <v>43556</v>
      </c>
      <c r="F1179" s="1" t="s">
        <v>15</v>
      </c>
      <c r="G1179" s="1" t="s">
        <v>18</v>
      </c>
      <c r="H1179" s="1">
        <v>-0.7</v>
      </c>
      <c r="I1179" s="1">
        <v>0.12</v>
      </c>
      <c r="J1179" s="1">
        <v>0</v>
      </c>
      <c r="K1179" s="1" t="s">
        <v>40</v>
      </c>
      <c r="L1179" s="1">
        <v>2389</v>
      </c>
      <c r="M1179" s="1">
        <v>0.49</v>
      </c>
      <c r="N1179" s="1">
        <v>0.45327000000000001</v>
      </c>
      <c r="O1179" s="1">
        <f>VLOOKUP(D1179,underlying!$D$2:$H$75,5,FALSE)</f>
        <v>-0.21</v>
      </c>
      <c r="P1179" s="2">
        <f>VLOOKUP(D1179,underlying!$D$2:$L$39,9,FALSE)</f>
        <v>43523</v>
      </c>
      <c r="Q1179" s="7">
        <f>IF(G1179="C",NormalCallSprd(O1179,H1179,M1179,(P1179-A1179)/365), NormalPutSprd(O1179,H1179,M1179,(P1179-A1179)/365))</f>
        <v>0.12232186615630068</v>
      </c>
      <c r="R1179" s="9">
        <f t="shared" si="37"/>
        <v>2.3218661563006865E-3</v>
      </c>
    </row>
    <row r="1180" spans="1:18" x14ac:dyDescent="0.2">
      <c r="A1180" s="2">
        <v>42622</v>
      </c>
      <c r="B1180" s="1" t="s">
        <v>13</v>
      </c>
      <c r="C1180" s="1" t="s">
        <v>14</v>
      </c>
      <c r="D1180" s="2">
        <v>43469</v>
      </c>
      <c r="E1180" s="2">
        <f t="shared" si="36"/>
        <v>43556</v>
      </c>
      <c r="F1180" s="1" t="s">
        <v>15</v>
      </c>
      <c r="G1180" s="1" t="s">
        <v>16</v>
      </c>
      <c r="H1180" s="1">
        <v>-0.65</v>
      </c>
      <c r="I1180" s="1">
        <v>0.56000000000000005</v>
      </c>
      <c r="J1180" s="1">
        <v>-0.01</v>
      </c>
      <c r="K1180" s="1" t="s">
        <v>40</v>
      </c>
      <c r="L1180" s="1">
        <v>2389</v>
      </c>
      <c r="M1180" s="1">
        <v>0.48</v>
      </c>
      <c r="N1180" s="1">
        <v>0.48268</v>
      </c>
      <c r="O1180" s="1">
        <f>VLOOKUP(D1180,underlying!$D$2:$H$75,5,FALSE)</f>
        <v>-0.21</v>
      </c>
      <c r="P1180" s="2">
        <f>VLOOKUP(D1180,underlying!$D$2:$L$39,9,FALSE)</f>
        <v>43523</v>
      </c>
      <c r="Q1180" s="7">
        <f>IF(G1180="C",NormalCallSprd(O1180,H1180,M1180,(P1180-A1180)/365), NormalPutSprd(O1180,H1180,M1180,(P1180-A1180)/365))</f>
        <v>0.57066422831338204</v>
      </c>
      <c r="R1180" s="9">
        <f t="shared" si="37"/>
        <v>1.0664228313381985E-2</v>
      </c>
    </row>
    <row r="1181" spans="1:18" x14ac:dyDescent="0.2">
      <c r="A1181" s="2">
        <v>42622</v>
      </c>
      <c r="B1181" s="1" t="s">
        <v>13</v>
      </c>
      <c r="C1181" s="1" t="s">
        <v>14</v>
      </c>
      <c r="D1181" s="2">
        <v>43469</v>
      </c>
      <c r="E1181" s="2">
        <f t="shared" si="36"/>
        <v>43556</v>
      </c>
      <c r="F1181" s="1" t="s">
        <v>15</v>
      </c>
      <c r="G1181" s="1" t="s">
        <v>18</v>
      </c>
      <c r="H1181" s="1">
        <v>-0.65</v>
      </c>
      <c r="I1181" s="1">
        <v>0.13</v>
      </c>
      <c r="J1181" s="1">
        <v>0</v>
      </c>
      <c r="K1181" s="1" t="s">
        <v>40</v>
      </c>
      <c r="L1181" s="1">
        <v>2389</v>
      </c>
      <c r="M1181" s="1">
        <v>0.48</v>
      </c>
      <c r="N1181" s="1">
        <v>0.51217000000000001</v>
      </c>
      <c r="O1181" s="1">
        <f>VLOOKUP(D1181,underlying!$D$2:$H$75,5,FALSE)</f>
        <v>-0.21</v>
      </c>
      <c r="P1181" s="2">
        <f>VLOOKUP(D1181,underlying!$D$2:$L$39,9,FALSE)</f>
        <v>43523</v>
      </c>
      <c r="Q1181" s="7">
        <f>IF(G1181="C",NormalCallSprd(O1181,H1181,M1181,(P1181-A1181)/365), NormalPutSprd(O1181,H1181,M1181,(P1181-A1181)/365))</f>
        <v>0.13066422831338204</v>
      </c>
      <c r="R1181" s="9">
        <f t="shared" si="37"/>
        <v>6.6422831338203148E-4</v>
      </c>
    </row>
    <row r="1182" spans="1:18" x14ac:dyDescent="0.2">
      <c r="A1182" s="2">
        <v>42622</v>
      </c>
      <c r="B1182" s="1" t="s">
        <v>13</v>
      </c>
      <c r="C1182" s="1" t="s">
        <v>14</v>
      </c>
      <c r="D1182" s="2">
        <v>43469</v>
      </c>
      <c r="E1182" s="2">
        <f t="shared" si="36"/>
        <v>43556</v>
      </c>
      <c r="F1182" s="1" t="s">
        <v>15</v>
      </c>
      <c r="G1182" s="1" t="s">
        <v>16</v>
      </c>
      <c r="H1182" s="1">
        <v>-0.6</v>
      </c>
      <c r="I1182" s="1">
        <v>0.53</v>
      </c>
      <c r="J1182" s="1">
        <v>0</v>
      </c>
      <c r="K1182" s="1" t="s">
        <v>40</v>
      </c>
      <c r="L1182" s="1">
        <v>2389</v>
      </c>
      <c r="M1182" s="1">
        <v>0.48</v>
      </c>
      <c r="N1182" s="1">
        <v>0.54154999999999998</v>
      </c>
      <c r="O1182" s="1">
        <f>VLOOKUP(D1182,underlying!$D$2:$H$75,5,FALSE)</f>
        <v>-0.21</v>
      </c>
      <c r="P1182" s="2">
        <f>VLOOKUP(D1182,underlying!$D$2:$L$39,9,FALSE)</f>
        <v>43523</v>
      </c>
      <c r="Q1182" s="7">
        <f>IF(G1182="C",NormalCallSprd(O1182,H1182,M1182,(P1182-A1182)/365), NormalPutSprd(O1182,H1182,M1182,(P1182-A1182)/365))</f>
        <v>0.53521898379289745</v>
      </c>
      <c r="R1182" s="9">
        <f t="shared" si="37"/>
        <v>5.2189837928974248E-3</v>
      </c>
    </row>
    <row r="1183" spans="1:18" x14ac:dyDescent="0.2">
      <c r="A1183" s="2">
        <v>42622</v>
      </c>
      <c r="B1183" s="1" t="s">
        <v>13</v>
      </c>
      <c r="C1183" s="1" t="s">
        <v>14</v>
      </c>
      <c r="D1183" s="2">
        <v>43469</v>
      </c>
      <c r="E1183" s="2">
        <f t="shared" si="36"/>
        <v>43556</v>
      </c>
      <c r="F1183" s="1" t="s">
        <v>15</v>
      </c>
      <c r="G1183" s="1" t="s">
        <v>18</v>
      </c>
      <c r="H1183" s="1">
        <v>-0.6</v>
      </c>
      <c r="I1183" s="1">
        <v>0.14000000000000001</v>
      </c>
      <c r="J1183" s="1">
        <v>0</v>
      </c>
      <c r="K1183" s="1" t="s">
        <v>40</v>
      </c>
      <c r="L1183" s="1">
        <v>2389</v>
      </c>
      <c r="M1183" s="1">
        <v>0.48</v>
      </c>
      <c r="N1183" s="1">
        <v>0.56950999999999996</v>
      </c>
      <c r="O1183" s="1">
        <f>VLOOKUP(D1183,underlying!$D$2:$H$75,5,FALSE)</f>
        <v>-0.21</v>
      </c>
      <c r="P1183" s="2">
        <f>VLOOKUP(D1183,underlying!$D$2:$L$39,9,FALSE)</f>
        <v>43523</v>
      </c>
      <c r="Q1183" s="7">
        <f>IF(G1183="C",NormalCallSprd(O1183,H1183,M1183,(P1183-A1183)/365), NormalPutSprd(O1183,H1183,M1183,(P1183-A1183)/365))</f>
        <v>0.14521898379289752</v>
      </c>
      <c r="R1183" s="9">
        <f t="shared" si="37"/>
        <v>5.218983792897508E-3</v>
      </c>
    </row>
    <row r="1184" spans="1:18" x14ac:dyDescent="0.2">
      <c r="A1184" s="2">
        <v>42622</v>
      </c>
      <c r="B1184" s="1" t="s">
        <v>13</v>
      </c>
      <c r="C1184" s="1" t="s">
        <v>14</v>
      </c>
      <c r="D1184" s="2">
        <v>43469</v>
      </c>
      <c r="E1184" s="2">
        <f t="shared" si="36"/>
        <v>43556</v>
      </c>
      <c r="F1184" s="1" t="s">
        <v>15</v>
      </c>
      <c r="G1184" s="1" t="s">
        <v>16</v>
      </c>
      <c r="H1184" s="1">
        <v>-0.55000000000000004</v>
      </c>
      <c r="I1184" s="1">
        <v>0.49</v>
      </c>
      <c r="J1184" s="1">
        <v>-0.01</v>
      </c>
      <c r="K1184" s="1" t="s">
        <v>40</v>
      </c>
      <c r="L1184" s="1">
        <v>2389</v>
      </c>
      <c r="M1184" s="1">
        <v>0.47</v>
      </c>
      <c r="N1184" s="1">
        <v>0.59740000000000004</v>
      </c>
      <c r="O1184" s="1">
        <f>VLOOKUP(D1184,underlying!$D$2:$H$75,5,FALSE)</f>
        <v>-0.21</v>
      </c>
      <c r="P1184" s="2">
        <f>VLOOKUP(D1184,underlying!$D$2:$L$39,9,FALSE)</f>
        <v>43523</v>
      </c>
      <c r="Q1184" s="7">
        <f>IF(G1184="C",NormalCallSprd(O1184,H1184,M1184,(P1184-A1184)/365), NormalPutSprd(O1184,H1184,M1184,(P1184-A1184)/365))</f>
        <v>0.49528036400596376</v>
      </c>
      <c r="R1184" s="9">
        <f t="shared" si="37"/>
        <v>5.2803640059637669E-3</v>
      </c>
    </row>
    <row r="1185" spans="1:18" x14ac:dyDescent="0.2">
      <c r="A1185" s="2">
        <v>42622</v>
      </c>
      <c r="B1185" s="1" t="s">
        <v>13</v>
      </c>
      <c r="C1185" s="1" t="s">
        <v>14</v>
      </c>
      <c r="D1185" s="2">
        <v>43469</v>
      </c>
      <c r="E1185" s="2">
        <f t="shared" si="36"/>
        <v>43556</v>
      </c>
      <c r="F1185" s="1" t="s">
        <v>15</v>
      </c>
      <c r="G1185" s="1" t="s">
        <v>18</v>
      </c>
      <c r="H1185" s="1">
        <v>-0.55000000000000004</v>
      </c>
      <c r="I1185" s="1">
        <v>0.15</v>
      </c>
      <c r="J1185" s="1">
        <v>0</v>
      </c>
      <c r="K1185" s="1" t="s">
        <v>40</v>
      </c>
      <c r="L1185" s="1">
        <v>2389</v>
      </c>
      <c r="M1185" s="1">
        <v>0.47</v>
      </c>
      <c r="N1185" s="1">
        <v>0.62312999999999996</v>
      </c>
      <c r="O1185" s="1">
        <f>VLOOKUP(D1185,underlying!$D$2:$H$75,5,FALSE)</f>
        <v>-0.21</v>
      </c>
      <c r="P1185" s="2">
        <f>VLOOKUP(D1185,underlying!$D$2:$L$39,9,FALSE)</f>
        <v>43523</v>
      </c>
      <c r="Q1185" s="7">
        <f>IF(G1185="C",NormalCallSprd(O1185,H1185,M1185,(P1185-A1185)/365), NormalPutSprd(O1185,H1185,M1185,(P1185-A1185)/365))</f>
        <v>0.15528036400596373</v>
      </c>
      <c r="R1185" s="9">
        <f t="shared" si="37"/>
        <v>5.2803640059637391E-3</v>
      </c>
    </row>
    <row r="1186" spans="1:18" x14ac:dyDescent="0.2">
      <c r="A1186" s="2">
        <v>42622</v>
      </c>
      <c r="B1186" s="1" t="s">
        <v>13</v>
      </c>
      <c r="C1186" s="1" t="s">
        <v>14</v>
      </c>
      <c r="D1186" s="2">
        <v>43469</v>
      </c>
      <c r="E1186" s="2">
        <f t="shared" si="36"/>
        <v>43556</v>
      </c>
      <c r="F1186" s="1" t="s">
        <v>15</v>
      </c>
      <c r="G1186" s="1" t="s">
        <v>16</v>
      </c>
      <c r="H1186" s="1">
        <v>-0.5</v>
      </c>
      <c r="I1186" s="1">
        <v>0.45</v>
      </c>
      <c r="J1186" s="1">
        <v>-0.01</v>
      </c>
      <c r="K1186" s="1" t="s">
        <v>40</v>
      </c>
      <c r="L1186" s="1">
        <v>2389</v>
      </c>
      <c r="M1186" s="1">
        <v>0.46</v>
      </c>
      <c r="N1186" s="1">
        <v>0.64919000000000004</v>
      </c>
      <c r="O1186" s="1">
        <f>VLOOKUP(D1186,underlying!$D$2:$H$75,5,FALSE)</f>
        <v>-0.21</v>
      </c>
      <c r="P1186" s="2">
        <f>VLOOKUP(D1186,underlying!$D$2:$L$39,9,FALSE)</f>
        <v>43523</v>
      </c>
      <c r="Q1186" s="7">
        <f>IF(G1186="C",NormalCallSprd(O1186,H1186,M1186,(P1186-A1186)/365), NormalPutSprd(O1186,H1186,M1186,(P1186-A1186)/365))</f>
        <v>0.45623099245155679</v>
      </c>
      <c r="R1186" s="9">
        <f t="shared" si="37"/>
        <v>6.2309924515567827E-3</v>
      </c>
    </row>
    <row r="1187" spans="1:18" x14ac:dyDescent="0.2">
      <c r="A1187" s="2">
        <v>42622</v>
      </c>
      <c r="B1187" s="1" t="s">
        <v>13</v>
      </c>
      <c r="C1187" s="1" t="s">
        <v>14</v>
      </c>
      <c r="D1187" s="2">
        <v>43469</v>
      </c>
      <c r="E1187" s="2">
        <f t="shared" si="36"/>
        <v>43556</v>
      </c>
      <c r="F1187" s="1" t="s">
        <v>15</v>
      </c>
      <c r="G1187" s="1" t="s">
        <v>18</v>
      </c>
      <c r="H1187" s="1">
        <v>-0.5</v>
      </c>
      <c r="I1187" s="1">
        <v>0.16</v>
      </c>
      <c r="J1187" s="1">
        <v>0</v>
      </c>
      <c r="K1187" s="1" t="s">
        <v>40</v>
      </c>
      <c r="L1187" s="1">
        <v>2389</v>
      </c>
      <c r="M1187" s="1">
        <v>0.46</v>
      </c>
      <c r="N1187" s="1">
        <v>0.67245999999999995</v>
      </c>
      <c r="O1187" s="1">
        <f>VLOOKUP(D1187,underlying!$D$2:$H$75,5,FALSE)</f>
        <v>-0.21</v>
      </c>
      <c r="P1187" s="2">
        <f>VLOOKUP(D1187,underlying!$D$2:$L$39,9,FALSE)</f>
        <v>43523</v>
      </c>
      <c r="Q1187" s="7">
        <f>IF(G1187="C",NormalCallSprd(O1187,H1187,M1187,(P1187-A1187)/365), NormalPutSprd(O1187,H1187,M1187,(P1187-A1187)/365))</f>
        <v>0.16623099245155679</v>
      </c>
      <c r="R1187" s="9">
        <f t="shared" si="37"/>
        <v>6.2309924515567827E-3</v>
      </c>
    </row>
    <row r="1188" spans="1:18" x14ac:dyDescent="0.2">
      <c r="A1188" s="2">
        <v>42622</v>
      </c>
      <c r="B1188" s="1" t="s">
        <v>13</v>
      </c>
      <c r="C1188" s="1" t="s">
        <v>14</v>
      </c>
      <c r="D1188" s="2">
        <v>43469</v>
      </c>
      <c r="E1188" s="2">
        <f t="shared" si="36"/>
        <v>43556</v>
      </c>
      <c r="F1188" s="1" t="s">
        <v>15</v>
      </c>
      <c r="G1188" s="1" t="s">
        <v>16</v>
      </c>
      <c r="H1188" s="1">
        <v>-0.45</v>
      </c>
      <c r="I1188" s="1">
        <v>0.42</v>
      </c>
      <c r="J1188" s="1">
        <v>0</v>
      </c>
      <c r="K1188" s="1" t="s">
        <v>40</v>
      </c>
      <c r="L1188" s="1">
        <v>2389</v>
      </c>
      <c r="M1188" s="1">
        <v>0.46</v>
      </c>
      <c r="N1188" s="1">
        <v>0.69640999999999997</v>
      </c>
      <c r="O1188" s="1">
        <f>VLOOKUP(D1188,underlying!$D$2:$H$75,5,FALSE)</f>
        <v>-0.21</v>
      </c>
      <c r="P1188" s="2">
        <f>VLOOKUP(D1188,underlying!$D$2:$L$39,9,FALSE)</f>
        <v>43523</v>
      </c>
      <c r="Q1188" s="7">
        <f>IF(G1188="C",NormalCallSprd(O1188,H1188,M1188,(P1188-A1188)/365), NormalPutSprd(O1188,H1188,M1188,(P1188-A1188)/365))</f>
        <v>0.42407903760573673</v>
      </c>
      <c r="R1188" s="9">
        <f t="shared" si="37"/>
        <v>4.0790376057367461E-3</v>
      </c>
    </row>
    <row r="1189" spans="1:18" x14ac:dyDescent="0.2">
      <c r="A1189" s="2">
        <v>42622</v>
      </c>
      <c r="B1189" s="1" t="s">
        <v>13</v>
      </c>
      <c r="C1189" s="1" t="s">
        <v>14</v>
      </c>
      <c r="D1189" s="2">
        <v>43469</v>
      </c>
      <c r="E1189" s="2">
        <f t="shared" si="36"/>
        <v>43556</v>
      </c>
      <c r="F1189" s="1" t="s">
        <v>15</v>
      </c>
      <c r="G1189" s="1" t="s">
        <v>18</v>
      </c>
      <c r="H1189" s="1">
        <v>-0.45</v>
      </c>
      <c r="I1189" s="1">
        <v>0.18</v>
      </c>
      <c r="J1189" s="1">
        <v>0</v>
      </c>
      <c r="K1189" s="1" t="s">
        <v>40</v>
      </c>
      <c r="L1189" s="1">
        <v>2389</v>
      </c>
      <c r="M1189" s="1">
        <v>0.46</v>
      </c>
      <c r="N1189" s="1">
        <v>0.71714</v>
      </c>
      <c r="O1189" s="1">
        <f>VLOOKUP(D1189,underlying!$D$2:$H$75,5,FALSE)</f>
        <v>-0.21</v>
      </c>
      <c r="P1189" s="2">
        <f>VLOOKUP(D1189,underlying!$D$2:$L$39,9,FALSE)</f>
        <v>43523</v>
      </c>
      <c r="Q1189" s="7">
        <f>IF(G1189="C",NormalCallSprd(O1189,H1189,M1189,(P1189-A1189)/365), NormalPutSprd(O1189,H1189,M1189,(P1189-A1189)/365))</f>
        <v>0.18407903760573671</v>
      </c>
      <c r="R1189" s="9">
        <f t="shared" si="37"/>
        <v>4.0790376057367184E-3</v>
      </c>
    </row>
    <row r="1190" spans="1:18" x14ac:dyDescent="0.2">
      <c r="A1190" s="2">
        <v>42622</v>
      </c>
      <c r="B1190" s="1" t="s">
        <v>13</v>
      </c>
      <c r="C1190" s="1" t="s">
        <v>14</v>
      </c>
      <c r="D1190" s="2">
        <v>43469</v>
      </c>
      <c r="E1190" s="2">
        <f t="shared" si="36"/>
        <v>43556</v>
      </c>
      <c r="F1190" s="1" t="s">
        <v>15</v>
      </c>
      <c r="G1190" s="1" t="s">
        <v>16</v>
      </c>
      <c r="H1190" s="1">
        <v>-0.4</v>
      </c>
      <c r="I1190" s="1">
        <v>0.38</v>
      </c>
      <c r="J1190" s="1">
        <v>-0.01</v>
      </c>
      <c r="K1190" s="1" t="s">
        <v>40</v>
      </c>
      <c r="L1190" s="1">
        <v>2389</v>
      </c>
      <c r="M1190" s="1">
        <v>0.45</v>
      </c>
      <c r="N1190" s="1">
        <v>0.73580999999999996</v>
      </c>
      <c r="O1190" s="1">
        <f>VLOOKUP(D1190,underlying!$D$2:$H$75,5,FALSE)</f>
        <v>-0.21</v>
      </c>
      <c r="P1190" s="2">
        <f>VLOOKUP(D1190,underlying!$D$2:$L$39,9,FALSE)</f>
        <v>43523</v>
      </c>
      <c r="Q1190" s="7">
        <f>IF(G1190="C",NormalCallSprd(O1190,H1190,M1190,(P1190-A1190)/365), NormalPutSprd(O1190,H1190,M1190,(P1190-A1190)/365))</f>
        <v>0.38718217036818792</v>
      </c>
      <c r="R1190" s="9">
        <f t="shared" si="37"/>
        <v>7.1821703681879123E-3</v>
      </c>
    </row>
    <row r="1191" spans="1:18" x14ac:dyDescent="0.2">
      <c r="A1191" s="2">
        <v>42622</v>
      </c>
      <c r="B1191" s="1" t="s">
        <v>13</v>
      </c>
      <c r="C1191" s="1" t="s">
        <v>14</v>
      </c>
      <c r="D1191" s="2">
        <v>43469</v>
      </c>
      <c r="E1191" s="2">
        <f t="shared" si="36"/>
        <v>43556</v>
      </c>
      <c r="F1191" s="1" t="s">
        <v>15</v>
      </c>
      <c r="G1191" s="1" t="s">
        <v>18</v>
      </c>
      <c r="H1191" s="1">
        <v>-0.4</v>
      </c>
      <c r="I1191" s="1">
        <v>0.19</v>
      </c>
      <c r="J1191" s="1">
        <v>0</v>
      </c>
      <c r="K1191" s="1" t="s">
        <v>40</v>
      </c>
      <c r="L1191" s="1">
        <v>2389</v>
      </c>
      <c r="M1191" s="1">
        <v>0.45</v>
      </c>
      <c r="N1191" s="1">
        <v>0.75316000000000005</v>
      </c>
      <c r="O1191" s="1">
        <f>VLOOKUP(D1191,underlying!$D$2:$H$75,5,FALSE)</f>
        <v>-0.21</v>
      </c>
      <c r="P1191" s="2">
        <f>VLOOKUP(D1191,underlying!$D$2:$L$39,9,FALSE)</f>
        <v>43523</v>
      </c>
      <c r="Q1191" s="7">
        <f>IF(G1191="C",NormalCallSprd(O1191,H1191,M1191,(P1191-A1191)/365), NormalPutSprd(O1191,H1191,M1191,(P1191-A1191)/365))</f>
        <v>0.19718217036818789</v>
      </c>
      <c r="R1191" s="9">
        <f t="shared" si="37"/>
        <v>7.1821703681878846E-3</v>
      </c>
    </row>
    <row r="1192" spans="1:18" x14ac:dyDescent="0.2">
      <c r="A1192" s="2">
        <v>42622</v>
      </c>
      <c r="B1192" s="1" t="s">
        <v>13</v>
      </c>
      <c r="C1192" s="1" t="s">
        <v>14</v>
      </c>
      <c r="D1192" s="2">
        <v>43469</v>
      </c>
      <c r="E1192" s="2">
        <f t="shared" si="36"/>
        <v>43556</v>
      </c>
      <c r="F1192" s="1" t="s">
        <v>15</v>
      </c>
      <c r="G1192" s="1" t="s">
        <v>16</v>
      </c>
      <c r="H1192" s="1">
        <v>-0.35</v>
      </c>
      <c r="I1192" s="1">
        <v>0.34</v>
      </c>
      <c r="J1192" s="1">
        <v>-0.01</v>
      </c>
      <c r="K1192" s="1" t="s">
        <v>40</v>
      </c>
      <c r="L1192" s="1">
        <v>2389</v>
      </c>
      <c r="M1192" s="1">
        <v>0.44</v>
      </c>
      <c r="N1192" s="1">
        <v>0.83757000000000004</v>
      </c>
      <c r="O1192" s="1">
        <f>VLOOKUP(D1192,underlying!$D$2:$H$75,5,FALSE)</f>
        <v>-0.21</v>
      </c>
      <c r="P1192" s="2">
        <f>VLOOKUP(D1192,underlying!$D$2:$L$39,9,FALSE)</f>
        <v>43523</v>
      </c>
      <c r="Q1192" s="7">
        <f>IF(G1192="C",NormalCallSprd(O1192,H1192,M1192,(P1192-A1192)/365), NormalPutSprd(O1192,H1192,M1192,(P1192-A1192)/365))</f>
        <v>0.35142632565475007</v>
      </c>
      <c r="R1192" s="9">
        <f t="shared" si="37"/>
        <v>1.1426325654750047E-2</v>
      </c>
    </row>
    <row r="1193" spans="1:18" x14ac:dyDescent="0.2">
      <c r="A1193" s="2">
        <v>42622</v>
      </c>
      <c r="B1193" s="1" t="s">
        <v>13</v>
      </c>
      <c r="C1193" s="1" t="s">
        <v>14</v>
      </c>
      <c r="D1193" s="2">
        <v>43469</v>
      </c>
      <c r="E1193" s="2">
        <f t="shared" si="36"/>
        <v>43556</v>
      </c>
      <c r="F1193" s="1" t="s">
        <v>15</v>
      </c>
      <c r="G1193" s="1" t="s">
        <v>18</v>
      </c>
      <c r="H1193" s="1">
        <v>-0.35</v>
      </c>
      <c r="I1193" s="1">
        <v>0.21</v>
      </c>
      <c r="J1193" s="1">
        <v>0</v>
      </c>
      <c r="K1193" s="1" t="s">
        <v>40</v>
      </c>
      <c r="L1193" s="1">
        <v>2389</v>
      </c>
      <c r="M1193" s="1">
        <v>0.44</v>
      </c>
      <c r="N1193" s="1">
        <v>0.98895999999999995</v>
      </c>
      <c r="O1193" s="1">
        <f>VLOOKUP(D1193,underlying!$D$2:$H$75,5,FALSE)</f>
        <v>-0.21</v>
      </c>
      <c r="P1193" s="2">
        <f>VLOOKUP(D1193,underlying!$D$2:$L$39,9,FALSE)</f>
        <v>43523</v>
      </c>
      <c r="Q1193" s="7">
        <f>IF(G1193="C",NormalCallSprd(O1193,H1193,M1193,(P1193-A1193)/365), NormalPutSprd(O1193,H1193,M1193,(P1193-A1193)/365))</f>
        <v>0.21142632565475009</v>
      </c>
      <c r="R1193" s="9">
        <f t="shared" si="37"/>
        <v>1.4263256547500935E-3</v>
      </c>
    </row>
    <row r="1194" spans="1:18" x14ac:dyDescent="0.2">
      <c r="A1194" s="2">
        <v>42622</v>
      </c>
      <c r="B1194" s="1" t="s">
        <v>13</v>
      </c>
      <c r="C1194" s="1" t="s">
        <v>14</v>
      </c>
      <c r="D1194" s="2">
        <v>43469</v>
      </c>
      <c r="E1194" s="2">
        <f t="shared" si="36"/>
        <v>43556</v>
      </c>
      <c r="F1194" s="1" t="s">
        <v>15</v>
      </c>
      <c r="G1194" s="1" t="s">
        <v>16</v>
      </c>
      <c r="H1194" s="1">
        <v>-0.3</v>
      </c>
      <c r="I1194" s="1">
        <v>0.31</v>
      </c>
      <c r="J1194" s="1">
        <v>-0.01</v>
      </c>
      <c r="K1194" s="1" t="s">
        <v>40</v>
      </c>
      <c r="L1194" s="1">
        <v>2389</v>
      </c>
      <c r="M1194" s="1">
        <v>0.43</v>
      </c>
      <c r="N1194" s="1">
        <v>0.95099999999999996</v>
      </c>
      <c r="O1194" s="1">
        <f>VLOOKUP(D1194,underlying!$D$2:$H$75,5,FALSE)</f>
        <v>-0.21</v>
      </c>
      <c r="P1194" s="2">
        <f>VLOOKUP(D1194,underlying!$D$2:$L$39,9,FALSE)</f>
        <v>43523</v>
      </c>
      <c r="Q1194" s="7">
        <f>IF(G1194="C",NormalCallSprd(O1194,H1194,M1194,(P1194-A1194)/365), NormalPutSprd(O1194,H1194,M1194,(P1194-A1194)/365))</f>
        <v>0.31691018988391956</v>
      </c>
      <c r="R1194" s="9">
        <f t="shared" si="37"/>
        <v>6.9101898839195597E-3</v>
      </c>
    </row>
    <row r="1195" spans="1:18" x14ac:dyDescent="0.2">
      <c r="A1195" s="2">
        <v>42622</v>
      </c>
      <c r="B1195" s="1" t="s">
        <v>13</v>
      </c>
      <c r="C1195" s="1" t="s">
        <v>14</v>
      </c>
      <c r="D1195" s="2">
        <v>43469</v>
      </c>
      <c r="E1195" s="2">
        <f t="shared" si="36"/>
        <v>43556</v>
      </c>
      <c r="F1195" s="1" t="s">
        <v>15</v>
      </c>
      <c r="G1195" s="1" t="s">
        <v>18</v>
      </c>
      <c r="H1195" s="1">
        <v>-0.3</v>
      </c>
      <c r="I1195" s="1">
        <v>0.22</v>
      </c>
      <c r="J1195" s="1">
        <v>0</v>
      </c>
      <c r="K1195" s="1" t="s">
        <v>40</v>
      </c>
      <c r="L1195" s="1">
        <v>2389</v>
      </c>
      <c r="M1195" s="1">
        <v>0.43</v>
      </c>
      <c r="N1195" s="1">
        <v>0.97462000000000004</v>
      </c>
      <c r="O1195" s="1">
        <f>VLOOKUP(D1195,underlying!$D$2:$H$75,5,FALSE)</f>
        <v>-0.21</v>
      </c>
      <c r="P1195" s="2">
        <f>VLOOKUP(D1195,underlying!$D$2:$L$39,9,FALSE)</f>
        <v>43523</v>
      </c>
      <c r="Q1195" s="7">
        <f>IF(G1195="C",NormalCallSprd(O1195,H1195,M1195,(P1195-A1195)/365), NormalPutSprd(O1195,H1195,M1195,(P1195-A1195)/365))</f>
        <v>0.22691018988391959</v>
      </c>
      <c r="R1195" s="9">
        <f t="shared" si="37"/>
        <v>6.9101898839195874E-3</v>
      </c>
    </row>
    <row r="1196" spans="1:18" x14ac:dyDescent="0.2">
      <c r="A1196" s="2">
        <v>42622</v>
      </c>
      <c r="B1196" s="1" t="s">
        <v>13</v>
      </c>
      <c r="C1196" s="1" t="s">
        <v>14</v>
      </c>
      <c r="D1196" s="2">
        <v>43469</v>
      </c>
      <c r="E1196" s="2">
        <f t="shared" si="36"/>
        <v>43556</v>
      </c>
      <c r="F1196" s="1" t="s">
        <v>15</v>
      </c>
      <c r="G1196" s="1" t="s">
        <v>16</v>
      </c>
      <c r="H1196" s="1">
        <v>-0.25</v>
      </c>
      <c r="I1196" s="1">
        <v>0.28999999999999998</v>
      </c>
      <c r="J1196" s="1">
        <v>0</v>
      </c>
      <c r="K1196" s="1" t="s">
        <v>40</v>
      </c>
      <c r="L1196" s="1">
        <v>2389</v>
      </c>
      <c r="M1196" s="1">
        <v>0.43</v>
      </c>
      <c r="N1196" s="1">
        <v>-0.56486999999999998</v>
      </c>
      <c r="O1196" s="1">
        <f>VLOOKUP(D1196,underlying!$D$2:$H$75,5,FALSE)</f>
        <v>-0.21</v>
      </c>
      <c r="P1196" s="2">
        <f>VLOOKUP(D1196,underlying!$D$2:$L$39,9,FALSE)</f>
        <v>43523</v>
      </c>
      <c r="Q1196" s="7">
        <f>IF(G1196="C",NormalCallSprd(O1196,H1196,M1196,(P1196-A1196)/365), NormalPutSprd(O1196,H1196,M1196,(P1196-A1196)/365))</f>
        <v>0.28999443211785764</v>
      </c>
      <c r="R1196" s="9">
        <f t="shared" si="37"/>
        <v>5.5678821423432723E-6</v>
      </c>
    </row>
    <row r="1197" spans="1:18" x14ac:dyDescent="0.2">
      <c r="A1197" s="2">
        <v>42622</v>
      </c>
      <c r="B1197" s="1" t="s">
        <v>13</v>
      </c>
      <c r="C1197" s="1" t="s">
        <v>14</v>
      </c>
      <c r="D1197" s="2">
        <v>43469</v>
      </c>
      <c r="E1197" s="2">
        <f t="shared" si="36"/>
        <v>43556</v>
      </c>
      <c r="F1197" s="1" t="s">
        <v>15</v>
      </c>
      <c r="G1197" s="1" t="s">
        <v>18</v>
      </c>
      <c r="H1197" s="1">
        <v>-0.25</v>
      </c>
      <c r="I1197" s="1">
        <v>0.25</v>
      </c>
      <c r="J1197" s="1">
        <v>0.01</v>
      </c>
      <c r="K1197" s="1" t="s">
        <v>40</v>
      </c>
      <c r="L1197" s="1">
        <v>2389</v>
      </c>
      <c r="M1197" s="1">
        <v>0.43</v>
      </c>
      <c r="N1197" s="1">
        <v>-0.53569</v>
      </c>
      <c r="O1197" s="1">
        <f>VLOOKUP(D1197,underlying!$D$2:$H$75,5,FALSE)</f>
        <v>-0.21</v>
      </c>
      <c r="P1197" s="2">
        <f>VLOOKUP(D1197,underlying!$D$2:$L$39,9,FALSE)</f>
        <v>43523</v>
      </c>
      <c r="Q1197" s="7">
        <f>IF(G1197="C",NormalCallSprd(O1197,H1197,M1197,(P1197-A1197)/365), NormalPutSprd(O1197,H1197,M1197,(P1197-A1197)/365))</f>
        <v>0.24999443211785763</v>
      </c>
      <c r="R1197" s="9">
        <f t="shared" si="37"/>
        <v>5.5678821423710279E-6</v>
      </c>
    </row>
    <row r="1198" spans="1:18" x14ac:dyDescent="0.2">
      <c r="A1198" s="2">
        <v>42622</v>
      </c>
      <c r="B1198" s="1" t="s">
        <v>13</v>
      </c>
      <c r="C1198" s="1" t="s">
        <v>14</v>
      </c>
      <c r="D1198" s="2">
        <v>43469</v>
      </c>
      <c r="E1198" s="2">
        <f t="shared" si="36"/>
        <v>43556</v>
      </c>
      <c r="F1198" s="1" t="s">
        <v>15</v>
      </c>
      <c r="G1198" s="1" t="s">
        <v>16</v>
      </c>
      <c r="H1198" s="1">
        <v>-0.2</v>
      </c>
      <c r="I1198" s="1">
        <v>0.26</v>
      </c>
      <c r="J1198" s="1">
        <v>-0.01</v>
      </c>
      <c r="K1198" s="1" t="s">
        <v>40</v>
      </c>
      <c r="L1198" s="1">
        <v>2389</v>
      </c>
      <c r="M1198" s="1">
        <v>0.43</v>
      </c>
      <c r="N1198" s="1">
        <v>-0.50627</v>
      </c>
      <c r="O1198" s="1">
        <f>VLOOKUP(D1198,underlying!$D$2:$H$75,5,FALSE)</f>
        <v>-0.21</v>
      </c>
      <c r="P1198" s="2">
        <f>VLOOKUP(D1198,underlying!$D$2:$L$39,9,FALSE)</f>
        <v>43523</v>
      </c>
      <c r="Q1198" s="7">
        <f>IF(G1198="C",NormalCallSprd(O1198,H1198,M1198,(P1198-A1198)/365), NormalPutSprd(O1198,H1198,M1198,(P1198-A1198)/365))</f>
        <v>0.26455168867390977</v>
      </c>
      <c r="R1198" s="9">
        <f t="shared" si="37"/>
        <v>4.5516886739097595E-3</v>
      </c>
    </row>
    <row r="1199" spans="1:18" x14ac:dyDescent="0.2">
      <c r="A1199" s="2">
        <v>42622</v>
      </c>
      <c r="B1199" s="1" t="s">
        <v>13</v>
      </c>
      <c r="C1199" s="1" t="s">
        <v>14</v>
      </c>
      <c r="D1199" s="2">
        <v>43469</v>
      </c>
      <c r="E1199" s="2">
        <f t="shared" si="36"/>
        <v>43556</v>
      </c>
      <c r="F1199" s="1" t="s">
        <v>15</v>
      </c>
      <c r="G1199" s="1" t="s">
        <v>18</v>
      </c>
      <c r="H1199" s="1">
        <v>-0.2</v>
      </c>
      <c r="I1199" s="1">
        <v>0.27</v>
      </c>
      <c r="J1199" s="1">
        <v>0</v>
      </c>
      <c r="K1199" s="1" t="s">
        <v>40</v>
      </c>
      <c r="L1199" s="1">
        <v>2389</v>
      </c>
      <c r="M1199" s="1">
        <v>0.43</v>
      </c>
      <c r="N1199" s="1">
        <v>-0.47678999999999999</v>
      </c>
      <c r="O1199" s="1">
        <f>VLOOKUP(D1199,underlying!$D$2:$H$75,5,FALSE)</f>
        <v>-0.21</v>
      </c>
      <c r="P1199" s="2">
        <f>VLOOKUP(D1199,underlying!$D$2:$L$39,9,FALSE)</f>
        <v>43523</v>
      </c>
      <c r="Q1199" s="7">
        <f>IF(G1199="C",NormalCallSprd(O1199,H1199,M1199,(P1199-A1199)/365), NormalPutSprd(O1199,H1199,M1199,(P1199-A1199)/365))</f>
        <v>0.27455168867390972</v>
      </c>
      <c r="R1199" s="9">
        <f t="shared" si="37"/>
        <v>4.551688673909704E-3</v>
      </c>
    </row>
    <row r="1200" spans="1:18" x14ac:dyDescent="0.2">
      <c r="A1200" s="2">
        <v>42622</v>
      </c>
      <c r="B1200" s="1" t="s">
        <v>13</v>
      </c>
      <c r="C1200" s="1" t="s">
        <v>14</v>
      </c>
      <c r="D1200" s="2">
        <v>43469</v>
      </c>
      <c r="E1200" s="2">
        <f t="shared" si="36"/>
        <v>43556</v>
      </c>
      <c r="F1200" s="1" t="s">
        <v>15</v>
      </c>
      <c r="G1200" s="1" t="s">
        <v>16</v>
      </c>
      <c r="H1200" s="1">
        <v>-0.15</v>
      </c>
      <c r="I1200" s="1">
        <v>0.24</v>
      </c>
      <c r="J1200" s="1">
        <v>0</v>
      </c>
      <c r="K1200" s="1" t="s">
        <v>40</v>
      </c>
      <c r="L1200" s="1">
        <v>2389</v>
      </c>
      <c r="M1200" s="1">
        <v>0.43</v>
      </c>
      <c r="N1200" s="1">
        <v>-0.44740999999999997</v>
      </c>
      <c r="O1200" s="1">
        <f>VLOOKUP(D1200,underlying!$D$2:$H$75,5,FALSE)</f>
        <v>-0.21</v>
      </c>
      <c r="P1200" s="2">
        <f>VLOOKUP(D1200,underlying!$D$2:$L$39,9,FALSE)</f>
        <v>43523</v>
      </c>
      <c r="Q1200" s="7">
        <f>IF(G1200="C",NormalCallSprd(O1200,H1200,M1200,(P1200-A1200)/365), NormalPutSprd(O1200,H1200,M1200,(P1200-A1200)/365))</f>
        <v>0.24058437979826247</v>
      </c>
      <c r="R1200" s="9">
        <f t="shared" si="37"/>
        <v>5.8437979826247988E-4</v>
      </c>
    </row>
    <row r="1201" spans="1:18" x14ac:dyDescent="0.2">
      <c r="A1201" s="2">
        <v>42622</v>
      </c>
      <c r="B1201" s="1" t="s">
        <v>13</v>
      </c>
      <c r="C1201" s="1" t="s">
        <v>14</v>
      </c>
      <c r="D1201" s="2">
        <v>43469</v>
      </c>
      <c r="E1201" s="2">
        <f t="shared" si="36"/>
        <v>43556</v>
      </c>
      <c r="F1201" s="1" t="s">
        <v>15</v>
      </c>
      <c r="G1201" s="1" t="s">
        <v>18</v>
      </c>
      <c r="H1201" s="1">
        <v>-0.15</v>
      </c>
      <c r="I1201" s="1">
        <v>0.3</v>
      </c>
      <c r="J1201" s="1">
        <v>0.01</v>
      </c>
      <c r="K1201" s="1" t="s">
        <v>40</v>
      </c>
      <c r="L1201" s="1">
        <v>2389</v>
      </c>
      <c r="M1201" s="1">
        <v>0.43</v>
      </c>
      <c r="N1201" s="1">
        <v>-0.41944999999999999</v>
      </c>
      <c r="O1201" s="1">
        <f>VLOOKUP(D1201,underlying!$D$2:$H$75,5,FALSE)</f>
        <v>-0.21</v>
      </c>
      <c r="P1201" s="2">
        <f>VLOOKUP(D1201,underlying!$D$2:$L$39,9,FALSE)</f>
        <v>43523</v>
      </c>
      <c r="Q1201" s="7">
        <f>IF(G1201="C",NormalCallSprd(O1201,H1201,M1201,(P1201-A1201)/365), NormalPutSprd(O1201,H1201,M1201,(P1201-A1201)/365))</f>
        <v>0.30058437979826247</v>
      </c>
      <c r="R1201" s="9">
        <f t="shared" si="37"/>
        <v>5.8437979826247988E-4</v>
      </c>
    </row>
    <row r="1202" spans="1:18" x14ac:dyDescent="0.2">
      <c r="A1202" s="2">
        <v>42622</v>
      </c>
      <c r="B1202" s="1" t="s">
        <v>13</v>
      </c>
      <c r="C1202" s="1" t="s">
        <v>14</v>
      </c>
      <c r="D1202" s="2">
        <v>43469</v>
      </c>
      <c r="E1202" s="2">
        <f t="shared" si="36"/>
        <v>43556</v>
      </c>
      <c r="F1202" s="1" t="s">
        <v>15</v>
      </c>
      <c r="G1202" s="1" t="s">
        <v>16</v>
      </c>
      <c r="H1202" s="1">
        <v>-0.1</v>
      </c>
      <c r="I1202" s="1">
        <v>0.21</v>
      </c>
      <c r="J1202" s="1">
        <v>-0.01</v>
      </c>
      <c r="K1202" s="1" t="s">
        <v>40</v>
      </c>
      <c r="L1202" s="1">
        <v>2389</v>
      </c>
      <c r="M1202" s="1">
        <v>0.43</v>
      </c>
      <c r="N1202" s="1">
        <v>-0.39156000000000002</v>
      </c>
      <c r="O1202" s="1">
        <f>VLOOKUP(D1202,underlying!$D$2:$H$75,5,FALSE)</f>
        <v>-0.21</v>
      </c>
      <c r="P1202" s="2">
        <f>VLOOKUP(D1202,underlying!$D$2:$L$39,9,FALSE)</f>
        <v>43523</v>
      </c>
      <c r="Q1202" s="7">
        <f>IF(G1202="C",NormalCallSprd(O1202,H1202,M1202,(P1202-A1202)/365), NormalPutSprd(O1202,H1202,M1202,(P1202-A1202)/365))</f>
        <v>0.21808686442436534</v>
      </c>
      <c r="R1202" s="9">
        <f t="shared" si="37"/>
        <v>8.0868644243653476E-3</v>
      </c>
    </row>
    <row r="1203" spans="1:18" x14ac:dyDescent="0.2">
      <c r="A1203" s="2">
        <v>42622</v>
      </c>
      <c r="B1203" s="1" t="s">
        <v>13</v>
      </c>
      <c r="C1203" s="1" t="s">
        <v>14</v>
      </c>
      <c r="D1203" s="2">
        <v>43469</v>
      </c>
      <c r="E1203" s="2">
        <f t="shared" si="36"/>
        <v>43556</v>
      </c>
      <c r="F1203" s="1" t="s">
        <v>15</v>
      </c>
      <c r="G1203" s="1" t="s">
        <v>18</v>
      </c>
      <c r="H1203" s="1">
        <v>-0.1</v>
      </c>
      <c r="I1203" s="1">
        <v>0.32</v>
      </c>
      <c r="J1203" s="1">
        <v>0</v>
      </c>
      <c r="K1203" s="1" t="s">
        <v>40</v>
      </c>
      <c r="L1203" s="1">
        <v>2389</v>
      </c>
      <c r="M1203" s="1">
        <v>0.43</v>
      </c>
      <c r="N1203" s="1">
        <v>-0.36581999999999998</v>
      </c>
      <c r="O1203" s="1">
        <f>VLOOKUP(D1203,underlying!$D$2:$H$75,5,FALSE)</f>
        <v>-0.21</v>
      </c>
      <c r="P1203" s="2">
        <f>VLOOKUP(D1203,underlying!$D$2:$L$39,9,FALSE)</f>
        <v>43523</v>
      </c>
      <c r="Q1203" s="7">
        <f>IF(G1203="C",NormalCallSprd(O1203,H1203,M1203,(P1203-A1203)/365), NormalPutSprd(O1203,H1203,M1203,(P1203-A1203)/365))</f>
        <v>0.3280868644243653</v>
      </c>
      <c r="R1203" s="9">
        <f t="shared" si="37"/>
        <v>8.0868644243652921E-3</v>
      </c>
    </row>
    <row r="1204" spans="1:18" x14ac:dyDescent="0.2">
      <c r="A1204" s="2">
        <v>42622</v>
      </c>
      <c r="B1204" s="1" t="s">
        <v>13</v>
      </c>
      <c r="C1204" s="1" t="s">
        <v>14</v>
      </c>
      <c r="D1204" s="2">
        <v>43469</v>
      </c>
      <c r="E1204" s="2">
        <f t="shared" si="36"/>
        <v>43556</v>
      </c>
      <c r="F1204" s="1" t="s">
        <v>15</v>
      </c>
      <c r="G1204" s="1" t="s">
        <v>16</v>
      </c>
      <c r="H1204" s="1">
        <v>-0.05</v>
      </c>
      <c r="I1204" s="1">
        <v>0.19</v>
      </c>
      <c r="J1204" s="1">
        <v>-0.01</v>
      </c>
      <c r="K1204" s="1" t="s">
        <v>40</v>
      </c>
      <c r="L1204" s="1">
        <v>2389</v>
      </c>
      <c r="M1204" s="1">
        <v>0.43</v>
      </c>
      <c r="N1204" s="1">
        <v>-0.33977000000000002</v>
      </c>
      <c r="O1204" s="1">
        <f>VLOOKUP(D1204,underlying!$D$2:$H$75,5,FALSE)</f>
        <v>-0.21</v>
      </c>
      <c r="P1204" s="2">
        <f>VLOOKUP(D1204,underlying!$D$2:$L$39,9,FALSE)</f>
        <v>43523</v>
      </c>
      <c r="Q1204" s="7">
        <f>IF(G1204="C",NormalCallSprd(O1204,H1204,M1204,(P1204-A1204)/365), NormalPutSprd(O1204,H1204,M1204,(P1204-A1204)/365))</f>
        <v>0.19704553244752143</v>
      </c>
      <c r="R1204" s="9">
        <f t="shared" si="37"/>
        <v>7.0455324475214298E-3</v>
      </c>
    </row>
    <row r="1205" spans="1:18" x14ac:dyDescent="0.2">
      <c r="A1205" s="2">
        <v>42622</v>
      </c>
      <c r="B1205" s="1" t="s">
        <v>13</v>
      </c>
      <c r="C1205" s="1" t="s">
        <v>14</v>
      </c>
      <c r="D1205" s="2">
        <v>43469</v>
      </c>
      <c r="E1205" s="2">
        <f t="shared" si="36"/>
        <v>43556</v>
      </c>
      <c r="F1205" s="1" t="s">
        <v>15</v>
      </c>
      <c r="G1205" s="1" t="s">
        <v>18</v>
      </c>
      <c r="H1205" s="1">
        <v>-0.05</v>
      </c>
      <c r="I1205" s="1">
        <v>0.35</v>
      </c>
      <c r="J1205" s="1">
        <v>0</v>
      </c>
      <c r="K1205" s="1" t="s">
        <v>40</v>
      </c>
      <c r="L1205" s="1">
        <v>2389</v>
      </c>
      <c r="M1205" s="1">
        <v>0.43</v>
      </c>
      <c r="N1205" s="1">
        <v>-0.31648999999999999</v>
      </c>
      <c r="O1205" s="1">
        <f>VLOOKUP(D1205,underlying!$D$2:$H$75,5,FALSE)</f>
        <v>-0.21</v>
      </c>
      <c r="P1205" s="2">
        <f>VLOOKUP(D1205,underlying!$D$2:$L$39,9,FALSE)</f>
        <v>43523</v>
      </c>
      <c r="Q1205" s="7">
        <f>IF(G1205="C",NormalCallSprd(O1205,H1205,M1205,(P1205-A1205)/365), NormalPutSprd(O1205,H1205,M1205,(P1205-A1205)/365))</f>
        <v>0.35704553244752141</v>
      </c>
      <c r="R1205" s="9">
        <f t="shared" si="37"/>
        <v>7.0455324475214298E-3</v>
      </c>
    </row>
    <row r="1206" spans="1:18" x14ac:dyDescent="0.2">
      <c r="A1206" s="2">
        <v>42622</v>
      </c>
      <c r="B1206" s="1" t="s">
        <v>13</v>
      </c>
      <c r="C1206" s="1" t="s">
        <v>14</v>
      </c>
      <c r="D1206" s="2">
        <v>43470</v>
      </c>
      <c r="E1206" s="2">
        <f t="shared" si="36"/>
        <v>43586</v>
      </c>
      <c r="F1206" s="1" t="s">
        <v>15</v>
      </c>
      <c r="G1206" s="1" t="s">
        <v>16</v>
      </c>
      <c r="H1206" s="1">
        <v>-3</v>
      </c>
      <c r="I1206" s="1">
        <v>2.75</v>
      </c>
      <c r="J1206" s="1">
        <v>-0.01</v>
      </c>
      <c r="K1206" s="1" t="s">
        <v>43</v>
      </c>
      <c r="L1206" s="1">
        <v>2389</v>
      </c>
      <c r="M1206" s="1">
        <v>0.8</v>
      </c>
      <c r="N1206" s="1">
        <v>-0.29254999999999998</v>
      </c>
      <c r="O1206" s="1">
        <f>VLOOKUP(D1206,underlying!$D$2:$H$75,5,FALSE)</f>
        <v>-0.21</v>
      </c>
      <c r="P1206" s="2">
        <f>VLOOKUP(D1206,underlying!$D$2:$L$39,9,FALSE)</f>
        <v>43552</v>
      </c>
      <c r="Q1206" s="7">
        <f>IF(G1206="C",NormalCallSprd(O1206,H1206,M1206,(P1206-A1206)/365), NormalPutSprd(O1206,H1206,M1206,(P1206-A1206)/365))</f>
        <v>2.7965150898819982</v>
      </c>
      <c r="R1206" s="9">
        <f t="shared" si="37"/>
        <v>4.6515089881998151E-2</v>
      </c>
    </row>
    <row r="1207" spans="1:18" x14ac:dyDescent="0.2">
      <c r="A1207" s="2">
        <v>42622</v>
      </c>
      <c r="B1207" s="1" t="s">
        <v>13</v>
      </c>
      <c r="C1207" s="1" t="s">
        <v>14</v>
      </c>
      <c r="D1207" s="2">
        <v>43470</v>
      </c>
      <c r="E1207" s="2">
        <f t="shared" si="36"/>
        <v>43586</v>
      </c>
      <c r="F1207" s="1" t="s">
        <v>15</v>
      </c>
      <c r="G1207" s="1" t="s">
        <v>18</v>
      </c>
      <c r="H1207" s="1">
        <v>-3</v>
      </c>
      <c r="I1207" s="1">
        <v>0.01</v>
      </c>
      <c r="J1207" s="1">
        <v>0</v>
      </c>
      <c r="K1207" s="1" t="s">
        <v>43</v>
      </c>
      <c r="L1207" s="1">
        <v>2389</v>
      </c>
      <c r="M1207" s="1">
        <v>0.8</v>
      </c>
      <c r="N1207" s="1">
        <v>-0.27181</v>
      </c>
      <c r="O1207" s="1">
        <f>VLOOKUP(D1207,underlying!$D$2:$H$75,5,FALSE)</f>
        <v>-0.21</v>
      </c>
      <c r="P1207" s="2">
        <f>VLOOKUP(D1207,underlying!$D$2:$L$39,9,FALSE)</f>
        <v>43552</v>
      </c>
      <c r="Q1207" s="7">
        <f>IF(G1207="C",NormalCallSprd(O1207,H1207,M1207,(P1207-A1207)/365), NormalPutSprd(O1207,H1207,M1207,(P1207-A1207)/365))</f>
        <v>6.5150898819979399E-3</v>
      </c>
      <c r="R1207" s="9">
        <f t="shared" si="37"/>
        <v>3.4849101180020603E-3</v>
      </c>
    </row>
    <row r="1208" spans="1:18" x14ac:dyDescent="0.2">
      <c r="A1208" s="2">
        <v>42622</v>
      </c>
      <c r="B1208" s="1" t="s">
        <v>13</v>
      </c>
      <c r="C1208" s="1" t="s">
        <v>14</v>
      </c>
      <c r="D1208" s="2">
        <v>43470</v>
      </c>
      <c r="E1208" s="2">
        <f t="shared" si="36"/>
        <v>43586</v>
      </c>
      <c r="F1208" s="1" t="s">
        <v>15</v>
      </c>
      <c r="G1208" s="1" t="s">
        <v>16</v>
      </c>
      <c r="H1208" s="1">
        <v>-2</v>
      </c>
      <c r="I1208" s="1">
        <v>1.78</v>
      </c>
      <c r="J1208" s="1">
        <v>-0.01</v>
      </c>
      <c r="K1208" s="1" t="s">
        <v>43</v>
      </c>
      <c r="L1208" s="1">
        <v>2389</v>
      </c>
      <c r="M1208" s="1">
        <v>0.69</v>
      </c>
      <c r="N1208" s="1">
        <v>-0.25314999999999999</v>
      </c>
      <c r="O1208" s="1">
        <f>VLOOKUP(D1208,underlying!$D$2:$H$75,5,FALSE)</f>
        <v>-0.21</v>
      </c>
      <c r="P1208" s="2">
        <f>VLOOKUP(D1208,underlying!$D$2:$L$39,9,FALSE)</f>
        <v>43552</v>
      </c>
      <c r="Q1208" s="7">
        <f>IF(G1208="C",NormalCallSprd(O1208,H1208,M1208,(P1208-A1208)/365), NormalPutSprd(O1208,H1208,M1208,(P1208-A1208)/365))</f>
        <v>1.8141155070954298</v>
      </c>
      <c r="R1208" s="9">
        <f t="shared" si="37"/>
        <v>3.4115507095429765E-2</v>
      </c>
    </row>
    <row r="1209" spans="1:18" x14ac:dyDescent="0.2">
      <c r="A1209" s="2">
        <v>42622</v>
      </c>
      <c r="B1209" s="1" t="s">
        <v>13</v>
      </c>
      <c r="C1209" s="1" t="s">
        <v>14</v>
      </c>
      <c r="D1209" s="2">
        <v>43470</v>
      </c>
      <c r="E1209" s="2">
        <f t="shared" si="36"/>
        <v>43586</v>
      </c>
      <c r="F1209" s="1" t="s">
        <v>15</v>
      </c>
      <c r="G1209" s="1" t="s">
        <v>18</v>
      </c>
      <c r="H1209" s="1">
        <v>-2</v>
      </c>
      <c r="I1209" s="1">
        <v>0.02</v>
      </c>
      <c r="J1209" s="1">
        <v>0</v>
      </c>
      <c r="K1209" s="1" t="s">
        <v>43</v>
      </c>
      <c r="L1209" s="1">
        <v>2389</v>
      </c>
      <c r="M1209" s="1">
        <v>0.69</v>
      </c>
      <c r="N1209" s="1">
        <v>-0.23580000000000001</v>
      </c>
      <c r="O1209" s="1">
        <f>VLOOKUP(D1209,underlying!$D$2:$H$75,5,FALSE)</f>
        <v>-0.21</v>
      </c>
      <c r="P1209" s="2">
        <f>VLOOKUP(D1209,underlying!$D$2:$L$39,9,FALSE)</f>
        <v>43552</v>
      </c>
      <c r="Q1209" s="7">
        <f>IF(G1209="C",NormalCallSprd(O1209,H1209,M1209,(P1209-A1209)/365), NormalPutSprd(O1209,H1209,M1209,(P1209-A1209)/365))</f>
        <v>2.4115507095429659E-2</v>
      </c>
      <c r="R1209" s="9">
        <f t="shared" si="37"/>
        <v>4.1155070954296581E-3</v>
      </c>
    </row>
    <row r="1210" spans="1:18" x14ac:dyDescent="0.2">
      <c r="A1210" s="2">
        <v>42622</v>
      </c>
      <c r="B1210" s="1" t="s">
        <v>13</v>
      </c>
      <c r="C1210" s="1" t="s">
        <v>14</v>
      </c>
      <c r="D1210" s="2">
        <v>43470</v>
      </c>
      <c r="E1210" s="2">
        <f t="shared" si="36"/>
        <v>43586</v>
      </c>
      <c r="F1210" s="1" t="s">
        <v>15</v>
      </c>
      <c r="G1210" s="1" t="s">
        <v>16</v>
      </c>
      <c r="H1210" s="1">
        <v>-1</v>
      </c>
      <c r="I1210" s="1">
        <v>0.86</v>
      </c>
      <c r="J1210" s="1">
        <v>-0.01</v>
      </c>
      <c r="K1210" s="1" t="s">
        <v>43</v>
      </c>
      <c r="L1210" s="1">
        <v>2389</v>
      </c>
      <c r="M1210" s="1">
        <v>0.54</v>
      </c>
      <c r="N1210" s="1">
        <v>-0.15137999999999999</v>
      </c>
      <c r="O1210" s="1">
        <f>VLOOKUP(D1210,underlying!$D$2:$H$75,5,FALSE)</f>
        <v>-0.21</v>
      </c>
      <c r="P1210" s="2">
        <f>VLOOKUP(D1210,underlying!$D$2:$L$39,9,FALSE)</f>
        <v>43552</v>
      </c>
      <c r="Q1210" s="7">
        <f>IF(G1210="C",NormalCallSprd(O1210,H1210,M1210,(P1210-A1210)/365), NormalPutSprd(O1210,H1210,M1210,(P1210-A1210)/365))</f>
        <v>0.87397934769086338</v>
      </c>
      <c r="R1210" s="9">
        <f t="shared" si="37"/>
        <v>1.3979347690863397E-2</v>
      </c>
    </row>
    <row r="1211" spans="1:18" x14ac:dyDescent="0.2">
      <c r="A1211" s="2">
        <v>42622</v>
      </c>
      <c r="B1211" s="1" t="s">
        <v>13</v>
      </c>
      <c r="C1211" s="1" t="s">
        <v>14</v>
      </c>
      <c r="D1211" s="2">
        <v>43470</v>
      </c>
      <c r="E1211" s="2">
        <f t="shared" si="36"/>
        <v>43586</v>
      </c>
      <c r="F1211" s="1" t="s">
        <v>15</v>
      </c>
      <c r="G1211" s="1" t="s">
        <v>18</v>
      </c>
      <c r="H1211" s="1">
        <v>-1</v>
      </c>
      <c r="I1211" s="1">
        <v>0.08</v>
      </c>
      <c r="J1211" s="1">
        <v>0</v>
      </c>
      <c r="K1211" s="1" t="s">
        <v>43</v>
      </c>
      <c r="L1211" s="1">
        <v>2389</v>
      </c>
      <c r="M1211" s="1">
        <v>0.54</v>
      </c>
      <c r="N1211" s="1">
        <v>0</v>
      </c>
      <c r="O1211" s="1">
        <f>VLOOKUP(D1211,underlying!$D$2:$H$75,5,FALSE)</f>
        <v>-0.21</v>
      </c>
      <c r="P1211" s="2">
        <f>VLOOKUP(D1211,underlying!$D$2:$L$39,9,FALSE)</f>
        <v>43552</v>
      </c>
      <c r="Q1211" s="7">
        <f>IF(G1211="C",NormalCallSprd(O1211,H1211,M1211,(P1211-A1211)/365), NormalPutSprd(O1211,H1211,M1211,(P1211-A1211)/365))</f>
        <v>8.3979347690863335E-2</v>
      </c>
      <c r="R1211" s="9">
        <f t="shared" si="37"/>
        <v>3.979347690863333E-3</v>
      </c>
    </row>
    <row r="1212" spans="1:18" x14ac:dyDescent="0.2">
      <c r="A1212" s="2">
        <v>42622</v>
      </c>
      <c r="B1212" s="1" t="s">
        <v>13</v>
      </c>
      <c r="C1212" s="1" t="s">
        <v>14</v>
      </c>
      <c r="D1212" s="2">
        <v>43470</v>
      </c>
      <c r="E1212" s="2">
        <f t="shared" si="36"/>
        <v>43586</v>
      </c>
      <c r="F1212" s="1" t="s">
        <v>15</v>
      </c>
      <c r="G1212" s="1" t="s">
        <v>16</v>
      </c>
      <c r="H1212" s="1">
        <v>-0.7</v>
      </c>
      <c r="I1212" s="1">
        <v>0.61</v>
      </c>
      <c r="J1212" s="1">
        <v>0</v>
      </c>
      <c r="K1212" s="1" t="s">
        <v>43</v>
      </c>
      <c r="L1212" s="1">
        <v>2389</v>
      </c>
      <c r="M1212" s="1">
        <v>0.49</v>
      </c>
      <c r="N1212" s="1">
        <v>-3.7960000000000001E-2</v>
      </c>
      <c r="O1212" s="1">
        <f>VLOOKUP(D1212,underlying!$D$2:$H$75,5,FALSE)</f>
        <v>-0.21</v>
      </c>
      <c r="P1212" s="2">
        <f>VLOOKUP(D1212,underlying!$D$2:$L$39,9,FALSE)</f>
        <v>43552</v>
      </c>
      <c r="Q1212" s="7">
        <f>IF(G1212="C",NormalCallSprd(O1212,H1212,M1212,(P1212-A1212)/365), NormalPutSprd(O1212,H1212,M1212,(P1212-A1212)/365))</f>
        <v>0.61633910592440955</v>
      </c>
      <c r="R1212" s="9">
        <f t="shared" si="37"/>
        <v>6.3391059244095604E-3</v>
      </c>
    </row>
    <row r="1213" spans="1:18" x14ac:dyDescent="0.2">
      <c r="A1213" s="2">
        <v>42622</v>
      </c>
      <c r="B1213" s="1" t="s">
        <v>13</v>
      </c>
      <c r="C1213" s="1" t="s">
        <v>14</v>
      </c>
      <c r="D1213" s="2">
        <v>43470</v>
      </c>
      <c r="E1213" s="2">
        <f t="shared" si="36"/>
        <v>43586</v>
      </c>
      <c r="F1213" s="1" t="s">
        <v>15</v>
      </c>
      <c r="G1213" s="1" t="s">
        <v>18</v>
      </c>
      <c r="H1213" s="1">
        <v>-0.7</v>
      </c>
      <c r="I1213" s="1">
        <v>0.12</v>
      </c>
      <c r="J1213" s="1">
        <v>0</v>
      </c>
      <c r="K1213" s="1" t="s">
        <v>43</v>
      </c>
      <c r="L1213" s="1">
        <v>2389</v>
      </c>
      <c r="M1213" s="1">
        <v>0.49</v>
      </c>
      <c r="N1213" s="1">
        <v>-1.4330000000000001E-2</v>
      </c>
      <c r="O1213" s="1">
        <f>VLOOKUP(D1213,underlying!$D$2:$H$75,5,FALSE)</f>
        <v>-0.21</v>
      </c>
      <c r="P1213" s="2">
        <f>VLOOKUP(D1213,underlying!$D$2:$L$39,9,FALSE)</f>
        <v>43552</v>
      </c>
      <c r="Q1213" s="7">
        <f>IF(G1213="C",NormalCallSprd(O1213,H1213,M1213,(P1213-A1213)/365), NormalPutSprd(O1213,H1213,M1213,(P1213-A1213)/365))</f>
        <v>0.12633910592440967</v>
      </c>
      <c r="R1213" s="9">
        <f t="shared" si="37"/>
        <v>6.3391059244096715E-3</v>
      </c>
    </row>
    <row r="1214" spans="1:18" x14ac:dyDescent="0.2">
      <c r="A1214" s="2">
        <v>42622</v>
      </c>
      <c r="B1214" s="1" t="s">
        <v>13</v>
      </c>
      <c r="C1214" s="1" t="s">
        <v>14</v>
      </c>
      <c r="D1214" s="2">
        <v>43470</v>
      </c>
      <c r="E1214" s="2">
        <f t="shared" si="36"/>
        <v>43586</v>
      </c>
      <c r="F1214" s="1" t="s">
        <v>15</v>
      </c>
      <c r="G1214" s="1" t="s">
        <v>16</v>
      </c>
      <c r="H1214" s="1">
        <v>-0.65</v>
      </c>
      <c r="I1214" s="1">
        <v>0.56999999999999995</v>
      </c>
      <c r="J1214" s="1">
        <v>-0.01</v>
      </c>
      <c r="K1214" s="1" t="s">
        <v>43</v>
      </c>
      <c r="L1214" s="1">
        <v>2389</v>
      </c>
      <c r="M1214" s="1">
        <v>0.49</v>
      </c>
      <c r="N1214" s="1">
        <v>0.45169999999999999</v>
      </c>
      <c r="O1214" s="1">
        <f>VLOOKUP(D1214,underlying!$D$2:$H$75,5,FALSE)</f>
        <v>-0.21</v>
      </c>
      <c r="P1214" s="2">
        <f>VLOOKUP(D1214,underlying!$D$2:$L$39,9,FALSE)</f>
        <v>43552</v>
      </c>
      <c r="Q1214" s="7">
        <f>IF(G1214="C",NormalCallSprd(O1214,H1214,M1214,(P1214-A1214)/365), NormalPutSprd(O1214,H1214,M1214,(P1214-A1214)/365))</f>
        <v>0.58014501321998457</v>
      </c>
      <c r="R1214" s="9">
        <f t="shared" si="37"/>
        <v>1.0145013219984622E-2</v>
      </c>
    </row>
    <row r="1215" spans="1:18" x14ac:dyDescent="0.2">
      <c r="A1215" s="2">
        <v>42622</v>
      </c>
      <c r="B1215" s="1" t="s">
        <v>13</v>
      </c>
      <c r="C1215" s="1" t="s">
        <v>14</v>
      </c>
      <c r="D1215" s="2">
        <v>43470</v>
      </c>
      <c r="E1215" s="2">
        <f t="shared" si="36"/>
        <v>43586</v>
      </c>
      <c r="F1215" s="1" t="s">
        <v>15</v>
      </c>
      <c r="G1215" s="1" t="s">
        <v>18</v>
      </c>
      <c r="H1215" s="1">
        <v>-0.65</v>
      </c>
      <c r="I1215" s="1">
        <v>0.14000000000000001</v>
      </c>
      <c r="J1215" s="1">
        <v>0</v>
      </c>
      <c r="K1215" s="1" t="s">
        <v>43</v>
      </c>
      <c r="L1215" s="1">
        <v>2389</v>
      </c>
      <c r="M1215" s="1">
        <v>0.49</v>
      </c>
      <c r="N1215" s="1">
        <v>0.47939999999999999</v>
      </c>
      <c r="O1215" s="1">
        <f>VLOOKUP(D1215,underlying!$D$2:$H$75,5,FALSE)</f>
        <v>-0.21</v>
      </c>
      <c r="P1215" s="2">
        <f>VLOOKUP(D1215,underlying!$D$2:$L$39,9,FALSE)</f>
        <v>43552</v>
      </c>
      <c r="Q1215" s="7">
        <f>IF(G1215="C",NormalCallSprd(O1215,H1215,M1215,(P1215-A1215)/365), NormalPutSprd(O1215,H1215,M1215,(P1215-A1215)/365))</f>
        <v>0.14014501321998457</v>
      </c>
      <c r="R1215" s="9">
        <f t="shared" si="37"/>
        <v>1.4501321998455774E-4</v>
      </c>
    </row>
    <row r="1216" spans="1:18" x14ac:dyDescent="0.2">
      <c r="A1216" s="2">
        <v>42622</v>
      </c>
      <c r="B1216" s="1" t="s">
        <v>13</v>
      </c>
      <c r="C1216" s="1" t="s">
        <v>14</v>
      </c>
      <c r="D1216" s="2">
        <v>43470</v>
      </c>
      <c r="E1216" s="2">
        <f t="shared" si="36"/>
        <v>43586</v>
      </c>
      <c r="F1216" s="1" t="s">
        <v>15</v>
      </c>
      <c r="G1216" s="1" t="s">
        <v>16</v>
      </c>
      <c r="H1216" s="1">
        <v>-0.6</v>
      </c>
      <c r="I1216" s="1">
        <v>0.53</v>
      </c>
      <c r="J1216" s="1">
        <v>-0.01</v>
      </c>
      <c r="K1216" s="1" t="s">
        <v>43</v>
      </c>
      <c r="L1216" s="1">
        <v>2389</v>
      </c>
      <c r="M1216" s="1">
        <v>0.48</v>
      </c>
      <c r="N1216" s="1">
        <v>0.50697999999999999</v>
      </c>
      <c r="O1216" s="1">
        <f>VLOOKUP(D1216,underlying!$D$2:$H$75,5,FALSE)</f>
        <v>-0.21</v>
      </c>
      <c r="P1216" s="2">
        <f>VLOOKUP(D1216,underlying!$D$2:$L$39,9,FALSE)</f>
        <v>43552</v>
      </c>
      <c r="Q1216" s="7">
        <f>IF(G1216="C",NormalCallSprd(O1216,H1216,M1216,(P1216-A1216)/365), NormalPutSprd(O1216,H1216,M1216,(P1216-A1216)/365))</f>
        <v>0.53943010671336755</v>
      </c>
      <c r="R1216" s="9">
        <f t="shared" si="37"/>
        <v>9.4301067133675254E-3</v>
      </c>
    </row>
    <row r="1217" spans="1:18" x14ac:dyDescent="0.2">
      <c r="A1217" s="2">
        <v>42622</v>
      </c>
      <c r="B1217" s="1" t="s">
        <v>13</v>
      </c>
      <c r="C1217" s="1" t="s">
        <v>14</v>
      </c>
      <c r="D1217" s="2">
        <v>43470</v>
      </c>
      <c r="E1217" s="2">
        <f t="shared" si="36"/>
        <v>43586</v>
      </c>
      <c r="F1217" s="1" t="s">
        <v>15</v>
      </c>
      <c r="G1217" s="1" t="s">
        <v>18</v>
      </c>
      <c r="H1217" s="1">
        <v>-0.6</v>
      </c>
      <c r="I1217" s="1">
        <v>0.15</v>
      </c>
      <c r="J1217" s="1">
        <v>0</v>
      </c>
      <c r="K1217" s="1" t="s">
        <v>43</v>
      </c>
      <c r="L1217" s="1">
        <v>2389</v>
      </c>
      <c r="M1217" s="1">
        <v>0.48</v>
      </c>
      <c r="N1217" s="1">
        <v>0.53447999999999996</v>
      </c>
      <c r="O1217" s="1">
        <f>VLOOKUP(D1217,underlying!$D$2:$H$75,5,FALSE)</f>
        <v>-0.21</v>
      </c>
      <c r="P1217" s="2">
        <f>VLOOKUP(D1217,underlying!$D$2:$L$39,9,FALSE)</f>
        <v>43552</v>
      </c>
      <c r="Q1217" s="7">
        <f>IF(G1217="C",NormalCallSprd(O1217,H1217,M1217,(P1217-A1217)/365), NormalPutSprd(O1217,H1217,M1217,(P1217-A1217)/365))</f>
        <v>0.14943010671336757</v>
      </c>
      <c r="R1217" s="9">
        <f t="shared" si="37"/>
        <v>5.69893286632428E-4</v>
      </c>
    </row>
    <row r="1218" spans="1:18" x14ac:dyDescent="0.2">
      <c r="A1218" s="2">
        <v>42622</v>
      </c>
      <c r="B1218" s="1" t="s">
        <v>13</v>
      </c>
      <c r="C1218" s="1" t="s">
        <v>14</v>
      </c>
      <c r="D1218" s="2">
        <v>43470</v>
      </c>
      <c r="E1218" s="2">
        <f t="shared" ref="E1218:E1281" si="38">DATE(YEAR(D1218),DAY(D1218),MONTH(D1218))</f>
        <v>43586</v>
      </c>
      <c r="F1218" s="1" t="s">
        <v>15</v>
      </c>
      <c r="G1218" s="1" t="s">
        <v>16</v>
      </c>
      <c r="H1218" s="1">
        <v>-0.55000000000000004</v>
      </c>
      <c r="I1218" s="1">
        <v>0.5</v>
      </c>
      <c r="J1218" s="1">
        <v>0</v>
      </c>
      <c r="K1218" s="1" t="s">
        <v>43</v>
      </c>
      <c r="L1218" s="1">
        <v>2389</v>
      </c>
      <c r="M1218" s="1">
        <v>0.48</v>
      </c>
      <c r="N1218" s="1">
        <v>0.56176000000000004</v>
      </c>
      <c r="O1218" s="1">
        <f>VLOOKUP(D1218,underlying!$D$2:$H$75,5,FALSE)</f>
        <v>-0.21</v>
      </c>
      <c r="P1218" s="2">
        <f>VLOOKUP(D1218,underlying!$D$2:$L$39,9,FALSE)</f>
        <v>43552</v>
      </c>
      <c r="Q1218" s="7">
        <f>IF(G1218="C",NormalCallSprd(O1218,H1218,M1218,(P1218-A1218)/365), NormalPutSprd(O1218,H1218,M1218,(P1218-A1218)/365))</f>
        <v>0.50527664390270244</v>
      </c>
      <c r="R1218" s="9">
        <f t="shared" si="37"/>
        <v>5.2766439027024381E-3</v>
      </c>
    </row>
    <row r="1219" spans="1:18" x14ac:dyDescent="0.2">
      <c r="A1219" s="2">
        <v>42622</v>
      </c>
      <c r="B1219" s="1" t="s">
        <v>13</v>
      </c>
      <c r="C1219" s="1" t="s">
        <v>14</v>
      </c>
      <c r="D1219" s="2">
        <v>43470</v>
      </c>
      <c r="E1219" s="2">
        <f t="shared" si="38"/>
        <v>43586</v>
      </c>
      <c r="F1219" s="1" t="s">
        <v>15</v>
      </c>
      <c r="G1219" s="1" t="s">
        <v>18</v>
      </c>
      <c r="H1219" s="1">
        <v>-0.55000000000000004</v>
      </c>
      <c r="I1219" s="1">
        <v>0.16</v>
      </c>
      <c r="J1219" s="1">
        <v>0</v>
      </c>
      <c r="K1219" s="1" t="s">
        <v>43</v>
      </c>
      <c r="L1219" s="1">
        <v>2389</v>
      </c>
      <c r="M1219" s="1">
        <v>0.48</v>
      </c>
      <c r="N1219" s="1">
        <v>0.58869000000000005</v>
      </c>
      <c r="O1219" s="1">
        <f>VLOOKUP(D1219,underlying!$D$2:$H$75,5,FALSE)</f>
        <v>-0.21</v>
      </c>
      <c r="P1219" s="2">
        <f>VLOOKUP(D1219,underlying!$D$2:$L$39,9,FALSE)</f>
        <v>43552</v>
      </c>
      <c r="Q1219" s="7">
        <f>IF(G1219="C",NormalCallSprd(O1219,H1219,M1219,(P1219-A1219)/365), NormalPutSprd(O1219,H1219,M1219,(P1219-A1219)/365))</f>
        <v>0.16527664390270239</v>
      </c>
      <c r="R1219" s="9">
        <f t="shared" ref="R1219:R1282" si="39">ABS(Q1219-I1219)</f>
        <v>5.2766439027023826E-3</v>
      </c>
    </row>
    <row r="1220" spans="1:18" x14ac:dyDescent="0.2">
      <c r="A1220" s="2">
        <v>42622</v>
      </c>
      <c r="B1220" s="1" t="s">
        <v>13</v>
      </c>
      <c r="C1220" s="1" t="s">
        <v>14</v>
      </c>
      <c r="D1220" s="2">
        <v>43470</v>
      </c>
      <c r="E1220" s="2">
        <f t="shared" si="38"/>
        <v>43586</v>
      </c>
      <c r="F1220" s="1" t="s">
        <v>15</v>
      </c>
      <c r="G1220" s="1" t="s">
        <v>16</v>
      </c>
      <c r="H1220" s="1">
        <v>-0.5</v>
      </c>
      <c r="I1220" s="1">
        <v>0.46</v>
      </c>
      <c r="J1220" s="1">
        <v>-0.01</v>
      </c>
      <c r="K1220" s="1" t="s">
        <v>43</v>
      </c>
      <c r="L1220" s="1">
        <v>2389</v>
      </c>
      <c r="M1220" s="1">
        <v>0.47</v>
      </c>
      <c r="N1220" s="1">
        <v>0.61294000000000004</v>
      </c>
      <c r="O1220" s="1">
        <f>VLOOKUP(D1220,underlying!$D$2:$H$75,5,FALSE)</f>
        <v>-0.21</v>
      </c>
      <c r="P1220" s="2">
        <f>VLOOKUP(D1220,underlying!$D$2:$L$39,9,FALSE)</f>
        <v>43552</v>
      </c>
      <c r="Q1220" s="7">
        <f>IF(G1220="C",NormalCallSprd(O1220,H1220,M1220,(P1220-A1220)/365), NormalPutSprd(O1220,H1220,M1220,(P1220-A1220)/365))</f>
        <v>0.4663836780894457</v>
      </c>
      <c r="R1220" s="9">
        <f t="shared" si="39"/>
        <v>6.3836780894456768E-3</v>
      </c>
    </row>
    <row r="1221" spans="1:18" x14ac:dyDescent="0.2">
      <c r="A1221" s="2">
        <v>42622</v>
      </c>
      <c r="B1221" s="1" t="s">
        <v>13</v>
      </c>
      <c r="C1221" s="1" t="s">
        <v>14</v>
      </c>
      <c r="D1221" s="2">
        <v>43470</v>
      </c>
      <c r="E1221" s="2">
        <f t="shared" si="38"/>
        <v>43586</v>
      </c>
      <c r="F1221" s="1" t="s">
        <v>15</v>
      </c>
      <c r="G1221" s="1" t="s">
        <v>18</v>
      </c>
      <c r="H1221" s="1">
        <v>-0.5</v>
      </c>
      <c r="I1221" s="1">
        <v>0.17</v>
      </c>
      <c r="J1221" s="1">
        <v>0</v>
      </c>
      <c r="K1221" s="1" t="s">
        <v>43</v>
      </c>
      <c r="L1221" s="1">
        <v>2389</v>
      </c>
      <c r="M1221" s="1">
        <v>0.47</v>
      </c>
      <c r="N1221" s="1">
        <v>0.63524000000000003</v>
      </c>
      <c r="O1221" s="1">
        <f>VLOOKUP(D1221,underlying!$D$2:$H$75,5,FALSE)</f>
        <v>-0.21</v>
      </c>
      <c r="P1221" s="2">
        <f>VLOOKUP(D1221,underlying!$D$2:$L$39,9,FALSE)</f>
        <v>43552</v>
      </c>
      <c r="Q1221" s="7">
        <f>IF(G1221="C",NormalCallSprd(O1221,H1221,M1221,(P1221-A1221)/365), NormalPutSprd(O1221,H1221,M1221,(P1221-A1221)/365))</f>
        <v>0.17638367808944569</v>
      </c>
      <c r="R1221" s="9">
        <f t="shared" si="39"/>
        <v>6.3836780894456768E-3</v>
      </c>
    </row>
    <row r="1222" spans="1:18" x14ac:dyDescent="0.2">
      <c r="A1222" s="2">
        <v>42622</v>
      </c>
      <c r="B1222" s="1" t="s">
        <v>13</v>
      </c>
      <c r="C1222" s="1" t="s">
        <v>14</v>
      </c>
      <c r="D1222" s="2">
        <v>43470</v>
      </c>
      <c r="E1222" s="2">
        <f t="shared" si="38"/>
        <v>43586</v>
      </c>
      <c r="F1222" s="1" t="s">
        <v>15</v>
      </c>
      <c r="G1222" s="1" t="s">
        <v>16</v>
      </c>
      <c r="H1222" s="1">
        <v>-0.45</v>
      </c>
      <c r="I1222" s="1">
        <v>0.42</v>
      </c>
      <c r="J1222" s="1">
        <v>-0.01</v>
      </c>
      <c r="K1222" s="1" t="s">
        <v>43</v>
      </c>
      <c r="L1222" s="1">
        <v>2389</v>
      </c>
      <c r="M1222" s="1">
        <v>0.46</v>
      </c>
      <c r="N1222" s="1">
        <v>0.65608999999999995</v>
      </c>
      <c r="O1222" s="1">
        <f>VLOOKUP(D1222,underlying!$D$2:$H$75,5,FALSE)</f>
        <v>-0.21</v>
      </c>
      <c r="P1222" s="2">
        <f>VLOOKUP(D1222,underlying!$D$2:$L$39,9,FALSE)</f>
        <v>43552</v>
      </c>
      <c r="Q1222" s="7">
        <f>IF(G1222="C",NormalCallSprd(O1222,H1222,M1222,(P1222-A1222)/365), NormalPutSprd(O1222,H1222,M1222,(P1222-A1222)/365))</f>
        <v>0.42843921821276704</v>
      </c>
      <c r="R1222" s="9">
        <f t="shared" si="39"/>
        <v>8.4392182127670523E-3</v>
      </c>
    </row>
    <row r="1223" spans="1:18" x14ac:dyDescent="0.2">
      <c r="A1223" s="2">
        <v>42622</v>
      </c>
      <c r="B1223" s="1" t="s">
        <v>13</v>
      </c>
      <c r="C1223" s="1" t="s">
        <v>14</v>
      </c>
      <c r="D1223" s="2">
        <v>43470</v>
      </c>
      <c r="E1223" s="2">
        <f t="shared" si="38"/>
        <v>43586</v>
      </c>
      <c r="F1223" s="1" t="s">
        <v>15</v>
      </c>
      <c r="G1223" s="1" t="s">
        <v>18</v>
      </c>
      <c r="H1223" s="1">
        <v>-0.45</v>
      </c>
      <c r="I1223" s="1">
        <v>0.19</v>
      </c>
      <c r="J1223" s="1">
        <v>0.01</v>
      </c>
      <c r="K1223" s="1" t="s">
        <v>43</v>
      </c>
      <c r="L1223" s="1">
        <v>2389</v>
      </c>
      <c r="M1223" s="1">
        <v>0.46</v>
      </c>
      <c r="N1223" s="1">
        <v>0.67852999999999997</v>
      </c>
      <c r="O1223" s="1">
        <f>VLOOKUP(D1223,underlying!$D$2:$H$75,5,FALSE)</f>
        <v>-0.21</v>
      </c>
      <c r="P1223" s="2">
        <f>VLOOKUP(D1223,underlying!$D$2:$L$39,9,FALSE)</f>
        <v>43552</v>
      </c>
      <c r="Q1223" s="7">
        <f>IF(G1223="C",NormalCallSprd(O1223,H1223,M1223,(P1223-A1223)/365), NormalPutSprd(O1223,H1223,M1223,(P1223-A1223)/365))</f>
        <v>0.18843921821276699</v>
      </c>
      <c r="R1223" s="9">
        <f t="shared" si="39"/>
        <v>1.5607817872330121E-3</v>
      </c>
    </row>
    <row r="1224" spans="1:18" x14ac:dyDescent="0.2">
      <c r="A1224" s="2">
        <v>42622</v>
      </c>
      <c r="B1224" s="1" t="s">
        <v>13</v>
      </c>
      <c r="C1224" s="1" t="s">
        <v>14</v>
      </c>
      <c r="D1224" s="2">
        <v>43470</v>
      </c>
      <c r="E1224" s="2">
        <f t="shared" si="38"/>
        <v>43586</v>
      </c>
      <c r="F1224" s="1" t="s">
        <v>15</v>
      </c>
      <c r="G1224" s="1" t="s">
        <v>16</v>
      </c>
      <c r="H1224" s="1">
        <v>-0.4</v>
      </c>
      <c r="I1224" s="1">
        <v>0.39</v>
      </c>
      <c r="J1224" s="1">
        <v>-0.01</v>
      </c>
      <c r="K1224" s="1" t="s">
        <v>43</v>
      </c>
      <c r="L1224" s="1">
        <v>2389</v>
      </c>
      <c r="M1224" s="1">
        <v>0.46</v>
      </c>
      <c r="N1224" s="1">
        <v>0.69764999999999999</v>
      </c>
      <c r="O1224" s="1">
        <f>VLOOKUP(D1224,underlying!$D$2:$H$75,5,FALSE)</f>
        <v>-0.21</v>
      </c>
      <c r="P1224" s="2">
        <f>VLOOKUP(D1224,underlying!$D$2:$L$39,9,FALSE)</f>
        <v>43552</v>
      </c>
      <c r="Q1224" s="7">
        <f>IF(G1224="C",NormalCallSprd(O1224,H1224,M1224,(P1224-A1224)/365), NormalPutSprd(O1224,H1224,M1224,(P1224-A1224)/365))</f>
        <v>0.39768198785078185</v>
      </c>
      <c r="R1224" s="9">
        <f t="shared" si="39"/>
        <v>7.6819878507818351E-3</v>
      </c>
    </row>
    <row r="1225" spans="1:18" x14ac:dyDescent="0.2">
      <c r="A1225" s="2">
        <v>42622</v>
      </c>
      <c r="B1225" s="1" t="s">
        <v>13</v>
      </c>
      <c r="C1225" s="1" t="s">
        <v>14</v>
      </c>
      <c r="D1225" s="2">
        <v>43470</v>
      </c>
      <c r="E1225" s="2">
        <f t="shared" si="38"/>
        <v>43586</v>
      </c>
      <c r="F1225" s="1" t="s">
        <v>15</v>
      </c>
      <c r="G1225" s="1" t="s">
        <v>18</v>
      </c>
      <c r="H1225" s="1">
        <v>-0.4</v>
      </c>
      <c r="I1225" s="1">
        <v>0.2</v>
      </c>
      <c r="J1225" s="1">
        <v>0</v>
      </c>
      <c r="K1225" s="1" t="s">
        <v>43</v>
      </c>
      <c r="L1225" s="1">
        <v>2389</v>
      </c>
      <c r="M1225" s="1">
        <v>0.46</v>
      </c>
      <c r="N1225" s="1">
        <v>0.71474000000000004</v>
      </c>
      <c r="O1225" s="1">
        <f>VLOOKUP(D1225,underlying!$D$2:$H$75,5,FALSE)</f>
        <v>-0.21</v>
      </c>
      <c r="P1225" s="2">
        <f>VLOOKUP(D1225,underlying!$D$2:$L$39,9,FALSE)</f>
        <v>43552</v>
      </c>
      <c r="Q1225" s="7">
        <f>IF(G1225="C",NormalCallSprd(O1225,H1225,M1225,(P1225-A1225)/365), NormalPutSprd(O1225,H1225,M1225,(P1225-A1225)/365))</f>
        <v>0.20768198785078179</v>
      </c>
      <c r="R1225" s="9">
        <f t="shared" si="39"/>
        <v>7.6819878507817796E-3</v>
      </c>
    </row>
    <row r="1226" spans="1:18" x14ac:dyDescent="0.2">
      <c r="A1226" s="2">
        <v>42622</v>
      </c>
      <c r="B1226" s="1" t="s">
        <v>13</v>
      </c>
      <c r="C1226" s="1" t="s">
        <v>14</v>
      </c>
      <c r="D1226" s="2">
        <v>43470</v>
      </c>
      <c r="E1226" s="2">
        <f t="shared" si="38"/>
        <v>43586</v>
      </c>
      <c r="F1226" s="1" t="s">
        <v>15</v>
      </c>
      <c r="G1226" s="1" t="s">
        <v>16</v>
      </c>
      <c r="H1226" s="1">
        <v>-0.35</v>
      </c>
      <c r="I1226" s="1">
        <v>0.35</v>
      </c>
      <c r="J1226" s="1">
        <v>-0.01</v>
      </c>
      <c r="K1226" s="1" t="s">
        <v>43</v>
      </c>
      <c r="L1226" s="1">
        <v>2389</v>
      </c>
      <c r="M1226" s="1">
        <v>0.45</v>
      </c>
      <c r="N1226" s="1">
        <v>0.73407999999999995</v>
      </c>
      <c r="O1226" s="1">
        <f>VLOOKUP(D1226,underlying!$D$2:$H$75,5,FALSE)</f>
        <v>-0.21</v>
      </c>
      <c r="P1226" s="2">
        <f>VLOOKUP(D1226,underlying!$D$2:$L$39,9,FALSE)</f>
        <v>43552</v>
      </c>
      <c r="Q1226" s="7">
        <f>IF(G1226="C",NormalCallSprd(O1226,H1226,M1226,(P1226-A1226)/365), NormalPutSprd(O1226,H1226,M1226,(P1226-A1226)/365))</f>
        <v>0.36198706765793792</v>
      </c>
      <c r="R1226" s="9">
        <f t="shared" si="39"/>
        <v>1.1987067657937944E-2</v>
      </c>
    </row>
    <row r="1227" spans="1:18" x14ac:dyDescent="0.2">
      <c r="A1227" s="2">
        <v>42622</v>
      </c>
      <c r="B1227" s="1" t="s">
        <v>13</v>
      </c>
      <c r="C1227" s="1" t="s">
        <v>14</v>
      </c>
      <c r="D1227" s="2">
        <v>43470</v>
      </c>
      <c r="E1227" s="2">
        <f t="shared" si="38"/>
        <v>43586</v>
      </c>
      <c r="F1227" s="1" t="s">
        <v>15</v>
      </c>
      <c r="G1227" s="1" t="s">
        <v>18</v>
      </c>
      <c r="H1227" s="1">
        <v>-0.35</v>
      </c>
      <c r="I1227" s="1">
        <v>0.22</v>
      </c>
      <c r="J1227" s="1">
        <v>0</v>
      </c>
      <c r="K1227" s="1" t="s">
        <v>43</v>
      </c>
      <c r="L1227" s="1">
        <v>2389</v>
      </c>
      <c r="M1227" s="1">
        <v>0.45</v>
      </c>
      <c r="N1227" s="1">
        <v>0.82747000000000004</v>
      </c>
      <c r="O1227" s="1">
        <f>VLOOKUP(D1227,underlying!$D$2:$H$75,5,FALSE)</f>
        <v>-0.21</v>
      </c>
      <c r="P1227" s="2">
        <f>VLOOKUP(D1227,underlying!$D$2:$L$39,9,FALSE)</f>
        <v>43552</v>
      </c>
      <c r="Q1227" s="7">
        <f>IF(G1227="C",NormalCallSprd(O1227,H1227,M1227,(P1227-A1227)/365), NormalPutSprd(O1227,H1227,M1227,(P1227-A1227)/365))</f>
        <v>0.22198706765793794</v>
      </c>
      <c r="R1227" s="9">
        <f t="shared" si="39"/>
        <v>1.9870676579379354E-3</v>
      </c>
    </row>
    <row r="1228" spans="1:18" x14ac:dyDescent="0.2">
      <c r="A1228" s="2">
        <v>42622</v>
      </c>
      <c r="B1228" s="1" t="s">
        <v>13</v>
      </c>
      <c r="C1228" s="1" t="s">
        <v>14</v>
      </c>
      <c r="D1228" s="2">
        <v>43470</v>
      </c>
      <c r="E1228" s="2">
        <f t="shared" si="38"/>
        <v>43586</v>
      </c>
      <c r="F1228" s="1" t="s">
        <v>15</v>
      </c>
      <c r="G1228" s="1" t="s">
        <v>16</v>
      </c>
      <c r="H1228" s="1">
        <v>-0.3</v>
      </c>
      <c r="I1228" s="1">
        <v>0.32</v>
      </c>
      <c r="J1228" s="1">
        <v>-0.01</v>
      </c>
      <c r="K1228" s="1" t="s">
        <v>43</v>
      </c>
      <c r="L1228" s="1">
        <v>2389</v>
      </c>
      <c r="M1228" s="1">
        <v>0.44</v>
      </c>
      <c r="N1228" s="1">
        <v>0.93291999999999997</v>
      </c>
      <c r="O1228" s="1">
        <f>VLOOKUP(D1228,underlying!$D$2:$H$75,5,FALSE)</f>
        <v>-0.21</v>
      </c>
      <c r="P1228" s="2">
        <f>VLOOKUP(D1228,underlying!$D$2:$L$39,9,FALSE)</f>
        <v>43552</v>
      </c>
      <c r="Q1228" s="7">
        <f>IF(G1228="C",NormalCallSprd(O1228,H1228,M1228,(P1228-A1228)/365), NormalPutSprd(O1228,H1228,M1228,(P1228-A1228)/365))</f>
        <v>0.32749065606467248</v>
      </c>
      <c r="R1228" s="9">
        <f t="shared" si="39"/>
        <v>7.490656064672474E-3</v>
      </c>
    </row>
    <row r="1229" spans="1:18" x14ac:dyDescent="0.2">
      <c r="A1229" s="2">
        <v>42622</v>
      </c>
      <c r="B1229" s="1" t="s">
        <v>13</v>
      </c>
      <c r="C1229" s="1" t="s">
        <v>14</v>
      </c>
      <c r="D1229" s="2">
        <v>43470</v>
      </c>
      <c r="E1229" s="2">
        <f t="shared" si="38"/>
        <v>43586</v>
      </c>
      <c r="F1229" s="1" t="s">
        <v>15</v>
      </c>
      <c r="G1229" s="1" t="s">
        <v>18</v>
      </c>
      <c r="H1229" s="1">
        <v>-0.3</v>
      </c>
      <c r="I1229" s="1">
        <v>0.23</v>
      </c>
      <c r="J1229" s="1">
        <v>0</v>
      </c>
      <c r="K1229" s="1" t="s">
        <v>43</v>
      </c>
      <c r="L1229" s="1">
        <v>2389</v>
      </c>
      <c r="M1229" s="1">
        <v>0.44</v>
      </c>
      <c r="N1229" s="1">
        <v>0.96672999999999998</v>
      </c>
      <c r="O1229" s="1">
        <f>VLOOKUP(D1229,underlying!$D$2:$H$75,5,FALSE)</f>
        <v>-0.21</v>
      </c>
      <c r="P1229" s="2">
        <f>VLOOKUP(D1229,underlying!$D$2:$L$39,9,FALSE)</f>
        <v>43552</v>
      </c>
      <c r="Q1229" s="7">
        <f>IF(G1229="C",NormalCallSprd(O1229,H1229,M1229,(P1229-A1229)/365), NormalPutSprd(O1229,H1229,M1229,(P1229-A1229)/365))</f>
        <v>0.23749065606467251</v>
      </c>
      <c r="R1229" s="9">
        <f t="shared" si="39"/>
        <v>7.4906560646725018E-3</v>
      </c>
    </row>
    <row r="1230" spans="1:18" x14ac:dyDescent="0.2">
      <c r="A1230" s="2">
        <v>42622</v>
      </c>
      <c r="B1230" s="1" t="s">
        <v>13</v>
      </c>
      <c r="C1230" s="1" t="s">
        <v>14</v>
      </c>
      <c r="D1230" s="2">
        <v>43470</v>
      </c>
      <c r="E1230" s="2">
        <f t="shared" si="38"/>
        <v>43586</v>
      </c>
      <c r="F1230" s="1" t="s">
        <v>15</v>
      </c>
      <c r="G1230" s="1" t="s">
        <v>16</v>
      </c>
      <c r="H1230" s="1">
        <v>-0.25</v>
      </c>
      <c r="I1230" s="1">
        <v>0.28999999999999998</v>
      </c>
      <c r="J1230" s="1">
        <v>-0.01</v>
      </c>
      <c r="K1230" s="1" t="s">
        <v>43</v>
      </c>
      <c r="L1230" s="1">
        <v>2389</v>
      </c>
      <c r="M1230" s="1">
        <v>0.43</v>
      </c>
      <c r="N1230" s="1">
        <v>-0.52917999999999998</v>
      </c>
      <c r="O1230" s="1">
        <f>VLOOKUP(D1230,underlying!$D$2:$H$75,5,FALSE)</f>
        <v>-0.21</v>
      </c>
      <c r="P1230" s="2">
        <f>VLOOKUP(D1230,underlying!$D$2:$L$39,9,FALSE)</f>
        <v>43552</v>
      </c>
      <c r="Q1230" s="7">
        <f>IF(G1230="C",NormalCallSprd(O1230,H1230,M1230,(P1230-A1230)/365), NormalPutSprd(O1230,H1230,M1230,(P1230-A1230)/365))</f>
        <v>0.29429014540440618</v>
      </c>
      <c r="R1230" s="9">
        <f t="shared" si="39"/>
        <v>4.2901454044061982E-3</v>
      </c>
    </row>
    <row r="1231" spans="1:18" x14ac:dyDescent="0.2">
      <c r="A1231" s="2">
        <v>42622</v>
      </c>
      <c r="B1231" s="1" t="s">
        <v>13</v>
      </c>
      <c r="C1231" s="1" t="s">
        <v>14</v>
      </c>
      <c r="D1231" s="2">
        <v>43470</v>
      </c>
      <c r="E1231" s="2">
        <f t="shared" si="38"/>
        <v>43586</v>
      </c>
      <c r="F1231" s="1" t="s">
        <v>15</v>
      </c>
      <c r="G1231" s="1" t="s">
        <v>18</v>
      </c>
      <c r="H1231" s="1">
        <v>-0.25</v>
      </c>
      <c r="I1231" s="1">
        <v>0.25</v>
      </c>
      <c r="J1231" s="1">
        <v>0</v>
      </c>
      <c r="K1231" s="1" t="s">
        <v>43</v>
      </c>
      <c r="L1231" s="1">
        <v>2389</v>
      </c>
      <c r="M1231" s="1">
        <v>0.43</v>
      </c>
      <c r="N1231" s="1">
        <v>-0.50146999999999997</v>
      </c>
      <c r="O1231" s="1">
        <f>VLOOKUP(D1231,underlying!$D$2:$H$75,5,FALSE)</f>
        <v>-0.21</v>
      </c>
      <c r="P1231" s="2">
        <f>VLOOKUP(D1231,underlying!$D$2:$L$39,9,FALSE)</f>
        <v>43552</v>
      </c>
      <c r="Q1231" s="7">
        <f>IF(G1231="C",NormalCallSprd(O1231,H1231,M1231,(P1231-A1231)/365), NormalPutSprd(O1231,H1231,M1231,(P1231-A1231)/365))</f>
        <v>0.2542901454044062</v>
      </c>
      <c r="R1231" s="9">
        <f t="shared" si="39"/>
        <v>4.2901454044061982E-3</v>
      </c>
    </row>
    <row r="1232" spans="1:18" x14ac:dyDescent="0.2">
      <c r="A1232" s="2">
        <v>42622</v>
      </c>
      <c r="B1232" s="1" t="s">
        <v>13</v>
      </c>
      <c r="C1232" s="1" t="s">
        <v>14</v>
      </c>
      <c r="D1232" s="2">
        <v>43470</v>
      </c>
      <c r="E1232" s="2">
        <f t="shared" si="38"/>
        <v>43586</v>
      </c>
      <c r="F1232" s="1" t="s">
        <v>15</v>
      </c>
      <c r="G1232" s="1" t="s">
        <v>16</v>
      </c>
      <c r="H1232" s="1">
        <v>-0.2</v>
      </c>
      <c r="I1232" s="1">
        <v>0.26</v>
      </c>
      <c r="J1232" s="1">
        <v>-0.01</v>
      </c>
      <c r="K1232" s="1" t="s">
        <v>43</v>
      </c>
      <c r="L1232" s="1">
        <v>2389</v>
      </c>
      <c r="M1232" s="1">
        <v>0.43</v>
      </c>
      <c r="N1232" s="1">
        <v>-0.47388999999999998</v>
      </c>
      <c r="O1232" s="1">
        <f>VLOOKUP(D1232,underlying!$D$2:$H$75,5,FALSE)</f>
        <v>-0.21</v>
      </c>
      <c r="P1232" s="2">
        <f>VLOOKUP(D1232,underlying!$D$2:$L$39,9,FALSE)</f>
        <v>43552</v>
      </c>
      <c r="Q1232" s="7">
        <f>IF(G1232="C",NormalCallSprd(O1232,H1232,M1232,(P1232-A1232)/365), NormalPutSprd(O1232,H1232,M1232,(P1232-A1232)/365))</f>
        <v>0.26885435540281349</v>
      </c>
      <c r="R1232" s="9">
        <f t="shared" si="39"/>
        <v>8.8543554028134852E-3</v>
      </c>
    </row>
    <row r="1233" spans="1:18" x14ac:dyDescent="0.2">
      <c r="A1233" s="2">
        <v>42622</v>
      </c>
      <c r="B1233" s="1" t="s">
        <v>13</v>
      </c>
      <c r="C1233" s="1" t="s">
        <v>14</v>
      </c>
      <c r="D1233" s="2">
        <v>43470</v>
      </c>
      <c r="E1233" s="2">
        <f t="shared" si="38"/>
        <v>43586</v>
      </c>
      <c r="F1233" s="1" t="s">
        <v>15</v>
      </c>
      <c r="G1233" s="1" t="s">
        <v>18</v>
      </c>
      <c r="H1233" s="1">
        <v>-0.2</v>
      </c>
      <c r="I1233" s="1">
        <v>0.27</v>
      </c>
      <c r="J1233" s="1">
        <v>0</v>
      </c>
      <c r="K1233" s="1" t="s">
        <v>43</v>
      </c>
      <c r="L1233" s="1">
        <v>2389</v>
      </c>
      <c r="M1233" s="1">
        <v>0.43</v>
      </c>
      <c r="N1233" s="1">
        <v>-0.44639000000000001</v>
      </c>
      <c r="O1233" s="1">
        <f>VLOOKUP(D1233,underlying!$D$2:$H$75,5,FALSE)</f>
        <v>-0.21</v>
      </c>
      <c r="P1233" s="2">
        <f>VLOOKUP(D1233,underlying!$D$2:$L$39,9,FALSE)</f>
        <v>43552</v>
      </c>
      <c r="Q1233" s="7">
        <f>IF(G1233="C",NormalCallSprd(O1233,H1233,M1233,(P1233-A1233)/365), NormalPutSprd(O1233,H1233,M1233,(P1233-A1233)/365))</f>
        <v>0.2788543554028135</v>
      </c>
      <c r="R1233" s="9">
        <f t="shared" si="39"/>
        <v>8.8543554028134852E-3</v>
      </c>
    </row>
    <row r="1234" spans="1:18" x14ac:dyDescent="0.2">
      <c r="A1234" s="2">
        <v>42622</v>
      </c>
      <c r="B1234" s="1" t="s">
        <v>13</v>
      </c>
      <c r="C1234" s="1" t="s">
        <v>14</v>
      </c>
      <c r="D1234" s="2">
        <v>43470</v>
      </c>
      <c r="E1234" s="2">
        <f t="shared" si="38"/>
        <v>43586</v>
      </c>
      <c r="F1234" s="1" t="s">
        <v>15</v>
      </c>
      <c r="G1234" s="1" t="s">
        <v>16</v>
      </c>
      <c r="H1234" s="1">
        <v>-0.15</v>
      </c>
      <c r="I1234" s="1">
        <v>0.24</v>
      </c>
      <c r="J1234" s="1">
        <v>-0.01</v>
      </c>
      <c r="K1234" s="1" t="s">
        <v>43</v>
      </c>
      <c r="L1234" s="1">
        <v>2389</v>
      </c>
      <c r="M1234" s="1">
        <v>0.43</v>
      </c>
      <c r="N1234" s="1">
        <v>-0.41910999999999998</v>
      </c>
      <c r="O1234" s="1">
        <f>VLOOKUP(D1234,underlying!$D$2:$H$75,5,FALSE)</f>
        <v>-0.21</v>
      </c>
      <c r="P1234" s="2">
        <f>VLOOKUP(D1234,underlying!$D$2:$L$39,9,FALSE)</f>
        <v>43552</v>
      </c>
      <c r="Q1234" s="7">
        <f>IF(G1234="C",NormalCallSprd(O1234,H1234,M1234,(P1234-A1234)/365), NormalPutSprd(O1234,H1234,M1234,(P1234-A1234)/365))</f>
        <v>0.24487083930690243</v>
      </c>
      <c r="R1234" s="9">
        <f t="shared" si="39"/>
        <v>4.8708393069024358E-3</v>
      </c>
    </row>
    <row r="1235" spans="1:18" x14ac:dyDescent="0.2">
      <c r="A1235" s="2">
        <v>42622</v>
      </c>
      <c r="B1235" s="1" t="s">
        <v>13</v>
      </c>
      <c r="C1235" s="1" t="s">
        <v>14</v>
      </c>
      <c r="D1235" s="2">
        <v>43470</v>
      </c>
      <c r="E1235" s="2">
        <f t="shared" si="38"/>
        <v>43586</v>
      </c>
      <c r="F1235" s="1" t="s">
        <v>15</v>
      </c>
      <c r="G1235" s="1" t="s">
        <v>18</v>
      </c>
      <c r="H1235" s="1">
        <v>-0.15</v>
      </c>
      <c r="I1235" s="1">
        <v>0.3</v>
      </c>
      <c r="J1235" s="1">
        <v>0.01</v>
      </c>
      <c r="K1235" s="1" t="s">
        <v>43</v>
      </c>
      <c r="L1235" s="1">
        <v>2389</v>
      </c>
      <c r="M1235" s="1">
        <v>0.43</v>
      </c>
      <c r="N1235" s="1">
        <v>-0.39217999999999997</v>
      </c>
      <c r="O1235" s="1">
        <f>VLOOKUP(D1235,underlying!$D$2:$H$75,5,FALSE)</f>
        <v>-0.21</v>
      </c>
      <c r="P1235" s="2">
        <f>VLOOKUP(D1235,underlying!$D$2:$L$39,9,FALSE)</f>
        <v>43552</v>
      </c>
      <c r="Q1235" s="7">
        <f>IF(G1235="C",NormalCallSprd(O1235,H1235,M1235,(P1235-A1235)/365), NormalPutSprd(O1235,H1235,M1235,(P1235-A1235)/365))</f>
        <v>0.3048708393069024</v>
      </c>
      <c r="R1235" s="9">
        <f t="shared" si="39"/>
        <v>4.8708393069024081E-3</v>
      </c>
    </row>
    <row r="1236" spans="1:18" x14ac:dyDescent="0.2">
      <c r="A1236" s="2">
        <v>42622</v>
      </c>
      <c r="B1236" s="1" t="s">
        <v>13</v>
      </c>
      <c r="C1236" s="1" t="s">
        <v>14</v>
      </c>
      <c r="D1236" s="2">
        <v>43470</v>
      </c>
      <c r="E1236" s="2">
        <f t="shared" si="38"/>
        <v>43586</v>
      </c>
      <c r="F1236" s="1" t="s">
        <v>15</v>
      </c>
      <c r="G1236" s="1" t="s">
        <v>16</v>
      </c>
      <c r="H1236" s="1">
        <v>-0.1</v>
      </c>
      <c r="I1236" s="1">
        <v>0.22</v>
      </c>
      <c r="J1236" s="1">
        <v>0</v>
      </c>
      <c r="K1236" s="1" t="s">
        <v>43</v>
      </c>
      <c r="L1236" s="1">
        <v>2389</v>
      </c>
      <c r="M1236" s="1">
        <v>0.43</v>
      </c>
      <c r="N1236" s="1">
        <v>-0.36792999999999998</v>
      </c>
      <c r="O1236" s="1">
        <f>VLOOKUP(D1236,underlying!$D$2:$H$75,5,FALSE)</f>
        <v>-0.21</v>
      </c>
      <c r="P1236" s="2">
        <f>VLOOKUP(D1236,underlying!$D$2:$L$39,9,FALSE)</f>
        <v>43552</v>
      </c>
      <c r="Q1236" s="7">
        <f>IF(G1236="C",NormalCallSprd(O1236,H1236,M1236,(P1236-A1236)/365), NormalPutSprd(O1236,H1236,M1236,(P1236-A1236)/365))</f>
        <v>0.22233421726994301</v>
      </c>
      <c r="R1236" s="9">
        <f t="shared" si="39"/>
        <v>2.3342172699430119E-3</v>
      </c>
    </row>
    <row r="1237" spans="1:18" x14ac:dyDescent="0.2">
      <c r="A1237" s="2">
        <v>42622</v>
      </c>
      <c r="B1237" s="1" t="s">
        <v>13</v>
      </c>
      <c r="C1237" s="1" t="s">
        <v>14</v>
      </c>
      <c r="D1237" s="2">
        <v>43470</v>
      </c>
      <c r="E1237" s="2">
        <f t="shared" si="38"/>
        <v>43586</v>
      </c>
      <c r="F1237" s="1" t="s">
        <v>15</v>
      </c>
      <c r="G1237" s="1" t="s">
        <v>18</v>
      </c>
      <c r="H1237" s="1">
        <v>-0.1</v>
      </c>
      <c r="I1237" s="1">
        <v>0.33</v>
      </c>
      <c r="J1237" s="1">
        <v>0.01</v>
      </c>
      <c r="K1237" s="1" t="s">
        <v>43</v>
      </c>
      <c r="L1237" s="1">
        <v>2389</v>
      </c>
      <c r="M1237" s="1">
        <v>0.43</v>
      </c>
      <c r="N1237" s="1">
        <v>-0.34562999999999999</v>
      </c>
      <c r="O1237" s="1">
        <f>VLOOKUP(D1237,underlying!$D$2:$H$75,5,FALSE)</f>
        <v>-0.21</v>
      </c>
      <c r="P1237" s="2">
        <f>VLOOKUP(D1237,underlying!$D$2:$L$39,9,FALSE)</f>
        <v>43552</v>
      </c>
      <c r="Q1237" s="7">
        <f>IF(G1237="C",NormalCallSprd(O1237,H1237,M1237,(P1237-A1237)/365), NormalPutSprd(O1237,H1237,M1237,(P1237-A1237)/365))</f>
        <v>0.332334217269943</v>
      </c>
      <c r="R1237" s="9">
        <f t="shared" si="39"/>
        <v>2.3342172699429842E-3</v>
      </c>
    </row>
    <row r="1238" spans="1:18" x14ac:dyDescent="0.2">
      <c r="A1238" s="2">
        <v>42622</v>
      </c>
      <c r="B1238" s="1" t="s">
        <v>13</v>
      </c>
      <c r="C1238" s="1" t="s">
        <v>14</v>
      </c>
      <c r="D1238" s="2">
        <v>43470</v>
      </c>
      <c r="E1238" s="2">
        <f t="shared" si="38"/>
        <v>43586</v>
      </c>
      <c r="F1238" s="1" t="s">
        <v>15</v>
      </c>
      <c r="G1238" s="1" t="s">
        <v>16</v>
      </c>
      <c r="H1238" s="1">
        <v>-0.05</v>
      </c>
      <c r="I1238" s="1">
        <v>0.2</v>
      </c>
      <c r="J1238" s="1">
        <v>0</v>
      </c>
      <c r="K1238" s="1" t="s">
        <v>43</v>
      </c>
      <c r="L1238" s="1">
        <v>2389</v>
      </c>
      <c r="M1238" s="1">
        <v>0.43</v>
      </c>
      <c r="N1238" s="1">
        <v>-0.32478000000000001</v>
      </c>
      <c r="O1238" s="1">
        <f>VLOOKUP(D1238,underlying!$D$2:$H$75,5,FALSE)</f>
        <v>-0.21</v>
      </c>
      <c r="P1238" s="2">
        <f>VLOOKUP(D1238,underlying!$D$2:$L$39,9,FALSE)</f>
        <v>43552</v>
      </c>
      <c r="Q1238" s="7">
        <f>IF(G1238="C",NormalCallSprd(O1238,H1238,M1238,(P1238-A1238)/365), NormalPutSprd(O1238,H1238,M1238,(P1238-A1238)/365))</f>
        <v>0.20123150677437593</v>
      </c>
      <c r="R1238" s="9">
        <f t="shared" si="39"/>
        <v>1.2315067743759178E-3</v>
      </c>
    </row>
    <row r="1239" spans="1:18" x14ac:dyDescent="0.2">
      <c r="A1239" s="2">
        <v>42622</v>
      </c>
      <c r="B1239" s="1" t="s">
        <v>13</v>
      </c>
      <c r="C1239" s="1" t="s">
        <v>14</v>
      </c>
      <c r="D1239" s="2">
        <v>43470</v>
      </c>
      <c r="E1239" s="2">
        <f t="shared" si="38"/>
        <v>43586</v>
      </c>
      <c r="F1239" s="1" t="s">
        <v>15</v>
      </c>
      <c r="G1239" s="1" t="s">
        <v>18</v>
      </c>
      <c r="H1239" s="1">
        <v>-0.05</v>
      </c>
      <c r="I1239" s="1">
        <v>0.35</v>
      </c>
      <c r="J1239" s="1">
        <v>0</v>
      </c>
      <c r="K1239" s="1" t="s">
        <v>43</v>
      </c>
      <c r="L1239" s="1">
        <v>2389</v>
      </c>
      <c r="M1239" s="1">
        <v>0.43</v>
      </c>
      <c r="N1239" s="1">
        <v>-0.30235000000000001</v>
      </c>
      <c r="O1239" s="1">
        <f>VLOOKUP(D1239,underlying!$D$2:$H$75,5,FALSE)</f>
        <v>-0.21</v>
      </c>
      <c r="P1239" s="2">
        <f>VLOOKUP(D1239,underlying!$D$2:$L$39,9,FALSE)</f>
        <v>43552</v>
      </c>
      <c r="Q1239" s="7">
        <f>IF(G1239="C",NormalCallSprd(O1239,H1239,M1239,(P1239-A1239)/365), NormalPutSprd(O1239,H1239,M1239,(P1239-A1239)/365))</f>
        <v>0.36123150677437593</v>
      </c>
      <c r="R1239" s="9">
        <f t="shared" si="39"/>
        <v>1.1231506774375954E-2</v>
      </c>
    </row>
    <row r="1240" spans="1:18" x14ac:dyDescent="0.2">
      <c r="A1240" s="2">
        <v>42622</v>
      </c>
      <c r="B1240" s="1" t="s">
        <v>13</v>
      </c>
      <c r="C1240" s="1" t="s">
        <v>14</v>
      </c>
      <c r="D1240" s="2">
        <v>43471</v>
      </c>
      <c r="E1240" s="2">
        <f t="shared" si="38"/>
        <v>43617</v>
      </c>
      <c r="F1240" s="1" t="s">
        <v>15</v>
      </c>
      <c r="G1240" s="1" t="s">
        <v>16</v>
      </c>
      <c r="H1240" s="1">
        <v>-3</v>
      </c>
      <c r="I1240" s="1">
        <v>2.83</v>
      </c>
      <c r="J1240" s="1">
        <v>-0.01</v>
      </c>
      <c r="K1240" s="1" t="s">
        <v>46</v>
      </c>
      <c r="L1240" s="1">
        <v>2389</v>
      </c>
      <c r="M1240" s="1">
        <v>0.79</v>
      </c>
      <c r="N1240" s="1">
        <v>-0.28322000000000003</v>
      </c>
      <c r="O1240" s="1">
        <f>VLOOKUP(D1240,underlying!$D$2:$H$75,5,FALSE)</f>
        <v>-0.12</v>
      </c>
      <c r="P1240" s="2">
        <f>VLOOKUP(D1240,underlying!$D$2:$L$39,9,FALSE)</f>
        <v>43584</v>
      </c>
      <c r="Q1240" s="7">
        <f>IF(G1240="C",NormalCallSprd(O1240,H1240,M1240,(P1240-A1240)/365), NormalPutSprd(O1240,H1240,M1240,(P1240-A1240)/365))</f>
        <v>2.8855010394468321</v>
      </c>
      <c r="R1240" s="9">
        <f t="shared" si="39"/>
        <v>5.5501039446832046E-2</v>
      </c>
    </row>
    <row r="1241" spans="1:18" x14ac:dyDescent="0.2">
      <c r="A1241" s="2">
        <v>42622</v>
      </c>
      <c r="B1241" s="1" t="s">
        <v>13</v>
      </c>
      <c r="C1241" s="1" t="s">
        <v>14</v>
      </c>
      <c r="D1241" s="2">
        <v>43471</v>
      </c>
      <c r="E1241" s="2">
        <f t="shared" si="38"/>
        <v>43617</v>
      </c>
      <c r="F1241" s="1" t="s">
        <v>15</v>
      </c>
      <c r="G1241" s="1" t="s">
        <v>18</v>
      </c>
      <c r="H1241" s="1">
        <v>-3</v>
      </c>
      <c r="I1241" s="1">
        <v>0.01</v>
      </c>
      <c r="J1241" s="1">
        <v>0</v>
      </c>
      <c r="K1241" s="1" t="s">
        <v>46</v>
      </c>
      <c r="L1241" s="1">
        <v>2389</v>
      </c>
      <c r="M1241" s="1">
        <v>0.79</v>
      </c>
      <c r="N1241" s="1">
        <v>-0.26612999999999998</v>
      </c>
      <c r="O1241" s="1">
        <f>VLOOKUP(D1241,underlying!$D$2:$H$75,5,FALSE)</f>
        <v>-0.12</v>
      </c>
      <c r="P1241" s="2">
        <f>VLOOKUP(D1241,underlying!$D$2:$L$39,9,FALSE)</f>
        <v>43584</v>
      </c>
      <c r="Q1241" s="7">
        <f>IF(G1241="C",NormalCallSprd(O1241,H1241,M1241,(P1241-A1241)/365), NormalPutSprd(O1241,H1241,M1241,(P1241-A1241)/365))</f>
        <v>5.5010394468320923E-3</v>
      </c>
      <c r="R1241" s="9">
        <f t="shared" si="39"/>
        <v>4.4989605531679079E-3</v>
      </c>
    </row>
    <row r="1242" spans="1:18" x14ac:dyDescent="0.2">
      <c r="A1242" s="2">
        <v>42622</v>
      </c>
      <c r="B1242" s="1" t="s">
        <v>13</v>
      </c>
      <c r="C1242" s="1" t="s">
        <v>14</v>
      </c>
      <c r="D1242" s="2">
        <v>43471</v>
      </c>
      <c r="E1242" s="2">
        <f t="shared" si="38"/>
        <v>43617</v>
      </c>
      <c r="F1242" s="1" t="s">
        <v>15</v>
      </c>
      <c r="G1242" s="1" t="s">
        <v>16</v>
      </c>
      <c r="H1242" s="1">
        <v>-2</v>
      </c>
      <c r="I1242" s="1">
        <v>1.86</v>
      </c>
      <c r="J1242" s="1">
        <v>-0.02</v>
      </c>
      <c r="K1242" s="1" t="s">
        <v>46</v>
      </c>
      <c r="L1242" s="1">
        <v>2389</v>
      </c>
      <c r="M1242" s="1">
        <v>0.68</v>
      </c>
      <c r="N1242" s="1">
        <v>-0.24679999999999999</v>
      </c>
      <c r="O1242" s="1">
        <f>VLOOKUP(D1242,underlying!$D$2:$H$75,5,FALSE)</f>
        <v>-0.12</v>
      </c>
      <c r="P1242" s="2">
        <f>VLOOKUP(D1242,underlying!$D$2:$L$39,9,FALSE)</f>
        <v>43584</v>
      </c>
      <c r="Q1242" s="7">
        <f>IF(G1242="C",NormalCallSprd(O1242,H1242,M1242,(P1242-A1242)/365), NormalPutSprd(O1242,H1242,M1242,(P1242-A1242)/365))</f>
        <v>1.9000430136124322</v>
      </c>
      <c r="R1242" s="9">
        <f t="shared" si="39"/>
        <v>4.0043013612432121E-2</v>
      </c>
    </row>
    <row r="1243" spans="1:18" x14ac:dyDescent="0.2">
      <c r="A1243" s="2">
        <v>42622</v>
      </c>
      <c r="B1243" s="1" t="s">
        <v>13</v>
      </c>
      <c r="C1243" s="1" t="s">
        <v>14</v>
      </c>
      <c r="D1243" s="2">
        <v>43471</v>
      </c>
      <c r="E1243" s="2">
        <f t="shared" si="38"/>
        <v>43617</v>
      </c>
      <c r="F1243" s="1" t="s">
        <v>15</v>
      </c>
      <c r="G1243" s="1" t="s">
        <v>18</v>
      </c>
      <c r="H1243" s="1">
        <v>-2</v>
      </c>
      <c r="I1243" s="1">
        <v>0.02</v>
      </c>
      <c r="J1243" s="1">
        <v>0</v>
      </c>
      <c r="K1243" s="1" t="s">
        <v>46</v>
      </c>
      <c r="L1243" s="1">
        <v>2389</v>
      </c>
      <c r="M1243" s="1">
        <v>0.68</v>
      </c>
      <c r="N1243" s="1">
        <v>-0.15340999999999999</v>
      </c>
      <c r="O1243" s="1">
        <f>VLOOKUP(D1243,underlying!$D$2:$H$75,5,FALSE)</f>
        <v>-0.12</v>
      </c>
      <c r="P1243" s="2">
        <f>VLOOKUP(D1243,underlying!$D$2:$L$39,9,FALSE)</f>
        <v>43584</v>
      </c>
      <c r="Q1243" s="7">
        <f>IF(G1243="C",NormalCallSprd(O1243,H1243,M1243,(P1243-A1243)/365), NormalPutSprd(O1243,H1243,M1243,(P1243-A1243)/365))</f>
        <v>2.0043013612432214E-2</v>
      </c>
      <c r="R1243" s="9">
        <f t="shared" si="39"/>
        <v>4.3013612432214049E-5</v>
      </c>
    </row>
    <row r="1244" spans="1:18" x14ac:dyDescent="0.2">
      <c r="A1244" s="2">
        <v>42622</v>
      </c>
      <c r="B1244" s="1" t="s">
        <v>13</v>
      </c>
      <c r="C1244" s="1" t="s">
        <v>14</v>
      </c>
      <c r="D1244" s="2">
        <v>43471</v>
      </c>
      <c r="E1244" s="2">
        <f t="shared" si="38"/>
        <v>43617</v>
      </c>
      <c r="F1244" s="1" t="s">
        <v>15</v>
      </c>
      <c r="G1244" s="1" t="s">
        <v>16</v>
      </c>
      <c r="H1244" s="1">
        <v>-1</v>
      </c>
      <c r="I1244" s="1">
        <v>0.93</v>
      </c>
      <c r="J1244" s="1">
        <v>-0.01</v>
      </c>
      <c r="K1244" s="1" t="s">
        <v>46</v>
      </c>
      <c r="L1244" s="1">
        <v>2389</v>
      </c>
      <c r="M1244" s="1">
        <v>0.52</v>
      </c>
      <c r="N1244" s="1">
        <v>-4.795E-2</v>
      </c>
      <c r="O1244" s="1">
        <f>VLOOKUP(D1244,underlying!$D$2:$H$75,5,FALSE)</f>
        <v>-0.12</v>
      </c>
      <c r="P1244" s="2">
        <f>VLOOKUP(D1244,underlying!$D$2:$L$39,9,FALSE)</f>
        <v>43584</v>
      </c>
      <c r="Q1244" s="7">
        <f>IF(G1244="C",NormalCallSprd(O1244,H1244,M1244,(P1244-A1244)/365), NormalPutSprd(O1244,H1244,M1244,(P1244-A1244)/365))</f>
        <v>0.94483573717440084</v>
      </c>
      <c r="R1244" s="9">
        <f t="shared" si="39"/>
        <v>1.4835737174400787E-2</v>
      </c>
    </row>
    <row r="1245" spans="1:18" x14ac:dyDescent="0.2">
      <c r="A1245" s="2">
        <v>42622</v>
      </c>
      <c r="B1245" s="1" t="s">
        <v>13</v>
      </c>
      <c r="C1245" s="1" t="s">
        <v>14</v>
      </c>
      <c r="D1245" s="2">
        <v>43471</v>
      </c>
      <c r="E1245" s="2">
        <f t="shared" si="38"/>
        <v>43617</v>
      </c>
      <c r="F1245" s="1" t="s">
        <v>15</v>
      </c>
      <c r="G1245" s="1" t="s">
        <v>18</v>
      </c>
      <c r="H1245" s="1">
        <v>-1</v>
      </c>
      <c r="I1245" s="1">
        <v>0.06</v>
      </c>
      <c r="J1245" s="1">
        <v>0</v>
      </c>
      <c r="K1245" s="1" t="s">
        <v>46</v>
      </c>
      <c r="L1245" s="1">
        <v>2389</v>
      </c>
      <c r="M1245" s="1">
        <v>0.52</v>
      </c>
      <c r="N1245" s="1">
        <v>-1.4149999999999999E-2</v>
      </c>
      <c r="O1245" s="1">
        <f>VLOOKUP(D1245,underlying!$D$2:$H$75,5,FALSE)</f>
        <v>-0.12</v>
      </c>
      <c r="P1245" s="2">
        <f>VLOOKUP(D1245,underlying!$D$2:$L$39,9,FALSE)</f>
        <v>43584</v>
      </c>
      <c r="Q1245" s="7">
        <f>IF(G1245="C",NormalCallSprd(O1245,H1245,M1245,(P1245-A1245)/365), NormalPutSprd(O1245,H1245,M1245,(P1245-A1245)/365))</f>
        <v>6.4835737174400901E-2</v>
      </c>
      <c r="R1245" s="9">
        <f t="shared" si="39"/>
        <v>4.8357371744009031E-3</v>
      </c>
    </row>
    <row r="1246" spans="1:18" x14ac:dyDescent="0.2">
      <c r="A1246" s="2">
        <v>42622</v>
      </c>
      <c r="B1246" s="1" t="s">
        <v>13</v>
      </c>
      <c r="C1246" s="1" t="s">
        <v>14</v>
      </c>
      <c r="D1246" s="2">
        <v>43471</v>
      </c>
      <c r="E1246" s="2">
        <f t="shared" si="38"/>
        <v>43617</v>
      </c>
      <c r="F1246" s="1" t="s">
        <v>15</v>
      </c>
      <c r="G1246" s="1" t="s">
        <v>16</v>
      </c>
      <c r="H1246" s="1">
        <v>-0.65</v>
      </c>
      <c r="I1246" s="1">
        <v>0.63</v>
      </c>
      <c r="J1246" s="1">
        <v>-0.01</v>
      </c>
      <c r="K1246" s="1" t="s">
        <v>46</v>
      </c>
      <c r="L1246" s="1">
        <v>2389</v>
      </c>
      <c r="M1246" s="1">
        <v>0.47</v>
      </c>
      <c r="N1246" s="1">
        <v>0.37619000000000002</v>
      </c>
      <c r="O1246" s="1">
        <f>VLOOKUP(D1246,underlying!$D$2:$H$75,5,FALSE)</f>
        <v>-0.12</v>
      </c>
      <c r="P1246" s="2">
        <f>VLOOKUP(D1246,underlying!$D$2:$L$39,9,FALSE)</f>
        <v>43584</v>
      </c>
      <c r="Q1246" s="7">
        <f>IF(G1246="C",NormalCallSprd(O1246,H1246,M1246,(P1246-A1246)/365), NormalPutSprd(O1246,H1246,M1246,(P1246-A1246)/365))</f>
        <v>0.64002040213529809</v>
      </c>
      <c r="R1246" s="9">
        <f t="shared" si="39"/>
        <v>1.002040213529809E-2</v>
      </c>
    </row>
    <row r="1247" spans="1:18" x14ac:dyDescent="0.2">
      <c r="A1247" s="2">
        <v>42622</v>
      </c>
      <c r="B1247" s="1" t="s">
        <v>13</v>
      </c>
      <c r="C1247" s="1" t="s">
        <v>14</v>
      </c>
      <c r="D1247" s="2">
        <v>43471</v>
      </c>
      <c r="E1247" s="2">
        <f t="shared" si="38"/>
        <v>43617</v>
      </c>
      <c r="F1247" s="1" t="s">
        <v>15</v>
      </c>
      <c r="G1247" s="1" t="s">
        <v>18</v>
      </c>
      <c r="H1247" s="1">
        <v>-0.65</v>
      </c>
      <c r="I1247" s="1">
        <v>0.11</v>
      </c>
      <c r="J1247" s="1">
        <v>0</v>
      </c>
      <c r="K1247" s="1" t="s">
        <v>46</v>
      </c>
      <c r="L1247" s="1">
        <v>2389</v>
      </c>
      <c r="M1247" s="1">
        <v>0.47</v>
      </c>
      <c r="N1247" s="1">
        <v>0.41209000000000001</v>
      </c>
      <c r="O1247" s="1">
        <f>VLOOKUP(D1247,underlying!$D$2:$H$75,5,FALSE)</f>
        <v>-0.12</v>
      </c>
      <c r="P1247" s="2">
        <f>VLOOKUP(D1247,underlying!$D$2:$L$39,9,FALSE)</f>
        <v>43584</v>
      </c>
      <c r="Q1247" s="7">
        <f>IF(G1247="C",NormalCallSprd(O1247,H1247,M1247,(P1247-A1247)/365), NormalPutSprd(O1247,H1247,M1247,(P1247-A1247)/365))</f>
        <v>0.11002040213529808</v>
      </c>
      <c r="R1247" s="9">
        <f t="shared" si="39"/>
        <v>2.0402135298080992E-5</v>
      </c>
    </row>
    <row r="1248" spans="1:18" x14ac:dyDescent="0.2">
      <c r="A1248" s="2">
        <v>42622</v>
      </c>
      <c r="B1248" s="1" t="s">
        <v>13</v>
      </c>
      <c r="C1248" s="1" t="s">
        <v>14</v>
      </c>
      <c r="D1248" s="2">
        <v>43471</v>
      </c>
      <c r="E1248" s="2">
        <f t="shared" si="38"/>
        <v>43617</v>
      </c>
      <c r="F1248" s="1" t="s">
        <v>15</v>
      </c>
      <c r="G1248" s="1" t="s">
        <v>16</v>
      </c>
      <c r="H1248" s="1">
        <v>-0.6</v>
      </c>
      <c r="I1248" s="1">
        <v>0.59</v>
      </c>
      <c r="J1248" s="1">
        <v>-0.01</v>
      </c>
      <c r="K1248" s="1" t="s">
        <v>46</v>
      </c>
      <c r="L1248" s="1">
        <v>2389</v>
      </c>
      <c r="M1248" s="1">
        <v>0.46</v>
      </c>
      <c r="N1248" s="1">
        <v>0.44785000000000003</v>
      </c>
      <c r="O1248" s="1">
        <f>VLOOKUP(D1248,underlying!$D$2:$H$75,5,FALSE)</f>
        <v>-0.12</v>
      </c>
      <c r="P1248" s="2">
        <f>VLOOKUP(D1248,underlying!$D$2:$L$39,9,FALSE)</f>
        <v>43584</v>
      </c>
      <c r="Q1248" s="7">
        <f>IF(G1248="C",NormalCallSprd(O1248,H1248,M1248,(P1248-A1248)/365), NormalPutSprd(O1248,H1248,M1248,(P1248-A1248)/365))</f>
        <v>0.59743298878841133</v>
      </c>
      <c r="R1248" s="9">
        <f t="shared" si="39"/>
        <v>7.4329887884113655E-3</v>
      </c>
    </row>
    <row r="1249" spans="1:18" x14ac:dyDescent="0.2">
      <c r="A1249" s="2">
        <v>42622</v>
      </c>
      <c r="B1249" s="1" t="s">
        <v>13</v>
      </c>
      <c r="C1249" s="1" t="s">
        <v>14</v>
      </c>
      <c r="D1249" s="2">
        <v>43471</v>
      </c>
      <c r="E1249" s="2">
        <f t="shared" si="38"/>
        <v>43617</v>
      </c>
      <c r="F1249" s="1" t="s">
        <v>15</v>
      </c>
      <c r="G1249" s="1" t="s">
        <v>18</v>
      </c>
      <c r="H1249" s="1">
        <v>-0.6</v>
      </c>
      <c r="I1249" s="1">
        <v>0.12</v>
      </c>
      <c r="J1249" s="1">
        <v>0</v>
      </c>
      <c r="K1249" s="1" t="s">
        <v>46</v>
      </c>
      <c r="L1249" s="1">
        <v>2389</v>
      </c>
      <c r="M1249" s="1">
        <v>0.46</v>
      </c>
      <c r="N1249" s="1">
        <v>0.48347000000000001</v>
      </c>
      <c r="O1249" s="1">
        <f>VLOOKUP(D1249,underlying!$D$2:$H$75,5,FALSE)</f>
        <v>-0.12</v>
      </c>
      <c r="P1249" s="2">
        <f>VLOOKUP(D1249,underlying!$D$2:$L$39,9,FALSE)</f>
        <v>43584</v>
      </c>
      <c r="Q1249" s="7">
        <f>IF(G1249="C",NormalCallSprd(O1249,H1249,M1249,(P1249-A1249)/365), NormalPutSprd(O1249,H1249,M1249,(P1249-A1249)/365))</f>
        <v>0.11743298878841132</v>
      </c>
      <c r="R1249" s="9">
        <f t="shared" si="39"/>
        <v>2.5670112115886712E-3</v>
      </c>
    </row>
    <row r="1250" spans="1:18" x14ac:dyDescent="0.2">
      <c r="A1250" s="2">
        <v>42622</v>
      </c>
      <c r="B1250" s="1" t="s">
        <v>13</v>
      </c>
      <c r="C1250" s="1" t="s">
        <v>14</v>
      </c>
      <c r="D1250" s="2">
        <v>43471</v>
      </c>
      <c r="E1250" s="2">
        <f t="shared" si="38"/>
        <v>43617</v>
      </c>
      <c r="F1250" s="1" t="s">
        <v>15</v>
      </c>
      <c r="G1250" s="1" t="s">
        <v>16</v>
      </c>
      <c r="H1250" s="1">
        <v>-0.55000000000000004</v>
      </c>
      <c r="I1250" s="1">
        <v>0.55000000000000004</v>
      </c>
      <c r="J1250" s="1">
        <v>-0.01</v>
      </c>
      <c r="K1250" s="1" t="s">
        <v>46</v>
      </c>
      <c r="L1250" s="1">
        <v>2389</v>
      </c>
      <c r="M1250" s="1">
        <v>0.46</v>
      </c>
      <c r="N1250" s="1">
        <v>0.51898999999999995</v>
      </c>
      <c r="O1250" s="1">
        <f>VLOOKUP(D1250,underlying!$D$2:$H$75,5,FALSE)</f>
        <v>-0.12</v>
      </c>
      <c r="P1250" s="2">
        <f>VLOOKUP(D1250,underlying!$D$2:$L$39,9,FALSE)</f>
        <v>43584</v>
      </c>
      <c r="Q1250" s="7">
        <f>IF(G1250="C",NormalCallSprd(O1250,H1250,M1250,(P1250-A1250)/365), NormalPutSprd(O1250,H1250,M1250,(P1250-A1250)/365))</f>
        <v>0.56099344919053684</v>
      </c>
      <c r="R1250" s="9">
        <f t="shared" si="39"/>
        <v>1.0993449190536797E-2</v>
      </c>
    </row>
    <row r="1251" spans="1:18" x14ac:dyDescent="0.2">
      <c r="A1251" s="2">
        <v>42622</v>
      </c>
      <c r="B1251" s="1" t="s">
        <v>13</v>
      </c>
      <c r="C1251" s="1" t="s">
        <v>14</v>
      </c>
      <c r="D1251" s="2">
        <v>43471</v>
      </c>
      <c r="E1251" s="2">
        <f t="shared" si="38"/>
        <v>43617</v>
      </c>
      <c r="F1251" s="1" t="s">
        <v>15</v>
      </c>
      <c r="G1251" s="1" t="s">
        <v>18</v>
      </c>
      <c r="H1251" s="1">
        <v>-0.55000000000000004</v>
      </c>
      <c r="I1251" s="1">
        <v>0.13</v>
      </c>
      <c r="J1251" s="1">
        <v>0</v>
      </c>
      <c r="K1251" s="1" t="s">
        <v>46</v>
      </c>
      <c r="L1251" s="1">
        <v>2389</v>
      </c>
      <c r="M1251" s="1">
        <v>0.46</v>
      </c>
      <c r="N1251" s="1">
        <v>0.55386000000000002</v>
      </c>
      <c r="O1251" s="1">
        <f>VLOOKUP(D1251,underlying!$D$2:$H$75,5,FALSE)</f>
        <v>-0.12</v>
      </c>
      <c r="P1251" s="2">
        <f>VLOOKUP(D1251,underlying!$D$2:$L$39,9,FALSE)</f>
        <v>43584</v>
      </c>
      <c r="Q1251" s="7">
        <f>IF(G1251="C",NormalCallSprd(O1251,H1251,M1251,(P1251-A1251)/365), NormalPutSprd(O1251,H1251,M1251,(P1251-A1251)/365))</f>
        <v>0.13099344919053679</v>
      </c>
      <c r="R1251" s="9">
        <f t="shared" si="39"/>
        <v>9.9344919053678815E-4</v>
      </c>
    </row>
    <row r="1252" spans="1:18" x14ac:dyDescent="0.2">
      <c r="A1252" s="2">
        <v>42622</v>
      </c>
      <c r="B1252" s="1" t="s">
        <v>13</v>
      </c>
      <c r="C1252" s="1" t="s">
        <v>14</v>
      </c>
      <c r="D1252" s="2">
        <v>43471</v>
      </c>
      <c r="E1252" s="2">
        <f t="shared" si="38"/>
        <v>43617</v>
      </c>
      <c r="F1252" s="1" t="s">
        <v>15</v>
      </c>
      <c r="G1252" s="1" t="s">
        <v>16</v>
      </c>
      <c r="H1252" s="1">
        <v>-0.5</v>
      </c>
      <c r="I1252" s="1">
        <v>0.51</v>
      </c>
      <c r="J1252" s="1">
        <v>-0.01</v>
      </c>
      <c r="K1252" s="1" t="s">
        <v>46</v>
      </c>
      <c r="L1252" s="1">
        <v>2389</v>
      </c>
      <c r="M1252" s="1">
        <v>0.45</v>
      </c>
      <c r="N1252" s="1">
        <v>0.58758999999999995</v>
      </c>
      <c r="O1252" s="1">
        <f>VLOOKUP(D1252,underlying!$D$2:$H$75,5,FALSE)</f>
        <v>-0.12</v>
      </c>
      <c r="P1252" s="2">
        <f>VLOOKUP(D1252,underlying!$D$2:$L$39,9,FALSE)</f>
        <v>43584</v>
      </c>
      <c r="Q1252" s="7">
        <f>IF(G1252="C",NormalCallSprd(O1252,H1252,M1252,(P1252-A1252)/365), NormalPutSprd(O1252,H1252,M1252,(P1252-A1252)/365))</f>
        <v>0.52001128173577882</v>
      </c>
      <c r="R1252" s="9">
        <f t="shared" si="39"/>
        <v>1.001128173577881E-2</v>
      </c>
    </row>
    <row r="1253" spans="1:18" x14ac:dyDescent="0.2">
      <c r="A1253" s="2">
        <v>42622</v>
      </c>
      <c r="B1253" s="1" t="s">
        <v>13</v>
      </c>
      <c r="C1253" s="1" t="s">
        <v>14</v>
      </c>
      <c r="D1253" s="2">
        <v>43471</v>
      </c>
      <c r="E1253" s="2">
        <f t="shared" si="38"/>
        <v>43617</v>
      </c>
      <c r="F1253" s="1" t="s">
        <v>15</v>
      </c>
      <c r="G1253" s="1" t="s">
        <v>18</v>
      </c>
      <c r="H1253" s="1">
        <v>-0.5</v>
      </c>
      <c r="I1253" s="1">
        <v>0.14000000000000001</v>
      </c>
      <c r="J1253" s="1">
        <v>0</v>
      </c>
      <c r="K1253" s="1" t="s">
        <v>46</v>
      </c>
      <c r="L1253" s="1">
        <v>2389</v>
      </c>
      <c r="M1253" s="1">
        <v>0.45</v>
      </c>
      <c r="N1253" s="1">
        <v>0.61931000000000003</v>
      </c>
      <c r="O1253" s="1">
        <f>VLOOKUP(D1253,underlying!$D$2:$H$75,5,FALSE)</f>
        <v>-0.12</v>
      </c>
      <c r="P1253" s="2">
        <f>VLOOKUP(D1253,underlying!$D$2:$L$39,9,FALSE)</f>
        <v>43584</v>
      </c>
      <c r="Q1253" s="7">
        <f>IF(G1253="C",NormalCallSprd(O1253,H1253,M1253,(P1253-A1253)/365), NormalPutSprd(O1253,H1253,M1253,(P1253-A1253)/365))</f>
        <v>0.14001128173577881</v>
      </c>
      <c r="R1253" s="9">
        <f t="shared" si="39"/>
        <v>1.1281735778800872E-5</v>
      </c>
    </row>
    <row r="1254" spans="1:18" x14ac:dyDescent="0.2">
      <c r="A1254" s="2">
        <v>42622</v>
      </c>
      <c r="B1254" s="1" t="s">
        <v>13</v>
      </c>
      <c r="C1254" s="1" t="s">
        <v>14</v>
      </c>
      <c r="D1254" s="2">
        <v>43471</v>
      </c>
      <c r="E1254" s="2">
        <f t="shared" si="38"/>
        <v>43617</v>
      </c>
      <c r="F1254" s="1" t="s">
        <v>15</v>
      </c>
      <c r="G1254" s="1" t="s">
        <v>16</v>
      </c>
      <c r="H1254" s="1">
        <v>-0.45</v>
      </c>
      <c r="I1254" s="1">
        <v>0.47</v>
      </c>
      <c r="J1254" s="1">
        <v>-0.01</v>
      </c>
      <c r="K1254" s="1" t="s">
        <v>46</v>
      </c>
      <c r="L1254" s="1">
        <v>2389</v>
      </c>
      <c r="M1254" s="1">
        <v>0.44</v>
      </c>
      <c r="N1254" s="1">
        <v>0.65063000000000004</v>
      </c>
      <c r="O1254" s="1">
        <f>VLOOKUP(D1254,underlying!$D$2:$H$75,5,FALSE)</f>
        <v>-0.12</v>
      </c>
      <c r="P1254" s="2">
        <f>VLOOKUP(D1254,underlying!$D$2:$L$39,9,FALSE)</f>
        <v>43584</v>
      </c>
      <c r="Q1254" s="7">
        <f>IF(G1254="C",NormalCallSprd(O1254,H1254,M1254,(P1254-A1254)/365), NormalPutSprd(O1254,H1254,M1254,(P1254-A1254)/365))</f>
        <v>0.47985340983011765</v>
      </c>
      <c r="R1254" s="9">
        <f t="shared" si="39"/>
        <v>9.8534098301176765E-3</v>
      </c>
    </row>
    <row r="1255" spans="1:18" x14ac:dyDescent="0.2">
      <c r="A1255" s="2">
        <v>42622</v>
      </c>
      <c r="B1255" s="1" t="s">
        <v>13</v>
      </c>
      <c r="C1255" s="1" t="s">
        <v>14</v>
      </c>
      <c r="D1255" s="2">
        <v>43471</v>
      </c>
      <c r="E1255" s="2">
        <f t="shared" si="38"/>
        <v>43617</v>
      </c>
      <c r="F1255" s="1" t="s">
        <v>15</v>
      </c>
      <c r="G1255" s="1" t="s">
        <v>18</v>
      </c>
      <c r="H1255" s="1">
        <v>-0.45</v>
      </c>
      <c r="I1255" s="1">
        <v>0.15</v>
      </c>
      <c r="J1255" s="1">
        <v>0</v>
      </c>
      <c r="K1255" s="1" t="s">
        <v>46</v>
      </c>
      <c r="L1255" s="1">
        <v>2389</v>
      </c>
      <c r="M1255" s="1">
        <v>0.44</v>
      </c>
      <c r="N1255" s="1">
        <v>0.68005000000000004</v>
      </c>
      <c r="O1255" s="1">
        <f>VLOOKUP(D1255,underlying!$D$2:$H$75,5,FALSE)</f>
        <v>-0.12</v>
      </c>
      <c r="P1255" s="2">
        <f>VLOOKUP(D1255,underlying!$D$2:$L$39,9,FALSE)</f>
        <v>43584</v>
      </c>
      <c r="Q1255" s="7">
        <f>IF(G1255="C",NormalCallSprd(O1255,H1255,M1255,(P1255-A1255)/365), NormalPutSprd(O1255,H1255,M1255,(P1255-A1255)/365))</f>
        <v>0.14985340983011763</v>
      </c>
      <c r="R1255" s="9">
        <f t="shared" si="39"/>
        <v>1.4659016988236018E-4</v>
      </c>
    </row>
    <row r="1256" spans="1:18" x14ac:dyDescent="0.2">
      <c r="A1256" s="2">
        <v>42622</v>
      </c>
      <c r="B1256" s="1" t="s">
        <v>13</v>
      </c>
      <c r="C1256" s="1" t="s">
        <v>14</v>
      </c>
      <c r="D1256" s="2">
        <v>43471</v>
      </c>
      <c r="E1256" s="2">
        <f t="shared" si="38"/>
        <v>43617</v>
      </c>
      <c r="F1256" s="1" t="s">
        <v>15</v>
      </c>
      <c r="G1256" s="1" t="s">
        <v>16</v>
      </c>
      <c r="H1256" s="1">
        <v>-0.4</v>
      </c>
      <c r="I1256" s="1">
        <v>0.43</v>
      </c>
      <c r="J1256" s="1">
        <v>-0.01</v>
      </c>
      <c r="K1256" s="1" t="s">
        <v>46</v>
      </c>
      <c r="L1256" s="1">
        <v>2389</v>
      </c>
      <c r="M1256" s="1">
        <v>0.43</v>
      </c>
      <c r="N1256" s="1">
        <v>0.70840999999999998</v>
      </c>
      <c r="O1256" s="1">
        <f>VLOOKUP(D1256,underlying!$D$2:$H$75,5,FALSE)</f>
        <v>-0.12</v>
      </c>
      <c r="P1256" s="2">
        <f>VLOOKUP(D1256,underlying!$D$2:$L$39,9,FALSE)</f>
        <v>43584</v>
      </c>
      <c r="Q1256" s="7">
        <f>IF(G1256="C",NormalCallSprd(O1256,H1256,M1256,(P1256-A1256)/365), NormalPutSprd(O1256,H1256,M1256,(P1256-A1256)/365))</f>
        <v>0.44060284475057915</v>
      </c>
      <c r="R1256" s="9">
        <f t="shared" si="39"/>
        <v>1.0602844750579155E-2</v>
      </c>
    </row>
    <row r="1257" spans="1:18" x14ac:dyDescent="0.2">
      <c r="A1257" s="2">
        <v>42622</v>
      </c>
      <c r="B1257" s="1" t="s">
        <v>13</v>
      </c>
      <c r="C1257" s="1" t="s">
        <v>14</v>
      </c>
      <c r="D1257" s="2">
        <v>43471</v>
      </c>
      <c r="E1257" s="2">
        <f t="shared" si="38"/>
        <v>43617</v>
      </c>
      <c r="F1257" s="1" t="s">
        <v>15</v>
      </c>
      <c r="G1257" s="1" t="s">
        <v>18</v>
      </c>
      <c r="H1257" s="1">
        <v>-0.4</v>
      </c>
      <c r="I1257" s="1">
        <v>0.16</v>
      </c>
      <c r="J1257" s="1">
        <v>0</v>
      </c>
      <c r="K1257" s="1" t="s">
        <v>46</v>
      </c>
      <c r="L1257" s="1">
        <v>2389</v>
      </c>
      <c r="M1257" s="1">
        <v>0.43</v>
      </c>
      <c r="N1257" s="1">
        <v>0.73458000000000001</v>
      </c>
      <c r="O1257" s="1">
        <f>VLOOKUP(D1257,underlying!$D$2:$H$75,5,FALSE)</f>
        <v>-0.12</v>
      </c>
      <c r="P1257" s="2">
        <f>VLOOKUP(D1257,underlying!$D$2:$L$39,9,FALSE)</f>
        <v>43584</v>
      </c>
      <c r="Q1257" s="7">
        <f>IF(G1257="C",NormalCallSprd(O1257,H1257,M1257,(P1257-A1257)/365), NormalPutSprd(O1257,H1257,M1257,(P1257-A1257)/365))</f>
        <v>0.16060284475057915</v>
      </c>
      <c r="R1257" s="9">
        <f t="shared" si="39"/>
        <v>6.0284475057914566E-4</v>
      </c>
    </row>
    <row r="1258" spans="1:18" x14ac:dyDescent="0.2">
      <c r="A1258" s="2">
        <v>42622</v>
      </c>
      <c r="B1258" s="1" t="s">
        <v>13</v>
      </c>
      <c r="C1258" s="1" t="s">
        <v>14</v>
      </c>
      <c r="D1258" s="2">
        <v>43471</v>
      </c>
      <c r="E1258" s="2">
        <f t="shared" si="38"/>
        <v>43617</v>
      </c>
      <c r="F1258" s="1" t="s">
        <v>15</v>
      </c>
      <c r="G1258" s="1" t="s">
        <v>16</v>
      </c>
      <c r="H1258" s="1">
        <v>-0.35</v>
      </c>
      <c r="I1258" s="1">
        <v>0.4</v>
      </c>
      <c r="J1258" s="1">
        <v>-0.01</v>
      </c>
      <c r="K1258" s="1" t="s">
        <v>46</v>
      </c>
      <c r="L1258" s="1">
        <v>2389</v>
      </c>
      <c r="M1258" s="1">
        <v>0.43</v>
      </c>
      <c r="N1258" s="1">
        <v>0.75773000000000001</v>
      </c>
      <c r="O1258" s="1">
        <f>VLOOKUP(D1258,underlying!$D$2:$H$75,5,FALSE)</f>
        <v>-0.12</v>
      </c>
      <c r="P1258" s="2">
        <f>VLOOKUP(D1258,underlying!$D$2:$L$39,9,FALSE)</f>
        <v>43584</v>
      </c>
      <c r="Q1258" s="7">
        <f>IF(G1258="C",NormalCallSprd(O1258,H1258,M1258,(P1258-A1258)/365), NormalPutSprd(O1258,H1258,M1258,(P1258-A1258)/365))</f>
        <v>0.40847678740400839</v>
      </c>
      <c r="R1258" s="9">
        <f t="shared" si="39"/>
        <v>8.4767874040083679E-3</v>
      </c>
    </row>
    <row r="1259" spans="1:18" x14ac:dyDescent="0.2">
      <c r="A1259" s="2">
        <v>42622</v>
      </c>
      <c r="B1259" s="1" t="s">
        <v>13</v>
      </c>
      <c r="C1259" s="1" t="s">
        <v>14</v>
      </c>
      <c r="D1259" s="2">
        <v>43471</v>
      </c>
      <c r="E1259" s="2">
        <f t="shared" si="38"/>
        <v>43617</v>
      </c>
      <c r="F1259" s="1" t="s">
        <v>15</v>
      </c>
      <c r="G1259" s="1" t="s">
        <v>18</v>
      </c>
      <c r="H1259" s="1">
        <v>-0.35</v>
      </c>
      <c r="I1259" s="1">
        <v>0.18</v>
      </c>
      <c r="J1259" s="1">
        <v>0.01</v>
      </c>
      <c r="K1259" s="1" t="s">
        <v>46</v>
      </c>
      <c r="L1259" s="1">
        <v>2389</v>
      </c>
      <c r="M1259" s="1">
        <v>0.43</v>
      </c>
      <c r="N1259" s="1">
        <v>0.78110000000000002</v>
      </c>
      <c r="O1259" s="1">
        <f>VLOOKUP(D1259,underlying!$D$2:$H$75,5,FALSE)</f>
        <v>-0.12</v>
      </c>
      <c r="P1259" s="2">
        <f>VLOOKUP(D1259,underlying!$D$2:$L$39,9,FALSE)</f>
        <v>43584</v>
      </c>
      <c r="Q1259" s="7">
        <f>IF(G1259="C",NormalCallSprd(O1259,H1259,M1259,(P1259-A1259)/365), NormalPutSprd(O1259,H1259,M1259,(P1259-A1259)/365))</f>
        <v>0.17847678740400841</v>
      </c>
      <c r="R1259" s="9">
        <f t="shared" si="39"/>
        <v>1.5232125959915854E-3</v>
      </c>
    </row>
    <row r="1260" spans="1:18" x14ac:dyDescent="0.2">
      <c r="A1260" s="2">
        <v>42622</v>
      </c>
      <c r="B1260" s="1" t="s">
        <v>13</v>
      </c>
      <c r="C1260" s="1" t="s">
        <v>14</v>
      </c>
      <c r="D1260" s="2">
        <v>43471</v>
      </c>
      <c r="E1260" s="2">
        <f t="shared" si="38"/>
        <v>43617</v>
      </c>
      <c r="F1260" s="1" t="s">
        <v>15</v>
      </c>
      <c r="G1260" s="1" t="s">
        <v>16</v>
      </c>
      <c r="H1260" s="1">
        <v>-0.3</v>
      </c>
      <c r="I1260" s="1">
        <v>0.37</v>
      </c>
      <c r="J1260" s="1">
        <v>-0.01</v>
      </c>
      <c r="K1260" s="1" t="s">
        <v>46</v>
      </c>
      <c r="L1260" s="1">
        <v>2389</v>
      </c>
      <c r="M1260" s="1">
        <v>0.43</v>
      </c>
      <c r="N1260" s="1">
        <v>0.80213999999999996</v>
      </c>
      <c r="O1260" s="1">
        <f>VLOOKUP(D1260,underlying!$D$2:$H$75,5,FALSE)</f>
        <v>-0.12</v>
      </c>
      <c r="P1260" s="2">
        <f>VLOOKUP(D1260,underlying!$D$2:$L$39,9,FALSE)</f>
        <v>43584</v>
      </c>
      <c r="Q1260" s="7">
        <f>IF(G1260="C",NormalCallSprd(O1260,H1260,M1260,(P1260-A1260)/365), NormalPutSprd(O1260,H1260,M1260,(P1260-A1260)/365))</f>
        <v>0.37770343585710869</v>
      </c>
      <c r="R1260" s="9">
        <f t="shared" si="39"/>
        <v>7.703435857108698E-3</v>
      </c>
    </row>
    <row r="1261" spans="1:18" x14ac:dyDescent="0.2">
      <c r="A1261" s="2">
        <v>42622</v>
      </c>
      <c r="B1261" s="1" t="s">
        <v>13</v>
      </c>
      <c r="C1261" s="1" t="s">
        <v>14</v>
      </c>
      <c r="D1261" s="2">
        <v>43471</v>
      </c>
      <c r="E1261" s="2">
        <f t="shared" si="38"/>
        <v>43617</v>
      </c>
      <c r="F1261" s="1" t="s">
        <v>15</v>
      </c>
      <c r="G1261" s="1" t="s">
        <v>18</v>
      </c>
      <c r="H1261" s="1">
        <v>-0.3</v>
      </c>
      <c r="I1261" s="1">
        <v>0.19</v>
      </c>
      <c r="J1261" s="1">
        <v>0</v>
      </c>
      <c r="K1261" s="1" t="s">
        <v>46</v>
      </c>
      <c r="L1261" s="1">
        <v>2389</v>
      </c>
      <c r="M1261" s="1">
        <v>0.43</v>
      </c>
      <c r="N1261" s="1">
        <v>0.82015000000000005</v>
      </c>
      <c r="O1261" s="1">
        <f>VLOOKUP(D1261,underlying!$D$2:$H$75,5,FALSE)</f>
        <v>-0.12</v>
      </c>
      <c r="P1261" s="2">
        <f>VLOOKUP(D1261,underlying!$D$2:$L$39,9,FALSE)</f>
        <v>43584</v>
      </c>
      <c r="Q1261" s="7">
        <f>IF(G1261="C",NormalCallSprd(O1261,H1261,M1261,(P1261-A1261)/365), NormalPutSprd(O1261,H1261,M1261,(P1261-A1261)/365))</f>
        <v>0.19770343585710873</v>
      </c>
      <c r="R1261" s="9">
        <f t="shared" si="39"/>
        <v>7.7034358571087258E-3</v>
      </c>
    </row>
    <row r="1262" spans="1:18" x14ac:dyDescent="0.2">
      <c r="A1262" s="2">
        <v>42622</v>
      </c>
      <c r="B1262" s="1" t="s">
        <v>13</v>
      </c>
      <c r="C1262" s="1" t="s">
        <v>14</v>
      </c>
      <c r="D1262" s="2">
        <v>43471</v>
      </c>
      <c r="E1262" s="2">
        <f t="shared" si="38"/>
        <v>43617</v>
      </c>
      <c r="F1262" s="1" t="s">
        <v>15</v>
      </c>
      <c r="G1262" s="1" t="s">
        <v>16</v>
      </c>
      <c r="H1262" s="1">
        <v>-0.25</v>
      </c>
      <c r="I1262" s="1">
        <v>0.34</v>
      </c>
      <c r="J1262" s="1">
        <v>-0.01</v>
      </c>
      <c r="K1262" s="1" t="s">
        <v>46</v>
      </c>
      <c r="L1262" s="1">
        <v>2389</v>
      </c>
      <c r="M1262" s="1">
        <v>0.43</v>
      </c>
      <c r="N1262" s="1">
        <v>0.83660999999999996</v>
      </c>
      <c r="O1262" s="1">
        <f>VLOOKUP(D1262,underlying!$D$2:$H$75,5,FALSE)</f>
        <v>-0.12</v>
      </c>
      <c r="P1262" s="2">
        <f>VLOOKUP(D1262,underlying!$D$2:$L$39,9,FALSE)</f>
        <v>43584</v>
      </c>
      <c r="Q1262" s="7">
        <f>IF(G1262="C",NormalCallSprd(O1262,H1262,M1262,(P1262-A1262)/365), NormalPutSprd(O1262,H1262,M1262,(P1262-A1262)/365))</f>
        <v>0.34831151829721668</v>
      </c>
      <c r="R1262" s="9">
        <f t="shared" si="39"/>
        <v>8.3115182972166579E-3</v>
      </c>
    </row>
    <row r="1263" spans="1:18" x14ac:dyDescent="0.2">
      <c r="A1263" s="2">
        <v>42622</v>
      </c>
      <c r="B1263" s="1" t="s">
        <v>13</v>
      </c>
      <c r="C1263" s="1" t="s">
        <v>14</v>
      </c>
      <c r="D1263" s="2">
        <v>43471</v>
      </c>
      <c r="E1263" s="2">
        <f t="shared" si="38"/>
        <v>43617</v>
      </c>
      <c r="F1263" s="1" t="s">
        <v>15</v>
      </c>
      <c r="G1263" s="1" t="s">
        <v>18</v>
      </c>
      <c r="H1263" s="1">
        <v>-0.25</v>
      </c>
      <c r="I1263" s="1">
        <v>0.21</v>
      </c>
      <c r="J1263" s="1">
        <v>0</v>
      </c>
      <c r="K1263" s="1" t="s">
        <v>46</v>
      </c>
      <c r="L1263" s="1">
        <v>2389</v>
      </c>
      <c r="M1263" s="1">
        <v>0.43</v>
      </c>
      <c r="N1263" s="1">
        <v>0.85160000000000002</v>
      </c>
      <c r="O1263" s="1">
        <f>VLOOKUP(D1263,underlying!$D$2:$H$75,5,FALSE)</f>
        <v>-0.12</v>
      </c>
      <c r="P1263" s="2">
        <f>VLOOKUP(D1263,underlying!$D$2:$L$39,9,FALSE)</f>
        <v>43584</v>
      </c>
      <c r="Q1263" s="7">
        <f>IF(G1263="C",NormalCallSprd(O1263,H1263,M1263,(P1263-A1263)/365), NormalPutSprd(O1263,H1263,M1263,(P1263-A1263)/365))</f>
        <v>0.21831151829721671</v>
      </c>
      <c r="R1263" s="9">
        <f t="shared" si="39"/>
        <v>8.3115182972167134E-3</v>
      </c>
    </row>
    <row r="1264" spans="1:18" x14ac:dyDescent="0.2">
      <c r="A1264" s="2">
        <v>42622</v>
      </c>
      <c r="B1264" s="1" t="s">
        <v>13</v>
      </c>
      <c r="C1264" s="1" t="s">
        <v>14</v>
      </c>
      <c r="D1264" s="2">
        <v>43471</v>
      </c>
      <c r="E1264" s="2">
        <f t="shared" si="38"/>
        <v>43617</v>
      </c>
      <c r="F1264" s="1" t="s">
        <v>15</v>
      </c>
      <c r="G1264" s="1" t="s">
        <v>16</v>
      </c>
      <c r="H1264" s="1">
        <v>-0.2</v>
      </c>
      <c r="I1264" s="1">
        <v>0.31</v>
      </c>
      <c r="J1264" s="1">
        <v>-0.01</v>
      </c>
      <c r="K1264" s="1" t="s">
        <v>46</v>
      </c>
      <c r="L1264" s="1">
        <v>2389</v>
      </c>
      <c r="M1264" s="1">
        <v>0.43</v>
      </c>
      <c r="N1264" s="1">
        <v>0.87761999999999996</v>
      </c>
      <c r="O1264" s="1">
        <f>VLOOKUP(D1264,underlying!$D$2:$H$75,5,FALSE)</f>
        <v>-0.12</v>
      </c>
      <c r="P1264" s="2">
        <f>VLOOKUP(D1264,underlying!$D$2:$L$39,9,FALSE)</f>
        <v>43584</v>
      </c>
      <c r="Q1264" s="7">
        <f>IF(G1264="C",NormalCallSprd(O1264,H1264,M1264,(P1264-A1264)/365), NormalPutSprd(O1264,H1264,M1264,(P1264-A1264)/365))</f>
        <v>0.32032316039272785</v>
      </c>
      <c r="R1264" s="9">
        <f t="shared" si="39"/>
        <v>1.0323160392727848E-2</v>
      </c>
    </row>
    <row r="1265" spans="1:18" x14ac:dyDescent="0.2">
      <c r="A1265" s="2">
        <v>42622</v>
      </c>
      <c r="B1265" s="1" t="s">
        <v>13</v>
      </c>
      <c r="C1265" s="1" t="s">
        <v>14</v>
      </c>
      <c r="D1265" s="2">
        <v>43471</v>
      </c>
      <c r="E1265" s="2">
        <f t="shared" si="38"/>
        <v>43617</v>
      </c>
      <c r="F1265" s="1" t="s">
        <v>15</v>
      </c>
      <c r="G1265" s="1" t="s">
        <v>18</v>
      </c>
      <c r="H1265" s="1">
        <v>-0.2</v>
      </c>
      <c r="I1265" s="1">
        <v>0.24</v>
      </c>
      <c r="J1265" s="1">
        <v>0.01</v>
      </c>
      <c r="K1265" s="1" t="s">
        <v>46</v>
      </c>
      <c r="L1265" s="1">
        <v>2389</v>
      </c>
      <c r="M1265" s="1">
        <v>0.43</v>
      </c>
      <c r="N1265" s="1">
        <v>0.9748</v>
      </c>
      <c r="O1265" s="1">
        <f>VLOOKUP(D1265,underlying!$D$2:$H$75,5,FALSE)</f>
        <v>-0.12</v>
      </c>
      <c r="P1265" s="2">
        <f>VLOOKUP(D1265,underlying!$D$2:$L$39,9,FALSE)</f>
        <v>43584</v>
      </c>
      <c r="Q1265" s="7">
        <f>IF(G1265="C",NormalCallSprd(O1265,H1265,M1265,(P1265-A1265)/365), NormalPutSprd(O1265,H1265,M1265,(P1265-A1265)/365))</f>
        <v>0.2403231603927278</v>
      </c>
      <c r="R1265" s="9">
        <f t="shared" si="39"/>
        <v>3.231603927278115E-4</v>
      </c>
    </row>
    <row r="1266" spans="1:18" x14ac:dyDescent="0.2">
      <c r="A1266" s="2">
        <v>42622</v>
      </c>
      <c r="B1266" s="1" t="s">
        <v>13</v>
      </c>
      <c r="C1266" s="1" t="s">
        <v>14</v>
      </c>
      <c r="D1266" s="2">
        <v>43471</v>
      </c>
      <c r="E1266" s="2">
        <f t="shared" si="38"/>
        <v>43617</v>
      </c>
      <c r="F1266" s="1" t="s">
        <v>15</v>
      </c>
      <c r="G1266" s="1" t="s">
        <v>16</v>
      </c>
      <c r="H1266" s="1">
        <v>-0.15</v>
      </c>
      <c r="I1266" s="1">
        <v>0.28999999999999998</v>
      </c>
      <c r="J1266" s="1">
        <v>0</v>
      </c>
      <c r="K1266" s="1" t="s">
        <v>46</v>
      </c>
      <c r="L1266" s="1">
        <v>2389</v>
      </c>
      <c r="M1266" s="1">
        <v>0.43</v>
      </c>
      <c r="N1266" s="1">
        <v>0.99163999999999997</v>
      </c>
      <c r="O1266" s="1">
        <f>VLOOKUP(D1266,underlying!$D$2:$H$75,5,FALSE)</f>
        <v>-0.12</v>
      </c>
      <c r="P1266" s="2">
        <f>VLOOKUP(D1266,underlying!$D$2:$L$39,9,FALSE)</f>
        <v>43584</v>
      </c>
      <c r="Q1266" s="7">
        <f>IF(G1266="C",NormalCallSprd(O1266,H1266,M1266,(P1266-A1266)/365), NormalPutSprd(O1266,H1266,M1266,(P1266-A1266)/365))</f>
        <v>0.29375355149555482</v>
      </c>
      <c r="R1266" s="9">
        <f t="shared" si="39"/>
        <v>3.753551495554841E-3</v>
      </c>
    </row>
    <row r="1267" spans="1:18" x14ac:dyDescent="0.2">
      <c r="A1267" s="2">
        <v>42622</v>
      </c>
      <c r="B1267" s="1" t="s">
        <v>13</v>
      </c>
      <c r="C1267" s="1" t="s">
        <v>14</v>
      </c>
      <c r="D1267" s="2">
        <v>43471</v>
      </c>
      <c r="E1267" s="2">
        <f t="shared" si="38"/>
        <v>43617</v>
      </c>
      <c r="F1267" s="1" t="s">
        <v>15</v>
      </c>
      <c r="G1267" s="1" t="s">
        <v>18</v>
      </c>
      <c r="H1267" s="1">
        <v>-0.15</v>
      </c>
      <c r="I1267" s="1">
        <v>0.26</v>
      </c>
      <c r="J1267" s="1">
        <v>0.01</v>
      </c>
      <c r="K1267" s="1" t="s">
        <v>46</v>
      </c>
      <c r="L1267" s="1">
        <v>2389</v>
      </c>
      <c r="M1267" s="1">
        <v>0.43</v>
      </c>
      <c r="N1267" s="1">
        <v>-0.61933000000000005</v>
      </c>
      <c r="O1267" s="1">
        <f>VLOOKUP(D1267,underlying!$D$2:$H$75,5,FALSE)</f>
        <v>-0.12</v>
      </c>
      <c r="P1267" s="2">
        <f>VLOOKUP(D1267,underlying!$D$2:$L$39,9,FALSE)</f>
        <v>43584</v>
      </c>
      <c r="Q1267" s="7">
        <f>IF(G1267="C",NormalCallSprd(O1267,H1267,M1267,(P1267-A1267)/365), NormalPutSprd(O1267,H1267,M1267,(P1267-A1267)/365))</f>
        <v>0.26375355149555479</v>
      </c>
      <c r="R1267" s="9">
        <f t="shared" si="39"/>
        <v>3.7535514955547855E-3</v>
      </c>
    </row>
    <row r="1268" spans="1:18" x14ac:dyDescent="0.2">
      <c r="A1268" s="2">
        <v>42622</v>
      </c>
      <c r="B1268" s="1" t="s">
        <v>13</v>
      </c>
      <c r="C1268" s="1" t="s">
        <v>14</v>
      </c>
      <c r="D1268" s="2">
        <v>43471</v>
      </c>
      <c r="E1268" s="2">
        <f t="shared" si="38"/>
        <v>43617</v>
      </c>
      <c r="F1268" s="1" t="s">
        <v>15</v>
      </c>
      <c r="G1268" s="1" t="s">
        <v>16</v>
      </c>
      <c r="H1268" s="1">
        <v>-0.1</v>
      </c>
      <c r="I1268" s="1">
        <v>0.26</v>
      </c>
      <c r="J1268" s="1">
        <v>-0.01</v>
      </c>
      <c r="K1268" s="1" t="s">
        <v>46</v>
      </c>
      <c r="L1268" s="1">
        <v>2389</v>
      </c>
      <c r="M1268" s="1">
        <v>0.42</v>
      </c>
      <c r="N1268" s="1">
        <v>-0.58343999999999996</v>
      </c>
      <c r="O1268" s="1">
        <f>VLOOKUP(D1268,underlying!$D$2:$H$75,5,FALSE)</f>
        <v>-0.12</v>
      </c>
      <c r="P1268" s="2">
        <f>VLOOKUP(D1268,underlying!$D$2:$L$39,9,FALSE)</f>
        <v>43584</v>
      </c>
      <c r="Q1268" s="7">
        <f>IF(G1268="C",NormalCallSprd(O1268,H1268,M1268,(P1268-A1268)/365), NormalPutSprd(O1268,H1268,M1268,(P1268-A1268)/365))</f>
        <v>0.26213677312625738</v>
      </c>
      <c r="R1268" s="9">
        <f t="shared" si="39"/>
        <v>2.1367731262573741E-3</v>
      </c>
    </row>
    <row r="1269" spans="1:18" x14ac:dyDescent="0.2">
      <c r="A1269" s="2">
        <v>42622</v>
      </c>
      <c r="B1269" s="1" t="s">
        <v>13</v>
      </c>
      <c r="C1269" s="1" t="s">
        <v>14</v>
      </c>
      <c r="D1269" s="2">
        <v>43471</v>
      </c>
      <c r="E1269" s="2">
        <f t="shared" si="38"/>
        <v>43617</v>
      </c>
      <c r="F1269" s="1" t="s">
        <v>15</v>
      </c>
      <c r="G1269" s="1" t="s">
        <v>18</v>
      </c>
      <c r="H1269" s="1">
        <v>-0.1</v>
      </c>
      <c r="I1269" s="1">
        <v>0.28000000000000003</v>
      </c>
      <c r="J1269" s="1">
        <v>0.01</v>
      </c>
      <c r="K1269" s="1" t="s">
        <v>46</v>
      </c>
      <c r="L1269" s="1">
        <v>2389</v>
      </c>
      <c r="M1269" s="1">
        <v>0.42</v>
      </c>
      <c r="N1269" s="1">
        <v>-0.54767999999999994</v>
      </c>
      <c r="O1269" s="1">
        <f>VLOOKUP(D1269,underlying!$D$2:$H$75,5,FALSE)</f>
        <v>-0.12</v>
      </c>
      <c r="P1269" s="2">
        <f>VLOOKUP(D1269,underlying!$D$2:$L$39,9,FALSE)</f>
        <v>43584</v>
      </c>
      <c r="Q1269" s="7">
        <f>IF(G1269="C",NormalCallSprd(O1269,H1269,M1269,(P1269-A1269)/365), NormalPutSprd(O1269,H1269,M1269,(P1269-A1269)/365))</f>
        <v>0.2821367731262574</v>
      </c>
      <c r="R1269" s="9">
        <f t="shared" si="39"/>
        <v>2.1367731262573741E-3</v>
      </c>
    </row>
    <row r="1270" spans="1:18" x14ac:dyDescent="0.2">
      <c r="A1270" s="2">
        <v>42622</v>
      </c>
      <c r="B1270" s="1" t="s">
        <v>13</v>
      </c>
      <c r="C1270" s="1" t="s">
        <v>14</v>
      </c>
      <c r="D1270" s="2">
        <v>43471</v>
      </c>
      <c r="E1270" s="2">
        <f t="shared" si="38"/>
        <v>43617</v>
      </c>
      <c r="F1270" s="1" t="s">
        <v>15</v>
      </c>
      <c r="G1270" s="1" t="s">
        <v>16</v>
      </c>
      <c r="H1270" s="1">
        <v>-0.05</v>
      </c>
      <c r="I1270" s="1">
        <v>0.23</v>
      </c>
      <c r="J1270" s="1">
        <v>-0.01</v>
      </c>
      <c r="K1270" s="1" t="s">
        <v>46</v>
      </c>
      <c r="L1270" s="1">
        <v>2389</v>
      </c>
      <c r="M1270" s="1">
        <v>0.42</v>
      </c>
      <c r="N1270" s="1">
        <v>-0.51205999999999996</v>
      </c>
      <c r="O1270" s="1">
        <f>VLOOKUP(D1270,underlying!$D$2:$H$75,5,FALSE)</f>
        <v>-0.12</v>
      </c>
      <c r="P1270" s="2">
        <f>VLOOKUP(D1270,underlying!$D$2:$L$39,9,FALSE)</f>
        <v>43584</v>
      </c>
      <c r="Q1270" s="7">
        <f>IF(G1270="C",NormalCallSprd(O1270,H1270,M1270,(P1270-A1270)/365), NormalPutSprd(O1270,H1270,M1270,(P1270-A1270)/365))</f>
        <v>0.23845196725272824</v>
      </c>
      <c r="R1270" s="9">
        <f t="shared" si="39"/>
        <v>8.4519672527282319E-3</v>
      </c>
    </row>
    <row r="1271" spans="1:18" x14ac:dyDescent="0.2">
      <c r="A1271" s="2">
        <v>42622</v>
      </c>
      <c r="B1271" s="1" t="s">
        <v>13</v>
      </c>
      <c r="C1271" s="1" t="s">
        <v>14</v>
      </c>
      <c r="D1271" s="2">
        <v>43471</v>
      </c>
      <c r="E1271" s="2">
        <f t="shared" si="38"/>
        <v>43617</v>
      </c>
      <c r="F1271" s="1" t="s">
        <v>15</v>
      </c>
      <c r="G1271" s="1" t="s">
        <v>18</v>
      </c>
      <c r="H1271" s="1">
        <v>-0.05</v>
      </c>
      <c r="I1271" s="1">
        <v>0.3</v>
      </c>
      <c r="J1271" s="1">
        <v>0</v>
      </c>
      <c r="K1271" s="1" t="s">
        <v>46</v>
      </c>
      <c r="L1271" s="1">
        <v>2389</v>
      </c>
      <c r="M1271" s="1">
        <v>0.42</v>
      </c>
      <c r="N1271" s="1">
        <v>-0.47653000000000001</v>
      </c>
      <c r="O1271" s="1">
        <f>VLOOKUP(D1271,underlying!$D$2:$H$75,5,FALSE)</f>
        <v>-0.12</v>
      </c>
      <c r="P1271" s="2">
        <f>VLOOKUP(D1271,underlying!$D$2:$L$39,9,FALSE)</f>
        <v>43584</v>
      </c>
      <c r="Q1271" s="7">
        <f>IF(G1271="C",NormalCallSprd(O1271,H1271,M1271,(P1271-A1271)/365), NormalPutSprd(O1271,H1271,M1271,(P1271-A1271)/365))</f>
        <v>0.30845196725272822</v>
      </c>
      <c r="R1271" s="9">
        <f t="shared" si="39"/>
        <v>8.4519672527282319E-3</v>
      </c>
    </row>
    <row r="1272" spans="1:18" x14ac:dyDescent="0.2">
      <c r="A1272" s="2">
        <v>42622</v>
      </c>
      <c r="B1272" s="1" t="s">
        <v>13</v>
      </c>
      <c r="C1272" s="1" t="s">
        <v>14</v>
      </c>
      <c r="D1272" s="2">
        <v>43472</v>
      </c>
      <c r="E1272" s="2">
        <f t="shared" si="38"/>
        <v>43647</v>
      </c>
      <c r="F1272" s="1" t="s">
        <v>15</v>
      </c>
      <c r="G1272" s="1" t="s">
        <v>16</v>
      </c>
      <c r="H1272" s="1">
        <v>-3</v>
      </c>
      <c r="I1272" s="1">
        <v>2.83</v>
      </c>
      <c r="J1272" s="1">
        <v>-0.01</v>
      </c>
      <c r="K1272" s="1" t="s">
        <v>49</v>
      </c>
      <c r="L1272" s="1">
        <v>2389</v>
      </c>
      <c r="M1272" s="1">
        <v>0.8</v>
      </c>
      <c r="N1272" s="1">
        <v>-0.44166</v>
      </c>
      <c r="O1272" s="1">
        <f>VLOOKUP(D1272,underlying!$D$2:$H$75,5,FALSE)</f>
        <v>-0.12</v>
      </c>
      <c r="P1272" s="2">
        <f>VLOOKUP(D1272,underlying!$D$2:$L$39,9,FALSE)</f>
        <v>43615</v>
      </c>
      <c r="Q1272" s="7">
        <f>IF(G1272="C",NormalCallSprd(O1272,H1272,M1272,(P1272-A1272)/365), NormalPutSprd(O1272,H1272,M1272,(P1272-A1272)/365))</f>
        <v>2.8867749197257528</v>
      </c>
      <c r="R1272" s="9">
        <f t="shared" si="39"/>
        <v>5.677491972575277E-2</v>
      </c>
    </row>
    <row r="1273" spans="1:18" x14ac:dyDescent="0.2">
      <c r="A1273" s="2">
        <v>42622</v>
      </c>
      <c r="B1273" s="1" t="s">
        <v>13</v>
      </c>
      <c r="C1273" s="1" t="s">
        <v>14</v>
      </c>
      <c r="D1273" s="2">
        <v>43472</v>
      </c>
      <c r="E1273" s="2">
        <f t="shared" si="38"/>
        <v>43647</v>
      </c>
      <c r="F1273" s="1" t="s">
        <v>15</v>
      </c>
      <c r="G1273" s="1" t="s">
        <v>18</v>
      </c>
      <c r="H1273" s="1">
        <v>-3</v>
      </c>
      <c r="I1273" s="1">
        <v>0.01</v>
      </c>
      <c r="J1273" s="1">
        <v>0</v>
      </c>
      <c r="K1273" s="1" t="s">
        <v>49</v>
      </c>
      <c r="L1273" s="1">
        <v>2389</v>
      </c>
      <c r="M1273" s="1">
        <v>0.8</v>
      </c>
      <c r="N1273" s="1">
        <v>-0.40794000000000002</v>
      </c>
      <c r="O1273" s="1">
        <f>VLOOKUP(D1273,underlying!$D$2:$H$75,5,FALSE)</f>
        <v>-0.12</v>
      </c>
      <c r="P1273" s="2">
        <f>VLOOKUP(D1273,underlying!$D$2:$L$39,9,FALSE)</f>
        <v>43615</v>
      </c>
      <c r="Q1273" s="7">
        <f>IF(G1273="C",NormalCallSprd(O1273,H1273,M1273,(P1273-A1273)/365), NormalPutSprd(O1273,H1273,M1273,(P1273-A1273)/365))</f>
        <v>6.7749197257529715E-3</v>
      </c>
      <c r="R1273" s="9">
        <f t="shared" si="39"/>
        <v>3.2250802742470287E-3</v>
      </c>
    </row>
    <row r="1274" spans="1:18" x14ac:dyDescent="0.2">
      <c r="A1274" s="2">
        <v>42622</v>
      </c>
      <c r="B1274" s="1" t="s">
        <v>13</v>
      </c>
      <c r="C1274" s="1" t="s">
        <v>14</v>
      </c>
      <c r="D1274" s="2">
        <v>43472</v>
      </c>
      <c r="E1274" s="2">
        <f t="shared" si="38"/>
        <v>43647</v>
      </c>
      <c r="F1274" s="1" t="s">
        <v>15</v>
      </c>
      <c r="G1274" s="1" t="s">
        <v>16</v>
      </c>
      <c r="H1274" s="1">
        <v>-2</v>
      </c>
      <c r="I1274" s="1">
        <v>1.87</v>
      </c>
      <c r="J1274" s="1">
        <v>-0.01</v>
      </c>
      <c r="K1274" s="1" t="s">
        <v>49</v>
      </c>
      <c r="L1274" s="1">
        <v>2389</v>
      </c>
      <c r="M1274" s="1">
        <v>0.69</v>
      </c>
      <c r="N1274" s="1">
        <v>-0.37620999999999999</v>
      </c>
      <c r="O1274" s="1">
        <f>VLOOKUP(D1274,underlying!$D$2:$H$75,5,FALSE)</f>
        <v>-0.12</v>
      </c>
      <c r="P1274" s="2">
        <f>VLOOKUP(D1274,underlying!$D$2:$L$39,9,FALSE)</f>
        <v>43615</v>
      </c>
      <c r="Q1274" s="7">
        <f>IF(G1274="C",NormalCallSprd(O1274,H1274,M1274,(P1274-A1274)/365), NormalPutSprd(O1274,H1274,M1274,(P1274-A1274)/365))</f>
        <v>1.9033807162836103</v>
      </c>
      <c r="R1274" s="9">
        <f t="shared" si="39"/>
        <v>3.3380716283610168E-2</v>
      </c>
    </row>
    <row r="1275" spans="1:18" x14ac:dyDescent="0.2">
      <c r="A1275" s="2">
        <v>42622</v>
      </c>
      <c r="B1275" s="1" t="s">
        <v>13</v>
      </c>
      <c r="C1275" s="1" t="s">
        <v>14</v>
      </c>
      <c r="D1275" s="2">
        <v>43472</v>
      </c>
      <c r="E1275" s="2">
        <f t="shared" si="38"/>
        <v>43647</v>
      </c>
      <c r="F1275" s="1" t="s">
        <v>15</v>
      </c>
      <c r="G1275" s="1" t="s">
        <v>18</v>
      </c>
      <c r="H1275" s="1">
        <v>-2</v>
      </c>
      <c r="I1275" s="1">
        <v>0.02</v>
      </c>
      <c r="J1275" s="1">
        <v>0</v>
      </c>
      <c r="K1275" s="1" t="s">
        <v>49</v>
      </c>
      <c r="L1275" s="1">
        <v>2389</v>
      </c>
      <c r="M1275" s="1">
        <v>0.69</v>
      </c>
      <c r="N1275" s="1">
        <v>-0.34488999999999997</v>
      </c>
      <c r="O1275" s="1">
        <f>VLOOKUP(D1275,underlying!$D$2:$H$75,5,FALSE)</f>
        <v>-0.12</v>
      </c>
      <c r="P1275" s="2">
        <f>VLOOKUP(D1275,underlying!$D$2:$L$39,9,FALSE)</f>
        <v>43615</v>
      </c>
      <c r="Q1275" s="7">
        <f>IF(G1275="C",NormalCallSprd(O1275,H1275,M1275,(P1275-A1275)/365), NormalPutSprd(O1275,H1275,M1275,(P1275-A1275)/365))</f>
        <v>2.3380716283610319E-2</v>
      </c>
      <c r="R1275" s="9">
        <f t="shared" si="39"/>
        <v>3.3807162836103181E-3</v>
      </c>
    </row>
    <row r="1276" spans="1:18" x14ac:dyDescent="0.2">
      <c r="A1276" s="2">
        <v>42622</v>
      </c>
      <c r="B1276" s="1" t="s">
        <v>13</v>
      </c>
      <c r="C1276" s="1" t="s">
        <v>14</v>
      </c>
      <c r="D1276" s="2">
        <v>43472</v>
      </c>
      <c r="E1276" s="2">
        <f t="shared" si="38"/>
        <v>43647</v>
      </c>
      <c r="F1276" s="1" t="s">
        <v>15</v>
      </c>
      <c r="G1276" s="1" t="s">
        <v>16</v>
      </c>
      <c r="H1276" s="1">
        <v>-1</v>
      </c>
      <c r="I1276" s="1">
        <v>0.93</v>
      </c>
      <c r="J1276" s="1">
        <v>-0.01</v>
      </c>
      <c r="K1276" s="1" t="s">
        <v>49</v>
      </c>
      <c r="L1276" s="1">
        <v>2389</v>
      </c>
      <c r="M1276" s="1">
        <v>0.53</v>
      </c>
      <c r="N1276" s="1">
        <v>-0.31547999999999998</v>
      </c>
      <c r="O1276" s="1">
        <f>VLOOKUP(D1276,underlying!$D$2:$H$75,5,FALSE)</f>
        <v>-0.12</v>
      </c>
      <c r="P1276" s="2">
        <f>VLOOKUP(D1276,underlying!$D$2:$L$39,9,FALSE)</f>
        <v>43615</v>
      </c>
      <c r="Q1276" s="7">
        <f>IF(G1276="C",NormalCallSprd(O1276,H1276,M1276,(P1276-A1276)/365), NormalPutSprd(O1276,H1276,M1276,(P1276-A1276)/365))</f>
        <v>0.95191556798091193</v>
      </c>
      <c r="R1276" s="9">
        <f t="shared" si="39"/>
        <v>2.1915567980911876E-2</v>
      </c>
    </row>
    <row r="1277" spans="1:18" x14ac:dyDescent="0.2">
      <c r="A1277" s="2">
        <v>42622</v>
      </c>
      <c r="B1277" s="1" t="s">
        <v>13</v>
      </c>
      <c r="C1277" s="1" t="s">
        <v>14</v>
      </c>
      <c r="D1277" s="2">
        <v>43472</v>
      </c>
      <c r="E1277" s="2">
        <f t="shared" si="38"/>
        <v>43647</v>
      </c>
      <c r="F1277" s="1" t="s">
        <v>15</v>
      </c>
      <c r="G1277" s="1" t="s">
        <v>18</v>
      </c>
      <c r="H1277" s="1">
        <v>-1</v>
      </c>
      <c r="I1277" s="1">
        <v>7.0000000000000007E-2</v>
      </c>
      <c r="J1277" s="1">
        <v>0</v>
      </c>
      <c r="K1277" s="1" t="s">
        <v>49</v>
      </c>
      <c r="L1277" s="1">
        <v>2389</v>
      </c>
      <c r="M1277" s="1">
        <v>0.53</v>
      </c>
      <c r="N1277" s="1">
        <v>-0.28710999999999998</v>
      </c>
      <c r="O1277" s="1">
        <f>VLOOKUP(D1277,underlying!$D$2:$H$75,5,FALSE)</f>
        <v>-0.12</v>
      </c>
      <c r="P1277" s="2">
        <f>VLOOKUP(D1277,underlying!$D$2:$L$39,9,FALSE)</f>
        <v>43615</v>
      </c>
      <c r="Q1277" s="7">
        <f>IF(G1277="C",NormalCallSprd(O1277,H1277,M1277,(P1277-A1277)/365), NormalPutSprd(O1277,H1277,M1277,(P1277-A1277)/365))</f>
        <v>7.1915567980911976E-2</v>
      </c>
      <c r="R1277" s="9">
        <f t="shared" si="39"/>
        <v>1.9155679809119697E-3</v>
      </c>
    </row>
    <row r="1278" spans="1:18" x14ac:dyDescent="0.2">
      <c r="A1278" s="2">
        <v>42622</v>
      </c>
      <c r="B1278" s="1" t="s">
        <v>13</v>
      </c>
      <c r="C1278" s="1" t="s">
        <v>14</v>
      </c>
      <c r="D1278" s="2">
        <v>43472</v>
      </c>
      <c r="E1278" s="2">
        <f t="shared" si="38"/>
        <v>43647</v>
      </c>
      <c r="F1278" s="1" t="s">
        <v>15</v>
      </c>
      <c r="G1278" s="1" t="s">
        <v>16</v>
      </c>
      <c r="H1278" s="1">
        <v>-0.65</v>
      </c>
      <c r="I1278" s="1">
        <v>0.64</v>
      </c>
      <c r="J1278" s="1">
        <v>-0.01</v>
      </c>
      <c r="K1278" s="1" t="s">
        <v>49</v>
      </c>
      <c r="L1278" s="1">
        <v>2389</v>
      </c>
      <c r="M1278" s="1">
        <v>0.48</v>
      </c>
      <c r="N1278" s="1">
        <v>-0.26095000000000002</v>
      </c>
      <c r="O1278" s="1">
        <f>VLOOKUP(D1278,underlying!$D$2:$H$75,5,FALSE)</f>
        <v>-0.12</v>
      </c>
      <c r="P1278" s="2">
        <f>VLOOKUP(D1278,underlying!$D$2:$L$39,9,FALSE)</f>
        <v>43615</v>
      </c>
      <c r="Q1278" s="7">
        <f>IF(G1278="C",NormalCallSprd(O1278,H1278,M1278,(P1278-A1278)/365), NormalPutSprd(O1278,H1278,M1278,(P1278-A1278)/365))</f>
        <v>0.64909202305532798</v>
      </c>
      <c r="R1278" s="9">
        <f t="shared" si="39"/>
        <v>9.0920230553279691E-3</v>
      </c>
    </row>
    <row r="1279" spans="1:18" x14ac:dyDescent="0.2">
      <c r="A1279" s="2">
        <v>42622</v>
      </c>
      <c r="B1279" s="1" t="s">
        <v>13</v>
      </c>
      <c r="C1279" s="1" t="s">
        <v>14</v>
      </c>
      <c r="D1279" s="2">
        <v>43472</v>
      </c>
      <c r="E1279" s="2">
        <f t="shared" si="38"/>
        <v>43647</v>
      </c>
      <c r="F1279" s="1" t="s">
        <v>15</v>
      </c>
      <c r="G1279" s="1" t="s">
        <v>18</v>
      </c>
      <c r="H1279" s="1">
        <v>-0.65</v>
      </c>
      <c r="I1279" s="1">
        <v>0.12</v>
      </c>
      <c r="J1279" s="1">
        <v>0</v>
      </c>
      <c r="K1279" s="1" t="s">
        <v>49</v>
      </c>
      <c r="L1279" s="1">
        <v>2389</v>
      </c>
      <c r="M1279" s="1">
        <v>0.48</v>
      </c>
      <c r="N1279" s="1">
        <v>-0.23780000000000001</v>
      </c>
      <c r="O1279" s="1">
        <f>VLOOKUP(D1279,underlying!$D$2:$H$75,5,FALSE)</f>
        <v>-0.12</v>
      </c>
      <c r="P1279" s="2">
        <f>VLOOKUP(D1279,underlying!$D$2:$L$39,9,FALSE)</f>
        <v>43615</v>
      </c>
      <c r="Q1279" s="7">
        <f>IF(G1279="C",NormalCallSprd(O1279,H1279,M1279,(P1279-A1279)/365), NormalPutSprd(O1279,H1279,M1279,(P1279-A1279)/365))</f>
        <v>0.11909202305532801</v>
      </c>
      <c r="R1279" s="9">
        <f t="shared" si="39"/>
        <v>9.0797694467198431E-4</v>
      </c>
    </row>
    <row r="1280" spans="1:18" x14ac:dyDescent="0.2">
      <c r="A1280" s="2">
        <v>42622</v>
      </c>
      <c r="B1280" s="1" t="s">
        <v>13</v>
      </c>
      <c r="C1280" s="1" t="s">
        <v>14</v>
      </c>
      <c r="D1280" s="2">
        <v>43472</v>
      </c>
      <c r="E1280" s="2">
        <f t="shared" si="38"/>
        <v>43647</v>
      </c>
      <c r="F1280" s="1" t="s">
        <v>15</v>
      </c>
      <c r="G1280" s="1" t="s">
        <v>16</v>
      </c>
      <c r="H1280" s="1">
        <v>-0.6</v>
      </c>
      <c r="I1280" s="1">
        <v>0.6</v>
      </c>
      <c r="J1280" s="1">
        <v>-0.01</v>
      </c>
      <c r="K1280" s="1" t="s">
        <v>49</v>
      </c>
      <c r="L1280" s="1">
        <v>2389</v>
      </c>
      <c r="M1280" s="1">
        <v>0.48</v>
      </c>
      <c r="N1280" s="1">
        <v>-0.21443000000000001</v>
      </c>
      <c r="O1280" s="1">
        <f>VLOOKUP(D1280,underlying!$D$2:$H$75,5,FALSE)</f>
        <v>-0.12</v>
      </c>
      <c r="P1280" s="2">
        <f>VLOOKUP(D1280,underlying!$D$2:$L$39,9,FALSE)</f>
        <v>43615</v>
      </c>
      <c r="Q1280" s="7">
        <f>IF(G1280="C",NormalCallSprd(O1280,H1280,M1280,(P1280-A1280)/365), NormalPutSprd(O1280,H1280,M1280,(P1280-A1280)/365))</f>
        <v>0.61218295024569547</v>
      </c>
      <c r="R1280" s="9">
        <f t="shared" si="39"/>
        <v>1.218295024569549E-2</v>
      </c>
    </row>
    <row r="1281" spans="1:18" x14ac:dyDescent="0.2">
      <c r="A1281" s="2">
        <v>42622</v>
      </c>
      <c r="B1281" s="1" t="s">
        <v>13</v>
      </c>
      <c r="C1281" s="1" t="s">
        <v>14</v>
      </c>
      <c r="D1281" s="2">
        <v>43472</v>
      </c>
      <c r="E1281" s="2">
        <f t="shared" si="38"/>
        <v>43647</v>
      </c>
      <c r="F1281" s="1" t="s">
        <v>15</v>
      </c>
      <c r="G1281" s="1" t="s">
        <v>18</v>
      </c>
      <c r="H1281" s="1">
        <v>-0.6</v>
      </c>
      <c r="I1281" s="1">
        <v>0.13</v>
      </c>
      <c r="J1281" s="1">
        <v>0</v>
      </c>
      <c r="K1281" s="1" t="s">
        <v>49</v>
      </c>
      <c r="L1281" s="1">
        <v>2389</v>
      </c>
      <c r="M1281" s="1">
        <v>0.48</v>
      </c>
      <c r="N1281" s="1">
        <v>-0.19339000000000001</v>
      </c>
      <c r="O1281" s="1">
        <f>VLOOKUP(D1281,underlying!$D$2:$H$75,5,FALSE)</f>
        <v>-0.12</v>
      </c>
      <c r="P1281" s="2">
        <f>VLOOKUP(D1281,underlying!$D$2:$L$39,9,FALSE)</f>
        <v>43615</v>
      </c>
      <c r="Q1281" s="7">
        <f>IF(G1281="C",NormalCallSprd(O1281,H1281,M1281,(P1281-A1281)/365), NormalPutSprd(O1281,H1281,M1281,(P1281-A1281)/365))</f>
        <v>0.13218295024569543</v>
      </c>
      <c r="R1281" s="9">
        <f t="shared" si="39"/>
        <v>2.1829502456954253E-3</v>
      </c>
    </row>
    <row r="1282" spans="1:18" x14ac:dyDescent="0.2">
      <c r="A1282" s="2">
        <v>42622</v>
      </c>
      <c r="B1282" s="1" t="s">
        <v>13</v>
      </c>
      <c r="C1282" s="1" t="s">
        <v>14</v>
      </c>
      <c r="D1282" s="2">
        <v>43472</v>
      </c>
      <c r="E1282" s="2">
        <f t="shared" ref="E1282:E1345" si="40">DATE(YEAR(D1282),DAY(D1282),MONTH(D1282))</f>
        <v>43647</v>
      </c>
      <c r="F1282" s="1" t="s">
        <v>15</v>
      </c>
      <c r="G1282" s="1" t="s">
        <v>16</v>
      </c>
      <c r="H1282" s="1">
        <v>-0.55000000000000004</v>
      </c>
      <c r="I1282" s="1">
        <v>0.56000000000000005</v>
      </c>
      <c r="J1282" s="1">
        <v>-0.01</v>
      </c>
      <c r="K1282" s="1" t="s">
        <v>49</v>
      </c>
      <c r="L1282" s="1">
        <v>2389</v>
      </c>
      <c r="M1282" s="1">
        <v>0.47</v>
      </c>
      <c r="N1282" s="1">
        <v>-0.17537</v>
      </c>
      <c r="O1282" s="1">
        <f>VLOOKUP(D1282,underlying!$D$2:$H$75,5,FALSE)</f>
        <v>-0.12</v>
      </c>
      <c r="P1282" s="2">
        <f>VLOOKUP(D1282,underlying!$D$2:$L$39,9,FALSE)</f>
        <v>43615</v>
      </c>
      <c r="Q1282" s="7">
        <f>IF(G1282="C",NormalCallSprd(O1282,H1282,M1282,(P1282-A1282)/365), NormalPutSprd(O1282,H1282,M1282,(P1282-A1282)/365))</f>
        <v>0.57066184072392878</v>
      </c>
      <c r="R1282" s="9">
        <f t="shared" si="39"/>
        <v>1.0661840723928728E-2</v>
      </c>
    </row>
    <row r="1283" spans="1:18" x14ac:dyDescent="0.2">
      <c r="A1283" s="2">
        <v>42622</v>
      </c>
      <c r="B1283" s="1" t="s">
        <v>13</v>
      </c>
      <c r="C1283" s="1" t="s">
        <v>14</v>
      </c>
      <c r="D1283" s="2">
        <v>43472</v>
      </c>
      <c r="E1283" s="2">
        <f t="shared" si="40"/>
        <v>43647</v>
      </c>
      <c r="F1283" s="1" t="s">
        <v>15</v>
      </c>
      <c r="G1283" s="1" t="s">
        <v>18</v>
      </c>
      <c r="H1283" s="1">
        <v>-0.55000000000000004</v>
      </c>
      <c r="I1283" s="1">
        <v>0.14000000000000001</v>
      </c>
      <c r="J1283" s="1">
        <v>0</v>
      </c>
      <c r="K1283" s="1" t="s">
        <v>49</v>
      </c>
      <c r="L1283" s="1">
        <v>2389</v>
      </c>
      <c r="M1283" s="1">
        <v>0.47</v>
      </c>
      <c r="N1283" s="1">
        <v>-0.15892000000000001</v>
      </c>
      <c r="O1283" s="1">
        <f>VLOOKUP(D1283,underlying!$D$2:$H$75,5,FALSE)</f>
        <v>-0.12</v>
      </c>
      <c r="P1283" s="2">
        <f>VLOOKUP(D1283,underlying!$D$2:$L$39,9,FALSE)</f>
        <v>43615</v>
      </c>
      <c r="Q1283" s="7">
        <f>IF(G1283="C",NormalCallSprd(O1283,H1283,M1283,(P1283-A1283)/365), NormalPutSprd(O1283,H1283,M1283,(P1283-A1283)/365))</f>
        <v>0.14066184072392879</v>
      </c>
      <c r="R1283" s="9">
        <f t="shared" ref="R1283:R1346" si="41">ABS(Q1283-I1283)</f>
        <v>6.6184072392877491E-4</v>
      </c>
    </row>
    <row r="1284" spans="1:18" x14ac:dyDescent="0.2">
      <c r="A1284" s="2">
        <v>42622</v>
      </c>
      <c r="B1284" s="1" t="s">
        <v>13</v>
      </c>
      <c r="C1284" s="1" t="s">
        <v>14</v>
      </c>
      <c r="D1284" s="2">
        <v>43472</v>
      </c>
      <c r="E1284" s="2">
        <f t="shared" si="40"/>
        <v>43647</v>
      </c>
      <c r="F1284" s="1" t="s">
        <v>15</v>
      </c>
      <c r="G1284" s="1" t="s">
        <v>16</v>
      </c>
      <c r="H1284" s="1">
        <v>-0.5</v>
      </c>
      <c r="I1284" s="1">
        <v>0.52</v>
      </c>
      <c r="J1284" s="1">
        <v>-0.01</v>
      </c>
      <c r="K1284" s="1" t="s">
        <v>49</v>
      </c>
      <c r="L1284" s="1">
        <v>2389</v>
      </c>
      <c r="M1284" s="1">
        <v>0.46</v>
      </c>
      <c r="N1284" s="1">
        <v>-0.14391999999999999</v>
      </c>
      <c r="O1284" s="1">
        <f>VLOOKUP(D1284,underlying!$D$2:$H$75,5,FALSE)</f>
        <v>-0.12</v>
      </c>
      <c r="P1284" s="2">
        <f>VLOOKUP(D1284,underlying!$D$2:$L$39,9,FALSE)</f>
        <v>43615</v>
      </c>
      <c r="Q1284" s="7">
        <f>IF(G1284="C",NormalCallSprd(O1284,H1284,M1284,(P1284-A1284)/365), NormalPutSprd(O1284,H1284,M1284,(P1284-A1284)/365))</f>
        <v>0.52987759637909204</v>
      </c>
      <c r="R1284" s="9">
        <f t="shared" si="41"/>
        <v>9.877596379092024E-3</v>
      </c>
    </row>
    <row r="1285" spans="1:18" x14ac:dyDescent="0.2">
      <c r="A1285" s="2">
        <v>42622</v>
      </c>
      <c r="B1285" s="1" t="s">
        <v>13</v>
      </c>
      <c r="C1285" s="1" t="s">
        <v>14</v>
      </c>
      <c r="D1285" s="2">
        <v>43472</v>
      </c>
      <c r="E1285" s="2">
        <f t="shared" si="40"/>
        <v>43647</v>
      </c>
      <c r="F1285" s="1" t="s">
        <v>15</v>
      </c>
      <c r="G1285" s="1" t="s">
        <v>18</v>
      </c>
      <c r="H1285" s="1">
        <v>-0.5</v>
      </c>
      <c r="I1285" s="1">
        <v>0.15</v>
      </c>
      <c r="J1285" s="1">
        <v>0</v>
      </c>
      <c r="K1285" s="1" t="s">
        <v>49</v>
      </c>
      <c r="L1285" s="1">
        <v>2389</v>
      </c>
      <c r="M1285" s="1">
        <v>0.46</v>
      </c>
      <c r="N1285" s="1">
        <v>-0.1179</v>
      </c>
      <c r="O1285" s="1">
        <f>VLOOKUP(D1285,underlying!$D$2:$H$75,5,FALSE)</f>
        <v>-0.12</v>
      </c>
      <c r="P1285" s="2">
        <f>VLOOKUP(D1285,underlying!$D$2:$L$39,9,FALSE)</f>
        <v>43615</v>
      </c>
      <c r="Q1285" s="7">
        <f>IF(G1285="C",NormalCallSprd(O1285,H1285,M1285,(P1285-A1285)/365), NormalPutSprd(O1285,H1285,M1285,(P1285-A1285)/365))</f>
        <v>0.14987759637909198</v>
      </c>
      <c r="R1285" s="9">
        <f t="shared" si="41"/>
        <v>1.224036209080126E-4</v>
      </c>
    </row>
    <row r="1286" spans="1:18" x14ac:dyDescent="0.2">
      <c r="A1286" s="2">
        <v>42622</v>
      </c>
      <c r="B1286" s="1" t="s">
        <v>13</v>
      </c>
      <c r="C1286" s="1" t="s">
        <v>14</v>
      </c>
      <c r="D1286" s="2">
        <v>43472</v>
      </c>
      <c r="E1286" s="2">
        <f t="shared" si="40"/>
        <v>43647</v>
      </c>
      <c r="F1286" s="1" t="s">
        <v>15</v>
      </c>
      <c r="G1286" s="1" t="s">
        <v>16</v>
      </c>
      <c r="H1286" s="1">
        <v>-0.45</v>
      </c>
      <c r="I1286" s="1">
        <v>0.49</v>
      </c>
      <c r="J1286" s="1">
        <v>0</v>
      </c>
      <c r="K1286" s="1" t="s">
        <v>49</v>
      </c>
      <c r="L1286" s="1">
        <v>2389</v>
      </c>
      <c r="M1286" s="1">
        <v>0.46</v>
      </c>
      <c r="N1286" s="1">
        <v>-2.0719999999999999E-2</v>
      </c>
      <c r="O1286" s="1">
        <f>VLOOKUP(D1286,underlying!$D$2:$H$75,5,FALSE)</f>
        <v>-0.12</v>
      </c>
      <c r="P1286" s="2">
        <f>VLOOKUP(D1286,underlying!$D$2:$L$39,9,FALSE)</f>
        <v>43615</v>
      </c>
      <c r="Q1286" s="7">
        <f>IF(G1286="C",NormalCallSprd(O1286,H1286,M1286,(P1286-A1286)/365), NormalPutSprd(O1286,H1286,M1286,(P1286-A1286)/365))</f>
        <v>0.4958757188531433</v>
      </c>
      <c r="R1286" s="9">
        <f t="shared" si="41"/>
        <v>5.875718853143308E-3</v>
      </c>
    </row>
    <row r="1287" spans="1:18" x14ac:dyDescent="0.2">
      <c r="A1287" s="2">
        <v>42622</v>
      </c>
      <c r="B1287" s="1" t="s">
        <v>13</v>
      </c>
      <c r="C1287" s="1" t="s">
        <v>14</v>
      </c>
      <c r="D1287" s="2">
        <v>43472</v>
      </c>
      <c r="E1287" s="2">
        <f t="shared" si="40"/>
        <v>43647</v>
      </c>
      <c r="F1287" s="1" t="s">
        <v>15</v>
      </c>
      <c r="G1287" s="1" t="s">
        <v>18</v>
      </c>
      <c r="H1287" s="1">
        <v>-0.45</v>
      </c>
      <c r="I1287" s="1">
        <v>0.16</v>
      </c>
      <c r="J1287" s="1">
        <v>0</v>
      </c>
      <c r="K1287" s="1" t="s">
        <v>49</v>
      </c>
      <c r="L1287" s="1">
        <v>2389</v>
      </c>
      <c r="M1287" s="1">
        <v>0.46</v>
      </c>
      <c r="N1287" s="1">
        <v>-3.8800000000000002E-3</v>
      </c>
      <c r="O1287" s="1">
        <f>VLOOKUP(D1287,underlying!$D$2:$H$75,5,FALSE)</f>
        <v>-0.12</v>
      </c>
      <c r="P1287" s="2">
        <f>VLOOKUP(D1287,underlying!$D$2:$L$39,9,FALSE)</f>
        <v>43615</v>
      </c>
      <c r="Q1287" s="7">
        <f>IF(G1287="C",NormalCallSprd(O1287,H1287,M1287,(P1287-A1287)/365), NormalPutSprd(O1287,H1287,M1287,(P1287-A1287)/365))</f>
        <v>0.16587571885314331</v>
      </c>
      <c r="R1287" s="9">
        <f t="shared" si="41"/>
        <v>5.875718853143308E-3</v>
      </c>
    </row>
    <row r="1288" spans="1:18" x14ac:dyDescent="0.2">
      <c r="A1288" s="2">
        <v>42622</v>
      </c>
      <c r="B1288" s="1" t="s">
        <v>13</v>
      </c>
      <c r="C1288" s="1" t="s">
        <v>14</v>
      </c>
      <c r="D1288" s="2">
        <v>43472</v>
      </c>
      <c r="E1288" s="2">
        <f t="shared" si="40"/>
        <v>43647</v>
      </c>
      <c r="F1288" s="1" t="s">
        <v>15</v>
      </c>
      <c r="G1288" s="1" t="s">
        <v>16</v>
      </c>
      <c r="H1288" s="1">
        <v>-0.4</v>
      </c>
      <c r="I1288" s="1">
        <v>0.45</v>
      </c>
      <c r="J1288" s="1">
        <v>-0.01</v>
      </c>
      <c r="K1288" s="1" t="s">
        <v>49</v>
      </c>
      <c r="L1288" s="1">
        <v>2389</v>
      </c>
      <c r="M1288" s="1">
        <v>0.45</v>
      </c>
      <c r="N1288" s="1">
        <v>0.42401</v>
      </c>
      <c r="O1288" s="1">
        <f>VLOOKUP(D1288,underlying!$D$2:$H$75,5,FALSE)</f>
        <v>-0.12</v>
      </c>
      <c r="P1288" s="2">
        <f>VLOOKUP(D1288,underlying!$D$2:$L$39,9,FALSE)</f>
        <v>43615</v>
      </c>
      <c r="Q1288" s="7">
        <f>IF(G1288="C",NormalCallSprd(O1288,H1288,M1288,(P1288-A1288)/365), NormalPutSprd(O1288,H1288,M1288,(P1288-A1288)/365))</f>
        <v>0.45693163229656725</v>
      </c>
      <c r="R1288" s="9">
        <f t="shared" si="41"/>
        <v>6.9316322965672361E-3</v>
      </c>
    </row>
    <row r="1289" spans="1:18" x14ac:dyDescent="0.2">
      <c r="A1289" s="2">
        <v>42622</v>
      </c>
      <c r="B1289" s="1" t="s">
        <v>13</v>
      </c>
      <c r="C1289" s="1" t="s">
        <v>14</v>
      </c>
      <c r="D1289" s="2">
        <v>43472</v>
      </c>
      <c r="E1289" s="2">
        <f t="shared" si="40"/>
        <v>43647</v>
      </c>
      <c r="F1289" s="1" t="s">
        <v>15</v>
      </c>
      <c r="G1289" s="1" t="s">
        <v>18</v>
      </c>
      <c r="H1289" s="1">
        <v>-0.4</v>
      </c>
      <c r="I1289" s="1">
        <v>0.17</v>
      </c>
      <c r="J1289" s="1">
        <v>0</v>
      </c>
      <c r="K1289" s="1" t="s">
        <v>49</v>
      </c>
      <c r="L1289" s="1">
        <v>2389</v>
      </c>
      <c r="M1289" s="1">
        <v>0.45</v>
      </c>
      <c r="N1289" s="1">
        <v>0.4526</v>
      </c>
      <c r="O1289" s="1">
        <f>VLOOKUP(D1289,underlying!$D$2:$H$75,5,FALSE)</f>
        <v>-0.12</v>
      </c>
      <c r="P1289" s="2">
        <f>VLOOKUP(D1289,underlying!$D$2:$L$39,9,FALSE)</f>
        <v>43615</v>
      </c>
      <c r="Q1289" s="7">
        <f>IF(G1289="C",NormalCallSprd(O1289,H1289,M1289,(P1289-A1289)/365), NormalPutSprd(O1289,H1289,M1289,(P1289-A1289)/365))</f>
        <v>0.17693163229656722</v>
      </c>
      <c r="R1289" s="9">
        <f t="shared" si="41"/>
        <v>6.9316322965672084E-3</v>
      </c>
    </row>
    <row r="1290" spans="1:18" x14ac:dyDescent="0.2">
      <c r="A1290" s="2">
        <v>42622</v>
      </c>
      <c r="B1290" s="1" t="s">
        <v>13</v>
      </c>
      <c r="C1290" s="1" t="s">
        <v>14</v>
      </c>
      <c r="D1290" s="2">
        <v>43472</v>
      </c>
      <c r="E1290" s="2">
        <f t="shared" si="40"/>
        <v>43647</v>
      </c>
      <c r="F1290" s="1" t="s">
        <v>15</v>
      </c>
      <c r="G1290" s="1" t="s">
        <v>16</v>
      </c>
      <c r="H1290" s="1">
        <v>-0.35</v>
      </c>
      <c r="I1290" s="1">
        <v>0.41</v>
      </c>
      <c r="J1290" s="1">
        <v>-0.01</v>
      </c>
      <c r="K1290" s="1" t="s">
        <v>49</v>
      </c>
      <c r="L1290" s="1">
        <v>2389</v>
      </c>
      <c r="M1290" s="1">
        <v>0.44</v>
      </c>
      <c r="N1290" s="1">
        <v>0.48218</v>
      </c>
      <c r="O1290" s="1">
        <f>VLOOKUP(D1290,underlying!$D$2:$H$75,5,FALSE)</f>
        <v>-0.12</v>
      </c>
      <c r="P1290" s="2">
        <f>VLOOKUP(D1290,underlying!$D$2:$L$39,9,FALSE)</f>
        <v>43615</v>
      </c>
      <c r="Q1290" s="7">
        <f>IF(G1290="C",NormalCallSprd(O1290,H1290,M1290,(P1290-A1290)/365), NormalPutSprd(O1290,H1290,M1290,(P1290-A1290)/365))</f>
        <v>0.4189474413359715</v>
      </c>
      <c r="R1290" s="9">
        <f t="shared" si="41"/>
        <v>8.9474413359715288E-3</v>
      </c>
    </row>
    <row r="1291" spans="1:18" x14ac:dyDescent="0.2">
      <c r="A1291" s="2">
        <v>42622</v>
      </c>
      <c r="B1291" s="1" t="s">
        <v>13</v>
      </c>
      <c r="C1291" s="1" t="s">
        <v>14</v>
      </c>
      <c r="D1291" s="2">
        <v>43472</v>
      </c>
      <c r="E1291" s="2">
        <f t="shared" si="40"/>
        <v>43647</v>
      </c>
      <c r="F1291" s="1" t="s">
        <v>15</v>
      </c>
      <c r="G1291" s="1" t="s">
        <v>18</v>
      </c>
      <c r="H1291" s="1">
        <v>-0.35</v>
      </c>
      <c r="I1291" s="1">
        <v>0.18</v>
      </c>
      <c r="J1291" s="1">
        <v>0</v>
      </c>
      <c r="K1291" s="1" t="s">
        <v>49</v>
      </c>
      <c r="L1291" s="1">
        <v>2389</v>
      </c>
      <c r="M1291" s="1">
        <v>0.44</v>
      </c>
      <c r="N1291" s="1">
        <v>0.51215999999999995</v>
      </c>
      <c r="O1291" s="1">
        <f>VLOOKUP(D1291,underlying!$D$2:$H$75,5,FALSE)</f>
        <v>-0.12</v>
      </c>
      <c r="P1291" s="2">
        <f>VLOOKUP(D1291,underlying!$D$2:$L$39,9,FALSE)</f>
        <v>43615</v>
      </c>
      <c r="Q1291" s="7">
        <f>IF(G1291="C",NormalCallSprd(O1291,H1291,M1291,(P1291-A1291)/365), NormalPutSprd(O1291,H1291,M1291,(P1291-A1291)/365))</f>
        <v>0.18894744133597152</v>
      </c>
      <c r="R1291" s="9">
        <f t="shared" si="41"/>
        <v>8.9474413359715288E-3</v>
      </c>
    </row>
    <row r="1292" spans="1:18" x14ac:dyDescent="0.2">
      <c r="A1292" s="2">
        <v>42622</v>
      </c>
      <c r="B1292" s="1" t="s">
        <v>13</v>
      </c>
      <c r="C1292" s="1" t="s">
        <v>14</v>
      </c>
      <c r="D1292" s="2">
        <v>43472</v>
      </c>
      <c r="E1292" s="2">
        <f t="shared" si="40"/>
        <v>43647</v>
      </c>
      <c r="F1292" s="1" t="s">
        <v>15</v>
      </c>
      <c r="G1292" s="1" t="s">
        <v>16</v>
      </c>
      <c r="H1292" s="1">
        <v>-0.3</v>
      </c>
      <c r="I1292" s="1">
        <v>0.37</v>
      </c>
      <c r="J1292" s="1">
        <v>-0.01</v>
      </c>
      <c r="K1292" s="1" t="s">
        <v>49</v>
      </c>
      <c r="L1292" s="1">
        <v>2389</v>
      </c>
      <c r="M1292" s="1">
        <v>0.43</v>
      </c>
      <c r="N1292" s="1">
        <v>0.54146000000000005</v>
      </c>
      <c r="O1292" s="1">
        <f>VLOOKUP(D1292,underlying!$D$2:$H$75,5,FALSE)</f>
        <v>-0.12</v>
      </c>
      <c r="P1292" s="2">
        <f>VLOOKUP(D1292,underlying!$D$2:$L$39,9,FALSE)</f>
        <v>43615</v>
      </c>
      <c r="Q1292" s="7">
        <f>IF(G1292="C",NormalCallSprd(O1292,H1292,M1292,(P1292-A1292)/365), NormalPutSprd(O1292,H1292,M1292,(P1292-A1292)/365))</f>
        <v>0.38201176729716452</v>
      </c>
      <c r="R1292" s="9">
        <f t="shared" si="41"/>
        <v>1.2011767297164522E-2</v>
      </c>
    </row>
    <row r="1293" spans="1:18" x14ac:dyDescent="0.2">
      <c r="A1293" s="2">
        <v>42622</v>
      </c>
      <c r="B1293" s="1" t="s">
        <v>13</v>
      </c>
      <c r="C1293" s="1" t="s">
        <v>14</v>
      </c>
      <c r="D1293" s="2">
        <v>43472</v>
      </c>
      <c r="E1293" s="2">
        <f t="shared" si="40"/>
        <v>43647</v>
      </c>
      <c r="F1293" s="1" t="s">
        <v>15</v>
      </c>
      <c r="G1293" s="1" t="s">
        <v>18</v>
      </c>
      <c r="H1293" s="1">
        <v>-0.3</v>
      </c>
      <c r="I1293" s="1">
        <v>0.2</v>
      </c>
      <c r="J1293" s="1">
        <v>0</v>
      </c>
      <c r="K1293" s="1" t="s">
        <v>49</v>
      </c>
      <c r="L1293" s="1">
        <v>2389</v>
      </c>
      <c r="M1293" s="1">
        <v>0.43</v>
      </c>
      <c r="N1293" s="1">
        <v>0.57010000000000005</v>
      </c>
      <c r="O1293" s="1">
        <f>VLOOKUP(D1293,underlying!$D$2:$H$75,5,FALSE)</f>
        <v>-0.12</v>
      </c>
      <c r="P1293" s="2">
        <f>VLOOKUP(D1293,underlying!$D$2:$L$39,9,FALSE)</f>
        <v>43615</v>
      </c>
      <c r="Q1293" s="7">
        <f>IF(G1293="C",NormalCallSprd(O1293,H1293,M1293,(P1293-A1293)/365), NormalPutSprd(O1293,H1293,M1293,(P1293-A1293)/365))</f>
        <v>0.20201176729716455</v>
      </c>
      <c r="R1293" s="9">
        <f t="shared" si="41"/>
        <v>2.0117672971645406E-3</v>
      </c>
    </row>
    <row r="1294" spans="1:18" x14ac:dyDescent="0.2">
      <c r="A1294" s="2">
        <v>42622</v>
      </c>
      <c r="B1294" s="1" t="s">
        <v>13</v>
      </c>
      <c r="C1294" s="1" t="s">
        <v>14</v>
      </c>
      <c r="D1294" s="2">
        <v>43472</v>
      </c>
      <c r="E1294" s="2">
        <f t="shared" si="40"/>
        <v>43647</v>
      </c>
      <c r="F1294" s="1" t="s">
        <v>15</v>
      </c>
      <c r="G1294" s="1" t="s">
        <v>16</v>
      </c>
      <c r="H1294" s="1">
        <v>-0.25</v>
      </c>
      <c r="I1294" s="1">
        <v>0.35</v>
      </c>
      <c r="J1294" s="1">
        <v>0</v>
      </c>
      <c r="K1294" s="1" t="s">
        <v>49</v>
      </c>
      <c r="L1294" s="1">
        <v>2389</v>
      </c>
      <c r="M1294" s="1">
        <v>0.43</v>
      </c>
      <c r="N1294" s="1">
        <v>0.59750000000000003</v>
      </c>
      <c r="O1294" s="1">
        <f>VLOOKUP(D1294,underlying!$D$2:$H$75,5,FALSE)</f>
        <v>-0.12</v>
      </c>
      <c r="P1294" s="2">
        <f>VLOOKUP(D1294,underlying!$D$2:$L$39,9,FALSE)</f>
        <v>43615</v>
      </c>
      <c r="Q1294" s="7">
        <f>IF(G1294="C",NormalCallSprd(O1294,H1294,M1294,(P1294-A1294)/365), NormalPutSprd(O1294,H1294,M1294,(P1294-A1294)/365))</f>
        <v>0.35268781814741951</v>
      </c>
      <c r="R1294" s="9">
        <f t="shared" si="41"/>
        <v>2.6878181474195295E-3</v>
      </c>
    </row>
    <row r="1295" spans="1:18" x14ac:dyDescent="0.2">
      <c r="A1295" s="2">
        <v>42622</v>
      </c>
      <c r="B1295" s="1" t="s">
        <v>13</v>
      </c>
      <c r="C1295" s="1" t="s">
        <v>14</v>
      </c>
      <c r="D1295" s="2">
        <v>43472</v>
      </c>
      <c r="E1295" s="2">
        <f t="shared" si="40"/>
        <v>43647</v>
      </c>
      <c r="F1295" s="1" t="s">
        <v>15</v>
      </c>
      <c r="G1295" s="1" t="s">
        <v>18</v>
      </c>
      <c r="H1295" s="1">
        <v>-0.25</v>
      </c>
      <c r="I1295" s="1">
        <v>0.22</v>
      </c>
      <c r="J1295" s="1">
        <v>0.01</v>
      </c>
      <c r="K1295" s="1" t="s">
        <v>49</v>
      </c>
      <c r="L1295" s="1">
        <v>2389</v>
      </c>
      <c r="M1295" s="1">
        <v>0.43</v>
      </c>
      <c r="N1295" s="1">
        <v>0.62424999999999997</v>
      </c>
      <c r="O1295" s="1">
        <f>VLOOKUP(D1295,underlying!$D$2:$H$75,5,FALSE)</f>
        <v>-0.12</v>
      </c>
      <c r="P1295" s="2">
        <f>VLOOKUP(D1295,underlying!$D$2:$L$39,9,FALSE)</f>
        <v>43615</v>
      </c>
      <c r="Q1295" s="7">
        <f>IF(G1295="C",NormalCallSprd(O1295,H1295,M1295,(P1295-A1295)/365), NormalPutSprd(O1295,H1295,M1295,(P1295-A1295)/365))</f>
        <v>0.2226878181474195</v>
      </c>
      <c r="R1295" s="9">
        <f t="shared" si="41"/>
        <v>2.6878181474195018E-3</v>
      </c>
    </row>
    <row r="1296" spans="1:18" x14ac:dyDescent="0.2">
      <c r="A1296" s="2">
        <v>42622</v>
      </c>
      <c r="B1296" s="1" t="s">
        <v>13</v>
      </c>
      <c r="C1296" s="1" t="s">
        <v>14</v>
      </c>
      <c r="D1296" s="2">
        <v>43472</v>
      </c>
      <c r="E1296" s="2">
        <f t="shared" si="40"/>
        <v>43647</v>
      </c>
      <c r="F1296" s="1" t="s">
        <v>15</v>
      </c>
      <c r="G1296" s="1" t="s">
        <v>16</v>
      </c>
      <c r="H1296" s="1">
        <v>-0.2</v>
      </c>
      <c r="I1296" s="1">
        <v>0.32</v>
      </c>
      <c r="J1296" s="1">
        <v>0</v>
      </c>
      <c r="K1296" s="1" t="s">
        <v>49</v>
      </c>
      <c r="L1296" s="1">
        <v>2389</v>
      </c>
      <c r="M1296" s="1">
        <v>0.43</v>
      </c>
      <c r="N1296" s="1">
        <v>0.64939999999999998</v>
      </c>
      <c r="O1296" s="1">
        <f>VLOOKUP(D1296,underlying!$D$2:$H$75,5,FALSE)</f>
        <v>-0.12</v>
      </c>
      <c r="P1296" s="2">
        <f>VLOOKUP(D1296,underlying!$D$2:$L$39,9,FALSE)</f>
        <v>43615</v>
      </c>
      <c r="Q1296" s="7">
        <f>IF(G1296="C",NormalCallSprd(O1296,H1296,M1296,(P1296-A1296)/365), NormalPutSprd(O1296,H1296,M1296,(P1296-A1296)/365))</f>
        <v>0.32474611160330463</v>
      </c>
      <c r="R1296" s="9">
        <f t="shared" si="41"/>
        <v>4.7461116033046258E-3</v>
      </c>
    </row>
    <row r="1297" spans="1:18" x14ac:dyDescent="0.2">
      <c r="A1297" s="2">
        <v>42622</v>
      </c>
      <c r="B1297" s="1" t="s">
        <v>13</v>
      </c>
      <c r="C1297" s="1" t="s">
        <v>14</v>
      </c>
      <c r="D1297" s="2">
        <v>43472</v>
      </c>
      <c r="E1297" s="2">
        <f t="shared" si="40"/>
        <v>43647</v>
      </c>
      <c r="F1297" s="1" t="s">
        <v>15</v>
      </c>
      <c r="G1297" s="1" t="s">
        <v>18</v>
      </c>
      <c r="H1297" s="1">
        <v>-0.2</v>
      </c>
      <c r="I1297" s="1">
        <v>0.24</v>
      </c>
      <c r="J1297" s="1">
        <v>0</v>
      </c>
      <c r="K1297" s="1" t="s">
        <v>49</v>
      </c>
      <c r="L1297" s="1">
        <v>2389</v>
      </c>
      <c r="M1297" s="1">
        <v>0.43</v>
      </c>
      <c r="N1297" s="1">
        <v>0.67395000000000005</v>
      </c>
      <c r="O1297" s="1">
        <f>VLOOKUP(D1297,underlying!$D$2:$H$75,5,FALSE)</f>
        <v>-0.12</v>
      </c>
      <c r="P1297" s="2">
        <f>VLOOKUP(D1297,underlying!$D$2:$L$39,9,FALSE)</f>
        <v>43615</v>
      </c>
      <c r="Q1297" s="7">
        <f>IF(G1297="C",NormalCallSprd(O1297,H1297,M1297,(P1297-A1297)/365), NormalPutSprd(O1297,H1297,M1297,(P1297-A1297)/365))</f>
        <v>0.24474611160330462</v>
      </c>
      <c r="R1297" s="9">
        <f t="shared" si="41"/>
        <v>4.7461116033046258E-3</v>
      </c>
    </row>
    <row r="1298" spans="1:18" x14ac:dyDescent="0.2">
      <c r="A1298" s="2">
        <v>42622</v>
      </c>
      <c r="B1298" s="1" t="s">
        <v>13</v>
      </c>
      <c r="C1298" s="1" t="s">
        <v>14</v>
      </c>
      <c r="D1298" s="2">
        <v>43472</v>
      </c>
      <c r="E1298" s="2">
        <f t="shared" si="40"/>
        <v>43647</v>
      </c>
      <c r="F1298" s="1" t="s">
        <v>15</v>
      </c>
      <c r="G1298" s="1" t="s">
        <v>16</v>
      </c>
      <c r="H1298" s="1">
        <v>-0.15</v>
      </c>
      <c r="I1298" s="1">
        <v>0.28999999999999998</v>
      </c>
      <c r="J1298" s="1">
        <v>-0.01</v>
      </c>
      <c r="K1298" s="1" t="s">
        <v>49</v>
      </c>
      <c r="L1298" s="1">
        <v>2389</v>
      </c>
      <c r="M1298" s="1">
        <v>0.43</v>
      </c>
      <c r="N1298" s="1">
        <v>0.69664999999999999</v>
      </c>
      <c r="O1298" s="1">
        <f>VLOOKUP(D1298,underlying!$D$2:$H$75,5,FALSE)</f>
        <v>-0.12</v>
      </c>
      <c r="P1298" s="2">
        <f>VLOOKUP(D1298,underlying!$D$2:$L$39,9,FALSE)</f>
        <v>43615</v>
      </c>
      <c r="Q1298" s="7">
        <f>IF(G1298="C",NormalCallSprd(O1298,H1298,M1298,(P1298-A1298)/365), NormalPutSprd(O1298,H1298,M1298,(P1298-A1298)/365))</f>
        <v>0.29820113728556252</v>
      </c>
      <c r="R1298" s="9">
        <f t="shared" si="41"/>
        <v>8.2011372855625431E-3</v>
      </c>
    </row>
    <row r="1299" spans="1:18" x14ac:dyDescent="0.2">
      <c r="A1299" s="2">
        <v>42622</v>
      </c>
      <c r="B1299" s="1" t="s">
        <v>13</v>
      </c>
      <c r="C1299" s="1" t="s">
        <v>14</v>
      </c>
      <c r="D1299" s="2">
        <v>43472</v>
      </c>
      <c r="E1299" s="2">
        <f t="shared" si="40"/>
        <v>43647</v>
      </c>
      <c r="F1299" s="1" t="s">
        <v>15</v>
      </c>
      <c r="G1299" s="1" t="s">
        <v>18</v>
      </c>
      <c r="H1299" s="1">
        <v>-0.15</v>
      </c>
      <c r="I1299" s="1">
        <v>0.26</v>
      </c>
      <c r="J1299" s="1">
        <v>0</v>
      </c>
      <c r="K1299" s="1" t="s">
        <v>49</v>
      </c>
      <c r="L1299" s="1">
        <v>2389</v>
      </c>
      <c r="M1299" s="1">
        <v>0.43</v>
      </c>
      <c r="N1299" s="1">
        <v>0.71660999999999997</v>
      </c>
      <c r="O1299" s="1">
        <f>VLOOKUP(D1299,underlying!$D$2:$H$75,5,FALSE)</f>
        <v>-0.12</v>
      </c>
      <c r="P1299" s="2">
        <f>VLOOKUP(D1299,underlying!$D$2:$L$39,9,FALSE)</f>
        <v>43615</v>
      </c>
      <c r="Q1299" s="7">
        <f>IF(G1299="C",NormalCallSprd(O1299,H1299,M1299,(P1299-A1299)/365), NormalPutSprd(O1299,H1299,M1299,(P1299-A1299)/365))</f>
        <v>0.2682011372855625</v>
      </c>
      <c r="R1299" s="9">
        <f t="shared" si="41"/>
        <v>8.2011372855624876E-3</v>
      </c>
    </row>
    <row r="1300" spans="1:18" x14ac:dyDescent="0.2">
      <c r="A1300" s="2">
        <v>42622</v>
      </c>
      <c r="B1300" s="1" t="s">
        <v>13</v>
      </c>
      <c r="C1300" s="1" t="s">
        <v>14</v>
      </c>
      <c r="D1300" s="2">
        <v>43472</v>
      </c>
      <c r="E1300" s="2">
        <f t="shared" si="40"/>
        <v>43647</v>
      </c>
      <c r="F1300" s="1" t="s">
        <v>15</v>
      </c>
      <c r="G1300" s="1" t="s">
        <v>16</v>
      </c>
      <c r="H1300" s="1">
        <v>-0.1</v>
      </c>
      <c r="I1300" s="1">
        <v>0.27</v>
      </c>
      <c r="J1300" s="1">
        <v>0</v>
      </c>
      <c r="K1300" s="1" t="s">
        <v>49</v>
      </c>
      <c r="L1300" s="1">
        <v>2389</v>
      </c>
      <c r="M1300" s="1">
        <v>0.43</v>
      </c>
      <c r="N1300" s="1">
        <v>0.73516999999999999</v>
      </c>
      <c r="O1300" s="1">
        <f>VLOOKUP(D1300,underlying!$D$2:$H$75,5,FALSE)</f>
        <v>-0.12</v>
      </c>
      <c r="P1300" s="2">
        <f>VLOOKUP(D1300,underlying!$D$2:$L$39,9,FALSE)</f>
        <v>43615</v>
      </c>
      <c r="Q1300" s="7">
        <f>IF(G1300="C",NormalCallSprd(O1300,H1300,M1300,(P1300-A1300)/365), NormalPutSprd(O1300,H1300,M1300,(P1300-A1300)/365))</f>
        <v>0.27306054551336245</v>
      </c>
      <c r="R1300" s="9">
        <f t="shared" si="41"/>
        <v>3.0605455133624337E-3</v>
      </c>
    </row>
    <row r="1301" spans="1:18" x14ac:dyDescent="0.2">
      <c r="A1301" s="2">
        <v>42622</v>
      </c>
      <c r="B1301" s="1" t="s">
        <v>13</v>
      </c>
      <c r="C1301" s="1" t="s">
        <v>14</v>
      </c>
      <c r="D1301" s="2">
        <v>43472</v>
      </c>
      <c r="E1301" s="2">
        <f t="shared" si="40"/>
        <v>43647</v>
      </c>
      <c r="F1301" s="1" t="s">
        <v>15</v>
      </c>
      <c r="G1301" s="1" t="s">
        <v>18</v>
      </c>
      <c r="H1301" s="1">
        <v>-0.1</v>
      </c>
      <c r="I1301" s="1">
        <v>0.28999999999999998</v>
      </c>
      <c r="J1301" s="1">
        <v>0.01</v>
      </c>
      <c r="K1301" s="1" t="s">
        <v>49</v>
      </c>
      <c r="L1301" s="1">
        <v>2389</v>
      </c>
      <c r="M1301" s="1">
        <v>0.43</v>
      </c>
      <c r="N1301" s="1">
        <v>0.75241999999999998</v>
      </c>
      <c r="O1301" s="1">
        <f>VLOOKUP(D1301,underlying!$D$2:$H$75,5,FALSE)</f>
        <v>-0.12</v>
      </c>
      <c r="P1301" s="2">
        <f>VLOOKUP(D1301,underlying!$D$2:$L$39,9,FALSE)</f>
        <v>43615</v>
      </c>
      <c r="Q1301" s="7">
        <f>IF(G1301="C",NormalCallSprd(O1301,H1301,M1301,(P1301-A1301)/365), NormalPutSprd(O1301,H1301,M1301,(P1301-A1301)/365))</f>
        <v>0.29306054551336241</v>
      </c>
      <c r="R1301" s="9">
        <f t="shared" si="41"/>
        <v>3.0605455133624337E-3</v>
      </c>
    </row>
    <row r="1302" spans="1:18" x14ac:dyDescent="0.2">
      <c r="A1302" s="2">
        <v>42622</v>
      </c>
      <c r="B1302" s="1" t="s">
        <v>13</v>
      </c>
      <c r="C1302" s="1" t="s">
        <v>14</v>
      </c>
      <c r="D1302" s="2">
        <v>43472</v>
      </c>
      <c r="E1302" s="2">
        <f t="shared" si="40"/>
        <v>43647</v>
      </c>
      <c r="F1302" s="1" t="s">
        <v>15</v>
      </c>
      <c r="G1302" s="1" t="s">
        <v>16</v>
      </c>
      <c r="H1302" s="1">
        <v>-0.05</v>
      </c>
      <c r="I1302" s="1">
        <v>0.24</v>
      </c>
      <c r="J1302" s="1">
        <v>-0.01</v>
      </c>
      <c r="K1302" s="1" t="s">
        <v>49</v>
      </c>
      <c r="L1302" s="1">
        <v>2389</v>
      </c>
      <c r="M1302" s="1">
        <v>0.43</v>
      </c>
      <c r="N1302" s="1">
        <v>0.83991000000000005</v>
      </c>
      <c r="O1302" s="1">
        <f>VLOOKUP(D1302,underlying!$D$2:$H$75,5,FALSE)</f>
        <v>-0.12</v>
      </c>
      <c r="P1302" s="2">
        <f>VLOOKUP(D1302,underlying!$D$2:$L$39,9,FALSE)</f>
        <v>43615</v>
      </c>
      <c r="Q1302" s="7">
        <f>IF(G1302="C",NormalCallSprd(O1302,H1302,M1302,(P1302-A1302)/365), NormalPutSprd(O1302,H1302,M1302,(P1302-A1302)/365))</f>
        <v>0.24932503384466392</v>
      </c>
      <c r="R1302" s="9">
        <f t="shared" si="41"/>
        <v>9.3250338446639325E-3</v>
      </c>
    </row>
    <row r="1303" spans="1:18" x14ac:dyDescent="0.2">
      <c r="A1303" s="2">
        <v>42622</v>
      </c>
      <c r="B1303" s="1" t="s">
        <v>13</v>
      </c>
      <c r="C1303" s="1" t="s">
        <v>14</v>
      </c>
      <c r="D1303" s="2">
        <v>43472</v>
      </c>
      <c r="E1303" s="2">
        <f t="shared" si="40"/>
        <v>43647</v>
      </c>
      <c r="F1303" s="1" t="s">
        <v>15</v>
      </c>
      <c r="G1303" s="1" t="s">
        <v>18</v>
      </c>
      <c r="H1303" s="1">
        <v>-0.05</v>
      </c>
      <c r="I1303" s="1">
        <v>0.31</v>
      </c>
      <c r="J1303" s="1">
        <v>0</v>
      </c>
      <c r="K1303" s="1" t="s">
        <v>49</v>
      </c>
      <c r="L1303" s="1">
        <v>2389</v>
      </c>
      <c r="M1303" s="1">
        <v>0.43</v>
      </c>
      <c r="N1303" s="1">
        <v>0.98834</v>
      </c>
      <c r="O1303" s="1">
        <f>VLOOKUP(D1303,underlying!$D$2:$H$75,5,FALSE)</f>
        <v>-0.12</v>
      </c>
      <c r="P1303" s="2">
        <f>VLOOKUP(D1303,underlying!$D$2:$L$39,9,FALSE)</f>
        <v>43615</v>
      </c>
      <c r="Q1303" s="7">
        <f>IF(G1303="C",NormalCallSprd(O1303,H1303,M1303,(P1303-A1303)/365), NormalPutSprd(O1303,H1303,M1303,(P1303-A1303)/365))</f>
        <v>0.31932503384466393</v>
      </c>
      <c r="R1303" s="9">
        <f t="shared" si="41"/>
        <v>9.3250338446639325E-3</v>
      </c>
    </row>
    <row r="1304" spans="1:18" x14ac:dyDescent="0.2">
      <c r="A1304" s="2">
        <v>42622</v>
      </c>
      <c r="B1304" s="1" t="s">
        <v>13</v>
      </c>
      <c r="C1304" s="1" t="s">
        <v>14</v>
      </c>
      <c r="D1304" s="2">
        <v>43473</v>
      </c>
      <c r="E1304" s="2">
        <f t="shared" si="40"/>
        <v>43678</v>
      </c>
      <c r="F1304" s="1" t="s">
        <v>15</v>
      </c>
      <c r="G1304" s="1" t="s">
        <v>16</v>
      </c>
      <c r="H1304" s="1">
        <v>-3</v>
      </c>
      <c r="I1304" s="1">
        <v>2.83</v>
      </c>
      <c r="J1304" s="1">
        <v>-0.01</v>
      </c>
      <c r="K1304" s="1" t="s">
        <v>52</v>
      </c>
      <c r="L1304" s="1">
        <v>2389</v>
      </c>
      <c r="M1304" s="1">
        <v>0.79</v>
      </c>
      <c r="N1304" s="1">
        <v>0.95301000000000002</v>
      </c>
      <c r="O1304" s="1">
        <f>VLOOKUP(D1304,underlying!$D$2:$H$75,5,FALSE)</f>
        <v>-0.12</v>
      </c>
      <c r="P1304" s="2">
        <f>VLOOKUP(D1304,underlying!$D$2:$L$39,9,FALSE)</f>
        <v>43643</v>
      </c>
      <c r="Q1304" s="7">
        <f>IF(G1304="C",NormalCallSprd(O1304,H1304,M1304,(P1304-A1304)/365), NormalPutSprd(O1304,H1304,M1304,(P1304-A1304)/365))</f>
        <v>2.886839589368229</v>
      </c>
      <c r="R1304" s="9">
        <f t="shared" si="41"/>
        <v>5.6839589368228971E-2</v>
      </c>
    </row>
    <row r="1305" spans="1:18" x14ac:dyDescent="0.2">
      <c r="A1305" s="2">
        <v>42622</v>
      </c>
      <c r="B1305" s="1" t="s">
        <v>13</v>
      </c>
      <c r="C1305" s="1" t="s">
        <v>14</v>
      </c>
      <c r="D1305" s="2">
        <v>43473</v>
      </c>
      <c r="E1305" s="2">
        <f t="shared" si="40"/>
        <v>43678</v>
      </c>
      <c r="F1305" s="1" t="s">
        <v>15</v>
      </c>
      <c r="G1305" s="1" t="s">
        <v>18</v>
      </c>
      <c r="H1305" s="1">
        <v>-3</v>
      </c>
      <c r="I1305" s="1">
        <v>0.01</v>
      </c>
      <c r="J1305" s="1">
        <v>0</v>
      </c>
      <c r="K1305" s="1" t="s">
        <v>52</v>
      </c>
      <c r="L1305" s="1">
        <v>2389</v>
      </c>
      <c r="M1305" s="1">
        <v>0.79</v>
      </c>
      <c r="N1305" s="1">
        <v>0.98294999999999999</v>
      </c>
      <c r="O1305" s="1">
        <f>VLOOKUP(D1305,underlying!$D$2:$H$75,5,FALSE)</f>
        <v>-0.12</v>
      </c>
      <c r="P1305" s="2">
        <f>VLOOKUP(D1305,underlying!$D$2:$L$39,9,FALSE)</f>
        <v>43643</v>
      </c>
      <c r="Q1305" s="7">
        <f>IF(G1305="C",NormalCallSprd(O1305,H1305,M1305,(P1305-A1305)/365), NormalPutSprd(O1305,H1305,M1305,(P1305-A1305)/365))</f>
        <v>6.8395893682290819E-3</v>
      </c>
      <c r="R1305" s="9">
        <f t="shared" si="41"/>
        <v>3.1604106317709183E-3</v>
      </c>
    </row>
    <row r="1306" spans="1:18" x14ac:dyDescent="0.2">
      <c r="A1306" s="2">
        <v>42622</v>
      </c>
      <c r="B1306" s="1" t="s">
        <v>13</v>
      </c>
      <c r="C1306" s="1" t="s">
        <v>14</v>
      </c>
      <c r="D1306" s="2">
        <v>43473</v>
      </c>
      <c r="E1306" s="2">
        <f t="shared" si="40"/>
        <v>43678</v>
      </c>
      <c r="F1306" s="1" t="s">
        <v>15</v>
      </c>
      <c r="G1306" s="1" t="s">
        <v>16</v>
      </c>
      <c r="H1306" s="1">
        <v>-2</v>
      </c>
      <c r="I1306" s="1">
        <v>1.87</v>
      </c>
      <c r="J1306" s="1">
        <v>-0.01</v>
      </c>
      <c r="K1306" s="1" t="s">
        <v>52</v>
      </c>
      <c r="L1306" s="1">
        <v>2389</v>
      </c>
      <c r="M1306" s="1">
        <v>0.69</v>
      </c>
      <c r="N1306" s="1">
        <v>-0.56433</v>
      </c>
      <c r="O1306" s="1">
        <f>VLOOKUP(D1306,underlying!$D$2:$H$75,5,FALSE)</f>
        <v>-0.12</v>
      </c>
      <c r="P1306" s="2">
        <f>VLOOKUP(D1306,underlying!$D$2:$L$39,9,FALSE)</f>
        <v>43643</v>
      </c>
      <c r="Q1306" s="7">
        <f>IF(G1306="C",NormalCallSprd(O1306,H1306,M1306,(P1306-A1306)/365), NormalPutSprd(O1306,H1306,M1306,(P1306-A1306)/365))</f>
        <v>1.9050361288995137</v>
      </c>
      <c r="R1306" s="9">
        <f t="shared" si="41"/>
        <v>3.5036128899513574E-2</v>
      </c>
    </row>
    <row r="1307" spans="1:18" x14ac:dyDescent="0.2">
      <c r="A1307" s="2">
        <v>42622</v>
      </c>
      <c r="B1307" s="1" t="s">
        <v>13</v>
      </c>
      <c r="C1307" s="1" t="s">
        <v>14</v>
      </c>
      <c r="D1307" s="2">
        <v>43473</v>
      </c>
      <c r="E1307" s="2">
        <f t="shared" si="40"/>
        <v>43678</v>
      </c>
      <c r="F1307" s="1" t="s">
        <v>15</v>
      </c>
      <c r="G1307" s="1" t="s">
        <v>18</v>
      </c>
      <c r="H1307" s="1">
        <v>-2</v>
      </c>
      <c r="I1307" s="1">
        <v>0.02</v>
      </c>
      <c r="J1307" s="1">
        <v>0</v>
      </c>
      <c r="K1307" s="1" t="s">
        <v>52</v>
      </c>
      <c r="L1307" s="1">
        <v>2389</v>
      </c>
      <c r="M1307" s="1">
        <v>0.69</v>
      </c>
      <c r="N1307" s="1">
        <v>-0.53573999999999999</v>
      </c>
      <c r="O1307" s="1">
        <f>VLOOKUP(D1307,underlying!$D$2:$H$75,5,FALSE)</f>
        <v>-0.12</v>
      </c>
      <c r="P1307" s="2">
        <f>VLOOKUP(D1307,underlying!$D$2:$L$39,9,FALSE)</f>
        <v>43643</v>
      </c>
      <c r="Q1307" s="7">
        <f>IF(G1307="C",NormalCallSprd(O1307,H1307,M1307,(P1307-A1307)/365), NormalPutSprd(O1307,H1307,M1307,(P1307-A1307)/365))</f>
        <v>2.5036128899513677E-2</v>
      </c>
      <c r="R1307" s="9">
        <f t="shared" si="41"/>
        <v>5.0361288995136762E-3</v>
      </c>
    </row>
    <row r="1308" spans="1:18" x14ac:dyDescent="0.2">
      <c r="A1308" s="2">
        <v>42622</v>
      </c>
      <c r="B1308" s="1" t="s">
        <v>13</v>
      </c>
      <c r="C1308" s="1" t="s">
        <v>14</v>
      </c>
      <c r="D1308" s="2">
        <v>43473</v>
      </c>
      <c r="E1308" s="2">
        <f t="shared" si="40"/>
        <v>43678</v>
      </c>
      <c r="F1308" s="1" t="s">
        <v>15</v>
      </c>
      <c r="G1308" s="1" t="s">
        <v>16</v>
      </c>
      <c r="H1308" s="1">
        <v>-1</v>
      </c>
      <c r="I1308" s="1">
        <v>0.94</v>
      </c>
      <c r="J1308" s="1">
        <v>-0.01</v>
      </c>
      <c r="K1308" s="1" t="s">
        <v>52</v>
      </c>
      <c r="L1308" s="1">
        <v>2389</v>
      </c>
      <c r="M1308" s="1">
        <v>0.54</v>
      </c>
      <c r="N1308" s="1">
        <v>-0.50616000000000005</v>
      </c>
      <c r="O1308" s="1">
        <f>VLOOKUP(D1308,underlying!$D$2:$H$75,5,FALSE)</f>
        <v>-0.12</v>
      </c>
      <c r="P1308" s="2">
        <f>VLOOKUP(D1308,underlying!$D$2:$L$39,9,FALSE)</f>
        <v>43643</v>
      </c>
      <c r="Q1308" s="7">
        <f>IF(G1308="C",NormalCallSprd(O1308,H1308,M1308,(P1308-A1308)/365), NormalPutSprd(O1308,H1308,M1308,(P1308-A1308)/365))</f>
        <v>0.95899180278062335</v>
      </c>
      <c r="R1308" s="9">
        <f t="shared" si="41"/>
        <v>1.8991802780623401E-2</v>
      </c>
    </row>
    <row r="1309" spans="1:18" x14ac:dyDescent="0.2">
      <c r="A1309" s="2">
        <v>42622</v>
      </c>
      <c r="B1309" s="1" t="s">
        <v>13</v>
      </c>
      <c r="C1309" s="1" t="s">
        <v>14</v>
      </c>
      <c r="D1309" s="2">
        <v>43473</v>
      </c>
      <c r="E1309" s="2">
        <f t="shared" si="40"/>
        <v>43678</v>
      </c>
      <c r="F1309" s="1" t="s">
        <v>15</v>
      </c>
      <c r="G1309" s="1" t="s">
        <v>18</v>
      </c>
      <c r="H1309" s="1">
        <v>-1</v>
      </c>
      <c r="I1309" s="1">
        <v>0.08</v>
      </c>
      <c r="J1309" s="1">
        <v>0</v>
      </c>
      <c r="K1309" s="1" t="s">
        <v>52</v>
      </c>
      <c r="L1309" s="1">
        <v>2389</v>
      </c>
      <c r="M1309" s="1">
        <v>0.54</v>
      </c>
      <c r="N1309" s="1">
        <v>-0.47617999999999999</v>
      </c>
      <c r="O1309" s="1">
        <f>VLOOKUP(D1309,underlying!$D$2:$H$75,5,FALSE)</f>
        <v>-0.12</v>
      </c>
      <c r="P1309" s="2">
        <f>VLOOKUP(D1309,underlying!$D$2:$L$39,9,FALSE)</f>
        <v>43643</v>
      </c>
      <c r="Q1309" s="7">
        <f>IF(G1309="C",NormalCallSprd(O1309,H1309,M1309,(P1309-A1309)/365), NormalPutSprd(O1309,H1309,M1309,(P1309-A1309)/365))</f>
        <v>7.8991802780623357E-2</v>
      </c>
      <c r="R1309" s="9">
        <f t="shared" si="41"/>
        <v>1.0081972193766442E-3</v>
      </c>
    </row>
    <row r="1310" spans="1:18" x14ac:dyDescent="0.2">
      <c r="A1310" s="2">
        <v>42622</v>
      </c>
      <c r="B1310" s="1" t="s">
        <v>13</v>
      </c>
      <c r="C1310" s="1" t="s">
        <v>14</v>
      </c>
      <c r="D1310" s="2">
        <v>43473</v>
      </c>
      <c r="E1310" s="2">
        <f t="shared" si="40"/>
        <v>43678</v>
      </c>
      <c r="F1310" s="1" t="s">
        <v>15</v>
      </c>
      <c r="G1310" s="1" t="s">
        <v>16</v>
      </c>
      <c r="H1310" s="1">
        <v>-0.65</v>
      </c>
      <c r="I1310" s="1">
        <v>0.64</v>
      </c>
      <c r="J1310" s="1">
        <v>-0.01</v>
      </c>
      <c r="K1310" s="1" t="s">
        <v>52</v>
      </c>
      <c r="L1310" s="1">
        <v>2389</v>
      </c>
      <c r="M1310" s="1">
        <v>0.49</v>
      </c>
      <c r="N1310" s="1">
        <v>-0.44688</v>
      </c>
      <c r="O1310" s="1">
        <f>VLOOKUP(D1310,underlying!$D$2:$H$75,5,FALSE)</f>
        <v>-0.12</v>
      </c>
      <c r="P1310" s="2">
        <f>VLOOKUP(D1310,underlying!$D$2:$L$39,9,FALSE)</f>
        <v>43643</v>
      </c>
      <c r="Q1310" s="7">
        <f>IF(G1310="C",NormalCallSprd(O1310,H1310,M1310,(P1310-A1310)/365), NormalPutSprd(O1310,H1310,M1310,(P1310-A1310)/365))</f>
        <v>0.65802710331794589</v>
      </c>
      <c r="R1310" s="9">
        <f t="shared" si="41"/>
        <v>1.8027103317945881E-2</v>
      </c>
    </row>
    <row r="1311" spans="1:18" x14ac:dyDescent="0.2">
      <c r="A1311" s="2">
        <v>42622</v>
      </c>
      <c r="B1311" s="1" t="s">
        <v>13</v>
      </c>
      <c r="C1311" s="1" t="s">
        <v>14</v>
      </c>
      <c r="D1311" s="2">
        <v>43473</v>
      </c>
      <c r="E1311" s="2">
        <f t="shared" si="40"/>
        <v>43678</v>
      </c>
      <c r="F1311" s="1" t="s">
        <v>15</v>
      </c>
      <c r="G1311" s="1" t="s">
        <v>18</v>
      </c>
      <c r="H1311" s="1">
        <v>-0.65</v>
      </c>
      <c r="I1311" s="1">
        <v>0.12</v>
      </c>
      <c r="J1311" s="1">
        <v>0</v>
      </c>
      <c r="K1311" s="1" t="s">
        <v>52</v>
      </c>
      <c r="L1311" s="1">
        <v>2389</v>
      </c>
      <c r="M1311" s="1">
        <v>0.49</v>
      </c>
      <c r="N1311" s="1">
        <v>-0.41822999999999999</v>
      </c>
      <c r="O1311" s="1">
        <f>VLOOKUP(D1311,underlying!$D$2:$H$75,5,FALSE)</f>
        <v>-0.12</v>
      </c>
      <c r="P1311" s="2">
        <f>VLOOKUP(D1311,underlying!$D$2:$L$39,9,FALSE)</f>
        <v>43643</v>
      </c>
      <c r="Q1311" s="7">
        <f>IF(G1311="C",NormalCallSprd(O1311,H1311,M1311,(P1311-A1311)/365), NormalPutSprd(O1311,H1311,M1311,(P1311-A1311)/365))</f>
        <v>0.12802710331794584</v>
      </c>
      <c r="R1311" s="9">
        <f t="shared" si="41"/>
        <v>8.027103317945844E-3</v>
      </c>
    </row>
    <row r="1312" spans="1:18" x14ac:dyDescent="0.2">
      <c r="A1312" s="2">
        <v>42622</v>
      </c>
      <c r="B1312" s="1" t="s">
        <v>13</v>
      </c>
      <c r="C1312" s="1" t="s">
        <v>14</v>
      </c>
      <c r="D1312" s="2">
        <v>43473</v>
      </c>
      <c r="E1312" s="2">
        <f t="shared" si="40"/>
        <v>43678</v>
      </c>
      <c r="F1312" s="1" t="s">
        <v>15</v>
      </c>
      <c r="G1312" s="1" t="s">
        <v>16</v>
      </c>
      <c r="H1312" s="1">
        <v>-0.6</v>
      </c>
      <c r="I1312" s="1">
        <v>0.6</v>
      </c>
      <c r="J1312" s="1">
        <v>-0.01</v>
      </c>
      <c r="K1312" s="1" t="s">
        <v>52</v>
      </c>
      <c r="L1312" s="1">
        <v>2389</v>
      </c>
      <c r="M1312" s="1">
        <v>0.48</v>
      </c>
      <c r="N1312" s="1">
        <v>-0.39084000000000002</v>
      </c>
      <c r="O1312" s="1">
        <f>VLOOKUP(D1312,underlying!$D$2:$H$75,5,FALSE)</f>
        <v>-0.12</v>
      </c>
      <c r="P1312" s="2">
        <f>VLOOKUP(D1312,underlying!$D$2:$L$39,9,FALSE)</f>
        <v>43643</v>
      </c>
      <c r="Q1312" s="7">
        <f>IF(G1312="C",NormalCallSprd(O1312,H1312,M1312,(P1312-A1312)/365), NormalPutSprd(O1312,H1312,M1312,(P1312-A1312)/365))</f>
        <v>0.61587199334008391</v>
      </c>
      <c r="R1312" s="9">
        <f t="shared" si="41"/>
        <v>1.5871993340083934E-2</v>
      </c>
    </row>
    <row r="1313" spans="1:18" x14ac:dyDescent="0.2">
      <c r="A1313" s="2">
        <v>42622</v>
      </c>
      <c r="B1313" s="1" t="s">
        <v>13</v>
      </c>
      <c r="C1313" s="1" t="s">
        <v>14</v>
      </c>
      <c r="D1313" s="2">
        <v>43473</v>
      </c>
      <c r="E1313" s="2">
        <f t="shared" si="40"/>
        <v>43678</v>
      </c>
      <c r="F1313" s="1" t="s">
        <v>15</v>
      </c>
      <c r="G1313" s="1" t="s">
        <v>18</v>
      </c>
      <c r="H1313" s="1">
        <v>-0.6</v>
      </c>
      <c r="I1313" s="1">
        <v>0.13</v>
      </c>
      <c r="J1313" s="1">
        <v>0</v>
      </c>
      <c r="K1313" s="1" t="s">
        <v>52</v>
      </c>
      <c r="L1313" s="1">
        <v>2389</v>
      </c>
      <c r="M1313" s="1">
        <v>0.48</v>
      </c>
      <c r="N1313" s="1">
        <v>-0.36409000000000002</v>
      </c>
      <c r="O1313" s="1">
        <f>VLOOKUP(D1313,underlying!$D$2:$H$75,5,FALSE)</f>
        <v>-0.12</v>
      </c>
      <c r="P1313" s="2">
        <f>VLOOKUP(D1313,underlying!$D$2:$L$39,9,FALSE)</f>
        <v>43643</v>
      </c>
      <c r="Q1313" s="7">
        <f>IF(G1313="C",NormalCallSprd(O1313,H1313,M1313,(P1313-A1313)/365), NormalPutSprd(O1313,H1313,M1313,(P1313-A1313)/365))</f>
        <v>0.13587199334008393</v>
      </c>
      <c r="R1313" s="9">
        <f t="shared" si="41"/>
        <v>5.8719933400839253E-3</v>
      </c>
    </row>
    <row r="1314" spans="1:18" x14ac:dyDescent="0.2">
      <c r="A1314" s="2">
        <v>42622</v>
      </c>
      <c r="B1314" s="1" t="s">
        <v>13</v>
      </c>
      <c r="C1314" s="1" t="s">
        <v>14</v>
      </c>
      <c r="D1314" s="2">
        <v>43473</v>
      </c>
      <c r="E1314" s="2">
        <f t="shared" si="40"/>
        <v>43678</v>
      </c>
      <c r="F1314" s="1" t="s">
        <v>15</v>
      </c>
      <c r="G1314" s="1" t="s">
        <v>16</v>
      </c>
      <c r="H1314" s="1">
        <v>-0.55000000000000004</v>
      </c>
      <c r="I1314" s="1">
        <v>0.56000000000000005</v>
      </c>
      <c r="J1314" s="1">
        <v>-0.01</v>
      </c>
      <c r="K1314" s="1" t="s">
        <v>52</v>
      </c>
      <c r="L1314" s="1">
        <v>2389</v>
      </c>
      <c r="M1314" s="1">
        <v>0.47</v>
      </c>
      <c r="N1314" s="1">
        <v>-0.33894000000000002</v>
      </c>
      <c r="O1314" s="1">
        <f>VLOOKUP(D1314,underlying!$D$2:$H$75,5,FALSE)</f>
        <v>-0.12</v>
      </c>
      <c r="P1314" s="2">
        <f>VLOOKUP(D1314,underlying!$D$2:$L$39,9,FALSE)</f>
        <v>43643</v>
      </c>
      <c r="Q1314" s="7">
        <f>IF(G1314="C",NormalCallSprd(O1314,H1314,M1314,(P1314-A1314)/365), NormalPutSprd(O1314,H1314,M1314,(P1314-A1314)/365))</f>
        <v>0.57438231609212176</v>
      </c>
      <c r="R1314" s="9">
        <f t="shared" si="41"/>
        <v>1.4382316092121705E-2</v>
      </c>
    </row>
    <row r="1315" spans="1:18" x14ac:dyDescent="0.2">
      <c r="A1315" s="2">
        <v>42622</v>
      </c>
      <c r="B1315" s="1" t="s">
        <v>13</v>
      </c>
      <c r="C1315" s="1" t="s">
        <v>14</v>
      </c>
      <c r="D1315" s="2">
        <v>43473</v>
      </c>
      <c r="E1315" s="2">
        <f t="shared" si="40"/>
        <v>43678</v>
      </c>
      <c r="F1315" s="1" t="s">
        <v>15</v>
      </c>
      <c r="G1315" s="1" t="s">
        <v>18</v>
      </c>
      <c r="H1315" s="1">
        <v>-0.55000000000000004</v>
      </c>
      <c r="I1315" s="1">
        <v>0.14000000000000001</v>
      </c>
      <c r="J1315" s="1">
        <v>0</v>
      </c>
      <c r="K1315" s="1" t="s">
        <v>52</v>
      </c>
      <c r="L1315" s="1">
        <v>2389</v>
      </c>
      <c r="M1315" s="1">
        <v>0.47</v>
      </c>
      <c r="N1315" s="1">
        <v>-0.31439</v>
      </c>
      <c r="O1315" s="1">
        <f>VLOOKUP(D1315,underlying!$D$2:$H$75,5,FALSE)</f>
        <v>-0.12</v>
      </c>
      <c r="P1315" s="2">
        <f>VLOOKUP(D1315,underlying!$D$2:$L$39,9,FALSE)</f>
        <v>43643</v>
      </c>
      <c r="Q1315" s="7">
        <f>IF(G1315="C",NormalCallSprd(O1315,H1315,M1315,(P1315-A1315)/365), NormalPutSprd(O1315,H1315,M1315,(P1315-A1315)/365))</f>
        <v>0.14438231609212168</v>
      </c>
      <c r="R1315" s="9">
        <f t="shared" si="41"/>
        <v>4.3823160921216686E-3</v>
      </c>
    </row>
    <row r="1316" spans="1:18" x14ac:dyDescent="0.2">
      <c r="A1316" s="2">
        <v>42622</v>
      </c>
      <c r="B1316" s="1" t="s">
        <v>13</v>
      </c>
      <c r="C1316" s="1" t="s">
        <v>14</v>
      </c>
      <c r="D1316" s="2">
        <v>43473</v>
      </c>
      <c r="E1316" s="2">
        <f t="shared" si="40"/>
        <v>43678</v>
      </c>
      <c r="F1316" s="1" t="s">
        <v>15</v>
      </c>
      <c r="G1316" s="1" t="s">
        <v>16</v>
      </c>
      <c r="H1316" s="1">
        <v>-0.5</v>
      </c>
      <c r="I1316" s="1">
        <v>0.52</v>
      </c>
      <c r="J1316" s="1">
        <v>-0.01</v>
      </c>
      <c r="K1316" s="1" t="s">
        <v>52</v>
      </c>
      <c r="L1316" s="1">
        <v>2389</v>
      </c>
      <c r="M1316" s="1">
        <v>0.46</v>
      </c>
      <c r="N1316" s="1">
        <v>-0.29167999999999999</v>
      </c>
      <c r="O1316" s="1">
        <f>VLOOKUP(D1316,underlying!$D$2:$H$75,5,FALSE)</f>
        <v>-0.12</v>
      </c>
      <c r="P1316" s="2">
        <f>VLOOKUP(D1316,underlying!$D$2:$L$39,9,FALSE)</f>
        <v>43643</v>
      </c>
      <c r="Q1316" s="7">
        <f>IF(G1316="C",NormalCallSprd(O1316,H1316,M1316,(P1316-A1316)/365), NormalPutSprd(O1316,H1316,M1316,(P1316-A1316)/365))</f>
        <v>0.53362239561518576</v>
      </c>
      <c r="R1316" s="9">
        <f t="shared" si="41"/>
        <v>1.3622395615185745E-2</v>
      </c>
    </row>
    <row r="1317" spans="1:18" x14ac:dyDescent="0.2">
      <c r="A1317" s="2">
        <v>42622</v>
      </c>
      <c r="B1317" s="1" t="s">
        <v>13</v>
      </c>
      <c r="C1317" s="1" t="s">
        <v>14</v>
      </c>
      <c r="D1317" s="2">
        <v>43473</v>
      </c>
      <c r="E1317" s="2">
        <f t="shared" si="40"/>
        <v>43678</v>
      </c>
      <c r="F1317" s="1" t="s">
        <v>15</v>
      </c>
      <c r="G1317" s="1" t="s">
        <v>18</v>
      </c>
      <c r="H1317" s="1">
        <v>-0.5</v>
      </c>
      <c r="I1317" s="1">
        <v>0.15</v>
      </c>
      <c r="J1317" s="1">
        <v>0</v>
      </c>
      <c r="K1317" s="1" t="s">
        <v>52</v>
      </c>
      <c r="L1317" s="1">
        <v>2389</v>
      </c>
      <c r="M1317" s="1">
        <v>0.46</v>
      </c>
      <c r="N1317" s="1">
        <v>-0.27173000000000003</v>
      </c>
      <c r="O1317" s="1">
        <f>VLOOKUP(D1317,underlying!$D$2:$H$75,5,FALSE)</f>
        <v>-0.12</v>
      </c>
      <c r="P1317" s="2">
        <f>VLOOKUP(D1317,underlying!$D$2:$L$39,9,FALSE)</f>
        <v>43643</v>
      </c>
      <c r="Q1317" s="7">
        <f>IF(G1317="C",NormalCallSprd(O1317,H1317,M1317,(P1317-A1317)/365), NormalPutSprd(O1317,H1317,M1317,(P1317-A1317)/365))</f>
        <v>0.15362239561518576</v>
      </c>
      <c r="R1317" s="9">
        <f t="shared" si="41"/>
        <v>3.6223956151857639E-3</v>
      </c>
    </row>
    <row r="1318" spans="1:18" x14ac:dyDescent="0.2">
      <c r="A1318" s="2">
        <v>42622</v>
      </c>
      <c r="B1318" s="1" t="s">
        <v>13</v>
      </c>
      <c r="C1318" s="1" t="s">
        <v>14</v>
      </c>
      <c r="D1318" s="2">
        <v>43473</v>
      </c>
      <c r="E1318" s="2">
        <f t="shared" si="40"/>
        <v>43678</v>
      </c>
      <c r="F1318" s="1" t="s">
        <v>15</v>
      </c>
      <c r="G1318" s="1" t="s">
        <v>16</v>
      </c>
      <c r="H1318" s="1">
        <v>-0.45</v>
      </c>
      <c r="I1318" s="1">
        <v>0.49</v>
      </c>
      <c r="J1318" s="1">
        <v>-0.01</v>
      </c>
      <c r="K1318" s="1" t="s">
        <v>52</v>
      </c>
      <c r="L1318" s="1">
        <v>2389</v>
      </c>
      <c r="M1318" s="1">
        <v>0.46</v>
      </c>
      <c r="N1318" s="1">
        <v>-0.25316</v>
      </c>
      <c r="O1318" s="1">
        <f>VLOOKUP(D1318,underlying!$D$2:$H$75,5,FALSE)</f>
        <v>-0.12</v>
      </c>
      <c r="P1318" s="2">
        <f>VLOOKUP(D1318,underlying!$D$2:$L$39,9,FALSE)</f>
        <v>43643</v>
      </c>
      <c r="Q1318" s="7">
        <f>IF(G1318="C",NormalCallSprd(O1318,H1318,M1318,(P1318-A1318)/365), NormalPutSprd(O1318,H1318,M1318,(P1318-A1318)/365))</f>
        <v>0.49973613817010598</v>
      </c>
      <c r="R1318" s="9">
        <f t="shared" si="41"/>
        <v>9.7361381701059901E-3</v>
      </c>
    </row>
    <row r="1319" spans="1:18" x14ac:dyDescent="0.2">
      <c r="A1319" s="2">
        <v>42622</v>
      </c>
      <c r="B1319" s="1" t="s">
        <v>13</v>
      </c>
      <c r="C1319" s="1" t="s">
        <v>14</v>
      </c>
      <c r="D1319" s="2">
        <v>43473</v>
      </c>
      <c r="E1319" s="2">
        <f t="shared" si="40"/>
        <v>43678</v>
      </c>
      <c r="F1319" s="1" t="s">
        <v>15</v>
      </c>
      <c r="G1319" s="1" t="s">
        <v>18</v>
      </c>
      <c r="H1319" s="1">
        <v>-0.45</v>
      </c>
      <c r="I1319" s="1">
        <v>0.17</v>
      </c>
      <c r="J1319" s="1">
        <v>0.01</v>
      </c>
      <c r="K1319" s="1" t="s">
        <v>52</v>
      </c>
      <c r="L1319" s="1">
        <v>2389</v>
      </c>
      <c r="M1319" s="1">
        <v>0.46</v>
      </c>
      <c r="N1319" s="1">
        <v>-0.23591000000000001</v>
      </c>
      <c r="O1319" s="1">
        <f>VLOOKUP(D1319,underlying!$D$2:$H$75,5,FALSE)</f>
        <v>-0.12</v>
      </c>
      <c r="P1319" s="2">
        <f>VLOOKUP(D1319,underlying!$D$2:$L$39,9,FALSE)</f>
        <v>43643</v>
      </c>
      <c r="Q1319" s="7">
        <f>IF(G1319="C",NormalCallSprd(O1319,H1319,M1319,(P1319-A1319)/365), NormalPutSprd(O1319,H1319,M1319,(P1319-A1319)/365))</f>
        <v>0.16973613817010597</v>
      </c>
      <c r="R1319" s="9">
        <f t="shared" si="41"/>
        <v>2.638618298940465E-4</v>
      </c>
    </row>
    <row r="1320" spans="1:18" x14ac:dyDescent="0.2">
      <c r="A1320" s="2">
        <v>42622</v>
      </c>
      <c r="B1320" s="1" t="s">
        <v>13</v>
      </c>
      <c r="C1320" s="1" t="s">
        <v>14</v>
      </c>
      <c r="D1320" s="2">
        <v>43473</v>
      </c>
      <c r="E1320" s="2">
        <f t="shared" si="40"/>
        <v>43678</v>
      </c>
      <c r="F1320" s="1" t="s">
        <v>15</v>
      </c>
      <c r="G1320" s="1" t="s">
        <v>16</v>
      </c>
      <c r="H1320" s="1">
        <v>-0.4</v>
      </c>
      <c r="I1320" s="1">
        <v>0.45</v>
      </c>
      <c r="J1320" s="1">
        <v>-0.01</v>
      </c>
      <c r="K1320" s="1" t="s">
        <v>52</v>
      </c>
      <c r="L1320" s="1">
        <v>2389</v>
      </c>
      <c r="M1320" s="1">
        <v>0.45</v>
      </c>
      <c r="N1320" s="1">
        <v>-0.14842</v>
      </c>
      <c r="O1320" s="1">
        <f>VLOOKUP(D1320,underlying!$D$2:$H$75,5,FALSE)</f>
        <v>-0.12</v>
      </c>
      <c r="P1320" s="2">
        <f>VLOOKUP(D1320,underlying!$D$2:$L$39,9,FALSE)</f>
        <v>43643</v>
      </c>
      <c r="Q1320" s="7">
        <f>IF(G1320="C",NormalCallSprd(O1320,H1320,M1320,(P1320-A1320)/365), NormalPutSprd(O1320,H1320,M1320,(P1320-A1320)/365))</f>
        <v>0.46079640999703864</v>
      </c>
      <c r="R1320" s="9">
        <f t="shared" si="41"/>
        <v>1.0796409997038625E-2</v>
      </c>
    </row>
    <row r="1321" spans="1:18" x14ac:dyDescent="0.2">
      <c r="A1321" s="2">
        <v>42622</v>
      </c>
      <c r="B1321" s="1" t="s">
        <v>13</v>
      </c>
      <c r="C1321" s="1" t="s">
        <v>14</v>
      </c>
      <c r="D1321" s="2">
        <v>43473</v>
      </c>
      <c r="E1321" s="2">
        <f t="shared" si="40"/>
        <v>43678</v>
      </c>
      <c r="F1321" s="1" t="s">
        <v>15</v>
      </c>
      <c r="G1321" s="1" t="s">
        <v>18</v>
      </c>
      <c r="H1321" s="1">
        <v>-0.4</v>
      </c>
      <c r="I1321" s="1">
        <v>0.18</v>
      </c>
      <c r="J1321" s="1">
        <v>0</v>
      </c>
      <c r="K1321" s="1" t="s">
        <v>52</v>
      </c>
      <c r="L1321" s="1">
        <v>2389</v>
      </c>
      <c r="M1321" s="1">
        <v>0.45</v>
      </c>
      <c r="N1321" s="1">
        <v>0</v>
      </c>
      <c r="O1321" s="1">
        <f>VLOOKUP(D1321,underlying!$D$2:$H$75,5,FALSE)</f>
        <v>-0.12</v>
      </c>
      <c r="P1321" s="2">
        <f>VLOOKUP(D1321,underlying!$D$2:$L$39,9,FALSE)</f>
        <v>43643</v>
      </c>
      <c r="Q1321" s="7">
        <f>IF(G1321="C",NormalCallSprd(O1321,H1321,M1321,(P1321-A1321)/365), NormalPutSprd(O1321,H1321,M1321,(P1321-A1321)/365))</f>
        <v>0.18079640999703858</v>
      </c>
      <c r="R1321" s="9">
        <f t="shared" si="41"/>
        <v>7.964099970385885E-4</v>
      </c>
    </row>
    <row r="1322" spans="1:18" x14ac:dyDescent="0.2">
      <c r="A1322" s="2">
        <v>42622</v>
      </c>
      <c r="B1322" s="1" t="s">
        <v>13</v>
      </c>
      <c r="C1322" s="1" t="s">
        <v>14</v>
      </c>
      <c r="D1322" s="2">
        <v>43473</v>
      </c>
      <c r="E1322" s="2">
        <f t="shared" si="40"/>
        <v>43678</v>
      </c>
      <c r="F1322" s="1" t="s">
        <v>15</v>
      </c>
      <c r="G1322" s="1" t="s">
        <v>16</v>
      </c>
      <c r="H1322" s="1">
        <v>-0.35</v>
      </c>
      <c r="I1322" s="1">
        <v>0.41</v>
      </c>
      <c r="J1322" s="1">
        <v>-0.01</v>
      </c>
      <c r="K1322" s="1" t="s">
        <v>52</v>
      </c>
      <c r="L1322" s="1">
        <v>2389</v>
      </c>
      <c r="M1322" s="1">
        <v>0.44</v>
      </c>
      <c r="N1322" s="1">
        <v>-3.533E-2</v>
      </c>
      <c r="O1322" s="1">
        <f>VLOOKUP(D1322,underlying!$D$2:$H$75,5,FALSE)</f>
        <v>-0.12</v>
      </c>
      <c r="P1322" s="2">
        <f>VLOOKUP(D1322,underlying!$D$2:$L$39,9,FALSE)</f>
        <v>43643</v>
      </c>
      <c r="Q1322" s="7">
        <f>IF(G1322="C",NormalCallSprd(O1322,H1322,M1322,(P1322-A1322)/365), NormalPutSprd(O1322,H1322,M1322,(P1322-A1322)/365))</f>
        <v>0.42280516970081117</v>
      </c>
      <c r="R1322" s="9">
        <f t="shared" si="41"/>
        <v>1.2805169700811192E-2</v>
      </c>
    </row>
    <row r="1323" spans="1:18" x14ac:dyDescent="0.2">
      <c r="A1323" s="2">
        <v>42622</v>
      </c>
      <c r="B1323" s="1" t="s">
        <v>13</v>
      </c>
      <c r="C1323" s="1" t="s">
        <v>14</v>
      </c>
      <c r="D1323" s="2">
        <v>43473</v>
      </c>
      <c r="E1323" s="2">
        <f t="shared" si="40"/>
        <v>43678</v>
      </c>
      <c r="F1323" s="1" t="s">
        <v>15</v>
      </c>
      <c r="G1323" s="1" t="s">
        <v>18</v>
      </c>
      <c r="H1323" s="1">
        <v>-0.35</v>
      </c>
      <c r="I1323" s="1">
        <v>0.19</v>
      </c>
      <c r="J1323" s="1">
        <v>0</v>
      </c>
      <c r="K1323" s="1" t="s">
        <v>52</v>
      </c>
      <c r="L1323" s="1">
        <v>2389</v>
      </c>
      <c r="M1323" s="1">
        <v>0.44</v>
      </c>
      <c r="N1323" s="1">
        <v>-5.3899999999999998E-3</v>
      </c>
      <c r="O1323" s="1">
        <f>VLOOKUP(D1323,underlying!$D$2:$H$75,5,FALSE)</f>
        <v>-0.12</v>
      </c>
      <c r="P1323" s="2">
        <f>VLOOKUP(D1323,underlying!$D$2:$L$39,9,FALSE)</f>
        <v>43643</v>
      </c>
      <c r="Q1323" s="7">
        <f>IF(G1323="C",NormalCallSprd(O1323,H1323,M1323,(P1323-A1323)/365), NormalPutSprd(O1323,H1323,M1323,(P1323-A1323)/365))</f>
        <v>0.19280516970081116</v>
      </c>
      <c r="R1323" s="9">
        <f t="shared" si="41"/>
        <v>2.8051697008111554E-3</v>
      </c>
    </row>
    <row r="1324" spans="1:18" x14ac:dyDescent="0.2">
      <c r="A1324" s="2">
        <v>42622</v>
      </c>
      <c r="B1324" s="1" t="s">
        <v>13</v>
      </c>
      <c r="C1324" s="1" t="s">
        <v>14</v>
      </c>
      <c r="D1324" s="2">
        <v>43473</v>
      </c>
      <c r="E1324" s="2">
        <f t="shared" si="40"/>
        <v>43678</v>
      </c>
      <c r="F1324" s="1" t="s">
        <v>15</v>
      </c>
      <c r="G1324" s="1" t="s">
        <v>16</v>
      </c>
      <c r="H1324" s="1">
        <v>-0.3</v>
      </c>
      <c r="I1324" s="1">
        <v>0.38</v>
      </c>
      <c r="J1324" s="1">
        <v>-0.01</v>
      </c>
      <c r="K1324" s="1" t="s">
        <v>52</v>
      </c>
      <c r="L1324" s="1">
        <v>2389</v>
      </c>
      <c r="M1324" s="1">
        <v>0.43</v>
      </c>
      <c r="N1324" s="1">
        <v>0.4521</v>
      </c>
      <c r="O1324" s="1">
        <f>VLOOKUP(D1324,underlying!$D$2:$H$75,5,FALSE)</f>
        <v>-0.12</v>
      </c>
      <c r="P1324" s="2">
        <f>VLOOKUP(D1324,underlying!$D$2:$L$39,9,FALSE)</f>
        <v>43643</v>
      </c>
      <c r="Q1324" s="7">
        <f>IF(G1324="C",NormalCallSprd(O1324,H1324,M1324,(P1324-A1324)/365), NormalPutSprd(O1324,H1324,M1324,(P1324-A1324)/365))</f>
        <v>0.38584939296204718</v>
      </c>
      <c r="R1324" s="9">
        <f t="shared" si="41"/>
        <v>5.849392962047173E-3</v>
      </c>
    </row>
    <row r="1325" spans="1:18" x14ac:dyDescent="0.2">
      <c r="A1325" s="2">
        <v>42622</v>
      </c>
      <c r="B1325" s="1" t="s">
        <v>13</v>
      </c>
      <c r="C1325" s="1" t="s">
        <v>14</v>
      </c>
      <c r="D1325" s="2">
        <v>43473</v>
      </c>
      <c r="E1325" s="2">
        <f t="shared" si="40"/>
        <v>43678</v>
      </c>
      <c r="F1325" s="1" t="s">
        <v>15</v>
      </c>
      <c r="G1325" s="1" t="s">
        <v>18</v>
      </c>
      <c r="H1325" s="1">
        <v>-0.3</v>
      </c>
      <c r="I1325" s="1">
        <v>0.2</v>
      </c>
      <c r="J1325" s="1">
        <v>0</v>
      </c>
      <c r="K1325" s="1" t="s">
        <v>52</v>
      </c>
      <c r="L1325" s="1">
        <v>2389</v>
      </c>
      <c r="M1325" s="1">
        <v>0.43</v>
      </c>
      <c r="N1325" s="1">
        <v>0.47922999999999999</v>
      </c>
      <c r="O1325" s="1">
        <f>VLOOKUP(D1325,underlying!$D$2:$H$75,5,FALSE)</f>
        <v>-0.12</v>
      </c>
      <c r="P1325" s="2">
        <f>VLOOKUP(D1325,underlying!$D$2:$L$39,9,FALSE)</f>
        <v>43643</v>
      </c>
      <c r="Q1325" s="7">
        <f>IF(G1325="C",NormalCallSprd(O1325,H1325,M1325,(P1325-A1325)/365), NormalPutSprd(O1325,H1325,M1325,(P1325-A1325)/365))</f>
        <v>0.20584939296204721</v>
      </c>
      <c r="R1325" s="9">
        <f t="shared" si="41"/>
        <v>5.8493929620472007E-3</v>
      </c>
    </row>
    <row r="1326" spans="1:18" x14ac:dyDescent="0.2">
      <c r="A1326" s="2">
        <v>42622</v>
      </c>
      <c r="B1326" s="1" t="s">
        <v>13</v>
      </c>
      <c r="C1326" s="1" t="s">
        <v>14</v>
      </c>
      <c r="D1326" s="2">
        <v>43473</v>
      </c>
      <c r="E1326" s="2">
        <f t="shared" si="40"/>
        <v>43678</v>
      </c>
      <c r="F1326" s="1" t="s">
        <v>15</v>
      </c>
      <c r="G1326" s="1" t="s">
        <v>16</v>
      </c>
      <c r="H1326" s="1">
        <v>-0.25</v>
      </c>
      <c r="I1326" s="1">
        <v>0.35</v>
      </c>
      <c r="J1326" s="1">
        <v>-0.01</v>
      </c>
      <c r="K1326" s="1" t="s">
        <v>52</v>
      </c>
      <c r="L1326" s="1">
        <v>2389</v>
      </c>
      <c r="M1326" s="1">
        <v>0.43</v>
      </c>
      <c r="N1326" s="1">
        <v>0.50641000000000003</v>
      </c>
      <c r="O1326" s="1">
        <f>VLOOKUP(D1326,underlying!$D$2:$H$75,5,FALSE)</f>
        <v>-0.12</v>
      </c>
      <c r="P1326" s="2">
        <f>VLOOKUP(D1326,underlying!$D$2:$L$39,9,FALSE)</f>
        <v>43643</v>
      </c>
      <c r="Q1326" s="7">
        <f>IF(G1326="C",NormalCallSprd(O1326,H1326,M1326,(P1326-A1326)/365), NormalPutSprd(O1326,H1326,M1326,(P1326-A1326)/365))</f>
        <v>0.35658419756173559</v>
      </c>
      <c r="R1326" s="9">
        <f t="shared" si="41"/>
        <v>6.5841975617356163E-3</v>
      </c>
    </row>
    <row r="1327" spans="1:18" x14ac:dyDescent="0.2">
      <c r="A1327" s="2">
        <v>42622</v>
      </c>
      <c r="B1327" s="1" t="s">
        <v>13</v>
      </c>
      <c r="C1327" s="1" t="s">
        <v>14</v>
      </c>
      <c r="D1327" s="2">
        <v>43473</v>
      </c>
      <c r="E1327" s="2">
        <f t="shared" si="40"/>
        <v>43678</v>
      </c>
      <c r="F1327" s="1" t="s">
        <v>15</v>
      </c>
      <c r="G1327" s="1" t="s">
        <v>18</v>
      </c>
      <c r="H1327" s="1">
        <v>-0.25</v>
      </c>
      <c r="I1327" s="1">
        <v>0.22</v>
      </c>
      <c r="J1327" s="1">
        <v>0</v>
      </c>
      <c r="K1327" s="1" t="s">
        <v>52</v>
      </c>
      <c r="L1327" s="1">
        <v>2389</v>
      </c>
      <c r="M1327" s="1">
        <v>0.43</v>
      </c>
      <c r="N1327" s="1">
        <v>0.53351000000000004</v>
      </c>
      <c r="O1327" s="1">
        <f>VLOOKUP(D1327,underlying!$D$2:$H$75,5,FALSE)</f>
        <v>-0.12</v>
      </c>
      <c r="P1327" s="2">
        <f>VLOOKUP(D1327,underlying!$D$2:$L$39,9,FALSE)</f>
        <v>43643</v>
      </c>
      <c r="Q1327" s="7">
        <f>IF(G1327="C",NormalCallSprd(O1327,H1327,M1327,(P1327-A1327)/365), NormalPutSprd(O1327,H1327,M1327,(P1327-A1327)/365))</f>
        <v>0.22658419756173556</v>
      </c>
      <c r="R1327" s="9">
        <f t="shared" si="41"/>
        <v>6.5841975617355608E-3</v>
      </c>
    </row>
    <row r="1328" spans="1:18" x14ac:dyDescent="0.2">
      <c r="A1328" s="2">
        <v>42622</v>
      </c>
      <c r="B1328" s="1" t="s">
        <v>13</v>
      </c>
      <c r="C1328" s="1" t="s">
        <v>14</v>
      </c>
      <c r="D1328" s="2">
        <v>43473</v>
      </c>
      <c r="E1328" s="2">
        <f t="shared" si="40"/>
        <v>43678</v>
      </c>
      <c r="F1328" s="1" t="s">
        <v>15</v>
      </c>
      <c r="G1328" s="1" t="s">
        <v>16</v>
      </c>
      <c r="H1328" s="1">
        <v>-0.2</v>
      </c>
      <c r="I1328" s="1">
        <v>0.32</v>
      </c>
      <c r="J1328" s="1">
        <v>-0.01</v>
      </c>
      <c r="K1328" s="1" t="s">
        <v>52</v>
      </c>
      <c r="L1328" s="1">
        <v>2389</v>
      </c>
      <c r="M1328" s="1">
        <v>0.43</v>
      </c>
      <c r="N1328" s="1">
        <v>0.56040999999999996</v>
      </c>
      <c r="O1328" s="1">
        <f>VLOOKUP(D1328,underlying!$D$2:$H$75,5,FALSE)</f>
        <v>-0.12</v>
      </c>
      <c r="P1328" s="2">
        <f>VLOOKUP(D1328,underlying!$D$2:$L$39,9,FALSE)</f>
        <v>43643</v>
      </c>
      <c r="Q1328" s="7">
        <f>IF(G1328="C",NormalCallSprd(O1328,H1328,M1328,(P1328-A1328)/365), NormalPutSprd(O1328,H1328,M1328,(P1328-A1328)/365))</f>
        <v>0.32868280220780027</v>
      </c>
      <c r="R1328" s="9">
        <f t="shared" si="41"/>
        <v>8.6828022078002665E-3</v>
      </c>
    </row>
    <row r="1329" spans="1:18" x14ac:dyDescent="0.2">
      <c r="A1329" s="2">
        <v>42622</v>
      </c>
      <c r="B1329" s="1" t="s">
        <v>13</v>
      </c>
      <c r="C1329" s="1" t="s">
        <v>14</v>
      </c>
      <c r="D1329" s="2">
        <v>43473</v>
      </c>
      <c r="E1329" s="2">
        <f t="shared" si="40"/>
        <v>43678</v>
      </c>
      <c r="F1329" s="1" t="s">
        <v>15</v>
      </c>
      <c r="G1329" s="1" t="s">
        <v>18</v>
      </c>
      <c r="H1329" s="1">
        <v>-0.2</v>
      </c>
      <c r="I1329" s="1">
        <v>0.24</v>
      </c>
      <c r="J1329" s="1">
        <v>0</v>
      </c>
      <c r="K1329" s="1" t="s">
        <v>52</v>
      </c>
      <c r="L1329" s="1">
        <v>2389</v>
      </c>
      <c r="M1329" s="1">
        <v>0.43</v>
      </c>
      <c r="N1329" s="1">
        <v>0.58696000000000004</v>
      </c>
      <c r="O1329" s="1">
        <f>VLOOKUP(D1329,underlying!$D$2:$H$75,5,FALSE)</f>
        <v>-0.12</v>
      </c>
      <c r="P1329" s="2">
        <f>VLOOKUP(D1329,underlying!$D$2:$L$39,9,FALSE)</f>
        <v>43643</v>
      </c>
      <c r="Q1329" s="7">
        <f>IF(G1329="C",NormalCallSprd(O1329,H1329,M1329,(P1329-A1329)/365), NormalPutSprd(O1329,H1329,M1329,(P1329-A1329)/365))</f>
        <v>0.24868280220780026</v>
      </c>
      <c r="R1329" s="9">
        <f t="shared" si="41"/>
        <v>8.6828022078002665E-3</v>
      </c>
    </row>
    <row r="1330" spans="1:18" x14ac:dyDescent="0.2">
      <c r="A1330" s="2">
        <v>42622</v>
      </c>
      <c r="B1330" s="1" t="s">
        <v>13</v>
      </c>
      <c r="C1330" s="1" t="s">
        <v>14</v>
      </c>
      <c r="D1330" s="2">
        <v>43473</v>
      </c>
      <c r="E1330" s="2">
        <f t="shared" si="40"/>
        <v>43678</v>
      </c>
      <c r="F1330" s="1" t="s">
        <v>15</v>
      </c>
      <c r="G1330" s="1" t="s">
        <v>16</v>
      </c>
      <c r="H1330" s="1">
        <v>-0.15</v>
      </c>
      <c r="I1330" s="1">
        <v>0.3</v>
      </c>
      <c r="J1330" s="1">
        <v>0</v>
      </c>
      <c r="K1330" s="1" t="s">
        <v>52</v>
      </c>
      <c r="L1330" s="1">
        <v>2389</v>
      </c>
      <c r="M1330" s="1">
        <v>0.43</v>
      </c>
      <c r="N1330" s="1">
        <v>0.61089000000000004</v>
      </c>
      <c r="O1330" s="1">
        <f>VLOOKUP(D1330,underlying!$D$2:$H$75,5,FALSE)</f>
        <v>-0.12</v>
      </c>
      <c r="P1330" s="2">
        <f>VLOOKUP(D1330,underlying!$D$2:$L$39,9,FALSE)</f>
        <v>43643</v>
      </c>
      <c r="Q1330" s="7">
        <f>IF(G1330="C",NormalCallSprd(O1330,H1330,M1330,(P1330-A1330)/365), NormalPutSprd(O1330,H1330,M1330,(P1330-A1330)/365))</f>
        <v>0.30215910945632352</v>
      </c>
      <c r="R1330" s="9">
        <f t="shared" si="41"/>
        <v>2.1591094563235269E-3</v>
      </c>
    </row>
    <row r="1331" spans="1:18" x14ac:dyDescent="0.2">
      <c r="A1331" s="2">
        <v>42622</v>
      </c>
      <c r="B1331" s="1" t="s">
        <v>13</v>
      </c>
      <c r="C1331" s="1" t="s">
        <v>14</v>
      </c>
      <c r="D1331" s="2">
        <v>43473</v>
      </c>
      <c r="E1331" s="2">
        <f t="shared" si="40"/>
        <v>43678</v>
      </c>
      <c r="F1331" s="1" t="s">
        <v>15</v>
      </c>
      <c r="G1331" s="1" t="s">
        <v>18</v>
      </c>
      <c r="H1331" s="1">
        <v>-0.15</v>
      </c>
      <c r="I1331" s="1">
        <v>0.27</v>
      </c>
      <c r="J1331" s="1">
        <v>0.01</v>
      </c>
      <c r="K1331" s="1" t="s">
        <v>52</v>
      </c>
      <c r="L1331" s="1">
        <v>2389</v>
      </c>
      <c r="M1331" s="1">
        <v>0.43</v>
      </c>
      <c r="N1331" s="1">
        <v>0.63290000000000002</v>
      </c>
      <c r="O1331" s="1">
        <f>VLOOKUP(D1331,underlying!$D$2:$H$75,5,FALSE)</f>
        <v>-0.12</v>
      </c>
      <c r="P1331" s="2">
        <f>VLOOKUP(D1331,underlying!$D$2:$L$39,9,FALSE)</f>
        <v>43643</v>
      </c>
      <c r="Q1331" s="7">
        <f>IF(G1331="C",NormalCallSprd(O1331,H1331,M1331,(P1331-A1331)/365), NormalPutSprd(O1331,H1331,M1331,(P1331-A1331)/365))</f>
        <v>0.27215910945632349</v>
      </c>
      <c r="R1331" s="9">
        <f t="shared" si="41"/>
        <v>2.1591094563234714E-3</v>
      </c>
    </row>
    <row r="1332" spans="1:18" x14ac:dyDescent="0.2">
      <c r="A1332" s="2">
        <v>42622</v>
      </c>
      <c r="B1332" s="1" t="s">
        <v>13</v>
      </c>
      <c r="C1332" s="1" t="s">
        <v>14</v>
      </c>
      <c r="D1332" s="2">
        <v>43473</v>
      </c>
      <c r="E1332" s="2">
        <f t="shared" si="40"/>
        <v>43678</v>
      </c>
      <c r="F1332" s="1" t="s">
        <v>15</v>
      </c>
      <c r="G1332" s="1" t="s">
        <v>16</v>
      </c>
      <c r="H1332" s="1">
        <v>-0.1</v>
      </c>
      <c r="I1332" s="1">
        <v>0.27</v>
      </c>
      <c r="J1332" s="1">
        <v>-0.01</v>
      </c>
      <c r="K1332" s="1" t="s">
        <v>52</v>
      </c>
      <c r="L1332" s="1">
        <v>2389</v>
      </c>
      <c r="M1332" s="1">
        <v>0.43</v>
      </c>
      <c r="N1332" s="1">
        <v>0.65349999999999997</v>
      </c>
      <c r="O1332" s="1">
        <f>VLOOKUP(D1332,underlying!$D$2:$H$75,5,FALSE)</f>
        <v>-0.12</v>
      </c>
      <c r="P1332" s="2">
        <f>VLOOKUP(D1332,underlying!$D$2:$L$39,9,FALSE)</f>
        <v>43643</v>
      </c>
      <c r="Q1332" s="7">
        <f>IF(G1332="C",NormalCallSprd(O1332,H1332,M1332,(P1332-A1332)/365), NormalPutSprd(O1332,H1332,M1332,(P1332-A1332)/365))</f>
        <v>0.27702045806782982</v>
      </c>
      <c r="R1332" s="9">
        <f t="shared" si="41"/>
        <v>7.0204580678298045E-3</v>
      </c>
    </row>
    <row r="1333" spans="1:18" x14ac:dyDescent="0.2">
      <c r="A1333" s="2">
        <v>42622</v>
      </c>
      <c r="B1333" s="1" t="s">
        <v>13</v>
      </c>
      <c r="C1333" s="1" t="s">
        <v>14</v>
      </c>
      <c r="D1333" s="2">
        <v>43473</v>
      </c>
      <c r="E1333" s="2">
        <f t="shared" si="40"/>
        <v>43678</v>
      </c>
      <c r="F1333" s="1" t="s">
        <v>15</v>
      </c>
      <c r="G1333" s="1" t="s">
        <v>18</v>
      </c>
      <c r="H1333" s="1">
        <v>-0.1</v>
      </c>
      <c r="I1333" s="1">
        <v>0.28999999999999998</v>
      </c>
      <c r="J1333" s="1">
        <v>0</v>
      </c>
      <c r="K1333" s="1" t="s">
        <v>52</v>
      </c>
      <c r="L1333" s="1">
        <v>2389</v>
      </c>
      <c r="M1333" s="1">
        <v>0.43</v>
      </c>
      <c r="N1333" s="1">
        <v>0.67566999999999999</v>
      </c>
      <c r="O1333" s="1">
        <f>VLOOKUP(D1333,underlying!$D$2:$H$75,5,FALSE)</f>
        <v>-0.12</v>
      </c>
      <c r="P1333" s="2">
        <f>VLOOKUP(D1333,underlying!$D$2:$L$39,9,FALSE)</f>
        <v>43643</v>
      </c>
      <c r="Q1333" s="7">
        <f>IF(G1333="C",NormalCallSprd(O1333,H1333,M1333,(P1333-A1333)/365), NormalPutSprd(O1333,H1333,M1333,(P1333-A1333)/365))</f>
        <v>0.29702045806782978</v>
      </c>
      <c r="R1333" s="9">
        <f t="shared" si="41"/>
        <v>7.0204580678298045E-3</v>
      </c>
    </row>
    <row r="1334" spans="1:18" x14ac:dyDescent="0.2">
      <c r="A1334" s="2">
        <v>42622</v>
      </c>
      <c r="B1334" s="1" t="s">
        <v>13</v>
      </c>
      <c r="C1334" s="1" t="s">
        <v>14</v>
      </c>
      <c r="D1334" s="2">
        <v>43473</v>
      </c>
      <c r="E1334" s="2">
        <f t="shared" si="40"/>
        <v>43678</v>
      </c>
      <c r="F1334" s="1" t="s">
        <v>15</v>
      </c>
      <c r="G1334" s="1" t="s">
        <v>16</v>
      </c>
      <c r="H1334" s="1">
        <v>-0.05</v>
      </c>
      <c r="I1334" s="1">
        <v>0.25</v>
      </c>
      <c r="J1334" s="1">
        <v>0</v>
      </c>
      <c r="K1334" s="1" t="s">
        <v>52</v>
      </c>
      <c r="L1334" s="1">
        <v>2389</v>
      </c>
      <c r="M1334" s="1">
        <v>0.43</v>
      </c>
      <c r="N1334" s="1">
        <v>0.69459000000000004</v>
      </c>
      <c r="O1334" s="1">
        <f>VLOOKUP(D1334,underlying!$D$2:$H$75,5,FALSE)</f>
        <v>-0.12</v>
      </c>
      <c r="P1334" s="2">
        <f>VLOOKUP(D1334,underlying!$D$2:$L$39,9,FALSE)</f>
        <v>43643</v>
      </c>
      <c r="Q1334" s="7">
        <f>IF(G1334="C",NormalCallSprd(O1334,H1334,M1334,(P1334-A1334)/365), NormalPutSprd(O1334,H1334,M1334,(P1334-A1334)/365))</f>
        <v>0.25326751713770101</v>
      </c>
      <c r="R1334" s="9">
        <f t="shared" si="41"/>
        <v>3.2675171377010148E-3</v>
      </c>
    </row>
    <row r="1335" spans="1:18" x14ac:dyDescent="0.2">
      <c r="A1335" s="2">
        <v>42622</v>
      </c>
      <c r="B1335" s="1" t="s">
        <v>13</v>
      </c>
      <c r="C1335" s="1" t="s">
        <v>14</v>
      </c>
      <c r="D1335" s="2">
        <v>43473</v>
      </c>
      <c r="E1335" s="2">
        <f t="shared" si="40"/>
        <v>43678</v>
      </c>
      <c r="F1335" s="1" t="s">
        <v>15</v>
      </c>
      <c r="G1335" s="1" t="s">
        <v>18</v>
      </c>
      <c r="H1335" s="1">
        <v>-0.05</v>
      </c>
      <c r="I1335" s="1">
        <v>0.32</v>
      </c>
      <c r="J1335" s="1">
        <v>0.01</v>
      </c>
      <c r="K1335" s="1" t="s">
        <v>52</v>
      </c>
      <c r="L1335" s="1">
        <v>2389</v>
      </c>
      <c r="M1335" s="1">
        <v>0.43</v>
      </c>
      <c r="N1335" s="1">
        <v>0.71150999999999998</v>
      </c>
      <c r="O1335" s="1">
        <f>VLOOKUP(D1335,underlying!$D$2:$H$75,5,FALSE)</f>
        <v>-0.12</v>
      </c>
      <c r="P1335" s="2">
        <f>VLOOKUP(D1335,underlying!$D$2:$L$39,9,FALSE)</f>
        <v>43643</v>
      </c>
      <c r="Q1335" s="7">
        <f>IF(G1335="C",NormalCallSprd(O1335,H1335,M1335,(P1335-A1335)/365), NormalPutSprd(O1335,H1335,M1335,(P1335-A1335)/365))</f>
        <v>0.32326751713770102</v>
      </c>
      <c r="R1335" s="9">
        <f t="shared" si="41"/>
        <v>3.2675171377010148E-3</v>
      </c>
    </row>
    <row r="1336" spans="1:18" x14ac:dyDescent="0.2">
      <c r="A1336" s="2">
        <v>42622</v>
      </c>
      <c r="B1336" s="1" t="s">
        <v>13</v>
      </c>
      <c r="C1336" s="1" t="s">
        <v>14</v>
      </c>
      <c r="D1336" s="2">
        <v>43474</v>
      </c>
      <c r="E1336" s="2">
        <f t="shared" si="40"/>
        <v>43709</v>
      </c>
      <c r="F1336" s="1" t="s">
        <v>15</v>
      </c>
      <c r="G1336" s="1" t="s">
        <v>16</v>
      </c>
      <c r="H1336" s="1">
        <v>-3</v>
      </c>
      <c r="I1336" s="1">
        <v>2.83</v>
      </c>
      <c r="J1336" s="1">
        <v>-0.01</v>
      </c>
      <c r="K1336" s="1" t="s">
        <v>55</v>
      </c>
      <c r="L1336" s="1">
        <v>2389</v>
      </c>
      <c r="M1336" s="1">
        <v>0.79</v>
      </c>
      <c r="N1336" s="1">
        <v>0.72726000000000002</v>
      </c>
      <c r="O1336" s="1">
        <f>VLOOKUP(D1336,underlying!$D$2:$H$75,5,FALSE)</f>
        <v>-0.12</v>
      </c>
      <c r="P1336" s="2">
        <f>VLOOKUP(D1336,underlying!$D$2:$L$39,9,FALSE)</f>
        <v>43676</v>
      </c>
      <c r="Q1336" s="7">
        <f>IF(G1336="C",NormalCallSprd(O1336,H1336,M1336,(P1336-A1336)/365), NormalPutSprd(O1336,H1336,M1336,(P1336-A1336)/365))</f>
        <v>2.8876553759796133</v>
      </c>
      <c r="R1336" s="9">
        <f t="shared" si="41"/>
        <v>5.7655375979613233E-2</v>
      </c>
    </row>
    <row r="1337" spans="1:18" x14ac:dyDescent="0.2">
      <c r="A1337" s="2">
        <v>42622</v>
      </c>
      <c r="B1337" s="1" t="s">
        <v>13</v>
      </c>
      <c r="C1337" s="1" t="s">
        <v>14</v>
      </c>
      <c r="D1337" s="2">
        <v>43474</v>
      </c>
      <c r="E1337" s="2">
        <f t="shared" si="40"/>
        <v>43709</v>
      </c>
      <c r="F1337" s="1" t="s">
        <v>15</v>
      </c>
      <c r="G1337" s="1" t="s">
        <v>18</v>
      </c>
      <c r="H1337" s="1">
        <v>-3</v>
      </c>
      <c r="I1337" s="1">
        <v>0.01</v>
      </c>
      <c r="J1337" s="1">
        <v>0</v>
      </c>
      <c r="K1337" s="1" t="s">
        <v>55</v>
      </c>
      <c r="L1337" s="1">
        <v>2389</v>
      </c>
      <c r="M1337" s="1">
        <v>0.79</v>
      </c>
      <c r="N1337" s="1">
        <v>0.81916</v>
      </c>
      <c r="O1337" s="1">
        <f>VLOOKUP(D1337,underlying!$D$2:$H$75,5,FALSE)</f>
        <v>-0.12</v>
      </c>
      <c r="P1337" s="2">
        <f>VLOOKUP(D1337,underlying!$D$2:$L$39,9,FALSE)</f>
        <v>43676</v>
      </c>
      <c r="Q1337" s="7">
        <f>IF(G1337="C",NormalCallSprd(O1337,H1337,M1337,(P1337-A1337)/365), NormalPutSprd(O1337,H1337,M1337,(P1337-A1337)/365))</f>
        <v>7.6553759796132411E-3</v>
      </c>
      <c r="R1337" s="9">
        <f t="shared" si="41"/>
        <v>2.3446240203867591E-3</v>
      </c>
    </row>
    <row r="1338" spans="1:18" x14ac:dyDescent="0.2">
      <c r="A1338" s="2">
        <v>42622</v>
      </c>
      <c r="B1338" s="1" t="s">
        <v>13</v>
      </c>
      <c r="C1338" s="1" t="s">
        <v>14</v>
      </c>
      <c r="D1338" s="2">
        <v>43474</v>
      </c>
      <c r="E1338" s="2">
        <f t="shared" si="40"/>
        <v>43709</v>
      </c>
      <c r="F1338" s="1" t="s">
        <v>15</v>
      </c>
      <c r="G1338" s="1" t="s">
        <v>16</v>
      </c>
      <c r="H1338" s="1">
        <v>-2</v>
      </c>
      <c r="I1338" s="1">
        <v>1.87</v>
      </c>
      <c r="J1338" s="1">
        <v>-0.01</v>
      </c>
      <c r="K1338" s="1" t="s">
        <v>55</v>
      </c>
      <c r="L1338" s="1">
        <v>2389</v>
      </c>
      <c r="M1338" s="1">
        <v>0.68</v>
      </c>
      <c r="N1338" s="1">
        <v>0.92995000000000005</v>
      </c>
      <c r="O1338" s="1">
        <f>VLOOKUP(D1338,underlying!$D$2:$H$75,5,FALSE)</f>
        <v>-0.12</v>
      </c>
      <c r="P1338" s="2">
        <f>VLOOKUP(D1338,underlying!$D$2:$L$39,9,FALSE)</f>
        <v>43676</v>
      </c>
      <c r="Q1338" s="7">
        <f>IF(G1338="C",NormalCallSprd(O1338,H1338,M1338,(P1338-A1338)/365), NormalPutSprd(O1338,H1338,M1338,(P1338-A1338)/365))</f>
        <v>1.9051960366783407</v>
      </c>
      <c r="R1338" s="9">
        <f t="shared" si="41"/>
        <v>3.5196036678340592E-2</v>
      </c>
    </row>
    <row r="1339" spans="1:18" x14ac:dyDescent="0.2">
      <c r="A1339" s="2">
        <v>42622</v>
      </c>
      <c r="B1339" s="1" t="s">
        <v>13</v>
      </c>
      <c r="C1339" s="1" t="s">
        <v>14</v>
      </c>
      <c r="D1339" s="2">
        <v>43474</v>
      </c>
      <c r="E1339" s="2">
        <f t="shared" si="40"/>
        <v>43709</v>
      </c>
      <c r="F1339" s="1" t="s">
        <v>15</v>
      </c>
      <c r="G1339" s="1" t="s">
        <v>18</v>
      </c>
      <c r="H1339" s="1">
        <v>-2</v>
      </c>
      <c r="I1339" s="1">
        <v>0.02</v>
      </c>
      <c r="J1339" s="1">
        <v>0</v>
      </c>
      <c r="K1339" s="1" t="s">
        <v>55</v>
      </c>
      <c r="L1339" s="1">
        <v>2389</v>
      </c>
      <c r="M1339" s="1">
        <v>0.68</v>
      </c>
      <c r="N1339" s="1">
        <v>0.96594999999999998</v>
      </c>
      <c r="O1339" s="1">
        <f>VLOOKUP(D1339,underlying!$D$2:$H$75,5,FALSE)</f>
        <v>-0.12</v>
      </c>
      <c r="P1339" s="2">
        <f>VLOOKUP(D1339,underlying!$D$2:$L$39,9,FALSE)</f>
        <v>43676</v>
      </c>
      <c r="Q1339" s="7">
        <f>IF(G1339="C",NormalCallSprd(O1339,H1339,M1339,(P1339-A1339)/365), NormalPutSprd(O1339,H1339,M1339,(P1339-A1339)/365))</f>
        <v>2.5196036678340646E-2</v>
      </c>
      <c r="R1339" s="9">
        <f t="shared" si="41"/>
        <v>5.1960366783406452E-3</v>
      </c>
    </row>
    <row r="1340" spans="1:18" x14ac:dyDescent="0.2">
      <c r="A1340" s="2">
        <v>42622</v>
      </c>
      <c r="B1340" s="1" t="s">
        <v>13</v>
      </c>
      <c r="C1340" s="1" t="s">
        <v>14</v>
      </c>
      <c r="D1340" s="2">
        <v>43474</v>
      </c>
      <c r="E1340" s="2">
        <f t="shared" si="40"/>
        <v>43709</v>
      </c>
      <c r="F1340" s="1" t="s">
        <v>15</v>
      </c>
      <c r="G1340" s="1" t="s">
        <v>16</v>
      </c>
      <c r="H1340" s="1">
        <v>-1</v>
      </c>
      <c r="I1340" s="1">
        <v>0.94</v>
      </c>
      <c r="J1340" s="1">
        <v>-0.01</v>
      </c>
      <c r="K1340" s="1" t="s">
        <v>55</v>
      </c>
      <c r="L1340" s="1">
        <v>2389</v>
      </c>
      <c r="M1340" s="1">
        <v>0.53</v>
      </c>
      <c r="N1340" s="1">
        <v>-0.52810000000000001</v>
      </c>
      <c r="O1340" s="1">
        <f>VLOOKUP(D1340,underlying!$D$2:$H$75,5,FALSE)</f>
        <v>-0.12</v>
      </c>
      <c r="P1340" s="2">
        <f>VLOOKUP(D1340,underlying!$D$2:$L$39,9,FALSE)</f>
        <v>43676</v>
      </c>
      <c r="Q1340" s="7">
        <f>IF(G1340="C",NormalCallSprd(O1340,H1340,M1340,(P1340-A1340)/365), NormalPutSprd(O1340,H1340,M1340,(P1340-A1340)/365))</f>
        <v>0.95836878996425445</v>
      </c>
      <c r="R1340" s="9">
        <f t="shared" si="41"/>
        <v>1.8368789964254506E-2</v>
      </c>
    </row>
    <row r="1341" spans="1:18" x14ac:dyDescent="0.2">
      <c r="A1341" s="2">
        <v>42622</v>
      </c>
      <c r="B1341" s="1" t="s">
        <v>13</v>
      </c>
      <c r="C1341" s="1" t="s">
        <v>14</v>
      </c>
      <c r="D1341" s="2">
        <v>43474</v>
      </c>
      <c r="E1341" s="2">
        <f t="shared" si="40"/>
        <v>43709</v>
      </c>
      <c r="F1341" s="1" t="s">
        <v>15</v>
      </c>
      <c r="G1341" s="1" t="s">
        <v>18</v>
      </c>
      <c r="H1341" s="1">
        <v>-1</v>
      </c>
      <c r="I1341" s="1">
        <v>0.08</v>
      </c>
      <c r="J1341" s="1">
        <v>0</v>
      </c>
      <c r="K1341" s="1" t="s">
        <v>55</v>
      </c>
      <c r="L1341" s="1">
        <v>2389</v>
      </c>
      <c r="M1341" s="1">
        <v>0.53</v>
      </c>
      <c r="N1341" s="1">
        <v>-0.50097999999999998</v>
      </c>
      <c r="O1341" s="1">
        <f>VLOOKUP(D1341,underlying!$D$2:$H$75,5,FALSE)</f>
        <v>-0.12</v>
      </c>
      <c r="P1341" s="2">
        <f>VLOOKUP(D1341,underlying!$D$2:$L$39,9,FALSE)</f>
        <v>43676</v>
      </c>
      <c r="Q1341" s="7">
        <f>IF(G1341="C",NormalCallSprd(O1341,H1341,M1341,(P1341-A1341)/365), NormalPutSprd(O1341,H1341,M1341,(P1341-A1341)/365))</f>
        <v>7.8368789964254379E-2</v>
      </c>
      <c r="R1341" s="9">
        <f t="shared" si="41"/>
        <v>1.6312100357456227E-3</v>
      </c>
    </row>
    <row r="1342" spans="1:18" x14ac:dyDescent="0.2">
      <c r="A1342" s="2">
        <v>42622</v>
      </c>
      <c r="B1342" s="1" t="s">
        <v>13</v>
      </c>
      <c r="C1342" s="1" t="s">
        <v>14</v>
      </c>
      <c r="D1342" s="2">
        <v>43474</v>
      </c>
      <c r="E1342" s="2">
        <f t="shared" si="40"/>
        <v>43709</v>
      </c>
      <c r="F1342" s="1" t="s">
        <v>15</v>
      </c>
      <c r="G1342" s="1" t="s">
        <v>16</v>
      </c>
      <c r="H1342" s="1">
        <v>-0.65</v>
      </c>
      <c r="I1342" s="1">
        <v>0.64</v>
      </c>
      <c r="J1342" s="1">
        <v>-0.01</v>
      </c>
      <c r="K1342" s="1" t="s">
        <v>55</v>
      </c>
      <c r="L1342" s="1">
        <v>2389</v>
      </c>
      <c r="M1342" s="1">
        <v>0.48</v>
      </c>
      <c r="N1342" s="1">
        <v>-0.47378999999999999</v>
      </c>
      <c r="O1342" s="1">
        <f>VLOOKUP(D1342,underlying!$D$2:$H$75,5,FALSE)</f>
        <v>-0.12</v>
      </c>
      <c r="P1342" s="2">
        <f>VLOOKUP(D1342,underlying!$D$2:$L$39,9,FALSE)</f>
        <v>43676</v>
      </c>
      <c r="Q1342" s="7">
        <f>IF(G1342="C",NormalCallSprd(O1342,H1342,M1342,(P1342-A1342)/365), NormalPutSprd(O1342,H1342,M1342,(P1342-A1342)/365))</f>
        <v>0.65678080953782281</v>
      </c>
      <c r="R1342" s="9">
        <f t="shared" si="41"/>
        <v>1.6780809537822794E-2</v>
      </c>
    </row>
    <row r="1343" spans="1:18" x14ac:dyDescent="0.2">
      <c r="A1343" s="2">
        <v>42622</v>
      </c>
      <c r="B1343" s="1" t="s">
        <v>13</v>
      </c>
      <c r="C1343" s="1" t="s">
        <v>14</v>
      </c>
      <c r="D1343" s="2">
        <v>43474</v>
      </c>
      <c r="E1343" s="2">
        <f t="shared" si="40"/>
        <v>43709</v>
      </c>
      <c r="F1343" s="1" t="s">
        <v>15</v>
      </c>
      <c r="G1343" s="1" t="s">
        <v>18</v>
      </c>
      <c r="H1343" s="1">
        <v>-0.65</v>
      </c>
      <c r="I1343" s="1">
        <v>0.12</v>
      </c>
      <c r="J1343" s="1">
        <v>0</v>
      </c>
      <c r="K1343" s="1" t="s">
        <v>55</v>
      </c>
      <c r="L1343" s="1">
        <v>2389</v>
      </c>
      <c r="M1343" s="1">
        <v>0.48</v>
      </c>
      <c r="N1343" s="1">
        <v>-0.44668999999999998</v>
      </c>
      <c r="O1343" s="1">
        <f>VLOOKUP(D1343,underlying!$D$2:$H$75,5,FALSE)</f>
        <v>-0.12</v>
      </c>
      <c r="P1343" s="2">
        <f>VLOOKUP(D1343,underlying!$D$2:$L$39,9,FALSE)</f>
        <v>43676</v>
      </c>
      <c r="Q1343" s="7">
        <f>IF(G1343="C",NormalCallSprd(O1343,H1343,M1343,(P1343-A1343)/365), NormalPutSprd(O1343,H1343,M1343,(P1343-A1343)/365))</f>
        <v>0.12678080953782281</v>
      </c>
      <c r="R1343" s="9">
        <f t="shared" si="41"/>
        <v>6.7808095378228128E-3</v>
      </c>
    </row>
    <row r="1344" spans="1:18" x14ac:dyDescent="0.2">
      <c r="A1344" s="2">
        <v>42622</v>
      </c>
      <c r="B1344" s="1" t="s">
        <v>13</v>
      </c>
      <c r="C1344" s="1" t="s">
        <v>14</v>
      </c>
      <c r="D1344" s="2">
        <v>43474</v>
      </c>
      <c r="E1344" s="2">
        <f t="shared" si="40"/>
        <v>43709</v>
      </c>
      <c r="F1344" s="1" t="s">
        <v>15</v>
      </c>
      <c r="G1344" s="1" t="s">
        <v>16</v>
      </c>
      <c r="H1344" s="1">
        <v>-0.6</v>
      </c>
      <c r="I1344" s="1">
        <v>0.61</v>
      </c>
      <c r="J1344" s="1">
        <v>-0.01</v>
      </c>
      <c r="K1344" s="1" t="s">
        <v>55</v>
      </c>
      <c r="L1344" s="1">
        <v>2389</v>
      </c>
      <c r="M1344" s="1">
        <v>0.48</v>
      </c>
      <c r="N1344" s="1">
        <v>-0.41980000000000001</v>
      </c>
      <c r="O1344" s="1">
        <f>VLOOKUP(D1344,underlying!$D$2:$H$75,5,FALSE)</f>
        <v>-0.12</v>
      </c>
      <c r="P1344" s="2">
        <f>VLOOKUP(D1344,underlying!$D$2:$L$39,9,FALSE)</f>
        <v>43676</v>
      </c>
      <c r="Q1344" s="7">
        <f>IF(G1344="C",NormalCallSprd(O1344,H1344,M1344,(P1344-A1344)/365), NormalPutSprd(O1344,H1344,M1344,(P1344-A1344)/365))</f>
        <v>0.62017830471585</v>
      </c>
      <c r="R1344" s="9">
        <f t="shared" si="41"/>
        <v>1.0178304715850017E-2</v>
      </c>
    </row>
    <row r="1345" spans="1:18" x14ac:dyDescent="0.2">
      <c r="A1345" s="2">
        <v>42622</v>
      </c>
      <c r="B1345" s="1" t="s">
        <v>13</v>
      </c>
      <c r="C1345" s="1" t="s">
        <v>14</v>
      </c>
      <c r="D1345" s="2">
        <v>43474</v>
      </c>
      <c r="E1345" s="2">
        <f t="shared" si="40"/>
        <v>43709</v>
      </c>
      <c r="F1345" s="1" t="s">
        <v>15</v>
      </c>
      <c r="G1345" s="1" t="s">
        <v>18</v>
      </c>
      <c r="H1345" s="1">
        <v>-0.6</v>
      </c>
      <c r="I1345" s="1">
        <v>0.14000000000000001</v>
      </c>
      <c r="J1345" s="1">
        <v>0.01</v>
      </c>
      <c r="K1345" s="1" t="s">
        <v>55</v>
      </c>
      <c r="L1345" s="1">
        <v>2389</v>
      </c>
      <c r="M1345" s="1">
        <v>0.48</v>
      </c>
      <c r="N1345" s="1">
        <v>-0.39323999999999998</v>
      </c>
      <c r="O1345" s="1">
        <f>VLOOKUP(D1345,underlying!$D$2:$H$75,5,FALSE)</f>
        <v>-0.12</v>
      </c>
      <c r="P1345" s="2">
        <f>VLOOKUP(D1345,underlying!$D$2:$L$39,9,FALSE)</f>
        <v>43676</v>
      </c>
      <c r="Q1345" s="7">
        <f>IF(G1345="C",NormalCallSprd(O1345,H1345,M1345,(P1345-A1345)/365), NormalPutSprd(O1345,H1345,M1345,(P1345-A1345)/365))</f>
        <v>0.14017830471585005</v>
      </c>
      <c r="R1345" s="9">
        <f t="shared" si="41"/>
        <v>1.7830471585003616E-4</v>
      </c>
    </row>
    <row r="1346" spans="1:18" x14ac:dyDescent="0.2">
      <c r="A1346" s="2">
        <v>42622</v>
      </c>
      <c r="B1346" s="1" t="s">
        <v>13</v>
      </c>
      <c r="C1346" s="1" t="s">
        <v>14</v>
      </c>
      <c r="D1346" s="2">
        <v>43474</v>
      </c>
      <c r="E1346" s="2">
        <f t="shared" ref="E1346:E1409" si="42">DATE(YEAR(D1346),DAY(D1346),MONTH(D1346))</f>
        <v>43709</v>
      </c>
      <c r="F1346" s="1" t="s">
        <v>15</v>
      </c>
      <c r="G1346" s="1" t="s">
        <v>16</v>
      </c>
      <c r="H1346" s="1">
        <v>-0.55000000000000004</v>
      </c>
      <c r="I1346" s="1">
        <v>0.56999999999999995</v>
      </c>
      <c r="J1346" s="1">
        <v>-0.01</v>
      </c>
      <c r="K1346" s="1" t="s">
        <v>55</v>
      </c>
      <c r="L1346" s="1">
        <v>2389</v>
      </c>
      <c r="M1346" s="1">
        <v>0.47</v>
      </c>
      <c r="N1346" s="1">
        <v>-0.36931000000000003</v>
      </c>
      <c r="O1346" s="1">
        <f>VLOOKUP(D1346,underlying!$D$2:$H$75,5,FALSE)</f>
        <v>-0.12</v>
      </c>
      <c r="P1346" s="2">
        <f>VLOOKUP(D1346,underlying!$D$2:$L$39,9,FALSE)</f>
        <v>43676</v>
      </c>
      <c r="Q1346" s="7">
        <f>IF(G1346="C",NormalCallSprd(O1346,H1346,M1346,(P1346-A1346)/365), NormalPutSprd(O1346,H1346,M1346,(P1346-A1346)/365))</f>
        <v>0.57872155292823912</v>
      </c>
      <c r="R1346" s="9">
        <f t="shared" si="41"/>
        <v>8.7215529282391735E-3</v>
      </c>
    </row>
    <row r="1347" spans="1:18" x14ac:dyDescent="0.2">
      <c r="A1347" s="2">
        <v>42622</v>
      </c>
      <c r="B1347" s="1" t="s">
        <v>13</v>
      </c>
      <c r="C1347" s="1" t="s">
        <v>14</v>
      </c>
      <c r="D1347" s="2">
        <v>43474</v>
      </c>
      <c r="E1347" s="2">
        <f t="shared" si="42"/>
        <v>43709</v>
      </c>
      <c r="F1347" s="1" t="s">
        <v>15</v>
      </c>
      <c r="G1347" s="1" t="s">
        <v>18</v>
      </c>
      <c r="H1347" s="1">
        <v>-0.55000000000000004</v>
      </c>
      <c r="I1347" s="1">
        <v>0.14000000000000001</v>
      </c>
      <c r="J1347" s="1">
        <v>0</v>
      </c>
      <c r="K1347" s="1" t="s">
        <v>55</v>
      </c>
      <c r="L1347" s="1">
        <v>2389</v>
      </c>
      <c r="M1347" s="1">
        <v>0.47</v>
      </c>
      <c r="N1347" s="1">
        <v>-0.3473</v>
      </c>
      <c r="O1347" s="1">
        <f>VLOOKUP(D1347,underlying!$D$2:$H$75,5,FALSE)</f>
        <v>-0.12</v>
      </c>
      <c r="P1347" s="2">
        <f>VLOOKUP(D1347,underlying!$D$2:$L$39,9,FALSE)</f>
        <v>43676</v>
      </c>
      <c r="Q1347" s="7">
        <f>IF(G1347="C",NormalCallSprd(O1347,H1347,M1347,(P1347-A1347)/365), NormalPutSprd(O1347,H1347,M1347,(P1347-A1347)/365))</f>
        <v>0.14872155292823902</v>
      </c>
      <c r="R1347" s="9">
        <f t="shared" ref="R1347:R1410" si="43">ABS(Q1347-I1347)</f>
        <v>8.721552928239007E-3</v>
      </c>
    </row>
    <row r="1348" spans="1:18" x14ac:dyDescent="0.2">
      <c r="A1348" s="2">
        <v>42622</v>
      </c>
      <c r="B1348" s="1" t="s">
        <v>13</v>
      </c>
      <c r="C1348" s="1" t="s">
        <v>14</v>
      </c>
      <c r="D1348" s="2">
        <v>43474</v>
      </c>
      <c r="E1348" s="2">
        <f t="shared" si="42"/>
        <v>43709</v>
      </c>
      <c r="F1348" s="1" t="s">
        <v>15</v>
      </c>
      <c r="G1348" s="1" t="s">
        <v>16</v>
      </c>
      <c r="H1348" s="1">
        <v>-0.5</v>
      </c>
      <c r="I1348" s="1">
        <v>0.53</v>
      </c>
      <c r="J1348" s="1">
        <v>-0.01</v>
      </c>
      <c r="K1348" s="1" t="s">
        <v>55</v>
      </c>
      <c r="L1348" s="1">
        <v>2389</v>
      </c>
      <c r="M1348" s="1">
        <v>0.46</v>
      </c>
      <c r="N1348" s="1">
        <v>-0.32671</v>
      </c>
      <c r="O1348" s="1">
        <f>VLOOKUP(D1348,underlying!$D$2:$H$75,5,FALSE)</f>
        <v>-0.12</v>
      </c>
      <c r="P1348" s="2">
        <f>VLOOKUP(D1348,underlying!$D$2:$L$39,9,FALSE)</f>
        <v>43676</v>
      </c>
      <c r="Q1348" s="7">
        <f>IF(G1348="C",NormalCallSprd(O1348,H1348,M1348,(P1348-A1348)/365), NormalPutSprd(O1348,H1348,M1348,(P1348-A1348)/365))</f>
        <v>0.53798640837775813</v>
      </c>
      <c r="R1348" s="9">
        <f t="shared" si="43"/>
        <v>7.986408377758103E-3</v>
      </c>
    </row>
    <row r="1349" spans="1:18" x14ac:dyDescent="0.2">
      <c r="A1349" s="2">
        <v>42622</v>
      </c>
      <c r="B1349" s="1" t="s">
        <v>13</v>
      </c>
      <c r="C1349" s="1" t="s">
        <v>14</v>
      </c>
      <c r="D1349" s="2">
        <v>43474</v>
      </c>
      <c r="E1349" s="2">
        <f t="shared" si="42"/>
        <v>43709</v>
      </c>
      <c r="F1349" s="1" t="s">
        <v>15</v>
      </c>
      <c r="G1349" s="1" t="s">
        <v>18</v>
      </c>
      <c r="H1349" s="1">
        <v>-0.5</v>
      </c>
      <c r="I1349" s="1">
        <v>0.15</v>
      </c>
      <c r="J1349" s="1">
        <v>0</v>
      </c>
      <c r="K1349" s="1" t="s">
        <v>55</v>
      </c>
      <c r="L1349" s="1">
        <v>2389</v>
      </c>
      <c r="M1349" s="1">
        <v>0.46</v>
      </c>
      <c r="N1349" s="1">
        <v>-0.30453000000000002</v>
      </c>
      <c r="O1349" s="1">
        <f>VLOOKUP(D1349,underlying!$D$2:$H$75,5,FALSE)</f>
        <v>-0.12</v>
      </c>
      <c r="P1349" s="2">
        <f>VLOOKUP(D1349,underlying!$D$2:$L$39,9,FALSE)</f>
        <v>43676</v>
      </c>
      <c r="Q1349" s="7">
        <f>IF(G1349="C",NormalCallSprd(O1349,H1349,M1349,(P1349-A1349)/365), NormalPutSprd(O1349,H1349,M1349,(P1349-A1349)/365))</f>
        <v>0.15798640837775813</v>
      </c>
      <c r="R1349" s="9">
        <f t="shared" si="43"/>
        <v>7.9864083777581307E-3</v>
      </c>
    </row>
    <row r="1350" spans="1:18" x14ac:dyDescent="0.2">
      <c r="A1350" s="2">
        <v>42622</v>
      </c>
      <c r="B1350" s="1" t="s">
        <v>13</v>
      </c>
      <c r="C1350" s="1" t="s">
        <v>14</v>
      </c>
      <c r="D1350" s="2">
        <v>43474</v>
      </c>
      <c r="E1350" s="2">
        <f t="shared" si="42"/>
        <v>43709</v>
      </c>
      <c r="F1350" s="1" t="s">
        <v>15</v>
      </c>
      <c r="G1350" s="1" t="s">
        <v>16</v>
      </c>
      <c r="H1350" s="1">
        <v>-0.45</v>
      </c>
      <c r="I1350" s="1">
        <v>0.49</v>
      </c>
      <c r="J1350" s="1">
        <v>-0.01</v>
      </c>
      <c r="K1350" s="1" t="s">
        <v>55</v>
      </c>
      <c r="L1350" s="1">
        <v>2389</v>
      </c>
      <c r="M1350" s="1">
        <v>0.46</v>
      </c>
      <c r="N1350" s="1">
        <v>-0.28560999999999998</v>
      </c>
      <c r="O1350" s="1">
        <f>VLOOKUP(D1350,underlying!$D$2:$H$75,5,FALSE)</f>
        <v>-0.12</v>
      </c>
      <c r="P1350" s="2">
        <f>VLOOKUP(D1350,underlying!$D$2:$L$39,9,FALSE)</f>
        <v>43676</v>
      </c>
      <c r="Q1350" s="7">
        <f>IF(G1350="C",NormalCallSprd(O1350,H1350,M1350,(P1350-A1350)/365), NormalPutSprd(O1350,H1350,M1350,(P1350-A1350)/365))</f>
        <v>0.50423087312991921</v>
      </c>
      <c r="R1350" s="9">
        <f t="shared" si="43"/>
        <v>1.4230873129919219E-2</v>
      </c>
    </row>
    <row r="1351" spans="1:18" x14ac:dyDescent="0.2">
      <c r="A1351" s="2">
        <v>42622</v>
      </c>
      <c r="B1351" s="1" t="s">
        <v>13</v>
      </c>
      <c r="C1351" s="1" t="s">
        <v>14</v>
      </c>
      <c r="D1351" s="2">
        <v>43474</v>
      </c>
      <c r="E1351" s="2">
        <f t="shared" si="42"/>
        <v>43709</v>
      </c>
      <c r="F1351" s="1" t="s">
        <v>15</v>
      </c>
      <c r="G1351" s="1" t="s">
        <v>18</v>
      </c>
      <c r="H1351" s="1">
        <v>-0.45</v>
      </c>
      <c r="I1351" s="1">
        <v>0.17</v>
      </c>
      <c r="J1351" s="1">
        <v>0</v>
      </c>
      <c r="K1351" s="1" t="s">
        <v>55</v>
      </c>
      <c r="L1351" s="1">
        <v>2389</v>
      </c>
      <c r="M1351" s="1">
        <v>0.46</v>
      </c>
      <c r="N1351" s="1">
        <v>-0.26868999999999998</v>
      </c>
      <c r="O1351" s="1">
        <f>VLOOKUP(D1351,underlying!$D$2:$H$75,5,FALSE)</f>
        <v>-0.12</v>
      </c>
      <c r="P1351" s="2">
        <f>VLOOKUP(D1351,underlying!$D$2:$L$39,9,FALSE)</f>
        <v>43676</v>
      </c>
      <c r="Q1351" s="7">
        <f>IF(G1351="C",NormalCallSprd(O1351,H1351,M1351,(P1351-A1351)/365), NormalPutSprd(O1351,H1351,M1351,(P1351-A1351)/365))</f>
        <v>0.17423087312991925</v>
      </c>
      <c r="R1351" s="9">
        <f t="shared" si="43"/>
        <v>4.2308731299192381E-3</v>
      </c>
    </row>
    <row r="1352" spans="1:18" x14ac:dyDescent="0.2">
      <c r="A1352" s="2">
        <v>42622</v>
      </c>
      <c r="B1352" s="1" t="s">
        <v>13</v>
      </c>
      <c r="C1352" s="1" t="s">
        <v>14</v>
      </c>
      <c r="D1352" s="2">
        <v>43474</v>
      </c>
      <c r="E1352" s="2">
        <f t="shared" si="42"/>
        <v>43709</v>
      </c>
      <c r="F1352" s="1" t="s">
        <v>15</v>
      </c>
      <c r="G1352" s="1" t="s">
        <v>16</v>
      </c>
      <c r="H1352" s="1">
        <v>-0.4</v>
      </c>
      <c r="I1352" s="1">
        <v>0.45</v>
      </c>
      <c r="J1352" s="1">
        <v>-0.01</v>
      </c>
      <c r="K1352" s="1" t="s">
        <v>55</v>
      </c>
      <c r="L1352" s="1">
        <v>2389</v>
      </c>
      <c r="M1352" s="1">
        <v>0.45</v>
      </c>
      <c r="N1352" s="1">
        <v>-0.25294</v>
      </c>
      <c r="O1352" s="1">
        <f>VLOOKUP(D1352,underlying!$D$2:$H$75,5,FALSE)</f>
        <v>-0.12</v>
      </c>
      <c r="P1352" s="2">
        <f>VLOOKUP(D1352,underlying!$D$2:$L$39,9,FALSE)</f>
        <v>43676</v>
      </c>
      <c r="Q1352" s="7">
        <f>IF(G1352="C",NormalCallSprd(O1352,H1352,M1352,(P1352-A1352)/365), NormalPutSprd(O1352,H1352,M1352,(P1352-A1352)/365))</f>
        <v>0.4652931666696507</v>
      </c>
      <c r="R1352" s="9">
        <f t="shared" si="43"/>
        <v>1.5293166669650693E-2</v>
      </c>
    </row>
    <row r="1353" spans="1:18" x14ac:dyDescent="0.2">
      <c r="A1353" s="2">
        <v>42622</v>
      </c>
      <c r="B1353" s="1" t="s">
        <v>13</v>
      </c>
      <c r="C1353" s="1" t="s">
        <v>14</v>
      </c>
      <c r="D1353" s="2">
        <v>43474</v>
      </c>
      <c r="E1353" s="2">
        <f t="shared" si="42"/>
        <v>43709</v>
      </c>
      <c r="F1353" s="1" t="s">
        <v>15</v>
      </c>
      <c r="G1353" s="1" t="s">
        <v>18</v>
      </c>
      <c r="H1353" s="1">
        <v>-0.4</v>
      </c>
      <c r="I1353" s="1">
        <v>0.18</v>
      </c>
      <c r="J1353" s="1">
        <v>0</v>
      </c>
      <c r="K1353" s="1" t="s">
        <v>55</v>
      </c>
      <c r="L1353" s="1">
        <v>2389</v>
      </c>
      <c r="M1353" s="1">
        <v>0.45</v>
      </c>
      <c r="N1353" s="1">
        <v>-0.16103999999999999</v>
      </c>
      <c r="O1353" s="1">
        <f>VLOOKUP(D1353,underlying!$D$2:$H$75,5,FALSE)</f>
        <v>-0.12</v>
      </c>
      <c r="P1353" s="2">
        <f>VLOOKUP(D1353,underlying!$D$2:$L$39,9,FALSE)</f>
        <v>43676</v>
      </c>
      <c r="Q1353" s="7">
        <f>IF(G1353="C",NormalCallSprd(O1353,H1353,M1353,(P1353-A1353)/365), NormalPutSprd(O1353,H1353,M1353,(P1353-A1353)/365))</f>
        <v>0.18529316666965071</v>
      </c>
      <c r="R1353" s="9">
        <f t="shared" si="43"/>
        <v>5.2931666696507118E-3</v>
      </c>
    </row>
    <row r="1354" spans="1:18" x14ac:dyDescent="0.2">
      <c r="A1354" s="2">
        <v>42622</v>
      </c>
      <c r="B1354" s="1" t="s">
        <v>13</v>
      </c>
      <c r="C1354" s="1" t="s">
        <v>14</v>
      </c>
      <c r="D1354" s="2">
        <v>43474</v>
      </c>
      <c r="E1354" s="2">
        <f t="shared" si="42"/>
        <v>43709</v>
      </c>
      <c r="F1354" s="1" t="s">
        <v>15</v>
      </c>
      <c r="G1354" s="1" t="s">
        <v>16</v>
      </c>
      <c r="H1354" s="1">
        <v>-0.35</v>
      </c>
      <c r="I1354" s="1">
        <v>0.42</v>
      </c>
      <c r="J1354" s="1">
        <v>-0.01</v>
      </c>
      <c r="K1354" s="1" t="s">
        <v>55</v>
      </c>
      <c r="L1354" s="1">
        <v>2389</v>
      </c>
      <c r="M1354" s="1">
        <v>0.44</v>
      </c>
      <c r="N1354" s="1">
        <v>-5.0259999999999999E-2</v>
      </c>
      <c r="O1354" s="1">
        <f>VLOOKUP(D1354,underlying!$D$2:$H$75,5,FALSE)</f>
        <v>-0.12</v>
      </c>
      <c r="P1354" s="2">
        <f>VLOOKUP(D1354,underlying!$D$2:$L$39,9,FALSE)</f>
        <v>43676</v>
      </c>
      <c r="Q1354" s="7">
        <f>IF(G1354="C",NormalCallSprd(O1354,H1354,M1354,(P1354-A1354)/365), NormalPutSprd(O1354,H1354,M1354,(P1354-A1354)/365))</f>
        <v>0.4272910032726755</v>
      </c>
      <c r="R1354" s="9">
        <f t="shared" si="43"/>
        <v>7.2910032726755114E-3</v>
      </c>
    </row>
    <row r="1355" spans="1:18" x14ac:dyDescent="0.2">
      <c r="A1355" s="2">
        <v>42622</v>
      </c>
      <c r="B1355" s="1" t="s">
        <v>13</v>
      </c>
      <c r="C1355" s="1" t="s">
        <v>14</v>
      </c>
      <c r="D1355" s="2">
        <v>43474</v>
      </c>
      <c r="E1355" s="2">
        <f t="shared" si="42"/>
        <v>43709</v>
      </c>
      <c r="F1355" s="1" t="s">
        <v>15</v>
      </c>
      <c r="G1355" s="1" t="s">
        <v>18</v>
      </c>
      <c r="H1355" s="1">
        <v>-0.35</v>
      </c>
      <c r="I1355" s="1">
        <v>0.19</v>
      </c>
      <c r="J1355" s="1">
        <v>0</v>
      </c>
      <c r="K1355" s="1" t="s">
        <v>55</v>
      </c>
      <c r="L1355" s="1">
        <v>2389</v>
      </c>
      <c r="M1355" s="1">
        <v>0.44</v>
      </c>
      <c r="N1355" s="1">
        <v>-1.4250000000000001E-2</v>
      </c>
      <c r="O1355" s="1">
        <f>VLOOKUP(D1355,underlying!$D$2:$H$75,5,FALSE)</f>
        <v>-0.12</v>
      </c>
      <c r="P1355" s="2">
        <f>VLOOKUP(D1355,underlying!$D$2:$L$39,9,FALSE)</f>
        <v>43676</v>
      </c>
      <c r="Q1355" s="7">
        <f>IF(G1355="C",NormalCallSprd(O1355,H1355,M1355,(P1355-A1355)/365), NormalPutSprd(O1355,H1355,M1355,(P1355-A1355)/365))</f>
        <v>0.19729100327267551</v>
      </c>
      <c r="R1355" s="9">
        <f t="shared" si="43"/>
        <v>7.2910032726755114E-3</v>
      </c>
    </row>
    <row r="1356" spans="1:18" x14ac:dyDescent="0.2">
      <c r="A1356" s="2">
        <v>42622</v>
      </c>
      <c r="B1356" s="1" t="s">
        <v>13</v>
      </c>
      <c r="C1356" s="1" t="s">
        <v>14</v>
      </c>
      <c r="D1356" s="2">
        <v>43474</v>
      </c>
      <c r="E1356" s="2">
        <f t="shared" si="42"/>
        <v>43709</v>
      </c>
      <c r="F1356" s="1" t="s">
        <v>15</v>
      </c>
      <c r="G1356" s="1" t="s">
        <v>16</v>
      </c>
      <c r="H1356" s="1">
        <v>-0.3</v>
      </c>
      <c r="I1356" s="1">
        <v>0.38</v>
      </c>
      <c r="J1356" s="1">
        <v>-0.01</v>
      </c>
      <c r="K1356" s="1" t="s">
        <v>55</v>
      </c>
      <c r="L1356" s="1">
        <v>2389</v>
      </c>
      <c r="M1356" s="1">
        <v>0.43</v>
      </c>
      <c r="N1356" s="1">
        <v>0.38807000000000003</v>
      </c>
      <c r="O1356" s="1">
        <f>VLOOKUP(D1356,underlying!$D$2:$H$75,5,FALSE)</f>
        <v>-0.12</v>
      </c>
      <c r="P1356" s="2">
        <f>VLOOKUP(D1356,underlying!$D$2:$L$39,9,FALSE)</f>
        <v>43676</v>
      </c>
      <c r="Q1356" s="7">
        <f>IF(G1356="C",NormalCallSprd(O1356,H1356,M1356,(P1356-A1356)/365), NormalPutSprd(O1356,H1356,M1356,(P1356-A1356)/365))</f>
        <v>0.3903095231190602</v>
      </c>
      <c r="R1356" s="9">
        <f t="shared" si="43"/>
        <v>1.0309523119060193E-2</v>
      </c>
    </row>
    <row r="1357" spans="1:18" x14ac:dyDescent="0.2">
      <c r="A1357" s="2">
        <v>42622</v>
      </c>
      <c r="B1357" s="1" t="s">
        <v>13</v>
      </c>
      <c r="C1357" s="1" t="s">
        <v>14</v>
      </c>
      <c r="D1357" s="2">
        <v>43474</v>
      </c>
      <c r="E1357" s="2">
        <f t="shared" si="42"/>
        <v>43709</v>
      </c>
      <c r="F1357" s="1" t="s">
        <v>15</v>
      </c>
      <c r="G1357" s="1" t="s">
        <v>18</v>
      </c>
      <c r="H1357" s="1">
        <v>-0.3</v>
      </c>
      <c r="I1357" s="1">
        <v>0.21</v>
      </c>
      <c r="J1357" s="1">
        <v>0.01</v>
      </c>
      <c r="K1357" s="1" t="s">
        <v>55</v>
      </c>
      <c r="L1357" s="1">
        <v>2389</v>
      </c>
      <c r="M1357" s="1">
        <v>0.43</v>
      </c>
      <c r="N1357" s="1">
        <v>0.42175000000000001</v>
      </c>
      <c r="O1357" s="1">
        <f>VLOOKUP(D1357,underlying!$D$2:$H$75,5,FALSE)</f>
        <v>-0.12</v>
      </c>
      <c r="P1357" s="2">
        <f>VLOOKUP(D1357,underlying!$D$2:$L$39,9,FALSE)</f>
        <v>43676</v>
      </c>
      <c r="Q1357" s="7">
        <f>IF(G1357="C",NormalCallSprd(O1357,H1357,M1357,(P1357-A1357)/365), NormalPutSprd(O1357,H1357,M1357,(P1357-A1357)/365))</f>
        <v>0.2103095231190602</v>
      </c>
      <c r="R1357" s="9">
        <f t="shared" si="43"/>
        <v>3.0952311906021213E-4</v>
      </c>
    </row>
    <row r="1358" spans="1:18" x14ac:dyDescent="0.2">
      <c r="A1358" s="2">
        <v>42622</v>
      </c>
      <c r="B1358" s="1" t="s">
        <v>13</v>
      </c>
      <c r="C1358" s="1" t="s">
        <v>14</v>
      </c>
      <c r="D1358" s="2">
        <v>43474</v>
      </c>
      <c r="E1358" s="2">
        <f t="shared" si="42"/>
        <v>43709</v>
      </c>
      <c r="F1358" s="1" t="s">
        <v>15</v>
      </c>
      <c r="G1358" s="1" t="s">
        <v>16</v>
      </c>
      <c r="H1358" s="1">
        <v>-0.25</v>
      </c>
      <c r="I1358" s="1">
        <v>0.35</v>
      </c>
      <c r="J1358" s="1">
        <v>-0.01</v>
      </c>
      <c r="K1358" s="1" t="s">
        <v>55</v>
      </c>
      <c r="L1358" s="1">
        <v>2389</v>
      </c>
      <c r="M1358" s="1">
        <v>0.43</v>
      </c>
      <c r="N1358" s="1">
        <v>0.45654</v>
      </c>
      <c r="O1358" s="1">
        <f>VLOOKUP(D1358,underlying!$D$2:$H$75,5,FALSE)</f>
        <v>-0.12</v>
      </c>
      <c r="P1358" s="2">
        <f>VLOOKUP(D1358,underlying!$D$2:$L$39,9,FALSE)</f>
        <v>43676</v>
      </c>
      <c r="Q1358" s="7">
        <f>IF(G1358="C",NormalCallSprd(O1358,H1358,M1358,(P1358-A1358)/365), NormalPutSprd(O1358,H1358,M1358,(P1358-A1358)/365))</f>
        <v>0.36111059169704574</v>
      </c>
      <c r="R1358" s="9">
        <f t="shared" si="43"/>
        <v>1.1110591697045757E-2</v>
      </c>
    </row>
    <row r="1359" spans="1:18" x14ac:dyDescent="0.2">
      <c r="A1359" s="2">
        <v>42622</v>
      </c>
      <c r="B1359" s="1" t="s">
        <v>13</v>
      </c>
      <c r="C1359" s="1" t="s">
        <v>14</v>
      </c>
      <c r="D1359" s="2">
        <v>43474</v>
      </c>
      <c r="E1359" s="2">
        <f t="shared" si="42"/>
        <v>43709</v>
      </c>
      <c r="F1359" s="1" t="s">
        <v>15</v>
      </c>
      <c r="G1359" s="1" t="s">
        <v>18</v>
      </c>
      <c r="H1359" s="1">
        <v>-0.25</v>
      </c>
      <c r="I1359" s="1">
        <v>0.23</v>
      </c>
      <c r="J1359" s="1">
        <v>0.01</v>
      </c>
      <c r="K1359" s="1" t="s">
        <v>55</v>
      </c>
      <c r="L1359" s="1">
        <v>2389</v>
      </c>
      <c r="M1359" s="1">
        <v>0.43</v>
      </c>
      <c r="N1359" s="1">
        <v>0.49068000000000001</v>
      </c>
      <c r="O1359" s="1">
        <f>VLOOKUP(D1359,underlying!$D$2:$H$75,5,FALSE)</f>
        <v>-0.12</v>
      </c>
      <c r="P1359" s="2">
        <f>VLOOKUP(D1359,underlying!$D$2:$L$39,9,FALSE)</f>
        <v>43676</v>
      </c>
      <c r="Q1359" s="7">
        <f>IF(G1359="C",NormalCallSprd(O1359,H1359,M1359,(P1359-A1359)/365), NormalPutSprd(O1359,H1359,M1359,(P1359-A1359)/365))</f>
        <v>0.23111059169704573</v>
      </c>
      <c r="R1359" s="9">
        <f t="shared" si="43"/>
        <v>1.1105916970457208E-3</v>
      </c>
    </row>
    <row r="1360" spans="1:18" x14ac:dyDescent="0.2">
      <c r="A1360" s="2">
        <v>42622</v>
      </c>
      <c r="B1360" s="1" t="s">
        <v>13</v>
      </c>
      <c r="C1360" s="1" t="s">
        <v>14</v>
      </c>
      <c r="D1360" s="2">
        <v>43474</v>
      </c>
      <c r="E1360" s="2">
        <f t="shared" si="42"/>
        <v>43709</v>
      </c>
      <c r="F1360" s="1" t="s">
        <v>15</v>
      </c>
      <c r="G1360" s="1" t="s">
        <v>16</v>
      </c>
      <c r="H1360" s="1">
        <v>-0.2</v>
      </c>
      <c r="I1360" s="1">
        <v>0.33</v>
      </c>
      <c r="J1360" s="1">
        <v>0</v>
      </c>
      <c r="K1360" s="1" t="s">
        <v>55</v>
      </c>
      <c r="L1360" s="1">
        <v>2389</v>
      </c>
      <c r="M1360" s="1">
        <v>0.43</v>
      </c>
      <c r="N1360" s="1">
        <v>0.52473999999999998</v>
      </c>
      <c r="O1360" s="1">
        <f>VLOOKUP(D1360,underlying!$D$2:$H$75,5,FALSE)</f>
        <v>-0.12</v>
      </c>
      <c r="P1360" s="2">
        <f>VLOOKUP(D1360,underlying!$D$2:$L$39,9,FALSE)</f>
        <v>43676</v>
      </c>
      <c r="Q1360" s="7">
        <f>IF(G1360="C",NormalCallSprd(O1360,H1360,M1360,(P1360-A1360)/365), NormalPutSprd(O1360,H1360,M1360,(P1360-A1360)/365))</f>
        <v>0.333254643344079</v>
      </c>
      <c r="R1360" s="9">
        <f t="shared" si="43"/>
        <v>3.254643344078989E-3</v>
      </c>
    </row>
    <row r="1361" spans="1:18" x14ac:dyDescent="0.2">
      <c r="A1361" s="2">
        <v>42622</v>
      </c>
      <c r="B1361" s="1" t="s">
        <v>13</v>
      </c>
      <c r="C1361" s="1" t="s">
        <v>14</v>
      </c>
      <c r="D1361" s="2">
        <v>43474</v>
      </c>
      <c r="E1361" s="2">
        <f t="shared" si="42"/>
        <v>43709</v>
      </c>
      <c r="F1361" s="1" t="s">
        <v>15</v>
      </c>
      <c r="G1361" s="1" t="s">
        <v>18</v>
      </c>
      <c r="H1361" s="1">
        <v>-0.2</v>
      </c>
      <c r="I1361" s="1">
        <v>0.25</v>
      </c>
      <c r="J1361" s="1">
        <v>0.01</v>
      </c>
      <c r="K1361" s="1" t="s">
        <v>55</v>
      </c>
      <c r="L1361" s="1">
        <v>2389</v>
      </c>
      <c r="M1361" s="1">
        <v>0.43</v>
      </c>
      <c r="N1361" s="1">
        <v>0.55859999999999999</v>
      </c>
      <c r="O1361" s="1">
        <f>VLOOKUP(D1361,underlying!$D$2:$H$75,5,FALSE)</f>
        <v>-0.12</v>
      </c>
      <c r="P1361" s="2">
        <f>VLOOKUP(D1361,underlying!$D$2:$L$39,9,FALSE)</f>
        <v>43676</v>
      </c>
      <c r="Q1361" s="7">
        <f>IF(G1361="C",NormalCallSprd(O1361,H1361,M1361,(P1361-A1361)/365), NormalPutSprd(O1361,H1361,M1361,(P1361-A1361)/365))</f>
        <v>0.25325464334407899</v>
      </c>
      <c r="R1361" s="9">
        <f t="shared" si="43"/>
        <v>3.254643344078989E-3</v>
      </c>
    </row>
    <row r="1362" spans="1:18" x14ac:dyDescent="0.2">
      <c r="A1362" s="2">
        <v>42622</v>
      </c>
      <c r="B1362" s="1" t="s">
        <v>13</v>
      </c>
      <c r="C1362" s="1" t="s">
        <v>14</v>
      </c>
      <c r="D1362" s="2">
        <v>43474</v>
      </c>
      <c r="E1362" s="2">
        <f t="shared" si="42"/>
        <v>43709</v>
      </c>
      <c r="F1362" s="1" t="s">
        <v>15</v>
      </c>
      <c r="G1362" s="1" t="s">
        <v>16</v>
      </c>
      <c r="H1362" s="1">
        <v>-0.15</v>
      </c>
      <c r="I1362" s="1">
        <v>0.3</v>
      </c>
      <c r="J1362" s="1">
        <v>-0.01</v>
      </c>
      <c r="K1362" s="1" t="s">
        <v>55</v>
      </c>
      <c r="L1362" s="1">
        <v>2389</v>
      </c>
      <c r="M1362" s="1">
        <v>0.43</v>
      </c>
      <c r="N1362" s="1">
        <v>0.59084000000000003</v>
      </c>
      <c r="O1362" s="1">
        <f>VLOOKUP(D1362,underlying!$D$2:$H$75,5,FALSE)</f>
        <v>-0.12</v>
      </c>
      <c r="P1362" s="2">
        <f>VLOOKUP(D1362,underlying!$D$2:$L$39,9,FALSE)</f>
        <v>43676</v>
      </c>
      <c r="Q1362" s="7">
        <f>IF(G1362="C",NormalCallSprd(O1362,H1362,M1362,(P1362-A1362)/365), NormalPutSprd(O1362,H1362,M1362,(P1362-A1362)/365))</f>
        <v>0.30675493800013232</v>
      </c>
      <c r="R1362" s="9">
        <f t="shared" si="43"/>
        <v>6.7549380001323267E-3</v>
      </c>
    </row>
    <row r="1363" spans="1:18" x14ac:dyDescent="0.2">
      <c r="A1363" s="2">
        <v>42622</v>
      </c>
      <c r="B1363" s="1" t="s">
        <v>13</v>
      </c>
      <c r="C1363" s="1" t="s">
        <v>14</v>
      </c>
      <c r="D1363" s="2">
        <v>43474</v>
      </c>
      <c r="E1363" s="2">
        <f t="shared" si="42"/>
        <v>43709</v>
      </c>
      <c r="F1363" s="1" t="s">
        <v>15</v>
      </c>
      <c r="G1363" s="1" t="s">
        <v>18</v>
      </c>
      <c r="H1363" s="1">
        <v>-0.15</v>
      </c>
      <c r="I1363" s="1">
        <v>0.27</v>
      </c>
      <c r="J1363" s="1">
        <v>0</v>
      </c>
      <c r="K1363" s="1" t="s">
        <v>55</v>
      </c>
      <c r="L1363" s="1">
        <v>2389</v>
      </c>
      <c r="M1363" s="1">
        <v>0.43</v>
      </c>
      <c r="N1363" s="1">
        <v>0.62280000000000002</v>
      </c>
      <c r="O1363" s="1">
        <f>VLOOKUP(D1363,underlying!$D$2:$H$75,5,FALSE)</f>
        <v>-0.12</v>
      </c>
      <c r="P1363" s="2">
        <f>VLOOKUP(D1363,underlying!$D$2:$L$39,9,FALSE)</f>
        <v>43676</v>
      </c>
      <c r="Q1363" s="7">
        <f>IF(G1363="C",NormalCallSprd(O1363,H1363,M1363,(P1363-A1363)/365), NormalPutSprd(O1363,H1363,M1363,(P1363-A1363)/365))</f>
        <v>0.27675493800013234</v>
      </c>
      <c r="R1363" s="9">
        <f t="shared" si="43"/>
        <v>6.7549380001323267E-3</v>
      </c>
    </row>
    <row r="1364" spans="1:18" x14ac:dyDescent="0.2">
      <c r="A1364" s="2">
        <v>42622</v>
      </c>
      <c r="B1364" s="1" t="s">
        <v>13</v>
      </c>
      <c r="C1364" s="1" t="s">
        <v>14</v>
      </c>
      <c r="D1364" s="2">
        <v>43474</v>
      </c>
      <c r="E1364" s="2">
        <f t="shared" si="42"/>
        <v>43709</v>
      </c>
      <c r="F1364" s="1" t="s">
        <v>15</v>
      </c>
      <c r="G1364" s="1" t="s">
        <v>16</v>
      </c>
      <c r="H1364" s="1">
        <v>-0.1</v>
      </c>
      <c r="I1364" s="1">
        <v>0.28000000000000003</v>
      </c>
      <c r="J1364" s="1">
        <v>0</v>
      </c>
      <c r="K1364" s="1" t="s">
        <v>55</v>
      </c>
      <c r="L1364" s="1">
        <v>2389</v>
      </c>
      <c r="M1364" s="1">
        <v>0.43</v>
      </c>
      <c r="N1364" s="1">
        <v>0.65232999999999997</v>
      </c>
      <c r="O1364" s="1">
        <f>VLOOKUP(D1364,underlying!$D$2:$H$75,5,FALSE)</f>
        <v>-0.12</v>
      </c>
      <c r="P1364" s="2">
        <f>VLOOKUP(D1364,underlying!$D$2:$L$39,9,FALSE)</f>
        <v>43676</v>
      </c>
      <c r="Q1364" s="7">
        <f>IF(G1364="C",NormalCallSprd(O1364,H1364,M1364,(P1364-A1364)/365), NormalPutSprd(O1364,H1364,M1364,(P1364-A1364)/365))</f>
        <v>0.28161847351649527</v>
      </c>
      <c r="R1364" s="9">
        <f t="shared" si="43"/>
        <v>1.6184735164952446E-3</v>
      </c>
    </row>
    <row r="1365" spans="1:18" x14ac:dyDescent="0.2">
      <c r="A1365" s="2">
        <v>42622</v>
      </c>
      <c r="B1365" s="1" t="s">
        <v>13</v>
      </c>
      <c r="C1365" s="1" t="s">
        <v>14</v>
      </c>
      <c r="D1365" s="2">
        <v>43474</v>
      </c>
      <c r="E1365" s="2">
        <f t="shared" si="42"/>
        <v>43709</v>
      </c>
      <c r="F1365" s="1" t="s">
        <v>15</v>
      </c>
      <c r="G1365" s="1" t="s">
        <v>18</v>
      </c>
      <c r="H1365" s="1">
        <v>-0.1</v>
      </c>
      <c r="I1365" s="1">
        <v>0.3</v>
      </c>
      <c r="J1365" s="1">
        <v>0.01</v>
      </c>
      <c r="K1365" s="1" t="s">
        <v>55</v>
      </c>
      <c r="L1365" s="1">
        <v>2389</v>
      </c>
      <c r="M1365" s="1">
        <v>0.43</v>
      </c>
      <c r="N1365" s="1">
        <v>0.68181999999999998</v>
      </c>
      <c r="O1365" s="1">
        <f>VLOOKUP(D1365,underlying!$D$2:$H$75,5,FALSE)</f>
        <v>-0.12</v>
      </c>
      <c r="P1365" s="2">
        <f>VLOOKUP(D1365,underlying!$D$2:$L$39,9,FALSE)</f>
        <v>43676</v>
      </c>
      <c r="Q1365" s="7">
        <f>IF(G1365="C",NormalCallSprd(O1365,H1365,M1365,(P1365-A1365)/365), NormalPutSprd(O1365,H1365,M1365,(P1365-A1365)/365))</f>
        <v>0.30161847351649523</v>
      </c>
      <c r="R1365" s="9">
        <f t="shared" si="43"/>
        <v>1.6184735164952446E-3</v>
      </c>
    </row>
    <row r="1366" spans="1:18" x14ac:dyDescent="0.2">
      <c r="A1366" s="2">
        <v>42622</v>
      </c>
      <c r="B1366" s="1" t="s">
        <v>13</v>
      </c>
      <c r="C1366" s="1" t="s">
        <v>14</v>
      </c>
      <c r="D1366" s="2">
        <v>43474</v>
      </c>
      <c r="E1366" s="2">
        <f t="shared" si="42"/>
        <v>43709</v>
      </c>
      <c r="F1366" s="1" t="s">
        <v>15</v>
      </c>
      <c r="G1366" s="1" t="s">
        <v>16</v>
      </c>
      <c r="H1366" s="1">
        <v>-0.05</v>
      </c>
      <c r="I1366" s="1">
        <v>0.25</v>
      </c>
      <c r="J1366" s="1">
        <v>-0.01</v>
      </c>
      <c r="K1366" s="1" t="s">
        <v>55</v>
      </c>
      <c r="L1366" s="1">
        <v>2389</v>
      </c>
      <c r="M1366" s="1">
        <v>0.43</v>
      </c>
      <c r="N1366" s="1">
        <v>0.70823000000000003</v>
      </c>
      <c r="O1366" s="1">
        <f>VLOOKUP(D1366,underlying!$D$2:$H$75,5,FALSE)</f>
        <v>-0.12</v>
      </c>
      <c r="P1366" s="2">
        <f>VLOOKUP(D1366,underlying!$D$2:$L$39,9,FALSE)</f>
        <v>43676</v>
      </c>
      <c r="Q1366" s="7">
        <f>IF(G1366="C",NormalCallSprd(O1366,H1366,M1366,(P1366-A1366)/365), NormalPutSprd(O1366,H1366,M1366,(P1366-A1366)/365))</f>
        <v>0.25784588784910584</v>
      </c>
      <c r="R1366" s="9">
        <f t="shared" si="43"/>
        <v>7.845887849105837E-3</v>
      </c>
    </row>
    <row r="1367" spans="1:18" x14ac:dyDescent="0.2">
      <c r="A1367" s="2">
        <v>42622</v>
      </c>
      <c r="B1367" s="1" t="s">
        <v>13</v>
      </c>
      <c r="C1367" s="1" t="s">
        <v>14</v>
      </c>
      <c r="D1367" s="2">
        <v>43474</v>
      </c>
      <c r="E1367" s="2">
        <f t="shared" si="42"/>
        <v>43709</v>
      </c>
      <c r="F1367" s="1" t="s">
        <v>15</v>
      </c>
      <c r="G1367" s="1" t="s">
        <v>18</v>
      </c>
      <c r="H1367" s="1">
        <v>-0.05</v>
      </c>
      <c r="I1367" s="1">
        <v>0.32</v>
      </c>
      <c r="J1367" s="1">
        <v>0</v>
      </c>
      <c r="K1367" s="1" t="s">
        <v>55</v>
      </c>
      <c r="L1367" s="1">
        <v>2389</v>
      </c>
      <c r="M1367" s="1">
        <v>0.43</v>
      </c>
      <c r="N1367" s="1">
        <v>0.73231000000000002</v>
      </c>
      <c r="O1367" s="1">
        <f>VLOOKUP(D1367,underlying!$D$2:$H$75,5,FALSE)</f>
        <v>-0.12</v>
      </c>
      <c r="P1367" s="2">
        <f>VLOOKUP(D1367,underlying!$D$2:$L$39,9,FALSE)</f>
        <v>43676</v>
      </c>
      <c r="Q1367" s="7">
        <f>IF(G1367="C",NormalCallSprd(O1367,H1367,M1367,(P1367-A1367)/365), NormalPutSprd(O1367,H1367,M1367,(P1367-A1367)/365))</f>
        <v>0.32784588784910584</v>
      </c>
      <c r="R1367" s="9">
        <f t="shared" si="43"/>
        <v>7.845887849105837E-3</v>
      </c>
    </row>
    <row r="1368" spans="1:18" x14ac:dyDescent="0.2">
      <c r="A1368" s="2">
        <v>42622</v>
      </c>
      <c r="B1368" s="1" t="s">
        <v>13</v>
      </c>
      <c r="C1368" s="1" t="s">
        <v>14</v>
      </c>
      <c r="D1368" s="2">
        <v>43475</v>
      </c>
      <c r="E1368" s="2">
        <f t="shared" si="42"/>
        <v>43739</v>
      </c>
      <c r="F1368" s="1" t="s">
        <v>15</v>
      </c>
      <c r="G1368" s="1" t="s">
        <v>16</v>
      </c>
      <c r="H1368" s="1">
        <v>-3</v>
      </c>
      <c r="I1368" s="1">
        <v>2.83</v>
      </c>
      <c r="J1368" s="1">
        <v>-0.01</v>
      </c>
      <c r="K1368" s="1" t="s">
        <v>20</v>
      </c>
      <c r="L1368" s="1">
        <v>2389</v>
      </c>
      <c r="M1368" s="1">
        <v>0.79</v>
      </c>
      <c r="N1368" s="1">
        <v>0.75727999999999995</v>
      </c>
      <c r="O1368" s="1">
        <f>VLOOKUP(D1368,underlying!$D$2:$H$75,5,FALSE)</f>
        <v>-0.12</v>
      </c>
      <c r="P1368" s="2">
        <f>VLOOKUP(D1368,underlying!$D$2:$L$39,9,FALSE)</f>
        <v>43706</v>
      </c>
      <c r="Q1368" s="7">
        <f>IF(G1368="C",NormalCallSprd(O1368,H1368,M1368,(P1368-A1368)/365), NormalPutSprd(O1368,H1368,M1368,(P1368-A1368)/365))</f>
        <v>2.888438098929814</v>
      </c>
      <c r="R1368" s="9">
        <f t="shared" si="43"/>
        <v>5.8438098929813886E-2</v>
      </c>
    </row>
    <row r="1369" spans="1:18" x14ac:dyDescent="0.2">
      <c r="A1369" s="2">
        <v>42622</v>
      </c>
      <c r="B1369" s="1" t="s">
        <v>13</v>
      </c>
      <c r="C1369" s="1" t="s">
        <v>14</v>
      </c>
      <c r="D1369" s="2">
        <v>43475</v>
      </c>
      <c r="E1369" s="2">
        <f t="shared" si="42"/>
        <v>43739</v>
      </c>
      <c r="F1369" s="1" t="s">
        <v>15</v>
      </c>
      <c r="G1369" s="1" t="s">
        <v>18</v>
      </c>
      <c r="H1369" s="1">
        <v>-3</v>
      </c>
      <c r="I1369" s="1">
        <v>0.01</v>
      </c>
      <c r="J1369" s="1">
        <v>0</v>
      </c>
      <c r="K1369" s="1" t="s">
        <v>20</v>
      </c>
      <c r="L1369" s="1">
        <v>2389</v>
      </c>
      <c r="M1369" s="1">
        <v>0.79</v>
      </c>
      <c r="N1369" s="1">
        <v>0.77868000000000004</v>
      </c>
      <c r="O1369" s="1">
        <f>VLOOKUP(D1369,underlying!$D$2:$H$75,5,FALSE)</f>
        <v>-0.12</v>
      </c>
      <c r="P1369" s="2">
        <f>VLOOKUP(D1369,underlying!$D$2:$L$39,9,FALSE)</f>
        <v>43706</v>
      </c>
      <c r="Q1369" s="7">
        <f>IF(G1369="C",NormalCallSprd(O1369,H1369,M1369,(P1369-A1369)/365), NormalPutSprd(O1369,H1369,M1369,(P1369-A1369)/365))</f>
        <v>8.4380989298142323E-3</v>
      </c>
      <c r="R1369" s="9">
        <f t="shared" si="43"/>
        <v>1.5619010701857679E-3</v>
      </c>
    </row>
    <row r="1370" spans="1:18" x14ac:dyDescent="0.2">
      <c r="A1370" s="2">
        <v>42622</v>
      </c>
      <c r="B1370" s="1" t="s">
        <v>13</v>
      </c>
      <c r="C1370" s="1" t="s">
        <v>14</v>
      </c>
      <c r="D1370" s="2">
        <v>43475</v>
      </c>
      <c r="E1370" s="2">
        <f t="shared" si="42"/>
        <v>43739</v>
      </c>
      <c r="F1370" s="1" t="s">
        <v>15</v>
      </c>
      <c r="G1370" s="1" t="s">
        <v>16</v>
      </c>
      <c r="H1370" s="1">
        <v>-2</v>
      </c>
      <c r="I1370" s="1">
        <v>1.87</v>
      </c>
      <c r="J1370" s="1">
        <v>-0.01</v>
      </c>
      <c r="K1370" s="1" t="s">
        <v>20</v>
      </c>
      <c r="L1370" s="1">
        <v>2389</v>
      </c>
      <c r="M1370" s="1">
        <v>0.69</v>
      </c>
      <c r="N1370" s="1">
        <v>0.79776000000000002</v>
      </c>
      <c r="O1370" s="1">
        <f>VLOOKUP(D1370,underlying!$D$2:$H$75,5,FALSE)</f>
        <v>-0.12</v>
      </c>
      <c r="P1370" s="2">
        <f>VLOOKUP(D1370,underlying!$D$2:$L$39,9,FALSE)</f>
        <v>43706</v>
      </c>
      <c r="Q1370" s="7">
        <f>IF(G1370="C",NormalCallSprd(O1370,H1370,M1370,(P1370-A1370)/365), NormalPutSprd(O1370,H1370,M1370,(P1370-A1370)/365))</f>
        <v>1.908896937471904</v>
      </c>
      <c r="R1370" s="9">
        <f t="shared" si="43"/>
        <v>3.8896937471903925E-2</v>
      </c>
    </row>
    <row r="1371" spans="1:18" x14ac:dyDescent="0.2">
      <c r="A1371" s="2">
        <v>42622</v>
      </c>
      <c r="B1371" s="1" t="s">
        <v>13</v>
      </c>
      <c r="C1371" s="1" t="s">
        <v>14</v>
      </c>
      <c r="D1371" s="2">
        <v>43475</v>
      </c>
      <c r="E1371" s="2">
        <f t="shared" si="42"/>
        <v>43739</v>
      </c>
      <c r="F1371" s="1" t="s">
        <v>15</v>
      </c>
      <c r="G1371" s="1" t="s">
        <v>18</v>
      </c>
      <c r="H1371" s="1">
        <v>-2</v>
      </c>
      <c r="I1371" s="1">
        <v>0.03</v>
      </c>
      <c r="J1371" s="1">
        <v>0</v>
      </c>
      <c r="K1371" s="1" t="s">
        <v>20</v>
      </c>
      <c r="L1371" s="1">
        <v>2389</v>
      </c>
      <c r="M1371" s="1">
        <v>0.69</v>
      </c>
      <c r="N1371" s="1">
        <v>0.81528999999999996</v>
      </c>
      <c r="O1371" s="1">
        <f>VLOOKUP(D1371,underlying!$D$2:$H$75,5,FALSE)</f>
        <v>-0.12</v>
      </c>
      <c r="P1371" s="2">
        <f>VLOOKUP(D1371,underlying!$D$2:$L$39,9,FALSE)</f>
        <v>43706</v>
      </c>
      <c r="Q1371" s="7">
        <f>IF(G1371="C",NormalCallSprd(O1371,H1371,M1371,(P1371-A1371)/365), NormalPutSprd(O1371,H1371,M1371,(P1371-A1371)/365))</f>
        <v>2.8896937471904117E-2</v>
      </c>
      <c r="R1371" s="9">
        <f t="shared" si="43"/>
        <v>1.1030625280958814E-3</v>
      </c>
    </row>
    <row r="1372" spans="1:18" x14ac:dyDescent="0.2">
      <c r="A1372" s="2">
        <v>42622</v>
      </c>
      <c r="B1372" s="1" t="s">
        <v>13</v>
      </c>
      <c r="C1372" s="1" t="s">
        <v>14</v>
      </c>
      <c r="D1372" s="2">
        <v>43475</v>
      </c>
      <c r="E1372" s="2">
        <f t="shared" si="42"/>
        <v>43739</v>
      </c>
      <c r="F1372" s="1" t="s">
        <v>15</v>
      </c>
      <c r="G1372" s="1" t="s">
        <v>16</v>
      </c>
      <c r="H1372" s="1">
        <v>-1</v>
      </c>
      <c r="I1372" s="1">
        <v>0.94</v>
      </c>
      <c r="J1372" s="1">
        <v>-0.02</v>
      </c>
      <c r="K1372" s="1" t="s">
        <v>20</v>
      </c>
      <c r="L1372" s="1">
        <v>2389</v>
      </c>
      <c r="M1372" s="1">
        <v>0.54</v>
      </c>
      <c r="N1372" s="1">
        <v>0.83133999999999997</v>
      </c>
      <c r="O1372" s="1">
        <f>VLOOKUP(D1372,underlying!$D$2:$H$75,5,FALSE)</f>
        <v>-0.12</v>
      </c>
      <c r="P1372" s="2">
        <f>VLOOKUP(D1372,underlying!$D$2:$L$39,9,FALSE)</f>
        <v>43706</v>
      </c>
      <c r="Q1372" s="7">
        <f>IF(G1372="C",NormalCallSprd(O1372,H1372,M1372,(P1372-A1372)/365), NormalPutSprd(O1372,H1372,M1372,(P1372-A1372)/365))</f>
        <v>0.96589964097171366</v>
      </c>
      <c r="R1372" s="9">
        <f t="shared" si="43"/>
        <v>2.5899640971713711E-2</v>
      </c>
    </row>
    <row r="1373" spans="1:18" x14ac:dyDescent="0.2">
      <c r="A1373" s="2">
        <v>42622</v>
      </c>
      <c r="B1373" s="1" t="s">
        <v>13</v>
      </c>
      <c r="C1373" s="1" t="s">
        <v>14</v>
      </c>
      <c r="D1373" s="2">
        <v>43475</v>
      </c>
      <c r="E1373" s="2">
        <f t="shared" si="42"/>
        <v>43739</v>
      </c>
      <c r="F1373" s="1" t="s">
        <v>15</v>
      </c>
      <c r="G1373" s="1" t="s">
        <v>18</v>
      </c>
      <c r="H1373" s="1">
        <v>-1</v>
      </c>
      <c r="I1373" s="1">
        <v>0.08</v>
      </c>
      <c r="J1373" s="1">
        <v>0</v>
      </c>
      <c r="K1373" s="1" t="s">
        <v>20</v>
      </c>
      <c r="L1373" s="1">
        <v>2389</v>
      </c>
      <c r="M1373" s="1">
        <v>0.54</v>
      </c>
      <c r="N1373" s="1">
        <v>0.87165000000000004</v>
      </c>
      <c r="O1373" s="1">
        <f>VLOOKUP(D1373,underlying!$D$2:$H$75,5,FALSE)</f>
        <v>-0.12</v>
      </c>
      <c r="P1373" s="2">
        <f>VLOOKUP(D1373,underlying!$D$2:$L$39,9,FALSE)</f>
        <v>43706</v>
      </c>
      <c r="Q1373" s="7">
        <f>IF(G1373="C",NormalCallSprd(O1373,H1373,M1373,(P1373-A1373)/365), NormalPutSprd(O1373,H1373,M1373,(P1373-A1373)/365))</f>
        <v>8.5899640971713653E-2</v>
      </c>
      <c r="R1373" s="9">
        <f t="shared" si="43"/>
        <v>5.8996409717136516E-3</v>
      </c>
    </row>
    <row r="1374" spans="1:18" x14ac:dyDescent="0.2">
      <c r="A1374" s="2">
        <v>42622</v>
      </c>
      <c r="B1374" s="1" t="s">
        <v>13</v>
      </c>
      <c r="C1374" s="1" t="s">
        <v>14</v>
      </c>
      <c r="D1374" s="2">
        <v>43475</v>
      </c>
      <c r="E1374" s="2">
        <f t="shared" si="42"/>
        <v>43739</v>
      </c>
      <c r="F1374" s="1" t="s">
        <v>15</v>
      </c>
      <c r="G1374" s="1" t="s">
        <v>16</v>
      </c>
      <c r="H1374" s="1">
        <v>-0.65</v>
      </c>
      <c r="I1374" s="1">
        <v>0.65</v>
      </c>
      <c r="J1374" s="1">
        <v>-0.01</v>
      </c>
      <c r="K1374" s="1" t="s">
        <v>20</v>
      </c>
      <c r="L1374" s="1">
        <v>2389</v>
      </c>
      <c r="M1374" s="1">
        <v>0.48</v>
      </c>
      <c r="N1374" s="1">
        <v>0.97911000000000004</v>
      </c>
      <c r="O1374" s="1">
        <f>VLOOKUP(D1374,underlying!$D$2:$H$75,5,FALSE)</f>
        <v>-0.12</v>
      </c>
      <c r="P1374" s="2">
        <f>VLOOKUP(D1374,underlying!$D$2:$L$39,9,FALSE)</f>
        <v>43706</v>
      </c>
      <c r="Q1374" s="7">
        <f>IF(G1374="C",NormalCallSprd(O1374,H1374,M1374,(P1374-A1374)/365), NormalPutSprd(O1374,H1374,M1374,(P1374-A1374)/365))</f>
        <v>0.66051516680194022</v>
      </c>
      <c r="R1374" s="9">
        <f t="shared" si="43"/>
        <v>1.0515166801940201E-2</v>
      </c>
    </row>
    <row r="1375" spans="1:18" x14ac:dyDescent="0.2">
      <c r="A1375" s="2">
        <v>42622</v>
      </c>
      <c r="B1375" s="1" t="s">
        <v>13</v>
      </c>
      <c r="C1375" s="1" t="s">
        <v>14</v>
      </c>
      <c r="D1375" s="2">
        <v>43475</v>
      </c>
      <c r="E1375" s="2">
        <f t="shared" si="42"/>
        <v>43739</v>
      </c>
      <c r="F1375" s="1" t="s">
        <v>15</v>
      </c>
      <c r="G1375" s="1" t="s">
        <v>18</v>
      </c>
      <c r="H1375" s="1">
        <v>-0.65</v>
      </c>
      <c r="I1375" s="1">
        <v>0.13</v>
      </c>
      <c r="J1375" s="1">
        <v>0</v>
      </c>
      <c r="K1375" s="1" t="s">
        <v>20</v>
      </c>
      <c r="L1375" s="1">
        <v>2389</v>
      </c>
      <c r="M1375" s="1">
        <v>0.48</v>
      </c>
      <c r="N1375" s="1">
        <v>0.99339</v>
      </c>
      <c r="O1375" s="1">
        <f>VLOOKUP(D1375,underlying!$D$2:$H$75,5,FALSE)</f>
        <v>-0.12</v>
      </c>
      <c r="P1375" s="2">
        <f>VLOOKUP(D1375,underlying!$D$2:$L$39,9,FALSE)</f>
        <v>43706</v>
      </c>
      <c r="Q1375" s="7">
        <f>IF(G1375="C",NormalCallSprd(O1375,H1375,M1375,(P1375-A1375)/365), NormalPutSprd(O1375,H1375,M1375,(P1375-A1375)/365))</f>
        <v>0.13051516680194014</v>
      </c>
      <c r="R1375" s="9">
        <f t="shared" si="43"/>
        <v>5.1516680194013675E-4</v>
      </c>
    </row>
    <row r="1376" spans="1:18" x14ac:dyDescent="0.2">
      <c r="A1376" s="2">
        <v>42622</v>
      </c>
      <c r="B1376" s="1" t="s">
        <v>13</v>
      </c>
      <c r="C1376" s="1" t="s">
        <v>14</v>
      </c>
      <c r="D1376" s="2">
        <v>43475</v>
      </c>
      <c r="E1376" s="2">
        <f t="shared" si="42"/>
        <v>43739</v>
      </c>
      <c r="F1376" s="1" t="s">
        <v>15</v>
      </c>
      <c r="G1376" s="1" t="s">
        <v>16</v>
      </c>
      <c r="H1376" s="1">
        <v>-0.6</v>
      </c>
      <c r="I1376" s="1">
        <v>0.61</v>
      </c>
      <c r="J1376" s="1">
        <v>0</v>
      </c>
      <c r="K1376" s="1" t="s">
        <v>20</v>
      </c>
      <c r="L1376" s="1">
        <v>2389</v>
      </c>
      <c r="M1376" s="1">
        <v>0.47</v>
      </c>
      <c r="N1376" s="1">
        <v>-0.60692999999999997</v>
      </c>
      <c r="O1376" s="1">
        <f>VLOOKUP(D1376,underlying!$D$2:$H$75,5,FALSE)</f>
        <v>-0.12</v>
      </c>
      <c r="P1376" s="2">
        <f>VLOOKUP(D1376,underlying!$D$2:$L$39,9,FALSE)</f>
        <v>43706</v>
      </c>
      <c r="Q1376" s="7">
        <f>IF(G1376="C",NormalCallSprd(O1376,H1376,M1376,(P1376-A1376)/365), NormalPutSprd(O1376,H1376,M1376,(P1376-A1376)/365))</f>
        <v>0.61826601734934639</v>
      </c>
      <c r="R1376" s="9">
        <f t="shared" si="43"/>
        <v>8.2660173493463995E-3</v>
      </c>
    </row>
    <row r="1377" spans="1:18" x14ac:dyDescent="0.2">
      <c r="A1377" s="2">
        <v>42622</v>
      </c>
      <c r="B1377" s="1" t="s">
        <v>13</v>
      </c>
      <c r="C1377" s="1" t="s">
        <v>14</v>
      </c>
      <c r="D1377" s="2">
        <v>43475</v>
      </c>
      <c r="E1377" s="2">
        <f t="shared" si="42"/>
        <v>43739</v>
      </c>
      <c r="F1377" s="1" t="s">
        <v>15</v>
      </c>
      <c r="G1377" s="1" t="s">
        <v>18</v>
      </c>
      <c r="H1377" s="1">
        <v>-0.6</v>
      </c>
      <c r="I1377" s="1">
        <v>0.14000000000000001</v>
      </c>
      <c r="J1377" s="1">
        <v>0.01</v>
      </c>
      <c r="K1377" s="1" t="s">
        <v>20</v>
      </c>
      <c r="L1377" s="1">
        <v>2389</v>
      </c>
      <c r="M1377" s="1">
        <v>0.47</v>
      </c>
      <c r="N1377" s="1">
        <v>-0.57323999999999997</v>
      </c>
      <c r="O1377" s="1">
        <f>VLOOKUP(D1377,underlying!$D$2:$H$75,5,FALSE)</f>
        <v>-0.12</v>
      </c>
      <c r="P1377" s="2">
        <f>VLOOKUP(D1377,underlying!$D$2:$L$39,9,FALSE)</f>
        <v>43706</v>
      </c>
      <c r="Q1377" s="7">
        <f>IF(G1377="C",NormalCallSprd(O1377,H1377,M1377,(P1377-A1377)/365), NormalPutSprd(O1377,H1377,M1377,(P1377-A1377)/365))</f>
        <v>0.13826601734934646</v>
      </c>
      <c r="R1377" s="9">
        <f t="shared" si="43"/>
        <v>1.7339826506535538E-3</v>
      </c>
    </row>
    <row r="1378" spans="1:18" x14ac:dyDescent="0.2">
      <c r="A1378" s="2">
        <v>42622</v>
      </c>
      <c r="B1378" s="1" t="s">
        <v>13</v>
      </c>
      <c r="C1378" s="1" t="s">
        <v>14</v>
      </c>
      <c r="D1378" s="2">
        <v>43475</v>
      </c>
      <c r="E1378" s="2">
        <f t="shared" si="42"/>
        <v>43739</v>
      </c>
      <c r="F1378" s="1" t="s">
        <v>15</v>
      </c>
      <c r="G1378" s="1" t="s">
        <v>16</v>
      </c>
      <c r="H1378" s="1">
        <v>-0.55000000000000004</v>
      </c>
      <c r="I1378" s="1">
        <v>0.56999999999999995</v>
      </c>
      <c r="J1378" s="1">
        <v>-0.01</v>
      </c>
      <c r="K1378" s="1" t="s">
        <v>20</v>
      </c>
      <c r="L1378" s="1">
        <v>2389</v>
      </c>
      <c r="M1378" s="1">
        <v>0.47</v>
      </c>
      <c r="N1378" s="1">
        <v>-0.53846000000000005</v>
      </c>
      <c r="O1378" s="1">
        <f>VLOOKUP(D1378,underlying!$D$2:$H$75,5,FALSE)</f>
        <v>-0.12</v>
      </c>
      <c r="P1378" s="2">
        <f>VLOOKUP(D1378,underlying!$D$2:$L$39,9,FALSE)</f>
        <v>43706</v>
      </c>
      <c r="Q1378" s="7">
        <f>IF(G1378="C",NormalCallSprd(O1378,H1378,M1378,(P1378-A1378)/365), NormalPutSprd(O1378,H1378,M1378,(P1378-A1378)/365))</f>
        <v>0.58262464616150123</v>
      </c>
      <c r="R1378" s="9">
        <f t="shared" si="43"/>
        <v>1.2624646161501274E-2</v>
      </c>
    </row>
    <row r="1379" spans="1:18" x14ac:dyDescent="0.2">
      <c r="A1379" s="2">
        <v>42622</v>
      </c>
      <c r="B1379" s="1" t="s">
        <v>13</v>
      </c>
      <c r="C1379" s="1" t="s">
        <v>14</v>
      </c>
      <c r="D1379" s="2">
        <v>43475</v>
      </c>
      <c r="E1379" s="2">
        <f t="shared" si="42"/>
        <v>43739</v>
      </c>
      <c r="F1379" s="1" t="s">
        <v>15</v>
      </c>
      <c r="G1379" s="1" t="s">
        <v>18</v>
      </c>
      <c r="H1379" s="1">
        <v>-0.55000000000000004</v>
      </c>
      <c r="I1379" s="1">
        <v>0.15</v>
      </c>
      <c r="J1379" s="1">
        <v>0</v>
      </c>
      <c r="K1379" s="1" t="s">
        <v>20</v>
      </c>
      <c r="L1379" s="1">
        <v>2389</v>
      </c>
      <c r="M1379" s="1">
        <v>0.47</v>
      </c>
      <c r="N1379" s="1">
        <v>-0.50431999999999999</v>
      </c>
      <c r="O1379" s="1">
        <f>VLOOKUP(D1379,underlying!$D$2:$H$75,5,FALSE)</f>
        <v>-0.12</v>
      </c>
      <c r="P1379" s="2">
        <f>VLOOKUP(D1379,underlying!$D$2:$L$39,9,FALSE)</f>
        <v>43706</v>
      </c>
      <c r="Q1379" s="7">
        <f>IF(G1379="C",NormalCallSprd(O1379,H1379,M1379,(P1379-A1379)/365), NormalPutSprd(O1379,H1379,M1379,(P1379-A1379)/365))</f>
        <v>0.15262464616150118</v>
      </c>
      <c r="R1379" s="9">
        <f t="shared" si="43"/>
        <v>2.6246461615011818E-3</v>
      </c>
    </row>
    <row r="1380" spans="1:18" x14ac:dyDescent="0.2">
      <c r="A1380" s="2">
        <v>42622</v>
      </c>
      <c r="B1380" s="1" t="s">
        <v>13</v>
      </c>
      <c r="C1380" s="1" t="s">
        <v>14</v>
      </c>
      <c r="D1380" s="2">
        <v>43475</v>
      </c>
      <c r="E1380" s="2">
        <f t="shared" si="42"/>
        <v>43739</v>
      </c>
      <c r="F1380" s="1" t="s">
        <v>15</v>
      </c>
      <c r="G1380" s="1" t="s">
        <v>16</v>
      </c>
      <c r="H1380" s="1">
        <v>-0.5</v>
      </c>
      <c r="I1380" s="1">
        <v>0.54</v>
      </c>
      <c r="J1380" s="1">
        <v>0</v>
      </c>
      <c r="K1380" s="1" t="s">
        <v>20</v>
      </c>
      <c r="L1380" s="1">
        <v>2389</v>
      </c>
      <c r="M1380" s="1">
        <v>0.47</v>
      </c>
      <c r="N1380" s="1">
        <v>-0.47026000000000001</v>
      </c>
      <c r="O1380" s="1">
        <f>VLOOKUP(D1380,underlying!$D$2:$H$75,5,FALSE)</f>
        <v>-0.12</v>
      </c>
      <c r="P1380" s="2">
        <f>VLOOKUP(D1380,underlying!$D$2:$L$39,9,FALSE)</f>
        <v>43706</v>
      </c>
      <c r="Q1380" s="7">
        <f>IF(G1380="C",NormalCallSprd(O1380,H1380,M1380,(P1380-A1380)/365), NormalPutSprd(O1380,H1380,M1380,(P1380-A1380)/365))</f>
        <v>0.54805253638790286</v>
      </c>
      <c r="R1380" s="9">
        <f t="shared" si="43"/>
        <v>8.05253638790282E-3</v>
      </c>
    </row>
    <row r="1381" spans="1:18" x14ac:dyDescent="0.2">
      <c r="A1381" s="2">
        <v>42622</v>
      </c>
      <c r="B1381" s="1" t="s">
        <v>13</v>
      </c>
      <c r="C1381" s="1" t="s">
        <v>14</v>
      </c>
      <c r="D1381" s="2">
        <v>43475</v>
      </c>
      <c r="E1381" s="2">
        <f t="shared" si="42"/>
        <v>43739</v>
      </c>
      <c r="F1381" s="1" t="s">
        <v>15</v>
      </c>
      <c r="G1381" s="1" t="s">
        <v>18</v>
      </c>
      <c r="H1381" s="1">
        <v>-0.5</v>
      </c>
      <c r="I1381" s="1">
        <v>0.16</v>
      </c>
      <c r="J1381" s="1">
        <v>0</v>
      </c>
      <c r="K1381" s="1" t="s">
        <v>20</v>
      </c>
      <c r="L1381" s="1">
        <v>2389</v>
      </c>
      <c r="M1381" s="1">
        <v>0.47</v>
      </c>
      <c r="N1381" s="1">
        <v>-0.43639</v>
      </c>
      <c r="O1381" s="1">
        <f>VLOOKUP(D1381,underlying!$D$2:$H$75,5,FALSE)</f>
        <v>-0.12</v>
      </c>
      <c r="P1381" s="2">
        <f>VLOOKUP(D1381,underlying!$D$2:$L$39,9,FALSE)</f>
        <v>43706</v>
      </c>
      <c r="Q1381" s="7">
        <f>IF(G1381="C",NormalCallSprd(O1381,H1381,M1381,(P1381-A1381)/365), NormalPutSprd(O1381,H1381,M1381,(P1381-A1381)/365))</f>
        <v>0.16805253638790282</v>
      </c>
      <c r="R1381" s="9">
        <f t="shared" si="43"/>
        <v>8.05253638790282E-3</v>
      </c>
    </row>
    <row r="1382" spans="1:18" x14ac:dyDescent="0.2">
      <c r="A1382" s="2">
        <v>42622</v>
      </c>
      <c r="B1382" s="1" t="s">
        <v>13</v>
      </c>
      <c r="C1382" s="1" t="s">
        <v>14</v>
      </c>
      <c r="D1382" s="2">
        <v>43475</v>
      </c>
      <c r="E1382" s="2">
        <f t="shared" si="42"/>
        <v>43739</v>
      </c>
      <c r="F1382" s="1" t="s">
        <v>15</v>
      </c>
      <c r="G1382" s="1" t="s">
        <v>16</v>
      </c>
      <c r="H1382" s="1">
        <v>-0.45</v>
      </c>
      <c r="I1382" s="1">
        <v>0.5</v>
      </c>
      <c r="J1382" s="1">
        <v>-0.01</v>
      </c>
      <c r="K1382" s="1" t="s">
        <v>20</v>
      </c>
      <c r="L1382" s="1">
        <v>2389</v>
      </c>
      <c r="M1382" s="1">
        <v>0.46</v>
      </c>
      <c r="N1382" s="1">
        <v>-0.40416000000000002</v>
      </c>
      <c r="O1382" s="1">
        <f>VLOOKUP(D1382,underlying!$D$2:$H$75,5,FALSE)</f>
        <v>-0.12</v>
      </c>
      <c r="P1382" s="2">
        <f>VLOOKUP(D1382,underlying!$D$2:$L$39,9,FALSE)</f>
        <v>43706</v>
      </c>
      <c r="Q1382" s="7">
        <f>IF(G1382="C",NormalCallSprd(O1382,H1382,M1382,(P1382-A1382)/365), NormalPutSprd(O1382,H1382,M1382,(P1382-A1382)/365))</f>
        <v>0.50826707851887931</v>
      </c>
      <c r="R1382" s="9">
        <f t="shared" si="43"/>
        <v>8.2670785188793117E-3</v>
      </c>
    </row>
    <row r="1383" spans="1:18" x14ac:dyDescent="0.2">
      <c r="A1383" s="2">
        <v>42622</v>
      </c>
      <c r="B1383" s="1" t="s">
        <v>13</v>
      </c>
      <c r="C1383" s="1" t="s">
        <v>14</v>
      </c>
      <c r="D1383" s="2">
        <v>43475</v>
      </c>
      <c r="E1383" s="2">
        <f t="shared" si="42"/>
        <v>43739</v>
      </c>
      <c r="F1383" s="1" t="s">
        <v>15</v>
      </c>
      <c r="G1383" s="1" t="s">
        <v>18</v>
      </c>
      <c r="H1383" s="1">
        <v>-0.45</v>
      </c>
      <c r="I1383" s="1">
        <v>0.17</v>
      </c>
      <c r="J1383" s="1">
        <v>0</v>
      </c>
      <c r="K1383" s="1" t="s">
        <v>20</v>
      </c>
      <c r="L1383" s="1">
        <v>2389</v>
      </c>
      <c r="M1383" s="1">
        <v>0.46</v>
      </c>
      <c r="N1383" s="1">
        <v>-0.37219999999999998</v>
      </c>
      <c r="O1383" s="1">
        <f>VLOOKUP(D1383,underlying!$D$2:$H$75,5,FALSE)</f>
        <v>-0.12</v>
      </c>
      <c r="P1383" s="2">
        <f>VLOOKUP(D1383,underlying!$D$2:$L$39,9,FALSE)</f>
        <v>43706</v>
      </c>
      <c r="Q1383" s="7">
        <f>IF(G1383="C",NormalCallSprd(O1383,H1383,M1383,(P1383-A1383)/365), NormalPutSprd(O1383,H1383,M1383,(P1383-A1383)/365))</f>
        <v>0.17826707851887932</v>
      </c>
      <c r="R1383" s="9">
        <f t="shared" si="43"/>
        <v>8.2670785188793117E-3</v>
      </c>
    </row>
    <row r="1384" spans="1:18" x14ac:dyDescent="0.2">
      <c r="A1384" s="2">
        <v>42622</v>
      </c>
      <c r="B1384" s="1" t="s">
        <v>13</v>
      </c>
      <c r="C1384" s="1" t="s">
        <v>14</v>
      </c>
      <c r="D1384" s="2">
        <v>43475</v>
      </c>
      <c r="E1384" s="2">
        <f t="shared" si="42"/>
        <v>43739</v>
      </c>
      <c r="F1384" s="1" t="s">
        <v>15</v>
      </c>
      <c r="G1384" s="1" t="s">
        <v>16</v>
      </c>
      <c r="H1384" s="1">
        <v>-0.4</v>
      </c>
      <c r="I1384" s="1">
        <v>0.46</v>
      </c>
      <c r="J1384" s="1">
        <v>-0.01</v>
      </c>
      <c r="K1384" s="1" t="s">
        <v>20</v>
      </c>
      <c r="L1384" s="1">
        <v>2389</v>
      </c>
      <c r="M1384" s="1">
        <v>0.45</v>
      </c>
      <c r="N1384" s="1">
        <v>-0.34266999999999997</v>
      </c>
      <c r="O1384" s="1">
        <f>VLOOKUP(D1384,underlying!$D$2:$H$75,5,FALSE)</f>
        <v>-0.12</v>
      </c>
      <c r="P1384" s="2">
        <f>VLOOKUP(D1384,underlying!$D$2:$L$39,9,FALSE)</f>
        <v>43706</v>
      </c>
      <c r="Q1384" s="7">
        <f>IF(G1384="C",NormalCallSprd(O1384,H1384,M1384,(P1384-A1384)/365), NormalPutSprd(O1384,H1384,M1384,(P1384-A1384)/365))</f>
        <v>0.46932851736697662</v>
      </c>
      <c r="R1384" s="9">
        <f t="shared" si="43"/>
        <v>9.3285173669765964E-3</v>
      </c>
    </row>
    <row r="1385" spans="1:18" x14ac:dyDescent="0.2">
      <c r="A1385" s="2">
        <v>42622</v>
      </c>
      <c r="B1385" s="1" t="s">
        <v>13</v>
      </c>
      <c r="C1385" s="1" t="s">
        <v>14</v>
      </c>
      <c r="D1385" s="2">
        <v>43475</v>
      </c>
      <c r="E1385" s="2">
        <f t="shared" si="42"/>
        <v>43739</v>
      </c>
      <c r="F1385" s="1" t="s">
        <v>15</v>
      </c>
      <c r="G1385" s="1" t="s">
        <v>18</v>
      </c>
      <c r="H1385" s="1">
        <v>-0.4</v>
      </c>
      <c r="I1385" s="1">
        <v>0.19</v>
      </c>
      <c r="J1385" s="1">
        <v>0.01</v>
      </c>
      <c r="K1385" s="1" t="s">
        <v>20</v>
      </c>
      <c r="L1385" s="1">
        <v>2389</v>
      </c>
      <c r="M1385" s="1">
        <v>0.45</v>
      </c>
      <c r="N1385" s="1">
        <v>-0.31318000000000001</v>
      </c>
      <c r="O1385" s="1">
        <f>VLOOKUP(D1385,underlying!$D$2:$H$75,5,FALSE)</f>
        <v>-0.12</v>
      </c>
      <c r="P1385" s="2">
        <f>VLOOKUP(D1385,underlying!$D$2:$L$39,9,FALSE)</f>
        <v>43706</v>
      </c>
      <c r="Q1385" s="7">
        <f>IF(G1385="C",NormalCallSprd(O1385,H1385,M1385,(P1385-A1385)/365), NormalPutSprd(O1385,H1385,M1385,(P1385-A1385)/365))</f>
        <v>0.18932851736697662</v>
      </c>
      <c r="R1385" s="9">
        <f t="shared" si="43"/>
        <v>6.7148263302338473E-4</v>
      </c>
    </row>
    <row r="1386" spans="1:18" x14ac:dyDescent="0.2">
      <c r="A1386" s="2">
        <v>42622</v>
      </c>
      <c r="B1386" s="1" t="s">
        <v>13</v>
      </c>
      <c r="C1386" s="1" t="s">
        <v>14</v>
      </c>
      <c r="D1386" s="2">
        <v>43475</v>
      </c>
      <c r="E1386" s="2">
        <f t="shared" si="42"/>
        <v>43739</v>
      </c>
      <c r="F1386" s="1" t="s">
        <v>15</v>
      </c>
      <c r="G1386" s="1" t="s">
        <v>16</v>
      </c>
      <c r="H1386" s="1">
        <v>-0.35</v>
      </c>
      <c r="I1386" s="1">
        <v>0.43</v>
      </c>
      <c r="J1386" s="1">
        <v>-0.01</v>
      </c>
      <c r="K1386" s="1" t="s">
        <v>20</v>
      </c>
      <c r="L1386" s="1">
        <v>2389</v>
      </c>
      <c r="M1386" s="1">
        <v>0.45</v>
      </c>
      <c r="N1386" s="1">
        <v>-0.28677000000000002</v>
      </c>
      <c r="O1386" s="1">
        <f>VLOOKUP(D1386,underlying!$D$2:$H$75,5,FALSE)</f>
        <v>-0.12</v>
      </c>
      <c r="P1386" s="2">
        <f>VLOOKUP(D1386,underlying!$D$2:$L$39,9,FALSE)</f>
        <v>43706</v>
      </c>
      <c r="Q1386" s="7">
        <f>IF(G1386="C",NormalCallSprd(O1386,H1386,M1386,(P1386-A1386)/365), NormalPutSprd(O1386,H1386,M1386,(P1386-A1386)/365))</f>
        <v>0.4378868694821676</v>
      </c>
      <c r="R1386" s="9">
        <f t="shared" si="43"/>
        <v>7.8868694821676022E-3</v>
      </c>
    </row>
    <row r="1387" spans="1:18" x14ac:dyDescent="0.2">
      <c r="A1387" s="2">
        <v>42622</v>
      </c>
      <c r="B1387" s="1" t="s">
        <v>13</v>
      </c>
      <c r="C1387" s="1" t="s">
        <v>14</v>
      </c>
      <c r="D1387" s="2">
        <v>43475</v>
      </c>
      <c r="E1387" s="2">
        <f t="shared" si="42"/>
        <v>43739</v>
      </c>
      <c r="F1387" s="1" t="s">
        <v>15</v>
      </c>
      <c r="G1387" s="1" t="s">
        <v>18</v>
      </c>
      <c r="H1387" s="1">
        <v>-0.35</v>
      </c>
      <c r="I1387" s="1">
        <v>0.2</v>
      </c>
      <c r="J1387" s="1">
        <v>0</v>
      </c>
      <c r="K1387" s="1" t="s">
        <v>20</v>
      </c>
      <c r="L1387" s="1">
        <v>2389</v>
      </c>
      <c r="M1387" s="1">
        <v>0.45</v>
      </c>
      <c r="N1387" s="1">
        <v>-0.26268999999999998</v>
      </c>
      <c r="O1387" s="1">
        <f>VLOOKUP(D1387,underlying!$D$2:$H$75,5,FALSE)</f>
        <v>-0.12</v>
      </c>
      <c r="P1387" s="2">
        <f>VLOOKUP(D1387,underlying!$D$2:$L$39,9,FALSE)</f>
        <v>43706</v>
      </c>
      <c r="Q1387" s="7">
        <f>IF(G1387="C",NormalCallSprd(O1387,H1387,M1387,(P1387-A1387)/365), NormalPutSprd(O1387,H1387,M1387,(P1387-A1387)/365))</f>
        <v>0.20788686948216761</v>
      </c>
      <c r="R1387" s="9">
        <f t="shared" si="43"/>
        <v>7.8868694821676022E-3</v>
      </c>
    </row>
    <row r="1388" spans="1:18" x14ac:dyDescent="0.2">
      <c r="A1388" s="2">
        <v>42622</v>
      </c>
      <c r="B1388" s="1" t="s">
        <v>13</v>
      </c>
      <c r="C1388" s="1" t="s">
        <v>14</v>
      </c>
      <c r="D1388" s="2">
        <v>43475</v>
      </c>
      <c r="E1388" s="2">
        <f t="shared" si="42"/>
        <v>43739</v>
      </c>
      <c r="F1388" s="1" t="s">
        <v>15</v>
      </c>
      <c r="G1388" s="1" t="s">
        <v>16</v>
      </c>
      <c r="H1388" s="1">
        <v>-0.3</v>
      </c>
      <c r="I1388" s="1">
        <v>0.39</v>
      </c>
      <c r="J1388" s="1">
        <v>-0.01</v>
      </c>
      <c r="K1388" s="1" t="s">
        <v>20</v>
      </c>
      <c r="L1388" s="1">
        <v>2389</v>
      </c>
      <c r="M1388" s="1">
        <v>0.44</v>
      </c>
      <c r="N1388" s="1">
        <v>-0.23771999999999999</v>
      </c>
      <c r="O1388" s="1">
        <f>VLOOKUP(D1388,underlying!$D$2:$H$75,5,FALSE)</f>
        <v>-0.12</v>
      </c>
      <c r="P1388" s="2">
        <f>VLOOKUP(D1388,underlying!$D$2:$L$39,9,FALSE)</f>
        <v>43706</v>
      </c>
      <c r="Q1388" s="7">
        <f>IF(G1388="C",NormalCallSprd(O1388,H1388,M1388,(P1388-A1388)/365), NormalPutSprd(O1388,H1388,M1388,(P1388-A1388)/365))</f>
        <v>0.40098731086621364</v>
      </c>
      <c r="R1388" s="9">
        <f t="shared" si="43"/>
        <v>1.0987310866213629E-2</v>
      </c>
    </row>
    <row r="1389" spans="1:18" x14ac:dyDescent="0.2">
      <c r="A1389" s="2">
        <v>42622</v>
      </c>
      <c r="B1389" s="1" t="s">
        <v>13</v>
      </c>
      <c r="C1389" s="1" t="s">
        <v>14</v>
      </c>
      <c r="D1389" s="2">
        <v>43475</v>
      </c>
      <c r="E1389" s="2">
        <f t="shared" si="42"/>
        <v>43739</v>
      </c>
      <c r="F1389" s="1" t="s">
        <v>15</v>
      </c>
      <c r="G1389" s="1" t="s">
        <v>18</v>
      </c>
      <c r="H1389" s="1">
        <v>-0.3</v>
      </c>
      <c r="I1389" s="1">
        <v>0.21</v>
      </c>
      <c r="J1389" s="1">
        <v>0</v>
      </c>
      <c r="K1389" s="1" t="s">
        <v>20</v>
      </c>
      <c r="L1389" s="1">
        <v>2389</v>
      </c>
      <c r="M1389" s="1">
        <v>0.44</v>
      </c>
      <c r="N1389" s="1">
        <v>-0.21632000000000001</v>
      </c>
      <c r="O1389" s="1">
        <f>VLOOKUP(D1389,underlying!$D$2:$H$75,5,FALSE)</f>
        <v>-0.12</v>
      </c>
      <c r="P1389" s="2">
        <f>VLOOKUP(D1389,underlying!$D$2:$L$39,9,FALSE)</f>
        <v>43706</v>
      </c>
      <c r="Q1389" s="7">
        <f>IF(G1389="C",NormalCallSprd(O1389,H1389,M1389,(P1389-A1389)/365), NormalPutSprd(O1389,H1389,M1389,(P1389-A1389)/365))</f>
        <v>0.22098731086621362</v>
      </c>
      <c r="R1389" s="9">
        <f t="shared" si="43"/>
        <v>1.0987310866213629E-2</v>
      </c>
    </row>
    <row r="1390" spans="1:18" x14ac:dyDescent="0.2">
      <c r="A1390" s="2">
        <v>42622</v>
      </c>
      <c r="B1390" s="1" t="s">
        <v>13</v>
      </c>
      <c r="C1390" s="1" t="s">
        <v>14</v>
      </c>
      <c r="D1390" s="2">
        <v>43475</v>
      </c>
      <c r="E1390" s="2">
        <f t="shared" si="42"/>
        <v>43739</v>
      </c>
      <c r="F1390" s="1" t="s">
        <v>15</v>
      </c>
      <c r="G1390" s="1" t="s">
        <v>16</v>
      </c>
      <c r="H1390" s="1">
        <v>-0.25</v>
      </c>
      <c r="I1390" s="1">
        <v>0.36</v>
      </c>
      <c r="J1390" s="1">
        <v>0</v>
      </c>
      <c r="K1390" s="1" t="s">
        <v>20</v>
      </c>
      <c r="L1390" s="1">
        <v>2389</v>
      </c>
      <c r="M1390" s="1">
        <v>0.43</v>
      </c>
      <c r="N1390" s="1">
        <v>-0.19724</v>
      </c>
      <c r="O1390" s="1">
        <f>VLOOKUP(D1390,underlying!$D$2:$H$75,5,FALSE)</f>
        <v>-0.12</v>
      </c>
      <c r="P1390" s="2">
        <f>VLOOKUP(D1390,underlying!$D$2:$L$39,9,FALSE)</f>
        <v>43706</v>
      </c>
      <c r="Q1390" s="7">
        <f>IF(G1390="C",NormalCallSprd(O1390,H1390,M1390,(P1390-A1390)/365), NormalPutSprd(O1390,H1390,M1390,(P1390-A1390)/365))</f>
        <v>0.36516631021332735</v>
      </c>
      <c r="R1390" s="9">
        <f t="shared" si="43"/>
        <v>5.1663102133273631E-3</v>
      </c>
    </row>
    <row r="1391" spans="1:18" x14ac:dyDescent="0.2">
      <c r="A1391" s="2">
        <v>42622</v>
      </c>
      <c r="B1391" s="1" t="s">
        <v>13</v>
      </c>
      <c r="C1391" s="1" t="s">
        <v>14</v>
      </c>
      <c r="D1391" s="2">
        <v>43475</v>
      </c>
      <c r="E1391" s="2">
        <f t="shared" si="42"/>
        <v>43739</v>
      </c>
      <c r="F1391" s="1" t="s">
        <v>15</v>
      </c>
      <c r="G1391" s="1" t="s">
        <v>18</v>
      </c>
      <c r="H1391" s="1">
        <v>-0.25</v>
      </c>
      <c r="I1391" s="1">
        <v>0.23</v>
      </c>
      <c r="J1391" s="1">
        <v>0</v>
      </c>
      <c r="K1391" s="1" t="s">
        <v>20</v>
      </c>
      <c r="L1391" s="1">
        <v>2389</v>
      </c>
      <c r="M1391" s="1">
        <v>0.43</v>
      </c>
      <c r="N1391" s="1">
        <v>-0.17971000000000001</v>
      </c>
      <c r="O1391" s="1">
        <f>VLOOKUP(D1391,underlying!$D$2:$H$75,5,FALSE)</f>
        <v>-0.12</v>
      </c>
      <c r="P1391" s="2">
        <f>VLOOKUP(D1391,underlying!$D$2:$L$39,9,FALSE)</f>
        <v>43706</v>
      </c>
      <c r="Q1391" s="7">
        <f>IF(G1391="C",NormalCallSprd(O1391,H1391,M1391,(P1391-A1391)/365), NormalPutSprd(O1391,H1391,M1391,(P1391-A1391)/365))</f>
        <v>0.23516631021332735</v>
      </c>
      <c r="R1391" s="9">
        <f t="shared" si="43"/>
        <v>5.1663102133273353E-3</v>
      </c>
    </row>
    <row r="1392" spans="1:18" x14ac:dyDescent="0.2">
      <c r="A1392" s="2">
        <v>42622</v>
      </c>
      <c r="B1392" s="1" t="s">
        <v>13</v>
      </c>
      <c r="C1392" s="1" t="s">
        <v>14</v>
      </c>
      <c r="D1392" s="2">
        <v>43475</v>
      </c>
      <c r="E1392" s="2">
        <f t="shared" si="42"/>
        <v>43739</v>
      </c>
      <c r="F1392" s="1" t="s">
        <v>15</v>
      </c>
      <c r="G1392" s="1" t="s">
        <v>16</v>
      </c>
      <c r="H1392" s="1">
        <v>-0.2</v>
      </c>
      <c r="I1392" s="1">
        <v>0.32</v>
      </c>
      <c r="J1392" s="1">
        <v>-0.01</v>
      </c>
      <c r="K1392" s="1" t="s">
        <v>20</v>
      </c>
      <c r="L1392" s="1">
        <v>2389</v>
      </c>
      <c r="M1392" s="1">
        <v>0.42</v>
      </c>
      <c r="N1392" s="1">
        <v>-0.16366</v>
      </c>
      <c r="O1392" s="1">
        <f>VLOOKUP(D1392,underlying!$D$2:$H$75,5,FALSE)</f>
        <v>-0.12</v>
      </c>
      <c r="P1392" s="2">
        <f>VLOOKUP(D1392,underlying!$D$2:$L$39,9,FALSE)</f>
        <v>43706</v>
      </c>
      <c r="Q1392" s="7">
        <f>IF(G1392="C",NormalCallSprd(O1392,H1392,M1392,(P1392-A1392)/365), NormalPutSprd(O1392,H1392,M1392,(P1392-A1392)/365))</f>
        <v>0.33051568382995439</v>
      </c>
      <c r="R1392" s="9">
        <f t="shared" si="43"/>
        <v>1.0515683829954381E-2</v>
      </c>
    </row>
    <row r="1393" spans="1:18" x14ac:dyDescent="0.2">
      <c r="A1393" s="2">
        <v>42622</v>
      </c>
      <c r="B1393" s="1" t="s">
        <v>13</v>
      </c>
      <c r="C1393" s="1" t="s">
        <v>14</v>
      </c>
      <c r="D1393" s="2">
        <v>43475</v>
      </c>
      <c r="E1393" s="2">
        <f t="shared" si="42"/>
        <v>43739</v>
      </c>
      <c r="F1393" s="1" t="s">
        <v>15</v>
      </c>
      <c r="G1393" s="1" t="s">
        <v>18</v>
      </c>
      <c r="H1393" s="1">
        <v>-0.2</v>
      </c>
      <c r="I1393" s="1">
        <v>0.25</v>
      </c>
      <c r="J1393" s="1">
        <v>0.01</v>
      </c>
      <c r="K1393" s="1" t="s">
        <v>20</v>
      </c>
      <c r="L1393" s="1">
        <v>2389</v>
      </c>
      <c r="M1393" s="1">
        <v>0.42</v>
      </c>
      <c r="N1393" s="1">
        <v>-0.12335</v>
      </c>
      <c r="O1393" s="1">
        <f>VLOOKUP(D1393,underlying!$D$2:$H$75,5,FALSE)</f>
        <v>-0.12</v>
      </c>
      <c r="P1393" s="2">
        <f>VLOOKUP(D1393,underlying!$D$2:$L$39,9,FALSE)</f>
        <v>43706</v>
      </c>
      <c r="Q1393" s="7">
        <f>IF(G1393="C",NormalCallSprd(O1393,H1393,M1393,(P1393-A1393)/365), NormalPutSprd(O1393,H1393,M1393,(P1393-A1393)/365))</f>
        <v>0.25051568382995437</v>
      </c>
      <c r="R1393" s="9">
        <f t="shared" si="43"/>
        <v>5.1568382995437201E-4</v>
      </c>
    </row>
    <row r="1394" spans="1:18" x14ac:dyDescent="0.2">
      <c r="A1394" s="2">
        <v>42622</v>
      </c>
      <c r="B1394" s="1" t="s">
        <v>13</v>
      </c>
      <c r="C1394" s="1" t="s">
        <v>14</v>
      </c>
      <c r="D1394" s="2">
        <v>43475</v>
      </c>
      <c r="E1394" s="2">
        <f t="shared" si="42"/>
        <v>43739</v>
      </c>
      <c r="F1394" s="1" t="s">
        <v>15</v>
      </c>
      <c r="G1394" s="1" t="s">
        <v>16</v>
      </c>
      <c r="H1394" s="1">
        <v>-0.15</v>
      </c>
      <c r="I1394" s="1">
        <v>0.3</v>
      </c>
      <c r="J1394" s="1">
        <v>0</v>
      </c>
      <c r="K1394" s="1" t="s">
        <v>20</v>
      </c>
      <c r="L1394" s="1">
        <v>2389</v>
      </c>
      <c r="M1394" s="1">
        <v>0.42</v>
      </c>
      <c r="N1394" s="1">
        <v>-1.5890000000000001E-2</v>
      </c>
      <c r="O1394" s="1">
        <f>VLOOKUP(D1394,underlying!$D$2:$H$75,5,FALSE)</f>
        <v>-0.12</v>
      </c>
      <c r="P1394" s="2">
        <f>VLOOKUP(D1394,underlying!$D$2:$L$39,9,FALSE)</f>
        <v>43706</v>
      </c>
      <c r="Q1394" s="7">
        <f>IF(G1394="C",NormalCallSprd(O1394,H1394,M1394,(P1394-A1394)/365), NormalPutSprd(O1394,H1394,M1394,(P1394-A1394)/365))</f>
        <v>0.30400169980770719</v>
      </c>
      <c r="R1394" s="9">
        <f t="shared" si="43"/>
        <v>4.0016998077072041E-3</v>
      </c>
    </row>
    <row r="1395" spans="1:18" x14ac:dyDescent="0.2">
      <c r="A1395" s="2">
        <v>42622</v>
      </c>
      <c r="B1395" s="1" t="s">
        <v>13</v>
      </c>
      <c r="C1395" s="1" t="s">
        <v>14</v>
      </c>
      <c r="D1395" s="2">
        <v>43475</v>
      </c>
      <c r="E1395" s="2">
        <f t="shared" si="42"/>
        <v>43739</v>
      </c>
      <c r="F1395" s="1" t="s">
        <v>15</v>
      </c>
      <c r="G1395" s="1" t="s">
        <v>18</v>
      </c>
      <c r="H1395" s="1">
        <v>-0.15</v>
      </c>
      <c r="I1395" s="1">
        <v>0.27</v>
      </c>
      <c r="J1395" s="1">
        <v>0.01</v>
      </c>
      <c r="K1395" s="1" t="s">
        <v>20</v>
      </c>
      <c r="L1395" s="1">
        <v>2389</v>
      </c>
      <c r="M1395" s="1">
        <v>0.42</v>
      </c>
      <c r="N1395" s="1">
        <v>-1.6100000000000001E-3</v>
      </c>
      <c r="O1395" s="1">
        <f>VLOOKUP(D1395,underlying!$D$2:$H$75,5,FALSE)</f>
        <v>-0.12</v>
      </c>
      <c r="P1395" s="2">
        <f>VLOOKUP(D1395,underlying!$D$2:$L$39,9,FALSE)</f>
        <v>43706</v>
      </c>
      <c r="Q1395" s="7">
        <f>IF(G1395="C",NormalCallSprd(O1395,H1395,M1395,(P1395-A1395)/365), NormalPutSprd(O1395,H1395,M1395,(P1395-A1395)/365))</f>
        <v>0.27400169980770717</v>
      </c>
      <c r="R1395" s="9">
        <f t="shared" si="43"/>
        <v>4.0016998077071486E-3</v>
      </c>
    </row>
    <row r="1396" spans="1:18" x14ac:dyDescent="0.2">
      <c r="A1396" s="2">
        <v>42622</v>
      </c>
      <c r="B1396" s="1" t="s">
        <v>13</v>
      </c>
      <c r="C1396" s="1" t="s">
        <v>14</v>
      </c>
      <c r="D1396" s="2">
        <v>43475</v>
      </c>
      <c r="E1396" s="2">
        <f t="shared" si="42"/>
        <v>43739</v>
      </c>
      <c r="F1396" s="1" t="s">
        <v>15</v>
      </c>
      <c r="G1396" s="1" t="s">
        <v>16</v>
      </c>
      <c r="H1396" s="1">
        <v>-0.1</v>
      </c>
      <c r="I1396" s="1">
        <v>0.27</v>
      </c>
      <c r="J1396" s="1">
        <v>-0.01</v>
      </c>
      <c r="K1396" s="1" t="s">
        <v>20</v>
      </c>
      <c r="L1396" s="1">
        <v>2389</v>
      </c>
      <c r="M1396" s="1">
        <v>0.42</v>
      </c>
      <c r="N1396" s="1">
        <v>0.43430999999999997</v>
      </c>
      <c r="O1396" s="1">
        <f>VLOOKUP(D1396,underlying!$D$2:$H$75,5,FALSE)</f>
        <v>-0.12</v>
      </c>
      <c r="P1396" s="2">
        <f>VLOOKUP(D1396,underlying!$D$2:$L$39,9,FALSE)</f>
        <v>43706</v>
      </c>
      <c r="Q1396" s="7">
        <f>IF(G1396="C",NormalCallSprd(O1396,H1396,M1396,(P1396-A1396)/365), NormalPutSprd(O1396,H1396,M1396,(P1396-A1396)/365))</f>
        <v>0.27886393357700795</v>
      </c>
      <c r="R1396" s="9">
        <f t="shared" si="43"/>
        <v>8.8639335770079319E-3</v>
      </c>
    </row>
    <row r="1397" spans="1:18" x14ac:dyDescent="0.2">
      <c r="A1397" s="2">
        <v>42622</v>
      </c>
      <c r="B1397" s="1" t="s">
        <v>13</v>
      </c>
      <c r="C1397" s="1" t="s">
        <v>14</v>
      </c>
      <c r="D1397" s="2">
        <v>43475</v>
      </c>
      <c r="E1397" s="2">
        <f t="shared" si="42"/>
        <v>43739</v>
      </c>
      <c r="F1397" s="1" t="s">
        <v>15</v>
      </c>
      <c r="G1397" s="1" t="s">
        <v>18</v>
      </c>
      <c r="H1397" s="1">
        <v>-0.1</v>
      </c>
      <c r="I1397" s="1">
        <v>0.28999999999999998</v>
      </c>
      <c r="J1397" s="1">
        <v>0</v>
      </c>
      <c r="K1397" s="1" t="s">
        <v>20</v>
      </c>
      <c r="L1397" s="1">
        <v>2389</v>
      </c>
      <c r="M1397" s="1">
        <v>0.42</v>
      </c>
      <c r="N1397" s="1">
        <v>0.46398</v>
      </c>
      <c r="O1397" s="1">
        <f>VLOOKUP(D1397,underlying!$D$2:$H$75,5,FALSE)</f>
        <v>-0.12</v>
      </c>
      <c r="P1397" s="2">
        <f>VLOOKUP(D1397,underlying!$D$2:$L$39,9,FALSE)</f>
        <v>43706</v>
      </c>
      <c r="Q1397" s="7">
        <f>IF(G1397="C",NormalCallSprd(O1397,H1397,M1397,(P1397-A1397)/365), NormalPutSprd(O1397,H1397,M1397,(P1397-A1397)/365))</f>
        <v>0.29886393357700791</v>
      </c>
      <c r="R1397" s="9">
        <f t="shared" si="43"/>
        <v>8.8639335770079319E-3</v>
      </c>
    </row>
    <row r="1398" spans="1:18" x14ac:dyDescent="0.2">
      <c r="A1398" s="2">
        <v>42622</v>
      </c>
      <c r="B1398" s="1" t="s">
        <v>13</v>
      </c>
      <c r="C1398" s="1" t="s">
        <v>14</v>
      </c>
      <c r="D1398" s="2">
        <v>43475</v>
      </c>
      <c r="E1398" s="2">
        <f t="shared" si="42"/>
        <v>43739</v>
      </c>
      <c r="F1398" s="1" t="s">
        <v>15</v>
      </c>
      <c r="G1398" s="1" t="s">
        <v>16</v>
      </c>
      <c r="H1398" s="1">
        <v>-0.05</v>
      </c>
      <c r="I1398" s="1">
        <v>0.25</v>
      </c>
      <c r="J1398" s="1">
        <v>0</v>
      </c>
      <c r="K1398" s="1" t="s">
        <v>20</v>
      </c>
      <c r="L1398" s="1">
        <v>2389</v>
      </c>
      <c r="M1398" s="1">
        <v>0.42</v>
      </c>
      <c r="N1398" s="1">
        <v>0.49382999999999999</v>
      </c>
      <c r="O1398" s="1">
        <f>VLOOKUP(D1398,underlying!$D$2:$H$75,5,FALSE)</f>
        <v>-0.12</v>
      </c>
      <c r="P1398" s="2">
        <f>VLOOKUP(D1398,underlying!$D$2:$L$39,9,FALSE)</f>
        <v>43706</v>
      </c>
      <c r="Q1398" s="7">
        <f>IF(G1398="C",NormalCallSprd(O1398,H1398,M1398,(P1398-A1398)/365), NormalPutSprd(O1398,H1398,M1398,(P1398-A1398)/365))</f>
        <v>0.25510304151033991</v>
      </c>
      <c r="R1398" s="9">
        <f t="shared" si="43"/>
        <v>5.1030415103399118E-3</v>
      </c>
    </row>
    <row r="1399" spans="1:18" x14ac:dyDescent="0.2">
      <c r="A1399" s="2">
        <v>42622</v>
      </c>
      <c r="B1399" s="1" t="s">
        <v>13</v>
      </c>
      <c r="C1399" s="1" t="s">
        <v>14</v>
      </c>
      <c r="D1399" s="2">
        <v>43475</v>
      </c>
      <c r="E1399" s="2">
        <f t="shared" si="42"/>
        <v>43739</v>
      </c>
      <c r="F1399" s="1" t="s">
        <v>15</v>
      </c>
      <c r="G1399" s="1" t="s">
        <v>18</v>
      </c>
      <c r="H1399" s="1">
        <v>-0.05</v>
      </c>
      <c r="I1399" s="1">
        <v>0.32</v>
      </c>
      <c r="J1399" s="1">
        <v>0.01</v>
      </c>
      <c r="K1399" s="1" t="s">
        <v>20</v>
      </c>
      <c r="L1399" s="1">
        <v>2389</v>
      </c>
      <c r="M1399" s="1">
        <v>0.42</v>
      </c>
      <c r="N1399" s="1">
        <v>0.52319000000000004</v>
      </c>
      <c r="O1399" s="1">
        <f>VLOOKUP(D1399,underlying!$D$2:$H$75,5,FALSE)</f>
        <v>-0.12</v>
      </c>
      <c r="P1399" s="2">
        <f>VLOOKUP(D1399,underlying!$D$2:$L$39,9,FALSE)</f>
        <v>43706</v>
      </c>
      <c r="Q1399" s="7">
        <f>IF(G1399="C",NormalCallSprd(O1399,H1399,M1399,(P1399-A1399)/365), NormalPutSprd(O1399,H1399,M1399,(P1399-A1399)/365))</f>
        <v>0.32510304151033992</v>
      </c>
      <c r="R1399" s="9">
        <f t="shared" si="43"/>
        <v>5.1030415103399118E-3</v>
      </c>
    </row>
    <row r="1400" spans="1:18" x14ac:dyDescent="0.2">
      <c r="A1400" s="2">
        <v>42622</v>
      </c>
      <c r="B1400" s="1" t="s">
        <v>13</v>
      </c>
      <c r="C1400" s="1" t="s">
        <v>14</v>
      </c>
      <c r="D1400" s="2">
        <v>43476</v>
      </c>
      <c r="E1400" s="2">
        <f t="shared" si="42"/>
        <v>43770</v>
      </c>
      <c r="F1400" s="1" t="s">
        <v>15</v>
      </c>
      <c r="G1400" s="1" t="s">
        <v>16</v>
      </c>
      <c r="H1400" s="1">
        <v>-3</v>
      </c>
      <c r="I1400" s="1">
        <v>2.83</v>
      </c>
      <c r="J1400" s="1">
        <v>-0.01</v>
      </c>
      <c r="K1400" s="1" t="s">
        <v>24</v>
      </c>
      <c r="L1400" s="1">
        <v>2389</v>
      </c>
      <c r="M1400" s="1">
        <v>0.79</v>
      </c>
      <c r="N1400" s="1">
        <v>0.55120999999999998</v>
      </c>
      <c r="O1400" s="1">
        <f>VLOOKUP(D1400,underlying!$D$2:$H$75,5,FALSE)</f>
        <v>-0.12</v>
      </c>
      <c r="P1400" s="2">
        <f>VLOOKUP(D1400,underlying!$D$2:$L$39,9,FALSE)</f>
        <v>43735</v>
      </c>
      <c r="Q1400" s="7">
        <f>IF(G1400="C",NormalCallSprd(O1400,H1400,M1400,(P1400-A1400)/365), NormalPutSprd(O1400,H1400,M1400,(P1400-A1400)/365))</f>
        <v>2.8892313962018696</v>
      </c>
      <c r="R1400" s="9">
        <f t="shared" si="43"/>
        <v>5.9231396201869568E-2</v>
      </c>
    </row>
    <row r="1401" spans="1:18" x14ac:dyDescent="0.2">
      <c r="A1401" s="2">
        <v>42622</v>
      </c>
      <c r="B1401" s="1" t="s">
        <v>13</v>
      </c>
      <c r="C1401" s="1" t="s">
        <v>14</v>
      </c>
      <c r="D1401" s="2">
        <v>43476</v>
      </c>
      <c r="E1401" s="2">
        <f t="shared" si="42"/>
        <v>43770</v>
      </c>
      <c r="F1401" s="1" t="s">
        <v>15</v>
      </c>
      <c r="G1401" s="1" t="s">
        <v>18</v>
      </c>
      <c r="H1401" s="1">
        <v>-3</v>
      </c>
      <c r="I1401" s="1">
        <v>0.01</v>
      </c>
      <c r="J1401" s="1">
        <v>0</v>
      </c>
      <c r="K1401" s="1" t="s">
        <v>24</v>
      </c>
      <c r="L1401" s="1">
        <v>2389</v>
      </c>
      <c r="M1401" s="1">
        <v>0.79</v>
      </c>
      <c r="N1401" s="1">
        <v>0.57918999999999998</v>
      </c>
      <c r="O1401" s="1">
        <f>VLOOKUP(D1401,underlying!$D$2:$H$75,5,FALSE)</f>
        <v>-0.12</v>
      </c>
      <c r="P1401" s="2">
        <f>VLOOKUP(D1401,underlying!$D$2:$L$39,9,FALSE)</f>
        <v>43735</v>
      </c>
      <c r="Q1401" s="7">
        <f>IF(G1401="C",NormalCallSprd(O1401,H1401,M1401,(P1401-A1401)/365), NormalPutSprd(O1401,H1401,M1401,(P1401-A1401)/365))</f>
        <v>9.2313962018695187E-3</v>
      </c>
      <c r="R1401" s="9">
        <f t="shared" si="43"/>
        <v>7.6860379813048149E-4</v>
      </c>
    </row>
    <row r="1402" spans="1:18" x14ac:dyDescent="0.2">
      <c r="A1402" s="2">
        <v>42622</v>
      </c>
      <c r="B1402" s="1" t="s">
        <v>13</v>
      </c>
      <c r="C1402" s="1" t="s">
        <v>14</v>
      </c>
      <c r="D1402" s="2">
        <v>43476</v>
      </c>
      <c r="E1402" s="2">
        <f t="shared" si="42"/>
        <v>43770</v>
      </c>
      <c r="F1402" s="1" t="s">
        <v>15</v>
      </c>
      <c r="G1402" s="1" t="s">
        <v>16</v>
      </c>
      <c r="H1402" s="1">
        <v>-2</v>
      </c>
      <c r="I1402" s="1">
        <v>1.87</v>
      </c>
      <c r="J1402" s="1">
        <v>-0.01</v>
      </c>
      <c r="K1402" s="1" t="s">
        <v>24</v>
      </c>
      <c r="L1402" s="1">
        <v>2389</v>
      </c>
      <c r="M1402" s="1">
        <v>0.69</v>
      </c>
      <c r="N1402" s="1">
        <v>0.60694000000000004</v>
      </c>
      <c r="O1402" s="1">
        <f>VLOOKUP(D1402,underlying!$D$2:$H$75,5,FALSE)</f>
        <v>-0.12</v>
      </c>
      <c r="P1402" s="2">
        <f>VLOOKUP(D1402,underlying!$D$2:$L$39,9,FALSE)</f>
        <v>43735</v>
      </c>
      <c r="Q1402" s="7">
        <f>IF(G1402="C",NormalCallSprd(O1402,H1402,M1402,(P1402-A1402)/365), NormalPutSprd(O1402,H1402,M1402,(P1402-A1402)/365))</f>
        <v>1.9107331924759561</v>
      </c>
      <c r="R1402" s="9">
        <f t="shared" si="43"/>
        <v>4.073319247595597E-2</v>
      </c>
    </row>
    <row r="1403" spans="1:18" x14ac:dyDescent="0.2">
      <c r="A1403" s="2">
        <v>42622</v>
      </c>
      <c r="B1403" s="1" t="s">
        <v>13</v>
      </c>
      <c r="C1403" s="1" t="s">
        <v>14</v>
      </c>
      <c r="D1403" s="2">
        <v>43476</v>
      </c>
      <c r="E1403" s="2">
        <f t="shared" si="42"/>
        <v>43770</v>
      </c>
      <c r="F1403" s="1" t="s">
        <v>15</v>
      </c>
      <c r="G1403" s="1" t="s">
        <v>18</v>
      </c>
      <c r="H1403" s="1">
        <v>-2</v>
      </c>
      <c r="I1403" s="1">
        <v>0.03</v>
      </c>
      <c r="J1403" s="1">
        <v>0</v>
      </c>
      <c r="K1403" s="1" t="s">
        <v>24</v>
      </c>
      <c r="L1403" s="1">
        <v>2389</v>
      </c>
      <c r="M1403" s="1">
        <v>0.69</v>
      </c>
      <c r="N1403" s="1">
        <v>0.63200000000000001</v>
      </c>
      <c r="O1403" s="1">
        <f>VLOOKUP(D1403,underlying!$D$2:$H$75,5,FALSE)</f>
        <v>-0.12</v>
      </c>
      <c r="P1403" s="2">
        <f>VLOOKUP(D1403,underlying!$D$2:$L$39,9,FALSE)</f>
        <v>43735</v>
      </c>
      <c r="Q1403" s="7">
        <f>IF(G1403="C",NormalCallSprd(O1403,H1403,M1403,(P1403-A1403)/365), NormalPutSprd(O1403,H1403,M1403,(P1403-A1403)/365))</f>
        <v>3.0733192475956069E-2</v>
      </c>
      <c r="R1403" s="9">
        <f t="shared" si="43"/>
        <v>7.3319247595607026E-4</v>
      </c>
    </row>
    <row r="1404" spans="1:18" x14ac:dyDescent="0.2">
      <c r="A1404" s="2">
        <v>42622</v>
      </c>
      <c r="B1404" s="1" t="s">
        <v>13</v>
      </c>
      <c r="C1404" s="1" t="s">
        <v>14</v>
      </c>
      <c r="D1404" s="2">
        <v>43476</v>
      </c>
      <c r="E1404" s="2">
        <f t="shared" si="42"/>
        <v>43770</v>
      </c>
      <c r="F1404" s="1" t="s">
        <v>15</v>
      </c>
      <c r="G1404" s="1" t="s">
        <v>16</v>
      </c>
      <c r="H1404" s="1">
        <v>-1</v>
      </c>
      <c r="I1404" s="1">
        <v>0.94</v>
      </c>
      <c r="J1404" s="1">
        <v>-0.01</v>
      </c>
      <c r="K1404" s="1" t="s">
        <v>24</v>
      </c>
      <c r="L1404" s="1">
        <v>2389</v>
      </c>
      <c r="M1404" s="1">
        <v>0.53</v>
      </c>
      <c r="N1404" s="1">
        <v>0.65512999999999999</v>
      </c>
      <c r="O1404" s="1">
        <f>VLOOKUP(D1404,underlying!$D$2:$H$75,5,FALSE)</f>
        <v>-0.12</v>
      </c>
      <c r="P1404" s="2">
        <f>VLOOKUP(D1404,underlying!$D$2:$L$39,9,FALSE)</f>
        <v>43735</v>
      </c>
      <c r="Q1404" s="7">
        <f>IF(G1404="C",NormalCallSprd(O1404,H1404,M1404,(P1404-A1404)/365), NormalPutSprd(O1404,H1404,M1404,(P1404-A1404)/365))</f>
        <v>0.96460267069614258</v>
      </c>
      <c r="R1404" s="9">
        <f t="shared" si="43"/>
        <v>2.4602670696142637E-2</v>
      </c>
    </row>
    <row r="1405" spans="1:18" x14ac:dyDescent="0.2">
      <c r="A1405" s="2">
        <v>42622</v>
      </c>
      <c r="B1405" s="1" t="s">
        <v>13</v>
      </c>
      <c r="C1405" s="1" t="s">
        <v>14</v>
      </c>
      <c r="D1405" s="2">
        <v>43476</v>
      </c>
      <c r="E1405" s="2">
        <f t="shared" si="42"/>
        <v>43770</v>
      </c>
      <c r="F1405" s="1" t="s">
        <v>15</v>
      </c>
      <c r="G1405" s="1" t="s">
        <v>18</v>
      </c>
      <c r="H1405" s="1">
        <v>-1</v>
      </c>
      <c r="I1405" s="1">
        <v>0.08</v>
      </c>
      <c r="J1405" s="1">
        <v>0</v>
      </c>
      <c r="K1405" s="1" t="s">
        <v>24</v>
      </c>
      <c r="L1405" s="1">
        <v>2389</v>
      </c>
      <c r="M1405" s="1">
        <v>0.53</v>
      </c>
      <c r="N1405" s="1">
        <v>0.67681000000000002</v>
      </c>
      <c r="O1405" s="1">
        <f>VLOOKUP(D1405,underlying!$D$2:$H$75,5,FALSE)</f>
        <v>-0.12</v>
      </c>
      <c r="P1405" s="2">
        <f>VLOOKUP(D1405,underlying!$D$2:$L$39,9,FALSE)</f>
        <v>43735</v>
      </c>
      <c r="Q1405" s="7">
        <f>IF(G1405="C",NormalCallSprd(O1405,H1405,M1405,(P1405-A1405)/365), NormalPutSprd(O1405,H1405,M1405,(P1405-A1405)/365))</f>
        <v>8.4602670696142648E-2</v>
      </c>
      <c r="R1405" s="9">
        <f t="shared" si="43"/>
        <v>4.6026706961426467E-3</v>
      </c>
    </row>
    <row r="1406" spans="1:18" x14ac:dyDescent="0.2">
      <c r="A1406" s="2">
        <v>42622</v>
      </c>
      <c r="B1406" s="1" t="s">
        <v>13</v>
      </c>
      <c r="C1406" s="1" t="s">
        <v>14</v>
      </c>
      <c r="D1406" s="2">
        <v>43476</v>
      </c>
      <c r="E1406" s="2">
        <f t="shared" si="42"/>
        <v>43770</v>
      </c>
      <c r="F1406" s="1" t="s">
        <v>15</v>
      </c>
      <c r="G1406" s="1" t="s">
        <v>16</v>
      </c>
      <c r="H1406" s="1">
        <v>-0.65</v>
      </c>
      <c r="I1406" s="1">
        <v>0.64</v>
      </c>
      <c r="J1406" s="1">
        <v>-0.01</v>
      </c>
      <c r="K1406" s="1" t="s">
        <v>24</v>
      </c>
      <c r="L1406" s="1">
        <v>2389</v>
      </c>
      <c r="M1406" s="1">
        <v>0.47</v>
      </c>
      <c r="N1406" s="1">
        <v>0.69708999999999999</v>
      </c>
      <c r="O1406" s="1">
        <f>VLOOKUP(D1406,underlying!$D$2:$H$75,5,FALSE)</f>
        <v>-0.12</v>
      </c>
      <c r="P1406" s="2">
        <f>VLOOKUP(D1406,underlying!$D$2:$L$39,9,FALSE)</f>
        <v>43735</v>
      </c>
      <c r="Q1406" s="7">
        <f>IF(G1406="C",NormalCallSprd(O1406,H1406,M1406,(P1406-A1406)/365), NormalPutSprd(O1406,H1406,M1406,(P1406-A1406)/365))</f>
        <v>0.65841624754591233</v>
      </c>
      <c r="R1406" s="9">
        <f t="shared" si="43"/>
        <v>1.8416247545912312E-2</v>
      </c>
    </row>
    <row r="1407" spans="1:18" x14ac:dyDescent="0.2">
      <c r="A1407" s="2">
        <v>42622</v>
      </c>
      <c r="B1407" s="1" t="s">
        <v>13</v>
      </c>
      <c r="C1407" s="1" t="s">
        <v>14</v>
      </c>
      <c r="D1407" s="2">
        <v>43476</v>
      </c>
      <c r="E1407" s="2">
        <f t="shared" si="42"/>
        <v>43770</v>
      </c>
      <c r="F1407" s="1" t="s">
        <v>15</v>
      </c>
      <c r="G1407" s="1" t="s">
        <v>18</v>
      </c>
      <c r="H1407" s="1">
        <v>-0.65</v>
      </c>
      <c r="I1407" s="1">
        <v>0.13</v>
      </c>
      <c r="J1407" s="1">
        <v>0.01</v>
      </c>
      <c r="K1407" s="1" t="s">
        <v>24</v>
      </c>
      <c r="L1407" s="1">
        <v>2389</v>
      </c>
      <c r="M1407" s="1">
        <v>0.47</v>
      </c>
      <c r="N1407" s="1">
        <v>0.71603000000000006</v>
      </c>
      <c r="O1407" s="1">
        <f>VLOOKUP(D1407,underlying!$D$2:$H$75,5,FALSE)</f>
        <v>-0.12</v>
      </c>
      <c r="P1407" s="2">
        <f>VLOOKUP(D1407,underlying!$D$2:$L$39,9,FALSE)</f>
        <v>43735</v>
      </c>
      <c r="Q1407" s="7">
        <f>IF(G1407="C",NormalCallSprd(O1407,H1407,M1407,(P1407-A1407)/365), NormalPutSprd(O1407,H1407,M1407,(P1407-A1407)/365))</f>
        <v>0.12841624754591233</v>
      </c>
      <c r="R1407" s="9">
        <f t="shared" si="43"/>
        <v>1.583752454087678E-3</v>
      </c>
    </row>
    <row r="1408" spans="1:18" x14ac:dyDescent="0.2">
      <c r="A1408" s="2">
        <v>42622</v>
      </c>
      <c r="B1408" s="1" t="s">
        <v>13</v>
      </c>
      <c r="C1408" s="1" t="s">
        <v>14</v>
      </c>
      <c r="D1408" s="2">
        <v>43476</v>
      </c>
      <c r="E1408" s="2">
        <f t="shared" si="42"/>
        <v>43770</v>
      </c>
      <c r="F1408" s="1" t="s">
        <v>15</v>
      </c>
      <c r="G1408" s="1" t="s">
        <v>16</v>
      </c>
      <c r="H1408" s="1">
        <v>-0.6</v>
      </c>
      <c r="I1408" s="1">
        <v>0.61</v>
      </c>
      <c r="J1408" s="1">
        <v>-0.01</v>
      </c>
      <c r="K1408" s="1" t="s">
        <v>24</v>
      </c>
      <c r="L1408" s="1">
        <v>2389</v>
      </c>
      <c r="M1408" s="1">
        <v>0.47</v>
      </c>
      <c r="N1408" s="1">
        <v>0.73368999999999995</v>
      </c>
      <c r="O1408" s="1">
        <f>VLOOKUP(D1408,underlying!$D$2:$H$75,5,FALSE)</f>
        <v>-0.12</v>
      </c>
      <c r="P1408" s="2">
        <f>VLOOKUP(D1408,underlying!$D$2:$L$39,9,FALSE)</f>
        <v>43735</v>
      </c>
      <c r="Q1408" s="7">
        <f>IF(G1408="C",NormalCallSprd(O1408,H1408,M1408,(P1408-A1408)/365), NormalPutSprd(O1408,H1408,M1408,(P1408-A1408)/365))</f>
        <v>0.62187660590467131</v>
      </c>
      <c r="R1408" s="9">
        <f t="shared" si="43"/>
        <v>1.1876605904671322E-2</v>
      </c>
    </row>
    <row r="1409" spans="1:18" x14ac:dyDescent="0.2">
      <c r="A1409" s="2">
        <v>42622</v>
      </c>
      <c r="B1409" s="1" t="s">
        <v>13</v>
      </c>
      <c r="C1409" s="1" t="s">
        <v>14</v>
      </c>
      <c r="D1409" s="2">
        <v>43476</v>
      </c>
      <c r="E1409" s="2">
        <f t="shared" si="42"/>
        <v>43770</v>
      </c>
      <c r="F1409" s="1" t="s">
        <v>15</v>
      </c>
      <c r="G1409" s="1" t="s">
        <v>18</v>
      </c>
      <c r="H1409" s="1">
        <v>-0.6</v>
      </c>
      <c r="I1409" s="1">
        <v>0.14000000000000001</v>
      </c>
      <c r="J1409" s="1">
        <v>0</v>
      </c>
      <c r="K1409" s="1" t="s">
        <v>24</v>
      </c>
      <c r="L1409" s="1">
        <v>2389</v>
      </c>
      <c r="M1409" s="1">
        <v>0.47</v>
      </c>
      <c r="N1409" s="1">
        <v>0.75322999999999996</v>
      </c>
      <c r="O1409" s="1">
        <f>VLOOKUP(D1409,underlying!$D$2:$H$75,5,FALSE)</f>
        <v>-0.12</v>
      </c>
      <c r="P1409" s="2">
        <f>VLOOKUP(D1409,underlying!$D$2:$L$39,9,FALSE)</f>
        <v>43735</v>
      </c>
      <c r="Q1409" s="7">
        <f>IF(G1409="C",NormalCallSprd(O1409,H1409,M1409,(P1409-A1409)/365), NormalPutSprd(O1409,H1409,M1409,(P1409-A1409)/365))</f>
        <v>0.14187660590467135</v>
      </c>
      <c r="R1409" s="9">
        <f t="shared" si="43"/>
        <v>1.8766059046713413E-3</v>
      </c>
    </row>
    <row r="1410" spans="1:18" x14ac:dyDescent="0.2">
      <c r="A1410" s="2">
        <v>42622</v>
      </c>
      <c r="B1410" s="1" t="s">
        <v>13</v>
      </c>
      <c r="C1410" s="1" t="s">
        <v>14</v>
      </c>
      <c r="D1410" s="2">
        <v>43476</v>
      </c>
      <c r="E1410" s="2">
        <f t="shared" ref="E1410:E1473" si="44">DATE(YEAR(D1410),DAY(D1410),MONTH(D1410))</f>
        <v>43770</v>
      </c>
      <c r="F1410" s="1" t="s">
        <v>15</v>
      </c>
      <c r="G1410" s="1" t="s">
        <v>16</v>
      </c>
      <c r="H1410" s="1">
        <v>-0.55000000000000004</v>
      </c>
      <c r="I1410" s="1">
        <v>0.56999999999999995</v>
      </c>
      <c r="J1410" s="1">
        <v>-0.01</v>
      </c>
      <c r="K1410" s="1" t="s">
        <v>24</v>
      </c>
      <c r="L1410" s="1">
        <v>2389</v>
      </c>
      <c r="M1410" s="1">
        <v>0.47</v>
      </c>
      <c r="N1410" s="1">
        <v>0.83880999999999994</v>
      </c>
      <c r="O1410" s="1">
        <f>VLOOKUP(D1410,underlying!$D$2:$H$75,5,FALSE)</f>
        <v>-0.12</v>
      </c>
      <c r="P1410" s="2">
        <f>VLOOKUP(D1410,underlying!$D$2:$L$39,9,FALSE)</f>
        <v>43735</v>
      </c>
      <c r="Q1410" s="7">
        <f>IF(G1410="C",NormalCallSprd(O1410,H1410,M1410,(P1410-A1410)/365), NormalPutSprd(O1410,H1410,M1410,(P1410-A1410)/365))</f>
        <v>0.58636093692685176</v>
      </c>
      <c r="R1410" s="9">
        <f t="shared" si="43"/>
        <v>1.636093692685181E-2</v>
      </c>
    </row>
    <row r="1411" spans="1:18" x14ac:dyDescent="0.2">
      <c r="A1411" s="2">
        <v>42622</v>
      </c>
      <c r="B1411" s="1" t="s">
        <v>13</v>
      </c>
      <c r="C1411" s="1" t="s">
        <v>14</v>
      </c>
      <c r="D1411" s="2">
        <v>43476</v>
      </c>
      <c r="E1411" s="2">
        <f t="shared" si="44"/>
        <v>43770</v>
      </c>
      <c r="F1411" s="1" t="s">
        <v>15</v>
      </c>
      <c r="G1411" s="1" t="s">
        <v>18</v>
      </c>
      <c r="H1411" s="1">
        <v>-0.55000000000000004</v>
      </c>
      <c r="I1411" s="1">
        <v>0.15</v>
      </c>
      <c r="J1411" s="1">
        <v>0</v>
      </c>
      <c r="K1411" s="1" t="s">
        <v>24</v>
      </c>
      <c r="L1411" s="1">
        <v>2389</v>
      </c>
      <c r="M1411" s="1">
        <v>0.47</v>
      </c>
      <c r="N1411" s="1">
        <v>0.98765999999999998</v>
      </c>
      <c r="O1411" s="1">
        <f>VLOOKUP(D1411,underlying!$D$2:$H$75,5,FALSE)</f>
        <v>-0.12</v>
      </c>
      <c r="P1411" s="2">
        <f>VLOOKUP(D1411,underlying!$D$2:$L$39,9,FALSE)</f>
        <v>43735</v>
      </c>
      <c r="Q1411" s="7">
        <f>IF(G1411="C",NormalCallSprd(O1411,H1411,M1411,(P1411-A1411)/365), NormalPutSprd(O1411,H1411,M1411,(P1411-A1411)/365))</f>
        <v>0.15636093692685174</v>
      </c>
      <c r="R1411" s="9">
        <f t="shared" ref="R1411:R1474" si="45">ABS(Q1411-I1411)</f>
        <v>6.3609369268517457E-3</v>
      </c>
    </row>
    <row r="1412" spans="1:18" x14ac:dyDescent="0.2">
      <c r="A1412" s="2">
        <v>42622</v>
      </c>
      <c r="B1412" s="1" t="s">
        <v>13</v>
      </c>
      <c r="C1412" s="1" t="s">
        <v>14</v>
      </c>
      <c r="D1412" s="2">
        <v>43476</v>
      </c>
      <c r="E1412" s="2">
        <f t="shared" si="44"/>
        <v>43770</v>
      </c>
      <c r="F1412" s="1" t="s">
        <v>15</v>
      </c>
      <c r="G1412" s="1" t="s">
        <v>16</v>
      </c>
      <c r="H1412" s="1">
        <v>-0.5</v>
      </c>
      <c r="I1412" s="1">
        <v>0.53</v>
      </c>
      <c r="J1412" s="1">
        <v>-0.01</v>
      </c>
      <c r="K1412" s="1" t="s">
        <v>24</v>
      </c>
      <c r="L1412" s="1">
        <v>2389</v>
      </c>
      <c r="M1412" s="1">
        <v>0.46</v>
      </c>
      <c r="N1412" s="1">
        <v>0.95574000000000003</v>
      </c>
      <c r="O1412" s="1">
        <f>VLOOKUP(D1412,underlying!$D$2:$H$75,5,FALSE)</f>
        <v>-0.12</v>
      </c>
      <c r="P1412" s="2">
        <f>VLOOKUP(D1412,underlying!$D$2:$L$39,9,FALSE)</f>
        <v>43735</v>
      </c>
      <c r="Q1412" s="7">
        <f>IF(G1412="C",NormalCallSprd(O1412,H1412,M1412,(P1412-A1412)/365), NormalPutSprd(O1412,H1412,M1412,(P1412-A1412)/365))</f>
        <v>0.54566058912248794</v>
      </c>
      <c r="R1412" s="9">
        <f t="shared" si="45"/>
        <v>1.5660589122487911E-2</v>
      </c>
    </row>
    <row r="1413" spans="1:18" x14ac:dyDescent="0.2">
      <c r="A1413" s="2">
        <v>42622</v>
      </c>
      <c r="B1413" s="1" t="s">
        <v>13</v>
      </c>
      <c r="C1413" s="1" t="s">
        <v>14</v>
      </c>
      <c r="D1413" s="2">
        <v>43476</v>
      </c>
      <c r="E1413" s="2">
        <f t="shared" si="44"/>
        <v>43770</v>
      </c>
      <c r="F1413" s="1" t="s">
        <v>15</v>
      </c>
      <c r="G1413" s="1" t="s">
        <v>18</v>
      </c>
      <c r="H1413" s="1">
        <v>-0.5</v>
      </c>
      <c r="I1413" s="1">
        <v>0.16</v>
      </c>
      <c r="J1413" s="1">
        <v>0</v>
      </c>
      <c r="K1413" s="1" t="s">
        <v>24</v>
      </c>
      <c r="L1413" s="1">
        <v>2389</v>
      </c>
      <c r="M1413" s="1">
        <v>0.46</v>
      </c>
      <c r="N1413" s="1">
        <v>0.98155999999999999</v>
      </c>
      <c r="O1413" s="1">
        <f>VLOOKUP(D1413,underlying!$D$2:$H$75,5,FALSE)</f>
        <v>-0.12</v>
      </c>
      <c r="P1413" s="2">
        <f>VLOOKUP(D1413,underlying!$D$2:$L$39,9,FALSE)</f>
        <v>43735</v>
      </c>
      <c r="Q1413" s="7">
        <f>IF(G1413="C",NormalCallSprd(O1413,H1413,M1413,(P1413-A1413)/365), NormalPutSprd(O1413,H1413,M1413,(P1413-A1413)/365))</f>
        <v>0.16566058912248785</v>
      </c>
      <c r="R1413" s="9">
        <f t="shared" si="45"/>
        <v>5.6605891224878468E-3</v>
      </c>
    </row>
    <row r="1414" spans="1:18" x14ac:dyDescent="0.2">
      <c r="A1414" s="2">
        <v>42622</v>
      </c>
      <c r="B1414" s="1" t="s">
        <v>13</v>
      </c>
      <c r="C1414" s="1" t="s">
        <v>14</v>
      </c>
      <c r="D1414" s="2">
        <v>43476</v>
      </c>
      <c r="E1414" s="2">
        <f t="shared" si="44"/>
        <v>43770</v>
      </c>
      <c r="F1414" s="1" t="s">
        <v>15</v>
      </c>
      <c r="G1414" s="1" t="s">
        <v>16</v>
      </c>
      <c r="H1414" s="1">
        <v>-0.45</v>
      </c>
      <c r="I1414" s="1">
        <v>0.49</v>
      </c>
      <c r="J1414" s="1">
        <v>-0.01</v>
      </c>
      <c r="K1414" s="1" t="s">
        <v>24</v>
      </c>
      <c r="L1414" s="1">
        <v>2389</v>
      </c>
      <c r="M1414" s="1">
        <v>0.45</v>
      </c>
      <c r="N1414" s="1">
        <v>-0.55335000000000001</v>
      </c>
      <c r="O1414" s="1">
        <f>VLOOKUP(D1414,underlying!$D$2:$H$75,5,FALSE)</f>
        <v>-0.12</v>
      </c>
      <c r="P1414" s="2">
        <f>VLOOKUP(D1414,underlying!$D$2:$L$39,9,FALSE)</f>
        <v>43735</v>
      </c>
      <c r="Q1414" s="7">
        <f>IF(G1414="C",NormalCallSprd(O1414,H1414,M1414,(P1414-A1414)/365), NormalPutSprd(O1414,H1414,M1414,(P1414-A1414)/365))</f>
        <v>0.50573439197701586</v>
      </c>
      <c r="R1414" s="9">
        <f t="shared" si="45"/>
        <v>1.5734391977015871E-2</v>
      </c>
    </row>
    <row r="1415" spans="1:18" x14ac:dyDescent="0.2">
      <c r="A1415" s="2">
        <v>42622</v>
      </c>
      <c r="B1415" s="1" t="s">
        <v>13</v>
      </c>
      <c r="C1415" s="1" t="s">
        <v>14</v>
      </c>
      <c r="D1415" s="2">
        <v>43476</v>
      </c>
      <c r="E1415" s="2">
        <f t="shared" si="44"/>
        <v>43770</v>
      </c>
      <c r="F1415" s="1" t="s">
        <v>15</v>
      </c>
      <c r="G1415" s="1" t="s">
        <v>18</v>
      </c>
      <c r="H1415" s="1">
        <v>-0.45</v>
      </c>
      <c r="I1415" s="1">
        <v>0.17</v>
      </c>
      <c r="J1415" s="1">
        <v>0</v>
      </c>
      <c r="K1415" s="1" t="s">
        <v>24</v>
      </c>
      <c r="L1415" s="1">
        <v>2389</v>
      </c>
      <c r="M1415" s="1">
        <v>0.45</v>
      </c>
      <c r="N1415" s="1">
        <v>-0.52366999999999997</v>
      </c>
      <c r="O1415" s="1">
        <f>VLOOKUP(D1415,underlying!$D$2:$H$75,5,FALSE)</f>
        <v>-0.12</v>
      </c>
      <c r="P1415" s="2">
        <f>VLOOKUP(D1415,underlying!$D$2:$L$39,9,FALSE)</f>
        <v>43735</v>
      </c>
      <c r="Q1415" s="7">
        <f>IF(G1415="C",NormalCallSprd(O1415,H1415,M1415,(P1415-A1415)/365), NormalPutSprd(O1415,H1415,M1415,(P1415-A1415)/365))</f>
        <v>0.1757343919770159</v>
      </c>
      <c r="R1415" s="9">
        <f t="shared" si="45"/>
        <v>5.7343919770158902E-3</v>
      </c>
    </row>
    <row r="1416" spans="1:18" x14ac:dyDescent="0.2">
      <c r="A1416" s="2">
        <v>42622</v>
      </c>
      <c r="B1416" s="1" t="s">
        <v>13</v>
      </c>
      <c r="C1416" s="1" t="s">
        <v>14</v>
      </c>
      <c r="D1416" s="2">
        <v>43476</v>
      </c>
      <c r="E1416" s="2">
        <f t="shared" si="44"/>
        <v>43770</v>
      </c>
      <c r="F1416" s="1" t="s">
        <v>15</v>
      </c>
      <c r="G1416" s="1" t="s">
        <v>16</v>
      </c>
      <c r="H1416" s="1">
        <v>-0.4</v>
      </c>
      <c r="I1416" s="1">
        <v>0.46</v>
      </c>
      <c r="J1416" s="1">
        <v>-0.01</v>
      </c>
      <c r="K1416" s="1" t="s">
        <v>24</v>
      </c>
      <c r="L1416" s="1">
        <v>2389</v>
      </c>
      <c r="M1416" s="1">
        <v>0.45</v>
      </c>
      <c r="N1416" s="1">
        <v>-0.49382999999999999</v>
      </c>
      <c r="O1416" s="1">
        <f>VLOOKUP(D1416,underlying!$D$2:$H$75,5,FALSE)</f>
        <v>-0.12</v>
      </c>
      <c r="P1416" s="2">
        <f>VLOOKUP(D1416,underlying!$D$2:$L$39,9,FALSE)</f>
        <v>43735</v>
      </c>
      <c r="Q1416" s="7">
        <f>IF(G1416="C",NormalCallSprd(O1416,H1416,M1416,(P1416-A1416)/365), NormalPutSprd(O1416,H1416,M1416,(P1416-A1416)/365))</f>
        <v>0.47318345071381684</v>
      </c>
      <c r="R1416" s="9">
        <f t="shared" si="45"/>
        <v>1.3183450713816824E-2</v>
      </c>
    </row>
    <row r="1417" spans="1:18" x14ac:dyDescent="0.2">
      <c r="A1417" s="2">
        <v>42622</v>
      </c>
      <c r="B1417" s="1" t="s">
        <v>13</v>
      </c>
      <c r="C1417" s="1" t="s">
        <v>14</v>
      </c>
      <c r="D1417" s="2">
        <v>43476</v>
      </c>
      <c r="E1417" s="2">
        <f t="shared" si="44"/>
        <v>43770</v>
      </c>
      <c r="F1417" s="1" t="s">
        <v>15</v>
      </c>
      <c r="G1417" s="1" t="s">
        <v>18</v>
      </c>
      <c r="H1417" s="1">
        <v>-0.4</v>
      </c>
      <c r="I1417" s="1">
        <v>0.19</v>
      </c>
      <c r="J1417" s="1">
        <v>0</v>
      </c>
      <c r="K1417" s="1" t="s">
        <v>24</v>
      </c>
      <c r="L1417" s="1">
        <v>2389</v>
      </c>
      <c r="M1417" s="1">
        <v>0.45</v>
      </c>
      <c r="N1417" s="1">
        <v>-0.46446999999999999</v>
      </c>
      <c r="O1417" s="1">
        <f>VLOOKUP(D1417,underlying!$D$2:$H$75,5,FALSE)</f>
        <v>-0.12</v>
      </c>
      <c r="P1417" s="2">
        <f>VLOOKUP(D1417,underlying!$D$2:$L$39,9,FALSE)</f>
        <v>43735</v>
      </c>
      <c r="Q1417" s="7">
        <f>IF(G1417="C",NormalCallSprd(O1417,H1417,M1417,(P1417-A1417)/365), NormalPutSprd(O1417,H1417,M1417,(P1417-A1417)/365))</f>
        <v>0.19318345071381676</v>
      </c>
      <c r="R1417" s="9">
        <f t="shared" si="45"/>
        <v>3.18345071381676E-3</v>
      </c>
    </row>
    <row r="1418" spans="1:18" x14ac:dyDescent="0.2">
      <c r="A1418" s="2">
        <v>42622</v>
      </c>
      <c r="B1418" s="1" t="s">
        <v>13</v>
      </c>
      <c r="C1418" s="1" t="s">
        <v>14</v>
      </c>
      <c r="D1418" s="2">
        <v>43476</v>
      </c>
      <c r="E1418" s="2">
        <f t="shared" si="44"/>
        <v>43770</v>
      </c>
      <c r="F1418" s="1" t="s">
        <v>15</v>
      </c>
      <c r="G1418" s="1" t="s">
        <v>16</v>
      </c>
      <c r="H1418" s="1">
        <v>-0.35</v>
      </c>
      <c r="I1418" s="1">
        <v>0.42</v>
      </c>
      <c r="J1418" s="1">
        <v>-0.01</v>
      </c>
      <c r="K1418" s="1" t="s">
        <v>24</v>
      </c>
      <c r="L1418" s="1">
        <v>2389</v>
      </c>
      <c r="M1418" s="1">
        <v>0.44</v>
      </c>
      <c r="N1418" s="1">
        <v>-0.43645</v>
      </c>
      <c r="O1418" s="1">
        <f>VLOOKUP(D1418,underlying!$D$2:$H$75,5,FALSE)</f>
        <v>-0.12</v>
      </c>
      <c r="P1418" s="2">
        <f>VLOOKUP(D1418,underlying!$D$2:$L$39,9,FALSE)</f>
        <v>43735</v>
      </c>
      <c r="Q1418" s="7">
        <f>IF(G1418="C",NormalCallSprd(O1418,H1418,M1418,(P1418-A1418)/365), NormalPutSprd(O1418,H1418,M1418,(P1418-A1418)/365))</f>
        <v>0.43515546236287</v>
      </c>
      <c r="R1418" s="9">
        <f t="shared" si="45"/>
        <v>1.515546236287002E-2</v>
      </c>
    </row>
    <row r="1419" spans="1:18" x14ac:dyDescent="0.2">
      <c r="A1419" s="2">
        <v>42622</v>
      </c>
      <c r="B1419" s="1" t="s">
        <v>13</v>
      </c>
      <c r="C1419" s="1" t="s">
        <v>14</v>
      </c>
      <c r="D1419" s="2">
        <v>43476</v>
      </c>
      <c r="E1419" s="2">
        <f t="shared" si="44"/>
        <v>43770</v>
      </c>
      <c r="F1419" s="1" t="s">
        <v>15</v>
      </c>
      <c r="G1419" s="1" t="s">
        <v>18</v>
      </c>
      <c r="H1419" s="1">
        <v>-0.35</v>
      </c>
      <c r="I1419" s="1">
        <v>0.2</v>
      </c>
      <c r="J1419" s="1">
        <v>0</v>
      </c>
      <c r="K1419" s="1" t="s">
        <v>24</v>
      </c>
      <c r="L1419" s="1">
        <v>2389</v>
      </c>
      <c r="M1419" s="1">
        <v>0.44</v>
      </c>
      <c r="N1419" s="1">
        <v>-0.40847</v>
      </c>
      <c r="O1419" s="1">
        <f>VLOOKUP(D1419,underlying!$D$2:$H$75,5,FALSE)</f>
        <v>-0.12</v>
      </c>
      <c r="P1419" s="2">
        <f>VLOOKUP(D1419,underlying!$D$2:$L$39,9,FALSE)</f>
        <v>43735</v>
      </c>
      <c r="Q1419" s="7">
        <f>IF(G1419="C",NormalCallSprd(O1419,H1419,M1419,(P1419-A1419)/365), NormalPutSprd(O1419,H1419,M1419,(P1419-A1419)/365))</f>
        <v>0.20515546236286999</v>
      </c>
      <c r="R1419" s="9">
        <f t="shared" si="45"/>
        <v>5.1554623628699836E-3</v>
      </c>
    </row>
    <row r="1420" spans="1:18" x14ac:dyDescent="0.2">
      <c r="A1420" s="2">
        <v>42622</v>
      </c>
      <c r="B1420" s="1" t="s">
        <v>13</v>
      </c>
      <c r="C1420" s="1" t="s">
        <v>14</v>
      </c>
      <c r="D1420" s="2">
        <v>43476</v>
      </c>
      <c r="E1420" s="2">
        <f t="shared" si="44"/>
        <v>43770</v>
      </c>
      <c r="F1420" s="1" t="s">
        <v>15</v>
      </c>
      <c r="G1420" s="1" t="s">
        <v>16</v>
      </c>
      <c r="H1420" s="1">
        <v>-0.3</v>
      </c>
      <c r="I1420" s="1">
        <v>0.39</v>
      </c>
      <c r="J1420" s="1">
        <v>-0.01</v>
      </c>
      <c r="K1420" s="1" t="s">
        <v>24</v>
      </c>
      <c r="L1420" s="1">
        <v>2389</v>
      </c>
      <c r="M1420" s="1">
        <v>0.43</v>
      </c>
      <c r="N1420" s="1">
        <v>-0.38072</v>
      </c>
      <c r="O1420" s="1">
        <f>VLOOKUP(D1420,underlying!$D$2:$H$75,5,FALSE)</f>
        <v>-0.12</v>
      </c>
      <c r="P1420" s="2">
        <f>VLOOKUP(D1420,underlying!$D$2:$L$39,9,FALSE)</f>
        <v>43735</v>
      </c>
      <c r="Q1420" s="7">
        <f>IF(G1420="C",NormalCallSprd(O1420,H1420,M1420,(P1420-A1420)/365), NormalPutSprd(O1420,H1420,M1420,(P1420-A1420)/365))</f>
        <v>0.39812322817470808</v>
      </c>
      <c r="R1420" s="9">
        <f t="shared" si="45"/>
        <v>8.1232281747080637E-3</v>
      </c>
    </row>
    <row r="1421" spans="1:18" x14ac:dyDescent="0.2">
      <c r="A1421" s="2">
        <v>42622</v>
      </c>
      <c r="B1421" s="1" t="s">
        <v>13</v>
      </c>
      <c r="C1421" s="1" t="s">
        <v>14</v>
      </c>
      <c r="D1421" s="2">
        <v>43476</v>
      </c>
      <c r="E1421" s="2">
        <f t="shared" si="44"/>
        <v>43770</v>
      </c>
      <c r="F1421" s="1" t="s">
        <v>15</v>
      </c>
      <c r="G1421" s="1" t="s">
        <v>18</v>
      </c>
      <c r="H1421" s="1">
        <v>-0.3</v>
      </c>
      <c r="I1421" s="1">
        <v>0.21</v>
      </c>
      <c r="J1421" s="1">
        <v>0</v>
      </c>
      <c r="K1421" s="1" t="s">
        <v>24</v>
      </c>
      <c r="L1421" s="1">
        <v>2389</v>
      </c>
      <c r="M1421" s="1">
        <v>0.43</v>
      </c>
      <c r="N1421" s="1">
        <v>-0.35565999999999998</v>
      </c>
      <c r="O1421" s="1">
        <f>VLOOKUP(D1421,underlying!$D$2:$H$75,5,FALSE)</f>
        <v>-0.12</v>
      </c>
      <c r="P1421" s="2">
        <f>VLOOKUP(D1421,underlying!$D$2:$L$39,9,FALSE)</f>
        <v>43735</v>
      </c>
      <c r="Q1421" s="7">
        <f>IF(G1421="C",NormalCallSprd(O1421,H1421,M1421,(P1421-A1421)/365), NormalPutSprd(O1421,H1421,M1421,(P1421-A1421)/365))</f>
        <v>0.21812322817470811</v>
      </c>
      <c r="R1421" s="9">
        <f t="shared" si="45"/>
        <v>8.1232281747081192E-3</v>
      </c>
    </row>
    <row r="1422" spans="1:18" x14ac:dyDescent="0.2">
      <c r="A1422" s="2">
        <v>42622</v>
      </c>
      <c r="B1422" s="1" t="s">
        <v>13</v>
      </c>
      <c r="C1422" s="1" t="s">
        <v>14</v>
      </c>
      <c r="D1422" s="2">
        <v>43476</v>
      </c>
      <c r="E1422" s="2">
        <f t="shared" si="44"/>
        <v>43770</v>
      </c>
      <c r="F1422" s="1" t="s">
        <v>15</v>
      </c>
      <c r="G1422" s="1" t="s">
        <v>16</v>
      </c>
      <c r="H1422" s="1">
        <v>-0.25</v>
      </c>
      <c r="I1422" s="1">
        <v>0.35</v>
      </c>
      <c r="J1422" s="1">
        <v>-0.01</v>
      </c>
      <c r="K1422" s="1" t="s">
        <v>24</v>
      </c>
      <c r="L1422" s="1">
        <v>2389</v>
      </c>
      <c r="M1422" s="1">
        <v>0.42</v>
      </c>
      <c r="N1422" s="1">
        <v>-0.33252999999999999</v>
      </c>
      <c r="O1422" s="1">
        <f>VLOOKUP(D1422,underlying!$D$2:$H$75,5,FALSE)</f>
        <v>-0.12</v>
      </c>
      <c r="P1422" s="2">
        <f>VLOOKUP(D1422,underlying!$D$2:$L$39,9,FALSE)</f>
        <v>43735</v>
      </c>
      <c r="Q1422" s="7">
        <f>IF(G1422="C",NormalCallSprd(O1422,H1422,M1422,(P1422-A1422)/365), NormalPutSprd(O1422,H1422,M1422,(P1422-A1422)/365))</f>
        <v>0.36217507977634383</v>
      </c>
      <c r="R1422" s="9">
        <f t="shared" si="45"/>
        <v>1.2175079776343856E-2</v>
      </c>
    </row>
    <row r="1423" spans="1:18" x14ac:dyDescent="0.2">
      <c r="A1423" s="2">
        <v>42622</v>
      </c>
      <c r="B1423" s="1" t="s">
        <v>13</v>
      </c>
      <c r="C1423" s="1" t="s">
        <v>14</v>
      </c>
      <c r="D1423" s="2">
        <v>43476</v>
      </c>
      <c r="E1423" s="2">
        <f t="shared" si="44"/>
        <v>43770</v>
      </c>
      <c r="F1423" s="1" t="s">
        <v>15</v>
      </c>
      <c r="G1423" s="1" t="s">
        <v>18</v>
      </c>
      <c r="H1423" s="1">
        <v>-0.25</v>
      </c>
      <c r="I1423" s="1">
        <v>0.23</v>
      </c>
      <c r="J1423" s="1">
        <v>0.01</v>
      </c>
      <c r="K1423" s="1" t="s">
        <v>24</v>
      </c>
      <c r="L1423" s="1">
        <v>2389</v>
      </c>
      <c r="M1423" s="1">
        <v>0.42</v>
      </c>
      <c r="N1423" s="1">
        <v>-0.31085000000000002</v>
      </c>
      <c r="O1423" s="1">
        <f>VLOOKUP(D1423,underlying!$D$2:$H$75,5,FALSE)</f>
        <v>-0.12</v>
      </c>
      <c r="P1423" s="2">
        <f>VLOOKUP(D1423,underlying!$D$2:$L$39,9,FALSE)</f>
        <v>43735</v>
      </c>
      <c r="Q1423" s="7">
        <f>IF(G1423="C",NormalCallSprd(O1423,H1423,M1423,(P1423-A1423)/365), NormalPutSprd(O1423,H1423,M1423,(P1423-A1423)/365))</f>
        <v>0.2321750797763438</v>
      </c>
      <c r="R1423" s="9">
        <f t="shared" si="45"/>
        <v>2.1750797763437912E-3</v>
      </c>
    </row>
    <row r="1424" spans="1:18" x14ac:dyDescent="0.2">
      <c r="A1424" s="2">
        <v>42622</v>
      </c>
      <c r="B1424" s="1" t="s">
        <v>13</v>
      </c>
      <c r="C1424" s="1" t="s">
        <v>14</v>
      </c>
      <c r="D1424" s="2">
        <v>43476</v>
      </c>
      <c r="E1424" s="2">
        <f t="shared" si="44"/>
        <v>43770</v>
      </c>
      <c r="F1424" s="1" t="s">
        <v>15</v>
      </c>
      <c r="G1424" s="1" t="s">
        <v>16</v>
      </c>
      <c r="H1424" s="1">
        <v>-0.2</v>
      </c>
      <c r="I1424" s="1">
        <v>0.33</v>
      </c>
      <c r="J1424" s="1">
        <v>0</v>
      </c>
      <c r="K1424" s="1" t="s">
        <v>24</v>
      </c>
      <c r="L1424" s="1">
        <v>2389</v>
      </c>
      <c r="M1424" s="1">
        <v>0.42</v>
      </c>
      <c r="N1424" s="1">
        <v>-0.29056999999999999</v>
      </c>
      <c r="O1424" s="1">
        <f>VLOOKUP(D1424,underlying!$D$2:$H$75,5,FALSE)</f>
        <v>-0.12</v>
      </c>
      <c r="P1424" s="2">
        <f>VLOOKUP(D1424,underlying!$D$2:$L$39,9,FALSE)</f>
        <v>43735</v>
      </c>
      <c r="Q1424" s="7">
        <f>IF(G1424="C",NormalCallSprd(O1424,H1424,M1424,(P1424-A1424)/365), NormalPutSprd(O1424,H1424,M1424,(P1424-A1424)/365))</f>
        <v>0.3343296108208475</v>
      </c>
      <c r="R1424" s="9">
        <f t="shared" si="45"/>
        <v>4.3296108208474848E-3</v>
      </c>
    </row>
    <row r="1425" spans="1:18" x14ac:dyDescent="0.2">
      <c r="A1425" s="2">
        <v>42622</v>
      </c>
      <c r="B1425" s="1" t="s">
        <v>13</v>
      </c>
      <c r="C1425" s="1" t="s">
        <v>14</v>
      </c>
      <c r="D1425" s="2">
        <v>43476</v>
      </c>
      <c r="E1425" s="2">
        <f t="shared" si="44"/>
        <v>43770</v>
      </c>
      <c r="F1425" s="1" t="s">
        <v>15</v>
      </c>
      <c r="G1425" s="1" t="s">
        <v>18</v>
      </c>
      <c r="H1425" s="1">
        <v>-0.2</v>
      </c>
      <c r="I1425" s="1">
        <v>0.25</v>
      </c>
      <c r="J1425" s="1">
        <v>0.01</v>
      </c>
      <c r="K1425" s="1" t="s">
        <v>24</v>
      </c>
      <c r="L1425" s="1">
        <v>2389</v>
      </c>
      <c r="M1425" s="1">
        <v>0.42</v>
      </c>
      <c r="N1425" s="1">
        <v>-0.27162999999999998</v>
      </c>
      <c r="O1425" s="1">
        <f>VLOOKUP(D1425,underlying!$D$2:$H$75,5,FALSE)</f>
        <v>-0.12</v>
      </c>
      <c r="P1425" s="2">
        <f>VLOOKUP(D1425,underlying!$D$2:$L$39,9,FALSE)</f>
        <v>43735</v>
      </c>
      <c r="Q1425" s="7">
        <f>IF(G1425="C",NormalCallSprd(O1425,H1425,M1425,(P1425-A1425)/365), NormalPutSprd(O1425,H1425,M1425,(P1425-A1425)/365))</f>
        <v>0.25432961082084748</v>
      </c>
      <c r="R1425" s="9">
        <f t="shared" si="45"/>
        <v>4.3296108208474848E-3</v>
      </c>
    </row>
    <row r="1426" spans="1:18" x14ac:dyDescent="0.2">
      <c r="A1426" s="2">
        <v>42622</v>
      </c>
      <c r="B1426" s="1" t="s">
        <v>13</v>
      </c>
      <c r="C1426" s="1" t="s">
        <v>14</v>
      </c>
      <c r="D1426" s="2">
        <v>43476</v>
      </c>
      <c r="E1426" s="2">
        <f t="shared" si="44"/>
        <v>43770</v>
      </c>
      <c r="F1426" s="1" t="s">
        <v>15</v>
      </c>
      <c r="G1426" s="1" t="s">
        <v>16</v>
      </c>
      <c r="H1426" s="1">
        <v>-0.15</v>
      </c>
      <c r="I1426" s="1">
        <v>0.3</v>
      </c>
      <c r="J1426" s="1">
        <v>-0.01</v>
      </c>
      <c r="K1426" s="1" t="s">
        <v>24</v>
      </c>
      <c r="L1426" s="1">
        <v>2389</v>
      </c>
      <c r="M1426" s="1">
        <v>0.42</v>
      </c>
      <c r="N1426" s="1">
        <v>-0.25396999999999997</v>
      </c>
      <c r="O1426" s="1">
        <f>VLOOKUP(D1426,underlying!$D$2:$H$75,5,FALSE)</f>
        <v>-0.12</v>
      </c>
      <c r="P1426" s="2">
        <f>VLOOKUP(D1426,underlying!$D$2:$L$39,9,FALSE)</f>
        <v>43735</v>
      </c>
      <c r="Q1426" s="7">
        <f>IF(G1426="C",NormalCallSprd(O1426,H1426,M1426,(P1426-A1426)/365), NormalPutSprd(O1426,H1426,M1426,(P1426-A1426)/365))</f>
        <v>0.30783543579355765</v>
      </c>
      <c r="R1426" s="9">
        <f t="shared" si="45"/>
        <v>7.8354357935576657E-3</v>
      </c>
    </row>
    <row r="1427" spans="1:18" x14ac:dyDescent="0.2">
      <c r="A1427" s="2">
        <v>42622</v>
      </c>
      <c r="B1427" s="1" t="s">
        <v>13</v>
      </c>
      <c r="C1427" s="1" t="s">
        <v>14</v>
      </c>
      <c r="D1427" s="2">
        <v>43476</v>
      </c>
      <c r="E1427" s="2">
        <f t="shared" si="44"/>
        <v>43770</v>
      </c>
      <c r="F1427" s="1" t="s">
        <v>15</v>
      </c>
      <c r="G1427" s="1" t="s">
        <v>18</v>
      </c>
      <c r="H1427" s="1">
        <v>-0.15</v>
      </c>
      <c r="I1427" s="1">
        <v>0.27</v>
      </c>
      <c r="J1427" s="1">
        <v>0</v>
      </c>
      <c r="K1427" s="1" t="s">
        <v>24</v>
      </c>
      <c r="L1427" s="1">
        <v>2389</v>
      </c>
      <c r="M1427" s="1">
        <v>0.42</v>
      </c>
      <c r="N1427" s="1">
        <v>-0.23441999999999999</v>
      </c>
      <c r="O1427" s="1">
        <f>VLOOKUP(D1427,underlying!$D$2:$H$75,5,FALSE)</f>
        <v>-0.12</v>
      </c>
      <c r="P1427" s="2">
        <f>VLOOKUP(D1427,underlying!$D$2:$L$39,9,FALSE)</f>
        <v>43735</v>
      </c>
      <c r="Q1427" s="7">
        <f>IF(G1427="C",NormalCallSprd(O1427,H1427,M1427,(P1427-A1427)/365), NormalPutSprd(O1427,H1427,M1427,(P1427-A1427)/365))</f>
        <v>0.27783543579355768</v>
      </c>
      <c r="R1427" s="9">
        <f t="shared" si="45"/>
        <v>7.8354357935576657E-3</v>
      </c>
    </row>
    <row r="1428" spans="1:18" x14ac:dyDescent="0.2">
      <c r="A1428" s="2">
        <v>42622</v>
      </c>
      <c r="B1428" s="1" t="s">
        <v>13</v>
      </c>
      <c r="C1428" s="1" t="s">
        <v>14</v>
      </c>
      <c r="D1428" s="2">
        <v>43476</v>
      </c>
      <c r="E1428" s="2">
        <f t="shared" si="44"/>
        <v>43770</v>
      </c>
      <c r="F1428" s="1" t="s">
        <v>15</v>
      </c>
      <c r="G1428" s="1" t="s">
        <v>16</v>
      </c>
      <c r="H1428" s="1">
        <v>-0.1</v>
      </c>
      <c r="I1428" s="1">
        <v>0.28000000000000003</v>
      </c>
      <c r="J1428" s="1">
        <v>0</v>
      </c>
      <c r="K1428" s="1" t="s">
        <v>24</v>
      </c>
      <c r="L1428" s="1">
        <v>2389</v>
      </c>
      <c r="M1428" s="1">
        <v>0.42</v>
      </c>
      <c r="N1428" s="1">
        <v>-0.14885000000000001</v>
      </c>
      <c r="O1428" s="1">
        <f>VLOOKUP(D1428,underlying!$D$2:$H$75,5,FALSE)</f>
        <v>-0.12</v>
      </c>
      <c r="P1428" s="2">
        <f>VLOOKUP(D1428,underlying!$D$2:$L$39,9,FALSE)</f>
        <v>43735</v>
      </c>
      <c r="Q1428" s="7">
        <f>IF(G1428="C",NormalCallSprd(O1428,H1428,M1428,(P1428-A1428)/365), NormalPutSprd(O1428,H1428,M1428,(P1428-A1428)/365))</f>
        <v>0.28269947547460933</v>
      </c>
      <c r="R1428" s="9">
        <f t="shared" si="45"/>
        <v>2.699475474609303E-3</v>
      </c>
    </row>
    <row r="1429" spans="1:18" x14ac:dyDescent="0.2">
      <c r="A1429" s="2">
        <v>42622</v>
      </c>
      <c r="B1429" s="1" t="s">
        <v>13</v>
      </c>
      <c r="C1429" s="1" t="s">
        <v>14</v>
      </c>
      <c r="D1429" s="2">
        <v>43476</v>
      </c>
      <c r="E1429" s="2">
        <f t="shared" si="44"/>
        <v>43770</v>
      </c>
      <c r="F1429" s="1" t="s">
        <v>15</v>
      </c>
      <c r="G1429" s="1" t="s">
        <v>18</v>
      </c>
      <c r="H1429" s="1">
        <v>-0.1</v>
      </c>
      <c r="I1429" s="1">
        <v>0.3</v>
      </c>
      <c r="J1429" s="1">
        <v>0.01</v>
      </c>
      <c r="K1429" s="1" t="s">
        <v>24</v>
      </c>
      <c r="L1429" s="1">
        <v>2389</v>
      </c>
      <c r="M1429" s="1">
        <v>0.42</v>
      </c>
      <c r="N1429" s="1">
        <v>0</v>
      </c>
      <c r="O1429" s="1">
        <f>VLOOKUP(D1429,underlying!$D$2:$H$75,5,FALSE)</f>
        <v>-0.12</v>
      </c>
      <c r="P1429" s="2">
        <f>VLOOKUP(D1429,underlying!$D$2:$L$39,9,FALSE)</f>
        <v>43735</v>
      </c>
      <c r="Q1429" s="7">
        <f>IF(G1429="C",NormalCallSprd(O1429,H1429,M1429,(P1429-A1429)/365), NormalPutSprd(O1429,H1429,M1429,(P1429-A1429)/365))</f>
        <v>0.30269947547460929</v>
      </c>
      <c r="R1429" s="9">
        <f t="shared" si="45"/>
        <v>2.699475474609303E-3</v>
      </c>
    </row>
    <row r="1430" spans="1:18" x14ac:dyDescent="0.2">
      <c r="A1430" s="2">
        <v>42622</v>
      </c>
      <c r="B1430" s="1" t="s">
        <v>13</v>
      </c>
      <c r="C1430" s="1" t="s">
        <v>14</v>
      </c>
      <c r="D1430" s="2">
        <v>43476</v>
      </c>
      <c r="E1430" s="2">
        <f t="shared" si="44"/>
        <v>43770</v>
      </c>
      <c r="F1430" s="1" t="s">
        <v>15</v>
      </c>
      <c r="G1430" s="1" t="s">
        <v>16</v>
      </c>
      <c r="H1430" s="1">
        <v>-0.05</v>
      </c>
      <c r="I1430" s="1">
        <v>0.25</v>
      </c>
      <c r="J1430" s="1">
        <v>-0.01</v>
      </c>
      <c r="K1430" s="1" t="s">
        <v>24</v>
      </c>
      <c r="L1430" s="1">
        <v>2389</v>
      </c>
      <c r="M1430" s="1">
        <v>0.42</v>
      </c>
      <c r="N1430" s="1">
        <v>-3.1919999999999997E-2</v>
      </c>
      <c r="O1430" s="1">
        <f>VLOOKUP(D1430,underlying!$D$2:$H$75,5,FALSE)</f>
        <v>-0.12</v>
      </c>
      <c r="P1430" s="2">
        <f>VLOOKUP(D1430,underlying!$D$2:$L$39,9,FALSE)</f>
        <v>43735</v>
      </c>
      <c r="Q1430" s="7">
        <f>IF(G1430="C",NormalCallSprd(O1430,H1430,M1430,(P1430-A1430)/365), NormalPutSprd(O1430,H1430,M1430,(P1430-A1430)/365))</f>
        <v>0.2589223607807361</v>
      </c>
      <c r="R1430" s="9">
        <f t="shared" si="45"/>
        <v>8.9223607807361049E-3</v>
      </c>
    </row>
    <row r="1431" spans="1:18" x14ac:dyDescent="0.2">
      <c r="A1431" s="2">
        <v>42622</v>
      </c>
      <c r="B1431" s="1" t="s">
        <v>13</v>
      </c>
      <c r="C1431" s="1" t="s">
        <v>14</v>
      </c>
      <c r="D1431" s="2">
        <v>43476</v>
      </c>
      <c r="E1431" s="2">
        <f t="shared" si="44"/>
        <v>43770</v>
      </c>
      <c r="F1431" s="1" t="s">
        <v>15</v>
      </c>
      <c r="G1431" s="1" t="s">
        <v>18</v>
      </c>
      <c r="H1431" s="1">
        <v>-0.05</v>
      </c>
      <c r="I1431" s="1">
        <v>0.32</v>
      </c>
      <c r="J1431" s="1">
        <v>0</v>
      </c>
      <c r="K1431" s="1" t="s">
        <v>24</v>
      </c>
      <c r="L1431" s="1">
        <v>2389</v>
      </c>
      <c r="M1431" s="1">
        <v>0.42</v>
      </c>
      <c r="N1431" s="1">
        <v>-6.1000000000000004E-3</v>
      </c>
      <c r="O1431" s="1">
        <f>VLOOKUP(D1431,underlying!$D$2:$H$75,5,FALSE)</f>
        <v>-0.12</v>
      </c>
      <c r="P1431" s="2">
        <f>VLOOKUP(D1431,underlying!$D$2:$L$39,9,FALSE)</f>
        <v>43735</v>
      </c>
      <c r="Q1431" s="7">
        <f>IF(G1431="C",NormalCallSprd(O1431,H1431,M1431,(P1431-A1431)/365), NormalPutSprd(O1431,H1431,M1431,(P1431-A1431)/365))</f>
        <v>0.32892236078073611</v>
      </c>
      <c r="R1431" s="9">
        <f t="shared" si="45"/>
        <v>8.9223607807361049E-3</v>
      </c>
    </row>
    <row r="1432" spans="1:18" x14ac:dyDescent="0.2">
      <c r="A1432" s="2">
        <v>42622</v>
      </c>
      <c r="B1432" s="1" t="s">
        <v>13</v>
      </c>
      <c r="C1432" s="1" t="s">
        <v>14</v>
      </c>
      <c r="D1432" s="2">
        <v>43477</v>
      </c>
      <c r="E1432" s="2">
        <f t="shared" si="44"/>
        <v>43800</v>
      </c>
      <c r="F1432" s="1" t="s">
        <v>15</v>
      </c>
      <c r="G1432" s="1" t="s">
        <v>16</v>
      </c>
      <c r="H1432" s="1">
        <v>-3</v>
      </c>
      <c r="I1432" s="1">
        <v>2.79</v>
      </c>
      <c r="J1432" s="1">
        <v>-0.01</v>
      </c>
      <c r="K1432" s="1" t="s">
        <v>31</v>
      </c>
      <c r="L1432" s="1">
        <v>2389</v>
      </c>
      <c r="M1432" s="1">
        <v>0.79</v>
      </c>
      <c r="N1432" s="1">
        <v>0.45215</v>
      </c>
      <c r="O1432" s="1">
        <f>VLOOKUP(D1432,underlying!$D$2:$H$75,5,FALSE)</f>
        <v>-0.16</v>
      </c>
      <c r="P1432" s="2">
        <f>VLOOKUP(D1432,underlying!$D$2:$L$39,9,FALSE)</f>
        <v>43768</v>
      </c>
      <c r="Q1432" s="7">
        <f>IF(G1432="C",NormalCallSprd(O1432,H1432,M1432,(P1432-A1432)/365), NormalPutSprd(O1432,H1432,M1432,(P1432-A1432)/365))</f>
        <v>2.8509982035849504</v>
      </c>
      <c r="R1432" s="9">
        <f t="shared" si="45"/>
        <v>6.0998203584950339E-2</v>
      </c>
    </row>
    <row r="1433" spans="1:18" x14ac:dyDescent="0.2">
      <c r="A1433" s="2">
        <v>42622</v>
      </c>
      <c r="B1433" s="1" t="s">
        <v>13</v>
      </c>
      <c r="C1433" s="1" t="s">
        <v>14</v>
      </c>
      <c r="D1433" s="2">
        <v>43477</v>
      </c>
      <c r="E1433" s="2">
        <f t="shared" si="44"/>
        <v>43800</v>
      </c>
      <c r="F1433" s="1" t="s">
        <v>15</v>
      </c>
      <c r="G1433" s="1" t="s">
        <v>18</v>
      </c>
      <c r="H1433" s="1">
        <v>-3</v>
      </c>
      <c r="I1433" s="1">
        <v>0.01</v>
      </c>
      <c r="J1433" s="1">
        <v>0</v>
      </c>
      <c r="K1433" s="1" t="s">
        <v>31</v>
      </c>
      <c r="L1433" s="1">
        <v>2389</v>
      </c>
      <c r="M1433" s="1">
        <v>0.79</v>
      </c>
      <c r="N1433" s="1">
        <v>0.47900999999999999</v>
      </c>
      <c r="O1433" s="1">
        <f>VLOOKUP(D1433,underlying!$D$2:$H$75,5,FALSE)</f>
        <v>-0.16</v>
      </c>
      <c r="P1433" s="2">
        <f>VLOOKUP(D1433,underlying!$D$2:$L$39,9,FALSE)</f>
        <v>43768</v>
      </c>
      <c r="Q1433" s="7">
        <f>IF(G1433="C",NormalCallSprd(O1433,H1433,M1433,(P1433-A1433)/365), NormalPutSprd(O1433,H1433,M1433,(P1433-A1433)/365))</f>
        <v>1.0998203584950265E-2</v>
      </c>
      <c r="R1433" s="9">
        <f t="shared" si="45"/>
        <v>9.982035849502649E-4</v>
      </c>
    </row>
    <row r="1434" spans="1:18" x14ac:dyDescent="0.2">
      <c r="A1434" s="2">
        <v>42622</v>
      </c>
      <c r="B1434" s="1" t="s">
        <v>13</v>
      </c>
      <c r="C1434" s="1" t="s">
        <v>14</v>
      </c>
      <c r="D1434" s="2">
        <v>43477</v>
      </c>
      <c r="E1434" s="2">
        <f t="shared" si="44"/>
        <v>43800</v>
      </c>
      <c r="F1434" s="1" t="s">
        <v>15</v>
      </c>
      <c r="G1434" s="1" t="s">
        <v>16</v>
      </c>
      <c r="H1434" s="1">
        <v>-2</v>
      </c>
      <c r="I1434" s="1">
        <v>1.83</v>
      </c>
      <c r="J1434" s="1">
        <v>-0.01</v>
      </c>
      <c r="K1434" s="1" t="s">
        <v>31</v>
      </c>
      <c r="L1434" s="1">
        <v>2389</v>
      </c>
      <c r="M1434" s="1">
        <v>0.68</v>
      </c>
      <c r="N1434" s="1">
        <v>0.50573999999999997</v>
      </c>
      <c r="O1434" s="1">
        <f>VLOOKUP(D1434,underlying!$D$2:$H$75,5,FALSE)</f>
        <v>-0.16</v>
      </c>
      <c r="P1434" s="2">
        <f>VLOOKUP(D1434,underlying!$D$2:$L$39,9,FALSE)</f>
        <v>43768</v>
      </c>
      <c r="Q1434" s="7">
        <f>IF(G1434="C",NormalCallSprd(O1434,H1434,M1434,(P1434-A1434)/365), NormalPutSprd(O1434,H1434,M1434,(P1434-A1434)/365))</f>
        <v>1.8731883288764575</v>
      </c>
      <c r="R1434" s="9">
        <f t="shared" si="45"/>
        <v>4.3188328876457405E-2</v>
      </c>
    </row>
    <row r="1435" spans="1:18" x14ac:dyDescent="0.2">
      <c r="A1435" s="2">
        <v>42622</v>
      </c>
      <c r="B1435" s="1" t="s">
        <v>13</v>
      </c>
      <c r="C1435" s="1" t="s">
        <v>14</v>
      </c>
      <c r="D1435" s="2">
        <v>43477</v>
      </c>
      <c r="E1435" s="2">
        <f t="shared" si="44"/>
        <v>43800</v>
      </c>
      <c r="F1435" s="1" t="s">
        <v>15</v>
      </c>
      <c r="G1435" s="1" t="s">
        <v>18</v>
      </c>
      <c r="H1435" s="1">
        <v>-2</v>
      </c>
      <c r="I1435" s="1">
        <v>0.03</v>
      </c>
      <c r="J1435" s="1">
        <v>0</v>
      </c>
      <c r="K1435" s="1" t="s">
        <v>31</v>
      </c>
      <c r="L1435" s="1">
        <v>2389</v>
      </c>
      <c r="M1435" s="1">
        <v>0.68</v>
      </c>
      <c r="N1435" s="1">
        <v>0.53239999999999998</v>
      </c>
      <c r="O1435" s="1">
        <f>VLOOKUP(D1435,underlying!$D$2:$H$75,5,FALSE)</f>
        <v>-0.16</v>
      </c>
      <c r="P1435" s="2">
        <f>VLOOKUP(D1435,underlying!$D$2:$L$39,9,FALSE)</f>
        <v>43768</v>
      </c>
      <c r="Q1435" s="7">
        <f>IF(G1435="C",NormalCallSprd(O1435,H1435,M1435,(P1435-A1435)/365), NormalPutSprd(O1435,H1435,M1435,(P1435-A1435)/365))</f>
        <v>3.3188328876457479E-2</v>
      </c>
      <c r="R1435" s="9">
        <f t="shared" si="45"/>
        <v>3.1883288764574802E-3</v>
      </c>
    </row>
    <row r="1436" spans="1:18" x14ac:dyDescent="0.2">
      <c r="A1436" s="2">
        <v>42622</v>
      </c>
      <c r="B1436" s="1" t="s">
        <v>13</v>
      </c>
      <c r="C1436" s="1" t="s">
        <v>14</v>
      </c>
      <c r="D1436" s="2">
        <v>43477</v>
      </c>
      <c r="E1436" s="2">
        <f t="shared" si="44"/>
        <v>43800</v>
      </c>
      <c r="F1436" s="1" t="s">
        <v>15</v>
      </c>
      <c r="G1436" s="1" t="s">
        <v>16</v>
      </c>
      <c r="H1436" s="1">
        <v>-1</v>
      </c>
      <c r="I1436" s="1">
        <v>0.91</v>
      </c>
      <c r="J1436" s="1">
        <v>-0.01</v>
      </c>
      <c r="K1436" s="1" t="s">
        <v>31</v>
      </c>
      <c r="L1436" s="1">
        <v>2389</v>
      </c>
      <c r="M1436" s="1">
        <v>0.52</v>
      </c>
      <c r="N1436" s="1">
        <v>0.55884999999999996</v>
      </c>
      <c r="O1436" s="1">
        <f>VLOOKUP(D1436,underlying!$D$2:$H$75,5,FALSE)</f>
        <v>-0.16</v>
      </c>
      <c r="P1436" s="2">
        <f>VLOOKUP(D1436,underlying!$D$2:$L$39,9,FALSE)</f>
        <v>43768</v>
      </c>
      <c r="Q1436" s="7">
        <f>IF(G1436="C",NormalCallSprd(O1436,H1436,M1436,(P1436-A1436)/365), NormalPutSprd(O1436,H1436,M1436,(P1436-A1436)/365))</f>
        <v>0.93057760641252008</v>
      </c>
      <c r="R1436" s="9">
        <f t="shared" si="45"/>
        <v>2.0577606412520044E-2</v>
      </c>
    </row>
    <row r="1437" spans="1:18" x14ac:dyDescent="0.2">
      <c r="A1437" s="2">
        <v>42622</v>
      </c>
      <c r="B1437" s="1" t="s">
        <v>13</v>
      </c>
      <c r="C1437" s="1" t="s">
        <v>14</v>
      </c>
      <c r="D1437" s="2">
        <v>43477</v>
      </c>
      <c r="E1437" s="2">
        <f t="shared" si="44"/>
        <v>43800</v>
      </c>
      <c r="F1437" s="1" t="s">
        <v>15</v>
      </c>
      <c r="G1437" s="1" t="s">
        <v>18</v>
      </c>
      <c r="H1437" s="1">
        <v>-1</v>
      </c>
      <c r="I1437" s="1">
        <v>0.09</v>
      </c>
      <c r="J1437" s="1">
        <v>0</v>
      </c>
      <c r="K1437" s="1" t="s">
        <v>31</v>
      </c>
      <c r="L1437" s="1">
        <v>2389</v>
      </c>
      <c r="M1437" s="1">
        <v>0.52</v>
      </c>
      <c r="N1437" s="1">
        <v>0.58499000000000001</v>
      </c>
      <c r="O1437" s="1">
        <f>VLOOKUP(D1437,underlying!$D$2:$H$75,5,FALSE)</f>
        <v>-0.16</v>
      </c>
      <c r="P1437" s="2">
        <f>VLOOKUP(D1437,underlying!$D$2:$L$39,9,FALSE)</f>
        <v>43768</v>
      </c>
      <c r="Q1437" s="7">
        <f>IF(G1437="C",NormalCallSprd(O1437,H1437,M1437,(P1437-A1437)/365), NormalPutSprd(O1437,H1437,M1437,(P1437-A1437)/365))</f>
        <v>9.0577606412520079E-2</v>
      </c>
      <c r="R1437" s="9">
        <f t="shared" si="45"/>
        <v>5.7760641252008194E-4</v>
      </c>
    </row>
    <row r="1438" spans="1:18" x14ac:dyDescent="0.2">
      <c r="A1438" s="2">
        <v>42622</v>
      </c>
      <c r="B1438" s="1" t="s">
        <v>13</v>
      </c>
      <c r="C1438" s="1" t="s">
        <v>14</v>
      </c>
      <c r="D1438" s="2">
        <v>43477</v>
      </c>
      <c r="E1438" s="2">
        <f t="shared" si="44"/>
        <v>43800</v>
      </c>
      <c r="F1438" s="1" t="s">
        <v>15</v>
      </c>
      <c r="G1438" s="1" t="s">
        <v>16</v>
      </c>
      <c r="H1438" s="1">
        <v>-0.65</v>
      </c>
      <c r="I1438" s="1">
        <v>0.62</v>
      </c>
      <c r="J1438" s="1">
        <v>-0.01</v>
      </c>
      <c r="K1438" s="1" t="s">
        <v>31</v>
      </c>
      <c r="L1438" s="1">
        <v>2389</v>
      </c>
      <c r="M1438" s="1">
        <v>0.47</v>
      </c>
      <c r="N1438" s="1">
        <v>0.60855000000000004</v>
      </c>
      <c r="O1438" s="1">
        <f>VLOOKUP(D1438,underlying!$D$2:$H$75,5,FALSE)</f>
        <v>-0.16</v>
      </c>
      <c r="P1438" s="2">
        <f>VLOOKUP(D1438,underlying!$D$2:$L$39,9,FALSE)</f>
        <v>43768</v>
      </c>
      <c r="Q1438" s="7">
        <f>IF(G1438="C",NormalCallSprd(O1438,H1438,M1438,(P1438-A1438)/365), NormalPutSprd(O1438,H1438,M1438,(P1438-A1438)/365))</f>
        <v>0.63314615325569112</v>
      </c>
      <c r="R1438" s="9">
        <f t="shared" si="45"/>
        <v>1.3146153255691129E-2</v>
      </c>
    </row>
    <row r="1439" spans="1:18" x14ac:dyDescent="0.2">
      <c r="A1439" s="2">
        <v>42622</v>
      </c>
      <c r="B1439" s="1" t="s">
        <v>13</v>
      </c>
      <c r="C1439" s="1" t="s">
        <v>14</v>
      </c>
      <c r="D1439" s="2">
        <v>43477</v>
      </c>
      <c r="E1439" s="2">
        <f t="shared" si="44"/>
        <v>43800</v>
      </c>
      <c r="F1439" s="1" t="s">
        <v>15</v>
      </c>
      <c r="G1439" s="1" t="s">
        <v>18</v>
      </c>
      <c r="H1439" s="1">
        <v>-0.65</v>
      </c>
      <c r="I1439" s="1">
        <v>0.14000000000000001</v>
      </c>
      <c r="J1439" s="1">
        <v>0</v>
      </c>
      <c r="K1439" s="1" t="s">
        <v>31</v>
      </c>
      <c r="L1439" s="1">
        <v>2389</v>
      </c>
      <c r="M1439" s="1">
        <v>0.47</v>
      </c>
      <c r="N1439" s="1">
        <v>0.63022999999999996</v>
      </c>
      <c r="O1439" s="1">
        <f>VLOOKUP(D1439,underlying!$D$2:$H$75,5,FALSE)</f>
        <v>-0.16</v>
      </c>
      <c r="P1439" s="2">
        <f>VLOOKUP(D1439,underlying!$D$2:$L$39,9,FALSE)</f>
        <v>43768</v>
      </c>
      <c r="Q1439" s="7">
        <f>IF(G1439="C",NormalCallSprd(O1439,H1439,M1439,(P1439-A1439)/365), NormalPutSprd(O1439,H1439,M1439,(P1439-A1439)/365))</f>
        <v>0.14314615325569111</v>
      </c>
      <c r="R1439" s="9">
        <f t="shared" si="45"/>
        <v>3.1461532556910921E-3</v>
      </c>
    </row>
    <row r="1440" spans="1:18" x14ac:dyDescent="0.2">
      <c r="A1440" s="2">
        <v>42622</v>
      </c>
      <c r="B1440" s="1" t="s">
        <v>13</v>
      </c>
      <c r="C1440" s="1" t="s">
        <v>14</v>
      </c>
      <c r="D1440" s="2">
        <v>43477</v>
      </c>
      <c r="E1440" s="2">
        <f t="shared" si="44"/>
        <v>43800</v>
      </c>
      <c r="F1440" s="1" t="s">
        <v>15</v>
      </c>
      <c r="G1440" s="1" t="s">
        <v>16</v>
      </c>
      <c r="H1440" s="1">
        <v>-0.6</v>
      </c>
      <c r="I1440" s="1">
        <v>0.57999999999999996</v>
      </c>
      <c r="J1440" s="1">
        <v>-0.01</v>
      </c>
      <c r="K1440" s="1" t="s">
        <v>31</v>
      </c>
      <c r="L1440" s="1">
        <v>2389</v>
      </c>
      <c r="M1440" s="1">
        <v>0.47</v>
      </c>
      <c r="N1440" s="1">
        <v>0.65054000000000001</v>
      </c>
      <c r="O1440" s="1">
        <f>VLOOKUP(D1440,underlying!$D$2:$H$75,5,FALSE)</f>
        <v>-0.16</v>
      </c>
      <c r="P1440" s="2">
        <f>VLOOKUP(D1440,underlying!$D$2:$L$39,9,FALSE)</f>
        <v>43768</v>
      </c>
      <c r="Q1440" s="7">
        <f>IF(G1440="C",NormalCallSprd(O1440,H1440,M1440,(P1440-A1440)/365), NormalPutSprd(O1440,H1440,M1440,(P1440-A1440)/365))</f>
        <v>0.59756266039914718</v>
      </c>
      <c r="R1440" s="9">
        <f t="shared" si="45"/>
        <v>1.7562660399147223E-2</v>
      </c>
    </row>
    <row r="1441" spans="1:18" x14ac:dyDescent="0.2">
      <c r="A1441" s="2">
        <v>42622</v>
      </c>
      <c r="B1441" s="1" t="s">
        <v>13</v>
      </c>
      <c r="C1441" s="1" t="s">
        <v>14</v>
      </c>
      <c r="D1441" s="2">
        <v>43477</v>
      </c>
      <c r="E1441" s="2">
        <f t="shared" si="44"/>
        <v>43800</v>
      </c>
      <c r="F1441" s="1" t="s">
        <v>15</v>
      </c>
      <c r="G1441" s="1" t="s">
        <v>18</v>
      </c>
      <c r="H1441" s="1">
        <v>-0.6</v>
      </c>
      <c r="I1441" s="1">
        <v>0.15</v>
      </c>
      <c r="J1441" s="1">
        <v>0</v>
      </c>
      <c r="K1441" s="1" t="s">
        <v>31</v>
      </c>
      <c r="L1441" s="1">
        <v>2389</v>
      </c>
      <c r="M1441" s="1">
        <v>0.47</v>
      </c>
      <c r="N1441" s="1">
        <v>0.67242000000000002</v>
      </c>
      <c r="O1441" s="1">
        <f>VLOOKUP(D1441,underlying!$D$2:$H$75,5,FALSE)</f>
        <v>-0.16</v>
      </c>
      <c r="P1441" s="2">
        <f>VLOOKUP(D1441,underlying!$D$2:$L$39,9,FALSE)</f>
        <v>43768</v>
      </c>
      <c r="Q1441" s="7">
        <f>IF(G1441="C",NormalCallSprd(O1441,H1441,M1441,(P1441-A1441)/365), NormalPutSprd(O1441,H1441,M1441,(P1441-A1441)/365))</f>
        <v>0.15756266039914726</v>
      </c>
      <c r="R1441" s="9">
        <f t="shared" si="45"/>
        <v>7.5626603991472696E-3</v>
      </c>
    </row>
    <row r="1442" spans="1:18" x14ac:dyDescent="0.2">
      <c r="A1442" s="2">
        <v>42622</v>
      </c>
      <c r="B1442" s="1" t="s">
        <v>13</v>
      </c>
      <c r="C1442" s="1" t="s">
        <v>14</v>
      </c>
      <c r="D1442" s="2">
        <v>43477</v>
      </c>
      <c r="E1442" s="2">
        <f t="shared" si="44"/>
        <v>43800</v>
      </c>
      <c r="F1442" s="1" t="s">
        <v>15</v>
      </c>
      <c r="G1442" s="1" t="s">
        <v>16</v>
      </c>
      <c r="H1442" s="1">
        <v>-0.55000000000000004</v>
      </c>
      <c r="I1442" s="1">
        <v>0.55000000000000004</v>
      </c>
      <c r="J1442" s="1">
        <v>-0.01</v>
      </c>
      <c r="K1442" s="1" t="s">
        <v>31</v>
      </c>
      <c r="L1442" s="1">
        <v>2389</v>
      </c>
      <c r="M1442" s="1">
        <v>0.47</v>
      </c>
      <c r="N1442" s="1">
        <v>0.69111</v>
      </c>
      <c r="O1442" s="1">
        <f>VLOOKUP(D1442,underlying!$D$2:$H$75,5,FALSE)</f>
        <v>-0.16</v>
      </c>
      <c r="P1442" s="2">
        <f>VLOOKUP(D1442,underlying!$D$2:$L$39,9,FALSE)</f>
        <v>43768</v>
      </c>
      <c r="Q1442" s="7">
        <f>IF(G1442="C",NormalCallSprd(O1442,H1442,M1442,(P1442-A1442)/365), NormalPutSprd(O1442,H1442,M1442,(P1442-A1442)/365))</f>
        <v>0.56302052160776617</v>
      </c>
      <c r="R1442" s="9">
        <f t="shared" si="45"/>
        <v>1.3020521607766122E-2</v>
      </c>
    </row>
    <row r="1443" spans="1:18" x14ac:dyDescent="0.2">
      <c r="A1443" s="2">
        <v>42622</v>
      </c>
      <c r="B1443" s="1" t="s">
        <v>13</v>
      </c>
      <c r="C1443" s="1" t="s">
        <v>14</v>
      </c>
      <c r="D1443" s="2">
        <v>43477</v>
      </c>
      <c r="E1443" s="2">
        <f t="shared" si="44"/>
        <v>43800</v>
      </c>
      <c r="F1443" s="1" t="s">
        <v>15</v>
      </c>
      <c r="G1443" s="1" t="s">
        <v>18</v>
      </c>
      <c r="H1443" s="1">
        <v>-0.55000000000000004</v>
      </c>
      <c r="I1443" s="1">
        <v>0.17</v>
      </c>
      <c r="J1443" s="1">
        <v>0</v>
      </c>
      <c r="K1443" s="1" t="s">
        <v>31</v>
      </c>
      <c r="L1443" s="1">
        <v>2389</v>
      </c>
      <c r="M1443" s="1">
        <v>0.47</v>
      </c>
      <c r="N1443" s="1">
        <v>0.70782999999999996</v>
      </c>
      <c r="O1443" s="1">
        <f>VLOOKUP(D1443,underlying!$D$2:$H$75,5,FALSE)</f>
        <v>-0.16</v>
      </c>
      <c r="P1443" s="2">
        <f>VLOOKUP(D1443,underlying!$D$2:$L$39,9,FALSE)</f>
        <v>43768</v>
      </c>
      <c r="Q1443" s="7">
        <f>IF(G1443="C",NormalCallSprd(O1443,H1443,M1443,(P1443-A1443)/365), NormalPutSprd(O1443,H1443,M1443,(P1443-A1443)/365))</f>
        <v>0.1730205216077661</v>
      </c>
      <c r="R1443" s="9">
        <f t="shared" si="45"/>
        <v>3.0205216077660857E-3</v>
      </c>
    </row>
    <row r="1444" spans="1:18" x14ac:dyDescent="0.2">
      <c r="A1444" s="2">
        <v>42622</v>
      </c>
      <c r="B1444" s="1" t="s">
        <v>13</v>
      </c>
      <c r="C1444" s="1" t="s">
        <v>14</v>
      </c>
      <c r="D1444" s="2">
        <v>43477</v>
      </c>
      <c r="E1444" s="2">
        <f t="shared" si="44"/>
        <v>43800</v>
      </c>
      <c r="F1444" s="1" t="s">
        <v>15</v>
      </c>
      <c r="G1444" s="1" t="s">
        <v>16</v>
      </c>
      <c r="H1444" s="1">
        <v>-0.5</v>
      </c>
      <c r="I1444" s="1">
        <v>0.51</v>
      </c>
      <c r="J1444" s="1">
        <v>-0.01</v>
      </c>
      <c r="K1444" s="1" t="s">
        <v>31</v>
      </c>
      <c r="L1444" s="1">
        <v>2389</v>
      </c>
      <c r="M1444" s="1">
        <v>0.46</v>
      </c>
      <c r="N1444" s="1">
        <v>0.7268</v>
      </c>
      <c r="O1444" s="1">
        <f>VLOOKUP(D1444,underlying!$D$2:$H$75,5,FALSE)</f>
        <v>-0.16</v>
      </c>
      <c r="P1444" s="2">
        <f>VLOOKUP(D1444,underlying!$D$2:$L$39,9,FALSE)</f>
        <v>43768</v>
      </c>
      <c r="Q1444" s="7">
        <f>IF(G1444="C",NormalCallSprd(O1444,H1444,M1444,(P1444-A1444)/365), NormalPutSprd(O1444,H1444,M1444,(P1444-A1444)/365))</f>
        <v>0.5230593753972359</v>
      </c>
      <c r="R1444" s="9">
        <f t="shared" si="45"/>
        <v>1.3059375397235895E-2</v>
      </c>
    </row>
    <row r="1445" spans="1:18" x14ac:dyDescent="0.2">
      <c r="A1445" s="2">
        <v>42622</v>
      </c>
      <c r="B1445" s="1" t="s">
        <v>13</v>
      </c>
      <c r="C1445" s="1" t="s">
        <v>14</v>
      </c>
      <c r="D1445" s="2">
        <v>43477</v>
      </c>
      <c r="E1445" s="2">
        <f t="shared" si="44"/>
        <v>43800</v>
      </c>
      <c r="F1445" s="1" t="s">
        <v>15</v>
      </c>
      <c r="G1445" s="1" t="s">
        <v>18</v>
      </c>
      <c r="H1445" s="1">
        <v>-0.5</v>
      </c>
      <c r="I1445" s="1">
        <v>0.18</v>
      </c>
      <c r="J1445" s="1">
        <v>0</v>
      </c>
      <c r="K1445" s="1" t="s">
        <v>31</v>
      </c>
      <c r="L1445" s="1">
        <v>2389</v>
      </c>
      <c r="M1445" s="1">
        <v>0.46</v>
      </c>
      <c r="N1445" s="1">
        <v>0.81916</v>
      </c>
      <c r="O1445" s="1">
        <f>VLOOKUP(D1445,underlying!$D$2:$H$75,5,FALSE)</f>
        <v>-0.16</v>
      </c>
      <c r="P1445" s="2">
        <f>VLOOKUP(D1445,underlying!$D$2:$L$39,9,FALSE)</f>
        <v>43768</v>
      </c>
      <c r="Q1445" s="7">
        <f>IF(G1445="C",NormalCallSprd(O1445,H1445,M1445,(P1445-A1445)/365), NormalPutSprd(O1445,H1445,M1445,(P1445-A1445)/365))</f>
        <v>0.18305937539723596</v>
      </c>
      <c r="R1445" s="9">
        <f t="shared" si="45"/>
        <v>3.0593753972359694E-3</v>
      </c>
    </row>
    <row r="1446" spans="1:18" x14ac:dyDescent="0.2">
      <c r="A1446" s="2">
        <v>42622</v>
      </c>
      <c r="B1446" s="1" t="s">
        <v>13</v>
      </c>
      <c r="C1446" s="1" t="s">
        <v>14</v>
      </c>
      <c r="D1446" s="2">
        <v>43477</v>
      </c>
      <c r="E1446" s="2">
        <f t="shared" si="44"/>
        <v>43800</v>
      </c>
      <c r="F1446" s="1" t="s">
        <v>15</v>
      </c>
      <c r="G1446" s="1" t="s">
        <v>16</v>
      </c>
      <c r="H1446" s="1">
        <v>-0.45</v>
      </c>
      <c r="I1446" s="1">
        <v>0.47</v>
      </c>
      <c r="J1446" s="1">
        <v>-0.01</v>
      </c>
      <c r="K1446" s="1" t="s">
        <v>31</v>
      </c>
      <c r="L1446" s="1">
        <v>2389</v>
      </c>
      <c r="M1446" s="1">
        <v>0.45</v>
      </c>
      <c r="N1446" s="1">
        <v>0.92896999999999996</v>
      </c>
      <c r="O1446" s="1">
        <f>VLOOKUP(D1446,underlying!$D$2:$H$75,5,FALSE)</f>
        <v>-0.16</v>
      </c>
      <c r="P1446" s="2">
        <f>VLOOKUP(D1446,underlying!$D$2:$L$39,9,FALSE)</f>
        <v>43768</v>
      </c>
      <c r="Q1446" s="7">
        <f>IF(G1446="C",NormalCallSprd(O1446,H1446,M1446,(P1446-A1446)/365), NormalPutSprd(O1446,H1446,M1446,(P1446-A1446)/365))</f>
        <v>0.48391327072700918</v>
      </c>
      <c r="R1446" s="9">
        <f t="shared" si="45"/>
        <v>1.3913270727009208E-2</v>
      </c>
    </row>
    <row r="1447" spans="1:18" x14ac:dyDescent="0.2">
      <c r="A1447" s="2">
        <v>42622</v>
      </c>
      <c r="B1447" s="1" t="s">
        <v>13</v>
      </c>
      <c r="C1447" s="1" t="s">
        <v>14</v>
      </c>
      <c r="D1447" s="2">
        <v>43477</v>
      </c>
      <c r="E1447" s="2">
        <f t="shared" si="44"/>
        <v>43800</v>
      </c>
      <c r="F1447" s="1" t="s">
        <v>15</v>
      </c>
      <c r="G1447" s="1" t="s">
        <v>18</v>
      </c>
      <c r="H1447" s="1">
        <v>-0.45</v>
      </c>
      <c r="I1447" s="1">
        <v>0.19</v>
      </c>
      <c r="J1447" s="1">
        <v>0</v>
      </c>
      <c r="K1447" s="1" t="s">
        <v>31</v>
      </c>
      <c r="L1447" s="1">
        <v>2389</v>
      </c>
      <c r="M1447" s="1">
        <v>0.45</v>
      </c>
      <c r="N1447" s="1">
        <v>0.96389000000000002</v>
      </c>
      <c r="O1447" s="1">
        <f>VLOOKUP(D1447,underlying!$D$2:$H$75,5,FALSE)</f>
        <v>-0.16</v>
      </c>
      <c r="P1447" s="2">
        <f>VLOOKUP(D1447,underlying!$D$2:$L$39,9,FALSE)</f>
        <v>43768</v>
      </c>
      <c r="Q1447" s="7">
        <f>IF(G1447="C",NormalCallSprd(O1447,H1447,M1447,(P1447-A1447)/365), NormalPutSprd(O1447,H1447,M1447,(P1447-A1447)/365))</f>
        <v>0.19391327072700917</v>
      </c>
      <c r="R1447" s="9">
        <f t="shared" si="45"/>
        <v>3.9132707270091716E-3</v>
      </c>
    </row>
    <row r="1448" spans="1:18" x14ac:dyDescent="0.2">
      <c r="A1448" s="2">
        <v>42622</v>
      </c>
      <c r="B1448" s="1" t="s">
        <v>13</v>
      </c>
      <c r="C1448" s="1" t="s">
        <v>14</v>
      </c>
      <c r="D1448" s="2">
        <v>43477</v>
      </c>
      <c r="E1448" s="2">
        <f t="shared" si="44"/>
        <v>43800</v>
      </c>
      <c r="F1448" s="1" t="s">
        <v>15</v>
      </c>
      <c r="G1448" s="1" t="s">
        <v>16</v>
      </c>
      <c r="H1448" s="1">
        <v>-0.4</v>
      </c>
      <c r="I1448" s="1">
        <v>0.44</v>
      </c>
      <c r="J1448" s="1">
        <v>-0.01</v>
      </c>
      <c r="K1448" s="1" t="s">
        <v>31</v>
      </c>
      <c r="L1448" s="1">
        <v>2389</v>
      </c>
      <c r="M1448" s="1">
        <v>0.45</v>
      </c>
      <c r="N1448" s="1">
        <v>-0.52725</v>
      </c>
      <c r="O1448" s="1">
        <f>VLOOKUP(D1448,underlying!$D$2:$H$75,5,FALSE)</f>
        <v>-0.16</v>
      </c>
      <c r="P1448" s="2">
        <f>VLOOKUP(D1448,underlying!$D$2:$L$39,9,FALSE)</f>
        <v>43768</v>
      </c>
      <c r="Q1448" s="7">
        <f>IF(G1448="C",NormalCallSprd(O1448,H1448,M1448,(P1448-A1448)/365), NormalPutSprd(O1448,H1448,M1448,(P1448-A1448)/365))</f>
        <v>0.45240504150999955</v>
      </c>
      <c r="R1448" s="9">
        <f t="shared" si="45"/>
        <v>1.2405041509999548E-2</v>
      </c>
    </row>
    <row r="1449" spans="1:18" x14ac:dyDescent="0.2">
      <c r="A1449" s="2">
        <v>42622</v>
      </c>
      <c r="B1449" s="1" t="s">
        <v>13</v>
      </c>
      <c r="C1449" s="1" t="s">
        <v>14</v>
      </c>
      <c r="D1449" s="2">
        <v>43477</v>
      </c>
      <c r="E1449" s="2">
        <f t="shared" si="44"/>
        <v>43800</v>
      </c>
      <c r="F1449" s="1" t="s">
        <v>15</v>
      </c>
      <c r="G1449" s="1" t="s">
        <v>18</v>
      </c>
      <c r="H1449" s="1">
        <v>-0.4</v>
      </c>
      <c r="I1449" s="1">
        <v>0.21</v>
      </c>
      <c r="J1449" s="1">
        <v>0.01</v>
      </c>
      <c r="K1449" s="1" t="s">
        <v>31</v>
      </c>
      <c r="L1449" s="1">
        <v>2389</v>
      </c>
      <c r="M1449" s="1">
        <v>0.45</v>
      </c>
      <c r="N1449" s="1">
        <v>-0.50039999999999996</v>
      </c>
      <c r="O1449" s="1">
        <f>VLOOKUP(D1449,underlying!$D$2:$H$75,5,FALSE)</f>
        <v>-0.16</v>
      </c>
      <c r="P1449" s="2">
        <f>VLOOKUP(D1449,underlying!$D$2:$L$39,9,FALSE)</f>
        <v>43768</v>
      </c>
      <c r="Q1449" s="7">
        <f>IF(G1449="C",NormalCallSprd(O1449,H1449,M1449,(P1449-A1449)/365), NormalPutSprd(O1449,H1449,M1449,(P1449-A1449)/365))</f>
        <v>0.2124050415099995</v>
      </c>
      <c r="R1449" s="9">
        <f t="shared" si="45"/>
        <v>2.4050415099995115E-3</v>
      </c>
    </row>
    <row r="1450" spans="1:18" x14ac:dyDescent="0.2">
      <c r="A1450" s="2">
        <v>42622</v>
      </c>
      <c r="B1450" s="1" t="s">
        <v>13</v>
      </c>
      <c r="C1450" s="1" t="s">
        <v>14</v>
      </c>
      <c r="D1450" s="2">
        <v>43477</v>
      </c>
      <c r="E1450" s="2">
        <f t="shared" si="44"/>
        <v>43800</v>
      </c>
      <c r="F1450" s="1" t="s">
        <v>15</v>
      </c>
      <c r="G1450" s="1" t="s">
        <v>16</v>
      </c>
      <c r="H1450" s="1">
        <v>-0.35</v>
      </c>
      <c r="I1450" s="1">
        <v>0.4</v>
      </c>
      <c r="J1450" s="1">
        <v>-0.01</v>
      </c>
      <c r="K1450" s="1" t="s">
        <v>31</v>
      </c>
      <c r="L1450" s="1">
        <v>2389</v>
      </c>
      <c r="M1450" s="1">
        <v>0.44</v>
      </c>
      <c r="N1450" s="1">
        <v>-0.47366999999999998</v>
      </c>
      <c r="O1450" s="1">
        <f>VLOOKUP(D1450,underlying!$D$2:$H$75,5,FALSE)</f>
        <v>-0.16</v>
      </c>
      <c r="P1450" s="2">
        <f>VLOOKUP(D1450,underlying!$D$2:$L$39,9,FALSE)</f>
        <v>43768</v>
      </c>
      <c r="Q1450" s="7">
        <f>IF(G1450="C",NormalCallSprd(O1450,H1450,M1450,(P1450-A1450)/365), NormalPutSprd(O1450,H1450,M1450,(P1450-A1450)/365))</f>
        <v>0.4152252008587819</v>
      </c>
      <c r="R1450" s="9">
        <f t="shared" si="45"/>
        <v>1.5225200858781873E-2</v>
      </c>
    </row>
    <row r="1451" spans="1:18" x14ac:dyDescent="0.2">
      <c r="A1451" s="2">
        <v>42622</v>
      </c>
      <c r="B1451" s="1" t="s">
        <v>13</v>
      </c>
      <c r="C1451" s="1" t="s">
        <v>14</v>
      </c>
      <c r="D1451" s="2">
        <v>43477</v>
      </c>
      <c r="E1451" s="2">
        <f t="shared" si="44"/>
        <v>43800</v>
      </c>
      <c r="F1451" s="1" t="s">
        <v>15</v>
      </c>
      <c r="G1451" s="1" t="s">
        <v>18</v>
      </c>
      <c r="H1451" s="1">
        <v>-0.35</v>
      </c>
      <c r="I1451" s="1">
        <v>0.22</v>
      </c>
      <c r="J1451" s="1">
        <v>0</v>
      </c>
      <c r="K1451" s="1" t="s">
        <v>31</v>
      </c>
      <c r="L1451" s="1">
        <v>2389</v>
      </c>
      <c r="M1451" s="1">
        <v>0.44</v>
      </c>
      <c r="N1451" s="1">
        <v>-0.44701000000000002</v>
      </c>
      <c r="O1451" s="1">
        <f>VLOOKUP(D1451,underlying!$D$2:$H$75,5,FALSE)</f>
        <v>-0.16</v>
      </c>
      <c r="P1451" s="2">
        <f>VLOOKUP(D1451,underlying!$D$2:$L$39,9,FALSE)</f>
        <v>43768</v>
      </c>
      <c r="Q1451" s="7">
        <f>IF(G1451="C",NormalCallSprd(O1451,H1451,M1451,(P1451-A1451)/365), NormalPutSprd(O1451,H1451,M1451,(P1451-A1451)/365))</f>
        <v>0.22522520085878195</v>
      </c>
      <c r="R1451" s="9">
        <f t="shared" si="45"/>
        <v>5.2252008587819476E-3</v>
      </c>
    </row>
    <row r="1452" spans="1:18" x14ac:dyDescent="0.2">
      <c r="A1452" s="2">
        <v>42622</v>
      </c>
      <c r="B1452" s="1" t="s">
        <v>13</v>
      </c>
      <c r="C1452" s="1" t="s">
        <v>14</v>
      </c>
      <c r="D1452" s="2">
        <v>43477</v>
      </c>
      <c r="E1452" s="2">
        <f t="shared" si="44"/>
        <v>43800</v>
      </c>
      <c r="F1452" s="1" t="s">
        <v>15</v>
      </c>
      <c r="G1452" s="1" t="s">
        <v>16</v>
      </c>
      <c r="H1452" s="1">
        <v>-0.3</v>
      </c>
      <c r="I1452" s="1">
        <v>0.37</v>
      </c>
      <c r="J1452" s="1">
        <v>-0.01</v>
      </c>
      <c r="K1452" s="1" t="s">
        <v>31</v>
      </c>
      <c r="L1452" s="1">
        <v>2389</v>
      </c>
      <c r="M1452" s="1">
        <v>0.43</v>
      </c>
      <c r="N1452" s="1">
        <v>-0.42054999999999998</v>
      </c>
      <c r="O1452" s="1">
        <f>VLOOKUP(D1452,underlying!$D$2:$H$75,5,FALSE)</f>
        <v>-0.16</v>
      </c>
      <c r="P1452" s="2">
        <f>VLOOKUP(D1452,underlying!$D$2:$L$39,9,FALSE)</f>
        <v>43768</v>
      </c>
      <c r="Q1452" s="7">
        <f>IF(G1452="C",NormalCallSprd(O1452,H1452,M1452,(P1452-A1452)/365), NormalPutSprd(O1452,H1452,M1452,(P1452-A1452)/365))</f>
        <v>0.37908241847434349</v>
      </c>
      <c r="R1452" s="9">
        <f t="shared" si="45"/>
        <v>9.0824184743434899E-3</v>
      </c>
    </row>
    <row r="1453" spans="1:18" x14ac:dyDescent="0.2">
      <c r="A1453" s="2">
        <v>42622</v>
      </c>
      <c r="B1453" s="1" t="s">
        <v>13</v>
      </c>
      <c r="C1453" s="1" t="s">
        <v>14</v>
      </c>
      <c r="D1453" s="2">
        <v>43477</v>
      </c>
      <c r="E1453" s="2">
        <f t="shared" si="44"/>
        <v>43800</v>
      </c>
      <c r="F1453" s="1" t="s">
        <v>15</v>
      </c>
      <c r="G1453" s="1" t="s">
        <v>18</v>
      </c>
      <c r="H1453" s="1">
        <v>-0.3</v>
      </c>
      <c r="I1453" s="1">
        <v>0.23</v>
      </c>
      <c r="J1453" s="1">
        <v>0</v>
      </c>
      <c r="K1453" s="1" t="s">
        <v>31</v>
      </c>
      <c r="L1453" s="1">
        <v>2389</v>
      </c>
      <c r="M1453" s="1">
        <v>0.43</v>
      </c>
      <c r="N1453" s="1">
        <v>-0.39441999999999999</v>
      </c>
      <c r="O1453" s="1">
        <f>VLOOKUP(D1453,underlying!$D$2:$H$75,5,FALSE)</f>
        <v>-0.16</v>
      </c>
      <c r="P1453" s="2">
        <f>VLOOKUP(D1453,underlying!$D$2:$L$39,9,FALSE)</f>
        <v>43768</v>
      </c>
      <c r="Q1453" s="7">
        <f>IF(G1453="C",NormalCallSprd(O1453,H1453,M1453,(P1453-A1453)/365), NormalPutSprd(O1453,H1453,M1453,(P1453-A1453)/365))</f>
        <v>0.23908241847434353</v>
      </c>
      <c r="R1453" s="9">
        <f t="shared" si="45"/>
        <v>9.0824184743435177E-3</v>
      </c>
    </row>
    <row r="1454" spans="1:18" x14ac:dyDescent="0.2">
      <c r="A1454" s="2">
        <v>42622</v>
      </c>
      <c r="B1454" s="1" t="s">
        <v>13</v>
      </c>
      <c r="C1454" s="1" t="s">
        <v>14</v>
      </c>
      <c r="D1454" s="2">
        <v>43477</v>
      </c>
      <c r="E1454" s="2">
        <f t="shared" si="44"/>
        <v>43800</v>
      </c>
      <c r="F1454" s="1" t="s">
        <v>15</v>
      </c>
      <c r="G1454" s="1" t="s">
        <v>16</v>
      </c>
      <c r="H1454" s="1">
        <v>-0.25</v>
      </c>
      <c r="I1454" s="1">
        <v>0.34</v>
      </c>
      <c r="J1454" s="1">
        <v>0</v>
      </c>
      <c r="K1454" s="1" t="s">
        <v>31</v>
      </c>
      <c r="L1454" s="1">
        <v>2389</v>
      </c>
      <c r="M1454" s="1">
        <v>0.42</v>
      </c>
      <c r="N1454" s="1">
        <v>-0.37086000000000002</v>
      </c>
      <c r="O1454" s="1">
        <f>VLOOKUP(D1454,underlying!$D$2:$H$75,5,FALSE)</f>
        <v>-0.16</v>
      </c>
      <c r="P1454" s="2">
        <f>VLOOKUP(D1454,underlying!$D$2:$L$39,9,FALSE)</f>
        <v>43768</v>
      </c>
      <c r="Q1454" s="7">
        <f>IF(G1454="C",NormalCallSprd(O1454,H1454,M1454,(P1454-A1454)/365), NormalPutSprd(O1454,H1454,M1454,(P1454-A1454)/365))</f>
        <v>0.34406501428958952</v>
      </c>
      <c r="R1454" s="9">
        <f t="shared" si="45"/>
        <v>4.065014289589497E-3</v>
      </c>
    </row>
    <row r="1455" spans="1:18" x14ac:dyDescent="0.2">
      <c r="A1455" s="2">
        <v>42622</v>
      </c>
      <c r="B1455" s="1" t="s">
        <v>13</v>
      </c>
      <c r="C1455" s="1" t="s">
        <v>14</v>
      </c>
      <c r="D1455" s="2">
        <v>43477</v>
      </c>
      <c r="E1455" s="2">
        <f t="shared" si="44"/>
        <v>43800</v>
      </c>
      <c r="F1455" s="1" t="s">
        <v>15</v>
      </c>
      <c r="G1455" s="1" t="s">
        <v>18</v>
      </c>
      <c r="H1455" s="1">
        <v>-0.25</v>
      </c>
      <c r="I1455" s="1">
        <v>0.25</v>
      </c>
      <c r="J1455" s="1">
        <v>0</v>
      </c>
      <c r="K1455" s="1" t="s">
        <v>31</v>
      </c>
      <c r="L1455" s="1">
        <v>2389</v>
      </c>
      <c r="M1455" s="1">
        <v>0.42</v>
      </c>
      <c r="N1455" s="1">
        <v>-0.34916999999999998</v>
      </c>
      <c r="O1455" s="1">
        <f>VLOOKUP(D1455,underlying!$D$2:$H$75,5,FALSE)</f>
        <v>-0.16</v>
      </c>
      <c r="P1455" s="2">
        <f>VLOOKUP(D1455,underlying!$D$2:$L$39,9,FALSE)</f>
        <v>43768</v>
      </c>
      <c r="Q1455" s="7">
        <f>IF(G1455="C",NormalCallSprd(O1455,H1455,M1455,(P1455-A1455)/365), NormalPutSprd(O1455,H1455,M1455,(P1455-A1455)/365))</f>
        <v>0.2540650142895895</v>
      </c>
      <c r="R1455" s="9">
        <f t="shared" si="45"/>
        <v>4.065014289589497E-3</v>
      </c>
    </row>
    <row r="1456" spans="1:18" x14ac:dyDescent="0.2">
      <c r="A1456" s="2">
        <v>42622</v>
      </c>
      <c r="B1456" s="1" t="s">
        <v>13</v>
      </c>
      <c r="C1456" s="1" t="s">
        <v>14</v>
      </c>
      <c r="D1456" s="2">
        <v>43477</v>
      </c>
      <c r="E1456" s="2">
        <f t="shared" si="44"/>
        <v>43800</v>
      </c>
      <c r="F1456" s="1" t="s">
        <v>15</v>
      </c>
      <c r="G1456" s="1" t="s">
        <v>16</v>
      </c>
      <c r="H1456" s="1">
        <v>-0.2</v>
      </c>
      <c r="I1456" s="1">
        <v>0.31</v>
      </c>
      <c r="J1456" s="1">
        <v>-0.01</v>
      </c>
      <c r="K1456" s="1" t="s">
        <v>31</v>
      </c>
      <c r="L1456" s="1">
        <v>2389</v>
      </c>
      <c r="M1456" s="1">
        <v>0.42</v>
      </c>
      <c r="N1456" s="1">
        <v>-0.32885999999999999</v>
      </c>
      <c r="O1456" s="1">
        <f>VLOOKUP(D1456,underlying!$D$2:$H$75,5,FALSE)</f>
        <v>-0.16</v>
      </c>
      <c r="P1456" s="2">
        <f>VLOOKUP(D1456,underlying!$D$2:$L$39,9,FALSE)</f>
        <v>43768</v>
      </c>
      <c r="Q1456" s="7">
        <f>IF(G1456="C",NormalCallSprd(O1456,H1456,M1456,(P1456-A1456)/365), NormalPutSprd(O1456,H1456,M1456,(P1456-A1456)/365))</f>
        <v>0.31732535216947538</v>
      </c>
      <c r="R1456" s="9">
        <f t="shared" si="45"/>
        <v>7.3253521694753854E-3</v>
      </c>
    </row>
    <row r="1457" spans="1:18" x14ac:dyDescent="0.2">
      <c r="A1457" s="2">
        <v>42622</v>
      </c>
      <c r="B1457" s="1" t="s">
        <v>13</v>
      </c>
      <c r="C1457" s="1" t="s">
        <v>14</v>
      </c>
      <c r="D1457" s="2">
        <v>43477</v>
      </c>
      <c r="E1457" s="2">
        <f t="shared" si="44"/>
        <v>43800</v>
      </c>
      <c r="F1457" s="1" t="s">
        <v>15</v>
      </c>
      <c r="G1457" s="1" t="s">
        <v>18</v>
      </c>
      <c r="H1457" s="1">
        <v>-0.2</v>
      </c>
      <c r="I1457" s="1">
        <v>0.27</v>
      </c>
      <c r="J1457" s="1">
        <v>0</v>
      </c>
      <c r="K1457" s="1" t="s">
        <v>31</v>
      </c>
      <c r="L1457" s="1">
        <v>2389</v>
      </c>
      <c r="M1457" s="1">
        <v>0.42</v>
      </c>
      <c r="N1457" s="1">
        <v>-0.30697999999999998</v>
      </c>
      <c r="O1457" s="1">
        <f>VLOOKUP(D1457,underlying!$D$2:$H$75,5,FALSE)</f>
        <v>-0.16</v>
      </c>
      <c r="P1457" s="2">
        <f>VLOOKUP(D1457,underlying!$D$2:$L$39,9,FALSE)</f>
        <v>43768</v>
      </c>
      <c r="Q1457" s="7">
        <f>IF(G1457="C",NormalCallSprd(O1457,H1457,M1457,(P1457-A1457)/365), NormalPutSprd(O1457,H1457,M1457,(P1457-A1457)/365))</f>
        <v>0.2773253521694754</v>
      </c>
      <c r="R1457" s="9">
        <f t="shared" si="45"/>
        <v>7.3253521694753854E-3</v>
      </c>
    </row>
    <row r="1458" spans="1:18" x14ac:dyDescent="0.2">
      <c r="A1458" s="2">
        <v>42622</v>
      </c>
      <c r="B1458" s="1" t="s">
        <v>13</v>
      </c>
      <c r="C1458" s="1" t="s">
        <v>14</v>
      </c>
      <c r="D1458" s="2">
        <v>43477</v>
      </c>
      <c r="E1458" s="2">
        <f t="shared" si="44"/>
        <v>43800</v>
      </c>
      <c r="F1458" s="1" t="s">
        <v>15</v>
      </c>
      <c r="G1458" s="1" t="s">
        <v>16</v>
      </c>
      <c r="H1458" s="1">
        <v>-0.15</v>
      </c>
      <c r="I1458" s="1">
        <v>0.28999999999999998</v>
      </c>
      <c r="J1458" s="1">
        <v>0</v>
      </c>
      <c r="K1458" s="1" t="s">
        <v>31</v>
      </c>
      <c r="L1458" s="1">
        <v>2389</v>
      </c>
      <c r="M1458" s="1">
        <v>0.42</v>
      </c>
      <c r="N1458" s="1">
        <v>-0.2883</v>
      </c>
      <c r="O1458" s="1">
        <f>VLOOKUP(D1458,underlying!$D$2:$H$75,5,FALSE)</f>
        <v>-0.16</v>
      </c>
      <c r="P1458" s="2">
        <f>VLOOKUP(D1458,underlying!$D$2:$L$39,9,FALSE)</f>
        <v>43768</v>
      </c>
      <c r="Q1458" s="7">
        <f>IF(G1458="C",NormalCallSprd(O1458,H1458,M1458,(P1458-A1458)/365), NormalPutSprd(O1458,H1458,M1458,(P1458-A1458)/365))</f>
        <v>0.29192340859197397</v>
      </c>
      <c r="R1458" s="9">
        <f t="shared" si="45"/>
        <v>1.9234085919739852E-3</v>
      </c>
    </row>
    <row r="1459" spans="1:18" x14ac:dyDescent="0.2">
      <c r="A1459" s="2">
        <v>42622</v>
      </c>
      <c r="B1459" s="1" t="s">
        <v>13</v>
      </c>
      <c r="C1459" s="1" t="s">
        <v>14</v>
      </c>
      <c r="D1459" s="2">
        <v>43477</v>
      </c>
      <c r="E1459" s="2">
        <f t="shared" si="44"/>
        <v>43800</v>
      </c>
      <c r="F1459" s="1" t="s">
        <v>15</v>
      </c>
      <c r="G1459" s="1" t="s">
        <v>18</v>
      </c>
      <c r="H1459" s="1">
        <v>-0.15</v>
      </c>
      <c r="I1459" s="1">
        <v>0.3</v>
      </c>
      <c r="J1459" s="1">
        <v>0.01</v>
      </c>
      <c r="K1459" s="1" t="s">
        <v>31</v>
      </c>
      <c r="L1459" s="1">
        <v>2389</v>
      </c>
      <c r="M1459" s="1">
        <v>0.42</v>
      </c>
      <c r="N1459" s="1">
        <v>-0.27156999999999998</v>
      </c>
      <c r="O1459" s="1">
        <f>VLOOKUP(D1459,underlying!$D$2:$H$75,5,FALSE)</f>
        <v>-0.16</v>
      </c>
      <c r="P1459" s="2">
        <f>VLOOKUP(D1459,underlying!$D$2:$L$39,9,FALSE)</f>
        <v>43768</v>
      </c>
      <c r="Q1459" s="7">
        <f>IF(G1459="C",NormalCallSprd(O1459,H1459,M1459,(P1459-A1459)/365), NormalPutSprd(O1459,H1459,M1459,(P1459-A1459)/365))</f>
        <v>0.30192340859197397</v>
      </c>
      <c r="R1459" s="9">
        <f t="shared" si="45"/>
        <v>1.9234085919739852E-3</v>
      </c>
    </row>
    <row r="1460" spans="1:18" x14ac:dyDescent="0.2">
      <c r="A1460" s="2">
        <v>42622</v>
      </c>
      <c r="B1460" s="1" t="s">
        <v>13</v>
      </c>
      <c r="C1460" s="1" t="s">
        <v>14</v>
      </c>
      <c r="D1460" s="2">
        <v>43477</v>
      </c>
      <c r="E1460" s="2">
        <f t="shared" si="44"/>
        <v>43800</v>
      </c>
      <c r="F1460" s="1" t="s">
        <v>15</v>
      </c>
      <c r="G1460" s="1" t="s">
        <v>16</v>
      </c>
      <c r="H1460" s="1">
        <v>-0.1</v>
      </c>
      <c r="I1460" s="1">
        <v>0.26</v>
      </c>
      <c r="J1460" s="1">
        <v>-0.01</v>
      </c>
      <c r="K1460" s="1" t="s">
        <v>31</v>
      </c>
      <c r="L1460" s="1">
        <v>2389</v>
      </c>
      <c r="M1460" s="1">
        <v>0.42</v>
      </c>
      <c r="N1460" s="1">
        <v>-0.25261</v>
      </c>
      <c r="O1460" s="1">
        <f>VLOOKUP(D1460,underlying!$D$2:$H$75,5,FALSE)</f>
        <v>-0.16</v>
      </c>
      <c r="P1460" s="2">
        <f>VLOOKUP(D1460,underlying!$D$2:$L$39,9,FALSE)</f>
        <v>43768</v>
      </c>
      <c r="Q1460" s="7">
        <f>IF(G1460="C",NormalCallSprd(O1460,H1460,M1460,(P1460-A1460)/365), NormalPutSprd(O1460,H1460,M1460,(P1460-A1460)/365))</f>
        <v>0.26786099490912785</v>
      </c>
      <c r="R1460" s="9">
        <f t="shared" si="45"/>
        <v>7.8609949091278386E-3</v>
      </c>
    </row>
    <row r="1461" spans="1:18" x14ac:dyDescent="0.2">
      <c r="A1461" s="2">
        <v>42622</v>
      </c>
      <c r="B1461" s="1" t="s">
        <v>13</v>
      </c>
      <c r="C1461" s="1" t="s">
        <v>14</v>
      </c>
      <c r="D1461" s="2">
        <v>43477</v>
      </c>
      <c r="E1461" s="2">
        <f t="shared" si="44"/>
        <v>43800</v>
      </c>
      <c r="F1461" s="1" t="s">
        <v>15</v>
      </c>
      <c r="G1461" s="1" t="s">
        <v>18</v>
      </c>
      <c r="H1461" s="1">
        <v>-0.1</v>
      </c>
      <c r="I1461" s="1">
        <v>0.32</v>
      </c>
      <c r="J1461" s="1">
        <v>0</v>
      </c>
      <c r="K1461" s="1" t="s">
        <v>31</v>
      </c>
      <c r="L1461" s="1">
        <v>2389</v>
      </c>
      <c r="M1461" s="1">
        <v>0.42</v>
      </c>
      <c r="N1461" s="1">
        <v>-0.16023999999999999</v>
      </c>
      <c r="O1461" s="1">
        <f>VLOOKUP(D1461,underlying!$D$2:$H$75,5,FALSE)</f>
        <v>-0.16</v>
      </c>
      <c r="P1461" s="2">
        <f>VLOOKUP(D1461,underlying!$D$2:$L$39,9,FALSE)</f>
        <v>43768</v>
      </c>
      <c r="Q1461" s="7">
        <f>IF(G1461="C",NormalCallSprd(O1461,H1461,M1461,(P1461-A1461)/365), NormalPutSprd(O1461,H1461,M1461,(P1461-A1461)/365))</f>
        <v>0.32786099490912785</v>
      </c>
      <c r="R1461" s="9">
        <f t="shared" si="45"/>
        <v>7.8609949091278386E-3</v>
      </c>
    </row>
    <row r="1462" spans="1:18" x14ac:dyDescent="0.2">
      <c r="A1462" s="2">
        <v>42622</v>
      </c>
      <c r="B1462" s="1" t="s">
        <v>13</v>
      </c>
      <c r="C1462" s="1" t="s">
        <v>14</v>
      </c>
      <c r="D1462" s="2">
        <v>43477</v>
      </c>
      <c r="E1462" s="2">
        <f t="shared" si="44"/>
        <v>43800</v>
      </c>
      <c r="F1462" s="1" t="s">
        <v>15</v>
      </c>
      <c r="G1462" s="1" t="s">
        <v>16</v>
      </c>
      <c r="H1462" s="1">
        <v>-0.05</v>
      </c>
      <c r="I1462" s="1">
        <v>0.24</v>
      </c>
      <c r="J1462" s="1">
        <v>0</v>
      </c>
      <c r="K1462" s="1" t="s">
        <v>31</v>
      </c>
      <c r="L1462" s="1">
        <v>2389</v>
      </c>
      <c r="M1462" s="1">
        <v>0.42</v>
      </c>
      <c r="N1462" s="1">
        <v>-5.0430000000000003E-2</v>
      </c>
      <c r="O1462" s="1">
        <f>VLOOKUP(D1462,underlying!$D$2:$H$75,5,FALSE)</f>
        <v>-0.16</v>
      </c>
      <c r="P1462" s="2">
        <f>VLOOKUP(D1462,underlying!$D$2:$L$39,9,FALSE)</f>
        <v>43768</v>
      </c>
      <c r="Q1462" s="7">
        <f>IF(G1462="C",NormalCallSprd(O1462,H1462,M1462,(P1462-A1462)/365), NormalPutSprd(O1462,H1462,M1462,(P1462-A1462)/365))</f>
        <v>0.24513388844238634</v>
      </c>
      <c r="R1462" s="9">
        <f t="shared" si="45"/>
        <v>5.1338884423863529E-3</v>
      </c>
    </row>
    <row r="1463" spans="1:18" x14ac:dyDescent="0.2">
      <c r="A1463" s="2">
        <v>42622</v>
      </c>
      <c r="B1463" s="1" t="s">
        <v>13</v>
      </c>
      <c r="C1463" s="1" t="s">
        <v>14</v>
      </c>
      <c r="D1463" s="2">
        <v>43477</v>
      </c>
      <c r="E1463" s="2">
        <f t="shared" si="44"/>
        <v>43800</v>
      </c>
      <c r="F1463" s="1" t="s">
        <v>15</v>
      </c>
      <c r="G1463" s="1" t="s">
        <v>18</v>
      </c>
      <c r="H1463" s="1">
        <v>-0.05</v>
      </c>
      <c r="I1463" s="1">
        <v>0.35</v>
      </c>
      <c r="J1463" s="1">
        <v>0.01</v>
      </c>
      <c r="K1463" s="1" t="s">
        <v>31</v>
      </c>
      <c r="L1463" s="1">
        <v>2389</v>
      </c>
      <c r="M1463" s="1">
        <v>0.42</v>
      </c>
      <c r="N1463" s="1">
        <v>-1.5520000000000001E-2</v>
      </c>
      <c r="O1463" s="1">
        <f>VLOOKUP(D1463,underlying!$D$2:$H$75,5,FALSE)</f>
        <v>-0.16</v>
      </c>
      <c r="P1463" s="2">
        <f>VLOOKUP(D1463,underlying!$D$2:$L$39,9,FALSE)</f>
        <v>43768</v>
      </c>
      <c r="Q1463" s="7">
        <f>IF(G1463="C",NormalCallSprd(O1463,H1463,M1463,(P1463-A1463)/365), NormalPutSprd(O1463,H1463,M1463,(P1463-A1463)/365))</f>
        <v>0.35513388844238636</v>
      </c>
      <c r="R1463" s="9">
        <f t="shared" si="45"/>
        <v>5.1338884423863806E-3</v>
      </c>
    </row>
    <row r="1464" spans="1:18" x14ac:dyDescent="0.2">
      <c r="A1464" s="2">
        <v>42622</v>
      </c>
      <c r="B1464" s="3" t="s">
        <v>56</v>
      </c>
      <c r="C1464" s="3" t="s">
        <v>57</v>
      </c>
      <c r="D1464" s="4">
        <v>42378</v>
      </c>
      <c r="E1464" s="4">
        <f t="shared" si="44"/>
        <v>42614</v>
      </c>
      <c r="F1464" s="3" t="s">
        <v>58</v>
      </c>
      <c r="G1464" s="3" t="s">
        <v>16</v>
      </c>
      <c r="H1464" s="3">
        <v>-13</v>
      </c>
      <c r="I1464" s="3">
        <v>4.75</v>
      </c>
      <c r="J1464" s="3">
        <v>-2.25</v>
      </c>
      <c r="K1464" s="4">
        <v>42622</v>
      </c>
      <c r="L1464" s="3">
        <v>3716</v>
      </c>
      <c r="M1464" s="3">
        <v>0.1</v>
      </c>
      <c r="N1464" s="3">
        <v>2.8999999999999998E-3</v>
      </c>
      <c r="O1464" s="3">
        <f>VLOOKUP(D1464,underlying!$D$40:$H$75,5,FALSE)</f>
        <v>-8.25</v>
      </c>
      <c r="P1464" s="4">
        <f>DATE(YEAR(K1464),DAY(K1464),MONTH(K1464))</f>
        <v>42622</v>
      </c>
      <c r="Q1464" s="7">
        <f>IF(G1464="C",NormalCallSprd(O1464,H1464,M1464,(P1464-A1464)/365), NormalPutSprd(O1464,H1464,M1464,(P1464-A1464)/365))</f>
        <v>4.75</v>
      </c>
      <c r="R1464" s="9">
        <f t="shared" si="45"/>
        <v>0</v>
      </c>
    </row>
    <row r="1465" spans="1:18" x14ac:dyDescent="0.2">
      <c r="A1465" s="2">
        <v>42622</v>
      </c>
      <c r="B1465" s="3" t="s">
        <v>56</v>
      </c>
      <c r="C1465" s="3" t="s">
        <v>57</v>
      </c>
      <c r="D1465" s="4">
        <v>42378</v>
      </c>
      <c r="E1465" s="4">
        <f t="shared" si="44"/>
        <v>42614</v>
      </c>
      <c r="F1465" s="3" t="s">
        <v>58</v>
      </c>
      <c r="G1465" s="3" t="s">
        <v>18</v>
      </c>
      <c r="H1465" s="3">
        <v>-13</v>
      </c>
      <c r="I1465" s="3">
        <v>0.01</v>
      </c>
      <c r="J1465" s="3">
        <v>0</v>
      </c>
      <c r="K1465" s="4">
        <v>42622</v>
      </c>
      <c r="L1465" s="3">
        <v>3716</v>
      </c>
      <c r="M1465" s="3">
        <v>0.1</v>
      </c>
      <c r="N1465" s="3">
        <v>5.0099999999999997E-3</v>
      </c>
      <c r="O1465" s="3">
        <f>VLOOKUP(D1465,underlying!$D$40:$H$75,5,FALSE)</f>
        <v>-8.25</v>
      </c>
      <c r="P1465" s="4">
        <f t="shared" ref="P1465:P1528" si="46">DATE(YEAR(K1465),DAY(K1465),MONTH(K1465))</f>
        <v>42622</v>
      </c>
      <c r="Q1465" s="7">
        <f>IF(G1465="C",NormalCallSprd(O1465,H1465,M1465,(P1465-A1465)/365), NormalPutSprd(O1465,H1465,M1465,(P1465-A1465)/365))</f>
        <v>0</v>
      </c>
      <c r="R1465" s="9">
        <f t="shared" si="45"/>
        <v>0.01</v>
      </c>
    </row>
    <row r="1466" spans="1:18" x14ac:dyDescent="0.2">
      <c r="A1466" s="2">
        <v>42622</v>
      </c>
      <c r="B1466" s="1" t="s">
        <v>56</v>
      </c>
      <c r="C1466" s="1" t="s">
        <v>57</v>
      </c>
      <c r="D1466" s="2">
        <v>42378</v>
      </c>
      <c r="E1466" s="2">
        <f t="shared" si="44"/>
        <v>42614</v>
      </c>
      <c r="F1466" s="1" t="s">
        <v>58</v>
      </c>
      <c r="G1466" s="1" t="s">
        <v>16</v>
      </c>
      <c r="H1466" s="1">
        <v>-12</v>
      </c>
      <c r="I1466" s="1">
        <v>3.75</v>
      </c>
      <c r="J1466" s="1">
        <v>-2.25</v>
      </c>
      <c r="K1466" s="2">
        <v>42622</v>
      </c>
      <c r="L1466" s="1">
        <v>3716</v>
      </c>
      <c r="M1466" s="1">
        <v>0.1</v>
      </c>
      <c r="N1466" s="1">
        <v>8.3899999999999999E-3</v>
      </c>
      <c r="O1466" s="3">
        <f>VLOOKUP(D1466,underlying!$D$40:$H$75,5,FALSE)</f>
        <v>-8.25</v>
      </c>
      <c r="P1466" s="4">
        <f t="shared" si="46"/>
        <v>42622</v>
      </c>
      <c r="Q1466" s="7">
        <f>IF(G1466="C",NormalCallSprd(O1466,H1466,M1466,(P1466-A1466)/365), NormalPutSprd(O1466,H1466,M1466,(P1466-A1466)/365))</f>
        <v>3.75</v>
      </c>
      <c r="R1466" s="9">
        <f t="shared" si="45"/>
        <v>0</v>
      </c>
    </row>
    <row r="1467" spans="1:18" x14ac:dyDescent="0.2">
      <c r="A1467" s="2">
        <v>42622</v>
      </c>
      <c r="B1467" s="1" t="s">
        <v>56</v>
      </c>
      <c r="C1467" s="1" t="s">
        <v>57</v>
      </c>
      <c r="D1467" s="2">
        <v>42378</v>
      </c>
      <c r="E1467" s="2">
        <f t="shared" si="44"/>
        <v>42614</v>
      </c>
      <c r="F1467" s="1" t="s">
        <v>58</v>
      </c>
      <c r="G1467" s="1" t="s">
        <v>18</v>
      </c>
      <c r="H1467" s="1">
        <v>-12</v>
      </c>
      <c r="I1467" s="1">
        <v>0.01</v>
      </c>
      <c r="J1467" s="1">
        <v>0</v>
      </c>
      <c r="K1467" s="2">
        <v>42622</v>
      </c>
      <c r="L1467" s="1">
        <v>3716</v>
      </c>
      <c r="M1467" s="1">
        <v>0.1</v>
      </c>
      <c r="N1467" s="1">
        <v>1.3639999999999999E-2</v>
      </c>
      <c r="O1467" s="3">
        <f>VLOOKUP(D1467,underlying!$D$40:$H$75,5,FALSE)</f>
        <v>-8.25</v>
      </c>
      <c r="P1467" s="4">
        <f t="shared" si="46"/>
        <v>42622</v>
      </c>
      <c r="Q1467" s="7">
        <f>IF(G1467="C",NormalCallSprd(O1467,H1467,M1467,(P1467-A1467)/365), NormalPutSprd(O1467,H1467,M1467,(P1467-A1467)/365))</f>
        <v>0</v>
      </c>
      <c r="R1467" s="9">
        <f t="shared" si="45"/>
        <v>0.01</v>
      </c>
    </row>
    <row r="1468" spans="1:18" x14ac:dyDescent="0.2">
      <c r="A1468" s="2">
        <v>42622</v>
      </c>
      <c r="B1468" s="1" t="s">
        <v>56</v>
      </c>
      <c r="C1468" s="1" t="s">
        <v>57</v>
      </c>
      <c r="D1468" s="2">
        <v>42378</v>
      </c>
      <c r="E1468" s="2">
        <f t="shared" si="44"/>
        <v>42614</v>
      </c>
      <c r="F1468" s="1" t="s">
        <v>58</v>
      </c>
      <c r="G1468" s="1" t="s">
        <v>16</v>
      </c>
      <c r="H1468" s="1">
        <v>-11</v>
      </c>
      <c r="I1468" s="1">
        <v>2.75</v>
      </c>
      <c r="J1468" s="1">
        <v>-2.25</v>
      </c>
      <c r="K1468" s="2">
        <v>42622</v>
      </c>
      <c r="L1468" s="1">
        <v>3716</v>
      </c>
      <c r="M1468" s="1">
        <v>0.1</v>
      </c>
      <c r="N1468" s="1">
        <v>0.99961</v>
      </c>
      <c r="O1468" s="3">
        <f>VLOOKUP(D1468,underlying!$D$40:$H$75,5,FALSE)</f>
        <v>-8.25</v>
      </c>
      <c r="P1468" s="4">
        <f t="shared" si="46"/>
        <v>42622</v>
      </c>
      <c r="Q1468" s="7">
        <f>IF(G1468="C",NormalCallSprd(O1468,H1468,M1468,(P1468-A1468)/365), NormalPutSprd(O1468,H1468,M1468,(P1468-A1468)/365))</f>
        <v>2.75</v>
      </c>
      <c r="R1468" s="9">
        <f t="shared" si="45"/>
        <v>0</v>
      </c>
    </row>
    <row r="1469" spans="1:18" x14ac:dyDescent="0.2">
      <c r="A1469" s="2">
        <v>42622</v>
      </c>
      <c r="B1469" s="1" t="s">
        <v>56</v>
      </c>
      <c r="C1469" s="1" t="s">
        <v>57</v>
      </c>
      <c r="D1469" s="2">
        <v>42378</v>
      </c>
      <c r="E1469" s="2">
        <f t="shared" si="44"/>
        <v>42614</v>
      </c>
      <c r="F1469" s="1" t="s">
        <v>58</v>
      </c>
      <c r="G1469" s="1" t="s">
        <v>18</v>
      </c>
      <c r="H1469" s="1">
        <v>-11</v>
      </c>
      <c r="I1469" s="1">
        <v>0.01</v>
      </c>
      <c r="J1469" s="1">
        <v>0</v>
      </c>
      <c r="K1469" s="2">
        <v>42622</v>
      </c>
      <c r="L1469" s="1">
        <v>3716</v>
      </c>
      <c r="M1469" s="1">
        <v>0.1</v>
      </c>
      <c r="N1469" s="1">
        <v>0.99961</v>
      </c>
      <c r="O1469" s="3">
        <f>VLOOKUP(D1469,underlying!$D$40:$H$75,5,FALSE)</f>
        <v>-8.25</v>
      </c>
      <c r="P1469" s="4">
        <f t="shared" si="46"/>
        <v>42622</v>
      </c>
      <c r="Q1469" s="7">
        <f>IF(G1469="C",NormalCallSprd(O1469,H1469,M1469,(P1469-A1469)/365), NormalPutSprd(O1469,H1469,M1469,(P1469-A1469)/365))</f>
        <v>0</v>
      </c>
      <c r="R1469" s="9">
        <f t="shared" si="45"/>
        <v>0.01</v>
      </c>
    </row>
    <row r="1470" spans="1:18" x14ac:dyDescent="0.2">
      <c r="A1470" s="2">
        <v>42622</v>
      </c>
      <c r="B1470" s="1" t="s">
        <v>56</v>
      </c>
      <c r="C1470" s="1" t="s">
        <v>57</v>
      </c>
      <c r="D1470" s="2">
        <v>42378</v>
      </c>
      <c r="E1470" s="2">
        <f t="shared" si="44"/>
        <v>42614</v>
      </c>
      <c r="F1470" s="1" t="s">
        <v>58</v>
      </c>
      <c r="G1470" s="1" t="s">
        <v>16</v>
      </c>
      <c r="H1470" s="1">
        <v>-10.75</v>
      </c>
      <c r="I1470" s="1">
        <v>2.5</v>
      </c>
      <c r="J1470" s="1">
        <v>-2.25</v>
      </c>
      <c r="K1470" s="2">
        <v>42622</v>
      </c>
      <c r="L1470" s="1">
        <v>3716</v>
      </c>
      <c r="M1470" s="1">
        <v>0.1</v>
      </c>
      <c r="N1470" s="1">
        <v>0.99961</v>
      </c>
      <c r="O1470" s="3">
        <f>VLOOKUP(D1470,underlying!$D$40:$H$75,5,FALSE)</f>
        <v>-8.25</v>
      </c>
      <c r="P1470" s="4">
        <f t="shared" si="46"/>
        <v>42622</v>
      </c>
      <c r="Q1470" s="7">
        <f>IF(G1470="C",NormalCallSprd(O1470,H1470,M1470,(P1470-A1470)/365), NormalPutSprd(O1470,H1470,M1470,(P1470-A1470)/365))</f>
        <v>2.5</v>
      </c>
      <c r="R1470" s="9">
        <f t="shared" si="45"/>
        <v>0</v>
      </c>
    </row>
    <row r="1471" spans="1:18" x14ac:dyDescent="0.2">
      <c r="A1471" s="2">
        <v>42622</v>
      </c>
      <c r="B1471" s="1" t="s">
        <v>56</v>
      </c>
      <c r="C1471" s="1" t="s">
        <v>57</v>
      </c>
      <c r="D1471" s="2">
        <v>42378</v>
      </c>
      <c r="E1471" s="2">
        <f t="shared" si="44"/>
        <v>42614</v>
      </c>
      <c r="F1471" s="1" t="s">
        <v>58</v>
      </c>
      <c r="G1471" s="1" t="s">
        <v>18</v>
      </c>
      <c r="H1471" s="1">
        <v>-10.75</v>
      </c>
      <c r="I1471" s="1">
        <v>0.01</v>
      </c>
      <c r="J1471" s="1">
        <v>0</v>
      </c>
      <c r="K1471" s="2">
        <v>42622</v>
      </c>
      <c r="L1471" s="1">
        <v>3716</v>
      </c>
      <c r="M1471" s="1">
        <v>0.1</v>
      </c>
      <c r="N1471" s="1">
        <v>2.1510000000000001E-2</v>
      </c>
      <c r="O1471" s="3">
        <f>VLOOKUP(D1471,underlying!$D$40:$H$75,5,FALSE)</f>
        <v>-8.25</v>
      </c>
      <c r="P1471" s="4">
        <f t="shared" si="46"/>
        <v>42622</v>
      </c>
      <c r="Q1471" s="7">
        <f>IF(G1471="C",NormalCallSprd(O1471,H1471,M1471,(P1471-A1471)/365), NormalPutSprd(O1471,H1471,M1471,(P1471-A1471)/365))</f>
        <v>0</v>
      </c>
      <c r="R1471" s="9">
        <f t="shared" si="45"/>
        <v>0.01</v>
      </c>
    </row>
    <row r="1472" spans="1:18" x14ac:dyDescent="0.2">
      <c r="A1472" s="2">
        <v>42622</v>
      </c>
      <c r="B1472" s="1" t="s">
        <v>56</v>
      </c>
      <c r="C1472" s="1" t="s">
        <v>57</v>
      </c>
      <c r="D1472" s="2">
        <v>42378</v>
      </c>
      <c r="E1472" s="2">
        <f t="shared" si="44"/>
        <v>42614</v>
      </c>
      <c r="F1472" s="1" t="s">
        <v>58</v>
      </c>
      <c r="G1472" s="1" t="s">
        <v>16</v>
      </c>
      <c r="H1472" s="1">
        <v>-10.5</v>
      </c>
      <c r="I1472" s="1">
        <v>2.25</v>
      </c>
      <c r="J1472" s="1">
        <v>-2.25</v>
      </c>
      <c r="K1472" s="2">
        <v>42622</v>
      </c>
      <c r="L1472" s="1">
        <v>3716</v>
      </c>
      <c r="M1472" s="1">
        <v>0.1</v>
      </c>
      <c r="N1472" s="1">
        <v>0.99961</v>
      </c>
      <c r="O1472" s="3">
        <f>VLOOKUP(D1472,underlying!$D$40:$H$75,5,FALSE)</f>
        <v>-8.25</v>
      </c>
      <c r="P1472" s="4">
        <f t="shared" si="46"/>
        <v>42622</v>
      </c>
      <c r="Q1472" s="7">
        <f>IF(G1472="C",NormalCallSprd(O1472,H1472,M1472,(P1472-A1472)/365), NormalPutSprd(O1472,H1472,M1472,(P1472-A1472)/365))</f>
        <v>2.25</v>
      </c>
      <c r="R1472" s="9">
        <f t="shared" si="45"/>
        <v>0</v>
      </c>
    </row>
    <row r="1473" spans="1:18" x14ac:dyDescent="0.2">
      <c r="A1473" s="2">
        <v>42622</v>
      </c>
      <c r="B1473" s="1" t="s">
        <v>56</v>
      </c>
      <c r="C1473" s="1" t="s">
        <v>57</v>
      </c>
      <c r="D1473" s="2">
        <v>42378</v>
      </c>
      <c r="E1473" s="2">
        <f t="shared" si="44"/>
        <v>42614</v>
      </c>
      <c r="F1473" s="1" t="s">
        <v>58</v>
      </c>
      <c r="G1473" s="1" t="s">
        <v>18</v>
      </c>
      <c r="H1473" s="1">
        <v>-10.5</v>
      </c>
      <c r="I1473" s="1">
        <v>0.01</v>
      </c>
      <c r="J1473" s="1">
        <v>0</v>
      </c>
      <c r="K1473" s="2">
        <v>42622</v>
      </c>
      <c r="L1473" s="1">
        <v>3716</v>
      </c>
      <c r="M1473" s="1">
        <v>0.1</v>
      </c>
      <c r="N1473" s="1">
        <v>3.2910000000000002E-2</v>
      </c>
      <c r="O1473" s="3">
        <f>VLOOKUP(D1473,underlying!$D$40:$H$75,5,FALSE)</f>
        <v>-8.25</v>
      </c>
      <c r="P1473" s="4">
        <f t="shared" si="46"/>
        <v>42622</v>
      </c>
      <c r="Q1473" s="7">
        <f>IF(G1473="C",NormalCallSprd(O1473,H1473,M1473,(P1473-A1473)/365), NormalPutSprd(O1473,H1473,M1473,(P1473-A1473)/365))</f>
        <v>0</v>
      </c>
      <c r="R1473" s="9">
        <f t="shared" si="45"/>
        <v>0.01</v>
      </c>
    </row>
    <row r="1474" spans="1:18" x14ac:dyDescent="0.2">
      <c r="A1474" s="2">
        <v>42622</v>
      </c>
      <c r="B1474" s="1" t="s">
        <v>56</v>
      </c>
      <c r="C1474" s="1" t="s">
        <v>57</v>
      </c>
      <c r="D1474" s="2">
        <v>42378</v>
      </c>
      <c r="E1474" s="2">
        <f t="shared" ref="E1474:E1537" si="47">DATE(YEAR(D1474),DAY(D1474),MONTH(D1474))</f>
        <v>42614</v>
      </c>
      <c r="F1474" s="1" t="s">
        <v>58</v>
      </c>
      <c r="G1474" s="1" t="s">
        <v>16</v>
      </c>
      <c r="H1474" s="1">
        <v>-10.25</v>
      </c>
      <c r="I1474" s="1">
        <v>2</v>
      </c>
      <c r="J1474" s="1">
        <v>-2.25</v>
      </c>
      <c r="K1474" s="2">
        <v>42622</v>
      </c>
      <c r="L1474" s="1">
        <v>3716</v>
      </c>
      <c r="M1474" s="1">
        <v>0.1</v>
      </c>
      <c r="N1474" s="1">
        <v>4.8520000000000001E-2</v>
      </c>
      <c r="O1474" s="3">
        <f>VLOOKUP(D1474,underlying!$D$40:$H$75,5,FALSE)</f>
        <v>-8.25</v>
      </c>
      <c r="P1474" s="4">
        <f t="shared" si="46"/>
        <v>42622</v>
      </c>
      <c r="Q1474" s="7">
        <f>IF(G1474="C",NormalCallSprd(O1474,H1474,M1474,(P1474-A1474)/365), NormalPutSprd(O1474,H1474,M1474,(P1474-A1474)/365))</f>
        <v>2</v>
      </c>
      <c r="R1474" s="9">
        <f t="shared" si="45"/>
        <v>0</v>
      </c>
    </row>
    <row r="1475" spans="1:18" x14ac:dyDescent="0.2">
      <c r="A1475" s="2">
        <v>42622</v>
      </c>
      <c r="B1475" s="1" t="s">
        <v>56</v>
      </c>
      <c r="C1475" s="1" t="s">
        <v>57</v>
      </c>
      <c r="D1475" s="2">
        <v>42378</v>
      </c>
      <c r="E1475" s="2">
        <f t="shared" si="47"/>
        <v>42614</v>
      </c>
      <c r="F1475" s="1" t="s">
        <v>58</v>
      </c>
      <c r="G1475" s="1" t="s">
        <v>18</v>
      </c>
      <c r="H1475" s="1">
        <v>-10.25</v>
      </c>
      <c r="I1475" s="1">
        <v>0.01</v>
      </c>
      <c r="J1475" s="1">
        <v>0</v>
      </c>
      <c r="K1475" s="2">
        <v>42622</v>
      </c>
      <c r="L1475" s="1">
        <v>3716</v>
      </c>
      <c r="M1475" s="1">
        <v>0.1</v>
      </c>
      <c r="N1475" s="1">
        <v>6.9239999999999996E-2</v>
      </c>
      <c r="O1475" s="3">
        <f>VLOOKUP(D1475,underlying!$D$40:$H$75,5,FALSE)</f>
        <v>-8.25</v>
      </c>
      <c r="P1475" s="4">
        <f t="shared" si="46"/>
        <v>42622</v>
      </c>
      <c r="Q1475" s="7">
        <f>IF(G1475="C",NormalCallSprd(O1475,H1475,M1475,(P1475-A1475)/365), NormalPutSprd(O1475,H1475,M1475,(P1475-A1475)/365))</f>
        <v>0</v>
      </c>
      <c r="R1475" s="9">
        <f t="shared" ref="R1475:R1538" si="48">ABS(Q1475-I1475)</f>
        <v>0.01</v>
      </c>
    </row>
    <row r="1476" spans="1:18" x14ac:dyDescent="0.2">
      <c r="A1476" s="2">
        <v>42622</v>
      </c>
      <c r="B1476" s="1" t="s">
        <v>56</v>
      </c>
      <c r="C1476" s="1" t="s">
        <v>57</v>
      </c>
      <c r="D1476" s="2">
        <v>42378</v>
      </c>
      <c r="E1476" s="2">
        <f t="shared" si="47"/>
        <v>42614</v>
      </c>
      <c r="F1476" s="1" t="s">
        <v>58</v>
      </c>
      <c r="G1476" s="1" t="s">
        <v>16</v>
      </c>
      <c r="H1476" s="1">
        <v>-10</v>
      </c>
      <c r="I1476" s="1">
        <v>1.75</v>
      </c>
      <c r="J1476" s="1">
        <v>-2.25</v>
      </c>
      <c r="K1476" s="2">
        <v>42622</v>
      </c>
      <c r="L1476" s="1">
        <v>3716</v>
      </c>
      <c r="M1476" s="1">
        <v>0.1</v>
      </c>
      <c r="N1476" s="1">
        <v>9.8409999999999997E-2</v>
      </c>
      <c r="O1476" s="3">
        <f>VLOOKUP(D1476,underlying!$D$40:$H$75,5,FALSE)</f>
        <v>-8.25</v>
      </c>
      <c r="P1476" s="4">
        <f t="shared" si="46"/>
        <v>42622</v>
      </c>
      <c r="Q1476" s="7">
        <f>IF(G1476="C",NormalCallSprd(O1476,H1476,M1476,(P1476-A1476)/365), NormalPutSprd(O1476,H1476,M1476,(P1476-A1476)/365))</f>
        <v>1.75</v>
      </c>
      <c r="R1476" s="9">
        <f t="shared" si="48"/>
        <v>0</v>
      </c>
    </row>
    <row r="1477" spans="1:18" x14ac:dyDescent="0.2">
      <c r="A1477" s="2">
        <v>42622</v>
      </c>
      <c r="B1477" s="1" t="s">
        <v>56</v>
      </c>
      <c r="C1477" s="1" t="s">
        <v>57</v>
      </c>
      <c r="D1477" s="2">
        <v>42378</v>
      </c>
      <c r="E1477" s="2">
        <f t="shared" si="47"/>
        <v>42614</v>
      </c>
      <c r="F1477" s="1" t="s">
        <v>58</v>
      </c>
      <c r="G1477" s="1" t="s">
        <v>18</v>
      </c>
      <c r="H1477" s="1">
        <v>-10</v>
      </c>
      <c r="I1477" s="1">
        <v>0.01</v>
      </c>
      <c r="J1477" s="1">
        <v>0</v>
      </c>
      <c r="K1477" s="2">
        <v>42622</v>
      </c>
      <c r="L1477" s="1">
        <v>3716</v>
      </c>
      <c r="M1477" s="1">
        <v>0.1</v>
      </c>
      <c r="N1477" s="1">
        <v>0.13324</v>
      </c>
      <c r="O1477" s="3">
        <f>VLOOKUP(D1477,underlying!$D$40:$H$75,5,FALSE)</f>
        <v>-8.25</v>
      </c>
      <c r="P1477" s="4">
        <f t="shared" si="46"/>
        <v>42622</v>
      </c>
      <c r="Q1477" s="7">
        <f>IF(G1477="C",NormalCallSprd(O1477,H1477,M1477,(P1477-A1477)/365), NormalPutSprd(O1477,H1477,M1477,(P1477-A1477)/365))</f>
        <v>0</v>
      </c>
      <c r="R1477" s="9">
        <f t="shared" si="48"/>
        <v>0.01</v>
      </c>
    </row>
    <row r="1478" spans="1:18" x14ac:dyDescent="0.2">
      <c r="A1478" s="2">
        <v>42622</v>
      </c>
      <c r="B1478" s="1" t="s">
        <v>56</v>
      </c>
      <c r="C1478" s="1" t="s">
        <v>57</v>
      </c>
      <c r="D1478" s="2">
        <v>42378</v>
      </c>
      <c r="E1478" s="2">
        <f t="shared" si="47"/>
        <v>42614</v>
      </c>
      <c r="F1478" s="1" t="s">
        <v>58</v>
      </c>
      <c r="G1478" s="1" t="s">
        <v>16</v>
      </c>
      <c r="H1478" s="1">
        <v>-9.75</v>
      </c>
      <c r="I1478" s="1">
        <v>1.5</v>
      </c>
      <c r="J1478" s="1">
        <v>-2.25</v>
      </c>
      <c r="K1478" s="2">
        <v>42622</v>
      </c>
      <c r="L1478" s="1">
        <v>3716</v>
      </c>
      <c r="M1478" s="1">
        <v>0.1</v>
      </c>
      <c r="N1478" s="1">
        <v>0.17826</v>
      </c>
      <c r="O1478" s="3">
        <f>VLOOKUP(D1478,underlying!$D$40:$H$75,5,FALSE)</f>
        <v>-8.25</v>
      </c>
      <c r="P1478" s="4">
        <f t="shared" si="46"/>
        <v>42622</v>
      </c>
      <c r="Q1478" s="7">
        <f>IF(G1478="C",NormalCallSprd(O1478,H1478,M1478,(P1478-A1478)/365), NormalPutSprd(O1478,H1478,M1478,(P1478-A1478)/365))</f>
        <v>1.5</v>
      </c>
      <c r="R1478" s="9">
        <f t="shared" si="48"/>
        <v>0</v>
      </c>
    </row>
    <row r="1479" spans="1:18" x14ac:dyDescent="0.2">
      <c r="A1479" s="2">
        <v>42622</v>
      </c>
      <c r="B1479" s="1" t="s">
        <v>56</v>
      </c>
      <c r="C1479" s="1" t="s">
        <v>57</v>
      </c>
      <c r="D1479" s="2">
        <v>42378</v>
      </c>
      <c r="E1479" s="2">
        <f t="shared" si="47"/>
        <v>42614</v>
      </c>
      <c r="F1479" s="1" t="s">
        <v>58</v>
      </c>
      <c r="G1479" s="1" t="s">
        <v>18</v>
      </c>
      <c r="H1479" s="1">
        <v>-9.75</v>
      </c>
      <c r="I1479" s="1">
        <v>0.01</v>
      </c>
      <c r="J1479" s="1">
        <v>0</v>
      </c>
      <c r="K1479" s="2">
        <v>42622</v>
      </c>
      <c r="L1479" s="1">
        <v>3716</v>
      </c>
      <c r="M1479" s="1">
        <v>0.1</v>
      </c>
      <c r="N1479" s="1">
        <v>0.22936999999999999</v>
      </c>
      <c r="O1479" s="3">
        <f>VLOOKUP(D1479,underlying!$D$40:$H$75,5,FALSE)</f>
        <v>-8.25</v>
      </c>
      <c r="P1479" s="4">
        <f t="shared" si="46"/>
        <v>42622</v>
      </c>
      <c r="Q1479" s="7">
        <f>IF(G1479="C",NormalCallSprd(O1479,H1479,M1479,(P1479-A1479)/365), NormalPutSprd(O1479,H1479,M1479,(P1479-A1479)/365))</f>
        <v>0</v>
      </c>
      <c r="R1479" s="9">
        <f t="shared" si="48"/>
        <v>0.01</v>
      </c>
    </row>
    <row r="1480" spans="1:18" x14ac:dyDescent="0.2">
      <c r="A1480" s="2">
        <v>42622</v>
      </c>
      <c r="B1480" s="1" t="s">
        <v>56</v>
      </c>
      <c r="C1480" s="1" t="s">
        <v>57</v>
      </c>
      <c r="D1480" s="2">
        <v>42378</v>
      </c>
      <c r="E1480" s="2">
        <f t="shared" si="47"/>
        <v>42614</v>
      </c>
      <c r="F1480" s="1" t="s">
        <v>58</v>
      </c>
      <c r="G1480" s="1" t="s">
        <v>16</v>
      </c>
      <c r="H1480" s="1">
        <v>-9.5</v>
      </c>
      <c r="I1480" s="1">
        <v>1.25</v>
      </c>
      <c r="J1480" s="1">
        <v>-2.25</v>
      </c>
      <c r="K1480" s="2">
        <v>42622</v>
      </c>
      <c r="L1480" s="1">
        <v>3716</v>
      </c>
      <c r="M1480" s="1">
        <v>0.1</v>
      </c>
      <c r="N1480" s="1">
        <v>0.28959000000000001</v>
      </c>
      <c r="O1480" s="3">
        <f>VLOOKUP(D1480,underlying!$D$40:$H$75,5,FALSE)</f>
        <v>-8.25</v>
      </c>
      <c r="P1480" s="4">
        <f t="shared" si="46"/>
        <v>42622</v>
      </c>
      <c r="Q1480" s="7">
        <f>IF(G1480="C",NormalCallSprd(O1480,H1480,M1480,(P1480-A1480)/365), NormalPutSprd(O1480,H1480,M1480,(P1480-A1480)/365))</f>
        <v>1.25</v>
      </c>
      <c r="R1480" s="9">
        <f t="shared" si="48"/>
        <v>0</v>
      </c>
    </row>
    <row r="1481" spans="1:18" x14ac:dyDescent="0.2">
      <c r="A1481" s="2">
        <v>42622</v>
      </c>
      <c r="B1481" s="1" t="s">
        <v>56</v>
      </c>
      <c r="C1481" s="1" t="s">
        <v>57</v>
      </c>
      <c r="D1481" s="2">
        <v>42378</v>
      </c>
      <c r="E1481" s="2">
        <f t="shared" si="47"/>
        <v>42614</v>
      </c>
      <c r="F1481" s="1" t="s">
        <v>58</v>
      </c>
      <c r="G1481" s="1" t="s">
        <v>18</v>
      </c>
      <c r="H1481" s="1">
        <v>-9.5</v>
      </c>
      <c r="I1481" s="1">
        <v>0.01</v>
      </c>
      <c r="J1481" s="1">
        <v>0</v>
      </c>
      <c r="K1481" s="2">
        <v>42622</v>
      </c>
      <c r="L1481" s="1">
        <v>3716</v>
      </c>
      <c r="M1481" s="1">
        <v>0.1</v>
      </c>
      <c r="N1481" s="1">
        <v>0.35574</v>
      </c>
      <c r="O1481" s="3">
        <f>VLOOKUP(D1481,underlying!$D$40:$H$75,5,FALSE)</f>
        <v>-8.25</v>
      </c>
      <c r="P1481" s="4">
        <f t="shared" si="46"/>
        <v>42622</v>
      </c>
      <c r="Q1481" s="7">
        <f>IF(G1481="C",NormalCallSprd(O1481,H1481,M1481,(P1481-A1481)/365), NormalPutSprd(O1481,H1481,M1481,(P1481-A1481)/365))</f>
        <v>0</v>
      </c>
      <c r="R1481" s="9">
        <f t="shared" si="48"/>
        <v>0.01</v>
      </c>
    </row>
    <row r="1482" spans="1:18" x14ac:dyDescent="0.2">
      <c r="A1482" s="2">
        <v>42622</v>
      </c>
      <c r="B1482" s="1" t="s">
        <v>56</v>
      </c>
      <c r="C1482" s="1" t="s">
        <v>57</v>
      </c>
      <c r="D1482" s="2">
        <v>42378</v>
      </c>
      <c r="E1482" s="2">
        <f t="shared" si="47"/>
        <v>42614</v>
      </c>
      <c r="F1482" s="1" t="s">
        <v>58</v>
      </c>
      <c r="G1482" s="1" t="s">
        <v>16</v>
      </c>
      <c r="H1482" s="1">
        <v>-9.25</v>
      </c>
      <c r="I1482" s="1">
        <v>1</v>
      </c>
      <c r="J1482" s="1">
        <v>-2.25</v>
      </c>
      <c r="K1482" s="2">
        <v>42622</v>
      </c>
      <c r="L1482" s="1">
        <v>3716</v>
      </c>
      <c r="M1482" s="1">
        <v>0.1</v>
      </c>
      <c r="N1482" s="1">
        <v>0.42670000000000002</v>
      </c>
      <c r="O1482" s="3">
        <f>VLOOKUP(D1482,underlying!$D$40:$H$75,5,FALSE)</f>
        <v>-8.25</v>
      </c>
      <c r="P1482" s="4">
        <f t="shared" si="46"/>
        <v>42622</v>
      </c>
      <c r="Q1482" s="7">
        <f>IF(G1482="C",NormalCallSprd(O1482,H1482,M1482,(P1482-A1482)/365), NormalPutSprd(O1482,H1482,M1482,(P1482-A1482)/365))</f>
        <v>1</v>
      </c>
      <c r="R1482" s="9">
        <f t="shared" si="48"/>
        <v>0</v>
      </c>
    </row>
    <row r="1483" spans="1:18" x14ac:dyDescent="0.2">
      <c r="A1483" s="2">
        <v>42622</v>
      </c>
      <c r="B1483" s="1" t="s">
        <v>56</v>
      </c>
      <c r="C1483" s="1" t="s">
        <v>57</v>
      </c>
      <c r="D1483" s="2">
        <v>42378</v>
      </c>
      <c r="E1483" s="2">
        <f t="shared" si="47"/>
        <v>42614</v>
      </c>
      <c r="F1483" s="1" t="s">
        <v>58</v>
      </c>
      <c r="G1483" s="1" t="s">
        <v>18</v>
      </c>
      <c r="H1483" s="1">
        <v>-9.25</v>
      </c>
      <c r="I1483" s="1">
        <v>0.01</v>
      </c>
      <c r="J1483" s="1">
        <v>0</v>
      </c>
      <c r="K1483" s="2">
        <v>42622</v>
      </c>
      <c r="L1483" s="1">
        <v>3716</v>
      </c>
      <c r="M1483" s="1">
        <v>0.1</v>
      </c>
      <c r="N1483" s="1">
        <v>0.49980999999999998</v>
      </c>
      <c r="O1483" s="3">
        <f>VLOOKUP(D1483,underlying!$D$40:$H$75,5,FALSE)</f>
        <v>-8.25</v>
      </c>
      <c r="P1483" s="4">
        <f t="shared" si="46"/>
        <v>42622</v>
      </c>
      <c r="Q1483" s="7">
        <f>IF(G1483="C",NormalCallSprd(O1483,H1483,M1483,(P1483-A1483)/365), NormalPutSprd(O1483,H1483,M1483,(P1483-A1483)/365))</f>
        <v>0</v>
      </c>
      <c r="R1483" s="9">
        <f t="shared" si="48"/>
        <v>0.01</v>
      </c>
    </row>
    <row r="1484" spans="1:18" x14ac:dyDescent="0.2">
      <c r="A1484" s="2">
        <v>42622</v>
      </c>
      <c r="B1484" s="1" t="s">
        <v>56</v>
      </c>
      <c r="C1484" s="1" t="s">
        <v>57</v>
      </c>
      <c r="D1484" s="2">
        <v>42378</v>
      </c>
      <c r="E1484" s="2">
        <f t="shared" si="47"/>
        <v>42614</v>
      </c>
      <c r="F1484" s="1" t="s">
        <v>58</v>
      </c>
      <c r="G1484" s="1" t="s">
        <v>16</v>
      </c>
      <c r="H1484" s="1">
        <v>-9</v>
      </c>
      <c r="I1484" s="1">
        <v>0.75</v>
      </c>
      <c r="J1484" s="1">
        <v>-2.25</v>
      </c>
      <c r="K1484" s="2">
        <v>42622</v>
      </c>
      <c r="L1484" s="1">
        <v>3716</v>
      </c>
      <c r="M1484" s="1">
        <v>0.1</v>
      </c>
      <c r="N1484" s="1">
        <v>0.57291000000000003</v>
      </c>
      <c r="O1484" s="3">
        <f>VLOOKUP(D1484,underlying!$D$40:$H$75,5,FALSE)</f>
        <v>-8.25</v>
      </c>
      <c r="P1484" s="4">
        <f t="shared" si="46"/>
        <v>42622</v>
      </c>
      <c r="Q1484" s="7">
        <f>IF(G1484="C",NormalCallSprd(O1484,H1484,M1484,(P1484-A1484)/365), NormalPutSprd(O1484,H1484,M1484,(P1484-A1484)/365))</f>
        <v>0.75</v>
      </c>
      <c r="R1484" s="9">
        <f t="shared" si="48"/>
        <v>0</v>
      </c>
    </row>
    <row r="1485" spans="1:18" x14ac:dyDescent="0.2">
      <c r="A1485" s="2">
        <v>42622</v>
      </c>
      <c r="B1485" s="1" t="s">
        <v>56</v>
      </c>
      <c r="C1485" s="1" t="s">
        <v>57</v>
      </c>
      <c r="D1485" s="2">
        <v>42378</v>
      </c>
      <c r="E1485" s="2">
        <f t="shared" si="47"/>
        <v>42614</v>
      </c>
      <c r="F1485" s="1" t="s">
        <v>58</v>
      </c>
      <c r="G1485" s="1" t="s">
        <v>18</v>
      </c>
      <c r="H1485" s="1">
        <v>-9</v>
      </c>
      <c r="I1485" s="1">
        <v>0.01</v>
      </c>
      <c r="J1485" s="1">
        <v>0</v>
      </c>
      <c r="K1485" s="2">
        <v>42622</v>
      </c>
      <c r="L1485" s="1">
        <v>3716</v>
      </c>
      <c r="M1485" s="1">
        <v>0.1</v>
      </c>
      <c r="N1485" s="1">
        <v>0.64388000000000001</v>
      </c>
      <c r="O1485" s="3">
        <f>VLOOKUP(D1485,underlying!$D$40:$H$75,5,FALSE)</f>
        <v>-8.25</v>
      </c>
      <c r="P1485" s="4">
        <f t="shared" si="46"/>
        <v>42622</v>
      </c>
      <c r="Q1485" s="7">
        <f>IF(G1485="C",NormalCallSprd(O1485,H1485,M1485,(P1485-A1485)/365), NormalPutSprd(O1485,H1485,M1485,(P1485-A1485)/365))</f>
        <v>0</v>
      </c>
      <c r="R1485" s="9">
        <f t="shared" si="48"/>
        <v>0.01</v>
      </c>
    </row>
    <row r="1486" spans="1:18" x14ac:dyDescent="0.2">
      <c r="A1486" s="2">
        <v>42622</v>
      </c>
      <c r="B1486" s="1" t="s">
        <v>56</v>
      </c>
      <c r="C1486" s="1" t="s">
        <v>57</v>
      </c>
      <c r="D1486" s="2">
        <v>42378</v>
      </c>
      <c r="E1486" s="2">
        <f t="shared" si="47"/>
        <v>42614</v>
      </c>
      <c r="F1486" s="1" t="s">
        <v>58</v>
      </c>
      <c r="G1486" s="1" t="s">
        <v>16</v>
      </c>
      <c r="H1486" s="1">
        <v>-8.75</v>
      </c>
      <c r="I1486" s="1">
        <v>0.5</v>
      </c>
      <c r="J1486" s="1">
        <v>-2.25</v>
      </c>
      <c r="K1486" s="2">
        <v>42622</v>
      </c>
      <c r="L1486" s="1">
        <v>3716</v>
      </c>
      <c r="M1486" s="1">
        <v>0.1</v>
      </c>
      <c r="N1486" s="1">
        <v>0.71003000000000005</v>
      </c>
      <c r="O1486" s="3">
        <f>VLOOKUP(D1486,underlying!$D$40:$H$75,5,FALSE)</f>
        <v>-8.25</v>
      </c>
      <c r="P1486" s="4">
        <f t="shared" si="46"/>
        <v>42622</v>
      </c>
      <c r="Q1486" s="7">
        <f>IF(G1486="C",NormalCallSprd(O1486,H1486,M1486,(P1486-A1486)/365), NormalPutSprd(O1486,H1486,M1486,(P1486-A1486)/365))</f>
        <v>0.5</v>
      </c>
      <c r="R1486" s="9">
        <f t="shared" si="48"/>
        <v>0</v>
      </c>
    </row>
    <row r="1487" spans="1:18" x14ac:dyDescent="0.2">
      <c r="A1487" s="2">
        <v>42622</v>
      </c>
      <c r="B1487" s="1" t="s">
        <v>56</v>
      </c>
      <c r="C1487" s="1" t="s">
        <v>57</v>
      </c>
      <c r="D1487" s="2">
        <v>42378</v>
      </c>
      <c r="E1487" s="2">
        <f t="shared" si="47"/>
        <v>42614</v>
      </c>
      <c r="F1487" s="1" t="s">
        <v>58</v>
      </c>
      <c r="G1487" s="1" t="s">
        <v>18</v>
      </c>
      <c r="H1487" s="1">
        <v>-8.75</v>
      </c>
      <c r="I1487" s="1">
        <v>0.01</v>
      </c>
      <c r="J1487" s="1">
        <v>0</v>
      </c>
      <c r="K1487" s="2">
        <v>42622</v>
      </c>
      <c r="L1487" s="1">
        <v>3716</v>
      </c>
      <c r="M1487" s="1">
        <v>0.1</v>
      </c>
      <c r="N1487" s="1">
        <v>0.77024999999999999</v>
      </c>
      <c r="O1487" s="3">
        <f>VLOOKUP(D1487,underlying!$D$40:$H$75,5,FALSE)</f>
        <v>-8.25</v>
      </c>
      <c r="P1487" s="4">
        <f t="shared" si="46"/>
        <v>42622</v>
      </c>
      <c r="Q1487" s="7">
        <f>IF(G1487="C",NormalCallSprd(O1487,H1487,M1487,(P1487-A1487)/365), NormalPutSprd(O1487,H1487,M1487,(P1487-A1487)/365))</f>
        <v>0</v>
      </c>
      <c r="R1487" s="9">
        <f t="shared" si="48"/>
        <v>0.01</v>
      </c>
    </row>
    <row r="1488" spans="1:18" x14ac:dyDescent="0.2">
      <c r="A1488" s="2">
        <v>42622</v>
      </c>
      <c r="B1488" s="1" t="s">
        <v>56</v>
      </c>
      <c r="C1488" s="1" t="s">
        <v>57</v>
      </c>
      <c r="D1488" s="2">
        <v>42378</v>
      </c>
      <c r="E1488" s="2">
        <f t="shared" si="47"/>
        <v>42614</v>
      </c>
      <c r="F1488" s="1" t="s">
        <v>58</v>
      </c>
      <c r="G1488" s="1" t="s">
        <v>16</v>
      </c>
      <c r="H1488" s="1">
        <v>-8.5</v>
      </c>
      <c r="I1488" s="1">
        <v>0.25</v>
      </c>
      <c r="J1488" s="1">
        <v>-2.25</v>
      </c>
      <c r="K1488" s="2">
        <v>42622</v>
      </c>
      <c r="L1488" s="1">
        <v>3716</v>
      </c>
      <c r="M1488" s="1">
        <v>0.1</v>
      </c>
      <c r="N1488" s="1">
        <v>0.82135000000000002</v>
      </c>
      <c r="O1488" s="3">
        <f>VLOOKUP(D1488,underlying!$D$40:$H$75,5,FALSE)</f>
        <v>-8.25</v>
      </c>
      <c r="P1488" s="4">
        <f t="shared" si="46"/>
        <v>42622</v>
      </c>
      <c r="Q1488" s="7">
        <f>IF(G1488="C",NormalCallSprd(O1488,H1488,M1488,(P1488-A1488)/365), NormalPutSprd(O1488,H1488,M1488,(P1488-A1488)/365))</f>
        <v>0.25</v>
      </c>
      <c r="R1488" s="9">
        <f t="shared" si="48"/>
        <v>0</v>
      </c>
    </row>
    <row r="1489" spans="1:18" x14ac:dyDescent="0.2">
      <c r="A1489" s="2">
        <v>42622</v>
      </c>
      <c r="B1489" s="1" t="s">
        <v>56</v>
      </c>
      <c r="C1489" s="1" t="s">
        <v>57</v>
      </c>
      <c r="D1489" s="2">
        <v>42378</v>
      </c>
      <c r="E1489" s="2">
        <f t="shared" si="47"/>
        <v>42614</v>
      </c>
      <c r="F1489" s="1" t="s">
        <v>58</v>
      </c>
      <c r="G1489" s="1" t="s">
        <v>18</v>
      </c>
      <c r="H1489" s="1">
        <v>-8.5</v>
      </c>
      <c r="I1489" s="1">
        <v>0.01</v>
      </c>
      <c r="J1489" s="1">
        <v>0</v>
      </c>
      <c r="K1489" s="2">
        <v>42622</v>
      </c>
      <c r="L1489" s="1">
        <v>3716</v>
      </c>
      <c r="M1489" s="1">
        <v>0.1</v>
      </c>
      <c r="N1489" s="1">
        <v>0.86636999999999997</v>
      </c>
      <c r="O1489" s="3">
        <f>VLOOKUP(D1489,underlying!$D$40:$H$75,5,FALSE)</f>
        <v>-8.25</v>
      </c>
      <c r="P1489" s="4">
        <f t="shared" si="46"/>
        <v>42622</v>
      </c>
      <c r="Q1489" s="7">
        <f>IF(G1489="C",NormalCallSprd(O1489,H1489,M1489,(P1489-A1489)/365), NormalPutSprd(O1489,H1489,M1489,(P1489-A1489)/365))</f>
        <v>0</v>
      </c>
      <c r="R1489" s="9">
        <f t="shared" si="48"/>
        <v>0.01</v>
      </c>
    </row>
    <row r="1490" spans="1:18" x14ac:dyDescent="0.2">
      <c r="A1490" s="2">
        <v>42622</v>
      </c>
      <c r="B1490" s="1" t="s">
        <v>56</v>
      </c>
      <c r="C1490" s="1" t="s">
        <v>57</v>
      </c>
      <c r="D1490" s="2">
        <v>42378</v>
      </c>
      <c r="E1490" s="2">
        <f t="shared" si="47"/>
        <v>42614</v>
      </c>
      <c r="F1490" s="1" t="s">
        <v>58</v>
      </c>
      <c r="G1490" s="1" t="s">
        <v>16</v>
      </c>
      <c r="H1490" s="1">
        <v>-8.25</v>
      </c>
      <c r="I1490" s="1">
        <v>0.01</v>
      </c>
      <c r="J1490" s="1">
        <v>-2.2400000000000002</v>
      </c>
      <c r="K1490" s="2">
        <v>42622</v>
      </c>
      <c r="L1490" s="1">
        <v>3716</v>
      </c>
      <c r="M1490" s="1">
        <v>0.1</v>
      </c>
      <c r="N1490" s="1">
        <v>0.90120999999999996</v>
      </c>
      <c r="O1490" s="3">
        <f>VLOOKUP(D1490,underlying!$D$40:$H$75,5,FALSE)</f>
        <v>-8.25</v>
      </c>
      <c r="P1490" s="4">
        <f t="shared" si="46"/>
        <v>42622</v>
      </c>
      <c r="Q1490" s="7">
        <f>IF(G1490="C",NormalCallSprd(O1490,H1490,M1490,(P1490-A1490)/365), NormalPutSprd(O1490,H1490,M1490,(P1490-A1490)/365))</f>
        <v>0</v>
      </c>
      <c r="R1490" s="9">
        <f t="shared" si="48"/>
        <v>0.01</v>
      </c>
    </row>
    <row r="1491" spans="1:18" x14ac:dyDescent="0.2">
      <c r="A1491" s="2">
        <v>42622</v>
      </c>
      <c r="B1491" s="1" t="s">
        <v>56</v>
      </c>
      <c r="C1491" s="1" t="s">
        <v>57</v>
      </c>
      <c r="D1491" s="2">
        <v>42378</v>
      </c>
      <c r="E1491" s="2">
        <f t="shared" si="47"/>
        <v>42614</v>
      </c>
      <c r="F1491" s="1" t="s">
        <v>58</v>
      </c>
      <c r="G1491" s="1" t="s">
        <v>18</v>
      </c>
      <c r="H1491" s="1">
        <v>-8.25</v>
      </c>
      <c r="I1491" s="1">
        <v>0.01</v>
      </c>
      <c r="J1491" s="1">
        <v>0</v>
      </c>
      <c r="K1491" s="2">
        <v>42622</v>
      </c>
      <c r="L1491" s="1">
        <v>3716</v>
      </c>
      <c r="M1491" s="1">
        <v>0.1</v>
      </c>
      <c r="N1491" s="1">
        <v>0.93037000000000003</v>
      </c>
      <c r="O1491" s="3">
        <f>VLOOKUP(D1491,underlying!$D$40:$H$75,5,FALSE)</f>
        <v>-8.25</v>
      </c>
      <c r="P1491" s="4">
        <f t="shared" si="46"/>
        <v>42622</v>
      </c>
      <c r="Q1491" s="7">
        <f>IF(G1491="C",NormalCallSprd(O1491,H1491,M1491,(P1491-A1491)/365), NormalPutSprd(O1491,H1491,M1491,(P1491-A1491)/365))</f>
        <v>0</v>
      </c>
      <c r="R1491" s="9">
        <f t="shared" si="48"/>
        <v>0.01</v>
      </c>
    </row>
    <row r="1492" spans="1:18" x14ac:dyDescent="0.2">
      <c r="A1492" s="2">
        <v>42622</v>
      </c>
      <c r="B1492" s="1" t="s">
        <v>56</v>
      </c>
      <c r="C1492" s="1" t="s">
        <v>57</v>
      </c>
      <c r="D1492" s="2">
        <v>42378</v>
      </c>
      <c r="E1492" s="2">
        <f t="shared" si="47"/>
        <v>42614</v>
      </c>
      <c r="F1492" s="1" t="s">
        <v>58</v>
      </c>
      <c r="G1492" s="1" t="s">
        <v>16</v>
      </c>
      <c r="H1492" s="1">
        <v>-8</v>
      </c>
      <c r="I1492" s="1">
        <v>0.01</v>
      </c>
      <c r="J1492" s="1">
        <v>-1.99</v>
      </c>
      <c r="K1492" s="2">
        <v>42622</v>
      </c>
      <c r="L1492" s="1">
        <v>3716</v>
      </c>
      <c r="M1492" s="1">
        <v>0.1</v>
      </c>
      <c r="N1492" s="1">
        <v>0.95108999999999999</v>
      </c>
      <c r="O1492" s="3">
        <f>VLOOKUP(D1492,underlying!$D$40:$H$75,5,FALSE)</f>
        <v>-8.25</v>
      </c>
      <c r="P1492" s="4">
        <f t="shared" si="46"/>
        <v>42622</v>
      </c>
      <c r="Q1492" s="7">
        <f>IF(G1492="C",NormalCallSprd(O1492,H1492,M1492,(P1492-A1492)/365), NormalPutSprd(O1492,H1492,M1492,(P1492-A1492)/365))</f>
        <v>0</v>
      </c>
      <c r="R1492" s="9">
        <f t="shared" si="48"/>
        <v>0.01</v>
      </c>
    </row>
    <row r="1493" spans="1:18" x14ac:dyDescent="0.2">
      <c r="A1493" s="2">
        <v>42622</v>
      </c>
      <c r="B1493" s="1" t="s">
        <v>56</v>
      </c>
      <c r="C1493" s="1" t="s">
        <v>57</v>
      </c>
      <c r="D1493" s="2">
        <v>42378</v>
      </c>
      <c r="E1493" s="2">
        <f t="shared" si="47"/>
        <v>42614</v>
      </c>
      <c r="F1493" s="1" t="s">
        <v>58</v>
      </c>
      <c r="G1493" s="1" t="s">
        <v>18</v>
      </c>
      <c r="H1493" s="1">
        <v>-8</v>
      </c>
      <c r="I1493" s="1">
        <v>0.25</v>
      </c>
      <c r="J1493" s="1">
        <v>0.24</v>
      </c>
      <c r="K1493" s="2">
        <v>42622</v>
      </c>
      <c r="L1493" s="1">
        <v>3716</v>
      </c>
      <c r="M1493" s="1">
        <v>0.1</v>
      </c>
      <c r="N1493" s="1">
        <v>0.96699999999999997</v>
      </c>
      <c r="O1493" s="3">
        <f>VLOOKUP(D1493,underlying!$D$40:$H$75,5,FALSE)</f>
        <v>-8.25</v>
      </c>
      <c r="P1493" s="4">
        <f t="shared" si="46"/>
        <v>42622</v>
      </c>
      <c r="Q1493" s="7">
        <f>IF(G1493="C",NormalCallSprd(O1493,H1493,M1493,(P1493-A1493)/365), NormalPutSprd(O1493,H1493,M1493,(P1493-A1493)/365))</f>
        <v>0.25</v>
      </c>
      <c r="R1493" s="9">
        <f t="shared" si="48"/>
        <v>0</v>
      </c>
    </row>
    <row r="1494" spans="1:18" x14ac:dyDescent="0.2">
      <c r="A1494" s="2">
        <v>42622</v>
      </c>
      <c r="B1494" s="1" t="s">
        <v>56</v>
      </c>
      <c r="C1494" s="1" t="s">
        <v>57</v>
      </c>
      <c r="D1494" s="2">
        <v>42378</v>
      </c>
      <c r="E1494" s="2">
        <f t="shared" si="47"/>
        <v>42614</v>
      </c>
      <c r="F1494" s="1" t="s">
        <v>58</v>
      </c>
      <c r="G1494" s="1" t="s">
        <v>16</v>
      </c>
      <c r="H1494" s="1">
        <v>-7.75</v>
      </c>
      <c r="I1494" s="1">
        <v>0.01</v>
      </c>
      <c r="J1494" s="1">
        <v>-1.74</v>
      </c>
      <c r="K1494" s="2">
        <v>42622</v>
      </c>
      <c r="L1494" s="1">
        <v>3716</v>
      </c>
      <c r="M1494" s="1">
        <v>0.1</v>
      </c>
      <c r="N1494" s="1">
        <v>0.97833000000000003</v>
      </c>
      <c r="O1494" s="3">
        <f>VLOOKUP(D1494,underlying!$D$40:$H$75,5,FALSE)</f>
        <v>-8.25</v>
      </c>
      <c r="P1494" s="4">
        <f t="shared" si="46"/>
        <v>42622</v>
      </c>
      <c r="Q1494" s="7">
        <f>IF(G1494="C",NormalCallSprd(O1494,H1494,M1494,(P1494-A1494)/365), NormalPutSprd(O1494,H1494,M1494,(P1494-A1494)/365))</f>
        <v>0</v>
      </c>
      <c r="R1494" s="9">
        <f t="shared" si="48"/>
        <v>0.01</v>
      </c>
    </row>
    <row r="1495" spans="1:18" x14ac:dyDescent="0.2">
      <c r="A1495" s="2">
        <v>42622</v>
      </c>
      <c r="B1495" s="1" t="s">
        <v>56</v>
      </c>
      <c r="C1495" s="1" t="s">
        <v>57</v>
      </c>
      <c r="D1495" s="2">
        <v>42378</v>
      </c>
      <c r="E1495" s="2">
        <f t="shared" si="47"/>
        <v>42614</v>
      </c>
      <c r="F1495" s="1" t="s">
        <v>58</v>
      </c>
      <c r="G1495" s="1" t="s">
        <v>18</v>
      </c>
      <c r="H1495" s="1">
        <v>-7.75</v>
      </c>
      <c r="I1495" s="1">
        <v>0.5</v>
      </c>
      <c r="J1495" s="1">
        <v>0.49</v>
      </c>
      <c r="K1495" s="2">
        <v>42622</v>
      </c>
      <c r="L1495" s="1">
        <v>3716</v>
      </c>
      <c r="M1495" s="1">
        <v>0.1</v>
      </c>
      <c r="N1495" s="1">
        <v>0.98614000000000002</v>
      </c>
      <c r="O1495" s="3">
        <f>VLOOKUP(D1495,underlying!$D$40:$H$75,5,FALSE)</f>
        <v>-8.25</v>
      </c>
      <c r="P1495" s="4">
        <f t="shared" si="46"/>
        <v>42622</v>
      </c>
      <c r="Q1495" s="7">
        <f>IF(G1495="C",NormalCallSprd(O1495,H1495,M1495,(P1495-A1495)/365), NormalPutSprd(O1495,H1495,M1495,(P1495-A1495)/365))</f>
        <v>0.5</v>
      </c>
      <c r="R1495" s="9">
        <f t="shared" si="48"/>
        <v>0</v>
      </c>
    </row>
    <row r="1496" spans="1:18" x14ac:dyDescent="0.2">
      <c r="A1496" s="2">
        <v>42622</v>
      </c>
      <c r="B1496" s="1" t="s">
        <v>56</v>
      </c>
      <c r="C1496" s="1" t="s">
        <v>57</v>
      </c>
      <c r="D1496" s="2">
        <v>42378</v>
      </c>
      <c r="E1496" s="2">
        <f t="shared" si="47"/>
        <v>42614</v>
      </c>
      <c r="F1496" s="1" t="s">
        <v>58</v>
      </c>
      <c r="G1496" s="1" t="s">
        <v>16</v>
      </c>
      <c r="H1496" s="1">
        <v>-7.5</v>
      </c>
      <c r="I1496" s="1">
        <v>0.01</v>
      </c>
      <c r="J1496" s="1">
        <v>-1.49</v>
      </c>
      <c r="K1496" s="2">
        <v>42622</v>
      </c>
      <c r="L1496" s="1">
        <v>3716</v>
      </c>
      <c r="M1496" s="1">
        <v>0.1</v>
      </c>
      <c r="N1496" s="1">
        <v>0.99134</v>
      </c>
      <c r="O1496" s="3">
        <f>VLOOKUP(D1496,underlying!$D$40:$H$75,5,FALSE)</f>
        <v>-8.25</v>
      </c>
      <c r="P1496" s="4">
        <f t="shared" si="46"/>
        <v>42622</v>
      </c>
      <c r="Q1496" s="7">
        <f>IF(G1496="C",NormalCallSprd(O1496,H1496,M1496,(P1496-A1496)/365), NormalPutSprd(O1496,H1496,M1496,(P1496-A1496)/365))</f>
        <v>0</v>
      </c>
      <c r="R1496" s="9">
        <f t="shared" si="48"/>
        <v>0.01</v>
      </c>
    </row>
    <row r="1497" spans="1:18" x14ac:dyDescent="0.2">
      <c r="A1497" s="2">
        <v>42622</v>
      </c>
      <c r="B1497" s="1" t="s">
        <v>56</v>
      </c>
      <c r="C1497" s="1" t="s">
        <v>57</v>
      </c>
      <c r="D1497" s="2">
        <v>42378</v>
      </c>
      <c r="E1497" s="2">
        <f t="shared" si="47"/>
        <v>42614</v>
      </c>
      <c r="F1497" s="1" t="s">
        <v>58</v>
      </c>
      <c r="G1497" s="1" t="s">
        <v>18</v>
      </c>
      <c r="H1497" s="1">
        <v>-7.5</v>
      </c>
      <c r="I1497" s="1">
        <v>0.75</v>
      </c>
      <c r="J1497" s="1">
        <v>0.74</v>
      </c>
      <c r="K1497" s="2">
        <v>42622</v>
      </c>
      <c r="L1497" s="1">
        <v>3716</v>
      </c>
      <c r="M1497" s="1">
        <v>0.1</v>
      </c>
      <c r="N1497" s="1">
        <v>0.99468999999999996</v>
      </c>
      <c r="O1497" s="3">
        <f>VLOOKUP(D1497,underlying!$D$40:$H$75,5,FALSE)</f>
        <v>-8.25</v>
      </c>
      <c r="P1497" s="4">
        <f t="shared" si="46"/>
        <v>42622</v>
      </c>
      <c r="Q1497" s="7">
        <f>IF(G1497="C",NormalCallSprd(O1497,H1497,M1497,(P1497-A1497)/365), NormalPutSprd(O1497,H1497,M1497,(P1497-A1497)/365))</f>
        <v>0.75</v>
      </c>
      <c r="R1497" s="9">
        <f t="shared" si="48"/>
        <v>0</v>
      </c>
    </row>
    <row r="1498" spans="1:18" x14ac:dyDescent="0.2">
      <c r="A1498" s="2">
        <v>42622</v>
      </c>
      <c r="B1498" s="1" t="s">
        <v>56</v>
      </c>
      <c r="C1498" s="1" t="s">
        <v>57</v>
      </c>
      <c r="D1498" s="2">
        <v>42378</v>
      </c>
      <c r="E1498" s="2">
        <f t="shared" si="47"/>
        <v>42614</v>
      </c>
      <c r="F1498" s="1" t="s">
        <v>58</v>
      </c>
      <c r="G1498" s="1" t="s">
        <v>16</v>
      </c>
      <c r="H1498" s="1">
        <v>-7.25</v>
      </c>
      <c r="I1498" s="1">
        <v>0.01</v>
      </c>
      <c r="J1498" s="1">
        <v>-1.24</v>
      </c>
      <c r="K1498" s="2">
        <v>42622</v>
      </c>
      <c r="L1498" s="1">
        <v>3716</v>
      </c>
      <c r="M1498" s="1">
        <v>0.1</v>
      </c>
      <c r="N1498" s="1">
        <v>0.99677000000000004</v>
      </c>
      <c r="O1498" s="3">
        <f>VLOOKUP(D1498,underlying!$D$40:$H$75,5,FALSE)</f>
        <v>-8.25</v>
      </c>
      <c r="P1498" s="4">
        <f t="shared" si="46"/>
        <v>42622</v>
      </c>
      <c r="Q1498" s="7">
        <f>IF(G1498="C",NormalCallSprd(O1498,H1498,M1498,(P1498-A1498)/365), NormalPutSprd(O1498,H1498,M1498,(P1498-A1498)/365))</f>
        <v>0</v>
      </c>
      <c r="R1498" s="9">
        <f t="shared" si="48"/>
        <v>0.01</v>
      </c>
    </row>
    <row r="1499" spans="1:18" x14ac:dyDescent="0.2">
      <c r="A1499" s="2">
        <v>42622</v>
      </c>
      <c r="B1499" s="1" t="s">
        <v>56</v>
      </c>
      <c r="C1499" s="1" t="s">
        <v>57</v>
      </c>
      <c r="D1499" s="2">
        <v>42378</v>
      </c>
      <c r="E1499" s="2">
        <f t="shared" si="47"/>
        <v>42614</v>
      </c>
      <c r="F1499" s="1" t="s">
        <v>58</v>
      </c>
      <c r="G1499" s="1" t="s">
        <v>18</v>
      </c>
      <c r="H1499" s="1">
        <v>-7.25</v>
      </c>
      <c r="I1499" s="1">
        <v>1</v>
      </c>
      <c r="J1499" s="1">
        <v>0.99</v>
      </c>
      <c r="K1499" s="2">
        <v>42622</v>
      </c>
      <c r="L1499" s="1">
        <v>3716</v>
      </c>
      <c r="M1499" s="1">
        <v>0.1</v>
      </c>
      <c r="N1499" s="1">
        <v>0.99802000000000002</v>
      </c>
      <c r="O1499" s="3">
        <f>VLOOKUP(D1499,underlying!$D$40:$H$75,5,FALSE)</f>
        <v>-8.25</v>
      </c>
      <c r="P1499" s="4">
        <f t="shared" si="46"/>
        <v>42622</v>
      </c>
      <c r="Q1499" s="7">
        <f>IF(G1499="C",NormalCallSprd(O1499,H1499,M1499,(P1499-A1499)/365), NormalPutSprd(O1499,H1499,M1499,(P1499-A1499)/365))</f>
        <v>1</v>
      </c>
      <c r="R1499" s="9">
        <f t="shared" si="48"/>
        <v>0</v>
      </c>
    </row>
    <row r="1500" spans="1:18" x14ac:dyDescent="0.2">
      <c r="A1500" s="2">
        <v>42622</v>
      </c>
      <c r="B1500" s="1" t="s">
        <v>56</v>
      </c>
      <c r="C1500" s="1" t="s">
        <v>57</v>
      </c>
      <c r="D1500" s="2">
        <v>42378</v>
      </c>
      <c r="E1500" s="2">
        <f t="shared" si="47"/>
        <v>42614</v>
      </c>
      <c r="F1500" s="1" t="s">
        <v>58</v>
      </c>
      <c r="G1500" s="1" t="s">
        <v>16</v>
      </c>
      <c r="H1500" s="1">
        <v>-7</v>
      </c>
      <c r="I1500" s="1">
        <v>0.01</v>
      </c>
      <c r="J1500" s="1">
        <v>-0.99</v>
      </c>
      <c r="K1500" s="2">
        <v>42622</v>
      </c>
      <c r="L1500" s="1">
        <v>3716</v>
      </c>
      <c r="M1500" s="1">
        <v>0.1</v>
      </c>
      <c r="N1500" s="1">
        <v>0.99877000000000005</v>
      </c>
      <c r="O1500" s="3">
        <f>VLOOKUP(D1500,underlying!$D$40:$H$75,5,FALSE)</f>
        <v>-8.25</v>
      </c>
      <c r="P1500" s="4">
        <f t="shared" si="46"/>
        <v>42622</v>
      </c>
      <c r="Q1500" s="7">
        <f>IF(G1500="C",NormalCallSprd(O1500,H1500,M1500,(P1500-A1500)/365), NormalPutSprd(O1500,H1500,M1500,(P1500-A1500)/365))</f>
        <v>0</v>
      </c>
      <c r="R1500" s="9">
        <f t="shared" si="48"/>
        <v>0.01</v>
      </c>
    </row>
    <row r="1501" spans="1:18" x14ac:dyDescent="0.2">
      <c r="A1501" s="2">
        <v>42622</v>
      </c>
      <c r="B1501" s="1" t="s">
        <v>56</v>
      </c>
      <c r="C1501" s="1" t="s">
        <v>57</v>
      </c>
      <c r="D1501" s="2">
        <v>42378</v>
      </c>
      <c r="E1501" s="2">
        <f t="shared" si="47"/>
        <v>42614</v>
      </c>
      <c r="F1501" s="1" t="s">
        <v>58</v>
      </c>
      <c r="G1501" s="1" t="s">
        <v>18</v>
      </c>
      <c r="H1501" s="1">
        <v>-7</v>
      </c>
      <c r="I1501" s="1">
        <v>1.25</v>
      </c>
      <c r="J1501" s="1">
        <v>1.24</v>
      </c>
      <c r="K1501" s="2">
        <v>42622</v>
      </c>
      <c r="L1501" s="1">
        <v>3716</v>
      </c>
      <c r="M1501" s="1">
        <v>0.1</v>
      </c>
      <c r="N1501" s="1">
        <v>0.99917</v>
      </c>
      <c r="O1501" s="3">
        <f>VLOOKUP(D1501,underlying!$D$40:$H$75,5,FALSE)</f>
        <v>-8.25</v>
      </c>
      <c r="P1501" s="4">
        <f t="shared" si="46"/>
        <v>42622</v>
      </c>
      <c r="Q1501" s="7">
        <f>IF(G1501="C",NormalCallSprd(O1501,H1501,M1501,(P1501-A1501)/365), NormalPutSprd(O1501,H1501,M1501,(P1501-A1501)/365))</f>
        <v>1.25</v>
      </c>
      <c r="R1501" s="9">
        <f t="shared" si="48"/>
        <v>0</v>
      </c>
    </row>
    <row r="1502" spans="1:18" x14ac:dyDescent="0.2">
      <c r="A1502" s="2">
        <v>42622</v>
      </c>
      <c r="B1502" s="1" t="s">
        <v>56</v>
      </c>
      <c r="C1502" s="1" t="s">
        <v>57</v>
      </c>
      <c r="D1502" s="2">
        <v>42378</v>
      </c>
      <c r="E1502" s="2">
        <f t="shared" si="47"/>
        <v>42614</v>
      </c>
      <c r="F1502" s="1" t="s">
        <v>58</v>
      </c>
      <c r="G1502" s="1" t="s">
        <v>16</v>
      </c>
      <c r="H1502" s="1">
        <v>-6.75</v>
      </c>
      <c r="I1502" s="1">
        <v>0.01</v>
      </c>
      <c r="J1502" s="1">
        <v>-0.74</v>
      </c>
      <c r="K1502" s="2">
        <v>42622</v>
      </c>
      <c r="L1502" s="1">
        <v>3716</v>
      </c>
      <c r="M1502" s="1">
        <v>0.1</v>
      </c>
      <c r="N1502" s="1">
        <v>0.99939</v>
      </c>
      <c r="O1502" s="3">
        <f>VLOOKUP(D1502,underlying!$D$40:$H$75,5,FALSE)</f>
        <v>-8.25</v>
      </c>
      <c r="P1502" s="4">
        <f t="shared" si="46"/>
        <v>42622</v>
      </c>
      <c r="Q1502" s="7">
        <f>IF(G1502="C",NormalCallSprd(O1502,H1502,M1502,(P1502-A1502)/365), NormalPutSprd(O1502,H1502,M1502,(P1502-A1502)/365))</f>
        <v>0</v>
      </c>
      <c r="R1502" s="9">
        <f t="shared" si="48"/>
        <v>0.01</v>
      </c>
    </row>
    <row r="1503" spans="1:18" x14ac:dyDescent="0.2">
      <c r="A1503" s="2">
        <v>42622</v>
      </c>
      <c r="B1503" s="1" t="s">
        <v>56</v>
      </c>
      <c r="C1503" s="1" t="s">
        <v>57</v>
      </c>
      <c r="D1503" s="2">
        <v>42378</v>
      </c>
      <c r="E1503" s="2">
        <f t="shared" si="47"/>
        <v>42614</v>
      </c>
      <c r="F1503" s="1" t="s">
        <v>58</v>
      </c>
      <c r="G1503" s="1" t="s">
        <v>18</v>
      </c>
      <c r="H1503" s="1">
        <v>-6.75</v>
      </c>
      <c r="I1503" s="1">
        <v>1.5</v>
      </c>
      <c r="J1503" s="1">
        <v>1.49</v>
      </c>
      <c r="K1503" s="2">
        <v>42622</v>
      </c>
      <c r="L1503" s="1">
        <v>3716</v>
      </c>
      <c r="M1503" s="1">
        <v>0.1</v>
      </c>
      <c r="N1503" s="1">
        <v>0.99950000000000006</v>
      </c>
      <c r="O1503" s="3">
        <f>VLOOKUP(D1503,underlying!$D$40:$H$75,5,FALSE)</f>
        <v>-8.25</v>
      </c>
      <c r="P1503" s="4">
        <f t="shared" si="46"/>
        <v>42622</v>
      </c>
      <c r="Q1503" s="7">
        <f>IF(G1503="C",NormalCallSprd(O1503,H1503,M1503,(P1503-A1503)/365), NormalPutSprd(O1503,H1503,M1503,(P1503-A1503)/365))</f>
        <v>1.5</v>
      </c>
      <c r="R1503" s="9">
        <f t="shared" si="48"/>
        <v>0</v>
      </c>
    </row>
    <row r="1504" spans="1:18" x14ac:dyDescent="0.2">
      <c r="A1504" s="2">
        <v>42622</v>
      </c>
      <c r="B1504" s="1" t="s">
        <v>56</v>
      </c>
      <c r="C1504" s="1" t="s">
        <v>57</v>
      </c>
      <c r="D1504" s="2">
        <v>42378</v>
      </c>
      <c r="E1504" s="2">
        <f t="shared" si="47"/>
        <v>42614</v>
      </c>
      <c r="F1504" s="1" t="s">
        <v>58</v>
      </c>
      <c r="G1504" s="1" t="s">
        <v>16</v>
      </c>
      <c r="H1504" s="1">
        <v>-6.5</v>
      </c>
      <c r="I1504" s="1">
        <v>0.01</v>
      </c>
      <c r="J1504" s="1">
        <v>-0.49</v>
      </c>
      <c r="K1504" s="2">
        <v>42622</v>
      </c>
      <c r="L1504" s="1">
        <v>3716</v>
      </c>
      <c r="M1504" s="1">
        <v>0.1</v>
      </c>
      <c r="N1504" s="1">
        <v>0.99956</v>
      </c>
      <c r="O1504" s="3">
        <f>VLOOKUP(D1504,underlying!$D$40:$H$75,5,FALSE)</f>
        <v>-8.25</v>
      </c>
      <c r="P1504" s="4">
        <f t="shared" si="46"/>
        <v>42622</v>
      </c>
      <c r="Q1504" s="7">
        <f>IF(G1504="C",NormalCallSprd(O1504,H1504,M1504,(P1504-A1504)/365), NormalPutSprd(O1504,H1504,M1504,(P1504-A1504)/365))</f>
        <v>0</v>
      </c>
      <c r="R1504" s="9">
        <f t="shared" si="48"/>
        <v>0.01</v>
      </c>
    </row>
    <row r="1505" spans="1:18" x14ac:dyDescent="0.2">
      <c r="A1505" s="2">
        <v>42622</v>
      </c>
      <c r="B1505" s="1" t="s">
        <v>56</v>
      </c>
      <c r="C1505" s="1" t="s">
        <v>57</v>
      </c>
      <c r="D1505" s="2">
        <v>42378</v>
      </c>
      <c r="E1505" s="2">
        <f t="shared" si="47"/>
        <v>42614</v>
      </c>
      <c r="F1505" s="1" t="s">
        <v>58</v>
      </c>
      <c r="G1505" s="1" t="s">
        <v>18</v>
      </c>
      <c r="H1505" s="1">
        <v>-6.5</v>
      </c>
      <c r="I1505" s="1">
        <v>1.75</v>
      </c>
      <c r="J1505" s="1">
        <v>1.74</v>
      </c>
      <c r="K1505" s="2">
        <v>42622</v>
      </c>
      <c r="L1505" s="1">
        <v>3716</v>
      </c>
      <c r="M1505" s="1">
        <v>0.1</v>
      </c>
      <c r="N1505" s="1">
        <v>0.99958999999999998</v>
      </c>
      <c r="O1505" s="3">
        <f>VLOOKUP(D1505,underlying!$D$40:$H$75,5,FALSE)</f>
        <v>-8.25</v>
      </c>
      <c r="P1505" s="4">
        <f t="shared" si="46"/>
        <v>42622</v>
      </c>
      <c r="Q1505" s="7">
        <f>IF(G1505="C",NormalCallSprd(O1505,H1505,M1505,(P1505-A1505)/365), NormalPutSprd(O1505,H1505,M1505,(P1505-A1505)/365))</f>
        <v>1.75</v>
      </c>
      <c r="R1505" s="9">
        <f t="shared" si="48"/>
        <v>0</v>
      </c>
    </row>
    <row r="1506" spans="1:18" x14ac:dyDescent="0.2">
      <c r="A1506" s="2">
        <v>42622</v>
      </c>
      <c r="B1506" s="1" t="s">
        <v>56</v>
      </c>
      <c r="C1506" s="1" t="s">
        <v>57</v>
      </c>
      <c r="D1506" s="2">
        <v>42378</v>
      </c>
      <c r="E1506" s="2">
        <f t="shared" si="47"/>
        <v>42614</v>
      </c>
      <c r="F1506" s="1" t="s">
        <v>58</v>
      </c>
      <c r="G1506" s="1" t="s">
        <v>16</v>
      </c>
      <c r="H1506" s="1">
        <v>-6.25</v>
      </c>
      <c r="I1506" s="1">
        <v>0.01</v>
      </c>
      <c r="J1506" s="1">
        <v>-0.26</v>
      </c>
      <c r="K1506" s="2">
        <v>42622</v>
      </c>
      <c r="L1506" s="1">
        <v>3716</v>
      </c>
      <c r="M1506" s="1">
        <v>0.1</v>
      </c>
      <c r="N1506" s="1">
        <v>0.99960000000000004</v>
      </c>
      <c r="O1506" s="3">
        <f>VLOOKUP(D1506,underlying!$D$40:$H$75,5,FALSE)</f>
        <v>-8.25</v>
      </c>
      <c r="P1506" s="4">
        <f t="shared" si="46"/>
        <v>42622</v>
      </c>
      <c r="Q1506" s="7">
        <f>IF(G1506="C",NormalCallSprd(O1506,H1506,M1506,(P1506-A1506)/365), NormalPutSprd(O1506,H1506,M1506,(P1506-A1506)/365))</f>
        <v>0</v>
      </c>
      <c r="R1506" s="9">
        <f t="shared" si="48"/>
        <v>0.01</v>
      </c>
    </row>
    <row r="1507" spans="1:18" x14ac:dyDescent="0.2">
      <c r="A1507" s="2">
        <v>42622</v>
      </c>
      <c r="B1507" s="1" t="s">
        <v>56</v>
      </c>
      <c r="C1507" s="1" t="s">
        <v>57</v>
      </c>
      <c r="D1507" s="2">
        <v>42378</v>
      </c>
      <c r="E1507" s="2">
        <f t="shared" si="47"/>
        <v>42614</v>
      </c>
      <c r="F1507" s="1" t="s">
        <v>58</v>
      </c>
      <c r="G1507" s="1" t="s">
        <v>18</v>
      </c>
      <c r="H1507" s="1">
        <v>-6.25</v>
      </c>
      <c r="I1507" s="1">
        <v>2</v>
      </c>
      <c r="J1507" s="1">
        <v>1.98</v>
      </c>
      <c r="K1507" s="2">
        <v>42622</v>
      </c>
      <c r="L1507" s="1">
        <v>3716</v>
      </c>
      <c r="M1507" s="1">
        <v>0.1</v>
      </c>
      <c r="N1507" s="1">
        <v>-0.99672000000000005</v>
      </c>
      <c r="O1507" s="3">
        <f>VLOOKUP(D1507,underlying!$D$40:$H$75,5,FALSE)</f>
        <v>-8.25</v>
      </c>
      <c r="P1507" s="4">
        <f t="shared" si="46"/>
        <v>42622</v>
      </c>
      <c r="Q1507" s="7">
        <f>IF(G1507="C",NormalCallSprd(O1507,H1507,M1507,(P1507-A1507)/365), NormalPutSprd(O1507,H1507,M1507,(P1507-A1507)/365))</f>
        <v>2</v>
      </c>
      <c r="R1507" s="9">
        <f t="shared" si="48"/>
        <v>0</v>
      </c>
    </row>
    <row r="1508" spans="1:18" x14ac:dyDescent="0.2">
      <c r="A1508" s="2">
        <v>42622</v>
      </c>
      <c r="B1508" s="1" t="s">
        <v>56</v>
      </c>
      <c r="C1508" s="1" t="s">
        <v>57</v>
      </c>
      <c r="D1508" s="2">
        <v>42378</v>
      </c>
      <c r="E1508" s="2">
        <f t="shared" si="47"/>
        <v>42614</v>
      </c>
      <c r="F1508" s="1" t="s">
        <v>58</v>
      </c>
      <c r="G1508" s="1" t="s">
        <v>16</v>
      </c>
      <c r="H1508" s="1">
        <v>-6</v>
      </c>
      <c r="I1508" s="1">
        <v>0.01</v>
      </c>
      <c r="J1508" s="1">
        <v>-0.09</v>
      </c>
      <c r="K1508" s="2">
        <v>42622</v>
      </c>
      <c r="L1508" s="1">
        <v>3716</v>
      </c>
      <c r="M1508" s="1">
        <v>0.1</v>
      </c>
      <c r="N1508" s="1">
        <v>-0.99460999999999999</v>
      </c>
      <c r="O1508" s="3">
        <f>VLOOKUP(D1508,underlying!$D$40:$H$75,5,FALSE)</f>
        <v>-8.25</v>
      </c>
      <c r="P1508" s="4">
        <f t="shared" si="46"/>
        <v>42622</v>
      </c>
      <c r="Q1508" s="7">
        <f>IF(G1508="C",NormalCallSprd(O1508,H1508,M1508,(P1508-A1508)/365), NormalPutSprd(O1508,H1508,M1508,(P1508-A1508)/365))</f>
        <v>0</v>
      </c>
      <c r="R1508" s="9">
        <f t="shared" si="48"/>
        <v>0.01</v>
      </c>
    </row>
    <row r="1509" spans="1:18" x14ac:dyDescent="0.2">
      <c r="A1509" s="2">
        <v>42622</v>
      </c>
      <c r="B1509" s="1" t="s">
        <v>56</v>
      </c>
      <c r="C1509" s="1" t="s">
        <v>57</v>
      </c>
      <c r="D1509" s="2">
        <v>42378</v>
      </c>
      <c r="E1509" s="2">
        <f t="shared" si="47"/>
        <v>42614</v>
      </c>
      <c r="F1509" s="1" t="s">
        <v>58</v>
      </c>
      <c r="G1509" s="1" t="s">
        <v>18</v>
      </c>
      <c r="H1509" s="1">
        <v>-6</v>
      </c>
      <c r="I1509" s="1">
        <v>2.25</v>
      </c>
      <c r="J1509" s="1">
        <v>2.15</v>
      </c>
      <c r="K1509" s="2">
        <v>42622</v>
      </c>
      <c r="L1509" s="1">
        <v>3716</v>
      </c>
      <c r="M1509" s="1">
        <v>0.1</v>
      </c>
      <c r="N1509" s="1">
        <v>-0.99121999999999999</v>
      </c>
      <c r="O1509" s="3">
        <f>VLOOKUP(D1509,underlying!$D$40:$H$75,5,FALSE)</f>
        <v>-8.25</v>
      </c>
      <c r="P1509" s="4">
        <f t="shared" si="46"/>
        <v>42622</v>
      </c>
      <c r="Q1509" s="7">
        <f>IF(G1509="C",NormalCallSprd(O1509,H1509,M1509,(P1509-A1509)/365), NormalPutSprd(O1509,H1509,M1509,(P1509-A1509)/365))</f>
        <v>2.25</v>
      </c>
      <c r="R1509" s="9">
        <f t="shared" si="48"/>
        <v>0</v>
      </c>
    </row>
    <row r="1510" spans="1:18" x14ac:dyDescent="0.2">
      <c r="A1510" s="2">
        <v>42622</v>
      </c>
      <c r="B1510" s="1" t="s">
        <v>56</v>
      </c>
      <c r="C1510" s="1" t="s">
        <v>57</v>
      </c>
      <c r="D1510" s="2">
        <v>42378</v>
      </c>
      <c r="E1510" s="2">
        <f t="shared" si="47"/>
        <v>42614</v>
      </c>
      <c r="F1510" s="1" t="s">
        <v>58</v>
      </c>
      <c r="G1510" s="1" t="s">
        <v>16</v>
      </c>
      <c r="H1510" s="1">
        <v>-5.75</v>
      </c>
      <c r="I1510" s="1">
        <v>0.01</v>
      </c>
      <c r="J1510" s="1">
        <v>-0.01</v>
      </c>
      <c r="K1510" s="2">
        <v>42622</v>
      </c>
      <c r="L1510" s="1">
        <v>3716</v>
      </c>
      <c r="M1510" s="1">
        <v>0.1</v>
      </c>
      <c r="N1510" s="1">
        <v>-1.0000000000000001E-5</v>
      </c>
      <c r="O1510" s="3">
        <f>VLOOKUP(D1510,underlying!$D$40:$H$75,5,FALSE)</f>
        <v>-8.25</v>
      </c>
      <c r="P1510" s="4">
        <f t="shared" si="46"/>
        <v>42622</v>
      </c>
      <c r="Q1510" s="7">
        <f>IF(G1510="C",NormalCallSprd(O1510,H1510,M1510,(P1510-A1510)/365), NormalPutSprd(O1510,H1510,M1510,(P1510-A1510)/365))</f>
        <v>0</v>
      </c>
      <c r="R1510" s="9">
        <f t="shared" si="48"/>
        <v>0.01</v>
      </c>
    </row>
    <row r="1511" spans="1:18" x14ac:dyDescent="0.2">
      <c r="A1511" s="2">
        <v>42622</v>
      </c>
      <c r="B1511" s="1" t="s">
        <v>56</v>
      </c>
      <c r="C1511" s="1" t="s">
        <v>57</v>
      </c>
      <c r="D1511" s="2">
        <v>42378</v>
      </c>
      <c r="E1511" s="2">
        <f t="shared" si="47"/>
        <v>42614</v>
      </c>
      <c r="F1511" s="1" t="s">
        <v>58</v>
      </c>
      <c r="G1511" s="1" t="s">
        <v>18</v>
      </c>
      <c r="H1511" s="1">
        <v>-5.75</v>
      </c>
      <c r="I1511" s="1">
        <v>2.5</v>
      </c>
      <c r="J1511" s="1">
        <v>2.23</v>
      </c>
      <c r="K1511" s="2">
        <v>42622</v>
      </c>
      <c r="L1511" s="1">
        <v>3716</v>
      </c>
      <c r="M1511" s="1">
        <v>0.1</v>
      </c>
      <c r="N1511" s="1">
        <v>-0.98597999999999997</v>
      </c>
      <c r="O1511" s="3">
        <f>VLOOKUP(D1511,underlying!$D$40:$H$75,5,FALSE)</f>
        <v>-8.25</v>
      </c>
      <c r="P1511" s="4">
        <f t="shared" si="46"/>
        <v>42622</v>
      </c>
      <c r="Q1511" s="7">
        <f>IF(G1511="C",NormalCallSprd(O1511,H1511,M1511,(P1511-A1511)/365), NormalPutSprd(O1511,H1511,M1511,(P1511-A1511)/365))</f>
        <v>2.5</v>
      </c>
      <c r="R1511" s="9">
        <f t="shared" si="48"/>
        <v>0</v>
      </c>
    </row>
    <row r="1512" spans="1:18" x14ac:dyDescent="0.2">
      <c r="A1512" s="2">
        <v>42622</v>
      </c>
      <c r="B1512" s="1" t="s">
        <v>56</v>
      </c>
      <c r="C1512" s="1" t="s">
        <v>57</v>
      </c>
      <c r="D1512" s="2">
        <v>42378</v>
      </c>
      <c r="E1512" s="2">
        <f t="shared" si="47"/>
        <v>42614</v>
      </c>
      <c r="F1512" s="1" t="s">
        <v>58</v>
      </c>
      <c r="G1512" s="1" t="s">
        <v>16</v>
      </c>
      <c r="H1512" s="1">
        <v>-5.5</v>
      </c>
      <c r="I1512" s="1">
        <v>0.01</v>
      </c>
      <c r="J1512" s="1">
        <v>0</v>
      </c>
      <c r="K1512" s="2">
        <v>42622</v>
      </c>
      <c r="L1512" s="1">
        <v>3716</v>
      </c>
      <c r="M1512" s="1">
        <v>0.1</v>
      </c>
      <c r="N1512" s="1">
        <v>0</v>
      </c>
      <c r="O1512" s="3">
        <f>VLOOKUP(D1512,underlying!$D$40:$H$75,5,FALSE)</f>
        <v>-8.25</v>
      </c>
      <c r="P1512" s="4">
        <f t="shared" si="46"/>
        <v>42622</v>
      </c>
      <c r="Q1512" s="7">
        <f>IF(G1512="C",NormalCallSprd(O1512,H1512,M1512,(P1512-A1512)/365), NormalPutSprd(O1512,H1512,M1512,(P1512-A1512)/365))</f>
        <v>0</v>
      </c>
      <c r="R1512" s="9">
        <f t="shared" si="48"/>
        <v>0.01</v>
      </c>
    </row>
    <row r="1513" spans="1:18" x14ac:dyDescent="0.2">
      <c r="A1513" s="2">
        <v>42622</v>
      </c>
      <c r="B1513" s="1" t="s">
        <v>56</v>
      </c>
      <c r="C1513" s="1" t="s">
        <v>57</v>
      </c>
      <c r="D1513" s="2">
        <v>42378</v>
      </c>
      <c r="E1513" s="2">
        <f t="shared" si="47"/>
        <v>42614</v>
      </c>
      <c r="F1513" s="1" t="s">
        <v>58</v>
      </c>
      <c r="G1513" s="1" t="s">
        <v>18</v>
      </c>
      <c r="H1513" s="1">
        <v>-5.5</v>
      </c>
      <c r="I1513" s="1">
        <v>2.75</v>
      </c>
      <c r="J1513" s="1">
        <v>2.25</v>
      </c>
      <c r="K1513" s="2">
        <v>42622</v>
      </c>
      <c r="L1513" s="1">
        <v>3716</v>
      </c>
      <c r="M1513" s="1">
        <v>0.1</v>
      </c>
      <c r="N1513" s="1">
        <v>0</v>
      </c>
      <c r="O1513" s="3">
        <f>VLOOKUP(D1513,underlying!$D$40:$H$75,5,FALSE)</f>
        <v>-8.25</v>
      </c>
      <c r="P1513" s="4">
        <f t="shared" si="46"/>
        <v>42622</v>
      </c>
      <c r="Q1513" s="7">
        <f>IF(G1513="C",NormalCallSprd(O1513,H1513,M1513,(P1513-A1513)/365), NormalPutSprd(O1513,H1513,M1513,(P1513-A1513)/365))</f>
        <v>2.75</v>
      </c>
      <c r="R1513" s="9">
        <f t="shared" si="48"/>
        <v>0</v>
      </c>
    </row>
    <row r="1514" spans="1:18" x14ac:dyDescent="0.2">
      <c r="A1514" s="2">
        <v>42622</v>
      </c>
      <c r="B1514" s="1" t="s">
        <v>56</v>
      </c>
      <c r="C1514" s="1" t="s">
        <v>57</v>
      </c>
      <c r="D1514" s="2">
        <v>42378</v>
      </c>
      <c r="E1514" s="2">
        <f t="shared" si="47"/>
        <v>42614</v>
      </c>
      <c r="F1514" s="1" t="s">
        <v>58</v>
      </c>
      <c r="G1514" s="1" t="s">
        <v>16</v>
      </c>
      <c r="H1514" s="1">
        <v>-5.25</v>
      </c>
      <c r="I1514" s="1">
        <v>0.01</v>
      </c>
      <c r="J1514" s="1">
        <v>0</v>
      </c>
      <c r="K1514" s="2">
        <v>42622</v>
      </c>
      <c r="L1514" s="1">
        <v>3716</v>
      </c>
      <c r="M1514" s="1">
        <v>0.1</v>
      </c>
      <c r="N1514" s="1">
        <v>-0.97811000000000003</v>
      </c>
      <c r="O1514" s="3">
        <f>VLOOKUP(D1514,underlying!$D$40:$H$75,5,FALSE)</f>
        <v>-8.25</v>
      </c>
      <c r="P1514" s="4">
        <f t="shared" si="46"/>
        <v>42622</v>
      </c>
      <c r="Q1514" s="7">
        <f>IF(G1514="C",NormalCallSprd(O1514,H1514,M1514,(P1514-A1514)/365), NormalPutSprd(O1514,H1514,M1514,(P1514-A1514)/365))</f>
        <v>0</v>
      </c>
      <c r="R1514" s="9">
        <f t="shared" si="48"/>
        <v>0.01</v>
      </c>
    </row>
    <row r="1515" spans="1:18" x14ac:dyDescent="0.2">
      <c r="A1515" s="2">
        <v>42622</v>
      </c>
      <c r="B1515" s="1" t="s">
        <v>56</v>
      </c>
      <c r="C1515" s="1" t="s">
        <v>57</v>
      </c>
      <c r="D1515" s="2">
        <v>42378</v>
      </c>
      <c r="E1515" s="2">
        <f t="shared" si="47"/>
        <v>42614</v>
      </c>
      <c r="F1515" s="1" t="s">
        <v>58</v>
      </c>
      <c r="G1515" s="1" t="s">
        <v>18</v>
      </c>
      <c r="H1515" s="1">
        <v>-5.25</v>
      </c>
      <c r="I1515" s="1">
        <v>3</v>
      </c>
      <c r="J1515" s="1">
        <v>2.25</v>
      </c>
      <c r="K1515" s="2">
        <v>42622</v>
      </c>
      <c r="L1515" s="1">
        <v>3716</v>
      </c>
      <c r="M1515" s="1">
        <v>0.1</v>
      </c>
      <c r="N1515" s="1">
        <v>0</v>
      </c>
      <c r="O1515" s="3">
        <f>VLOOKUP(D1515,underlying!$D$40:$H$75,5,FALSE)</f>
        <v>-8.25</v>
      </c>
      <c r="P1515" s="4">
        <f t="shared" si="46"/>
        <v>42622</v>
      </c>
      <c r="Q1515" s="7">
        <f>IF(G1515="C",NormalCallSprd(O1515,H1515,M1515,(P1515-A1515)/365), NormalPutSprd(O1515,H1515,M1515,(P1515-A1515)/365))</f>
        <v>3</v>
      </c>
      <c r="R1515" s="9">
        <f t="shared" si="48"/>
        <v>0</v>
      </c>
    </row>
    <row r="1516" spans="1:18" x14ac:dyDescent="0.2">
      <c r="A1516" s="2">
        <v>42622</v>
      </c>
      <c r="B1516" s="1" t="s">
        <v>56</v>
      </c>
      <c r="C1516" s="1" t="s">
        <v>57</v>
      </c>
      <c r="D1516" s="2">
        <v>42378</v>
      </c>
      <c r="E1516" s="2">
        <f t="shared" si="47"/>
        <v>42614</v>
      </c>
      <c r="F1516" s="1" t="s">
        <v>58</v>
      </c>
      <c r="G1516" s="1" t="s">
        <v>16</v>
      </c>
      <c r="H1516" s="1">
        <v>-5</v>
      </c>
      <c r="I1516" s="1">
        <v>0.01</v>
      </c>
      <c r="J1516" s="1">
        <v>0</v>
      </c>
      <c r="K1516" s="2">
        <v>42622</v>
      </c>
      <c r="L1516" s="1">
        <v>3716</v>
      </c>
      <c r="M1516" s="1">
        <v>0.1</v>
      </c>
      <c r="N1516" s="1">
        <v>-0.96670999999999996</v>
      </c>
      <c r="O1516" s="3">
        <f>VLOOKUP(D1516,underlying!$D$40:$H$75,5,FALSE)</f>
        <v>-8.25</v>
      </c>
      <c r="P1516" s="4">
        <f t="shared" si="46"/>
        <v>42622</v>
      </c>
      <c r="Q1516" s="7">
        <f>IF(G1516="C",NormalCallSprd(O1516,H1516,M1516,(P1516-A1516)/365), NormalPutSprd(O1516,H1516,M1516,(P1516-A1516)/365))</f>
        <v>0</v>
      </c>
      <c r="R1516" s="9">
        <f t="shared" si="48"/>
        <v>0.01</v>
      </c>
    </row>
    <row r="1517" spans="1:18" x14ac:dyDescent="0.2">
      <c r="A1517" s="2">
        <v>42622</v>
      </c>
      <c r="B1517" s="1" t="s">
        <v>56</v>
      </c>
      <c r="C1517" s="1" t="s">
        <v>57</v>
      </c>
      <c r="D1517" s="2">
        <v>42378</v>
      </c>
      <c r="E1517" s="2">
        <f t="shared" si="47"/>
        <v>42614</v>
      </c>
      <c r="F1517" s="1" t="s">
        <v>58</v>
      </c>
      <c r="G1517" s="1" t="s">
        <v>18</v>
      </c>
      <c r="H1517" s="1">
        <v>-5</v>
      </c>
      <c r="I1517" s="1">
        <v>3.25</v>
      </c>
      <c r="J1517" s="1">
        <v>2.25</v>
      </c>
      <c r="K1517" s="2">
        <v>42622</v>
      </c>
      <c r="L1517" s="1">
        <v>3716</v>
      </c>
      <c r="M1517" s="1">
        <v>0.1</v>
      </c>
      <c r="N1517" s="1">
        <v>-0.95108999999999999</v>
      </c>
      <c r="O1517" s="3">
        <f>VLOOKUP(D1517,underlying!$D$40:$H$75,5,FALSE)</f>
        <v>-8.25</v>
      </c>
      <c r="P1517" s="4">
        <f t="shared" si="46"/>
        <v>42622</v>
      </c>
      <c r="Q1517" s="7">
        <f>IF(G1517="C",NormalCallSprd(O1517,H1517,M1517,(P1517-A1517)/365), NormalPutSprd(O1517,H1517,M1517,(P1517-A1517)/365))</f>
        <v>3.25</v>
      </c>
      <c r="R1517" s="9">
        <f t="shared" si="48"/>
        <v>0</v>
      </c>
    </row>
    <row r="1518" spans="1:18" x14ac:dyDescent="0.2">
      <c r="A1518" s="2">
        <v>42622</v>
      </c>
      <c r="B1518" s="1" t="s">
        <v>56</v>
      </c>
      <c r="C1518" s="1" t="s">
        <v>57</v>
      </c>
      <c r="D1518" s="2">
        <v>42378</v>
      </c>
      <c r="E1518" s="2">
        <f t="shared" si="47"/>
        <v>42614</v>
      </c>
      <c r="F1518" s="1" t="s">
        <v>58</v>
      </c>
      <c r="G1518" s="1" t="s">
        <v>16</v>
      </c>
      <c r="H1518" s="1">
        <v>-4.75</v>
      </c>
      <c r="I1518" s="1">
        <v>0.01</v>
      </c>
      <c r="J1518" s="1">
        <v>0</v>
      </c>
      <c r="K1518" s="2">
        <v>42622</v>
      </c>
      <c r="L1518" s="1">
        <v>3716</v>
      </c>
      <c r="M1518" s="1">
        <v>0.1</v>
      </c>
      <c r="N1518" s="1">
        <v>-0.93037000000000003</v>
      </c>
      <c r="O1518" s="3">
        <f>VLOOKUP(D1518,underlying!$D$40:$H$75,5,FALSE)</f>
        <v>-8.25</v>
      </c>
      <c r="P1518" s="4">
        <f t="shared" si="46"/>
        <v>42622</v>
      </c>
      <c r="Q1518" s="7">
        <f>IF(G1518="C",NormalCallSprd(O1518,H1518,M1518,(P1518-A1518)/365), NormalPutSprd(O1518,H1518,M1518,(P1518-A1518)/365))</f>
        <v>0</v>
      </c>
      <c r="R1518" s="9">
        <f t="shared" si="48"/>
        <v>0.01</v>
      </c>
    </row>
    <row r="1519" spans="1:18" x14ac:dyDescent="0.2">
      <c r="A1519" s="2">
        <v>42622</v>
      </c>
      <c r="B1519" s="1" t="s">
        <v>56</v>
      </c>
      <c r="C1519" s="1" t="s">
        <v>57</v>
      </c>
      <c r="D1519" s="2">
        <v>42378</v>
      </c>
      <c r="E1519" s="2">
        <f t="shared" si="47"/>
        <v>42614</v>
      </c>
      <c r="F1519" s="1" t="s">
        <v>58</v>
      </c>
      <c r="G1519" s="1" t="s">
        <v>18</v>
      </c>
      <c r="H1519" s="1">
        <v>-4.75</v>
      </c>
      <c r="I1519" s="1">
        <v>3.5</v>
      </c>
      <c r="J1519" s="1">
        <v>2.25</v>
      </c>
      <c r="K1519" s="2">
        <v>42622</v>
      </c>
      <c r="L1519" s="1">
        <v>3716</v>
      </c>
      <c r="M1519" s="1">
        <v>0.1</v>
      </c>
      <c r="N1519" s="1">
        <v>-0.90120999999999996</v>
      </c>
      <c r="O1519" s="3">
        <f>VLOOKUP(D1519,underlying!$D$40:$H$75,5,FALSE)</f>
        <v>-8.25</v>
      </c>
      <c r="P1519" s="4">
        <f t="shared" si="46"/>
        <v>42622</v>
      </c>
      <c r="Q1519" s="7">
        <f>IF(G1519="C",NormalCallSprd(O1519,H1519,M1519,(P1519-A1519)/365), NormalPutSprd(O1519,H1519,M1519,(P1519-A1519)/365))</f>
        <v>3.5</v>
      </c>
      <c r="R1519" s="9">
        <f t="shared" si="48"/>
        <v>0</v>
      </c>
    </row>
    <row r="1520" spans="1:18" x14ac:dyDescent="0.2">
      <c r="A1520" s="2">
        <v>42622</v>
      </c>
      <c r="B1520" s="1" t="s">
        <v>56</v>
      </c>
      <c r="C1520" s="1" t="s">
        <v>57</v>
      </c>
      <c r="D1520" s="2">
        <v>42378</v>
      </c>
      <c r="E1520" s="2">
        <f t="shared" si="47"/>
        <v>42614</v>
      </c>
      <c r="F1520" s="1" t="s">
        <v>58</v>
      </c>
      <c r="G1520" s="1" t="s">
        <v>16</v>
      </c>
      <c r="H1520" s="1">
        <v>-4.5</v>
      </c>
      <c r="I1520" s="1">
        <v>0.01</v>
      </c>
      <c r="J1520" s="1">
        <v>0</v>
      </c>
      <c r="K1520" s="2">
        <v>42622</v>
      </c>
      <c r="L1520" s="1">
        <v>3716</v>
      </c>
      <c r="M1520" s="1">
        <v>0.1</v>
      </c>
      <c r="N1520" s="1">
        <v>-0.86636999999999997</v>
      </c>
      <c r="O1520" s="3">
        <f>VLOOKUP(D1520,underlying!$D$40:$H$75,5,FALSE)</f>
        <v>-8.25</v>
      </c>
      <c r="P1520" s="4">
        <f t="shared" si="46"/>
        <v>42622</v>
      </c>
      <c r="Q1520" s="7">
        <f>IF(G1520="C",NormalCallSprd(O1520,H1520,M1520,(P1520-A1520)/365), NormalPutSprd(O1520,H1520,M1520,(P1520-A1520)/365))</f>
        <v>0</v>
      </c>
      <c r="R1520" s="9">
        <f t="shared" si="48"/>
        <v>0.01</v>
      </c>
    </row>
    <row r="1521" spans="1:18" x14ac:dyDescent="0.2">
      <c r="A1521" s="2">
        <v>42622</v>
      </c>
      <c r="B1521" s="1" t="s">
        <v>56</v>
      </c>
      <c r="C1521" s="1" t="s">
        <v>57</v>
      </c>
      <c r="D1521" s="2">
        <v>42378</v>
      </c>
      <c r="E1521" s="2">
        <f t="shared" si="47"/>
        <v>42614</v>
      </c>
      <c r="F1521" s="1" t="s">
        <v>58</v>
      </c>
      <c r="G1521" s="1" t="s">
        <v>18</v>
      </c>
      <c r="H1521" s="1">
        <v>-4.5</v>
      </c>
      <c r="I1521" s="1">
        <v>3.75</v>
      </c>
      <c r="J1521" s="1">
        <v>2.25</v>
      </c>
      <c r="K1521" s="2">
        <v>42622</v>
      </c>
      <c r="L1521" s="1">
        <v>3716</v>
      </c>
      <c r="M1521" s="1">
        <v>0.1</v>
      </c>
      <c r="N1521" s="1">
        <v>-0.82135000000000002</v>
      </c>
      <c r="O1521" s="3">
        <f>VLOOKUP(D1521,underlying!$D$40:$H$75,5,FALSE)</f>
        <v>-8.25</v>
      </c>
      <c r="P1521" s="4">
        <f t="shared" si="46"/>
        <v>42622</v>
      </c>
      <c r="Q1521" s="7">
        <f>IF(G1521="C",NormalCallSprd(O1521,H1521,M1521,(P1521-A1521)/365), NormalPutSprd(O1521,H1521,M1521,(P1521-A1521)/365))</f>
        <v>3.75</v>
      </c>
      <c r="R1521" s="9">
        <f t="shared" si="48"/>
        <v>0</v>
      </c>
    </row>
    <row r="1522" spans="1:18" x14ac:dyDescent="0.2">
      <c r="A1522" s="2">
        <v>42622</v>
      </c>
      <c r="B1522" s="1" t="s">
        <v>56</v>
      </c>
      <c r="C1522" s="1" t="s">
        <v>57</v>
      </c>
      <c r="D1522" s="2">
        <v>42378</v>
      </c>
      <c r="E1522" s="2">
        <f t="shared" si="47"/>
        <v>42614</v>
      </c>
      <c r="F1522" s="1" t="s">
        <v>58</v>
      </c>
      <c r="G1522" s="1" t="s">
        <v>16</v>
      </c>
      <c r="H1522" s="1">
        <v>-4.25</v>
      </c>
      <c r="I1522" s="1">
        <v>0.01</v>
      </c>
      <c r="J1522" s="1">
        <v>0</v>
      </c>
      <c r="K1522" s="2">
        <v>42622</v>
      </c>
      <c r="L1522" s="1">
        <v>3716</v>
      </c>
      <c r="M1522" s="1">
        <v>0.1</v>
      </c>
      <c r="N1522" s="1">
        <v>-0.77024999999999999</v>
      </c>
      <c r="O1522" s="3">
        <f>VLOOKUP(D1522,underlying!$D$40:$H$75,5,FALSE)</f>
        <v>-8.25</v>
      </c>
      <c r="P1522" s="4">
        <f t="shared" si="46"/>
        <v>42622</v>
      </c>
      <c r="Q1522" s="7">
        <f>IF(G1522="C",NormalCallSprd(O1522,H1522,M1522,(P1522-A1522)/365), NormalPutSprd(O1522,H1522,M1522,(P1522-A1522)/365))</f>
        <v>0</v>
      </c>
      <c r="R1522" s="9">
        <f t="shared" si="48"/>
        <v>0.01</v>
      </c>
    </row>
    <row r="1523" spans="1:18" x14ac:dyDescent="0.2">
      <c r="A1523" s="2">
        <v>42622</v>
      </c>
      <c r="B1523" s="1" t="s">
        <v>56</v>
      </c>
      <c r="C1523" s="1" t="s">
        <v>57</v>
      </c>
      <c r="D1523" s="2">
        <v>42378</v>
      </c>
      <c r="E1523" s="2">
        <f t="shared" si="47"/>
        <v>42614</v>
      </c>
      <c r="F1523" s="1" t="s">
        <v>58</v>
      </c>
      <c r="G1523" s="1" t="s">
        <v>18</v>
      </c>
      <c r="H1523" s="1">
        <v>-4.25</v>
      </c>
      <c r="I1523" s="1">
        <v>4</v>
      </c>
      <c r="J1523" s="1">
        <v>2.25</v>
      </c>
      <c r="K1523" s="2">
        <v>42622</v>
      </c>
      <c r="L1523" s="1">
        <v>3716</v>
      </c>
      <c r="M1523" s="1">
        <v>0.1</v>
      </c>
      <c r="N1523" s="1">
        <v>-0.71003000000000005</v>
      </c>
      <c r="O1523" s="3">
        <f>VLOOKUP(D1523,underlying!$D$40:$H$75,5,FALSE)</f>
        <v>-8.25</v>
      </c>
      <c r="P1523" s="4">
        <f t="shared" si="46"/>
        <v>42622</v>
      </c>
      <c r="Q1523" s="7">
        <f>IF(G1523="C",NormalCallSprd(O1523,H1523,M1523,(P1523-A1523)/365), NormalPutSprd(O1523,H1523,M1523,(P1523-A1523)/365))</f>
        <v>4</v>
      </c>
      <c r="R1523" s="9">
        <f t="shared" si="48"/>
        <v>0</v>
      </c>
    </row>
    <row r="1524" spans="1:18" x14ac:dyDescent="0.2">
      <c r="A1524" s="2">
        <v>42622</v>
      </c>
      <c r="B1524" s="1" t="s">
        <v>56</v>
      </c>
      <c r="C1524" s="1" t="s">
        <v>57</v>
      </c>
      <c r="D1524" s="2">
        <v>42378</v>
      </c>
      <c r="E1524" s="2">
        <f t="shared" si="47"/>
        <v>42614</v>
      </c>
      <c r="F1524" s="1" t="s">
        <v>58</v>
      </c>
      <c r="G1524" s="1" t="s">
        <v>16</v>
      </c>
      <c r="H1524" s="1">
        <v>-4</v>
      </c>
      <c r="I1524" s="1">
        <v>0.01</v>
      </c>
      <c r="J1524" s="1">
        <v>0</v>
      </c>
      <c r="K1524" s="2">
        <v>42622</v>
      </c>
      <c r="L1524" s="1">
        <v>3716</v>
      </c>
      <c r="M1524" s="1">
        <v>0.1</v>
      </c>
      <c r="N1524" s="1">
        <v>-0.64388000000000001</v>
      </c>
      <c r="O1524" s="3">
        <f>VLOOKUP(D1524,underlying!$D$40:$H$75,5,FALSE)</f>
        <v>-8.25</v>
      </c>
      <c r="P1524" s="4">
        <f t="shared" si="46"/>
        <v>42622</v>
      </c>
      <c r="Q1524" s="7">
        <f>IF(G1524="C",NormalCallSprd(O1524,H1524,M1524,(P1524-A1524)/365), NormalPutSprd(O1524,H1524,M1524,(P1524-A1524)/365))</f>
        <v>0</v>
      </c>
      <c r="R1524" s="9">
        <f t="shared" si="48"/>
        <v>0.01</v>
      </c>
    </row>
    <row r="1525" spans="1:18" x14ac:dyDescent="0.2">
      <c r="A1525" s="2">
        <v>42622</v>
      </c>
      <c r="B1525" s="1" t="s">
        <v>56</v>
      </c>
      <c r="C1525" s="1" t="s">
        <v>57</v>
      </c>
      <c r="D1525" s="2">
        <v>42378</v>
      </c>
      <c r="E1525" s="2">
        <f t="shared" si="47"/>
        <v>42614</v>
      </c>
      <c r="F1525" s="1" t="s">
        <v>58</v>
      </c>
      <c r="G1525" s="1" t="s">
        <v>18</v>
      </c>
      <c r="H1525" s="1">
        <v>-4</v>
      </c>
      <c r="I1525" s="1">
        <v>4.25</v>
      </c>
      <c r="J1525" s="1">
        <v>2.25</v>
      </c>
      <c r="K1525" s="2">
        <v>42622</v>
      </c>
      <c r="L1525" s="1">
        <v>3716</v>
      </c>
      <c r="M1525" s="1">
        <v>0.1</v>
      </c>
      <c r="N1525" s="1">
        <v>-0.57291000000000003</v>
      </c>
      <c r="O1525" s="3">
        <f>VLOOKUP(D1525,underlying!$D$40:$H$75,5,FALSE)</f>
        <v>-8.25</v>
      </c>
      <c r="P1525" s="4">
        <f t="shared" si="46"/>
        <v>42622</v>
      </c>
      <c r="Q1525" s="7">
        <f>IF(G1525="C",NormalCallSprd(O1525,H1525,M1525,(P1525-A1525)/365), NormalPutSprd(O1525,H1525,M1525,(P1525-A1525)/365))</f>
        <v>4.25</v>
      </c>
      <c r="R1525" s="9">
        <f t="shared" si="48"/>
        <v>0</v>
      </c>
    </row>
    <row r="1526" spans="1:18" x14ac:dyDescent="0.2">
      <c r="A1526" s="2">
        <v>42622</v>
      </c>
      <c r="B1526" s="1" t="s">
        <v>56</v>
      </c>
      <c r="C1526" s="1" t="s">
        <v>57</v>
      </c>
      <c r="D1526" s="2">
        <v>42378</v>
      </c>
      <c r="E1526" s="2">
        <f t="shared" si="47"/>
        <v>42614</v>
      </c>
      <c r="F1526" s="1" t="s">
        <v>58</v>
      </c>
      <c r="G1526" s="1" t="s">
        <v>16</v>
      </c>
      <c r="H1526" s="1">
        <v>-3.75</v>
      </c>
      <c r="I1526" s="1">
        <v>0.01</v>
      </c>
      <c r="J1526" s="1">
        <v>0</v>
      </c>
      <c r="K1526" s="2">
        <v>42622</v>
      </c>
      <c r="L1526" s="1">
        <v>3716</v>
      </c>
      <c r="M1526" s="1">
        <v>0.1</v>
      </c>
      <c r="N1526" s="1">
        <v>-0.49980999999999998</v>
      </c>
      <c r="O1526" s="3">
        <f>VLOOKUP(D1526,underlying!$D$40:$H$75,5,FALSE)</f>
        <v>-8.25</v>
      </c>
      <c r="P1526" s="4">
        <f t="shared" si="46"/>
        <v>42622</v>
      </c>
      <c r="Q1526" s="7">
        <f>IF(G1526="C",NormalCallSprd(O1526,H1526,M1526,(P1526-A1526)/365), NormalPutSprd(O1526,H1526,M1526,(P1526-A1526)/365))</f>
        <v>0</v>
      </c>
      <c r="R1526" s="9">
        <f t="shared" si="48"/>
        <v>0.01</v>
      </c>
    </row>
    <row r="1527" spans="1:18" x14ac:dyDescent="0.2">
      <c r="A1527" s="2">
        <v>42622</v>
      </c>
      <c r="B1527" s="1" t="s">
        <v>56</v>
      </c>
      <c r="C1527" s="1" t="s">
        <v>57</v>
      </c>
      <c r="D1527" s="2">
        <v>42378</v>
      </c>
      <c r="E1527" s="2">
        <f t="shared" si="47"/>
        <v>42614</v>
      </c>
      <c r="F1527" s="1" t="s">
        <v>58</v>
      </c>
      <c r="G1527" s="1" t="s">
        <v>18</v>
      </c>
      <c r="H1527" s="1">
        <v>-3.75</v>
      </c>
      <c r="I1527" s="1">
        <v>4.5</v>
      </c>
      <c r="J1527" s="1">
        <v>2.25</v>
      </c>
      <c r="K1527" s="2">
        <v>42622</v>
      </c>
      <c r="L1527" s="1">
        <v>3716</v>
      </c>
      <c r="M1527" s="1">
        <v>0.1</v>
      </c>
      <c r="N1527" s="1">
        <v>-0.42670000000000002</v>
      </c>
      <c r="O1527" s="3">
        <f>VLOOKUP(D1527,underlying!$D$40:$H$75,5,FALSE)</f>
        <v>-8.25</v>
      </c>
      <c r="P1527" s="4">
        <f t="shared" si="46"/>
        <v>42622</v>
      </c>
      <c r="Q1527" s="7">
        <f>IF(G1527="C",NormalCallSprd(O1527,H1527,M1527,(P1527-A1527)/365), NormalPutSprd(O1527,H1527,M1527,(P1527-A1527)/365))</f>
        <v>4.5</v>
      </c>
      <c r="R1527" s="9">
        <f t="shared" si="48"/>
        <v>0</v>
      </c>
    </row>
    <row r="1528" spans="1:18" x14ac:dyDescent="0.2">
      <c r="A1528" s="2">
        <v>42622</v>
      </c>
      <c r="B1528" s="1" t="s">
        <v>56</v>
      </c>
      <c r="C1528" s="1" t="s">
        <v>57</v>
      </c>
      <c r="D1528" s="2">
        <v>42378</v>
      </c>
      <c r="E1528" s="2">
        <f t="shared" si="47"/>
        <v>42614</v>
      </c>
      <c r="F1528" s="1" t="s">
        <v>58</v>
      </c>
      <c r="G1528" s="1" t="s">
        <v>16</v>
      </c>
      <c r="H1528" s="1">
        <v>-3.5</v>
      </c>
      <c r="I1528" s="1">
        <v>0.01</v>
      </c>
      <c r="J1528" s="1">
        <v>0</v>
      </c>
      <c r="K1528" s="2">
        <v>42622</v>
      </c>
      <c r="L1528" s="1">
        <v>3716</v>
      </c>
      <c r="M1528" s="1">
        <v>0.1</v>
      </c>
      <c r="N1528" s="1">
        <v>-0.35574</v>
      </c>
      <c r="O1528" s="3">
        <f>VLOOKUP(D1528,underlying!$D$40:$H$75,5,FALSE)</f>
        <v>-8.25</v>
      </c>
      <c r="P1528" s="4">
        <f t="shared" si="46"/>
        <v>42622</v>
      </c>
      <c r="Q1528" s="7">
        <f>IF(G1528="C",NormalCallSprd(O1528,H1528,M1528,(P1528-A1528)/365), NormalPutSprd(O1528,H1528,M1528,(P1528-A1528)/365))</f>
        <v>0</v>
      </c>
      <c r="R1528" s="9">
        <f t="shared" si="48"/>
        <v>0.01</v>
      </c>
    </row>
    <row r="1529" spans="1:18" x14ac:dyDescent="0.2">
      <c r="A1529" s="2">
        <v>42622</v>
      </c>
      <c r="B1529" s="1" t="s">
        <v>56</v>
      </c>
      <c r="C1529" s="1" t="s">
        <v>57</v>
      </c>
      <c r="D1529" s="2">
        <v>42378</v>
      </c>
      <c r="E1529" s="2">
        <f t="shared" si="47"/>
        <v>42614</v>
      </c>
      <c r="F1529" s="1" t="s">
        <v>58</v>
      </c>
      <c r="G1529" s="1" t="s">
        <v>18</v>
      </c>
      <c r="H1529" s="1">
        <v>-3.5</v>
      </c>
      <c r="I1529" s="1">
        <v>4.75</v>
      </c>
      <c r="J1529" s="1">
        <v>2.25</v>
      </c>
      <c r="K1529" s="2">
        <v>42622</v>
      </c>
      <c r="L1529" s="1">
        <v>3716</v>
      </c>
      <c r="M1529" s="1">
        <v>0.1</v>
      </c>
      <c r="N1529" s="1">
        <v>-0.28959000000000001</v>
      </c>
      <c r="O1529" s="3">
        <f>VLOOKUP(D1529,underlying!$D$40:$H$75,5,FALSE)</f>
        <v>-8.25</v>
      </c>
      <c r="P1529" s="4">
        <f t="shared" ref="P1529:P1592" si="49">DATE(YEAR(K1529),DAY(K1529),MONTH(K1529))</f>
        <v>42622</v>
      </c>
      <c r="Q1529" s="7">
        <f>IF(G1529="C",NormalCallSprd(O1529,H1529,M1529,(P1529-A1529)/365), NormalPutSprd(O1529,H1529,M1529,(P1529-A1529)/365))</f>
        <v>4.75</v>
      </c>
      <c r="R1529" s="9">
        <f t="shared" si="48"/>
        <v>0</v>
      </c>
    </row>
    <row r="1530" spans="1:18" x14ac:dyDescent="0.2">
      <c r="A1530" s="2">
        <v>42622</v>
      </c>
      <c r="B1530" s="1" t="s">
        <v>56</v>
      </c>
      <c r="C1530" s="1" t="s">
        <v>57</v>
      </c>
      <c r="D1530" s="2">
        <v>42378</v>
      </c>
      <c r="E1530" s="2">
        <f t="shared" si="47"/>
        <v>42614</v>
      </c>
      <c r="F1530" s="1" t="s">
        <v>58</v>
      </c>
      <c r="G1530" s="1" t="s">
        <v>16</v>
      </c>
      <c r="H1530" s="1">
        <v>-3.25</v>
      </c>
      <c r="I1530" s="1">
        <v>0.01</v>
      </c>
      <c r="J1530" s="1">
        <v>0</v>
      </c>
      <c r="K1530" s="2">
        <v>42622</v>
      </c>
      <c r="L1530" s="1">
        <v>3716</v>
      </c>
      <c r="M1530" s="1">
        <v>0.1</v>
      </c>
      <c r="N1530" s="1">
        <v>-0.22936999999999999</v>
      </c>
      <c r="O1530" s="3">
        <f>VLOOKUP(D1530,underlying!$D$40:$H$75,5,FALSE)</f>
        <v>-8.25</v>
      </c>
      <c r="P1530" s="4">
        <f t="shared" si="49"/>
        <v>42622</v>
      </c>
      <c r="Q1530" s="7">
        <f>IF(G1530="C",NormalCallSprd(O1530,H1530,M1530,(P1530-A1530)/365), NormalPutSprd(O1530,H1530,M1530,(P1530-A1530)/365))</f>
        <v>0</v>
      </c>
      <c r="R1530" s="9">
        <f t="shared" si="48"/>
        <v>0.01</v>
      </c>
    </row>
    <row r="1531" spans="1:18" x14ac:dyDescent="0.2">
      <c r="A1531" s="2">
        <v>42622</v>
      </c>
      <c r="B1531" s="1" t="s">
        <v>56</v>
      </c>
      <c r="C1531" s="1" t="s">
        <v>57</v>
      </c>
      <c r="D1531" s="2">
        <v>42378</v>
      </c>
      <c r="E1531" s="2">
        <f t="shared" si="47"/>
        <v>42614</v>
      </c>
      <c r="F1531" s="1" t="s">
        <v>58</v>
      </c>
      <c r="G1531" s="1" t="s">
        <v>18</v>
      </c>
      <c r="H1531" s="1">
        <v>-3.25</v>
      </c>
      <c r="I1531" s="1">
        <v>5</v>
      </c>
      <c r="J1531" s="1">
        <v>2.25</v>
      </c>
      <c r="K1531" s="2">
        <v>42622</v>
      </c>
      <c r="L1531" s="1">
        <v>3716</v>
      </c>
      <c r="M1531" s="1">
        <v>0.1</v>
      </c>
      <c r="N1531" s="1">
        <v>-0.17826</v>
      </c>
      <c r="O1531" s="3">
        <f>VLOOKUP(D1531,underlying!$D$40:$H$75,5,FALSE)</f>
        <v>-8.25</v>
      </c>
      <c r="P1531" s="4">
        <f t="shared" si="49"/>
        <v>42622</v>
      </c>
      <c r="Q1531" s="7">
        <f>IF(G1531="C",NormalCallSprd(O1531,H1531,M1531,(P1531-A1531)/365), NormalPutSprd(O1531,H1531,M1531,(P1531-A1531)/365))</f>
        <v>5</v>
      </c>
      <c r="R1531" s="9">
        <f t="shared" si="48"/>
        <v>0</v>
      </c>
    </row>
    <row r="1532" spans="1:18" x14ac:dyDescent="0.2">
      <c r="A1532" s="2">
        <v>42622</v>
      </c>
      <c r="B1532" s="1" t="s">
        <v>56</v>
      </c>
      <c r="C1532" s="1" t="s">
        <v>57</v>
      </c>
      <c r="D1532" s="2">
        <v>42378</v>
      </c>
      <c r="E1532" s="2">
        <f t="shared" si="47"/>
        <v>42614</v>
      </c>
      <c r="F1532" s="1" t="s">
        <v>58</v>
      </c>
      <c r="G1532" s="1" t="s">
        <v>16</v>
      </c>
      <c r="H1532" s="1">
        <v>-3</v>
      </c>
      <c r="I1532" s="1">
        <v>0.01</v>
      </c>
      <c r="J1532" s="1">
        <v>0</v>
      </c>
      <c r="K1532" s="2">
        <v>42622</v>
      </c>
      <c r="L1532" s="1">
        <v>3716</v>
      </c>
      <c r="M1532" s="1">
        <v>0.1</v>
      </c>
      <c r="N1532" s="1">
        <v>-0.13324</v>
      </c>
      <c r="O1532" s="3">
        <f>VLOOKUP(D1532,underlying!$D$40:$H$75,5,FALSE)</f>
        <v>-8.25</v>
      </c>
      <c r="P1532" s="4">
        <f t="shared" si="49"/>
        <v>42622</v>
      </c>
      <c r="Q1532" s="7">
        <f>IF(G1532="C",NormalCallSprd(O1532,H1532,M1532,(P1532-A1532)/365), NormalPutSprd(O1532,H1532,M1532,(P1532-A1532)/365))</f>
        <v>0</v>
      </c>
      <c r="R1532" s="9">
        <f t="shared" si="48"/>
        <v>0.01</v>
      </c>
    </row>
    <row r="1533" spans="1:18" x14ac:dyDescent="0.2">
      <c r="A1533" s="2">
        <v>42622</v>
      </c>
      <c r="B1533" s="1" t="s">
        <v>56</v>
      </c>
      <c r="C1533" s="1" t="s">
        <v>57</v>
      </c>
      <c r="D1533" s="2">
        <v>42378</v>
      </c>
      <c r="E1533" s="2">
        <f t="shared" si="47"/>
        <v>42614</v>
      </c>
      <c r="F1533" s="1" t="s">
        <v>58</v>
      </c>
      <c r="G1533" s="1" t="s">
        <v>18</v>
      </c>
      <c r="H1533" s="1">
        <v>-3</v>
      </c>
      <c r="I1533" s="1">
        <v>5.25</v>
      </c>
      <c r="J1533" s="1">
        <v>2.25</v>
      </c>
      <c r="K1533" s="2">
        <v>42622</v>
      </c>
      <c r="L1533" s="1">
        <v>3716</v>
      </c>
      <c r="M1533" s="1">
        <v>0.1</v>
      </c>
      <c r="N1533" s="1">
        <v>-9.8409999999999997E-2</v>
      </c>
      <c r="O1533" s="3">
        <f>VLOOKUP(D1533,underlying!$D$40:$H$75,5,FALSE)</f>
        <v>-8.25</v>
      </c>
      <c r="P1533" s="4">
        <f t="shared" si="49"/>
        <v>42622</v>
      </c>
      <c r="Q1533" s="7">
        <f>IF(G1533="C",NormalCallSprd(O1533,H1533,M1533,(P1533-A1533)/365), NormalPutSprd(O1533,H1533,M1533,(P1533-A1533)/365))</f>
        <v>5.25</v>
      </c>
      <c r="R1533" s="9">
        <f t="shared" si="48"/>
        <v>0</v>
      </c>
    </row>
    <row r="1534" spans="1:18" x14ac:dyDescent="0.2">
      <c r="A1534" s="2">
        <v>42622</v>
      </c>
      <c r="B1534" s="1" t="s">
        <v>56</v>
      </c>
      <c r="C1534" s="1" t="s">
        <v>57</v>
      </c>
      <c r="D1534" s="2">
        <v>42378</v>
      </c>
      <c r="E1534" s="2">
        <f t="shared" si="47"/>
        <v>42614</v>
      </c>
      <c r="F1534" s="1" t="s">
        <v>58</v>
      </c>
      <c r="G1534" s="1" t="s">
        <v>16</v>
      </c>
      <c r="H1534" s="1">
        <v>-2.75</v>
      </c>
      <c r="I1534" s="1">
        <v>0.01</v>
      </c>
      <c r="J1534" s="1">
        <v>0</v>
      </c>
      <c r="K1534" s="2">
        <v>42622</v>
      </c>
      <c r="L1534" s="1">
        <v>3716</v>
      </c>
      <c r="M1534" s="1">
        <v>0.1</v>
      </c>
      <c r="N1534" s="1">
        <v>-6.9239999999999996E-2</v>
      </c>
      <c r="O1534" s="3">
        <f>VLOOKUP(D1534,underlying!$D$40:$H$75,5,FALSE)</f>
        <v>-8.25</v>
      </c>
      <c r="P1534" s="4">
        <f t="shared" si="49"/>
        <v>42622</v>
      </c>
      <c r="Q1534" s="7">
        <f>IF(G1534="C",NormalCallSprd(O1534,H1534,M1534,(P1534-A1534)/365), NormalPutSprd(O1534,H1534,M1534,(P1534-A1534)/365))</f>
        <v>0</v>
      </c>
      <c r="R1534" s="9">
        <f t="shared" si="48"/>
        <v>0.01</v>
      </c>
    </row>
    <row r="1535" spans="1:18" x14ac:dyDescent="0.2">
      <c r="A1535" s="2">
        <v>42622</v>
      </c>
      <c r="B1535" s="1" t="s">
        <v>56</v>
      </c>
      <c r="C1535" s="1" t="s">
        <v>57</v>
      </c>
      <c r="D1535" s="2">
        <v>42378</v>
      </c>
      <c r="E1535" s="2">
        <f t="shared" si="47"/>
        <v>42614</v>
      </c>
      <c r="F1535" s="1" t="s">
        <v>58</v>
      </c>
      <c r="G1535" s="1" t="s">
        <v>18</v>
      </c>
      <c r="H1535" s="1">
        <v>-2.75</v>
      </c>
      <c r="I1535" s="1">
        <v>5.5</v>
      </c>
      <c r="J1535" s="1">
        <v>2.25</v>
      </c>
      <c r="K1535" s="2">
        <v>42622</v>
      </c>
      <c r="L1535" s="1">
        <v>3716</v>
      </c>
      <c r="M1535" s="1">
        <v>0.1</v>
      </c>
      <c r="N1535" s="1">
        <v>-4.8520000000000001E-2</v>
      </c>
      <c r="O1535" s="3">
        <f>VLOOKUP(D1535,underlying!$D$40:$H$75,5,FALSE)</f>
        <v>-8.25</v>
      </c>
      <c r="P1535" s="4">
        <f t="shared" si="49"/>
        <v>42622</v>
      </c>
      <c r="Q1535" s="7">
        <f>IF(G1535="C",NormalCallSprd(O1535,H1535,M1535,(P1535-A1535)/365), NormalPutSprd(O1535,H1535,M1535,(P1535-A1535)/365))</f>
        <v>5.5</v>
      </c>
      <c r="R1535" s="9">
        <f t="shared" si="48"/>
        <v>0</v>
      </c>
    </row>
    <row r="1536" spans="1:18" x14ac:dyDescent="0.2">
      <c r="A1536" s="2">
        <v>42622</v>
      </c>
      <c r="B1536" s="1" t="s">
        <v>56</v>
      </c>
      <c r="C1536" s="1" t="s">
        <v>57</v>
      </c>
      <c r="D1536" s="2">
        <v>42378</v>
      </c>
      <c r="E1536" s="2">
        <f t="shared" si="47"/>
        <v>42614</v>
      </c>
      <c r="F1536" s="1" t="s">
        <v>58</v>
      </c>
      <c r="G1536" s="1" t="s">
        <v>16</v>
      </c>
      <c r="H1536" s="1">
        <v>-2.5</v>
      </c>
      <c r="I1536" s="1">
        <v>0.01</v>
      </c>
      <c r="J1536" s="1">
        <v>0</v>
      </c>
      <c r="K1536" s="2">
        <v>42622</v>
      </c>
      <c r="L1536" s="1">
        <v>3716</v>
      </c>
      <c r="M1536" s="1">
        <v>0.1</v>
      </c>
      <c r="N1536" s="1">
        <v>-3.2620000000000003E-2</v>
      </c>
      <c r="O1536" s="3">
        <f>VLOOKUP(D1536,underlying!$D$40:$H$75,5,FALSE)</f>
        <v>-8.25</v>
      </c>
      <c r="P1536" s="4">
        <f t="shared" si="49"/>
        <v>42622</v>
      </c>
      <c r="Q1536" s="7">
        <f>IF(G1536="C",NormalCallSprd(O1536,H1536,M1536,(P1536-A1536)/365), NormalPutSprd(O1536,H1536,M1536,(P1536-A1536)/365))</f>
        <v>0</v>
      </c>
      <c r="R1536" s="9">
        <f t="shared" si="48"/>
        <v>0.01</v>
      </c>
    </row>
    <row r="1537" spans="1:18" x14ac:dyDescent="0.2">
      <c r="A1537" s="2">
        <v>42622</v>
      </c>
      <c r="B1537" s="1" t="s">
        <v>56</v>
      </c>
      <c r="C1537" s="1" t="s">
        <v>57</v>
      </c>
      <c r="D1537" s="2">
        <v>42378</v>
      </c>
      <c r="E1537" s="2">
        <f t="shared" si="47"/>
        <v>42614</v>
      </c>
      <c r="F1537" s="1" t="s">
        <v>58</v>
      </c>
      <c r="G1537" s="1" t="s">
        <v>18</v>
      </c>
      <c r="H1537" s="1">
        <v>-2.5</v>
      </c>
      <c r="I1537" s="1">
        <v>5.75</v>
      </c>
      <c r="J1537" s="1">
        <v>2.25</v>
      </c>
      <c r="K1537" s="2">
        <v>42622</v>
      </c>
      <c r="L1537" s="1">
        <v>3716</v>
      </c>
      <c r="M1537" s="1">
        <v>0.1</v>
      </c>
      <c r="N1537" s="1">
        <v>-2.128E-2</v>
      </c>
      <c r="O1537" s="3">
        <f>VLOOKUP(D1537,underlying!$D$40:$H$75,5,FALSE)</f>
        <v>-8.25</v>
      </c>
      <c r="P1537" s="4">
        <f t="shared" si="49"/>
        <v>42622</v>
      </c>
      <c r="Q1537" s="7">
        <f>IF(G1537="C",NormalCallSprd(O1537,H1537,M1537,(P1537-A1537)/365), NormalPutSprd(O1537,H1537,M1537,(P1537-A1537)/365))</f>
        <v>5.75</v>
      </c>
      <c r="R1537" s="9">
        <f t="shared" si="48"/>
        <v>0</v>
      </c>
    </row>
    <row r="1538" spans="1:18" x14ac:dyDescent="0.2">
      <c r="A1538" s="2">
        <v>42622</v>
      </c>
      <c r="B1538" s="1" t="s">
        <v>56</v>
      </c>
      <c r="C1538" s="1" t="s">
        <v>57</v>
      </c>
      <c r="D1538" s="2">
        <v>42378</v>
      </c>
      <c r="E1538" s="2">
        <f t="shared" ref="E1538:E1601" si="50">DATE(YEAR(D1538),DAY(D1538),MONTH(D1538))</f>
        <v>42614</v>
      </c>
      <c r="F1538" s="1" t="s">
        <v>58</v>
      </c>
      <c r="G1538" s="1" t="s">
        <v>16</v>
      </c>
      <c r="H1538" s="1">
        <v>-2.25</v>
      </c>
      <c r="I1538" s="1">
        <v>0.01</v>
      </c>
      <c r="J1538" s="1">
        <v>0</v>
      </c>
      <c r="K1538" s="2">
        <v>42622</v>
      </c>
      <c r="L1538" s="1">
        <v>3716</v>
      </c>
      <c r="M1538" s="1">
        <v>0.1</v>
      </c>
      <c r="N1538" s="1">
        <v>-1.3469999999999999E-2</v>
      </c>
      <c r="O1538" s="3">
        <f>VLOOKUP(D1538,underlying!$D$40:$H$75,5,FALSE)</f>
        <v>-8.25</v>
      </c>
      <c r="P1538" s="4">
        <f t="shared" si="49"/>
        <v>42622</v>
      </c>
      <c r="Q1538" s="7">
        <f>IF(G1538="C",NormalCallSprd(O1538,H1538,M1538,(P1538-A1538)/365), NormalPutSprd(O1538,H1538,M1538,(P1538-A1538)/365))</f>
        <v>0</v>
      </c>
      <c r="R1538" s="9">
        <f t="shared" si="48"/>
        <v>0.01</v>
      </c>
    </row>
    <row r="1539" spans="1:18" x14ac:dyDescent="0.2">
      <c r="A1539" s="2">
        <v>42622</v>
      </c>
      <c r="B1539" s="1" t="s">
        <v>56</v>
      </c>
      <c r="C1539" s="1" t="s">
        <v>57</v>
      </c>
      <c r="D1539" s="2">
        <v>42378</v>
      </c>
      <c r="E1539" s="2">
        <f t="shared" si="50"/>
        <v>42614</v>
      </c>
      <c r="F1539" s="1" t="s">
        <v>58</v>
      </c>
      <c r="G1539" s="1" t="s">
        <v>18</v>
      </c>
      <c r="H1539" s="1">
        <v>-2.25</v>
      </c>
      <c r="I1539" s="1">
        <v>6</v>
      </c>
      <c r="J1539" s="1">
        <v>2.25</v>
      </c>
      <c r="K1539" s="2">
        <v>42622</v>
      </c>
      <c r="L1539" s="1">
        <v>3716</v>
      </c>
      <c r="M1539" s="1">
        <v>0.1</v>
      </c>
      <c r="N1539" s="1">
        <v>-8.2699999999999996E-3</v>
      </c>
      <c r="O1539" s="3">
        <f>VLOOKUP(D1539,underlying!$D$40:$H$75,5,FALSE)</f>
        <v>-8.25</v>
      </c>
      <c r="P1539" s="4">
        <f t="shared" si="49"/>
        <v>42622</v>
      </c>
      <c r="Q1539" s="7">
        <f>IF(G1539="C",NormalCallSprd(O1539,H1539,M1539,(P1539-A1539)/365), NormalPutSprd(O1539,H1539,M1539,(P1539-A1539)/365))</f>
        <v>6</v>
      </c>
      <c r="R1539" s="9">
        <f t="shared" ref="R1539:R1602" si="51">ABS(Q1539-I1539)</f>
        <v>0</v>
      </c>
    </row>
    <row r="1540" spans="1:18" x14ac:dyDescent="0.2">
      <c r="A1540" s="2">
        <v>42622</v>
      </c>
      <c r="B1540" s="1" t="s">
        <v>56</v>
      </c>
      <c r="C1540" s="1" t="s">
        <v>57</v>
      </c>
      <c r="D1540" s="2">
        <v>42378</v>
      </c>
      <c r="E1540" s="2">
        <f t="shared" si="50"/>
        <v>42614</v>
      </c>
      <c r="F1540" s="1" t="s">
        <v>58</v>
      </c>
      <c r="G1540" s="1" t="s">
        <v>16</v>
      </c>
      <c r="H1540" s="1">
        <v>-2</v>
      </c>
      <c r="I1540" s="1">
        <v>0.01</v>
      </c>
      <c r="J1540" s="1">
        <v>0</v>
      </c>
      <c r="K1540" s="2">
        <v>42622</v>
      </c>
      <c r="L1540" s="1">
        <v>3716</v>
      </c>
      <c r="M1540" s="1">
        <v>0.1</v>
      </c>
      <c r="N1540" s="1">
        <v>-4.9300000000000004E-3</v>
      </c>
      <c r="O1540" s="3">
        <f>VLOOKUP(D1540,underlying!$D$40:$H$75,5,FALSE)</f>
        <v>-8.25</v>
      </c>
      <c r="P1540" s="4">
        <f t="shared" si="49"/>
        <v>42622</v>
      </c>
      <c r="Q1540" s="7">
        <f>IF(G1540="C",NormalCallSprd(O1540,H1540,M1540,(P1540-A1540)/365), NormalPutSprd(O1540,H1540,M1540,(P1540-A1540)/365))</f>
        <v>0</v>
      </c>
      <c r="R1540" s="9">
        <f t="shared" si="51"/>
        <v>0.01</v>
      </c>
    </row>
    <row r="1541" spans="1:18" x14ac:dyDescent="0.2">
      <c r="A1541" s="2">
        <v>42622</v>
      </c>
      <c r="B1541" s="1" t="s">
        <v>56</v>
      </c>
      <c r="C1541" s="1" t="s">
        <v>57</v>
      </c>
      <c r="D1541" s="2">
        <v>42378</v>
      </c>
      <c r="E1541" s="2">
        <f t="shared" si="50"/>
        <v>42614</v>
      </c>
      <c r="F1541" s="1" t="s">
        <v>58</v>
      </c>
      <c r="G1541" s="1" t="s">
        <v>18</v>
      </c>
      <c r="H1541" s="1">
        <v>-2</v>
      </c>
      <c r="I1541" s="1">
        <v>6.25</v>
      </c>
      <c r="J1541" s="1">
        <v>2.25</v>
      </c>
      <c r="K1541" s="2">
        <v>42622</v>
      </c>
      <c r="L1541" s="1">
        <v>3716</v>
      </c>
      <c r="M1541" s="1">
        <v>0.1</v>
      </c>
      <c r="N1541" s="1">
        <v>-2.8400000000000001E-3</v>
      </c>
      <c r="O1541" s="3">
        <f>VLOOKUP(D1541,underlying!$D$40:$H$75,5,FALSE)</f>
        <v>-8.25</v>
      </c>
      <c r="P1541" s="4">
        <f t="shared" si="49"/>
        <v>42622</v>
      </c>
      <c r="Q1541" s="7">
        <f>IF(G1541="C",NormalCallSprd(O1541,H1541,M1541,(P1541-A1541)/365), NormalPutSprd(O1541,H1541,M1541,(P1541-A1541)/365))</f>
        <v>6.25</v>
      </c>
      <c r="R1541" s="9">
        <f t="shared" si="51"/>
        <v>0</v>
      </c>
    </row>
    <row r="1542" spans="1:18" x14ac:dyDescent="0.2">
      <c r="A1542" s="2">
        <v>42622</v>
      </c>
      <c r="B1542" s="1" t="s">
        <v>56</v>
      </c>
      <c r="C1542" s="1" t="s">
        <v>57</v>
      </c>
      <c r="D1542" s="2">
        <v>42378</v>
      </c>
      <c r="E1542" s="2">
        <f t="shared" si="50"/>
        <v>42614</v>
      </c>
      <c r="F1542" s="1" t="s">
        <v>58</v>
      </c>
      <c r="G1542" s="1" t="s">
        <v>16</v>
      </c>
      <c r="H1542" s="1">
        <v>-1.75</v>
      </c>
      <c r="I1542" s="1">
        <v>0.01</v>
      </c>
      <c r="J1542" s="1">
        <v>0</v>
      </c>
      <c r="K1542" s="2">
        <v>42622</v>
      </c>
      <c r="L1542" s="1">
        <v>3716</v>
      </c>
      <c r="M1542" s="1">
        <v>0.1</v>
      </c>
      <c r="N1542" s="1">
        <v>-1.5900000000000001E-3</v>
      </c>
      <c r="O1542" s="3">
        <f>VLOOKUP(D1542,underlying!$D$40:$H$75,5,FALSE)</f>
        <v>-8.25</v>
      </c>
      <c r="P1542" s="4">
        <f t="shared" si="49"/>
        <v>42622</v>
      </c>
      <c r="Q1542" s="7">
        <f>IF(G1542="C",NormalCallSprd(O1542,H1542,M1542,(P1542-A1542)/365), NormalPutSprd(O1542,H1542,M1542,(P1542-A1542)/365))</f>
        <v>0</v>
      </c>
      <c r="R1542" s="9">
        <f t="shared" si="51"/>
        <v>0.01</v>
      </c>
    </row>
    <row r="1543" spans="1:18" x14ac:dyDescent="0.2">
      <c r="A1543" s="2">
        <v>42622</v>
      </c>
      <c r="B1543" s="1" t="s">
        <v>56</v>
      </c>
      <c r="C1543" s="1" t="s">
        <v>57</v>
      </c>
      <c r="D1543" s="2">
        <v>42378</v>
      </c>
      <c r="E1543" s="2">
        <f t="shared" si="50"/>
        <v>42614</v>
      </c>
      <c r="F1543" s="1" t="s">
        <v>58</v>
      </c>
      <c r="G1543" s="1" t="s">
        <v>18</v>
      </c>
      <c r="H1543" s="1">
        <v>-1.75</v>
      </c>
      <c r="I1543" s="1">
        <v>6.5</v>
      </c>
      <c r="J1543" s="1">
        <v>2.25</v>
      </c>
      <c r="K1543" s="2">
        <v>42622</v>
      </c>
      <c r="L1543" s="1">
        <v>3716</v>
      </c>
      <c r="M1543" s="1">
        <v>0.1</v>
      </c>
      <c r="N1543" s="1">
        <v>-8.4000000000000003E-4</v>
      </c>
      <c r="O1543" s="3">
        <f>VLOOKUP(D1543,underlying!$D$40:$H$75,5,FALSE)</f>
        <v>-8.25</v>
      </c>
      <c r="P1543" s="4">
        <f t="shared" si="49"/>
        <v>42622</v>
      </c>
      <c r="Q1543" s="7">
        <f>IF(G1543="C",NormalCallSprd(O1543,H1543,M1543,(P1543-A1543)/365), NormalPutSprd(O1543,H1543,M1543,(P1543-A1543)/365))</f>
        <v>6.5</v>
      </c>
      <c r="R1543" s="9">
        <f t="shared" si="51"/>
        <v>0</v>
      </c>
    </row>
    <row r="1544" spans="1:18" x14ac:dyDescent="0.2">
      <c r="A1544" s="2">
        <v>42622</v>
      </c>
      <c r="B1544" s="1" t="s">
        <v>56</v>
      </c>
      <c r="C1544" s="1" t="s">
        <v>57</v>
      </c>
      <c r="D1544" s="2">
        <v>42378</v>
      </c>
      <c r="E1544" s="2">
        <f t="shared" si="50"/>
        <v>42614</v>
      </c>
      <c r="F1544" s="1" t="s">
        <v>58</v>
      </c>
      <c r="G1544" s="1" t="s">
        <v>16</v>
      </c>
      <c r="H1544" s="1">
        <v>-1.5</v>
      </c>
      <c r="I1544" s="1">
        <v>0.01</v>
      </c>
      <c r="J1544" s="1">
        <v>0</v>
      </c>
      <c r="K1544" s="2">
        <v>42622</v>
      </c>
      <c r="L1544" s="1">
        <v>3716</v>
      </c>
      <c r="M1544" s="1">
        <v>0.1</v>
      </c>
      <c r="N1544" s="1">
        <v>-4.4000000000000002E-4</v>
      </c>
      <c r="O1544" s="3">
        <f>VLOOKUP(D1544,underlying!$D$40:$H$75,5,FALSE)</f>
        <v>-8.25</v>
      </c>
      <c r="P1544" s="4">
        <f t="shared" si="49"/>
        <v>42622</v>
      </c>
      <c r="Q1544" s="7">
        <f>IF(G1544="C",NormalCallSprd(O1544,H1544,M1544,(P1544-A1544)/365), NormalPutSprd(O1544,H1544,M1544,(P1544-A1544)/365))</f>
        <v>0</v>
      </c>
      <c r="R1544" s="9">
        <f t="shared" si="51"/>
        <v>0.01</v>
      </c>
    </row>
    <row r="1545" spans="1:18" x14ac:dyDescent="0.2">
      <c r="A1545" s="2">
        <v>42622</v>
      </c>
      <c r="B1545" s="1" t="s">
        <v>56</v>
      </c>
      <c r="C1545" s="1" t="s">
        <v>57</v>
      </c>
      <c r="D1545" s="2">
        <v>42378</v>
      </c>
      <c r="E1545" s="2">
        <f t="shared" si="50"/>
        <v>42614</v>
      </c>
      <c r="F1545" s="1" t="s">
        <v>58</v>
      </c>
      <c r="G1545" s="1" t="s">
        <v>18</v>
      </c>
      <c r="H1545" s="1">
        <v>-1.5</v>
      </c>
      <c r="I1545" s="1">
        <v>6.75</v>
      </c>
      <c r="J1545" s="1">
        <v>2.25</v>
      </c>
      <c r="K1545" s="2">
        <v>42622</v>
      </c>
      <c r="L1545" s="1">
        <v>3716</v>
      </c>
      <c r="M1545" s="1">
        <v>0.1</v>
      </c>
      <c r="N1545" s="1">
        <v>-2.2000000000000001E-4</v>
      </c>
      <c r="O1545" s="3">
        <f>VLOOKUP(D1545,underlying!$D$40:$H$75,5,FALSE)</f>
        <v>-8.25</v>
      </c>
      <c r="P1545" s="4">
        <f t="shared" si="49"/>
        <v>42622</v>
      </c>
      <c r="Q1545" s="7">
        <f>IF(G1545="C",NormalCallSprd(O1545,H1545,M1545,(P1545-A1545)/365), NormalPutSprd(O1545,H1545,M1545,(P1545-A1545)/365))</f>
        <v>6.75</v>
      </c>
      <c r="R1545" s="9">
        <f t="shared" si="51"/>
        <v>0</v>
      </c>
    </row>
    <row r="1546" spans="1:18" x14ac:dyDescent="0.2">
      <c r="A1546" s="2">
        <v>42622</v>
      </c>
      <c r="B1546" s="1" t="s">
        <v>56</v>
      </c>
      <c r="C1546" s="1" t="s">
        <v>57</v>
      </c>
      <c r="D1546" s="2">
        <v>42378</v>
      </c>
      <c r="E1546" s="2">
        <f t="shared" si="50"/>
        <v>42614</v>
      </c>
      <c r="F1546" s="1" t="s">
        <v>58</v>
      </c>
      <c r="G1546" s="1" t="s">
        <v>16</v>
      </c>
      <c r="H1546" s="1">
        <v>-1.25</v>
      </c>
      <c r="I1546" s="1">
        <v>0.01</v>
      </c>
      <c r="J1546" s="1">
        <v>0</v>
      </c>
      <c r="K1546" s="2">
        <v>42622</v>
      </c>
      <c r="L1546" s="1">
        <v>3716</v>
      </c>
      <c r="M1546" s="1">
        <v>0.1</v>
      </c>
      <c r="N1546" s="1">
        <v>-1.1E-4</v>
      </c>
      <c r="O1546" s="3">
        <f>VLOOKUP(D1546,underlying!$D$40:$H$75,5,FALSE)</f>
        <v>-8.25</v>
      </c>
      <c r="P1546" s="4">
        <f t="shared" si="49"/>
        <v>42622</v>
      </c>
      <c r="Q1546" s="7">
        <f>IF(G1546="C",NormalCallSprd(O1546,H1546,M1546,(P1546-A1546)/365), NormalPutSprd(O1546,H1546,M1546,(P1546-A1546)/365))</f>
        <v>0</v>
      </c>
      <c r="R1546" s="9">
        <f t="shared" si="51"/>
        <v>0.01</v>
      </c>
    </row>
    <row r="1547" spans="1:18" x14ac:dyDescent="0.2">
      <c r="A1547" s="2">
        <v>42622</v>
      </c>
      <c r="B1547" s="1" t="s">
        <v>56</v>
      </c>
      <c r="C1547" s="1" t="s">
        <v>57</v>
      </c>
      <c r="D1547" s="2">
        <v>42378</v>
      </c>
      <c r="E1547" s="2">
        <f t="shared" si="50"/>
        <v>42614</v>
      </c>
      <c r="F1547" s="1" t="s">
        <v>58</v>
      </c>
      <c r="G1547" s="1" t="s">
        <v>18</v>
      </c>
      <c r="H1547" s="1">
        <v>-1.25</v>
      </c>
      <c r="I1547" s="1">
        <v>7</v>
      </c>
      <c r="J1547" s="1">
        <v>2.25</v>
      </c>
      <c r="K1547" s="2">
        <v>42622</v>
      </c>
      <c r="L1547" s="1">
        <v>3716</v>
      </c>
      <c r="M1547" s="1">
        <v>0.1</v>
      </c>
      <c r="N1547" s="1">
        <v>-5.0000000000000002E-5</v>
      </c>
      <c r="O1547" s="3">
        <f>VLOOKUP(D1547,underlying!$D$40:$H$75,5,FALSE)</f>
        <v>-8.25</v>
      </c>
      <c r="P1547" s="4">
        <f t="shared" si="49"/>
        <v>42622</v>
      </c>
      <c r="Q1547" s="7">
        <f>IF(G1547="C",NormalCallSprd(O1547,H1547,M1547,(P1547-A1547)/365), NormalPutSprd(O1547,H1547,M1547,(P1547-A1547)/365))</f>
        <v>7</v>
      </c>
      <c r="R1547" s="9">
        <f t="shared" si="51"/>
        <v>0</v>
      </c>
    </row>
    <row r="1548" spans="1:18" x14ac:dyDescent="0.2">
      <c r="A1548" s="2">
        <v>42622</v>
      </c>
      <c r="B1548" s="1" t="s">
        <v>56</v>
      </c>
      <c r="C1548" s="1" t="s">
        <v>57</v>
      </c>
      <c r="D1548" s="2">
        <v>42378</v>
      </c>
      <c r="E1548" s="2">
        <f t="shared" si="50"/>
        <v>42614</v>
      </c>
      <c r="F1548" s="1" t="s">
        <v>58</v>
      </c>
      <c r="G1548" s="1" t="s">
        <v>16</v>
      </c>
      <c r="H1548" s="1">
        <v>-1</v>
      </c>
      <c r="I1548" s="1">
        <v>0.01</v>
      </c>
      <c r="J1548" s="1">
        <v>0</v>
      </c>
      <c r="K1548" s="2">
        <v>42622</v>
      </c>
      <c r="L1548" s="1">
        <v>3716</v>
      </c>
      <c r="M1548" s="1">
        <v>0.1</v>
      </c>
      <c r="N1548" s="1">
        <v>-2.0000000000000002E-5</v>
      </c>
      <c r="O1548" s="3">
        <f>VLOOKUP(D1548,underlying!$D$40:$H$75,5,FALSE)</f>
        <v>-8.25</v>
      </c>
      <c r="P1548" s="4">
        <f t="shared" si="49"/>
        <v>42622</v>
      </c>
      <c r="Q1548" s="7">
        <f>IF(G1548="C",NormalCallSprd(O1548,H1548,M1548,(P1548-A1548)/365), NormalPutSprd(O1548,H1548,M1548,(P1548-A1548)/365))</f>
        <v>0</v>
      </c>
      <c r="R1548" s="9">
        <f t="shared" si="51"/>
        <v>0.01</v>
      </c>
    </row>
    <row r="1549" spans="1:18" x14ac:dyDescent="0.2">
      <c r="A1549" s="2">
        <v>42622</v>
      </c>
      <c r="B1549" s="1" t="s">
        <v>56</v>
      </c>
      <c r="C1549" s="1" t="s">
        <v>57</v>
      </c>
      <c r="D1549" s="2">
        <v>42378</v>
      </c>
      <c r="E1549" s="2">
        <f t="shared" si="50"/>
        <v>42614</v>
      </c>
      <c r="F1549" s="1" t="s">
        <v>58</v>
      </c>
      <c r="G1549" s="1" t="s">
        <v>18</v>
      </c>
      <c r="H1549" s="1">
        <v>-1</v>
      </c>
      <c r="I1549" s="1">
        <v>7.25</v>
      </c>
      <c r="J1549" s="1">
        <v>2.25</v>
      </c>
      <c r="K1549" s="2">
        <v>42622</v>
      </c>
      <c r="L1549" s="1">
        <v>3716</v>
      </c>
      <c r="M1549" s="1">
        <v>0.1</v>
      </c>
      <c r="N1549" s="1">
        <v>-1.0000000000000001E-5</v>
      </c>
      <c r="O1549" s="3">
        <f>VLOOKUP(D1549,underlying!$D$40:$H$75,5,FALSE)</f>
        <v>-8.25</v>
      </c>
      <c r="P1549" s="4">
        <f t="shared" si="49"/>
        <v>42622</v>
      </c>
      <c r="Q1549" s="7">
        <f>IF(G1549="C",NormalCallSprd(O1549,H1549,M1549,(P1549-A1549)/365), NormalPutSprd(O1549,H1549,M1549,(P1549-A1549)/365))</f>
        <v>7.25</v>
      </c>
      <c r="R1549" s="9">
        <f t="shared" si="51"/>
        <v>0</v>
      </c>
    </row>
    <row r="1550" spans="1:18" x14ac:dyDescent="0.2">
      <c r="A1550" s="2">
        <v>42622</v>
      </c>
      <c r="B1550" s="1" t="s">
        <v>56</v>
      </c>
      <c r="C1550" s="1" t="s">
        <v>57</v>
      </c>
      <c r="D1550" s="2">
        <v>42378</v>
      </c>
      <c r="E1550" s="2">
        <f t="shared" si="50"/>
        <v>42614</v>
      </c>
      <c r="F1550" s="1" t="s">
        <v>58</v>
      </c>
      <c r="G1550" s="1" t="s">
        <v>16</v>
      </c>
      <c r="H1550" s="1">
        <v>-0.75</v>
      </c>
      <c r="I1550" s="1">
        <v>0.01</v>
      </c>
      <c r="J1550" s="1">
        <v>0</v>
      </c>
      <c r="K1550" s="2">
        <v>42622</v>
      </c>
      <c r="L1550" s="1">
        <v>3716</v>
      </c>
      <c r="M1550" s="1">
        <v>0.1</v>
      </c>
      <c r="N1550" s="1">
        <v>0.39359</v>
      </c>
      <c r="O1550" s="3">
        <f>VLOOKUP(D1550,underlying!$D$40:$H$75,5,FALSE)</f>
        <v>-8.25</v>
      </c>
      <c r="P1550" s="4">
        <f t="shared" si="49"/>
        <v>42622</v>
      </c>
      <c r="Q1550" s="7">
        <f>IF(G1550="C",NormalCallSprd(O1550,H1550,M1550,(P1550-A1550)/365), NormalPutSprd(O1550,H1550,M1550,(P1550-A1550)/365))</f>
        <v>0</v>
      </c>
      <c r="R1550" s="9">
        <f t="shared" si="51"/>
        <v>0.01</v>
      </c>
    </row>
    <row r="1551" spans="1:18" x14ac:dyDescent="0.2">
      <c r="A1551" s="2">
        <v>42622</v>
      </c>
      <c r="B1551" s="1" t="s">
        <v>56</v>
      </c>
      <c r="C1551" s="1" t="s">
        <v>57</v>
      </c>
      <c r="D1551" s="2">
        <v>42378</v>
      </c>
      <c r="E1551" s="2">
        <f t="shared" si="50"/>
        <v>42614</v>
      </c>
      <c r="F1551" s="1" t="s">
        <v>58</v>
      </c>
      <c r="G1551" s="1" t="s">
        <v>18</v>
      </c>
      <c r="H1551" s="1">
        <v>-0.75</v>
      </c>
      <c r="I1551" s="1">
        <v>7.5</v>
      </c>
      <c r="J1551" s="1">
        <v>2.25</v>
      </c>
      <c r="K1551" s="2">
        <v>42622</v>
      </c>
      <c r="L1551" s="1">
        <v>3716</v>
      </c>
      <c r="M1551" s="1">
        <v>0.1</v>
      </c>
      <c r="N1551" s="1">
        <v>0.41900999999999999</v>
      </c>
      <c r="O1551" s="3">
        <f>VLOOKUP(D1551,underlying!$D$40:$H$75,5,FALSE)</f>
        <v>-8.25</v>
      </c>
      <c r="P1551" s="4">
        <f t="shared" si="49"/>
        <v>42622</v>
      </c>
      <c r="Q1551" s="7">
        <f>IF(G1551="C",NormalCallSprd(O1551,H1551,M1551,(P1551-A1551)/365), NormalPutSprd(O1551,H1551,M1551,(P1551-A1551)/365))</f>
        <v>7.5</v>
      </c>
      <c r="R1551" s="9">
        <f t="shared" si="51"/>
        <v>0</v>
      </c>
    </row>
    <row r="1552" spans="1:18" x14ac:dyDescent="0.2">
      <c r="A1552" s="2">
        <v>42622</v>
      </c>
      <c r="B1552" s="1" t="s">
        <v>56</v>
      </c>
      <c r="C1552" s="1" t="s">
        <v>57</v>
      </c>
      <c r="D1552" s="2">
        <v>42378</v>
      </c>
      <c r="E1552" s="2">
        <f t="shared" si="50"/>
        <v>42614</v>
      </c>
      <c r="F1552" s="1" t="s">
        <v>58</v>
      </c>
      <c r="G1552" s="1" t="s">
        <v>16</v>
      </c>
      <c r="H1552" s="1">
        <v>-0.5</v>
      </c>
      <c r="I1552" s="1">
        <v>0.01</v>
      </c>
      <c r="J1552" s="1">
        <v>0</v>
      </c>
      <c r="K1552" s="2">
        <v>42622</v>
      </c>
      <c r="L1552" s="1">
        <v>3716</v>
      </c>
      <c r="M1552" s="1">
        <v>0.1</v>
      </c>
      <c r="N1552" s="1">
        <v>0.44475999999999999</v>
      </c>
      <c r="O1552" s="3">
        <f>VLOOKUP(D1552,underlying!$D$40:$H$75,5,FALSE)</f>
        <v>-8.25</v>
      </c>
      <c r="P1552" s="4">
        <f t="shared" si="49"/>
        <v>42622</v>
      </c>
      <c r="Q1552" s="7">
        <f>IF(G1552="C",NormalCallSprd(O1552,H1552,M1552,(P1552-A1552)/365), NormalPutSprd(O1552,H1552,M1552,(P1552-A1552)/365))</f>
        <v>0</v>
      </c>
      <c r="R1552" s="9">
        <f t="shared" si="51"/>
        <v>0.01</v>
      </c>
    </row>
    <row r="1553" spans="1:18" x14ac:dyDescent="0.2">
      <c r="A1553" s="2">
        <v>42622</v>
      </c>
      <c r="B1553" s="1" t="s">
        <v>56</v>
      </c>
      <c r="C1553" s="1" t="s">
        <v>57</v>
      </c>
      <c r="D1553" s="2">
        <v>42378</v>
      </c>
      <c r="E1553" s="2">
        <f t="shared" si="50"/>
        <v>42614</v>
      </c>
      <c r="F1553" s="1" t="s">
        <v>58</v>
      </c>
      <c r="G1553" s="1" t="s">
        <v>18</v>
      </c>
      <c r="H1553" s="1">
        <v>-0.5</v>
      </c>
      <c r="I1553" s="1">
        <v>7.75</v>
      </c>
      <c r="J1553" s="1">
        <v>2.25</v>
      </c>
      <c r="K1553" s="2">
        <v>42622</v>
      </c>
      <c r="L1553" s="1">
        <v>3716</v>
      </c>
      <c r="M1553" s="1">
        <v>0.1</v>
      </c>
      <c r="N1553" s="1">
        <v>0.4708</v>
      </c>
      <c r="O1553" s="3">
        <f>VLOOKUP(D1553,underlying!$D$40:$H$75,5,FALSE)</f>
        <v>-8.25</v>
      </c>
      <c r="P1553" s="4">
        <f t="shared" si="49"/>
        <v>42622</v>
      </c>
      <c r="Q1553" s="7">
        <f>IF(G1553="C",NormalCallSprd(O1553,H1553,M1553,(P1553-A1553)/365), NormalPutSprd(O1553,H1553,M1553,(P1553-A1553)/365))</f>
        <v>7.75</v>
      </c>
      <c r="R1553" s="9">
        <f t="shared" si="51"/>
        <v>0</v>
      </c>
    </row>
    <row r="1554" spans="1:18" x14ac:dyDescent="0.2">
      <c r="A1554" s="2">
        <v>42622</v>
      </c>
      <c r="B1554" s="1" t="s">
        <v>56</v>
      </c>
      <c r="C1554" s="1" t="s">
        <v>57</v>
      </c>
      <c r="D1554" s="2">
        <v>42378</v>
      </c>
      <c r="E1554" s="2">
        <f t="shared" si="50"/>
        <v>42614</v>
      </c>
      <c r="F1554" s="1" t="s">
        <v>58</v>
      </c>
      <c r="G1554" s="1" t="s">
        <v>16</v>
      </c>
      <c r="H1554" s="1">
        <v>-0.25</v>
      </c>
      <c r="I1554" s="1">
        <v>0.01</v>
      </c>
      <c r="J1554" s="1">
        <v>0</v>
      </c>
      <c r="K1554" s="2">
        <v>42622</v>
      </c>
      <c r="L1554" s="1">
        <v>3716</v>
      </c>
      <c r="M1554" s="1">
        <v>0.1</v>
      </c>
      <c r="N1554" s="1">
        <v>0.49681999999999998</v>
      </c>
      <c r="O1554" s="3">
        <f>VLOOKUP(D1554,underlying!$D$40:$H$75,5,FALSE)</f>
        <v>-8.25</v>
      </c>
      <c r="P1554" s="4">
        <f t="shared" si="49"/>
        <v>42622</v>
      </c>
      <c r="Q1554" s="7">
        <f>IF(G1554="C",NormalCallSprd(O1554,H1554,M1554,(P1554-A1554)/365), NormalPutSprd(O1554,H1554,M1554,(P1554-A1554)/365))</f>
        <v>0</v>
      </c>
      <c r="R1554" s="9">
        <f t="shared" si="51"/>
        <v>0.01</v>
      </c>
    </row>
    <row r="1555" spans="1:18" x14ac:dyDescent="0.2">
      <c r="A1555" s="2">
        <v>42622</v>
      </c>
      <c r="B1555" s="1" t="s">
        <v>56</v>
      </c>
      <c r="C1555" s="1" t="s">
        <v>57</v>
      </c>
      <c r="D1555" s="2">
        <v>42378</v>
      </c>
      <c r="E1555" s="2">
        <f t="shared" si="50"/>
        <v>42614</v>
      </c>
      <c r="F1555" s="1" t="s">
        <v>58</v>
      </c>
      <c r="G1555" s="1" t="s">
        <v>18</v>
      </c>
      <c r="H1555" s="1">
        <v>-0.25</v>
      </c>
      <c r="I1555" s="1">
        <v>8</v>
      </c>
      <c r="J1555" s="1">
        <v>2.25</v>
      </c>
      <c r="K1555" s="2">
        <v>42622</v>
      </c>
      <c r="L1555" s="1">
        <v>3716</v>
      </c>
      <c r="M1555" s="1">
        <v>0.1</v>
      </c>
      <c r="N1555" s="1">
        <v>0.52283000000000002</v>
      </c>
      <c r="O1555" s="3">
        <f>VLOOKUP(D1555,underlying!$D$40:$H$75,5,FALSE)</f>
        <v>-8.25</v>
      </c>
      <c r="P1555" s="4">
        <f t="shared" si="49"/>
        <v>42622</v>
      </c>
      <c r="Q1555" s="7">
        <f>IF(G1555="C",NormalCallSprd(O1555,H1555,M1555,(P1555-A1555)/365), NormalPutSprd(O1555,H1555,M1555,(P1555-A1555)/365))</f>
        <v>8</v>
      </c>
      <c r="R1555" s="9">
        <f t="shared" si="51"/>
        <v>0</v>
      </c>
    </row>
    <row r="1556" spans="1:18" x14ac:dyDescent="0.2">
      <c r="A1556" s="2">
        <v>42622</v>
      </c>
      <c r="B1556" s="1" t="s">
        <v>56</v>
      </c>
      <c r="C1556" s="1" t="s">
        <v>57</v>
      </c>
      <c r="D1556" s="2">
        <v>42379</v>
      </c>
      <c r="E1556" s="2">
        <f t="shared" si="50"/>
        <v>42644</v>
      </c>
      <c r="F1556" s="1" t="s">
        <v>58</v>
      </c>
      <c r="G1556" s="1" t="s">
        <v>16</v>
      </c>
      <c r="H1556" s="1">
        <v>-13</v>
      </c>
      <c r="I1556" s="1">
        <v>9</v>
      </c>
      <c r="J1556" s="1">
        <v>-0.25</v>
      </c>
      <c r="K1556" s="2">
        <v>42684</v>
      </c>
      <c r="L1556" s="1">
        <v>3716</v>
      </c>
      <c r="M1556" s="1">
        <v>4.57</v>
      </c>
      <c r="N1556" s="1">
        <v>0.54888000000000003</v>
      </c>
      <c r="O1556" s="3">
        <f>VLOOKUP(D1556,underlying!$D$40:$H$75,5,FALSE)</f>
        <v>-4</v>
      </c>
      <c r="P1556" s="4">
        <f t="shared" si="49"/>
        <v>42654</v>
      </c>
      <c r="Q1556" s="7">
        <f>IF(G1556="C",NormalCallSprd(O1556,H1556,M1556,(P1556-A1556)/365), NormalPutSprd(O1556,H1556,M1556,(P1556-A1556)/365))</f>
        <v>9.0000000000028368</v>
      </c>
      <c r="R1556" s="9">
        <f t="shared" si="51"/>
        <v>2.8368418725222E-12</v>
      </c>
    </row>
    <row r="1557" spans="1:18" x14ac:dyDescent="0.2">
      <c r="A1557" s="2">
        <v>42622</v>
      </c>
      <c r="B1557" s="1" t="s">
        <v>56</v>
      </c>
      <c r="C1557" s="1" t="s">
        <v>57</v>
      </c>
      <c r="D1557" s="2">
        <v>42379</v>
      </c>
      <c r="E1557" s="2">
        <f t="shared" si="50"/>
        <v>42644</v>
      </c>
      <c r="F1557" s="1" t="s">
        <v>58</v>
      </c>
      <c r="G1557" s="1" t="s">
        <v>18</v>
      </c>
      <c r="H1557" s="1">
        <v>-13</v>
      </c>
      <c r="I1557" s="1">
        <v>0.01</v>
      </c>
      <c r="J1557" s="1">
        <v>0</v>
      </c>
      <c r="K1557" s="2">
        <v>42684</v>
      </c>
      <c r="L1557" s="1">
        <v>3716</v>
      </c>
      <c r="M1557" s="1">
        <v>4.57</v>
      </c>
      <c r="N1557" s="1">
        <v>0.57462000000000002</v>
      </c>
      <c r="O1557" s="3">
        <f>VLOOKUP(D1557,underlying!$D$40:$H$75,5,FALSE)</f>
        <v>-4</v>
      </c>
      <c r="P1557" s="4">
        <f t="shared" si="49"/>
        <v>42654</v>
      </c>
      <c r="Q1557" s="7">
        <f>IF(G1557="C",NormalCallSprd(O1557,H1557,M1557,(P1557-A1557)/365), NormalPutSprd(O1557,H1557,M1557,(P1557-A1557)/365))</f>
        <v>2.8371932309552874E-12</v>
      </c>
      <c r="R1557" s="9">
        <f t="shared" si="51"/>
        <v>9.9999999971628062E-3</v>
      </c>
    </row>
    <row r="1558" spans="1:18" x14ac:dyDescent="0.2">
      <c r="A1558" s="2">
        <v>42622</v>
      </c>
      <c r="B1558" s="1" t="s">
        <v>56</v>
      </c>
      <c r="C1558" s="1" t="s">
        <v>57</v>
      </c>
      <c r="D1558" s="2">
        <v>42379</v>
      </c>
      <c r="E1558" s="2">
        <f t="shared" si="50"/>
        <v>42644</v>
      </c>
      <c r="F1558" s="1" t="s">
        <v>58</v>
      </c>
      <c r="G1558" s="1" t="s">
        <v>16</v>
      </c>
      <c r="H1558" s="1">
        <v>-12</v>
      </c>
      <c r="I1558" s="1">
        <v>8</v>
      </c>
      <c r="J1558" s="1">
        <v>-0.25</v>
      </c>
      <c r="K1558" s="2">
        <v>42684</v>
      </c>
      <c r="L1558" s="1">
        <v>3716</v>
      </c>
      <c r="M1558" s="1">
        <v>4.57</v>
      </c>
      <c r="N1558" s="1">
        <v>0.60031999999999996</v>
      </c>
      <c r="O1558" s="3">
        <f>VLOOKUP(D1558,underlying!$D$40:$H$75,5,FALSE)</f>
        <v>-4</v>
      </c>
      <c r="P1558" s="4">
        <f t="shared" si="49"/>
        <v>42654</v>
      </c>
      <c r="Q1558" s="7">
        <f>IF(G1558="C",NormalCallSprd(O1558,H1558,M1558,(P1558-A1558)/365), NormalPutSprd(O1558,H1558,M1558,(P1558-A1558)/365))</f>
        <v>8.0000000003669509</v>
      </c>
      <c r="R1558" s="9">
        <f t="shared" si="51"/>
        <v>3.6695091409910674E-10</v>
      </c>
    </row>
    <row r="1559" spans="1:18" x14ac:dyDescent="0.2">
      <c r="A1559" s="2">
        <v>42622</v>
      </c>
      <c r="B1559" s="1" t="s">
        <v>56</v>
      </c>
      <c r="C1559" s="1" t="s">
        <v>57</v>
      </c>
      <c r="D1559" s="2">
        <v>42379</v>
      </c>
      <c r="E1559" s="2">
        <f t="shared" si="50"/>
        <v>42644</v>
      </c>
      <c r="F1559" s="1" t="s">
        <v>58</v>
      </c>
      <c r="G1559" s="1" t="s">
        <v>18</v>
      </c>
      <c r="H1559" s="1">
        <v>-12</v>
      </c>
      <c r="I1559" s="1">
        <v>0.01</v>
      </c>
      <c r="J1559" s="1">
        <v>0</v>
      </c>
      <c r="K1559" s="2">
        <v>42684</v>
      </c>
      <c r="L1559" s="1">
        <v>3716</v>
      </c>
      <c r="M1559" s="1">
        <v>4.57</v>
      </c>
      <c r="N1559" s="1">
        <v>0.62468000000000001</v>
      </c>
      <c r="O1559" s="3">
        <f>VLOOKUP(D1559,underlying!$D$40:$H$75,5,FALSE)</f>
        <v>-4</v>
      </c>
      <c r="P1559" s="4">
        <f t="shared" si="49"/>
        <v>42654</v>
      </c>
      <c r="Q1559" s="7">
        <f>IF(G1559="C",NormalCallSprd(O1559,H1559,M1559,(P1559-A1559)/365), NormalPutSprd(O1559,H1559,M1559,(P1559-A1559)/365))</f>
        <v>3.6695085444511188E-10</v>
      </c>
      <c r="R1559" s="9">
        <f t="shared" si="51"/>
        <v>9.9999996330491451E-3</v>
      </c>
    </row>
    <row r="1560" spans="1:18" x14ac:dyDescent="0.2">
      <c r="A1560" s="2">
        <v>42622</v>
      </c>
      <c r="B1560" s="1" t="s">
        <v>56</v>
      </c>
      <c r="C1560" s="1" t="s">
        <v>57</v>
      </c>
      <c r="D1560" s="2">
        <v>42379</v>
      </c>
      <c r="E1560" s="2">
        <f t="shared" si="50"/>
        <v>42644</v>
      </c>
      <c r="F1560" s="1" t="s">
        <v>58</v>
      </c>
      <c r="G1560" s="1" t="s">
        <v>16</v>
      </c>
      <c r="H1560" s="1">
        <v>-11</v>
      </c>
      <c r="I1560" s="1">
        <v>7</v>
      </c>
      <c r="J1560" s="1">
        <v>-0.25</v>
      </c>
      <c r="K1560" s="2">
        <v>42684</v>
      </c>
      <c r="L1560" s="1">
        <v>3716</v>
      </c>
      <c r="M1560" s="1">
        <v>4.57</v>
      </c>
      <c r="N1560" s="1">
        <v>0.64985999999999999</v>
      </c>
      <c r="O1560" s="3">
        <f>VLOOKUP(D1560,underlying!$D$40:$H$75,5,FALSE)</f>
        <v>-4</v>
      </c>
      <c r="P1560" s="4">
        <f t="shared" si="49"/>
        <v>42654</v>
      </c>
      <c r="Q1560" s="7">
        <f>IF(G1560="C",NormalCallSprd(O1560,H1560,M1560,(P1560-A1560)/365), NormalPutSprd(O1560,H1560,M1560,(P1560-A1560)/365))</f>
        <v>7.0000000281911996</v>
      </c>
      <c r="R1560" s="9">
        <f t="shared" si="51"/>
        <v>2.8191199596960814E-8</v>
      </c>
    </row>
    <row r="1561" spans="1:18" x14ac:dyDescent="0.2">
      <c r="A1561" s="2">
        <v>42622</v>
      </c>
      <c r="B1561" s="1" t="s">
        <v>56</v>
      </c>
      <c r="C1561" s="1" t="s">
        <v>57</v>
      </c>
      <c r="D1561" s="2">
        <v>42379</v>
      </c>
      <c r="E1561" s="2">
        <f t="shared" si="50"/>
        <v>42644</v>
      </c>
      <c r="F1561" s="1" t="s">
        <v>58</v>
      </c>
      <c r="G1561" s="1" t="s">
        <v>18</v>
      </c>
      <c r="H1561" s="1">
        <v>-11</v>
      </c>
      <c r="I1561" s="1">
        <v>0.01</v>
      </c>
      <c r="J1561" s="1">
        <v>0</v>
      </c>
      <c r="K1561" s="2">
        <v>42684</v>
      </c>
      <c r="L1561" s="1">
        <v>3716</v>
      </c>
      <c r="M1561" s="1">
        <v>4.57</v>
      </c>
      <c r="N1561" s="1">
        <v>0.67283000000000004</v>
      </c>
      <c r="O1561" s="3">
        <f>VLOOKUP(D1561,underlying!$D$40:$H$75,5,FALSE)</f>
        <v>-4</v>
      </c>
      <c r="P1561" s="4">
        <f t="shared" si="49"/>
        <v>42654</v>
      </c>
      <c r="Q1561" s="7">
        <f>IF(G1561="C",NormalCallSprd(O1561,H1561,M1561,(P1561-A1561)/365), NormalPutSprd(O1561,H1561,M1561,(P1561-A1561)/365))</f>
        <v>2.8191199368925268E-8</v>
      </c>
      <c r="R1561" s="9">
        <f t="shared" si="51"/>
        <v>9.9999718088006305E-3</v>
      </c>
    </row>
    <row r="1562" spans="1:18" x14ac:dyDescent="0.2">
      <c r="A1562" s="2">
        <v>42622</v>
      </c>
      <c r="B1562" s="1" t="s">
        <v>56</v>
      </c>
      <c r="C1562" s="1" t="s">
        <v>57</v>
      </c>
      <c r="D1562" s="2">
        <v>42379</v>
      </c>
      <c r="E1562" s="2">
        <f t="shared" si="50"/>
        <v>42644</v>
      </c>
      <c r="F1562" s="1" t="s">
        <v>58</v>
      </c>
      <c r="G1562" s="1" t="s">
        <v>16</v>
      </c>
      <c r="H1562" s="1">
        <v>-10</v>
      </c>
      <c r="I1562" s="1">
        <v>6</v>
      </c>
      <c r="J1562" s="1">
        <v>-0.25</v>
      </c>
      <c r="K1562" s="2">
        <v>42684</v>
      </c>
      <c r="L1562" s="1">
        <v>3716</v>
      </c>
      <c r="M1562" s="1">
        <v>4.57</v>
      </c>
      <c r="N1562" s="1">
        <v>0.69688000000000005</v>
      </c>
      <c r="O1562" s="3">
        <f>VLOOKUP(D1562,underlying!$D$40:$H$75,5,FALSE)</f>
        <v>-4</v>
      </c>
      <c r="P1562" s="4">
        <f t="shared" si="49"/>
        <v>42654</v>
      </c>
      <c r="Q1562" s="7">
        <f>IF(G1562="C",NormalCallSprd(O1562,H1562,M1562,(P1562-A1562)/365), NormalPutSprd(O1562,H1562,M1562,(P1562-A1562)/365))</f>
        <v>6.000001294236001</v>
      </c>
      <c r="R1562" s="9">
        <f t="shared" si="51"/>
        <v>1.2942360010370635E-6</v>
      </c>
    </row>
    <row r="1563" spans="1:18" x14ac:dyDescent="0.2">
      <c r="A1563" s="2">
        <v>42622</v>
      </c>
      <c r="B1563" s="1" t="s">
        <v>56</v>
      </c>
      <c r="C1563" s="1" t="s">
        <v>57</v>
      </c>
      <c r="D1563" s="2">
        <v>42379</v>
      </c>
      <c r="E1563" s="2">
        <f t="shared" si="50"/>
        <v>42644</v>
      </c>
      <c r="F1563" s="1" t="s">
        <v>58</v>
      </c>
      <c r="G1563" s="1" t="s">
        <v>18</v>
      </c>
      <c r="H1563" s="1">
        <v>-10</v>
      </c>
      <c r="I1563" s="1">
        <v>0.01</v>
      </c>
      <c r="J1563" s="1">
        <v>0</v>
      </c>
      <c r="K1563" s="2">
        <v>42684</v>
      </c>
      <c r="L1563" s="1">
        <v>3716</v>
      </c>
      <c r="M1563" s="1">
        <v>4.57</v>
      </c>
      <c r="N1563" s="1">
        <v>0.71816000000000002</v>
      </c>
      <c r="O1563" s="3">
        <f>VLOOKUP(D1563,underlying!$D$40:$H$75,5,FALSE)</f>
        <v>-4</v>
      </c>
      <c r="P1563" s="4">
        <f t="shared" si="49"/>
        <v>42654</v>
      </c>
      <c r="Q1563" s="7">
        <f>IF(G1563="C",NormalCallSprd(O1563,H1563,M1563,(P1563-A1563)/365), NormalPutSprd(O1563,H1563,M1563,(P1563-A1563)/365))</f>
        <v>1.2942360010098845E-6</v>
      </c>
      <c r="R1563" s="9">
        <f t="shared" si="51"/>
        <v>9.9987057639989909E-3</v>
      </c>
    </row>
    <row r="1564" spans="1:18" x14ac:dyDescent="0.2">
      <c r="A1564" s="2">
        <v>42622</v>
      </c>
      <c r="B1564" s="1" t="s">
        <v>56</v>
      </c>
      <c r="C1564" s="1" t="s">
        <v>57</v>
      </c>
      <c r="D1564" s="2">
        <v>42379</v>
      </c>
      <c r="E1564" s="2">
        <f t="shared" si="50"/>
        <v>42644</v>
      </c>
      <c r="F1564" s="1" t="s">
        <v>58</v>
      </c>
      <c r="G1564" s="1" t="s">
        <v>16</v>
      </c>
      <c r="H1564" s="1">
        <v>-9.75</v>
      </c>
      <c r="I1564" s="1">
        <v>5.75</v>
      </c>
      <c r="J1564" s="1">
        <v>-0.25</v>
      </c>
      <c r="K1564" s="2">
        <v>42684</v>
      </c>
      <c r="L1564" s="1">
        <v>3716</v>
      </c>
      <c r="M1564" s="1">
        <v>4.57</v>
      </c>
      <c r="N1564" s="1">
        <v>0.73958999999999997</v>
      </c>
      <c r="O1564" s="3">
        <f>VLOOKUP(D1564,underlying!$D$40:$H$75,5,FALSE)</f>
        <v>-4</v>
      </c>
      <c r="P1564" s="4">
        <f t="shared" si="49"/>
        <v>42654</v>
      </c>
      <c r="Q1564" s="7">
        <f>IF(G1564="C",NormalCallSprd(O1564,H1564,M1564,(P1564-A1564)/365), NormalPutSprd(O1564,H1564,M1564,(P1564-A1564)/365))</f>
        <v>5.7500031112870778</v>
      </c>
      <c r="R1564" s="9">
        <f t="shared" si="51"/>
        <v>3.1112870777505464E-6</v>
      </c>
    </row>
    <row r="1565" spans="1:18" x14ac:dyDescent="0.2">
      <c r="A1565" s="2">
        <v>42622</v>
      </c>
      <c r="B1565" s="1" t="s">
        <v>56</v>
      </c>
      <c r="C1565" s="1" t="s">
        <v>57</v>
      </c>
      <c r="D1565" s="2">
        <v>42379</v>
      </c>
      <c r="E1565" s="2">
        <f t="shared" si="50"/>
        <v>42644</v>
      </c>
      <c r="F1565" s="1" t="s">
        <v>58</v>
      </c>
      <c r="G1565" s="1" t="s">
        <v>18</v>
      </c>
      <c r="H1565" s="1">
        <v>-9.75</v>
      </c>
      <c r="I1565" s="1">
        <v>0.01</v>
      </c>
      <c r="J1565" s="1">
        <v>0</v>
      </c>
      <c r="K1565" s="2">
        <v>42684</v>
      </c>
      <c r="L1565" s="1">
        <v>3716</v>
      </c>
      <c r="M1565" s="1">
        <v>4.57</v>
      </c>
      <c r="N1565" s="1">
        <v>0.76010999999999995</v>
      </c>
      <c r="O1565" s="3">
        <f>VLOOKUP(D1565,underlying!$D$40:$H$75,5,FALSE)</f>
        <v>-4</v>
      </c>
      <c r="P1565" s="4">
        <f t="shared" si="49"/>
        <v>42654</v>
      </c>
      <c r="Q1565" s="7">
        <f>IF(G1565="C",NormalCallSprd(O1565,H1565,M1565,(P1565-A1565)/365), NormalPutSprd(O1565,H1565,M1565,(P1565-A1565)/365))</f>
        <v>3.1112870780138842E-6</v>
      </c>
      <c r="R1565" s="9">
        <f t="shared" si="51"/>
        <v>9.996888712921986E-3</v>
      </c>
    </row>
    <row r="1566" spans="1:18" x14ac:dyDescent="0.2">
      <c r="A1566" s="2">
        <v>42622</v>
      </c>
      <c r="B1566" s="1" t="s">
        <v>56</v>
      </c>
      <c r="C1566" s="1" t="s">
        <v>57</v>
      </c>
      <c r="D1566" s="2">
        <v>42379</v>
      </c>
      <c r="E1566" s="2">
        <f t="shared" si="50"/>
        <v>42644</v>
      </c>
      <c r="F1566" s="1" t="s">
        <v>58</v>
      </c>
      <c r="G1566" s="1" t="s">
        <v>16</v>
      </c>
      <c r="H1566" s="1">
        <v>-9.5</v>
      </c>
      <c r="I1566" s="1">
        <v>5.5</v>
      </c>
      <c r="J1566" s="1">
        <v>-0.25</v>
      </c>
      <c r="K1566" s="2">
        <v>42684</v>
      </c>
      <c r="L1566" s="1">
        <v>3716</v>
      </c>
      <c r="M1566" s="1">
        <v>4.57</v>
      </c>
      <c r="N1566" s="1">
        <v>0.77968000000000004</v>
      </c>
      <c r="O1566" s="3">
        <f>VLOOKUP(D1566,underlying!$D$40:$H$75,5,FALSE)</f>
        <v>-4</v>
      </c>
      <c r="P1566" s="4">
        <f t="shared" si="49"/>
        <v>42654</v>
      </c>
      <c r="Q1566" s="7">
        <f>IF(G1566="C",NormalCallSprd(O1566,H1566,M1566,(P1566-A1566)/365), NormalPutSprd(O1566,H1566,M1566,(P1566-A1566)/365))</f>
        <v>5.5000072472592185</v>
      </c>
      <c r="R1566" s="9">
        <f t="shared" si="51"/>
        <v>7.2472592185235385E-6</v>
      </c>
    </row>
    <row r="1567" spans="1:18" x14ac:dyDescent="0.2">
      <c r="A1567" s="2">
        <v>42622</v>
      </c>
      <c r="B1567" s="1" t="s">
        <v>56</v>
      </c>
      <c r="C1567" s="1" t="s">
        <v>57</v>
      </c>
      <c r="D1567" s="2">
        <v>42379</v>
      </c>
      <c r="E1567" s="2">
        <f t="shared" si="50"/>
        <v>42644</v>
      </c>
      <c r="F1567" s="1" t="s">
        <v>58</v>
      </c>
      <c r="G1567" s="1" t="s">
        <v>18</v>
      </c>
      <c r="H1567" s="1">
        <v>-9.5</v>
      </c>
      <c r="I1567" s="1">
        <v>0.01</v>
      </c>
      <c r="J1567" s="1">
        <v>0</v>
      </c>
      <c r="K1567" s="2">
        <v>42684</v>
      </c>
      <c r="L1567" s="1">
        <v>3716</v>
      </c>
      <c r="M1567" s="1">
        <v>4.57</v>
      </c>
      <c r="N1567" s="1">
        <v>0.79827000000000004</v>
      </c>
      <c r="O1567" s="3">
        <f>VLOOKUP(D1567,underlying!$D$40:$H$75,5,FALSE)</f>
        <v>-4</v>
      </c>
      <c r="P1567" s="4">
        <f t="shared" si="49"/>
        <v>42654</v>
      </c>
      <c r="Q1567" s="7">
        <f>IF(G1567="C",NormalCallSprd(O1567,H1567,M1567,(P1567-A1567)/365), NormalPutSprd(O1567,H1567,M1567,(P1567-A1567)/365))</f>
        <v>7.2472592187935785E-6</v>
      </c>
      <c r="R1567" s="9">
        <f t="shared" si="51"/>
        <v>9.9927527407812061E-3</v>
      </c>
    </row>
    <row r="1568" spans="1:18" x14ac:dyDescent="0.2">
      <c r="A1568" s="2">
        <v>42622</v>
      </c>
      <c r="B1568" s="1" t="s">
        <v>56</v>
      </c>
      <c r="C1568" s="1" t="s">
        <v>57</v>
      </c>
      <c r="D1568" s="2">
        <v>42379</v>
      </c>
      <c r="E1568" s="2">
        <f t="shared" si="50"/>
        <v>42644</v>
      </c>
      <c r="F1568" s="1" t="s">
        <v>58</v>
      </c>
      <c r="G1568" s="1" t="s">
        <v>16</v>
      </c>
      <c r="H1568" s="1">
        <v>-9.25</v>
      </c>
      <c r="I1568" s="1">
        <v>5.25</v>
      </c>
      <c r="J1568" s="1">
        <v>-0.25</v>
      </c>
      <c r="K1568" s="2">
        <v>42684</v>
      </c>
      <c r="L1568" s="1">
        <v>3716</v>
      </c>
      <c r="M1568" s="1">
        <v>4.57</v>
      </c>
      <c r="N1568" s="1">
        <v>0.81649000000000005</v>
      </c>
      <c r="O1568" s="3">
        <f>VLOOKUP(D1568,underlying!$D$40:$H$75,5,FALSE)</f>
        <v>-4</v>
      </c>
      <c r="P1568" s="4">
        <f t="shared" si="49"/>
        <v>42654</v>
      </c>
      <c r="Q1568" s="7">
        <f>IF(G1568="C",NormalCallSprd(O1568,H1568,M1568,(P1568-A1568)/365), NormalPutSprd(O1568,H1568,M1568,(P1568-A1568)/365))</f>
        <v>5.2500163601587566</v>
      </c>
      <c r="R1568" s="9">
        <f t="shared" si="51"/>
        <v>1.6360158756612009E-5</v>
      </c>
    </row>
    <row r="1569" spans="1:18" x14ac:dyDescent="0.2">
      <c r="A1569" s="2">
        <v>42622</v>
      </c>
      <c r="B1569" s="1" t="s">
        <v>56</v>
      </c>
      <c r="C1569" s="1" t="s">
        <v>57</v>
      </c>
      <c r="D1569" s="2">
        <v>42379</v>
      </c>
      <c r="E1569" s="2">
        <f t="shared" si="50"/>
        <v>42644</v>
      </c>
      <c r="F1569" s="1" t="s">
        <v>58</v>
      </c>
      <c r="G1569" s="1" t="s">
        <v>18</v>
      </c>
      <c r="H1569" s="1">
        <v>-9.25</v>
      </c>
      <c r="I1569" s="1">
        <v>0.01</v>
      </c>
      <c r="J1569" s="1">
        <v>0</v>
      </c>
      <c r="K1569" s="2">
        <v>42684</v>
      </c>
      <c r="L1569" s="1">
        <v>3716</v>
      </c>
      <c r="M1569" s="1">
        <v>4.57</v>
      </c>
      <c r="N1569" s="1">
        <v>0.83304</v>
      </c>
      <c r="O1569" s="3">
        <f>VLOOKUP(D1569,underlying!$D$40:$H$75,5,FALSE)</f>
        <v>-4</v>
      </c>
      <c r="P1569" s="4">
        <f t="shared" si="49"/>
        <v>42654</v>
      </c>
      <c r="Q1569" s="7">
        <f>IF(G1569="C",NormalCallSprd(O1569,H1569,M1569,(P1569-A1569)/365), NormalPutSprd(O1569,H1569,M1569,(P1569-A1569)/365))</f>
        <v>1.6360158756485347E-5</v>
      </c>
      <c r="R1569" s="9">
        <f t="shared" si="51"/>
        <v>9.9836398412435148E-3</v>
      </c>
    </row>
    <row r="1570" spans="1:18" x14ac:dyDescent="0.2">
      <c r="A1570" s="2">
        <v>42622</v>
      </c>
      <c r="B1570" s="1" t="s">
        <v>56</v>
      </c>
      <c r="C1570" s="1" t="s">
        <v>57</v>
      </c>
      <c r="D1570" s="2">
        <v>42379</v>
      </c>
      <c r="E1570" s="2">
        <f t="shared" si="50"/>
        <v>42644</v>
      </c>
      <c r="F1570" s="1" t="s">
        <v>58</v>
      </c>
      <c r="G1570" s="1" t="s">
        <v>16</v>
      </c>
      <c r="H1570" s="1">
        <v>-9</v>
      </c>
      <c r="I1570" s="1">
        <v>5</v>
      </c>
      <c r="J1570" s="1">
        <v>-0.25</v>
      </c>
      <c r="K1570" s="2">
        <v>42684</v>
      </c>
      <c r="L1570" s="1">
        <v>3716</v>
      </c>
      <c r="M1570" s="1">
        <v>4.57</v>
      </c>
      <c r="N1570" s="1">
        <v>0.84921000000000002</v>
      </c>
      <c r="O1570" s="3">
        <f>VLOOKUP(D1570,underlying!$D$40:$H$75,5,FALSE)</f>
        <v>-4</v>
      </c>
      <c r="P1570" s="4">
        <f t="shared" si="49"/>
        <v>42654</v>
      </c>
      <c r="Q1570" s="7">
        <f>IF(G1570="C",NormalCallSprd(O1570,H1570,M1570,(P1570-A1570)/365), NormalPutSprd(O1570,H1570,M1570,(P1570-A1570)/365))</f>
        <v>5.000035798152715</v>
      </c>
      <c r="R1570" s="9">
        <f t="shared" si="51"/>
        <v>3.5798152715038611E-5</v>
      </c>
    </row>
    <row r="1571" spans="1:18" x14ac:dyDescent="0.2">
      <c r="A1571" s="2">
        <v>42622</v>
      </c>
      <c r="B1571" s="1" t="s">
        <v>56</v>
      </c>
      <c r="C1571" s="1" t="s">
        <v>57</v>
      </c>
      <c r="D1571" s="2">
        <v>42379</v>
      </c>
      <c r="E1571" s="2">
        <f t="shared" si="50"/>
        <v>42644</v>
      </c>
      <c r="F1571" s="1" t="s">
        <v>58</v>
      </c>
      <c r="G1571" s="1" t="s">
        <v>18</v>
      </c>
      <c r="H1571" s="1">
        <v>-9</v>
      </c>
      <c r="I1571" s="1">
        <v>0.01</v>
      </c>
      <c r="J1571" s="1">
        <v>0</v>
      </c>
      <c r="K1571" s="2">
        <v>42684</v>
      </c>
      <c r="L1571" s="1">
        <v>3716</v>
      </c>
      <c r="M1571" s="1">
        <v>4.57</v>
      </c>
      <c r="N1571" s="1">
        <v>0.86365999999999998</v>
      </c>
      <c r="O1571" s="3">
        <f>VLOOKUP(D1571,underlying!$D$40:$H$75,5,FALSE)</f>
        <v>-4</v>
      </c>
      <c r="P1571" s="4">
        <f t="shared" si="49"/>
        <v>42654</v>
      </c>
      <c r="Q1571" s="7">
        <f>IF(G1571="C",NormalCallSprd(O1571,H1571,M1571,(P1571-A1571)/365), NormalPutSprd(O1571,H1571,M1571,(P1571-A1571)/365))</f>
        <v>3.5798152714530446E-5</v>
      </c>
      <c r="R1571" s="9">
        <f t="shared" si="51"/>
        <v>9.9642018472854699E-3</v>
      </c>
    </row>
    <row r="1572" spans="1:18" x14ac:dyDescent="0.2">
      <c r="A1572" s="2">
        <v>42622</v>
      </c>
      <c r="B1572" s="1" t="s">
        <v>56</v>
      </c>
      <c r="C1572" s="1" t="s">
        <v>57</v>
      </c>
      <c r="D1572" s="2">
        <v>42379</v>
      </c>
      <c r="E1572" s="2">
        <f t="shared" si="50"/>
        <v>42644</v>
      </c>
      <c r="F1572" s="1" t="s">
        <v>58</v>
      </c>
      <c r="G1572" s="1" t="s">
        <v>16</v>
      </c>
      <c r="H1572" s="1">
        <v>-8.75</v>
      </c>
      <c r="I1572" s="1">
        <v>4.75</v>
      </c>
      <c r="J1572" s="1">
        <v>-0.25</v>
      </c>
      <c r="K1572" s="2">
        <v>42684</v>
      </c>
      <c r="L1572" s="1">
        <v>3716</v>
      </c>
      <c r="M1572" s="1">
        <v>4.57</v>
      </c>
      <c r="N1572" s="1">
        <v>0.87709000000000004</v>
      </c>
      <c r="O1572" s="3">
        <f>VLOOKUP(D1572,underlying!$D$40:$H$75,5,FALSE)</f>
        <v>-4</v>
      </c>
      <c r="P1572" s="4">
        <f t="shared" si="49"/>
        <v>42654</v>
      </c>
      <c r="Q1572" s="7">
        <f>IF(G1572="C",NormalCallSprd(O1572,H1572,M1572,(P1572-A1572)/365), NormalPutSprd(O1572,H1572,M1572,(P1572-A1572)/365))</f>
        <v>4.7500759415809908</v>
      </c>
      <c r="R1572" s="9">
        <f t="shared" si="51"/>
        <v>7.59415809907793E-5</v>
      </c>
    </row>
    <row r="1573" spans="1:18" x14ac:dyDescent="0.2">
      <c r="A1573" s="2">
        <v>42622</v>
      </c>
      <c r="B1573" s="1" t="s">
        <v>56</v>
      </c>
      <c r="C1573" s="1" t="s">
        <v>57</v>
      </c>
      <c r="D1573" s="2">
        <v>42379</v>
      </c>
      <c r="E1573" s="2">
        <f t="shared" si="50"/>
        <v>42644</v>
      </c>
      <c r="F1573" s="1" t="s">
        <v>58</v>
      </c>
      <c r="G1573" s="1" t="s">
        <v>18</v>
      </c>
      <c r="H1573" s="1">
        <v>-8.75</v>
      </c>
      <c r="I1573" s="1">
        <v>0.01</v>
      </c>
      <c r="J1573" s="1">
        <v>0</v>
      </c>
      <c r="K1573" s="2">
        <v>42684</v>
      </c>
      <c r="L1573" s="1">
        <v>3716</v>
      </c>
      <c r="M1573" s="1">
        <v>4.57</v>
      </c>
      <c r="N1573" s="1">
        <v>0.88949999999999996</v>
      </c>
      <c r="O1573" s="3">
        <f>VLOOKUP(D1573,underlying!$D$40:$H$75,5,FALSE)</f>
        <v>-4</v>
      </c>
      <c r="P1573" s="4">
        <f t="shared" si="49"/>
        <v>42654</v>
      </c>
      <c r="Q1573" s="7">
        <f>IF(G1573="C",NormalCallSprd(O1573,H1573,M1573,(P1573-A1573)/365), NormalPutSprd(O1573,H1573,M1573,(P1573-A1573)/365))</f>
        <v>7.5941580990212127E-5</v>
      </c>
      <c r="R1573" s="9">
        <f t="shared" si="51"/>
        <v>9.9240584190097882E-3</v>
      </c>
    </row>
    <row r="1574" spans="1:18" x14ac:dyDescent="0.2">
      <c r="A1574" s="2">
        <v>42622</v>
      </c>
      <c r="B1574" s="1" t="s">
        <v>56</v>
      </c>
      <c r="C1574" s="1" t="s">
        <v>57</v>
      </c>
      <c r="D1574" s="2">
        <v>42379</v>
      </c>
      <c r="E1574" s="2">
        <f t="shared" si="50"/>
        <v>42644</v>
      </c>
      <c r="F1574" s="1" t="s">
        <v>58</v>
      </c>
      <c r="G1574" s="1" t="s">
        <v>16</v>
      </c>
      <c r="H1574" s="1">
        <v>-8.5</v>
      </c>
      <c r="I1574" s="1">
        <v>4.5</v>
      </c>
      <c r="J1574" s="1">
        <v>-0.25</v>
      </c>
      <c r="K1574" s="2">
        <v>42684</v>
      </c>
      <c r="L1574" s="1">
        <v>3716</v>
      </c>
      <c r="M1574" s="1">
        <v>4.57</v>
      </c>
      <c r="N1574" s="1">
        <v>0.90093000000000001</v>
      </c>
      <c r="O1574" s="3">
        <f>VLOOKUP(D1574,underlying!$D$40:$H$75,5,FALSE)</f>
        <v>-4</v>
      </c>
      <c r="P1574" s="4">
        <f t="shared" si="49"/>
        <v>42654</v>
      </c>
      <c r="Q1574" s="7">
        <f>IF(G1574="C",NormalCallSprd(O1574,H1574,M1574,(P1574-A1574)/365), NormalPutSprd(O1574,H1574,M1574,(P1574-A1574)/365))</f>
        <v>4.5001562208564945</v>
      </c>
      <c r="R1574" s="9">
        <f t="shared" si="51"/>
        <v>1.5622085649447115E-4</v>
      </c>
    </row>
    <row r="1575" spans="1:18" x14ac:dyDescent="0.2">
      <c r="A1575" s="2">
        <v>42622</v>
      </c>
      <c r="B1575" s="1" t="s">
        <v>56</v>
      </c>
      <c r="C1575" s="1" t="s">
        <v>57</v>
      </c>
      <c r="D1575" s="2">
        <v>42379</v>
      </c>
      <c r="E1575" s="2">
        <f t="shared" si="50"/>
        <v>42644</v>
      </c>
      <c r="F1575" s="1" t="s">
        <v>58</v>
      </c>
      <c r="G1575" s="1" t="s">
        <v>18</v>
      </c>
      <c r="H1575" s="1">
        <v>-8.5</v>
      </c>
      <c r="I1575" s="1">
        <v>0.01</v>
      </c>
      <c r="J1575" s="1">
        <v>0</v>
      </c>
      <c r="K1575" s="2">
        <v>42684</v>
      </c>
      <c r="L1575" s="1">
        <v>3716</v>
      </c>
      <c r="M1575" s="1">
        <v>4.57</v>
      </c>
      <c r="N1575" s="1">
        <v>0.91139999999999999</v>
      </c>
      <c r="O1575" s="3">
        <f>VLOOKUP(D1575,underlying!$D$40:$H$75,5,FALSE)</f>
        <v>-4</v>
      </c>
      <c r="P1575" s="4">
        <f t="shared" si="49"/>
        <v>42654</v>
      </c>
      <c r="Q1575" s="7">
        <f>IF(G1575="C",NormalCallSprd(O1575,H1575,M1575,(P1575-A1575)/365), NormalPutSprd(O1575,H1575,M1575,(P1575-A1575)/365))</f>
        <v>1.5622085649495254E-4</v>
      </c>
      <c r="R1575" s="9">
        <f t="shared" si="51"/>
        <v>9.8437791435050485E-3</v>
      </c>
    </row>
    <row r="1576" spans="1:18" x14ac:dyDescent="0.2">
      <c r="A1576" s="2">
        <v>42622</v>
      </c>
      <c r="B1576" s="1" t="s">
        <v>56</v>
      </c>
      <c r="C1576" s="1" t="s">
        <v>57</v>
      </c>
      <c r="D1576" s="2">
        <v>42379</v>
      </c>
      <c r="E1576" s="2">
        <f t="shared" si="50"/>
        <v>42644</v>
      </c>
      <c r="F1576" s="1" t="s">
        <v>58</v>
      </c>
      <c r="G1576" s="1" t="s">
        <v>16</v>
      </c>
      <c r="H1576" s="1">
        <v>-8.25</v>
      </c>
      <c r="I1576" s="1">
        <v>4.25</v>
      </c>
      <c r="J1576" s="1">
        <v>-0.25</v>
      </c>
      <c r="K1576" s="2">
        <v>42684</v>
      </c>
      <c r="L1576" s="1">
        <v>3716</v>
      </c>
      <c r="M1576" s="1">
        <v>4.57</v>
      </c>
      <c r="N1576" s="1">
        <v>0.92096</v>
      </c>
      <c r="O1576" s="3">
        <f>VLOOKUP(D1576,underlying!$D$40:$H$75,5,FALSE)</f>
        <v>-4</v>
      </c>
      <c r="P1576" s="4">
        <f t="shared" si="49"/>
        <v>42654</v>
      </c>
      <c r="Q1576" s="7">
        <f>IF(G1576="C",NormalCallSprd(O1576,H1576,M1576,(P1576-A1576)/365), NormalPutSprd(O1576,H1576,M1576,(P1576-A1576)/365))</f>
        <v>4.250311703706755</v>
      </c>
      <c r="R1576" s="9">
        <f t="shared" si="51"/>
        <v>3.1170370675503989E-4</v>
      </c>
    </row>
    <row r="1577" spans="1:18" x14ac:dyDescent="0.2">
      <c r="A1577" s="2">
        <v>42622</v>
      </c>
      <c r="B1577" s="1" t="s">
        <v>56</v>
      </c>
      <c r="C1577" s="1" t="s">
        <v>57</v>
      </c>
      <c r="D1577" s="2">
        <v>42379</v>
      </c>
      <c r="E1577" s="2">
        <f t="shared" si="50"/>
        <v>42644</v>
      </c>
      <c r="F1577" s="1" t="s">
        <v>58</v>
      </c>
      <c r="G1577" s="1" t="s">
        <v>18</v>
      </c>
      <c r="H1577" s="1">
        <v>-8.25</v>
      </c>
      <c r="I1577" s="1">
        <v>0.01</v>
      </c>
      <c r="J1577" s="1">
        <v>0</v>
      </c>
      <c r="K1577" s="2">
        <v>42684</v>
      </c>
      <c r="L1577" s="1">
        <v>3716</v>
      </c>
      <c r="M1577" s="1">
        <v>4.57</v>
      </c>
      <c r="N1577" s="1">
        <v>0.92964000000000002</v>
      </c>
      <c r="O1577" s="3">
        <f>VLOOKUP(D1577,underlying!$D$40:$H$75,5,FALSE)</f>
        <v>-4</v>
      </c>
      <c r="P1577" s="4">
        <f t="shared" si="49"/>
        <v>42654</v>
      </c>
      <c r="Q1577" s="7">
        <f>IF(G1577="C",NormalCallSprd(O1577,H1577,M1577,(P1577-A1577)/365), NormalPutSprd(O1577,H1577,M1577,(P1577-A1577)/365))</f>
        <v>3.1170370675546462E-4</v>
      </c>
      <c r="R1577" s="9">
        <f t="shared" si="51"/>
        <v>9.6882962932445353E-3</v>
      </c>
    </row>
    <row r="1578" spans="1:18" x14ac:dyDescent="0.2">
      <c r="A1578" s="2">
        <v>42622</v>
      </c>
      <c r="B1578" s="1" t="s">
        <v>56</v>
      </c>
      <c r="C1578" s="1" t="s">
        <v>57</v>
      </c>
      <c r="D1578" s="2">
        <v>42379</v>
      </c>
      <c r="E1578" s="2">
        <f t="shared" si="50"/>
        <v>42644</v>
      </c>
      <c r="F1578" s="1" t="s">
        <v>58</v>
      </c>
      <c r="G1578" s="1" t="s">
        <v>16</v>
      </c>
      <c r="H1578" s="1">
        <v>-8</v>
      </c>
      <c r="I1578" s="1">
        <v>4</v>
      </c>
      <c r="J1578" s="1">
        <v>-0.25</v>
      </c>
      <c r="K1578" s="2">
        <v>42684</v>
      </c>
      <c r="L1578" s="1">
        <v>3716</v>
      </c>
      <c r="M1578" s="1">
        <v>4.58</v>
      </c>
      <c r="N1578" s="1">
        <v>0.95657000000000003</v>
      </c>
      <c r="O1578" s="3">
        <f>VLOOKUP(D1578,underlying!$D$40:$H$75,5,FALSE)</f>
        <v>-4</v>
      </c>
      <c r="P1578" s="4">
        <f t="shared" si="49"/>
        <v>42654</v>
      </c>
      <c r="Q1578" s="7">
        <f>IF(G1578="C",NormalCallSprd(O1578,H1578,M1578,(P1578-A1578)/365), NormalPutSprd(O1578,H1578,M1578,(P1578-A1578)/365))</f>
        <v>4.0006184945103236</v>
      </c>
      <c r="R1578" s="9">
        <f t="shared" si="51"/>
        <v>6.1849451032358616E-4</v>
      </c>
    </row>
    <row r="1579" spans="1:18" x14ac:dyDescent="0.2">
      <c r="A1579" s="2">
        <v>42622</v>
      </c>
      <c r="B1579" s="1" t="s">
        <v>56</v>
      </c>
      <c r="C1579" s="1" t="s">
        <v>57</v>
      </c>
      <c r="D1579" s="2">
        <v>42379</v>
      </c>
      <c r="E1579" s="2">
        <f t="shared" si="50"/>
        <v>42644</v>
      </c>
      <c r="F1579" s="1" t="s">
        <v>58</v>
      </c>
      <c r="G1579" s="1" t="s">
        <v>18</v>
      </c>
      <c r="H1579" s="1">
        <v>-8</v>
      </c>
      <c r="I1579" s="1">
        <v>0.01</v>
      </c>
      <c r="J1579" s="1">
        <v>0</v>
      </c>
      <c r="K1579" s="2">
        <v>42684</v>
      </c>
      <c r="L1579" s="1">
        <v>3716</v>
      </c>
      <c r="M1579" s="1">
        <v>4.58</v>
      </c>
      <c r="N1579" s="1">
        <v>0.97343999999999997</v>
      </c>
      <c r="O1579" s="3">
        <f>VLOOKUP(D1579,underlying!$D$40:$H$75,5,FALSE)</f>
        <v>-4</v>
      </c>
      <c r="P1579" s="4">
        <f t="shared" si="49"/>
        <v>42654</v>
      </c>
      <c r="Q1579" s="7">
        <f>IF(G1579="C",NormalCallSprd(O1579,H1579,M1579,(P1579-A1579)/365), NormalPutSprd(O1579,H1579,M1579,(P1579-A1579)/365))</f>
        <v>6.1849451032411102E-4</v>
      </c>
      <c r="R1579" s="9">
        <f t="shared" si="51"/>
        <v>9.3815054896758884E-3</v>
      </c>
    </row>
    <row r="1580" spans="1:18" x14ac:dyDescent="0.2">
      <c r="A1580" s="2">
        <v>42622</v>
      </c>
      <c r="B1580" s="1" t="s">
        <v>56</v>
      </c>
      <c r="C1580" s="1" t="s">
        <v>57</v>
      </c>
      <c r="D1580" s="2">
        <v>42379</v>
      </c>
      <c r="E1580" s="2">
        <f t="shared" si="50"/>
        <v>42644</v>
      </c>
      <c r="F1580" s="1" t="s">
        <v>58</v>
      </c>
      <c r="G1580" s="1" t="s">
        <v>16</v>
      </c>
      <c r="H1580" s="1">
        <v>-7.75</v>
      </c>
      <c r="I1580" s="1">
        <v>3.75</v>
      </c>
      <c r="J1580" s="1">
        <v>-0.25</v>
      </c>
      <c r="K1580" s="2">
        <v>42684</v>
      </c>
      <c r="L1580" s="1">
        <v>3716</v>
      </c>
      <c r="M1580" s="1">
        <v>4.58</v>
      </c>
      <c r="N1580" s="1">
        <v>-0.60004000000000002</v>
      </c>
      <c r="O1580" s="3">
        <f>VLOOKUP(D1580,underlying!$D$40:$H$75,5,FALSE)</f>
        <v>-4</v>
      </c>
      <c r="P1580" s="4">
        <f t="shared" si="49"/>
        <v>42654</v>
      </c>
      <c r="Q1580" s="7">
        <f>IF(G1580="C",NormalCallSprd(O1580,H1580,M1580,(P1580-A1580)/365), NormalPutSprd(O1580,H1580,M1580,(P1580-A1580)/365))</f>
        <v>3.7511591512449081</v>
      </c>
      <c r="R1580" s="9">
        <f t="shared" si="51"/>
        <v>1.1591512449080632E-3</v>
      </c>
    </row>
    <row r="1581" spans="1:18" x14ac:dyDescent="0.2">
      <c r="A1581" s="2">
        <v>42622</v>
      </c>
      <c r="B1581" s="1" t="s">
        <v>56</v>
      </c>
      <c r="C1581" s="1" t="s">
        <v>57</v>
      </c>
      <c r="D1581" s="2">
        <v>42379</v>
      </c>
      <c r="E1581" s="2">
        <f t="shared" si="50"/>
        <v>42644</v>
      </c>
      <c r="F1581" s="1" t="s">
        <v>58</v>
      </c>
      <c r="G1581" s="1" t="s">
        <v>18</v>
      </c>
      <c r="H1581" s="1">
        <v>-7.75</v>
      </c>
      <c r="I1581" s="1">
        <v>0.01</v>
      </c>
      <c r="J1581" s="1">
        <v>0</v>
      </c>
      <c r="K1581" s="2">
        <v>42684</v>
      </c>
      <c r="L1581" s="1">
        <v>3716</v>
      </c>
      <c r="M1581" s="1">
        <v>4.58</v>
      </c>
      <c r="N1581" s="1">
        <v>-0.57462000000000002</v>
      </c>
      <c r="O1581" s="3">
        <f>VLOOKUP(D1581,underlying!$D$40:$H$75,5,FALSE)</f>
        <v>-4</v>
      </c>
      <c r="P1581" s="4">
        <f t="shared" si="49"/>
        <v>42654</v>
      </c>
      <c r="Q1581" s="7">
        <f>IF(G1581="C",NormalCallSprd(O1581,H1581,M1581,(P1581-A1581)/365), NormalPutSprd(O1581,H1581,M1581,(P1581-A1581)/365))</f>
        <v>1.1591512449079929E-3</v>
      </c>
      <c r="R1581" s="9">
        <f t="shared" si="51"/>
        <v>8.8408487550920081E-3</v>
      </c>
    </row>
    <row r="1582" spans="1:18" x14ac:dyDescent="0.2">
      <c r="A1582" s="2">
        <v>42622</v>
      </c>
      <c r="B1582" s="1" t="s">
        <v>56</v>
      </c>
      <c r="C1582" s="1" t="s">
        <v>57</v>
      </c>
      <c r="D1582" s="2">
        <v>42379</v>
      </c>
      <c r="E1582" s="2">
        <f t="shared" si="50"/>
        <v>42644</v>
      </c>
      <c r="F1582" s="1" t="s">
        <v>58</v>
      </c>
      <c r="G1582" s="1" t="s">
        <v>16</v>
      </c>
      <c r="H1582" s="1">
        <v>-7.5</v>
      </c>
      <c r="I1582" s="1">
        <v>3.5</v>
      </c>
      <c r="J1582" s="1">
        <v>-0.25</v>
      </c>
      <c r="K1582" s="2">
        <v>42684</v>
      </c>
      <c r="L1582" s="1">
        <v>3716</v>
      </c>
      <c r="M1582" s="1">
        <v>4.58</v>
      </c>
      <c r="N1582" s="1">
        <v>-0.54888000000000003</v>
      </c>
      <c r="O1582" s="3">
        <f>VLOOKUP(D1582,underlying!$D$40:$H$75,5,FALSE)</f>
        <v>-4</v>
      </c>
      <c r="P1582" s="4">
        <f t="shared" si="49"/>
        <v>42654</v>
      </c>
      <c r="Q1582" s="7">
        <f>IF(G1582="C",NormalCallSprd(O1582,H1582,M1582,(P1582-A1582)/365), NormalPutSprd(O1582,H1582,M1582,(P1582-A1582)/365))</f>
        <v>3.5021092148860768</v>
      </c>
      <c r="R1582" s="9">
        <f t="shared" si="51"/>
        <v>2.1092148860768489E-3</v>
      </c>
    </row>
    <row r="1583" spans="1:18" x14ac:dyDescent="0.2">
      <c r="A1583" s="2">
        <v>42622</v>
      </c>
      <c r="B1583" s="1" t="s">
        <v>56</v>
      </c>
      <c r="C1583" s="1" t="s">
        <v>57</v>
      </c>
      <c r="D1583" s="2">
        <v>42379</v>
      </c>
      <c r="E1583" s="2">
        <f t="shared" si="50"/>
        <v>42644</v>
      </c>
      <c r="F1583" s="1" t="s">
        <v>58</v>
      </c>
      <c r="G1583" s="1" t="s">
        <v>18</v>
      </c>
      <c r="H1583" s="1">
        <v>-7.5</v>
      </c>
      <c r="I1583" s="1">
        <v>0.01</v>
      </c>
      <c r="J1583" s="1">
        <v>0</v>
      </c>
      <c r="K1583" s="2">
        <v>42684</v>
      </c>
      <c r="L1583" s="1">
        <v>3716</v>
      </c>
      <c r="M1583" s="1">
        <v>4.58</v>
      </c>
      <c r="N1583" s="1">
        <v>-0.52283000000000002</v>
      </c>
      <c r="O1583" s="3">
        <f>VLOOKUP(D1583,underlying!$D$40:$H$75,5,FALSE)</f>
        <v>-4</v>
      </c>
      <c r="P1583" s="4">
        <f t="shared" si="49"/>
        <v>42654</v>
      </c>
      <c r="Q1583" s="7">
        <f>IF(G1583="C",NormalCallSprd(O1583,H1583,M1583,(P1583-A1583)/365), NormalPutSprd(O1583,H1583,M1583,(P1583-A1583)/365))</f>
        <v>2.1092148860767631E-3</v>
      </c>
      <c r="R1583" s="9">
        <f t="shared" si="51"/>
        <v>7.8907851139232363E-3</v>
      </c>
    </row>
    <row r="1584" spans="1:18" x14ac:dyDescent="0.2">
      <c r="A1584" s="2">
        <v>42622</v>
      </c>
      <c r="B1584" s="1" t="s">
        <v>56</v>
      </c>
      <c r="C1584" s="1" t="s">
        <v>57</v>
      </c>
      <c r="D1584" s="2">
        <v>42379</v>
      </c>
      <c r="E1584" s="2">
        <f t="shared" si="50"/>
        <v>42644</v>
      </c>
      <c r="F1584" s="1" t="s">
        <v>58</v>
      </c>
      <c r="G1584" s="1" t="s">
        <v>16</v>
      </c>
      <c r="H1584" s="1">
        <v>-7.25</v>
      </c>
      <c r="I1584" s="1">
        <v>3.25</v>
      </c>
      <c r="J1584" s="1">
        <v>-0.25</v>
      </c>
      <c r="K1584" s="2">
        <v>42684</v>
      </c>
      <c r="L1584" s="1">
        <v>3716</v>
      </c>
      <c r="M1584" s="1">
        <v>4.58</v>
      </c>
      <c r="N1584" s="1">
        <v>-0.49681999999999998</v>
      </c>
      <c r="O1584" s="3">
        <f>VLOOKUP(D1584,underlying!$D$40:$H$75,5,FALSE)</f>
        <v>-4</v>
      </c>
      <c r="P1584" s="4">
        <f t="shared" si="49"/>
        <v>42654</v>
      </c>
      <c r="Q1584" s="7">
        <f>IF(G1584="C",NormalCallSprd(O1584,H1584,M1584,(P1584-A1584)/365), NormalPutSprd(O1584,H1584,M1584,(P1584-A1584)/365))</f>
        <v>3.2537275725336898</v>
      </c>
      <c r="R1584" s="9">
        <f t="shared" si="51"/>
        <v>3.7275725336898269E-3</v>
      </c>
    </row>
    <row r="1585" spans="1:18" x14ac:dyDescent="0.2">
      <c r="A1585" s="2">
        <v>42622</v>
      </c>
      <c r="B1585" s="1" t="s">
        <v>56</v>
      </c>
      <c r="C1585" s="1" t="s">
        <v>57</v>
      </c>
      <c r="D1585" s="2">
        <v>42379</v>
      </c>
      <c r="E1585" s="2">
        <f t="shared" si="50"/>
        <v>42644</v>
      </c>
      <c r="F1585" s="1" t="s">
        <v>58</v>
      </c>
      <c r="G1585" s="1" t="s">
        <v>18</v>
      </c>
      <c r="H1585" s="1">
        <v>-7.25</v>
      </c>
      <c r="I1585" s="1">
        <v>0.01</v>
      </c>
      <c r="J1585" s="1">
        <v>0</v>
      </c>
      <c r="K1585" s="2">
        <v>42684</v>
      </c>
      <c r="L1585" s="1">
        <v>3716</v>
      </c>
      <c r="M1585" s="1">
        <v>4.58</v>
      </c>
      <c r="N1585" s="1">
        <v>-0.4708</v>
      </c>
      <c r="O1585" s="3">
        <f>VLOOKUP(D1585,underlying!$D$40:$H$75,5,FALSE)</f>
        <v>-4</v>
      </c>
      <c r="P1585" s="4">
        <f t="shared" si="49"/>
        <v>42654</v>
      </c>
      <c r="Q1585" s="7">
        <f>IF(G1585="C",NormalCallSprd(O1585,H1585,M1585,(P1585-A1585)/365), NormalPutSprd(O1585,H1585,M1585,(P1585-A1585)/365))</f>
        <v>3.7275725336897666E-3</v>
      </c>
      <c r="R1585" s="9">
        <f t="shared" si="51"/>
        <v>6.272427466310234E-3</v>
      </c>
    </row>
    <row r="1586" spans="1:18" x14ac:dyDescent="0.2">
      <c r="A1586" s="2">
        <v>42622</v>
      </c>
      <c r="B1586" s="1" t="s">
        <v>56</v>
      </c>
      <c r="C1586" s="1" t="s">
        <v>57</v>
      </c>
      <c r="D1586" s="2">
        <v>42379</v>
      </c>
      <c r="E1586" s="2">
        <f t="shared" si="50"/>
        <v>42644</v>
      </c>
      <c r="F1586" s="1" t="s">
        <v>58</v>
      </c>
      <c r="G1586" s="1" t="s">
        <v>16</v>
      </c>
      <c r="H1586" s="1">
        <v>-7</v>
      </c>
      <c r="I1586" s="1">
        <v>3.01</v>
      </c>
      <c r="J1586" s="1">
        <v>-0.24</v>
      </c>
      <c r="K1586" s="2">
        <v>42684</v>
      </c>
      <c r="L1586" s="1">
        <v>3716</v>
      </c>
      <c r="M1586" s="1">
        <v>4.58</v>
      </c>
      <c r="N1586" s="1">
        <v>-0.44475999999999999</v>
      </c>
      <c r="O1586" s="3">
        <f>VLOOKUP(D1586,underlying!$D$40:$H$75,5,FALSE)</f>
        <v>-4</v>
      </c>
      <c r="P1586" s="4">
        <f t="shared" si="49"/>
        <v>42654</v>
      </c>
      <c r="Q1586" s="7">
        <f>IF(G1586="C",NormalCallSprd(O1586,H1586,M1586,(P1586-A1586)/365), NormalPutSprd(O1586,H1586,M1586,(P1586-A1586)/365))</f>
        <v>3.0064005663395355</v>
      </c>
      <c r="R1586" s="9">
        <f t="shared" si="51"/>
        <v>3.5994336604643351E-3</v>
      </c>
    </row>
    <row r="1587" spans="1:18" x14ac:dyDescent="0.2">
      <c r="A1587" s="2">
        <v>42622</v>
      </c>
      <c r="B1587" s="1" t="s">
        <v>56</v>
      </c>
      <c r="C1587" s="1" t="s">
        <v>57</v>
      </c>
      <c r="D1587" s="2">
        <v>42379</v>
      </c>
      <c r="E1587" s="2">
        <f t="shared" si="50"/>
        <v>42644</v>
      </c>
      <c r="F1587" s="1" t="s">
        <v>58</v>
      </c>
      <c r="G1587" s="1" t="s">
        <v>18</v>
      </c>
      <c r="H1587" s="1">
        <v>-7</v>
      </c>
      <c r="I1587" s="1">
        <v>0.01</v>
      </c>
      <c r="J1587" s="1">
        <v>0</v>
      </c>
      <c r="K1587" s="2">
        <v>42684</v>
      </c>
      <c r="L1587" s="1">
        <v>3716</v>
      </c>
      <c r="M1587" s="1">
        <v>4.58</v>
      </c>
      <c r="N1587" s="1">
        <v>-0.41900999999999999</v>
      </c>
      <c r="O1587" s="3">
        <f>VLOOKUP(D1587,underlying!$D$40:$H$75,5,FALSE)</f>
        <v>-4</v>
      </c>
      <c r="P1587" s="4">
        <f t="shared" si="49"/>
        <v>42654</v>
      </c>
      <c r="Q1587" s="7">
        <f>IF(G1587="C",NormalCallSprd(O1587,H1587,M1587,(P1587-A1587)/365), NormalPutSprd(O1587,H1587,M1587,(P1587-A1587)/365))</f>
        <v>6.4005663395352288E-3</v>
      </c>
      <c r="R1587" s="9">
        <f t="shared" si="51"/>
        <v>3.5994336604647714E-3</v>
      </c>
    </row>
    <row r="1588" spans="1:18" x14ac:dyDescent="0.2">
      <c r="A1588" s="2">
        <v>42622</v>
      </c>
      <c r="B1588" s="1" t="s">
        <v>56</v>
      </c>
      <c r="C1588" s="1" t="s">
        <v>57</v>
      </c>
      <c r="D1588" s="2">
        <v>42379</v>
      </c>
      <c r="E1588" s="2">
        <f t="shared" si="50"/>
        <v>42644</v>
      </c>
      <c r="F1588" s="1" t="s">
        <v>58</v>
      </c>
      <c r="G1588" s="1" t="s">
        <v>16</v>
      </c>
      <c r="H1588" s="1">
        <v>-6.75</v>
      </c>
      <c r="I1588" s="1">
        <v>2.76</v>
      </c>
      <c r="J1588" s="1">
        <v>-0.25</v>
      </c>
      <c r="K1588" s="2">
        <v>42684</v>
      </c>
      <c r="L1588" s="1">
        <v>3716</v>
      </c>
      <c r="M1588" s="1">
        <v>4.58</v>
      </c>
      <c r="N1588" s="1">
        <v>-0.39330999999999999</v>
      </c>
      <c r="O1588" s="3">
        <f>VLOOKUP(D1588,underlying!$D$40:$H$75,5,FALSE)</f>
        <v>-4</v>
      </c>
      <c r="P1588" s="4">
        <f t="shared" si="49"/>
        <v>42654</v>
      </c>
      <c r="Q1588" s="7">
        <f>IF(G1588="C",NormalCallSprd(O1588,H1588,M1588,(P1588-A1588)/365), NormalPutSprd(O1588,H1588,M1588,(P1588-A1588)/365))</f>
        <v>2.7606825768901344</v>
      </c>
      <c r="R1588" s="9">
        <f t="shared" si="51"/>
        <v>6.8257689013462297E-4</v>
      </c>
    </row>
    <row r="1589" spans="1:18" x14ac:dyDescent="0.2">
      <c r="A1589" s="2">
        <v>42622</v>
      </c>
      <c r="B1589" s="1" t="s">
        <v>56</v>
      </c>
      <c r="C1589" s="1" t="s">
        <v>57</v>
      </c>
      <c r="D1589" s="2">
        <v>42379</v>
      </c>
      <c r="E1589" s="2">
        <f t="shared" si="50"/>
        <v>42644</v>
      </c>
      <c r="F1589" s="1" t="s">
        <v>58</v>
      </c>
      <c r="G1589" s="1" t="s">
        <v>18</v>
      </c>
      <c r="H1589" s="1">
        <v>-6.75</v>
      </c>
      <c r="I1589" s="1">
        <v>0.01</v>
      </c>
      <c r="J1589" s="1">
        <v>0</v>
      </c>
      <c r="K1589" s="2">
        <v>42684</v>
      </c>
      <c r="L1589" s="1">
        <v>3716</v>
      </c>
      <c r="M1589" s="1">
        <v>4.58</v>
      </c>
      <c r="N1589" s="1">
        <v>-0.36895</v>
      </c>
      <c r="O1589" s="3">
        <f>VLOOKUP(D1589,underlying!$D$40:$H$75,5,FALSE)</f>
        <v>-4</v>
      </c>
      <c r="P1589" s="4">
        <f t="shared" si="49"/>
        <v>42654</v>
      </c>
      <c r="Q1589" s="7">
        <f>IF(G1589="C",NormalCallSprd(O1589,H1589,M1589,(P1589-A1589)/365), NormalPutSprd(O1589,H1589,M1589,(P1589-A1589)/365))</f>
        <v>1.0682576890134313E-2</v>
      </c>
      <c r="R1589" s="9">
        <f t="shared" si="51"/>
        <v>6.8257689013431246E-4</v>
      </c>
    </row>
    <row r="1590" spans="1:18" x14ac:dyDescent="0.2">
      <c r="A1590" s="2">
        <v>42622</v>
      </c>
      <c r="B1590" s="1" t="s">
        <v>56</v>
      </c>
      <c r="C1590" s="1" t="s">
        <v>57</v>
      </c>
      <c r="D1590" s="2">
        <v>42379</v>
      </c>
      <c r="E1590" s="2">
        <f t="shared" si="50"/>
        <v>42644</v>
      </c>
      <c r="F1590" s="1" t="s">
        <v>58</v>
      </c>
      <c r="G1590" s="1" t="s">
        <v>16</v>
      </c>
      <c r="H1590" s="1">
        <v>-6.5</v>
      </c>
      <c r="I1590" s="1">
        <v>2.52</v>
      </c>
      <c r="J1590" s="1">
        <v>-0.24</v>
      </c>
      <c r="K1590" s="2">
        <v>42684</v>
      </c>
      <c r="L1590" s="1">
        <v>3716</v>
      </c>
      <c r="M1590" s="1">
        <v>4.58</v>
      </c>
      <c r="N1590" s="1">
        <v>-0.34377000000000002</v>
      </c>
      <c r="O1590" s="3">
        <f>VLOOKUP(D1590,underlying!$D$40:$H$75,5,FALSE)</f>
        <v>-4</v>
      </c>
      <c r="P1590" s="4">
        <f t="shared" si="49"/>
        <v>42654</v>
      </c>
      <c r="Q1590" s="7">
        <f>IF(G1590="C",NormalCallSprd(O1590,H1590,M1590,(P1590-A1590)/365), NormalPutSprd(O1590,H1590,M1590,(P1590-A1590)/365))</f>
        <v>2.5173378260417381</v>
      </c>
      <c r="R1590" s="9">
        <f t="shared" si="51"/>
        <v>2.6621739582619597E-3</v>
      </c>
    </row>
    <row r="1591" spans="1:18" x14ac:dyDescent="0.2">
      <c r="A1591" s="2">
        <v>42622</v>
      </c>
      <c r="B1591" s="1" t="s">
        <v>56</v>
      </c>
      <c r="C1591" s="1" t="s">
        <v>57</v>
      </c>
      <c r="D1591" s="2">
        <v>42379</v>
      </c>
      <c r="E1591" s="2">
        <f t="shared" si="50"/>
        <v>42644</v>
      </c>
      <c r="F1591" s="1" t="s">
        <v>58</v>
      </c>
      <c r="G1591" s="1" t="s">
        <v>18</v>
      </c>
      <c r="H1591" s="1">
        <v>-6.5</v>
      </c>
      <c r="I1591" s="1">
        <v>0.02</v>
      </c>
      <c r="J1591" s="1">
        <v>0.01</v>
      </c>
      <c r="K1591" s="2">
        <v>42684</v>
      </c>
      <c r="L1591" s="1">
        <v>3716</v>
      </c>
      <c r="M1591" s="1">
        <v>4.58</v>
      </c>
      <c r="N1591" s="1">
        <v>-0.32079999999999997</v>
      </c>
      <c r="O1591" s="3">
        <f>VLOOKUP(D1591,underlying!$D$40:$H$75,5,FALSE)</f>
        <v>-4</v>
      </c>
      <c r="P1591" s="4">
        <f t="shared" si="49"/>
        <v>42654</v>
      </c>
      <c r="Q1591" s="7">
        <f>IF(G1591="C",NormalCallSprd(O1591,H1591,M1591,(P1591-A1591)/365), NormalPutSprd(O1591,H1591,M1591,(P1591-A1591)/365))</f>
        <v>1.7337826041738013E-2</v>
      </c>
      <c r="R1591" s="9">
        <f t="shared" si="51"/>
        <v>2.6621739582619874E-3</v>
      </c>
    </row>
    <row r="1592" spans="1:18" x14ac:dyDescent="0.2">
      <c r="A1592" s="2">
        <v>42622</v>
      </c>
      <c r="B1592" s="1" t="s">
        <v>56</v>
      </c>
      <c r="C1592" s="1" t="s">
        <v>57</v>
      </c>
      <c r="D1592" s="2">
        <v>42379</v>
      </c>
      <c r="E1592" s="2">
        <f t="shared" si="50"/>
        <v>42644</v>
      </c>
      <c r="F1592" s="1" t="s">
        <v>58</v>
      </c>
      <c r="G1592" s="1" t="s">
        <v>16</v>
      </c>
      <c r="H1592" s="1">
        <v>-6.25</v>
      </c>
      <c r="I1592" s="1">
        <v>2.2799999999999998</v>
      </c>
      <c r="J1592" s="1">
        <v>-0.24</v>
      </c>
      <c r="K1592" s="2">
        <v>42684</v>
      </c>
      <c r="L1592" s="1">
        <v>3716</v>
      </c>
      <c r="M1592" s="1">
        <v>4.58</v>
      </c>
      <c r="N1592" s="1">
        <v>-0.29675000000000001</v>
      </c>
      <c r="O1592" s="3">
        <f>VLOOKUP(D1592,underlying!$D$40:$H$75,5,FALSE)</f>
        <v>-4</v>
      </c>
      <c r="P1592" s="4">
        <f t="shared" si="49"/>
        <v>42654</v>
      </c>
      <c r="Q1592" s="7">
        <f>IF(G1592="C",NormalCallSprd(O1592,H1592,M1592,(P1592-A1592)/365), NormalPutSprd(O1592,H1592,M1592,(P1592-A1592)/365))</f>
        <v>2.2773771915313867</v>
      </c>
      <c r="R1592" s="9">
        <f t="shared" si="51"/>
        <v>2.6228084686130693E-3</v>
      </c>
    </row>
    <row r="1593" spans="1:18" x14ac:dyDescent="0.2">
      <c r="A1593" s="2">
        <v>42622</v>
      </c>
      <c r="B1593" s="1" t="s">
        <v>56</v>
      </c>
      <c r="C1593" s="1" t="s">
        <v>57</v>
      </c>
      <c r="D1593" s="2">
        <v>42379</v>
      </c>
      <c r="E1593" s="2">
        <f t="shared" si="50"/>
        <v>42644</v>
      </c>
      <c r="F1593" s="1" t="s">
        <v>58</v>
      </c>
      <c r="G1593" s="1" t="s">
        <v>18</v>
      </c>
      <c r="H1593" s="1">
        <v>-6.25</v>
      </c>
      <c r="I1593" s="1">
        <v>0.03</v>
      </c>
      <c r="J1593" s="1">
        <v>0.01</v>
      </c>
      <c r="K1593" s="2">
        <v>42684</v>
      </c>
      <c r="L1593" s="1">
        <v>3716</v>
      </c>
      <c r="M1593" s="1">
        <v>4.58</v>
      </c>
      <c r="N1593" s="1">
        <v>-0.27546999999999999</v>
      </c>
      <c r="O1593" s="3">
        <f>VLOOKUP(D1593,underlying!$D$40:$H$75,5,FALSE)</f>
        <v>-4</v>
      </c>
      <c r="P1593" s="4">
        <f t="shared" ref="P1593:P1656" si="52">DATE(YEAR(K1593),DAY(K1593),MONTH(K1593))</f>
        <v>42654</v>
      </c>
      <c r="Q1593" s="7">
        <f>IF(G1593="C",NormalCallSprd(O1593,H1593,M1593,(P1593-A1593)/365), NormalPutSprd(O1593,H1593,M1593,(P1593-A1593)/365))</f>
        <v>2.737719153138669E-2</v>
      </c>
      <c r="R1593" s="9">
        <f t="shared" si="51"/>
        <v>2.6228084686133087E-3</v>
      </c>
    </row>
    <row r="1594" spans="1:18" x14ac:dyDescent="0.2">
      <c r="A1594" s="2">
        <v>42622</v>
      </c>
      <c r="B1594" s="1" t="s">
        <v>56</v>
      </c>
      <c r="C1594" s="1" t="s">
        <v>57</v>
      </c>
      <c r="D1594" s="2">
        <v>42379</v>
      </c>
      <c r="E1594" s="2">
        <f t="shared" si="50"/>
        <v>42644</v>
      </c>
      <c r="F1594" s="1" t="s">
        <v>58</v>
      </c>
      <c r="G1594" s="1" t="s">
        <v>16</v>
      </c>
      <c r="H1594" s="1">
        <v>-6</v>
      </c>
      <c r="I1594" s="1">
        <v>2.04</v>
      </c>
      <c r="J1594" s="1">
        <v>-0.24</v>
      </c>
      <c r="K1594" s="2">
        <v>42684</v>
      </c>
      <c r="L1594" s="1">
        <v>3716</v>
      </c>
      <c r="M1594" s="1">
        <v>4.5599999999999996</v>
      </c>
      <c r="N1594" s="1">
        <v>-0.25403999999999999</v>
      </c>
      <c r="O1594" s="3">
        <f>VLOOKUP(D1594,underlying!$D$40:$H$75,5,FALSE)</f>
        <v>-4</v>
      </c>
      <c r="P1594" s="4">
        <f t="shared" si="52"/>
        <v>42654</v>
      </c>
      <c r="Q1594" s="7">
        <f>IF(G1594="C",NormalCallSprd(O1594,H1594,M1594,(P1594-A1594)/365), NormalPutSprd(O1594,H1594,M1594,(P1594-A1594)/365))</f>
        <v>2.041289296343848</v>
      </c>
      <c r="R1594" s="9">
        <f t="shared" si="51"/>
        <v>1.289296343848001E-3</v>
      </c>
    </row>
    <row r="1595" spans="1:18" x14ac:dyDescent="0.2">
      <c r="A1595" s="2">
        <v>42622</v>
      </c>
      <c r="B1595" s="1" t="s">
        <v>56</v>
      </c>
      <c r="C1595" s="1" t="s">
        <v>57</v>
      </c>
      <c r="D1595" s="2">
        <v>42379</v>
      </c>
      <c r="E1595" s="2">
        <f t="shared" si="50"/>
        <v>42644</v>
      </c>
      <c r="F1595" s="1" t="s">
        <v>58</v>
      </c>
      <c r="G1595" s="1" t="s">
        <v>18</v>
      </c>
      <c r="H1595" s="1">
        <v>-6</v>
      </c>
      <c r="I1595" s="1">
        <v>0.04</v>
      </c>
      <c r="J1595" s="1">
        <v>0.01</v>
      </c>
      <c r="K1595" s="2">
        <v>42684</v>
      </c>
      <c r="L1595" s="1">
        <v>3716</v>
      </c>
      <c r="M1595" s="1">
        <v>4.5599999999999996</v>
      </c>
      <c r="N1595" s="1">
        <v>-0.23352000000000001</v>
      </c>
      <c r="O1595" s="3">
        <f>VLOOKUP(D1595,underlying!$D$40:$H$75,5,FALSE)</f>
        <v>-4</v>
      </c>
      <c r="P1595" s="4">
        <f t="shared" si="52"/>
        <v>42654</v>
      </c>
      <c r="Q1595" s="7">
        <f>IF(G1595="C",NormalCallSprd(O1595,H1595,M1595,(P1595-A1595)/365), NormalPutSprd(O1595,H1595,M1595,(P1595-A1595)/365))</f>
        <v>4.1289296343848078E-2</v>
      </c>
      <c r="R1595" s="9">
        <f t="shared" si="51"/>
        <v>1.2892963438480773E-3</v>
      </c>
    </row>
    <row r="1596" spans="1:18" x14ac:dyDescent="0.2">
      <c r="A1596" s="2">
        <v>42622</v>
      </c>
      <c r="B1596" s="1" t="s">
        <v>56</v>
      </c>
      <c r="C1596" s="1" t="s">
        <v>57</v>
      </c>
      <c r="D1596" s="2">
        <v>42379</v>
      </c>
      <c r="E1596" s="2">
        <f t="shared" si="50"/>
        <v>42644</v>
      </c>
      <c r="F1596" s="1" t="s">
        <v>58</v>
      </c>
      <c r="G1596" s="1" t="s">
        <v>16</v>
      </c>
      <c r="H1596" s="1">
        <v>-5.75</v>
      </c>
      <c r="I1596" s="1">
        <v>1.81</v>
      </c>
      <c r="J1596" s="1">
        <v>-0.23</v>
      </c>
      <c r="K1596" s="2">
        <v>42684</v>
      </c>
      <c r="L1596" s="1">
        <v>3716</v>
      </c>
      <c r="M1596" s="1">
        <v>4.58</v>
      </c>
      <c r="N1596" s="1">
        <v>-0.21395</v>
      </c>
      <c r="O1596" s="3">
        <f>VLOOKUP(D1596,underlying!$D$40:$H$75,5,FALSE)</f>
        <v>-4</v>
      </c>
      <c r="P1596" s="4">
        <f t="shared" si="52"/>
        <v>42654</v>
      </c>
      <c r="Q1596" s="7">
        <f>IF(G1596="C",NormalCallSprd(O1596,H1596,M1596,(P1596-A1596)/365), NormalPutSprd(O1596,H1596,M1596,(P1596-A1596)/365))</f>
        <v>1.8130039631396186</v>
      </c>
      <c r="R1596" s="9">
        <f t="shared" si="51"/>
        <v>3.0039631396185928E-3</v>
      </c>
    </row>
    <row r="1597" spans="1:18" x14ac:dyDescent="0.2">
      <c r="A1597" s="2">
        <v>42622</v>
      </c>
      <c r="B1597" s="1" t="s">
        <v>56</v>
      </c>
      <c r="C1597" s="1" t="s">
        <v>57</v>
      </c>
      <c r="D1597" s="2">
        <v>42379</v>
      </c>
      <c r="E1597" s="2">
        <f t="shared" si="50"/>
        <v>42644</v>
      </c>
      <c r="F1597" s="1" t="s">
        <v>58</v>
      </c>
      <c r="G1597" s="1" t="s">
        <v>18</v>
      </c>
      <c r="H1597" s="1">
        <v>-5.75</v>
      </c>
      <c r="I1597" s="1">
        <v>0.06</v>
      </c>
      <c r="J1597" s="1">
        <v>0.02</v>
      </c>
      <c r="K1597" s="2">
        <v>42684</v>
      </c>
      <c r="L1597" s="1">
        <v>3716</v>
      </c>
      <c r="M1597" s="1">
        <v>4.58</v>
      </c>
      <c r="N1597" s="1">
        <v>-0.19536000000000001</v>
      </c>
      <c r="O1597" s="3">
        <f>VLOOKUP(D1597,underlying!$D$40:$H$75,5,FALSE)</f>
        <v>-4</v>
      </c>
      <c r="P1597" s="4">
        <f t="shared" si="52"/>
        <v>42654</v>
      </c>
      <c r="Q1597" s="7">
        <f>IF(G1597="C",NormalCallSprd(O1597,H1597,M1597,(P1597-A1597)/365), NormalPutSprd(O1597,H1597,M1597,(P1597-A1597)/365))</f>
        <v>6.3003963139618785E-2</v>
      </c>
      <c r="R1597" s="9">
        <f t="shared" si="51"/>
        <v>3.0039631396187871E-3</v>
      </c>
    </row>
    <row r="1598" spans="1:18" x14ac:dyDescent="0.2">
      <c r="A1598" s="2">
        <v>42622</v>
      </c>
      <c r="B1598" s="1" t="s">
        <v>56</v>
      </c>
      <c r="C1598" s="1" t="s">
        <v>57</v>
      </c>
      <c r="D1598" s="2">
        <v>42379</v>
      </c>
      <c r="E1598" s="2">
        <f t="shared" si="50"/>
        <v>42644</v>
      </c>
      <c r="F1598" s="1" t="s">
        <v>58</v>
      </c>
      <c r="G1598" s="1" t="s">
        <v>16</v>
      </c>
      <c r="H1598" s="1">
        <v>-5.5</v>
      </c>
      <c r="I1598" s="1">
        <v>1.59</v>
      </c>
      <c r="J1598" s="1">
        <v>-0.23</v>
      </c>
      <c r="K1598" s="2">
        <v>42684</v>
      </c>
      <c r="L1598" s="1">
        <v>3716</v>
      </c>
      <c r="M1598" s="1">
        <v>4.5599999999999996</v>
      </c>
      <c r="N1598" s="1">
        <v>-0.17713999999999999</v>
      </c>
      <c r="O1598" s="3">
        <f>VLOOKUP(D1598,underlying!$D$40:$H$75,5,FALSE)</f>
        <v>-4</v>
      </c>
      <c r="P1598" s="4">
        <f t="shared" si="52"/>
        <v>42654</v>
      </c>
      <c r="Q1598" s="7">
        <f>IF(G1598="C",NormalCallSprd(O1598,H1598,M1598,(P1598-A1598)/365), NormalPutSprd(O1598,H1598,M1598,(P1598-A1598)/365))</f>
        <v>1.5906593227699795</v>
      </c>
      <c r="R1598" s="9">
        <f t="shared" si="51"/>
        <v>6.5932276997937578E-4</v>
      </c>
    </row>
    <row r="1599" spans="1:18" x14ac:dyDescent="0.2">
      <c r="A1599" s="2">
        <v>42622</v>
      </c>
      <c r="B1599" s="1" t="s">
        <v>56</v>
      </c>
      <c r="C1599" s="1" t="s">
        <v>57</v>
      </c>
      <c r="D1599" s="2">
        <v>42379</v>
      </c>
      <c r="E1599" s="2">
        <f t="shared" si="50"/>
        <v>42644</v>
      </c>
      <c r="F1599" s="1" t="s">
        <v>58</v>
      </c>
      <c r="G1599" s="1" t="s">
        <v>18</v>
      </c>
      <c r="H1599" s="1">
        <v>-5.5</v>
      </c>
      <c r="I1599" s="1">
        <v>0.09</v>
      </c>
      <c r="J1599" s="1">
        <v>0.02</v>
      </c>
      <c r="K1599" s="2">
        <v>42684</v>
      </c>
      <c r="L1599" s="1">
        <v>3716</v>
      </c>
      <c r="M1599" s="1">
        <v>4.5599999999999996</v>
      </c>
      <c r="N1599" s="1">
        <v>-0.16059000000000001</v>
      </c>
      <c r="O1599" s="3">
        <f>VLOOKUP(D1599,underlying!$D$40:$H$75,5,FALSE)</f>
        <v>-4</v>
      </c>
      <c r="P1599" s="4">
        <f t="shared" si="52"/>
        <v>42654</v>
      </c>
      <c r="Q1599" s="7">
        <f>IF(G1599="C",NormalCallSprd(O1599,H1599,M1599,(P1599-A1599)/365), NormalPutSprd(O1599,H1599,M1599,(P1599-A1599)/365))</f>
        <v>9.0659322769979483E-2</v>
      </c>
      <c r="R1599" s="9">
        <f t="shared" si="51"/>
        <v>6.593227699794868E-4</v>
      </c>
    </row>
    <row r="1600" spans="1:18" x14ac:dyDescent="0.2">
      <c r="A1600" s="2">
        <v>42622</v>
      </c>
      <c r="B1600" s="1" t="s">
        <v>56</v>
      </c>
      <c r="C1600" s="1" t="s">
        <v>57</v>
      </c>
      <c r="D1600" s="2">
        <v>42379</v>
      </c>
      <c r="E1600" s="2">
        <f t="shared" si="50"/>
        <v>42644</v>
      </c>
      <c r="F1600" s="1" t="s">
        <v>58</v>
      </c>
      <c r="G1600" s="1" t="s">
        <v>16</v>
      </c>
      <c r="H1600" s="1">
        <v>-5.25</v>
      </c>
      <c r="I1600" s="1">
        <v>1.38</v>
      </c>
      <c r="J1600" s="1">
        <v>-0.21</v>
      </c>
      <c r="K1600" s="2">
        <v>42684</v>
      </c>
      <c r="L1600" s="1">
        <v>3716</v>
      </c>
      <c r="M1600" s="1">
        <v>4.58</v>
      </c>
      <c r="N1600" s="1">
        <v>-0.14443</v>
      </c>
      <c r="O1600" s="3">
        <f>VLOOKUP(D1600,underlying!$D$40:$H$75,5,FALSE)</f>
        <v>-4</v>
      </c>
      <c r="P1600" s="4">
        <f t="shared" si="52"/>
        <v>42654</v>
      </c>
      <c r="Q1600" s="7">
        <f>IF(G1600="C",NormalCallSprd(O1600,H1600,M1600,(P1600-A1600)/365), NormalPutSprd(O1600,H1600,M1600,(P1600-A1600)/365))</f>
        <v>1.3808498166123684</v>
      </c>
      <c r="R1600" s="9">
        <f t="shared" si="51"/>
        <v>8.4981661236849249E-4</v>
      </c>
    </row>
    <row r="1601" spans="1:18" x14ac:dyDescent="0.2">
      <c r="A1601" s="2">
        <v>42622</v>
      </c>
      <c r="B1601" s="1" t="s">
        <v>56</v>
      </c>
      <c r="C1601" s="1" t="s">
        <v>57</v>
      </c>
      <c r="D1601" s="2">
        <v>42379</v>
      </c>
      <c r="E1601" s="2">
        <f t="shared" si="50"/>
        <v>42644</v>
      </c>
      <c r="F1601" s="1" t="s">
        <v>58</v>
      </c>
      <c r="G1601" s="1" t="s">
        <v>18</v>
      </c>
      <c r="H1601" s="1">
        <v>-5.25</v>
      </c>
      <c r="I1601" s="1">
        <v>0.13</v>
      </c>
      <c r="J1601" s="1">
        <v>0.03</v>
      </c>
      <c r="K1601" s="2">
        <v>42684</v>
      </c>
      <c r="L1601" s="1">
        <v>3716</v>
      </c>
      <c r="M1601" s="1">
        <v>4.58</v>
      </c>
      <c r="N1601" s="1">
        <v>-0.12997</v>
      </c>
      <c r="O1601" s="3">
        <f>VLOOKUP(D1601,underlying!$D$40:$H$75,5,FALSE)</f>
        <v>-4</v>
      </c>
      <c r="P1601" s="4">
        <f t="shared" si="52"/>
        <v>42654</v>
      </c>
      <c r="Q1601" s="7">
        <f>IF(G1601="C",NormalCallSprd(O1601,H1601,M1601,(P1601-A1601)/365), NormalPutSprd(O1601,H1601,M1601,(P1601-A1601)/365))</f>
        <v>0.13084981661236833</v>
      </c>
      <c r="R1601" s="9">
        <f t="shared" si="51"/>
        <v>8.4981661236832595E-4</v>
      </c>
    </row>
    <row r="1602" spans="1:18" x14ac:dyDescent="0.2">
      <c r="A1602" s="2">
        <v>42622</v>
      </c>
      <c r="B1602" s="1" t="s">
        <v>56</v>
      </c>
      <c r="C1602" s="1" t="s">
        <v>57</v>
      </c>
      <c r="D1602" s="2">
        <v>42379</v>
      </c>
      <c r="E1602" s="2">
        <f t="shared" ref="E1602:E1665" si="53">DATE(YEAR(D1602),DAY(D1602),MONTH(D1602))</f>
        <v>42644</v>
      </c>
      <c r="F1602" s="1" t="s">
        <v>58</v>
      </c>
      <c r="G1602" s="1" t="s">
        <v>16</v>
      </c>
      <c r="H1602" s="1">
        <v>-5</v>
      </c>
      <c r="I1602" s="1">
        <v>1.18</v>
      </c>
      <c r="J1602" s="1">
        <v>-0.21</v>
      </c>
      <c r="K1602" s="2">
        <v>42684</v>
      </c>
      <c r="L1602" s="1">
        <v>3716</v>
      </c>
      <c r="M1602" s="1">
        <v>4.5599999999999996</v>
      </c>
      <c r="N1602" s="1">
        <v>-0.11654</v>
      </c>
      <c r="O1602" s="3">
        <f>VLOOKUP(D1602,underlying!$D$40:$H$75,5,FALSE)</f>
        <v>-4</v>
      </c>
      <c r="P1602" s="4">
        <f t="shared" si="52"/>
        <v>42654</v>
      </c>
      <c r="Q1602" s="7">
        <f>IF(G1602="C",NormalCallSprd(O1602,H1602,M1602,(P1602-A1602)/365), NormalPutSprd(O1602,H1602,M1602,(P1602-A1602)/365))</f>
        <v>1.1799818604440402</v>
      </c>
      <c r="R1602" s="9">
        <f t="shared" si="51"/>
        <v>1.8139555959750808E-5</v>
      </c>
    </row>
    <row r="1603" spans="1:18" x14ac:dyDescent="0.2">
      <c r="A1603" s="2">
        <v>42622</v>
      </c>
      <c r="B1603" s="1" t="s">
        <v>56</v>
      </c>
      <c r="C1603" s="1" t="s">
        <v>57</v>
      </c>
      <c r="D1603" s="2">
        <v>42379</v>
      </c>
      <c r="E1603" s="2">
        <f t="shared" si="53"/>
        <v>42644</v>
      </c>
      <c r="F1603" s="1" t="s">
        <v>58</v>
      </c>
      <c r="G1603" s="1" t="s">
        <v>18</v>
      </c>
      <c r="H1603" s="1">
        <v>-5</v>
      </c>
      <c r="I1603" s="1">
        <v>0.18</v>
      </c>
      <c r="J1603" s="1">
        <v>0.04</v>
      </c>
      <c r="K1603" s="2">
        <v>42684</v>
      </c>
      <c r="L1603" s="1">
        <v>3716</v>
      </c>
      <c r="M1603" s="1">
        <v>4.5599999999999996</v>
      </c>
      <c r="N1603" s="1">
        <v>-0.10413</v>
      </c>
      <c r="O1603" s="3">
        <f>VLOOKUP(D1603,underlying!$D$40:$H$75,5,FALSE)</f>
        <v>-4</v>
      </c>
      <c r="P1603" s="4">
        <f t="shared" si="52"/>
        <v>42654</v>
      </c>
      <c r="Q1603" s="7">
        <f>IF(G1603="C",NormalCallSprd(O1603,H1603,M1603,(P1603-A1603)/365), NormalPutSprd(O1603,H1603,M1603,(P1603-A1603)/365))</f>
        <v>0.17998186044404033</v>
      </c>
      <c r="R1603" s="9">
        <f t="shared" ref="R1603:R1666" si="54">ABS(Q1603-I1603)</f>
        <v>1.8139555959667542E-5</v>
      </c>
    </row>
    <row r="1604" spans="1:18" x14ac:dyDescent="0.2">
      <c r="A1604" s="2">
        <v>42622</v>
      </c>
      <c r="B1604" s="1" t="s">
        <v>56</v>
      </c>
      <c r="C1604" s="1" t="s">
        <v>57</v>
      </c>
      <c r="D1604" s="2">
        <v>42379</v>
      </c>
      <c r="E1604" s="2">
        <f t="shared" si="53"/>
        <v>42644</v>
      </c>
      <c r="F1604" s="1" t="s">
        <v>58</v>
      </c>
      <c r="G1604" s="1" t="s">
        <v>16</v>
      </c>
      <c r="H1604" s="1">
        <v>-4.75</v>
      </c>
      <c r="I1604" s="1">
        <v>1</v>
      </c>
      <c r="J1604" s="1">
        <v>-0.19</v>
      </c>
      <c r="K1604" s="2">
        <v>42684</v>
      </c>
      <c r="L1604" s="1">
        <v>3716</v>
      </c>
      <c r="M1604" s="1">
        <v>4.57</v>
      </c>
      <c r="N1604" s="1">
        <v>-9.2700000000000005E-2</v>
      </c>
      <c r="O1604" s="3">
        <f>VLOOKUP(D1604,underlying!$D$40:$H$75,5,FALSE)</f>
        <v>-4</v>
      </c>
      <c r="P1604" s="4">
        <f t="shared" si="52"/>
        <v>42654</v>
      </c>
      <c r="Q1604" s="7">
        <f>IF(G1604="C",NormalCallSprd(O1604,H1604,M1604,(P1604-A1604)/365), NormalPutSprd(O1604,H1604,M1604,(P1604-A1604)/365))</f>
        <v>0.99568766118031116</v>
      </c>
      <c r="R1604" s="9">
        <f t="shared" si="54"/>
        <v>4.3123388196888435E-3</v>
      </c>
    </row>
    <row r="1605" spans="1:18" x14ac:dyDescent="0.2">
      <c r="A1605" s="2">
        <v>42622</v>
      </c>
      <c r="B1605" s="1" t="s">
        <v>56</v>
      </c>
      <c r="C1605" s="1" t="s">
        <v>57</v>
      </c>
      <c r="D1605" s="2">
        <v>42379</v>
      </c>
      <c r="E1605" s="2">
        <f t="shared" si="53"/>
        <v>42644</v>
      </c>
      <c r="F1605" s="1" t="s">
        <v>58</v>
      </c>
      <c r="G1605" s="1" t="s">
        <v>18</v>
      </c>
      <c r="H1605" s="1">
        <v>-4.75</v>
      </c>
      <c r="I1605" s="1">
        <v>0.25</v>
      </c>
      <c r="J1605" s="1">
        <v>0.06</v>
      </c>
      <c r="K1605" s="2">
        <v>42684</v>
      </c>
      <c r="L1605" s="1">
        <v>3716</v>
      </c>
      <c r="M1605" s="1">
        <v>4.57</v>
      </c>
      <c r="N1605" s="1">
        <v>-8.2229999999999998E-2</v>
      </c>
      <c r="O1605" s="3">
        <f>VLOOKUP(D1605,underlying!$D$40:$H$75,5,FALSE)</f>
        <v>-4</v>
      </c>
      <c r="P1605" s="4">
        <f t="shared" si="52"/>
        <v>42654</v>
      </c>
      <c r="Q1605" s="7">
        <f>IF(G1605="C",NormalCallSprd(O1605,H1605,M1605,(P1605-A1605)/365), NormalPutSprd(O1605,H1605,M1605,(P1605-A1605)/365))</f>
        <v>0.24568766118031116</v>
      </c>
      <c r="R1605" s="9">
        <f t="shared" si="54"/>
        <v>4.3123388196888435E-3</v>
      </c>
    </row>
    <row r="1606" spans="1:18" x14ac:dyDescent="0.2">
      <c r="A1606" s="2">
        <v>42622</v>
      </c>
      <c r="B1606" s="1" t="s">
        <v>56</v>
      </c>
      <c r="C1606" s="1" t="s">
        <v>57</v>
      </c>
      <c r="D1606" s="2">
        <v>42379</v>
      </c>
      <c r="E1606" s="2">
        <f t="shared" si="53"/>
        <v>42644</v>
      </c>
      <c r="F1606" s="1" t="s">
        <v>58</v>
      </c>
      <c r="G1606" s="1" t="s">
        <v>16</v>
      </c>
      <c r="H1606" s="1">
        <v>-4.5</v>
      </c>
      <c r="I1606" s="1">
        <v>0.83</v>
      </c>
      <c r="J1606" s="1">
        <v>-0.17</v>
      </c>
      <c r="K1606" s="2">
        <v>42684</v>
      </c>
      <c r="L1606" s="1">
        <v>3716</v>
      </c>
      <c r="M1606" s="1">
        <v>4.57</v>
      </c>
      <c r="N1606" s="1">
        <v>-7.2669999999999998E-2</v>
      </c>
      <c r="O1606" s="3">
        <f>VLOOKUP(D1606,underlying!$D$40:$H$75,5,FALSE)</f>
        <v>-4</v>
      </c>
      <c r="P1606" s="4">
        <f t="shared" si="52"/>
        <v>42654</v>
      </c>
      <c r="Q1606" s="7">
        <f>IF(G1606="C",NormalCallSprd(O1606,H1606,M1606,(P1606-A1606)/365), NormalPutSprd(O1606,H1606,M1606,(P1606-A1606)/365))</f>
        <v>0.82626682108934035</v>
      </c>
      <c r="R1606" s="9">
        <f t="shared" si="54"/>
        <v>3.7331789106596069E-3</v>
      </c>
    </row>
    <row r="1607" spans="1:18" x14ac:dyDescent="0.2">
      <c r="A1607" s="2">
        <v>42622</v>
      </c>
      <c r="B1607" s="1" t="s">
        <v>56</v>
      </c>
      <c r="C1607" s="1" t="s">
        <v>57</v>
      </c>
      <c r="D1607" s="2">
        <v>42379</v>
      </c>
      <c r="E1607" s="2">
        <f t="shared" si="53"/>
        <v>42644</v>
      </c>
      <c r="F1607" s="1" t="s">
        <v>58</v>
      </c>
      <c r="G1607" s="1" t="s">
        <v>18</v>
      </c>
      <c r="H1607" s="1">
        <v>-4.5</v>
      </c>
      <c r="I1607" s="1">
        <v>0.33</v>
      </c>
      <c r="J1607" s="1">
        <v>0.08</v>
      </c>
      <c r="K1607" s="2">
        <v>42684</v>
      </c>
      <c r="L1607" s="1">
        <v>3716</v>
      </c>
      <c r="M1607" s="1">
        <v>4.57</v>
      </c>
      <c r="N1607" s="1">
        <v>-6.3990000000000005E-2</v>
      </c>
      <c r="O1607" s="3">
        <f>VLOOKUP(D1607,underlying!$D$40:$H$75,5,FALSE)</f>
        <v>-4</v>
      </c>
      <c r="P1607" s="4">
        <f t="shared" si="52"/>
        <v>42654</v>
      </c>
      <c r="Q1607" s="7">
        <f>IF(G1607="C",NormalCallSprd(O1607,H1607,M1607,(P1607-A1607)/365), NormalPutSprd(O1607,H1607,M1607,(P1607-A1607)/365))</f>
        <v>0.3262668210893403</v>
      </c>
      <c r="R1607" s="9">
        <f t="shared" si="54"/>
        <v>3.733178910659718E-3</v>
      </c>
    </row>
    <row r="1608" spans="1:18" x14ac:dyDescent="0.2">
      <c r="A1608" s="2">
        <v>42622</v>
      </c>
      <c r="B1608" s="1" t="s">
        <v>56</v>
      </c>
      <c r="C1608" s="1" t="s">
        <v>57</v>
      </c>
      <c r="D1608" s="2">
        <v>42379</v>
      </c>
      <c r="E1608" s="2">
        <f t="shared" si="53"/>
        <v>42644</v>
      </c>
      <c r="F1608" s="1" t="s">
        <v>58</v>
      </c>
      <c r="G1608" s="1" t="s">
        <v>16</v>
      </c>
      <c r="H1608" s="1">
        <v>-4.25</v>
      </c>
      <c r="I1608" s="1">
        <v>0.67</v>
      </c>
      <c r="J1608" s="1">
        <v>-0.16</v>
      </c>
      <c r="K1608" s="2">
        <v>42684</v>
      </c>
      <c r="L1608" s="1">
        <v>3716</v>
      </c>
      <c r="M1608" s="1">
        <v>4.58</v>
      </c>
      <c r="N1608" s="1">
        <v>-3.7060000000000003E-2</v>
      </c>
      <c r="O1608" s="3">
        <f>VLOOKUP(D1608,underlying!$D$40:$H$75,5,FALSE)</f>
        <v>-4</v>
      </c>
      <c r="P1608" s="4">
        <f t="shared" si="52"/>
        <v>42654</v>
      </c>
      <c r="Q1608" s="7">
        <f>IF(G1608="C",NormalCallSprd(O1608,H1608,M1608,(P1608-A1608)/365), NormalPutSprd(O1608,H1608,M1608,(P1608-A1608)/365))</f>
        <v>0.67517575341131653</v>
      </c>
      <c r="R1608" s="9">
        <f t="shared" si="54"/>
        <v>5.175753411316486E-3</v>
      </c>
    </row>
    <row r="1609" spans="1:18" x14ac:dyDescent="0.2">
      <c r="A1609" s="2">
        <v>42622</v>
      </c>
      <c r="B1609" s="1" t="s">
        <v>56</v>
      </c>
      <c r="C1609" s="1" t="s">
        <v>57</v>
      </c>
      <c r="D1609" s="2">
        <v>42379</v>
      </c>
      <c r="E1609" s="2">
        <f t="shared" si="53"/>
        <v>42644</v>
      </c>
      <c r="F1609" s="1" t="s">
        <v>58</v>
      </c>
      <c r="G1609" s="1" t="s">
        <v>18</v>
      </c>
      <c r="H1609" s="1">
        <v>-4.25</v>
      </c>
      <c r="I1609" s="1">
        <v>0.43</v>
      </c>
      <c r="J1609" s="1">
        <v>0.1</v>
      </c>
      <c r="K1609" s="2">
        <v>42684</v>
      </c>
      <c r="L1609" s="1">
        <v>3716</v>
      </c>
      <c r="M1609" s="1">
        <v>4.58</v>
      </c>
      <c r="N1609" s="1">
        <v>-2.019E-2</v>
      </c>
      <c r="O1609" s="3">
        <f>VLOOKUP(D1609,underlying!$D$40:$H$75,5,FALSE)</f>
        <v>-4</v>
      </c>
      <c r="P1609" s="4">
        <f t="shared" si="52"/>
        <v>42654</v>
      </c>
      <c r="Q1609" s="7">
        <f>IF(G1609="C",NormalCallSprd(O1609,H1609,M1609,(P1609-A1609)/365), NormalPutSprd(O1609,H1609,M1609,(P1609-A1609)/365))</f>
        <v>0.42517575341131653</v>
      </c>
      <c r="R1609" s="9">
        <f t="shared" si="54"/>
        <v>4.8242465886834673E-3</v>
      </c>
    </row>
    <row r="1610" spans="1:18" x14ac:dyDescent="0.2">
      <c r="A1610" s="2">
        <v>42622</v>
      </c>
      <c r="B1610" s="1" t="s">
        <v>56</v>
      </c>
      <c r="C1610" s="1" t="s">
        <v>57</v>
      </c>
      <c r="D1610" s="2">
        <v>42379</v>
      </c>
      <c r="E1610" s="2">
        <f t="shared" si="53"/>
        <v>42644</v>
      </c>
      <c r="F1610" s="1" t="s">
        <v>58</v>
      </c>
      <c r="G1610" s="1" t="s">
        <v>16</v>
      </c>
      <c r="H1610" s="1">
        <v>-4</v>
      </c>
      <c r="I1610" s="1">
        <v>0.54</v>
      </c>
      <c r="J1610" s="1">
        <v>-0.14000000000000001</v>
      </c>
      <c r="K1610" s="2">
        <v>42684</v>
      </c>
      <c r="L1610" s="1">
        <v>3716</v>
      </c>
      <c r="M1610" s="1">
        <v>4.57</v>
      </c>
      <c r="N1610" s="1">
        <v>0.41550999999999999</v>
      </c>
      <c r="O1610" s="3">
        <f>VLOOKUP(D1610,underlying!$D$40:$H$75,5,FALSE)</f>
        <v>-4</v>
      </c>
      <c r="P1610" s="4">
        <f t="shared" si="52"/>
        <v>42654</v>
      </c>
      <c r="Q1610" s="7">
        <f>IF(G1610="C",NormalCallSprd(O1610,H1610,M1610,(P1610-A1610)/365), NormalPutSprd(O1610,H1610,M1610,(P1610-A1610)/365))</f>
        <v>0.53982727392653329</v>
      </c>
      <c r="R1610" s="9">
        <f t="shared" si="54"/>
        <v>1.7272607346674462E-4</v>
      </c>
    </row>
    <row r="1611" spans="1:18" x14ac:dyDescent="0.2">
      <c r="A1611" s="2">
        <v>42622</v>
      </c>
      <c r="B1611" s="1" t="s">
        <v>56</v>
      </c>
      <c r="C1611" s="1" t="s">
        <v>57</v>
      </c>
      <c r="D1611" s="2">
        <v>42379</v>
      </c>
      <c r="E1611" s="2">
        <f t="shared" si="53"/>
        <v>42644</v>
      </c>
      <c r="F1611" s="1" t="s">
        <v>58</v>
      </c>
      <c r="G1611" s="1" t="s">
        <v>18</v>
      </c>
      <c r="H1611" s="1">
        <v>-4</v>
      </c>
      <c r="I1611" s="1">
        <v>0.54</v>
      </c>
      <c r="J1611" s="1">
        <v>0.11</v>
      </c>
      <c r="K1611" s="2">
        <v>42684</v>
      </c>
      <c r="L1611" s="1">
        <v>3716</v>
      </c>
      <c r="M1611" s="1">
        <v>4.57</v>
      </c>
      <c r="N1611" s="1">
        <v>0.43490000000000001</v>
      </c>
      <c r="O1611" s="3">
        <f>VLOOKUP(D1611,underlying!$D$40:$H$75,5,FALSE)</f>
        <v>-4</v>
      </c>
      <c r="P1611" s="4">
        <f t="shared" si="52"/>
        <v>42654</v>
      </c>
      <c r="Q1611" s="7">
        <f>IF(G1611="C",NormalCallSprd(O1611,H1611,M1611,(P1611-A1611)/365), NormalPutSprd(O1611,H1611,M1611,(P1611-A1611)/365))</f>
        <v>0.53982727392653329</v>
      </c>
      <c r="R1611" s="9">
        <f t="shared" si="54"/>
        <v>1.7272607346674462E-4</v>
      </c>
    </row>
    <row r="1612" spans="1:18" x14ac:dyDescent="0.2">
      <c r="A1612" s="2">
        <v>42622</v>
      </c>
      <c r="B1612" s="1" t="s">
        <v>56</v>
      </c>
      <c r="C1612" s="1" t="s">
        <v>57</v>
      </c>
      <c r="D1612" s="2">
        <v>42379</v>
      </c>
      <c r="E1612" s="2">
        <f t="shared" si="53"/>
        <v>42644</v>
      </c>
      <c r="F1612" s="1" t="s">
        <v>58</v>
      </c>
      <c r="G1612" s="1" t="s">
        <v>16</v>
      </c>
      <c r="H1612" s="1">
        <v>-3.75</v>
      </c>
      <c r="I1612" s="1">
        <v>0.43</v>
      </c>
      <c r="J1612" s="1">
        <v>-0.12</v>
      </c>
      <c r="K1612" s="2">
        <v>42684</v>
      </c>
      <c r="L1612" s="1">
        <v>3716</v>
      </c>
      <c r="M1612" s="1">
        <v>4.58</v>
      </c>
      <c r="N1612" s="1">
        <v>0.45421</v>
      </c>
      <c r="O1612" s="3">
        <f>VLOOKUP(D1612,underlying!$D$40:$H$75,5,FALSE)</f>
        <v>-4</v>
      </c>
      <c r="P1612" s="4">
        <f t="shared" si="52"/>
        <v>42654</v>
      </c>
      <c r="Q1612" s="7">
        <f>IF(G1612="C",NormalCallSprd(O1612,H1612,M1612,(P1612-A1612)/365), NormalPutSprd(O1612,H1612,M1612,(P1612-A1612)/365))</f>
        <v>0.42517575341131653</v>
      </c>
      <c r="R1612" s="9">
        <f t="shared" si="54"/>
        <v>4.8242465886834673E-3</v>
      </c>
    </row>
    <row r="1613" spans="1:18" x14ac:dyDescent="0.2">
      <c r="A1613" s="2">
        <v>42622</v>
      </c>
      <c r="B1613" s="1" t="s">
        <v>56</v>
      </c>
      <c r="C1613" s="1" t="s">
        <v>57</v>
      </c>
      <c r="D1613" s="2">
        <v>42379</v>
      </c>
      <c r="E1613" s="2">
        <f t="shared" si="53"/>
        <v>42644</v>
      </c>
      <c r="F1613" s="1" t="s">
        <v>58</v>
      </c>
      <c r="G1613" s="1" t="s">
        <v>18</v>
      </c>
      <c r="H1613" s="1">
        <v>-3.75</v>
      </c>
      <c r="I1613" s="1">
        <v>0.67</v>
      </c>
      <c r="J1613" s="1">
        <v>0.12</v>
      </c>
      <c r="K1613" s="2">
        <v>42684</v>
      </c>
      <c r="L1613" s="1">
        <v>3716</v>
      </c>
      <c r="M1613" s="1">
        <v>4.58</v>
      </c>
      <c r="N1613" s="1">
        <v>0.47366999999999998</v>
      </c>
      <c r="O1613" s="3">
        <f>VLOOKUP(D1613,underlying!$D$40:$H$75,5,FALSE)</f>
        <v>-4</v>
      </c>
      <c r="P1613" s="4">
        <f t="shared" si="52"/>
        <v>42654</v>
      </c>
      <c r="Q1613" s="7">
        <f>IF(G1613="C",NormalCallSprd(O1613,H1613,M1613,(P1613-A1613)/365), NormalPutSprd(O1613,H1613,M1613,(P1613-A1613)/365))</f>
        <v>0.67517575341131653</v>
      </c>
      <c r="R1613" s="9">
        <f t="shared" si="54"/>
        <v>5.175753411316486E-3</v>
      </c>
    </row>
    <row r="1614" spans="1:18" x14ac:dyDescent="0.2">
      <c r="A1614" s="2">
        <v>42622</v>
      </c>
      <c r="B1614" s="1" t="s">
        <v>56</v>
      </c>
      <c r="C1614" s="1" t="s">
        <v>57</v>
      </c>
      <c r="D1614" s="2">
        <v>42379</v>
      </c>
      <c r="E1614" s="2">
        <f t="shared" si="53"/>
        <v>42644</v>
      </c>
      <c r="F1614" s="1" t="s">
        <v>58</v>
      </c>
      <c r="G1614" s="1" t="s">
        <v>16</v>
      </c>
      <c r="H1614" s="1">
        <v>-3.5</v>
      </c>
      <c r="I1614" s="1">
        <v>0.33</v>
      </c>
      <c r="J1614" s="1">
        <v>-0.1</v>
      </c>
      <c r="K1614" s="2">
        <v>42684</v>
      </c>
      <c r="L1614" s="1">
        <v>3716</v>
      </c>
      <c r="M1614" s="1">
        <v>4.57</v>
      </c>
      <c r="N1614" s="1">
        <v>0.49307000000000001</v>
      </c>
      <c r="O1614" s="3">
        <f>VLOOKUP(D1614,underlying!$D$40:$H$75,5,FALSE)</f>
        <v>-4</v>
      </c>
      <c r="P1614" s="4">
        <f t="shared" si="52"/>
        <v>42654</v>
      </c>
      <c r="Q1614" s="7">
        <f>IF(G1614="C",NormalCallSprd(O1614,H1614,M1614,(P1614-A1614)/365), NormalPutSprd(O1614,H1614,M1614,(P1614-A1614)/365))</f>
        <v>0.3262668210893403</v>
      </c>
      <c r="R1614" s="9">
        <f t="shared" si="54"/>
        <v>3.733178910659718E-3</v>
      </c>
    </row>
    <row r="1615" spans="1:18" x14ac:dyDescent="0.2">
      <c r="A1615" s="2">
        <v>42622</v>
      </c>
      <c r="B1615" s="1" t="s">
        <v>56</v>
      </c>
      <c r="C1615" s="1" t="s">
        <v>57</v>
      </c>
      <c r="D1615" s="2">
        <v>42379</v>
      </c>
      <c r="E1615" s="2">
        <f t="shared" si="53"/>
        <v>42644</v>
      </c>
      <c r="F1615" s="1" t="s">
        <v>58</v>
      </c>
      <c r="G1615" s="1" t="s">
        <v>18</v>
      </c>
      <c r="H1615" s="1">
        <v>-3.5</v>
      </c>
      <c r="I1615" s="1">
        <v>0.83</v>
      </c>
      <c r="J1615" s="1">
        <v>0.15</v>
      </c>
      <c r="K1615" s="2">
        <v>42684</v>
      </c>
      <c r="L1615" s="1">
        <v>3716</v>
      </c>
      <c r="M1615" s="1">
        <v>4.57</v>
      </c>
      <c r="N1615" s="1">
        <v>0.51246000000000003</v>
      </c>
      <c r="O1615" s="3">
        <f>VLOOKUP(D1615,underlying!$D$40:$H$75,5,FALSE)</f>
        <v>-4</v>
      </c>
      <c r="P1615" s="4">
        <f t="shared" si="52"/>
        <v>42654</v>
      </c>
      <c r="Q1615" s="7">
        <f>IF(G1615="C",NormalCallSprd(O1615,H1615,M1615,(P1615-A1615)/365), NormalPutSprd(O1615,H1615,M1615,(P1615-A1615)/365))</f>
        <v>0.82626682108934035</v>
      </c>
      <c r="R1615" s="9">
        <f t="shared" si="54"/>
        <v>3.7331789106596069E-3</v>
      </c>
    </row>
    <row r="1616" spans="1:18" x14ac:dyDescent="0.2">
      <c r="A1616" s="2">
        <v>42622</v>
      </c>
      <c r="B1616" s="1" t="s">
        <v>56</v>
      </c>
      <c r="C1616" s="1" t="s">
        <v>57</v>
      </c>
      <c r="D1616" s="2">
        <v>42379</v>
      </c>
      <c r="E1616" s="2">
        <f t="shared" si="53"/>
        <v>42644</v>
      </c>
      <c r="F1616" s="1" t="s">
        <v>58</v>
      </c>
      <c r="G1616" s="1" t="s">
        <v>16</v>
      </c>
      <c r="H1616" s="1">
        <v>-3.25</v>
      </c>
      <c r="I1616" s="1">
        <v>0.25</v>
      </c>
      <c r="J1616" s="1">
        <v>-0.08</v>
      </c>
      <c r="K1616" s="2">
        <v>42684</v>
      </c>
      <c r="L1616" s="1">
        <v>3716</v>
      </c>
      <c r="M1616" s="1">
        <v>4.57</v>
      </c>
      <c r="N1616" s="1">
        <v>0.53191999999999995</v>
      </c>
      <c r="O1616" s="3">
        <f>VLOOKUP(D1616,underlying!$D$40:$H$75,5,FALSE)</f>
        <v>-4</v>
      </c>
      <c r="P1616" s="4">
        <f t="shared" si="52"/>
        <v>42654</v>
      </c>
      <c r="Q1616" s="7">
        <f>IF(G1616="C",NormalCallSprd(O1616,H1616,M1616,(P1616-A1616)/365), NormalPutSprd(O1616,H1616,M1616,(P1616-A1616)/365))</f>
        <v>0.24568766118031116</v>
      </c>
      <c r="R1616" s="9">
        <f t="shared" si="54"/>
        <v>4.3123388196888435E-3</v>
      </c>
    </row>
    <row r="1617" spans="1:18" x14ac:dyDescent="0.2">
      <c r="A1617" s="2">
        <v>42622</v>
      </c>
      <c r="B1617" s="1" t="s">
        <v>56</v>
      </c>
      <c r="C1617" s="1" t="s">
        <v>57</v>
      </c>
      <c r="D1617" s="2">
        <v>42379</v>
      </c>
      <c r="E1617" s="2">
        <f t="shared" si="53"/>
        <v>42644</v>
      </c>
      <c r="F1617" s="1" t="s">
        <v>58</v>
      </c>
      <c r="G1617" s="1" t="s">
        <v>18</v>
      </c>
      <c r="H1617" s="1">
        <v>-3.25</v>
      </c>
      <c r="I1617" s="1">
        <v>1</v>
      </c>
      <c r="J1617" s="1">
        <v>0.17</v>
      </c>
      <c r="K1617" s="2">
        <v>42684</v>
      </c>
      <c r="L1617" s="1">
        <v>3716</v>
      </c>
      <c r="M1617" s="1">
        <v>4.57</v>
      </c>
      <c r="N1617" s="1">
        <v>0.55123999999999995</v>
      </c>
      <c r="O1617" s="3">
        <f>VLOOKUP(D1617,underlying!$D$40:$H$75,5,FALSE)</f>
        <v>-4</v>
      </c>
      <c r="P1617" s="4">
        <f t="shared" si="52"/>
        <v>42654</v>
      </c>
      <c r="Q1617" s="7">
        <f>IF(G1617="C",NormalCallSprd(O1617,H1617,M1617,(P1617-A1617)/365), NormalPutSprd(O1617,H1617,M1617,(P1617-A1617)/365))</f>
        <v>0.99568766118031116</v>
      </c>
      <c r="R1617" s="9">
        <f t="shared" si="54"/>
        <v>4.3123388196888435E-3</v>
      </c>
    </row>
    <row r="1618" spans="1:18" x14ac:dyDescent="0.2">
      <c r="A1618" s="2">
        <v>42622</v>
      </c>
      <c r="B1618" s="1" t="s">
        <v>56</v>
      </c>
      <c r="C1618" s="1" t="s">
        <v>57</v>
      </c>
      <c r="D1618" s="2">
        <v>42379</v>
      </c>
      <c r="E1618" s="2">
        <f t="shared" si="53"/>
        <v>42644</v>
      </c>
      <c r="F1618" s="1" t="s">
        <v>58</v>
      </c>
      <c r="G1618" s="1" t="s">
        <v>16</v>
      </c>
      <c r="H1618" s="1">
        <v>-3</v>
      </c>
      <c r="I1618" s="1">
        <v>0.18</v>
      </c>
      <c r="J1618" s="1">
        <v>-7.0000000000000007E-2</v>
      </c>
      <c r="K1618" s="2">
        <v>42684</v>
      </c>
      <c r="L1618" s="1">
        <v>3716</v>
      </c>
      <c r="M1618" s="1">
        <v>4.5599999999999996</v>
      </c>
      <c r="N1618" s="1">
        <v>0.57062000000000002</v>
      </c>
      <c r="O1618" s="3">
        <f>VLOOKUP(D1618,underlying!$D$40:$H$75,5,FALSE)</f>
        <v>-4</v>
      </c>
      <c r="P1618" s="4">
        <f t="shared" si="52"/>
        <v>42654</v>
      </c>
      <c r="Q1618" s="7">
        <f>IF(G1618="C",NormalCallSprd(O1618,H1618,M1618,(P1618-A1618)/365), NormalPutSprd(O1618,H1618,M1618,(P1618-A1618)/365))</f>
        <v>0.17998186044404033</v>
      </c>
      <c r="R1618" s="9">
        <f t="shared" si="54"/>
        <v>1.8139555959667542E-5</v>
      </c>
    </row>
    <row r="1619" spans="1:18" x14ac:dyDescent="0.2">
      <c r="A1619" s="2">
        <v>42622</v>
      </c>
      <c r="B1619" s="1" t="s">
        <v>56</v>
      </c>
      <c r="C1619" s="1" t="s">
        <v>57</v>
      </c>
      <c r="D1619" s="2">
        <v>42379</v>
      </c>
      <c r="E1619" s="2">
        <f t="shared" si="53"/>
        <v>42644</v>
      </c>
      <c r="F1619" s="1" t="s">
        <v>58</v>
      </c>
      <c r="G1619" s="1" t="s">
        <v>18</v>
      </c>
      <c r="H1619" s="1">
        <v>-3</v>
      </c>
      <c r="I1619" s="1">
        <v>1.18</v>
      </c>
      <c r="J1619" s="1">
        <v>0.18</v>
      </c>
      <c r="K1619" s="2">
        <v>42684</v>
      </c>
      <c r="L1619" s="1">
        <v>3716</v>
      </c>
      <c r="M1619" s="1">
        <v>4.5599999999999996</v>
      </c>
      <c r="N1619" s="1">
        <v>0.58911999999999998</v>
      </c>
      <c r="O1619" s="3">
        <f>VLOOKUP(D1619,underlying!$D$40:$H$75,5,FALSE)</f>
        <v>-4</v>
      </c>
      <c r="P1619" s="4">
        <f t="shared" si="52"/>
        <v>42654</v>
      </c>
      <c r="Q1619" s="7">
        <f>IF(G1619="C",NormalCallSprd(O1619,H1619,M1619,(P1619-A1619)/365), NormalPutSprd(O1619,H1619,M1619,(P1619-A1619)/365))</f>
        <v>1.1799818604440402</v>
      </c>
      <c r="R1619" s="9">
        <f t="shared" si="54"/>
        <v>1.8139555959750808E-5</v>
      </c>
    </row>
    <row r="1620" spans="1:18" x14ac:dyDescent="0.2">
      <c r="A1620" s="2">
        <v>42622</v>
      </c>
      <c r="B1620" s="1" t="s">
        <v>56</v>
      </c>
      <c r="C1620" s="1" t="s">
        <v>57</v>
      </c>
      <c r="D1620" s="2">
        <v>42379</v>
      </c>
      <c r="E1620" s="2">
        <f t="shared" si="53"/>
        <v>42644</v>
      </c>
      <c r="F1620" s="1" t="s">
        <v>58</v>
      </c>
      <c r="G1620" s="1" t="s">
        <v>16</v>
      </c>
      <c r="H1620" s="1">
        <v>-2.75</v>
      </c>
      <c r="I1620" s="1">
        <v>0.13</v>
      </c>
      <c r="J1620" s="1">
        <v>-0.06</v>
      </c>
      <c r="K1620" s="2">
        <v>42684</v>
      </c>
      <c r="L1620" s="1">
        <v>3716</v>
      </c>
      <c r="M1620" s="1">
        <v>4.58</v>
      </c>
      <c r="N1620" s="1">
        <v>0.60846</v>
      </c>
      <c r="O1620" s="3">
        <f>VLOOKUP(D1620,underlying!$D$40:$H$75,5,FALSE)</f>
        <v>-4</v>
      </c>
      <c r="P1620" s="4">
        <f t="shared" si="52"/>
        <v>42654</v>
      </c>
      <c r="Q1620" s="7">
        <f>IF(G1620="C",NormalCallSprd(O1620,H1620,M1620,(P1620-A1620)/365), NormalPutSprd(O1620,H1620,M1620,(P1620-A1620)/365))</f>
        <v>0.13084981661236833</v>
      </c>
      <c r="R1620" s="9">
        <f t="shared" si="54"/>
        <v>8.4981661236832595E-4</v>
      </c>
    </row>
    <row r="1621" spans="1:18" x14ac:dyDescent="0.2">
      <c r="A1621" s="2">
        <v>42622</v>
      </c>
      <c r="B1621" s="1" t="s">
        <v>56</v>
      </c>
      <c r="C1621" s="1" t="s">
        <v>57</v>
      </c>
      <c r="D1621" s="2">
        <v>42379</v>
      </c>
      <c r="E1621" s="2">
        <f t="shared" si="53"/>
        <v>42644</v>
      </c>
      <c r="F1621" s="1" t="s">
        <v>58</v>
      </c>
      <c r="G1621" s="1" t="s">
        <v>18</v>
      </c>
      <c r="H1621" s="1">
        <v>-2.75</v>
      </c>
      <c r="I1621" s="1">
        <v>1.38</v>
      </c>
      <c r="J1621" s="1">
        <v>0.19</v>
      </c>
      <c r="K1621" s="2">
        <v>42684</v>
      </c>
      <c r="L1621" s="1">
        <v>3716</v>
      </c>
      <c r="M1621" s="1">
        <v>4.58</v>
      </c>
      <c r="N1621" s="1">
        <v>0.62624999999999997</v>
      </c>
      <c r="O1621" s="3">
        <f>VLOOKUP(D1621,underlying!$D$40:$H$75,5,FALSE)</f>
        <v>-4</v>
      </c>
      <c r="P1621" s="4">
        <f t="shared" si="52"/>
        <v>42654</v>
      </c>
      <c r="Q1621" s="7">
        <f>IF(G1621="C",NormalCallSprd(O1621,H1621,M1621,(P1621-A1621)/365), NormalPutSprd(O1621,H1621,M1621,(P1621-A1621)/365))</f>
        <v>1.3808498166123684</v>
      </c>
      <c r="R1621" s="9">
        <f t="shared" si="54"/>
        <v>8.4981661236849249E-4</v>
      </c>
    </row>
    <row r="1622" spans="1:18" x14ac:dyDescent="0.2">
      <c r="A1622" s="2">
        <v>42622</v>
      </c>
      <c r="B1622" s="1" t="s">
        <v>56</v>
      </c>
      <c r="C1622" s="1" t="s">
        <v>57</v>
      </c>
      <c r="D1622" s="2">
        <v>42379</v>
      </c>
      <c r="E1622" s="2">
        <f t="shared" si="53"/>
        <v>42644</v>
      </c>
      <c r="F1622" s="1" t="s">
        <v>58</v>
      </c>
      <c r="G1622" s="1" t="s">
        <v>16</v>
      </c>
      <c r="H1622" s="1">
        <v>-2.5</v>
      </c>
      <c r="I1622" s="1">
        <v>0.09</v>
      </c>
      <c r="J1622" s="1">
        <v>-0.05</v>
      </c>
      <c r="K1622" s="2">
        <v>42684</v>
      </c>
      <c r="L1622" s="1">
        <v>3716</v>
      </c>
      <c r="M1622" s="1">
        <v>4.5599999999999996</v>
      </c>
      <c r="N1622" s="1">
        <v>0.6452</v>
      </c>
      <c r="O1622" s="3">
        <f>VLOOKUP(D1622,underlying!$D$40:$H$75,5,FALSE)</f>
        <v>-4</v>
      </c>
      <c r="P1622" s="4">
        <f t="shared" si="52"/>
        <v>42654</v>
      </c>
      <c r="Q1622" s="7">
        <f>IF(G1622="C",NormalCallSprd(O1622,H1622,M1622,(P1622-A1622)/365), NormalPutSprd(O1622,H1622,M1622,(P1622-A1622)/365))</f>
        <v>9.0659322769979483E-2</v>
      </c>
      <c r="R1622" s="9">
        <f t="shared" si="54"/>
        <v>6.593227699794868E-4</v>
      </c>
    </row>
    <row r="1623" spans="1:18" x14ac:dyDescent="0.2">
      <c r="A1623" s="2">
        <v>42622</v>
      </c>
      <c r="B1623" s="1" t="s">
        <v>56</v>
      </c>
      <c r="C1623" s="1" t="s">
        <v>57</v>
      </c>
      <c r="D1623" s="2">
        <v>42379</v>
      </c>
      <c r="E1623" s="2">
        <f t="shared" si="53"/>
        <v>42644</v>
      </c>
      <c r="F1623" s="1" t="s">
        <v>58</v>
      </c>
      <c r="G1623" s="1" t="s">
        <v>18</v>
      </c>
      <c r="H1623" s="1">
        <v>-2.5</v>
      </c>
      <c r="I1623" s="1">
        <v>1.59</v>
      </c>
      <c r="J1623" s="1">
        <v>0.2</v>
      </c>
      <c r="K1623" s="2">
        <v>42684</v>
      </c>
      <c r="L1623" s="1">
        <v>3716</v>
      </c>
      <c r="M1623" s="1">
        <v>4.5599999999999996</v>
      </c>
      <c r="N1623" s="1">
        <v>0.66215000000000002</v>
      </c>
      <c r="O1623" s="3">
        <f>VLOOKUP(D1623,underlying!$D$40:$H$75,5,FALSE)</f>
        <v>-4</v>
      </c>
      <c r="P1623" s="4">
        <f t="shared" si="52"/>
        <v>42654</v>
      </c>
      <c r="Q1623" s="7">
        <f>IF(G1623="C",NormalCallSprd(O1623,H1623,M1623,(P1623-A1623)/365), NormalPutSprd(O1623,H1623,M1623,(P1623-A1623)/365))</f>
        <v>1.5906593227699795</v>
      </c>
      <c r="R1623" s="9">
        <f t="shared" si="54"/>
        <v>6.5932276997937578E-4</v>
      </c>
    </row>
    <row r="1624" spans="1:18" x14ac:dyDescent="0.2">
      <c r="A1624" s="2">
        <v>42622</v>
      </c>
      <c r="B1624" s="1" t="s">
        <v>56</v>
      </c>
      <c r="C1624" s="1" t="s">
        <v>57</v>
      </c>
      <c r="D1624" s="2">
        <v>42379</v>
      </c>
      <c r="E1624" s="2">
        <f t="shared" si="53"/>
        <v>42644</v>
      </c>
      <c r="F1624" s="1" t="s">
        <v>58</v>
      </c>
      <c r="G1624" s="1" t="s">
        <v>16</v>
      </c>
      <c r="H1624" s="1">
        <v>-2.25</v>
      </c>
      <c r="I1624" s="1">
        <v>0.06</v>
      </c>
      <c r="J1624" s="1">
        <v>-0.04</v>
      </c>
      <c r="K1624" s="2">
        <v>42684</v>
      </c>
      <c r="L1624" s="1">
        <v>3716</v>
      </c>
      <c r="M1624" s="1">
        <v>4.58</v>
      </c>
      <c r="N1624" s="1">
        <v>0.67952999999999997</v>
      </c>
      <c r="O1624" s="3">
        <f>VLOOKUP(D1624,underlying!$D$40:$H$75,5,FALSE)</f>
        <v>-4</v>
      </c>
      <c r="P1624" s="4">
        <f t="shared" si="52"/>
        <v>42654</v>
      </c>
      <c r="Q1624" s="7">
        <f>IF(G1624="C",NormalCallSprd(O1624,H1624,M1624,(P1624-A1624)/365), NormalPutSprd(O1624,H1624,M1624,(P1624-A1624)/365))</f>
        <v>6.3003963139618785E-2</v>
      </c>
      <c r="R1624" s="9">
        <f t="shared" si="54"/>
        <v>3.0039631396187871E-3</v>
      </c>
    </row>
    <row r="1625" spans="1:18" x14ac:dyDescent="0.2">
      <c r="A1625" s="2">
        <v>42622</v>
      </c>
      <c r="B1625" s="1" t="s">
        <v>56</v>
      </c>
      <c r="C1625" s="1" t="s">
        <v>57</v>
      </c>
      <c r="D1625" s="2">
        <v>42379</v>
      </c>
      <c r="E1625" s="2">
        <f t="shared" si="53"/>
        <v>42644</v>
      </c>
      <c r="F1625" s="1" t="s">
        <v>58</v>
      </c>
      <c r="G1625" s="1" t="s">
        <v>18</v>
      </c>
      <c r="H1625" s="1">
        <v>-2.25</v>
      </c>
      <c r="I1625" s="1">
        <v>1.81</v>
      </c>
      <c r="J1625" s="1">
        <v>0.22</v>
      </c>
      <c r="K1625" s="2">
        <v>42684</v>
      </c>
      <c r="L1625" s="1">
        <v>3716</v>
      </c>
      <c r="M1625" s="1">
        <v>4.58</v>
      </c>
      <c r="N1625" s="1">
        <v>0.69650000000000001</v>
      </c>
      <c r="O1625" s="3">
        <f>VLOOKUP(D1625,underlying!$D$40:$H$75,5,FALSE)</f>
        <v>-4</v>
      </c>
      <c r="P1625" s="4">
        <f t="shared" si="52"/>
        <v>42654</v>
      </c>
      <c r="Q1625" s="7">
        <f>IF(G1625="C",NormalCallSprd(O1625,H1625,M1625,(P1625-A1625)/365), NormalPutSprd(O1625,H1625,M1625,(P1625-A1625)/365))</f>
        <v>1.8130039631396186</v>
      </c>
      <c r="R1625" s="9">
        <f t="shared" si="54"/>
        <v>3.0039631396185928E-3</v>
      </c>
    </row>
    <row r="1626" spans="1:18" x14ac:dyDescent="0.2">
      <c r="A1626" s="2">
        <v>42622</v>
      </c>
      <c r="B1626" s="1" t="s">
        <v>56</v>
      </c>
      <c r="C1626" s="1" t="s">
        <v>57</v>
      </c>
      <c r="D1626" s="2">
        <v>42379</v>
      </c>
      <c r="E1626" s="2">
        <f t="shared" si="53"/>
        <v>42644</v>
      </c>
      <c r="F1626" s="1" t="s">
        <v>58</v>
      </c>
      <c r="G1626" s="1" t="s">
        <v>16</v>
      </c>
      <c r="H1626" s="1">
        <v>-2</v>
      </c>
      <c r="I1626" s="1">
        <v>0.04</v>
      </c>
      <c r="J1626" s="1">
        <v>-0.03</v>
      </c>
      <c r="K1626" s="2">
        <v>42684</v>
      </c>
      <c r="L1626" s="1">
        <v>3716</v>
      </c>
      <c r="M1626" s="1">
        <v>4.5599999999999996</v>
      </c>
      <c r="N1626" s="1">
        <v>0.71301999999999999</v>
      </c>
      <c r="O1626" s="3">
        <f>VLOOKUP(D1626,underlying!$D$40:$H$75,5,FALSE)</f>
        <v>-4</v>
      </c>
      <c r="P1626" s="4">
        <f t="shared" si="52"/>
        <v>42654</v>
      </c>
      <c r="Q1626" s="7">
        <f>IF(G1626="C",NormalCallSprd(O1626,H1626,M1626,(P1626-A1626)/365), NormalPutSprd(O1626,H1626,M1626,(P1626-A1626)/365))</f>
        <v>4.1289296343848078E-2</v>
      </c>
      <c r="R1626" s="9">
        <f t="shared" si="54"/>
        <v>1.2892963438480773E-3</v>
      </c>
    </row>
    <row r="1627" spans="1:18" x14ac:dyDescent="0.2">
      <c r="A1627" s="2">
        <v>42622</v>
      </c>
      <c r="B1627" s="1" t="s">
        <v>56</v>
      </c>
      <c r="C1627" s="1" t="s">
        <v>57</v>
      </c>
      <c r="D1627" s="2">
        <v>42379</v>
      </c>
      <c r="E1627" s="2">
        <f t="shared" si="53"/>
        <v>42644</v>
      </c>
      <c r="F1627" s="1" t="s">
        <v>58</v>
      </c>
      <c r="G1627" s="1" t="s">
        <v>18</v>
      </c>
      <c r="H1627" s="1">
        <v>-2</v>
      </c>
      <c r="I1627" s="1">
        <v>2.04</v>
      </c>
      <c r="J1627" s="1">
        <v>0.22</v>
      </c>
      <c r="K1627" s="2">
        <v>42684</v>
      </c>
      <c r="L1627" s="1">
        <v>3716</v>
      </c>
      <c r="M1627" s="1">
        <v>4.5599999999999996</v>
      </c>
      <c r="N1627" s="1">
        <v>0.72907</v>
      </c>
      <c r="O1627" s="3">
        <f>VLOOKUP(D1627,underlying!$D$40:$H$75,5,FALSE)</f>
        <v>-4</v>
      </c>
      <c r="P1627" s="4">
        <f t="shared" si="52"/>
        <v>42654</v>
      </c>
      <c r="Q1627" s="7">
        <f>IF(G1627="C",NormalCallSprd(O1627,H1627,M1627,(P1627-A1627)/365), NormalPutSprd(O1627,H1627,M1627,(P1627-A1627)/365))</f>
        <v>2.041289296343848</v>
      </c>
      <c r="R1627" s="9">
        <f t="shared" si="54"/>
        <v>1.289296343848001E-3</v>
      </c>
    </row>
    <row r="1628" spans="1:18" x14ac:dyDescent="0.2">
      <c r="A1628" s="2">
        <v>42622</v>
      </c>
      <c r="B1628" s="1" t="s">
        <v>56</v>
      </c>
      <c r="C1628" s="1" t="s">
        <v>57</v>
      </c>
      <c r="D1628" s="2">
        <v>42379</v>
      </c>
      <c r="E1628" s="2">
        <f t="shared" si="53"/>
        <v>42644</v>
      </c>
      <c r="F1628" s="1" t="s">
        <v>58</v>
      </c>
      <c r="G1628" s="1" t="s">
        <v>16</v>
      </c>
      <c r="H1628" s="1">
        <v>-1.75</v>
      </c>
      <c r="I1628" s="1">
        <v>0.03</v>
      </c>
      <c r="J1628" s="1">
        <v>-0.01</v>
      </c>
      <c r="K1628" s="2">
        <v>42684</v>
      </c>
      <c r="L1628" s="1">
        <v>3716</v>
      </c>
      <c r="M1628" s="1">
        <v>4.58</v>
      </c>
      <c r="N1628" s="1">
        <v>0.74460999999999999</v>
      </c>
      <c r="O1628" s="3">
        <f>VLOOKUP(D1628,underlying!$D$40:$H$75,5,FALSE)</f>
        <v>-4</v>
      </c>
      <c r="P1628" s="4">
        <f t="shared" si="52"/>
        <v>42654</v>
      </c>
      <c r="Q1628" s="7">
        <f>IF(G1628="C",NormalCallSprd(O1628,H1628,M1628,(P1628-A1628)/365), NormalPutSprd(O1628,H1628,M1628,(P1628-A1628)/365))</f>
        <v>2.737719153138669E-2</v>
      </c>
      <c r="R1628" s="9">
        <f t="shared" si="54"/>
        <v>2.6228084686133087E-3</v>
      </c>
    </row>
    <row r="1629" spans="1:18" x14ac:dyDescent="0.2">
      <c r="A1629" s="2">
        <v>42622</v>
      </c>
      <c r="B1629" s="1" t="s">
        <v>56</v>
      </c>
      <c r="C1629" s="1" t="s">
        <v>57</v>
      </c>
      <c r="D1629" s="2">
        <v>42379</v>
      </c>
      <c r="E1629" s="2">
        <f t="shared" si="53"/>
        <v>42644</v>
      </c>
      <c r="F1629" s="1" t="s">
        <v>58</v>
      </c>
      <c r="G1629" s="1" t="s">
        <v>18</v>
      </c>
      <c r="H1629" s="1">
        <v>-1.75</v>
      </c>
      <c r="I1629" s="1">
        <v>2.2799999999999998</v>
      </c>
      <c r="J1629" s="1">
        <v>0.24</v>
      </c>
      <c r="K1629" s="2">
        <v>42684</v>
      </c>
      <c r="L1629" s="1">
        <v>3716</v>
      </c>
      <c r="M1629" s="1">
        <v>4.58</v>
      </c>
      <c r="N1629" s="1">
        <v>0.75963999999999998</v>
      </c>
      <c r="O1629" s="3">
        <f>VLOOKUP(D1629,underlying!$D$40:$H$75,5,FALSE)</f>
        <v>-4</v>
      </c>
      <c r="P1629" s="4">
        <f t="shared" si="52"/>
        <v>42654</v>
      </c>
      <c r="Q1629" s="7">
        <f>IF(G1629="C",NormalCallSprd(O1629,H1629,M1629,(P1629-A1629)/365), NormalPutSprd(O1629,H1629,M1629,(P1629-A1629)/365))</f>
        <v>2.2773771915313867</v>
      </c>
      <c r="R1629" s="9">
        <f t="shared" si="54"/>
        <v>2.6228084686130693E-3</v>
      </c>
    </row>
    <row r="1630" spans="1:18" x14ac:dyDescent="0.2">
      <c r="A1630" s="2">
        <v>42622</v>
      </c>
      <c r="B1630" s="1" t="s">
        <v>56</v>
      </c>
      <c r="C1630" s="1" t="s">
        <v>57</v>
      </c>
      <c r="D1630" s="2">
        <v>42379</v>
      </c>
      <c r="E1630" s="2">
        <f t="shared" si="53"/>
        <v>42644</v>
      </c>
      <c r="F1630" s="1" t="s">
        <v>58</v>
      </c>
      <c r="G1630" s="1" t="s">
        <v>16</v>
      </c>
      <c r="H1630" s="1">
        <v>-1.5</v>
      </c>
      <c r="I1630" s="1">
        <v>0.02</v>
      </c>
      <c r="J1630" s="1">
        <v>-0.01</v>
      </c>
      <c r="K1630" s="2">
        <v>42684</v>
      </c>
      <c r="L1630" s="1">
        <v>3716</v>
      </c>
      <c r="M1630" s="1">
        <v>4.59</v>
      </c>
      <c r="N1630" s="1">
        <v>0.77412000000000003</v>
      </c>
      <c r="O1630" s="3">
        <f>VLOOKUP(D1630,underlying!$D$40:$H$75,5,FALSE)</f>
        <v>-4</v>
      </c>
      <c r="P1630" s="4">
        <f t="shared" si="52"/>
        <v>42654</v>
      </c>
      <c r="Q1630" s="7">
        <f>IF(G1630="C",NormalCallSprd(O1630,H1630,M1630,(P1630-A1630)/365), NormalPutSprd(O1630,H1630,M1630,(P1630-A1630)/365))</f>
        <v>1.7554578773179334E-2</v>
      </c>
      <c r="R1630" s="9">
        <f t="shared" si="54"/>
        <v>2.4454212268206661E-3</v>
      </c>
    </row>
    <row r="1631" spans="1:18" x14ac:dyDescent="0.2">
      <c r="A1631" s="2">
        <v>42622</v>
      </c>
      <c r="B1631" s="1" t="s">
        <v>56</v>
      </c>
      <c r="C1631" s="1" t="s">
        <v>57</v>
      </c>
      <c r="D1631" s="2">
        <v>42379</v>
      </c>
      <c r="E1631" s="2">
        <f t="shared" si="53"/>
        <v>42644</v>
      </c>
      <c r="F1631" s="1" t="s">
        <v>58</v>
      </c>
      <c r="G1631" s="1" t="s">
        <v>18</v>
      </c>
      <c r="H1631" s="1">
        <v>-1.5</v>
      </c>
      <c r="I1631" s="1">
        <v>2.52</v>
      </c>
      <c r="J1631" s="1">
        <v>0.24</v>
      </c>
      <c r="K1631" s="2">
        <v>42684</v>
      </c>
      <c r="L1631" s="1">
        <v>3716</v>
      </c>
      <c r="M1631" s="1">
        <v>4.59</v>
      </c>
      <c r="N1631" s="1">
        <v>0.78805999999999998</v>
      </c>
      <c r="O1631" s="3">
        <f>VLOOKUP(D1631,underlying!$D$40:$H$75,5,FALSE)</f>
        <v>-4</v>
      </c>
      <c r="P1631" s="4">
        <f t="shared" si="52"/>
        <v>42654</v>
      </c>
      <c r="Q1631" s="7">
        <f>IF(G1631="C",NormalCallSprd(O1631,H1631,M1631,(P1631-A1631)/365), NormalPutSprd(O1631,H1631,M1631,(P1631-A1631)/365))</f>
        <v>2.5175545787731792</v>
      </c>
      <c r="R1631" s="9">
        <f t="shared" si="54"/>
        <v>2.4454212268207876E-3</v>
      </c>
    </row>
    <row r="1632" spans="1:18" x14ac:dyDescent="0.2">
      <c r="A1632" s="2">
        <v>42622</v>
      </c>
      <c r="B1632" s="1" t="s">
        <v>56</v>
      </c>
      <c r="C1632" s="1" t="s">
        <v>57</v>
      </c>
      <c r="D1632" s="2">
        <v>42379</v>
      </c>
      <c r="E1632" s="2">
        <f t="shared" si="53"/>
        <v>42644</v>
      </c>
      <c r="F1632" s="1" t="s">
        <v>58</v>
      </c>
      <c r="G1632" s="1" t="s">
        <v>16</v>
      </c>
      <c r="H1632" s="1">
        <v>-1.25</v>
      </c>
      <c r="I1632" s="1">
        <v>0.01</v>
      </c>
      <c r="J1632" s="1">
        <v>-0.01</v>
      </c>
      <c r="K1632" s="2">
        <v>42684</v>
      </c>
      <c r="L1632" s="1">
        <v>3716</v>
      </c>
      <c r="M1632" s="1">
        <v>4.59</v>
      </c>
      <c r="N1632" s="1">
        <v>0.80142999999999998</v>
      </c>
      <c r="O1632" s="3">
        <f>VLOOKUP(D1632,underlying!$D$40:$H$75,5,FALSE)</f>
        <v>-4</v>
      </c>
      <c r="P1632" s="4">
        <f t="shared" si="52"/>
        <v>42654</v>
      </c>
      <c r="Q1632" s="7">
        <f>IF(G1632="C",NormalCallSprd(O1632,H1632,M1632,(P1632-A1632)/365), NormalPutSprd(O1632,H1632,M1632,(P1632-A1632)/365))</f>
        <v>1.0834395944269014E-2</v>
      </c>
      <c r="R1632" s="9">
        <f t="shared" si="54"/>
        <v>8.343959442690136E-4</v>
      </c>
    </row>
    <row r="1633" spans="1:18" x14ac:dyDescent="0.2">
      <c r="A1633" s="2">
        <v>42622</v>
      </c>
      <c r="B1633" s="1" t="s">
        <v>56</v>
      </c>
      <c r="C1633" s="1" t="s">
        <v>57</v>
      </c>
      <c r="D1633" s="2">
        <v>42379</v>
      </c>
      <c r="E1633" s="2">
        <f t="shared" si="53"/>
        <v>42644</v>
      </c>
      <c r="F1633" s="1" t="s">
        <v>58</v>
      </c>
      <c r="G1633" s="1" t="s">
        <v>18</v>
      </c>
      <c r="H1633" s="1">
        <v>-1.25</v>
      </c>
      <c r="I1633" s="1">
        <v>2.76</v>
      </c>
      <c r="J1633" s="1">
        <v>0.24</v>
      </c>
      <c r="K1633" s="2">
        <v>42684</v>
      </c>
      <c r="L1633" s="1">
        <v>3716</v>
      </c>
      <c r="M1633" s="1">
        <v>4.59</v>
      </c>
      <c r="N1633" s="1">
        <v>0.81422000000000005</v>
      </c>
      <c r="O1633" s="3">
        <f>VLOOKUP(D1633,underlying!$D$40:$H$75,5,FALSE)</f>
        <v>-4</v>
      </c>
      <c r="P1633" s="4">
        <f t="shared" si="52"/>
        <v>42654</v>
      </c>
      <c r="Q1633" s="7">
        <f>IF(G1633="C",NormalCallSprd(O1633,H1633,M1633,(P1633-A1633)/365), NormalPutSprd(O1633,H1633,M1633,(P1633-A1633)/365))</f>
        <v>2.7608343959442689</v>
      </c>
      <c r="R1633" s="9">
        <f t="shared" si="54"/>
        <v>8.3439594426915065E-4</v>
      </c>
    </row>
    <row r="1634" spans="1:18" x14ac:dyDescent="0.2">
      <c r="A1634" s="2">
        <v>42622</v>
      </c>
      <c r="B1634" s="1" t="s">
        <v>56</v>
      </c>
      <c r="C1634" s="1" t="s">
        <v>57</v>
      </c>
      <c r="D1634" s="2">
        <v>42379</v>
      </c>
      <c r="E1634" s="2">
        <f t="shared" si="53"/>
        <v>42644</v>
      </c>
      <c r="F1634" s="1" t="s">
        <v>58</v>
      </c>
      <c r="G1634" s="1" t="s">
        <v>16</v>
      </c>
      <c r="H1634" s="1">
        <v>-1</v>
      </c>
      <c r="I1634" s="1">
        <v>0.01</v>
      </c>
      <c r="J1634" s="1">
        <v>0</v>
      </c>
      <c r="K1634" s="2">
        <v>42684</v>
      </c>
      <c r="L1634" s="1">
        <v>3716</v>
      </c>
      <c r="M1634" s="1">
        <v>4.59</v>
      </c>
      <c r="N1634" s="1">
        <v>0.86029</v>
      </c>
      <c r="O1634" s="3">
        <f>VLOOKUP(D1634,underlying!$D$40:$H$75,5,FALSE)</f>
        <v>-4</v>
      </c>
      <c r="P1634" s="4">
        <f t="shared" si="52"/>
        <v>42654</v>
      </c>
      <c r="Q1634" s="7">
        <f>IF(G1634="C",NormalCallSprd(O1634,H1634,M1634,(P1634-A1634)/365), NormalPutSprd(O1634,H1634,M1634,(P1634-A1634)/365))</f>
        <v>6.5033586497947934E-3</v>
      </c>
      <c r="R1634" s="9">
        <f t="shared" si="54"/>
        <v>3.4966413502052068E-3</v>
      </c>
    </row>
    <row r="1635" spans="1:18" x14ac:dyDescent="0.2">
      <c r="A1635" s="2">
        <v>42622</v>
      </c>
      <c r="B1635" s="1" t="s">
        <v>56</v>
      </c>
      <c r="C1635" s="1" t="s">
        <v>57</v>
      </c>
      <c r="D1635" s="2">
        <v>42379</v>
      </c>
      <c r="E1635" s="2">
        <f t="shared" si="53"/>
        <v>42644</v>
      </c>
      <c r="F1635" s="1" t="s">
        <v>58</v>
      </c>
      <c r="G1635" s="1" t="s">
        <v>18</v>
      </c>
      <c r="H1635" s="1">
        <v>-1</v>
      </c>
      <c r="I1635" s="1">
        <v>3.01</v>
      </c>
      <c r="J1635" s="1">
        <v>0.25</v>
      </c>
      <c r="K1635" s="2">
        <v>42684</v>
      </c>
      <c r="L1635" s="1">
        <v>3716</v>
      </c>
      <c r="M1635" s="1">
        <v>4.59</v>
      </c>
      <c r="N1635" s="1">
        <v>0.89717000000000002</v>
      </c>
      <c r="O1635" s="3">
        <f>VLOOKUP(D1635,underlying!$D$40:$H$75,5,FALSE)</f>
        <v>-4</v>
      </c>
      <c r="P1635" s="4">
        <f t="shared" si="52"/>
        <v>42654</v>
      </c>
      <c r="Q1635" s="7">
        <f>IF(G1635="C",NormalCallSprd(O1635,H1635,M1635,(P1635-A1635)/365), NormalPutSprd(O1635,H1635,M1635,(P1635-A1635)/365))</f>
        <v>3.0065033586497947</v>
      </c>
      <c r="R1635" s="9">
        <f t="shared" si="54"/>
        <v>3.4966413502051097E-3</v>
      </c>
    </row>
    <row r="1636" spans="1:18" x14ac:dyDescent="0.2">
      <c r="A1636" s="2">
        <v>42622</v>
      </c>
      <c r="B1636" s="1" t="s">
        <v>56</v>
      </c>
      <c r="C1636" s="1" t="s">
        <v>57</v>
      </c>
      <c r="D1636" s="2">
        <v>42379</v>
      </c>
      <c r="E1636" s="2">
        <f t="shared" si="53"/>
        <v>42644</v>
      </c>
      <c r="F1636" s="1" t="s">
        <v>58</v>
      </c>
      <c r="G1636" s="1" t="s">
        <v>16</v>
      </c>
      <c r="H1636" s="1">
        <v>-0.75</v>
      </c>
      <c r="I1636" s="1">
        <v>0.01</v>
      </c>
      <c r="J1636" s="1">
        <v>0</v>
      </c>
      <c r="K1636" s="2">
        <v>42684</v>
      </c>
      <c r="L1636" s="1">
        <v>3716</v>
      </c>
      <c r="M1636" s="1">
        <v>4.59</v>
      </c>
      <c r="N1636" s="1">
        <v>-0.57062000000000002</v>
      </c>
      <c r="O1636" s="3">
        <f>VLOOKUP(D1636,underlying!$D$40:$H$75,5,FALSE)</f>
        <v>-4</v>
      </c>
      <c r="P1636" s="4">
        <f t="shared" si="52"/>
        <v>42654</v>
      </c>
      <c r="Q1636" s="7">
        <f>IF(G1636="C",NormalCallSprd(O1636,H1636,M1636,(P1636-A1636)/365), NormalPutSprd(O1636,H1636,M1636,(P1636-A1636)/365))</f>
        <v>3.7948496926062665E-3</v>
      </c>
      <c r="R1636" s="9">
        <f t="shared" si="54"/>
        <v>6.2051503073937333E-3</v>
      </c>
    </row>
    <row r="1637" spans="1:18" x14ac:dyDescent="0.2">
      <c r="A1637" s="2">
        <v>42622</v>
      </c>
      <c r="B1637" s="1" t="s">
        <v>56</v>
      </c>
      <c r="C1637" s="1" t="s">
        <v>57</v>
      </c>
      <c r="D1637" s="2">
        <v>42379</v>
      </c>
      <c r="E1637" s="2">
        <f t="shared" si="53"/>
        <v>42644</v>
      </c>
      <c r="F1637" s="1" t="s">
        <v>58</v>
      </c>
      <c r="G1637" s="1" t="s">
        <v>18</v>
      </c>
      <c r="H1637" s="1">
        <v>-0.75</v>
      </c>
      <c r="I1637" s="1">
        <v>3.25</v>
      </c>
      <c r="J1637" s="1">
        <v>0.24</v>
      </c>
      <c r="K1637" s="2">
        <v>42684</v>
      </c>
      <c r="L1637" s="1">
        <v>3716</v>
      </c>
      <c r="M1637" s="1">
        <v>4.59</v>
      </c>
      <c r="N1637" s="1">
        <v>-0.55123999999999995</v>
      </c>
      <c r="O1637" s="3">
        <f>VLOOKUP(D1637,underlying!$D$40:$H$75,5,FALSE)</f>
        <v>-4</v>
      </c>
      <c r="P1637" s="4">
        <f t="shared" si="52"/>
        <v>42654</v>
      </c>
      <c r="Q1637" s="7">
        <f>IF(G1637="C",NormalCallSprd(O1637,H1637,M1637,(P1637-A1637)/365), NormalPutSprd(O1637,H1637,M1637,(P1637-A1637)/365))</f>
        <v>3.2537948496926061</v>
      </c>
      <c r="R1637" s="9">
        <f t="shared" si="54"/>
        <v>3.7948496926061281E-3</v>
      </c>
    </row>
    <row r="1638" spans="1:18" x14ac:dyDescent="0.2">
      <c r="A1638" s="2">
        <v>42622</v>
      </c>
      <c r="B1638" s="1" t="s">
        <v>56</v>
      </c>
      <c r="C1638" s="1" t="s">
        <v>57</v>
      </c>
      <c r="D1638" s="2">
        <v>42379</v>
      </c>
      <c r="E1638" s="2">
        <f t="shared" si="53"/>
        <v>42644</v>
      </c>
      <c r="F1638" s="1" t="s">
        <v>58</v>
      </c>
      <c r="G1638" s="1" t="s">
        <v>16</v>
      </c>
      <c r="H1638" s="1">
        <v>-0.5</v>
      </c>
      <c r="I1638" s="1">
        <v>0.01</v>
      </c>
      <c r="J1638" s="1">
        <v>0</v>
      </c>
      <c r="K1638" s="2">
        <v>42684</v>
      </c>
      <c r="L1638" s="1">
        <v>3716</v>
      </c>
      <c r="M1638" s="1">
        <v>4.59</v>
      </c>
      <c r="N1638" s="1">
        <v>-0.53191999999999995</v>
      </c>
      <c r="O1638" s="3">
        <f>VLOOKUP(D1638,underlying!$D$40:$H$75,5,FALSE)</f>
        <v>-4</v>
      </c>
      <c r="P1638" s="4">
        <f t="shared" si="52"/>
        <v>42654</v>
      </c>
      <c r="Q1638" s="7">
        <f>IF(G1638="C",NormalCallSprd(O1638,H1638,M1638,(P1638-A1638)/365), NormalPutSprd(O1638,H1638,M1638,(P1638-A1638)/365))</f>
        <v>2.1517793687695738E-3</v>
      </c>
      <c r="R1638" s="9">
        <f t="shared" si="54"/>
        <v>7.8482206312304268E-3</v>
      </c>
    </row>
    <row r="1639" spans="1:18" x14ac:dyDescent="0.2">
      <c r="A1639" s="2">
        <v>42622</v>
      </c>
      <c r="B1639" s="1" t="s">
        <v>56</v>
      </c>
      <c r="C1639" s="1" t="s">
        <v>57</v>
      </c>
      <c r="D1639" s="2">
        <v>42379</v>
      </c>
      <c r="E1639" s="2">
        <f t="shared" si="53"/>
        <v>42644</v>
      </c>
      <c r="F1639" s="1" t="s">
        <v>58</v>
      </c>
      <c r="G1639" s="1" t="s">
        <v>18</v>
      </c>
      <c r="H1639" s="1">
        <v>-0.5</v>
      </c>
      <c r="I1639" s="1">
        <v>3.5</v>
      </c>
      <c r="J1639" s="1">
        <v>0.25</v>
      </c>
      <c r="K1639" s="2">
        <v>42684</v>
      </c>
      <c r="L1639" s="1">
        <v>3716</v>
      </c>
      <c r="M1639" s="1">
        <v>4.59</v>
      </c>
      <c r="N1639" s="1">
        <v>-0.51246000000000003</v>
      </c>
      <c r="O1639" s="3">
        <f>VLOOKUP(D1639,underlying!$D$40:$H$75,5,FALSE)</f>
        <v>-4</v>
      </c>
      <c r="P1639" s="4">
        <f t="shared" si="52"/>
        <v>42654</v>
      </c>
      <c r="Q1639" s="7">
        <f>IF(G1639="C",NormalCallSprd(O1639,H1639,M1639,(P1639-A1639)/365), NormalPutSprd(O1639,H1639,M1639,(P1639-A1639)/365))</f>
        <v>3.5021517793687695</v>
      </c>
      <c r="R1639" s="9">
        <f t="shared" si="54"/>
        <v>2.1517793687695352E-3</v>
      </c>
    </row>
    <row r="1640" spans="1:18" x14ac:dyDescent="0.2">
      <c r="A1640" s="2">
        <v>42622</v>
      </c>
      <c r="B1640" s="1" t="s">
        <v>56</v>
      </c>
      <c r="C1640" s="1" t="s">
        <v>57</v>
      </c>
      <c r="D1640" s="2">
        <v>42379</v>
      </c>
      <c r="E1640" s="2">
        <f t="shared" si="53"/>
        <v>42644</v>
      </c>
      <c r="F1640" s="1" t="s">
        <v>58</v>
      </c>
      <c r="G1640" s="1" t="s">
        <v>16</v>
      </c>
      <c r="H1640" s="1">
        <v>-0.25</v>
      </c>
      <c r="I1640" s="1">
        <v>0.01</v>
      </c>
      <c r="J1640" s="1">
        <v>0</v>
      </c>
      <c r="K1640" s="2">
        <v>42684</v>
      </c>
      <c r="L1640" s="1">
        <v>3716</v>
      </c>
      <c r="M1640" s="1">
        <v>4.59</v>
      </c>
      <c r="N1640" s="1">
        <v>-0.49307000000000001</v>
      </c>
      <c r="O1640" s="3">
        <f>VLOOKUP(D1640,underlying!$D$40:$H$75,5,FALSE)</f>
        <v>-4</v>
      </c>
      <c r="P1640" s="4">
        <f t="shared" si="52"/>
        <v>42654</v>
      </c>
      <c r="Q1640" s="7">
        <f>IF(G1640="C",NormalCallSprd(O1640,H1640,M1640,(P1640-A1640)/365), NormalPutSprd(O1640,H1640,M1640,(P1640-A1640)/365))</f>
        <v>1.1851827817343818E-3</v>
      </c>
      <c r="R1640" s="9">
        <f t="shared" si="54"/>
        <v>8.8148172182656182E-3</v>
      </c>
    </row>
    <row r="1641" spans="1:18" x14ac:dyDescent="0.2">
      <c r="A1641" s="2">
        <v>42622</v>
      </c>
      <c r="B1641" s="1" t="s">
        <v>56</v>
      </c>
      <c r="C1641" s="1" t="s">
        <v>57</v>
      </c>
      <c r="D1641" s="2">
        <v>42379</v>
      </c>
      <c r="E1641" s="2">
        <f t="shared" si="53"/>
        <v>42644</v>
      </c>
      <c r="F1641" s="1" t="s">
        <v>58</v>
      </c>
      <c r="G1641" s="1" t="s">
        <v>18</v>
      </c>
      <c r="H1641" s="1">
        <v>-0.25</v>
      </c>
      <c r="I1641" s="1">
        <v>3.75</v>
      </c>
      <c r="J1641" s="1">
        <v>0.25</v>
      </c>
      <c r="K1641" s="2">
        <v>42684</v>
      </c>
      <c r="L1641" s="1">
        <v>3716</v>
      </c>
      <c r="M1641" s="1">
        <v>4.59</v>
      </c>
      <c r="N1641" s="1">
        <v>-0.47366999999999998</v>
      </c>
      <c r="O1641" s="3">
        <f>VLOOKUP(D1641,underlying!$D$40:$H$75,5,FALSE)</f>
        <v>-4</v>
      </c>
      <c r="P1641" s="4">
        <f t="shared" si="52"/>
        <v>42654</v>
      </c>
      <c r="Q1641" s="7">
        <f>IF(G1641="C",NormalCallSprd(O1641,H1641,M1641,(P1641-A1641)/365), NormalPutSprd(O1641,H1641,M1641,(P1641-A1641)/365))</f>
        <v>3.7511851827817342</v>
      </c>
      <c r="R1641" s="9">
        <f t="shared" si="54"/>
        <v>1.1851827817341842E-3</v>
      </c>
    </row>
    <row r="1642" spans="1:18" x14ac:dyDescent="0.2">
      <c r="A1642" s="2">
        <v>42622</v>
      </c>
      <c r="B1642" s="1" t="s">
        <v>56</v>
      </c>
      <c r="C1642" s="1" t="s">
        <v>57</v>
      </c>
      <c r="D1642" s="2">
        <v>42380</v>
      </c>
      <c r="E1642" s="2">
        <f t="shared" si="53"/>
        <v>42675</v>
      </c>
      <c r="F1642" s="1" t="s">
        <v>58</v>
      </c>
      <c r="G1642" s="1" t="s">
        <v>16</v>
      </c>
      <c r="H1642" s="1">
        <v>-13</v>
      </c>
      <c r="I1642" s="1">
        <v>9.24</v>
      </c>
      <c r="J1642" s="1">
        <v>-0.25</v>
      </c>
      <c r="K1642" s="2">
        <v>42624</v>
      </c>
      <c r="L1642" s="1">
        <v>3716</v>
      </c>
      <c r="M1642" s="1">
        <v>4.43</v>
      </c>
      <c r="N1642" s="1">
        <v>-0.45421</v>
      </c>
      <c r="O1642" s="3">
        <f>VLOOKUP(D1642,underlying!$D$40:$H$75,5,FALSE)</f>
        <v>-3.75</v>
      </c>
      <c r="P1642" s="4">
        <f t="shared" si="52"/>
        <v>42683</v>
      </c>
      <c r="Q1642" s="7">
        <f>IF(G1642="C",NormalCallSprd(O1642,H1642,M1642,(P1642-A1642)/365), NormalPutSprd(O1642,H1642,M1642,(P1642-A1642)/365))</f>
        <v>9.2500000540714336</v>
      </c>
      <c r="R1642" s="9">
        <f t="shared" si="54"/>
        <v>1.000005407143334E-2</v>
      </c>
    </row>
    <row r="1643" spans="1:18" x14ac:dyDescent="0.2">
      <c r="A1643" s="2">
        <v>42622</v>
      </c>
      <c r="B1643" s="1" t="s">
        <v>56</v>
      </c>
      <c r="C1643" s="1" t="s">
        <v>57</v>
      </c>
      <c r="D1643" s="2">
        <v>42380</v>
      </c>
      <c r="E1643" s="2">
        <f t="shared" si="53"/>
        <v>42675</v>
      </c>
      <c r="F1643" s="1" t="s">
        <v>58</v>
      </c>
      <c r="G1643" s="1" t="s">
        <v>18</v>
      </c>
      <c r="H1643" s="1">
        <v>-13</v>
      </c>
      <c r="I1643" s="1">
        <v>0.01</v>
      </c>
      <c r="J1643" s="1">
        <v>0</v>
      </c>
      <c r="K1643" s="2">
        <v>42624</v>
      </c>
      <c r="L1643" s="1">
        <v>3716</v>
      </c>
      <c r="M1643" s="1">
        <v>4.43</v>
      </c>
      <c r="N1643" s="1">
        <v>-0.43490000000000001</v>
      </c>
      <c r="O1643" s="3">
        <f>VLOOKUP(D1643,underlying!$D$40:$H$75,5,FALSE)</f>
        <v>-3.75</v>
      </c>
      <c r="P1643" s="4">
        <f t="shared" si="52"/>
        <v>42683</v>
      </c>
      <c r="Q1643" s="7">
        <f>IF(G1643="C",NormalCallSprd(O1643,H1643,M1643,(P1643-A1643)/365), NormalPutSprd(O1643,H1643,M1643,(P1643-A1643)/365))</f>
        <v>5.40714331090451E-8</v>
      </c>
      <c r="R1643" s="9">
        <f t="shared" si="54"/>
        <v>9.9999459285668914E-3</v>
      </c>
    </row>
    <row r="1644" spans="1:18" x14ac:dyDescent="0.2">
      <c r="A1644" s="2">
        <v>42622</v>
      </c>
      <c r="B1644" s="1" t="s">
        <v>56</v>
      </c>
      <c r="C1644" s="1" t="s">
        <v>57</v>
      </c>
      <c r="D1644" s="2">
        <v>42380</v>
      </c>
      <c r="E1644" s="2">
        <f t="shared" si="53"/>
        <v>42675</v>
      </c>
      <c r="F1644" s="1" t="s">
        <v>58</v>
      </c>
      <c r="G1644" s="1" t="s">
        <v>16</v>
      </c>
      <c r="H1644" s="1">
        <v>-12</v>
      </c>
      <c r="I1644" s="1">
        <v>8.24</v>
      </c>
      <c r="J1644" s="1">
        <v>-0.25</v>
      </c>
      <c r="K1644" s="2">
        <v>42624</v>
      </c>
      <c r="L1644" s="1">
        <v>3716</v>
      </c>
      <c r="M1644" s="1">
        <v>4.43</v>
      </c>
      <c r="N1644" s="1">
        <v>-0.41550999999999999</v>
      </c>
      <c r="O1644" s="3">
        <f>VLOOKUP(D1644,underlying!$D$40:$H$75,5,FALSE)</f>
        <v>-3.75</v>
      </c>
      <c r="P1644" s="4">
        <f t="shared" si="52"/>
        <v>42683</v>
      </c>
      <c r="Q1644" s="7">
        <f>IF(G1644="C",NormalCallSprd(O1644,H1644,M1644,(P1644-A1644)/365), NormalPutSprd(O1644,H1644,M1644,(P1644-A1644)/365))</f>
        <v>8.2500009570193154</v>
      </c>
      <c r="R1644" s="9">
        <f t="shared" si="54"/>
        <v>1.0000957019315138E-2</v>
      </c>
    </row>
    <row r="1645" spans="1:18" x14ac:dyDescent="0.2">
      <c r="A1645" s="2">
        <v>42622</v>
      </c>
      <c r="B1645" s="1" t="s">
        <v>56</v>
      </c>
      <c r="C1645" s="1" t="s">
        <v>57</v>
      </c>
      <c r="D1645" s="2">
        <v>42380</v>
      </c>
      <c r="E1645" s="2">
        <f t="shared" si="53"/>
        <v>42675</v>
      </c>
      <c r="F1645" s="1" t="s">
        <v>58</v>
      </c>
      <c r="G1645" s="1" t="s">
        <v>18</v>
      </c>
      <c r="H1645" s="1">
        <v>-12</v>
      </c>
      <c r="I1645" s="1">
        <v>0.01</v>
      </c>
      <c r="J1645" s="1">
        <v>0</v>
      </c>
      <c r="K1645" s="2">
        <v>42624</v>
      </c>
      <c r="L1645" s="1">
        <v>3716</v>
      </c>
      <c r="M1645" s="1">
        <v>4.43</v>
      </c>
      <c r="N1645" s="1">
        <v>-0.39700999999999997</v>
      </c>
      <c r="O1645" s="3">
        <f>VLOOKUP(D1645,underlying!$D$40:$H$75,5,FALSE)</f>
        <v>-3.75</v>
      </c>
      <c r="P1645" s="4">
        <f t="shared" si="52"/>
        <v>42683</v>
      </c>
      <c r="Q1645" s="7">
        <f>IF(G1645="C",NormalCallSprd(O1645,H1645,M1645,(P1645-A1645)/365), NormalPutSprd(O1645,H1645,M1645,(P1645-A1645)/365))</f>
        <v>9.570193159746359E-7</v>
      </c>
      <c r="R1645" s="9">
        <f t="shared" si="54"/>
        <v>9.999042980684025E-3</v>
      </c>
    </row>
    <row r="1646" spans="1:18" x14ac:dyDescent="0.2">
      <c r="A1646" s="2">
        <v>42622</v>
      </c>
      <c r="B1646" s="1" t="s">
        <v>56</v>
      </c>
      <c r="C1646" s="1" t="s">
        <v>57</v>
      </c>
      <c r="D1646" s="2">
        <v>42380</v>
      </c>
      <c r="E1646" s="2">
        <f t="shared" si="53"/>
        <v>42675</v>
      </c>
      <c r="F1646" s="1" t="s">
        <v>58</v>
      </c>
      <c r="G1646" s="1" t="s">
        <v>16</v>
      </c>
      <c r="H1646" s="1">
        <v>-11</v>
      </c>
      <c r="I1646" s="1">
        <v>7.24</v>
      </c>
      <c r="J1646" s="1">
        <v>-0.25</v>
      </c>
      <c r="K1646" s="2">
        <v>42624</v>
      </c>
      <c r="L1646" s="1">
        <v>3716</v>
      </c>
      <c r="M1646" s="1">
        <v>4.43</v>
      </c>
      <c r="N1646" s="1">
        <v>-0.37767000000000001</v>
      </c>
      <c r="O1646" s="3">
        <f>VLOOKUP(D1646,underlying!$D$40:$H$75,5,FALSE)</f>
        <v>-3.75</v>
      </c>
      <c r="P1646" s="4">
        <f t="shared" si="52"/>
        <v>42683</v>
      </c>
      <c r="Q1646" s="7">
        <f>IF(G1646="C",NormalCallSprd(O1646,H1646,M1646,(P1646-A1646)/365), NormalPutSprd(O1646,H1646,M1646,(P1646-A1646)/365))</f>
        <v>7.2500127534313972</v>
      </c>
      <c r="R1646" s="9">
        <f t="shared" si="54"/>
        <v>1.0012753431396959E-2</v>
      </c>
    </row>
    <row r="1647" spans="1:18" x14ac:dyDescent="0.2">
      <c r="A1647" s="2">
        <v>42622</v>
      </c>
      <c r="B1647" s="1" t="s">
        <v>56</v>
      </c>
      <c r="C1647" s="1" t="s">
        <v>57</v>
      </c>
      <c r="D1647" s="2">
        <v>42380</v>
      </c>
      <c r="E1647" s="2">
        <f t="shared" si="53"/>
        <v>42675</v>
      </c>
      <c r="F1647" s="1" t="s">
        <v>58</v>
      </c>
      <c r="G1647" s="1" t="s">
        <v>18</v>
      </c>
      <c r="H1647" s="1">
        <v>-11</v>
      </c>
      <c r="I1647" s="1">
        <v>0.01</v>
      </c>
      <c r="J1647" s="1">
        <v>0</v>
      </c>
      <c r="K1647" s="2">
        <v>42624</v>
      </c>
      <c r="L1647" s="1">
        <v>3716</v>
      </c>
      <c r="M1647" s="1">
        <v>4.43</v>
      </c>
      <c r="N1647" s="1">
        <v>-0.35987999999999998</v>
      </c>
      <c r="O1647" s="3">
        <f>VLOOKUP(D1647,underlying!$D$40:$H$75,5,FALSE)</f>
        <v>-3.75</v>
      </c>
      <c r="P1647" s="4">
        <f t="shared" si="52"/>
        <v>42683</v>
      </c>
      <c r="Q1647" s="7">
        <f>IF(G1647="C",NormalCallSprd(O1647,H1647,M1647,(P1647-A1647)/365), NormalPutSprd(O1647,H1647,M1647,(P1647-A1647)/365))</f>
        <v>1.2753431397461442E-5</v>
      </c>
      <c r="R1647" s="9">
        <f t="shared" si="54"/>
        <v>9.9872465686025383E-3</v>
      </c>
    </row>
    <row r="1648" spans="1:18" x14ac:dyDescent="0.2">
      <c r="A1648" s="2">
        <v>42622</v>
      </c>
      <c r="B1648" s="1" t="s">
        <v>56</v>
      </c>
      <c r="C1648" s="1" t="s">
        <v>57</v>
      </c>
      <c r="D1648" s="2">
        <v>42380</v>
      </c>
      <c r="E1648" s="2">
        <f t="shared" si="53"/>
        <v>42675</v>
      </c>
      <c r="F1648" s="1" t="s">
        <v>58</v>
      </c>
      <c r="G1648" s="1" t="s">
        <v>16</v>
      </c>
      <c r="H1648" s="1">
        <v>-10</v>
      </c>
      <c r="I1648" s="1">
        <v>6.25</v>
      </c>
      <c r="J1648" s="1">
        <v>-0.25</v>
      </c>
      <c r="K1648" s="2">
        <v>42624</v>
      </c>
      <c r="L1648" s="1">
        <v>3716</v>
      </c>
      <c r="M1648" s="1">
        <v>4.43</v>
      </c>
      <c r="N1648" s="1">
        <v>-0.34093000000000001</v>
      </c>
      <c r="O1648" s="3">
        <f>VLOOKUP(D1648,underlying!$D$40:$H$75,5,FALSE)</f>
        <v>-3.75</v>
      </c>
      <c r="P1648" s="4">
        <f t="shared" si="52"/>
        <v>42683</v>
      </c>
      <c r="Q1648" s="7">
        <f>IF(G1648="C",NormalCallSprd(O1648,H1648,M1648,(P1648-A1648)/365), NormalPutSprd(O1648,H1648,M1648,(P1648-A1648)/365))</f>
        <v>6.2501285118713703</v>
      </c>
      <c r="R1648" s="9">
        <f t="shared" si="54"/>
        <v>1.2851187137030706E-4</v>
      </c>
    </row>
    <row r="1649" spans="1:18" x14ac:dyDescent="0.2">
      <c r="A1649" s="2">
        <v>42622</v>
      </c>
      <c r="B1649" s="1" t="s">
        <v>56</v>
      </c>
      <c r="C1649" s="1" t="s">
        <v>57</v>
      </c>
      <c r="D1649" s="2">
        <v>42380</v>
      </c>
      <c r="E1649" s="2">
        <f t="shared" si="53"/>
        <v>42675</v>
      </c>
      <c r="F1649" s="1" t="s">
        <v>58</v>
      </c>
      <c r="G1649" s="1" t="s">
        <v>18</v>
      </c>
      <c r="H1649" s="1">
        <v>-10</v>
      </c>
      <c r="I1649" s="1">
        <v>0.01</v>
      </c>
      <c r="J1649" s="1">
        <v>0</v>
      </c>
      <c r="K1649" s="2">
        <v>42624</v>
      </c>
      <c r="L1649" s="1">
        <v>3716</v>
      </c>
      <c r="M1649" s="1">
        <v>4.43</v>
      </c>
      <c r="N1649" s="1">
        <v>-0.32397999999999999</v>
      </c>
      <c r="O1649" s="3">
        <f>VLOOKUP(D1649,underlying!$D$40:$H$75,5,FALSE)</f>
        <v>-3.75</v>
      </c>
      <c r="P1649" s="4">
        <f t="shared" si="52"/>
        <v>42683</v>
      </c>
      <c r="Q1649" s="7">
        <f>IF(G1649="C",NormalCallSprd(O1649,H1649,M1649,(P1649-A1649)/365), NormalPutSprd(O1649,H1649,M1649,(P1649-A1649)/365))</f>
        <v>1.2851187137066531E-4</v>
      </c>
      <c r="R1649" s="9">
        <f t="shared" si="54"/>
        <v>9.8714881286293341E-3</v>
      </c>
    </row>
    <row r="1650" spans="1:18" x14ac:dyDescent="0.2">
      <c r="A1650" s="2">
        <v>42622</v>
      </c>
      <c r="B1650" s="1" t="s">
        <v>56</v>
      </c>
      <c r="C1650" s="1" t="s">
        <v>57</v>
      </c>
      <c r="D1650" s="2">
        <v>42380</v>
      </c>
      <c r="E1650" s="2">
        <f t="shared" si="53"/>
        <v>42675</v>
      </c>
      <c r="F1650" s="1" t="s">
        <v>58</v>
      </c>
      <c r="G1650" s="1" t="s">
        <v>16</v>
      </c>
      <c r="H1650" s="1">
        <v>-9.75</v>
      </c>
      <c r="I1650" s="1">
        <v>6</v>
      </c>
      <c r="J1650" s="1">
        <v>-0.25</v>
      </c>
      <c r="K1650" s="2">
        <v>42624</v>
      </c>
      <c r="L1650" s="1">
        <v>3716</v>
      </c>
      <c r="M1650" s="1">
        <v>4.43</v>
      </c>
      <c r="N1650" s="1">
        <v>-0.30659999999999998</v>
      </c>
      <c r="O1650" s="3">
        <f>VLOOKUP(D1650,underlying!$D$40:$H$75,5,FALSE)</f>
        <v>-3.75</v>
      </c>
      <c r="P1650" s="4">
        <f t="shared" si="52"/>
        <v>42683</v>
      </c>
      <c r="Q1650" s="7">
        <f>IF(G1650="C",NormalCallSprd(O1650,H1650,M1650,(P1650-A1650)/365), NormalPutSprd(O1650,H1650,M1650,(P1650-A1650)/365))</f>
        <v>6.0002193166917781</v>
      </c>
      <c r="R1650" s="9">
        <f t="shared" si="54"/>
        <v>2.193166917781042E-4</v>
      </c>
    </row>
    <row r="1651" spans="1:18" x14ac:dyDescent="0.2">
      <c r="A1651" s="2">
        <v>42622</v>
      </c>
      <c r="B1651" s="1" t="s">
        <v>56</v>
      </c>
      <c r="C1651" s="1" t="s">
        <v>57</v>
      </c>
      <c r="D1651" s="2">
        <v>42380</v>
      </c>
      <c r="E1651" s="2">
        <f t="shared" si="53"/>
        <v>42675</v>
      </c>
      <c r="F1651" s="1" t="s">
        <v>58</v>
      </c>
      <c r="G1651" s="1" t="s">
        <v>18</v>
      </c>
      <c r="H1651" s="1">
        <v>-9.75</v>
      </c>
      <c r="I1651" s="1">
        <v>0.01</v>
      </c>
      <c r="J1651" s="1">
        <v>0</v>
      </c>
      <c r="K1651" s="2">
        <v>42624</v>
      </c>
      <c r="L1651" s="1">
        <v>3716</v>
      </c>
      <c r="M1651" s="1">
        <v>4.43</v>
      </c>
      <c r="N1651" s="1">
        <v>-0.28963</v>
      </c>
      <c r="O1651" s="3">
        <f>VLOOKUP(D1651,underlying!$D$40:$H$75,5,FALSE)</f>
        <v>-3.75</v>
      </c>
      <c r="P1651" s="4">
        <f t="shared" si="52"/>
        <v>42683</v>
      </c>
      <c r="Q1651" s="7">
        <f>IF(G1651="C",NormalCallSprd(O1651,H1651,M1651,(P1651-A1651)/365), NormalPutSprd(O1651,H1651,M1651,(P1651-A1651)/365))</f>
        <v>2.1931669177792197E-4</v>
      </c>
      <c r="R1651" s="9">
        <f t="shared" si="54"/>
        <v>9.7806833082220782E-3</v>
      </c>
    </row>
    <row r="1652" spans="1:18" x14ac:dyDescent="0.2">
      <c r="A1652" s="2">
        <v>42622</v>
      </c>
      <c r="B1652" s="1" t="s">
        <v>56</v>
      </c>
      <c r="C1652" s="1" t="s">
        <v>57</v>
      </c>
      <c r="D1652" s="2">
        <v>42380</v>
      </c>
      <c r="E1652" s="2">
        <f t="shared" si="53"/>
        <v>42675</v>
      </c>
      <c r="F1652" s="1" t="s">
        <v>58</v>
      </c>
      <c r="G1652" s="1" t="s">
        <v>16</v>
      </c>
      <c r="H1652" s="1">
        <v>-9.5</v>
      </c>
      <c r="I1652" s="1">
        <v>5.75</v>
      </c>
      <c r="J1652" s="1">
        <v>-0.25</v>
      </c>
      <c r="K1652" s="2">
        <v>42624</v>
      </c>
      <c r="L1652" s="1">
        <v>3716</v>
      </c>
      <c r="M1652" s="1">
        <v>4.43</v>
      </c>
      <c r="N1652" s="1">
        <v>-0.27311000000000002</v>
      </c>
      <c r="O1652" s="3">
        <f>VLOOKUP(D1652,underlying!$D$40:$H$75,5,FALSE)</f>
        <v>-3.75</v>
      </c>
      <c r="P1652" s="4">
        <f t="shared" si="52"/>
        <v>42683</v>
      </c>
      <c r="Q1652" s="7">
        <f>IF(G1652="C",NormalCallSprd(O1652,H1652,M1652,(P1652-A1652)/365), NormalPutSprd(O1652,H1652,M1652,(P1652-A1652)/365))</f>
        <v>5.7503679623132911</v>
      </c>
      <c r="R1652" s="9">
        <f t="shared" si="54"/>
        <v>3.6796231329105922E-4</v>
      </c>
    </row>
    <row r="1653" spans="1:18" x14ac:dyDescent="0.2">
      <c r="A1653" s="2">
        <v>42622</v>
      </c>
      <c r="B1653" s="1" t="s">
        <v>56</v>
      </c>
      <c r="C1653" s="1" t="s">
        <v>57</v>
      </c>
      <c r="D1653" s="2">
        <v>42380</v>
      </c>
      <c r="E1653" s="2">
        <f t="shared" si="53"/>
        <v>42675</v>
      </c>
      <c r="F1653" s="1" t="s">
        <v>58</v>
      </c>
      <c r="G1653" s="1" t="s">
        <v>18</v>
      </c>
      <c r="H1653" s="1">
        <v>-9.5</v>
      </c>
      <c r="I1653" s="1">
        <v>0.01</v>
      </c>
      <c r="J1653" s="1">
        <v>0</v>
      </c>
      <c r="K1653" s="2">
        <v>42624</v>
      </c>
      <c r="L1653" s="1">
        <v>3716</v>
      </c>
      <c r="M1653" s="1">
        <v>4.43</v>
      </c>
      <c r="N1653" s="1">
        <v>-0.25706000000000001</v>
      </c>
      <c r="O1653" s="3">
        <f>VLOOKUP(D1653,underlying!$D$40:$H$75,5,FALSE)</f>
        <v>-3.75</v>
      </c>
      <c r="P1653" s="4">
        <f t="shared" si="52"/>
        <v>42683</v>
      </c>
      <c r="Q1653" s="7">
        <f>IF(G1653="C",NormalCallSprd(O1653,H1653,M1653,(P1653-A1653)/365), NormalPutSprd(O1653,H1653,M1653,(P1653-A1653)/365))</f>
        <v>3.6796231329138963E-4</v>
      </c>
      <c r="R1653" s="9">
        <f t="shared" si="54"/>
        <v>9.6320376867086114E-3</v>
      </c>
    </row>
    <row r="1654" spans="1:18" x14ac:dyDescent="0.2">
      <c r="A1654" s="2">
        <v>42622</v>
      </c>
      <c r="B1654" s="1" t="s">
        <v>56</v>
      </c>
      <c r="C1654" s="1" t="s">
        <v>57</v>
      </c>
      <c r="D1654" s="2">
        <v>42380</v>
      </c>
      <c r="E1654" s="2">
        <f t="shared" si="53"/>
        <v>42675</v>
      </c>
      <c r="F1654" s="1" t="s">
        <v>58</v>
      </c>
      <c r="G1654" s="1" t="s">
        <v>16</v>
      </c>
      <c r="H1654" s="1">
        <v>-9.25</v>
      </c>
      <c r="I1654" s="1">
        <v>5.5</v>
      </c>
      <c r="J1654" s="1">
        <v>-0.25</v>
      </c>
      <c r="K1654" s="2">
        <v>42624</v>
      </c>
      <c r="L1654" s="1">
        <v>3716</v>
      </c>
      <c r="M1654" s="1">
        <v>4.43</v>
      </c>
      <c r="N1654" s="1">
        <v>-0.24152000000000001</v>
      </c>
      <c r="O1654" s="3">
        <f>VLOOKUP(D1654,underlying!$D$40:$H$75,5,FALSE)</f>
        <v>-3.75</v>
      </c>
      <c r="P1654" s="4">
        <f t="shared" si="52"/>
        <v>42683</v>
      </c>
      <c r="Q1654" s="7">
        <f>IF(G1654="C",NormalCallSprd(O1654,H1654,M1654,(P1654-A1654)/365), NormalPutSprd(O1654,H1654,M1654,(P1654-A1654)/365))</f>
        <v>5.5006069948905356</v>
      </c>
      <c r="R1654" s="9">
        <f t="shared" si="54"/>
        <v>6.0699489053561706E-4</v>
      </c>
    </row>
    <row r="1655" spans="1:18" x14ac:dyDescent="0.2">
      <c r="A1655" s="2">
        <v>42622</v>
      </c>
      <c r="B1655" s="1" t="s">
        <v>56</v>
      </c>
      <c r="C1655" s="1" t="s">
        <v>57</v>
      </c>
      <c r="D1655" s="2">
        <v>42380</v>
      </c>
      <c r="E1655" s="2">
        <f t="shared" si="53"/>
        <v>42675</v>
      </c>
      <c r="F1655" s="1" t="s">
        <v>58</v>
      </c>
      <c r="G1655" s="1" t="s">
        <v>18</v>
      </c>
      <c r="H1655" s="1">
        <v>-9.25</v>
      </c>
      <c r="I1655" s="1">
        <v>0.01</v>
      </c>
      <c r="J1655" s="1">
        <v>0</v>
      </c>
      <c r="K1655" s="2">
        <v>42624</v>
      </c>
      <c r="L1655" s="1">
        <v>3716</v>
      </c>
      <c r="M1655" s="1">
        <v>4.43</v>
      </c>
      <c r="N1655" s="1">
        <v>-0.22649</v>
      </c>
      <c r="O1655" s="3">
        <f>VLOOKUP(D1655,underlying!$D$40:$H$75,5,FALSE)</f>
        <v>-3.75</v>
      </c>
      <c r="P1655" s="4">
        <f t="shared" si="52"/>
        <v>42683</v>
      </c>
      <c r="Q1655" s="7">
        <f>IF(G1655="C",NormalCallSprd(O1655,H1655,M1655,(P1655-A1655)/365), NormalPutSprd(O1655,H1655,M1655,(P1655-A1655)/365))</f>
        <v>6.0699489053542592E-4</v>
      </c>
      <c r="R1655" s="9">
        <f t="shared" si="54"/>
        <v>9.393005109464574E-3</v>
      </c>
    </row>
    <row r="1656" spans="1:18" x14ac:dyDescent="0.2">
      <c r="A1656" s="2">
        <v>42622</v>
      </c>
      <c r="B1656" s="1" t="s">
        <v>56</v>
      </c>
      <c r="C1656" s="1" t="s">
        <v>57</v>
      </c>
      <c r="D1656" s="2">
        <v>42380</v>
      </c>
      <c r="E1656" s="2">
        <f t="shared" si="53"/>
        <v>42675</v>
      </c>
      <c r="F1656" s="1" t="s">
        <v>58</v>
      </c>
      <c r="G1656" s="1" t="s">
        <v>16</v>
      </c>
      <c r="H1656" s="1">
        <v>-9</v>
      </c>
      <c r="I1656" s="1">
        <v>5.25</v>
      </c>
      <c r="J1656" s="1">
        <v>-0.25</v>
      </c>
      <c r="K1656" s="2">
        <v>42624</v>
      </c>
      <c r="L1656" s="1">
        <v>3716</v>
      </c>
      <c r="M1656" s="1">
        <v>4.43</v>
      </c>
      <c r="N1656" s="1">
        <v>-0.21201</v>
      </c>
      <c r="O1656" s="3">
        <f>VLOOKUP(D1656,underlying!$D$40:$H$75,5,FALSE)</f>
        <v>-3.75</v>
      </c>
      <c r="P1656" s="4">
        <f t="shared" si="52"/>
        <v>42683</v>
      </c>
      <c r="Q1656" s="7">
        <f>IF(G1656="C",NormalCallSprd(O1656,H1656,M1656,(P1656-A1656)/365), NormalPutSprd(O1656,H1656,M1656,(P1656-A1656)/365))</f>
        <v>5.2509846159722509</v>
      </c>
      <c r="R1656" s="9">
        <f t="shared" si="54"/>
        <v>9.846159722508574E-4</v>
      </c>
    </row>
    <row r="1657" spans="1:18" x14ac:dyDescent="0.2">
      <c r="A1657" s="2">
        <v>42622</v>
      </c>
      <c r="B1657" s="1" t="s">
        <v>56</v>
      </c>
      <c r="C1657" s="1" t="s">
        <v>57</v>
      </c>
      <c r="D1657" s="2">
        <v>42380</v>
      </c>
      <c r="E1657" s="2">
        <f t="shared" si="53"/>
        <v>42675</v>
      </c>
      <c r="F1657" s="1" t="s">
        <v>58</v>
      </c>
      <c r="G1657" s="1" t="s">
        <v>18</v>
      </c>
      <c r="H1657" s="1">
        <v>-9</v>
      </c>
      <c r="I1657" s="1">
        <v>0.01</v>
      </c>
      <c r="J1657" s="1">
        <v>0</v>
      </c>
      <c r="K1657" s="2">
        <v>42624</v>
      </c>
      <c r="L1657" s="1">
        <v>3716</v>
      </c>
      <c r="M1657" s="1">
        <v>4.43</v>
      </c>
      <c r="N1657" s="1">
        <v>-0.19807</v>
      </c>
      <c r="O1657" s="3">
        <f>VLOOKUP(D1657,underlying!$D$40:$H$75,5,FALSE)</f>
        <v>-3.75</v>
      </c>
      <c r="P1657" s="4">
        <f t="shared" ref="P1657:P1720" si="55">DATE(YEAR(K1657),DAY(K1657),MONTH(K1657))</f>
        <v>42683</v>
      </c>
      <c r="Q1657" s="7">
        <f>IF(G1657="C",NormalCallSprd(O1657,H1657,M1657,(P1657-A1657)/365), NormalPutSprd(O1657,H1657,M1657,(P1657-A1657)/365))</f>
        <v>9.8461597225109462E-4</v>
      </c>
      <c r="R1657" s="9">
        <f t="shared" si="54"/>
        <v>9.0153840277489052E-3</v>
      </c>
    </row>
    <row r="1658" spans="1:18" x14ac:dyDescent="0.2">
      <c r="A1658" s="2">
        <v>42622</v>
      </c>
      <c r="B1658" s="1" t="s">
        <v>56</v>
      </c>
      <c r="C1658" s="1" t="s">
        <v>57</v>
      </c>
      <c r="D1658" s="2">
        <v>42380</v>
      </c>
      <c r="E1658" s="2">
        <f t="shared" si="53"/>
        <v>42675</v>
      </c>
      <c r="F1658" s="1" t="s">
        <v>58</v>
      </c>
      <c r="G1658" s="1" t="s">
        <v>16</v>
      </c>
      <c r="H1658" s="1">
        <v>-8.75</v>
      </c>
      <c r="I1658" s="1">
        <v>5</v>
      </c>
      <c r="J1658" s="1">
        <v>-0.25</v>
      </c>
      <c r="K1658" s="2">
        <v>42624</v>
      </c>
      <c r="L1658" s="1">
        <v>3716</v>
      </c>
      <c r="M1658" s="1">
        <v>4.43</v>
      </c>
      <c r="N1658" s="1">
        <v>-0.1847</v>
      </c>
      <c r="O1658" s="3">
        <f>VLOOKUP(D1658,underlying!$D$40:$H$75,5,FALSE)</f>
        <v>-3.75</v>
      </c>
      <c r="P1658" s="4">
        <f t="shared" si="55"/>
        <v>42683</v>
      </c>
      <c r="Q1658" s="7">
        <f>IF(G1658="C",NormalCallSprd(O1658,H1658,M1658,(P1658-A1658)/365), NormalPutSprd(O1658,H1658,M1658,(P1658-A1658)/365))</f>
        <v>5.0015707335049768</v>
      </c>
      <c r="R1658" s="9">
        <f t="shared" si="54"/>
        <v>1.570733504976829E-3</v>
      </c>
    </row>
    <row r="1659" spans="1:18" x14ac:dyDescent="0.2">
      <c r="A1659" s="2">
        <v>42622</v>
      </c>
      <c r="B1659" s="1" t="s">
        <v>56</v>
      </c>
      <c r="C1659" s="1" t="s">
        <v>57</v>
      </c>
      <c r="D1659" s="2">
        <v>42380</v>
      </c>
      <c r="E1659" s="2">
        <f t="shared" si="53"/>
        <v>42675</v>
      </c>
      <c r="F1659" s="1" t="s">
        <v>58</v>
      </c>
      <c r="G1659" s="1" t="s">
        <v>18</v>
      </c>
      <c r="H1659" s="1">
        <v>-8.75</v>
      </c>
      <c r="I1659" s="1">
        <v>0.01</v>
      </c>
      <c r="J1659" s="1">
        <v>0</v>
      </c>
      <c r="K1659" s="2">
        <v>42624</v>
      </c>
      <c r="L1659" s="1">
        <v>3716</v>
      </c>
      <c r="M1659" s="1">
        <v>4.43</v>
      </c>
      <c r="N1659" s="1">
        <v>-0.17191000000000001</v>
      </c>
      <c r="O1659" s="3">
        <f>VLOOKUP(D1659,underlying!$D$40:$H$75,5,FALSE)</f>
        <v>-3.75</v>
      </c>
      <c r="P1659" s="4">
        <f t="shared" si="55"/>
        <v>42683</v>
      </c>
      <c r="Q1659" s="7">
        <f>IF(G1659="C",NormalCallSprd(O1659,H1659,M1659,(P1659-A1659)/365), NormalPutSprd(O1659,H1659,M1659,(P1659-A1659)/365))</f>
        <v>1.5707335049763311E-3</v>
      </c>
      <c r="R1659" s="9">
        <f t="shared" si="54"/>
        <v>8.4292664950236691E-3</v>
      </c>
    </row>
    <row r="1660" spans="1:18" x14ac:dyDescent="0.2">
      <c r="A1660" s="2">
        <v>42622</v>
      </c>
      <c r="B1660" s="1" t="s">
        <v>56</v>
      </c>
      <c r="C1660" s="1" t="s">
        <v>57</v>
      </c>
      <c r="D1660" s="2">
        <v>42380</v>
      </c>
      <c r="E1660" s="2">
        <f t="shared" si="53"/>
        <v>42675</v>
      </c>
      <c r="F1660" s="1" t="s">
        <v>58</v>
      </c>
      <c r="G1660" s="1" t="s">
        <v>16</v>
      </c>
      <c r="H1660" s="1">
        <v>-8.5</v>
      </c>
      <c r="I1660" s="1">
        <v>4.75</v>
      </c>
      <c r="J1660" s="1">
        <v>-0.25</v>
      </c>
      <c r="K1660" s="2">
        <v>42624</v>
      </c>
      <c r="L1660" s="1">
        <v>3716</v>
      </c>
      <c r="M1660" s="1">
        <v>4.43</v>
      </c>
      <c r="N1660" s="1">
        <v>-0.12584000000000001</v>
      </c>
      <c r="O1660" s="3">
        <f>VLOOKUP(D1660,underlying!$D$40:$H$75,5,FALSE)</f>
        <v>-3.75</v>
      </c>
      <c r="P1660" s="4">
        <f t="shared" si="55"/>
        <v>42683</v>
      </c>
      <c r="Q1660" s="7">
        <f>IF(G1660="C",NormalCallSprd(O1660,H1660,M1660,(P1660-A1660)/365), NormalPutSprd(O1660,H1660,M1660,(P1660-A1660)/365))</f>
        <v>4.7524646166942173</v>
      </c>
      <c r="R1660" s="9">
        <f t="shared" si="54"/>
        <v>2.4646166942172698E-3</v>
      </c>
    </row>
    <row r="1661" spans="1:18" x14ac:dyDescent="0.2">
      <c r="A1661" s="2">
        <v>42622</v>
      </c>
      <c r="B1661" s="1" t="s">
        <v>56</v>
      </c>
      <c r="C1661" s="1" t="s">
        <v>57</v>
      </c>
      <c r="D1661" s="2">
        <v>42380</v>
      </c>
      <c r="E1661" s="2">
        <f t="shared" si="53"/>
        <v>42675</v>
      </c>
      <c r="F1661" s="1" t="s">
        <v>58</v>
      </c>
      <c r="G1661" s="1" t="s">
        <v>18</v>
      </c>
      <c r="H1661" s="1">
        <v>-8.5</v>
      </c>
      <c r="I1661" s="1">
        <v>0.01</v>
      </c>
      <c r="J1661" s="1">
        <v>0</v>
      </c>
      <c r="K1661" s="2">
        <v>42624</v>
      </c>
      <c r="L1661" s="1">
        <v>3716</v>
      </c>
      <c r="M1661" s="1">
        <v>4.43</v>
      </c>
      <c r="N1661" s="1">
        <v>-8.8959999999999997E-2</v>
      </c>
      <c r="O1661" s="3">
        <f>VLOOKUP(D1661,underlying!$D$40:$H$75,5,FALSE)</f>
        <v>-3.75</v>
      </c>
      <c r="P1661" s="4">
        <f t="shared" si="55"/>
        <v>42683</v>
      </c>
      <c r="Q1661" s="7">
        <f>IF(G1661="C",NormalCallSprd(O1661,H1661,M1661,(P1661-A1661)/365), NormalPutSprd(O1661,H1661,M1661,(P1661-A1661)/365))</f>
        <v>2.4646166942174819E-3</v>
      </c>
      <c r="R1661" s="9">
        <f t="shared" si="54"/>
        <v>7.5353833057825188E-3</v>
      </c>
    </row>
    <row r="1662" spans="1:18" x14ac:dyDescent="0.2">
      <c r="A1662" s="2">
        <v>42622</v>
      </c>
      <c r="B1662" s="1" t="s">
        <v>56</v>
      </c>
      <c r="C1662" s="1" t="s">
        <v>57</v>
      </c>
      <c r="D1662" s="2">
        <v>42380</v>
      </c>
      <c r="E1662" s="2">
        <f t="shared" si="53"/>
        <v>42675</v>
      </c>
      <c r="F1662" s="1" t="s">
        <v>58</v>
      </c>
      <c r="G1662" s="1" t="s">
        <v>16</v>
      </c>
      <c r="H1662" s="1">
        <v>-8.25</v>
      </c>
      <c r="I1662" s="1">
        <v>4.5</v>
      </c>
      <c r="J1662" s="1">
        <v>-0.25</v>
      </c>
      <c r="K1662" s="2">
        <v>42624</v>
      </c>
      <c r="L1662" s="1">
        <v>3716</v>
      </c>
      <c r="M1662" s="1">
        <v>4.43</v>
      </c>
      <c r="N1662" s="1">
        <v>2.6620000000000001E-2</v>
      </c>
      <c r="O1662" s="3">
        <f>VLOOKUP(D1662,underlying!$D$40:$H$75,5,FALSE)</f>
        <v>-3.75</v>
      </c>
      <c r="P1662" s="4">
        <f t="shared" si="55"/>
        <v>42683</v>
      </c>
      <c r="Q1662" s="7">
        <f>IF(G1662="C",NormalCallSprd(O1662,H1662,M1662,(P1662-A1662)/365), NormalPutSprd(O1662,H1662,M1662,(P1662-A1662)/365))</f>
        <v>4.5038042502335776</v>
      </c>
      <c r="R1662" s="9">
        <f t="shared" si="54"/>
        <v>3.8042502335775552E-3</v>
      </c>
    </row>
    <row r="1663" spans="1:18" x14ac:dyDescent="0.2">
      <c r="A1663" s="2">
        <v>42622</v>
      </c>
      <c r="B1663" s="1" t="s">
        <v>56</v>
      </c>
      <c r="C1663" s="1" t="s">
        <v>57</v>
      </c>
      <c r="D1663" s="2">
        <v>42380</v>
      </c>
      <c r="E1663" s="2">
        <f t="shared" si="53"/>
        <v>42675</v>
      </c>
      <c r="F1663" s="1" t="s">
        <v>58</v>
      </c>
      <c r="G1663" s="1" t="s">
        <v>18</v>
      </c>
      <c r="H1663" s="1">
        <v>-8.25</v>
      </c>
      <c r="I1663" s="1">
        <v>0.01</v>
      </c>
      <c r="J1663" s="1">
        <v>0</v>
      </c>
      <c r="K1663" s="2">
        <v>42624</v>
      </c>
      <c r="L1663" s="1">
        <v>3716</v>
      </c>
      <c r="M1663" s="1">
        <v>4.43</v>
      </c>
      <c r="N1663" s="1">
        <v>3.6330000000000001E-2</v>
      </c>
      <c r="O1663" s="3">
        <f>VLOOKUP(D1663,underlying!$D$40:$H$75,5,FALSE)</f>
        <v>-3.75</v>
      </c>
      <c r="P1663" s="4">
        <f t="shared" si="55"/>
        <v>42683</v>
      </c>
      <c r="Q1663" s="7">
        <f>IF(G1663="C",NormalCallSprd(O1663,H1663,M1663,(P1663-A1663)/365), NormalPutSprd(O1663,H1663,M1663,(P1663-A1663)/365))</f>
        <v>3.8042502335778345E-3</v>
      </c>
      <c r="R1663" s="9">
        <f t="shared" si="54"/>
        <v>6.1957497664221657E-3</v>
      </c>
    </row>
    <row r="1664" spans="1:18" x14ac:dyDescent="0.2">
      <c r="A1664" s="2">
        <v>42622</v>
      </c>
      <c r="B1664" s="1" t="s">
        <v>56</v>
      </c>
      <c r="C1664" s="1" t="s">
        <v>57</v>
      </c>
      <c r="D1664" s="2">
        <v>42380</v>
      </c>
      <c r="E1664" s="2">
        <f t="shared" si="53"/>
        <v>42675</v>
      </c>
      <c r="F1664" s="1" t="s">
        <v>58</v>
      </c>
      <c r="G1664" s="1" t="s">
        <v>16</v>
      </c>
      <c r="H1664" s="1">
        <v>-8</v>
      </c>
      <c r="I1664" s="1">
        <v>4.25</v>
      </c>
      <c r="J1664" s="1">
        <v>-0.25</v>
      </c>
      <c r="K1664" s="2">
        <v>42624</v>
      </c>
      <c r="L1664" s="1">
        <v>3716</v>
      </c>
      <c r="M1664" s="1">
        <v>4.43</v>
      </c>
      <c r="N1664" s="1">
        <v>4.8770000000000001E-2</v>
      </c>
      <c r="O1664" s="3">
        <f>VLOOKUP(D1664,underlying!$D$40:$H$75,5,FALSE)</f>
        <v>-3.75</v>
      </c>
      <c r="P1664" s="4">
        <f t="shared" si="55"/>
        <v>42683</v>
      </c>
      <c r="Q1664" s="7">
        <f>IF(G1664="C",NormalCallSprd(O1664,H1664,M1664,(P1664-A1664)/365), NormalPutSprd(O1664,H1664,M1664,(P1664-A1664)/365))</f>
        <v>4.2557773351693458</v>
      </c>
      <c r="R1664" s="9">
        <f t="shared" si="54"/>
        <v>5.7773351693457542E-3</v>
      </c>
    </row>
    <row r="1665" spans="1:18" x14ac:dyDescent="0.2">
      <c r="A1665" s="2">
        <v>42622</v>
      </c>
      <c r="B1665" s="1" t="s">
        <v>56</v>
      </c>
      <c r="C1665" s="1" t="s">
        <v>57</v>
      </c>
      <c r="D1665" s="2">
        <v>42380</v>
      </c>
      <c r="E1665" s="2">
        <f t="shared" si="53"/>
        <v>42675</v>
      </c>
      <c r="F1665" s="1" t="s">
        <v>58</v>
      </c>
      <c r="G1665" s="1" t="s">
        <v>18</v>
      </c>
      <c r="H1665" s="1">
        <v>-8</v>
      </c>
      <c r="I1665" s="1">
        <v>0.01</v>
      </c>
      <c r="J1665" s="1">
        <v>0</v>
      </c>
      <c r="K1665" s="2">
        <v>42624</v>
      </c>
      <c r="L1665" s="1">
        <v>3716</v>
      </c>
      <c r="M1665" s="1">
        <v>4.43</v>
      </c>
      <c r="N1665" s="1">
        <v>6.3969999999999999E-2</v>
      </c>
      <c r="O1665" s="3">
        <f>VLOOKUP(D1665,underlying!$D$40:$H$75,5,FALSE)</f>
        <v>-3.75</v>
      </c>
      <c r="P1665" s="4">
        <f t="shared" si="55"/>
        <v>42683</v>
      </c>
      <c r="Q1665" s="7">
        <f>IF(G1665="C",NormalCallSprd(O1665,H1665,M1665,(P1665-A1665)/365), NormalPutSprd(O1665,H1665,M1665,(P1665-A1665)/365))</f>
        <v>5.7773351693452433E-3</v>
      </c>
      <c r="R1665" s="9">
        <f t="shared" si="54"/>
        <v>4.2226648306547569E-3</v>
      </c>
    </row>
    <row r="1666" spans="1:18" x14ac:dyDescent="0.2">
      <c r="A1666" s="2">
        <v>42622</v>
      </c>
      <c r="B1666" s="1" t="s">
        <v>56</v>
      </c>
      <c r="C1666" s="1" t="s">
        <v>57</v>
      </c>
      <c r="D1666" s="2">
        <v>42380</v>
      </c>
      <c r="E1666" s="2">
        <f t="shared" ref="E1666:E1729" si="56">DATE(YEAR(D1666),DAY(D1666),MONTH(D1666))</f>
        <v>42675</v>
      </c>
      <c r="F1666" s="1" t="s">
        <v>58</v>
      </c>
      <c r="G1666" s="1" t="s">
        <v>16</v>
      </c>
      <c r="H1666" s="1">
        <v>-7.75</v>
      </c>
      <c r="I1666" s="1">
        <v>4.01</v>
      </c>
      <c r="J1666" s="1">
        <v>-0.24</v>
      </c>
      <c r="K1666" s="2">
        <v>42624</v>
      </c>
      <c r="L1666" s="1">
        <v>3716</v>
      </c>
      <c r="M1666" s="1">
        <v>4.43</v>
      </c>
      <c r="N1666" s="1">
        <v>0.99897000000000002</v>
      </c>
      <c r="O1666" s="3">
        <f>VLOOKUP(D1666,underlying!$D$40:$H$75,5,FALSE)</f>
        <v>-3.75</v>
      </c>
      <c r="P1666" s="4">
        <f t="shared" si="55"/>
        <v>42683</v>
      </c>
      <c r="Q1666" s="7">
        <f>IF(G1666="C",NormalCallSprd(O1666,H1666,M1666,(P1666-A1666)/365), NormalPutSprd(O1666,H1666,M1666,(P1666-A1666)/365))</f>
        <v>4.0086336728330094</v>
      </c>
      <c r="R1666" s="9">
        <f t="shared" si="54"/>
        <v>1.3663271669903665E-3</v>
      </c>
    </row>
    <row r="1667" spans="1:18" x14ac:dyDescent="0.2">
      <c r="A1667" s="2">
        <v>42622</v>
      </c>
      <c r="B1667" s="1" t="s">
        <v>56</v>
      </c>
      <c r="C1667" s="1" t="s">
        <v>57</v>
      </c>
      <c r="D1667" s="2">
        <v>42380</v>
      </c>
      <c r="E1667" s="2">
        <f t="shared" si="56"/>
        <v>42675</v>
      </c>
      <c r="F1667" s="1" t="s">
        <v>58</v>
      </c>
      <c r="G1667" s="1" t="s">
        <v>18</v>
      </c>
      <c r="H1667" s="1">
        <v>-7.75</v>
      </c>
      <c r="I1667" s="1">
        <v>0.01</v>
      </c>
      <c r="J1667" s="1">
        <v>0</v>
      </c>
      <c r="K1667" s="2">
        <v>42624</v>
      </c>
      <c r="L1667" s="1">
        <v>3716</v>
      </c>
      <c r="M1667" s="1">
        <v>4.43</v>
      </c>
      <c r="N1667" s="1">
        <v>0.99922</v>
      </c>
      <c r="O1667" s="3">
        <f>VLOOKUP(D1667,underlying!$D$40:$H$75,5,FALSE)</f>
        <v>-3.75</v>
      </c>
      <c r="P1667" s="4">
        <f t="shared" si="55"/>
        <v>42683</v>
      </c>
      <c r="Q1667" s="7">
        <f>IF(G1667="C",NormalCallSprd(O1667,H1667,M1667,(P1667-A1667)/365), NormalPutSprd(O1667,H1667,M1667,(P1667-A1667)/365))</f>
        <v>8.6336728330090613E-3</v>
      </c>
      <c r="R1667" s="9">
        <f t="shared" ref="R1667:R1730" si="57">ABS(Q1667-I1667)</f>
        <v>1.366327166990939E-3</v>
      </c>
    </row>
    <row r="1668" spans="1:18" x14ac:dyDescent="0.2">
      <c r="A1668" s="2">
        <v>42622</v>
      </c>
      <c r="B1668" s="1" t="s">
        <v>56</v>
      </c>
      <c r="C1668" s="1" t="s">
        <v>57</v>
      </c>
      <c r="D1668" s="2">
        <v>42380</v>
      </c>
      <c r="E1668" s="2">
        <f t="shared" si="56"/>
        <v>42675</v>
      </c>
      <c r="F1668" s="1" t="s">
        <v>58</v>
      </c>
      <c r="G1668" s="1" t="s">
        <v>16</v>
      </c>
      <c r="H1668" s="1">
        <v>-7.5</v>
      </c>
      <c r="I1668" s="1">
        <v>3.76</v>
      </c>
      <c r="J1668" s="1">
        <v>-0.25</v>
      </c>
      <c r="K1668" s="2">
        <v>42624</v>
      </c>
      <c r="L1668" s="1">
        <v>3716</v>
      </c>
      <c r="M1668" s="1">
        <v>4.43</v>
      </c>
      <c r="N1668" s="1">
        <v>0.99924999999999997</v>
      </c>
      <c r="O1668" s="3">
        <f>VLOOKUP(D1668,underlying!$D$40:$H$75,5,FALSE)</f>
        <v>-3.75</v>
      </c>
      <c r="P1668" s="4">
        <f t="shared" si="55"/>
        <v>42683</v>
      </c>
      <c r="Q1668" s="7">
        <f>IF(G1668="C",NormalCallSprd(O1668,H1668,M1668,(P1668-A1668)/365), NormalPutSprd(O1668,H1668,M1668,(P1668-A1668)/365))</f>
        <v>3.7626983995379368</v>
      </c>
      <c r="R1668" s="9">
        <f t="shared" si="57"/>
        <v>2.6983995379370462E-3</v>
      </c>
    </row>
    <row r="1669" spans="1:18" x14ac:dyDescent="0.2">
      <c r="A1669" s="2">
        <v>42622</v>
      </c>
      <c r="B1669" s="1" t="s">
        <v>56</v>
      </c>
      <c r="C1669" s="1" t="s">
        <v>57</v>
      </c>
      <c r="D1669" s="2">
        <v>42380</v>
      </c>
      <c r="E1669" s="2">
        <f t="shared" si="56"/>
        <v>42675</v>
      </c>
      <c r="F1669" s="1" t="s">
        <v>58</v>
      </c>
      <c r="G1669" s="1" t="s">
        <v>18</v>
      </c>
      <c r="H1669" s="1">
        <v>-7.5</v>
      </c>
      <c r="I1669" s="1">
        <v>0.01</v>
      </c>
      <c r="J1669" s="1">
        <v>0</v>
      </c>
      <c r="K1669" s="2">
        <v>42624</v>
      </c>
      <c r="L1669" s="1">
        <v>3716</v>
      </c>
      <c r="M1669" s="1">
        <v>4.43</v>
      </c>
      <c r="N1669" s="1">
        <v>8.3180000000000004E-2</v>
      </c>
      <c r="O1669" s="3">
        <f>VLOOKUP(D1669,underlying!$D$40:$H$75,5,FALSE)</f>
        <v>-3.75</v>
      </c>
      <c r="P1669" s="4">
        <f t="shared" si="55"/>
        <v>42683</v>
      </c>
      <c r="Q1669" s="7">
        <f>IF(G1669="C",NormalCallSprd(O1669,H1669,M1669,(P1669-A1669)/365), NormalPutSprd(O1669,H1669,M1669,(P1669-A1669)/365))</f>
        <v>1.2698399537936618E-2</v>
      </c>
      <c r="R1669" s="9">
        <f t="shared" si="57"/>
        <v>2.6983995379366178E-3</v>
      </c>
    </row>
    <row r="1670" spans="1:18" x14ac:dyDescent="0.2">
      <c r="A1670" s="2">
        <v>42622</v>
      </c>
      <c r="B1670" s="1" t="s">
        <v>56</v>
      </c>
      <c r="C1670" s="1" t="s">
        <v>57</v>
      </c>
      <c r="D1670" s="2">
        <v>42380</v>
      </c>
      <c r="E1670" s="2">
        <f t="shared" si="56"/>
        <v>42675</v>
      </c>
      <c r="F1670" s="1" t="s">
        <v>58</v>
      </c>
      <c r="G1670" s="1" t="s">
        <v>16</v>
      </c>
      <c r="H1670" s="1">
        <v>-7.25</v>
      </c>
      <c r="I1670" s="1">
        <v>3.52</v>
      </c>
      <c r="J1670" s="1">
        <v>-0.24</v>
      </c>
      <c r="K1670" s="2">
        <v>42624</v>
      </c>
      <c r="L1670" s="1">
        <v>3716</v>
      </c>
      <c r="M1670" s="1">
        <v>4.43</v>
      </c>
      <c r="N1670" s="1">
        <v>0.99924999999999997</v>
      </c>
      <c r="O1670" s="3">
        <f>VLOOKUP(D1670,underlying!$D$40:$H$75,5,FALSE)</f>
        <v>-3.75</v>
      </c>
      <c r="P1670" s="4">
        <f t="shared" si="55"/>
        <v>42683</v>
      </c>
      <c r="Q1670" s="7">
        <f>IF(G1670="C",NormalCallSprd(O1670,H1670,M1670,(P1670-A1670)/365), NormalPutSprd(O1670,H1670,M1670,(P1670-A1670)/365))</f>
        <v>3.5183852302056806</v>
      </c>
      <c r="R1670" s="9">
        <f t="shared" si="57"/>
        <v>1.6147697943194039E-3</v>
      </c>
    </row>
    <row r="1671" spans="1:18" x14ac:dyDescent="0.2">
      <c r="A1671" s="2">
        <v>42622</v>
      </c>
      <c r="B1671" s="1" t="s">
        <v>56</v>
      </c>
      <c r="C1671" s="1" t="s">
        <v>57</v>
      </c>
      <c r="D1671" s="2">
        <v>42380</v>
      </c>
      <c r="E1671" s="2">
        <f t="shared" si="56"/>
        <v>42675</v>
      </c>
      <c r="F1671" s="1" t="s">
        <v>58</v>
      </c>
      <c r="G1671" s="1" t="s">
        <v>18</v>
      </c>
      <c r="H1671" s="1">
        <v>-7.25</v>
      </c>
      <c r="I1671" s="1">
        <v>0.02</v>
      </c>
      <c r="J1671" s="1">
        <v>0.01</v>
      </c>
      <c r="K1671" s="2">
        <v>42624</v>
      </c>
      <c r="L1671" s="1">
        <v>3716</v>
      </c>
      <c r="M1671" s="1">
        <v>4.43</v>
      </c>
      <c r="N1671" s="1">
        <v>0.10645</v>
      </c>
      <c r="O1671" s="3">
        <f>VLOOKUP(D1671,underlying!$D$40:$H$75,5,FALSE)</f>
        <v>-3.75</v>
      </c>
      <c r="P1671" s="4">
        <f t="shared" si="55"/>
        <v>42683</v>
      </c>
      <c r="Q1671" s="7">
        <f>IF(G1671="C",NormalCallSprd(O1671,H1671,M1671,(P1671-A1671)/365), NormalPutSprd(O1671,H1671,M1671,(P1671-A1671)/365))</f>
        <v>1.8385230205680555E-2</v>
      </c>
      <c r="R1671" s="9">
        <f t="shared" si="57"/>
        <v>1.6147697943194456E-3</v>
      </c>
    </row>
    <row r="1672" spans="1:18" x14ac:dyDescent="0.2">
      <c r="A1672" s="2">
        <v>42622</v>
      </c>
      <c r="B1672" s="1" t="s">
        <v>56</v>
      </c>
      <c r="C1672" s="1" t="s">
        <v>57</v>
      </c>
      <c r="D1672" s="2">
        <v>42380</v>
      </c>
      <c r="E1672" s="2">
        <f t="shared" si="56"/>
        <v>42675</v>
      </c>
      <c r="F1672" s="1" t="s">
        <v>58</v>
      </c>
      <c r="G1672" s="1" t="s">
        <v>16</v>
      </c>
      <c r="H1672" s="1">
        <v>-7</v>
      </c>
      <c r="I1672" s="1">
        <v>3.27</v>
      </c>
      <c r="J1672" s="1">
        <v>-0.25</v>
      </c>
      <c r="K1672" s="2">
        <v>42624</v>
      </c>
      <c r="L1672" s="1">
        <v>3716</v>
      </c>
      <c r="M1672" s="1">
        <v>4.4400000000000004</v>
      </c>
      <c r="N1672" s="1">
        <v>0.13408</v>
      </c>
      <c r="O1672" s="3">
        <f>VLOOKUP(D1672,underlying!$D$40:$H$75,5,FALSE)</f>
        <v>-3.75</v>
      </c>
      <c r="P1672" s="4">
        <f t="shared" si="55"/>
        <v>42683</v>
      </c>
      <c r="Q1672" s="7">
        <f>IF(G1672="C",NormalCallSprd(O1672,H1672,M1672,(P1672-A1672)/365), NormalPutSprd(O1672,H1672,M1672,(P1672-A1672)/365))</f>
        <v>3.2765356523896725</v>
      </c>
      <c r="R1672" s="9">
        <f t="shared" si="57"/>
        <v>6.5356523896724639E-3</v>
      </c>
    </row>
    <row r="1673" spans="1:18" x14ac:dyDescent="0.2">
      <c r="A1673" s="2">
        <v>42622</v>
      </c>
      <c r="B1673" s="1" t="s">
        <v>56</v>
      </c>
      <c r="C1673" s="1" t="s">
        <v>57</v>
      </c>
      <c r="D1673" s="2">
        <v>42380</v>
      </c>
      <c r="E1673" s="2">
        <f t="shared" si="56"/>
        <v>42675</v>
      </c>
      <c r="F1673" s="1" t="s">
        <v>58</v>
      </c>
      <c r="G1673" s="1" t="s">
        <v>18</v>
      </c>
      <c r="H1673" s="1">
        <v>-7</v>
      </c>
      <c r="I1673" s="1">
        <v>0.03</v>
      </c>
      <c r="J1673" s="1">
        <v>0.01</v>
      </c>
      <c r="K1673" s="2">
        <v>42624</v>
      </c>
      <c r="L1673" s="1">
        <v>3716</v>
      </c>
      <c r="M1673" s="1">
        <v>4.4400000000000004</v>
      </c>
      <c r="N1673" s="1">
        <v>0.16736000000000001</v>
      </c>
      <c r="O1673" s="3">
        <f>VLOOKUP(D1673,underlying!$D$40:$H$75,5,FALSE)</f>
        <v>-3.75</v>
      </c>
      <c r="P1673" s="4">
        <f t="shared" si="55"/>
        <v>42683</v>
      </c>
      <c r="Q1673" s="7">
        <f>IF(G1673="C",NormalCallSprd(O1673,H1673,M1673,(P1673-A1673)/365), NormalPutSprd(O1673,H1673,M1673,(P1673-A1673)/365))</f>
        <v>2.6535652389672509E-2</v>
      </c>
      <c r="R1673" s="9">
        <f t="shared" si="57"/>
        <v>3.4643476103274895E-3</v>
      </c>
    </row>
    <row r="1674" spans="1:18" x14ac:dyDescent="0.2">
      <c r="A1674" s="2">
        <v>42622</v>
      </c>
      <c r="B1674" s="1" t="s">
        <v>56</v>
      </c>
      <c r="C1674" s="1" t="s">
        <v>57</v>
      </c>
      <c r="D1674" s="2">
        <v>42380</v>
      </c>
      <c r="E1674" s="2">
        <f t="shared" si="56"/>
        <v>42675</v>
      </c>
      <c r="F1674" s="1" t="s">
        <v>58</v>
      </c>
      <c r="G1674" s="1" t="s">
        <v>16</v>
      </c>
      <c r="H1674" s="1">
        <v>-6.75</v>
      </c>
      <c r="I1674" s="1">
        <v>3.03</v>
      </c>
      <c r="J1674" s="1">
        <v>-0.25</v>
      </c>
      <c r="K1674" s="2">
        <v>42624</v>
      </c>
      <c r="L1674" s="1">
        <v>3716</v>
      </c>
      <c r="M1674" s="1">
        <v>4.4400000000000004</v>
      </c>
      <c r="N1674" s="1">
        <v>0.20308000000000001</v>
      </c>
      <c r="O1674" s="3">
        <f>VLOOKUP(D1674,underlying!$D$40:$H$75,5,FALSE)</f>
        <v>-3.75</v>
      </c>
      <c r="P1674" s="4">
        <f t="shared" si="55"/>
        <v>42683</v>
      </c>
      <c r="Q1674" s="7">
        <f>IF(G1674="C",NormalCallSprd(O1674,H1674,M1674,(P1674-A1674)/365), NormalPutSprd(O1674,H1674,M1674,(P1674-A1674)/365))</f>
        <v>3.0372077700685161</v>
      </c>
      <c r="R1674" s="9">
        <f t="shared" si="57"/>
        <v>7.2077700685162505E-3</v>
      </c>
    </row>
    <row r="1675" spans="1:18" x14ac:dyDescent="0.2">
      <c r="A1675" s="2">
        <v>42622</v>
      </c>
      <c r="B1675" s="1" t="s">
        <v>56</v>
      </c>
      <c r="C1675" s="1" t="s">
        <v>57</v>
      </c>
      <c r="D1675" s="2">
        <v>42380</v>
      </c>
      <c r="E1675" s="2">
        <f t="shared" si="56"/>
        <v>42675</v>
      </c>
      <c r="F1675" s="1" t="s">
        <v>58</v>
      </c>
      <c r="G1675" s="1" t="s">
        <v>18</v>
      </c>
      <c r="H1675" s="1">
        <v>-6.75</v>
      </c>
      <c r="I1675" s="1">
        <v>0.04</v>
      </c>
      <c r="J1675" s="1">
        <v>0.01</v>
      </c>
      <c r="K1675" s="2">
        <v>42624</v>
      </c>
      <c r="L1675" s="1">
        <v>3716</v>
      </c>
      <c r="M1675" s="1">
        <v>4.4400000000000004</v>
      </c>
      <c r="N1675" s="1">
        <v>0.24532999999999999</v>
      </c>
      <c r="O1675" s="3">
        <f>VLOOKUP(D1675,underlying!$D$40:$H$75,5,FALSE)</f>
        <v>-3.75</v>
      </c>
      <c r="P1675" s="4">
        <f t="shared" si="55"/>
        <v>42683</v>
      </c>
      <c r="Q1675" s="7">
        <f>IF(G1675="C",NormalCallSprd(O1675,H1675,M1675,(P1675-A1675)/365), NormalPutSprd(O1675,H1675,M1675,(P1675-A1675)/365))</f>
        <v>3.7207770068516201E-2</v>
      </c>
      <c r="R1675" s="9">
        <f t="shared" si="57"/>
        <v>2.7922299314838001E-3</v>
      </c>
    </row>
    <row r="1676" spans="1:18" x14ac:dyDescent="0.2">
      <c r="A1676" s="2">
        <v>42622</v>
      </c>
      <c r="B1676" s="1" t="s">
        <v>56</v>
      </c>
      <c r="C1676" s="1" t="s">
        <v>57</v>
      </c>
      <c r="D1676" s="2">
        <v>42380</v>
      </c>
      <c r="E1676" s="2">
        <f t="shared" si="56"/>
        <v>42675</v>
      </c>
      <c r="F1676" s="1" t="s">
        <v>58</v>
      </c>
      <c r="G1676" s="1" t="s">
        <v>16</v>
      </c>
      <c r="H1676" s="1">
        <v>-6.5</v>
      </c>
      <c r="I1676" s="1">
        <v>2.8</v>
      </c>
      <c r="J1676" s="1">
        <v>-0.24</v>
      </c>
      <c r="K1676" s="2">
        <v>42624</v>
      </c>
      <c r="L1676" s="1">
        <v>3716</v>
      </c>
      <c r="M1676" s="1">
        <v>4.4400000000000004</v>
      </c>
      <c r="N1676" s="1">
        <v>0.28977000000000003</v>
      </c>
      <c r="O1676" s="3">
        <f>VLOOKUP(D1676,underlying!$D$40:$H$75,5,FALSE)</f>
        <v>-3.75</v>
      </c>
      <c r="P1676" s="4">
        <f t="shared" si="55"/>
        <v>42683</v>
      </c>
      <c r="Q1676" s="7">
        <f>IF(G1676="C",NormalCallSprd(O1676,H1676,M1676,(P1676-A1676)/365), NormalPutSprd(O1676,H1676,M1676,(P1676-A1676)/365))</f>
        <v>2.8013945472780377</v>
      </c>
      <c r="R1676" s="9">
        <f t="shared" si="57"/>
        <v>1.3945472780378942E-3</v>
      </c>
    </row>
    <row r="1677" spans="1:18" x14ac:dyDescent="0.2">
      <c r="A1677" s="2">
        <v>42622</v>
      </c>
      <c r="B1677" s="1" t="s">
        <v>56</v>
      </c>
      <c r="C1677" s="1" t="s">
        <v>57</v>
      </c>
      <c r="D1677" s="2">
        <v>42380</v>
      </c>
      <c r="E1677" s="2">
        <f t="shared" si="56"/>
        <v>42675</v>
      </c>
      <c r="F1677" s="1" t="s">
        <v>58</v>
      </c>
      <c r="G1677" s="1" t="s">
        <v>18</v>
      </c>
      <c r="H1677" s="1">
        <v>-6.5</v>
      </c>
      <c r="I1677" s="1">
        <v>0.05</v>
      </c>
      <c r="J1677" s="1">
        <v>0.01</v>
      </c>
      <c r="K1677" s="2">
        <v>42624</v>
      </c>
      <c r="L1677" s="1">
        <v>3716</v>
      </c>
      <c r="M1677" s="1">
        <v>4.4400000000000004</v>
      </c>
      <c r="N1677" s="1">
        <v>0.33912999999999999</v>
      </c>
      <c r="O1677" s="3">
        <f>VLOOKUP(D1677,underlying!$D$40:$H$75,5,FALSE)</f>
        <v>-3.75</v>
      </c>
      <c r="P1677" s="4">
        <f t="shared" si="55"/>
        <v>42683</v>
      </c>
      <c r="Q1677" s="7">
        <f>IF(G1677="C",NormalCallSprd(O1677,H1677,M1677,(P1677-A1677)/365), NormalPutSprd(O1677,H1677,M1677,(P1677-A1677)/365))</f>
        <v>5.1394547278037633E-2</v>
      </c>
      <c r="R1677" s="9">
        <f t="shared" si="57"/>
        <v>1.3945472780376306E-3</v>
      </c>
    </row>
    <row r="1678" spans="1:18" x14ac:dyDescent="0.2">
      <c r="A1678" s="2">
        <v>42622</v>
      </c>
      <c r="B1678" s="1" t="s">
        <v>56</v>
      </c>
      <c r="C1678" s="1" t="s">
        <v>57</v>
      </c>
      <c r="D1678" s="2">
        <v>42380</v>
      </c>
      <c r="E1678" s="2">
        <f t="shared" si="56"/>
        <v>42675</v>
      </c>
      <c r="F1678" s="1" t="s">
        <v>58</v>
      </c>
      <c r="G1678" s="1" t="s">
        <v>16</v>
      </c>
      <c r="H1678" s="1">
        <v>-6.25</v>
      </c>
      <c r="I1678" s="1">
        <v>2.57</v>
      </c>
      <c r="J1678" s="1">
        <v>-0.23</v>
      </c>
      <c r="K1678" s="2">
        <v>42624</v>
      </c>
      <c r="L1678" s="1">
        <v>3716</v>
      </c>
      <c r="M1678" s="1">
        <v>4.4400000000000004</v>
      </c>
      <c r="N1678" s="1">
        <v>0.39095000000000002</v>
      </c>
      <c r="O1678" s="3">
        <f>VLOOKUP(D1678,underlying!$D$40:$H$75,5,FALSE)</f>
        <v>-3.75</v>
      </c>
      <c r="P1678" s="4">
        <f t="shared" si="55"/>
        <v>42683</v>
      </c>
      <c r="Q1678" s="7">
        <f>IF(G1678="C",NormalCallSprd(O1678,H1678,M1678,(P1678-A1678)/365), NormalPutSprd(O1678,H1678,M1678,(P1678-A1678)/365))</f>
        <v>2.569949803395069</v>
      </c>
      <c r="R1678" s="9">
        <f t="shared" si="57"/>
        <v>5.0196604930885513E-5</v>
      </c>
    </row>
    <row r="1679" spans="1:18" x14ac:dyDescent="0.2">
      <c r="A1679" s="2">
        <v>42622</v>
      </c>
      <c r="B1679" s="1" t="s">
        <v>56</v>
      </c>
      <c r="C1679" s="1" t="s">
        <v>57</v>
      </c>
      <c r="D1679" s="2">
        <v>42380</v>
      </c>
      <c r="E1679" s="2">
        <f t="shared" si="56"/>
        <v>42675</v>
      </c>
      <c r="F1679" s="1" t="s">
        <v>58</v>
      </c>
      <c r="G1679" s="1" t="s">
        <v>18</v>
      </c>
      <c r="H1679" s="1">
        <v>-6.25</v>
      </c>
      <c r="I1679" s="1">
        <v>7.0000000000000007E-2</v>
      </c>
      <c r="J1679" s="1">
        <v>0.02</v>
      </c>
      <c r="K1679" s="2">
        <v>42624</v>
      </c>
      <c r="L1679" s="1">
        <v>3716</v>
      </c>
      <c r="M1679" s="1">
        <v>4.4400000000000004</v>
      </c>
      <c r="N1679" s="1">
        <v>0.44489000000000001</v>
      </c>
      <c r="O1679" s="3">
        <f>VLOOKUP(D1679,underlying!$D$40:$H$75,5,FALSE)</f>
        <v>-3.75</v>
      </c>
      <c r="P1679" s="4">
        <f t="shared" si="55"/>
        <v>42683</v>
      </c>
      <c r="Q1679" s="7">
        <f>IF(G1679="C",NormalCallSprd(O1679,H1679,M1679,(P1679-A1679)/365), NormalPutSprd(O1679,H1679,M1679,(P1679-A1679)/365))</f>
        <v>6.9949803395068746E-2</v>
      </c>
      <c r="R1679" s="9">
        <f t="shared" si="57"/>
        <v>5.0196604931260214E-5</v>
      </c>
    </row>
    <row r="1680" spans="1:18" x14ac:dyDescent="0.2">
      <c r="A1680" s="2">
        <v>42622</v>
      </c>
      <c r="B1680" s="1" t="s">
        <v>56</v>
      </c>
      <c r="C1680" s="1" t="s">
        <v>57</v>
      </c>
      <c r="D1680" s="2">
        <v>42380</v>
      </c>
      <c r="E1680" s="2">
        <f t="shared" si="56"/>
        <v>42675</v>
      </c>
      <c r="F1680" s="1" t="s">
        <v>58</v>
      </c>
      <c r="G1680" s="1" t="s">
        <v>16</v>
      </c>
      <c r="H1680" s="1">
        <v>-6</v>
      </c>
      <c r="I1680" s="1">
        <v>2.34</v>
      </c>
      <c r="J1680" s="1">
        <v>-0.23</v>
      </c>
      <c r="K1680" s="2">
        <v>42624</v>
      </c>
      <c r="L1680" s="1">
        <v>3716</v>
      </c>
      <c r="M1680" s="1">
        <v>4.4400000000000004</v>
      </c>
      <c r="N1680" s="1">
        <v>0.49963000000000002</v>
      </c>
      <c r="O1680" s="3">
        <f>VLOOKUP(D1680,underlying!$D$40:$H$75,5,FALSE)</f>
        <v>-3.75</v>
      </c>
      <c r="P1680" s="4">
        <f t="shared" si="55"/>
        <v>42683</v>
      </c>
      <c r="Q1680" s="7">
        <f>IF(G1680="C",NormalCallSprd(O1680,H1680,M1680,(P1680-A1680)/365), NormalPutSprd(O1680,H1680,M1680,(P1680-A1680)/365))</f>
        <v>2.343833061874224</v>
      </c>
      <c r="R1680" s="9">
        <f t="shared" si="57"/>
        <v>3.833061874224164E-3</v>
      </c>
    </row>
    <row r="1681" spans="1:18" x14ac:dyDescent="0.2">
      <c r="A1681" s="2">
        <v>42622</v>
      </c>
      <c r="B1681" s="1" t="s">
        <v>56</v>
      </c>
      <c r="C1681" s="1" t="s">
        <v>57</v>
      </c>
      <c r="D1681" s="2">
        <v>42380</v>
      </c>
      <c r="E1681" s="2">
        <f t="shared" si="56"/>
        <v>42675</v>
      </c>
      <c r="F1681" s="1" t="s">
        <v>58</v>
      </c>
      <c r="G1681" s="1" t="s">
        <v>18</v>
      </c>
      <c r="H1681" s="1">
        <v>-6</v>
      </c>
      <c r="I1681" s="1">
        <v>0.09</v>
      </c>
      <c r="J1681" s="1">
        <v>0.02</v>
      </c>
      <c r="K1681" s="2">
        <v>42624</v>
      </c>
      <c r="L1681" s="1">
        <v>3716</v>
      </c>
      <c r="M1681" s="1">
        <v>4.4400000000000004</v>
      </c>
      <c r="N1681" s="1">
        <v>0.55435999999999996</v>
      </c>
      <c r="O1681" s="3">
        <f>VLOOKUP(D1681,underlying!$D$40:$H$75,5,FALSE)</f>
        <v>-3.75</v>
      </c>
      <c r="P1681" s="4">
        <f t="shared" si="55"/>
        <v>42683</v>
      </c>
      <c r="Q1681" s="7">
        <f>IF(G1681="C",NormalCallSprd(O1681,H1681,M1681,(P1681-A1681)/365), NormalPutSprd(O1681,H1681,M1681,(P1681-A1681)/365))</f>
        <v>9.3833061874224022E-2</v>
      </c>
      <c r="R1681" s="9">
        <f t="shared" si="57"/>
        <v>3.8330618742240252E-3</v>
      </c>
    </row>
    <row r="1682" spans="1:18" x14ac:dyDescent="0.2">
      <c r="A1682" s="2">
        <v>42622</v>
      </c>
      <c r="B1682" s="1" t="s">
        <v>56</v>
      </c>
      <c r="C1682" s="1" t="s">
        <v>57</v>
      </c>
      <c r="D1682" s="2">
        <v>42380</v>
      </c>
      <c r="E1682" s="2">
        <f t="shared" si="56"/>
        <v>42675</v>
      </c>
      <c r="F1682" s="1" t="s">
        <v>58</v>
      </c>
      <c r="G1682" s="1" t="s">
        <v>16</v>
      </c>
      <c r="H1682" s="1">
        <v>-5.75</v>
      </c>
      <c r="I1682" s="1">
        <v>2.12</v>
      </c>
      <c r="J1682" s="1">
        <v>-0.22</v>
      </c>
      <c r="K1682" s="2">
        <v>42624</v>
      </c>
      <c r="L1682" s="1">
        <v>3716</v>
      </c>
      <c r="M1682" s="1">
        <v>4.42</v>
      </c>
      <c r="N1682" s="1">
        <v>0.60829999999999995</v>
      </c>
      <c r="O1682" s="3">
        <f>VLOOKUP(D1682,underlying!$D$40:$H$75,5,FALSE)</f>
        <v>-3.75</v>
      </c>
      <c r="P1682" s="4">
        <f t="shared" si="55"/>
        <v>42683</v>
      </c>
      <c r="Q1682" s="7">
        <f>IF(G1682="C",NormalCallSprd(O1682,H1682,M1682,(P1682-A1682)/365), NormalPutSprd(O1682,H1682,M1682,(P1682-A1682)/365))</f>
        <v>2.1223202076577588</v>
      </c>
      <c r="R1682" s="9">
        <f t="shared" si="57"/>
        <v>2.3202076577586439E-3</v>
      </c>
    </row>
    <row r="1683" spans="1:18" x14ac:dyDescent="0.2">
      <c r="A1683" s="2">
        <v>42622</v>
      </c>
      <c r="B1683" s="1" t="s">
        <v>56</v>
      </c>
      <c r="C1683" s="1" t="s">
        <v>57</v>
      </c>
      <c r="D1683" s="2">
        <v>42380</v>
      </c>
      <c r="E1683" s="2">
        <f t="shared" si="56"/>
        <v>42675</v>
      </c>
      <c r="F1683" s="1" t="s">
        <v>58</v>
      </c>
      <c r="G1683" s="1" t="s">
        <v>18</v>
      </c>
      <c r="H1683" s="1">
        <v>-5.75</v>
      </c>
      <c r="I1683" s="1">
        <v>0.12</v>
      </c>
      <c r="J1683" s="1">
        <v>0.02</v>
      </c>
      <c r="K1683" s="2">
        <v>42624</v>
      </c>
      <c r="L1683" s="1">
        <v>3716</v>
      </c>
      <c r="M1683" s="1">
        <v>4.42</v>
      </c>
      <c r="N1683" s="1">
        <v>0.66012000000000004</v>
      </c>
      <c r="O1683" s="3">
        <f>VLOOKUP(D1683,underlying!$D$40:$H$75,5,FALSE)</f>
        <v>-3.75</v>
      </c>
      <c r="P1683" s="4">
        <f t="shared" si="55"/>
        <v>42683</v>
      </c>
      <c r="Q1683" s="7">
        <f>IF(G1683="C",NormalCallSprd(O1683,H1683,M1683,(P1683-A1683)/365), NormalPutSprd(O1683,H1683,M1683,(P1683-A1683)/365))</f>
        <v>0.12232020765775874</v>
      </c>
      <c r="R1683" s="9">
        <f t="shared" si="57"/>
        <v>2.320207657758741E-3</v>
      </c>
    </row>
    <row r="1684" spans="1:18" x14ac:dyDescent="0.2">
      <c r="A1684" s="2">
        <v>42622</v>
      </c>
      <c r="B1684" s="1" t="s">
        <v>56</v>
      </c>
      <c r="C1684" s="1" t="s">
        <v>57</v>
      </c>
      <c r="D1684" s="2">
        <v>42380</v>
      </c>
      <c r="E1684" s="2">
        <f t="shared" si="56"/>
        <v>42675</v>
      </c>
      <c r="F1684" s="1" t="s">
        <v>58</v>
      </c>
      <c r="G1684" s="1" t="s">
        <v>16</v>
      </c>
      <c r="H1684" s="1">
        <v>-5.5</v>
      </c>
      <c r="I1684" s="1">
        <v>1.91</v>
      </c>
      <c r="J1684" s="1">
        <v>-0.21</v>
      </c>
      <c r="K1684" s="2">
        <v>42624</v>
      </c>
      <c r="L1684" s="1">
        <v>3716</v>
      </c>
      <c r="M1684" s="1">
        <v>4.4400000000000004</v>
      </c>
      <c r="N1684" s="1">
        <v>0.70948</v>
      </c>
      <c r="O1684" s="3">
        <f>VLOOKUP(D1684,underlying!$D$40:$H$75,5,FALSE)</f>
        <v>-3.75</v>
      </c>
      <c r="P1684" s="4">
        <f t="shared" si="55"/>
        <v>42683</v>
      </c>
      <c r="Q1684" s="7">
        <f>IF(G1684="C",NormalCallSprd(O1684,H1684,M1684,(P1684-A1684)/365), NormalPutSprd(O1684,H1684,M1684,(P1684-A1684)/365))</f>
        <v>1.9118411700303759</v>
      </c>
      <c r="R1684" s="9">
        <f t="shared" si="57"/>
        <v>1.8411700303759826E-3</v>
      </c>
    </row>
    <row r="1685" spans="1:18" x14ac:dyDescent="0.2">
      <c r="A1685" s="2">
        <v>42622</v>
      </c>
      <c r="B1685" s="1" t="s">
        <v>56</v>
      </c>
      <c r="C1685" s="1" t="s">
        <v>57</v>
      </c>
      <c r="D1685" s="2">
        <v>42380</v>
      </c>
      <c r="E1685" s="2">
        <f t="shared" si="56"/>
        <v>42675</v>
      </c>
      <c r="F1685" s="1" t="s">
        <v>58</v>
      </c>
      <c r="G1685" s="1" t="s">
        <v>18</v>
      </c>
      <c r="H1685" s="1">
        <v>-5.5</v>
      </c>
      <c r="I1685" s="1">
        <v>0.16</v>
      </c>
      <c r="J1685" s="1">
        <v>0.03</v>
      </c>
      <c r="K1685" s="2">
        <v>42624</v>
      </c>
      <c r="L1685" s="1">
        <v>3716</v>
      </c>
      <c r="M1685" s="1">
        <v>4.4400000000000004</v>
      </c>
      <c r="N1685" s="1">
        <v>0.75392000000000003</v>
      </c>
      <c r="O1685" s="3">
        <f>VLOOKUP(D1685,underlying!$D$40:$H$75,5,FALSE)</f>
        <v>-3.75</v>
      </c>
      <c r="P1685" s="4">
        <f t="shared" si="55"/>
        <v>42683</v>
      </c>
      <c r="Q1685" s="7">
        <f>IF(G1685="C",NormalCallSprd(O1685,H1685,M1685,(P1685-A1685)/365), NormalPutSprd(O1685,H1685,M1685,(P1685-A1685)/365))</f>
        <v>0.16184117003037599</v>
      </c>
      <c r="R1685" s="9">
        <f t="shared" si="57"/>
        <v>1.8411700303759826E-3</v>
      </c>
    </row>
    <row r="1686" spans="1:18" x14ac:dyDescent="0.2">
      <c r="A1686" s="2">
        <v>42622</v>
      </c>
      <c r="B1686" s="1" t="s">
        <v>56</v>
      </c>
      <c r="C1686" s="1" t="s">
        <v>57</v>
      </c>
      <c r="D1686" s="2">
        <v>42380</v>
      </c>
      <c r="E1686" s="2">
        <f t="shared" si="56"/>
        <v>42675</v>
      </c>
      <c r="F1686" s="1" t="s">
        <v>58</v>
      </c>
      <c r="G1686" s="1" t="s">
        <v>16</v>
      </c>
      <c r="H1686" s="1">
        <v>-5.25</v>
      </c>
      <c r="I1686" s="1">
        <v>1.7</v>
      </c>
      <c r="J1686" s="1">
        <v>-0.21</v>
      </c>
      <c r="K1686" s="2">
        <v>42624</v>
      </c>
      <c r="L1686" s="1">
        <v>3716</v>
      </c>
      <c r="M1686" s="1">
        <v>4.42</v>
      </c>
      <c r="N1686" s="1">
        <v>0.79617000000000004</v>
      </c>
      <c r="O1686" s="3">
        <f>VLOOKUP(D1686,underlying!$D$40:$H$75,5,FALSE)</f>
        <v>-3.75</v>
      </c>
      <c r="P1686" s="4">
        <f t="shared" si="55"/>
        <v>42683</v>
      </c>
      <c r="Q1686" s="7">
        <f>IF(G1686="C",NormalCallSprd(O1686,H1686,M1686,(P1686-A1686)/365), NormalPutSprd(O1686,H1686,M1686,(P1686-A1686)/365))</f>
        <v>1.7059043827106155</v>
      </c>
      <c r="R1686" s="9">
        <f t="shared" si="57"/>
        <v>5.9043827106155522E-3</v>
      </c>
    </row>
    <row r="1687" spans="1:18" x14ac:dyDescent="0.2">
      <c r="A1687" s="2">
        <v>42622</v>
      </c>
      <c r="B1687" s="1" t="s">
        <v>56</v>
      </c>
      <c r="C1687" s="1" t="s">
        <v>57</v>
      </c>
      <c r="D1687" s="2">
        <v>42380</v>
      </c>
      <c r="E1687" s="2">
        <f t="shared" si="56"/>
        <v>42675</v>
      </c>
      <c r="F1687" s="1" t="s">
        <v>58</v>
      </c>
      <c r="G1687" s="1" t="s">
        <v>18</v>
      </c>
      <c r="H1687" s="1">
        <v>-5.25</v>
      </c>
      <c r="I1687" s="1">
        <v>0.21</v>
      </c>
      <c r="J1687" s="1">
        <v>0.04</v>
      </c>
      <c r="K1687" s="2">
        <v>42624</v>
      </c>
      <c r="L1687" s="1">
        <v>3716</v>
      </c>
      <c r="M1687" s="1">
        <v>4.42</v>
      </c>
      <c r="N1687" s="1">
        <v>0.83189000000000002</v>
      </c>
      <c r="O1687" s="3">
        <f>VLOOKUP(D1687,underlying!$D$40:$H$75,5,FALSE)</f>
        <v>-3.75</v>
      </c>
      <c r="P1687" s="4">
        <f t="shared" si="55"/>
        <v>42683</v>
      </c>
      <c r="Q1687" s="7">
        <f>IF(G1687="C",NormalCallSprd(O1687,H1687,M1687,(P1687-A1687)/365), NormalPutSprd(O1687,H1687,M1687,(P1687-A1687)/365))</f>
        <v>0.20590438271061545</v>
      </c>
      <c r="R1687" s="9">
        <f t="shared" si="57"/>
        <v>4.0956172893845399E-3</v>
      </c>
    </row>
    <row r="1688" spans="1:18" x14ac:dyDescent="0.2">
      <c r="A1688" s="2">
        <v>42622</v>
      </c>
      <c r="B1688" s="1" t="s">
        <v>56</v>
      </c>
      <c r="C1688" s="1" t="s">
        <v>57</v>
      </c>
      <c r="D1688" s="2">
        <v>42380</v>
      </c>
      <c r="E1688" s="2">
        <f t="shared" si="56"/>
        <v>42675</v>
      </c>
      <c r="F1688" s="1" t="s">
        <v>58</v>
      </c>
      <c r="G1688" s="1" t="s">
        <v>16</v>
      </c>
      <c r="H1688" s="1">
        <v>-5</v>
      </c>
      <c r="I1688" s="1">
        <v>1.51</v>
      </c>
      <c r="J1688" s="1">
        <v>-0.2</v>
      </c>
      <c r="K1688" s="2">
        <v>42624</v>
      </c>
      <c r="L1688" s="1">
        <v>3716</v>
      </c>
      <c r="M1688" s="1">
        <v>4.4400000000000004</v>
      </c>
      <c r="N1688" s="1">
        <v>0.86516999999999999</v>
      </c>
      <c r="O1688" s="3">
        <f>VLOOKUP(D1688,underlying!$D$40:$H$75,5,FALSE)</f>
        <v>-3.75</v>
      </c>
      <c r="P1688" s="4">
        <f t="shared" si="55"/>
        <v>42683</v>
      </c>
      <c r="Q1688" s="7">
        <f>IF(G1688="C",NormalCallSprd(O1688,H1688,M1688,(P1688-A1688)/365), NormalPutSprd(O1688,H1688,M1688,(P1688-A1688)/365))</f>
        <v>1.5143552225556909</v>
      </c>
      <c r="R1688" s="9">
        <f t="shared" si="57"/>
        <v>4.3552225556908741E-3</v>
      </c>
    </row>
    <row r="1689" spans="1:18" x14ac:dyDescent="0.2">
      <c r="A1689" s="2">
        <v>42622</v>
      </c>
      <c r="B1689" s="1" t="s">
        <v>56</v>
      </c>
      <c r="C1689" s="1" t="s">
        <v>57</v>
      </c>
      <c r="D1689" s="2">
        <v>42380</v>
      </c>
      <c r="E1689" s="2">
        <f t="shared" si="56"/>
        <v>42675</v>
      </c>
      <c r="F1689" s="1" t="s">
        <v>58</v>
      </c>
      <c r="G1689" s="1" t="s">
        <v>18</v>
      </c>
      <c r="H1689" s="1">
        <v>-5</v>
      </c>
      <c r="I1689" s="1">
        <v>0.26</v>
      </c>
      <c r="J1689" s="1">
        <v>0.05</v>
      </c>
      <c r="K1689" s="2">
        <v>42624</v>
      </c>
      <c r="L1689" s="1">
        <v>3716</v>
      </c>
      <c r="M1689" s="1">
        <v>4.4400000000000004</v>
      </c>
      <c r="N1689" s="1">
        <v>0.89176999999999995</v>
      </c>
      <c r="O1689" s="3">
        <f>VLOOKUP(D1689,underlying!$D$40:$H$75,5,FALSE)</f>
        <v>-3.75</v>
      </c>
      <c r="P1689" s="4">
        <f t="shared" si="55"/>
        <v>42683</v>
      </c>
      <c r="Q1689" s="7">
        <f>IF(G1689="C",NormalCallSprd(O1689,H1689,M1689,(P1689-A1689)/365), NormalPutSprd(O1689,H1689,M1689,(P1689-A1689)/365))</f>
        <v>0.26435522255569105</v>
      </c>
      <c r="R1689" s="9">
        <f t="shared" si="57"/>
        <v>4.3552225556910407E-3</v>
      </c>
    </row>
    <row r="1690" spans="1:18" x14ac:dyDescent="0.2">
      <c r="A1690" s="2">
        <v>42622</v>
      </c>
      <c r="B1690" s="1" t="s">
        <v>56</v>
      </c>
      <c r="C1690" s="1" t="s">
        <v>57</v>
      </c>
      <c r="D1690" s="2">
        <v>42380</v>
      </c>
      <c r="E1690" s="2">
        <f t="shared" si="56"/>
        <v>42675</v>
      </c>
      <c r="F1690" s="1" t="s">
        <v>58</v>
      </c>
      <c r="G1690" s="1" t="s">
        <v>16</v>
      </c>
      <c r="H1690" s="1">
        <v>-4.75</v>
      </c>
      <c r="I1690" s="1">
        <v>1.33</v>
      </c>
      <c r="J1690" s="1">
        <v>-0.19</v>
      </c>
      <c r="K1690" s="2">
        <v>42624</v>
      </c>
      <c r="L1690" s="1">
        <v>3716</v>
      </c>
      <c r="M1690" s="1">
        <v>4.42</v>
      </c>
      <c r="N1690" s="1">
        <v>0.91510999999999998</v>
      </c>
      <c r="O1690" s="3">
        <f>VLOOKUP(D1690,underlying!$D$40:$H$75,5,FALSE)</f>
        <v>-3.75</v>
      </c>
      <c r="P1690" s="4">
        <f t="shared" si="55"/>
        <v>42683</v>
      </c>
      <c r="Q1690" s="7">
        <f>IF(G1690="C",NormalCallSprd(O1690,H1690,M1690,(P1690-A1690)/365), NormalPutSprd(O1690,H1690,M1690,(P1690-A1690)/365))</f>
        <v>1.3285186680013183</v>
      </c>
      <c r="R1690" s="9">
        <f t="shared" si="57"/>
        <v>1.4813319986817231E-3</v>
      </c>
    </row>
    <row r="1691" spans="1:18" x14ac:dyDescent="0.2">
      <c r="A1691" s="2">
        <v>42622</v>
      </c>
      <c r="B1691" s="1" t="s">
        <v>56</v>
      </c>
      <c r="C1691" s="1" t="s">
        <v>57</v>
      </c>
      <c r="D1691" s="2">
        <v>42380</v>
      </c>
      <c r="E1691" s="2">
        <f t="shared" si="56"/>
        <v>42675</v>
      </c>
      <c r="F1691" s="1" t="s">
        <v>58</v>
      </c>
      <c r="G1691" s="1" t="s">
        <v>18</v>
      </c>
      <c r="H1691" s="1">
        <v>-4.75</v>
      </c>
      <c r="I1691" s="1">
        <v>0.33</v>
      </c>
      <c r="J1691" s="1">
        <v>0.06</v>
      </c>
      <c r="K1691" s="2">
        <v>42624</v>
      </c>
      <c r="L1691" s="1">
        <v>3716</v>
      </c>
      <c r="M1691" s="1">
        <v>4.42</v>
      </c>
      <c r="N1691" s="1">
        <v>0.93442000000000003</v>
      </c>
      <c r="O1691" s="3">
        <f>VLOOKUP(D1691,underlying!$D$40:$H$75,5,FALSE)</f>
        <v>-3.75</v>
      </c>
      <c r="P1691" s="4">
        <f t="shared" si="55"/>
        <v>42683</v>
      </c>
      <c r="Q1691" s="7">
        <f>IF(G1691="C",NormalCallSprd(O1691,H1691,M1691,(P1691-A1691)/365), NormalPutSprd(O1691,H1691,M1691,(P1691-A1691)/365))</f>
        <v>0.32851866800131824</v>
      </c>
      <c r="R1691" s="9">
        <f t="shared" si="57"/>
        <v>1.4813319986817786E-3</v>
      </c>
    </row>
    <row r="1692" spans="1:18" x14ac:dyDescent="0.2">
      <c r="A1692" s="2">
        <v>42622</v>
      </c>
      <c r="B1692" s="1" t="s">
        <v>56</v>
      </c>
      <c r="C1692" s="1" t="s">
        <v>57</v>
      </c>
      <c r="D1692" s="2">
        <v>42380</v>
      </c>
      <c r="E1692" s="2">
        <f t="shared" si="56"/>
        <v>42675</v>
      </c>
      <c r="F1692" s="1" t="s">
        <v>58</v>
      </c>
      <c r="G1692" s="1" t="s">
        <v>16</v>
      </c>
      <c r="H1692" s="1">
        <v>-4.5</v>
      </c>
      <c r="I1692" s="1">
        <v>1.1599999999999999</v>
      </c>
      <c r="J1692" s="1">
        <v>-0.17</v>
      </c>
      <c r="K1692" s="2">
        <v>42624</v>
      </c>
      <c r="L1692" s="1">
        <v>3716</v>
      </c>
      <c r="M1692" s="1">
        <v>4.43</v>
      </c>
      <c r="N1692" s="1">
        <v>0.95009999999999994</v>
      </c>
      <c r="O1692" s="3">
        <f>VLOOKUP(D1692,underlying!$D$40:$H$75,5,FALSE)</f>
        <v>-3.75</v>
      </c>
      <c r="P1692" s="4">
        <f t="shared" si="55"/>
        <v>42683</v>
      </c>
      <c r="Q1692" s="7">
        <f>IF(G1692="C",NormalCallSprd(O1692,H1692,M1692,(P1692-A1692)/365), NormalPutSprd(O1692,H1692,M1692,(P1692-A1692)/365))</f>
        <v>1.1585757809664647</v>
      </c>
      <c r="R1692" s="9">
        <f t="shared" si="57"/>
        <v>1.424219033535179E-3</v>
      </c>
    </row>
    <row r="1693" spans="1:18" x14ac:dyDescent="0.2">
      <c r="A1693" s="2">
        <v>42622</v>
      </c>
      <c r="B1693" s="1" t="s">
        <v>56</v>
      </c>
      <c r="C1693" s="1" t="s">
        <v>57</v>
      </c>
      <c r="D1693" s="2">
        <v>42380</v>
      </c>
      <c r="E1693" s="2">
        <f t="shared" si="56"/>
        <v>42675</v>
      </c>
      <c r="F1693" s="1" t="s">
        <v>58</v>
      </c>
      <c r="G1693" s="1" t="s">
        <v>18</v>
      </c>
      <c r="H1693" s="1">
        <v>-4.5</v>
      </c>
      <c r="I1693" s="1">
        <v>0.41</v>
      </c>
      <c r="J1693" s="1">
        <v>0.08</v>
      </c>
      <c r="K1693" s="2">
        <v>42624</v>
      </c>
      <c r="L1693" s="1">
        <v>3716</v>
      </c>
      <c r="M1693" s="1">
        <v>4.43</v>
      </c>
      <c r="N1693" s="1">
        <v>0.96258999999999995</v>
      </c>
      <c r="O1693" s="3">
        <f>VLOOKUP(D1693,underlying!$D$40:$H$75,5,FALSE)</f>
        <v>-3.75</v>
      </c>
      <c r="P1693" s="4">
        <f t="shared" si="55"/>
        <v>42683</v>
      </c>
      <c r="Q1693" s="7">
        <f>IF(G1693="C",NormalCallSprd(O1693,H1693,M1693,(P1693-A1693)/365), NormalPutSprd(O1693,H1693,M1693,(P1693-A1693)/365))</f>
        <v>0.40857578096646485</v>
      </c>
      <c r="R1693" s="9">
        <f t="shared" si="57"/>
        <v>1.4242190335351235E-3</v>
      </c>
    </row>
    <row r="1694" spans="1:18" x14ac:dyDescent="0.2">
      <c r="A1694" s="2">
        <v>42622</v>
      </c>
      <c r="B1694" s="1" t="s">
        <v>56</v>
      </c>
      <c r="C1694" s="1" t="s">
        <v>57</v>
      </c>
      <c r="D1694" s="2">
        <v>42380</v>
      </c>
      <c r="E1694" s="2">
        <f t="shared" si="56"/>
        <v>42675</v>
      </c>
      <c r="F1694" s="1" t="s">
        <v>58</v>
      </c>
      <c r="G1694" s="1" t="s">
        <v>16</v>
      </c>
      <c r="H1694" s="1">
        <v>-4.25</v>
      </c>
      <c r="I1694" s="1">
        <v>1</v>
      </c>
      <c r="J1694" s="1">
        <v>-0.16</v>
      </c>
      <c r="K1694" s="2">
        <v>42624</v>
      </c>
      <c r="L1694" s="1">
        <v>3716</v>
      </c>
      <c r="M1694" s="1">
        <v>4.43</v>
      </c>
      <c r="N1694" s="1">
        <v>0.97262999999999999</v>
      </c>
      <c r="O1694" s="3">
        <f>VLOOKUP(D1694,underlying!$D$40:$H$75,5,FALSE)</f>
        <v>-3.75</v>
      </c>
      <c r="P1694" s="4">
        <f t="shared" si="55"/>
        <v>42683</v>
      </c>
      <c r="Q1694" s="7">
        <f>IF(G1694="C",NormalCallSprd(O1694,H1694,M1694,(P1694-A1694)/365), NormalPutSprd(O1694,H1694,M1694,(P1694-A1694)/365))</f>
        <v>0.99985295277175745</v>
      </c>
      <c r="R1694" s="9">
        <f t="shared" si="57"/>
        <v>1.4704722824254723E-4</v>
      </c>
    </row>
    <row r="1695" spans="1:18" x14ac:dyDescent="0.2">
      <c r="A1695" s="2">
        <v>42622</v>
      </c>
      <c r="B1695" s="1" t="s">
        <v>56</v>
      </c>
      <c r="C1695" s="1" t="s">
        <v>57</v>
      </c>
      <c r="D1695" s="2">
        <v>42380</v>
      </c>
      <c r="E1695" s="2">
        <f t="shared" si="56"/>
        <v>42675</v>
      </c>
      <c r="F1695" s="1" t="s">
        <v>58</v>
      </c>
      <c r="G1695" s="1" t="s">
        <v>18</v>
      </c>
      <c r="H1695" s="1">
        <v>-4.25</v>
      </c>
      <c r="I1695" s="1">
        <v>0.5</v>
      </c>
      <c r="J1695" s="1">
        <v>0.09</v>
      </c>
      <c r="K1695" s="2">
        <v>42624</v>
      </c>
      <c r="L1695" s="1">
        <v>3716</v>
      </c>
      <c r="M1695" s="1">
        <v>4.43</v>
      </c>
      <c r="N1695" s="1">
        <v>0.98007</v>
      </c>
      <c r="O1695" s="3">
        <f>VLOOKUP(D1695,underlying!$D$40:$H$75,5,FALSE)</f>
        <v>-3.75</v>
      </c>
      <c r="P1695" s="4">
        <f t="shared" si="55"/>
        <v>42683</v>
      </c>
      <c r="Q1695" s="7">
        <f>IF(G1695="C",NormalCallSprd(O1695,H1695,M1695,(P1695-A1695)/365), NormalPutSprd(O1695,H1695,M1695,(P1695-A1695)/365))</f>
        <v>0.49985295277175745</v>
      </c>
      <c r="R1695" s="9">
        <f t="shared" si="57"/>
        <v>1.4704722824254723E-4</v>
      </c>
    </row>
    <row r="1696" spans="1:18" x14ac:dyDescent="0.2">
      <c r="A1696" s="2">
        <v>42622</v>
      </c>
      <c r="B1696" s="1" t="s">
        <v>56</v>
      </c>
      <c r="C1696" s="1" t="s">
        <v>57</v>
      </c>
      <c r="D1696" s="2">
        <v>42380</v>
      </c>
      <c r="E1696" s="2">
        <f t="shared" si="56"/>
        <v>42675</v>
      </c>
      <c r="F1696" s="1" t="s">
        <v>58</v>
      </c>
      <c r="G1696" s="1" t="s">
        <v>16</v>
      </c>
      <c r="H1696" s="1">
        <v>-4</v>
      </c>
      <c r="I1696" s="1">
        <v>0.86</v>
      </c>
      <c r="J1696" s="1">
        <v>-0.14000000000000001</v>
      </c>
      <c r="K1696" s="2">
        <v>42624</v>
      </c>
      <c r="L1696" s="1">
        <v>3716</v>
      </c>
      <c r="M1696" s="1">
        <v>4.4400000000000004</v>
      </c>
      <c r="N1696" s="1">
        <v>0.98565999999999998</v>
      </c>
      <c r="O1696" s="3">
        <f>VLOOKUP(D1696,underlying!$D$40:$H$75,5,FALSE)</f>
        <v>-3.75</v>
      </c>
      <c r="P1696" s="4">
        <f t="shared" si="55"/>
        <v>42683</v>
      </c>
      <c r="Q1696" s="7">
        <f>IF(G1696="C",NormalCallSprd(O1696,H1696,M1696,(P1696-A1696)/365), NormalPutSprd(O1696,H1696,M1696,(P1696-A1696)/365))</f>
        <v>0.85597924217463617</v>
      </c>
      <c r="R1696" s="9">
        <f t="shared" si="57"/>
        <v>4.0207578253638188E-3</v>
      </c>
    </row>
    <row r="1697" spans="1:18" x14ac:dyDescent="0.2">
      <c r="A1697" s="2">
        <v>42622</v>
      </c>
      <c r="B1697" s="1" t="s">
        <v>56</v>
      </c>
      <c r="C1697" s="1" t="s">
        <v>57</v>
      </c>
      <c r="D1697" s="2">
        <v>42380</v>
      </c>
      <c r="E1697" s="2">
        <f t="shared" si="56"/>
        <v>42675</v>
      </c>
      <c r="F1697" s="1" t="s">
        <v>58</v>
      </c>
      <c r="G1697" s="1" t="s">
        <v>18</v>
      </c>
      <c r="H1697" s="1">
        <v>-4</v>
      </c>
      <c r="I1697" s="1">
        <v>0.61</v>
      </c>
      <c r="J1697" s="1">
        <v>0.1</v>
      </c>
      <c r="K1697" s="2">
        <v>42624</v>
      </c>
      <c r="L1697" s="1">
        <v>3716</v>
      </c>
      <c r="M1697" s="1">
        <v>4.4400000000000004</v>
      </c>
      <c r="N1697" s="1">
        <v>0.98978999999999995</v>
      </c>
      <c r="O1697" s="3">
        <f>VLOOKUP(D1697,underlying!$D$40:$H$75,5,FALSE)</f>
        <v>-3.75</v>
      </c>
      <c r="P1697" s="4">
        <f t="shared" si="55"/>
        <v>42683</v>
      </c>
      <c r="Q1697" s="7">
        <f>IF(G1697="C",NormalCallSprd(O1697,H1697,M1697,(P1697-A1697)/365), NormalPutSprd(O1697,H1697,M1697,(P1697-A1697)/365))</f>
        <v>0.60597924217463617</v>
      </c>
      <c r="R1697" s="9">
        <f t="shared" si="57"/>
        <v>4.0207578253638188E-3</v>
      </c>
    </row>
    <row r="1698" spans="1:18" x14ac:dyDescent="0.2">
      <c r="A1698" s="2">
        <v>42622</v>
      </c>
      <c r="B1698" s="1" t="s">
        <v>56</v>
      </c>
      <c r="C1698" s="1" t="s">
        <v>57</v>
      </c>
      <c r="D1698" s="2">
        <v>42380</v>
      </c>
      <c r="E1698" s="2">
        <f t="shared" si="56"/>
        <v>42675</v>
      </c>
      <c r="F1698" s="1" t="s">
        <v>58</v>
      </c>
      <c r="G1698" s="1" t="s">
        <v>16</v>
      </c>
      <c r="H1698" s="1">
        <v>-3.75</v>
      </c>
      <c r="I1698" s="1">
        <v>0.72</v>
      </c>
      <c r="J1698" s="1">
        <v>-0.14000000000000001</v>
      </c>
      <c r="K1698" s="2">
        <v>42624</v>
      </c>
      <c r="L1698" s="1">
        <v>3716</v>
      </c>
      <c r="M1698" s="1">
        <v>4.43</v>
      </c>
      <c r="N1698" s="1">
        <v>0.99277000000000004</v>
      </c>
      <c r="O1698" s="3">
        <f>VLOOKUP(D1698,underlying!$D$40:$H$75,5,FALSE)</f>
        <v>-3.75</v>
      </c>
      <c r="P1698" s="4">
        <f t="shared" si="55"/>
        <v>42683</v>
      </c>
      <c r="Q1698" s="7">
        <f>IF(G1698="C",NormalCallSprd(O1698,H1698,M1698,(P1698-A1698)/365), NormalPutSprd(O1698,H1698,M1698,(P1698-A1698)/365))</f>
        <v>0.72249072687556659</v>
      </c>
      <c r="R1698" s="9">
        <f t="shared" si="57"/>
        <v>2.4907268755666179E-3</v>
      </c>
    </row>
    <row r="1699" spans="1:18" x14ac:dyDescent="0.2">
      <c r="A1699" s="2">
        <v>42622</v>
      </c>
      <c r="B1699" s="1" t="s">
        <v>56</v>
      </c>
      <c r="C1699" s="1" t="s">
        <v>57</v>
      </c>
      <c r="D1699" s="2">
        <v>42380</v>
      </c>
      <c r="E1699" s="2">
        <f t="shared" si="56"/>
        <v>42675</v>
      </c>
      <c r="F1699" s="1" t="s">
        <v>58</v>
      </c>
      <c r="G1699" s="1" t="s">
        <v>18</v>
      </c>
      <c r="H1699" s="1">
        <v>-3.75</v>
      </c>
      <c r="I1699" s="1">
        <v>0.72</v>
      </c>
      <c r="J1699" s="1">
        <v>0.11</v>
      </c>
      <c r="K1699" s="2">
        <v>42624</v>
      </c>
      <c r="L1699" s="1">
        <v>3716</v>
      </c>
      <c r="M1699" s="1">
        <v>4.43</v>
      </c>
      <c r="N1699" s="1">
        <v>0.99489000000000005</v>
      </c>
      <c r="O1699" s="3">
        <f>VLOOKUP(D1699,underlying!$D$40:$H$75,5,FALSE)</f>
        <v>-3.75</v>
      </c>
      <c r="P1699" s="4">
        <f t="shared" si="55"/>
        <v>42683</v>
      </c>
      <c r="Q1699" s="7">
        <f>IF(G1699="C",NormalCallSprd(O1699,H1699,M1699,(P1699-A1699)/365), NormalPutSprd(O1699,H1699,M1699,(P1699-A1699)/365))</f>
        <v>0.72249072687556659</v>
      </c>
      <c r="R1699" s="9">
        <f t="shared" si="57"/>
        <v>2.4907268755666179E-3</v>
      </c>
    </row>
    <row r="1700" spans="1:18" x14ac:dyDescent="0.2">
      <c r="A1700" s="2">
        <v>42622</v>
      </c>
      <c r="B1700" s="1" t="s">
        <v>56</v>
      </c>
      <c r="C1700" s="1" t="s">
        <v>57</v>
      </c>
      <c r="D1700" s="2">
        <v>42380</v>
      </c>
      <c r="E1700" s="2">
        <f t="shared" si="56"/>
        <v>42675</v>
      </c>
      <c r="F1700" s="1" t="s">
        <v>58</v>
      </c>
      <c r="G1700" s="1" t="s">
        <v>16</v>
      </c>
      <c r="H1700" s="1">
        <v>-3.5</v>
      </c>
      <c r="I1700" s="1">
        <v>0.61</v>
      </c>
      <c r="J1700" s="1">
        <v>-0.12</v>
      </c>
      <c r="K1700" s="2">
        <v>42624</v>
      </c>
      <c r="L1700" s="1">
        <v>3716</v>
      </c>
      <c r="M1700" s="1">
        <v>4.4400000000000004</v>
      </c>
      <c r="N1700" s="1">
        <v>0.99636999999999998</v>
      </c>
      <c r="O1700" s="3">
        <f>VLOOKUP(D1700,underlying!$D$40:$H$75,5,FALSE)</f>
        <v>-3.75</v>
      </c>
      <c r="P1700" s="4">
        <f t="shared" si="55"/>
        <v>42683</v>
      </c>
      <c r="Q1700" s="7">
        <f>IF(G1700="C",NormalCallSprd(O1700,H1700,M1700,(P1700-A1700)/365), NormalPutSprd(O1700,H1700,M1700,(P1700-A1700)/365))</f>
        <v>0.60597924217463617</v>
      </c>
      <c r="R1700" s="9">
        <f t="shared" si="57"/>
        <v>4.0207578253638188E-3</v>
      </c>
    </row>
    <row r="1701" spans="1:18" x14ac:dyDescent="0.2">
      <c r="A1701" s="2">
        <v>42622</v>
      </c>
      <c r="B1701" s="1" t="s">
        <v>56</v>
      </c>
      <c r="C1701" s="1" t="s">
        <v>57</v>
      </c>
      <c r="D1701" s="2">
        <v>42380</v>
      </c>
      <c r="E1701" s="2">
        <f t="shared" si="56"/>
        <v>42675</v>
      </c>
      <c r="F1701" s="1" t="s">
        <v>58</v>
      </c>
      <c r="G1701" s="1" t="s">
        <v>18</v>
      </c>
      <c r="H1701" s="1">
        <v>-3.5</v>
      </c>
      <c r="I1701" s="1">
        <v>0.86</v>
      </c>
      <c r="J1701" s="1">
        <v>0.13</v>
      </c>
      <c r="K1701" s="2">
        <v>42624</v>
      </c>
      <c r="L1701" s="1">
        <v>3716</v>
      </c>
      <c r="M1701" s="1">
        <v>4.4400000000000004</v>
      </c>
      <c r="N1701" s="1">
        <v>0.99738000000000004</v>
      </c>
      <c r="O1701" s="3">
        <f>VLOOKUP(D1701,underlying!$D$40:$H$75,5,FALSE)</f>
        <v>-3.75</v>
      </c>
      <c r="P1701" s="4">
        <f t="shared" si="55"/>
        <v>42683</v>
      </c>
      <c r="Q1701" s="7">
        <f>IF(G1701="C",NormalCallSprd(O1701,H1701,M1701,(P1701-A1701)/365), NormalPutSprd(O1701,H1701,M1701,(P1701-A1701)/365))</f>
        <v>0.85597924217463617</v>
      </c>
      <c r="R1701" s="9">
        <f t="shared" si="57"/>
        <v>4.0207578253638188E-3</v>
      </c>
    </row>
    <row r="1702" spans="1:18" x14ac:dyDescent="0.2">
      <c r="A1702" s="2">
        <v>42622</v>
      </c>
      <c r="B1702" s="1" t="s">
        <v>56</v>
      </c>
      <c r="C1702" s="1" t="s">
        <v>57</v>
      </c>
      <c r="D1702" s="2">
        <v>42380</v>
      </c>
      <c r="E1702" s="2">
        <f t="shared" si="56"/>
        <v>42675</v>
      </c>
      <c r="F1702" s="1" t="s">
        <v>58</v>
      </c>
      <c r="G1702" s="1" t="s">
        <v>16</v>
      </c>
      <c r="H1702" s="1">
        <v>-3.25</v>
      </c>
      <c r="I1702" s="1">
        <v>0.5</v>
      </c>
      <c r="J1702" s="1">
        <v>-0.11</v>
      </c>
      <c r="K1702" s="2">
        <v>42624</v>
      </c>
      <c r="L1702" s="1">
        <v>3716</v>
      </c>
      <c r="M1702" s="1">
        <v>4.43</v>
      </c>
      <c r="N1702" s="1">
        <v>0.99805999999999995</v>
      </c>
      <c r="O1702" s="3">
        <f>VLOOKUP(D1702,underlying!$D$40:$H$75,5,FALSE)</f>
        <v>-3.75</v>
      </c>
      <c r="P1702" s="4">
        <f t="shared" si="55"/>
        <v>42683</v>
      </c>
      <c r="Q1702" s="7">
        <f>IF(G1702="C",NormalCallSprd(O1702,H1702,M1702,(P1702-A1702)/365), NormalPutSprd(O1702,H1702,M1702,(P1702-A1702)/365))</f>
        <v>0.49985295277175745</v>
      </c>
      <c r="R1702" s="9">
        <f t="shared" si="57"/>
        <v>1.4704722824254723E-4</v>
      </c>
    </row>
    <row r="1703" spans="1:18" x14ac:dyDescent="0.2">
      <c r="A1703" s="2">
        <v>42622</v>
      </c>
      <c r="B1703" s="1" t="s">
        <v>56</v>
      </c>
      <c r="C1703" s="1" t="s">
        <v>57</v>
      </c>
      <c r="D1703" s="2">
        <v>42380</v>
      </c>
      <c r="E1703" s="2">
        <f t="shared" si="56"/>
        <v>42675</v>
      </c>
      <c r="F1703" s="1" t="s">
        <v>58</v>
      </c>
      <c r="G1703" s="1" t="s">
        <v>18</v>
      </c>
      <c r="H1703" s="1">
        <v>-3.25</v>
      </c>
      <c r="I1703" s="1">
        <v>1</v>
      </c>
      <c r="J1703" s="1">
        <v>0.14000000000000001</v>
      </c>
      <c r="K1703" s="2">
        <v>42624</v>
      </c>
      <c r="L1703" s="1">
        <v>3716</v>
      </c>
      <c r="M1703" s="1">
        <v>4.43</v>
      </c>
      <c r="N1703" s="1">
        <v>0.99850000000000005</v>
      </c>
      <c r="O1703" s="3">
        <f>VLOOKUP(D1703,underlying!$D$40:$H$75,5,FALSE)</f>
        <v>-3.75</v>
      </c>
      <c r="P1703" s="4">
        <f t="shared" si="55"/>
        <v>42683</v>
      </c>
      <c r="Q1703" s="7">
        <f>IF(G1703="C",NormalCallSprd(O1703,H1703,M1703,(P1703-A1703)/365), NormalPutSprd(O1703,H1703,M1703,(P1703-A1703)/365))</f>
        <v>0.99985295277175745</v>
      </c>
      <c r="R1703" s="9">
        <f t="shared" si="57"/>
        <v>1.4704722824254723E-4</v>
      </c>
    </row>
    <row r="1704" spans="1:18" x14ac:dyDescent="0.2">
      <c r="A1704" s="2">
        <v>42622</v>
      </c>
      <c r="B1704" s="1" t="s">
        <v>56</v>
      </c>
      <c r="C1704" s="1" t="s">
        <v>57</v>
      </c>
      <c r="D1704" s="2">
        <v>42380</v>
      </c>
      <c r="E1704" s="2">
        <f t="shared" si="56"/>
        <v>42675</v>
      </c>
      <c r="F1704" s="1" t="s">
        <v>58</v>
      </c>
      <c r="G1704" s="1" t="s">
        <v>16</v>
      </c>
      <c r="H1704" s="1">
        <v>-3</v>
      </c>
      <c r="I1704" s="1">
        <v>0.41</v>
      </c>
      <c r="J1704" s="1">
        <v>-0.1</v>
      </c>
      <c r="K1704" s="2">
        <v>42624</v>
      </c>
      <c r="L1704" s="1">
        <v>3716</v>
      </c>
      <c r="M1704" s="1">
        <v>4.43</v>
      </c>
      <c r="N1704" s="1">
        <v>0.99878999999999996</v>
      </c>
      <c r="O1704" s="3">
        <f>VLOOKUP(D1704,underlying!$D$40:$H$75,5,FALSE)</f>
        <v>-3.75</v>
      </c>
      <c r="P1704" s="4">
        <f t="shared" si="55"/>
        <v>42683</v>
      </c>
      <c r="Q1704" s="7">
        <f>IF(G1704="C",NormalCallSprd(O1704,H1704,M1704,(P1704-A1704)/365), NormalPutSprd(O1704,H1704,M1704,(P1704-A1704)/365))</f>
        <v>0.40857578096646485</v>
      </c>
      <c r="R1704" s="9">
        <f t="shared" si="57"/>
        <v>1.4242190335351235E-3</v>
      </c>
    </row>
    <row r="1705" spans="1:18" x14ac:dyDescent="0.2">
      <c r="A1705" s="2">
        <v>42622</v>
      </c>
      <c r="B1705" s="1" t="s">
        <v>56</v>
      </c>
      <c r="C1705" s="1" t="s">
        <v>57</v>
      </c>
      <c r="D1705" s="2">
        <v>42380</v>
      </c>
      <c r="E1705" s="2">
        <f t="shared" si="56"/>
        <v>42675</v>
      </c>
      <c r="F1705" s="1" t="s">
        <v>58</v>
      </c>
      <c r="G1705" s="1" t="s">
        <v>18</v>
      </c>
      <c r="H1705" s="1">
        <v>-3</v>
      </c>
      <c r="I1705" s="1">
        <v>1.1599999999999999</v>
      </c>
      <c r="J1705" s="1">
        <v>0.16</v>
      </c>
      <c r="K1705" s="2">
        <v>42624</v>
      </c>
      <c r="L1705" s="1">
        <v>3716</v>
      </c>
      <c r="M1705" s="1">
        <v>4.43</v>
      </c>
      <c r="N1705" s="1">
        <v>-0.97262999999999999</v>
      </c>
      <c r="O1705" s="3">
        <f>VLOOKUP(D1705,underlying!$D$40:$H$75,5,FALSE)</f>
        <v>-3.75</v>
      </c>
      <c r="P1705" s="4">
        <f t="shared" si="55"/>
        <v>42683</v>
      </c>
      <c r="Q1705" s="7">
        <f>IF(G1705="C",NormalCallSprd(O1705,H1705,M1705,(P1705-A1705)/365), NormalPutSprd(O1705,H1705,M1705,(P1705-A1705)/365))</f>
        <v>1.1585757809664647</v>
      </c>
      <c r="R1705" s="9">
        <f t="shared" si="57"/>
        <v>1.424219033535179E-3</v>
      </c>
    </row>
    <row r="1706" spans="1:18" x14ac:dyDescent="0.2">
      <c r="A1706" s="2">
        <v>42622</v>
      </c>
      <c r="B1706" s="1" t="s">
        <v>56</v>
      </c>
      <c r="C1706" s="1" t="s">
        <v>57</v>
      </c>
      <c r="D1706" s="2">
        <v>42380</v>
      </c>
      <c r="E1706" s="2">
        <f t="shared" si="56"/>
        <v>42675</v>
      </c>
      <c r="F1706" s="1" t="s">
        <v>58</v>
      </c>
      <c r="G1706" s="1" t="s">
        <v>16</v>
      </c>
      <c r="H1706" s="1">
        <v>-2.75</v>
      </c>
      <c r="I1706" s="1">
        <v>0.33</v>
      </c>
      <c r="J1706" s="1">
        <v>-0.08</v>
      </c>
      <c r="K1706" s="2">
        <v>42624</v>
      </c>
      <c r="L1706" s="1">
        <v>3716</v>
      </c>
      <c r="M1706" s="1">
        <v>4.42</v>
      </c>
      <c r="N1706" s="1">
        <v>-0.96292</v>
      </c>
      <c r="O1706" s="3">
        <f>VLOOKUP(D1706,underlying!$D$40:$H$75,5,FALSE)</f>
        <v>-3.75</v>
      </c>
      <c r="P1706" s="4">
        <f t="shared" si="55"/>
        <v>42683</v>
      </c>
      <c r="Q1706" s="7">
        <f>IF(G1706="C",NormalCallSprd(O1706,H1706,M1706,(P1706-A1706)/365), NormalPutSprd(O1706,H1706,M1706,(P1706-A1706)/365))</f>
        <v>0.32851866800131824</v>
      </c>
      <c r="R1706" s="9">
        <f t="shared" si="57"/>
        <v>1.4813319986817786E-3</v>
      </c>
    </row>
    <row r="1707" spans="1:18" x14ac:dyDescent="0.2">
      <c r="A1707" s="2">
        <v>42622</v>
      </c>
      <c r="B1707" s="1" t="s">
        <v>56</v>
      </c>
      <c r="C1707" s="1" t="s">
        <v>57</v>
      </c>
      <c r="D1707" s="2">
        <v>42380</v>
      </c>
      <c r="E1707" s="2">
        <f t="shared" si="56"/>
        <v>42675</v>
      </c>
      <c r="F1707" s="1" t="s">
        <v>58</v>
      </c>
      <c r="G1707" s="1" t="s">
        <v>18</v>
      </c>
      <c r="H1707" s="1">
        <v>-2.75</v>
      </c>
      <c r="I1707" s="1">
        <v>1.33</v>
      </c>
      <c r="J1707" s="1">
        <v>0.17</v>
      </c>
      <c r="K1707" s="2">
        <v>42624</v>
      </c>
      <c r="L1707" s="1">
        <v>3716</v>
      </c>
      <c r="M1707" s="1">
        <v>4.42</v>
      </c>
      <c r="N1707" s="1">
        <v>-0.95047999999999999</v>
      </c>
      <c r="O1707" s="3">
        <f>VLOOKUP(D1707,underlying!$D$40:$H$75,5,FALSE)</f>
        <v>-3.75</v>
      </c>
      <c r="P1707" s="4">
        <f t="shared" si="55"/>
        <v>42683</v>
      </c>
      <c r="Q1707" s="7">
        <f>IF(G1707="C",NormalCallSprd(O1707,H1707,M1707,(P1707-A1707)/365), NormalPutSprd(O1707,H1707,M1707,(P1707-A1707)/365))</f>
        <v>1.3285186680013183</v>
      </c>
      <c r="R1707" s="9">
        <f t="shared" si="57"/>
        <v>1.4813319986817231E-3</v>
      </c>
    </row>
    <row r="1708" spans="1:18" x14ac:dyDescent="0.2">
      <c r="A1708" s="2">
        <v>42622</v>
      </c>
      <c r="B1708" s="1" t="s">
        <v>56</v>
      </c>
      <c r="C1708" s="1" t="s">
        <v>57</v>
      </c>
      <c r="D1708" s="2">
        <v>42380</v>
      </c>
      <c r="E1708" s="2">
        <f t="shared" si="56"/>
        <v>42675</v>
      </c>
      <c r="F1708" s="1" t="s">
        <v>58</v>
      </c>
      <c r="G1708" s="1" t="s">
        <v>16</v>
      </c>
      <c r="H1708" s="1">
        <v>-2.5</v>
      </c>
      <c r="I1708" s="1">
        <v>0.26</v>
      </c>
      <c r="J1708" s="1">
        <v>-7.0000000000000007E-2</v>
      </c>
      <c r="K1708" s="2">
        <v>42624</v>
      </c>
      <c r="L1708" s="1">
        <v>3716</v>
      </c>
      <c r="M1708" s="1">
        <v>4.4400000000000004</v>
      </c>
      <c r="N1708" s="1">
        <v>-2.7999999999999998E-4</v>
      </c>
      <c r="O1708" s="3">
        <f>VLOOKUP(D1708,underlying!$D$40:$H$75,5,FALSE)</f>
        <v>-3.75</v>
      </c>
      <c r="P1708" s="4">
        <f t="shared" si="55"/>
        <v>42683</v>
      </c>
      <c r="Q1708" s="7">
        <f>IF(G1708="C",NormalCallSprd(O1708,H1708,M1708,(P1708-A1708)/365), NormalPutSprd(O1708,H1708,M1708,(P1708-A1708)/365))</f>
        <v>0.26435522255569105</v>
      </c>
      <c r="R1708" s="9">
        <f t="shared" si="57"/>
        <v>4.3552225556910407E-3</v>
      </c>
    </row>
    <row r="1709" spans="1:18" x14ac:dyDescent="0.2">
      <c r="A1709" s="2">
        <v>42622</v>
      </c>
      <c r="B1709" s="1" t="s">
        <v>56</v>
      </c>
      <c r="C1709" s="1" t="s">
        <v>57</v>
      </c>
      <c r="D1709" s="2">
        <v>42380</v>
      </c>
      <c r="E1709" s="2">
        <f t="shared" si="56"/>
        <v>42675</v>
      </c>
      <c r="F1709" s="1" t="s">
        <v>58</v>
      </c>
      <c r="G1709" s="1" t="s">
        <v>18</v>
      </c>
      <c r="H1709" s="1">
        <v>-2.5</v>
      </c>
      <c r="I1709" s="1">
        <v>1.51</v>
      </c>
      <c r="J1709" s="1">
        <v>0.18</v>
      </c>
      <c r="K1709" s="2">
        <v>42624</v>
      </c>
      <c r="L1709" s="1">
        <v>3716</v>
      </c>
      <c r="M1709" s="1">
        <v>4.4400000000000004</v>
      </c>
      <c r="N1709" s="1">
        <v>-0.93528</v>
      </c>
      <c r="O1709" s="3">
        <f>VLOOKUP(D1709,underlying!$D$40:$H$75,5,FALSE)</f>
        <v>-3.75</v>
      </c>
      <c r="P1709" s="4">
        <f t="shared" si="55"/>
        <v>42683</v>
      </c>
      <c r="Q1709" s="7">
        <f>IF(G1709="C",NormalCallSprd(O1709,H1709,M1709,(P1709-A1709)/365), NormalPutSprd(O1709,H1709,M1709,(P1709-A1709)/365))</f>
        <v>1.5143552225556909</v>
      </c>
      <c r="R1709" s="9">
        <f t="shared" si="57"/>
        <v>4.3552225556908741E-3</v>
      </c>
    </row>
    <row r="1710" spans="1:18" x14ac:dyDescent="0.2">
      <c r="A1710" s="2">
        <v>42622</v>
      </c>
      <c r="B1710" s="1" t="s">
        <v>56</v>
      </c>
      <c r="C1710" s="1" t="s">
        <v>57</v>
      </c>
      <c r="D1710" s="2">
        <v>42380</v>
      </c>
      <c r="E1710" s="2">
        <f t="shared" si="56"/>
        <v>42675</v>
      </c>
      <c r="F1710" s="1" t="s">
        <v>58</v>
      </c>
      <c r="G1710" s="1" t="s">
        <v>16</v>
      </c>
      <c r="H1710" s="1">
        <v>-2.25</v>
      </c>
      <c r="I1710" s="1">
        <v>0.21</v>
      </c>
      <c r="J1710" s="1">
        <v>-0.06</v>
      </c>
      <c r="K1710" s="2">
        <v>42624</v>
      </c>
      <c r="L1710" s="1">
        <v>3716</v>
      </c>
      <c r="M1710" s="1">
        <v>4.42</v>
      </c>
      <c r="N1710" s="1">
        <v>-3.0000000000000001E-5</v>
      </c>
      <c r="O1710" s="3">
        <f>VLOOKUP(D1710,underlying!$D$40:$H$75,5,FALSE)</f>
        <v>-3.75</v>
      </c>
      <c r="P1710" s="4">
        <f t="shared" si="55"/>
        <v>42683</v>
      </c>
      <c r="Q1710" s="7">
        <f>IF(G1710="C",NormalCallSprd(O1710,H1710,M1710,(P1710-A1710)/365), NormalPutSprd(O1710,H1710,M1710,(P1710-A1710)/365))</f>
        <v>0.20590438271061545</v>
      </c>
      <c r="R1710" s="9">
        <f t="shared" si="57"/>
        <v>4.0956172893845399E-3</v>
      </c>
    </row>
    <row r="1711" spans="1:18" x14ac:dyDescent="0.2">
      <c r="A1711" s="2">
        <v>42622</v>
      </c>
      <c r="B1711" s="1" t="s">
        <v>56</v>
      </c>
      <c r="C1711" s="1" t="s">
        <v>57</v>
      </c>
      <c r="D1711" s="2">
        <v>42380</v>
      </c>
      <c r="E1711" s="2">
        <f t="shared" si="56"/>
        <v>42675</v>
      </c>
      <c r="F1711" s="1" t="s">
        <v>58</v>
      </c>
      <c r="G1711" s="1" t="s">
        <v>18</v>
      </c>
      <c r="H1711" s="1">
        <v>-2.25</v>
      </c>
      <c r="I1711" s="1">
        <v>1.7</v>
      </c>
      <c r="J1711" s="1">
        <v>0.18</v>
      </c>
      <c r="K1711" s="2">
        <v>42624</v>
      </c>
      <c r="L1711" s="1">
        <v>3716</v>
      </c>
      <c r="M1711" s="1">
        <v>4.42</v>
      </c>
      <c r="N1711" s="1">
        <v>0</v>
      </c>
      <c r="O1711" s="3">
        <f>VLOOKUP(D1711,underlying!$D$40:$H$75,5,FALSE)</f>
        <v>-3.75</v>
      </c>
      <c r="P1711" s="4">
        <f t="shared" si="55"/>
        <v>42683</v>
      </c>
      <c r="Q1711" s="7">
        <f>IF(G1711="C",NormalCallSprd(O1711,H1711,M1711,(P1711-A1711)/365), NormalPutSprd(O1711,H1711,M1711,(P1711-A1711)/365))</f>
        <v>1.7059043827106155</v>
      </c>
      <c r="R1711" s="9">
        <f t="shared" si="57"/>
        <v>5.9043827106155522E-3</v>
      </c>
    </row>
    <row r="1712" spans="1:18" x14ac:dyDescent="0.2">
      <c r="A1712" s="2">
        <v>42622</v>
      </c>
      <c r="B1712" s="1" t="s">
        <v>56</v>
      </c>
      <c r="C1712" s="1" t="s">
        <v>57</v>
      </c>
      <c r="D1712" s="2">
        <v>42380</v>
      </c>
      <c r="E1712" s="2">
        <f t="shared" si="56"/>
        <v>42675</v>
      </c>
      <c r="F1712" s="1" t="s">
        <v>58</v>
      </c>
      <c r="G1712" s="1" t="s">
        <v>16</v>
      </c>
      <c r="H1712" s="1">
        <v>-2</v>
      </c>
      <c r="I1712" s="1">
        <v>0.16</v>
      </c>
      <c r="J1712" s="1">
        <v>-0.05</v>
      </c>
      <c r="K1712" s="2">
        <v>42624</v>
      </c>
      <c r="L1712" s="1">
        <v>3716</v>
      </c>
      <c r="M1712" s="1">
        <v>4.4400000000000004</v>
      </c>
      <c r="N1712" s="1">
        <v>-0.91607000000000005</v>
      </c>
      <c r="O1712" s="3">
        <f>VLOOKUP(D1712,underlying!$D$40:$H$75,5,FALSE)</f>
        <v>-3.75</v>
      </c>
      <c r="P1712" s="4">
        <f t="shared" si="55"/>
        <v>42683</v>
      </c>
      <c r="Q1712" s="7">
        <f>IF(G1712="C",NormalCallSprd(O1712,H1712,M1712,(P1712-A1712)/365), NormalPutSprd(O1712,H1712,M1712,(P1712-A1712)/365))</f>
        <v>0.16184117003037599</v>
      </c>
      <c r="R1712" s="9">
        <f t="shared" si="57"/>
        <v>1.8411700303759826E-3</v>
      </c>
    </row>
    <row r="1713" spans="1:18" x14ac:dyDescent="0.2">
      <c r="A1713" s="2">
        <v>42622</v>
      </c>
      <c r="B1713" s="1" t="s">
        <v>56</v>
      </c>
      <c r="C1713" s="1" t="s">
        <v>57</v>
      </c>
      <c r="D1713" s="2">
        <v>42380</v>
      </c>
      <c r="E1713" s="2">
        <f t="shared" si="56"/>
        <v>42675</v>
      </c>
      <c r="F1713" s="1" t="s">
        <v>58</v>
      </c>
      <c r="G1713" s="1" t="s">
        <v>18</v>
      </c>
      <c r="H1713" s="1">
        <v>-2</v>
      </c>
      <c r="I1713" s="1">
        <v>1.91</v>
      </c>
      <c r="J1713" s="1">
        <v>0.2</v>
      </c>
      <c r="K1713" s="2">
        <v>42624</v>
      </c>
      <c r="L1713" s="1">
        <v>3716</v>
      </c>
      <c r="M1713" s="1">
        <v>4.4400000000000004</v>
      </c>
      <c r="N1713" s="1">
        <v>0</v>
      </c>
      <c r="O1713" s="3">
        <f>VLOOKUP(D1713,underlying!$D$40:$H$75,5,FALSE)</f>
        <v>-3.75</v>
      </c>
      <c r="P1713" s="4">
        <f t="shared" si="55"/>
        <v>42683</v>
      </c>
      <c r="Q1713" s="7">
        <f>IF(G1713="C",NormalCallSprd(O1713,H1713,M1713,(P1713-A1713)/365), NormalPutSprd(O1713,H1713,M1713,(P1713-A1713)/365))</f>
        <v>1.9118411700303759</v>
      </c>
      <c r="R1713" s="9">
        <f t="shared" si="57"/>
        <v>1.8411700303759826E-3</v>
      </c>
    </row>
    <row r="1714" spans="1:18" x14ac:dyDescent="0.2">
      <c r="A1714" s="2">
        <v>42622</v>
      </c>
      <c r="B1714" s="1" t="s">
        <v>56</v>
      </c>
      <c r="C1714" s="1" t="s">
        <v>57</v>
      </c>
      <c r="D1714" s="2">
        <v>42380</v>
      </c>
      <c r="E1714" s="2">
        <f t="shared" si="56"/>
        <v>42675</v>
      </c>
      <c r="F1714" s="1" t="s">
        <v>58</v>
      </c>
      <c r="G1714" s="1" t="s">
        <v>16</v>
      </c>
      <c r="H1714" s="1">
        <v>-1.75</v>
      </c>
      <c r="I1714" s="1">
        <v>0.12</v>
      </c>
      <c r="J1714" s="1">
        <v>-0.05</v>
      </c>
      <c r="K1714" s="2">
        <v>42624</v>
      </c>
      <c r="L1714" s="1">
        <v>3716</v>
      </c>
      <c r="M1714" s="1">
        <v>4.42</v>
      </c>
      <c r="N1714" s="1">
        <v>-0.89280000000000004</v>
      </c>
      <c r="O1714" s="3">
        <f>VLOOKUP(D1714,underlying!$D$40:$H$75,5,FALSE)</f>
        <v>-3.75</v>
      </c>
      <c r="P1714" s="4">
        <f t="shared" si="55"/>
        <v>42683</v>
      </c>
      <c r="Q1714" s="7">
        <f>IF(G1714="C",NormalCallSprd(O1714,H1714,M1714,(P1714-A1714)/365), NormalPutSprd(O1714,H1714,M1714,(P1714-A1714)/365))</f>
        <v>0.12232020765775874</v>
      </c>
      <c r="R1714" s="9">
        <f t="shared" si="57"/>
        <v>2.320207657758741E-3</v>
      </c>
    </row>
    <row r="1715" spans="1:18" x14ac:dyDescent="0.2">
      <c r="A1715" s="2">
        <v>42622</v>
      </c>
      <c r="B1715" s="1" t="s">
        <v>56</v>
      </c>
      <c r="C1715" s="1" t="s">
        <v>57</v>
      </c>
      <c r="D1715" s="2">
        <v>42380</v>
      </c>
      <c r="E1715" s="2">
        <f t="shared" si="56"/>
        <v>42675</v>
      </c>
      <c r="F1715" s="1" t="s">
        <v>58</v>
      </c>
      <c r="G1715" s="1" t="s">
        <v>18</v>
      </c>
      <c r="H1715" s="1">
        <v>-1.75</v>
      </c>
      <c r="I1715" s="1">
        <v>2.12</v>
      </c>
      <c r="J1715" s="1">
        <v>0.21</v>
      </c>
      <c r="K1715" s="2">
        <v>42624</v>
      </c>
      <c r="L1715" s="1">
        <v>3716</v>
      </c>
      <c r="M1715" s="1">
        <v>4.42</v>
      </c>
      <c r="N1715" s="1">
        <v>-0.86516999999999999</v>
      </c>
      <c r="O1715" s="3">
        <f>VLOOKUP(D1715,underlying!$D$40:$H$75,5,FALSE)</f>
        <v>-3.75</v>
      </c>
      <c r="P1715" s="4">
        <f t="shared" si="55"/>
        <v>42683</v>
      </c>
      <c r="Q1715" s="7">
        <f>IF(G1715="C",NormalCallSprd(O1715,H1715,M1715,(P1715-A1715)/365), NormalPutSprd(O1715,H1715,M1715,(P1715-A1715)/365))</f>
        <v>2.1223202076577588</v>
      </c>
      <c r="R1715" s="9">
        <f t="shared" si="57"/>
        <v>2.3202076577586439E-3</v>
      </c>
    </row>
    <row r="1716" spans="1:18" x14ac:dyDescent="0.2">
      <c r="A1716" s="2">
        <v>42622</v>
      </c>
      <c r="B1716" s="1" t="s">
        <v>56</v>
      </c>
      <c r="C1716" s="1" t="s">
        <v>57</v>
      </c>
      <c r="D1716" s="2">
        <v>42380</v>
      </c>
      <c r="E1716" s="2">
        <f t="shared" si="56"/>
        <v>42675</v>
      </c>
      <c r="F1716" s="1" t="s">
        <v>58</v>
      </c>
      <c r="G1716" s="1" t="s">
        <v>16</v>
      </c>
      <c r="H1716" s="1">
        <v>-1.5</v>
      </c>
      <c r="I1716" s="1">
        <v>0.09</v>
      </c>
      <c r="J1716" s="1">
        <v>-0.04</v>
      </c>
      <c r="K1716" s="2">
        <v>42624</v>
      </c>
      <c r="L1716" s="1">
        <v>3716</v>
      </c>
      <c r="M1716" s="1">
        <v>4.42</v>
      </c>
      <c r="N1716" s="1">
        <v>-0.83189000000000002</v>
      </c>
      <c r="O1716" s="3">
        <f>VLOOKUP(D1716,underlying!$D$40:$H$75,5,FALSE)</f>
        <v>-3.75</v>
      </c>
      <c r="P1716" s="4">
        <f t="shared" si="55"/>
        <v>42683</v>
      </c>
      <c r="Q1716" s="7">
        <f>IF(G1716="C",NormalCallSprd(O1716,H1716,M1716,(P1716-A1716)/365), NormalPutSprd(O1716,H1716,M1716,(P1716-A1716)/365))</f>
        <v>9.2325482585597196E-2</v>
      </c>
      <c r="R1716" s="9">
        <f t="shared" si="57"/>
        <v>2.3254825855971994E-3</v>
      </c>
    </row>
    <row r="1717" spans="1:18" x14ac:dyDescent="0.2">
      <c r="A1717" s="2">
        <v>42622</v>
      </c>
      <c r="B1717" s="1" t="s">
        <v>56</v>
      </c>
      <c r="C1717" s="1" t="s">
        <v>57</v>
      </c>
      <c r="D1717" s="2">
        <v>42380</v>
      </c>
      <c r="E1717" s="2">
        <f t="shared" si="56"/>
        <v>42675</v>
      </c>
      <c r="F1717" s="1" t="s">
        <v>58</v>
      </c>
      <c r="G1717" s="1" t="s">
        <v>18</v>
      </c>
      <c r="H1717" s="1">
        <v>-1.5</v>
      </c>
      <c r="I1717" s="1">
        <v>2.34</v>
      </c>
      <c r="J1717" s="1">
        <v>0.22</v>
      </c>
      <c r="K1717" s="2">
        <v>42624</v>
      </c>
      <c r="L1717" s="1">
        <v>3716</v>
      </c>
      <c r="M1717" s="1">
        <v>4.42</v>
      </c>
      <c r="N1717" s="1">
        <v>-0.79617000000000004</v>
      </c>
      <c r="O1717" s="3">
        <f>VLOOKUP(D1717,underlying!$D$40:$H$75,5,FALSE)</f>
        <v>-3.75</v>
      </c>
      <c r="P1717" s="4">
        <f t="shared" si="55"/>
        <v>42683</v>
      </c>
      <c r="Q1717" s="7">
        <f>IF(G1717="C",NormalCallSprd(O1717,H1717,M1717,(P1717-A1717)/365), NormalPutSprd(O1717,H1717,M1717,(P1717-A1717)/365))</f>
        <v>2.3423254825855975</v>
      </c>
      <c r="R1717" s="9">
        <f t="shared" si="57"/>
        <v>2.3254825855976158E-3</v>
      </c>
    </row>
    <row r="1718" spans="1:18" x14ac:dyDescent="0.2">
      <c r="A1718" s="2">
        <v>42622</v>
      </c>
      <c r="B1718" s="1" t="s">
        <v>56</v>
      </c>
      <c r="C1718" s="1" t="s">
        <v>57</v>
      </c>
      <c r="D1718" s="2">
        <v>42380</v>
      </c>
      <c r="E1718" s="2">
        <f t="shared" si="56"/>
        <v>42675</v>
      </c>
      <c r="F1718" s="1" t="s">
        <v>58</v>
      </c>
      <c r="G1718" s="1" t="s">
        <v>16</v>
      </c>
      <c r="H1718" s="1">
        <v>-1.25</v>
      </c>
      <c r="I1718" s="1">
        <v>7.0000000000000007E-2</v>
      </c>
      <c r="J1718" s="1">
        <v>-0.02</v>
      </c>
      <c r="K1718" s="2">
        <v>42624</v>
      </c>
      <c r="L1718" s="1">
        <v>3716</v>
      </c>
      <c r="M1718" s="1">
        <v>4.42</v>
      </c>
      <c r="N1718" s="1">
        <v>-0.75392000000000003</v>
      </c>
      <c r="O1718" s="3">
        <f>VLOOKUP(D1718,underlying!$D$40:$H$75,5,FALSE)</f>
        <v>-3.75</v>
      </c>
      <c r="P1718" s="4">
        <f t="shared" si="55"/>
        <v>42683</v>
      </c>
      <c r="Q1718" s="7">
        <f>IF(G1718="C",NormalCallSprd(O1718,H1718,M1718,(P1718-A1718)/365), NormalPutSprd(O1718,H1718,M1718,(P1718-A1718)/365))</f>
        <v>6.8691868030394079E-2</v>
      </c>
      <c r="R1718" s="9">
        <f t="shared" si="57"/>
        <v>1.3081319696059274E-3</v>
      </c>
    </row>
    <row r="1719" spans="1:18" x14ac:dyDescent="0.2">
      <c r="A1719" s="2">
        <v>42622</v>
      </c>
      <c r="B1719" s="1" t="s">
        <v>56</v>
      </c>
      <c r="C1719" s="1" t="s">
        <v>57</v>
      </c>
      <c r="D1719" s="2">
        <v>42380</v>
      </c>
      <c r="E1719" s="2">
        <f t="shared" si="56"/>
        <v>42675</v>
      </c>
      <c r="F1719" s="1" t="s">
        <v>58</v>
      </c>
      <c r="G1719" s="1" t="s">
        <v>18</v>
      </c>
      <c r="H1719" s="1">
        <v>-1.25</v>
      </c>
      <c r="I1719" s="1">
        <v>2.57</v>
      </c>
      <c r="J1719" s="1">
        <v>0.23</v>
      </c>
      <c r="K1719" s="2">
        <v>42624</v>
      </c>
      <c r="L1719" s="1">
        <v>3716</v>
      </c>
      <c r="M1719" s="1">
        <v>4.42</v>
      </c>
      <c r="N1719" s="1">
        <v>-0.70948</v>
      </c>
      <c r="O1719" s="3">
        <f>VLOOKUP(D1719,underlying!$D$40:$H$75,5,FALSE)</f>
        <v>-3.75</v>
      </c>
      <c r="P1719" s="4">
        <f t="shared" si="55"/>
        <v>42683</v>
      </c>
      <c r="Q1719" s="7">
        <f>IF(G1719="C",NormalCallSprd(O1719,H1719,M1719,(P1719-A1719)/365), NormalPutSprd(O1719,H1719,M1719,(P1719-A1719)/365))</f>
        <v>2.5686918680303941</v>
      </c>
      <c r="R1719" s="9">
        <f t="shared" si="57"/>
        <v>1.3081319696057747E-3</v>
      </c>
    </row>
    <row r="1720" spans="1:18" x14ac:dyDescent="0.2">
      <c r="A1720" s="2">
        <v>42622</v>
      </c>
      <c r="B1720" s="1" t="s">
        <v>56</v>
      </c>
      <c r="C1720" s="1" t="s">
        <v>57</v>
      </c>
      <c r="D1720" s="2">
        <v>42380</v>
      </c>
      <c r="E1720" s="2">
        <f t="shared" si="56"/>
        <v>42675</v>
      </c>
      <c r="F1720" s="1" t="s">
        <v>58</v>
      </c>
      <c r="G1720" s="1" t="s">
        <v>16</v>
      </c>
      <c r="H1720" s="1">
        <v>-1</v>
      </c>
      <c r="I1720" s="1">
        <v>0.05</v>
      </c>
      <c r="J1720" s="1">
        <v>-0.02</v>
      </c>
      <c r="K1720" s="2">
        <v>42624</v>
      </c>
      <c r="L1720" s="1">
        <v>3716</v>
      </c>
      <c r="M1720" s="1">
        <v>4.42</v>
      </c>
      <c r="N1720" s="1">
        <v>-0.66012000000000004</v>
      </c>
      <c r="O1720" s="3">
        <f>VLOOKUP(D1720,underlying!$D$40:$H$75,5,FALSE)</f>
        <v>-3.75</v>
      </c>
      <c r="P1720" s="4">
        <f t="shared" si="55"/>
        <v>42683</v>
      </c>
      <c r="Q1720" s="7">
        <f>IF(G1720="C",NormalCallSprd(O1720,H1720,M1720,(P1720-A1720)/365), NormalPutSprd(O1720,H1720,M1720,(P1720-A1720)/365))</f>
        <v>5.0364728940497476E-2</v>
      </c>
      <c r="R1720" s="9">
        <f t="shared" si="57"/>
        <v>3.6472894049747323E-4</v>
      </c>
    </row>
    <row r="1721" spans="1:18" x14ac:dyDescent="0.2">
      <c r="A1721" s="2">
        <v>42622</v>
      </c>
      <c r="B1721" s="1" t="s">
        <v>56</v>
      </c>
      <c r="C1721" s="1" t="s">
        <v>57</v>
      </c>
      <c r="D1721" s="2">
        <v>42380</v>
      </c>
      <c r="E1721" s="2">
        <f t="shared" si="56"/>
        <v>42675</v>
      </c>
      <c r="F1721" s="1" t="s">
        <v>58</v>
      </c>
      <c r="G1721" s="1" t="s">
        <v>18</v>
      </c>
      <c r="H1721" s="1">
        <v>-1</v>
      </c>
      <c r="I1721" s="1">
        <v>2.8</v>
      </c>
      <c r="J1721" s="1">
        <v>0.23</v>
      </c>
      <c r="K1721" s="2">
        <v>42624</v>
      </c>
      <c r="L1721" s="1">
        <v>3716</v>
      </c>
      <c r="M1721" s="1">
        <v>4.42</v>
      </c>
      <c r="N1721" s="1">
        <v>-0.60829999999999995</v>
      </c>
      <c r="O1721" s="3">
        <f>VLOOKUP(D1721,underlying!$D$40:$H$75,5,FALSE)</f>
        <v>-3.75</v>
      </c>
      <c r="P1721" s="4">
        <f t="shared" ref="P1721:P1784" si="58">DATE(YEAR(K1721),DAY(K1721),MONTH(K1721))</f>
        <v>42683</v>
      </c>
      <c r="Q1721" s="7">
        <f>IF(G1721="C",NormalCallSprd(O1721,H1721,M1721,(P1721-A1721)/365), NormalPutSprd(O1721,H1721,M1721,(P1721-A1721)/365))</f>
        <v>2.8003647289404974</v>
      </c>
      <c r="R1721" s="9">
        <f t="shared" si="57"/>
        <v>3.6472894049754956E-4</v>
      </c>
    </row>
    <row r="1722" spans="1:18" x14ac:dyDescent="0.2">
      <c r="A1722" s="2">
        <v>42622</v>
      </c>
      <c r="B1722" s="1" t="s">
        <v>56</v>
      </c>
      <c r="C1722" s="1" t="s">
        <v>57</v>
      </c>
      <c r="D1722" s="2">
        <v>42380</v>
      </c>
      <c r="E1722" s="2">
        <f t="shared" si="56"/>
        <v>42675</v>
      </c>
      <c r="F1722" s="1" t="s">
        <v>58</v>
      </c>
      <c r="G1722" s="1" t="s">
        <v>16</v>
      </c>
      <c r="H1722" s="1">
        <v>-0.75</v>
      </c>
      <c r="I1722" s="1">
        <v>0.04</v>
      </c>
      <c r="J1722" s="1">
        <v>-0.01</v>
      </c>
      <c r="K1722" s="2">
        <v>42624</v>
      </c>
      <c r="L1722" s="1">
        <v>3716</v>
      </c>
      <c r="M1722" s="1">
        <v>4.43</v>
      </c>
      <c r="N1722" s="1">
        <v>-0.55435999999999996</v>
      </c>
      <c r="O1722" s="3">
        <f>VLOOKUP(D1722,underlying!$D$40:$H$75,5,FALSE)</f>
        <v>-3.75</v>
      </c>
      <c r="P1722" s="4">
        <f t="shared" si="58"/>
        <v>42683</v>
      </c>
      <c r="Q1722" s="7">
        <f>IF(G1722="C",NormalCallSprd(O1722,H1722,M1722,(P1722-A1722)/365), NormalPutSprd(O1722,H1722,M1722,(P1722-A1722)/365))</f>
        <v>3.6792911481541575E-2</v>
      </c>
      <c r="R1722" s="9">
        <f t="shared" si="57"/>
        <v>3.2070885184584258E-3</v>
      </c>
    </row>
    <row r="1723" spans="1:18" x14ac:dyDescent="0.2">
      <c r="A1723" s="2">
        <v>42622</v>
      </c>
      <c r="B1723" s="1" t="s">
        <v>56</v>
      </c>
      <c r="C1723" s="1" t="s">
        <v>57</v>
      </c>
      <c r="D1723" s="2">
        <v>42380</v>
      </c>
      <c r="E1723" s="2">
        <f t="shared" si="56"/>
        <v>42675</v>
      </c>
      <c r="F1723" s="1" t="s">
        <v>58</v>
      </c>
      <c r="G1723" s="1" t="s">
        <v>18</v>
      </c>
      <c r="H1723" s="1">
        <v>-0.75</v>
      </c>
      <c r="I1723" s="1">
        <v>3.03</v>
      </c>
      <c r="J1723" s="1">
        <v>0.23</v>
      </c>
      <c r="K1723" s="2">
        <v>42624</v>
      </c>
      <c r="L1723" s="1">
        <v>3716</v>
      </c>
      <c r="M1723" s="1">
        <v>4.43</v>
      </c>
      <c r="N1723" s="1">
        <v>-0.49963000000000002</v>
      </c>
      <c r="O1723" s="3">
        <f>VLOOKUP(D1723,underlying!$D$40:$H$75,5,FALSE)</f>
        <v>-3.75</v>
      </c>
      <c r="P1723" s="4">
        <f t="shared" si="58"/>
        <v>42683</v>
      </c>
      <c r="Q1723" s="7">
        <f>IF(G1723="C",NormalCallSprd(O1723,H1723,M1723,(P1723-A1723)/365), NormalPutSprd(O1723,H1723,M1723,(P1723-A1723)/365))</f>
        <v>3.036792911481542</v>
      </c>
      <c r="R1723" s="9">
        <f t="shared" si="57"/>
        <v>6.7929114815421521E-3</v>
      </c>
    </row>
    <row r="1724" spans="1:18" x14ac:dyDescent="0.2">
      <c r="A1724" s="2">
        <v>42622</v>
      </c>
      <c r="B1724" s="1" t="s">
        <v>56</v>
      </c>
      <c r="C1724" s="1" t="s">
        <v>57</v>
      </c>
      <c r="D1724" s="2">
        <v>42380</v>
      </c>
      <c r="E1724" s="2">
        <f t="shared" si="56"/>
        <v>42675</v>
      </c>
      <c r="F1724" s="1" t="s">
        <v>58</v>
      </c>
      <c r="G1724" s="1" t="s">
        <v>16</v>
      </c>
      <c r="H1724" s="1">
        <v>-0.5</v>
      </c>
      <c r="I1724" s="1">
        <v>0.03</v>
      </c>
      <c r="J1724" s="1">
        <v>-0.01</v>
      </c>
      <c r="K1724" s="2">
        <v>42624</v>
      </c>
      <c r="L1724" s="1">
        <v>3716</v>
      </c>
      <c r="M1724" s="1">
        <v>4.43</v>
      </c>
      <c r="N1724" s="1">
        <v>-0.44489000000000001</v>
      </c>
      <c r="O1724" s="3">
        <f>VLOOKUP(D1724,underlying!$D$40:$H$75,5,FALSE)</f>
        <v>-3.75</v>
      </c>
      <c r="P1724" s="4">
        <f t="shared" si="58"/>
        <v>42683</v>
      </c>
      <c r="Q1724" s="7">
        <f>IF(G1724="C",NormalCallSprd(O1724,H1724,M1724,(P1724-A1724)/365), NormalPutSprd(O1724,H1724,M1724,(P1724-A1724)/365))</f>
        <v>2.6208550181065098E-2</v>
      </c>
      <c r="R1724" s="9">
        <f t="shared" si="57"/>
        <v>3.7914498189349014E-3</v>
      </c>
    </row>
    <row r="1725" spans="1:18" x14ac:dyDescent="0.2">
      <c r="A1725" s="2">
        <v>42622</v>
      </c>
      <c r="B1725" s="1" t="s">
        <v>56</v>
      </c>
      <c r="C1725" s="1" t="s">
        <v>57</v>
      </c>
      <c r="D1725" s="2">
        <v>42380</v>
      </c>
      <c r="E1725" s="2">
        <f t="shared" si="56"/>
        <v>42675</v>
      </c>
      <c r="F1725" s="1" t="s">
        <v>58</v>
      </c>
      <c r="G1725" s="1" t="s">
        <v>18</v>
      </c>
      <c r="H1725" s="1">
        <v>-0.5</v>
      </c>
      <c r="I1725" s="1">
        <v>3.27</v>
      </c>
      <c r="J1725" s="1">
        <v>0.23</v>
      </c>
      <c r="K1725" s="2">
        <v>42624</v>
      </c>
      <c r="L1725" s="1">
        <v>3716</v>
      </c>
      <c r="M1725" s="1">
        <v>4.43</v>
      </c>
      <c r="N1725" s="1">
        <v>-0.39095000000000002</v>
      </c>
      <c r="O1725" s="3">
        <f>VLOOKUP(D1725,underlying!$D$40:$H$75,5,FALSE)</f>
        <v>-3.75</v>
      </c>
      <c r="P1725" s="4">
        <f t="shared" si="58"/>
        <v>42683</v>
      </c>
      <c r="Q1725" s="7">
        <f>IF(G1725="C",NormalCallSprd(O1725,H1725,M1725,(P1725-A1725)/365), NormalPutSprd(O1725,H1725,M1725,(P1725-A1725)/365))</f>
        <v>3.2762085501810652</v>
      </c>
      <c r="R1725" s="9">
        <f t="shared" si="57"/>
        <v>6.2085501810651422E-3</v>
      </c>
    </row>
    <row r="1726" spans="1:18" x14ac:dyDescent="0.2">
      <c r="A1726" s="2">
        <v>42622</v>
      </c>
      <c r="B1726" s="1" t="s">
        <v>56</v>
      </c>
      <c r="C1726" s="1" t="s">
        <v>57</v>
      </c>
      <c r="D1726" s="2">
        <v>42380</v>
      </c>
      <c r="E1726" s="2">
        <f t="shared" si="56"/>
        <v>42675</v>
      </c>
      <c r="F1726" s="1" t="s">
        <v>58</v>
      </c>
      <c r="G1726" s="1" t="s">
        <v>16</v>
      </c>
      <c r="H1726" s="1">
        <v>-0.25</v>
      </c>
      <c r="I1726" s="1">
        <v>0.02</v>
      </c>
      <c r="J1726" s="1">
        <v>-0.01</v>
      </c>
      <c r="K1726" s="2">
        <v>42624</v>
      </c>
      <c r="L1726" s="1">
        <v>3716</v>
      </c>
      <c r="M1726" s="1">
        <v>4.43</v>
      </c>
      <c r="N1726" s="1">
        <v>-0.33912999999999999</v>
      </c>
      <c r="O1726" s="3">
        <f>VLOOKUP(D1726,underlying!$D$40:$H$75,5,FALSE)</f>
        <v>-3.75</v>
      </c>
      <c r="P1726" s="4">
        <f t="shared" si="58"/>
        <v>42683</v>
      </c>
      <c r="Q1726" s="7">
        <f>IF(G1726="C",NormalCallSprd(O1726,H1726,M1726,(P1726-A1726)/365), NormalPutSprd(O1726,H1726,M1726,(P1726-A1726)/365))</f>
        <v>1.8385230205680555E-2</v>
      </c>
      <c r="R1726" s="9">
        <f t="shared" si="57"/>
        <v>1.6147697943194456E-3</v>
      </c>
    </row>
    <row r="1727" spans="1:18" x14ac:dyDescent="0.2">
      <c r="A1727" s="2">
        <v>42622</v>
      </c>
      <c r="B1727" s="1" t="s">
        <v>56</v>
      </c>
      <c r="C1727" s="1" t="s">
        <v>57</v>
      </c>
      <c r="D1727" s="2">
        <v>42380</v>
      </c>
      <c r="E1727" s="2">
        <f t="shared" si="56"/>
        <v>42675</v>
      </c>
      <c r="F1727" s="1" t="s">
        <v>58</v>
      </c>
      <c r="G1727" s="1" t="s">
        <v>18</v>
      </c>
      <c r="H1727" s="1">
        <v>-0.25</v>
      </c>
      <c r="I1727" s="1">
        <v>3.52</v>
      </c>
      <c r="J1727" s="1">
        <v>0.25</v>
      </c>
      <c r="K1727" s="2">
        <v>42624</v>
      </c>
      <c r="L1727" s="1">
        <v>3716</v>
      </c>
      <c r="M1727" s="1">
        <v>4.43</v>
      </c>
      <c r="N1727" s="1">
        <v>-0.28977000000000003</v>
      </c>
      <c r="O1727" s="3">
        <f>VLOOKUP(D1727,underlying!$D$40:$H$75,5,FALSE)</f>
        <v>-3.75</v>
      </c>
      <c r="P1727" s="4">
        <f t="shared" si="58"/>
        <v>42683</v>
      </c>
      <c r="Q1727" s="7">
        <f>IF(G1727="C",NormalCallSprd(O1727,H1727,M1727,(P1727-A1727)/365), NormalPutSprd(O1727,H1727,M1727,(P1727-A1727)/365))</f>
        <v>3.5183852302056806</v>
      </c>
      <c r="R1727" s="9">
        <f t="shared" si="57"/>
        <v>1.6147697943194039E-3</v>
      </c>
    </row>
    <row r="1728" spans="1:18" x14ac:dyDescent="0.2">
      <c r="A1728" s="2">
        <v>42622</v>
      </c>
      <c r="B1728" s="1" t="s">
        <v>56</v>
      </c>
      <c r="C1728" s="1" t="s">
        <v>57</v>
      </c>
      <c r="D1728" s="2">
        <v>42381</v>
      </c>
      <c r="E1728" s="2">
        <f t="shared" si="56"/>
        <v>42705</v>
      </c>
      <c r="F1728" s="1" t="s">
        <v>58</v>
      </c>
      <c r="G1728" s="1" t="s">
        <v>16</v>
      </c>
      <c r="H1728" s="1">
        <v>-13</v>
      </c>
      <c r="I1728" s="1">
        <v>8.24</v>
      </c>
      <c r="J1728" s="1">
        <v>-0.25</v>
      </c>
      <c r="K1728" s="2">
        <v>42625</v>
      </c>
      <c r="L1728" s="1">
        <v>3716</v>
      </c>
      <c r="M1728" s="1">
        <v>4.33</v>
      </c>
      <c r="N1728" s="1">
        <v>-0.24532999999999999</v>
      </c>
      <c r="O1728" s="3">
        <f>VLOOKUP(D1728,underlying!$D$40:$H$75,5,FALSE)</f>
        <v>-4.75</v>
      </c>
      <c r="P1728" s="4">
        <f t="shared" si="58"/>
        <v>42713</v>
      </c>
      <c r="Q1728" s="7">
        <f>IF(G1728="C",NormalCallSprd(O1728,H1728,M1728,(P1728-A1728)/365), NormalPutSprd(O1728,H1728,M1728,(P1728-A1728)/365))</f>
        <v>8.250034405053583</v>
      </c>
      <c r="R1728" s="9">
        <f t="shared" si="57"/>
        <v>1.0034405053582773E-2</v>
      </c>
    </row>
    <row r="1729" spans="1:18" x14ac:dyDescent="0.2">
      <c r="A1729" s="2">
        <v>42622</v>
      </c>
      <c r="B1729" s="1" t="s">
        <v>56</v>
      </c>
      <c r="C1729" s="1" t="s">
        <v>57</v>
      </c>
      <c r="D1729" s="2">
        <v>42381</v>
      </c>
      <c r="E1729" s="2">
        <f t="shared" si="56"/>
        <v>42705</v>
      </c>
      <c r="F1729" s="1" t="s">
        <v>58</v>
      </c>
      <c r="G1729" s="1" t="s">
        <v>18</v>
      </c>
      <c r="H1729" s="1">
        <v>-13</v>
      </c>
      <c r="I1729" s="1">
        <v>0.01</v>
      </c>
      <c r="J1729" s="1">
        <v>0</v>
      </c>
      <c r="K1729" s="2">
        <v>42625</v>
      </c>
      <c r="L1729" s="1">
        <v>3716</v>
      </c>
      <c r="M1729" s="1">
        <v>4.33</v>
      </c>
      <c r="N1729" s="1">
        <v>-0.20308000000000001</v>
      </c>
      <c r="O1729" s="3">
        <f>VLOOKUP(D1729,underlying!$D$40:$H$75,5,FALSE)</f>
        <v>-4.75</v>
      </c>
      <c r="P1729" s="4">
        <f t="shared" si="58"/>
        <v>42713</v>
      </c>
      <c r="Q1729" s="7">
        <f>IF(G1729="C",NormalCallSprd(O1729,H1729,M1729,(P1729-A1729)/365), NormalPutSprd(O1729,H1729,M1729,(P1729-A1729)/365))</f>
        <v>3.4405053583699327E-5</v>
      </c>
      <c r="R1729" s="9">
        <f t="shared" si="57"/>
        <v>9.9655949464163007E-3</v>
      </c>
    </row>
    <row r="1730" spans="1:18" x14ac:dyDescent="0.2">
      <c r="A1730" s="2">
        <v>42622</v>
      </c>
      <c r="B1730" s="1" t="s">
        <v>56</v>
      </c>
      <c r="C1730" s="1" t="s">
        <v>57</v>
      </c>
      <c r="D1730" s="2">
        <v>42381</v>
      </c>
      <c r="E1730" s="2">
        <f t="shared" ref="E1730:E1793" si="59">DATE(YEAR(D1730),DAY(D1730),MONTH(D1730))</f>
        <v>42705</v>
      </c>
      <c r="F1730" s="1" t="s">
        <v>58</v>
      </c>
      <c r="G1730" s="1" t="s">
        <v>16</v>
      </c>
      <c r="H1730" s="1">
        <v>-12</v>
      </c>
      <c r="I1730" s="1">
        <v>7.24</v>
      </c>
      <c r="J1730" s="1">
        <v>-0.25</v>
      </c>
      <c r="K1730" s="2">
        <v>42625</v>
      </c>
      <c r="L1730" s="1">
        <v>3716</v>
      </c>
      <c r="M1730" s="1">
        <v>4.33</v>
      </c>
      <c r="N1730" s="1">
        <v>-0.16736000000000001</v>
      </c>
      <c r="O1730" s="3">
        <f>VLOOKUP(D1730,underlying!$D$40:$H$75,5,FALSE)</f>
        <v>-4.75</v>
      </c>
      <c r="P1730" s="4">
        <f t="shared" si="58"/>
        <v>42713</v>
      </c>
      <c r="Q1730" s="7">
        <f>IF(G1730="C",NormalCallSprd(O1730,H1730,M1730,(P1730-A1730)/365), NormalPutSprd(O1730,H1730,M1730,(P1730-A1730)/365))</f>
        <v>7.2502244213107154</v>
      </c>
      <c r="R1730" s="9">
        <f t="shared" si="57"/>
        <v>1.0224421310715215E-2</v>
      </c>
    </row>
    <row r="1731" spans="1:18" x14ac:dyDescent="0.2">
      <c r="A1731" s="2">
        <v>42622</v>
      </c>
      <c r="B1731" s="1" t="s">
        <v>56</v>
      </c>
      <c r="C1731" s="1" t="s">
        <v>57</v>
      </c>
      <c r="D1731" s="2">
        <v>42381</v>
      </c>
      <c r="E1731" s="2">
        <f t="shared" si="59"/>
        <v>42705</v>
      </c>
      <c r="F1731" s="1" t="s">
        <v>58</v>
      </c>
      <c r="G1731" s="1" t="s">
        <v>18</v>
      </c>
      <c r="H1731" s="1">
        <v>-12</v>
      </c>
      <c r="I1731" s="1">
        <v>0.01</v>
      </c>
      <c r="J1731" s="1">
        <v>0</v>
      </c>
      <c r="K1731" s="2">
        <v>42625</v>
      </c>
      <c r="L1731" s="1">
        <v>3716</v>
      </c>
      <c r="M1731" s="1">
        <v>4.33</v>
      </c>
      <c r="N1731" s="1">
        <v>-0.13408</v>
      </c>
      <c r="O1731" s="3">
        <f>VLOOKUP(D1731,underlying!$D$40:$H$75,5,FALSE)</f>
        <v>-4.75</v>
      </c>
      <c r="P1731" s="4">
        <f t="shared" si="58"/>
        <v>42713</v>
      </c>
      <c r="Q1731" s="7">
        <f>IF(G1731="C",NormalCallSprd(O1731,H1731,M1731,(P1731-A1731)/365), NormalPutSprd(O1731,H1731,M1731,(P1731-A1731)/365))</f>
        <v>2.2442131071560544E-4</v>
      </c>
      <c r="R1731" s="9">
        <f t="shared" ref="R1731:R1794" si="60">ABS(Q1731-I1731)</f>
        <v>9.7755786892843952E-3</v>
      </c>
    </row>
    <row r="1732" spans="1:18" x14ac:dyDescent="0.2">
      <c r="A1732" s="2">
        <v>42622</v>
      </c>
      <c r="B1732" s="1" t="s">
        <v>56</v>
      </c>
      <c r="C1732" s="1" t="s">
        <v>57</v>
      </c>
      <c r="D1732" s="2">
        <v>42381</v>
      </c>
      <c r="E1732" s="2">
        <f t="shared" si="59"/>
        <v>42705</v>
      </c>
      <c r="F1732" s="1" t="s">
        <v>58</v>
      </c>
      <c r="G1732" s="1" t="s">
        <v>16</v>
      </c>
      <c r="H1732" s="1">
        <v>-11</v>
      </c>
      <c r="I1732" s="1">
        <v>6.24</v>
      </c>
      <c r="J1732" s="1">
        <v>-0.25</v>
      </c>
      <c r="K1732" s="2">
        <v>42625</v>
      </c>
      <c r="L1732" s="1">
        <v>3716</v>
      </c>
      <c r="M1732" s="1">
        <v>4.33</v>
      </c>
      <c r="N1732" s="1">
        <v>-0.10748000000000001</v>
      </c>
      <c r="O1732" s="3">
        <f>VLOOKUP(D1732,underlying!$D$40:$H$75,5,FALSE)</f>
        <v>-4.75</v>
      </c>
      <c r="P1732" s="4">
        <f t="shared" si="58"/>
        <v>42713</v>
      </c>
      <c r="Q1732" s="7">
        <f>IF(G1732="C",NormalCallSprd(O1732,H1732,M1732,(P1732-A1732)/365), NormalPutSprd(O1732,H1732,M1732,(P1732-A1732)/365))</f>
        <v>6.251208783373075</v>
      </c>
      <c r="R1732" s="9">
        <f t="shared" si="60"/>
        <v>1.1208783373074738E-2</v>
      </c>
    </row>
    <row r="1733" spans="1:18" x14ac:dyDescent="0.2">
      <c r="A1733" s="2">
        <v>42622</v>
      </c>
      <c r="B1733" s="1" t="s">
        <v>56</v>
      </c>
      <c r="C1733" s="1" t="s">
        <v>57</v>
      </c>
      <c r="D1733" s="2">
        <v>42381</v>
      </c>
      <c r="E1733" s="2">
        <f t="shared" si="59"/>
        <v>42705</v>
      </c>
      <c r="F1733" s="1" t="s">
        <v>58</v>
      </c>
      <c r="G1733" s="1" t="s">
        <v>18</v>
      </c>
      <c r="H1733" s="1">
        <v>-11</v>
      </c>
      <c r="I1733" s="1">
        <v>0.01</v>
      </c>
      <c r="J1733" s="1">
        <v>0</v>
      </c>
      <c r="K1733" s="2">
        <v>42625</v>
      </c>
      <c r="L1733" s="1">
        <v>3716</v>
      </c>
      <c r="M1733" s="1">
        <v>4.33</v>
      </c>
      <c r="N1733" s="1">
        <v>-8.4140000000000006E-2</v>
      </c>
      <c r="O1733" s="3">
        <f>VLOOKUP(D1733,underlying!$D$40:$H$75,5,FALSE)</f>
        <v>-4.75</v>
      </c>
      <c r="P1733" s="4">
        <f t="shared" si="58"/>
        <v>42713</v>
      </c>
      <c r="Q1733" s="7">
        <f>IF(G1733="C",NormalCallSprd(O1733,H1733,M1733,(P1733-A1733)/365), NormalPutSprd(O1733,H1733,M1733,(P1733-A1733)/365))</f>
        <v>1.208783373074401E-3</v>
      </c>
      <c r="R1733" s="9">
        <f t="shared" si="60"/>
        <v>8.7912166269255992E-3</v>
      </c>
    </row>
    <row r="1734" spans="1:18" x14ac:dyDescent="0.2">
      <c r="A1734" s="2">
        <v>42622</v>
      </c>
      <c r="B1734" s="1" t="s">
        <v>56</v>
      </c>
      <c r="C1734" s="1" t="s">
        <v>57</v>
      </c>
      <c r="D1734" s="2">
        <v>42381</v>
      </c>
      <c r="E1734" s="2">
        <f t="shared" si="59"/>
        <v>42705</v>
      </c>
      <c r="F1734" s="1" t="s">
        <v>58</v>
      </c>
      <c r="G1734" s="1" t="s">
        <v>16</v>
      </c>
      <c r="H1734" s="1">
        <v>-10</v>
      </c>
      <c r="I1734" s="1">
        <v>5.25</v>
      </c>
      <c r="J1734" s="1">
        <v>-0.25</v>
      </c>
      <c r="K1734" s="2">
        <v>42625</v>
      </c>
      <c r="L1734" s="1">
        <v>3716</v>
      </c>
      <c r="M1734" s="1">
        <v>4.33</v>
      </c>
      <c r="N1734" s="1">
        <v>-6.4829999999999999E-2</v>
      </c>
      <c r="O1734" s="3">
        <f>VLOOKUP(D1734,underlying!$D$40:$H$75,5,FALSE)</f>
        <v>-4.75</v>
      </c>
      <c r="P1734" s="4">
        <f t="shared" si="58"/>
        <v>42713</v>
      </c>
      <c r="Q1734" s="7">
        <f>IF(G1734="C",NormalCallSprd(O1734,H1734,M1734,(P1734-A1734)/365), NormalPutSprd(O1734,H1734,M1734,(P1734-A1734)/365))</f>
        <v>5.2553995495848786</v>
      </c>
      <c r="R1734" s="9">
        <f t="shared" si="60"/>
        <v>5.399549584878649E-3</v>
      </c>
    </row>
    <row r="1735" spans="1:18" x14ac:dyDescent="0.2">
      <c r="A1735" s="2">
        <v>42622</v>
      </c>
      <c r="B1735" s="1" t="s">
        <v>56</v>
      </c>
      <c r="C1735" s="1" t="s">
        <v>57</v>
      </c>
      <c r="D1735" s="2">
        <v>42381</v>
      </c>
      <c r="E1735" s="2">
        <f t="shared" si="59"/>
        <v>42705</v>
      </c>
      <c r="F1735" s="1" t="s">
        <v>58</v>
      </c>
      <c r="G1735" s="1" t="s">
        <v>18</v>
      </c>
      <c r="H1735" s="1">
        <v>-10</v>
      </c>
      <c r="I1735" s="1">
        <v>0.01</v>
      </c>
      <c r="J1735" s="1">
        <v>0</v>
      </c>
      <c r="K1735" s="2">
        <v>42625</v>
      </c>
      <c r="L1735" s="1">
        <v>3716</v>
      </c>
      <c r="M1735" s="1">
        <v>4.33</v>
      </c>
      <c r="N1735" s="1">
        <v>-4.9149999999999999E-2</v>
      </c>
      <c r="O1735" s="3">
        <f>VLOOKUP(D1735,underlying!$D$40:$H$75,5,FALSE)</f>
        <v>-4.75</v>
      </c>
      <c r="P1735" s="4">
        <f t="shared" si="58"/>
        <v>42713</v>
      </c>
      <c r="Q1735" s="7">
        <f>IF(G1735="C",NormalCallSprd(O1735,H1735,M1735,(P1735-A1735)/365), NormalPutSprd(O1735,H1735,M1735,(P1735-A1735)/365))</f>
        <v>5.3995495848787531E-3</v>
      </c>
      <c r="R1735" s="9">
        <f t="shared" si="60"/>
        <v>4.6004504151212471E-3</v>
      </c>
    </row>
    <row r="1736" spans="1:18" x14ac:dyDescent="0.2">
      <c r="A1736" s="2">
        <v>42622</v>
      </c>
      <c r="B1736" s="1" t="s">
        <v>56</v>
      </c>
      <c r="C1736" s="1" t="s">
        <v>57</v>
      </c>
      <c r="D1736" s="2">
        <v>42381</v>
      </c>
      <c r="E1736" s="2">
        <f t="shared" si="59"/>
        <v>42705</v>
      </c>
      <c r="F1736" s="1" t="s">
        <v>58</v>
      </c>
      <c r="G1736" s="1" t="s">
        <v>16</v>
      </c>
      <c r="H1736" s="1">
        <v>-9.75</v>
      </c>
      <c r="I1736" s="1">
        <v>5</v>
      </c>
      <c r="J1736" s="1">
        <v>-0.25</v>
      </c>
      <c r="K1736" s="2">
        <v>42625</v>
      </c>
      <c r="L1736" s="1">
        <v>3716</v>
      </c>
      <c r="M1736" s="1">
        <v>4.33</v>
      </c>
      <c r="N1736" s="1">
        <v>-3.6659999999999998E-2</v>
      </c>
      <c r="O1736" s="3">
        <f>VLOOKUP(D1736,underlying!$D$40:$H$75,5,FALSE)</f>
        <v>-4.75</v>
      </c>
      <c r="P1736" s="4">
        <f t="shared" si="58"/>
        <v>42713</v>
      </c>
      <c r="Q1736" s="7">
        <f>IF(G1736="C",NormalCallSprd(O1736,H1736,M1736,(P1736-A1736)/365), NormalPutSprd(O1736,H1736,M1736,(P1736-A1736)/365))</f>
        <v>5.0076282625339603</v>
      </c>
      <c r="R1736" s="9">
        <f t="shared" si="60"/>
        <v>7.6282625339603172E-3</v>
      </c>
    </row>
    <row r="1737" spans="1:18" x14ac:dyDescent="0.2">
      <c r="A1737" s="2">
        <v>42622</v>
      </c>
      <c r="B1737" s="1" t="s">
        <v>56</v>
      </c>
      <c r="C1737" s="1" t="s">
        <v>57</v>
      </c>
      <c r="D1737" s="2">
        <v>42381</v>
      </c>
      <c r="E1737" s="2">
        <f t="shared" si="59"/>
        <v>42705</v>
      </c>
      <c r="F1737" s="1" t="s">
        <v>58</v>
      </c>
      <c r="G1737" s="1" t="s">
        <v>18</v>
      </c>
      <c r="H1737" s="1">
        <v>-9.75</v>
      </c>
      <c r="I1737" s="1">
        <v>0.01</v>
      </c>
      <c r="J1737" s="1">
        <v>0</v>
      </c>
      <c r="K1737" s="2">
        <v>42625</v>
      </c>
      <c r="L1737" s="1">
        <v>3716</v>
      </c>
      <c r="M1737" s="1">
        <v>4.33</v>
      </c>
      <c r="N1737" s="1">
        <v>-2.6620000000000001E-2</v>
      </c>
      <c r="O1737" s="3">
        <f>VLOOKUP(D1737,underlying!$D$40:$H$75,5,FALSE)</f>
        <v>-4.75</v>
      </c>
      <c r="P1737" s="4">
        <f t="shared" si="58"/>
        <v>42713</v>
      </c>
      <c r="Q1737" s="7">
        <f>IF(G1737="C",NormalCallSprd(O1737,H1737,M1737,(P1737-A1737)/365), NormalPutSprd(O1737,H1737,M1737,(P1737-A1737)/365))</f>
        <v>7.6282625339604334E-3</v>
      </c>
      <c r="R1737" s="9">
        <f t="shared" si="60"/>
        <v>2.3717374660395668E-3</v>
      </c>
    </row>
    <row r="1738" spans="1:18" x14ac:dyDescent="0.2">
      <c r="A1738" s="2">
        <v>42622</v>
      </c>
      <c r="B1738" s="1" t="s">
        <v>56</v>
      </c>
      <c r="C1738" s="1" t="s">
        <v>57</v>
      </c>
      <c r="D1738" s="2">
        <v>42381</v>
      </c>
      <c r="E1738" s="2">
        <f t="shared" si="59"/>
        <v>42705</v>
      </c>
      <c r="F1738" s="1" t="s">
        <v>58</v>
      </c>
      <c r="G1738" s="1" t="s">
        <v>16</v>
      </c>
      <c r="H1738" s="1">
        <v>-9.5</v>
      </c>
      <c r="I1738" s="1">
        <v>4.76</v>
      </c>
      <c r="J1738" s="1">
        <v>-0.24</v>
      </c>
      <c r="K1738" s="2">
        <v>42625</v>
      </c>
      <c r="L1738" s="1">
        <v>3716</v>
      </c>
      <c r="M1738" s="1">
        <v>4.33</v>
      </c>
      <c r="N1738" s="1">
        <v>-1.9179999999999999E-2</v>
      </c>
      <c r="O1738" s="3">
        <f>VLOOKUP(D1738,underlying!$D$40:$H$75,5,FALSE)</f>
        <v>-4.75</v>
      </c>
      <c r="P1738" s="4">
        <f t="shared" si="58"/>
        <v>42713</v>
      </c>
      <c r="Q1738" s="7">
        <f>IF(G1738="C",NormalCallSprd(O1738,H1738,M1738,(P1738-A1738)/365), NormalPutSprd(O1738,H1738,M1738,(P1738-A1738)/365))</f>
        <v>4.7606561810415373</v>
      </c>
      <c r="R1738" s="9">
        <f t="shared" si="60"/>
        <v>6.561810415375291E-4</v>
      </c>
    </row>
    <row r="1739" spans="1:18" x14ac:dyDescent="0.2">
      <c r="A1739" s="2">
        <v>42622</v>
      </c>
      <c r="B1739" s="1" t="s">
        <v>56</v>
      </c>
      <c r="C1739" s="1" t="s">
        <v>57</v>
      </c>
      <c r="D1739" s="2">
        <v>42381</v>
      </c>
      <c r="E1739" s="2">
        <f t="shared" si="59"/>
        <v>42705</v>
      </c>
      <c r="F1739" s="1" t="s">
        <v>58</v>
      </c>
      <c r="G1739" s="1" t="s">
        <v>18</v>
      </c>
      <c r="H1739" s="1">
        <v>-9.5</v>
      </c>
      <c r="I1739" s="1">
        <v>0.01</v>
      </c>
      <c r="J1739" s="1">
        <v>0</v>
      </c>
      <c r="K1739" s="2">
        <v>42625</v>
      </c>
      <c r="L1739" s="1">
        <v>3716</v>
      </c>
      <c r="M1739" s="1">
        <v>4.33</v>
      </c>
      <c r="N1739" s="1">
        <v>-1.359E-2</v>
      </c>
      <c r="O1739" s="3">
        <f>VLOOKUP(D1739,underlying!$D$40:$H$75,5,FALSE)</f>
        <v>-4.75</v>
      </c>
      <c r="P1739" s="4">
        <f t="shared" si="58"/>
        <v>42713</v>
      </c>
      <c r="Q1739" s="7">
        <f>IF(G1739="C",NormalCallSprd(O1739,H1739,M1739,(P1739-A1739)/365), NormalPutSprd(O1739,H1739,M1739,(P1739-A1739)/365))</f>
        <v>1.0656181041537113E-2</v>
      </c>
      <c r="R1739" s="9">
        <f t="shared" si="60"/>
        <v>6.5618104153711276E-4</v>
      </c>
    </row>
    <row r="1740" spans="1:18" x14ac:dyDescent="0.2">
      <c r="A1740" s="2">
        <v>42622</v>
      </c>
      <c r="B1740" s="1" t="s">
        <v>56</v>
      </c>
      <c r="C1740" s="1" t="s">
        <v>57</v>
      </c>
      <c r="D1740" s="2">
        <v>42381</v>
      </c>
      <c r="E1740" s="2">
        <f t="shared" si="59"/>
        <v>42705</v>
      </c>
      <c r="F1740" s="1" t="s">
        <v>58</v>
      </c>
      <c r="G1740" s="1" t="s">
        <v>16</v>
      </c>
      <c r="H1740" s="1">
        <v>-9.25</v>
      </c>
      <c r="I1740" s="1">
        <v>4.51</v>
      </c>
      <c r="J1740" s="1">
        <v>-0.25</v>
      </c>
      <c r="K1740" s="2">
        <v>42625</v>
      </c>
      <c r="L1740" s="1">
        <v>3716</v>
      </c>
      <c r="M1740" s="1">
        <v>4.33</v>
      </c>
      <c r="N1740" s="1">
        <v>-9.4599999999999997E-3</v>
      </c>
      <c r="O1740" s="3">
        <f>VLOOKUP(D1740,underlying!$D$40:$H$75,5,FALSE)</f>
        <v>-4.75</v>
      </c>
      <c r="P1740" s="4">
        <f t="shared" si="58"/>
        <v>42713</v>
      </c>
      <c r="Q1740" s="7">
        <f>IF(G1740="C",NormalCallSprd(O1740,H1740,M1740,(P1740-A1740)/365), NormalPutSprd(O1740,H1740,M1740,(P1740-A1740)/365))</f>
        <v>4.5147207688926398</v>
      </c>
      <c r="R1740" s="9">
        <f t="shared" si="60"/>
        <v>4.7207688926400593E-3</v>
      </c>
    </row>
    <row r="1741" spans="1:18" x14ac:dyDescent="0.2">
      <c r="A1741" s="2">
        <v>42622</v>
      </c>
      <c r="B1741" s="1" t="s">
        <v>56</v>
      </c>
      <c r="C1741" s="1" t="s">
        <v>57</v>
      </c>
      <c r="D1741" s="2">
        <v>42381</v>
      </c>
      <c r="E1741" s="2">
        <f t="shared" si="59"/>
        <v>42705</v>
      </c>
      <c r="F1741" s="1" t="s">
        <v>58</v>
      </c>
      <c r="G1741" s="1" t="s">
        <v>18</v>
      </c>
      <c r="H1741" s="1">
        <v>-9.25</v>
      </c>
      <c r="I1741" s="1">
        <v>0.01</v>
      </c>
      <c r="J1741" s="1">
        <v>0</v>
      </c>
      <c r="K1741" s="2">
        <v>42625</v>
      </c>
      <c r="L1741" s="1">
        <v>3716</v>
      </c>
      <c r="M1741" s="1">
        <v>4.33</v>
      </c>
      <c r="N1741" s="1">
        <v>-6.4799999999999996E-3</v>
      </c>
      <c r="O1741" s="3">
        <f>VLOOKUP(D1741,underlying!$D$40:$H$75,5,FALSE)</f>
        <v>-4.75</v>
      </c>
      <c r="P1741" s="4">
        <f t="shared" si="58"/>
        <v>42713</v>
      </c>
      <c r="Q1741" s="7">
        <f>IF(G1741="C",NormalCallSprd(O1741,H1741,M1741,(P1741-A1741)/365), NormalPutSprd(O1741,H1741,M1741,(P1741-A1741)/365))</f>
        <v>1.4720768892639454E-2</v>
      </c>
      <c r="R1741" s="9">
        <f t="shared" si="60"/>
        <v>4.7207688926394539E-3</v>
      </c>
    </row>
    <row r="1742" spans="1:18" x14ac:dyDescent="0.2">
      <c r="A1742" s="2">
        <v>42622</v>
      </c>
      <c r="B1742" s="1" t="s">
        <v>56</v>
      </c>
      <c r="C1742" s="1" t="s">
        <v>57</v>
      </c>
      <c r="D1742" s="2">
        <v>42381</v>
      </c>
      <c r="E1742" s="2">
        <f t="shared" si="59"/>
        <v>42705</v>
      </c>
      <c r="F1742" s="1" t="s">
        <v>58</v>
      </c>
      <c r="G1742" s="1" t="s">
        <v>16</v>
      </c>
      <c r="H1742" s="1">
        <v>-9</v>
      </c>
      <c r="I1742" s="1">
        <v>4.2699999999999996</v>
      </c>
      <c r="J1742" s="1">
        <v>-0.24</v>
      </c>
      <c r="K1742" s="2">
        <v>42625</v>
      </c>
      <c r="L1742" s="1">
        <v>3716</v>
      </c>
      <c r="M1742" s="1">
        <v>4.33</v>
      </c>
      <c r="N1742" s="1">
        <v>-4.3600000000000002E-3</v>
      </c>
      <c r="O1742" s="3">
        <f>VLOOKUP(D1742,underlying!$D$40:$H$75,5,FALSE)</f>
        <v>-4.75</v>
      </c>
      <c r="P1742" s="4">
        <f t="shared" si="58"/>
        <v>42713</v>
      </c>
      <c r="Q1742" s="7">
        <f>IF(G1742="C",NormalCallSprd(O1742,H1742,M1742,(P1742-A1742)/365), NormalPutSprd(O1742,H1742,M1742,(P1742-A1742)/365))</f>
        <v>4.2701122257582869</v>
      </c>
      <c r="R1742" s="9">
        <f t="shared" si="60"/>
        <v>1.1222575828728765E-4</v>
      </c>
    </row>
    <row r="1743" spans="1:18" x14ac:dyDescent="0.2">
      <c r="A1743" s="2">
        <v>42622</v>
      </c>
      <c r="B1743" s="1" t="s">
        <v>56</v>
      </c>
      <c r="C1743" s="1" t="s">
        <v>57</v>
      </c>
      <c r="D1743" s="2">
        <v>42381</v>
      </c>
      <c r="E1743" s="2">
        <f t="shared" si="59"/>
        <v>42705</v>
      </c>
      <c r="F1743" s="1" t="s">
        <v>58</v>
      </c>
      <c r="G1743" s="1" t="s">
        <v>18</v>
      </c>
      <c r="H1743" s="1">
        <v>-9</v>
      </c>
      <c r="I1743" s="1">
        <v>0.02</v>
      </c>
      <c r="J1743" s="1">
        <v>0</v>
      </c>
      <c r="K1743" s="2">
        <v>42625</v>
      </c>
      <c r="L1743" s="1">
        <v>3716</v>
      </c>
      <c r="M1743" s="1">
        <v>4.33</v>
      </c>
      <c r="N1743" s="1">
        <v>-2.8800000000000002E-3</v>
      </c>
      <c r="O1743" s="3">
        <f>VLOOKUP(D1743,underlying!$D$40:$H$75,5,FALSE)</f>
        <v>-4.75</v>
      </c>
      <c r="P1743" s="4">
        <f t="shared" si="58"/>
        <v>42713</v>
      </c>
      <c r="Q1743" s="7">
        <f>IF(G1743="C",NormalCallSprd(O1743,H1743,M1743,(P1743-A1743)/365), NormalPutSprd(O1743,H1743,M1743,(P1743-A1743)/365))</f>
        <v>2.011222575828632E-2</v>
      </c>
      <c r="R1743" s="9">
        <f t="shared" si="60"/>
        <v>1.1222575828631967E-4</v>
      </c>
    </row>
    <row r="1744" spans="1:18" x14ac:dyDescent="0.2">
      <c r="A1744" s="2">
        <v>42622</v>
      </c>
      <c r="B1744" s="1" t="s">
        <v>56</v>
      </c>
      <c r="C1744" s="1" t="s">
        <v>57</v>
      </c>
      <c r="D1744" s="2">
        <v>42381</v>
      </c>
      <c r="E1744" s="2">
        <f t="shared" si="59"/>
        <v>42705</v>
      </c>
      <c r="F1744" s="1" t="s">
        <v>58</v>
      </c>
      <c r="G1744" s="1" t="s">
        <v>16</v>
      </c>
      <c r="H1744" s="1">
        <v>-8.75</v>
      </c>
      <c r="I1744" s="1">
        <v>4.0199999999999996</v>
      </c>
      <c r="J1744" s="1">
        <v>-0.25</v>
      </c>
      <c r="K1744" s="2">
        <v>42625</v>
      </c>
      <c r="L1744" s="1">
        <v>3716</v>
      </c>
      <c r="M1744" s="1">
        <v>4.33</v>
      </c>
      <c r="N1744" s="1">
        <v>-1.8699999999999999E-3</v>
      </c>
      <c r="O1744" s="3">
        <f>VLOOKUP(D1744,underlying!$D$40:$H$75,5,FALSE)</f>
        <v>-4.75</v>
      </c>
      <c r="P1744" s="4">
        <f t="shared" si="58"/>
        <v>42713</v>
      </c>
      <c r="Q1744" s="7">
        <f>IF(G1744="C",NormalCallSprd(O1744,H1744,M1744,(P1744-A1744)/365), NormalPutSprd(O1744,H1744,M1744,(P1744-A1744)/365))</f>
        <v>4.0271794814817605</v>
      </c>
      <c r="R1744" s="9">
        <f t="shared" si="60"/>
        <v>7.179481481760952E-3</v>
      </c>
    </row>
    <row r="1745" spans="1:18" x14ac:dyDescent="0.2">
      <c r="A1745" s="2">
        <v>42622</v>
      </c>
      <c r="B1745" s="1" t="s">
        <v>56</v>
      </c>
      <c r="C1745" s="1" t="s">
        <v>57</v>
      </c>
      <c r="D1745" s="2">
        <v>42381</v>
      </c>
      <c r="E1745" s="2">
        <f t="shared" si="59"/>
        <v>42705</v>
      </c>
      <c r="F1745" s="1" t="s">
        <v>58</v>
      </c>
      <c r="G1745" s="1" t="s">
        <v>18</v>
      </c>
      <c r="H1745" s="1">
        <v>-8.75</v>
      </c>
      <c r="I1745" s="1">
        <v>0.03</v>
      </c>
      <c r="J1745" s="1">
        <v>0.01</v>
      </c>
      <c r="K1745" s="2">
        <v>42625</v>
      </c>
      <c r="L1745" s="1">
        <v>3716</v>
      </c>
      <c r="M1745" s="1">
        <v>4.33</v>
      </c>
      <c r="N1745" s="1">
        <v>-1.1900000000000001E-3</v>
      </c>
      <c r="O1745" s="3">
        <f>VLOOKUP(D1745,underlying!$D$40:$H$75,5,FALSE)</f>
        <v>-4.75</v>
      </c>
      <c r="P1745" s="4">
        <f t="shared" si="58"/>
        <v>42713</v>
      </c>
      <c r="Q1745" s="7">
        <f>IF(G1745="C",NormalCallSprd(O1745,H1745,M1745,(P1745-A1745)/365), NormalPutSprd(O1745,H1745,M1745,(P1745-A1745)/365))</f>
        <v>2.7179481481760526E-2</v>
      </c>
      <c r="R1745" s="9">
        <f t="shared" si="60"/>
        <v>2.8205185182394732E-3</v>
      </c>
    </row>
    <row r="1746" spans="1:18" x14ac:dyDescent="0.2">
      <c r="A1746" s="2">
        <v>42622</v>
      </c>
      <c r="B1746" s="1" t="s">
        <v>56</v>
      </c>
      <c r="C1746" s="1" t="s">
        <v>57</v>
      </c>
      <c r="D1746" s="2">
        <v>42381</v>
      </c>
      <c r="E1746" s="2">
        <f t="shared" si="59"/>
        <v>42705</v>
      </c>
      <c r="F1746" s="1" t="s">
        <v>58</v>
      </c>
      <c r="G1746" s="1" t="s">
        <v>16</v>
      </c>
      <c r="H1746" s="1">
        <v>-8.5</v>
      </c>
      <c r="I1746" s="1">
        <v>3.78</v>
      </c>
      <c r="J1746" s="1">
        <v>-0.24</v>
      </c>
      <c r="K1746" s="2">
        <v>42625</v>
      </c>
      <c r="L1746" s="1">
        <v>3716</v>
      </c>
      <c r="M1746" s="1">
        <v>4.33</v>
      </c>
      <c r="N1746" s="1">
        <v>-7.5000000000000002E-4</v>
      </c>
      <c r="O1746" s="3">
        <f>VLOOKUP(D1746,underlying!$D$40:$H$75,5,FALSE)</f>
        <v>-4.75</v>
      </c>
      <c r="P1746" s="4">
        <f t="shared" si="58"/>
        <v>42713</v>
      </c>
      <c r="Q1746" s="7">
        <f>IF(G1746="C",NormalCallSprd(O1746,H1746,M1746,(P1746-A1746)/365), NormalPutSprd(O1746,H1746,M1746,(P1746-A1746)/365))</f>
        <v>3.7863351760993038</v>
      </c>
      <c r="R1746" s="9">
        <f t="shared" si="60"/>
        <v>6.3351760993040074E-3</v>
      </c>
    </row>
    <row r="1747" spans="1:18" x14ac:dyDescent="0.2">
      <c r="A1747" s="2">
        <v>42622</v>
      </c>
      <c r="B1747" s="1" t="s">
        <v>56</v>
      </c>
      <c r="C1747" s="1" t="s">
        <v>57</v>
      </c>
      <c r="D1747" s="2">
        <v>42381</v>
      </c>
      <c r="E1747" s="2">
        <f t="shared" si="59"/>
        <v>42705</v>
      </c>
      <c r="F1747" s="1" t="s">
        <v>58</v>
      </c>
      <c r="G1747" s="1" t="s">
        <v>18</v>
      </c>
      <c r="H1747" s="1">
        <v>-8.5</v>
      </c>
      <c r="I1747" s="1">
        <v>0.04</v>
      </c>
      <c r="J1747" s="1">
        <v>0.01</v>
      </c>
      <c r="K1747" s="2">
        <v>42625</v>
      </c>
      <c r="L1747" s="1">
        <v>3716</v>
      </c>
      <c r="M1747" s="1">
        <v>4.33</v>
      </c>
      <c r="N1747" s="1">
        <v>-4.6000000000000001E-4</v>
      </c>
      <c r="O1747" s="3">
        <f>VLOOKUP(D1747,underlying!$D$40:$H$75,5,FALSE)</f>
        <v>-4.75</v>
      </c>
      <c r="P1747" s="4">
        <f t="shared" si="58"/>
        <v>42713</v>
      </c>
      <c r="Q1747" s="7">
        <f>IF(G1747="C",NormalCallSprd(O1747,H1747,M1747,(P1747-A1747)/365), NormalPutSprd(O1747,H1747,M1747,(P1747-A1747)/365))</f>
        <v>3.6335176099303541E-2</v>
      </c>
      <c r="R1747" s="9">
        <f t="shared" si="60"/>
        <v>3.6648239006964595E-3</v>
      </c>
    </row>
    <row r="1748" spans="1:18" x14ac:dyDescent="0.2">
      <c r="A1748" s="2">
        <v>42622</v>
      </c>
      <c r="B1748" s="1" t="s">
        <v>56</v>
      </c>
      <c r="C1748" s="1" t="s">
        <v>57</v>
      </c>
      <c r="D1748" s="2">
        <v>42381</v>
      </c>
      <c r="E1748" s="2">
        <f t="shared" si="59"/>
        <v>42705</v>
      </c>
      <c r="F1748" s="1" t="s">
        <v>58</v>
      </c>
      <c r="G1748" s="1" t="s">
        <v>16</v>
      </c>
      <c r="H1748" s="1">
        <v>-8.25</v>
      </c>
      <c r="I1748" s="1">
        <v>3.54</v>
      </c>
      <c r="J1748" s="1">
        <v>-0.24</v>
      </c>
      <c r="K1748" s="2">
        <v>42625</v>
      </c>
      <c r="L1748" s="1">
        <v>3716</v>
      </c>
      <c r="M1748" s="1">
        <v>4.33</v>
      </c>
      <c r="N1748" s="1">
        <v>0.44574000000000003</v>
      </c>
      <c r="O1748" s="3">
        <f>VLOOKUP(D1748,underlying!$D$40:$H$75,5,FALSE)</f>
        <v>-4.75</v>
      </c>
      <c r="P1748" s="4">
        <f t="shared" si="58"/>
        <v>42713</v>
      </c>
      <c r="Q1748" s="7">
        <f>IF(G1748="C",NormalCallSprd(O1748,H1748,M1748,(P1748-A1748)/365), NormalPutSprd(O1748,H1748,M1748,(P1748-A1748)/365))</f>
        <v>3.5480590639898453</v>
      </c>
      <c r="R1748" s="9">
        <f t="shared" si="60"/>
        <v>8.0590639898452388E-3</v>
      </c>
    </row>
    <row r="1749" spans="1:18" x14ac:dyDescent="0.2">
      <c r="A1749" s="2">
        <v>42622</v>
      </c>
      <c r="B1749" s="1" t="s">
        <v>56</v>
      </c>
      <c r="C1749" s="1" t="s">
        <v>57</v>
      </c>
      <c r="D1749" s="2">
        <v>42381</v>
      </c>
      <c r="E1749" s="2">
        <f t="shared" si="59"/>
        <v>42705</v>
      </c>
      <c r="F1749" s="1" t="s">
        <v>58</v>
      </c>
      <c r="G1749" s="1" t="s">
        <v>18</v>
      </c>
      <c r="H1749" s="1">
        <v>-8.25</v>
      </c>
      <c r="I1749" s="1">
        <v>0.05</v>
      </c>
      <c r="J1749" s="1">
        <v>0.01</v>
      </c>
      <c r="K1749" s="2">
        <v>42625</v>
      </c>
      <c r="L1749" s="1">
        <v>3716</v>
      </c>
      <c r="M1749" s="1">
        <v>4.33</v>
      </c>
      <c r="N1749" s="1">
        <v>0.47116000000000002</v>
      </c>
      <c r="O1749" s="3">
        <f>VLOOKUP(D1749,underlying!$D$40:$H$75,5,FALSE)</f>
        <v>-4.75</v>
      </c>
      <c r="P1749" s="4">
        <f t="shared" si="58"/>
        <v>42713</v>
      </c>
      <c r="Q1749" s="7">
        <f>IF(G1749="C",NormalCallSprd(O1749,H1749,M1749,(P1749-A1749)/365), NormalPutSprd(O1749,H1749,M1749,(P1749-A1749)/365))</f>
        <v>4.8059063989845045E-2</v>
      </c>
      <c r="R1749" s="9">
        <f t="shared" si="60"/>
        <v>1.9409360101549575E-3</v>
      </c>
    </row>
    <row r="1750" spans="1:18" x14ac:dyDescent="0.2">
      <c r="A1750" s="2">
        <v>42622</v>
      </c>
      <c r="B1750" s="1" t="s">
        <v>56</v>
      </c>
      <c r="C1750" s="1" t="s">
        <v>57</v>
      </c>
      <c r="D1750" s="2">
        <v>42381</v>
      </c>
      <c r="E1750" s="2">
        <f t="shared" si="59"/>
        <v>42705</v>
      </c>
      <c r="F1750" s="1" t="s">
        <v>58</v>
      </c>
      <c r="G1750" s="1" t="s">
        <v>16</v>
      </c>
      <c r="H1750" s="1">
        <v>-8</v>
      </c>
      <c r="I1750" s="1">
        <v>3.31</v>
      </c>
      <c r="J1750" s="1">
        <v>-0.24</v>
      </c>
      <c r="K1750" s="2">
        <v>42625</v>
      </c>
      <c r="L1750" s="1">
        <v>3716</v>
      </c>
      <c r="M1750" s="1">
        <v>4.33</v>
      </c>
      <c r="N1750" s="1">
        <v>0.49653999999999998</v>
      </c>
      <c r="O1750" s="3">
        <f>VLOOKUP(D1750,underlying!$D$40:$H$75,5,FALSE)</f>
        <v>-4.75</v>
      </c>
      <c r="P1750" s="4">
        <f t="shared" si="58"/>
        <v>42713</v>
      </c>
      <c r="Q1750" s="7">
        <f>IF(G1750="C",NormalCallSprd(O1750,H1750,M1750,(P1750-A1750)/365), NormalPutSprd(O1750,H1750,M1750,(P1750-A1750)/365))</f>
        <v>3.3128992549519225</v>
      </c>
      <c r="R1750" s="9">
        <f t="shared" si="60"/>
        <v>2.8992549519224475E-3</v>
      </c>
    </row>
    <row r="1751" spans="1:18" x14ac:dyDescent="0.2">
      <c r="A1751" s="2">
        <v>42622</v>
      </c>
      <c r="B1751" s="1" t="s">
        <v>56</v>
      </c>
      <c r="C1751" s="1" t="s">
        <v>57</v>
      </c>
      <c r="D1751" s="2">
        <v>42381</v>
      </c>
      <c r="E1751" s="2">
        <f t="shared" si="59"/>
        <v>42705</v>
      </c>
      <c r="F1751" s="1" t="s">
        <v>58</v>
      </c>
      <c r="G1751" s="1" t="s">
        <v>18</v>
      </c>
      <c r="H1751" s="1">
        <v>-8</v>
      </c>
      <c r="I1751" s="1">
        <v>0.06</v>
      </c>
      <c r="J1751" s="1">
        <v>0.01</v>
      </c>
      <c r="K1751" s="2">
        <v>42625</v>
      </c>
      <c r="L1751" s="1">
        <v>3716</v>
      </c>
      <c r="M1751" s="1">
        <v>4.33</v>
      </c>
      <c r="N1751" s="1">
        <v>0.52190999999999999</v>
      </c>
      <c r="O1751" s="3">
        <f>VLOOKUP(D1751,underlying!$D$40:$H$75,5,FALSE)</f>
        <v>-4.75</v>
      </c>
      <c r="P1751" s="4">
        <f t="shared" si="58"/>
        <v>42713</v>
      </c>
      <c r="Q1751" s="7">
        <f>IF(G1751="C",NormalCallSprd(O1751,H1751,M1751,(P1751-A1751)/365), NormalPutSprd(O1751,H1751,M1751,(P1751-A1751)/365))</f>
        <v>6.2899254951922723E-2</v>
      </c>
      <c r="R1751" s="9">
        <f t="shared" si="60"/>
        <v>2.8992549519227251E-3</v>
      </c>
    </row>
    <row r="1752" spans="1:18" x14ac:dyDescent="0.2">
      <c r="A1752" s="2">
        <v>42622</v>
      </c>
      <c r="B1752" s="1" t="s">
        <v>56</v>
      </c>
      <c r="C1752" s="1" t="s">
        <v>57</v>
      </c>
      <c r="D1752" s="2">
        <v>42381</v>
      </c>
      <c r="E1752" s="2">
        <f t="shared" si="59"/>
        <v>42705</v>
      </c>
      <c r="F1752" s="1" t="s">
        <v>58</v>
      </c>
      <c r="G1752" s="1" t="s">
        <v>16</v>
      </c>
      <c r="H1752" s="1">
        <v>-7.75</v>
      </c>
      <c r="I1752" s="1">
        <v>3.08</v>
      </c>
      <c r="J1752" s="1">
        <v>-0.23</v>
      </c>
      <c r="K1752" s="2">
        <v>42625</v>
      </c>
      <c r="L1752" s="1">
        <v>3716</v>
      </c>
      <c r="M1752" s="1">
        <v>4.33</v>
      </c>
      <c r="N1752" s="1">
        <v>0.54732999999999998</v>
      </c>
      <c r="O1752" s="3">
        <f>VLOOKUP(D1752,underlying!$D$40:$H$75,5,FALSE)</f>
        <v>-4.75</v>
      </c>
      <c r="P1752" s="4">
        <f t="shared" si="58"/>
        <v>42713</v>
      </c>
      <c r="Q1752" s="7">
        <f>IF(G1752="C",NormalCallSprd(O1752,H1752,M1752,(P1752-A1752)/365), NormalPutSprd(O1752,H1752,M1752,(P1752-A1752)/365))</f>
        <v>3.0814707249410085</v>
      </c>
      <c r="R1752" s="9">
        <f t="shared" si="60"/>
        <v>1.4707249410084167E-3</v>
      </c>
    </row>
    <row r="1753" spans="1:18" x14ac:dyDescent="0.2">
      <c r="A1753" s="2">
        <v>42622</v>
      </c>
      <c r="B1753" s="1" t="s">
        <v>56</v>
      </c>
      <c r="C1753" s="1" t="s">
        <v>57</v>
      </c>
      <c r="D1753" s="2">
        <v>42381</v>
      </c>
      <c r="E1753" s="2">
        <f t="shared" si="59"/>
        <v>42705</v>
      </c>
      <c r="F1753" s="1" t="s">
        <v>58</v>
      </c>
      <c r="G1753" s="1" t="s">
        <v>18</v>
      </c>
      <c r="H1753" s="1">
        <v>-7.75</v>
      </c>
      <c r="I1753" s="1">
        <v>0.08</v>
      </c>
      <c r="J1753" s="1">
        <v>0.02</v>
      </c>
      <c r="K1753" s="2">
        <v>42625</v>
      </c>
      <c r="L1753" s="1">
        <v>3716</v>
      </c>
      <c r="M1753" s="1">
        <v>4.33</v>
      </c>
      <c r="N1753" s="1">
        <v>0.57245999999999997</v>
      </c>
      <c r="O1753" s="3">
        <f>VLOOKUP(D1753,underlying!$D$40:$H$75,5,FALSE)</f>
        <v>-4.75</v>
      </c>
      <c r="P1753" s="4">
        <f t="shared" si="58"/>
        <v>42713</v>
      </c>
      <c r="Q1753" s="7">
        <f>IF(G1753="C",NormalCallSprd(O1753,H1753,M1753,(P1753-A1753)/365), NormalPutSprd(O1753,H1753,M1753,(P1753-A1753)/365))</f>
        <v>8.1470724941008529E-2</v>
      </c>
      <c r="R1753" s="9">
        <f t="shared" si="60"/>
        <v>1.4707249410085277E-3</v>
      </c>
    </row>
    <row r="1754" spans="1:18" x14ac:dyDescent="0.2">
      <c r="A1754" s="2">
        <v>42622</v>
      </c>
      <c r="B1754" s="1" t="s">
        <v>56</v>
      </c>
      <c r="C1754" s="1" t="s">
        <v>57</v>
      </c>
      <c r="D1754" s="2">
        <v>42381</v>
      </c>
      <c r="E1754" s="2">
        <f t="shared" si="59"/>
        <v>42705</v>
      </c>
      <c r="F1754" s="1" t="s">
        <v>58</v>
      </c>
      <c r="G1754" s="1" t="s">
        <v>16</v>
      </c>
      <c r="H1754" s="1">
        <v>-7.5</v>
      </c>
      <c r="I1754" s="1">
        <v>2.85</v>
      </c>
      <c r="J1754" s="1">
        <v>-0.23</v>
      </c>
      <c r="K1754" s="2">
        <v>42625</v>
      </c>
      <c r="L1754" s="1">
        <v>3716</v>
      </c>
      <c r="M1754" s="1">
        <v>4.33</v>
      </c>
      <c r="N1754" s="1">
        <v>0.59757000000000005</v>
      </c>
      <c r="O1754" s="3">
        <f>VLOOKUP(D1754,underlying!$D$40:$H$75,5,FALSE)</f>
        <v>-4.75</v>
      </c>
      <c r="P1754" s="4">
        <f t="shared" si="58"/>
        <v>42713</v>
      </c>
      <c r="Q1754" s="7">
        <f>IF(G1754="C",NormalCallSprd(O1754,H1754,M1754,(P1754-A1754)/365), NormalPutSprd(O1754,H1754,M1754,(P1754-A1754)/365))</f>
        <v>2.854450603368587</v>
      </c>
      <c r="R1754" s="9">
        <f t="shared" si="60"/>
        <v>4.4506033685869362E-3</v>
      </c>
    </row>
    <row r="1755" spans="1:18" x14ac:dyDescent="0.2">
      <c r="A1755" s="2">
        <v>42622</v>
      </c>
      <c r="B1755" s="1" t="s">
        <v>56</v>
      </c>
      <c r="C1755" s="1" t="s">
        <v>57</v>
      </c>
      <c r="D1755" s="2">
        <v>42381</v>
      </c>
      <c r="E1755" s="2">
        <f t="shared" si="59"/>
        <v>42705</v>
      </c>
      <c r="F1755" s="1" t="s">
        <v>58</v>
      </c>
      <c r="G1755" s="1" t="s">
        <v>18</v>
      </c>
      <c r="H1755" s="1">
        <v>-7.5</v>
      </c>
      <c r="I1755" s="1">
        <v>0.1</v>
      </c>
      <c r="J1755" s="1">
        <v>0.02</v>
      </c>
      <c r="K1755" s="2">
        <v>42625</v>
      </c>
      <c r="L1755" s="1">
        <v>3716</v>
      </c>
      <c r="M1755" s="1">
        <v>4.33</v>
      </c>
      <c r="N1755" s="1">
        <v>0.62136999999999998</v>
      </c>
      <c r="O1755" s="3">
        <f>VLOOKUP(D1755,underlying!$D$40:$H$75,5,FALSE)</f>
        <v>-4.75</v>
      </c>
      <c r="P1755" s="4">
        <f t="shared" si="58"/>
        <v>42713</v>
      </c>
      <c r="Q1755" s="7">
        <f>IF(G1755="C",NormalCallSprd(O1755,H1755,M1755,(P1755-A1755)/365), NormalPutSprd(O1755,H1755,M1755,(P1755-A1755)/365))</f>
        <v>0.10445060336858682</v>
      </c>
      <c r="R1755" s="9">
        <f t="shared" si="60"/>
        <v>4.4506033685868113E-3</v>
      </c>
    </row>
    <row r="1756" spans="1:18" x14ac:dyDescent="0.2">
      <c r="A1756" s="2">
        <v>42622</v>
      </c>
      <c r="B1756" s="1" t="s">
        <v>56</v>
      </c>
      <c r="C1756" s="1" t="s">
        <v>57</v>
      </c>
      <c r="D1756" s="2">
        <v>42381</v>
      </c>
      <c r="E1756" s="2">
        <f t="shared" si="59"/>
        <v>42705</v>
      </c>
      <c r="F1756" s="1" t="s">
        <v>58</v>
      </c>
      <c r="G1756" s="1" t="s">
        <v>16</v>
      </c>
      <c r="H1756" s="1">
        <v>-7.25</v>
      </c>
      <c r="I1756" s="1">
        <v>2.63</v>
      </c>
      <c r="J1756" s="1">
        <v>-0.22</v>
      </c>
      <c r="K1756" s="2">
        <v>42625</v>
      </c>
      <c r="L1756" s="1">
        <v>3716</v>
      </c>
      <c r="M1756" s="1">
        <v>4.33</v>
      </c>
      <c r="N1756" s="1">
        <v>0.64602999999999999</v>
      </c>
      <c r="O1756" s="3">
        <f>VLOOKUP(D1756,underlying!$D$40:$H$75,5,FALSE)</f>
        <v>-4.75</v>
      </c>
      <c r="P1756" s="4">
        <f t="shared" si="58"/>
        <v>42713</v>
      </c>
      <c r="Q1756" s="7">
        <f>IF(G1756="C",NormalCallSprd(O1756,H1756,M1756,(P1756-A1756)/365), NormalPutSprd(O1756,H1756,M1756,(P1756-A1756)/365))</f>
        <v>2.6325698766420138</v>
      </c>
      <c r="R1756" s="9">
        <f t="shared" si="60"/>
        <v>2.569876642013913E-3</v>
      </c>
    </row>
    <row r="1757" spans="1:18" x14ac:dyDescent="0.2">
      <c r="A1757" s="2">
        <v>42622</v>
      </c>
      <c r="B1757" s="1" t="s">
        <v>56</v>
      </c>
      <c r="C1757" s="1" t="s">
        <v>57</v>
      </c>
      <c r="D1757" s="2">
        <v>42381</v>
      </c>
      <c r="E1757" s="2">
        <f t="shared" si="59"/>
        <v>42705</v>
      </c>
      <c r="F1757" s="1" t="s">
        <v>58</v>
      </c>
      <c r="G1757" s="1" t="s">
        <v>18</v>
      </c>
      <c r="H1757" s="1">
        <v>-7.25</v>
      </c>
      <c r="I1757" s="1">
        <v>0.13</v>
      </c>
      <c r="J1757" s="1">
        <v>0.02</v>
      </c>
      <c r="K1757" s="2">
        <v>42625</v>
      </c>
      <c r="L1757" s="1">
        <v>3716</v>
      </c>
      <c r="M1757" s="1">
        <v>4.33</v>
      </c>
      <c r="N1757" s="1">
        <v>0.66852</v>
      </c>
      <c r="O1757" s="3">
        <f>VLOOKUP(D1757,underlying!$D$40:$H$75,5,FALSE)</f>
        <v>-4.75</v>
      </c>
      <c r="P1757" s="4">
        <f t="shared" si="58"/>
        <v>42713</v>
      </c>
      <c r="Q1757" s="7">
        <f>IF(G1757="C",NormalCallSprd(O1757,H1757,M1757,(P1757-A1757)/365), NormalPutSprd(O1757,H1757,M1757,(P1757-A1757)/365))</f>
        <v>0.13256987664201392</v>
      </c>
      <c r="R1757" s="9">
        <f t="shared" si="60"/>
        <v>2.569876642013913E-3</v>
      </c>
    </row>
    <row r="1758" spans="1:18" x14ac:dyDescent="0.2">
      <c r="A1758" s="2">
        <v>42622</v>
      </c>
      <c r="B1758" s="1" t="s">
        <v>56</v>
      </c>
      <c r="C1758" s="1" t="s">
        <v>57</v>
      </c>
      <c r="D1758" s="2">
        <v>42381</v>
      </c>
      <c r="E1758" s="2">
        <f t="shared" si="59"/>
        <v>42705</v>
      </c>
      <c r="F1758" s="1" t="s">
        <v>58</v>
      </c>
      <c r="G1758" s="1" t="s">
        <v>16</v>
      </c>
      <c r="H1758" s="1">
        <v>-7</v>
      </c>
      <c r="I1758" s="1">
        <v>2.41</v>
      </c>
      <c r="J1758" s="1">
        <v>-0.22</v>
      </c>
      <c r="K1758" s="2">
        <v>42625</v>
      </c>
      <c r="L1758" s="1">
        <v>3716</v>
      </c>
      <c r="M1758" s="1">
        <v>4.33</v>
      </c>
      <c r="N1758" s="1">
        <v>0.69213000000000002</v>
      </c>
      <c r="O1758" s="3">
        <f>VLOOKUP(D1758,underlying!$D$40:$H$75,5,FALSE)</f>
        <v>-4.75</v>
      </c>
      <c r="P1758" s="4">
        <f t="shared" si="58"/>
        <v>42713</v>
      </c>
      <c r="Q1758" s="7">
        <f>IF(G1758="C",NormalCallSprd(O1758,H1758,M1758,(P1758-A1758)/365), NormalPutSprd(O1758,H1758,M1758,(P1758-A1758)/365))</f>
        <v>2.4166013375459969</v>
      </c>
      <c r="R1758" s="9">
        <f t="shared" si="60"/>
        <v>6.6013375459967882E-3</v>
      </c>
    </row>
    <row r="1759" spans="1:18" x14ac:dyDescent="0.2">
      <c r="A1759" s="2">
        <v>42622</v>
      </c>
      <c r="B1759" s="1" t="s">
        <v>56</v>
      </c>
      <c r="C1759" s="1" t="s">
        <v>57</v>
      </c>
      <c r="D1759" s="2">
        <v>42381</v>
      </c>
      <c r="E1759" s="2">
        <f t="shared" si="59"/>
        <v>42705</v>
      </c>
      <c r="F1759" s="1" t="s">
        <v>58</v>
      </c>
      <c r="G1759" s="1" t="s">
        <v>18</v>
      </c>
      <c r="H1759" s="1">
        <v>-7</v>
      </c>
      <c r="I1759" s="1">
        <v>0.17</v>
      </c>
      <c r="J1759" s="1">
        <v>0.04</v>
      </c>
      <c r="K1759" s="2">
        <v>42625</v>
      </c>
      <c r="L1759" s="1">
        <v>3716</v>
      </c>
      <c r="M1759" s="1">
        <v>4.33</v>
      </c>
      <c r="N1759" s="1">
        <v>0.71303000000000005</v>
      </c>
      <c r="O1759" s="3">
        <f>VLOOKUP(D1759,underlying!$D$40:$H$75,5,FALSE)</f>
        <v>-4.75</v>
      </c>
      <c r="P1759" s="4">
        <f t="shared" si="58"/>
        <v>42713</v>
      </c>
      <c r="Q1759" s="7">
        <f>IF(G1759="C",NormalCallSprd(O1759,H1759,M1759,(P1759-A1759)/365), NormalPutSprd(O1759,H1759,M1759,(P1759-A1759)/365))</f>
        <v>0.16660133754599721</v>
      </c>
      <c r="R1759" s="9">
        <f t="shared" si="60"/>
        <v>3.3986624540028043E-3</v>
      </c>
    </row>
    <row r="1760" spans="1:18" x14ac:dyDescent="0.2">
      <c r="A1760" s="2">
        <v>42622</v>
      </c>
      <c r="B1760" s="1" t="s">
        <v>56</v>
      </c>
      <c r="C1760" s="1" t="s">
        <v>57</v>
      </c>
      <c r="D1760" s="2">
        <v>42381</v>
      </c>
      <c r="E1760" s="2">
        <f t="shared" si="59"/>
        <v>42705</v>
      </c>
      <c r="F1760" s="1" t="s">
        <v>58</v>
      </c>
      <c r="G1760" s="1" t="s">
        <v>16</v>
      </c>
      <c r="H1760" s="1">
        <v>-6.75</v>
      </c>
      <c r="I1760" s="1">
        <v>2.2000000000000002</v>
      </c>
      <c r="J1760" s="1">
        <v>-0.22</v>
      </c>
      <c r="K1760" s="2">
        <v>42625</v>
      </c>
      <c r="L1760" s="1">
        <v>3716</v>
      </c>
      <c r="M1760" s="1">
        <v>4.33</v>
      </c>
      <c r="N1760" s="1">
        <v>0.73411999999999999</v>
      </c>
      <c r="O1760" s="3">
        <f>VLOOKUP(D1760,underlying!$D$40:$H$75,5,FALSE)</f>
        <v>-4.75</v>
      </c>
      <c r="P1760" s="4">
        <f t="shared" si="58"/>
        <v>42713</v>
      </c>
      <c r="Q1760" s="7">
        <f>IF(G1760="C",NormalCallSprd(O1760,H1760,M1760,(P1760-A1760)/365), NormalPutSprd(O1760,H1760,M1760,(P1760-A1760)/365))</f>
        <v>2.2073438488279211</v>
      </c>
      <c r="R1760" s="9">
        <f t="shared" si="60"/>
        <v>7.3438488279209402E-3</v>
      </c>
    </row>
    <row r="1761" spans="1:18" x14ac:dyDescent="0.2">
      <c r="A1761" s="2">
        <v>42622</v>
      </c>
      <c r="B1761" s="1" t="s">
        <v>56</v>
      </c>
      <c r="C1761" s="1" t="s">
        <v>57</v>
      </c>
      <c r="D1761" s="2">
        <v>42381</v>
      </c>
      <c r="E1761" s="2">
        <f t="shared" si="59"/>
        <v>42705</v>
      </c>
      <c r="F1761" s="1" t="s">
        <v>58</v>
      </c>
      <c r="G1761" s="1" t="s">
        <v>18</v>
      </c>
      <c r="H1761" s="1">
        <v>-6.75</v>
      </c>
      <c r="I1761" s="1">
        <v>0.21</v>
      </c>
      <c r="J1761" s="1">
        <v>0.04</v>
      </c>
      <c r="K1761" s="2">
        <v>42625</v>
      </c>
      <c r="L1761" s="1">
        <v>3716</v>
      </c>
      <c r="M1761" s="1">
        <v>4.33</v>
      </c>
      <c r="N1761" s="1">
        <v>0.75436999999999999</v>
      </c>
      <c r="O1761" s="3">
        <f>VLOOKUP(D1761,underlying!$D$40:$H$75,5,FALSE)</f>
        <v>-4.75</v>
      </c>
      <c r="P1761" s="4">
        <f t="shared" si="58"/>
        <v>42713</v>
      </c>
      <c r="Q1761" s="7">
        <f>IF(G1761="C",NormalCallSprd(O1761,H1761,M1761,(P1761-A1761)/365), NormalPutSprd(O1761,H1761,M1761,(P1761-A1761)/365))</f>
        <v>0.20734384882792106</v>
      </c>
      <c r="R1761" s="9">
        <f t="shared" si="60"/>
        <v>2.6561511720789299E-3</v>
      </c>
    </row>
    <row r="1762" spans="1:18" x14ac:dyDescent="0.2">
      <c r="A1762" s="2">
        <v>42622</v>
      </c>
      <c r="B1762" s="1" t="s">
        <v>56</v>
      </c>
      <c r="C1762" s="1" t="s">
        <v>57</v>
      </c>
      <c r="D1762" s="2">
        <v>42381</v>
      </c>
      <c r="E1762" s="2">
        <f t="shared" si="59"/>
        <v>42705</v>
      </c>
      <c r="F1762" s="1" t="s">
        <v>58</v>
      </c>
      <c r="G1762" s="1" t="s">
        <v>16</v>
      </c>
      <c r="H1762" s="1">
        <v>-6.5</v>
      </c>
      <c r="I1762" s="1">
        <v>2</v>
      </c>
      <c r="J1762" s="1">
        <v>-0.21</v>
      </c>
      <c r="K1762" s="2">
        <v>42625</v>
      </c>
      <c r="L1762" s="1">
        <v>3716</v>
      </c>
      <c r="M1762" s="1">
        <v>4.33</v>
      </c>
      <c r="N1762" s="1">
        <v>0.77371999999999996</v>
      </c>
      <c r="O1762" s="3">
        <f>VLOOKUP(D1762,underlying!$D$40:$H$75,5,FALSE)</f>
        <v>-4.75</v>
      </c>
      <c r="P1762" s="4">
        <f t="shared" si="58"/>
        <v>42713</v>
      </c>
      <c r="Q1762" s="7">
        <f>IF(G1762="C",NormalCallSprd(O1762,H1762,M1762,(P1762-A1762)/365), NormalPutSprd(O1762,H1762,M1762,(P1762-A1762)/365))</f>
        <v>2.0056032615904953</v>
      </c>
      <c r="R1762" s="9">
        <f t="shared" si="60"/>
        <v>5.6032615904952898E-3</v>
      </c>
    </row>
    <row r="1763" spans="1:18" x14ac:dyDescent="0.2">
      <c r="A1763" s="2">
        <v>42622</v>
      </c>
      <c r="B1763" s="1" t="s">
        <v>56</v>
      </c>
      <c r="C1763" s="1" t="s">
        <v>57</v>
      </c>
      <c r="D1763" s="2">
        <v>42381</v>
      </c>
      <c r="E1763" s="2">
        <f t="shared" si="59"/>
        <v>42705</v>
      </c>
      <c r="F1763" s="1" t="s">
        <v>58</v>
      </c>
      <c r="G1763" s="1" t="s">
        <v>18</v>
      </c>
      <c r="H1763" s="1">
        <v>-6.5</v>
      </c>
      <c r="I1763" s="1">
        <v>0.26</v>
      </c>
      <c r="J1763" s="1">
        <v>0.05</v>
      </c>
      <c r="K1763" s="2">
        <v>42625</v>
      </c>
      <c r="L1763" s="1">
        <v>3716</v>
      </c>
      <c r="M1763" s="1">
        <v>4.33</v>
      </c>
      <c r="N1763" s="1">
        <v>0.79213999999999996</v>
      </c>
      <c r="O1763" s="3">
        <f>VLOOKUP(D1763,underlying!$D$40:$H$75,5,FALSE)</f>
        <v>-4.75</v>
      </c>
      <c r="P1763" s="4">
        <f t="shared" si="58"/>
        <v>42713</v>
      </c>
      <c r="Q1763" s="7">
        <f>IF(G1763="C",NormalCallSprd(O1763,H1763,M1763,(P1763-A1763)/365), NormalPutSprd(O1763,H1763,M1763,(P1763-A1763)/365))</f>
        <v>0.25560326159049535</v>
      </c>
      <c r="R1763" s="9">
        <f t="shared" si="60"/>
        <v>4.3967384095046635E-3</v>
      </c>
    </row>
    <row r="1764" spans="1:18" x14ac:dyDescent="0.2">
      <c r="A1764" s="2">
        <v>42622</v>
      </c>
      <c r="B1764" s="1" t="s">
        <v>56</v>
      </c>
      <c r="C1764" s="1" t="s">
        <v>57</v>
      </c>
      <c r="D1764" s="2">
        <v>42381</v>
      </c>
      <c r="E1764" s="2">
        <f t="shared" si="59"/>
        <v>42705</v>
      </c>
      <c r="F1764" s="1" t="s">
        <v>58</v>
      </c>
      <c r="G1764" s="1" t="s">
        <v>16</v>
      </c>
      <c r="H1764" s="1">
        <v>-6.25</v>
      </c>
      <c r="I1764" s="1">
        <v>1.81</v>
      </c>
      <c r="J1764" s="1">
        <v>-0.2</v>
      </c>
      <c r="K1764" s="2">
        <v>42625</v>
      </c>
      <c r="L1764" s="1">
        <v>3716</v>
      </c>
      <c r="M1764" s="1">
        <v>4.33</v>
      </c>
      <c r="N1764" s="1">
        <v>0.81027000000000005</v>
      </c>
      <c r="O1764" s="3">
        <f>VLOOKUP(D1764,underlying!$D$40:$H$75,5,FALSE)</f>
        <v>-4.75</v>
      </c>
      <c r="P1764" s="4">
        <f t="shared" si="58"/>
        <v>42713</v>
      </c>
      <c r="Q1764" s="7">
        <f>IF(G1764="C",NormalCallSprd(O1764,H1764,M1764,(P1764-A1764)/365), NormalPutSprd(O1764,H1764,M1764,(P1764-A1764)/365))</f>
        <v>1.8121706131467517</v>
      </c>
      <c r="R1764" s="9">
        <f t="shared" si="60"/>
        <v>2.1706131467515988E-3</v>
      </c>
    </row>
    <row r="1765" spans="1:18" x14ac:dyDescent="0.2">
      <c r="A1765" s="2">
        <v>42622</v>
      </c>
      <c r="B1765" s="1" t="s">
        <v>56</v>
      </c>
      <c r="C1765" s="1" t="s">
        <v>57</v>
      </c>
      <c r="D1765" s="2">
        <v>42381</v>
      </c>
      <c r="E1765" s="2">
        <f t="shared" si="59"/>
        <v>42705</v>
      </c>
      <c r="F1765" s="1" t="s">
        <v>58</v>
      </c>
      <c r="G1765" s="1" t="s">
        <v>18</v>
      </c>
      <c r="H1765" s="1">
        <v>-6.25</v>
      </c>
      <c r="I1765" s="1">
        <v>0.31</v>
      </c>
      <c r="J1765" s="1">
        <v>0.05</v>
      </c>
      <c r="K1765" s="2">
        <v>42625</v>
      </c>
      <c r="L1765" s="1">
        <v>3716</v>
      </c>
      <c r="M1765" s="1">
        <v>4.33</v>
      </c>
      <c r="N1765" s="1">
        <v>0.82676000000000005</v>
      </c>
      <c r="O1765" s="3">
        <f>VLOOKUP(D1765,underlying!$D$40:$H$75,5,FALSE)</f>
        <v>-4.75</v>
      </c>
      <c r="P1765" s="4">
        <f t="shared" si="58"/>
        <v>42713</v>
      </c>
      <c r="Q1765" s="7">
        <f>IF(G1765="C",NormalCallSprd(O1765,H1765,M1765,(P1765-A1765)/365), NormalPutSprd(O1765,H1765,M1765,(P1765-A1765)/365))</f>
        <v>0.31217061314675176</v>
      </c>
      <c r="R1765" s="9">
        <f t="shared" si="60"/>
        <v>2.1706131467517653E-3</v>
      </c>
    </row>
    <row r="1766" spans="1:18" x14ac:dyDescent="0.2">
      <c r="A1766" s="2">
        <v>42622</v>
      </c>
      <c r="B1766" s="1" t="s">
        <v>56</v>
      </c>
      <c r="C1766" s="1" t="s">
        <v>57</v>
      </c>
      <c r="D1766" s="2">
        <v>42381</v>
      </c>
      <c r="E1766" s="2">
        <f t="shared" si="59"/>
        <v>42705</v>
      </c>
      <c r="F1766" s="1" t="s">
        <v>58</v>
      </c>
      <c r="G1766" s="1" t="s">
        <v>16</v>
      </c>
      <c r="H1766" s="1">
        <v>-6</v>
      </c>
      <c r="I1766" s="1">
        <v>1.63</v>
      </c>
      <c r="J1766" s="1">
        <v>-0.18</v>
      </c>
      <c r="K1766" s="2">
        <v>42625</v>
      </c>
      <c r="L1766" s="1">
        <v>3716</v>
      </c>
      <c r="M1766" s="1">
        <v>4.33</v>
      </c>
      <c r="N1766" s="1">
        <v>0.84292999999999996</v>
      </c>
      <c r="O1766" s="3">
        <f>VLOOKUP(D1766,underlying!$D$40:$H$75,5,FALSE)</f>
        <v>-4.75</v>
      </c>
      <c r="P1766" s="4">
        <f t="shared" si="58"/>
        <v>42713</v>
      </c>
      <c r="Q1766" s="7">
        <f>IF(G1766="C",NormalCallSprd(O1766,H1766,M1766,(P1766-A1766)/365), NormalPutSprd(O1766,H1766,M1766,(P1766-A1766)/365))</f>
        <v>1.6277984986301544</v>
      </c>
      <c r="R1766" s="9">
        <f t="shared" si="60"/>
        <v>2.2015013698455377E-3</v>
      </c>
    </row>
    <row r="1767" spans="1:18" x14ac:dyDescent="0.2">
      <c r="A1767" s="2">
        <v>42622</v>
      </c>
      <c r="B1767" s="1" t="s">
        <v>56</v>
      </c>
      <c r="C1767" s="1" t="s">
        <v>57</v>
      </c>
      <c r="D1767" s="2">
        <v>42381</v>
      </c>
      <c r="E1767" s="2">
        <f t="shared" si="59"/>
        <v>42705</v>
      </c>
      <c r="F1767" s="1" t="s">
        <v>58</v>
      </c>
      <c r="G1767" s="1" t="s">
        <v>18</v>
      </c>
      <c r="H1767" s="1">
        <v>-6</v>
      </c>
      <c r="I1767" s="1">
        <v>0.38</v>
      </c>
      <c r="J1767" s="1">
        <v>0.06</v>
      </c>
      <c r="K1767" s="2">
        <v>42625</v>
      </c>
      <c r="L1767" s="1">
        <v>3716</v>
      </c>
      <c r="M1767" s="1">
        <v>4.33</v>
      </c>
      <c r="N1767" s="1">
        <v>0.85743999999999998</v>
      </c>
      <c r="O1767" s="3">
        <f>VLOOKUP(D1767,underlying!$D$40:$H$75,5,FALSE)</f>
        <v>-4.75</v>
      </c>
      <c r="P1767" s="4">
        <f t="shared" si="58"/>
        <v>42713</v>
      </c>
      <c r="Q1767" s="7">
        <f>IF(G1767="C",NormalCallSprd(O1767,H1767,M1767,(P1767-A1767)/365), NormalPutSprd(O1767,H1767,M1767,(P1767-A1767)/365))</f>
        <v>0.37779849863015436</v>
      </c>
      <c r="R1767" s="9">
        <f t="shared" si="60"/>
        <v>2.2015013698456487E-3</v>
      </c>
    </row>
    <row r="1768" spans="1:18" x14ac:dyDescent="0.2">
      <c r="A1768" s="2">
        <v>42622</v>
      </c>
      <c r="B1768" s="1" t="s">
        <v>56</v>
      </c>
      <c r="C1768" s="1" t="s">
        <v>57</v>
      </c>
      <c r="D1768" s="2">
        <v>42381</v>
      </c>
      <c r="E1768" s="2">
        <f t="shared" si="59"/>
        <v>42705</v>
      </c>
      <c r="F1768" s="1" t="s">
        <v>58</v>
      </c>
      <c r="G1768" s="1" t="s">
        <v>16</v>
      </c>
      <c r="H1768" s="1">
        <v>-5.75</v>
      </c>
      <c r="I1768" s="1">
        <v>1.45</v>
      </c>
      <c r="J1768" s="1">
        <v>-0.18</v>
      </c>
      <c r="K1768" s="2">
        <v>42625</v>
      </c>
      <c r="L1768" s="1">
        <v>3716</v>
      </c>
      <c r="M1768" s="1">
        <v>4.3099999999999996</v>
      </c>
      <c r="N1768" s="1">
        <v>0.87095</v>
      </c>
      <c r="O1768" s="3">
        <f>VLOOKUP(D1768,underlying!$D$40:$H$75,5,FALSE)</f>
        <v>-4.75</v>
      </c>
      <c r="P1768" s="4">
        <f t="shared" si="58"/>
        <v>42713</v>
      </c>
      <c r="Q1768" s="7">
        <f>IF(G1768="C",NormalCallSprd(O1768,H1768,M1768,(P1768-A1768)/365), NormalPutSprd(O1768,H1768,M1768,(P1768-A1768)/365))</f>
        <v>1.4495987072348682</v>
      </c>
      <c r="R1768" s="9">
        <f t="shared" si="60"/>
        <v>4.012927651317888E-4</v>
      </c>
    </row>
    <row r="1769" spans="1:18" x14ac:dyDescent="0.2">
      <c r="A1769" s="2">
        <v>42622</v>
      </c>
      <c r="B1769" s="1" t="s">
        <v>56</v>
      </c>
      <c r="C1769" s="1" t="s">
        <v>57</v>
      </c>
      <c r="D1769" s="2">
        <v>42381</v>
      </c>
      <c r="E1769" s="2">
        <f t="shared" si="59"/>
        <v>42705</v>
      </c>
      <c r="F1769" s="1" t="s">
        <v>58</v>
      </c>
      <c r="G1769" s="1" t="s">
        <v>18</v>
      </c>
      <c r="H1769" s="1">
        <v>-5.75</v>
      </c>
      <c r="I1769" s="1">
        <v>0.45</v>
      </c>
      <c r="J1769" s="1">
        <v>7.0000000000000007E-2</v>
      </c>
      <c r="K1769" s="2">
        <v>42625</v>
      </c>
      <c r="L1769" s="1">
        <v>3716</v>
      </c>
      <c r="M1769" s="1">
        <v>4.3099999999999996</v>
      </c>
      <c r="N1769" s="1">
        <v>0.88349999999999995</v>
      </c>
      <c r="O1769" s="3">
        <f>VLOOKUP(D1769,underlying!$D$40:$H$75,5,FALSE)</f>
        <v>-4.75</v>
      </c>
      <c r="P1769" s="4">
        <f t="shared" si="58"/>
        <v>42713</v>
      </c>
      <c r="Q1769" s="7">
        <f>IF(G1769="C",NormalCallSprd(O1769,H1769,M1769,(P1769-A1769)/365), NormalPutSprd(O1769,H1769,M1769,(P1769-A1769)/365))</f>
        <v>0.44959870723486822</v>
      </c>
      <c r="R1769" s="9">
        <f t="shared" si="60"/>
        <v>4.012927651317888E-4</v>
      </c>
    </row>
    <row r="1770" spans="1:18" x14ac:dyDescent="0.2">
      <c r="A1770" s="2">
        <v>42622</v>
      </c>
      <c r="B1770" s="1" t="s">
        <v>56</v>
      </c>
      <c r="C1770" s="1" t="s">
        <v>57</v>
      </c>
      <c r="D1770" s="2">
        <v>42381</v>
      </c>
      <c r="E1770" s="2">
        <f t="shared" si="59"/>
        <v>42705</v>
      </c>
      <c r="F1770" s="1" t="s">
        <v>58</v>
      </c>
      <c r="G1770" s="1" t="s">
        <v>16</v>
      </c>
      <c r="H1770" s="1">
        <v>-5.5</v>
      </c>
      <c r="I1770" s="1">
        <v>1.29</v>
      </c>
      <c r="J1770" s="1">
        <v>-0.16</v>
      </c>
      <c r="K1770" s="2">
        <v>42625</v>
      </c>
      <c r="L1770" s="1">
        <v>3716</v>
      </c>
      <c r="M1770" s="1">
        <v>4.32</v>
      </c>
      <c r="N1770" s="1">
        <v>0.89509000000000005</v>
      </c>
      <c r="O1770" s="3">
        <f>VLOOKUP(D1770,underlying!$D$40:$H$75,5,FALSE)</f>
        <v>-4.75</v>
      </c>
      <c r="P1770" s="4">
        <f t="shared" si="58"/>
        <v>42713</v>
      </c>
      <c r="Q1770" s="7">
        <f>IF(G1770="C",NormalCallSprd(O1770,H1770,M1770,(P1770-A1770)/365), NormalPutSprd(O1770,H1770,M1770,(P1770-A1770)/365))</f>
        <v>1.2870332195973366</v>
      </c>
      <c r="R1770" s="9">
        <f t="shared" si="60"/>
        <v>2.9667804026634048E-3</v>
      </c>
    </row>
    <row r="1771" spans="1:18" x14ac:dyDescent="0.2">
      <c r="A1771" s="2">
        <v>42622</v>
      </c>
      <c r="B1771" s="1" t="s">
        <v>56</v>
      </c>
      <c r="C1771" s="1" t="s">
        <v>57</v>
      </c>
      <c r="D1771" s="2">
        <v>42381</v>
      </c>
      <c r="E1771" s="2">
        <f t="shared" si="59"/>
        <v>42705</v>
      </c>
      <c r="F1771" s="1" t="s">
        <v>58</v>
      </c>
      <c r="G1771" s="1" t="s">
        <v>18</v>
      </c>
      <c r="H1771" s="1">
        <v>-5.5</v>
      </c>
      <c r="I1771" s="1">
        <v>0.54</v>
      </c>
      <c r="J1771" s="1">
        <v>0.09</v>
      </c>
      <c r="K1771" s="2">
        <v>42625</v>
      </c>
      <c r="L1771" s="1">
        <v>3716</v>
      </c>
      <c r="M1771" s="1">
        <v>4.32</v>
      </c>
      <c r="N1771" s="1">
        <v>0.90576000000000001</v>
      </c>
      <c r="O1771" s="3">
        <f>VLOOKUP(D1771,underlying!$D$40:$H$75,5,FALSE)</f>
        <v>-4.75</v>
      </c>
      <c r="P1771" s="4">
        <f t="shared" si="58"/>
        <v>42713</v>
      </c>
      <c r="Q1771" s="7">
        <f>IF(G1771="C",NormalCallSprd(O1771,H1771,M1771,(P1771-A1771)/365), NormalPutSprd(O1771,H1771,M1771,(P1771-A1771)/365))</f>
        <v>0.53703321959733663</v>
      </c>
      <c r="R1771" s="9">
        <f t="shared" si="60"/>
        <v>2.9667804026634048E-3</v>
      </c>
    </row>
    <row r="1772" spans="1:18" x14ac:dyDescent="0.2">
      <c r="A1772" s="2">
        <v>42622</v>
      </c>
      <c r="B1772" s="1" t="s">
        <v>56</v>
      </c>
      <c r="C1772" s="1" t="s">
        <v>57</v>
      </c>
      <c r="D1772" s="2">
        <v>42381</v>
      </c>
      <c r="E1772" s="2">
        <f t="shared" si="59"/>
        <v>42705</v>
      </c>
      <c r="F1772" s="1" t="s">
        <v>58</v>
      </c>
      <c r="G1772" s="1" t="s">
        <v>16</v>
      </c>
      <c r="H1772" s="1">
        <v>-5.25</v>
      </c>
      <c r="I1772" s="1">
        <v>1.1299999999999999</v>
      </c>
      <c r="J1772" s="1">
        <v>-0.16</v>
      </c>
      <c r="K1772" s="2">
        <v>42625</v>
      </c>
      <c r="L1772" s="1">
        <v>3716</v>
      </c>
      <c r="M1772" s="1">
        <v>4.32</v>
      </c>
      <c r="N1772" s="1">
        <v>0.91552999999999995</v>
      </c>
      <c r="O1772" s="3">
        <f>VLOOKUP(D1772,underlying!$D$40:$H$75,5,FALSE)</f>
        <v>-4.75</v>
      </c>
      <c r="P1772" s="4">
        <f t="shared" si="58"/>
        <v>42713</v>
      </c>
      <c r="Q1772" s="7">
        <f>IF(G1772="C",NormalCallSprd(O1772,H1772,M1772,(P1772-A1772)/365), NormalPutSprd(O1772,H1772,M1772,(P1772-A1772)/365))</f>
        <v>1.1335497508652703</v>
      </c>
      <c r="R1772" s="9">
        <f t="shared" si="60"/>
        <v>3.549750865270429E-3</v>
      </c>
    </row>
    <row r="1773" spans="1:18" x14ac:dyDescent="0.2">
      <c r="A1773" s="2">
        <v>42622</v>
      </c>
      <c r="B1773" s="1" t="s">
        <v>56</v>
      </c>
      <c r="C1773" s="1" t="s">
        <v>57</v>
      </c>
      <c r="D1773" s="2">
        <v>42381</v>
      </c>
      <c r="E1773" s="2">
        <f t="shared" si="59"/>
        <v>42705</v>
      </c>
      <c r="F1773" s="1" t="s">
        <v>58</v>
      </c>
      <c r="G1773" s="1" t="s">
        <v>18</v>
      </c>
      <c r="H1773" s="1">
        <v>-5.25</v>
      </c>
      <c r="I1773" s="1">
        <v>0.63</v>
      </c>
      <c r="J1773" s="1">
        <v>0.09</v>
      </c>
      <c r="K1773" s="2">
        <v>42625</v>
      </c>
      <c r="L1773" s="1">
        <v>3716</v>
      </c>
      <c r="M1773" s="1">
        <v>4.32</v>
      </c>
      <c r="N1773" s="1">
        <v>0.92445999999999995</v>
      </c>
      <c r="O1773" s="3">
        <f>VLOOKUP(D1773,underlying!$D$40:$H$75,5,FALSE)</f>
        <v>-4.75</v>
      </c>
      <c r="P1773" s="4">
        <f t="shared" si="58"/>
        <v>42713</v>
      </c>
      <c r="Q1773" s="7">
        <f>IF(G1773="C",NormalCallSprd(O1773,H1773,M1773,(P1773-A1773)/365), NormalPutSprd(O1773,H1773,M1773,(P1773-A1773)/365))</f>
        <v>0.63354975086527021</v>
      </c>
      <c r="R1773" s="9">
        <f t="shared" si="60"/>
        <v>3.549750865270207E-3</v>
      </c>
    </row>
    <row r="1774" spans="1:18" x14ac:dyDescent="0.2">
      <c r="A1774" s="2">
        <v>42622</v>
      </c>
      <c r="B1774" s="1" t="s">
        <v>56</v>
      </c>
      <c r="C1774" s="1" t="s">
        <v>57</v>
      </c>
      <c r="D1774" s="2">
        <v>42381</v>
      </c>
      <c r="E1774" s="2">
        <f t="shared" si="59"/>
        <v>42705</v>
      </c>
      <c r="F1774" s="1" t="s">
        <v>58</v>
      </c>
      <c r="G1774" s="1" t="s">
        <v>16</v>
      </c>
      <c r="H1774" s="1">
        <v>-5</v>
      </c>
      <c r="I1774" s="1">
        <v>0.99</v>
      </c>
      <c r="J1774" s="1">
        <v>-0.15</v>
      </c>
      <c r="K1774" s="2">
        <v>42625</v>
      </c>
      <c r="L1774" s="1">
        <v>3716</v>
      </c>
      <c r="M1774" s="1">
        <v>4.33</v>
      </c>
      <c r="N1774" s="1">
        <v>0.93257000000000001</v>
      </c>
      <c r="O1774" s="3">
        <f>VLOOKUP(D1774,underlying!$D$40:$H$75,5,FALSE)</f>
        <v>-4.75</v>
      </c>
      <c r="P1774" s="4">
        <f t="shared" si="58"/>
        <v>42713</v>
      </c>
      <c r="Q1774" s="7">
        <f>IF(G1774="C",NormalCallSprd(O1774,H1774,M1774,(P1774-A1774)/365), NormalPutSprd(O1774,H1774,M1774,(P1774-A1774)/365))</f>
        <v>0.99328595393939467</v>
      </c>
      <c r="R1774" s="9">
        <f t="shared" si="60"/>
        <v>3.2859539393946813E-3</v>
      </c>
    </row>
    <row r="1775" spans="1:18" x14ac:dyDescent="0.2">
      <c r="A1775" s="2">
        <v>42622</v>
      </c>
      <c r="B1775" s="1" t="s">
        <v>56</v>
      </c>
      <c r="C1775" s="1" t="s">
        <v>57</v>
      </c>
      <c r="D1775" s="2">
        <v>42381</v>
      </c>
      <c r="E1775" s="2">
        <f t="shared" si="59"/>
        <v>42705</v>
      </c>
      <c r="F1775" s="1" t="s">
        <v>58</v>
      </c>
      <c r="G1775" s="1" t="s">
        <v>18</v>
      </c>
      <c r="H1775" s="1">
        <v>-5</v>
      </c>
      <c r="I1775" s="1">
        <v>0.74</v>
      </c>
      <c r="J1775" s="1">
        <v>0.1</v>
      </c>
      <c r="K1775" s="2">
        <v>42625</v>
      </c>
      <c r="L1775" s="1">
        <v>3716</v>
      </c>
      <c r="M1775" s="1">
        <v>4.33</v>
      </c>
      <c r="N1775" s="1">
        <v>0.93991000000000002</v>
      </c>
      <c r="O1775" s="3">
        <f>VLOOKUP(D1775,underlying!$D$40:$H$75,5,FALSE)</f>
        <v>-4.75</v>
      </c>
      <c r="P1775" s="4">
        <f t="shared" si="58"/>
        <v>42713</v>
      </c>
      <c r="Q1775" s="7">
        <f>IF(G1775="C",NormalCallSprd(O1775,H1775,M1775,(P1775-A1775)/365), NormalPutSprd(O1775,H1775,M1775,(P1775-A1775)/365))</f>
        <v>0.74328595393939467</v>
      </c>
      <c r="R1775" s="9">
        <f t="shared" si="60"/>
        <v>3.2859539393946813E-3</v>
      </c>
    </row>
    <row r="1776" spans="1:18" x14ac:dyDescent="0.2">
      <c r="A1776" s="2">
        <v>42622</v>
      </c>
      <c r="B1776" s="1" t="s">
        <v>56</v>
      </c>
      <c r="C1776" s="1" t="s">
        <v>57</v>
      </c>
      <c r="D1776" s="2">
        <v>42381</v>
      </c>
      <c r="E1776" s="2">
        <f t="shared" si="59"/>
        <v>42705</v>
      </c>
      <c r="F1776" s="1" t="s">
        <v>58</v>
      </c>
      <c r="G1776" s="1" t="s">
        <v>16</v>
      </c>
      <c r="H1776" s="1">
        <v>-4.75</v>
      </c>
      <c r="I1776" s="1">
        <v>0.86</v>
      </c>
      <c r="J1776" s="1">
        <v>-0.14000000000000001</v>
      </c>
      <c r="K1776" s="2">
        <v>42625</v>
      </c>
      <c r="L1776" s="1">
        <v>3716</v>
      </c>
      <c r="M1776" s="1">
        <v>4.32</v>
      </c>
      <c r="N1776" s="1">
        <v>0.96250000000000002</v>
      </c>
      <c r="O1776" s="3">
        <f>VLOOKUP(D1776,underlying!$D$40:$H$75,5,FALSE)</f>
        <v>-4.75</v>
      </c>
      <c r="P1776" s="4">
        <f t="shared" si="58"/>
        <v>42713</v>
      </c>
      <c r="Q1776" s="7">
        <f>IF(G1776="C",NormalCallSprd(O1776,H1776,M1776,(P1776-A1776)/365), NormalPutSprd(O1776,H1776,M1776,(P1776-A1776)/365))</f>
        <v>0.86053408408963483</v>
      </c>
      <c r="R1776" s="9">
        <f t="shared" si="60"/>
        <v>5.3408408963484533E-4</v>
      </c>
    </row>
    <row r="1777" spans="1:18" x14ac:dyDescent="0.2">
      <c r="A1777" s="2">
        <v>42622</v>
      </c>
      <c r="B1777" s="1" t="s">
        <v>56</v>
      </c>
      <c r="C1777" s="1" t="s">
        <v>57</v>
      </c>
      <c r="D1777" s="2">
        <v>42381</v>
      </c>
      <c r="E1777" s="2">
        <f t="shared" si="59"/>
        <v>42705</v>
      </c>
      <c r="F1777" s="1" t="s">
        <v>58</v>
      </c>
      <c r="G1777" s="1" t="s">
        <v>18</v>
      </c>
      <c r="H1777" s="1">
        <v>-4.75</v>
      </c>
      <c r="I1777" s="1">
        <v>0.86</v>
      </c>
      <c r="J1777" s="1">
        <v>0.11</v>
      </c>
      <c r="K1777" s="2">
        <v>42625</v>
      </c>
      <c r="L1777" s="1">
        <v>3716</v>
      </c>
      <c r="M1777" s="1">
        <v>4.32</v>
      </c>
      <c r="N1777" s="1">
        <v>0.97648000000000001</v>
      </c>
      <c r="O1777" s="3">
        <f>VLOOKUP(D1777,underlying!$D$40:$H$75,5,FALSE)</f>
        <v>-4.75</v>
      </c>
      <c r="P1777" s="4">
        <f t="shared" si="58"/>
        <v>42713</v>
      </c>
      <c r="Q1777" s="7">
        <f>IF(G1777="C",NormalCallSprd(O1777,H1777,M1777,(P1777-A1777)/365), NormalPutSprd(O1777,H1777,M1777,(P1777-A1777)/365))</f>
        <v>0.86053408408963483</v>
      </c>
      <c r="R1777" s="9">
        <f t="shared" si="60"/>
        <v>5.3408408963484533E-4</v>
      </c>
    </row>
    <row r="1778" spans="1:18" x14ac:dyDescent="0.2">
      <c r="A1778" s="2">
        <v>42622</v>
      </c>
      <c r="B1778" s="1" t="s">
        <v>56</v>
      </c>
      <c r="C1778" s="1" t="s">
        <v>57</v>
      </c>
      <c r="D1778" s="2">
        <v>42381</v>
      </c>
      <c r="E1778" s="2">
        <f t="shared" si="59"/>
        <v>42705</v>
      </c>
      <c r="F1778" s="1" t="s">
        <v>58</v>
      </c>
      <c r="G1778" s="1" t="s">
        <v>16</v>
      </c>
      <c r="H1778" s="1">
        <v>-4.5</v>
      </c>
      <c r="I1778" s="1">
        <v>0.74</v>
      </c>
      <c r="J1778" s="1">
        <v>-0.12</v>
      </c>
      <c r="K1778" s="2">
        <v>42625</v>
      </c>
      <c r="L1778" s="1">
        <v>3716</v>
      </c>
      <c r="M1778" s="1">
        <v>4.33</v>
      </c>
      <c r="N1778" s="1">
        <v>-0.54732999999999998</v>
      </c>
      <c r="O1778" s="3">
        <f>VLOOKUP(D1778,underlying!$D$40:$H$75,5,FALSE)</f>
        <v>-4.75</v>
      </c>
      <c r="P1778" s="4">
        <f t="shared" si="58"/>
        <v>42713</v>
      </c>
      <c r="Q1778" s="7">
        <f>IF(G1778="C",NormalCallSprd(O1778,H1778,M1778,(P1778-A1778)/365), NormalPutSprd(O1778,H1778,M1778,(P1778-A1778)/365))</f>
        <v>0.74328595393939467</v>
      </c>
      <c r="R1778" s="9">
        <f t="shared" si="60"/>
        <v>3.2859539393946813E-3</v>
      </c>
    </row>
    <row r="1779" spans="1:18" x14ac:dyDescent="0.2">
      <c r="A1779" s="2">
        <v>42622</v>
      </c>
      <c r="B1779" s="1" t="s">
        <v>56</v>
      </c>
      <c r="C1779" s="1" t="s">
        <v>57</v>
      </c>
      <c r="D1779" s="2">
        <v>42381</v>
      </c>
      <c r="E1779" s="2">
        <f t="shared" si="59"/>
        <v>42705</v>
      </c>
      <c r="F1779" s="1" t="s">
        <v>58</v>
      </c>
      <c r="G1779" s="1" t="s">
        <v>18</v>
      </c>
      <c r="H1779" s="1">
        <v>-4.5</v>
      </c>
      <c r="I1779" s="1">
        <v>0.99</v>
      </c>
      <c r="J1779" s="1">
        <v>0.13</v>
      </c>
      <c r="K1779" s="2">
        <v>42625</v>
      </c>
      <c r="L1779" s="1">
        <v>3716</v>
      </c>
      <c r="M1779" s="1">
        <v>4.33</v>
      </c>
      <c r="N1779" s="1">
        <v>-0.52190999999999999</v>
      </c>
      <c r="O1779" s="3">
        <f>VLOOKUP(D1779,underlying!$D$40:$H$75,5,FALSE)</f>
        <v>-4.75</v>
      </c>
      <c r="P1779" s="4">
        <f t="shared" si="58"/>
        <v>42713</v>
      </c>
      <c r="Q1779" s="7">
        <f>IF(G1779="C",NormalCallSprd(O1779,H1779,M1779,(P1779-A1779)/365), NormalPutSprd(O1779,H1779,M1779,(P1779-A1779)/365))</f>
        <v>0.99328595393939467</v>
      </c>
      <c r="R1779" s="9">
        <f t="shared" si="60"/>
        <v>3.2859539393946813E-3</v>
      </c>
    </row>
    <row r="1780" spans="1:18" x14ac:dyDescent="0.2">
      <c r="A1780" s="2">
        <v>42622</v>
      </c>
      <c r="B1780" s="1" t="s">
        <v>56</v>
      </c>
      <c r="C1780" s="1" t="s">
        <v>57</v>
      </c>
      <c r="D1780" s="2">
        <v>42381</v>
      </c>
      <c r="E1780" s="2">
        <f t="shared" si="59"/>
        <v>42705</v>
      </c>
      <c r="F1780" s="1" t="s">
        <v>58</v>
      </c>
      <c r="G1780" s="1" t="s">
        <v>16</v>
      </c>
      <c r="H1780" s="1">
        <v>-4.25</v>
      </c>
      <c r="I1780" s="1">
        <v>0.63</v>
      </c>
      <c r="J1780" s="1">
        <v>-0.12</v>
      </c>
      <c r="K1780" s="2">
        <v>42625</v>
      </c>
      <c r="L1780" s="1">
        <v>3716</v>
      </c>
      <c r="M1780" s="1">
        <v>4.32</v>
      </c>
      <c r="N1780" s="1">
        <v>-0.49653999999999998</v>
      </c>
      <c r="O1780" s="3">
        <f>VLOOKUP(D1780,underlying!$D$40:$H$75,5,FALSE)</f>
        <v>-4.75</v>
      </c>
      <c r="P1780" s="4">
        <f t="shared" si="58"/>
        <v>42713</v>
      </c>
      <c r="Q1780" s="7">
        <f>IF(G1780="C",NormalCallSprd(O1780,H1780,M1780,(P1780-A1780)/365), NormalPutSprd(O1780,H1780,M1780,(P1780-A1780)/365))</f>
        <v>0.63354975086527021</v>
      </c>
      <c r="R1780" s="9">
        <f t="shared" si="60"/>
        <v>3.549750865270207E-3</v>
      </c>
    </row>
    <row r="1781" spans="1:18" x14ac:dyDescent="0.2">
      <c r="A1781" s="2">
        <v>42622</v>
      </c>
      <c r="B1781" s="1" t="s">
        <v>56</v>
      </c>
      <c r="C1781" s="1" t="s">
        <v>57</v>
      </c>
      <c r="D1781" s="2">
        <v>42381</v>
      </c>
      <c r="E1781" s="2">
        <f t="shared" si="59"/>
        <v>42705</v>
      </c>
      <c r="F1781" s="1" t="s">
        <v>58</v>
      </c>
      <c r="G1781" s="1" t="s">
        <v>18</v>
      </c>
      <c r="H1781" s="1">
        <v>-4.25</v>
      </c>
      <c r="I1781" s="1">
        <v>1.1299999999999999</v>
      </c>
      <c r="J1781" s="1">
        <v>0.13</v>
      </c>
      <c r="K1781" s="2">
        <v>42625</v>
      </c>
      <c r="L1781" s="1">
        <v>3716</v>
      </c>
      <c r="M1781" s="1">
        <v>4.32</v>
      </c>
      <c r="N1781" s="1">
        <v>-0.47116000000000002</v>
      </c>
      <c r="O1781" s="3">
        <f>VLOOKUP(D1781,underlying!$D$40:$H$75,5,FALSE)</f>
        <v>-4.75</v>
      </c>
      <c r="P1781" s="4">
        <f t="shared" si="58"/>
        <v>42713</v>
      </c>
      <c r="Q1781" s="7">
        <f>IF(G1781="C",NormalCallSprd(O1781,H1781,M1781,(P1781-A1781)/365), NormalPutSprd(O1781,H1781,M1781,(P1781-A1781)/365))</f>
        <v>1.1335497508652703</v>
      </c>
      <c r="R1781" s="9">
        <f t="shared" si="60"/>
        <v>3.549750865270429E-3</v>
      </c>
    </row>
    <row r="1782" spans="1:18" x14ac:dyDescent="0.2">
      <c r="A1782" s="2">
        <v>42622</v>
      </c>
      <c r="B1782" s="1" t="s">
        <v>56</v>
      </c>
      <c r="C1782" s="1" t="s">
        <v>57</v>
      </c>
      <c r="D1782" s="2">
        <v>42381</v>
      </c>
      <c r="E1782" s="2">
        <f t="shared" si="59"/>
        <v>42705</v>
      </c>
      <c r="F1782" s="1" t="s">
        <v>58</v>
      </c>
      <c r="G1782" s="1" t="s">
        <v>16</v>
      </c>
      <c r="H1782" s="1">
        <v>-4</v>
      </c>
      <c r="I1782" s="1">
        <v>0.54</v>
      </c>
      <c r="J1782" s="1">
        <v>-0.1</v>
      </c>
      <c r="K1782" s="2">
        <v>42625</v>
      </c>
      <c r="L1782" s="1">
        <v>3716</v>
      </c>
      <c r="M1782" s="1">
        <v>4.32</v>
      </c>
      <c r="N1782" s="1">
        <v>-0.44574000000000003</v>
      </c>
      <c r="O1782" s="3">
        <f>VLOOKUP(D1782,underlying!$D$40:$H$75,5,FALSE)</f>
        <v>-4.75</v>
      </c>
      <c r="P1782" s="4">
        <f t="shared" si="58"/>
        <v>42713</v>
      </c>
      <c r="Q1782" s="7">
        <f>IF(G1782="C",NormalCallSprd(O1782,H1782,M1782,(P1782-A1782)/365), NormalPutSprd(O1782,H1782,M1782,(P1782-A1782)/365))</f>
        <v>0.53703321959733663</v>
      </c>
      <c r="R1782" s="9">
        <f t="shared" si="60"/>
        <v>2.9667804026634048E-3</v>
      </c>
    </row>
    <row r="1783" spans="1:18" x14ac:dyDescent="0.2">
      <c r="A1783" s="2">
        <v>42622</v>
      </c>
      <c r="B1783" s="1" t="s">
        <v>56</v>
      </c>
      <c r="C1783" s="1" t="s">
        <v>57</v>
      </c>
      <c r="D1783" s="2">
        <v>42381</v>
      </c>
      <c r="E1783" s="2">
        <f t="shared" si="59"/>
        <v>42705</v>
      </c>
      <c r="F1783" s="1" t="s">
        <v>58</v>
      </c>
      <c r="G1783" s="1" t="s">
        <v>18</v>
      </c>
      <c r="H1783" s="1">
        <v>-4</v>
      </c>
      <c r="I1783" s="1">
        <v>1.29</v>
      </c>
      <c r="J1783" s="1">
        <v>0.15</v>
      </c>
      <c r="K1783" s="2">
        <v>42625</v>
      </c>
      <c r="L1783" s="1">
        <v>3716</v>
      </c>
      <c r="M1783" s="1">
        <v>4.32</v>
      </c>
      <c r="N1783" s="1">
        <v>-0.42060999999999998</v>
      </c>
      <c r="O1783" s="3">
        <f>VLOOKUP(D1783,underlying!$D$40:$H$75,5,FALSE)</f>
        <v>-4.75</v>
      </c>
      <c r="P1783" s="4">
        <f t="shared" si="58"/>
        <v>42713</v>
      </c>
      <c r="Q1783" s="7">
        <f>IF(G1783="C",NormalCallSprd(O1783,H1783,M1783,(P1783-A1783)/365), NormalPutSprd(O1783,H1783,M1783,(P1783-A1783)/365))</f>
        <v>1.2870332195973366</v>
      </c>
      <c r="R1783" s="9">
        <f t="shared" si="60"/>
        <v>2.9667804026634048E-3</v>
      </c>
    </row>
    <row r="1784" spans="1:18" x14ac:dyDescent="0.2">
      <c r="A1784" s="2">
        <v>42622</v>
      </c>
      <c r="B1784" s="1" t="s">
        <v>56</v>
      </c>
      <c r="C1784" s="1" t="s">
        <v>57</v>
      </c>
      <c r="D1784" s="2">
        <v>42381</v>
      </c>
      <c r="E1784" s="2">
        <f t="shared" si="59"/>
        <v>42705</v>
      </c>
      <c r="F1784" s="1" t="s">
        <v>58</v>
      </c>
      <c r="G1784" s="1" t="s">
        <v>16</v>
      </c>
      <c r="H1784" s="1">
        <v>-3.75</v>
      </c>
      <c r="I1784" s="1">
        <v>0.45</v>
      </c>
      <c r="J1784" s="1">
        <v>-0.09</v>
      </c>
      <c r="K1784" s="2">
        <v>42625</v>
      </c>
      <c r="L1784" s="1">
        <v>3716</v>
      </c>
      <c r="M1784" s="1">
        <v>4.3099999999999996</v>
      </c>
      <c r="N1784" s="1">
        <v>-0.39550999999999997</v>
      </c>
      <c r="O1784" s="3">
        <f>VLOOKUP(D1784,underlying!$D$40:$H$75,5,FALSE)</f>
        <v>-4.75</v>
      </c>
      <c r="P1784" s="4">
        <f t="shared" si="58"/>
        <v>42713</v>
      </c>
      <c r="Q1784" s="7">
        <f>IF(G1784="C",NormalCallSprd(O1784,H1784,M1784,(P1784-A1784)/365), NormalPutSprd(O1784,H1784,M1784,(P1784-A1784)/365))</f>
        <v>0.44959870723486822</v>
      </c>
      <c r="R1784" s="9">
        <f t="shared" si="60"/>
        <v>4.012927651317888E-4</v>
      </c>
    </row>
    <row r="1785" spans="1:18" x14ac:dyDescent="0.2">
      <c r="A1785" s="2">
        <v>42622</v>
      </c>
      <c r="B1785" s="1" t="s">
        <v>56</v>
      </c>
      <c r="C1785" s="1" t="s">
        <v>57</v>
      </c>
      <c r="D1785" s="2">
        <v>42381</v>
      </c>
      <c r="E1785" s="2">
        <f t="shared" si="59"/>
        <v>42705</v>
      </c>
      <c r="F1785" s="1" t="s">
        <v>58</v>
      </c>
      <c r="G1785" s="1" t="s">
        <v>18</v>
      </c>
      <c r="H1785" s="1">
        <v>-3.75</v>
      </c>
      <c r="I1785" s="1">
        <v>1.45</v>
      </c>
      <c r="J1785" s="1">
        <v>0.16</v>
      </c>
      <c r="K1785" s="2">
        <v>42625</v>
      </c>
      <c r="L1785" s="1">
        <v>3716</v>
      </c>
      <c r="M1785" s="1">
        <v>4.3099999999999996</v>
      </c>
      <c r="N1785" s="1">
        <v>-0.37169999999999997</v>
      </c>
      <c r="O1785" s="3">
        <f>VLOOKUP(D1785,underlying!$D$40:$H$75,5,FALSE)</f>
        <v>-4.75</v>
      </c>
      <c r="P1785" s="4">
        <f t="shared" ref="P1785:P1848" si="61">DATE(YEAR(K1785),DAY(K1785),MONTH(K1785))</f>
        <v>42713</v>
      </c>
      <c r="Q1785" s="7">
        <f>IF(G1785="C",NormalCallSprd(O1785,H1785,M1785,(P1785-A1785)/365), NormalPutSprd(O1785,H1785,M1785,(P1785-A1785)/365))</f>
        <v>1.4495987072348682</v>
      </c>
      <c r="R1785" s="9">
        <f t="shared" si="60"/>
        <v>4.012927651317888E-4</v>
      </c>
    </row>
    <row r="1786" spans="1:18" x14ac:dyDescent="0.2">
      <c r="A1786" s="2">
        <v>42622</v>
      </c>
      <c r="B1786" s="1" t="s">
        <v>56</v>
      </c>
      <c r="C1786" s="1" t="s">
        <v>57</v>
      </c>
      <c r="D1786" s="2">
        <v>42381</v>
      </c>
      <c r="E1786" s="2">
        <f t="shared" si="59"/>
        <v>42705</v>
      </c>
      <c r="F1786" s="1" t="s">
        <v>58</v>
      </c>
      <c r="G1786" s="1" t="s">
        <v>16</v>
      </c>
      <c r="H1786" s="1">
        <v>-3.5</v>
      </c>
      <c r="I1786" s="1">
        <v>0.38</v>
      </c>
      <c r="J1786" s="1">
        <v>-7.0000000000000007E-2</v>
      </c>
      <c r="K1786" s="2">
        <v>42625</v>
      </c>
      <c r="L1786" s="1">
        <v>3716</v>
      </c>
      <c r="M1786" s="1">
        <v>4.33</v>
      </c>
      <c r="N1786" s="1">
        <v>-0.34705000000000003</v>
      </c>
      <c r="O1786" s="3">
        <f>VLOOKUP(D1786,underlying!$D$40:$H$75,5,FALSE)</f>
        <v>-4.75</v>
      </c>
      <c r="P1786" s="4">
        <f t="shared" si="61"/>
        <v>42713</v>
      </c>
      <c r="Q1786" s="7">
        <f>IF(G1786="C",NormalCallSprd(O1786,H1786,M1786,(P1786-A1786)/365), NormalPutSprd(O1786,H1786,M1786,(P1786-A1786)/365))</f>
        <v>0.37779849863015436</v>
      </c>
      <c r="R1786" s="9">
        <f t="shared" si="60"/>
        <v>2.2015013698456487E-3</v>
      </c>
    </row>
    <row r="1787" spans="1:18" x14ac:dyDescent="0.2">
      <c r="A1787" s="2">
        <v>42622</v>
      </c>
      <c r="B1787" s="1" t="s">
        <v>56</v>
      </c>
      <c r="C1787" s="1" t="s">
        <v>57</v>
      </c>
      <c r="D1787" s="2">
        <v>42381</v>
      </c>
      <c r="E1787" s="2">
        <f t="shared" si="59"/>
        <v>42705</v>
      </c>
      <c r="F1787" s="1" t="s">
        <v>58</v>
      </c>
      <c r="G1787" s="1" t="s">
        <v>18</v>
      </c>
      <c r="H1787" s="1">
        <v>-3.5</v>
      </c>
      <c r="I1787" s="1">
        <v>1.63</v>
      </c>
      <c r="J1787" s="1">
        <v>0.18</v>
      </c>
      <c r="K1787" s="2">
        <v>42625</v>
      </c>
      <c r="L1787" s="1">
        <v>3716</v>
      </c>
      <c r="M1787" s="1">
        <v>4.33</v>
      </c>
      <c r="N1787" s="1">
        <v>-0.32455000000000001</v>
      </c>
      <c r="O1787" s="3">
        <f>VLOOKUP(D1787,underlying!$D$40:$H$75,5,FALSE)</f>
        <v>-4.75</v>
      </c>
      <c r="P1787" s="4">
        <f t="shared" si="61"/>
        <v>42713</v>
      </c>
      <c r="Q1787" s="7">
        <f>IF(G1787="C",NormalCallSprd(O1787,H1787,M1787,(P1787-A1787)/365), NormalPutSprd(O1787,H1787,M1787,(P1787-A1787)/365))</f>
        <v>1.6277984986301544</v>
      </c>
      <c r="R1787" s="9">
        <f t="shared" si="60"/>
        <v>2.2015013698455377E-3</v>
      </c>
    </row>
    <row r="1788" spans="1:18" x14ac:dyDescent="0.2">
      <c r="A1788" s="2">
        <v>42622</v>
      </c>
      <c r="B1788" s="1" t="s">
        <v>56</v>
      </c>
      <c r="C1788" s="1" t="s">
        <v>57</v>
      </c>
      <c r="D1788" s="2">
        <v>42381</v>
      </c>
      <c r="E1788" s="2">
        <f t="shared" si="59"/>
        <v>42705</v>
      </c>
      <c r="F1788" s="1" t="s">
        <v>58</v>
      </c>
      <c r="G1788" s="1" t="s">
        <v>16</v>
      </c>
      <c r="H1788" s="1">
        <v>-3.25</v>
      </c>
      <c r="I1788" s="1">
        <v>0.31</v>
      </c>
      <c r="J1788" s="1">
        <v>-7.0000000000000007E-2</v>
      </c>
      <c r="K1788" s="2">
        <v>42625</v>
      </c>
      <c r="L1788" s="1">
        <v>3716</v>
      </c>
      <c r="M1788" s="1">
        <v>4.3099999999999996</v>
      </c>
      <c r="N1788" s="1">
        <v>-0.30093999999999999</v>
      </c>
      <c r="O1788" s="3">
        <f>VLOOKUP(D1788,underlying!$D$40:$H$75,5,FALSE)</f>
        <v>-4.75</v>
      </c>
      <c r="P1788" s="4">
        <f t="shared" si="61"/>
        <v>42713</v>
      </c>
      <c r="Q1788" s="7">
        <f>IF(G1788="C",NormalCallSprd(O1788,H1788,M1788,(P1788-A1788)/365), NormalPutSprd(O1788,H1788,M1788,(P1788-A1788)/365))</f>
        <v>0.30904232870913589</v>
      </c>
      <c r="R1788" s="9">
        <f t="shared" si="60"/>
        <v>9.5767129086410385E-4</v>
      </c>
    </row>
    <row r="1789" spans="1:18" x14ac:dyDescent="0.2">
      <c r="A1789" s="2">
        <v>42622</v>
      </c>
      <c r="B1789" s="1" t="s">
        <v>56</v>
      </c>
      <c r="C1789" s="1" t="s">
        <v>57</v>
      </c>
      <c r="D1789" s="2">
        <v>42381</v>
      </c>
      <c r="E1789" s="2">
        <f t="shared" si="59"/>
        <v>42705</v>
      </c>
      <c r="F1789" s="1" t="s">
        <v>58</v>
      </c>
      <c r="G1789" s="1" t="s">
        <v>18</v>
      </c>
      <c r="H1789" s="1">
        <v>-3.25</v>
      </c>
      <c r="I1789" s="1">
        <v>1.81</v>
      </c>
      <c r="J1789" s="1">
        <v>0.18</v>
      </c>
      <c r="K1789" s="2">
        <v>42625</v>
      </c>
      <c r="L1789" s="1">
        <v>3716</v>
      </c>
      <c r="M1789" s="1">
        <v>4.3099999999999996</v>
      </c>
      <c r="N1789" s="1">
        <v>-0.28004000000000001</v>
      </c>
      <c r="O1789" s="3">
        <f>VLOOKUP(D1789,underlying!$D$40:$H$75,5,FALSE)</f>
        <v>-4.75</v>
      </c>
      <c r="P1789" s="4">
        <f t="shared" si="61"/>
        <v>42713</v>
      </c>
      <c r="Q1789" s="7">
        <f>IF(G1789="C",NormalCallSprd(O1789,H1789,M1789,(P1789-A1789)/365), NormalPutSprd(O1789,H1789,M1789,(P1789-A1789)/365))</f>
        <v>1.8090423287091357</v>
      </c>
      <c r="R1789" s="9">
        <f t="shared" si="60"/>
        <v>9.576712908643259E-4</v>
      </c>
    </row>
    <row r="1790" spans="1:18" x14ac:dyDescent="0.2">
      <c r="A1790" s="2">
        <v>42622</v>
      </c>
      <c r="B1790" s="1" t="s">
        <v>56</v>
      </c>
      <c r="C1790" s="1" t="s">
        <v>57</v>
      </c>
      <c r="D1790" s="2">
        <v>42381</v>
      </c>
      <c r="E1790" s="2">
        <f t="shared" si="59"/>
        <v>42705</v>
      </c>
      <c r="F1790" s="1" t="s">
        <v>58</v>
      </c>
      <c r="G1790" s="1" t="s">
        <v>16</v>
      </c>
      <c r="H1790" s="1">
        <v>-3</v>
      </c>
      <c r="I1790" s="1">
        <v>0.26</v>
      </c>
      <c r="J1790" s="1">
        <v>-0.05</v>
      </c>
      <c r="K1790" s="2">
        <v>42625</v>
      </c>
      <c r="L1790" s="1">
        <v>3716</v>
      </c>
      <c r="M1790" s="1">
        <v>4.33</v>
      </c>
      <c r="N1790" s="1">
        <v>-0.25895000000000001</v>
      </c>
      <c r="O1790" s="3">
        <f>VLOOKUP(D1790,underlying!$D$40:$H$75,5,FALSE)</f>
        <v>-4.75</v>
      </c>
      <c r="P1790" s="4">
        <f t="shared" si="61"/>
        <v>42713</v>
      </c>
      <c r="Q1790" s="7">
        <f>IF(G1790="C",NormalCallSprd(O1790,H1790,M1790,(P1790-A1790)/365), NormalPutSprd(O1790,H1790,M1790,(P1790-A1790)/365))</f>
        <v>0.25560326159049535</v>
      </c>
      <c r="R1790" s="9">
        <f t="shared" si="60"/>
        <v>4.3967384095046635E-3</v>
      </c>
    </row>
    <row r="1791" spans="1:18" x14ac:dyDescent="0.2">
      <c r="A1791" s="2">
        <v>42622</v>
      </c>
      <c r="B1791" s="1" t="s">
        <v>56</v>
      </c>
      <c r="C1791" s="1" t="s">
        <v>57</v>
      </c>
      <c r="D1791" s="2">
        <v>42381</v>
      </c>
      <c r="E1791" s="2">
        <f t="shared" si="59"/>
        <v>42705</v>
      </c>
      <c r="F1791" s="1" t="s">
        <v>58</v>
      </c>
      <c r="G1791" s="1" t="s">
        <v>18</v>
      </c>
      <c r="H1791" s="1">
        <v>-3</v>
      </c>
      <c r="I1791" s="1">
        <v>2</v>
      </c>
      <c r="J1791" s="1">
        <v>0.19</v>
      </c>
      <c r="K1791" s="2">
        <v>42625</v>
      </c>
      <c r="L1791" s="1">
        <v>3716</v>
      </c>
      <c r="M1791" s="1">
        <v>4.33</v>
      </c>
      <c r="N1791" s="1">
        <v>-0.2387</v>
      </c>
      <c r="O1791" s="3">
        <f>VLOOKUP(D1791,underlying!$D$40:$H$75,5,FALSE)</f>
        <v>-4.75</v>
      </c>
      <c r="P1791" s="4">
        <f t="shared" si="61"/>
        <v>42713</v>
      </c>
      <c r="Q1791" s="7">
        <f>IF(G1791="C",NormalCallSprd(O1791,H1791,M1791,(P1791-A1791)/365), NormalPutSprd(O1791,H1791,M1791,(P1791-A1791)/365))</f>
        <v>2.0056032615904953</v>
      </c>
      <c r="R1791" s="9">
        <f t="shared" si="60"/>
        <v>5.6032615904952898E-3</v>
      </c>
    </row>
    <row r="1792" spans="1:18" x14ac:dyDescent="0.2">
      <c r="A1792" s="2">
        <v>42622</v>
      </c>
      <c r="B1792" s="1" t="s">
        <v>56</v>
      </c>
      <c r="C1792" s="1" t="s">
        <v>57</v>
      </c>
      <c r="D1792" s="2">
        <v>42381</v>
      </c>
      <c r="E1792" s="2">
        <f t="shared" si="59"/>
        <v>42705</v>
      </c>
      <c r="F1792" s="1" t="s">
        <v>58</v>
      </c>
      <c r="G1792" s="1" t="s">
        <v>16</v>
      </c>
      <c r="H1792" s="1">
        <v>-2.75</v>
      </c>
      <c r="I1792" s="1">
        <v>0.2</v>
      </c>
      <c r="J1792" s="1">
        <v>-0.06</v>
      </c>
      <c r="K1792" s="2">
        <v>42625</v>
      </c>
      <c r="L1792" s="1">
        <v>3716</v>
      </c>
      <c r="M1792" s="1">
        <v>4.3099999999999996</v>
      </c>
      <c r="N1792" s="1">
        <v>-0.21934999999999999</v>
      </c>
      <c r="O1792" s="3">
        <f>VLOOKUP(D1792,underlying!$D$40:$H$75,5,FALSE)</f>
        <v>-4.75</v>
      </c>
      <c r="P1792" s="4">
        <f t="shared" si="61"/>
        <v>42713</v>
      </c>
      <c r="Q1792" s="7">
        <f>IF(G1792="C",NormalCallSprd(O1792,H1792,M1792,(P1792-A1792)/365), NormalPutSprd(O1792,H1792,M1792,(P1792-A1792)/365))</f>
        <v>0.20475185836201143</v>
      </c>
      <c r="R1792" s="9">
        <f t="shared" si="60"/>
        <v>4.7518583620114185E-3</v>
      </c>
    </row>
    <row r="1793" spans="1:18" x14ac:dyDescent="0.2">
      <c r="A1793" s="2">
        <v>42622</v>
      </c>
      <c r="B1793" s="1" t="s">
        <v>56</v>
      </c>
      <c r="C1793" s="1" t="s">
        <v>57</v>
      </c>
      <c r="D1793" s="2">
        <v>42381</v>
      </c>
      <c r="E1793" s="2">
        <f t="shared" si="59"/>
        <v>42705</v>
      </c>
      <c r="F1793" s="1" t="s">
        <v>58</v>
      </c>
      <c r="G1793" s="1" t="s">
        <v>18</v>
      </c>
      <c r="H1793" s="1">
        <v>-2.75</v>
      </c>
      <c r="I1793" s="1">
        <v>2.2000000000000002</v>
      </c>
      <c r="J1793" s="1">
        <v>0.19</v>
      </c>
      <c r="K1793" s="2">
        <v>42625</v>
      </c>
      <c r="L1793" s="1">
        <v>3716</v>
      </c>
      <c r="M1793" s="1">
        <v>4.3099999999999996</v>
      </c>
      <c r="N1793" s="1">
        <v>-0.20093</v>
      </c>
      <c r="O1793" s="3">
        <f>VLOOKUP(D1793,underlying!$D$40:$H$75,5,FALSE)</f>
        <v>-4.75</v>
      </c>
      <c r="P1793" s="4">
        <f t="shared" si="61"/>
        <v>42713</v>
      </c>
      <c r="Q1793" s="7">
        <f>IF(G1793="C",NormalCallSprd(O1793,H1793,M1793,(P1793-A1793)/365), NormalPutSprd(O1793,H1793,M1793,(P1793-A1793)/365))</f>
        <v>2.2047518583620116</v>
      </c>
      <c r="R1793" s="9">
        <f t="shared" si="60"/>
        <v>4.7518583620114185E-3</v>
      </c>
    </row>
    <row r="1794" spans="1:18" x14ac:dyDescent="0.2">
      <c r="A1794" s="2">
        <v>42622</v>
      </c>
      <c r="B1794" s="1" t="s">
        <v>56</v>
      </c>
      <c r="C1794" s="1" t="s">
        <v>57</v>
      </c>
      <c r="D1794" s="2">
        <v>42381</v>
      </c>
      <c r="E1794" s="2">
        <f t="shared" ref="E1794:E1857" si="62">DATE(YEAR(D1794),DAY(D1794),MONTH(D1794))</f>
        <v>42705</v>
      </c>
      <c r="F1794" s="1" t="s">
        <v>58</v>
      </c>
      <c r="G1794" s="1" t="s">
        <v>16</v>
      </c>
      <c r="H1794" s="1">
        <v>-2.5</v>
      </c>
      <c r="I1794" s="1">
        <v>0.17</v>
      </c>
      <c r="J1794" s="1">
        <v>-0.04</v>
      </c>
      <c r="K1794" s="2">
        <v>42625</v>
      </c>
      <c r="L1794" s="1">
        <v>3716</v>
      </c>
      <c r="M1794" s="1">
        <v>4.33</v>
      </c>
      <c r="N1794" s="1">
        <v>-0.18279999999999999</v>
      </c>
      <c r="O1794" s="3">
        <f>VLOOKUP(D1794,underlying!$D$40:$H$75,5,FALSE)</f>
        <v>-4.75</v>
      </c>
      <c r="P1794" s="4">
        <f t="shared" si="61"/>
        <v>42713</v>
      </c>
      <c r="Q1794" s="7">
        <f>IF(G1794="C",NormalCallSprd(O1794,H1794,M1794,(P1794-A1794)/365), NormalPutSprd(O1794,H1794,M1794,(P1794-A1794)/365))</f>
        <v>0.16660133754599721</v>
      </c>
      <c r="R1794" s="9">
        <f t="shared" si="60"/>
        <v>3.3986624540028043E-3</v>
      </c>
    </row>
    <row r="1795" spans="1:18" x14ac:dyDescent="0.2">
      <c r="A1795" s="2">
        <v>42622</v>
      </c>
      <c r="B1795" s="1" t="s">
        <v>56</v>
      </c>
      <c r="C1795" s="1" t="s">
        <v>57</v>
      </c>
      <c r="D1795" s="2">
        <v>42381</v>
      </c>
      <c r="E1795" s="2">
        <f t="shared" si="62"/>
        <v>42705</v>
      </c>
      <c r="F1795" s="1" t="s">
        <v>58</v>
      </c>
      <c r="G1795" s="1" t="s">
        <v>18</v>
      </c>
      <c r="H1795" s="1">
        <v>-2.5</v>
      </c>
      <c r="I1795" s="1">
        <v>2.41</v>
      </c>
      <c r="J1795" s="1">
        <v>0.2</v>
      </c>
      <c r="K1795" s="2">
        <v>42625</v>
      </c>
      <c r="L1795" s="1">
        <v>3716</v>
      </c>
      <c r="M1795" s="1">
        <v>4.33</v>
      </c>
      <c r="N1795" s="1">
        <v>-0.16631000000000001</v>
      </c>
      <c r="O1795" s="3">
        <f>VLOOKUP(D1795,underlying!$D$40:$H$75,5,FALSE)</f>
        <v>-4.75</v>
      </c>
      <c r="P1795" s="4">
        <f t="shared" si="61"/>
        <v>42713</v>
      </c>
      <c r="Q1795" s="7">
        <f>IF(G1795="C",NormalCallSprd(O1795,H1795,M1795,(P1795-A1795)/365), NormalPutSprd(O1795,H1795,M1795,(P1795-A1795)/365))</f>
        <v>2.4166013375459969</v>
      </c>
      <c r="R1795" s="9">
        <f t="shared" ref="R1795:R1858" si="63">ABS(Q1795-I1795)</f>
        <v>6.6013375459967882E-3</v>
      </c>
    </row>
    <row r="1796" spans="1:18" x14ac:dyDescent="0.2">
      <c r="A1796" s="2">
        <v>42622</v>
      </c>
      <c r="B1796" s="1" t="s">
        <v>56</v>
      </c>
      <c r="C1796" s="1" t="s">
        <v>57</v>
      </c>
      <c r="D1796" s="2">
        <v>42381</v>
      </c>
      <c r="E1796" s="2">
        <f t="shared" si="62"/>
        <v>42705</v>
      </c>
      <c r="F1796" s="1" t="s">
        <v>58</v>
      </c>
      <c r="G1796" s="1" t="s">
        <v>16</v>
      </c>
      <c r="H1796" s="1">
        <v>-2.25</v>
      </c>
      <c r="I1796" s="1">
        <v>0.13</v>
      </c>
      <c r="J1796" s="1">
        <v>-0.04</v>
      </c>
      <c r="K1796" s="2">
        <v>42625</v>
      </c>
      <c r="L1796" s="1">
        <v>3716</v>
      </c>
      <c r="M1796" s="1">
        <v>4.34</v>
      </c>
      <c r="N1796" s="1">
        <v>-0.15014</v>
      </c>
      <c r="O1796" s="3">
        <f>VLOOKUP(D1796,underlying!$D$40:$H$75,5,FALSE)</f>
        <v>-4.75</v>
      </c>
      <c r="P1796" s="4">
        <f t="shared" si="61"/>
        <v>42713</v>
      </c>
      <c r="Q1796" s="7">
        <f>IF(G1796="C",NormalCallSprd(O1796,H1796,M1796,(P1796-A1796)/365), NormalPutSprd(O1796,H1796,M1796,(P1796-A1796)/365))</f>
        <v>0.13359225440050942</v>
      </c>
      <c r="R1796" s="9">
        <f t="shared" si="63"/>
        <v>3.5922544005094204E-3</v>
      </c>
    </row>
    <row r="1797" spans="1:18" x14ac:dyDescent="0.2">
      <c r="A1797" s="2">
        <v>42622</v>
      </c>
      <c r="B1797" s="1" t="s">
        <v>56</v>
      </c>
      <c r="C1797" s="1" t="s">
        <v>57</v>
      </c>
      <c r="D1797" s="2">
        <v>42381</v>
      </c>
      <c r="E1797" s="2">
        <f t="shared" si="62"/>
        <v>42705</v>
      </c>
      <c r="F1797" s="1" t="s">
        <v>58</v>
      </c>
      <c r="G1797" s="1" t="s">
        <v>18</v>
      </c>
      <c r="H1797" s="1">
        <v>-2.25</v>
      </c>
      <c r="I1797" s="1">
        <v>2.63</v>
      </c>
      <c r="J1797" s="1">
        <v>0.21</v>
      </c>
      <c r="K1797" s="2">
        <v>42625</v>
      </c>
      <c r="L1797" s="1">
        <v>3716</v>
      </c>
      <c r="M1797" s="1">
        <v>4.34</v>
      </c>
      <c r="N1797" s="1">
        <v>-0.13563</v>
      </c>
      <c r="O1797" s="3">
        <f>VLOOKUP(D1797,underlying!$D$40:$H$75,5,FALSE)</f>
        <v>-4.75</v>
      </c>
      <c r="P1797" s="4">
        <f t="shared" si="61"/>
        <v>42713</v>
      </c>
      <c r="Q1797" s="7">
        <f>IF(G1797="C",NormalCallSprd(O1797,H1797,M1797,(P1797-A1797)/365), NormalPutSprd(O1797,H1797,M1797,(P1797-A1797)/365))</f>
        <v>2.6335922544005093</v>
      </c>
      <c r="R1797" s="9">
        <f t="shared" si="63"/>
        <v>3.5922544005093648E-3</v>
      </c>
    </row>
    <row r="1798" spans="1:18" x14ac:dyDescent="0.2">
      <c r="A1798" s="2">
        <v>42622</v>
      </c>
      <c r="B1798" s="1" t="s">
        <v>56</v>
      </c>
      <c r="C1798" s="1" t="s">
        <v>57</v>
      </c>
      <c r="D1798" s="2">
        <v>42381</v>
      </c>
      <c r="E1798" s="2">
        <f t="shared" si="62"/>
        <v>42705</v>
      </c>
      <c r="F1798" s="1" t="s">
        <v>58</v>
      </c>
      <c r="G1798" s="1" t="s">
        <v>16</v>
      </c>
      <c r="H1798" s="1">
        <v>-2</v>
      </c>
      <c r="I1798" s="1">
        <v>0.11</v>
      </c>
      <c r="J1798" s="1">
        <v>-0.03</v>
      </c>
      <c r="K1798" s="2">
        <v>42625</v>
      </c>
      <c r="L1798" s="1">
        <v>3716</v>
      </c>
      <c r="M1798" s="1">
        <v>4.34</v>
      </c>
      <c r="N1798" s="1">
        <v>-0.12212000000000001</v>
      </c>
      <c r="O1798" s="3">
        <f>VLOOKUP(D1798,underlying!$D$40:$H$75,5,FALSE)</f>
        <v>-4.75</v>
      </c>
      <c r="P1798" s="4">
        <f t="shared" si="61"/>
        <v>42713</v>
      </c>
      <c r="Q1798" s="7">
        <f>IF(G1798="C",NormalCallSprd(O1798,H1798,M1798,(P1798-A1798)/365), NormalPutSprd(O1798,H1798,M1798,(P1798-A1798)/365))</f>
        <v>0.10533935440419884</v>
      </c>
      <c r="R1798" s="9">
        <f t="shared" si="63"/>
        <v>4.6606455958011633E-3</v>
      </c>
    </row>
    <row r="1799" spans="1:18" x14ac:dyDescent="0.2">
      <c r="A1799" s="2">
        <v>42622</v>
      </c>
      <c r="B1799" s="1" t="s">
        <v>56</v>
      </c>
      <c r="C1799" s="1" t="s">
        <v>57</v>
      </c>
      <c r="D1799" s="2">
        <v>42381</v>
      </c>
      <c r="E1799" s="2">
        <f t="shared" si="62"/>
        <v>42705</v>
      </c>
      <c r="F1799" s="1" t="s">
        <v>58</v>
      </c>
      <c r="G1799" s="1" t="s">
        <v>18</v>
      </c>
      <c r="H1799" s="1">
        <v>-2</v>
      </c>
      <c r="I1799" s="1">
        <v>2.85</v>
      </c>
      <c r="J1799" s="1">
        <v>0.22</v>
      </c>
      <c r="K1799" s="2">
        <v>42625</v>
      </c>
      <c r="L1799" s="1">
        <v>3716</v>
      </c>
      <c r="M1799" s="1">
        <v>4.34</v>
      </c>
      <c r="N1799" s="1">
        <v>-0.10957</v>
      </c>
      <c r="O1799" s="3">
        <f>VLOOKUP(D1799,underlying!$D$40:$H$75,5,FALSE)</f>
        <v>-4.75</v>
      </c>
      <c r="P1799" s="4">
        <f t="shared" si="61"/>
        <v>42713</v>
      </c>
      <c r="Q1799" s="7">
        <f>IF(G1799="C",NormalCallSprd(O1799,H1799,M1799,(P1799-A1799)/365), NormalPutSprd(O1799,H1799,M1799,(P1799-A1799)/365))</f>
        <v>2.8553393544041992</v>
      </c>
      <c r="R1799" s="9">
        <f t="shared" si="63"/>
        <v>5.3393544041990815E-3</v>
      </c>
    </row>
    <row r="1800" spans="1:18" x14ac:dyDescent="0.2">
      <c r="A1800" s="2">
        <v>42622</v>
      </c>
      <c r="B1800" s="1" t="s">
        <v>56</v>
      </c>
      <c r="C1800" s="1" t="s">
        <v>57</v>
      </c>
      <c r="D1800" s="2">
        <v>42381</v>
      </c>
      <c r="E1800" s="2">
        <f t="shared" si="62"/>
        <v>42705</v>
      </c>
      <c r="F1800" s="1" t="s">
        <v>58</v>
      </c>
      <c r="G1800" s="1" t="s">
        <v>16</v>
      </c>
      <c r="H1800" s="1">
        <v>-1.75</v>
      </c>
      <c r="I1800" s="1">
        <v>0.08</v>
      </c>
      <c r="J1800" s="1">
        <v>-0.03</v>
      </c>
      <c r="K1800" s="2">
        <v>42625</v>
      </c>
      <c r="L1800" s="1">
        <v>3716</v>
      </c>
      <c r="M1800" s="1">
        <v>4.34</v>
      </c>
      <c r="N1800" s="1">
        <v>-9.7979999999999998E-2</v>
      </c>
      <c r="O1800" s="3">
        <f>VLOOKUP(D1800,underlying!$D$40:$H$75,5,FALSE)</f>
        <v>-4.75</v>
      </c>
      <c r="P1800" s="4">
        <f t="shared" si="61"/>
        <v>42713</v>
      </c>
      <c r="Q1800" s="7">
        <f>IF(G1800="C",NormalCallSprd(O1800,H1800,M1800,(P1800-A1800)/365), NormalPutSprd(O1800,H1800,M1800,(P1800-A1800)/365))</f>
        <v>8.2233076704697594E-2</v>
      </c>
      <c r="R1800" s="9">
        <f t="shared" si="63"/>
        <v>2.2330767046975925E-3</v>
      </c>
    </row>
    <row r="1801" spans="1:18" x14ac:dyDescent="0.2">
      <c r="A1801" s="2">
        <v>42622</v>
      </c>
      <c r="B1801" s="1" t="s">
        <v>56</v>
      </c>
      <c r="C1801" s="1" t="s">
        <v>57</v>
      </c>
      <c r="D1801" s="2">
        <v>42381</v>
      </c>
      <c r="E1801" s="2">
        <f t="shared" si="62"/>
        <v>42705</v>
      </c>
      <c r="F1801" s="1" t="s">
        <v>58</v>
      </c>
      <c r="G1801" s="1" t="s">
        <v>18</v>
      </c>
      <c r="H1801" s="1">
        <v>-1.75</v>
      </c>
      <c r="I1801" s="1">
        <v>3.08</v>
      </c>
      <c r="J1801" s="1">
        <v>0.23</v>
      </c>
      <c r="K1801" s="2">
        <v>42625</v>
      </c>
      <c r="L1801" s="1">
        <v>3716</v>
      </c>
      <c r="M1801" s="1">
        <v>4.34</v>
      </c>
      <c r="N1801" s="1">
        <v>-8.7319999999999995E-2</v>
      </c>
      <c r="O1801" s="3">
        <f>VLOOKUP(D1801,underlying!$D$40:$H$75,5,FALSE)</f>
        <v>-4.75</v>
      </c>
      <c r="P1801" s="4">
        <f t="shared" si="61"/>
        <v>42713</v>
      </c>
      <c r="Q1801" s="7">
        <f>IF(G1801="C",NormalCallSprd(O1801,H1801,M1801,(P1801-A1801)/365), NormalPutSprd(O1801,H1801,M1801,(P1801-A1801)/365))</f>
        <v>3.0822330767046977</v>
      </c>
      <c r="R1801" s="9">
        <f t="shared" si="63"/>
        <v>2.2330767046976341E-3</v>
      </c>
    </row>
    <row r="1802" spans="1:18" x14ac:dyDescent="0.2">
      <c r="A1802" s="2">
        <v>42622</v>
      </c>
      <c r="B1802" s="1" t="s">
        <v>56</v>
      </c>
      <c r="C1802" s="1" t="s">
        <v>57</v>
      </c>
      <c r="D1802" s="2">
        <v>42381</v>
      </c>
      <c r="E1802" s="2">
        <f t="shared" si="62"/>
        <v>42705</v>
      </c>
      <c r="F1802" s="1" t="s">
        <v>58</v>
      </c>
      <c r="G1802" s="1" t="s">
        <v>16</v>
      </c>
      <c r="H1802" s="1">
        <v>-1.5</v>
      </c>
      <c r="I1802" s="1">
        <v>0.06</v>
      </c>
      <c r="J1802" s="1">
        <v>-0.02</v>
      </c>
      <c r="K1802" s="2">
        <v>42625</v>
      </c>
      <c r="L1802" s="1">
        <v>3716</v>
      </c>
      <c r="M1802" s="1">
        <v>4.34</v>
      </c>
      <c r="N1802" s="1">
        <v>-7.7539999999999998E-2</v>
      </c>
      <c r="O1802" s="3">
        <f>VLOOKUP(D1802,underlying!$D$40:$H$75,5,FALSE)</f>
        <v>-4.75</v>
      </c>
      <c r="P1802" s="4">
        <f t="shared" si="61"/>
        <v>42713</v>
      </c>
      <c r="Q1802" s="7">
        <f>IF(G1802="C",NormalCallSprd(O1802,H1802,M1802,(P1802-A1802)/365), NormalPutSprd(O1802,H1802,M1802,(P1802-A1802)/365))</f>
        <v>6.3544518699956934E-2</v>
      </c>
      <c r="R1802" s="9">
        <f t="shared" si="63"/>
        <v>3.5445186999569361E-3</v>
      </c>
    </row>
    <row r="1803" spans="1:18" x14ac:dyDescent="0.2">
      <c r="A1803" s="2">
        <v>42622</v>
      </c>
      <c r="B1803" s="1" t="s">
        <v>56</v>
      </c>
      <c r="C1803" s="1" t="s">
        <v>57</v>
      </c>
      <c r="D1803" s="2">
        <v>42381</v>
      </c>
      <c r="E1803" s="2">
        <f t="shared" si="62"/>
        <v>42705</v>
      </c>
      <c r="F1803" s="1" t="s">
        <v>58</v>
      </c>
      <c r="G1803" s="1" t="s">
        <v>18</v>
      </c>
      <c r="H1803" s="1">
        <v>-1.5</v>
      </c>
      <c r="I1803" s="1">
        <v>3.31</v>
      </c>
      <c r="J1803" s="1">
        <v>0.23</v>
      </c>
      <c r="K1803" s="2">
        <v>42625</v>
      </c>
      <c r="L1803" s="1">
        <v>3716</v>
      </c>
      <c r="M1803" s="1">
        <v>4.34</v>
      </c>
      <c r="N1803" s="1">
        <v>-6.862E-2</v>
      </c>
      <c r="O1803" s="3">
        <f>VLOOKUP(D1803,underlying!$D$40:$H$75,5,FALSE)</f>
        <v>-4.75</v>
      </c>
      <c r="P1803" s="4">
        <f t="shared" si="61"/>
        <v>42713</v>
      </c>
      <c r="Q1803" s="7">
        <f>IF(G1803="C",NormalCallSprd(O1803,H1803,M1803,(P1803-A1803)/365), NormalPutSprd(O1803,H1803,M1803,(P1803-A1803)/365))</f>
        <v>3.313544518699957</v>
      </c>
      <c r="R1803" s="9">
        <f t="shared" si="63"/>
        <v>3.5445186999569778E-3</v>
      </c>
    </row>
    <row r="1804" spans="1:18" x14ac:dyDescent="0.2">
      <c r="A1804" s="2">
        <v>42622</v>
      </c>
      <c r="B1804" s="1" t="s">
        <v>56</v>
      </c>
      <c r="C1804" s="1" t="s">
        <v>57</v>
      </c>
      <c r="D1804" s="2">
        <v>42381</v>
      </c>
      <c r="E1804" s="2">
        <f t="shared" si="62"/>
        <v>42705</v>
      </c>
      <c r="F1804" s="1" t="s">
        <v>58</v>
      </c>
      <c r="G1804" s="1" t="s">
        <v>16</v>
      </c>
      <c r="H1804" s="1">
        <v>-1.25</v>
      </c>
      <c r="I1804" s="1">
        <v>0.05</v>
      </c>
      <c r="J1804" s="1">
        <v>-0.02</v>
      </c>
      <c r="K1804" s="2">
        <v>42625</v>
      </c>
      <c r="L1804" s="1">
        <v>3716</v>
      </c>
      <c r="M1804" s="1">
        <v>4.34</v>
      </c>
      <c r="N1804" s="1">
        <v>-6.0510000000000001E-2</v>
      </c>
      <c r="O1804" s="3">
        <f>VLOOKUP(D1804,underlying!$D$40:$H$75,5,FALSE)</f>
        <v>-4.75</v>
      </c>
      <c r="P1804" s="4">
        <f t="shared" si="61"/>
        <v>42713</v>
      </c>
      <c r="Q1804" s="7">
        <f>IF(G1804="C",NormalCallSprd(O1804,H1804,M1804,(P1804-A1804)/365), NormalPutSprd(O1804,H1804,M1804,(P1804-A1804)/365))</f>
        <v>4.8597985720902528E-2</v>
      </c>
      <c r="R1804" s="9">
        <f t="shared" si="63"/>
        <v>1.4020142790974743E-3</v>
      </c>
    </row>
    <row r="1805" spans="1:18" x14ac:dyDescent="0.2">
      <c r="A1805" s="2">
        <v>42622</v>
      </c>
      <c r="B1805" s="1" t="s">
        <v>56</v>
      </c>
      <c r="C1805" s="1" t="s">
        <v>57</v>
      </c>
      <c r="D1805" s="2">
        <v>42381</v>
      </c>
      <c r="E1805" s="2">
        <f t="shared" si="62"/>
        <v>42705</v>
      </c>
      <c r="F1805" s="1" t="s">
        <v>58</v>
      </c>
      <c r="G1805" s="1" t="s">
        <v>18</v>
      </c>
      <c r="H1805" s="1">
        <v>-1.25</v>
      </c>
      <c r="I1805" s="1">
        <v>3.54</v>
      </c>
      <c r="J1805" s="1">
        <v>0.23</v>
      </c>
      <c r="K1805" s="2">
        <v>42625</v>
      </c>
      <c r="L1805" s="1">
        <v>3716</v>
      </c>
      <c r="M1805" s="1">
        <v>4.34</v>
      </c>
      <c r="N1805" s="1">
        <v>-5.3170000000000002E-2</v>
      </c>
      <c r="O1805" s="3">
        <f>VLOOKUP(D1805,underlying!$D$40:$H$75,5,FALSE)</f>
        <v>-4.75</v>
      </c>
      <c r="P1805" s="4">
        <f t="shared" si="61"/>
        <v>42713</v>
      </c>
      <c r="Q1805" s="7">
        <f>IF(G1805="C",NormalCallSprd(O1805,H1805,M1805,(P1805-A1805)/365), NormalPutSprd(O1805,H1805,M1805,(P1805-A1805)/365))</f>
        <v>3.5485979857209022</v>
      </c>
      <c r="R1805" s="9">
        <f t="shared" si="63"/>
        <v>8.5979857209022015E-3</v>
      </c>
    </row>
    <row r="1806" spans="1:18" x14ac:dyDescent="0.2">
      <c r="A1806" s="2">
        <v>42622</v>
      </c>
      <c r="B1806" s="1" t="s">
        <v>56</v>
      </c>
      <c r="C1806" s="1" t="s">
        <v>57</v>
      </c>
      <c r="D1806" s="2">
        <v>42381</v>
      </c>
      <c r="E1806" s="2">
        <f t="shared" si="62"/>
        <v>42705</v>
      </c>
      <c r="F1806" s="1" t="s">
        <v>58</v>
      </c>
      <c r="G1806" s="1" t="s">
        <v>16</v>
      </c>
      <c r="H1806" s="1">
        <v>-1</v>
      </c>
      <c r="I1806" s="1">
        <v>0.04</v>
      </c>
      <c r="J1806" s="1">
        <v>-0.01</v>
      </c>
      <c r="K1806" s="2">
        <v>42625</v>
      </c>
      <c r="L1806" s="1">
        <v>3716</v>
      </c>
      <c r="M1806" s="1">
        <v>4.34</v>
      </c>
      <c r="N1806" s="1">
        <v>-3.058E-2</v>
      </c>
      <c r="O1806" s="3">
        <f>VLOOKUP(D1806,underlying!$D$40:$H$75,5,FALSE)</f>
        <v>-4.75</v>
      </c>
      <c r="P1806" s="4">
        <f t="shared" si="61"/>
        <v>42713</v>
      </c>
      <c r="Q1806" s="7">
        <f>IF(G1806="C",NormalCallSprd(O1806,H1806,M1806,(P1806-A1806)/365), NormalPutSprd(O1806,H1806,M1806,(P1806-A1806)/365))</f>
        <v>3.6779316933516555E-2</v>
      </c>
      <c r="R1806" s="9">
        <f t="shared" si="63"/>
        <v>3.2206830664834457E-3</v>
      </c>
    </row>
    <row r="1807" spans="1:18" x14ac:dyDescent="0.2">
      <c r="A1807" s="2">
        <v>42622</v>
      </c>
      <c r="B1807" s="1" t="s">
        <v>56</v>
      </c>
      <c r="C1807" s="1" t="s">
        <v>57</v>
      </c>
      <c r="D1807" s="2">
        <v>42381</v>
      </c>
      <c r="E1807" s="2">
        <f t="shared" si="62"/>
        <v>42705</v>
      </c>
      <c r="F1807" s="1" t="s">
        <v>58</v>
      </c>
      <c r="G1807" s="1" t="s">
        <v>18</v>
      </c>
      <c r="H1807" s="1">
        <v>-1</v>
      </c>
      <c r="I1807" s="1">
        <v>3.78</v>
      </c>
      <c r="J1807" s="1">
        <v>0.23</v>
      </c>
      <c r="K1807" s="2">
        <v>42625</v>
      </c>
      <c r="L1807" s="1">
        <v>3716</v>
      </c>
      <c r="M1807" s="1">
        <v>4.34</v>
      </c>
      <c r="N1807" s="1">
        <v>-1.6590000000000001E-2</v>
      </c>
      <c r="O1807" s="3">
        <f>VLOOKUP(D1807,underlying!$D$40:$H$75,5,FALSE)</f>
        <v>-4.75</v>
      </c>
      <c r="P1807" s="4">
        <f t="shared" si="61"/>
        <v>42713</v>
      </c>
      <c r="Q1807" s="7">
        <f>IF(G1807="C",NormalCallSprd(O1807,H1807,M1807,(P1807-A1807)/365), NormalPutSprd(O1807,H1807,M1807,(P1807-A1807)/365))</f>
        <v>3.7867793169335169</v>
      </c>
      <c r="R1807" s="9">
        <f t="shared" si="63"/>
        <v>6.7793169335170766E-3</v>
      </c>
    </row>
    <row r="1808" spans="1:18" x14ac:dyDescent="0.2">
      <c r="A1808" s="2">
        <v>42622</v>
      </c>
      <c r="B1808" s="1" t="s">
        <v>56</v>
      </c>
      <c r="C1808" s="1" t="s">
        <v>57</v>
      </c>
      <c r="D1808" s="2">
        <v>42381</v>
      </c>
      <c r="E1808" s="2">
        <f t="shared" si="62"/>
        <v>42705</v>
      </c>
      <c r="F1808" s="1" t="s">
        <v>58</v>
      </c>
      <c r="G1808" s="1" t="s">
        <v>16</v>
      </c>
      <c r="H1808" s="1">
        <v>-0.75</v>
      </c>
      <c r="I1808" s="1">
        <v>0.03</v>
      </c>
      <c r="J1808" s="1">
        <v>-0.01</v>
      </c>
      <c r="K1808" s="2">
        <v>42625</v>
      </c>
      <c r="L1808" s="1">
        <v>3716</v>
      </c>
      <c r="M1808" s="1">
        <v>4.33</v>
      </c>
      <c r="N1808" s="1">
        <v>0.41670000000000001</v>
      </c>
      <c r="O1808" s="3">
        <f>VLOOKUP(D1808,underlying!$D$40:$H$75,5,FALSE)</f>
        <v>-4.75</v>
      </c>
      <c r="P1808" s="4">
        <f t="shared" si="61"/>
        <v>42713</v>
      </c>
      <c r="Q1808" s="7">
        <f>IF(G1808="C",NormalCallSprd(O1808,H1808,M1808,(P1808-A1808)/365), NormalPutSprd(O1808,H1808,M1808,(P1808-A1808)/365))</f>
        <v>2.7179481481760526E-2</v>
      </c>
      <c r="R1808" s="9">
        <f t="shared" si="63"/>
        <v>2.8205185182394732E-3</v>
      </c>
    </row>
    <row r="1809" spans="1:18" x14ac:dyDescent="0.2">
      <c r="A1809" s="2">
        <v>42622</v>
      </c>
      <c r="B1809" s="1" t="s">
        <v>56</v>
      </c>
      <c r="C1809" s="1" t="s">
        <v>57</v>
      </c>
      <c r="D1809" s="2">
        <v>42381</v>
      </c>
      <c r="E1809" s="2">
        <f t="shared" si="62"/>
        <v>42705</v>
      </c>
      <c r="F1809" s="1" t="s">
        <v>58</v>
      </c>
      <c r="G1809" s="1" t="s">
        <v>18</v>
      </c>
      <c r="H1809" s="1">
        <v>-0.75</v>
      </c>
      <c r="I1809" s="1">
        <v>4.0199999999999996</v>
      </c>
      <c r="J1809" s="1">
        <v>0.24</v>
      </c>
      <c r="K1809" s="2">
        <v>42625</v>
      </c>
      <c r="L1809" s="1">
        <v>3716</v>
      </c>
      <c r="M1809" s="1">
        <v>4.33</v>
      </c>
      <c r="N1809" s="1">
        <v>0.43570999999999999</v>
      </c>
      <c r="O1809" s="3">
        <f>VLOOKUP(D1809,underlying!$D$40:$H$75,5,FALSE)</f>
        <v>-4.75</v>
      </c>
      <c r="P1809" s="4">
        <f t="shared" si="61"/>
        <v>42713</v>
      </c>
      <c r="Q1809" s="7">
        <f>IF(G1809="C",NormalCallSprd(O1809,H1809,M1809,(P1809-A1809)/365), NormalPutSprd(O1809,H1809,M1809,(P1809-A1809)/365))</f>
        <v>4.0271794814817605</v>
      </c>
      <c r="R1809" s="9">
        <f t="shared" si="63"/>
        <v>7.179481481760952E-3</v>
      </c>
    </row>
    <row r="1810" spans="1:18" x14ac:dyDescent="0.2">
      <c r="A1810" s="2">
        <v>42622</v>
      </c>
      <c r="B1810" s="1" t="s">
        <v>56</v>
      </c>
      <c r="C1810" s="1" t="s">
        <v>57</v>
      </c>
      <c r="D1810" s="2">
        <v>42381</v>
      </c>
      <c r="E1810" s="2">
        <f t="shared" si="62"/>
        <v>42705</v>
      </c>
      <c r="F1810" s="1" t="s">
        <v>58</v>
      </c>
      <c r="G1810" s="1" t="s">
        <v>16</v>
      </c>
      <c r="H1810" s="1">
        <v>-0.5</v>
      </c>
      <c r="I1810" s="1">
        <v>0.02</v>
      </c>
      <c r="J1810" s="1">
        <v>-0.01</v>
      </c>
      <c r="K1810" s="2">
        <v>42625</v>
      </c>
      <c r="L1810" s="1">
        <v>3716</v>
      </c>
      <c r="M1810" s="1">
        <v>4.33</v>
      </c>
      <c r="N1810" s="1">
        <v>0.45465</v>
      </c>
      <c r="O1810" s="3">
        <f>VLOOKUP(D1810,underlying!$D$40:$H$75,5,FALSE)</f>
        <v>-4.75</v>
      </c>
      <c r="P1810" s="4">
        <f t="shared" si="61"/>
        <v>42713</v>
      </c>
      <c r="Q1810" s="7">
        <f>IF(G1810="C",NormalCallSprd(O1810,H1810,M1810,(P1810-A1810)/365), NormalPutSprd(O1810,H1810,M1810,(P1810-A1810)/365))</f>
        <v>2.011222575828632E-2</v>
      </c>
      <c r="R1810" s="9">
        <f t="shared" si="63"/>
        <v>1.1222575828631967E-4</v>
      </c>
    </row>
    <row r="1811" spans="1:18" x14ac:dyDescent="0.2">
      <c r="A1811" s="2">
        <v>42622</v>
      </c>
      <c r="B1811" s="1" t="s">
        <v>56</v>
      </c>
      <c r="C1811" s="1" t="s">
        <v>57</v>
      </c>
      <c r="D1811" s="2">
        <v>42381</v>
      </c>
      <c r="E1811" s="2">
        <f t="shared" si="62"/>
        <v>42705</v>
      </c>
      <c r="F1811" s="1" t="s">
        <v>58</v>
      </c>
      <c r="G1811" s="1" t="s">
        <v>18</v>
      </c>
      <c r="H1811" s="1">
        <v>-0.5</v>
      </c>
      <c r="I1811" s="1">
        <v>4.2699999999999996</v>
      </c>
      <c r="J1811" s="1">
        <v>0.25</v>
      </c>
      <c r="K1811" s="2">
        <v>42625</v>
      </c>
      <c r="L1811" s="1">
        <v>3716</v>
      </c>
      <c r="M1811" s="1">
        <v>4.33</v>
      </c>
      <c r="N1811" s="1">
        <v>0.47372999999999998</v>
      </c>
      <c r="O1811" s="3">
        <f>VLOOKUP(D1811,underlying!$D$40:$H$75,5,FALSE)</f>
        <v>-4.75</v>
      </c>
      <c r="P1811" s="4">
        <f t="shared" si="61"/>
        <v>42713</v>
      </c>
      <c r="Q1811" s="7">
        <f>IF(G1811="C",NormalCallSprd(O1811,H1811,M1811,(P1811-A1811)/365), NormalPutSprd(O1811,H1811,M1811,(P1811-A1811)/365))</f>
        <v>4.2701122257582869</v>
      </c>
      <c r="R1811" s="9">
        <f t="shared" si="63"/>
        <v>1.1222575828728765E-4</v>
      </c>
    </row>
    <row r="1812" spans="1:18" x14ac:dyDescent="0.2">
      <c r="A1812" s="2">
        <v>42622</v>
      </c>
      <c r="B1812" s="1" t="s">
        <v>56</v>
      </c>
      <c r="C1812" s="1" t="s">
        <v>57</v>
      </c>
      <c r="D1812" s="2">
        <v>42381</v>
      </c>
      <c r="E1812" s="2">
        <f t="shared" si="62"/>
        <v>42705</v>
      </c>
      <c r="F1812" s="1" t="s">
        <v>58</v>
      </c>
      <c r="G1812" s="1" t="s">
        <v>16</v>
      </c>
      <c r="H1812" s="1">
        <v>-0.25</v>
      </c>
      <c r="I1812" s="1">
        <v>0.01</v>
      </c>
      <c r="J1812" s="1">
        <v>-0.01</v>
      </c>
      <c r="K1812" s="2">
        <v>42625</v>
      </c>
      <c r="L1812" s="1">
        <v>3716</v>
      </c>
      <c r="M1812" s="1">
        <v>4.33</v>
      </c>
      <c r="N1812" s="1">
        <v>0.49274000000000001</v>
      </c>
      <c r="O1812" s="3">
        <f>VLOOKUP(D1812,underlying!$D$40:$H$75,5,FALSE)</f>
        <v>-4.75</v>
      </c>
      <c r="P1812" s="4">
        <f t="shared" si="61"/>
        <v>42713</v>
      </c>
      <c r="Q1812" s="7">
        <f>IF(G1812="C",NormalCallSprd(O1812,H1812,M1812,(P1812-A1812)/365), NormalPutSprd(O1812,H1812,M1812,(P1812-A1812)/365))</f>
        <v>1.4720768892639454E-2</v>
      </c>
      <c r="R1812" s="9">
        <f t="shared" si="63"/>
        <v>4.7207688926394539E-3</v>
      </c>
    </row>
    <row r="1813" spans="1:18" x14ac:dyDescent="0.2">
      <c r="A1813" s="2">
        <v>42622</v>
      </c>
      <c r="B1813" s="1" t="s">
        <v>56</v>
      </c>
      <c r="C1813" s="1" t="s">
        <v>57</v>
      </c>
      <c r="D1813" s="2">
        <v>42381</v>
      </c>
      <c r="E1813" s="2">
        <f t="shared" si="62"/>
        <v>42705</v>
      </c>
      <c r="F1813" s="1" t="s">
        <v>58</v>
      </c>
      <c r="G1813" s="1" t="s">
        <v>18</v>
      </c>
      <c r="H1813" s="1">
        <v>-0.25</v>
      </c>
      <c r="I1813" s="1">
        <v>4.51</v>
      </c>
      <c r="J1813" s="1">
        <v>0.24</v>
      </c>
      <c r="K1813" s="2">
        <v>42625</v>
      </c>
      <c r="L1813" s="1">
        <v>3716</v>
      </c>
      <c r="M1813" s="1">
        <v>4.33</v>
      </c>
      <c r="N1813" s="1">
        <v>0.51175000000000004</v>
      </c>
      <c r="O1813" s="3">
        <f>VLOOKUP(D1813,underlying!$D$40:$H$75,5,FALSE)</f>
        <v>-4.75</v>
      </c>
      <c r="P1813" s="4">
        <f t="shared" si="61"/>
        <v>42713</v>
      </c>
      <c r="Q1813" s="7">
        <f>IF(G1813="C",NormalCallSprd(O1813,H1813,M1813,(P1813-A1813)/365), NormalPutSprd(O1813,H1813,M1813,(P1813-A1813)/365))</f>
        <v>4.5147207688926398</v>
      </c>
      <c r="R1813" s="9">
        <f t="shared" si="63"/>
        <v>4.7207688926400593E-3</v>
      </c>
    </row>
    <row r="1814" spans="1:18" x14ac:dyDescent="0.2">
      <c r="A1814" s="2">
        <v>42622</v>
      </c>
      <c r="B1814" s="1" t="s">
        <v>56</v>
      </c>
      <c r="C1814" s="1" t="s">
        <v>57</v>
      </c>
      <c r="D1814" s="2">
        <v>42736</v>
      </c>
      <c r="E1814" s="2">
        <f t="shared" si="62"/>
        <v>42736</v>
      </c>
      <c r="F1814" s="1" t="s">
        <v>58</v>
      </c>
      <c r="G1814" s="1" t="s">
        <v>16</v>
      </c>
      <c r="H1814" s="1">
        <v>-11</v>
      </c>
      <c r="I1814" s="1">
        <v>6.99</v>
      </c>
      <c r="J1814" s="1">
        <v>0</v>
      </c>
      <c r="K1814" s="2">
        <v>43040</v>
      </c>
      <c r="L1814" s="1">
        <v>3716</v>
      </c>
      <c r="M1814" s="1">
        <v>4.21</v>
      </c>
      <c r="N1814" s="1">
        <v>0.53083000000000002</v>
      </c>
      <c r="O1814" s="3">
        <f>VLOOKUP(D1814,underlying!$D$40:$H$75,5,FALSE)</f>
        <v>-4</v>
      </c>
      <c r="P1814" s="4">
        <f t="shared" si="61"/>
        <v>42746</v>
      </c>
      <c r="Q1814" s="7">
        <f>IF(G1814="C",NormalCallSprd(O1814,H1814,M1814,(P1814-A1814)/365), NormalPutSprd(O1814,H1814,M1814,(P1814-A1814)/365))</f>
        <v>7.0015630098667092</v>
      </c>
      <c r="R1814" s="9">
        <f t="shared" si="63"/>
        <v>1.1563009866708995E-2</v>
      </c>
    </row>
    <row r="1815" spans="1:18" x14ac:dyDescent="0.2">
      <c r="A1815" s="2">
        <v>42622</v>
      </c>
      <c r="B1815" s="1" t="s">
        <v>56</v>
      </c>
      <c r="C1815" s="1" t="s">
        <v>57</v>
      </c>
      <c r="D1815" s="2">
        <v>42736</v>
      </c>
      <c r="E1815" s="2">
        <f t="shared" si="62"/>
        <v>42736</v>
      </c>
      <c r="F1815" s="1" t="s">
        <v>58</v>
      </c>
      <c r="G1815" s="1" t="s">
        <v>18</v>
      </c>
      <c r="H1815" s="1">
        <v>-11</v>
      </c>
      <c r="I1815" s="1">
        <v>0.01</v>
      </c>
      <c r="J1815" s="1">
        <v>0</v>
      </c>
      <c r="K1815" s="2">
        <v>43040</v>
      </c>
      <c r="L1815" s="1">
        <v>3716</v>
      </c>
      <c r="M1815" s="1">
        <v>4.21</v>
      </c>
      <c r="N1815" s="1">
        <v>0.54976999999999998</v>
      </c>
      <c r="O1815" s="3">
        <f>VLOOKUP(D1815,underlying!$D$40:$H$75,5,FALSE)</f>
        <v>-4</v>
      </c>
      <c r="P1815" s="4">
        <f t="shared" si="61"/>
        <v>42746</v>
      </c>
      <c r="Q1815" s="7">
        <f>IF(G1815="C",NormalCallSprd(O1815,H1815,M1815,(P1815-A1815)/365), NormalPutSprd(O1815,H1815,M1815,(P1815-A1815)/365))</f>
        <v>1.5630098667097998E-3</v>
      </c>
      <c r="R1815" s="9">
        <f t="shared" si="63"/>
        <v>8.4369901332902002E-3</v>
      </c>
    </row>
    <row r="1816" spans="1:18" x14ac:dyDescent="0.2">
      <c r="A1816" s="2">
        <v>42622</v>
      </c>
      <c r="B1816" s="1" t="s">
        <v>56</v>
      </c>
      <c r="C1816" s="1" t="s">
        <v>57</v>
      </c>
      <c r="D1816" s="2">
        <v>42736</v>
      </c>
      <c r="E1816" s="2">
        <f t="shared" si="62"/>
        <v>42736</v>
      </c>
      <c r="F1816" s="1" t="s">
        <v>58</v>
      </c>
      <c r="G1816" s="1" t="s">
        <v>16</v>
      </c>
      <c r="H1816" s="1">
        <v>-10</v>
      </c>
      <c r="I1816" s="1">
        <v>6</v>
      </c>
      <c r="J1816" s="1">
        <v>0</v>
      </c>
      <c r="K1816" s="2">
        <v>43040</v>
      </c>
      <c r="L1816" s="1">
        <v>3716</v>
      </c>
      <c r="M1816" s="1">
        <v>4.21</v>
      </c>
      <c r="N1816" s="1">
        <v>0.56877999999999995</v>
      </c>
      <c r="O1816" s="3">
        <f>VLOOKUP(D1816,underlying!$D$40:$H$75,5,FALSE)</f>
        <v>-4</v>
      </c>
      <c r="P1816" s="4">
        <f t="shared" si="61"/>
        <v>42746</v>
      </c>
      <c r="Q1816" s="7">
        <f>IF(G1816="C",NormalCallSprd(O1816,H1816,M1816,(P1816-A1816)/365), NormalPutSprd(O1816,H1816,M1816,(P1816-A1816)/365))</f>
        <v>6.005821434748233</v>
      </c>
      <c r="R1816" s="9">
        <f t="shared" si="63"/>
        <v>5.8214347482330453E-3</v>
      </c>
    </row>
    <row r="1817" spans="1:18" x14ac:dyDescent="0.2">
      <c r="A1817" s="2">
        <v>42622</v>
      </c>
      <c r="B1817" s="1" t="s">
        <v>56</v>
      </c>
      <c r="C1817" s="1" t="s">
        <v>57</v>
      </c>
      <c r="D1817" s="2">
        <v>42736</v>
      </c>
      <c r="E1817" s="2">
        <f t="shared" si="62"/>
        <v>42736</v>
      </c>
      <c r="F1817" s="1" t="s">
        <v>58</v>
      </c>
      <c r="G1817" s="1" t="s">
        <v>18</v>
      </c>
      <c r="H1817" s="1">
        <v>-10</v>
      </c>
      <c r="I1817" s="1">
        <v>0.01</v>
      </c>
      <c r="J1817" s="1">
        <v>0</v>
      </c>
      <c r="K1817" s="2">
        <v>43040</v>
      </c>
      <c r="L1817" s="1">
        <v>3716</v>
      </c>
      <c r="M1817" s="1">
        <v>4.21</v>
      </c>
      <c r="N1817" s="1">
        <v>0.58692999999999995</v>
      </c>
      <c r="O1817" s="3">
        <f>VLOOKUP(D1817,underlying!$D$40:$H$75,5,FALSE)</f>
        <v>-4</v>
      </c>
      <c r="P1817" s="4">
        <f t="shared" si="61"/>
        <v>42746</v>
      </c>
      <c r="Q1817" s="7">
        <f>IF(G1817="C",NormalCallSprd(O1817,H1817,M1817,(P1817-A1817)/365), NormalPutSprd(O1817,H1817,M1817,(P1817-A1817)/365))</f>
        <v>5.8214347482331242E-3</v>
      </c>
      <c r="R1817" s="9">
        <f t="shared" si="63"/>
        <v>4.178565251766876E-3</v>
      </c>
    </row>
    <row r="1818" spans="1:18" x14ac:dyDescent="0.2">
      <c r="A1818" s="2">
        <v>42622</v>
      </c>
      <c r="B1818" s="1" t="s">
        <v>56</v>
      </c>
      <c r="C1818" s="1" t="s">
        <v>57</v>
      </c>
      <c r="D1818" s="2">
        <v>42736</v>
      </c>
      <c r="E1818" s="2">
        <f t="shared" si="62"/>
        <v>42736</v>
      </c>
      <c r="F1818" s="1" t="s">
        <v>58</v>
      </c>
      <c r="G1818" s="1" t="s">
        <v>16</v>
      </c>
      <c r="H1818" s="1">
        <v>-9</v>
      </c>
      <c r="I1818" s="1">
        <v>5.01</v>
      </c>
      <c r="J1818" s="1">
        <v>0</v>
      </c>
      <c r="K1818" s="2">
        <v>43040</v>
      </c>
      <c r="L1818" s="1">
        <v>3716</v>
      </c>
      <c r="M1818" s="1">
        <v>4.21</v>
      </c>
      <c r="N1818" s="1">
        <v>0.60590999999999995</v>
      </c>
      <c r="O1818" s="3">
        <f>VLOOKUP(D1818,underlying!$D$40:$H$75,5,FALSE)</f>
        <v>-4</v>
      </c>
      <c r="P1818" s="4">
        <f t="shared" si="61"/>
        <v>42746</v>
      </c>
      <c r="Q1818" s="7">
        <f>IF(G1818="C",NormalCallSprd(O1818,H1818,M1818,(P1818-A1818)/365), NormalPutSprd(O1818,H1818,M1818,(P1818-A1818)/365))</f>
        <v>5.0188260536495211</v>
      </c>
      <c r="R1818" s="9">
        <f t="shared" si="63"/>
        <v>8.8260536495212705E-3</v>
      </c>
    </row>
    <row r="1819" spans="1:18" x14ac:dyDescent="0.2">
      <c r="A1819" s="2">
        <v>42622</v>
      </c>
      <c r="B1819" s="1" t="s">
        <v>56</v>
      </c>
      <c r="C1819" s="1" t="s">
        <v>57</v>
      </c>
      <c r="D1819" s="2">
        <v>42736</v>
      </c>
      <c r="E1819" s="2">
        <f t="shared" si="62"/>
        <v>42736</v>
      </c>
      <c r="F1819" s="1" t="s">
        <v>58</v>
      </c>
      <c r="G1819" s="1" t="s">
        <v>18</v>
      </c>
      <c r="H1819" s="1">
        <v>-9</v>
      </c>
      <c r="I1819" s="1">
        <v>0.02</v>
      </c>
      <c r="J1819" s="1">
        <v>0</v>
      </c>
      <c r="K1819" s="2">
        <v>43040</v>
      </c>
      <c r="L1819" s="1">
        <v>3716</v>
      </c>
      <c r="M1819" s="1">
        <v>4.21</v>
      </c>
      <c r="N1819" s="1">
        <v>0.62339</v>
      </c>
      <c r="O1819" s="3">
        <f>VLOOKUP(D1819,underlying!$D$40:$H$75,5,FALSE)</f>
        <v>-4</v>
      </c>
      <c r="P1819" s="4">
        <f t="shared" si="61"/>
        <v>42746</v>
      </c>
      <c r="Q1819" s="7">
        <f>IF(G1819="C",NormalCallSprd(O1819,H1819,M1819,(P1819-A1819)/365), NormalPutSprd(O1819,H1819,M1819,(P1819-A1819)/365))</f>
        <v>1.8826053649520828E-2</v>
      </c>
      <c r="R1819" s="9">
        <f t="shared" si="63"/>
        <v>1.1739463504791721E-3</v>
      </c>
    </row>
    <row r="1820" spans="1:18" x14ac:dyDescent="0.2">
      <c r="A1820" s="2">
        <v>42622</v>
      </c>
      <c r="B1820" s="1" t="s">
        <v>56</v>
      </c>
      <c r="C1820" s="1" t="s">
        <v>57</v>
      </c>
      <c r="D1820" s="2">
        <v>42736</v>
      </c>
      <c r="E1820" s="2">
        <f t="shared" si="62"/>
        <v>42736</v>
      </c>
      <c r="F1820" s="1" t="s">
        <v>58</v>
      </c>
      <c r="G1820" s="1" t="s">
        <v>16</v>
      </c>
      <c r="H1820" s="1">
        <v>-8.75</v>
      </c>
      <c r="I1820" s="1">
        <v>4.7699999999999996</v>
      </c>
      <c r="J1820" s="1">
        <v>0</v>
      </c>
      <c r="K1820" s="2">
        <v>43040</v>
      </c>
      <c r="L1820" s="1">
        <v>3716</v>
      </c>
      <c r="M1820" s="1">
        <v>4.21</v>
      </c>
      <c r="N1820" s="1">
        <v>0.64200999999999997</v>
      </c>
      <c r="O1820" s="3">
        <f>VLOOKUP(D1820,underlying!$D$40:$H$75,5,FALSE)</f>
        <v>-4</v>
      </c>
      <c r="P1820" s="4">
        <f t="shared" si="61"/>
        <v>42746</v>
      </c>
      <c r="Q1820" s="7">
        <f>IF(G1820="C",NormalCallSprd(O1820,H1820,M1820,(P1820-A1820)/365), NormalPutSprd(O1820,H1820,M1820,(P1820-A1820)/365))</f>
        <v>4.7747076860445121</v>
      </c>
      <c r="R1820" s="9">
        <f t="shared" si="63"/>
        <v>4.707686044512549E-3</v>
      </c>
    </row>
    <row r="1821" spans="1:18" x14ac:dyDescent="0.2">
      <c r="A1821" s="2">
        <v>42622</v>
      </c>
      <c r="B1821" s="1" t="s">
        <v>56</v>
      </c>
      <c r="C1821" s="1" t="s">
        <v>57</v>
      </c>
      <c r="D1821" s="2">
        <v>42736</v>
      </c>
      <c r="E1821" s="2">
        <f t="shared" si="62"/>
        <v>42736</v>
      </c>
      <c r="F1821" s="1" t="s">
        <v>58</v>
      </c>
      <c r="G1821" s="1" t="s">
        <v>18</v>
      </c>
      <c r="H1821" s="1">
        <v>-8.75</v>
      </c>
      <c r="I1821" s="1">
        <v>0.02</v>
      </c>
      <c r="J1821" s="1">
        <v>-0.01</v>
      </c>
      <c r="K1821" s="2">
        <v>43040</v>
      </c>
      <c r="L1821" s="1">
        <v>3716</v>
      </c>
      <c r="M1821" s="1">
        <v>4.21</v>
      </c>
      <c r="N1821" s="1">
        <v>0.65868000000000004</v>
      </c>
      <c r="O1821" s="3">
        <f>VLOOKUP(D1821,underlying!$D$40:$H$75,5,FALSE)</f>
        <v>-4</v>
      </c>
      <c r="P1821" s="4">
        <f t="shared" si="61"/>
        <v>42746</v>
      </c>
      <c r="Q1821" s="7">
        <f>IF(G1821="C",NormalCallSprd(O1821,H1821,M1821,(P1821-A1821)/365), NormalPutSprd(O1821,H1821,M1821,(P1821-A1821)/365))</f>
        <v>2.4707686044511571E-2</v>
      </c>
      <c r="R1821" s="9">
        <f t="shared" si="63"/>
        <v>4.7076860445115706E-3</v>
      </c>
    </row>
    <row r="1822" spans="1:18" x14ac:dyDescent="0.2">
      <c r="A1822" s="2">
        <v>42622</v>
      </c>
      <c r="B1822" s="1" t="s">
        <v>56</v>
      </c>
      <c r="C1822" s="1" t="s">
        <v>57</v>
      </c>
      <c r="D1822" s="2">
        <v>42736</v>
      </c>
      <c r="E1822" s="2">
        <f t="shared" si="62"/>
        <v>42736</v>
      </c>
      <c r="F1822" s="1" t="s">
        <v>58</v>
      </c>
      <c r="G1822" s="1" t="s">
        <v>16</v>
      </c>
      <c r="H1822" s="1">
        <v>-8.5</v>
      </c>
      <c r="I1822" s="1">
        <v>4.5199999999999996</v>
      </c>
      <c r="J1822" s="1">
        <v>-0.01</v>
      </c>
      <c r="K1822" s="2">
        <v>43040</v>
      </c>
      <c r="L1822" s="1">
        <v>3716</v>
      </c>
      <c r="M1822" s="1">
        <v>4.21</v>
      </c>
      <c r="N1822" s="1">
        <v>0.67579</v>
      </c>
      <c r="O1822" s="3">
        <f>VLOOKUP(D1822,underlying!$D$40:$H$75,5,FALSE)</f>
        <v>-4</v>
      </c>
      <c r="P1822" s="4">
        <f t="shared" si="61"/>
        <v>42746</v>
      </c>
      <c r="Q1822" s="7">
        <f>IF(G1822="C",NormalCallSprd(O1822,H1822,M1822,(P1822-A1822)/365), NormalPutSprd(O1822,H1822,M1822,(P1822-A1822)/365))</f>
        <v>4.5321535577577006</v>
      </c>
      <c r="R1822" s="9">
        <f t="shared" si="63"/>
        <v>1.2153557757700995E-2</v>
      </c>
    </row>
    <row r="1823" spans="1:18" x14ac:dyDescent="0.2">
      <c r="A1823" s="2">
        <v>42622</v>
      </c>
      <c r="B1823" s="1" t="s">
        <v>56</v>
      </c>
      <c r="C1823" s="1" t="s">
        <v>57</v>
      </c>
      <c r="D1823" s="2">
        <v>42736</v>
      </c>
      <c r="E1823" s="2">
        <f t="shared" si="62"/>
        <v>42736</v>
      </c>
      <c r="F1823" s="1" t="s">
        <v>58</v>
      </c>
      <c r="G1823" s="1" t="s">
        <v>18</v>
      </c>
      <c r="H1823" s="1">
        <v>-8.5</v>
      </c>
      <c r="I1823" s="1">
        <v>0.03</v>
      </c>
      <c r="J1823" s="1">
        <v>0</v>
      </c>
      <c r="K1823" s="2">
        <v>43040</v>
      </c>
      <c r="L1823" s="1">
        <v>3716</v>
      </c>
      <c r="M1823" s="1">
        <v>4.21</v>
      </c>
      <c r="N1823" s="1">
        <v>0.69250999999999996</v>
      </c>
      <c r="O1823" s="3">
        <f>VLOOKUP(D1823,underlying!$D$40:$H$75,5,FALSE)</f>
        <v>-4</v>
      </c>
      <c r="P1823" s="4">
        <f t="shared" si="61"/>
        <v>42746</v>
      </c>
      <c r="Q1823" s="7">
        <f>IF(G1823="C",NormalCallSprd(O1823,H1823,M1823,(P1823-A1823)/365), NormalPutSprd(O1823,H1823,M1823,(P1823-A1823)/365))</f>
        <v>3.2153557757700325E-2</v>
      </c>
      <c r="R1823" s="9">
        <f t="shared" si="63"/>
        <v>2.1535577577003265E-3</v>
      </c>
    </row>
    <row r="1824" spans="1:18" x14ac:dyDescent="0.2">
      <c r="A1824" s="2">
        <v>42622</v>
      </c>
      <c r="B1824" s="1" t="s">
        <v>56</v>
      </c>
      <c r="C1824" s="1" t="s">
        <v>57</v>
      </c>
      <c r="D1824" s="2">
        <v>42736</v>
      </c>
      <c r="E1824" s="2">
        <f t="shared" si="62"/>
        <v>42736</v>
      </c>
      <c r="F1824" s="1" t="s">
        <v>58</v>
      </c>
      <c r="G1824" s="1" t="s">
        <v>16</v>
      </c>
      <c r="H1824" s="1">
        <v>-8.25</v>
      </c>
      <c r="I1824" s="1">
        <v>4.28</v>
      </c>
      <c r="J1824" s="1">
        <v>-0.01</v>
      </c>
      <c r="K1824" s="2">
        <v>43040</v>
      </c>
      <c r="L1824" s="1">
        <v>3716</v>
      </c>
      <c r="M1824" s="1">
        <v>4.21</v>
      </c>
      <c r="N1824" s="1">
        <v>0.70879999999999999</v>
      </c>
      <c r="O1824" s="3">
        <f>VLOOKUP(D1824,underlying!$D$40:$H$75,5,FALSE)</f>
        <v>-4</v>
      </c>
      <c r="P1824" s="4">
        <f t="shared" si="61"/>
        <v>42746</v>
      </c>
      <c r="Q1824" s="7">
        <f>IF(G1824="C",NormalCallSprd(O1824,H1824,M1824,(P1824-A1824)/365), NormalPutSprd(O1824,H1824,M1824,(P1824-A1824)/365))</f>
        <v>4.2914941919324399</v>
      </c>
      <c r="R1824" s="9">
        <f t="shared" si="63"/>
        <v>1.1494191932439612E-2</v>
      </c>
    </row>
    <row r="1825" spans="1:18" x14ac:dyDescent="0.2">
      <c r="A1825" s="2">
        <v>42622</v>
      </c>
      <c r="B1825" s="1" t="s">
        <v>56</v>
      </c>
      <c r="C1825" s="1" t="s">
        <v>57</v>
      </c>
      <c r="D1825" s="2">
        <v>42736</v>
      </c>
      <c r="E1825" s="2">
        <f t="shared" si="62"/>
        <v>42736</v>
      </c>
      <c r="F1825" s="1" t="s">
        <v>58</v>
      </c>
      <c r="G1825" s="1" t="s">
        <v>18</v>
      </c>
      <c r="H1825" s="1">
        <v>-8.25</v>
      </c>
      <c r="I1825" s="1">
        <v>0.04</v>
      </c>
      <c r="J1825" s="1">
        <v>0</v>
      </c>
      <c r="K1825" s="2">
        <v>43040</v>
      </c>
      <c r="L1825" s="1">
        <v>3716</v>
      </c>
      <c r="M1825" s="1">
        <v>4.21</v>
      </c>
      <c r="N1825" s="1">
        <v>0.72463999999999995</v>
      </c>
      <c r="O1825" s="3">
        <f>VLOOKUP(D1825,underlying!$D$40:$H$75,5,FALSE)</f>
        <v>-4</v>
      </c>
      <c r="P1825" s="4">
        <f t="shared" si="61"/>
        <v>42746</v>
      </c>
      <c r="Q1825" s="7">
        <f>IF(G1825="C",NormalCallSprd(O1825,H1825,M1825,(P1825-A1825)/365), NormalPutSprd(O1825,H1825,M1825,(P1825-A1825)/365))</f>
        <v>4.1494191932439799E-2</v>
      </c>
      <c r="R1825" s="9">
        <f t="shared" si="63"/>
        <v>1.4941919324397979E-3</v>
      </c>
    </row>
    <row r="1826" spans="1:18" x14ac:dyDescent="0.2">
      <c r="A1826" s="2">
        <v>42622</v>
      </c>
      <c r="B1826" s="1" t="s">
        <v>56</v>
      </c>
      <c r="C1826" s="1" t="s">
        <v>57</v>
      </c>
      <c r="D1826" s="2">
        <v>42736</v>
      </c>
      <c r="E1826" s="2">
        <f t="shared" si="62"/>
        <v>42736</v>
      </c>
      <c r="F1826" s="1" t="s">
        <v>58</v>
      </c>
      <c r="G1826" s="1" t="s">
        <v>16</v>
      </c>
      <c r="H1826" s="1">
        <v>-8</v>
      </c>
      <c r="I1826" s="1">
        <v>4.05</v>
      </c>
      <c r="J1826" s="1">
        <v>0</v>
      </c>
      <c r="K1826" s="2">
        <v>43040</v>
      </c>
      <c r="L1826" s="1">
        <v>3716</v>
      </c>
      <c r="M1826" s="1">
        <v>4.21</v>
      </c>
      <c r="N1826" s="1">
        <v>0.74060999999999999</v>
      </c>
      <c r="O1826" s="3">
        <f>VLOOKUP(D1826,underlying!$D$40:$H$75,5,FALSE)</f>
        <v>-4</v>
      </c>
      <c r="P1826" s="4">
        <f t="shared" si="61"/>
        <v>42746</v>
      </c>
      <c r="Q1826" s="7">
        <f>IF(G1826="C",NormalCallSprd(O1826,H1826,M1826,(P1826-A1826)/365), NormalPutSprd(O1826,H1826,M1826,(P1826-A1826)/365))</f>
        <v>4.0531062921683532</v>
      </c>
      <c r="R1826" s="9">
        <f t="shared" si="63"/>
        <v>3.1062921683533418E-3</v>
      </c>
    </row>
    <row r="1827" spans="1:18" x14ac:dyDescent="0.2">
      <c r="A1827" s="2">
        <v>42622</v>
      </c>
      <c r="B1827" s="1" t="s">
        <v>56</v>
      </c>
      <c r="C1827" s="1" t="s">
        <v>57</v>
      </c>
      <c r="D1827" s="2">
        <v>42736</v>
      </c>
      <c r="E1827" s="2">
        <f t="shared" si="62"/>
        <v>42736</v>
      </c>
      <c r="F1827" s="1" t="s">
        <v>58</v>
      </c>
      <c r="G1827" s="1" t="s">
        <v>18</v>
      </c>
      <c r="H1827" s="1">
        <v>-8</v>
      </c>
      <c r="I1827" s="1">
        <v>0.05</v>
      </c>
      <c r="J1827" s="1">
        <v>0</v>
      </c>
      <c r="K1827" s="2">
        <v>43040</v>
      </c>
      <c r="L1827" s="1">
        <v>3716</v>
      </c>
      <c r="M1827" s="1">
        <v>4.21</v>
      </c>
      <c r="N1827" s="1">
        <v>0.75551000000000001</v>
      </c>
      <c r="O1827" s="3">
        <f>VLOOKUP(D1827,underlying!$D$40:$H$75,5,FALSE)</f>
        <v>-4</v>
      </c>
      <c r="P1827" s="4">
        <f t="shared" si="61"/>
        <v>42746</v>
      </c>
      <c r="Q1827" s="7">
        <f>IF(G1827="C",NormalCallSprd(O1827,H1827,M1827,(P1827-A1827)/365), NormalPutSprd(O1827,H1827,M1827,(P1827-A1827)/365))</f>
        <v>5.3106292168353136E-2</v>
      </c>
      <c r="R1827" s="9">
        <f t="shared" si="63"/>
        <v>3.1062921683531336E-3</v>
      </c>
    </row>
    <row r="1828" spans="1:18" x14ac:dyDescent="0.2">
      <c r="A1828" s="2">
        <v>42622</v>
      </c>
      <c r="B1828" s="1" t="s">
        <v>56</v>
      </c>
      <c r="C1828" s="1" t="s">
        <v>57</v>
      </c>
      <c r="D1828" s="2">
        <v>42736</v>
      </c>
      <c r="E1828" s="2">
        <f t="shared" si="62"/>
        <v>42736</v>
      </c>
      <c r="F1828" s="1" t="s">
        <v>58</v>
      </c>
      <c r="G1828" s="1" t="s">
        <v>16</v>
      </c>
      <c r="H1828" s="1">
        <v>-7.75</v>
      </c>
      <c r="I1828" s="1">
        <v>3.81</v>
      </c>
      <c r="J1828" s="1">
        <v>0</v>
      </c>
      <c r="K1828" s="2">
        <v>43040</v>
      </c>
      <c r="L1828" s="1">
        <v>3716</v>
      </c>
      <c r="M1828" s="1">
        <v>4.21</v>
      </c>
      <c r="N1828" s="1">
        <v>0.76988000000000001</v>
      </c>
      <c r="O1828" s="3">
        <f>VLOOKUP(D1828,underlying!$D$40:$H$75,5,FALSE)</f>
        <v>-4</v>
      </c>
      <c r="P1828" s="4">
        <f t="shared" si="61"/>
        <v>42746</v>
      </c>
      <c r="Q1828" s="7">
        <f>IF(G1828="C",NormalCallSprd(O1828,H1828,M1828,(P1828-A1828)/365), NormalPutSprd(O1828,H1828,M1828,(P1828-A1828)/365))</f>
        <v>3.8174133853954273</v>
      </c>
      <c r="R1828" s="9">
        <f t="shared" si="63"/>
        <v>7.4133853954272411E-3</v>
      </c>
    </row>
    <row r="1829" spans="1:18" x14ac:dyDescent="0.2">
      <c r="A1829" s="2">
        <v>42622</v>
      </c>
      <c r="B1829" s="1" t="s">
        <v>56</v>
      </c>
      <c r="C1829" s="1" t="s">
        <v>57</v>
      </c>
      <c r="D1829" s="2">
        <v>42736</v>
      </c>
      <c r="E1829" s="2">
        <f t="shared" si="62"/>
        <v>42736</v>
      </c>
      <c r="F1829" s="1" t="s">
        <v>58</v>
      </c>
      <c r="G1829" s="1" t="s">
        <v>18</v>
      </c>
      <c r="H1829" s="1">
        <v>-7.75</v>
      </c>
      <c r="I1829" s="1">
        <v>7.0000000000000007E-2</v>
      </c>
      <c r="J1829" s="1">
        <v>0</v>
      </c>
      <c r="K1829" s="2">
        <v>43040</v>
      </c>
      <c r="L1829" s="1">
        <v>3716</v>
      </c>
      <c r="M1829" s="1">
        <v>4.21</v>
      </c>
      <c r="N1829" s="1">
        <v>0.78373000000000004</v>
      </c>
      <c r="O1829" s="3">
        <f>VLOOKUP(D1829,underlying!$D$40:$H$75,5,FALSE)</f>
        <v>-4</v>
      </c>
      <c r="P1829" s="4">
        <f t="shared" si="61"/>
        <v>42746</v>
      </c>
      <c r="Q1829" s="7">
        <f>IF(G1829="C",NormalCallSprd(O1829,H1829,M1829,(P1829-A1829)/365), NormalPutSprd(O1829,H1829,M1829,(P1829-A1829)/365))</f>
        <v>6.7413385395427475E-2</v>
      </c>
      <c r="R1829" s="9">
        <f t="shared" si="63"/>
        <v>2.5866146045725319E-3</v>
      </c>
    </row>
    <row r="1830" spans="1:18" x14ac:dyDescent="0.2">
      <c r="A1830" s="2">
        <v>42622</v>
      </c>
      <c r="B1830" s="1" t="s">
        <v>56</v>
      </c>
      <c r="C1830" s="1" t="s">
        <v>57</v>
      </c>
      <c r="D1830" s="2">
        <v>42736</v>
      </c>
      <c r="E1830" s="2">
        <f t="shared" si="62"/>
        <v>42736</v>
      </c>
      <c r="F1830" s="1" t="s">
        <v>58</v>
      </c>
      <c r="G1830" s="1" t="s">
        <v>16</v>
      </c>
      <c r="H1830" s="1">
        <v>-7.5</v>
      </c>
      <c r="I1830" s="1">
        <v>3.58</v>
      </c>
      <c r="J1830" s="1">
        <v>0</v>
      </c>
      <c r="K1830" s="2">
        <v>43040</v>
      </c>
      <c r="L1830" s="1">
        <v>3716</v>
      </c>
      <c r="M1830" s="1">
        <v>4.21</v>
      </c>
      <c r="N1830" s="1">
        <v>0.79703000000000002</v>
      </c>
      <c r="O1830" s="3">
        <f>VLOOKUP(D1830,underlying!$D$40:$H$75,5,FALSE)</f>
        <v>-4</v>
      </c>
      <c r="P1830" s="4">
        <f t="shared" si="61"/>
        <v>42746</v>
      </c>
      <c r="Q1830" s="7">
        <f>IF(G1830="C",NormalCallSprd(O1830,H1830,M1830,(P1830-A1830)/365), NormalPutSprd(O1830,H1830,M1830,(P1830-A1830)/365))</f>
        <v>3.5848850065799471</v>
      </c>
      <c r="R1830" s="9">
        <f t="shared" si="63"/>
        <v>4.8850065799470599E-3</v>
      </c>
    </row>
    <row r="1831" spans="1:18" x14ac:dyDescent="0.2">
      <c r="A1831" s="2">
        <v>42622</v>
      </c>
      <c r="B1831" s="1" t="s">
        <v>56</v>
      </c>
      <c r="C1831" s="1" t="s">
        <v>57</v>
      </c>
      <c r="D1831" s="2">
        <v>42736</v>
      </c>
      <c r="E1831" s="2">
        <f t="shared" si="62"/>
        <v>42736</v>
      </c>
      <c r="F1831" s="1" t="s">
        <v>58</v>
      </c>
      <c r="G1831" s="1" t="s">
        <v>18</v>
      </c>
      <c r="H1831" s="1">
        <v>-7.5</v>
      </c>
      <c r="I1831" s="1">
        <v>0.08</v>
      </c>
      <c r="J1831" s="1">
        <v>-0.01</v>
      </c>
      <c r="K1831" s="2">
        <v>43040</v>
      </c>
      <c r="L1831" s="1">
        <v>3716</v>
      </c>
      <c r="M1831" s="1">
        <v>4.21</v>
      </c>
      <c r="N1831" s="1">
        <v>0.80978000000000006</v>
      </c>
      <c r="O1831" s="3">
        <f>VLOOKUP(D1831,underlying!$D$40:$H$75,5,FALSE)</f>
        <v>-4</v>
      </c>
      <c r="P1831" s="4">
        <f t="shared" si="61"/>
        <v>42746</v>
      </c>
      <c r="Q1831" s="7">
        <f>IF(G1831="C",NormalCallSprd(O1831,H1831,M1831,(P1831-A1831)/365), NormalPutSprd(O1831,H1831,M1831,(P1831-A1831)/365))</f>
        <v>8.48850065799472E-2</v>
      </c>
      <c r="R1831" s="9">
        <f t="shared" si="63"/>
        <v>4.8850065799471987E-3</v>
      </c>
    </row>
    <row r="1832" spans="1:18" x14ac:dyDescent="0.2">
      <c r="A1832" s="2">
        <v>42622</v>
      </c>
      <c r="B1832" s="1" t="s">
        <v>56</v>
      </c>
      <c r="C1832" s="1" t="s">
        <v>57</v>
      </c>
      <c r="D1832" s="2">
        <v>42736</v>
      </c>
      <c r="E1832" s="2">
        <f t="shared" si="62"/>
        <v>42736</v>
      </c>
      <c r="F1832" s="1" t="s">
        <v>58</v>
      </c>
      <c r="G1832" s="1" t="s">
        <v>16</v>
      </c>
      <c r="H1832" s="1">
        <v>-7.25</v>
      </c>
      <c r="I1832" s="1">
        <v>3.35</v>
      </c>
      <c r="J1832" s="1">
        <v>0</v>
      </c>
      <c r="K1832" s="2">
        <v>43040</v>
      </c>
      <c r="L1832" s="1">
        <v>3716</v>
      </c>
      <c r="M1832" s="1">
        <v>4.21</v>
      </c>
      <c r="N1832" s="1">
        <v>0.85585999999999995</v>
      </c>
      <c r="O1832" s="3">
        <f>VLOOKUP(D1832,underlying!$D$40:$H$75,5,FALSE)</f>
        <v>-4</v>
      </c>
      <c r="P1832" s="4">
        <f t="shared" si="61"/>
        <v>42746</v>
      </c>
      <c r="Q1832" s="7">
        <f>IF(G1832="C",NormalCallSprd(O1832,H1832,M1832,(P1832-A1832)/365), NormalPutSprd(O1832,H1832,M1832,(P1832-A1832)/365))</f>
        <v>3.3560341909559797</v>
      </c>
      <c r="R1832" s="9">
        <f t="shared" si="63"/>
        <v>6.0341909559795681E-3</v>
      </c>
    </row>
    <row r="1833" spans="1:18" x14ac:dyDescent="0.2">
      <c r="A1833" s="2">
        <v>42622</v>
      </c>
      <c r="B1833" s="1" t="s">
        <v>56</v>
      </c>
      <c r="C1833" s="1" t="s">
        <v>57</v>
      </c>
      <c r="D1833" s="2">
        <v>42736</v>
      </c>
      <c r="E1833" s="2">
        <f t="shared" si="62"/>
        <v>42736</v>
      </c>
      <c r="F1833" s="1" t="s">
        <v>58</v>
      </c>
      <c r="G1833" s="1" t="s">
        <v>18</v>
      </c>
      <c r="H1833" s="1">
        <v>-7.25</v>
      </c>
      <c r="I1833" s="1">
        <v>0.11</v>
      </c>
      <c r="J1833" s="1">
        <v>0</v>
      </c>
      <c r="K1833" s="2">
        <v>43040</v>
      </c>
      <c r="L1833" s="1">
        <v>3716</v>
      </c>
      <c r="M1833" s="1">
        <v>4.21</v>
      </c>
      <c r="N1833" s="1">
        <v>0.89239999999999997</v>
      </c>
      <c r="O1833" s="3">
        <f>VLOOKUP(D1833,underlying!$D$40:$H$75,5,FALSE)</f>
        <v>-4</v>
      </c>
      <c r="P1833" s="4">
        <f t="shared" si="61"/>
        <v>42746</v>
      </c>
      <c r="Q1833" s="7">
        <f>IF(G1833="C",NormalCallSprd(O1833,H1833,M1833,(P1833-A1833)/365), NormalPutSprd(O1833,H1833,M1833,(P1833-A1833)/365))</f>
        <v>0.10603419095597943</v>
      </c>
      <c r="R1833" s="9">
        <f t="shared" si="63"/>
        <v>3.9658090440205657E-3</v>
      </c>
    </row>
    <row r="1834" spans="1:18" x14ac:dyDescent="0.2">
      <c r="A1834" s="2">
        <v>42622</v>
      </c>
      <c r="B1834" s="1" t="s">
        <v>56</v>
      </c>
      <c r="C1834" s="1" t="s">
        <v>57</v>
      </c>
      <c r="D1834" s="2">
        <v>42736</v>
      </c>
      <c r="E1834" s="2">
        <f t="shared" si="62"/>
        <v>42736</v>
      </c>
      <c r="F1834" s="1" t="s">
        <v>58</v>
      </c>
      <c r="G1834" s="1" t="s">
        <v>16</v>
      </c>
      <c r="H1834" s="1">
        <v>-7</v>
      </c>
      <c r="I1834" s="1">
        <v>3.13</v>
      </c>
      <c r="J1834" s="1">
        <v>0</v>
      </c>
      <c r="K1834" s="2">
        <v>43040</v>
      </c>
      <c r="L1834" s="1">
        <v>3716</v>
      </c>
      <c r="M1834" s="1">
        <v>4.21</v>
      </c>
      <c r="N1834" s="1">
        <v>-0.56877999999999995</v>
      </c>
      <c r="O1834" s="3">
        <f>VLOOKUP(D1834,underlying!$D$40:$H$75,5,FALSE)</f>
        <v>-4</v>
      </c>
      <c r="P1834" s="4">
        <f t="shared" si="61"/>
        <v>42746</v>
      </c>
      <c r="Q1834" s="7">
        <f>IF(G1834="C",NormalCallSprd(O1834,H1834,M1834,(P1834-A1834)/365), NormalPutSprd(O1834,H1834,M1834,(P1834-A1834)/365))</f>
        <v>3.1314130918619876</v>
      </c>
      <c r="R1834" s="9">
        <f t="shared" si="63"/>
        <v>1.4130918619876809E-3</v>
      </c>
    </row>
    <row r="1835" spans="1:18" x14ac:dyDescent="0.2">
      <c r="A1835" s="2">
        <v>42622</v>
      </c>
      <c r="B1835" s="1" t="s">
        <v>56</v>
      </c>
      <c r="C1835" s="1" t="s">
        <v>57</v>
      </c>
      <c r="D1835" s="2">
        <v>42736</v>
      </c>
      <c r="E1835" s="2">
        <f t="shared" si="62"/>
        <v>42736</v>
      </c>
      <c r="F1835" s="1" t="s">
        <v>58</v>
      </c>
      <c r="G1835" s="1" t="s">
        <v>18</v>
      </c>
      <c r="H1835" s="1">
        <v>-7</v>
      </c>
      <c r="I1835" s="1">
        <v>0.13</v>
      </c>
      <c r="J1835" s="1">
        <v>0</v>
      </c>
      <c r="K1835" s="2">
        <v>43040</v>
      </c>
      <c r="L1835" s="1">
        <v>3716</v>
      </c>
      <c r="M1835" s="1">
        <v>4.21</v>
      </c>
      <c r="N1835" s="1">
        <v>-0.54976999999999998</v>
      </c>
      <c r="O1835" s="3">
        <f>VLOOKUP(D1835,underlying!$D$40:$H$75,5,FALSE)</f>
        <v>-4</v>
      </c>
      <c r="P1835" s="4">
        <f t="shared" si="61"/>
        <v>42746</v>
      </c>
      <c r="Q1835" s="7">
        <f>IF(G1835="C",NormalCallSprd(O1835,H1835,M1835,(P1835-A1835)/365), NormalPutSprd(O1835,H1835,M1835,(P1835-A1835)/365))</f>
        <v>0.13141309186198755</v>
      </c>
      <c r="R1835" s="9">
        <f t="shared" si="63"/>
        <v>1.4130918619875421E-3</v>
      </c>
    </row>
    <row r="1836" spans="1:18" x14ac:dyDescent="0.2">
      <c r="A1836" s="2">
        <v>42622</v>
      </c>
      <c r="B1836" s="1" t="s">
        <v>56</v>
      </c>
      <c r="C1836" s="1" t="s">
        <v>57</v>
      </c>
      <c r="D1836" s="2">
        <v>42736</v>
      </c>
      <c r="E1836" s="2">
        <f t="shared" si="62"/>
        <v>42736</v>
      </c>
      <c r="F1836" s="1" t="s">
        <v>58</v>
      </c>
      <c r="G1836" s="1" t="s">
        <v>16</v>
      </c>
      <c r="H1836" s="1">
        <v>-6.75</v>
      </c>
      <c r="I1836" s="1">
        <v>2.91</v>
      </c>
      <c r="J1836" s="1">
        <v>0</v>
      </c>
      <c r="K1836" s="2">
        <v>43040</v>
      </c>
      <c r="L1836" s="1">
        <v>3716</v>
      </c>
      <c r="M1836" s="1">
        <v>4.21</v>
      </c>
      <c r="N1836" s="1">
        <v>-0.53083000000000002</v>
      </c>
      <c r="O1836" s="3">
        <f>VLOOKUP(D1836,underlying!$D$40:$H$75,5,FALSE)</f>
        <v>-4</v>
      </c>
      <c r="P1836" s="4">
        <f t="shared" si="61"/>
        <v>42746</v>
      </c>
      <c r="Q1836" s="7">
        <f>IF(G1836="C",NormalCallSprd(O1836,H1836,M1836,(P1836-A1836)/365), NormalPutSprd(O1836,H1836,M1836,(P1836-A1836)/365))</f>
        <v>2.9116066158512695</v>
      </c>
      <c r="R1836" s="9">
        <f t="shared" si="63"/>
        <v>1.6066158512693107E-3</v>
      </c>
    </row>
    <row r="1837" spans="1:18" x14ac:dyDescent="0.2">
      <c r="A1837" s="2">
        <v>42622</v>
      </c>
      <c r="B1837" s="1" t="s">
        <v>56</v>
      </c>
      <c r="C1837" s="1" t="s">
        <v>57</v>
      </c>
      <c r="D1837" s="2">
        <v>42736</v>
      </c>
      <c r="E1837" s="2">
        <f t="shared" si="62"/>
        <v>42736</v>
      </c>
      <c r="F1837" s="1" t="s">
        <v>58</v>
      </c>
      <c r="G1837" s="1" t="s">
        <v>18</v>
      </c>
      <c r="H1837" s="1">
        <v>-6.75</v>
      </c>
      <c r="I1837" s="1">
        <v>0.16</v>
      </c>
      <c r="J1837" s="1">
        <v>0</v>
      </c>
      <c r="K1837" s="2">
        <v>43040</v>
      </c>
      <c r="L1837" s="1">
        <v>3716</v>
      </c>
      <c r="M1837" s="1">
        <v>4.21</v>
      </c>
      <c r="N1837" s="1">
        <v>-0.51175000000000004</v>
      </c>
      <c r="O1837" s="3">
        <f>VLOOKUP(D1837,underlying!$D$40:$H$75,5,FALSE)</f>
        <v>-4</v>
      </c>
      <c r="P1837" s="4">
        <f t="shared" si="61"/>
        <v>42746</v>
      </c>
      <c r="Q1837" s="7">
        <f>IF(G1837="C",NormalCallSprd(O1837,H1837,M1837,(P1837-A1837)/365), NormalPutSprd(O1837,H1837,M1837,(P1837-A1837)/365))</f>
        <v>0.16160661585126959</v>
      </c>
      <c r="R1837" s="9">
        <f t="shared" si="63"/>
        <v>1.6066158512695883E-3</v>
      </c>
    </row>
    <row r="1838" spans="1:18" x14ac:dyDescent="0.2">
      <c r="A1838" s="2">
        <v>42622</v>
      </c>
      <c r="B1838" s="1" t="s">
        <v>56</v>
      </c>
      <c r="C1838" s="1" t="s">
        <v>57</v>
      </c>
      <c r="D1838" s="2">
        <v>42736</v>
      </c>
      <c r="E1838" s="2">
        <f t="shared" si="62"/>
        <v>42736</v>
      </c>
      <c r="F1838" s="1" t="s">
        <v>58</v>
      </c>
      <c r="G1838" s="1" t="s">
        <v>16</v>
      </c>
      <c r="H1838" s="1">
        <v>-6.5</v>
      </c>
      <c r="I1838" s="1">
        <v>2.69</v>
      </c>
      <c r="J1838" s="1">
        <v>-0.01</v>
      </c>
      <c r="K1838" s="2">
        <v>43040</v>
      </c>
      <c r="L1838" s="1">
        <v>3716</v>
      </c>
      <c r="M1838" s="1">
        <v>4.21</v>
      </c>
      <c r="N1838" s="1">
        <v>-0.49274000000000001</v>
      </c>
      <c r="O1838" s="3">
        <f>VLOOKUP(D1838,underlying!$D$40:$H$75,5,FALSE)</f>
        <v>-4</v>
      </c>
      <c r="P1838" s="4">
        <f t="shared" si="61"/>
        <v>42746</v>
      </c>
      <c r="Q1838" s="7">
        <f>IF(G1838="C",NormalCallSprd(O1838,H1838,M1838,(P1838-A1838)/365), NormalPutSprd(O1838,H1838,M1838,(P1838-A1838)/365))</f>
        <v>2.6972240593815369</v>
      </c>
      <c r="R1838" s="9">
        <f t="shared" si="63"/>
        <v>7.2240593815369181E-3</v>
      </c>
    </row>
    <row r="1839" spans="1:18" x14ac:dyDescent="0.2">
      <c r="A1839" s="2">
        <v>42622</v>
      </c>
      <c r="B1839" s="1" t="s">
        <v>56</v>
      </c>
      <c r="C1839" s="1" t="s">
        <v>57</v>
      </c>
      <c r="D1839" s="2">
        <v>42736</v>
      </c>
      <c r="E1839" s="2">
        <f t="shared" si="62"/>
        <v>42736</v>
      </c>
      <c r="F1839" s="1" t="s">
        <v>58</v>
      </c>
      <c r="G1839" s="1" t="s">
        <v>18</v>
      </c>
      <c r="H1839" s="1">
        <v>-6.5</v>
      </c>
      <c r="I1839" s="1">
        <v>0.2</v>
      </c>
      <c r="J1839" s="1">
        <v>0</v>
      </c>
      <c r="K1839" s="2">
        <v>43040</v>
      </c>
      <c r="L1839" s="1">
        <v>3716</v>
      </c>
      <c r="M1839" s="1">
        <v>4.21</v>
      </c>
      <c r="N1839" s="1">
        <v>-0.47372999999999998</v>
      </c>
      <c r="O1839" s="3">
        <f>VLOOKUP(D1839,underlying!$D$40:$H$75,5,FALSE)</f>
        <v>-4</v>
      </c>
      <c r="P1839" s="4">
        <f t="shared" si="61"/>
        <v>42746</v>
      </c>
      <c r="Q1839" s="7">
        <f>IF(G1839="C",NormalCallSprd(O1839,H1839,M1839,(P1839-A1839)/365), NormalPutSprd(O1839,H1839,M1839,(P1839-A1839)/365))</f>
        <v>0.19722405938153686</v>
      </c>
      <c r="R1839" s="9">
        <f t="shared" si="63"/>
        <v>2.7759406184631463E-3</v>
      </c>
    </row>
    <row r="1840" spans="1:18" x14ac:dyDescent="0.2">
      <c r="A1840" s="2">
        <v>42622</v>
      </c>
      <c r="B1840" s="1" t="s">
        <v>56</v>
      </c>
      <c r="C1840" s="1" t="s">
        <v>57</v>
      </c>
      <c r="D1840" s="2">
        <v>42736</v>
      </c>
      <c r="E1840" s="2">
        <f t="shared" si="62"/>
        <v>42736</v>
      </c>
      <c r="F1840" s="1" t="s">
        <v>58</v>
      </c>
      <c r="G1840" s="1" t="s">
        <v>16</v>
      </c>
      <c r="H1840" s="1">
        <v>-6.25</v>
      </c>
      <c r="I1840" s="1">
        <v>2.48</v>
      </c>
      <c r="J1840" s="1">
        <v>-0.01</v>
      </c>
      <c r="K1840" s="2">
        <v>43040</v>
      </c>
      <c r="L1840" s="1">
        <v>3716</v>
      </c>
      <c r="M1840" s="1">
        <v>4.21</v>
      </c>
      <c r="N1840" s="1">
        <v>-0.45465</v>
      </c>
      <c r="O1840" s="3">
        <f>VLOOKUP(D1840,underlying!$D$40:$H$75,5,FALSE)</f>
        <v>-4</v>
      </c>
      <c r="P1840" s="4">
        <f t="shared" si="61"/>
        <v>42746</v>
      </c>
      <c r="Q1840" s="7">
        <f>IF(G1840="C",NormalCallSprd(O1840,H1840,M1840,(P1840-A1840)/365), NormalPutSprd(O1840,H1840,M1840,(P1840-A1840)/365))</f>
        <v>2.4888888388923625</v>
      </c>
      <c r="R1840" s="9">
        <f t="shared" si="63"/>
        <v>8.8888388923624717E-3</v>
      </c>
    </row>
    <row r="1841" spans="1:18" x14ac:dyDescent="0.2">
      <c r="A1841" s="2">
        <v>42622</v>
      </c>
      <c r="B1841" s="1" t="s">
        <v>56</v>
      </c>
      <c r="C1841" s="1" t="s">
        <v>57</v>
      </c>
      <c r="D1841" s="2">
        <v>42736</v>
      </c>
      <c r="E1841" s="2">
        <f t="shared" si="62"/>
        <v>42736</v>
      </c>
      <c r="F1841" s="1" t="s">
        <v>58</v>
      </c>
      <c r="G1841" s="1" t="s">
        <v>18</v>
      </c>
      <c r="H1841" s="1">
        <v>-6.25</v>
      </c>
      <c r="I1841" s="1">
        <v>0.24</v>
      </c>
      <c r="J1841" s="1">
        <v>0</v>
      </c>
      <c r="K1841" s="2">
        <v>43040</v>
      </c>
      <c r="L1841" s="1">
        <v>3716</v>
      </c>
      <c r="M1841" s="1">
        <v>4.21</v>
      </c>
      <c r="N1841" s="1">
        <v>-0.43570999999999999</v>
      </c>
      <c r="O1841" s="3">
        <f>VLOOKUP(D1841,underlying!$D$40:$H$75,5,FALSE)</f>
        <v>-4</v>
      </c>
      <c r="P1841" s="4">
        <f t="shared" si="61"/>
        <v>42746</v>
      </c>
      <c r="Q1841" s="7">
        <f>IF(G1841="C",NormalCallSprd(O1841,H1841,M1841,(P1841-A1841)/365), NormalPutSprd(O1841,H1841,M1841,(P1841-A1841)/365))</f>
        <v>0.23888883889236245</v>
      </c>
      <c r="R1841" s="9">
        <f t="shared" si="63"/>
        <v>1.1111611076375372E-3</v>
      </c>
    </row>
    <row r="1842" spans="1:18" x14ac:dyDescent="0.2">
      <c r="A1842" s="2">
        <v>42622</v>
      </c>
      <c r="B1842" s="1" t="s">
        <v>56</v>
      </c>
      <c r="C1842" s="1" t="s">
        <v>57</v>
      </c>
      <c r="D1842" s="2">
        <v>42736</v>
      </c>
      <c r="E1842" s="2">
        <f t="shared" si="62"/>
        <v>42736</v>
      </c>
      <c r="F1842" s="1" t="s">
        <v>58</v>
      </c>
      <c r="G1842" s="1" t="s">
        <v>16</v>
      </c>
      <c r="H1842" s="1">
        <v>-6</v>
      </c>
      <c r="I1842" s="1">
        <v>2.2799999999999998</v>
      </c>
      <c r="J1842" s="1">
        <v>-0.01</v>
      </c>
      <c r="K1842" s="2">
        <v>43040</v>
      </c>
      <c r="L1842" s="1">
        <v>3716</v>
      </c>
      <c r="M1842" s="1">
        <v>4.21</v>
      </c>
      <c r="N1842" s="1">
        <v>-0.41670000000000001</v>
      </c>
      <c r="O1842" s="3">
        <f>VLOOKUP(D1842,underlying!$D$40:$H$75,5,FALSE)</f>
        <v>-4</v>
      </c>
      <c r="P1842" s="4">
        <f t="shared" si="61"/>
        <v>42746</v>
      </c>
      <c r="Q1842" s="7">
        <f>IF(G1842="C",NormalCallSprd(O1842,H1842,M1842,(P1842-A1842)/365), NormalPutSprd(O1842,H1842,M1842,(P1842-A1842)/365))</f>
        <v>2.2872265223427108</v>
      </c>
      <c r="R1842" s="9">
        <f t="shared" si="63"/>
        <v>7.2265223427110392E-3</v>
      </c>
    </row>
    <row r="1843" spans="1:18" x14ac:dyDescent="0.2">
      <c r="A1843" s="2">
        <v>42622</v>
      </c>
      <c r="B1843" s="1" t="s">
        <v>56</v>
      </c>
      <c r="C1843" s="1" t="s">
        <v>57</v>
      </c>
      <c r="D1843" s="2">
        <v>42736</v>
      </c>
      <c r="E1843" s="2">
        <f t="shared" si="62"/>
        <v>42736</v>
      </c>
      <c r="F1843" s="1" t="s">
        <v>58</v>
      </c>
      <c r="G1843" s="1" t="s">
        <v>18</v>
      </c>
      <c r="H1843" s="1">
        <v>-6</v>
      </c>
      <c r="I1843" s="1">
        <v>0.28999999999999998</v>
      </c>
      <c r="J1843" s="1">
        <v>0</v>
      </c>
      <c r="K1843" s="2">
        <v>43040</v>
      </c>
      <c r="L1843" s="1">
        <v>3716</v>
      </c>
      <c r="M1843" s="1">
        <v>4.21</v>
      </c>
      <c r="N1843" s="1">
        <v>-0.39855000000000002</v>
      </c>
      <c r="O1843" s="3">
        <f>VLOOKUP(D1843,underlying!$D$40:$H$75,5,FALSE)</f>
        <v>-4</v>
      </c>
      <c r="P1843" s="4">
        <f t="shared" si="61"/>
        <v>42746</v>
      </c>
      <c r="Q1843" s="7">
        <f>IF(G1843="C",NormalCallSprd(O1843,H1843,M1843,(P1843-A1843)/365), NormalPutSprd(O1843,H1843,M1843,(P1843-A1843)/365))</f>
        <v>0.28722652234271073</v>
      </c>
      <c r="R1843" s="9">
        <f t="shared" si="63"/>
        <v>2.7734776572892472E-3</v>
      </c>
    </row>
    <row r="1844" spans="1:18" x14ac:dyDescent="0.2">
      <c r="A1844" s="2">
        <v>42622</v>
      </c>
      <c r="B1844" s="1" t="s">
        <v>56</v>
      </c>
      <c r="C1844" s="1" t="s">
        <v>57</v>
      </c>
      <c r="D1844" s="2">
        <v>42736</v>
      </c>
      <c r="E1844" s="2">
        <f t="shared" si="62"/>
        <v>42736</v>
      </c>
      <c r="F1844" s="1" t="s">
        <v>58</v>
      </c>
      <c r="G1844" s="1" t="s">
        <v>16</v>
      </c>
      <c r="H1844" s="1">
        <v>-5.75</v>
      </c>
      <c r="I1844" s="1">
        <v>2.09</v>
      </c>
      <c r="J1844" s="1">
        <v>0</v>
      </c>
      <c r="K1844" s="2">
        <v>43040</v>
      </c>
      <c r="L1844" s="1">
        <v>3716</v>
      </c>
      <c r="M1844" s="1">
        <v>4.21</v>
      </c>
      <c r="N1844" s="1">
        <v>-0.37957000000000002</v>
      </c>
      <c r="O1844" s="3">
        <f>VLOOKUP(D1844,underlying!$D$40:$H$75,5,FALSE)</f>
        <v>-4</v>
      </c>
      <c r="P1844" s="4">
        <f t="shared" si="61"/>
        <v>42746</v>
      </c>
      <c r="Q1844" s="7">
        <f>IF(G1844="C",NormalCallSprd(O1844,H1844,M1844,(P1844-A1844)/365), NormalPutSprd(O1844,H1844,M1844,(P1844-A1844)/365))</f>
        <v>2.0928514875956781</v>
      </c>
      <c r="R1844" s="9">
        <f t="shared" si="63"/>
        <v>2.8514875956782149E-3</v>
      </c>
    </row>
    <row r="1845" spans="1:18" x14ac:dyDescent="0.2">
      <c r="A1845" s="2">
        <v>42622</v>
      </c>
      <c r="B1845" s="1" t="s">
        <v>56</v>
      </c>
      <c r="C1845" s="1" t="s">
        <v>57</v>
      </c>
      <c r="D1845" s="2">
        <v>42736</v>
      </c>
      <c r="E1845" s="2">
        <f t="shared" si="62"/>
        <v>42736</v>
      </c>
      <c r="F1845" s="1" t="s">
        <v>58</v>
      </c>
      <c r="G1845" s="1" t="s">
        <v>18</v>
      </c>
      <c r="H1845" s="1">
        <v>-5.75</v>
      </c>
      <c r="I1845" s="1">
        <v>0.34</v>
      </c>
      <c r="J1845" s="1">
        <v>-0.01</v>
      </c>
      <c r="K1845" s="2">
        <v>43040</v>
      </c>
      <c r="L1845" s="1">
        <v>3716</v>
      </c>
      <c r="M1845" s="1">
        <v>4.21</v>
      </c>
      <c r="N1845" s="1">
        <v>-0.36209000000000002</v>
      </c>
      <c r="O1845" s="3">
        <f>VLOOKUP(D1845,underlying!$D$40:$H$75,5,FALSE)</f>
        <v>-4</v>
      </c>
      <c r="P1845" s="4">
        <f t="shared" si="61"/>
        <v>42746</v>
      </c>
      <c r="Q1845" s="7">
        <f>IF(G1845="C",NormalCallSprd(O1845,H1845,M1845,(P1845-A1845)/365), NormalPutSprd(O1845,H1845,M1845,(P1845-A1845)/365))</f>
        <v>0.34285148759567802</v>
      </c>
      <c r="R1845" s="9">
        <f t="shared" si="63"/>
        <v>2.8514875956779928E-3</v>
      </c>
    </row>
    <row r="1846" spans="1:18" x14ac:dyDescent="0.2">
      <c r="A1846" s="2">
        <v>42622</v>
      </c>
      <c r="B1846" s="1" t="s">
        <v>56</v>
      </c>
      <c r="C1846" s="1" t="s">
        <v>57</v>
      </c>
      <c r="D1846" s="2">
        <v>42736</v>
      </c>
      <c r="E1846" s="2">
        <f t="shared" si="62"/>
        <v>42736</v>
      </c>
      <c r="F1846" s="1" t="s">
        <v>58</v>
      </c>
      <c r="G1846" s="1" t="s">
        <v>16</v>
      </c>
      <c r="H1846" s="1">
        <v>-5.5</v>
      </c>
      <c r="I1846" s="1">
        <v>1.9</v>
      </c>
      <c r="J1846" s="1">
        <v>0</v>
      </c>
      <c r="K1846" s="2">
        <v>43040</v>
      </c>
      <c r="L1846" s="1">
        <v>3716</v>
      </c>
      <c r="M1846" s="1">
        <v>4.2</v>
      </c>
      <c r="N1846" s="1">
        <v>-0.34347</v>
      </c>
      <c r="O1846" s="3">
        <f>VLOOKUP(D1846,underlying!$D$40:$H$75,5,FALSE)</f>
        <v>-4</v>
      </c>
      <c r="P1846" s="4">
        <f t="shared" si="61"/>
        <v>42746</v>
      </c>
      <c r="Q1846" s="7">
        <f>IF(G1846="C",NormalCallSprd(O1846,H1846,M1846,(P1846-A1846)/365), NormalPutSprd(O1846,H1846,M1846,(P1846-A1846)/365))</f>
        <v>1.904424497821668</v>
      </c>
      <c r="R1846" s="9">
        <f t="shared" si="63"/>
        <v>4.4244978216680941E-3</v>
      </c>
    </row>
    <row r="1847" spans="1:18" x14ac:dyDescent="0.2">
      <c r="A1847" s="2">
        <v>42622</v>
      </c>
      <c r="B1847" s="1" t="s">
        <v>56</v>
      </c>
      <c r="C1847" s="1" t="s">
        <v>57</v>
      </c>
      <c r="D1847" s="2">
        <v>42736</v>
      </c>
      <c r="E1847" s="2">
        <f t="shared" si="62"/>
        <v>42736</v>
      </c>
      <c r="F1847" s="1" t="s">
        <v>58</v>
      </c>
      <c r="G1847" s="1" t="s">
        <v>18</v>
      </c>
      <c r="H1847" s="1">
        <v>-5.5</v>
      </c>
      <c r="I1847" s="1">
        <v>0.4</v>
      </c>
      <c r="J1847" s="1">
        <v>-0.01</v>
      </c>
      <c r="K1847" s="2">
        <v>43040</v>
      </c>
      <c r="L1847" s="1">
        <v>3716</v>
      </c>
      <c r="M1847" s="1">
        <v>4.2</v>
      </c>
      <c r="N1847" s="1">
        <v>-0.32679999999999998</v>
      </c>
      <c r="O1847" s="3">
        <f>VLOOKUP(D1847,underlying!$D$40:$H$75,5,FALSE)</f>
        <v>-4</v>
      </c>
      <c r="P1847" s="4">
        <f t="shared" si="61"/>
        <v>42746</v>
      </c>
      <c r="Q1847" s="7">
        <f>IF(G1847="C",NormalCallSprd(O1847,H1847,M1847,(P1847-A1847)/365), NormalPutSprd(O1847,H1847,M1847,(P1847-A1847)/365))</f>
        <v>0.40442449782166795</v>
      </c>
      <c r="R1847" s="9">
        <f t="shared" si="63"/>
        <v>4.4244978216679276E-3</v>
      </c>
    </row>
    <row r="1848" spans="1:18" x14ac:dyDescent="0.2">
      <c r="A1848" s="2">
        <v>42622</v>
      </c>
      <c r="B1848" s="1" t="s">
        <v>56</v>
      </c>
      <c r="C1848" s="1" t="s">
        <v>57</v>
      </c>
      <c r="D1848" s="2">
        <v>42736</v>
      </c>
      <c r="E1848" s="2">
        <f t="shared" si="62"/>
        <v>42736</v>
      </c>
      <c r="F1848" s="1" t="s">
        <v>58</v>
      </c>
      <c r="G1848" s="1" t="s">
        <v>16</v>
      </c>
      <c r="H1848" s="1">
        <v>-5.25</v>
      </c>
      <c r="I1848" s="1">
        <v>1.72</v>
      </c>
      <c r="J1848" s="1">
        <v>-0.01</v>
      </c>
      <c r="K1848" s="2">
        <v>43040</v>
      </c>
      <c r="L1848" s="1">
        <v>3716</v>
      </c>
      <c r="M1848" s="1">
        <v>4.2</v>
      </c>
      <c r="N1848" s="1">
        <v>-0.30969000000000002</v>
      </c>
      <c r="O1848" s="3">
        <f>VLOOKUP(D1848,underlying!$D$40:$H$75,5,FALSE)</f>
        <v>-4</v>
      </c>
      <c r="P1848" s="4">
        <f t="shared" si="61"/>
        <v>42746</v>
      </c>
      <c r="Q1848" s="7">
        <f>IF(G1848="C",NormalCallSprd(O1848,H1848,M1848,(P1848-A1848)/365), NormalPutSprd(O1848,H1848,M1848,(P1848-A1848)/365))</f>
        <v>1.7262370352629204</v>
      </c>
      <c r="R1848" s="9">
        <f t="shared" si="63"/>
        <v>6.2370352629204096E-3</v>
      </c>
    </row>
    <row r="1849" spans="1:18" x14ac:dyDescent="0.2">
      <c r="A1849" s="2">
        <v>42622</v>
      </c>
      <c r="B1849" s="1" t="s">
        <v>56</v>
      </c>
      <c r="C1849" s="1" t="s">
        <v>57</v>
      </c>
      <c r="D1849" s="2">
        <v>42736</v>
      </c>
      <c r="E1849" s="2">
        <f t="shared" si="62"/>
        <v>42736</v>
      </c>
      <c r="F1849" s="1" t="s">
        <v>58</v>
      </c>
      <c r="G1849" s="1" t="s">
        <v>18</v>
      </c>
      <c r="H1849" s="1">
        <v>-5.25</v>
      </c>
      <c r="I1849" s="1">
        <v>0.48</v>
      </c>
      <c r="J1849" s="1">
        <v>0</v>
      </c>
      <c r="K1849" s="2">
        <v>43040</v>
      </c>
      <c r="L1849" s="1">
        <v>3716</v>
      </c>
      <c r="M1849" s="1">
        <v>4.2</v>
      </c>
      <c r="N1849" s="1">
        <v>-0.29297000000000001</v>
      </c>
      <c r="O1849" s="3">
        <f>VLOOKUP(D1849,underlying!$D$40:$H$75,5,FALSE)</f>
        <v>-4</v>
      </c>
      <c r="P1849" s="4">
        <f t="shared" ref="P1849:P1912" si="64">DATE(YEAR(K1849),DAY(K1849),MONTH(K1849))</f>
        <v>42746</v>
      </c>
      <c r="Q1849" s="7">
        <f>IF(G1849="C",NormalCallSprd(O1849,H1849,M1849,(P1849-A1849)/365), NormalPutSprd(O1849,H1849,M1849,(P1849-A1849)/365))</f>
        <v>0.47623703526292033</v>
      </c>
      <c r="R1849" s="9">
        <f t="shared" si="63"/>
        <v>3.7629647370796548E-3</v>
      </c>
    </row>
    <row r="1850" spans="1:18" x14ac:dyDescent="0.2">
      <c r="A1850" s="2">
        <v>42622</v>
      </c>
      <c r="B1850" s="1" t="s">
        <v>56</v>
      </c>
      <c r="C1850" s="1" t="s">
        <v>57</v>
      </c>
      <c r="D1850" s="2">
        <v>42736</v>
      </c>
      <c r="E1850" s="2">
        <f t="shared" si="62"/>
        <v>42736</v>
      </c>
      <c r="F1850" s="1" t="s">
        <v>58</v>
      </c>
      <c r="G1850" s="1" t="s">
        <v>16</v>
      </c>
      <c r="H1850" s="1">
        <v>-5</v>
      </c>
      <c r="I1850" s="1">
        <v>1.55</v>
      </c>
      <c r="J1850" s="1">
        <v>-0.01</v>
      </c>
      <c r="K1850" s="2">
        <v>43040</v>
      </c>
      <c r="L1850" s="1">
        <v>3716</v>
      </c>
      <c r="M1850" s="1">
        <v>4.1900000000000004</v>
      </c>
      <c r="N1850" s="1">
        <v>-0.27667999999999998</v>
      </c>
      <c r="O1850" s="3">
        <f>VLOOKUP(D1850,underlying!$D$40:$H$75,5,FALSE)</f>
        <v>-4</v>
      </c>
      <c r="P1850" s="4">
        <f t="shared" si="64"/>
        <v>42746</v>
      </c>
      <c r="Q1850" s="7">
        <f>IF(G1850="C",NormalCallSprd(O1850,H1850,M1850,(P1850-A1850)/365), NormalPutSprd(O1850,H1850,M1850,(P1850-A1850)/365))</f>
        <v>1.5548455663881677</v>
      </c>
      <c r="R1850" s="9">
        <f t="shared" si="63"/>
        <v>4.845566388167688E-3</v>
      </c>
    </row>
    <row r="1851" spans="1:18" x14ac:dyDescent="0.2">
      <c r="A1851" s="2">
        <v>42622</v>
      </c>
      <c r="B1851" s="1" t="s">
        <v>56</v>
      </c>
      <c r="C1851" s="1" t="s">
        <v>57</v>
      </c>
      <c r="D1851" s="2">
        <v>42736</v>
      </c>
      <c r="E1851" s="2">
        <f t="shared" si="62"/>
        <v>42736</v>
      </c>
      <c r="F1851" s="1" t="s">
        <v>58</v>
      </c>
      <c r="G1851" s="1" t="s">
        <v>18</v>
      </c>
      <c r="H1851" s="1">
        <v>-5</v>
      </c>
      <c r="I1851" s="1">
        <v>0.55000000000000004</v>
      </c>
      <c r="J1851" s="1">
        <v>-0.01</v>
      </c>
      <c r="K1851" s="2">
        <v>43040</v>
      </c>
      <c r="L1851" s="1">
        <v>3716</v>
      </c>
      <c r="M1851" s="1">
        <v>4.1900000000000004</v>
      </c>
      <c r="N1851" s="1">
        <v>-0.26084000000000002</v>
      </c>
      <c r="O1851" s="3">
        <f>VLOOKUP(D1851,underlying!$D$40:$H$75,5,FALSE)</f>
        <v>-4</v>
      </c>
      <c r="P1851" s="4">
        <f t="shared" si="64"/>
        <v>42746</v>
      </c>
      <c r="Q1851" s="7">
        <f>IF(G1851="C",NormalCallSprd(O1851,H1851,M1851,(P1851-A1851)/365), NormalPutSprd(O1851,H1851,M1851,(P1851-A1851)/365))</f>
        <v>0.55484556638816773</v>
      </c>
      <c r="R1851" s="9">
        <f t="shared" si="63"/>
        <v>4.845566388167688E-3</v>
      </c>
    </row>
    <row r="1852" spans="1:18" x14ac:dyDescent="0.2">
      <c r="A1852" s="2">
        <v>42622</v>
      </c>
      <c r="B1852" s="1" t="s">
        <v>56</v>
      </c>
      <c r="C1852" s="1" t="s">
        <v>57</v>
      </c>
      <c r="D1852" s="2">
        <v>42736</v>
      </c>
      <c r="E1852" s="2">
        <f t="shared" si="62"/>
        <v>42736</v>
      </c>
      <c r="F1852" s="1" t="s">
        <v>58</v>
      </c>
      <c r="G1852" s="1" t="s">
        <v>16</v>
      </c>
      <c r="H1852" s="1">
        <v>-4.75</v>
      </c>
      <c r="I1852" s="1">
        <v>1.39</v>
      </c>
      <c r="J1852" s="1">
        <v>-0.01</v>
      </c>
      <c r="K1852" s="2">
        <v>43040</v>
      </c>
      <c r="L1852" s="1">
        <v>3716</v>
      </c>
      <c r="M1852" s="1">
        <v>4.2</v>
      </c>
      <c r="N1852" s="1">
        <v>-0.24487</v>
      </c>
      <c r="O1852" s="3">
        <f>VLOOKUP(D1852,underlying!$D$40:$H$75,5,FALSE)</f>
        <v>-4</v>
      </c>
      <c r="P1852" s="4">
        <f t="shared" si="64"/>
        <v>42746</v>
      </c>
      <c r="Q1852" s="7">
        <f>IF(G1852="C",NormalCallSprd(O1852,H1852,M1852,(P1852-A1852)/365), NormalPutSprd(O1852,H1852,M1852,(P1852-A1852)/365))</f>
        <v>1.3970947916328726</v>
      </c>
      <c r="R1852" s="9">
        <f t="shared" si="63"/>
        <v>7.0947916328727434E-3</v>
      </c>
    </row>
    <row r="1853" spans="1:18" x14ac:dyDescent="0.2">
      <c r="A1853" s="2">
        <v>42622</v>
      </c>
      <c r="B1853" s="1" t="s">
        <v>56</v>
      </c>
      <c r="C1853" s="1" t="s">
        <v>57</v>
      </c>
      <c r="D1853" s="2">
        <v>42736</v>
      </c>
      <c r="E1853" s="2">
        <f t="shared" si="62"/>
        <v>42736</v>
      </c>
      <c r="F1853" s="1" t="s">
        <v>58</v>
      </c>
      <c r="G1853" s="1" t="s">
        <v>18</v>
      </c>
      <c r="H1853" s="1">
        <v>-4.75</v>
      </c>
      <c r="I1853" s="1">
        <v>0.65</v>
      </c>
      <c r="J1853" s="1">
        <v>0</v>
      </c>
      <c r="K1853" s="2">
        <v>43040</v>
      </c>
      <c r="L1853" s="1">
        <v>3716</v>
      </c>
      <c r="M1853" s="1">
        <v>4.2</v>
      </c>
      <c r="N1853" s="1">
        <v>-0.22997999999999999</v>
      </c>
      <c r="O1853" s="3">
        <f>VLOOKUP(D1853,underlying!$D$40:$H$75,5,FALSE)</f>
        <v>-4</v>
      </c>
      <c r="P1853" s="4">
        <f t="shared" si="64"/>
        <v>42746</v>
      </c>
      <c r="Q1853" s="7">
        <f>IF(G1853="C",NormalCallSprd(O1853,H1853,M1853,(P1853-A1853)/365), NormalPutSprd(O1853,H1853,M1853,(P1853-A1853)/365))</f>
        <v>0.64709479163287265</v>
      </c>
      <c r="R1853" s="9">
        <f t="shared" si="63"/>
        <v>2.9052083671273765E-3</v>
      </c>
    </row>
    <row r="1854" spans="1:18" x14ac:dyDescent="0.2">
      <c r="A1854" s="2">
        <v>42622</v>
      </c>
      <c r="B1854" s="1" t="s">
        <v>56</v>
      </c>
      <c r="C1854" s="1" t="s">
        <v>57</v>
      </c>
      <c r="D1854" s="2">
        <v>42736</v>
      </c>
      <c r="E1854" s="2">
        <f t="shared" si="62"/>
        <v>42736</v>
      </c>
      <c r="F1854" s="1" t="s">
        <v>58</v>
      </c>
      <c r="G1854" s="1" t="s">
        <v>16</v>
      </c>
      <c r="H1854" s="1">
        <v>-4.5</v>
      </c>
      <c r="I1854" s="1">
        <v>1.24</v>
      </c>
      <c r="J1854" s="1">
        <v>-0.01</v>
      </c>
      <c r="K1854" s="2">
        <v>43040</v>
      </c>
      <c r="L1854" s="1">
        <v>3716</v>
      </c>
      <c r="M1854" s="1">
        <v>4.2</v>
      </c>
      <c r="N1854" s="1">
        <v>-0.21560000000000001</v>
      </c>
      <c r="O1854" s="3">
        <f>VLOOKUP(D1854,underlying!$D$40:$H$75,5,FALSE)</f>
        <v>-4</v>
      </c>
      <c r="P1854" s="4">
        <f t="shared" si="64"/>
        <v>42746</v>
      </c>
      <c r="Q1854" s="7">
        <f>IF(G1854="C",NormalCallSprd(O1854,H1854,M1854,(P1854-A1854)/365), NormalPutSprd(O1854,H1854,M1854,(P1854-A1854)/365))</f>
        <v>1.2469160431394901</v>
      </c>
      <c r="R1854" s="9">
        <f t="shared" si="63"/>
        <v>6.9160431394901245E-3</v>
      </c>
    </row>
    <row r="1855" spans="1:18" x14ac:dyDescent="0.2">
      <c r="A1855" s="2">
        <v>42622</v>
      </c>
      <c r="B1855" s="1" t="s">
        <v>56</v>
      </c>
      <c r="C1855" s="1" t="s">
        <v>57</v>
      </c>
      <c r="D1855" s="2">
        <v>42736</v>
      </c>
      <c r="E1855" s="2">
        <f t="shared" si="62"/>
        <v>42736</v>
      </c>
      <c r="F1855" s="1" t="s">
        <v>58</v>
      </c>
      <c r="G1855" s="1" t="s">
        <v>18</v>
      </c>
      <c r="H1855" s="1">
        <v>-4.5</v>
      </c>
      <c r="I1855" s="1">
        <v>0.75</v>
      </c>
      <c r="J1855" s="1">
        <v>0</v>
      </c>
      <c r="K1855" s="2">
        <v>43040</v>
      </c>
      <c r="L1855" s="1">
        <v>3716</v>
      </c>
      <c r="M1855" s="1">
        <v>4.2</v>
      </c>
      <c r="N1855" s="1">
        <v>-0.20175000000000001</v>
      </c>
      <c r="O1855" s="3">
        <f>VLOOKUP(D1855,underlying!$D$40:$H$75,5,FALSE)</f>
        <v>-4</v>
      </c>
      <c r="P1855" s="4">
        <f t="shared" si="64"/>
        <v>42746</v>
      </c>
      <c r="Q1855" s="7">
        <f>IF(G1855="C",NormalCallSprd(O1855,H1855,M1855,(P1855-A1855)/365), NormalPutSprd(O1855,H1855,M1855,(P1855-A1855)/365))</f>
        <v>0.74691604313949012</v>
      </c>
      <c r="R1855" s="9">
        <f t="shared" si="63"/>
        <v>3.0839568605098844E-3</v>
      </c>
    </row>
    <row r="1856" spans="1:18" x14ac:dyDescent="0.2">
      <c r="A1856" s="2">
        <v>42622</v>
      </c>
      <c r="B1856" s="1" t="s">
        <v>56</v>
      </c>
      <c r="C1856" s="1" t="s">
        <v>57</v>
      </c>
      <c r="D1856" s="2">
        <v>42736</v>
      </c>
      <c r="E1856" s="2">
        <f t="shared" si="62"/>
        <v>42736</v>
      </c>
      <c r="F1856" s="1" t="s">
        <v>58</v>
      </c>
      <c r="G1856" s="1" t="s">
        <v>16</v>
      </c>
      <c r="H1856" s="1">
        <v>-4.25</v>
      </c>
      <c r="I1856" s="1">
        <v>1.1100000000000001</v>
      </c>
      <c r="J1856" s="1">
        <v>0</v>
      </c>
      <c r="K1856" s="2">
        <v>43040</v>
      </c>
      <c r="L1856" s="1">
        <v>3716</v>
      </c>
      <c r="M1856" s="1">
        <v>4.21</v>
      </c>
      <c r="N1856" s="1">
        <v>-0.18845000000000001</v>
      </c>
      <c r="O1856" s="3">
        <f>VLOOKUP(D1856,underlying!$D$40:$H$75,5,FALSE)</f>
        <v>-4</v>
      </c>
      <c r="P1856" s="4">
        <f t="shared" si="64"/>
        <v>42746</v>
      </c>
      <c r="Q1856" s="7">
        <f>IF(G1856="C",NormalCallSprd(O1856,H1856,M1856,(P1856-A1856)/365), NormalPutSprd(O1856,H1856,M1856,(P1856-A1856)/365))</f>
        <v>1.1090173150425815</v>
      </c>
      <c r="R1856" s="9">
        <f t="shared" si="63"/>
        <v>9.8268495741860029E-4</v>
      </c>
    </row>
    <row r="1857" spans="1:18" x14ac:dyDescent="0.2">
      <c r="A1857" s="2">
        <v>42622</v>
      </c>
      <c r="B1857" s="1" t="s">
        <v>56</v>
      </c>
      <c r="C1857" s="1" t="s">
        <v>57</v>
      </c>
      <c r="D1857" s="2">
        <v>42736</v>
      </c>
      <c r="E1857" s="2">
        <f t="shared" si="62"/>
        <v>42736</v>
      </c>
      <c r="F1857" s="1" t="s">
        <v>58</v>
      </c>
      <c r="G1857" s="1" t="s">
        <v>18</v>
      </c>
      <c r="H1857" s="1">
        <v>-4.25</v>
      </c>
      <c r="I1857" s="1">
        <v>0.86</v>
      </c>
      <c r="J1857" s="1">
        <v>0</v>
      </c>
      <c r="K1857" s="2">
        <v>43040</v>
      </c>
      <c r="L1857" s="1">
        <v>3716</v>
      </c>
      <c r="M1857" s="1">
        <v>4.21</v>
      </c>
      <c r="N1857" s="1">
        <v>-0.1757</v>
      </c>
      <c r="O1857" s="3">
        <f>VLOOKUP(D1857,underlying!$D$40:$H$75,5,FALSE)</f>
        <v>-4</v>
      </c>
      <c r="P1857" s="4">
        <f t="shared" si="64"/>
        <v>42746</v>
      </c>
      <c r="Q1857" s="7">
        <f>IF(G1857="C",NormalCallSprd(O1857,H1857,M1857,(P1857-A1857)/365), NormalPutSprd(O1857,H1857,M1857,(P1857-A1857)/365))</f>
        <v>0.85901731504258139</v>
      </c>
      <c r="R1857" s="9">
        <f t="shared" si="63"/>
        <v>9.8268495741860029E-4</v>
      </c>
    </row>
    <row r="1858" spans="1:18" x14ac:dyDescent="0.2">
      <c r="A1858" s="2">
        <v>42622</v>
      </c>
      <c r="B1858" s="1" t="s">
        <v>56</v>
      </c>
      <c r="C1858" s="1" t="s">
        <v>57</v>
      </c>
      <c r="D1858" s="2">
        <v>42736</v>
      </c>
      <c r="E1858" s="2">
        <f t="shared" ref="E1858:E1921" si="65">DATE(YEAR(D1858),DAY(D1858),MONTH(D1858))</f>
        <v>42736</v>
      </c>
      <c r="F1858" s="1" t="s">
        <v>58</v>
      </c>
      <c r="G1858" s="1" t="s">
        <v>16</v>
      </c>
      <c r="H1858" s="1">
        <v>-4</v>
      </c>
      <c r="I1858" s="1">
        <v>0.98</v>
      </c>
      <c r="J1858" s="1">
        <v>0</v>
      </c>
      <c r="K1858" s="2">
        <v>43040</v>
      </c>
      <c r="L1858" s="1">
        <v>3716</v>
      </c>
      <c r="M1858" s="1">
        <v>4.2</v>
      </c>
      <c r="N1858" s="1">
        <v>-0.12962000000000001</v>
      </c>
      <c r="O1858" s="3">
        <f>VLOOKUP(D1858,underlying!$D$40:$H$75,5,FALSE)</f>
        <v>-4</v>
      </c>
      <c r="P1858" s="4">
        <f t="shared" si="64"/>
        <v>42746</v>
      </c>
      <c r="Q1858" s="7">
        <f>IF(G1858="C",NormalCallSprd(O1858,H1858,M1858,(P1858-A1858)/365), NormalPutSprd(O1858,H1858,M1858,(P1858-A1858)/365))</f>
        <v>0.97661584590351125</v>
      </c>
      <c r="R1858" s="9">
        <f t="shared" si="63"/>
        <v>3.384154096488734E-3</v>
      </c>
    </row>
    <row r="1859" spans="1:18" x14ac:dyDescent="0.2">
      <c r="A1859" s="2">
        <v>42622</v>
      </c>
      <c r="B1859" s="1" t="s">
        <v>56</v>
      </c>
      <c r="C1859" s="1" t="s">
        <v>57</v>
      </c>
      <c r="D1859" s="2">
        <v>42736</v>
      </c>
      <c r="E1859" s="2">
        <f t="shared" si="65"/>
        <v>42736</v>
      </c>
      <c r="F1859" s="1" t="s">
        <v>58</v>
      </c>
      <c r="G1859" s="1" t="s">
        <v>18</v>
      </c>
      <c r="H1859" s="1">
        <v>-4</v>
      </c>
      <c r="I1859" s="1">
        <v>0.98</v>
      </c>
      <c r="J1859" s="1">
        <v>0</v>
      </c>
      <c r="K1859" s="2">
        <v>43040</v>
      </c>
      <c r="L1859" s="1">
        <v>3716</v>
      </c>
      <c r="M1859" s="1">
        <v>4.2</v>
      </c>
      <c r="N1859" s="1">
        <v>-9.3079999999999996E-2</v>
      </c>
      <c r="O1859" s="3">
        <f>VLOOKUP(D1859,underlying!$D$40:$H$75,5,FALSE)</f>
        <v>-4</v>
      </c>
      <c r="P1859" s="4">
        <f t="shared" si="64"/>
        <v>42746</v>
      </c>
      <c r="Q1859" s="7">
        <f>IF(G1859="C",NormalCallSprd(O1859,H1859,M1859,(P1859-A1859)/365), NormalPutSprd(O1859,H1859,M1859,(P1859-A1859)/365))</f>
        <v>0.97661584590351125</v>
      </c>
      <c r="R1859" s="9">
        <f t="shared" ref="R1859:R1922" si="66">ABS(Q1859-I1859)</f>
        <v>3.384154096488734E-3</v>
      </c>
    </row>
    <row r="1860" spans="1:18" x14ac:dyDescent="0.2">
      <c r="A1860" s="2">
        <v>42622</v>
      </c>
      <c r="B1860" s="1" t="s">
        <v>56</v>
      </c>
      <c r="C1860" s="1" t="s">
        <v>57</v>
      </c>
      <c r="D1860" s="2">
        <v>42736</v>
      </c>
      <c r="E1860" s="2">
        <f t="shared" si="65"/>
        <v>42736</v>
      </c>
      <c r="F1860" s="1" t="s">
        <v>58</v>
      </c>
      <c r="G1860" s="1" t="s">
        <v>16</v>
      </c>
      <c r="H1860" s="1">
        <v>-3.75</v>
      </c>
      <c r="I1860" s="1">
        <v>0.86</v>
      </c>
      <c r="J1860" s="1">
        <v>0</v>
      </c>
      <c r="K1860" s="2">
        <v>43040</v>
      </c>
      <c r="L1860" s="1">
        <v>3716</v>
      </c>
      <c r="M1860" s="1">
        <v>4.21</v>
      </c>
      <c r="N1860" s="1">
        <v>6.3130000000000006E-2</v>
      </c>
      <c r="O1860" s="3">
        <f>VLOOKUP(D1860,underlying!$D$40:$H$75,5,FALSE)</f>
        <v>-4</v>
      </c>
      <c r="P1860" s="4">
        <f t="shared" si="64"/>
        <v>42746</v>
      </c>
      <c r="Q1860" s="7">
        <f>IF(G1860="C",NormalCallSprd(O1860,H1860,M1860,(P1860-A1860)/365), NormalPutSprd(O1860,H1860,M1860,(P1860-A1860)/365))</f>
        <v>0.85901731504258139</v>
      </c>
      <c r="R1860" s="9">
        <f t="shared" si="66"/>
        <v>9.8268495741860029E-4</v>
      </c>
    </row>
    <row r="1861" spans="1:18" x14ac:dyDescent="0.2">
      <c r="A1861" s="2">
        <v>42622</v>
      </c>
      <c r="B1861" s="1" t="s">
        <v>56</v>
      </c>
      <c r="C1861" s="1" t="s">
        <v>57</v>
      </c>
      <c r="D1861" s="2">
        <v>42736</v>
      </c>
      <c r="E1861" s="2">
        <f t="shared" si="65"/>
        <v>42736</v>
      </c>
      <c r="F1861" s="1" t="s">
        <v>58</v>
      </c>
      <c r="G1861" s="1" t="s">
        <v>18</v>
      </c>
      <c r="H1861" s="1">
        <v>-3.75</v>
      </c>
      <c r="I1861" s="1">
        <v>1.1100000000000001</v>
      </c>
      <c r="J1861" s="1">
        <v>0</v>
      </c>
      <c r="K1861" s="2">
        <v>43040</v>
      </c>
      <c r="L1861" s="1">
        <v>3716</v>
      </c>
      <c r="M1861" s="1">
        <v>4.21</v>
      </c>
      <c r="N1861" s="1">
        <v>7.6759999999999995E-2</v>
      </c>
      <c r="O1861" s="3">
        <f>VLOOKUP(D1861,underlying!$D$40:$H$75,5,FALSE)</f>
        <v>-4</v>
      </c>
      <c r="P1861" s="4">
        <f t="shared" si="64"/>
        <v>42746</v>
      </c>
      <c r="Q1861" s="7">
        <f>IF(G1861="C",NormalCallSprd(O1861,H1861,M1861,(P1861-A1861)/365), NormalPutSprd(O1861,H1861,M1861,(P1861-A1861)/365))</f>
        <v>1.1090173150425815</v>
      </c>
      <c r="R1861" s="9">
        <f t="shared" si="66"/>
        <v>9.8268495741860029E-4</v>
      </c>
    </row>
    <row r="1862" spans="1:18" x14ac:dyDescent="0.2">
      <c r="A1862" s="2">
        <v>42622</v>
      </c>
      <c r="B1862" s="1" t="s">
        <v>56</v>
      </c>
      <c r="C1862" s="1" t="s">
        <v>57</v>
      </c>
      <c r="D1862" s="2">
        <v>42736</v>
      </c>
      <c r="E1862" s="2">
        <f t="shared" si="65"/>
        <v>42736</v>
      </c>
      <c r="F1862" s="1" t="s">
        <v>58</v>
      </c>
      <c r="G1862" s="1" t="s">
        <v>16</v>
      </c>
      <c r="H1862" s="1">
        <v>-3.5</v>
      </c>
      <c r="I1862" s="1">
        <v>0.75</v>
      </c>
      <c r="J1862" s="1">
        <v>0</v>
      </c>
      <c r="K1862" s="2">
        <v>43040</v>
      </c>
      <c r="L1862" s="1">
        <v>3716</v>
      </c>
      <c r="M1862" s="1">
        <v>4.2</v>
      </c>
      <c r="N1862" s="1">
        <v>9.2520000000000005E-2</v>
      </c>
      <c r="O1862" s="3">
        <f>VLOOKUP(D1862,underlying!$D$40:$H$75,5,FALSE)</f>
        <v>-4</v>
      </c>
      <c r="P1862" s="4">
        <f t="shared" si="64"/>
        <v>42746</v>
      </c>
      <c r="Q1862" s="7">
        <f>IF(G1862="C",NormalCallSprd(O1862,H1862,M1862,(P1862-A1862)/365), NormalPutSprd(O1862,H1862,M1862,(P1862-A1862)/365))</f>
        <v>0.74691604313949012</v>
      </c>
      <c r="R1862" s="9">
        <f t="shared" si="66"/>
        <v>3.0839568605098844E-3</v>
      </c>
    </row>
    <row r="1863" spans="1:18" x14ac:dyDescent="0.2">
      <c r="A1863" s="2">
        <v>42622</v>
      </c>
      <c r="B1863" s="1" t="s">
        <v>56</v>
      </c>
      <c r="C1863" s="1" t="s">
        <v>57</v>
      </c>
      <c r="D1863" s="2">
        <v>42736</v>
      </c>
      <c r="E1863" s="2">
        <f t="shared" si="65"/>
        <v>42736</v>
      </c>
      <c r="F1863" s="1" t="s">
        <v>58</v>
      </c>
      <c r="G1863" s="1" t="s">
        <v>18</v>
      </c>
      <c r="H1863" s="1">
        <v>-3.5</v>
      </c>
      <c r="I1863" s="1">
        <v>1.24</v>
      </c>
      <c r="J1863" s="1">
        <v>-0.01</v>
      </c>
      <c r="K1863" s="2">
        <v>43040</v>
      </c>
      <c r="L1863" s="1">
        <v>3716</v>
      </c>
      <c r="M1863" s="1">
        <v>4.2</v>
      </c>
      <c r="N1863" s="1">
        <v>0.11056000000000001</v>
      </c>
      <c r="O1863" s="3">
        <f>VLOOKUP(D1863,underlying!$D$40:$H$75,5,FALSE)</f>
        <v>-4</v>
      </c>
      <c r="P1863" s="4">
        <f t="shared" si="64"/>
        <v>42746</v>
      </c>
      <c r="Q1863" s="7">
        <f>IF(G1863="C",NormalCallSprd(O1863,H1863,M1863,(P1863-A1863)/365), NormalPutSprd(O1863,H1863,M1863,(P1863-A1863)/365))</f>
        <v>1.2469160431394901</v>
      </c>
      <c r="R1863" s="9">
        <f t="shared" si="66"/>
        <v>6.9160431394901245E-3</v>
      </c>
    </row>
    <row r="1864" spans="1:18" x14ac:dyDescent="0.2">
      <c r="A1864" s="2">
        <v>42622</v>
      </c>
      <c r="B1864" s="1" t="s">
        <v>56</v>
      </c>
      <c r="C1864" s="1" t="s">
        <v>57</v>
      </c>
      <c r="D1864" s="2">
        <v>42736</v>
      </c>
      <c r="E1864" s="2">
        <f t="shared" si="65"/>
        <v>42736</v>
      </c>
      <c r="F1864" s="1" t="s">
        <v>58</v>
      </c>
      <c r="G1864" s="1" t="s">
        <v>16</v>
      </c>
      <c r="H1864" s="1">
        <v>-3.25</v>
      </c>
      <c r="I1864" s="1">
        <v>0.65</v>
      </c>
      <c r="J1864" s="1">
        <v>0</v>
      </c>
      <c r="K1864" s="2">
        <v>43040</v>
      </c>
      <c r="L1864" s="1">
        <v>3716</v>
      </c>
      <c r="M1864" s="1">
        <v>4.2</v>
      </c>
      <c r="N1864" s="1">
        <v>0.99112999999999996</v>
      </c>
      <c r="O1864" s="3">
        <f>VLOOKUP(D1864,underlying!$D$40:$H$75,5,FALSE)</f>
        <v>-4</v>
      </c>
      <c r="P1864" s="4">
        <f t="shared" si="64"/>
        <v>42746</v>
      </c>
      <c r="Q1864" s="7">
        <f>IF(G1864="C",NormalCallSprd(O1864,H1864,M1864,(P1864-A1864)/365), NormalPutSprd(O1864,H1864,M1864,(P1864-A1864)/365))</f>
        <v>0.64709479163287265</v>
      </c>
      <c r="R1864" s="9">
        <f t="shared" si="66"/>
        <v>2.9052083671273765E-3</v>
      </c>
    </row>
    <row r="1865" spans="1:18" x14ac:dyDescent="0.2">
      <c r="A1865" s="2">
        <v>42622</v>
      </c>
      <c r="B1865" s="1" t="s">
        <v>56</v>
      </c>
      <c r="C1865" s="1" t="s">
        <v>57</v>
      </c>
      <c r="D1865" s="2">
        <v>42736</v>
      </c>
      <c r="E1865" s="2">
        <f t="shared" si="65"/>
        <v>42736</v>
      </c>
      <c r="F1865" s="1" t="s">
        <v>58</v>
      </c>
      <c r="G1865" s="1" t="s">
        <v>18</v>
      </c>
      <c r="H1865" s="1">
        <v>-3.25</v>
      </c>
      <c r="I1865" s="1">
        <v>1.39</v>
      </c>
      <c r="J1865" s="1">
        <v>-0.01</v>
      </c>
      <c r="K1865" s="2">
        <v>43040</v>
      </c>
      <c r="L1865" s="1">
        <v>3716</v>
      </c>
      <c r="M1865" s="1">
        <v>4.2</v>
      </c>
      <c r="N1865" s="1">
        <v>0.99619000000000002</v>
      </c>
      <c r="O1865" s="3">
        <f>VLOOKUP(D1865,underlying!$D$40:$H$75,5,FALSE)</f>
        <v>-4</v>
      </c>
      <c r="P1865" s="4">
        <f t="shared" si="64"/>
        <v>42746</v>
      </c>
      <c r="Q1865" s="7">
        <f>IF(G1865="C",NormalCallSprd(O1865,H1865,M1865,(P1865-A1865)/365), NormalPutSprd(O1865,H1865,M1865,(P1865-A1865)/365))</f>
        <v>1.3970947916328726</v>
      </c>
      <c r="R1865" s="9">
        <f t="shared" si="66"/>
        <v>7.0947916328727434E-3</v>
      </c>
    </row>
    <row r="1866" spans="1:18" x14ac:dyDescent="0.2">
      <c r="A1866" s="2">
        <v>42622</v>
      </c>
      <c r="B1866" s="1" t="s">
        <v>56</v>
      </c>
      <c r="C1866" s="1" t="s">
        <v>57</v>
      </c>
      <c r="D1866" s="2">
        <v>42736</v>
      </c>
      <c r="E1866" s="2">
        <f t="shared" si="65"/>
        <v>42736</v>
      </c>
      <c r="F1866" s="1" t="s">
        <v>58</v>
      </c>
      <c r="G1866" s="1" t="s">
        <v>16</v>
      </c>
      <c r="H1866" s="1">
        <v>-3</v>
      </c>
      <c r="I1866" s="1">
        <v>0.55000000000000004</v>
      </c>
      <c r="J1866" s="1">
        <v>-0.01</v>
      </c>
      <c r="K1866" s="2">
        <v>43040</v>
      </c>
      <c r="L1866" s="1">
        <v>3716</v>
      </c>
      <c r="M1866" s="1">
        <v>4.1900000000000004</v>
      </c>
      <c r="N1866" s="1">
        <v>0.13042999999999999</v>
      </c>
      <c r="O1866" s="3">
        <f>VLOOKUP(D1866,underlying!$D$40:$H$75,5,FALSE)</f>
        <v>-4</v>
      </c>
      <c r="P1866" s="4">
        <f t="shared" si="64"/>
        <v>42746</v>
      </c>
      <c r="Q1866" s="7">
        <f>IF(G1866="C",NormalCallSprd(O1866,H1866,M1866,(P1866-A1866)/365), NormalPutSprd(O1866,H1866,M1866,(P1866-A1866)/365))</f>
        <v>0.55484556638816773</v>
      </c>
      <c r="R1866" s="9">
        <f t="shared" si="66"/>
        <v>4.845566388167688E-3</v>
      </c>
    </row>
    <row r="1867" spans="1:18" x14ac:dyDescent="0.2">
      <c r="A1867" s="2">
        <v>42622</v>
      </c>
      <c r="B1867" s="1" t="s">
        <v>56</v>
      </c>
      <c r="C1867" s="1" t="s">
        <v>57</v>
      </c>
      <c r="D1867" s="2">
        <v>42736</v>
      </c>
      <c r="E1867" s="2">
        <f t="shared" si="65"/>
        <v>42736</v>
      </c>
      <c r="F1867" s="1" t="s">
        <v>58</v>
      </c>
      <c r="G1867" s="1" t="s">
        <v>18</v>
      </c>
      <c r="H1867" s="1">
        <v>-3</v>
      </c>
      <c r="I1867" s="1">
        <v>1.55</v>
      </c>
      <c r="J1867" s="1">
        <v>-0.01</v>
      </c>
      <c r="K1867" s="2">
        <v>43040</v>
      </c>
      <c r="L1867" s="1">
        <v>3716</v>
      </c>
      <c r="M1867" s="1">
        <v>4.1900000000000004</v>
      </c>
      <c r="N1867" s="1">
        <v>0.15447</v>
      </c>
      <c r="O1867" s="3">
        <f>VLOOKUP(D1867,underlying!$D$40:$H$75,5,FALSE)</f>
        <v>-4</v>
      </c>
      <c r="P1867" s="4">
        <f t="shared" si="64"/>
        <v>42746</v>
      </c>
      <c r="Q1867" s="7">
        <f>IF(G1867="C",NormalCallSprd(O1867,H1867,M1867,(P1867-A1867)/365), NormalPutSprd(O1867,H1867,M1867,(P1867-A1867)/365))</f>
        <v>1.5548455663881677</v>
      </c>
      <c r="R1867" s="9">
        <f t="shared" si="66"/>
        <v>4.845566388167688E-3</v>
      </c>
    </row>
    <row r="1868" spans="1:18" x14ac:dyDescent="0.2">
      <c r="A1868" s="2">
        <v>42622</v>
      </c>
      <c r="B1868" s="1" t="s">
        <v>56</v>
      </c>
      <c r="C1868" s="1" t="s">
        <v>57</v>
      </c>
      <c r="D1868" s="2">
        <v>42736</v>
      </c>
      <c r="E1868" s="2">
        <f t="shared" si="65"/>
        <v>42736</v>
      </c>
      <c r="F1868" s="1" t="s">
        <v>58</v>
      </c>
      <c r="G1868" s="1" t="s">
        <v>16</v>
      </c>
      <c r="H1868" s="1">
        <v>-2.75</v>
      </c>
      <c r="I1868" s="1">
        <v>0.48</v>
      </c>
      <c r="J1868" s="1">
        <v>0</v>
      </c>
      <c r="K1868" s="2">
        <v>43040</v>
      </c>
      <c r="L1868" s="1">
        <v>3716</v>
      </c>
      <c r="M1868" s="1">
        <v>4.21</v>
      </c>
      <c r="N1868" s="1">
        <v>0.17929999999999999</v>
      </c>
      <c r="O1868" s="3">
        <f>VLOOKUP(D1868,underlying!$D$40:$H$75,5,FALSE)</f>
        <v>-4</v>
      </c>
      <c r="P1868" s="4">
        <f t="shared" si="64"/>
        <v>42746</v>
      </c>
      <c r="Q1868" s="7">
        <f>IF(G1868="C",NormalCallSprd(O1868,H1868,M1868,(P1868-A1868)/365), NormalPutSprd(O1868,H1868,M1868,(P1868-A1868)/365))</f>
        <v>0.47827873538148702</v>
      </c>
      <c r="R1868" s="9">
        <f t="shared" si="66"/>
        <v>1.7212646185129632E-3</v>
      </c>
    </row>
    <row r="1869" spans="1:18" x14ac:dyDescent="0.2">
      <c r="A1869" s="2">
        <v>42622</v>
      </c>
      <c r="B1869" s="1" t="s">
        <v>56</v>
      </c>
      <c r="C1869" s="1" t="s">
        <v>57</v>
      </c>
      <c r="D1869" s="2">
        <v>42736</v>
      </c>
      <c r="E1869" s="2">
        <f t="shared" si="65"/>
        <v>42736</v>
      </c>
      <c r="F1869" s="1" t="s">
        <v>58</v>
      </c>
      <c r="G1869" s="1" t="s">
        <v>18</v>
      </c>
      <c r="H1869" s="1">
        <v>-2.75</v>
      </c>
      <c r="I1869" s="1">
        <v>1.73</v>
      </c>
      <c r="J1869" s="1">
        <v>0</v>
      </c>
      <c r="K1869" s="2">
        <v>43040</v>
      </c>
      <c r="L1869" s="1">
        <v>3716</v>
      </c>
      <c r="M1869" s="1">
        <v>4.21</v>
      </c>
      <c r="N1869" s="1">
        <v>0.20607</v>
      </c>
      <c r="O1869" s="3">
        <f>VLOOKUP(D1869,underlying!$D$40:$H$75,5,FALSE)</f>
        <v>-4</v>
      </c>
      <c r="P1869" s="4">
        <f t="shared" si="64"/>
        <v>42746</v>
      </c>
      <c r="Q1869" s="7">
        <f>IF(G1869="C",NormalCallSprd(O1869,H1869,M1869,(P1869-A1869)/365), NormalPutSprd(O1869,H1869,M1869,(P1869-A1869)/365))</f>
        <v>1.728278735381487</v>
      </c>
      <c r="R1869" s="9">
        <f t="shared" si="66"/>
        <v>1.7212646185129632E-3</v>
      </c>
    </row>
    <row r="1870" spans="1:18" x14ac:dyDescent="0.2">
      <c r="A1870" s="2">
        <v>42622</v>
      </c>
      <c r="B1870" s="1" t="s">
        <v>56</v>
      </c>
      <c r="C1870" s="1" t="s">
        <v>57</v>
      </c>
      <c r="D1870" s="2">
        <v>42736</v>
      </c>
      <c r="E1870" s="2">
        <f t="shared" si="65"/>
        <v>42736</v>
      </c>
      <c r="F1870" s="1" t="s">
        <v>58</v>
      </c>
      <c r="G1870" s="1" t="s">
        <v>16</v>
      </c>
      <c r="H1870" s="1">
        <v>-2.5</v>
      </c>
      <c r="I1870" s="1">
        <v>0.4</v>
      </c>
      <c r="J1870" s="1">
        <v>-0.01</v>
      </c>
      <c r="K1870" s="2">
        <v>43040</v>
      </c>
      <c r="L1870" s="1">
        <v>3716</v>
      </c>
      <c r="M1870" s="1">
        <v>4.1900000000000004</v>
      </c>
      <c r="N1870" s="1">
        <v>0.23748</v>
      </c>
      <c r="O1870" s="3">
        <f>VLOOKUP(D1870,underlying!$D$40:$H$75,5,FALSE)</f>
        <v>-4</v>
      </c>
      <c r="P1870" s="4">
        <f t="shared" si="64"/>
        <v>42746</v>
      </c>
      <c r="Q1870" s="7">
        <f>IF(G1870="C",NormalCallSprd(O1870,H1870,M1870,(P1870-A1870)/365), NormalPutSprd(O1870,H1870,M1870,(P1870-A1870)/365))</f>
        <v>0.4024980758820102</v>
      </c>
      <c r="R1870" s="9">
        <f t="shared" si="66"/>
        <v>2.4980758820101756E-3</v>
      </c>
    </row>
    <row r="1871" spans="1:18" x14ac:dyDescent="0.2">
      <c r="A1871" s="2">
        <v>42622</v>
      </c>
      <c r="B1871" s="1" t="s">
        <v>56</v>
      </c>
      <c r="C1871" s="1" t="s">
        <v>57</v>
      </c>
      <c r="D1871" s="2">
        <v>42736</v>
      </c>
      <c r="E1871" s="2">
        <f t="shared" si="65"/>
        <v>42736</v>
      </c>
      <c r="F1871" s="1" t="s">
        <v>58</v>
      </c>
      <c r="G1871" s="1" t="s">
        <v>18</v>
      </c>
      <c r="H1871" s="1">
        <v>-2.5</v>
      </c>
      <c r="I1871" s="1">
        <v>1.9</v>
      </c>
      <c r="J1871" s="1">
        <v>0</v>
      </c>
      <c r="K1871" s="2">
        <v>43040</v>
      </c>
      <c r="L1871" s="1">
        <v>3716</v>
      </c>
      <c r="M1871" s="1">
        <v>4.1900000000000004</v>
      </c>
      <c r="N1871" s="1">
        <v>0.26910000000000001</v>
      </c>
      <c r="O1871" s="3">
        <f>VLOOKUP(D1871,underlying!$D$40:$H$75,5,FALSE)</f>
        <v>-4</v>
      </c>
      <c r="P1871" s="4">
        <f t="shared" si="64"/>
        <v>42746</v>
      </c>
      <c r="Q1871" s="7">
        <f>IF(G1871="C",NormalCallSprd(O1871,H1871,M1871,(P1871-A1871)/365), NormalPutSprd(O1871,H1871,M1871,(P1871-A1871)/365))</f>
        <v>1.9024980758820103</v>
      </c>
      <c r="R1871" s="9">
        <f t="shared" si="66"/>
        <v>2.4980758820103421E-3</v>
      </c>
    </row>
    <row r="1872" spans="1:18" x14ac:dyDescent="0.2">
      <c r="A1872" s="2">
        <v>42622</v>
      </c>
      <c r="B1872" s="1" t="s">
        <v>56</v>
      </c>
      <c r="C1872" s="1" t="s">
        <v>57</v>
      </c>
      <c r="D1872" s="2">
        <v>42736</v>
      </c>
      <c r="E1872" s="2">
        <f t="shared" si="65"/>
        <v>42736</v>
      </c>
      <c r="F1872" s="1" t="s">
        <v>58</v>
      </c>
      <c r="G1872" s="1" t="s">
        <v>16</v>
      </c>
      <c r="H1872" s="1">
        <v>-2.25</v>
      </c>
      <c r="I1872" s="1">
        <v>0.34</v>
      </c>
      <c r="J1872" s="1">
        <v>-0.01</v>
      </c>
      <c r="K1872" s="2">
        <v>43040</v>
      </c>
      <c r="L1872" s="1">
        <v>3716</v>
      </c>
      <c r="M1872" s="1">
        <v>4.21</v>
      </c>
      <c r="N1872" s="1">
        <v>0.30473</v>
      </c>
      <c r="O1872" s="3">
        <f>VLOOKUP(D1872,underlying!$D$40:$H$75,5,FALSE)</f>
        <v>-4</v>
      </c>
      <c r="P1872" s="4">
        <f t="shared" si="64"/>
        <v>42746</v>
      </c>
      <c r="Q1872" s="7">
        <f>IF(G1872="C",NormalCallSprd(O1872,H1872,M1872,(P1872-A1872)/365), NormalPutSprd(O1872,H1872,M1872,(P1872-A1872)/365))</f>
        <v>0.34285148759567802</v>
      </c>
      <c r="R1872" s="9">
        <f t="shared" si="66"/>
        <v>2.8514875956779928E-3</v>
      </c>
    </row>
    <row r="1873" spans="1:18" x14ac:dyDescent="0.2">
      <c r="A1873" s="2">
        <v>42622</v>
      </c>
      <c r="B1873" s="1" t="s">
        <v>56</v>
      </c>
      <c r="C1873" s="1" t="s">
        <v>57</v>
      </c>
      <c r="D1873" s="2">
        <v>42736</v>
      </c>
      <c r="E1873" s="2">
        <f t="shared" si="65"/>
        <v>42736</v>
      </c>
      <c r="F1873" s="1" t="s">
        <v>58</v>
      </c>
      <c r="G1873" s="1" t="s">
        <v>18</v>
      </c>
      <c r="H1873" s="1">
        <v>-2.25</v>
      </c>
      <c r="I1873" s="1">
        <v>2.09</v>
      </c>
      <c r="J1873" s="1">
        <v>0</v>
      </c>
      <c r="K1873" s="2">
        <v>43040</v>
      </c>
      <c r="L1873" s="1">
        <v>3716</v>
      </c>
      <c r="M1873" s="1">
        <v>4.21</v>
      </c>
      <c r="N1873" s="1">
        <v>0.34054000000000001</v>
      </c>
      <c r="O1873" s="3">
        <f>VLOOKUP(D1873,underlying!$D$40:$H$75,5,FALSE)</f>
        <v>-4</v>
      </c>
      <c r="P1873" s="4">
        <f t="shared" si="64"/>
        <v>42746</v>
      </c>
      <c r="Q1873" s="7">
        <f>IF(G1873="C",NormalCallSprd(O1873,H1873,M1873,(P1873-A1873)/365), NormalPutSprd(O1873,H1873,M1873,(P1873-A1873)/365))</f>
        <v>2.0928514875956781</v>
      </c>
      <c r="R1873" s="9">
        <f t="shared" si="66"/>
        <v>2.8514875956782149E-3</v>
      </c>
    </row>
    <row r="1874" spans="1:18" x14ac:dyDescent="0.2">
      <c r="A1874" s="2">
        <v>42622</v>
      </c>
      <c r="B1874" s="1" t="s">
        <v>56</v>
      </c>
      <c r="C1874" s="1" t="s">
        <v>57</v>
      </c>
      <c r="D1874" s="2">
        <v>42736</v>
      </c>
      <c r="E1874" s="2">
        <f t="shared" si="65"/>
        <v>42736</v>
      </c>
      <c r="F1874" s="1" t="s">
        <v>58</v>
      </c>
      <c r="G1874" s="1" t="s">
        <v>16</v>
      </c>
      <c r="H1874" s="1">
        <v>-2</v>
      </c>
      <c r="I1874" s="1">
        <v>0.28000000000000003</v>
      </c>
      <c r="J1874" s="1">
        <v>-0.01</v>
      </c>
      <c r="K1874" s="2">
        <v>43040</v>
      </c>
      <c r="L1874" s="1">
        <v>3716</v>
      </c>
      <c r="M1874" s="1">
        <v>4.1900000000000004</v>
      </c>
      <c r="N1874" s="1">
        <v>0.37903999999999999</v>
      </c>
      <c r="O1874" s="3">
        <f>VLOOKUP(D1874,underlying!$D$40:$H$75,5,FALSE)</f>
        <v>-4</v>
      </c>
      <c r="P1874" s="4">
        <f t="shared" si="64"/>
        <v>42746</v>
      </c>
      <c r="Q1874" s="7">
        <f>IF(G1874="C",NormalCallSprd(O1874,H1874,M1874,(P1874-A1874)/365), NormalPutSprd(O1874,H1874,M1874,(P1874-A1874)/365))</f>
        <v>0.28389560171496797</v>
      </c>
      <c r="R1874" s="9">
        <f t="shared" si="66"/>
        <v>3.8956017149679445E-3</v>
      </c>
    </row>
    <row r="1875" spans="1:18" x14ac:dyDescent="0.2">
      <c r="A1875" s="2">
        <v>42622</v>
      </c>
      <c r="B1875" s="1" t="s">
        <v>56</v>
      </c>
      <c r="C1875" s="1" t="s">
        <v>57</v>
      </c>
      <c r="D1875" s="2">
        <v>42736</v>
      </c>
      <c r="E1875" s="2">
        <f t="shared" si="65"/>
        <v>42736</v>
      </c>
      <c r="F1875" s="1" t="s">
        <v>58</v>
      </c>
      <c r="G1875" s="1" t="s">
        <v>18</v>
      </c>
      <c r="H1875" s="1">
        <v>-2</v>
      </c>
      <c r="I1875" s="1">
        <v>2.2799999999999998</v>
      </c>
      <c r="J1875" s="1">
        <v>0</v>
      </c>
      <c r="K1875" s="2">
        <v>43040</v>
      </c>
      <c r="L1875" s="1">
        <v>3716</v>
      </c>
      <c r="M1875" s="1">
        <v>4.1900000000000004</v>
      </c>
      <c r="N1875" s="1">
        <v>0.41838999999999998</v>
      </c>
      <c r="O1875" s="3">
        <f>VLOOKUP(D1875,underlying!$D$40:$H$75,5,FALSE)</f>
        <v>-4</v>
      </c>
      <c r="P1875" s="4">
        <f t="shared" si="64"/>
        <v>42746</v>
      </c>
      <c r="Q1875" s="7">
        <f>IF(G1875="C",NormalCallSprd(O1875,H1875,M1875,(P1875-A1875)/365), NormalPutSprd(O1875,H1875,M1875,(P1875-A1875)/365))</f>
        <v>2.2838956017149679</v>
      </c>
      <c r="R1875" s="9">
        <f t="shared" si="66"/>
        <v>3.8956017149680555E-3</v>
      </c>
    </row>
    <row r="1876" spans="1:18" x14ac:dyDescent="0.2">
      <c r="A1876" s="2">
        <v>42622</v>
      </c>
      <c r="B1876" s="1" t="s">
        <v>56</v>
      </c>
      <c r="C1876" s="1" t="s">
        <v>57</v>
      </c>
      <c r="D1876" s="2">
        <v>42736</v>
      </c>
      <c r="E1876" s="2">
        <f t="shared" si="65"/>
        <v>42736</v>
      </c>
      <c r="F1876" s="1" t="s">
        <v>58</v>
      </c>
      <c r="G1876" s="1" t="s">
        <v>16</v>
      </c>
      <c r="H1876" s="1">
        <v>-1.75</v>
      </c>
      <c r="I1876" s="1">
        <v>0.24</v>
      </c>
      <c r="J1876" s="1">
        <v>0</v>
      </c>
      <c r="K1876" s="2">
        <v>43040</v>
      </c>
      <c r="L1876" s="1">
        <v>3716</v>
      </c>
      <c r="M1876" s="1">
        <v>4.21</v>
      </c>
      <c r="N1876" s="1">
        <v>0.45867000000000002</v>
      </c>
      <c r="O1876" s="3">
        <f>VLOOKUP(D1876,underlying!$D$40:$H$75,5,FALSE)</f>
        <v>-4</v>
      </c>
      <c r="P1876" s="4">
        <f t="shared" si="64"/>
        <v>42746</v>
      </c>
      <c r="Q1876" s="7">
        <f>IF(G1876="C",NormalCallSprd(O1876,H1876,M1876,(P1876-A1876)/365), NormalPutSprd(O1876,H1876,M1876,(P1876-A1876)/365))</f>
        <v>0.23888883889236245</v>
      </c>
      <c r="R1876" s="9">
        <f t="shared" si="66"/>
        <v>1.1111611076375372E-3</v>
      </c>
    </row>
    <row r="1877" spans="1:18" x14ac:dyDescent="0.2">
      <c r="A1877" s="2">
        <v>42622</v>
      </c>
      <c r="B1877" s="1" t="s">
        <v>56</v>
      </c>
      <c r="C1877" s="1" t="s">
        <v>57</v>
      </c>
      <c r="D1877" s="2">
        <v>42736</v>
      </c>
      <c r="E1877" s="2">
        <f t="shared" si="65"/>
        <v>42736</v>
      </c>
      <c r="F1877" s="1" t="s">
        <v>58</v>
      </c>
      <c r="G1877" s="1" t="s">
        <v>18</v>
      </c>
      <c r="H1877" s="1">
        <v>-1.75</v>
      </c>
      <c r="I1877" s="1">
        <v>2.48</v>
      </c>
      <c r="J1877" s="1">
        <v>-0.01</v>
      </c>
      <c r="K1877" s="2">
        <v>43040</v>
      </c>
      <c r="L1877" s="1">
        <v>3716</v>
      </c>
      <c r="M1877" s="1">
        <v>4.21</v>
      </c>
      <c r="N1877" s="1">
        <v>0.49918000000000001</v>
      </c>
      <c r="O1877" s="3">
        <f>VLOOKUP(D1877,underlying!$D$40:$H$75,5,FALSE)</f>
        <v>-4</v>
      </c>
      <c r="P1877" s="4">
        <f t="shared" si="64"/>
        <v>42746</v>
      </c>
      <c r="Q1877" s="7">
        <f>IF(G1877="C",NormalCallSprd(O1877,H1877,M1877,(P1877-A1877)/365), NormalPutSprd(O1877,H1877,M1877,(P1877-A1877)/365))</f>
        <v>2.4888888388923625</v>
      </c>
      <c r="R1877" s="9">
        <f t="shared" si="66"/>
        <v>8.8888388923624717E-3</v>
      </c>
    </row>
    <row r="1878" spans="1:18" x14ac:dyDescent="0.2">
      <c r="A1878" s="2">
        <v>42622</v>
      </c>
      <c r="B1878" s="1" t="s">
        <v>56</v>
      </c>
      <c r="C1878" s="1" t="s">
        <v>57</v>
      </c>
      <c r="D1878" s="2">
        <v>42736</v>
      </c>
      <c r="E1878" s="2">
        <f t="shared" si="65"/>
        <v>42736</v>
      </c>
      <c r="F1878" s="1" t="s">
        <v>58</v>
      </c>
      <c r="G1878" s="1" t="s">
        <v>16</v>
      </c>
      <c r="H1878" s="1">
        <v>-1.5</v>
      </c>
      <c r="I1878" s="1">
        <v>0.2</v>
      </c>
      <c r="J1878" s="1">
        <v>0</v>
      </c>
      <c r="K1878" s="2">
        <v>43040</v>
      </c>
      <c r="L1878" s="1">
        <v>3716</v>
      </c>
      <c r="M1878" s="1">
        <v>4.22</v>
      </c>
      <c r="N1878" s="1">
        <v>0.53969</v>
      </c>
      <c r="O1878" s="3">
        <f>VLOOKUP(D1878,underlying!$D$40:$H$75,5,FALSE)</f>
        <v>-4</v>
      </c>
      <c r="P1878" s="4">
        <f t="shared" si="64"/>
        <v>42746</v>
      </c>
      <c r="Q1878" s="7">
        <f>IF(G1878="C",NormalCallSprd(O1878,H1878,M1878,(P1878-A1878)/365), NormalPutSprd(O1878,H1878,M1878,(P1878-A1878)/365))</f>
        <v>0.19860958712960042</v>
      </c>
      <c r="R1878" s="9">
        <f t="shared" si="66"/>
        <v>1.3904128703995933E-3</v>
      </c>
    </row>
    <row r="1879" spans="1:18" x14ac:dyDescent="0.2">
      <c r="A1879" s="2">
        <v>42622</v>
      </c>
      <c r="B1879" s="1" t="s">
        <v>56</v>
      </c>
      <c r="C1879" s="1" t="s">
        <v>57</v>
      </c>
      <c r="D1879" s="2">
        <v>42736</v>
      </c>
      <c r="E1879" s="2">
        <f t="shared" si="65"/>
        <v>42736</v>
      </c>
      <c r="F1879" s="1" t="s">
        <v>58</v>
      </c>
      <c r="G1879" s="1" t="s">
        <v>18</v>
      </c>
      <c r="H1879" s="1">
        <v>-1.5</v>
      </c>
      <c r="I1879" s="1">
        <v>2.69</v>
      </c>
      <c r="J1879" s="1">
        <v>-0.01</v>
      </c>
      <c r="K1879" s="2">
        <v>43040</v>
      </c>
      <c r="L1879" s="1">
        <v>3716</v>
      </c>
      <c r="M1879" s="1">
        <v>4.22</v>
      </c>
      <c r="N1879" s="1">
        <v>0.57996999999999999</v>
      </c>
      <c r="O1879" s="3">
        <f>VLOOKUP(D1879,underlying!$D$40:$H$75,5,FALSE)</f>
        <v>-4</v>
      </c>
      <c r="P1879" s="4">
        <f t="shared" si="64"/>
        <v>42746</v>
      </c>
      <c r="Q1879" s="7">
        <f>IF(G1879="C",NormalCallSprd(O1879,H1879,M1879,(P1879-A1879)/365), NormalPutSprd(O1879,H1879,M1879,(P1879-A1879)/365))</f>
        <v>2.6986095871296003</v>
      </c>
      <c r="R1879" s="9">
        <f t="shared" si="66"/>
        <v>8.6095871296003601E-3</v>
      </c>
    </row>
    <row r="1880" spans="1:18" x14ac:dyDescent="0.2">
      <c r="A1880" s="2">
        <v>42622</v>
      </c>
      <c r="B1880" s="1" t="s">
        <v>56</v>
      </c>
      <c r="C1880" s="1" t="s">
        <v>57</v>
      </c>
      <c r="D1880" s="2">
        <v>42736</v>
      </c>
      <c r="E1880" s="2">
        <f t="shared" si="65"/>
        <v>42736</v>
      </c>
      <c r="F1880" s="1" t="s">
        <v>58</v>
      </c>
      <c r="G1880" s="1" t="s">
        <v>16</v>
      </c>
      <c r="H1880" s="1">
        <v>-1.25</v>
      </c>
      <c r="I1880" s="1">
        <v>0.16</v>
      </c>
      <c r="J1880" s="1">
        <v>0</v>
      </c>
      <c r="K1880" s="2">
        <v>43040</v>
      </c>
      <c r="L1880" s="1">
        <v>3716</v>
      </c>
      <c r="M1880" s="1">
        <v>4.2</v>
      </c>
      <c r="N1880" s="1">
        <v>0.61931999999999998</v>
      </c>
      <c r="O1880" s="3">
        <f>VLOOKUP(D1880,underlying!$D$40:$H$75,5,FALSE)</f>
        <v>-4</v>
      </c>
      <c r="P1880" s="4">
        <f t="shared" si="64"/>
        <v>42746</v>
      </c>
      <c r="Q1880" s="7">
        <f>IF(G1880="C",NormalCallSprd(O1880,H1880,M1880,(P1880-A1880)/365), NormalPutSprd(O1880,H1880,M1880,(P1880-A1880)/365))</f>
        <v>0.16036753627790573</v>
      </c>
      <c r="R1880" s="9">
        <f t="shared" si="66"/>
        <v>3.6753627790572785E-4</v>
      </c>
    </row>
    <row r="1881" spans="1:18" x14ac:dyDescent="0.2">
      <c r="A1881" s="2">
        <v>42622</v>
      </c>
      <c r="B1881" s="1" t="s">
        <v>56</v>
      </c>
      <c r="C1881" s="1" t="s">
        <v>57</v>
      </c>
      <c r="D1881" s="2">
        <v>42736</v>
      </c>
      <c r="E1881" s="2">
        <f t="shared" si="65"/>
        <v>42736</v>
      </c>
      <c r="F1881" s="1" t="s">
        <v>58</v>
      </c>
      <c r="G1881" s="1" t="s">
        <v>18</v>
      </c>
      <c r="H1881" s="1">
        <v>-1.25</v>
      </c>
      <c r="I1881" s="1">
        <v>2.91</v>
      </c>
      <c r="J1881" s="1">
        <v>0</v>
      </c>
      <c r="K1881" s="2">
        <v>43040</v>
      </c>
      <c r="L1881" s="1">
        <v>3716</v>
      </c>
      <c r="M1881" s="1">
        <v>4.2</v>
      </c>
      <c r="N1881" s="1">
        <v>0.65781999999999996</v>
      </c>
      <c r="O1881" s="3">
        <f>VLOOKUP(D1881,underlying!$D$40:$H$75,5,FALSE)</f>
        <v>-4</v>
      </c>
      <c r="P1881" s="4">
        <f t="shared" si="64"/>
        <v>42746</v>
      </c>
      <c r="Q1881" s="7">
        <f>IF(G1881="C",NormalCallSprd(O1881,H1881,M1881,(P1881-A1881)/365), NormalPutSprd(O1881,H1881,M1881,(P1881-A1881)/365))</f>
        <v>2.910367536277906</v>
      </c>
      <c r="R1881" s="9">
        <f t="shared" si="66"/>
        <v>3.6753627790586663E-4</v>
      </c>
    </row>
    <row r="1882" spans="1:18" x14ac:dyDescent="0.2">
      <c r="A1882" s="2">
        <v>42622</v>
      </c>
      <c r="B1882" s="1" t="s">
        <v>56</v>
      </c>
      <c r="C1882" s="1" t="s">
        <v>57</v>
      </c>
      <c r="D1882" s="2">
        <v>42736</v>
      </c>
      <c r="E1882" s="2">
        <f t="shared" si="65"/>
        <v>42736</v>
      </c>
      <c r="F1882" s="1" t="s">
        <v>58</v>
      </c>
      <c r="G1882" s="1" t="s">
        <v>16</v>
      </c>
      <c r="H1882" s="1">
        <v>-1</v>
      </c>
      <c r="I1882" s="1">
        <v>0.13</v>
      </c>
      <c r="J1882" s="1">
        <v>0</v>
      </c>
      <c r="K1882" s="2">
        <v>43040</v>
      </c>
      <c r="L1882" s="1">
        <v>3716</v>
      </c>
      <c r="M1882" s="1">
        <v>4.21</v>
      </c>
      <c r="N1882" s="1">
        <v>0.69404999999999994</v>
      </c>
      <c r="O1882" s="3">
        <f>VLOOKUP(D1882,underlying!$D$40:$H$75,5,FALSE)</f>
        <v>-4</v>
      </c>
      <c r="P1882" s="4">
        <f t="shared" si="64"/>
        <v>42746</v>
      </c>
      <c r="Q1882" s="7">
        <f>IF(G1882="C",NormalCallSprd(O1882,H1882,M1882,(P1882-A1882)/365), NormalPutSprd(O1882,H1882,M1882,(P1882-A1882)/365))</f>
        <v>0.13141309186198755</v>
      </c>
      <c r="R1882" s="9">
        <f t="shared" si="66"/>
        <v>1.4130918619875421E-3</v>
      </c>
    </row>
    <row r="1883" spans="1:18" x14ac:dyDescent="0.2">
      <c r="A1883" s="2">
        <v>42622</v>
      </c>
      <c r="B1883" s="1" t="s">
        <v>56</v>
      </c>
      <c r="C1883" s="1" t="s">
        <v>57</v>
      </c>
      <c r="D1883" s="2">
        <v>42736</v>
      </c>
      <c r="E1883" s="2">
        <f t="shared" si="65"/>
        <v>42736</v>
      </c>
      <c r="F1883" s="1" t="s">
        <v>58</v>
      </c>
      <c r="G1883" s="1" t="s">
        <v>18</v>
      </c>
      <c r="H1883" s="1">
        <v>-1</v>
      </c>
      <c r="I1883" s="1">
        <v>3.13</v>
      </c>
      <c r="J1883" s="1">
        <v>0</v>
      </c>
      <c r="K1883" s="2">
        <v>43040</v>
      </c>
      <c r="L1883" s="1">
        <v>3716</v>
      </c>
      <c r="M1883" s="1">
        <v>4.21</v>
      </c>
      <c r="N1883" s="1">
        <v>0.72877999999999998</v>
      </c>
      <c r="O1883" s="3">
        <f>VLOOKUP(D1883,underlying!$D$40:$H$75,5,FALSE)</f>
        <v>-4</v>
      </c>
      <c r="P1883" s="4">
        <f t="shared" si="64"/>
        <v>42746</v>
      </c>
      <c r="Q1883" s="7">
        <f>IF(G1883="C",NormalCallSprd(O1883,H1883,M1883,(P1883-A1883)/365), NormalPutSprd(O1883,H1883,M1883,(P1883-A1883)/365))</f>
        <v>3.1314130918619876</v>
      </c>
      <c r="R1883" s="9">
        <f t="shared" si="66"/>
        <v>1.4130918619876809E-3</v>
      </c>
    </row>
    <row r="1884" spans="1:18" x14ac:dyDescent="0.2">
      <c r="A1884" s="2">
        <v>42622</v>
      </c>
      <c r="B1884" s="1" t="s">
        <v>56</v>
      </c>
      <c r="C1884" s="1" t="s">
        <v>57</v>
      </c>
      <c r="D1884" s="2">
        <v>42736</v>
      </c>
      <c r="E1884" s="2">
        <f t="shared" si="65"/>
        <v>42736</v>
      </c>
      <c r="F1884" s="1" t="s">
        <v>58</v>
      </c>
      <c r="G1884" s="1" t="s">
        <v>16</v>
      </c>
      <c r="H1884" s="1">
        <v>-0.75</v>
      </c>
      <c r="I1884" s="1">
        <v>0.11</v>
      </c>
      <c r="J1884" s="1">
        <v>0</v>
      </c>
      <c r="K1884" s="2">
        <v>43040</v>
      </c>
      <c r="L1884" s="1">
        <v>3716</v>
      </c>
      <c r="M1884" s="1">
        <v>4.21</v>
      </c>
      <c r="N1884" s="1">
        <v>0.76088</v>
      </c>
      <c r="O1884" s="3">
        <f>VLOOKUP(D1884,underlying!$D$40:$H$75,5,FALSE)</f>
        <v>-4</v>
      </c>
      <c r="P1884" s="4">
        <f t="shared" si="64"/>
        <v>42746</v>
      </c>
      <c r="Q1884" s="7">
        <f>IF(G1884="C",NormalCallSprd(O1884,H1884,M1884,(P1884-A1884)/365), NormalPutSprd(O1884,H1884,M1884,(P1884-A1884)/365))</f>
        <v>0.10603419095597943</v>
      </c>
      <c r="R1884" s="9">
        <f t="shared" si="66"/>
        <v>3.9658090440205657E-3</v>
      </c>
    </row>
    <row r="1885" spans="1:18" x14ac:dyDescent="0.2">
      <c r="A1885" s="2">
        <v>42622</v>
      </c>
      <c r="B1885" s="1" t="s">
        <v>56</v>
      </c>
      <c r="C1885" s="1" t="s">
        <v>57</v>
      </c>
      <c r="D1885" s="2">
        <v>42736</v>
      </c>
      <c r="E1885" s="2">
        <f t="shared" si="65"/>
        <v>42736</v>
      </c>
      <c r="F1885" s="1" t="s">
        <v>58</v>
      </c>
      <c r="G1885" s="1" t="s">
        <v>18</v>
      </c>
      <c r="H1885" s="1">
        <v>-0.75</v>
      </c>
      <c r="I1885" s="1">
        <v>3.35</v>
      </c>
      <c r="J1885" s="1">
        <v>0</v>
      </c>
      <c r="K1885" s="2">
        <v>43040</v>
      </c>
      <c r="L1885" s="1">
        <v>3716</v>
      </c>
      <c r="M1885" s="1">
        <v>4.21</v>
      </c>
      <c r="N1885" s="1">
        <v>0.79117999999999999</v>
      </c>
      <c r="O1885" s="3">
        <f>VLOOKUP(D1885,underlying!$D$40:$H$75,5,FALSE)</f>
        <v>-4</v>
      </c>
      <c r="P1885" s="4">
        <f t="shared" si="64"/>
        <v>42746</v>
      </c>
      <c r="Q1885" s="7">
        <f>IF(G1885="C",NormalCallSprd(O1885,H1885,M1885,(P1885-A1885)/365), NormalPutSprd(O1885,H1885,M1885,(P1885-A1885)/365))</f>
        <v>3.3560341909559797</v>
      </c>
      <c r="R1885" s="9">
        <f t="shared" si="66"/>
        <v>6.0341909559795681E-3</v>
      </c>
    </row>
    <row r="1886" spans="1:18" x14ac:dyDescent="0.2">
      <c r="A1886" s="2">
        <v>42622</v>
      </c>
      <c r="B1886" s="1" t="s">
        <v>56</v>
      </c>
      <c r="C1886" s="1" t="s">
        <v>57</v>
      </c>
      <c r="D1886" s="2">
        <v>42736</v>
      </c>
      <c r="E1886" s="2">
        <f t="shared" si="65"/>
        <v>42736</v>
      </c>
      <c r="F1886" s="1" t="s">
        <v>58</v>
      </c>
      <c r="G1886" s="1" t="s">
        <v>16</v>
      </c>
      <c r="H1886" s="1">
        <v>-0.5</v>
      </c>
      <c r="I1886" s="1">
        <v>0.08</v>
      </c>
      <c r="J1886" s="1">
        <v>-0.01</v>
      </c>
      <c r="K1886" s="2">
        <v>43040</v>
      </c>
      <c r="L1886" s="1">
        <v>3716</v>
      </c>
      <c r="M1886" s="1">
        <v>4.21</v>
      </c>
      <c r="N1886" s="1">
        <v>0.81906000000000001</v>
      </c>
      <c r="O1886" s="3">
        <f>VLOOKUP(D1886,underlying!$D$40:$H$75,5,FALSE)</f>
        <v>-4</v>
      </c>
      <c r="P1886" s="4">
        <f t="shared" si="64"/>
        <v>42746</v>
      </c>
      <c r="Q1886" s="7">
        <f>IF(G1886="C",NormalCallSprd(O1886,H1886,M1886,(P1886-A1886)/365), NormalPutSprd(O1886,H1886,M1886,(P1886-A1886)/365))</f>
        <v>8.48850065799472E-2</v>
      </c>
      <c r="R1886" s="9">
        <f t="shared" si="66"/>
        <v>4.8850065799471987E-3</v>
      </c>
    </row>
    <row r="1887" spans="1:18" x14ac:dyDescent="0.2">
      <c r="A1887" s="2">
        <v>42622</v>
      </c>
      <c r="B1887" s="1" t="s">
        <v>56</v>
      </c>
      <c r="C1887" s="1" t="s">
        <v>57</v>
      </c>
      <c r="D1887" s="2">
        <v>42736</v>
      </c>
      <c r="E1887" s="2">
        <f t="shared" si="65"/>
        <v>42736</v>
      </c>
      <c r="F1887" s="1" t="s">
        <v>58</v>
      </c>
      <c r="G1887" s="1" t="s">
        <v>18</v>
      </c>
      <c r="H1887" s="1">
        <v>-0.5</v>
      </c>
      <c r="I1887" s="1">
        <v>3.58</v>
      </c>
      <c r="J1887" s="1">
        <v>0</v>
      </c>
      <c r="K1887" s="2">
        <v>43040</v>
      </c>
      <c r="L1887" s="1">
        <v>3716</v>
      </c>
      <c r="M1887" s="1">
        <v>4.21</v>
      </c>
      <c r="N1887" s="1">
        <v>0.84445999999999999</v>
      </c>
      <c r="O1887" s="3">
        <f>VLOOKUP(D1887,underlying!$D$40:$H$75,5,FALSE)</f>
        <v>-4</v>
      </c>
      <c r="P1887" s="4">
        <f t="shared" si="64"/>
        <v>42746</v>
      </c>
      <c r="Q1887" s="7">
        <f>IF(G1887="C",NormalCallSprd(O1887,H1887,M1887,(P1887-A1887)/365), NormalPutSprd(O1887,H1887,M1887,(P1887-A1887)/365))</f>
        <v>3.5848850065799471</v>
      </c>
      <c r="R1887" s="9">
        <f t="shared" si="66"/>
        <v>4.8850065799470599E-3</v>
      </c>
    </row>
    <row r="1888" spans="1:18" x14ac:dyDescent="0.2">
      <c r="A1888" s="2">
        <v>42622</v>
      </c>
      <c r="B1888" s="1" t="s">
        <v>56</v>
      </c>
      <c r="C1888" s="1" t="s">
        <v>57</v>
      </c>
      <c r="D1888" s="2">
        <v>42736</v>
      </c>
      <c r="E1888" s="2">
        <f t="shared" si="65"/>
        <v>42736</v>
      </c>
      <c r="F1888" s="1" t="s">
        <v>58</v>
      </c>
      <c r="G1888" s="1" t="s">
        <v>16</v>
      </c>
      <c r="H1888" s="1">
        <v>-0.25</v>
      </c>
      <c r="I1888" s="1">
        <v>7.0000000000000007E-2</v>
      </c>
      <c r="J1888" s="1">
        <v>0</v>
      </c>
      <c r="K1888" s="2">
        <v>43040</v>
      </c>
      <c r="L1888" s="1">
        <v>3716</v>
      </c>
      <c r="M1888" s="1">
        <v>4.21</v>
      </c>
      <c r="N1888" s="1">
        <v>0.86736000000000002</v>
      </c>
      <c r="O1888" s="3">
        <f>VLOOKUP(D1888,underlying!$D$40:$H$75,5,FALSE)</f>
        <v>-4</v>
      </c>
      <c r="P1888" s="4">
        <f t="shared" si="64"/>
        <v>42746</v>
      </c>
      <c r="Q1888" s="7">
        <f>IF(G1888="C",NormalCallSprd(O1888,H1888,M1888,(P1888-A1888)/365), NormalPutSprd(O1888,H1888,M1888,(P1888-A1888)/365))</f>
        <v>6.7413385395427475E-2</v>
      </c>
      <c r="R1888" s="9">
        <f t="shared" si="66"/>
        <v>2.5866146045725319E-3</v>
      </c>
    </row>
    <row r="1889" spans="1:18" x14ac:dyDescent="0.2">
      <c r="A1889" s="2">
        <v>42622</v>
      </c>
      <c r="B1889" s="1" t="s">
        <v>56</v>
      </c>
      <c r="C1889" s="1" t="s">
        <v>57</v>
      </c>
      <c r="D1889" s="2">
        <v>42736</v>
      </c>
      <c r="E1889" s="2">
        <f t="shared" si="65"/>
        <v>42736</v>
      </c>
      <c r="F1889" s="1" t="s">
        <v>58</v>
      </c>
      <c r="G1889" s="1" t="s">
        <v>18</v>
      </c>
      <c r="H1889" s="1">
        <v>-0.25</v>
      </c>
      <c r="I1889" s="1">
        <v>3.81</v>
      </c>
      <c r="J1889" s="1">
        <v>0</v>
      </c>
      <c r="K1889" s="2">
        <v>43040</v>
      </c>
      <c r="L1889" s="1">
        <v>3716</v>
      </c>
      <c r="M1889" s="1">
        <v>4.21</v>
      </c>
      <c r="N1889" s="1">
        <v>0.88778999999999997</v>
      </c>
      <c r="O1889" s="3">
        <f>VLOOKUP(D1889,underlying!$D$40:$H$75,5,FALSE)</f>
        <v>-4</v>
      </c>
      <c r="P1889" s="4">
        <f t="shared" si="64"/>
        <v>42746</v>
      </c>
      <c r="Q1889" s="7">
        <f>IF(G1889="C",NormalCallSprd(O1889,H1889,M1889,(P1889-A1889)/365), NormalPutSprd(O1889,H1889,M1889,(P1889-A1889)/365))</f>
        <v>3.8174133853954273</v>
      </c>
      <c r="R1889" s="9">
        <f t="shared" si="66"/>
        <v>7.4133853954272411E-3</v>
      </c>
    </row>
    <row r="1890" spans="1:18" x14ac:dyDescent="0.2">
      <c r="A1890" s="2">
        <v>42622</v>
      </c>
      <c r="B1890" s="1" t="s">
        <v>56</v>
      </c>
      <c r="C1890" s="1" t="s">
        <v>57</v>
      </c>
      <c r="D1890" s="2">
        <v>42737</v>
      </c>
      <c r="E1890" s="2">
        <f t="shared" si="65"/>
        <v>42767</v>
      </c>
      <c r="F1890" s="1" t="s">
        <v>58</v>
      </c>
      <c r="G1890" s="1" t="s">
        <v>16</v>
      </c>
      <c r="H1890" s="1">
        <v>-11</v>
      </c>
      <c r="I1890" s="1">
        <v>7.74</v>
      </c>
      <c r="J1890" s="1">
        <v>0</v>
      </c>
      <c r="K1890" s="2">
        <v>42980</v>
      </c>
      <c r="L1890" s="1">
        <v>3716</v>
      </c>
      <c r="M1890" s="1">
        <v>4.0999999999999996</v>
      </c>
      <c r="N1890" s="1">
        <v>0.90583000000000002</v>
      </c>
      <c r="O1890" s="3">
        <f>VLOOKUP(D1890,underlying!$D$40:$H$75,5,FALSE)</f>
        <v>-3.25</v>
      </c>
      <c r="P1890" s="4">
        <f t="shared" si="64"/>
        <v>42775</v>
      </c>
      <c r="Q1890" s="7">
        <f>IF(G1890="C",NormalCallSprd(O1890,H1890,M1890,(P1890-A1890)/365), NormalPutSprd(O1890,H1890,M1890,(P1890-A1890)/365))</f>
        <v>7.7513439277327247</v>
      </c>
      <c r="R1890" s="9">
        <f t="shared" si="66"/>
        <v>1.1343927732724524E-2</v>
      </c>
    </row>
    <row r="1891" spans="1:18" x14ac:dyDescent="0.2">
      <c r="A1891" s="2">
        <v>42622</v>
      </c>
      <c r="B1891" s="1" t="s">
        <v>56</v>
      </c>
      <c r="C1891" s="1" t="s">
        <v>57</v>
      </c>
      <c r="D1891" s="2">
        <v>42737</v>
      </c>
      <c r="E1891" s="2">
        <f t="shared" si="65"/>
        <v>42767</v>
      </c>
      <c r="F1891" s="1" t="s">
        <v>58</v>
      </c>
      <c r="G1891" s="1" t="s">
        <v>18</v>
      </c>
      <c r="H1891" s="1">
        <v>-11</v>
      </c>
      <c r="I1891" s="1">
        <v>0.01</v>
      </c>
      <c r="J1891" s="1">
        <v>0</v>
      </c>
      <c r="K1891" s="2">
        <v>42980</v>
      </c>
      <c r="L1891" s="1">
        <v>3716</v>
      </c>
      <c r="M1891" s="1">
        <v>4.0999999999999996</v>
      </c>
      <c r="N1891" s="1">
        <v>0.92159999999999997</v>
      </c>
      <c r="O1891" s="3">
        <f>VLOOKUP(D1891,underlying!$D$40:$H$75,5,FALSE)</f>
        <v>-3.25</v>
      </c>
      <c r="P1891" s="4">
        <f t="shared" si="64"/>
        <v>42775</v>
      </c>
      <c r="Q1891" s="7">
        <f>IF(G1891="C",NormalCallSprd(O1891,H1891,M1891,(P1891-A1891)/365), NormalPutSprd(O1891,H1891,M1891,(P1891-A1891)/365))</f>
        <v>1.3439277327246025E-3</v>
      </c>
      <c r="R1891" s="9">
        <f t="shared" si="66"/>
        <v>8.656072267275397E-3</v>
      </c>
    </row>
    <row r="1892" spans="1:18" x14ac:dyDescent="0.2">
      <c r="A1892" s="2">
        <v>42622</v>
      </c>
      <c r="B1892" s="1" t="s">
        <v>56</v>
      </c>
      <c r="C1892" s="1" t="s">
        <v>57</v>
      </c>
      <c r="D1892" s="2">
        <v>42737</v>
      </c>
      <c r="E1892" s="2">
        <f t="shared" si="65"/>
        <v>42767</v>
      </c>
      <c r="F1892" s="1" t="s">
        <v>58</v>
      </c>
      <c r="G1892" s="1" t="s">
        <v>16</v>
      </c>
      <c r="H1892" s="1">
        <v>-10</v>
      </c>
      <c r="I1892" s="1">
        <v>6.74</v>
      </c>
      <c r="J1892" s="1">
        <v>0</v>
      </c>
      <c r="K1892" s="2">
        <v>42980</v>
      </c>
      <c r="L1892" s="1">
        <v>3716</v>
      </c>
      <c r="M1892" s="1">
        <v>4.0999999999999996</v>
      </c>
      <c r="N1892" s="1">
        <v>0.93523000000000001</v>
      </c>
      <c r="O1892" s="3">
        <f>VLOOKUP(D1892,underlying!$D$40:$H$75,5,FALSE)</f>
        <v>-3.25</v>
      </c>
      <c r="P1892" s="4">
        <f t="shared" si="64"/>
        <v>42775</v>
      </c>
      <c r="Q1892" s="7">
        <f>IF(G1892="C",NormalCallSprd(O1892,H1892,M1892,(P1892-A1892)/365), NormalPutSprd(O1892,H1892,M1892,(P1892-A1892)/365))</f>
        <v>6.7546549003760132</v>
      </c>
      <c r="R1892" s="9">
        <f t="shared" si="66"/>
        <v>1.4654900376013025E-2</v>
      </c>
    </row>
    <row r="1893" spans="1:18" x14ac:dyDescent="0.2">
      <c r="A1893" s="2">
        <v>42622</v>
      </c>
      <c r="B1893" s="1" t="s">
        <v>56</v>
      </c>
      <c r="C1893" s="1" t="s">
        <v>57</v>
      </c>
      <c r="D1893" s="2">
        <v>42737</v>
      </c>
      <c r="E1893" s="2">
        <f t="shared" si="65"/>
        <v>42767</v>
      </c>
      <c r="F1893" s="1" t="s">
        <v>58</v>
      </c>
      <c r="G1893" s="1" t="s">
        <v>18</v>
      </c>
      <c r="H1893" s="1">
        <v>-10</v>
      </c>
      <c r="I1893" s="1">
        <v>0.01</v>
      </c>
      <c r="J1893" s="1">
        <v>0</v>
      </c>
      <c r="K1893" s="2">
        <v>42980</v>
      </c>
      <c r="L1893" s="1">
        <v>3716</v>
      </c>
      <c r="M1893" s="1">
        <v>4.0999999999999996</v>
      </c>
      <c r="N1893" s="1">
        <v>0.94689999999999996</v>
      </c>
      <c r="O1893" s="3">
        <f>VLOOKUP(D1893,underlying!$D$40:$H$75,5,FALSE)</f>
        <v>-3.25</v>
      </c>
      <c r="P1893" s="4">
        <f t="shared" si="64"/>
        <v>42775</v>
      </c>
      <c r="Q1893" s="7">
        <f>IF(G1893="C",NormalCallSprd(O1893,H1893,M1893,(P1893-A1893)/365), NormalPutSprd(O1893,H1893,M1893,(P1893-A1893)/365))</f>
        <v>4.6549003760138295E-3</v>
      </c>
      <c r="R1893" s="9">
        <f t="shared" si="66"/>
        <v>5.3450996239861708E-3</v>
      </c>
    </row>
    <row r="1894" spans="1:18" x14ac:dyDescent="0.2">
      <c r="A1894" s="2">
        <v>42622</v>
      </c>
      <c r="B1894" s="1" t="s">
        <v>56</v>
      </c>
      <c r="C1894" s="1" t="s">
        <v>57</v>
      </c>
      <c r="D1894" s="2">
        <v>42737</v>
      </c>
      <c r="E1894" s="2">
        <f t="shared" si="65"/>
        <v>42767</v>
      </c>
      <c r="F1894" s="1" t="s">
        <v>58</v>
      </c>
      <c r="G1894" s="1" t="s">
        <v>16</v>
      </c>
      <c r="H1894" s="1">
        <v>-9</v>
      </c>
      <c r="I1894" s="1">
        <v>5.75</v>
      </c>
      <c r="J1894" s="1">
        <v>0</v>
      </c>
      <c r="K1894" s="2">
        <v>42980</v>
      </c>
      <c r="L1894" s="1">
        <v>3716</v>
      </c>
      <c r="M1894" s="1">
        <v>4.0999999999999996</v>
      </c>
      <c r="N1894" s="1">
        <v>0.95679000000000003</v>
      </c>
      <c r="O1894" s="3">
        <f>VLOOKUP(D1894,underlying!$D$40:$H$75,5,FALSE)</f>
        <v>-3.25</v>
      </c>
      <c r="P1894" s="4">
        <f t="shared" si="64"/>
        <v>42775</v>
      </c>
      <c r="Q1894" s="7">
        <f>IF(G1894="C",NormalCallSprd(O1894,H1894,M1894,(P1894-A1894)/365), NormalPutSprd(O1894,H1894,M1894,(P1894-A1894)/365))</f>
        <v>5.7642779442409022</v>
      </c>
      <c r="R1894" s="9">
        <f t="shared" si="66"/>
        <v>1.4277944240902229E-2</v>
      </c>
    </row>
    <row r="1895" spans="1:18" x14ac:dyDescent="0.2">
      <c r="A1895" s="2">
        <v>42622</v>
      </c>
      <c r="B1895" s="1" t="s">
        <v>56</v>
      </c>
      <c r="C1895" s="1" t="s">
        <v>57</v>
      </c>
      <c r="D1895" s="2">
        <v>42737</v>
      </c>
      <c r="E1895" s="2">
        <f t="shared" si="65"/>
        <v>42767</v>
      </c>
      <c r="F1895" s="1" t="s">
        <v>58</v>
      </c>
      <c r="G1895" s="1" t="s">
        <v>18</v>
      </c>
      <c r="H1895" s="1">
        <v>-9</v>
      </c>
      <c r="I1895" s="1">
        <v>0.01</v>
      </c>
      <c r="J1895" s="1">
        <v>0</v>
      </c>
      <c r="K1895" s="2">
        <v>42980</v>
      </c>
      <c r="L1895" s="1">
        <v>3716</v>
      </c>
      <c r="M1895" s="1">
        <v>4.0999999999999996</v>
      </c>
      <c r="N1895" s="1">
        <v>0.96508000000000005</v>
      </c>
      <c r="O1895" s="3">
        <f>VLOOKUP(D1895,underlying!$D$40:$H$75,5,FALSE)</f>
        <v>-3.25</v>
      </c>
      <c r="P1895" s="4">
        <f t="shared" si="64"/>
        <v>42775</v>
      </c>
      <c r="Q1895" s="7">
        <f>IF(G1895="C",NormalCallSprd(O1895,H1895,M1895,(P1895-A1895)/365), NormalPutSprd(O1895,H1895,M1895,(P1895-A1895)/365))</f>
        <v>1.4277944240902486E-2</v>
      </c>
      <c r="R1895" s="9">
        <f t="shared" si="66"/>
        <v>4.277944240902486E-3</v>
      </c>
    </row>
    <row r="1896" spans="1:18" x14ac:dyDescent="0.2">
      <c r="A1896" s="2">
        <v>42622</v>
      </c>
      <c r="B1896" s="1" t="s">
        <v>56</v>
      </c>
      <c r="C1896" s="1" t="s">
        <v>57</v>
      </c>
      <c r="D1896" s="2">
        <v>42737</v>
      </c>
      <c r="E1896" s="2">
        <f t="shared" si="65"/>
        <v>42767</v>
      </c>
      <c r="F1896" s="1" t="s">
        <v>58</v>
      </c>
      <c r="G1896" s="1" t="s">
        <v>16</v>
      </c>
      <c r="H1896" s="1">
        <v>-8.25</v>
      </c>
      <c r="I1896" s="1">
        <v>5.0199999999999996</v>
      </c>
      <c r="J1896" s="1">
        <v>0</v>
      </c>
      <c r="K1896" s="2">
        <v>42980</v>
      </c>
      <c r="L1896" s="1">
        <v>3716</v>
      </c>
      <c r="M1896" s="1">
        <v>4.0999999999999996</v>
      </c>
      <c r="N1896" s="1">
        <v>0.97194999999999998</v>
      </c>
      <c r="O1896" s="3">
        <f>VLOOKUP(D1896,underlying!$D$40:$H$75,5,FALSE)</f>
        <v>-3.25</v>
      </c>
      <c r="P1896" s="4">
        <f t="shared" si="64"/>
        <v>42775</v>
      </c>
      <c r="Q1896" s="7">
        <f>IF(G1896="C",NormalCallSprd(O1896,H1896,M1896,(P1896-A1896)/365), NormalPutSprd(O1896,H1896,M1896,(P1896-A1896)/365))</f>
        <v>5.0306182366690031</v>
      </c>
      <c r="R1896" s="9">
        <f t="shared" si="66"/>
        <v>1.0618236669003522E-2</v>
      </c>
    </row>
    <row r="1897" spans="1:18" x14ac:dyDescent="0.2">
      <c r="A1897" s="2">
        <v>42622</v>
      </c>
      <c r="B1897" s="1" t="s">
        <v>56</v>
      </c>
      <c r="C1897" s="1" t="s">
        <v>57</v>
      </c>
      <c r="D1897" s="2">
        <v>42737</v>
      </c>
      <c r="E1897" s="2">
        <f t="shared" si="65"/>
        <v>42767</v>
      </c>
      <c r="F1897" s="1" t="s">
        <v>58</v>
      </c>
      <c r="G1897" s="1" t="s">
        <v>18</v>
      </c>
      <c r="H1897" s="1">
        <v>-8.25</v>
      </c>
      <c r="I1897" s="1">
        <v>0.03</v>
      </c>
      <c r="J1897" s="1">
        <v>0</v>
      </c>
      <c r="K1897" s="2">
        <v>42980</v>
      </c>
      <c r="L1897" s="1">
        <v>3716</v>
      </c>
      <c r="M1897" s="1">
        <v>4.0999999999999996</v>
      </c>
      <c r="N1897" s="1">
        <v>0.97760000000000002</v>
      </c>
      <c r="O1897" s="3">
        <f>VLOOKUP(D1897,underlying!$D$40:$H$75,5,FALSE)</f>
        <v>-3.25</v>
      </c>
      <c r="P1897" s="4">
        <f t="shared" si="64"/>
        <v>42775</v>
      </c>
      <c r="Q1897" s="7">
        <f>IF(G1897="C",NormalCallSprd(O1897,H1897,M1897,(P1897-A1897)/365), NormalPutSprd(O1897,H1897,M1897,(P1897-A1897)/365))</f>
        <v>3.0618236669003301E-2</v>
      </c>
      <c r="R1897" s="9">
        <f t="shared" si="66"/>
        <v>6.1823666900330185E-4</v>
      </c>
    </row>
    <row r="1898" spans="1:18" x14ac:dyDescent="0.2">
      <c r="A1898" s="2">
        <v>42622</v>
      </c>
      <c r="B1898" s="1" t="s">
        <v>56</v>
      </c>
      <c r="C1898" s="1" t="s">
        <v>57</v>
      </c>
      <c r="D1898" s="2">
        <v>42737</v>
      </c>
      <c r="E1898" s="2">
        <f t="shared" si="65"/>
        <v>42767</v>
      </c>
      <c r="F1898" s="1" t="s">
        <v>58</v>
      </c>
      <c r="G1898" s="1" t="s">
        <v>16</v>
      </c>
      <c r="H1898" s="1">
        <v>-8</v>
      </c>
      <c r="I1898" s="1">
        <v>4.78</v>
      </c>
      <c r="J1898" s="1">
        <v>0</v>
      </c>
      <c r="K1898" s="2">
        <v>42980</v>
      </c>
      <c r="L1898" s="1">
        <v>3716</v>
      </c>
      <c r="M1898" s="1">
        <v>4.0999999999999996</v>
      </c>
      <c r="N1898" s="1">
        <v>-0.93523000000000001</v>
      </c>
      <c r="O1898" s="3">
        <f>VLOOKUP(D1898,underlying!$D$40:$H$75,5,FALSE)</f>
        <v>-3.25</v>
      </c>
      <c r="P1898" s="4">
        <f t="shared" si="64"/>
        <v>42775</v>
      </c>
      <c r="Q1898" s="7">
        <f>IF(G1898="C",NormalCallSprd(O1898,H1898,M1898,(P1898-A1898)/365), NormalPutSprd(O1898,H1898,M1898,(P1898-A1898)/365))</f>
        <v>4.7889161982976933</v>
      </c>
      <c r="R1898" s="9">
        <f t="shared" si="66"/>
        <v>8.9161982976930787E-3</v>
      </c>
    </row>
    <row r="1899" spans="1:18" x14ac:dyDescent="0.2">
      <c r="A1899" s="2">
        <v>42622</v>
      </c>
      <c r="B1899" s="1" t="s">
        <v>56</v>
      </c>
      <c r="C1899" s="1" t="s">
        <v>57</v>
      </c>
      <c r="D1899" s="2">
        <v>42737</v>
      </c>
      <c r="E1899" s="2">
        <f t="shared" si="65"/>
        <v>42767</v>
      </c>
      <c r="F1899" s="1" t="s">
        <v>58</v>
      </c>
      <c r="G1899" s="1" t="s">
        <v>18</v>
      </c>
      <c r="H1899" s="1">
        <v>-8</v>
      </c>
      <c r="I1899" s="1">
        <v>0.04</v>
      </c>
      <c r="J1899" s="1">
        <v>0</v>
      </c>
      <c r="K1899" s="2">
        <v>42980</v>
      </c>
      <c r="L1899" s="1">
        <v>3716</v>
      </c>
      <c r="M1899" s="1">
        <v>4.0999999999999996</v>
      </c>
      <c r="N1899" s="1">
        <v>-0.92159999999999997</v>
      </c>
      <c r="O1899" s="3">
        <f>VLOOKUP(D1899,underlying!$D$40:$H$75,5,FALSE)</f>
        <v>-3.25</v>
      </c>
      <c r="P1899" s="4">
        <f t="shared" si="64"/>
        <v>42775</v>
      </c>
      <c r="Q1899" s="7">
        <f>IF(G1899="C",NormalCallSprd(O1899,H1899,M1899,(P1899-A1899)/365), NormalPutSprd(O1899,H1899,M1899,(P1899-A1899)/365))</f>
        <v>3.8916198297693799E-2</v>
      </c>
      <c r="R1899" s="9">
        <f t="shared" si="66"/>
        <v>1.0838017023062016E-3</v>
      </c>
    </row>
    <row r="1900" spans="1:18" x14ac:dyDescent="0.2">
      <c r="A1900" s="2">
        <v>42622</v>
      </c>
      <c r="B1900" s="1" t="s">
        <v>56</v>
      </c>
      <c r="C1900" s="1" t="s">
        <v>57</v>
      </c>
      <c r="D1900" s="2">
        <v>42737</v>
      </c>
      <c r="E1900" s="2">
        <f t="shared" si="65"/>
        <v>42767</v>
      </c>
      <c r="F1900" s="1" t="s">
        <v>58</v>
      </c>
      <c r="G1900" s="1" t="s">
        <v>16</v>
      </c>
      <c r="H1900" s="1">
        <v>-7.75</v>
      </c>
      <c r="I1900" s="1">
        <v>4.54</v>
      </c>
      <c r="J1900" s="1">
        <v>0</v>
      </c>
      <c r="K1900" s="2">
        <v>42980</v>
      </c>
      <c r="L1900" s="1">
        <v>3716</v>
      </c>
      <c r="M1900" s="1">
        <v>4.0999999999999996</v>
      </c>
      <c r="N1900" s="1">
        <v>-0.90583000000000002</v>
      </c>
      <c r="O1900" s="3">
        <f>VLOOKUP(D1900,underlying!$D$40:$H$75,5,FALSE)</f>
        <v>-3.25</v>
      </c>
      <c r="P1900" s="4">
        <f t="shared" si="64"/>
        <v>42775</v>
      </c>
      <c r="Q1900" s="7">
        <f>IF(G1900="C",NormalCallSprd(O1900,H1900,M1900,(P1900-A1900)/365), NormalPutSprd(O1900,H1900,M1900,(P1900-A1900)/365))</f>
        <v>4.5491117736835758</v>
      </c>
      <c r="R1900" s="9">
        <f t="shared" si="66"/>
        <v>9.1117736835757412E-3</v>
      </c>
    </row>
    <row r="1901" spans="1:18" x14ac:dyDescent="0.2">
      <c r="A1901" s="2">
        <v>42622</v>
      </c>
      <c r="B1901" s="1" t="s">
        <v>56</v>
      </c>
      <c r="C1901" s="1" t="s">
        <v>57</v>
      </c>
      <c r="D1901" s="2">
        <v>42737</v>
      </c>
      <c r="E1901" s="2">
        <f t="shared" si="65"/>
        <v>42767</v>
      </c>
      <c r="F1901" s="1" t="s">
        <v>58</v>
      </c>
      <c r="G1901" s="1" t="s">
        <v>18</v>
      </c>
      <c r="H1901" s="1">
        <v>-7.75</v>
      </c>
      <c r="I1901" s="1">
        <v>0.05</v>
      </c>
      <c r="J1901" s="1">
        <v>0</v>
      </c>
      <c r="K1901" s="2">
        <v>42980</v>
      </c>
      <c r="L1901" s="1">
        <v>3716</v>
      </c>
      <c r="M1901" s="1">
        <v>4.0999999999999996</v>
      </c>
      <c r="N1901" s="1">
        <v>-7.2300000000000003E-3</v>
      </c>
      <c r="O1901" s="3">
        <f>VLOOKUP(D1901,underlying!$D$40:$H$75,5,FALSE)</f>
        <v>-3.25</v>
      </c>
      <c r="P1901" s="4">
        <f t="shared" si="64"/>
        <v>42775</v>
      </c>
      <c r="Q1901" s="7">
        <f>IF(G1901="C",NormalCallSprd(O1901,H1901,M1901,(P1901-A1901)/365), NormalPutSprd(O1901,H1901,M1901,(P1901-A1901)/365))</f>
        <v>4.9111773683575673E-2</v>
      </c>
      <c r="R1901" s="9">
        <f t="shared" si="66"/>
        <v>8.8822631642433009E-4</v>
      </c>
    </row>
    <row r="1902" spans="1:18" x14ac:dyDescent="0.2">
      <c r="A1902" s="2">
        <v>42622</v>
      </c>
      <c r="B1902" s="1" t="s">
        <v>56</v>
      </c>
      <c r="C1902" s="1" t="s">
        <v>57</v>
      </c>
      <c r="D1902" s="2">
        <v>42737</v>
      </c>
      <c r="E1902" s="2">
        <f t="shared" si="65"/>
        <v>42767</v>
      </c>
      <c r="F1902" s="1" t="s">
        <v>58</v>
      </c>
      <c r="G1902" s="1" t="s">
        <v>16</v>
      </c>
      <c r="H1902" s="1">
        <v>-7.5</v>
      </c>
      <c r="I1902" s="1">
        <v>4.3</v>
      </c>
      <c r="J1902" s="1">
        <v>0</v>
      </c>
      <c r="K1902" s="2">
        <v>42980</v>
      </c>
      <c r="L1902" s="1">
        <v>3716</v>
      </c>
      <c r="M1902" s="1">
        <v>4.0999999999999996</v>
      </c>
      <c r="N1902" s="1">
        <v>-0.88778999999999997</v>
      </c>
      <c r="O1902" s="3">
        <f>VLOOKUP(D1902,underlying!$D$40:$H$75,5,FALSE)</f>
        <v>-3.25</v>
      </c>
      <c r="P1902" s="4">
        <f t="shared" si="64"/>
        <v>42775</v>
      </c>
      <c r="Q1902" s="7">
        <f>IF(G1902="C",NormalCallSprd(O1902,H1902,M1902,(P1902-A1902)/365), NormalPutSprd(O1902,H1902,M1902,(P1902-A1902)/365))</f>
        <v>4.3115428072933186</v>
      </c>
      <c r="R1902" s="9">
        <f t="shared" si="66"/>
        <v>1.1542807293318802E-2</v>
      </c>
    </row>
    <row r="1903" spans="1:18" x14ac:dyDescent="0.2">
      <c r="A1903" s="2">
        <v>42622</v>
      </c>
      <c r="B1903" s="1" t="s">
        <v>56</v>
      </c>
      <c r="C1903" s="1" t="s">
        <v>57</v>
      </c>
      <c r="D1903" s="2">
        <v>42737</v>
      </c>
      <c r="E1903" s="2">
        <f t="shared" si="65"/>
        <v>42767</v>
      </c>
      <c r="F1903" s="1" t="s">
        <v>58</v>
      </c>
      <c r="G1903" s="1" t="s">
        <v>18</v>
      </c>
      <c r="H1903" s="1">
        <v>-7.5</v>
      </c>
      <c r="I1903" s="1">
        <v>0.06</v>
      </c>
      <c r="J1903" s="1">
        <v>0</v>
      </c>
      <c r="K1903" s="2">
        <v>42980</v>
      </c>
      <c r="L1903" s="1">
        <v>3716</v>
      </c>
      <c r="M1903" s="1">
        <v>4.0999999999999996</v>
      </c>
      <c r="N1903" s="1">
        <v>-2.16E-3</v>
      </c>
      <c r="O1903" s="3">
        <f>VLOOKUP(D1903,underlying!$D$40:$H$75,5,FALSE)</f>
        <v>-3.25</v>
      </c>
      <c r="P1903" s="4">
        <f t="shared" si="64"/>
        <v>42775</v>
      </c>
      <c r="Q1903" s="7">
        <f>IF(G1903="C",NormalCallSprd(O1903,H1903,M1903,(P1903-A1903)/365), NormalPutSprd(O1903,H1903,M1903,(P1903-A1903)/365))</f>
        <v>6.1542807293318465E-2</v>
      </c>
      <c r="R1903" s="9">
        <f t="shared" si="66"/>
        <v>1.5428072933184669E-3</v>
      </c>
    </row>
    <row r="1904" spans="1:18" x14ac:dyDescent="0.2">
      <c r="A1904" s="2">
        <v>42622</v>
      </c>
      <c r="B1904" s="1" t="s">
        <v>56</v>
      </c>
      <c r="C1904" s="1" t="s">
        <v>57</v>
      </c>
      <c r="D1904" s="2">
        <v>42737</v>
      </c>
      <c r="E1904" s="2">
        <f t="shared" si="65"/>
        <v>42767</v>
      </c>
      <c r="F1904" s="1" t="s">
        <v>58</v>
      </c>
      <c r="G1904" s="1" t="s">
        <v>16</v>
      </c>
      <c r="H1904" s="1">
        <v>-7.25</v>
      </c>
      <c r="I1904" s="1">
        <v>4.07</v>
      </c>
      <c r="J1904" s="1">
        <v>0</v>
      </c>
      <c r="K1904" s="2">
        <v>42980</v>
      </c>
      <c r="L1904" s="1">
        <v>3716</v>
      </c>
      <c r="M1904" s="1">
        <v>4.0999999999999996</v>
      </c>
      <c r="N1904" s="1">
        <v>-0.86792999999999998</v>
      </c>
      <c r="O1904" s="3">
        <f>VLOOKUP(D1904,underlying!$D$40:$H$75,5,FALSE)</f>
        <v>-3.25</v>
      </c>
      <c r="P1904" s="4">
        <f t="shared" si="64"/>
        <v>42775</v>
      </c>
      <c r="Q1904" s="7">
        <f>IF(G1904="C",NormalCallSprd(O1904,H1904,M1904,(P1904-A1904)/365), NormalPutSprd(O1904,H1904,M1904,(P1904-A1904)/365))</f>
        <v>4.0765840714826433</v>
      </c>
      <c r="R1904" s="9">
        <f t="shared" si="66"/>
        <v>6.5840714826430613E-3</v>
      </c>
    </row>
    <row r="1905" spans="1:18" x14ac:dyDescent="0.2">
      <c r="A1905" s="2">
        <v>42622</v>
      </c>
      <c r="B1905" s="1" t="s">
        <v>56</v>
      </c>
      <c r="C1905" s="1" t="s">
        <v>57</v>
      </c>
      <c r="D1905" s="2">
        <v>42737</v>
      </c>
      <c r="E1905" s="2">
        <f t="shared" si="65"/>
        <v>42767</v>
      </c>
      <c r="F1905" s="1" t="s">
        <v>58</v>
      </c>
      <c r="G1905" s="1" t="s">
        <v>18</v>
      </c>
      <c r="H1905" s="1">
        <v>-7.25</v>
      </c>
      <c r="I1905" s="1">
        <v>0.08</v>
      </c>
      <c r="J1905" s="1">
        <v>0</v>
      </c>
      <c r="K1905" s="2">
        <v>42980</v>
      </c>
      <c r="L1905" s="1">
        <v>3716</v>
      </c>
      <c r="M1905" s="1">
        <v>4.0999999999999996</v>
      </c>
      <c r="N1905" s="1">
        <v>-0.84389000000000003</v>
      </c>
      <c r="O1905" s="3">
        <f>VLOOKUP(D1905,underlying!$D$40:$H$75,5,FALSE)</f>
        <v>-3.25</v>
      </c>
      <c r="P1905" s="4">
        <f t="shared" si="64"/>
        <v>42775</v>
      </c>
      <c r="Q1905" s="7">
        <f>IF(G1905="C",NormalCallSprd(O1905,H1905,M1905,(P1905-A1905)/365), NormalPutSprd(O1905,H1905,M1905,(P1905-A1905)/365))</f>
        <v>7.6584071482643234E-2</v>
      </c>
      <c r="R1905" s="9">
        <f t="shared" si="66"/>
        <v>3.4159285173567672E-3</v>
      </c>
    </row>
    <row r="1906" spans="1:18" x14ac:dyDescent="0.2">
      <c r="A1906" s="2">
        <v>42622</v>
      </c>
      <c r="B1906" s="1" t="s">
        <v>56</v>
      </c>
      <c r="C1906" s="1" t="s">
        <v>57</v>
      </c>
      <c r="D1906" s="2">
        <v>42737</v>
      </c>
      <c r="E1906" s="2">
        <f t="shared" si="65"/>
        <v>42767</v>
      </c>
      <c r="F1906" s="1" t="s">
        <v>58</v>
      </c>
      <c r="G1906" s="1" t="s">
        <v>16</v>
      </c>
      <c r="H1906" s="1">
        <v>-7</v>
      </c>
      <c r="I1906" s="1">
        <v>3.84</v>
      </c>
      <c r="J1906" s="1">
        <v>0</v>
      </c>
      <c r="K1906" s="2">
        <v>42980</v>
      </c>
      <c r="L1906" s="1">
        <v>3716</v>
      </c>
      <c r="M1906" s="1">
        <v>4.0999999999999996</v>
      </c>
      <c r="N1906" s="1">
        <v>-0.81906000000000001</v>
      </c>
      <c r="O1906" s="3">
        <f>VLOOKUP(D1906,underlying!$D$40:$H$75,5,FALSE)</f>
        <v>-3.25</v>
      </c>
      <c r="P1906" s="4">
        <f t="shared" si="64"/>
        <v>42775</v>
      </c>
      <c r="Q1906" s="7">
        <f>IF(G1906="C",NormalCallSprd(O1906,H1906,M1906,(P1906-A1906)/365), NormalPutSprd(O1906,H1906,M1906,(P1906-A1906)/365))</f>
        <v>3.8446462942196922</v>
      </c>
      <c r="R1906" s="9">
        <f t="shared" si="66"/>
        <v>4.6462942196923152E-3</v>
      </c>
    </row>
    <row r="1907" spans="1:18" x14ac:dyDescent="0.2">
      <c r="A1907" s="2">
        <v>42622</v>
      </c>
      <c r="B1907" s="1" t="s">
        <v>56</v>
      </c>
      <c r="C1907" s="1" t="s">
        <v>57</v>
      </c>
      <c r="D1907" s="2">
        <v>42737</v>
      </c>
      <c r="E1907" s="2">
        <f t="shared" si="65"/>
        <v>42767</v>
      </c>
      <c r="F1907" s="1" t="s">
        <v>58</v>
      </c>
      <c r="G1907" s="1" t="s">
        <v>18</v>
      </c>
      <c r="H1907" s="1">
        <v>-7</v>
      </c>
      <c r="I1907" s="1">
        <v>0.09</v>
      </c>
      <c r="J1907" s="1">
        <v>-0.01</v>
      </c>
      <c r="K1907" s="2">
        <v>42980</v>
      </c>
      <c r="L1907" s="1">
        <v>3716</v>
      </c>
      <c r="M1907" s="1">
        <v>4.0999999999999996</v>
      </c>
      <c r="N1907" s="1">
        <v>-0.79229000000000005</v>
      </c>
      <c r="O1907" s="3">
        <f>VLOOKUP(D1907,underlying!$D$40:$H$75,5,FALSE)</f>
        <v>-3.25</v>
      </c>
      <c r="P1907" s="4">
        <f t="shared" si="64"/>
        <v>42775</v>
      </c>
      <c r="Q1907" s="7">
        <f>IF(G1907="C",NormalCallSprd(O1907,H1907,M1907,(P1907-A1907)/365), NormalPutSprd(O1907,H1907,M1907,(P1907-A1907)/365))</f>
        <v>9.4646294219692145E-2</v>
      </c>
      <c r="R1907" s="9">
        <f t="shared" si="66"/>
        <v>4.6462942196921486E-3</v>
      </c>
    </row>
    <row r="1908" spans="1:18" x14ac:dyDescent="0.2">
      <c r="A1908" s="2">
        <v>42622</v>
      </c>
      <c r="B1908" s="1" t="s">
        <v>56</v>
      </c>
      <c r="C1908" s="1" t="s">
        <v>57</v>
      </c>
      <c r="D1908" s="2">
        <v>42737</v>
      </c>
      <c r="E1908" s="2">
        <f t="shared" si="65"/>
        <v>42767</v>
      </c>
      <c r="F1908" s="1" t="s">
        <v>58</v>
      </c>
      <c r="G1908" s="1" t="s">
        <v>16</v>
      </c>
      <c r="H1908" s="1">
        <v>-6.75</v>
      </c>
      <c r="I1908" s="1">
        <v>3.61</v>
      </c>
      <c r="J1908" s="1">
        <v>0</v>
      </c>
      <c r="K1908" s="2">
        <v>42980</v>
      </c>
      <c r="L1908" s="1">
        <v>3716</v>
      </c>
      <c r="M1908" s="1">
        <v>4.0999999999999996</v>
      </c>
      <c r="N1908" s="1">
        <v>-0.76088</v>
      </c>
      <c r="O1908" s="3">
        <f>VLOOKUP(D1908,underlying!$D$40:$H$75,5,FALSE)</f>
        <v>-3.25</v>
      </c>
      <c r="P1908" s="4">
        <f t="shared" si="64"/>
        <v>42775</v>
      </c>
      <c r="Q1908" s="7">
        <f>IF(G1908="C",NormalCallSprd(O1908,H1908,M1908,(P1908-A1908)/365), NormalPutSprd(O1908,H1908,M1908,(P1908-A1908)/365))</f>
        <v>3.6161740036656544</v>
      </c>
      <c r="R1908" s="9">
        <f t="shared" si="66"/>
        <v>6.1740036656545705E-3</v>
      </c>
    </row>
    <row r="1909" spans="1:18" x14ac:dyDescent="0.2">
      <c r="A1909" s="2">
        <v>42622</v>
      </c>
      <c r="B1909" s="1" t="s">
        <v>56</v>
      </c>
      <c r="C1909" s="1" t="s">
        <v>57</v>
      </c>
      <c r="D1909" s="2">
        <v>42737</v>
      </c>
      <c r="E1909" s="2">
        <f t="shared" si="65"/>
        <v>42767</v>
      </c>
      <c r="F1909" s="1" t="s">
        <v>58</v>
      </c>
      <c r="G1909" s="1" t="s">
        <v>18</v>
      </c>
      <c r="H1909" s="1">
        <v>-6.75</v>
      </c>
      <c r="I1909" s="1">
        <v>0.12</v>
      </c>
      <c r="J1909" s="1">
        <v>0</v>
      </c>
      <c r="K1909" s="2">
        <v>42980</v>
      </c>
      <c r="L1909" s="1">
        <v>3716</v>
      </c>
      <c r="M1909" s="1">
        <v>4.0999999999999996</v>
      </c>
      <c r="N1909" s="1">
        <v>-0.72926000000000002</v>
      </c>
      <c r="O1909" s="3">
        <f>VLOOKUP(D1909,underlying!$D$40:$H$75,5,FALSE)</f>
        <v>-3.25</v>
      </c>
      <c r="P1909" s="4">
        <f t="shared" si="64"/>
        <v>42775</v>
      </c>
      <c r="Q1909" s="7">
        <f>IF(G1909="C",NormalCallSprd(O1909,H1909,M1909,(P1909-A1909)/365), NormalPutSprd(O1909,H1909,M1909,(P1909-A1909)/365))</f>
        <v>0.11617400366565449</v>
      </c>
      <c r="R1909" s="9">
        <f t="shared" si="66"/>
        <v>3.8259963343455078E-3</v>
      </c>
    </row>
    <row r="1910" spans="1:18" x14ac:dyDescent="0.2">
      <c r="A1910" s="2">
        <v>42622</v>
      </c>
      <c r="B1910" s="1" t="s">
        <v>56</v>
      </c>
      <c r="C1910" s="1" t="s">
        <v>57</v>
      </c>
      <c r="D1910" s="2">
        <v>42737</v>
      </c>
      <c r="E1910" s="2">
        <f t="shared" si="65"/>
        <v>42767</v>
      </c>
      <c r="F1910" s="1" t="s">
        <v>58</v>
      </c>
      <c r="G1910" s="1" t="s">
        <v>16</v>
      </c>
      <c r="H1910" s="1">
        <v>-6.5</v>
      </c>
      <c r="I1910" s="1">
        <v>3.38</v>
      </c>
      <c r="J1910" s="1">
        <v>-0.01</v>
      </c>
      <c r="K1910" s="2">
        <v>42980</v>
      </c>
      <c r="L1910" s="1">
        <v>3716</v>
      </c>
      <c r="M1910" s="1">
        <v>4.0999999999999996</v>
      </c>
      <c r="N1910" s="1">
        <v>-0.69362999999999997</v>
      </c>
      <c r="O1910" s="3">
        <f>VLOOKUP(D1910,underlying!$D$40:$H$75,5,FALSE)</f>
        <v>-3.25</v>
      </c>
      <c r="P1910" s="4">
        <f t="shared" si="64"/>
        <v>42775</v>
      </c>
      <c r="Q1910" s="7">
        <f>IF(G1910="C",NormalCallSprd(O1910,H1910,M1910,(P1910-A1910)/365), NormalPutSprd(O1910,H1910,M1910,(P1910-A1910)/365))</f>
        <v>3.3916420856913292</v>
      </c>
      <c r="R1910" s="9">
        <f t="shared" si="66"/>
        <v>1.1642085691329296E-2</v>
      </c>
    </row>
    <row r="1911" spans="1:18" x14ac:dyDescent="0.2">
      <c r="A1911" s="2">
        <v>42622</v>
      </c>
      <c r="B1911" s="1" t="s">
        <v>56</v>
      </c>
      <c r="C1911" s="1" t="s">
        <v>57</v>
      </c>
      <c r="D1911" s="2">
        <v>42737</v>
      </c>
      <c r="E1911" s="2">
        <f t="shared" si="65"/>
        <v>42767</v>
      </c>
      <c r="F1911" s="1" t="s">
        <v>58</v>
      </c>
      <c r="G1911" s="1" t="s">
        <v>18</v>
      </c>
      <c r="H1911" s="1">
        <v>-6.5</v>
      </c>
      <c r="I1911" s="1">
        <v>0.14000000000000001</v>
      </c>
      <c r="J1911" s="1">
        <v>0</v>
      </c>
      <c r="K1911" s="2">
        <v>42980</v>
      </c>
      <c r="L1911" s="1">
        <v>3716</v>
      </c>
      <c r="M1911" s="1">
        <v>4.0999999999999996</v>
      </c>
      <c r="N1911" s="1">
        <v>-0.65781999999999996</v>
      </c>
      <c r="O1911" s="3">
        <f>VLOOKUP(D1911,underlying!$D$40:$H$75,5,FALSE)</f>
        <v>-3.25</v>
      </c>
      <c r="P1911" s="4">
        <f t="shared" si="64"/>
        <v>42775</v>
      </c>
      <c r="Q1911" s="7">
        <f>IF(G1911="C",NormalCallSprd(O1911,H1911,M1911,(P1911-A1911)/365), NormalPutSprd(O1911,H1911,M1911,(P1911-A1911)/365))</f>
        <v>0.14164208569132933</v>
      </c>
      <c r="R1911" s="9">
        <f t="shared" si="66"/>
        <v>1.6420856913293147E-3</v>
      </c>
    </row>
    <row r="1912" spans="1:18" x14ac:dyDescent="0.2">
      <c r="A1912" s="2">
        <v>42622</v>
      </c>
      <c r="B1912" s="1" t="s">
        <v>56</v>
      </c>
      <c r="C1912" s="1" t="s">
        <v>57</v>
      </c>
      <c r="D1912" s="2">
        <v>42737</v>
      </c>
      <c r="E1912" s="2">
        <f t="shared" si="65"/>
        <v>42767</v>
      </c>
      <c r="F1912" s="1" t="s">
        <v>58</v>
      </c>
      <c r="G1912" s="1" t="s">
        <v>16</v>
      </c>
      <c r="H1912" s="1">
        <v>-6.25</v>
      </c>
      <c r="I1912" s="1">
        <v>3.16</v>
      </c>
      <c r="J1912" s="1">
        <v>-0.01</v>
      </c>
      <c r="K1912" s="2">
        <v>42980</v>
      </c>
      <c r="L1912" s="1">
        <v>3716</v>
      </c>
      <c r="M1912" s="1">
        <v>4.0999999999999996</v>
      </c>
      <c r="N1912" s="1">
        <v>-0.61931999999999998</v>
      </c>
      <c r="O1912" s="3">
        <f>VLOOKUP(D1912,underlying!$D$40:$H$75,5,FALSE)</f>
        <v>-3.25</v>
      </c>
      <c r="P1912" s="4">
        <f t="shared" si="64"/>
        <v>42775</v>
      </c>
      <c r="Q1912" s="7">
        <f>IF(G1912="C",NormalCallSprd(O1912,H1912,M1912,(P1912-A1912)/365), NormalPutSprd(O1912,H1912,M1912,(P1912-A1912)/365))</f>
        <v>3.17155099537151</v>
      </c>
      <c r="R1912" s="9">
        <f t="shared" si="66"/>
        <v>1.1550995371509831E-2</v>
      </c>
    </row>
    <row r="1913" spans="1:18" x14ac:dyDescent="0.2">
      <c r="A1913" s="2">
        <v>42622</v>
      </c>
      <c r="B1913" s="1" t="s">
        <v>56</v>
      </c>
      <c r="C1913" s="1" t="s">
        <v>57</v>
      </c>
      <c r="D1913" s="2">
        <v>42737</v>
      </c>
      <c r="E1913" s="2">
        <f t="shared" si="65"/>
        <v>42767</v>
      </c>
      <c r="F1913" s="1" t="s">
        <v>58</v>
      </c>
      <c r="G1913" s="1" t="s">
        <v>18</v>
      </c>
      <c r="H1913" s="1">
        <v>-6.25</v>
      </c>
      <c r="I1913" s="1">
        <v>0.17</v>
      </c>
      <c r="J1913" s="1">
        <v>0</v>
      </c>
      <c r="K1913" s="2">
        <v>42980</v>
      </c>
      <c r="L1913" s="1">
        <v>3716</v>
      </c>
      <c r="M1913" s="1">
        <v>4.0999999999999996</v>
      </c>
      <c r="N1913" s="1">
        <v>-0.57996999999999999</v>
      </c>
      <c r="O1913" s="3">
        <f>VLOOKUP(D1913,underlying!$D$40:$H$75,5,FALSE)</f>
        <v>-3.25</v>
      </c>
      <c r="P1913" s="4">
        <f t="shared" ref="P1913:P1976" si="67">DATE(YEAR(K1913),DAY(K1913),MONTH(K1913))</f>
        <v>42775</v>
      </c>
      <c r="Q1913" s="7">
        <f>IF(G1913="C",NormalCallSprd(O1913,H1913,M1913,(P1913-A1913)/365), NormalPutSprd(O1913,H1913,M1913,(P1913-A1913)/365))</f>
        <v>0.17155099537151022</v>
      </c>
      <c r="R1913" s="9">
        <f t="shared" si="66"/>
        <v>1.5509953715102109E-3</v>
      </c>
    </row>
    <row r="1914" spans="1:18" x14ac:dyDescent="0.2">
      <c r="A1914" s="2">
        <v>42622</v>
      </c>
      <c r="B1914" s="1" t="s">
        <v>56</v>
      </c>
      <c r="C1914" s="1" t="s">
        <v>57</v>
      </c>
      <c r="D1914" s="2">
        <v>42737</v>
      </c>
      <c r="E1914" s="2">
        <f t="shared" si="65"/>
        <v>42767</v>
      </c>
      <c r="F1914" s="1" t="s">
        <v>58</v>
      </c>
      <c r="G1914" s="1" t="s">
        <v>16</v>
      </c>
      <c r="H1914" s="1">
        <v>-6</v>
      </c>
      <c r="I1914" s="1">
        <v>2.95</v>
      </c>
      <c r="J1914" s="1">
        <v>0</v>
      </c>
      <c r="K1914" s="2">
        <v>42980</v>
      </c>
      <c r="L1914" s="1">
        <v>3716</v>
      </c>
      <c r="M1914" s="1">
        <v>4.0999999999999996</v>
      </c>
      <c r="N1914" s="1">
        <v>-0.53969</v>
      </c>
      <c r="O1914" s="3">
        <f>VLOOKUP(D1914,underlying!$D$40:$H$75,5,FALSE)</f>
        <v>-3.25</v>
      </c>
      <c r="P1914" s="4">
        <f t="shared" si="67"/>
        <v>42775</v>
      </c>
      <c r="Q1914" s="7">
        <f>IF(G1914="C",NormalCallSprd(O1914,H1914,M1914,(P1914-A1914)/365), NormalPutSprd(O1914,H1914,M1914,(P1914-A1914)/365))</f>
        <v>2.9564206183725061</v>
      </c>
      <c r="R1914" s="9">
        <f t="shared" si="66"/>
        <v>6.4206183725059596E-3</v>
      </c>
    </row>
    <row r="1915" spans="1:18" x14ac:dyDescent="0.2">
      <c r="A1915" s="2">
        <v>42622</v>
      </c>
      <c r="B1915" s="1" t="s">
        <v>56</v>
      </c>
      <c r="C1915" s="1" t="s">
        <v>57</v>
      </c>
      <c r="D1915" s="2">
        <v>42737</v>
      </c>
      <c r="E1915" s="2">
        <f t="shared" si="65"/>
        <v>42767</v>
      </c>
      <c r="F1915" s="1" t="s">
        <v>58</v>
      </c>
      <c r="G1915" s="1" t="s">
        <v>18</v>
      </c>
      <c r="H1915" s="1">
        <v>-6</v>
      </c>
      <c r="I1915" s="1">
        <v>0.21</v>
      </c>
      <c r="J1915" s="1">
        <v>0</v>
      </c>
      <c r="K1915" s="2">
        <v>42980</v>
      </c>
      <c r="L1915" s="1">
        <v>3716</v>
      </c>
      <c r="M1915" s="1">
        <v>4.0999999999999996</v>
      </c>
      <c r="N1915" s="1">
        <v>-0.49918000000000001</v>
      </c>
      <c r="O1915" s="3">
        <f>VLOOKUP(D1915,underlying!$D$40:$H$75,5,FALSE)</f>
        <v>-3.25</v>
      </c>
      <c r="P1915" s="4">
        <f t="shared" si="67"/>
        <v>42775</v>
      </c>
      <c r="Q1915" s="7">
        <f>IF(G1915="C",NormalCallSprd(O1915,H1915,M1915,(P1915-A1915)/365), NormalPutSprd(O1915,H1915,M1915,(P1915-A1915)/365))</f>
        <v>0.20642061837250605</v>
      </c>
      <c r="R1915" s="9">
        <f t="shared" si="66"/>
        <v>3.5793816274939383E-3</v>
      </c>
    </row>
    <row r="1916" spans="1:18" x14ac:dyDescent="0.2">
      <c r="A1916" s="2">
        <v>42622</v>
      </c>
      <c r="B1916" s="1" t="s">
        <v>56</v>
      </c>
      <c r="C1916" s="1" t="s">
        <v>57</v>
      </c>
      <c r="D1916" s="2">
        <v>42737</v>
      </c>
      <c r="E1916" s="2">
        <f t="shared" si="65"/>
        <v>42767</v>
      </c>
      <c r="F1916" s="1" t="s">
        <v>58</v>
      </c>
      <c r="G1916" s="1" t="s">
        <v>16</v>
      </c>
      <c r="H1916" s="1">
        <v>-5.75</v>
      </c>
      <c r="I1916" s="1">
        <v>2.74</v>
      </c>
      <c r="J1916" s="1">
        <v>0</v>
      </c>
      <c r="K1916" s="2">
        <v>42980</v>
      </c>
      <c r="L1916" s="1">
        <v>3716</v>
      </c>
      <c r="M1916" s="1">
        <v>4.0999999999999996</v>
      </c>
      <c r="N1916" s="1">
        <v>-0.45867000000000002</v>
      </c>
      <c r="O1916" s="3">
        <f>VLOOKUP(D1916,underlying!$D$40:$H$75,5,FALSE)</f>
        <v>-3.25</v>
      </c>
      <c r="P1916" s="4">
        <f t="shared" si="67"/>
        <v>42775</v>
      </c>
      <c r="Q1916" s="7">
        <f>IF(G1916="C",NormalCallSprd(O1916,H1916,M1916,(P1916-A1916)/365), NormalPutSprd(O1916,H1916,M1916,(P1916-A1916)/365))</f>
        <v>2.7467828407349408</v>
      </c>
      <c r="R1916" s="9">
        <f t="shared" si="66"/>
        <v>6.7828407349406206E-3</v>
      </c>
    </row>
    <row r="1917" spans="1:18" x14ac:dyDescent="0.2">
      <c r="A1917" s="2">
        <v>42622</v>
      </c>
      <c r="B1917" s="1" t="s">
        <v>56</v>
      </c>
      <c r="C1917" s="1" t="s">
        <v>57</v>
      </c>
      <c r="D1917" s="2">
        <v>42737</v>
      </c>
      <c r="E1917" s="2">
        <f t="shared" si="65"/>
        <v>42767</v>
      </c>
      <c r="F1917" s="1" t="s">
        <v>58</v>
      </c>
      <c r="G1917" s="1" t="s">
        <v>18</v>
      </c>
      <c r="H1917" s="1">
        <v>-5.75</v>
      </c>
      <c r="I1917" s="1">
        <v>0.25</v>
      </c>
      <c r="J1917" s="1">
        <v>0</v>
      </c>
      <c r="K1917" s="2">
        <v>42980</v>
      </c>
      <c r="L1917" s="1">
        <v>3716</v>
      </c>
      <c r="M1917" s="1">
        <v>4.0999999999999996</v>
      </c>
      <c r="N1917" s="1">
        <v>-0.41838999999999998</v>
      </c>
      <c r="O1917" s="3">
        <f>VLOOKUP(D1917,underlying!$D$40:$H$75,5,FALSE)</f>
        <v>-3.25</v>
      </c>
      <c r="P1917" s="4">
        <f t="shared" si="67"/>
        <v>42775</v>
      </c>
      <c r="Q1917" s="7">
        <f>IF(G1917="C",NormalCallSprd(O1917,H1917,M1917,(P1917-A1917)/365), NormalPutSprd(O1917,H1917,M1917,(P1917-A1917)/365))</f>
        <v>0.24678284073494081</v>
      </c>
      <c r="R1917" s="9">
        <f t="shared" si="66"/>
        <v>3.217159265059194E-3</v>
      </c>
    </row>
    <row r="1918" spans="1:18" x14ac:dyDescent="0.2">
      <c r="A1918" s="2">
        <v>42622</v>
      </c>
      <c r="B1918" s="1" t="s">
        <v>56</v>
      </c>
      <c r="C1918" s="1" t="s">
        <v>57</v>
      </c>
      <c r="D1918" s="2">
        <v>42737</v>
      </c>
      <c r="E1918" s="2">
        <f t="shared" si="65"/>
        <v>42767</v>
      </c>
      <c r="F1918" s="1" t="s">
        <v>58</v>
      </c>
      <c r="G1918" s="1" t="s">
        <v>16</v>
      </c>
      <c r="H1918" s="1">
        <v>-5.5</v>
      </c>
      <c r="I1918" s="1">
        <v>2.54</v>
      </c>
      <c r="J1918" s="1">
        <v>0</v>
      </c>
      <c r="K1918" s="2">
        <v>42980</v>
      </c>
      <c r="L1918" s="1">
        <v>3716</v>
      </c>
      <c r="M1918" s="1">
        <v>4.0999999999999996</v>
      </c>
      <c r="N1918" s="1">
        <v>-0.37903999999999999</v>
      </c>
      <c r="O1918" s="3">
        <f>VLOOKUP(D1918,underlying!$D$40:$H$75,5,FALSE)</f>
        <v>-3.25</v>
      </c>
      <c r="P1918" s="4">
        <f t="shared" si="67"/>
        <v>42775</v>
      </c>
      <c r="Q1918" s="7">
        <f>IF(G1918="C",NormalCallSprd(O1918,H1918,M1918,(P1918-A1918)/365), NormalPutSprd(O1918,H1918,M1918,(P1918-A1918)/365))</f>
        <v>2.5431729527825135</v>
      </c>
      <c r="R1918" s="9">
        <f t="shared" si="66"/>
        <v>3.1729527825135051E-3</v>
      </c>
    </row>
    <row r="1919" spans="1:18" x14ac:dyDescent="0.2">
      <c r="A1919" s="2">
        <v>42622</v>
      </c>
      <c r="B1919" s="1" t="s">
        <v>56</v>
      </c>
      <c r="C1919" s="1" t="s">
        <v>57</v>
      </c>
      <c r="D1919" s="2">
        <v>42737</v>
      </c>
      <c r="E1919" s="2">
        <f t="shared" si="65"/>
        <v>42767</v>
      </c>
      <c r="F1919" s="1" t="s">
        <v>58</v>
      </c>
      <c r="G1919" s="1" t="s">
        <v>18</v>
      </c>
      <c r="H1919" s="1">
        <v>-5.5</v>
      </c>
      <c r="I1919" s="1">
        <v>0.28999999999999998</v>
      </c>
      <c r="J1919" s="1">
        <v>0</v>
      </c>
      <c r="K1919" s="2">
        <v>42980</v>
      </c>
      <c r="L1919" s="1">
        <v>3716</v>
      </c>
      <c r="M1919" s="1">
        <v>4.0999999999999996</v>
      </c>
      <c r="N1919" s="1">
        <v>-0.34054000000000001</v>
      </c>
      <c r="O1919" s="3">
        <f>VLOOKUP(D1919,underlying!$D$40:$H$75,5,FALSE)</f>
        <v>-3.25</v>
      </c>
      <c r="P1919" s="4">
        <f t="shared" si="67"/>
        <v>42775</v>
      </c>
      <c r="Q1919" s="7">
        <f>IF(G1919="C",NormalCallSprd(O1919,H1919,M1919,(P1919-A1919)/365), NormalPutSprd(O1919,H1919,M1919,(P1919-A1919)/365))</f>
        <v>0.2931729527825136</v>
      </c>
      <c r="R1919" s="9">
        <f t="shared" si="66"/>
        <v>3.1729527825136161E-3</v>
      </c>
    </row>
    <row r="1920" spans="1:18" x14ac:dyDescent="0.2">
      <c r="A1920" s="2">
        <v>42622</v>
      </c>
      <c r="B1920" s="1" t="s">
        <v>56</v>
      </c>
      <c r="C1920" s="1" t="s">
        <v>57</v>
      </c>
      <c r="D1920" s="2">
        <v>42737</v>
      </c>
      <c r="E1920" s="2">
        <f t="shared" si="65"/>
        <v>42767</v>
      </c>
      <c r="F1920" s="1" t="s">
        <v>58</v>
      </c>
      <c r="G1920" s="1" t="s">
        <v>16</v>
      </c>
      <c r="H1920" s="1">
        <v>-5.25</v>
      </c>
      <c r="I1920" s="1">
        <v>2.34</v>
      </c>
      <c r="J1920" s="1">
        <v>0</v>
      </c>
      <c r="K1920" s="2">
        <v>42980</v>
      </c>
      <c r="L1920" s="1">
        <v>3716</v>
      </c>
      <c r="M1920" s="1">
        <v>4.09</v>
      </c>
      <c r="N1920" s="1">
        <v>-0.30431000000000002</v>
      </c>
      <c r="O1920" s="3">
        <f>VLOOKUP(D1920,underlying!$D$40:$H$75,5,FALSE)</f>
        <v>-3.25</v>
      </c>
      <c r="P1920" s="4">
        <f t="shared" si="67"/>
        <v>42775</v>
      </c>
      <c r="Q1920" s="7">
        <f>IF(G1920="C",NormalCallSprd(O1920,H1920,M1920,(P1920-A1920)/365), NormalPutSprd(O1920,H1920,M1920,(P1920-A1920)/365))</f>
        <v>2.344176777349789</v>
      </c>
      <c r="R1920" s="9">
        <f t="shared" si="66"/>
        <v>4.1767773497891625E-3</v>
      </c>
    </row>
    <row r="1921" spans="1:18" x14ac:dyDescent="0.2">
      <c r="A1921" s="2">
        <v>42622</v>
      </c>
      <c r="B1921" s="1" t="s">
        <v>56</v>
      </c>
      <c r="C1921" s="1" t="s">
        <v>57</v>
      </c>
      <c r="D1921" s="2">
        <v>42737</v>
      </c>
      <c r="E1921" s="2">
        <f t="shared" si="65"/>
        <v>42767</v>
      </c>
      <c r="F1921" s="1" t="s">
        <v>58</v>
      </c>
      <c r="G1921" s="1" t="s">
        <v>18</v>
      </c>
      <c r="H1921" s="1">
        <v>-5.25</v>
      </c>
      <c r="I1921" s="1">
        <v>0.34</v>
      </c>
      <c r="J1921" s="1">
        <v>-0.01</v>
      </c>
      <c r="K1921" s="2">
        <v>42980</v>
      </c>
      <c r="L1921" s="1">
        <v>3716</v>
      </c>
      <c r="M1921" s="1">
        <v>4.09</v>
      </c>
      <c r="N1921" s="1">
        <v>-0.26957999999999999</v>
      </c>
      <c r="O1921" s="3">
        <f>VLOOKUP(D1921,underlying!$D$40:$H$75,5,FALSE)</f>
        <v>-3.25</v>
      </c>
      <c r="P1921" s="4">
        <f t="shared" si="67"/>
        <v>42775</v>
      </c>
      <c r="Q1921" s="7">
        <f>IF(G1921="C",NormalCallSprd(O1921,H1921,M1921,(P1921-A1921)/365), NormalPutSprd(O1921,H1921,M1921,(P1921-A1921)/365))</f>
        <v>0.34417677734978896</v>
      </c>
      <c r="R1921" s="9">
        <f t="shared" si="66"/>
        <v>4.1767773497889404E-3</v>
      </c>
    </row>
    <row r="1922" spans="1:18" x14ac:dyDescent="0.2">
      <c r="A1922" s="2">
        <v>42622</v>
      </c>
      <c r="B1922" s="1" t="s">
        <v>56</v>
      </c>
      <c r="C1922" s="1" t="s">
        <v>57</v>
      </c>
      <c r="D1922" s="2">
        <v>42737</v>
      </c>
      <c r="E1922" s="2">
        <f t="shared" ref="E1922:E1985" si="68">DATE(YEAR(D1922),DAY(D1922),MONTH(D1922))</f>
        <v>42767</v>
      </c>
      <c r="F1922" s="1" t="s">
        <v>58</v>
      </c>
      <c r="G1922" s="1" t="s">
        <v>16</v>
      </c>
      <c r="H1922" s="1">
        <v>-5</v>
      </c>
      <c r="I1922" s="1">
        <v>2.15</v>
      </c>
      <c r="J1922" s="1">
        <v>-0.01</v>
      </c>
      <c r="K1922" s="2">
        <v>42980</v>
      </c>
      <c r="L1922" s="1">
        <v>3716</v>
      </c>
      <c r="M1922" s="1">
        <v>4.1100000000000003</v>
      </c>
      <c r="N1922" s="1">
        <v>-0.23748</v>
      </c>
      <c r="O1922" s="3">
        <f>VLOOKUP(D1922,underlying!$D$40:$H$75,5,FALSE)</f>
        <v>-3.25</v>
      </c>
      <c r="P1922" s="4">
        <f t="shared" si="67"/>
        <v>42775</v>
      </c>
      <c r="Q1922" s="7">
        <f>IF(G1922="C",NormalCallSprd(O1922,H1922,M1922,(P1922-A1922)/365), NormalPutSprd(O1922,H1922,M1922,(P1922-A1922)/365))</f>
        <v>2.1582164227685556</v>
      </c>
      <c r="R1922" s="9">
        <f t="shared" si="66"/>
        <v>8.2164227685557201E-3</v>
      </c>
    </row>
    <row r="1923" spans="1:18" x14ac:dyDescent="0.2">
      <c r="A1923" s="2">
        <v>42622</v>
      </c>
      <c r="B1923" s="1" t="s">
        <v>56</v>
      </c>
      <c r="C1923" s="1" t="s">
        <v>57</v>
      </c>
      <c r="D1923" s="2">
        <v>42737</v>
      </c>
      <c r="E1923" s="2">
        <f t="shared" si="68"/>
        <v>42767</v>
      </c>
      <c r="F1923" s="1" t="s">
        <v>58</v>
      </c>
      <c r="G1923" s="1" t="s">
        <v>18</v>
      </c>
      <c r="H1923" s="1">
        <v>-5</v>
      </c>
      <c r="I1923" s="1">
        <v>0.41</v>
      </c>
      <c r="J1923" s="1">
        <v>0</v>
      </c>
      <c r="K1923" s="2">
        <v>42980</v>
      </c>
      <c r="L1923" s="1">
        <v>3716</v>
      </c>
      <c r="M1923" s="1">
        <v>4.1100000000000003</v>
      </c>
      <c r="N1923" s="1">
        <v>-0.20718</v>
      </c>
      <c r="O1923" s="3">
        <f>VLOOKUP(D1923,underlying!$D$40:$H$75,5,FALSE)</f>
        <v>-3.25</v>
      </c>
      <c r="P1923" s="4">
        <f t="shared" si="67"/>
        <v>42775</v>
      </c>
      <c r="Q1923" s="7">
        <f>IF(G1923="C",NormalCallSprd(O1923,H1923,M1923,(P1923-A1923)/365), NormalPutSprd(O1923,H1923,M1923,(P1923-A1923)/365))</f>
        <v>0.40821642276855569</v>
      </c>
      <c r="R1923" s="9">
        <f t="shared" ref="R1923:R1986" si="69">ABS(Q1923-I1923)</f>
        <v>1.7835772314442888E-3</v>
      </c>
    </row>
    <row r="1924" spans="1:18" x14ac:dyDescent="0.2">
      <c r="A1924" s="2">
        <v>42622</v>
      </c>
      <c r="B1924" s="1" t="s">
        <v>56</v>
      </c>
      <c r="C1924" s="1" t="s">
        <v>57</v>
      </c>
      <c r="D1924" s="2">
        <v>42737</v>
      </c>
      <c r="E1924" s="2">
        <f t="shared" si="68"/>
        <v>42767</v>
      </c>
      <c r="F1924" s="1" t="s">
        <v>58</v>
      </c>
      <c r="G1924" s="1" t="s">
        <v>16</v>
      </c>
      <c r="H1924" s="1">
        <v>-4.75</v>
      </c>
      <c r="I1924" s="1">
        <v>1.97</v>
      </c>
      <c r="J1924" s="1">
        <v>0</v>
      </c>
      <c r="K1924" s="2">
        <v>42980</v>
      </c>
      <c r="L1924" s="1">
        <v>3716</v>
      </c>
      <c r="M1924" s="1">
        <v>4.09</v>
      </c>
      <c r="N1924" s="1">
        <v>-0.17929999999999999</v>
      </c>
      <c r="O1924" s="3">
        <f>VLOOKUP(D1924,underlying!$D$40:$H$75,5,FALSE)</f>
        <v>-3.25</v>
      </c>
      <c r="P1924" s="4">
        <f t="shared" si="67"/>
        <v>42775</v>
      </c>
      <c r="Q1924" s="7">
        <f>IF(G1924="C",NormalCallSprd(O1924,H1924,M1924,(P1924-A1924)/365), NormalPutSprd(O1924,H1924,M1924,(P1924-A1924)/365))</f>
        <v>1.9715080738673334</v>
      </c>
      <c r="R1924" s="9">
        <f t="shared" si="69"/>
        <v>1.508073867333426E-3</v>
      </c>
    </row>
    <row r="1925" spans="1:18" x14ac:dyDescent="0.2">
      <c r="A1925" s="2">
        <v>42622</v>
      </c>
      <c r="B1925" s="1" t="s">
        <v>56</v>
      </c>
      <c r="C1925" s="1" t="s">
        <v>57</v>
      </c>
      <c r="D1925" s="2">
        <v>42737</v>
      </c>
      <c r="E1925" s="2">
        <f t="shared" si="68"/>
        <v>42767</v>
      </c>
      <c r="F1925" s="1" t="s">
        <v>58</v>
      </c>
      <c r="G1925" s="1" t="s">
        <v>18</v>
      </c>
      <c r="H1925" s="1">
        <v>-4.75</v>
      </c>
      <c r="I1925" s="1">
        <v>0.47</v>
      </c>
      <c r="J1925" s="1">
        <v>0</v>
      </c>
      <c r="K1925" s="2">
        <v>42980</v>
      </c>
      <c r="L1925" s="1">
        <v>3716</v>
      </c>
      <c r="M1925" s="1">
        <v>4.09</v>
      </c>
      <c r="N1925" s="1">
        <v>-0.15389</v>
      </c>
      <c r="O1925" s="3">
        <f>VLOOKUP(D1925,underlying!$D$40:$H$75,5,FALSE)</f>
        <v>-3.25</v>
      </c>
      <c r="P1925" s="4">
        <f t="shared" si="67"/>
        <v>42775</v>
      </c>
      <c r="Q1925" s="7">
        <f>IF(G1925="C",NormalCallSprd(O1925,H1925,M1925,(P1925-A1925)/365), NormalPutSprd(O1925,H1925,M1925,(P1925-A1925)/365))</f>
        <v>0.47150807386733334</v>
      </c>
      <c r="R1925" s="9">
        <f t="shared" si="69"/>
        <v>1.5080738673333705E-3</v>
      </c>
    </row>
    <row r="1926" spans="1:18" x14ac:dyDescent="0.2">
      <c r="A1926" s="2">
        <v>42622</v>
      </c>
      <c r="B1926" s="1" t="s">
        <v>56</v>
      </c>
      <c r="C1926" s="1" t="s">
        <v>57</v>
      </c>
      <c r="D1926" s="2">
        <v>42737</v>
      </c>
      <c r="E1926" s="2">
        <f t="shared" si="68"/>
        <v>42767</v>
      </c>
      <c r="F1926" s="1" t="s">
        <v>58</v>
      </c>
      <c r="G1926" s="1" t="s">
        <v>16</v>
      </c>
      <c r="H1926" s="1">
        <v>-4.5</v>
      </c>
      <c r="I1926" s="1">
        <v>1.8</v>
      </c>
      <c r="J1926" s="1">
        <v>0</v>
      </c>
      <c r="K1926" s="2">
        <v>42980</v>
      </c>
      <c r="L1926" s="1">
        <v>3716</v>
      </c>
      <c r="M1926" s="1">
        <v>4.1100000000000003</v>
      </c>
      <c r="N1926" s="1">
        <v>-0.13099</v>
      </c>
      <c r="O1926" s="3">
        <f>VLOOKUP(D1926,underlying!$D$40:$H$75,5,FALSE)</f>
        <v>-3.25</v>
      </c>
      <c r="P1926" s="4">
        <f t="shared" si="67"/>
        <v>42775</v>
      </c>
      <c r="Q1926" s="7">
        <f>IF(G1926="C",NormalCallSprd(O1926,H1926,M1926,(P1926-A1926)/365), NormalPutSprd(O1926,H1926,M1926,(P1926-A1926)/365))</f>
        <v>1.8015964830397559</v>
      </c>
      <c r="R1926" s="9">
        <f t="shared" si="69"/>
        <v>1.5964830397559027E-3</v>
      </c>
    </row>
    <row r="1927" spans="1:18" x14ac:dyDescent="0.2">
      <c r="A1927" s="2">
        <v>42622</v>
      </c>
      <c r="B1927" s="1" t="s">
        <v>56</v>
      </c>
      <c r="C1927" s="1" t="s">
        <v>57</v>
      </c>
      <c r="D1927" s="2">
        <v>42737</v>
      </c>
      <c r="E1927" s="2">
        <f t="shared" si="68"/>
        <v>42767</v>
      </c>
      <c r="F1927" s="1" t="s">
        <v>58</v>
      </c>
      <c r="G1927" s="1" t="s">
        <v>18</v>
      </c>
      <c r="H1927" s="1">
        <v>-4.5</v>
      </c>
      <c r="I1927" s="1">
        <v>0.55000000000000004</v>
      </c>
      <c r="J1927" s="1">
        <v>0</v>
      </c>
      <c r="K1927" s="2">
        <v>42980</v>
      </c>
      <c r="L1927" s="1">
        <v>3716</v>
      </c>
      <c r="M1927" s="1">
        <v>4.1100000000000003</v>
      </c>
      <c r="N1927" s="1">
        <v>-0.11056000000000001</v>
      </c>
      <c r="O1927" s="3">
        <f>VLOOKUP(D1927,underlying!$D$40:$H$75,5,FALSE)</f>
        <v>-3.25</v>
      </c>
      <c r="P1927" s="4">
        <f t="shared" si="67"/>
        <v>42775</v>
      </c>
      <c r="Q1927" s="7">
        <f>IF(G1927="C",NormalCallSprd(O1927,H1927,M1927,(P1927-A1927)/365), NormalPutSprd(O1927,H1927,M1927,(P1927-A1927)/365))</f>
        <v>0.55159648303975606</v>
      </c>
      <c r="R1927" s="9">
        <f t="shared" si="69"/>
        <v>1.5964830397560137E-3</v>
      </c>
    </row>
    <row r="1928" spans="1:18" x14ac:dyDescent="0.2">
      <c r="A1928" s="2">
        <v>42622</v>
      </c>
      <c r="B1928" s="1" t="s">
        <v>56</v>
      </c>
      <c r="C1928" s="1" t="s">
        <v>57</v>
      </c>
      <c r="D1928" s="2">
        <v>42737</v>
      </c>
      <c r="E1928" s="2">
        <f t="shared" si="68"/>
        <v>42767</v>
      </c>
      <c r="F1928" s="1" t="s">
        <v>58</v>
      </c>
      <c r="G1928" s="1" t="s">
        <v>16</v>
      </c>
      <c r="H1928" s="1">
        <v>-4.25</v>
      </c>
      <c r="I1928" s="1">
        <v>1.63</v>
      </c>
      <c r="J1928" s="1">
        <v>0</v>
      </c>
      <c r="K1928" s="2">
        <v>42980</v>
      </c>
      <c r="L1928" s="1">
        <v>3716</v>
      </c>
      <c r="M1928" s="1">
        <v>4.09</v>
      </c>
      <c r="N1928" s="1">
        <v>-9.2520000000000005E-2</v>
      </c>
      <c r="O1928" s="3">
        <f>VLOOKUP(D1928,underlying!$D$40:$H$75,5,FALSE)</f>
        <v>-3.25</v>
      </c>
      <c r="P1928" s="4">
        <f t="shared" si="67"/>
        <v>42775</v>
      </c>
      <c r="Q1928" s="7">
        <f>IF(G1928="C",NormalCallSprd(O1928,H1928,M1928,(P1928-A1928)/365), NormalPutSprd(O1928,H1928,M1928,(P1928-A1928)/365))</f>
        <v>1.6308559374407767</v>
      </c>
      <c r="R1928" s="9">
        <f t="shared" si="69"/>
        <v>8.5593744077683276E-4</v>
      </c>
    </row>
    <row r="1929" spans="1:18" x14ac:dyDescent="0.2">
      <c r="A1929" s="2">
        <v>42622</v>
      </c>
      <c r="B1929" s="1" t="s">
        <v>56</v>
      </c>
      <c r="C1929" s="1" t="s">
        <v>57</v>
      </c>
      <c r="D1929" s="2">
        <v>42737</v>
      </c>
      <c r="E1929" s="2">
        <f t="shared" si="68"/>
        <v>42767</v>
      </c>
      <c r="F1929" s="1" t="s">
        <v>58</v>
      </c>
      <c r="G1929" s="1" t="s">
        <v>18</v>
      </c>
      <c r="H1929" s="1">
        <v>-4.25</v>
      </c>
      <c r="I1929" s="1">
        <v>0.63</v>
      </c>
      <c r="J1929" s="1">
        <v>0</v>
      </c>
      <c r="K1929" s="2">
        <v>42980</v>
      </c>
      <c r="L1929" s="1">
        <v>3716</v>
      </c>
      <c r="M1929" s="1">
        <v>4.09</v>
      </c>
      <c r="N1929" s="1">
        <v>-7.6759999999999995E-2</v>
      </c>
      <c r="O1929" s="3">
        <f>VLOOKUP(D1929,underlying!$D$40:$H$75,5,FALSE)</f>
        <v>-3.25</v>
      </c>
      <c r="P1929" s="4">
        <f t="shared" si="67"/>
        <v>42775</v>
      </c>
      <c r="Q1929" s="7">
        <f>IF(G1929="C",NormalCallSprd(O1929,H1929,M1929,(P1929-A1929)/365), NormalPutSprd(O1929,H1929,M1929,(P1929-A1929)/365))</f>
        <v>0.63085593744077673</v>
      </c>
      <c r="R1929" s="9">
        <f t="shared" si="69"/>
        <v>8.5593744077672174E-4</v>
      </c>
    </row>
    <row r="1930" spans="1:18" x14ac:dyDescent="0.2">
      <c r="A1930" s="2">
        <v>42622</v>
      </c>
      <c r="B1930" s="1" t="s">
        <v>56</v>
      </c>
      <c r="C1930" s="1" t="s">
        <v>57</v>
      </c>
      <c r="D1930" s="2">
        <v>42737</v>
      </c>
      <c r="E1930" s="2">
        <f t="shared" si="68"/>
        <v>42767</v>
      </c>
      <c r="F1930" s="1" t="s">
        <v>58</v>
      </c>
      <c r="G1930" s="1" t="s">
        <v>16</v>
      </c>
      <c r="H1930" s="1">
        <v>-4</v>
      </c>
      <c r="I1930" s="1">
        <v>1.47</v>
      </c>
      <c r="J1930" s="1">
        <v>-0.01</v>
      </c>
      <c r="K1930" s="2">
        <v>42980</v>
      </c>
      <c r="L1930" s="1">
        <v>3716</v>
      </c>
      <c r="M1930" s="1">
        <v>4.0999999999999996</v>
      </c>
      <c r="N1930" s="1">
        <v>-6.3130000000000006E-2</v>
      </c>
      <c r="O1930" s="3">
        <f>VLOOKUP(D1930,underlying!$D$40:$H$75,5,FALSE)</f>
        <v>-3.25</v>
      </c>
      <c r="P1930" s="4">
        <f t="shared" si="67"/>
        <v>42775</v>
      </c>
      <c r="Q1930" s="7">
        <f>IF(G1930="C",NormalCallSprd(O1930,H1930,M1930,(P1930-A1930)/365), NormalPutSprd(O1930,H1930,M1930,(P1930-A1930)/365))</f>
        <v>1.475983080975493</v>
      </c>
      <c r="R1930" s="9">
        <f t="shared" si="69"/>
        <v>5.9830809754930492E-3</v>
      </c>
    </row>
    <row r="1931" spans="1:18" x14ac:dyDescent="0.2">
      <c r="A1931" s="2">
        <v>42622</v>
      </c>
      <c r="B1931" s="1" t="s">
        <v>56</v>
      </c>
      <c r="C1931" s="1" t="s">
        <v>57</v>
      </c>
      <c r="D1931" s="2">
        <v>42737</v>
      </c>
      <c r="E1931" s="2">
        <f t="shared" si="68"/>
        <v>42767</v>
      </c>
      <c r="F1931" s="1" t="s">
        <v>58</v>
      </c>
      <c r="G1931" s="1" t="s">
        <v>18</v>
      </c>
      <c r="H1931" s="1">
        <v>-4</v>
      </c>
      <c r="I1931" s="1">
        <v>0.72</v>
      </c>
      <c r="J1931" s="1">
        <v>-0.01</v>
      </c>
      <c r="K1931" s="2">
        <v>42980</v>
      </c>
      <c r="L1931" s="1">
        <v>3716</v>
      </c>
      <c r="M1931" s="1">
        <v>4.0999999999999996</v>
      </c>
      <c r="N1931" s="1">
        <v>-5.1459999999999999E-2</v>
      </c>
      <c r="O1931" s="3">
        <f>VLOOKUP(D1931,underlying!$D$40:$H$75,5,FALSE)</f>
        <v>-3.25</v>
      </c>
      <c r="P1931" s="4">
        <f t="shared" si="67"/>
        <v>42775</v>
      </c>
      <c r="Q1931" s="7">
        <f>IF(G1931="C",NormalCallSprd(O1931,H1931,M1931,(P1931-A1931)/365), NormalPutSprd(O1931,H1931,M1931,(P1931-A1931)/365))</f>
        <v>0.72598308097549302</v>
      </c>
      <c r="R1931" s="9">
        <f t="shared" si="69"/>
        <v>5.9830809754930492E-3</v>
      </c>
    </row>
    <row r="1932" spans="1:18" x14ac:dyDescent="0.2">
      <c r="A1932" s="2">
        <v>42622</v>
      </c>
      <c r="B1932" s="1" t="s">
        <v>56</v>
      </c>
      <c r="C1932" s="1" t="s">
        <v>57</v>
      </c>
      <c r="D1932" s="2">
        <v>42737</v>
      </c>
      <c r="E1932" s="2">
        <f t="shared" si="68"/>
        <v>42767</v>
      </c>
      <c r="F1932" s="1" t="s">
        <v>58</v>
      </c>
      <c r="G1932" s="1" t="s">
        <v>16</v>
      </c>
      <c r="H1932" s="1">
        <v>-3.75</v>
      </c>
      <c r="I1932" s="1">
        <v>1.32</v>
      </c>
      <c r="J1932" s="1">
        <v>-0.01</v>
      </c>
      <c r="K1932" s="2">
        <v>42980</v>
      </c>
      <c r="L1932" s="1">
        <v>3716</v>
      </c>
      <c r="M1932" s="1">
        <v>4.0999999999999996</v>
      </c>
      <c r="N1932" s="1">
        <v>-4.1570000000000003E-2</v>
      </c>
      <c r="O1932" s="3">
        <f>VLOOKUP(D1932,underlying!$D$40:$H$75,5,FALSE)</f>
        <v>-3.25</v>
      </c>
      <c r="P1932" s="4">
        <f t="shared" si="67"/>
        <v>42775</v>
      </c>
      <c r="Q1932" s="7">
        <f>IF(G1932="C",NormalCallSprd(O1932,H1932,M1932,(P1932-A1932)/365), NormalPutSprd(O1932,H1932,M1932,(P1932-A1932)/365))</f>
        <v>1.3277240504227086</v>
      </c>
      <c r="R1932" s="9">
        <f t="shared" si="69"/>
        <v>7.7240504227085172E-3</v>
      </c>
    </row>
    <row r="1933" spans="1:18" x14ac:dyDescent="0.2">
      <c r="A1933" s="2">
        <v>42622</v>
      </c>
      <c r="B1933" s="1" t="s">
        <v>56</v>
      </c>
      <c r="C1933" s="1" t="s">
        <v>57</v>
      </c>
      <c r="D1933" s="2">
        <v>42737</v>
      </c>
      <c r="E1933" s="2">
        <f t="shared" si="68"/>
        <v>42767</v>
      </c>
      <c r="F1933" s="1" t="s">
        <v>58</v>
      </c>
      <c r="G1933" s="1" t="s">
        <v>18</v>
      </c>
      <c r="H1933" s="1">
        <v>-3.75</v>
      </c>
      <c r="I1933" s="1">
        <v>0.83</v>
      </c>
      <c r="J1933" s="1">
        <v>0</v>
      </c>
      <c r="K1933" s="2">
        <v>42980</v>
      </c>
      <c r="L1933" s="1">
        <v>3716</v>
      </c>
      <c r="M1933" s="1">
        <v>4.0999999999999996</v>
      </c>
      <c r="N1933" s="1">
        <v>-3.3279999999999997E-2</v>
      </c>
      <c r="O1933" s="3">
        <f>VLOOKUP(D1933,underlying!$D$40:$H$75,5,FALSE)</f>
        <v>-3.25</v>
      </c>
      <c r="P1933" s="4">
        <f t="shared" si="67"/>
        <v>42775</v>
      </c>
      <c r="Q1933" s="7">
        <f>IF(G1933="C",NormalCallSprd(O1933,H1933,M1933,(P1933-A1933)/365), NormalPutSprd(O1933,H1933,M1933,(P1933-A1933)/365))</f>
        <v>0.82772405042270869</v>
      </c>
      <c r="R1933" s="9">
        <f t="shared" si="69"/>
        <v>2.2759495772912697E-3</v>
      </c>
    </row>
    <row r="1934" spans="1:18" x14ac:dyDescent="0.2">
      <c r="A1934" s="2">
        <v>42622</v>
      </c>
      <c r="B1934" s="1" t="s">
        <v>56</v>
      </c>
      <c r="C1934" s="1" t="s">
        <v>57</v>
      </c>
      <c r="D1934" s="2">
        <v>42737</v>
      </c>
      <c r="E1934" s="2">
        <f t="shared" si="68"/>
        <v>42767</v>
      </c>
      <c r="F1934" s="1" t="s">
        <v>58</v>
      </c>
      <c r="G1934" s="1" t="s">
        <v>16</v>
      </c>
      <c r="H1934" s="1">
        <v>-3.5</v>
      </c>
      <c r="I1934" s="1">
        <v>1.19</v>
      </c>
      <c r="J1934" s="1">
        <v>0</v>
      </c>
      <c r="K1934" s="2">
        <v>42980</v>
      </c>
      <c r="L1934" s="1">
        <v>3716</v>
      </c>
      <c r="M1934" s="1">
        <v>4.1100000000000003</v>
      </c>
      <c r="N1934" s="1">
        <v>-2.6409999999999999E-2</v>
      </c>
      <c r="O1934" s="3">
        <f>VLOOKUP(D1934,underlying!$D$40:$H$75,5,FALSE)</f>
        <v>-3.25</v>
      </c>
      <c r="P1934" s="4">
        <f t="shared" si="67"/>
        <v>42775</v>
      </c>
      <c r="Q1934" s="7">
        <f>IF(G1934="C",NormalCallSprd(O1934,H1934,M1934,(P1934-A1934)/365), NormalPutSprd(O1934,H1934,M1934,(P1934-A1934)/365))</f>
        <v>1.1912578522154951</v>
      </c>
      <c r="R1934" s="9">
        <f t="shared" si="69"/>
        <v>1.2578522154951255E-3</v>
      </c>
    </row>
    <row r="1935" spans="1:18" x14ac:dyDescent="0.2">
      <c r="A1935" s="2">
        <v>42622</v>
      </c>
      <c r="B1935" s="1" t="s">
        <v>56</v>
      </c>
      <c r="C1935" s="1" t="s">
        <v>57</v>
      </c>
      <c r="D1935" s="2">
        <v>42737</v>
      </c>
      <c r="E1935" s="2">
        <f t="shared" si="68"/>
        <v>42767</v>
      </c>
      <c r="F1935" s="1" t="s">
        <v>58</v>
      </c>
      <c r="G1935" s="1" t="s">
        <v>18</v>
      </c>
      <c r="H1935" s="1">
        <v>-3.5</v>
      </c>
      <c r="I1935" s="1">
        <v>0.94</v>
      </c>
      <c r="J1935" s="1">
        <v>0</v>
      </c>
      <c r="K1935" s="2">
        <v>42980</v>
      </c>
      <c r="L1935" s="1">
        <v>3716</v>
      </c>
      <c r="M1935" s="1">
        <v>4.1100000000000003</v>
      </c>
      <c r="N1935" s="1">
        <v>-2.0760000000000001E-2</v>
      </c>
      <c r="O1935" s="3">
        <f>VLOOKUP(D1935,underlying!$D$40:$H$75,5,FALSE)</f>
        <v>-3.25</v>
      </c>
      <c r="P1935" s="4">
        <f t="shared" si="67"/>
        <v>42775</v>
      </c>
      <c r="Q1935" s="7">
        <f>IF(G1935="C",NormalCallSprd(O1935,H1935,M1935,(P1935-A1935)/365), NormalPutSprd(O1935,H1935,M1935,(P1935-A1935)/365))</f>
        <v>0.94125785221549507</v>
      </c>
      <c r="R1935" s="9">
        <f t="shared" si="69"/>
        <v>1.2578522154951255E-3</v>
      </c>
    </row>
    <row r="1936" spans="1:18" x14ac:dyDescent="0.2">
      <c r="A1936" s="2">
        <v>42622</v>
      </c>
      <c r="B1936" s="1" t="s">
        <v>56</v>
      </c>
      <c r="C1936" s="1" t="s">
        <v>57</v>
      </c>
      <c r="D1936" s="2">
        <v>42737</v>
      </c>
      <c r="E1936" s="2">
        <f t="shared" si="68"/>
        <v>42767</v>
      </c>
      <c r="F1936" s="1" t="s">
        <v>58</v>
      </c>
      <c r="G1936" s="1" t="s">
        <v>16</v>
      </c>
      <c r="H1936" s="1">
        <v>-3.25</v>
      </c>
      <c r="I1936" s="1">
        <v>1.06</v>
      </c>
      <c r="J1936" s="1">
        <v>0</v>
      </c>
      <c r="K1936" s="2">
        <v>42980</v>
      </c>
      <c r="L1936" s="1">
        <v>3716</v>
      </c>
      <c r="M1936" s="1">
        <v>4.0999999999999996</v>
      </c>
      <c r="N1936" s="1">
        <v>0.24879000000000001</v>
      </c>
      <c r="O1936" s="3">
        <f>VLOOKUP(D1936,underlying!$D$40:$H$75,5,FALSE)</f>
        <v>-3.25</v>
      </c>
      <c r="P1936" s="4">
        <f t="shared" si="67"/>
        <v>42775</v>
      </c>
      <c r="Q1936" s="7">
        <f>IF(G1936="C",NormalCallSprd(O1936,H1936,M1936,(P1936-A1936)/365), NormalPutSprd(O1936,H1936,M1936,(P1936-A1936)/365))</f>
        <v>1.0589932836222766</v>
      </c>
      <c r="R1936" s="9">
        <f t="shared" si="69"/>
        <v>1.0067163777234267E-3</v>
      </c>
    </row>
    <row r="1937" spans="1:18" x14ac:dyDescent="0.2">
      <c r="A1937" s="2">
        <v>42622</v>
      </c>
      <c r="B1937" s="1" t="s">
        <v>56</v>
      </c>
      <c r="C1937" s="1" t="s">
        <v>57</v>
      </c>
      <c r="D1937" s="2">
        <v>42737</v>
      </c>
      <c r="E1937" s="2">
        <f t="shared" si="68"/>
        <v>42767</v>
      </c>
      <c r="F1937" s="1" t="s">
        <v>58</v>
      </c>
      <c r="G1937" s="1" t="s">
        <v>18</v>
      </c>
      <c r="H1937" s="1">
        <v>-3.25</v>
      </c>
      <c r="I1937" s="1">
        <v>1.06</v>
      </c>
      <c r="J1937" s="1">
        <v>0</v>
      </c>
      <c r="K1937" s="2">
        <v>42980</v>
      </c>
      <c r="L1937" s="1">
        <v>3716</v>
      </c>
      <c r="M1937" s="1">
        <v>4.0999999999999996</v>
      </c>
      <c r="N1937" s="1">
        <v>0.26790000000000003</v>
      </c>
      <c r="O1937" s="3">
        <f>VLOOKUP(D1937,underlying!$D$40:$H$75,5,FALSE)</f>
        <v>-3.25</v>
      </c>
      <c r="P1937" s="4">
        <f t="shared" si="67"/>
        <v>42775</v>
      </c>
      <c r="Q1937" s="7">
        <f>IF(G1937="C",NormalCallSprd(O1937,H1937,M1937,(P1937-A1937)/365), NormalPutSprd(O1937,H1937,M1937,(P1937-A1937)/365))</f>
        <v>1.0589932836222766</v>
      </c>
      <c r="R1937" s="9">
        <f t="shared" si="69"/>
        <v>1.0067163777234267E-3</v>
      </c>
    </row>
    <row r="1938" spans="1:18" x14ac:dyDescent="0.2">
      <c r="A1938" s="2">
        <v>42622</v>
      </c>
      <c r="B1938" s="1" t="s">
        <v>56</v>
      </c>
      <c r="C1938" s="1" t="s">
        <v>57</v>
      </c>
      <c r="D1938" s="2">
        <v>42737</v>
      </c>
      <c r="E1938" s="2">
        <f t="shared" si="68"/>
        <v>42767</v>
      </c>
      <c r="F1938" s="1" t="s">
        <v>58</v>
      </c>
      <c r="G1938" s="1" t="s">
        <v>16</v>
      </c>
      <c r="H1938" s="1">
        <v>-3</v>
      </c>
      <c r="I1938" s="1">
        <v>0.94</v>
      </c>
      <c r="J1938" s="1">
        <v>0</v>
      </c>
      <c r="K1938" s="2">
        <v>42980</v>
      </c>
      <c r="L1938" s="1">
        <v>3716</v>
      </c>
      <c r="M1938" s="1">
        <v>4.1100000000000003</v>
      </c>
      <c r="N1938" s="1">
        <v>0.28835</v>
      </c>
      <c r="O1938" s="3">
        <f>VLOOKUP(D1938,underlying!$D$40:$H$75,5,FALSE)</f>
        <v>-3.25</v>
      </c>
      <c r="P1938" s="4">
        <f t="shared" si="67"/>
        <v>42775</v>
      </c>
      <c r="Q1938" s="7">
        <f>IF(G1938="C",NormalCallSprd(O1938,H1938,M1938,(P1938-A1938)/365), NormalPutSprd(O1938,H1938,M1938,(P1938-A1938)/365))</f>
        <v>0.94125785221549507</v>
      </c>
      <c r="R1938" s="9">
        <f t="shared" si="69"/>
        <v>1.2578522154951255E-3</v>
      </c>
    </row>
    <row r="1939" spans="1:18" x14ac:dyDescent="0.2">
      <c r="A1939" s="2">
        <v>42622</v>
      </c>
      <c r="B1939" s="1" t="s">
        <v>56</v>
      </c>
      <c r="C1939" s="1" t="s">
        <v>57</v>
      </c>
      <c r="D1939" s="2">
        <v>42737</v>
      </c>
      <c r="E1939" s="2">
        <f t="shared" si="68"/>
        <v>42767</v>
      </c>
      <c r="F1939" s="1" t="s">
        <v>58</v>
      </c>
      <c r="G1939" s="1" t="s">
        <v>18</v>
      </c>
      <c r="H1939" s="1">
        <v>-3</v>
      </c>
      <c r="I1939" s="1">
        <v>1.19</v>
      </c>
      <c r="J1939" s="1">
        <v>0</v>
      </c>
      <c r="K1939" s="2">
        <v>42980</v>
      </c>
      <c r="L1939" s="1">
        <v>3716</v>
      </c>
      <c r="M1939" s="1">
        <v>4.1100000000000003</v>
      </c>
      <c r="N1939" s="1">
        <v>0.30903000000000003</v>
      </c>
      <c r="O1939" s="3">
        <f>VLOOKUP(D1939,underlying!$D$40:$H$75,5,FALSE)</f>
        <v>-3.25</v>
      </c>
      <c r="P1939" s="4">
        <f t="shared" si="67"/>
        <v>42775</v>
      </c>
      <c r="Q1939" s="7">
        <f>IF(G1939="C",NormalCallSprd(O1939,H1939,M1939,(P1939-A1939)/365), NormalPutSprd(O1939,H1939,M1939,(P1939-A1939)/365))</f>
        <v>1.1912578522154951</v>
      </c>
      <c r="R1939" s="9">
        <f t="shared" si="69"/>
        <v>1.2578522154951255E-3</v>
      </c>
    </row>
    <row r="1940" spans="1:18" x14ac:dyDescent="0.2">
      <c r="A1940" s="2">
        <v>42622</v>
      </c>
      <c r="B1940" s="1" t="s">
        <v>56</v>
      </c>
      <c r="C1940" s="1" t="s">
        <v>57</v>
      </c>
      <c r="D1940" s="2">
        <v>42737</v>
      </c>
      <c r="E1940" s="2">
        <f t="shared" si="68"/>
        <v>42767</v>
      </c>
      <c r="F1940" s="1" t="s">
        <v>58</v>
      </c>
      <c r="G1940" s="1" t="s">
        <v>16</v>
      </c>
      <c r="H1940" s="1">
        <v>-2.75</v>
      </c>
      <c r="I1940" s="1">
        <v>0.83</v>
      </c>
      <c r="J1940" s="1">
        <v>0</v>
      </c>
      <c r="K1940" s="2">
        <v>42980</v>
      </c>
      <c r="L1940" s="1">
        <v>3716</v>
      </c>
      <c r="M1940" s="1">
        <v>4.0999999999999996</v>
      </c>
      <c r="N1940" s="1">
        <v>0.33132</v>
      </c>
      <c r="O1940" s="3">
        <f>VLOOKUP(D1940,underlying!$D$40:$H$75,5,FALSE)</f>
        <v>-3.25</v>
      </c>
      <c r="P1940" s="4">
        <f t="shared" si="67"/>
        <v>42775</v>
      </c>
      <c r="Q1940" s="7">
        <f>IF(G1940="C",NormalCallSprd(O1940,H1940,M1940,(P1940-A1940)/365), NormalPutSprd(O1940,H1940,M1940,(P1940-A1940)/365))</f>
        <v>0.82772405042270869</v>
      </c>
      <c r="R1940" s="9">
        <f t="shared" si="69"/>
        <v>2.2759495772912697E-3</v>
      </c>
    </row>
    <row r="1941" spans="1:18" x14ac:dyDescent="0.2">
      <c r="A1941" s="2">
        <v>42622</v>
      </c>
      <c r="B1941" s="1" t="s">
        <v>56</v>
      </c>
      <c r="C1941" s="1" t="s">
        <v>57</v>
      </c>
      <c r="D1941" s="2">
        <v>42737</v>
      </c>
      <c r="E1941" s="2">
        <f t="shared" si="68"/>
        <v>42767</v>
      </c>
      <c r="F1941" s="1" t="s">
        <v>58</v>
      </c>
      <c r="G1941" s="1" t="s">
        <v>18</v>
      </c>
      <c r="H1941" s="1">
        <v>-2.75</v>
      </c>
      <c r="I1941" s="1">
        <v>1.32</v>
      </c>
      <c r="J1941" s="1">
        <v>-0.01</v>
      </c>
      <c r="K1941" s="2">
        <v>42980</v>
      </c>
      <c r="L1941" s="1">
        <v>3716</v>
      </c>
      <c r="M1941" s="1">
        <v>4.0999999999999996</v>
      </c>
      <c r="N1941" s="1">
        <v>0.35371000000000002</v>
      </c>
      <c r="O1941" s="3">
        <f>VLOOKUP(D1941,underlying!$D$40:$H$75,5,FALSE)</f>
        <v>-3.25</v>
      </c>
      <c r="P1941" s="4">
        <f t="shared" si="67"/>
        <v>42775</v>
      </c>
      <c r="Q1941" s="7">
        <f>IF(G1941="C",NormalCallSprd(O1941,H1941,M1941,(P1941-A1941)/365), NormalPutSprd(O1941,H1941,M1941,(P1941-A1941)/365))</f>
        <v>1.3277240504227086</v>
      </c>
      <c r="R1941" s="9">
        <f t="shared" si="69"/>
        <v>7.7240504227085172E-3</v>
      </c>
    </row>
    <row r="1942" spans="1:18" x14ac:dyDescent="0.2">
      <c r="A1942" s="2">
        <v>42622</v>
      </c>
      <c r="B1942" s="1" t="s">
        <v>56</v>
      </c>
      <c r="C1942" s="1" t="s">
        <v>57</v>
      </c>
      <c r="D1942" s="2">
        <v>42737</v>
      </c>
      <c r="E1942" s="2">
        <f t="shared" si="68"/>
        <v>42767</v>
      </c>
      <c r="F1942" s="1" t="s">
        <v>58</v>
      </c>
      <c r="G1942" s="1" t="s">
        <v>16</v>
      </c>
      <c r="H1942" s="1">
        <v>-2.5</v>
      </c>
      <c r="I1942" s="1">
        <v>0.72</v>
      </c>
      <c r="J1942" s="1">
        <v>-0.01</v>
      </c>
      <c r="K1942" s="2">
        <v>42980</v>
      </c>
      <c r="L1942" s="1">
        <v>3716</v>
      </c>
      <c r="M1942" s="1">
        <v>4.0999999999999996</v>
      </c>
      <c r="N1942" s="1">
        <v>0.37692999999999999</v>
      </c>
      <c r="O1942" s="3">
        <f>VLOOKUP(D1942,underlying!$D$40:$H$75,5,FALSE)</f>
        <v>-3.25</v>
      </c>
      <c r="P1942" s="4">
        <f t="shared" si="67"/>
        <v>42775</v>
      </c>
      <c r="Q1942" s="7">
        <f>IF(G1942="C",NormalCallSprd(O1942,H1942,M1942,(P1942-A1942)/365), NormalPutSprd(O1942,H1942,M1942,(P1942-A1942)/365))</f>
        <v>0.72598308097549302</v>
      </c>
      <c r="R1942" s="9">
        <f t="shared" si="69"/>
        <v>5.9830809754930492E-3</v>
      </c>
    </row>
    <row r="1943" spans="1:18" x14ac:dyDescent="0.2">
      <c r="A1943" s="2">
        <v>42622</v>
      </c>
      <c r="B1943" s="1" t="s">
        <v>56</v>
      </c>
      <c r="C1943" s="1" t="s">
        <v>57</v>
      </c>
      <c r="D1943" s="2">
        <v>42737</v>
      </c>
      <c r="E1943" s="2">
        <f t="shared" si="68"/>
        <v>42767</v>
      </c>
      <c r="F1943" s="1" t="s">
        <v>58</v>
      </c>
      <c r="G1943" s="1" t="s">
        <v>18</v>
      </c>
      <c r="H1943" s="1">
        <v>-2.5</v>
      </c>
      <c r="I1943" s="1">
        <v>1.47</v>
      </c>
      <c r="J1943" s="1">
        <v>-0.01</v>
      </c>
      <c r="K1943" s="2">
        <v>42980</v>
      </c>
      <c r="L1943" s="1">
        <v>3716</v>
      </c>
      <c r="M1943" s="1">
        <v>4.0999999999999996</v>
      </c>
      <c r="N1943" s="1">
        <v>0.39966000000000002</v>
      </c>
      <c r="O1943" s="3">
        <f>VLOOKUP(D1943,underlying!$D$40:$H$75,5,FALSE)</f>
        <v>-3.25</v>
      </c>
      <c r="P1943" s="4">
        <f t="shared" si="67"/>
        <v>42775</v>
      </c>
      <c r="Q1943" s="7">
        <f>IF(G1943="C",NormalCallSprd(O1943,H1943,M1943,(P1943-A1943)/365), NormalPutSprd(O1943,H1943,M1943,(P1943-A1943)/365))</f>
        <v>1.475983080975493</v>
      </c>
      <c r="R1943" s="9">
        <f t="shared" si="69"/>
        <v>5.9830809754930492E-3</v>
      </c>
    </row>
    <row r="1944" spans="1:18" x14ac:dyDescent="0.2">
      <c r="A1944" s="2">
        <v>42622</v>
      </c>
      <c r="B1944" s="1" t="s">
        <v>56</v>
      </c>
      <c r="C1944" s="1" t="s">
        <v>57</v>
      </c>
      <c r="D1944" s="2">
        <v>42737</v>
      </c>
      <c r="E1944" s="2">
        <f t="shared" si="68"/>
        <v>42767</v>
      </c>
      <c r="F1944" s="1" t="s">
        <v>58</v>
      </c>
      <c r="G1944" s="1" t="s">
        <v>16</v>
      </c>
      <c r="H1944" s="1">
        <v>-2.25</v>
      </c>
      <c r="I1944" s="1">
        <v>0.63</v>
      </c>
      <c r="J1944" s="1">
        <v>0</v>
      </c>
      <c r="K1944" s="2">
        <v>42980</v>
      </c>
      <c r="L1944" s="1">
        <v>3716</v>
      </c>
      <c r="M1944" s="1">
        <v>4.09</v>
      </c>
      <c r="N1944" s="1">
        <v>0.42360999999999999</v>
      </c>
      <c r="O1944" s="3">
        <f>VLOOKUP(D1944,underlying!$D$40:$H$75,5,FALSE)</f>
        <v>-3.25</v>
      </c>
      <c r="P1944" s="4">
        <f t="shared" si="67"/>
        <v>42775</v>
      </c>
      <c r="Q1944" s="7">
        <f>IF(G1944="C",NormalCallSprd(O1944,H1944,M1944,(P1944-A1944)/365), NormalPutSprd(O1944,H1944,M1944,(P1944-A1944)/365))</f>
        <v>0.63085593744077673</v>
      </c>
      <c r="R1944" s="9">
        <f t="shared" si="69"/>
        <v>8.5593744077672174E-4</v>
      </c>
    </row>
    <row r="1945" spans="1:18" x14ac:dyDescent="0.2">
      <c r="A1945" s="2">
        <v>42622</v>
      </c>
      <c r="B1945" s="1" t="s">
        <v>56</v>
      </c>
      <c r="C1945" s="1" t="s">
        <v>57</v>
      </c>
      <c r="D1945" s="2">
        <v>42737</v>
      </c>
      <c r="E1945" s="2">
        <f t="shared" si="68"/>
        <v>42767</v>
      </c>
      <c r="F1945" s="1" t="s">
        <v>58</v>
      </c>
      <c r="G1945" s="1" t="s">
        <v>18</v>
      </c>
      <c r="H1945" s="1">
        <v>-2.25</v>
      </c>
      <c r="I1945" s="1">
        <v>1.63</v>
      </c>
      <c r="J1945" s="1">
        <v>0</v>
      </c>
      <c r="K1945" s="2">
        <v>42980</v>
      </c>
      <c r="L1945" s="1">
        <v>3716</v>
      </c>
      <c r="M1945" s="1">
        <v>4.09</v>
      </c>
      <c r="N1945" s="1">
        <v>0.44756000000000001</v>
      </c>
      <c r="O1945" s="3">
        <f>VLOOKUP(D1945,underlying!$D$40:$H$75,5,FALSE)</f>
        <v>-3.25</v>
      </c>
      <c r="P1945" s="4">
        <f t="shared" si="67"/>
        <v>42775</v>
      </c>
      <c r="Q1945" s="7">
        <f>IF(G1945="C",NormalCallSprd(O1945,H1945,M1945,(P1945-A1945)/365), NormalPutSprd(O1945,H1945,M1945,(P1945-A1945)/365))</f>
        <v>1.6308559374407767</v>
      </c>
      <c r="R1945" s="9">
        <f t="shared" si="69"/>
        <v>8.5593744077683276E-4</v>
      </c>
    </row>
    <row r="1946" spans="1:18" x14ac:dyDescent="0.2">
      <c r="A1946" s="2">
        <v>42622</v>
      </c>
      <c r="B1946" s="1" t="s">
        <v>56</v>
      </c>
      <c r="C1946" s="1" t="s">
        <v>57</v>
      </c>
      <c r="D1946" s="2">
        <v>42737</v>
      </c>
      <c r="E1946" s="2">
        <f t="shared" si="68"/>
        <v>42767</v>
      </c>
      <c r="F1946" s="1" t="s">
        <v>58</v>
      </c>
      <c r="G1946" s="1" t="s">
        <v>16</v>
      </c>
      <c r="H1946" s="1">
        <v>-2</v>
      </c>
      <c r="I1946" s="1">
        <v>0.55000000000000004</v>
      </c>
      <c r="J1946" s="1">
        <v>0</v>
      </c>
      <c r="K1946" s="2">
        <v>42980</v>
      </c>
      <c r="L1946" s="1">
        <v>3716</v>
      </c>
      <c r="M1946" s="1">
        <v>4.1100000000000003</v>
      </c>
      <c r="N1946" s="1">
        <v>0.47176000000000001</v>
      </c>
      <c r="O1946" s="3">
        <f>VLOOKUP(D1946,underlying!$D$40:$H$75,5,FALSE)</f>
        <v>-3.25</v>
      </c>
      <c r="P1946" s="4">
        <f t="shared" si="67"/>
        <v>42775</v>
      </c>
      <c r="Q1946" s="7">
        <f>IF(G1946="C",NormalCallSprd(O1946,H1946,M1946,(P1946-A1946)/365), NormalPutSprd(O1946,H1946,M1946,(P1946-A1946)/365))</f>
        <v>0.55159648303975606</v>
      </c>
      <c r="R1946" s="9">
        <f t="shared" si="69"/>
        <v>1.5964830397560137E-3</v>
      </c>
    </row>
    <row r="1947" spans="1:18" x14ac:dyDescent="0.2">
      <c r="A1947" s="2">
        <v>42622</v>
      </c>
      <c r="B1947" s="1" t="s">
        <v>56</v>
      </c>
      <c r="C1947" s="1" t="s">
        <v>57</v>
      </c>
      <c r="D1947" s="2">
        <v>42737</v>
      </c>
      <c r="E1947" s="2">
        <f t="shared" si="68"/>
        <v>42767</v>
      </c>
      <c r="F1947" s="1" t="s">
        <v>58</v>
      </c>
      <c r="G1947" s="1" t="s">
        <v>18</v>
      </c>
      <c r="H1947" s="1">
        <v>-2</v>
      </c>
      <c r="I1947" s="1">
        <v>1.8</v>
      </c>
      <c r="J1947" s="1">
        <v>0</v>
      </c>
      <c r="K1947" s="2">
        <v>42980</v>
      </c>
      <c r="L1947" s="1">
        <v>3716</v>
      </c>
      <c r="M1947" s="1">
        <v>4.1100000000000003</v>
      </c>
      <c r="N1947" s="1">
        <v>0.49591000000000002</v>
      </c>
      <c r="O1947" s="3">
        <f>VLOOKUP(D1947,underlying!$D$40:$H$75,5,FALSE)</f>
        <v>-3.25</v>
      </c>
      <c r="P1947" s="4">
        <f t="shared" si="67"/>
        <v>42775</v>
      </c>
      <c r="Q1947" s="7">
        <f>IF(G1947="C",NormalCallSprd(O1947,H1947,M1947,(P1947-A1947)/365), NormalPutSprd(O1947,H1947,M1947,(P1947-A1947)/365))</f>
        <v>1.8015964830397559</v>
      </c>
      <c r="R1947" s="9">
        <f t="shared" si="69"/>
        <v>1.5964830397559027E-3</v>
      </c>
    </row>
    <row r="1948" spans="1:18" x14ac:dyDescent="0.2">
      <c r="A1948" s="2">
        <v>42622</v>
      </c>
      <c r="B1948" s="1" t="s">
        <v>56</v>
      </c>
      <c r="C1948" s="1" t="s">
        <v>57</v>
      </c>
      <c r="D1948" s="2">
        <v>42737</v>
      </c>
      <c r="E1948" s="2">
        <f t="shared" si="68"/>
        <v>42767</v>
      </c>
      <c r="F1948" s="1" t="s">
        <v>58</v>
      </c>
      <c r="G1948" s="1" t="s">
        <v>16</v>
      </c>
      <c r="H1948" s="1">
        <v>-1.75</v>
      </c>
      <c r="I1948" s="1">
        <v>0.47</v>
      </c>
      <c r="J1948" s="1">
        <v>0</v>
      </c>
      <c r="K1948" s="2">
        <v>42980</v>
      </c>
      <c r="L1948" s="1">
        <v>3716</v>
      </c>
      <c r="M1948" s="1">
        <v>4.09</v>
      </c>
      <c r="N1948" s="1">
        <v>0.52005999999999997</v>
      </c>
      <c r="O1948" s="3">
        <f>VLOOKUP(D1948,underlying!$D$40:$H$75,5,FALSE)</f>
        <v>-3.25</v>
      </c>
      <c r="P1948" s="4">
        <f t="shared" si="67"/>
        <v>42775</v>
      </c>
      <c r="Q1948" s="7">
        <f>IF(G1948="C",NormalCallSprd(O1948,H1948,M1948,(P1948-A1948)/365), NormalPutSprd(O1948,H1948,M1948,(P1948-A1948)/365))</f>
        <v>0.47150807386733334</v>
      </c>
      <c r="R1948" s="9">
        <f t="shared" si="69"/>
        <v>1.5080738673333705E-3</v>
      </c>
    </row>
    <row r="1949" spans="1:18" x14ac:dyDescent="0.2">
      <c r="A1949" s="2">
        <v>42622</v>
      </c>
      <c r="B1949" s="1" t="s">
        <v>56</v>
      </c>
      <c r="C1949" s="1" t="s">
        <v>57</v>
      </c>
      <c r="D1949" s="2">
        <v>42737</v>
      </c>
      <c r="E1949" s="2">
        <f t="shared" si="68"/>
        <v>42767</v>
      </c>
      <c r="F1949" s="1" t="s">
        <v>58</v>
      </c>
      <c r="G1949" s="1" t="s">
        <v>18</v>
      </c>
      <c r="H1949" s="1">
        <v>-1.75</v>
      </c>
      <c r="I1949" s="1">
        <v>1.97</v>
      </c>
      <c r="J1949" s="1">
        <v>0</v>
      </c>
      <c r="K1949" s="2">
        <v>42980</v>
      </c>
      <c r="L1949" s="1">
        <v>3716</v>
      </c>
      <c r="M1949" s="1">
        <v>4.09</v>
      </c>
      <c r="N1949" s="1">
        <v>0.54425999999999997</v>
      </c>
      <c r="O1949" s="3">
        <f>VLOOKUP(D1949,underlying!$D$40:$H$75,5,FALSE)</f>
        <v>-3.25</v>
      </c>
      <c r="P1949" s="4">
        <f t="shared" si="67"/>
        <v>42775</v>
      </c>
      <c r="Q1949" s="7">
        <f>IF(G1949="C",NormalCallSprd(O1949,H1949,M1949,(P1949-A1949)/365), NormalPutSprd(O1949,H1949,M1949,(P1949-A1949)/365))</f>
        <v>1.9715080738673334</v>
      </c>
      <c r="R1949" s="9">
        <f t="shared" si="69"/>
        <v>1.508073867333426E-3</v>
      </c>
    </row>
    <row r="1950" spans="1:18" x14ac:dyDescent="0.2">
      <c r="A1950" s="2">
        <v>42622</v>
      </c>
      <c r="B1950" s="1" t="s">
        <v>56</v>
      </c>
      <c r="C1950" s="1" t="s">
        <v>57</v>
      </c>
      <c r="D1950" s="2">
        <v>42737</v>
      </c>
      <c r="E1950" s="2">
        <f t="shared" si="68"/>
        <v>42767</v>
      </c>
      <c r="F1950" s="1" t="s">
        <v>58</v>
      </c>
      <c r="G1950" s="1" t="s">
        <v>16</v>
      </c>
      <c r="H1950" s="1">
        <v>-1.5</v>
      </c>
      <c r="I1950" s="1">
        <v>0.41</v>
      </c>
      <c r="J1950" s="1">
        <v>0</v>
      </c>
      <c r="K1950" s="2">
        <v>42980</v>
      </c>
      <c r="L1950" s="1">
        <v>3716</v>
      </c>
      <c r="M1950" s="1">
        <v>4.1100000000000003</v>
      </c>
      <c r="N1950" s="1">
        <v>0.56820999999999999</v>
      </c>
      <c r="O1950" s="3">
        <f>VLOOKUP(D1950,underlying!$D$40:$H$75,5,FALSE)</f>
        <v>-3.25</v>
      </c>
      <c r="P1950" s="4">
        <f t="shared" si="67"/>
        <v>42775</v>
      </c>
      <c r="Q1950" s="7">
        <f>IF(G1950="C",NormalCallSprd(O1950,H1950,M1950,(P1950-A1950)/365), NormalPutSprd(O1950,H1950,M1950,(P1950-A1950)/365))</f>
        <v>0.40821642276855569</v>
      </c>
      <c r="R1950" s="9">
        <f t="shared" si="69"/>
        <v>1.7835772314442888E-3</v>
      </c>
    </row>
    <row r="1951" spans="1:18" x14ac:dyDescent="0.2">
      <c r="A1951" s="2">
        <v>42622</v>
      </c>
      <c r="B1951" s="1" t="s">
        <v>56</v>
      </c>
      <c r="C1951" s="1" t="s">
        <v>57</v>
      </c>
      <c r="D1951" s="2">
        <v>42737</v>
      </c>
      <c r="E1951" s="2">
        <f t="shared" si="68"/>
        <v>42767</v>
      </c>
      <c r="F1951" s="1" t="s">
        <v>58</v>
      </c>
      <c r="G1951" s="1" t="s">
        <v>18</v>
      </c>
      <c r="H1951" s="1">
        <v>-1.5</v>
      </c>
      <c r="I1951" s="1">
        <v>2.15</v>
      </c>
      <c r="J1951" s="1">
        <v>-0.01</v>
      </c>
      <c r="K1951" s="2">
        <v>42980</v>
      </c>
      <c r="L1951" s="1">
        <v>3716</v>
      </c>
      <c r="M1951" s="1">
        <v>4.1100000000000003</v>
      </c>
      <c r="N1951" s="1">
        <v>0.59214999999999995</v>
      </c>
      <c r="O1951" s="3">
        <f>VLOOKUP(D1951,underlying!$D$40:$H$75,5,FALSE)</f>
        <v>-3.25</v>
      </c>
      <c r="P1951" s="4">
        <f t="shared" si="67"/>
        <v>42775</v>
      </c>
      <c r="Q1951" s="7">
        <f>IF(G1951="C",NormalCallSprd(O1951,H1951,M1951,(P1951-A1951)/365), NormalPutSprd(O1951,H1951,M1951,(P1951-A1951)/365))</f>
        <v>2.1582164227685556</v>
      </c>
      <c r="R1951" s="9">
        <f t="shared" si="69"/>
        <v>8.2164227685557201E-3</v>
      </c>
    </row>
    <row r="1952" spans="1:18" x14ac:dyDescent="0.2">
      <c r="A1952" s="2">
        <v>42622</v>
      </c>
      <c r="B1952" s="1" t="s">
        <v>56</v>
      </c>
      <c r="C1952" s="1" t="s">
        <v>57</v>
      </c>
      <c r="D1952" s="2">
        <v>42737</v>
      </c>
      <c r="E1952" s="2">
        <f t="shared" si="68"/>
        <v>42767</v>
      </c>
      <c r="F1952" s="1" t="s">
        <v>58</v>
      </c>
      <c r="G1952" s="1" t="s">
        <v>16</v>
      </c>
      <c r="H1952" s="1">
        <v>-1.25</v>
      </c>
      <c r="I1952" s="1">
        <v>0.34</v>
      </c>
      <c r="J1952" s="1">
        <v>-0.01</v>
      </c>
      <c r="K1952" s="2">
        <v>42980</v>
      </c>
      <c r="L1952" s="1">
        <v>3716</v>
      </c>
      <c r="M1952" s="1">
        <v>4.09</v>
      </c>
      <c r="N1952" s="1">
        <v>0.61489000000000005</v>
      </c>
      <c r="O1952" s="3">
        <f>VLOOKUP(D1952,underlying!$D$40:$H$75,5,FALSE)</f>
        <v>-3.25</v>
      </c>
      <c r="P1952" s="4">
        <f t="shared" si="67"/>
        <v>42775</v>
      </c>
      <c r="Q1952" s="7">
        <f>IF(G1952="C",NormalCallSprd(O1952,H1952,M1952,(P1952-A1952)/365), NormalPutSprd(O1952,H1952,M1952,(P1952-A1952)/365))</f>
        <v>0.34417677734978896</v>
      </c>
      <c r="R1952" s="9">
        <f t="shared" si="69"/>
        <v>4.1767773497889404E-3</v>
      </c>
    </row>
    <row r="1953" spans="1:18" x14ac:dyDescent="0.2">
      <c r="A1953" s="2">
        <v>42622</v>
      </c>
      <c r="B1953" s="1" t="s">
        <v>56</v>
      </c>
      <c r="C1953" s="1" t="s">
        <v>57</v>
      </c>
      <c r="D1953" s="2">
        <v>42737</v>
      </c>
      <c r="E1953" s="2">
        <f t="shared" si="68"/>
        <v>42767</v>
      </c>
      <c r="F1953" s="1" t="s">
        <v>58</v>
      </c>
      <c r="G1953" s="1" t="s">
        <v>18</v>
      </c>
      <c r="H1953" s="1">
        <v>-1.25</v>
      </c>
      <c r="I1953" s="1">
        <v>2.34</v>
      </c>
      <c r="J1953" s="1">
        <v>0</v>
      </c>
      <c r="K1953" s="2">
        <v>42980</v>
      </c>
      <c r="L1953" s="1">
        <v>3716</v>
      </c>
      <c r="M1953" s="1">
        <v>4.09</v>
      </c>
      <c r="N1953" s="1">
        <v>0.63849999999999996</v>
      </c>
      <c r="O1953" s="3">
        <f>VLOOKUP(D1953,underlying!$D$40:$H$75,5,FALSE)</f>
        <v>-3.25</v>
      </c>
      <c r="P1953" s="4">
        <f t="shared" si="67"/>
        <v>42775</v>
      </c>
      <c r="Q1953" s="7">
        <f>IF(G1953="C",NormalCallSprd(O1953,H1953,M1953,(P1953-A1953)/365), NormalPutSprd(O1953,H1953,M1953,(P1953-A1953)/365))</f>
        <v>2.344176777349789</v>
      </c>
      <c r="R1953" s="9">
        <f t="shared" si="69"/>
        <v>4.1767773497891625E-3</v>
      </c>
    </row>
    <row r="1954" spans="1:18" x14ac:dyDescent="0.2">
      <c r="A1954" s="2">
        <v>42622</v>
      </c>
      <c r="B1954" s="1" t="s">
        <v>56</v>
      </c>
      <c r="C1954" s="1" t="s">
        <v>57</v>
      </c>
      <c r="D1954" s="2">
        <v>42737</v>
      </c>
      <c r="E1954" s="2">
        <f t="shared" si="68"/>
        <v>42767</v>
      </c>
      <c r="F1954" s="1" t="s">
        <v>58</v>
      </c>
      <c r="G1954" s="1" t="s">
        <v>16</v>
      </c>
      <c r="H1954" s="1">
        <v>-1</v>
      </c>
      <c r="I1954" s="1">
        <v>0.28999999999999998</v>
      </c>
      <c r="J1954" s="1">
        <v>-0.01</v>
      </c>
      <c r="K1954" s="2">
        <v>42980</v>
      </c>
      <c r="L1954" s="1">
        <v>3716</v>
      </c>
      <c r="M1954" s="1">
        <v>4.1100000000000003</v>
      </c>
      <c r="N1954" s="1">
        <v>0.66005999999999998</v>
      </c>
      <c r="O1954" s="3">
        <f>VLOOKUP(D1954,underlying!$D$40:$H$75,5,FALSE)</f>
        <v>-3.25</v>
      </c>
      <c r="P1954" s="4">
        <f t="shared" si="67"/>
        <v>42775</v>
      </c>
      <c r="Q1954" s="7">
        <f>IF(G1954="C",NormalCallSprd(O1954,H1954,M1954,(P1954-A1954)/365), NormalPutSprd(O1954,H1954,M1954,(P1954-A1954)/365))</f>
        <v>0.29497795925229275</v>
      </c>
      <c r="R1954" s="9">
        <f t="shared" si="69"/>
        <v>4.977959252292774E-3</v>
      </c>
    </row>
    <row r="1955" spans="1:18" x14ac:dyDescent="0.2">
      <c r="A1955" s="2">
        <v>42622</v>
      </c>
      <c r="B1955" s="1" t="s">
        <v>56</v>
      </c>
      <c r="C1955" s="1" t="s">
        <v>57</v>
      </c>
      <c r="D1955" s="2">
        <v>42737</v>
      </c>
      <c r="E1955" s="2">
        <f t="shared" si="68"/>
        <v>42767</v>
      </c>
      <c r="F1955" s="1" t="s">
        <v>58</v>
      </c>
      <c r="G1955" s="1" t="s">
        <v>18</v>
      </c>
      <c r="H1955" s="1">
        <v>-1</v>
      </c>
      <c r="I1955" s="1">
        <v>2.54</v>
      </c>
      <c r="J1955" s="1">
        <v>0</v>
      </c>
      <c r="K1955" s="2">
        <v>42980</v>
      </c>
      <c r="L1955" s="1">
        <v>3716</v>
      </c>
      <c r="M1955" s="1">
        <v>4.1100000000000003</v>
      </c>
      <c r="N1955" s="1">
        <v>0.68279000000000001</v>
      </c>
      <c r="O1955" s="3">
        <f>VLOOKUP(D1955,underlying!$D$40:$H$75,5,FALSE)</f>
        <v>-3.25</v>
      </c>
      <c r="P1955" s="4">
        <f t="shared" si="67"/>
        <v>42775</v>
      </c>
      <c r="Q1955" s="7">
        <f>IF(G1955="C",NormalCallSprd(O1955,H1955,M1955,(P1955-A1955)/365), NormalPutSprd(O1955,H1955,M1955,(P1955-A1955)/365))</f>
        <v>2.544977959252293</v>
      </c>
      <c r="R1955" s="9">
        <f t="shared" si="69"/>
        <v>4.9779592522929406E-3</v>
      </c>
    </row>
    <row r="1956" spans="1:18" x14ac:dyDescent="0.2">
      <c r="A1956" s="2">
        <v>42622</v>
      </c>
      <c r="B1956" s="1" t="s">
        <v>56</v>
      </c>
      <c r="C1956" s="1" t="s">
        <v>57</v>
      </c>
      <c r="D1956" s="2">
        <v>42737</v>
      </c>
      <c r="E1956" s="2">
        <f t="shared" si="68"/>
        <v>42767</v>
      </c>
      <c r="F1956" s="1" t="s">
        <v>58</v>
      </c>
      <c r="G1956" s="1" t="s">
        <v>16</v>
      </c>
      <c r="H1956" s="1">
        <v>-0.75</v>
      </c>
      <c r="I1956" s="1">
        <v>0.25</v>
      </c>
      <c r="J1956" s="1">
        <v>0</v>
      </c>
      <c r="K1956" s="2">
        <v>42980</v>
      </c>
      <c r="L1956" s="1">
        <v>3716</v>
      </c>
      <c r="M1956" s="1">
        <v>4.12</v>
      </c>
      <c r="N1956" s="1">
        <v>0.70293000000000005</v>
      </c>
      <c r="O1956" s="3">
        <f>VLOOKUP(D1956,underlying!$D$40:$H$75,5,FALSE)</f>
        <v>-3.25</v>
      </c>
      <c r="P1956" s="4">
        <f t="shared" si="67"/>
        <v>42775</v>
      </c>
      <c r="Q1956" s="7">
        <f>IF(G1956="C",NormalCallSprd(O1956,H1956,M1956,(P1956-A1956)/365), NormalPutSprd(O1956,H1956,M1956,(P1956-A1956)/365))</f>
        <v>0.25010537474636396</v>
      </c>
      <c r="R1956" s="9">
        <f t="shared" si="69"/>
        <v>1.0537474636396205E-4</v>
      </c>
    </row>
    <row r="1957" spans="1:18" x14ac:dyDescent="0.2">
      <c r="A1957" s="2">
        <v>42622</v>
      </c>
      <c r="B1957" s="1" t="s">
        <v>56</v>
      </c>
      <c r="C1957" s="1" t="s">
        <v>57</v>
      </c>
      <c r="D1957" s="2">
        <v>42737</v>
      </c>
      <c r="E1957" s="2">
        <f t="shared" si="68"/>
        <v>42767</v>
      </c>
      <c r="F1957" s="1" t="s">
        <v>58</v>
      </c>
      <c r="G1957" s="1" t="s">
        <v>18</v>
      </c>
      <c r="H1957" s="1">
        <v>-0.75</v>
      </c>
      <c r="I1957" s="1">
        <v>2.74</v>
      </c>
      <c r="J1957" s="1">
        <v>-0.01</v>
      </c>
      <c r="K1957" s="2">
        <v>42980</v>
      </c>
      <c r="L1957" s="1">
        <v>3716</v>
      </c>
      <c r="M1957" s="1">
        <v>4.12</v>
      </c>
      <c r="N1957" s="1">
        <v>0.72335000000000005</v>
      </c>
      <c r="O1957" s="3">
        <f>VLOOKUP(D1957,underlying!$D$40:$H$75,5,FALSE)</f>
        <v>-3.25</v>
      </c>
      <c r="P1957" s="4">
        <f t="shared" si="67"/>
        <v>42775</v>
      </c>
      <c r="Q1957" s="7">
        <f>IF(G1957="C",NormalCallSprd(O1957,H1957,M1957,(P1957-A1957)/365), NormalPutSprd(O1957,H1957,M1957,(P1957-A1957)/365))</f>
        <v>2.7501053747463637</v>
      </c>
      <c r="R1957" s="9">
        <f t="shared" si="69"/>
        <v>1.0105374746363527E-2</v>
      </c>
    </row>
    <row r="1958" spans="1:18" x14ac:dyDescent="0.2">
      <c r="A1958" s="2">
        <v>42622</v>
      </c>
      <c r="B1958" s="1" t="s">
        <v>56</v>
      </c>
      <c r="C1958" s="1" t="s">
        <v>57</v>
      </c>
      <c r="D1958" s="2">
        <v>42737</v>
      </c>
      <c r="E1958" s="2">
        <f t="shared" si="68"/>
        <v>42767</v>
      </c>
      <c r="F1958" s="1" t="s">
        <v>58</v>
      </c>
      <c r="G1958" s="1" t="s">
        <v>16</v>
      </c>
      <c r="H1958" s="1">
        <v>-0.5</v>
      </c>
      <c r="I1958" s="1">
        <v>0.21</v>
      </c>
      <c r="J1958" s="1">
        <v>0</v>
      </c>
      <c r="K1958" s="2">
        <v>42980</v>
      </c>
      <c r="L1958" s="1">
        <v>3716</v>
      </c>
      <c r="M1958" s="1">
        <v>4.12</v>
      </c>
      <c r="N1958" s="1">
        <v>0.74302999999999997</v>
      </c>
      <c r="O1958" s="3">
        <f>VLOOKUP(D1958,underlying!$D$40:$H$75,5,FALSE)</f>
        <v>-3.25</v>
      </c>
      <c r="P1958" s="4">
        <f t="shared" si="67"/>
        <v>42775</v>
      </c>
      <c r="Q1958" s="7">
        <f>IF(G1958="C",NormalCallSprd(O1958,H1958,M1958,(P1958-A1958)/365), NormalPutSprd(O1958,H1958,M1958,(P1958-A1958)/365))</f>
        <v>0.20944905743418715</v>
      </c>
      <c r="R1958" s="9">
        <f t="shared" si="69"/>
        <v>5.5094256581283974E-4</v>
      </c>
    </row>
    <row r="1959" spans="1:18" x14ac:dyDescent="0.2">
      <c r="A1959" s="2">
        <v>42622</v>
      </c>
      <c r="B1959" s="1" t="s">
        <v>56</v>
      </c>
      <c r="C1959" s="1" t="s">
        <v>57</v>
      </c>
      <c r="D1959" s="2">
        <v>42737</v>
      </c>
      <c r="E1959" s="2">
        <f t="shared" si="68"/>
        <v>42767</v>
      </c>
      <c r="F1959" s="1" t="s">
        <v>58</v>
      </c>
      <c r="G1959" s="1" t="s">
        <v>18</v>
      </c>
      <c r="H1959" s="1">
        <v>-0.5</v>
      </c>
      <c r="I1959" s="1">
        <v>2.95</v>
      </c>
      <c r="J1959" s="1">
        <v>-0.01</v>
      </c>
      <c r="K1959" s="2">
        <v>42980</v>
      </c>
      <c r="L1959" s="1">
        <v>3716</v>
      </c>
      <c r="M1959" s="1">
        <v>4.12</v>
      </c>
      <c r="N1959" s="1">
        <v>0.76190999999999998</v>
      </c>
      <c r="O1959" s="3">
        <f>VLOOKUP(D1959,underlying!$D$40:$H$75,5,FALSE)</f>
        <v>-3.25</v>
      </c>
      <c r="P1959" s="4">
        <f t="shared" si="67"/>
        <v>42775</v>
      </c>
      <c r="Q1959" s="7">
        <f>IF(G1959="C",NormalCallSprd(O1959,H1959,M1959,(P1959-A1959)/365), NormalPutSprd(O1959,H1959,M1959,(P1959-A1959)/365))</f>
        <v>2.9594490574341874</v>
      </c>
      <c r="R1959" s="9">
        <f t="shared" si="69"/>
        <v>9.4490574341872247E-3</v>
      </c>
    </row>
    <row r="1960" spans="1:18" x14ac:dyDescent="0.2">
      <c r="A1960" s="2">
        <v>42622</v>
      </c>
      <c r="B1960" s="1" t="s">
        <v>56</v>
      </c>
      <c r="C1960" s="1" t="s">
        <v>57</v>
      </c>
      <c r="D1960" s="2">
        <v>42737</v>
      </c>
      <c r="E1960" s="2">
        <f t="shared" si="68"/>
        <v>42767</v>
      </c>
      <c r="F1960" s="1" t="s">
        <v>58</v>
      </c>
      <c r="G1960" s="1" t="s">
        <v>16</v>
      </c>
      <c r="H1960" s="1">
        <v>-0.25</v>
      </c>
      <c r="I1960" s="1">
        <v>0.17</v>
      </c>
      <c r="J1960" s="1">
        <v>-0.01</v>
      </c>
      <c r="K1960" s="2">
        <v>42980</v>
      </c>
      <c r="L1960" s="1">
        <v>3716</v>
      </c>
      <c r="M1960" s="1">
        <v>4.12</v>
      </c>
      <c r="N1960" s="1">
        <v>0.77995999999999999</v>
      </c>
      <c r="O1960" s="3">
        <f>VLOOKUP(D1960,underlying!$D$40:$H$75,5,FALSE)</f>
        <v>-3.25</v>
      </c>
      <c r="P1960" s="4">
        <f t="shared" si="67"/>
        <v>42775</v>
      </c>
      <c r="Q1960" s="7">
        <f>IF(G1960="C",NormalCallSprd(O1960,H1960,M1960,(P1960-A1960)/365), NormalPutSprd(O1960,H1960,M1960,(P1960-A1960)/365))</f>
        <v>0.17428711377202308</v>
      </c>
      <c r="R1960" s="9">
        <f t="shared" si="69"/>
        <v>4.2871137720230656E-3</v>
      </c>
    </row>
    <row r="1961" spans="1:18" x14ac:dyDescent="0.2">
      <c r="A1961" s="2">
        <v>42622</v>
      </c>
      <c r="B1961" s="1" t="s">
        <v>56</v>
      </c>
      <c r="C1961" s="1" t="s">
        <v>57</v>
      </c>
      <c r="D1961" s="2">
        <v>42737</v>
      </c>
      <c r="E1961" s="2">
        <f t="shared" si="68"/>
        <v>42767</v>
      </c>
      <c r="F1961" s="1" t="s">
        <v>58</v>
      </c>
      <c r="G1961" s="1" t="s">
        <v>18</v>
      </c>
      <c r="H1961" s="1">
        <v>-0.25</v>
      </c>
      <c r="I1961" s="1">
        <v>3.17</v>
      </c>
      <c r="J1961" s="1">
        <v>0</v>
      </c>
      <c r="K1961" s="2">
        <v>42980</v>
      </c>
      <c r="L1961" s="1">
        <v>3716</v>
      </c>
      <c r="M1961" s="1">
        <v>4.12</v>
      </c>
      <c r="N1961" s="1">
        <v>0.82892999999999994</v>
      </c>
      <c r="O1961" s="3">
        <f>VLOOKUP(D1961,underlying!$D$40:$H$75,5,FALSE)</f>
        <v>-3.25</v>
      </c>
      <c r="P1961" s="4">
        <f t="shared" si="67"/>
        <v>42775</v>
      </c>
      <c r="Q1961" s="7">
        <f>IF(G1961="C",NormalCallSprd(O1961,H1961,M1961,(P1961-A1961)/365), NormalPutSprd(O1961,H1961,M1961,(P1961-A1961)/365))</f>
        <v>3.174287113772023</v>
      </c>
      <c r="R1961" s="9">
        <f t="shared" si="69"/>
        <v>4.2871137720230656E-3</v>
      </c>
    </row>
    <row r="1962" spans="1:18" x14ac:dyDescent="0.2">
      <c r="A1962" s="2">
        <v>42622</v>
      </c>
      <c r="B1962" s="1" t="s">
        <v>56</v>
      </c>
      <c r="C1962" s="1" t="s">
        <v>57</v>
      </c>
      <c r="D1962" s="2">
        <v>42738</v>
      </c>
      <c r="E1962" s="2">
        <f t="shared" si="68"/>
        <v>42795</v>
      </c>
      <c r="F1962" s="1" t="s">
        <v>58</v>
      </c>
      <c r="G1962" s="1" t="s">
        <v>16</v>
      </c>
      <c r="H1962" s="1">
        <v>-11</v>
      </c>
      <c r="I1962" s="1">
        <v>7.98</v>
      </c>
      <c r="J1962" s="1">
        <v>0</v>
      </c>
      <c r="K1962" s="2">
        <v>42981</v>
      </c>
      <c r="L1962" s="1">
        <v>3716</v>
      </c>
      <c r="M1962" s="1">
        <v>4</v>
      </c>
      <c r="N1962" s="1">
        <v>0.88243000000000005</v>
      </c>
      <c r="O1962" s="3">
        <f>VLOOKUP(D1962,underlying!$D$40:$H$75,5,FALSE)</f>
        <v>-3</v>
      </c>
      <c r="P1962" s="4">
        <f t="shared" si="67"/>
        <v>42803</v>
      </c>
      <c r="Q1962" s="7">
        <f>IF(G1962="C",NormalCallSprd(O1962,H1962,M1962,(P1962-A1962)/365), NormalPutSprd(O1962,H1962,M1962,(P1962-A1962)/365))</f>
        <v>8.0018723296822074</v>
      </c>
      <c r="R1962" s="9">
        <f t="shared" si="69"/>
        <v>2.1872329682206981E-2</v>
      </c>
    </row>
    <row r="1963" spans="1:18" x14ac:dyDescent="0.2">
      <c r="A1963" s="2">
        <v>42622</v>
      </c>
      <c r="B1963" s="1" t="s">
        <v>56</v>
      </c>
      <c r="C1963" s="1" t="s">
        <v>57</v>
      </c>
      <c r="D1963" s="2">
        <v>42738</v>
      </c>
      <c r="E1963" s="2">
        <f t="shared" si="68"/>
        <v>42795</v>
      </c>
      <c r="F1963" s="1" t="s">
        <v>58</v>
      </c>
      <c r="G1963" s="1" t="s">
        <v>18</v>
      </c>
      <c r="H1963" s="1">
        <v>-11</v>
      </c>
      <c r="I1963" s="1">
        <v>0.01</v>
      </c>
      <c r="J1963" s="1">
        <v>0</v>
      </c>
      <c r="K1963" s="2">
        <v>42981</v>
      </c>
      <c r="L1963" s="1">
        <v>3716</v>
      </c>
      <c r="M1963" s="1">
        <v>4</v>
      </c>
      <c r="N1963" s="1">
        <v>0.92217000000000005</v>
      </c>
      <c r="O1963" s="3">
        <f>VLOOKUP(D1963,underlying!$D$40:$H$75,5,FALSE)</f>
        <v>-3</v>
      </c>
      <c r="P1963" s="4">
        <f t="shared" si="67"/>
        <v>42803</v>
      </c>
      <c r="Q1963" s="7">
        <f>IF(G1963="C",NormalCallSprd(O1963,H1963,M1963,(P1963-A1963)/365), NormalPutSprd(O1963,H1963,M1963,(P1963-A1963)/365))</f>
        <v>1.8723296822067527E-3</v>
      </c>
      <c r="R1963" s="9">
        <f t="shared" si="69"/>
        <v>8.1276703177932466E-3</v>
      </c>
    </row>
    <row r="1964" spans="1:18" x14ac:dyDescent="0.2">
      <c r="A1964" s="2">
        <v>42622</v>
      </c>
      <c r="B1964" s="1" t="s">
        <v>56</v>
      </c>
      <c r="C1964" s="1" t="s">
        <v>57</v>
      </c>
      <c r="D1964" s="2">
        <v>42738</v>
      </c>
      <c r="E1964" s="2">
        <f t="shared" si="68"/>
        <v>42795</v>
      </c>
      <c r="F1964" s="1" t="s">
        <v>58</v>
      </c>
      <c r="G1964" s="1" t="s">
        <v>16</v>
      </c>
      <c r="H1964" s="1">
        <v>-10</v>
      </c>
      <c r="I1964" s="1">
        <v>6.99</v>
      </c>
      <c r="J1964" s="1">
        <v>0</v>
      </c>
      <c r="K1964" s="2">
        <v>42981</v>
      </c>
      <c r="L1964" s="1">
        <v>3716</v>
      </c>
      <c r="M1964" s="1">
        <v>4.01</v>
      </c>
      <c r="N1964" s="1">
        <v>-0.74302999999999997</v>
      </c>
      <c r="O1964" s="3">
        <f>VLOOKUP(D1964,underlying!$D$40:$H$75,5,FALSE)</f>
        <v>-3</v>
      </c>
      <c r="P1964" s="4">
        <f t="shared" si="67"/>
        <v>42803</v>
      </c>
      <c r="Q1964" s="7">
        <f>IF(G1964="C",NormalCallSprd(O1964,H1964,M1964,(P1964-A1964)/365), NormalPutSprd(O1964,H1964,M1964,(P1964-A1964)/365))</f>
        <v>7.0060403361505559</v>
      </c>
      <c r="R1964" s="9">
        <f t="shared" si="69"/>
        <v>1.6040336150555667E-2</v>
      </c>
    </row>
    <row r="1965" spans="1:18" x14ac:dyDescent="0.2">
      <c r="A1965" s="2">
        <v>42622</v>
      </c>
      <c r="B1965" s="1" t="s">
        <v>56</v>
      </c>
      <c r="C1965" s="1" t="s">
        <v>57</v>
      </c>
      <c r="D1965" s="2">
        <v>42738</v>
      </c>
      <c r="E1965" s="2">
        <f t="shared" si="68"/>
        <v>42795</v>
      </c>
      <c r="F1965" s="1" t="s">
        <v>58</v>
      </c>
      <c r="G1965" s="1" t="s">
        <v>18</v>
      </c>
      <c r="H1965" s="1">
        <v>-10</v>
      </c>
      <c r="I1965" s="1">
        <v>0.01</v>
      </c>
      <c r="J1965" s="1">
        <v>0</v>
      </c>
      <c r="K1965" s="2">
        <v>42981</v>
      </c>
      <c r="L1965" s="1">
        <v>3716</v>
      </c>
      <c r="M1965" s="1">
        <v>4.01</v>
      </c>
      <c r="N1965" s="1">
        <v>-0.72392000000000001</v>
      </c>
      <c r="O1965" s="3">
        <f>VLOOKUP(D1965,underlying!$D$40:$H$75,5,FALSE)</f>
        <v>-3</v>
      </c>
      <c r="P1965" s="4">
        <f t="shared" si="67"/>
        <v>42803</v>
      </c>
      <c r="Q1965" s="7">
        <f>IF(G1965="C",NormalCallSprd(O1965,H1965,M1965,(P1965-A1965)/365), NormalPutSprd(O1965,H1965,M1965,(P1965-A1965)/365))</f>
        <v>6.0403361505555345E-3</v>
      </c>
      <c r="R1965" s="9">
        <f t="shared" si="69"/>
        <v>3.9596638494444657E-3</v>
      </c>
    </row>
    <row r="1966" spans="1:18" x14ac:dyDescent="0.2">
      <c r="A1966" s="2">
        <v>42622</v>
      </c>
      <c r="B1966" s="1" t="s">
        <v>56</v>
      </c>
      <c r="C1966" s="1" t="s">
        <v>57</v>
      </c>
      <c r="D1966" s="2">
        <v>42738</v>
      </c>
      <c r="E1966" s="2">
        <f t="shared" si="68"/>
        <v>42795</v>
      </c>
      <c r="F1966" s="1" t="s">
        <v>58</v>
      </c>
      <c r="G1966" s="1" t="s">
        <v>16</v>
      </c>
      <c r="H1966" s="1">
        <v>-9</v>
      </c>
      <c r="I1966" s="1">
        <v>6</v>
      </c>
      <c r="J1966" s="1">
        <v>0</v>
      </c>
      <c r="K1966" s="2">
        <v>42981</v>
      </c>
      <c r="L1966" s="1">
        <v>3716</v>
      </c>
      <c r="M1966" s="1">
        <v>4.01</v>
      </c>
      <c r="N1966" s="1">
        <v>-0.70345999999999997</v>
      </c>
      <c r="O1966" s="3">
        <f>VLOOKUP(D1966,underlying!$D$40:$H$75,5,FALSE)</f>
        <v>-3</v>
      </c>
      <c r="P1966" s="4">
        <f t="shared" si="67"/>
        <v>42803</v>
      </c>
      <c r="Q1966" s="7">
        <f>IF(G1966="C",NormalCallSprd(O1966,H1966,M1966,(P1966-A1966)/365), NormalPutSprd(O1966,H1966,M1966,(P1966-A1966)/365))</f>
        <v>6.0170527758752206</v>
      </c>
      <c r="R1966" s="9">
        <f t="shared" si="69"/>
        <v>1.7052775875220583E-2</v>
      </c>
    </row>
    <row r="1967" spans="1:18" x14ac:dyDescent="0.2">
      <c r="A1967" s="2">
        <v>42622</v>
      </c>
      <c r="B1967" s="1" t="s">
        <v>56</v>
      </c>
      <c r="C1967" s="1" t="s">
        <v>57</v>
      </c>
      <c r="D1967" s="2">
        <v>42738</v>
      </c>
      <c r="E1967" s="2">
        <f t="shared" si="68"/>
        <v>42795</v>
      </c>
      <c r="F1967" s="1" t="s">
        <v>58</v>
      </c>
      <c r="G1967" s="1" t="s">
        <v>18</v>
      </c>
      <c r="H1967" s="1">
        <v>-9</v>
      </c>
      <c r="I1967" s="1">
        <v>0.02</v>
      </c>
      <c r="J1967" s="1">
        <v>0</v>
      </c>
      <c r="K1967" s="2">
        <v>42981</v>
      </c>
      <c r="L1967" s="1">
        <v>3716</v>
      </c>
      <c r="M1967" s="1">
        <v>4.01</v>
      </c>
      <c r="N1967" s="1">
        <v>-0.68279000000000001</v>
      </c>
      <c r="O1967" s="3">
        <f>VLOOKUP(D1967,underlying!$D$40:$H$75,5,FALSE)</f>
        <v>-3</v>
      </c>
      <c r="P1967" s="4">
        <f t="shared" si="67"/>
        <v>42803</v>
      </c>
      <c r="Q1967" s="7">
        <f>IF(G1967="C",NormalCallSprd(O1967,H1967,M1967,(P1967-A1967)/365), NormalPutSprd(O1967,H1967,M1967,(P1967-A1967)/365))</f>
        <v>1.7052775875220444E-2</v>
      </c>
      <c r="R1967" s="9">
        <f t="shared" si="69"/>
        <v>2.9472241247795565E-3</v>
      </c>
    </row>
    <row r="1968" spans="1:18" x14ac:dyDescent="0.2">
      <c r="A1968" s="2">
        <v>42622</v>
      </c>
      <c r="B1968" s="1" t="s">
        <v>56</v>
      </c>
      <c r="C1968" s="1" t="s">
        <v>57</v>
      </c>
      <c r="D1968" s="2">
        <v>42738</v>
      </c>
      <c r="E1968" s="2">
        <f t="shared" si="68"/>
        <v>42795</v>
      </c>
      <c r="F1968" s="1" t="s">
        <v>58</v>
      </c>
      <c r="G1968" s="1" t="s">
        <v>16</v>
      </c>
      <c r="H1968" s="1">
        <v>-8</v>
      </c>
      <c r="I1968" s="1">
        <v>5.03</v>
      </c>
      <c r="J1968" s="1">
        <v>0</v>
      </c>
      <c r="K1968" s="2">
        <v>42981</v>
      </c>
      <c r="L1968" s="1">
        <v>3716</v>
      </c>
      <c r="M1968" s="1">
        <v>4.01</v>
      </c>
      <c r="N1968" s="1">
        <v>-0.66049999999999998</v>
      </c>
      <c r="O1968" s="3">
        <f>VLOOKUP(D1968,underlying!$D$40:$H$75,5,FALSE)</f>
        <v>-3</v>
      </c>
      <c r="P1968" s="4">
        <f t="shared" si="67"/>
        <v>42803</v>
      </c>
      <c r="Q1968" s="7">
        <f>IF(G1968="C",NormalCallSprd(O1968,H1968,M1968,(P1968-A1968)/365), NormalPutSprd(O1968,H1968,M1968,(P1968-A1968)/365))</f>
        <v>5.0433872805930209</v>
      </c>
      <c r="R1968" s="9">
        <f t="shared" si="69"/>
        <v>1.3387280593020634E-2</v>
      </c>
    </row>
    <row r="1969" spans="1:18" x14ac:dyDescent="0.2">
      <c r="A1969" s="2">
        <v>42622</v>
      </c>
      <c r="B1969" s="1" t="s">
        <v>56</v>
      </c>
      <c r="C1969" s="1" t="s">
        <v>57</v>
      </c>
      <c r="D1969" s="2">
        <v>42738</v>
      </c>
      <c r="E1969" s="2">
        <f t="shared" si="68"/>
        <v>42795</v>
      </c>
      <c r="F1969" s="1" t="s">
        <v>58</v>
      </c>
      <c r="G1969" s="1" t="s">
        <v>18</v>
      </c>
      <c r="H1969" s="1">
        <v>-8</v>
      </c>
      <c r="I1969" s="1">
        <v>0.04</v>
      </c>
      <c r="J1969" s="1">
        <v>0</v>
      </c>
      <c r="K1969" s="2">
        <v>42981</v>
      </c>
      <c r="L1969" s="1">
        <v>3716</v>
      </c>
      <c r="M1969" s="1">
        <v>4.01</v>
      </c>
      <c r="N1969" s="1">
        <v>-0.63810999999999996</v>
      </c>
      <c r="O1969" s="3">
        <f>VLOOKUP(D1969,underlying!$D$40:$H$75,5,FALSE)</f>
        <v>-3</v>
      </c>
      <c r="P1969" s="4">
        <f t="shared" si="67"/>
        <v>42803</v>
      </c>
      <c r="Q1969" s="7">
        <f>IF(G1969="C",NormalCallSprd(O1969,H1969,M1969,(P1969-A1969)/365), NormalPutSprd(O1969,H1969,M1969,(P1969-A1969)/365))</f>
        <v>4.3387280593021327E-2</v>
      </c>
      <c r="R1969" s="9">
        <f t="shared" si="69"/>
        <v>3.3872805930213259E-3</v>
      </c>
    </row>
    <row r="1970" spans="1:18" x14ac:dyDescent="0.2">
      <c r="A1970" s="2">
        <v>42622</v>
      </c>
      <c r="B1970" s="1" t="s">
        <v>56</v>
      </c>
      <c r="C1970" s="1" t="s">
        <v>57</v>
      </c>
      <c r="D1970" s="2">
        <v>42738</v>
      </c>
      <c r="E1970" s="2">
        <f t="shared" si="68"/>
        <v>42795</v>
      </c>
      <c r="F1970" s="1" t="s">
        <v>58</v>
      </c>
      <c r="G1970" s="1" t="s">
        <v>16</v>
      </c>
      <c r="H1970" s="1">
        <v>-7.75</v>
      </c>
      <c r="I1970" s="1">
        <v>4.79</v>
      </c>
      <c r="J1970" s="1">
        <v>0</v>
      </c>
      <c r="K1970" s="2">
        <v>42981</v>
      </c>
      <c r="L1970" s="1">
        <v>3716</v>
      </c>
      <c r="M1970" s="1">
        <v>4.01</v>
      </c>
      <c r="N1970" s="1">
        <v>-0.61489000000000005</v>
      </c>
      <c r="O1970" s="3">
        <f>VLOOKUP(D1970,underlying!$D$40:$H$75,5,FALSE)</f>
        <v>-3</v>
      </c>
      <c r="P1970" s="4">
        <f t="shared" si="67"/>
        <v>42803</v>
      </c>
      <c r="Q1970" s="7">
        <f>IF(G1970="C",NormalCallSprd(O1970,H1970,M1970,(P1970-A1970)/365), NormalPutSprd(O1970,H1970,M1970,(P1970-A1970)/365))</f>
        <v>4.8039347460739075</v>
      </c>
      <c r="R1970" s="9">
        <f t="shared" si="69"/>
        <v>1.3934746073907434E-2</v>
      </c>
    </row>
    <row r="1971" spans="1:18" x14ac:dyDescent="0.2">
      <c r="A1971" s="2">
        <v>42622</v>
      </c>
      <c r="B1971" s="1" t="s">
        <v>56</v>
      </c>
      <c r="C1971" s="1" t="s">
        <v>57</v>
      </c>
      <c r="D1971" s="2">
        <v>42738</v>
      </c>
      <c r="E1971" s="2">
        <f t="shared" si="68"/>
        <v>42795</v>
      </c>
      <c r="F1971" s="1" t="s">
        <v>58</v>
      </c>
      <c r="G1971" s="1" t="s">
        <v>18</v>
      </c>
      <c r="H1971" s="1">
        <v>-7.75</v>
      </c>
      <c r="I1971" s="1">
        <v>0.05</v>
      </c>
      <c r="J1971" s="1">
        <v>0</v>
      </c>
      <c r="K1971" s="2">
        <v>42981</v>
      </c>
      <c r="L1971" s="1">
        <v>3716</v>
      </c>
      <c r="M1971" s="1">
        <v>4.01</v>
      </c>
      <c r="N1971" s="1">
        <v>-0.59214999999999995</v>
      </c>
      <c r="O1971" s="3">
        <f>VLOOKUP(D1971,underlying!$D$40:$H$75,5,FALSE)</f>
        <v>-3</v>
      </c>
      <c r="P1971" s="4">
        <f t="shared" si="67"/>
        <v>42803</v>
      </c>
      <c r="Q1971" s="7">
        <f>IF(G1971="C",NormalCallSprd(O1971,H1971,M1971,(P1971-A1971)/365), NormalPutSprd(O1971,H1971,M1971,(P1971-A1971)/365))</f>
        <v>5.393474607390731E-2</v>
      </c>
      <c r="R1971" s="9">
        <f t="shared" si="69"/>
        <v>3.9347460739073067E-3</v>
      </c>
    </row>
    <row r="1972" spans="1:18" x14ac:dyDescent="0.2">
      <c r="A1972" s="2">
        <v>42622</v>
      </c>
      <c r="B1972" s="1" t="s">
        <v>56</v>
      </c>
      <c r="C1972" s="1" t="s">
        <v>57</v>
      </c>
      <c r="D1972" s="2">
        <v>42738</v>
      </c>
      <c r="E1972" s="2">
        <f t="shared" si="68"/>
        <v>42795</v>
      </c>
      <c r="F1972" s="1" t="s">
        <v>58</v>
      </c>
      <c r="G1972" s="1" t="s">
        <v>16</v>
      </c>
      <c r="H1972" s="1">
        <v>-7.5</v>
      </c>
      <c r="I1972" s="1">
        <v>4.5599999999999996</v>
      </c>
      <c r="J1972" s="1">
        <v>0</v>
      </c>
      <c r="K1972" s="2">
        <v>42981</v>
      </c>
      <c r="L1972" s="1">
        <v>3716</v>
      </c>
      <c r="M1972" s="1">
        <v>4.01</v>
      </c>
      <c r="N1972" s="1">
        <v>-0.56820999999999999</v>
      </c>
      <c r="O1972" s="3">
        <f>VLOOKUP(D1972,underlying!$D$40:$H$75,5,FALSE)</f>
        <v>-3</v>
      </c>
      <c r="P1972" s="4">
        <f t="shared" si="67"/>
        <v>42803</v>
      </c>
      <c r="Q1972" s="7">
        <f>IF(G1972="C",NormalCallSprd(O1972,H1972,M1972,(P1972-A1972)/365), NormalPutSprd(O1972,H1972,M1972,(P1972-A1972)/365))</f>
        <v>4.5666302825100802</v>
      </c>
      <c r="R1972" s="9">
        <f t="shared" si="69"/>
        <v>6.6302825100805762E-3</v>
      </c>
    </row>
    <row r="1973" spans="1:18" x14ac:dyDescent="0.2">
      <c r="A1973" s="2">
        <v>42622</v>
      </c>
      <c r="B1973" s="1" t="s">
        <v>56</v>
      </c>
      <c r="C1973" s="1" t="s">
        <v>57</v>
      </c>
      <c r="D1973" s="2">
        <v>42738</v>
      </c>
      <c r="E1973" s="2">
        <f t="shared" si="68"/>
        <v>42795</v>
      </c>
      <c r="F1973" s="1" t="s">
        <v>58</v>
      </c>
      <c r="G1973" s="1" t="s">
        <v>18</v>
      </c>
      <c r="H1973" s="1">
        <v>-7.5</v>
      </c>
      <c r="I1973" s="1">
        <v>7.0000000000000007E-2</v>
      </c>
      <c r="J1973" s="1">
        <v>0</v>
      </c>
      <c r="K1973" s="2">
        <v>42981</v>
      </c>
      <c r="L1973" s="1">
        <v>3716</v>
      </c>
      <c r="M1973" s="1">
        <v>4.01</v>
      </c>
      <c r="N1973" s="1">
        <v>-0.54425999999999997</v>
      </c>
      <c r="O1973" s="3">
        <f>VLOOKUP(D1973,underlying!$D$40:$H$75,5,FALSE)</f>
        <v>-3</v>
      </c>
      <c r="P1973" s="4">
        <f t="shared" si="67"/>
        <v>42803</v>
      </c>
      <c r="Q1973" s="7">
        <f>IF(G1973="C",NormalCallSprd(O1973,H1973,M1973,(P1973-A1973)/365), NormalPutSprd(O1973,H1973,M1973,(P1973-A1973)/365))</f>
        <v>6.6630282510080394E-2</v>
      </c>
      <c r="R1973" s="9">
        <f t="shared" si="69"/>
        <v>3.3697174899196131E-3</v>
      </c>
    </row>
    <row r="1974" spans="1:18" x14ac:dyDescent="0.2">
      <c r="A1974" s="2">
        <v>42622</v>
      </c>
      <c r="B1974" s="1" t="s">
        <v>56</v>
      </c>
      <c r="C1974" s="1" t="s">
        <v>57</v>
      </c>
      <c r="D1974" s="2">
        <v>42738</v>
      </c>
      <c r="E1974" s="2">
        <f t="shared" si="68"/>
        <v>42795</v>
      </c>
      <c r="F1974" s="1" t="s">
        <v>58</v>
      </c>
      <c r="G1974" s="1" t="s">
        <v>16</v>
      </c>
      <c r="H1974" s="1">
        <v>-7.25</v>
      </c>
      <c r="I1974" s="1">
        <v>4.32</v>
      </c>
      <c r="J1974" s="1">
        <v>0</v>
      </c>
      <c r="K1974" s="2">
        <v>42981</v>
      </c>
      <c r="L1974" s="1">
        <v>3716</v>
      </c>
      <c r="M1974" s="1">
        <v>4.01</v>
      </c>
      <c r="N1974" s="1">
        <v>-0.52005999999999997</v>
      </c>
      <c r="O1974" s="3">
        <f>VLOOKUP(D1974,underlying!$D$40:$H$75,5,FALSE)</f>
        <v>-3</v>
      </c>
      <c r="P1974" s="4">
        <f t="shared" si="67"/>
        <v>42803</v>
      </c>
      <c r="Q1974" s="7">
        <f>IF(G1974="C",NormalCallSprd(O1974,H1974,M1974,(P1974-A1974)/365), NormalPutSprd(O1974,H1974,M1974,(P1974-A1974)/365))</f>
        <v>4.3318086119237025</v>
      </c>
      <c r="R1974" s="9">
        <f t="shared" si="69"/>
        <v>1.1808611923702195E-2</v>
      </c>
    </row>
    <row r="1975" spans="1:18" x14ac:dyDescent="0.2">
      <c r="A1975" s="2">
        <v>42622</v>
      </c>
      <c r="B1975" s="1" t="s">
        <v>56</v>
      </c>
      <c r="C1975" s="1" t="s">
        <v>57</v>
      </c>
      <c r="D1975" s="2">
        <v>42738</v>
      </c>
      <c r="E1975" s="2">
        <f t="shared" si="68"/>
        <v>42795</v>
      </c>
      <c r="F1975" s="1" t="s">
        <v>58</v>
      </c>
      <c r="G1975" s="1" t="s">
        <v>18</v>
      </c>
      <c r="H1975" s="1">
        <v>-7.25</v>
      </c>
      <c r="I1975" s="1">
        <v>0.08</v>
      </c>
      <c r="J1975" s="1">
        <v>0</v>
      </c>
      <c r="K1975" s="2">
        <v>42981</v>
      </c>
      <c r="L1975" s="1">
        <v>3716</v>
      </c>
      <c r="M1975" s="1">
        <v>4.01</v>
      </c>
      <c r="N1975" s="1">
        <v>-0.49591000000000002</v>
      </c>
      <c r="O1975" s="3">
        <f>VLOOKUP(D1975,underlying!$D$40:$H$75,5,FALSE)</f>
        <v>-3</v>
      </c>
      <c r="P1975" s="4">
        <f t="shared" si="67"/>
        <v>42803</v>
      </c>
      <c r="Q1975" s="7">
        <f>IF(G1975="C",NormalCallSprd(O1975,H1975,M1975,(P1975-A1975)/365), NormalPutSprd(O1975,H1975,M1975,(P1975-A1975)/365))</f>
        <v>8.1808611923702673E-2</v>
      </c>
      <c r="R1975" s="9">
        <f t="shared" si="69"/>
        <v>1.8086119237026715E-3</v>
      </c>
    </row>
    <row r="1976" spans="1:18" x14ac:dyDescent="0.2">
      <c r="A1976" s="2">
        <v>42622</v>
      </c>
      <c r="B1976" s="1" t="s">
        <v>56</v>
      </c>
      <c r="C1976" s="1" t="s">
        <v>57</v>
      </c>
      <c r="D1976" s="2">
        <v>42738</v>
      </c>
      <c r="E1976" s="2">
        <f t="shared" si="68"/>
        <v>42795</v>
      </c>
      <c r="F1976" s="1" t="s">
        <v>58</v>
      </c>
      <c r="G1976" s="1" t="s">
        <v>16</v>
      </c>
      <c r="H1976" s="1">
        <v>-7</v>
      </c>
      <c r="I1976" s="1">
        <v>4.09</v>
      </c>
      <c r="J1976" s="1">
        <v>0</v>
      </c>
      <c r="K1976" s="2">
        <v>42981</v>
      </c>
      <c r="L1976" s="1">
        <v>3716</v>
      </c>
      <c r="M1976" s="1">
        <v>4.01</v>
      </c>
      <c r="N1976" s="1">
        <v>-0.47176000000000001</v>
      </c>
      <c r="O1976" s="3">
        <f>VLOOKUP(D1976,underlying!$D$40:$H$75,5,FALSE)</f>
        <v>-3</v>
      </c>
      <c r="P1976" s="4">
        <f t="shared" si="67"/>
        <v>42803</v>
      </c>
      <c r="Q1976" s="7">
        <f>IF(G1976="C",NormalCallSprd(O1976,H1976,M1976,(P1976-A1976)/365), NormalPutSprd(O1976,H1976,M1976,(P1976-A1976)/365))</f>
        <v>4.0998342387238438</v>
      </c>
      <c r="R1976" s="9">
        <f t="shared" si="69"/>
        <v>9.8342387238439244E-3</v>
      </c>
    </row>
    <row r="1977" spans="1:18" x14ac:dyDescent="0.2">
      <c r="A1977" s="2">
        <v>42622</v>
      </c>
      <c r="B1977" s="1" t="s">
        <v>56</v>
      </c>
      <c r="C1977" s="1" t="s">
        <v>57</v>
      </c>
      <c r="D1977" s="2">
        <v>42738</v>
      </c>
      <c r="E1977" s="2">
        <f t="shared" si="68"/>
        <v>42795</v>
      </c>
      <c r="F1977" s="1" t="s">
        <v>58</v>
      </c>
      <c r="G1977" s="1" t="s">
        <v>18</v>
      </c>
      <c r="H1977" s="1">
        <v>-7</v>
      </c>
      <c r="I1977" s="1">
        <v>0.1</v>
      </c>
      <c r="J1977" s="1">
        <v>0</v>
      </c>
      <c r="K1977" s="2">
        <v>42981</v>
      </c>
      <c r="L1977" s="1">
        <v>3716</v>
      </c>
      <c r="M1977" s="1">
        <v>4.01</v>
      </c>
      <c r="N1977" s="1">
        <v>-0.44756000000000001</v>
      </c>
      <c r="O1977" s="3">
        <f>VLOOKUP(D1977,underlying!$D$40:$H$75,5,FALSE)</f>
        <v>-3</v>
      </c>
      <c r="P1977" s="4">
        <f t="shared" ref="P1977:P2040" si="70">DATE(YEAR(K1977),DAY(K1977),MONTH(K1977))</f>
        <v>42803</v>
      </c>
      <c r="Q1977" s="7">
        <f>IF(G1977="C",NormalCallSprd(O1977,H1977,M1977,(P1977-A1977)/365), NormalPutSprd(O1977,H1977,M1977,(P1977-A1977)/365))</f>
        <v>9.9834238723843574E-2</v>
      </c>
      <c r="R1977" s="9">
        <f t="shared" si="69"/>
        <v>1.6576127615643144E-4</v>
      </c>
    </row>
    <row r="1978" spans="1:18" x14ac:dyDescent="0.2">
      <c r="A1978" s="2">
        <v>42622</v>
      </c>
      <c r="B1978" s="1" t="s">
        <v>56</v>
      </c>
      <c r="C1978" s="1" t="s">
        <v>57</v>
      </c>
      <c r="D1978" s="2">
        <v>42738</v>
      </c>
      <c r="E1978" s="2">
        <f t="shared" si="68"/>
        <v>42795</v>
      </c>
      <c r="F1978" s="1" t="s">
        <v>58</v>
      </c>
      <c r="G1978" s="1" t="s">
        <v>16</v>
      </c>
      <c r="H1978" s="1">
        <v>-6.75</v>
      </c>
      <c r="I1978" s="1">
        <v>3.86</v>
      </c>
      <c r="J1978" s="1">
        <v>0</v>
      </c>
      <c r="K1978" s="2">
        <v>42981</v>
      </c>
      <c r="L1978" s="1">
        <v>3716</v>
      </c>
      <c r="M1978" s="1">
        <v>4.01</v>
      </c>
      <c r="N1978" s="1">
        <v>-0.42360999999999999</v>
      </c>
      <c r="O1978" s="3">
        <f>VLOOKUP(D1978,underlying!$D$40:$H$75,5,FALSE)</f>
        <v>-3</v>
      </c>
      <c r="P1978" s="4">
        <f t="shared" si="70"/>
        <v>42803</v>
      </c>
      <c r="Q1978" s="7">
        <f>IF(G1978="C",NormalCallSprd(O1978,H1978,M1978,(P1978-A1978)/365), NormalPutSprd(O1978,H1978,M1978,(P1978-A1978)/365))</f>
        <v>3.871099720622063</v>
      </c>
      <c r="R1978" s="9">
        <f t="shared" si="69"/>
        <v>1.1099720622063103E-2</v>
      </c>
    </row>
    <row r="1979" spans="1:18" x14ac:dyDescent="0.2">
      <c r="A1979" s="2">
        <v>42622</v>
      </c>
      <c r="B1979" s="1" t="s">
        <v>56</v>
      </c>
      <c r="C1979" s="1" t="s">
        <v>57</v>
      </c>
      <c r="D1979" s="2">
        <v>42738</v>
      </c>
      <c r="E1979" s="2">
        <f t="shared" si="68"/>
        <v>42795</v>
      </c>
      <c r="F1979" s="1" t="s">
        <v>58</v>
      </c>
      <c r="G1979" s="1" t="s">
        <v>18</v>
      </c>
      <c r="H1979" s="1">
        <v>-6.75</v>
      </c>
      <c r="I1979" s="1">
        <v>0.12</v>
      </c>
      <c r="J1979" s="1">
        <v>0</v>
      </c>
      <c r="K1979" s="2">
        <v>42981</v>
      </c>
      <c r="L1979" s="1">
        <v>3716</v>
      </c>
      <c r="M1979" s="1">
        <v>4.01</v>
      </c>
      <c r="N1979" s="1">
        <v>-0.39966000000000002</v>
      </c>
      <c r="O1979" s="3">
        <f>VLOOKUP(D1979,underlying!$D$40:$H$75,5,FALSE)</f>
        <v>-3</v>
      </c>
      <c r="P1979" s="4">
        <f t="shared" si="70"/>
        <v>42803</v>
      </c>
      <c r="Q1979" s="7">
        <f>IF(G1979="C",NormalCallSprd(O1979,H1979,M1979,(P1979-A1979)/365), NormalPutSprd(O1979,H1979,M1979,(P1979-A1979)/365))</f>
        <v>0.12109972062206302</v>
      </c>
      <c r="R1979" s="9">
        <f t="shared" si="69"/>
        <v>1.0997206220630246E-3</v>
      </c>
    </row>
    <row r="1980" spans="1:18" x14ac:dyDescent="0.2">
      <c r="A1980" s="2">
        <v>42622</v>
      </c>
      <c r="B1980" s="1" t="s">
        <v>56</v>
      </c>
      <c r="C1980" s="1" t="s">
        <v>57</v>
      </c>
      <c r="D1980" s="2">
        <v>42738</v>
      </c>
      <c r="E1980" s="2">
        <f t="shared" si="68"/>
        <v>42795</v>
      </c>
      <c r="F1980" s="1" t="s">
        <v>58</v>
      </c>
      <c r="G1980" s="1" t="s">
        <v>16</v>
      </c>
      <c r="H1980" s="1">
        <v>-6.5</v>
      </c>
      <c r="I1980" s="1">
        <v>3.64</v>
      </c>
      <c r="J1980" s="1">
        <v>0</v>
      </c>
      <c r="K1980" s="2">
        <v>42981</v>
      </c>
      <c r="L1980" s="1">
        <v>3716</v>
      </c>
      <c r="M1980" s="1">
        <v>4.01</v>
      </c>
      <c r="N1980" s="1">
        <v>-0.37692999999999999</v>
      </c>
      <c r="O1980" s="3">
        <f>VLOOKUP(D1980,underlying!$D$40:$H$75,5,FALSE)</f>
        <v>-3</v>
      </c>
      <c r="P1980" s="4">
        <f t="shared" si="70"/>
        <v>42803</v>
      </c>
      <c r="Q1980" s="7">
        <f>IF(G1980="C",NormalCallSprd(O1980,H1980,M1980,(P1980-A1980)/365), NormalPutSprd(O1980,H1980,M1980,(P1980-A1980)/365))</f>
        <v>3.6460229926276324</v>
      </c>
      <c r="R1980" s="9">
        <f t="shared" si="69"/>
        <v>6.0229926276322843E-3</v>
      </c>
    </row>
    <row r="1981" spans="1:18" x14ac:dyDescent="0.2">
      <c r="A1981" s="2">
        <v>42622</v>
      </c>
      <c r="B1981" s="1" t="s">
        <v>56</v>
      </c>
      <c r="C1981" s="1" t="s">
        <v>57</v>
      </c>
      <c r="D1981" s="2">
        <v>42738</v>
      </c>
      <c r="E1981" s="2">
        <f t="shared" si="68"/>
        <v>42795</v>
      </c>
      <c r="F1981" s="1" t="s">
        <v>58</v>
      </c>
      <c r="G1981" s="1" t="s">
        <v>18</v>
      </c>
      <c r="H1981" s="1">
        <v>-6.5</v>
      </c>
      <c r="I1981" s="1">
        <v>0.15</v>
      </c>
      <c r="J1981" s="1">
        <v>0</v>
      </c>
      <c r="K1981" s="2">
        <v>42981</v>
      </c>
      <c r="L1981" s="1">
        <v>3716</v>
      </c>
      <c r="M1981" s="1">
        <v>4.01</v>
      </c>
      <c r="N1981" s="1">
        <v>-0.35332000000000002</v>
      </c>
      <c r="O1981" s="3">
        <f>VLOOKUP(D1981,underlying!$D$40:$H$75,5,FALSE)</f>
        <v>-3</v>
      </c>
      <c r="P1981" s="4">
        <f t="shared" si="70"/>
        <v>42803</v>
      </c>
      <c r="Q1981" s="7">
        <f>IF(G1981="C",NormalCallSprd(O1981,H1981,M1981,(P1981-A1981)/365), NormalPutSprd(O1981,H1981,M1981,(P1981-A1981)/365))</f>
        <v>0.14602299262763238</v>
      </c>
      <c r="R1981" s="9">
        <f t="shared" si="69"/>
        <v>3.9770073723676136E-3</v>
      </c>
    </row>
    <row r="1982" spans="1:18" x14ac:dyDescent="0.2">
      <c r="A1982" s="2">
        <v>42622</v>
      </c>
      <c r="B1982" s="1" t="s">
        <v>56</v>
      </c>
      <c r="C1982" s="1" t="s">
        <v>57</v>
      </c>
      <c r="D1982" s="2">
        <v>42738</v>
      </c>
      <c r="E1982" s="2">
        <f t="shared" si="68"/>
        <v>42795</v>
      </c>
      <c r="F1982" s="1" t="s">
        <v>58</v>
      </c>
      <c r="G1982" s="1" t="s">
        <v>16</v>
      </c>
      <c r="H1982" s="1">
        <v>-6.25</v>
      </c>
      <c r="I1982" s="1">
        <v>3.42</v>
      </c>
      <c r="J1982" s="1">
        <v>0</v>
      </c>
      <c r="K1982" s="2">
        <v>42981</v>
      </c>
      <c r="L1982" s="1">
        <v>3716</v>
      </c>
      <c r="M1982" s="1">
        <v>4.01</v>
      </c>
      <c r="N1982" s="1">
        <v>-0.33176</v>
      </c>
      <c r="O1982" s="3">
        <f>VLOOKUP(D1982,underlying!$D$40:$H$75,5,FALSE)</f>
        <v>-3</v>
      </c>
      <c r="P1982" s="4">
        <f t="shared" si="70"/>
        <v>42803</v>
      </c>
      <c r="Q1982" s="7">
        <f>IF(G1982="C",NormalCallSprd(O1982,H1982,M1982,(P1982-A1982)/365), NormalPutSprd(O1982,H1982,M1982,(P1982-A1982)/365))</f>
        <v>3.4250437028354028</v>
      </c>
      <c r="R1982" s="9">
        <f t="shared" si="69"/>
        <v>5.0437028354028968E-3</v>
      </c>
    </row>
    <row r="1983" spans="1:18" x14ac:dyDescent="0.2">
      <c r="A1983" s="2">
        <v>42622</v>
      </c>
      <c r="B1983" s="1" t="s">
        <v>56</v>
      </c>
      <c r="C1983" s="1" t="s">
        <v>57</v>
      </c>
      <c r="D1983" s="2">
        <v>42738</v>
      </c>
      <c r="E1983" s="2">
        <f t="shared" si="68"/>
        <v>42795</v>
      </c>
      <c r="F1983" s="1" t="s">
        <v>58</v>
      </c>
      <c r="G1983" s="1" t="s">
        <v>18</v>
      </c>
      <c r="H1983" s="1">
        <v>-6.25</v>
      </c>
      <c r="I1983" s="1">
        <v>0.17</v>
      </c>
      <c r="J1983" s="1">
        <v>-0.01</v>
      </c>
      <c r="K1983" s="2">
        <v>42981</v>
      </c>
      <c r="L1983" s="1">
        <v>3716</v>
      </c>
      <c r="M1983" s="1">
        <v>4.01</v>
      </c>
      <c r="N1983" s="1">
        <v>-0.30903000000000003</v>
      </c>
      <c r="O1983" s="3">
        <f>VLOOKUP(D1983,underlying!$D$40:$H$75,5,FALSE)</f>
        <v>-3</v>
      </c>
      <c r="P1983" s="4">
        <f t="shared" si="70"/>
        <v>42803</v>
      </c>
      <c r="Q1983" s="7">
        <f>IF(G1983="C",NormalCallSprd(O1983,H1983,M1983,(P1983-A1983)/365), NormalPutSprd(O1983,H1983,M1983,(P1983-A1983)/365))</f>
        <v>0.17504370283540277</v>
      </c>
      <c r="R1983" s="9">
        <f t="shared" si="69"/>
        <v>5.043702835402758E-3</v>
      </c>
    </row>
    <row r="1984" spans="1:18" x14ac:dyDescent="0.2">
      <c r="A1984" s="2">
        <v>42622</v>
      </c>
      <c r="B1984" s="1" t="s">
        <v>56</v>
      </c>
      <c r="C1984" s="1" t="s">
        <v>57</v>
      </c>
      <c r="D1984" s="2">
        <v>42738</v>
      </c>
      <c r="E1984" s="2">
        <f t="shared" si="68"/>
        <v>42795</v>
      </c>
      <c r="F1984" s="1" t="s">
        <v>58</v>
      </c>
      <c r="G1984" s="1" t="s">
        <v>16</v>
      </c>
      <c r="H1984" s="1">
        <v>-6</v>
      </c>
      <c r="I1984" s="1">
        <v>3.2</v>
      </c>
      <c r="J1984" s="1">
        <v>0</v>
      </c>
      <c r="K1984" s="2">
        <v>42981</v>
      </c>
      <c r="L1984" s="1">
        <v>3716</v>
      </c>
      <c r="M1984" s="1">
        <v>4.01</v>
      </c>
      <c r="N1984" s="1">
        <v>-0.28888000000000003</v>
      </c>
      <c r="O1984" s="3">
        <f>VLOOKUP(D1984,underlying!$D$40:$H$75,5,FALSE)</f>
        <v>-3</v>
      </c>
      <c r="P1984" s="4">
        <f t="shared" si="70"/>
        <v>42803</v>
      </c>
      <c r="Q1984" s="7">
        <f>IF(G1984="C",NormalCallSprd(O1984,H1984,M1984,(P1984-A1984)/365), NormalPutSprd(O1984,H1984,M1984,(P1984-A1984)/365))</f>
        <v>3.2086185541309411</v>
      </c>
      <c r="R1984" s="9">
        <f t="shared" si="69"/>
        <v>8.6185541309409253E-3</v>
      </c>
    </row>
    <row r="1985" spans="1:18" x14ac:dyDescent="0.2">
      <c r="A1985" s="2">
        <v>42622</v>
      </c>
      <c r="B1985" s="1" t="s">
        <v>56</v>
      </c>
      <c r="C1985" s="1" t="s">
        <v>57</v>
      </c>
      <c r="D1985" s="2">
        <v>42738</v>
      </c>
      <c r="E1985" s="2">
        <f t="shared" si="68"/>
        <v>42795</v>
      </c>
      <c r="F1985" s="1" t="s">
        <v>58</v>
      </c>
      <c r="G1985" s="1" t="s">
        <v>18</v>
      </c>
      <c r="H1985" s="1">
        <v>-6</v>
      </c>
      <c r="I1985" s="1">
        <v>0.21</v>
      </c>
      <c r="J1985" s="1">
        <v>0</v>
      </c>
      <c r="K1985" s="2">
        <v>42981</v>
      </c>
      <c r="L1985" s="1">
        <v>3716</v>
      </c>
      <c r="M1985" s="1">
        <v>4.01</v>
      </c>
      <c r="N1985" s="1">
        <v>-0.26845999999999998</v>
      </c>
      <c r="O1985" s="3">
        <f>VLOOKUP(D1985,underlying!$D$40:$H$75,5,FALSE)</f>
        <v>-3</v>
      </c>
      <c r="P1985" s="4">
        <f t="shared" si="70"/>
        <v>42803</v>
      </c>
      <c r="Q1985" s="7">
        <f>IF(G1985="C",NormalCallSprd(O1985,H1985,M1985,(P1985-A1985)/365), NormalPutSprd(O1985,H1985,M1985,(P1985-A1985)/365))</f>
        <v>0.20861855413094113</v>
      </c>
      <c r="R1985" s="9">
        <f t="shared" si="69"/>
        <v>1.3814458690588616E-3</v>
      </c>
    </row>
    <row r="1986" spans="1:18" x14ac:dyDescent="0.2">
      <c r="A1986" s="2">
        <v>42622</v>
      </c>
      <c r="B1986" s="1" t="s">
        <v>56</v>
      </c>
      <c r="C1986" s="1" t="s">
        <v>57</v>
      </c>
      <c r="D1986" s="2">
        <v>42738</v>
      </c>
      <c r="E1986" s="2">
        <f t="shared" ref="E1986:E2049" si="71">DATE(YEAR(D1986),DAY(D1986),MONTH(D1986))</f>
        <v>42795</v>
      </c>
      <c r="F1986" s="1" t="s">
        <v>58</v>
      </c>
      <c r="G1986" s="1" t="s">
        <v>16</v>
      </c>
      <c r="H1986" s="1">
        <v>-5.75</v>
      </c>
      <c r="I1986" s="1">
        <v>2.99</v>
      </c>
      <c r="J1986" s="1">
        <v>0</v>
      </c>
      <c r="K1986" s="2">
        <v>42981</v>
      </c>
      <c r="L1986" s="1">
        <v>3716</v>
      </c>
      <c r="M1986" s="1">
        <v>4.01</v>
      </c>
      <c r="N1986" s="1">
        <v>-0.24879000000000001</v>
      </c>
      <c r="O1986" s="3">
        <f>VLOOKUP(D1986,underlying!$D$40:$H$75,5,FALSE)</f>
        <v>-3</v>
      </c>
      <c r="P1986" s="4">
        <f t="shared" si="70"/>
        <v>42803</v>
      </c>
      <c r="Q1986" s="7">
        <f>IF(G1986="C",NormalCallSprd(O1986,H1986,M1986,(P1986-A1986)/365), NormalPutSprd(O1986,H1986,M1986,(P1986-A1986)/365))</f>
        <v>2.997215686189044</v>
      </c>
      <c r="R1986" s="9">
        <f t="shared" si="69"/>
        <v>7.2156861890437796E-3</v>
      </c>
    </row>
    <row r="1987" spans="1:18" x14ac:dyDescent="0.2">
      <c r="A1987" s="2">
        <v>42622</v>
      </c>
      <c r="B1987" s="1" t="s">
        <v>56</v>
      </c>
      <c r="C1987" s="1" t="s">
        <v>57</v>
      </c>
      <c r="D1987" s="2">
        <v>42738</v>
      </c>
      <c r="E1987" s="2">
        <f t="shared" si="71"/>
        <v>42795</v>
      </c>
      <c r="F1987" s="1" t="s">
        <v>58</v>
      </c>
      <c r="G1987" s="1" t="s">
        <v>18</v>
      </c>
      <c r="H1987" s="1">
        <v>-5.75</v>
      </c>
      <c r="I1987" s="1">
        <v>0.25</v>
      </c>
      <c r="J1987" s="1">
        <v>0</v>
      </c>
      <c r="K1987" s="2">
        <v>42981</v>
      </c>
      <c r="L1987" s="1">
        <v>3716</v>
      </c>
      <c r="M1987" s="1">
        <v>4.01</v>
      </c>
      <c r="N1987" s="1">
        <v>-0.22991</v>
      </c>
      <c r="O1987" s="3">
        <f>VLOOKUP(D1987,underlying!$D$40:$H$75,5,FALSE)</f>
        <v>-3</v>
      </c>
      <c r="P1987" s="4">
        <f t="shared" si="70"/>
        <v>42803</v>
      </c>
      <c r="Q1987" s="7">
        <f>IF(G1987="C",NormalCallSprd(O1987,H1987,M1987,(P1987-A1987)/365), NormalPutSprd(O1987,H1987,M1987,(P1987-A1987)/365))</f>
        <v>0.24721568618904402</v>
      </c>
      <c r="R1987" s="9">
        <f t="shared" ref="R1987:R2050" si="72">ABS(Q1987-I1987)</f>
        <v>2.7843138109559795E-3</v>
      </c>
    </row>
    <row r="1988" spans="1:18" x14ac:dyDescent="0.2">
      <c r="A1988" s="2">
        <v>42622</v>
      </c>
      <c r="B1988" s="1" t="s">
        <v>56</v>
      </c>
      <c r="C1988" s="1" t="s">
        <v>57</v>
      </c>
      <c r="D1988" s="2">
        <v>42738</v>
      </c>
      <c r="E1988" s="2">
        <f t="shared" si="71"/>
        <v>42795</v>
      </c>
      <c r="F1988" s="1" t="s">
        <v>58</v>
      </c>
      <c r="G1988" s="1" t="s">
        <v>16</v>
      </c>
      <c r="H1988" s="1">
        <v>-5.5</v>
      </c>
      <c r="I1988" s="1">
        <v>2.78</v>
      </c>
      <c r="J1988" s="1">
        <v>-0.01</v>
      </c>
      <c r="K1988" s="2">
        <v>42981</v>
      </c>
      <c r="L1988" s="1">
        <v>3716</v>
      </c>
      <c r="M1988" s="1">
        <v>4.01</v>
      </c>
      <c r="N1988" s="1">
        <v>-0.21185000000000001</v>
      </c>
      <c r="O1988" s="3">
        <f>VLOOKUP(D1988,underlying!$D$40:$H$75,5,FALSE)</f>
        <v>-3</v>
      </c>
      <c r="P1988" s="4">
        <f t="shared" si="70"/>
        <v>42803</v>
      </c>
      <c r="Q1988" s="7">
        <f>IF(G1988="C",NormalCallSprd(O1988,H1988,M1988,(P1988-A1988)/365), NormalPutSprd(O1988,H1988,M1988,(P1988-A1988)/365))</f>
        <v>2.7913081755163605</v>
      </c>
      <c r="R1988" s="9">
        <f t="shared" si="72"/>
        <v>1.1308175516360652E-2</v>
      </c>
    </row>
    <row r="1989" spans="1:18" x14ac:dyDescent="0.2">
      <c r="A1989" s="2">
        <v>42622</v>
      </c>
      <c r="B1989" s="1" t="s">
        <v>56</v>
      </c>
      <c r="C1989" s="1" t="s">
        <v>57</v>
      </c>
      <c r="D1989" s="2">
        <v>42738</v>
      </c>
      <c r="E1989" s="2">
        <f t="shared" si="71"/>
        <v>42795</v>
      </c>
      <c r="F1989" s="1" t="s">
        <v>58</v>
      </c>
      <c r="G1989" s="1" t="s">
        <v>18</v>
      </c>
      <c r="H1989" s="1">
        <v>-5.5</v>
      </c>
      <c r="I1989" s="1">
        <v>0.28999999999999998</v>
      </c>
      <c r="J1989" s="1">
        <v>0</v>
      </c>
      <c r="K1989" s="2">
        <v>42981</v>
      </c>
      <c r="L1989" s="1">
        <v>3716</v>
      </c>
      <c r="M1989" s="1">
        <v>4.01</v>
      </c>
      <c r="N1989" s="1">
        <v>-0.16289000000000001</v>
      </c>
      <c r="O1989" s="3">
        <f>VLOOKUP(D1989,underlying!$D$40:$H$75,5,FALSE)</f>
        <v>-3</v>
      </c>
      <c r="P1989" s="4">
        <f t="shared" si="70"/>
        <v>42803</v>
      </c>
      <c r="Q1989" s="7">
        <f>IF(G1989="C",NormalCallSprd(O1989,H1989,M1989,(P1989-A1989)/365), NormalPutSprd(O1989,H1989,M1989,(P1989-A1989)/365))</f>
        <v>0.29130817551636051</v>
      </c>
      <c r="R1989" s="9">
        <f t="shared" si="72"/>
        <v>1.3081755163605324E-3</v>
      </c>
    </row>
    <row r="1990" spans="1:18" x14ac:dyDescent="0.2">
      <c r="A1990" s="2">
        <v>42622</v>
      </c>
      <c r="B1990" s="1" t="s">
        <v>56</v>
      </c>
      <c r="C1990" s="1" t="s">
        <v>57</v>
      </c>
      <c r="D1990" s="2">
        <v>42738</v>
      </c>
      <c r="E1990" s="2">
        <f t="shared" si="71"/>
        <v>42795</v>
      </c>
      <c r="F1990" s="1" t="s">
        <v>58</v>
      </c>
      <c r="G1990" s="1" t="s">
        <v>16</v>
      </c>
      <c r="H1990" s="1">
        <v>-5.25</v>
      </c>
      <c r="I1990" s="1">
        <v>2.58</v>
      </c>
      <c r="J1990" s="1">
        <v>-0.01</v>
      </c>
      <c r="K1990" s="2">
        <v>42981</v>
      </c>
      <c r="L1990" s="1">
        <v>3716</v>
      </c>
      <c r="M1990" s="1">
        <v>4.01</v>
      </c>
      <c r="N1990" s="1">
        <v>-0.10939</v>
      </c>
      <c r="O1990" s="3">
        <f>VLOOKUP(D1990,underlying!$D$40:$H$75,5,FALSE)</f>
        <v>-3</v>
      </c>
      <c r="P1990" s="4">
        <f t="shared" si="70"/>
        <v>42803</v>
      </c>
      <c r="Q1990" s="7">
        <f>IF(G1990="C",NormalCallSprd(O1990,H1990,M1990,(P1990-A1990)/365), NormalPutSprd(O1990,H1990,M1990,(P1990-A1990)/365))</f>
        <v>2.5913667756597292</v>
      </c>
      <c r="R1990" s="9">
        <f t="shared" si="72"/>
        <v>1.13667756597291E-2</v>
      </c>
    </row>
    <row r="1991" spans="1:18" x14ac:dyDescent="0.2">
      <c r="A1991" s="2">
        <v>42622</v>
      </c>
      <c r="B1991" s="1" t="s">
        <v>56</v>
      </c>
      <c r="C1991" s="1" t="s">
        <v>57</v>
      </c>
      <c r="D1991" s="2">
        <v>42738</v>
      </c>
      <c r="E1991" s="2">
        <f t="shared" si="71"/>
        <v>42795</v>
      </c>
      <c r="F1991" s="1" t="s">
        <v>58</v>
      </c>
      <c r="G1991" s="1" t="s">
        <v>18</v>
      </c>
      <c r="H1991" s="1">
        <v>-5.25</v>
      </c>
      <c r="I1991" s="1">
        <v>0.34</v>
      </c>
      <c r="J1991" s="1">
        <v>0</v>
      </c>
      <c r="K1991" s="2">
        <v>42981</v>
      </c>
      <c r="L1991" s="1">
        <v>3716</v>
      </c>
      <c r="M1991" s="1">
        <v>4.01</v>
      </c>
      <c r="N1991" s="1">
        <v>-6.9639999999999994E-2</v>
      </c>
      <c r="O1991" s="3">
        <f>VLOOKUP(D1991,underlying!$D$40:$H$75,5,FALSE)</f>
        <v>-3</v>
      </c>
      <c r="P1991" s="4">
        <f t="shared" si="70"/>
        <v>42803</v>
      </c>
      <c r="Q1991" s="7">
        <f>IF(G1991="C",NormalCallSprd(O1991,H1991,M1991,(P1991-A1991)/365), NormalPutSprd(O1991,H1991,M1991,(P1991-A1991)/365))</f>
        <v>0.34136677565972906</v>
      </c>
      <c r="R1991" s="9">
        <f t="shared" si="72"/>
        <v>1.3667756597290359E-3</v>
      </c>
    </row>
    <row r="1992" spans="1:18" x14ac:dyDescent="0.2">
      <c r="A1992" s="2">
        <v>42622</v>
      </c>
      <c r="B1992" s="1" t="s">
        <v>56</v>
      </c>
      <c r="C1992" s="1" t="s">
        <v>57</v>
      </c>
      <c r="D1992" s="2">
        <v>42738</v>
      </c>
      <c r="E1992" s="2">
        <f t="shared" si="71"/>
        <v>42795</v>
      </c>
      <c r="F1992" s="1" t="s">
        <v>58</v>
      </c>
      <c r="G1992" s="1" t="s">
        <v>16</v>
      </c>
      <c r="H1992" s="1">
        <v>-5</v>
      </c>
      <c r="I1992" s="1">
        <v>2.39</v>
      </c>
      <c r="J1992" s="1">
        <v>0</v>
      </c>
      <c r="K1992" s="2">
        <v>42981</v>
      </c>
      <c r="L1992" s="1">
        <v>3716</v>
      </c>
      <c r="M1992" s="1">
        <v>3.99</v>
      </c>
      <c r="N1992" s="1">
        <v>0.33205000000000001</v>
      </c>
      <c r="O1992" s="3">
        <f>VLOOKUP(D1992,underlying!$D$40:$H$75,5,FALSE)</f>
        <v>-3</v>
      </c>
      <c r="P1992" s="4">
        <f t="shared" si="70"/>
        <v>42803</v>
      </c>
      <c r="Q1992" s="7">
        <f>IF(G1992="C",NormalCallSprd(O1992,H1992,M1992,(P1992-A1992)/365), NormalPutSprd(O1992,H1992,M1992,(P1992-A1992)/365))</f>
        <v>2.3934853064407831</v>
      </c>
      <c r="R1992" s="9">
        <f t="shared" si="72"/>
        <v>3.4853064407829315E-3</v>
      </c>
    </row>
    <row r="1993" spans="1:18" x14ac:dyDescent="0.2">
      <c r="A1993" s="2">
        <v>42622</v>
      </c>
      <c r="B1993" s="1" t="s">
        <v>56</v>
      </c>
      <c r="C1993" s="1" t="s">
        <v>57</v>
      </c>
      <c r="D1993" s="2">
        <v>42738</v>
      </c>
      <c r="E1993" s="2">
        <f t="shared" si="71"/>
        <v>42795</v>
      </c>
      <c r="F1993" s="1" t="s">
        <v>58</v>
      </c>
      <c r="G1993" s="1" t="s">
        <v>18</v>
      </c>
      <c r="H1993" s="1">
        <v>-5</v>
      </c>
      <c r="I1993" s="1">
        <v>0.39</v>
      </c>
      <c r="J1993" s="1">
        <v>0</v>
      </c>
      <c r="K1993" s="2">
        <v>42981</v>
      </c>
      <c r="L1993" s="1">
        <v>3716</v>
      </c>
      <c r="M1993" s="1">
        <v>3.99</v>
      </c>
      <c r="N1993" s="1">
        <v>0.34897</v>
      </c>
      <c r="O1993" s="3">
        <f>VLOOKUP(D1993,underlying!$D$40:$H$75,5,FALSE)</f>
        <v>-3</v>
      </c>
      <c r="P1993" s="4">
        <f t="shared" si="70"/>
        <v>42803</v>
      </c>
      <c r="Q1993" s="7">
        <f>IF(G1993="C",NormalCallSprd(O1993,H1993,M1993,(P1993-A1993)/365), NormalPutSprd(O1993,H1993,M1993,(P1993-A1993)/365))</f>
        <v>0.39348530644078328</v>
      </c>
      <c r="R1993" s="9">
        <f t="shared" si="72"/>
        <v>3.4853064407832646E-3</v>
      </c>
    </row>
    <row r="1994" spans="1:18" x14ac:dyDescent="0.2">
      <c r="A1994" s="2">
        <v>42622</v>
      </c>
      <c r="B1994" s="1" t="s">
        <v>56</v>
      </c>
      <c r="C1994" s="1" t="s">
        <v>57</v>
      </c>
      <c r="D1994" s="2">
        <v>42738</v>
      </c>
      <c r="E1994" s="2">
        <f t="shared" si="71"/>
        <v>42795</v>
      </c>
      <c r="F1994" s="1" t="s">
        <v>58</v>
      </c>
      <c r="G1994" s="1" t="s">
        <v>16</v>
      </c>
      <c r="H1994" s="1">
        <v>-4.75</v>
      </c>
      <c r="I1994" s="1">
        <v>2.21</v>
      </c>
      <c r="J1994" s="1">
        <v>0</v>
      </c>
      <c r="K1994" s="2">
        <v>42981</v>
      </c>
      <c r="L1994" s="1">
        <v>3716</v>
      </c>
      <c r="M1994" s="1">
        <v>4.01</v>
      </c>
      <c r="N1994" s="1">
        <v>0.36618000000000001</v>
      </c>
      <c r="O1994" s="3">
        <f>VLOOKUP(D1994,underlying!$D$40:$H$75,5,FALSE)</f>
        <v>-3</v>
      </c>
      <c r="P1994" s="4">
        <f t="shared" si="70"/>
        <v>42803</v>
      </c>
      <c r="Q1994" s="7">
        <f>IF(G1994="C",NormalCallSprd(O1994,H1994,M1994,(P1994-A1994)/365), NormalPutSprd(O1994,H1994,M1994,(P1994-A1994)/365))</f>
        <v>2.2112061896076844</v>
      </c>
      <c r="R1994" s="9">
        <f t="shared" si="72"/>
        <v>1.2061896076844825E-3</v>
      </c>
    </row>
    <row r="1995" spans="1:18" x14ac:dyDescent="0.2">
      <c r="A1995" s="2">
        <v>42622</v>
      </c>
      <c r="B1995" s="1" t="s">
        <v>56</v>
      </c>
      <c r="C1995" s="1" t="s">
        <v>57</v>
      </c>
      <c r="D1995" s="2">
        <v>42738</v>
      </c>
      <c r="E1995" s="2">
        <f t="shared" si="71"/>
        <v>42795</v>
      </c>
      <c r="F1995" s="1" t="s">
        <v>58</v>
      </c>
      <c r="G1995" s="1" t="s">
        <v>18</v>
      </c>
      <c r="H1995" s="1">
        <v>-4.75</v>
      </c>
      <c r="I1995" s="1">
        <v>0.46</v>
      </c>
      <c r="J1995" s="1">
        <v>0</v>
      </c>
      <c r="K1995" s="2">
        <v>42981</v>
      </c>
      <c r="L1995" s="1">
        <v>3716</v>
      </c>
      <c r="M1995" s="1">
        <v>4.01</v>
      </c>
      <c r="N1995" s="1">
        <v>0.38335999999999998</v>
      </c>
      <c r="O1995" s="3">
        <f>VLOOKUP(D1995,underlying!$D$40:$H$75,5,FALSE)</f>
        <v>-3</v>
      </c>
      <c r="P1995" s="4">
        <f t="shared" si="70"/>
        <v>42803</v>
      </c>
      <c r="Q1995" s="7">
        <f>IF(G1995="C",NormalCallSprd(O1995,H1995,M1995,(P1995-A1995)/365), NormalPutSprd(O1995,H1995,M1995,(P1995-A1995)/365))</f>
        <v>0.4612061896076845</v>
      </c>
      <c r="R1995" s="9">
        <f t="shared" si="72"/>
        <v>1.2061896076844825E-3</v>
      </c>
    </row>
    <row r="1996" spans="1:18" x14ac:dyDescent="0.2">
      <c r="A1996" s="2">
        <v>42622</v>
      </c>
      <c r="B1996" s="1" t="s">
        <v>56</v>
      </c>
      <c r="C1996" s="1" t="s">
        <v>57</v>
      </c>
      <c r="D1996" s="2">
        <v>42738</v>
      </c>
      <c r="E1996" s="2">
        <f t="shared" si="71"/>
        <v>42795</v>
      </c>
      <c r="F1996" s="1" t="s">
        <v>58</v>
      </c>
      <c r="G1996" s="1" t="s">
        <v>16</v>
      </c>
      <c r="H1996" s="1">
        <v>-4.5</v>
      </c>
      <c r="I1996" s="1">
        <v>2.02</v>
      </c>
      <c r="J1996" s="1">
        <v>0</v>
      </c>
      <c r="K1996" s="2">
        <v>42981</v>
      </c>
      <c r="L1996" s="1">
        <v>3716</v>
      </c>
      <c r="M1996" s="1">
        <v>3.99</v>
      </c>
      <c r="N1996" s="1">
        <v>0.40111999999999998</v>
      </c>
      <c r="O1996" s="3">
        <f>VLOOKUP(D1996,underlying!$D$40:$H$75,5,FALSE)</f>
        <v>-3</v>
      </c>
      <c r="P1996" s="4">
        <f t="shared" si="70"/>
        <v>42803</v>
      </c>
      <c r="Q1996" s="7">
        <f>IF(G1996="C",NormalCallSprd(O1996,H1996,M1996,(P1996-A1996)/365), NormalPutSprd(O1996,H1996,M1996,(P1996-A1996)/365))</f>
        <v>2.0269685983690402</v>
      </c>
      <c r="R1996" s="9">
        <f t="shared" si="72"/>
        <v>6.9685983690401798E-3</v>
      </c>
    </row>
    <row r="1997" spans="1:18" x14ac:dyDescent="0.2">
      <c r="A1997" s="2">
        <v>42622</v>
      </c>
      <c r="B1997" s="1" t="s">
        <v>56</v>
      </c>
      <c r="C1997" s="1" t="s">
        <v>57</v>
      </c>
      <c r="D1997" s="2">
        <v>42738</v>
      </c>
      <c r="E1997" s="2">
        <f t="shared" si="71"/>
        <v>42795</v>
      </c>
      <c r="F1997" s="1" t="s">
        <v>58</v>
      </c>
      <c r="G1997" s="1" t="s">
        <v>18</v>
      </c>
      <c r="H1997" s="1">
        <v>-4.5</v>
      </c>
      <c r="I1997" s="1">
        <v>0.53</v>
      </c>
      <c r="J1997" s="1">
        <v>0</v>
      </c>
      <c r="K1997" s="2">
        <v>42981</v>
      </c>
      <c r="L1997" s="1">
        <v>3716</v>
      </c>
      <c r="M1997" s="1">
        <v>3.99</v>
      </c>
      <c r="N1997" s="1">
        <v>0.41886000000000001</v>
      </c>
      <c r="O1997" s="3">
        <f>VLOOKUP(D1997,underlying!$D$40:$H$75,5,FALSE)</f>
        <v>-3</v>
      </c>
      <c r="P1997" s="4">
        <f t="shared" si="70"/>
        <v>42803</v>
      </c>
      <c r="Q1997" s="7">
        <f>IF(G1997="C",NormalCallSprd(O1997,H1997,M1997,(P1997-A1997)/365), NormalPutSprd(O1997,H1997,M1997,(P1997-A1997)/365))</f>
        <v>0.52696859836904042</v>
      </c>
      <c r="R1997" s="9">
        <f t="shared" si="72"/>
        <v>3.031401630959607E-3</v>
      </c>
    </row>
    <row r="1998" spans="1:18" x14ac:dyDescent="0.2">
      <c r="A1998" s="2">
        <v>42622</v>
      </c>
      <c r="B1998" s="1" t="s">
        <v>56</v>
      </c>
      <c r="C1998" s="1" t="s">
        <v>57</v>
      </c>
      <c r="D1998" s="2">
        <v>42738</v>
      </c>
      <c r="E1998" s="2">
        <f t="shared" si="71"/>
        <v>42795</v>
      </c>
      <c r="F1998" s="1" t="s">
        <v>58</v>
      </c>
      <c r="G1998" s="1" t="s">
        <v>16</v>
      </c>
      <c r="H1998" s="1">
        <v>-4.25</v>
      </c>
      <c r="I1998" s="1">
        <v>1.86</v>
      </c>
      <c r="J1998" s="1">
        <v>0</v>
      </c>
      <c r="K1998" s="2">
        <v>42981</v>
      </c>
      <c r="L1998" s="1">
        <v>3716</v>
      </c>
      <c r="M1998" s="1">
        <v>4.01</v>
      </c>
      <c r="N1998" s="1">
        <v>0.43718000000000001</v>
      </c>
      <c r="O1998" s="3">
        <f>VLOOKUP(D1998,underlying!$D$40:$H$75,5,FALSE)</f>
        <v>-3</v>
      </c>
      <c r="P1998" s="4">
        <f t="shared" si="70"/>
        <v>42803</v>
      </c>
      <c r="Q1998" s="7">
        <f>IF(G1998="C",NormalCallSprd(O1998,H1998,M1998,(P1998-A1998)/365), NormalPutSprd(O1998,H1998,M1998,(P1998-A1998)/365))</f>
        <v>1.8601471681651072</v>
      </c>
      <c r="R1998" s="9">
        <f t="shared" si="72"/>
        <v>1.4716816510706998E-4</v>
      </c>
    </row>
    <row r="1999" spans="1:18" x14ac:dyDescent="0.2">
      <c r="A1999" s="2">
        <v>42622</v>
      </c>
      <c r="B1999" s="1" t="s">
        <v>56</v>
      </c>
      <c r="C1999" s="1" t="s">
        <v>57</v>
      </c>
      <c r="D1999" s="2">
        <v>42738</v>
      </c>
      <c r="E1999" s="2">
        <f t="shared" si="71"/>
        <v>42795</v>
      </c>
      <c r="F1999" s="1" t="s">
        <v>58</v>
      </c>
      <c r="G1999" s="1" t="s">
        <v>18</v>
      </c>
      <c r="H1999" s="1">
        <v>-4.25</v>
      </c>
      <c r="I1999" s="1">
        <v>0.61</v>
      </c>
      <c r="J1999" s="1">
        <v>0</v>
      </c>
      <c r="K1999" s="2">
        <v>42981</v>
      </c>
      <c r="L1999" s="1">
        <v>3716</v>
      </c>
      <c r="M1999" s="1">
        <v>4.01</v>
      </c>
      <c r="N1999" s="1">
        <v>0.45540999999999998</v>
      </c>
      <c r="O1999" s="3">
        <f>VLOOKUP(D1999,underlying!$D$40:$H$75,5,FALSE)</f>
        <v>-3</v>
      </c>
      <c r="P1999" s="4">
        <f t="shared" si="70"/>
        <v>42803</v>
      </c>
      <c r="Q1999" s="7">
        <f>IF(G1999="C",NormalCallSprd(O1999,H1999,M1999,(P1999-A1999)/365), NormalPutSprd(O1999,H1999,M1999,(P1999-A1999)/365))</f>
        <v>0.61014716816510706</v>
      </c>
      <c r="R1999" s="9">
        <f t="shared" si="72"/>
        <v>1.4716816510706998E-4</v>
      </c>
    </row>
    <row r="2000" spans="1:18" x14ac:dyDescent="0.2">
      <c r="A2000" s="2">
        <v>42622</v>
      </c>
      <c r="B2000" s="1" t="s">
        <v>56</v>
      </c>
      <c r="C2000" s="1" t="s">
        <v>57</v>
      </c>
      <c r="D2000" s="2">
        <v>42738</v>
      </c>
      <c r="E2000" s="2">
        <f t="shared" si="71"/>
        <v>42795</v>
      </c>
      <c r="F2000" s="1" t="s">
        <v>58</v>
      </c>
      <c r="G2000" s="1" t="s">
        <v>16</v>
      </c>
      <c r="H2000" s="1">
        <v>-4</v>
      </c>
      <c r="I2000" s="1">
        <v>1.69</v>
      </c>
      <c r="J2000" s="1">
        <v>0</v>
      </c>
      <c r="K2000" s="2">
        <v>42981</v>
      </c>
      <c r="L2000" s="1">
        <v>3716</v>
      </c>
      <c r="M2000" s="1">
        <v>3.99</v>
      </c>
      <c r="N2000" s="1">
        <v>0.47377000000000002</v>
      </c>
      <c r="O2000" s="3">
        <f>VLOOKUP(D2000,underlying!$D$40:$H$75,5,FALSE)</f>
        <v>-3</v>
      </c>
      <c r="P2000" s="4">
        <f t="shared" si="70"/>
        <v>42803</v>
      </c>
      <c r="Q2000" s="7">
        <f>IF(G2000="C",NormalCallSprd(O2000,H2000,M2000,(P2000-A2000)/365), NormalPutSprd(O2000,H2000,M2000,(P2000-A2000)/365))</f>
        <v>1.6911759027194249</v>
      </c>
      <c r="R2000" s="9">
        <f t="shared" si="72"/>
        <v>1.175902719424915E-3</v>
      </c>
    </row>
    <row r="2001" spans="1:18" x14ac:dyDescent="0.2">
      <c r="A2001" s="2">
        <v>42622</v>
      </c>
      <c r="B2001" s="1" t="s">
        <v>56</v>
      </c>
      <c r="C2001" s="1" t="s">
        <v>57</v>
      </c>
      <c r="D2001" s="2">
        <v>42738</v>
      </c>
      <c r="E2001" s="2">
        <f t="shared" si="71"/>
        <v>42795</v>
      </c>
      <c r="F2001" s="1" t="s">
        <v>58</v>
      </c>
      <c r="G2001" s="1" t="s">
        <v>18</v>
      </c>
      <c r="H2001" s="1">
        <v>-4</v>
      </c>
      <c r="I2001" s="1">
        <v>0.69</v>
      </c>
      <c r="J2001" s="1">
        <v>0</v>
      </c>
      <c r="K2001" s="2">
        <v>42981</v>
      </c>
      <c r="L2001" s="1">
        <v>3716</v>
      </c>
      <c r="M2001" s="1">
        <v>3.99</v>
      </c>
      <c r="N2001" s="1">
        <v>0.49207000000000001</v>
      </c>
      <c r="O2001" s="3">
        <f>VLOOKUP(D2001,underlying!$D$40:$H$75,5,FALSE)</f>
        <v>-3</v>
      </c>
      <c r="P2001" s="4">
        <f t="shared" si="70"/>
        <v>42803</v>
      </c>
      <c r="Q2001" s="7">
        <f>IF(G2001="C",NormalCallSprd(O2001,H2001,M2001,(P2001-A2001)/365), NormalPutSprd(O2001,H2001,M2001,(P2001-A2001)/365))</f>
        <v>0.69117590271942475</v>
      </c>
      <c r="R2001" s="9">
        <f t="shared" si="72"/>
        <v>1.175902719424804E-3</v>
      </c>
    </row>
    <row r="2002" spans="1:18" x14ac:dyDescent="0.2">
      <c r="A2002" s="2">
        <v>42622</v>
      </c>
      <c r="B2002" s="1" t="s">
        <v>56</v>
      </c>
      <c r="C2002" s="1" t="s">
        <v>57</v>
      </c>
      <c r="D2002" s="2">
        <v>42738</v>
      </c>
      <c r="E2002" s="2">
        <f t="shared" si="71"/>
        <v>42795</v>
      </c>
      <c r="F2002" s="1" t="s">
        <v>58</v>
      </c>
      <c r="G2002" s="1" t="s">
        <v>16</v>
      </c>
      <c r="H2002" s="1">
        <v>-3.75</v>
      </c>
      <c r="I2002" s="1">
        <v>1.53</v>
      </c>
      <c r="J2002" s="1">
        <v>-0.01</v>
      </c>
      <c r="K2002" s="2">
        <v>42981</v>
      </c>
      <c r="L2002" s="1">
        <v>3716</v>
      </c>
      <c r="M2002" s="1">
        <v>4</v>
      </c>
      <c r="N2002" s="1">
        <v>0.51036000000000004</v>
      </c>
      <c r="O2002" s="3">
        <f>VLOOKUP(D2002,underlying!$D$40:$H$75,5,FALSE)</f>
        <v>-3</v>
      </c>
      <c r="P2002" s="4">
        <f t="shared" si="70"/>
        <v>42803</v>
      </c>
      <c r="Q2002" s="7">
        <f>IF(G2002="C",NormalCallSprd(O2002,H2002,M2002,(P2002-A2002)/365), NormalPutSprd(O2002,H2002,M2002,(P2002-A2002)/365))</f>
        <v>1.5383323658318138</v>
      </c>
      <c r="R2002" s="9">
        <f t="shared" si="72"/>
        <v>8.3323658318137372E-3</v>
      </c>
    </row>
    <row r="2003" spans="1:18" x14ac:dyDescent="0.2">
      <c r="A2003" s="2">
        <v>42622</v>
      </c>
      <c r="B2003" s="1" t="s">
        <v>56</v>
      </c>
      <c r="C2003" s="1" t="s">
        <v>57</v>
      </c>
      <c r="D2003" s="2">
        <v>42738</v>
      </c>
      <c r="E2003" s="2">
        <f t="shared" si="71"/>
        <v>42795</v>
      </c>
      <c r="F2003" s="1" t="s">
        <v>58</v>
      </c>
      <c r="G2003" s="1" t="s">
        <v>18</v>
      </c>
      <c r="H2003" s="1">
        <v>-3.75</v>
      </c>
      <c r="I2003" s="1">
        <v>0.79</v>
      </c>
      <c r="J2003" s="1">
        <v>0</v>
      </c>
      <c r="K2003" s="2">
        <v>42981</v>
      </c>
      <c r="L2003" s="1">
        <v>3716</v>
      </c>
      <c r="M2003" s="1">
        <v>4</v>
      </c>
      <c r="N2003" s="1">
        <v>0.52871999999999997</v>
      </c>
      <c r="O2003" s="3">
        <f>VLOOKUP(D2003,underlying!$D$40:$H$75,5,FALSE)</f>
        <v>-3</v>
      </c>
      <c r="P2003" s="4">
        <f t="shared" si="70"/>
        <v>42803</v>
      </c>
      <c r="Q2003" s="7">
        <f>IF(G2003="C",NormalCallSprd(O2003,H2003,M2003,(P2003-A2003)/365), NormalPutSprd(O2003,H2003,M2003,(P2003-A2003)/365))</f>
        <v>0.78833236583181376</v>
      </c>
      <c r="R2003" s="9">
        <f t="shared" si="72"/>
        <v>1.6676341681862716E-3</v>
      </c>
    </row>
    <row r="2004" spans="1:18" x14ac:dyDescent="0.2">
      <c r="A2004" s="2">
        <v>42622</v>
      </c>
      <c r="B2004" s="1" t="s">
        <v>56</v>
      </c>
      <c r="C2004" s="1" t="s">
        <v>57</v>
      </c>
      <c r="D2004" s="2">
        <v>42738</v>
      </c>
      <c r="E2004" s="2">
        <f t="shared" si="71"/>
        <v>42795</v>
      </c>
      <c r="F2004" s="1" t="s">
        <v>58</v>
      </c>
      <c r="G2004" s="1" t="s">
        <v>16</v>
      </c>
      <c r="H2004" s="1">
        <v>-3.5</v>
      </c>
      <c r="I2004" s="1">
        <v>1.39</v>
      </c>
      <c r="J2004" s="1">
        <v>0</v>
      </c>
      <c r="K2004" s="2">
        <v>42981</v>
      </c>
      <c r="L2004" s="1">
        <v>3716</v>
      </c>
      <c r="M2004" s="1">
        <v>4</v>
      </c>
      <c r="N2004" s="1">
        <v>0.54695000000000005</v>
      </c>
      <c r="O2004" s="3">
        <f>VLOOKUP(D2004,underlying!$D$40:$H$75,5,FALSE)</f>
        <v>-3</v>
      </c>
      <c r="P2004" s="4">
        <f t="shared" si="70"/>
        <v>42803</v>
      </c>
      <c r="Q2004" s="7">
        <f>IF(G2004="C",NormalCallSprd(O2004,H2004,M2004,(P2004-A2004)/365), NormalPutSprd(O2004,H2004,M2004,(P2004-A2004)/365))</f>
        <v>1.3913899149635616</v>
      </c>
      <c r="R2004" s="9">
        <f t="shared" si="72"/>
        <v>1.389914963561667E-3</v>
      </c>
    </row>
    <row r="2005" spans="1:18" x14ac:dyDescent="0.2">
      <c r="A2005" s="2">
        <v>42622</v>
      </c>
      <c r="B2005" s="1" t="s">
        <v>56</v>
      </c>
      <c r="C2005" s="1" t="s">
        <v>57</v>
      </c>
      <c r="D2005" s="2">
        <v>42738</v>
      </c>
      <c r="E2005" s="2">
        <f t="shared" si="71"/>
        <v>42795</v>
      </c>
      <c r="F2005" s="1" t="s">
        <v>58</v>
      </c>
      <c r="G2005" s="1" t="s">
        <v>18</v>
      </c>
      <c r="H2005" s="1">
        <v>-3.5</v>
      </c>
      <c r="I2005" s="1">
        <v>0.89</v>
      </c>
      <c r="J2005" s="1">
        <v>0</v>
      </c>
      <c r="K2005" s="2">
        <v>42981</v>
      </c>
      <c r="L2005" s="1">
        <v>3716</v>
      </c>
      <c r="M2005" s="1">
        <v>4</v>
      </c>
      <c r="N2005" s="1">
        <v>0.56527000000000005</v>
      </c>
      <c r="O2005" s="3">
        <f>VLOOKUP(D2005,underlying!$D$40:$H$75,5,FALSE)</f>
        <v>-3</v>
      </c>
      <c r="P2005" s="4">
        <f t="shared" si="70"/>
        <v>42803</v>
      </c>
      <c r="Q2005" s="7">
        <f>IF(G2005="C",NormalCallSprd(O2005,H2005,M2005,(P2005-A2005)/365), NormalPutSprd(O2005,H2005,M2005,(P2005-A2005)/365))</f>
        <v>0.89138991496356157</v>
      </c>
      <c r="R2005" s="9">
        <f t="shared" si="72"/>
        <v>1.389914963561556E-3</v>
      </c>
    </row>
    <row r="2006" spans="1:18" x14ac:dyDescent="0.2">
      <c r="A2006" s="2">
        <v>42622</v>
      </c>
      <c r="B2006" s="1" t="s">
        <v>56</v>
      </c>
      <c r="C2006" s="1" t="s">
        <v>57</v>
      </c>
      <c r="D2006" s="2">
        <v>42738</v>
      </c>
      <c r="E2006" s="2">
        <f t="shared" si="71"/>
        <v>42795</v>
      </c>
      <c r="F2006" s="1" t="s">
        <v>58</v>
      </c>
      <c r="G2006" s="1" t="s">
        <v>16</v>
      </c>
      <c r="H2006" s="1">
        <v>-3.25</v>
      </c>
      <c r="I2006" s="1">
        <v>1.25</v>
      </c>
      <c r="J2006" s="1">
        <v>-0.01</v>
      </c>
      <c r="K2006" s="2">
        <v>42981</v>
      </c>
      <c r="L2006" s="1">
        <v>3716</v>
      </c>
      <c r="M2006" s="1">
        <v>4.01</v>
      </c>
      <c r="N2006" s="1">
        <v>0.58275999999999994</v>
      </c>
      <c r="O2006" s="3">
        <f>VLOOKUP(D2006,underlying!$D$40:$H$75,5,FALSE)</f>
        <v>-3</v>
      </c>
      <c r="P2006" s="4">
        <f t="shared" si="70"/>
        <v>42803</v>
      </c>
      <c r="Q2006" s="7">
        <f>IF(G2006="C",NormalCallSprd(O2006,H2006,M2006,(P2006-A2006)/365), NormalPutSprd(O2006,H2006,M2006,(P2006-A2006)/365))</f>
        <v>1.2559537944905501</v>
      </c>
      <c r="R2006" s="9">
        <f t="shared" si="72"/>
        <v>5.9537944905501128E-3</v>
      </c>
    </row>
    <row r="2007" spans="1:18" x14ac:dyDescent="0.2">
      <c r="A2007" s="2">
        <v>42622</v>
      </c>
      <c r="B2007" s="1" t="s">
        <v>56</v>
      </c>
      <c r="C2007" s="1" t="s">
        <v>57</v>
      </c>
      <c r="D2007" s="2">
        <v>42738</v>
      </c>
      <c r="E2007" s="2">
        <f t="shared" si="71"/>
        <v>42795</v>
      </c>
      <c r="F2007" s="1" t="s">
        <v>58</v>
      </c>
      <c r="G2007" s="1" t="s">
        <v>18</v>
      </c>
      <c r="H2007" s="1">
        <v>-3.25</v>
      </c>
      <c r="I2007" s="1">
        <v>1</v>
      </c>
      <c r="J2007" s="1">
        <v>-0.01</v>
      </c>
      <c r="K2007" s="2">
        <v>42981</v>
      </c>
      <c r="L2007" s="1">
        <v>3716</v>
      </c>
      <c r="M2007" s="1">
        <v>4.01</v>
      </c>
      <c r="N2007" s="1">
        <v>0.60106999999999999</v>
      </c>
      <c r="O2007" s="3">
        <f>VLOOKUP(D2007,underlying!$D$40:$H$75,5,FALSE)</f>
        <v>-3</v>
      </c>
      <c r="P2007" s="4">
        <f t="shared" si="70"/>
        <v>42803</v>
      </c>
      <c r="Q2007" s="7">
        <f>IF(G2007="C",NormalCallSprd(O2007,H2007,M2007,(P2007-A2007)/365), NormalPutSprd(O2007,H2007,M2007,(P2007-A2007)/365))</f>
        <v>1.0059537944905501</v>
      </c>
      <c r="R2007" s="9">
        <f t="shared" si="72"/>
        <v>5.9537944905501128E-3</v>
      </c>
    </row>
    <row r="2008" spans="1:18" x14ac:dyDescent="0.2">
      <c r="A2008" s="2">
        <v>42622</v>
      </c>
      <c r="B2008" s="1" t="s">
        <v>56</v>
      </c>
      <c r="C2008" s="1" t="s">
        <v>57</v>
      </c>
      <c r="D2008" s="2">
        <v>42738</v>
      </c>
      <c r="E2008" s="2">
        <f t="shared" si="71"/>
        <v>42795</v>
      </c>
      <c r="F2008" s="1" t="s">
        <v>58</v>
      </c>
      <c r="G2008" s="1" t="s">
        <v>16</v>
      </c>
      <c r="H2008" s="1">
        <v>-3</v>
      </c>
      <c r="I2008" s="1">
        <v>1.1200000000000001</v>
      </c>
      <c r="J2008" s="1">
        <v>0</v>
      </c>
      <c r="K2008" s="2">
        <v>42981</v>
      </c>
      <c r="L2008" s="1">
        <v>3716</v>
      </c>
      <c r="M2008" s="1">
        <v>4</v>
      </c>
      <c r="N2008" s="1">
        <v>0.61795</v>
      </c>
      <c r="O2008" s="3">
        <f>VLOOKUP(D2008,underlying!$D$40:$H$75,5,FALSE)</f>
        <v>-3</v>
      </c>
      <c r="P2008" s="4">
        <f t="shared" si="70"/>
        <v>42803</v>
      </c>
      <c r="Q2008" s="7">
        <f>IF(G2008="C",NormalCallSprd(O2008,H2008,M2008,(P2008-A2008)/365), NormalPutSprd(O2008,H2008,M2008,(P2008-A2008)/365))</f>
        <v>1.1237324246348397</v>
      </c>
      <c r="R2008" s="9">
        <f t="shared" si="72"/>
        <v>3.7324246348395818E-3</v>
      </c>
    </row>
    <row r="2009" spans="1:18" x14ac:dyDescent="0.2">
      <c r="A2009" s="2">
        <v>42622</v>
      </c>
      <c r="B2009" s="1" t="s">
        <v>56</v>
      </c>
      <c r="C2009" s="1" t="s">
        <v>57</v>
      </c>
      <c r="D2009" s="2">
        <v>42738</v>
      </c>
      <c r="E2009" s="2">
        <f t="shared" si="71"/>
        <v>42795</v>
      </c>
      <c r="F2009" s="1" t="s">
        <v>58</v>
      </c>
      <c r="G2009" s="1" t="s">
        <v>18</v>
      </c>
      <c r="H2009" s="1">
        <v>-3</v>
      </c>
      <c r="I2009" s="1">
        <v>1.1200000000000001</v>
      </c>
      <c r="J2009" s="1">
        <v>0</v>
      </c>
      <c r="K2009" s="2">
        <v>42981</v>
      </c>
      <c r="L2009" s="1">
        <v>3716</v>
      </c>
      <c r="M2009" s="1">
        <v>4</v>
      </c>
      <c r="N2009" s="1">
        <v>0.63595000000000002</v>
      </c>
      <c r="O2009" s="3">
        <f>VLOOKUP(D2009,underlying!$D$40:$H$75,5,FALSE)</f>
        <v>-3</v>
      </c>
      <c r="P2009" s="4">
        <f t="shared" si="70"/>
        <v>42803</v>
      </c>
      <c r="Q2009" s="7">
        <f>IF(G2009="C",NormalCallSprd(O2009,H2009,M2009,(P2009-A2009)/365), NormalPutSprd(O2009,H2009,M2009,(P2009-A2009)/365))</f>
        <v>1.1237324246348397</v>
      </c>
      <c r="R2009" s="9">
        <f t="shared" si="72"/>
        <v>3.7324246348395818E-3</v>
      </c>
    </row>
    <row r="2010" spans="1:18" x14ac:dyDescent="0.2">
      <c r="A2010" s="2">
        <v>42622</v>
      </c>
      <c r="B2010" s="1" t="s">
        <v>56</v>
      </c>
      <c r="C2010" s="1" t="s">
        <v>57</v>
      </c>
      <c r="D2010" s="2">
        <v>42738</v>
      </c>
      <c r="E2010" s="2">
        <f t="shared" si="71"/>
        <v>42795</v>
      </c>
      <c r="F2010" s="1" t="s">
        <v>58</v>
      </c>
      <c r="G2010" s="1" t="s">
        <v>16</v>
      </c>
      <c r="H2010" s="1">
        <v>-2.75</v>
      </c>
      <c r="I2010" s="1">
        <v>1</v>
      </c>
      <c r="J2010" s="1">
        <v>-0.01</v>
      </c>
      <c r="K2010" s="2">
        <v>42981</v>
      </c>
      <c r="L2010" s="1">
        <v>3716</v>
      </c>
      <c r="M2010" s="1">
        <v>4.01</v>
      </c>
      <c r="N2010" s="1">
        <v>0.65208999999999995</v>
      </c>
      <c r="O2010" s="3">
        <f>VLOOKUP(D2010,underlying!$D$40:$H$75,5,FALSE)</f>
        <v>-3</v>
      </c>
      <c r="P2010" s="4">
        <f t="shared" si="70"/>
        <v>42803</v>
      </c>
      <c r="Q2010" s="7">
        <f>IF(G2010="C",NormalCallSprd(O2010,H2010,M2010,(P2010-A2010)/365), NormalPutSprd(O2010,H2010,M2010,(P2010-A2010)/365))</f>
        <v>1.0059537944905501</v>
      </c>
      <c r="R2010" s="9">
        <f t="shared" si="72"/>
        <v>5.9537944905501128E-3</v>
      </c>
    </row>
    <row r="2011" spans="1:18" x14ac:dyDescent="0.2">
      <c r="A2011" s="2">
        <v>42622</v>
      </c>
      <c r="B2011" s="1" t="s">
        <v>56</v>
      </c>
      <c r="C2011" s="1" t="s">
        <v>57</v>
      </c>
      <c r="D2011" s="2">
        <v>42738</v>
      </c>
      <c r="E2011" s="2">
        <f t="shared" si="71"/>
        <v>42795</v>
      </c>
      <c r="F2011" s="1" t="s">
        <v>58</v>
      </c>
      <c r="G2011" s="1" t="s">
        <v>18</v>
      </c>
      <c r="H2011" s="1">
        <v>-2.75</v>
      </c>
      <c r="I2011" s="1">
        <v>1.25</v>
      </c>
      <c r="J2011" s="1">
        <v>-0.01</v>
      </c>
      <c r="K2011" s="2">
        <v>42981</v>
      </c>
      <c r="L2011" s="1">
        <v>3716</v>
      </c>
      <c r="M2011" s="1">
        <v>4.01</v>
      </c>
      <c r="N2011" s="1">
        <v>0.66868000000000005</v>
      </c>
      <c r="O2011" s="3">
        <f>VLOOKUP(D2011,underlying!$D$40:$H$75,5,FALSE)</f>
        <v>-3</v>
      </c>
      <c r="P2011" s="4">
        <f t="shared" si="70"/>
        <v>42803</v>
      </c>
      <c r="Q2011" s="7">
        <f>IF(G2011="C",NormalCallSprd(O2011,H2011,M2011,(P2011-A2011)/365), NormalPutSprd(O2011,H2011,M2011,(P2011-A2011)/365))</f>
        <v>1.2559537944905501</v>
      </c>
      <c r="R2011" s="9">
        <f t="shared" si="72"/>
        <v>5.9537944905501128E-3</v>
      </c>
    </row>
    <row r="2012" spans="1:18" x14ac:dyDescent="0.2">
      <c r="A2012" s="2">
        <v>42622</v>
      </c>
      <c r="B2012" s="1" t="s">
        <v>56</v>
      </c>
      <c r="C2012" s="1" t="s">
        <v>57</v>
      </c>
      <c r="D2012" s="2">
        <v>42738</v>
      </c>
      <c r="E2012" s="2">
        <f t="shared" si="71"/>
        <v>42795</v>
      </c>
      <c r="F2012" s="1" t="s">
        <v>58</v>
      </c>
      <c r="G2012" s="1" t="s">
        <v>16</v>
      </c>
      <c r="H2012" s="1">
        <v>-2.5</v>
      </c>
      <c r="I2012" s="1">
        <v>0.89</v>
      </c>
      <c r="J2012" s="1">
        <v>0</v>
      </c>
      <c r="K2012" s="2">
        <v>42981</v>
      </c>
      <c r="L2012" s="1">
        <v>3716</v>
      </c>
      <c r="M2012" s="1">
        <v>4</v>
      </c>
      <c r="N2012" s="1">
        <v>0.68491000000000002</v>
      </c>
      <c r="O2012" s="3">
        <f>VLOOKUP(D2012,underlying!$D$40:$H$75,5,FALSE)</f>
        <v>-3</v>
      </c>
      <c r="P2012" s="4">
        <f t="shared" si="70"/>
        <v>42803</v>
      </c>
      <c r="Q2012" s="7">
        <f>IF(G2012="C",NormalCallSprd(O2012,H2012,M2012,(P2012-A2012)/365), NormalPutSprd(O2012,H2012,M2012,(P2012-A2012)/365))</f>
        <v>0.89138991496356157</v>
      </c>
      <c r="R2012" s="9">
        <f t="shared" si="72"/>
        <v>1.389914963561556E-3</v>
      </c>
    </row>
    <row r="2013" spans="1:18" x14ac:dyDescent="0.2">
      <c r="A2013" s="2">
        <v>42622</v>
      </c>
      <c r="B2013" s="1" t="s">
        <v>56</v>
      </c>
      <c r="C2013" s="1" t="s">
        <v>57</v>
      </c>
      <c r="D2013" s="2">
        <v>42738</v>
      </c>
      <c r="E2013" s="2">
        <f t="shared" si="71"/>
        <v>42795</v>
      </c>
      <c r="F2013" s="1" t="s">
        <v>58</v>
      </c>
      <c r="G2013" s="1" t="s">
        <v>18</v>
      </c>
      <c r="H2013" s="1">
        <v>-2.5</v>
      </c>
      <c r="I2013" s="1">
        <v>1.39</v>
      </c>
      <c r="J2013" s="1">
        <v>0</v>
      </c>
      <c r="K2013" s="2">
        <v>42981</v>
      </c>
      <c r="L2013" s="1">
        <v>3716</v>
      </c>
      <c r="M2013" s="1">
        <v>4</v>
      </c>
      <c r="N2013" s="1">
        <v>0.73121999999999998</v>
      </c>
      <c r="O2013" s="3">
        <f>VLOOKUP(D2013,underlying!$D$40:$H$75,5,FALSE)</f>
        <v>-3</v>
      </c>
      <c r="P2013" s="4">
        <f t="shared" si="70"/>
        <v>42803</v>
      </c>
      <c r="Q2013" s="7">
        <f>IF(G2013="C",NormalCallSprd(O2013,H2013,M2013,(P2013-A2013)/365), NormalPutSprd(O2013,H2013,M2013,(P2013-A2013)/365))</f>
        <v>1.3913899149635616</v>
      </c>
      <c r="R2013" s="9">
        <f t="shared" si="72"/>
        <v>1.389914963561667E-3</v>
      </c>
    </row>
    <row r="2014" spans="1:18" x14ac:dyDescent="0.2">
      <c r="A2014" s="2">
        <v>42622</v>
      </c>
      <c r="B2014" s="1" t="s">
        <v>56</v>
      </c>
      <c r="C2014" s="1" t="s">
        <v>57</v>
      </c>
      <c r="D2014" s="2">
        <v>42738</v>
      </c>
      <c r="E2014" s="2">
        <f t="shared" si="71"/>
        <v>42795</v>
      </c>
      <c r="F2014" s="1" t="s">
        <v>58</v>
      </c>
      <c r="G2014" s="1" t="s">
        <v>16</v>
      </c>
      <c r="H2014" s="1">
        <v>-2.25</v>
      </c>
      <c r="I2014" s="1">
        <v>0.79</v>
      </c>
      <c r="J2014" s="1">
        <v>0</v>
      </c>
      <c r="K2014" s="2">
        <v>42981</v>
      </c>
      <c r="L2014" s="1">
        <v>3716</v>
      </c>
      <c r="M2014" s="1">
        <v>4</v>
      </c>
      <c r="N2014" s="1">
        <v>0.78727999999999998</v>
      </c>
      <c r="O2014" s="3">
        <f>VLOOKUP(D2014,underlying!$D$40:$H$75,5,FALSE)</f>
        <v>-3</v>
      </c>
      <c r="P2014" s="4">
        <f t="shared" si="70"/>
        <v>42803</v>
      </c>
      <c r="Q2014" s="7">
        <f>IF(G2014="C",NormalCallSprd(O2014,H2014,M2014,(P2014-A2014)/365), NormalPutSprd(O2014,H2014,M2014,(P2014-A2014)/365))</f>
        <v>0.78833236583181376</v>
      </c>
      <c r="R2014" s="9">
        <f t="shared" si="72"/>
        <v>1.6676341681862716E-3</v>
      </c>
    </row>
    <row r="2015" spans="1:18" x14ac:dyDescent="0.2">
      <c r="A2015" s="2">
        <v>42622</v>
      </c>
      <c r="B2015" s="1" t="s">
        <v>56</v>
      </c>
      <c r="C2015" s="1" t="s">
        <v>57</v>
      </c>
      <c r="D2015" s="2">
        <v>42738</v>
      </c>
      <c r="E2015" s="2">
        <f t="shared" si="71"/>
        <v>42795</v>
      </c>
      <c r="F2015" s="1" t="s">
        <v>58</v>
      </c>
      <c r="G2015" s="1" t="s">
        <v>18</v>
      </c>
      <c r="H2015" s="1">
        <v>-2.25</v>
      </c>
      <c r="I2015" s="1">
        <v>1.53</v>
      </c>
      <c r="J2015" s="1">
        <v>-0.01</v>
      </c>
      <c r="K2015" s="2">
        <v>42981</v>
      </c>
      <c r="L2015" s="1">
        <v>3716</v>
      </c>
      <c r="M2015" s="1">
        <v>4</v>
      </c>
      <c r="N2015" s="1">
        <v>0.83536999999999995</v>
      </c>
      <c r="O2015" s="3">
        <f>VLOOKUP(D2015,underlying!$D$40:$H$75,5,FALSE)</f>
        <v>-3</v>
      </c>
      <c r="P2015" s="4">
        <f t="shared" si="70"/>
        <v>42803</v>
      </c>
      <c r="Q2015" s="7">
        <f>IF(G2015="C",NormalCallSprd(O2015,H2015,M2015,(P2015-A2015)/365), NormalPutSprd(O2015,H2015,M2015,(P2015-A2015)/365))</f>
        <v>1.5383323658318138</v>
      </c>
      <c r="R2015" s="9">
        <f t="shared" si="72"/>
        <v>8.3323658318137372E-3</v>
      </c>
    </row>
    <row r="2016" spans="1:18" x14ac:dyDescent="0.2">
      <c r="A2016" s="2">
        <v>42622</v>
      </c>
      <c r="B2016" s="1" t="s">
        <v>56</v>
      </c>
      <c r="C2016" s="1" t="s">
        <v>57</v>
      </c>
      <c r="D2016" s="2">
        <v>42738</v>
      </c>
      <c r="E2016" s="2">
        <f t="shared" si="71"/>
        <v>42795</v>
      </c>
      <c r="F2016" s="1" t="s">
        <v>58</v>
      </c>
      <c r="G2016" s="1" t="s">
        <v>16</v>
      </c>
      <c r="H2016" s="1">
        <v>-2</v>
      </c>
      <c r="I2016" s="1">
        <v>0.69</v>
      </c>
      <c r="J2016" s="1">
        <v>0</v>
      </c>
      <c r="K2016" s="2">
        <v>42981</v>
      </c>
      <c r="L2016" s="1">
        <v>3716</v>
      </c>
      <c r="M2016" s="1">
        <v>3.99</v>
      </c>
      <c r="N2016" s="1">
        <v>-0.65208999999999995</v>
      </c>
      <c r="O2016" s="3">
        <f>VLOOKUP(D2016,underlying!$D$40:$H$75,5,FALSE)</f>
        <v>-3</v>
      </c>
      <c r="P2016" s="4">
        <f t="shared" si="70"/>
        <v>42803</v>
      </c>
      <c r="Q2016" s="7">
        <f>IF(G2016="C",NormalCallSprd(O2016,H2016,M2016,(P2016-A2016)/365), NormalPutSprd(O2016,H2016,M2016,(P2016-A2016)/365))</f>
        <v>0.69117590271942475</v>
      </c>
      <c r="R2016" s="9">
        <f t="shared" si="72"/>
        <v>1.175902719424804E-3</v>
      </c>
    </row>
    <row r="2017" spans="1:18" x14ac:dyDescent="0.2">
      <c r="A2017" s="2">
        <v>42622</v>
      </c>
      <c r="B2017" s="1" t="s">
        <v>56</v>
      </c>
      <c r="C2017" s="1" t="s">
        <v>57</v>
      </c>
      <c r="D2017" s="2">
        <v>42738</v>
      </c>
      <c r="E2017" s="2">
        <f t="shared" si="71"/>
        <v>42795</v>
      </c>
      <c r="F2017" s="1" t="s">
        <v>58</v>
      </c>
      <c r="G2017" s="1" t="s">
        <v>18</v>
      </c>
      <c r="H2017" s="1">
        <v>-2</v>
      </c>
      <c r="I2017" s="1">
        <v>1.69</v>
      </c>
      <c r="J2017" s="1">
        <v>0</v>
      </c>
      <c r="K2017" s="2">
        <v>42981</v>
      </c>
      <c r="L2017" s="1">
        <v>3716</v>
      </c>
      <c r="M2017" s="1">
        <v>3.99</v>
      </c>
      <c r="N2017" s="1">
        <v>-0.63517000000000001</v>
      </c>
      <c r="O2017" s="3">
        <f>VLOOKUP(D2017,underlying!$D$40:$H$75,5,FALSE)</f>
        <v>-3</v>
      </c>
      <c r="P2017" s="4">
        <f t="shared" si="70"/>
        <v>42803</v>
      </c>
      <c r="Q2017" s="7">
        <f>IF(G2017="C",NormalCallSprd(O2017,H2017,M2017,(P2017-A2017)/365), NormalPutSprd(O2017,H2017,M2017,(P2017-A2017)/365))</f>
        <v>1.6911759027194249</v>
      </c>
      <c r="R2017" s="9">
        <f t="shared" si="72"/>
        <v>1.175902719424915E-3</v>
      </c>
    </row>
    <row r="2018" spans="1:18" x14ac:dyDescent="0.2">
      <c r="A2018" s="2">
        <v>42622</v>
      </c>
      <c r="B2018" s="1" t="s">
        <v>56</v>
      </c>
      <c r="C2018" s="1" t="s">
        <v>57</v>
      </c>
      <c r="D2018" s="2">
        <v>42738</v>
      </c>
      <c r="E2018" s="2">
        <f t="shared" si="71"/>
        <v>42795</v>
      </c>
      <c r="F2018" s="1" t="s">
        <v>58</v>
      </c>
      <c r="G2018" s="1" t="s">
        <v>16</v>
      </c>
      <c r="H2018" s="1">
        <v>-1.75</v>
      </c>
      <c r="I2018" s="1">
        <v>0.61</v>
      </c>
      <c r="J2018" s="1">
        <v>0</v>
      </c>
      <c r="K2018" s="2">
        <v>42981</v>
      </c>
      <c r="L2018" s="1">
        <v>3716</v>
      </c>
      <c r="M2018" s="1">
        <v>4.01</v>
      </c>
      <c r="N2018" s="1">
        <v>-0.61795</v>
      </c>
      <c r="O2018" s="3">
        <f>VLOOKUP(D2018,underlying!$D$40:$H$75,5,FALSE)</f>
        <v>-3</v>
      </c>
      <c r="P2018" s="4">
        <f t="shared" si="70"/>
        <v>42803</v>
      </c>
      <c r="Q2018" s="7">
        <f>IF(G2018="C",NormalCallSprd(O2018,H2018,M2018,(P2018-A2018)/365), NormalPutSprd(O2018,H2018,M2018,(P2018-A2018)/365))</f>
        <v>0.61014716816510706</v>
      </c>
      <c r="R2018" s="9">
        <f t="shared" si="72"/>
        <v>1.4716816510706998E-4</v>
      </c>
    </row>
    <row r="2019" spans="1:18" x14ac:dyDescent="0.2">
      <c r="A2019" s="2">
        <v>42622</v>
      </c>
      <c r="B2019" s="1" t="s">
        <v>56</v>
      </c>
      <c r="C2019" s="1" t="s">
        <v>57</v>
      </c>
      <c r="D2019" s="2">
        <v>42738</v>
      </c>
      <c r="E2019" s="2">
        <f t="shared" si="71"/>
        <v>42795</v>
      </c>
      <c r="F2019" s="1" t="s">
        <v>58</v>
      </c>
      <c r="G2019" s="1" t="s">
        <v>18</v>
      </c>
      <c r="H2019" s="1">
        <v>-1.75</v>
      </c>
      <c r="I2019" s="1">
        <v>1.86</v>
      </c>
      <c r="J2019" s="1">
        <v>0</v>
      </c>
      <c r="K2019" s="2">
        <v>42981</v>
      </c>
      <c r="L2019" s="1">
        <v>3716</v>
      </c>
      <c r="M2019" s="1">
        <v>4.01</v>
      </c>
      <c r="N2019" s="1">
        <v>-0.60077000000000003</v>
      </c>
      <c r="O2019" s="3">
        <f>VLOOKUP(D2019,underlying!$D$40:$H$75,5,FALSE)</f>
        <v>-3</v>
      </c>
      <c r="P2019" s="4">
        <f t="shared" si="70"/>
        <v>42803</v>
      </c>
      <c r="Q2019" s="7">
        <f>IF(G2019="C",NormalCallSprd(O2019,H2019,M2019,(P2019-A2019)/365), NormalPutSprd(O2019,H2019,M2019,(P2019-A2019)/365))</f>
        <v>1.8601471681651072</v>
      </c>
      <c r="R2019" s="9">
        <f t="shared" si="72"/>
        <v>1.4716816510706998E-4</v>
      </c>
    </row>
    <row r="2020" spans="1:18" x14ac:dyDescent="0.2">
      <c r="A2020" s="2">
        <v>42622</v>
      </c>
      <c r="B2020" s="1" t="s">
        <v>56</v>
      </c>
      <c r="C2020" s="1" t="s">
        <v>57</v>
      </c>
      <c r="D2020" s="2">
        <v>42738</v>
      </c>
      <c r="E2020" s="2">
        <f t="shared" si="71"/>
        <v>42795</v>
      </c>
      <c r="F2020" s="1" t="s">
        <v>58</v>
      </c>
      <c r="G2020" s="1" t="s">
        <v>16</v>
      </c>
      <c r="H2020" s="1">
        <v>-1.5</v>
      </c>
      <c r="I2020" s="1">
        <v>0.53</v>
      </c>
      <c r="J2020" s="1">
        <v>0</v>
      </c>
      <c r="K2020" s="2">
        <v>42981</v>
      </c>
      <c r="L2020" s="1">
        <v>3716</v>
      </c>
      <c r="M2020" s="1">
        <v>3.99</v>
      </c>
      <c r="N2020" s="1">
        <v>-0.58301000000000003</v>
      </c>
      <c r="O2020" s="3">
        <f>VLOOKUP(D2020,underlying!$D$40:$H$75,5,FALSE)</f>
        <v>-3</v>
      </c>
      <c r="P2020" s="4">
        <f t="shared" si="70"/>
        <v>42803</v>
      </c>
      <c r="Q2020" s="7">
        <f>IF(G2020="C",NormalCallSprd(O2020,H2020,M2020,(P2020-A2020)/365), NormalPutSprd(O2020,H2020,M2020,(P2020-A2020)/365))</f>
        <v>0.52696859836904042</v>
      </c>
      <c r="R2020" s="9">
        <f t="shared" si="72"/>
        <v>3.031401630959607E-3</v>
      </c>
    </row>
    <row r="2021" spans="1:18" x14ac:dyDescent="0.2">
      <c r="A2021" s="2">
        <v>42622</v>
      </c>
      <c r="B2021" s="1" t="s">
        <v>56</v>
      </c>
      <c r="C2021" s="1" t="s">
        <v>57</v>
      </c>
      <c r="D2021" s="2">
        <v>42738</v>
      </c>
      <c r="E2021" s="2">
        <f t="shared" si="71"/>
        <v>42795</v>
      </c>
      <c r="F2021" s="1" t="s">
        <v>58</v>
      </c>
      <c r="G2021" s="1" t="s">
        <v>18</v>
      </c>
      <c r="H2021" s="1">
        <v>-1.5</v>
      </c>
      <c r="I2021" s="1">
        <v>2.02</v>
      </c>
      <c r="J2021" s="1">
        <v>0</v>
      </c>
      <c r="K2021" s="2">
        <v>42981</v>
      </c>
      <c r="L2021" s="1">
        <v>3716</v>
      </c>
      <c r="M2021" s="1">
        <v>3.99</v>
      </c>
      <c r="N2021" s="1">
        <v>-0.56527000000000005</v>
      </c>
      <c r="O2021" s="3">
        <f>VLOOKUP(D2021,underlying!$D$40:$H$75,5,FALSE)</f>
        <v>-3</v>
      </c>
      <c r="P2021" s="4">
        <f t="shared" si="70"/>
        <v>42803</v>
      </c>
      <c r="Q2021" s="7">
        <f>IF(G2021="C",NormalCallSprd(O2021,H2021,M2021,(P2021-A2021)/365), NormalPutSprd(O2021,H2021,M2021,(P2021-A2021)/365))</f>
        <v>2.0269685983690402</v>
      </c>
      <c r="R2021" s="9">
        <f t="shared" si="72"/>
        <v>6.9685983690401798E-3</v>
      </c>
    </row>
    <row r="2022" spans="1:18" x14ac:dyDescent="0.2">
      <c r="A2022" s="2">
        <v>42622</v>
      </c>
      <c r="B2022" s="1" t="s">
        <v>56</v>
      </c>
      <c r="C2022" s="1" t="s">
        <v>57</v>
      </c>
      <c r="D2022" s="2">
        <v>42738</v>
      </c>
      <c r="E2022" s="2">
        <f t="shared" si="71"/>
        <v>42795</v>
      </c>
      <c r="F2022" s="1" t="s">
        <v>58</v>
      </c>
      <c r="G2022" s="1" t="s">
        <v>16</v>
      </c>
      <c r="H2022" s="1">
        <v>-1.25</v>
      </c>
      <c r="I2022" s="1">
        <v>0.46</v>
      </c>
      <c r="J2022" s="1">
        <v>0</v>
      </c>
      <c r="K2022" s="2">
        <v>42981</v>
      </c>
      <c r="L2022" s="1">
        <v>3716</v>
      </c>
      <c r="M2022" s="1">
        <v>4.01</v>
      </c>
      <c r="N2022" s="1">
        <v>-0.54695000000000005</v>
      </c>
      <c r="O2022" s="3">
        <f>VLOOKUP(D2022,underlying!$D$40:$H$75,5,FALSE)</f>
        <v>-3</v>
      </c>
      <c r="P2022" s="4">
        <f t="shared" si="70"/>
        <v>42803</v>
      </c>
      <c r="Q2022" s="7">
        <f>IF(G2022="C",NormalCallSprd(O2022,H2022,M2022,(P2022-A2022)/365), NormalPutSprd(O2022,H2022,M2022,(P2022-A2022)/365))</f>
        <v>0.4612061896076845</v>
      </c>
      <c r="R2022" s="9">
        <f t="shared" si="72"/>
        <v>1.2061896076844825E-3</v>
      </c>
    </row>
    <row r="2023" spans="1:18" x14ac:dyDescent="0.2">
      <c r="A2023" s="2">
        <v>42622</v>
      </c>
      <c r="B2023" s="1" t="s">
        <v>56</v>
      </c>
      <c r="C2023" s="1" t="s">
        <v>57</v>
      </c>
      <c r="D2023" s="2">
        <v>42738</v>
      </c>
      <c r="E2023" s="2">
        <f t="shared" si="71"/>
        <v>42795</v>
      </c>
      <c r="F2023" s="1" t="s">
        <v>58</v>
      </c>
      <c r="G2023" s="1" t="s">
        <v>18</v>
      </c>
      <c r="H2023" s="1">
        <v>-1.25</v>
      </c>
      <c r="I2023" s="1">
        <v>2.21</v>
      </c>
      <c r="J2023" s="1">
        <v>0</v>
      </c>
      <c r="K2023" s="2">
        <v>42981</v>
      </c>
      <c r="L2023" s="1">
        <v>3716</v>
      </c>
      <c r="M2023" s="1">
        <v>4.01</v>
      </c>
      <c r="N2023" s="1">
        <v>-0.52871999999999997</v>
      </c>
      <c r="O2023" s="3">
        <f>VLOOKUP(D2023,underlying!$D$40:$H$75,5,FALSE)</f>
        <v>-3</v>
      </c>
      <c r="P2023" s="4">
        <f t="shared" si="70"/>
        <v>42803</v>
      </c>
      <c r="Q2023" s="7">
        <f>IF(G2023="C",NormalCallSprd(O2023,H2023,M2023,(P2023-A2023)/365), NormalPutSprd(O2023,H2023,M2023,(P2023-A2023)/365))</f>
        <v>2.2112061896076844</v>
      </c>
      <c r="R2023" s="9">
        <f t="shared" si="72"/>
        <v>1.2061896076844825E-3</v>
      </c>
    </row>
    <row r="2024" spans="1:18" x14ac:dyDescent="0.2">
      <c r="A2024" s="2">
        <v>42622</v>
      </c>
      <c r="B2024" s="1" t="s">
        <v>56</v>
      </c>
      <c r="C2024" s="1" t="s">
        <v>57</v>
      </c>
      <c r="D2024" s="2">
        <v>42738</v>
      </c>
      <c r="E2024" s="2">
        <f t="shared" si="71"/>
        <v>42795</v>
      </c>
      <c r="F2024" s="1" t="s">
        <v>58</v>
      </c>
      <c r="G2024" s="1" t="s">
        <v>16</v>
      </c>
      <c r="H2024" s="1">
        <v>-1</v>
      </c>
      <c r="I2024" s="1">
        <v>0.39</v>
      </c>
      <c r="J2024" s="1">
        <v>0</v>
      </c>
      <c r="K2024" s="2">
        <v>42981</v>
      </c>
      <c r="L2024" s="1">
        <v>3716</v>
      </c>
      <c r="M2024" s="1">
        <v>3.99</v>
      </c>
      <c r="N2024" s="1">
        <v>-0.51036000000000004</v>
      </c>
      <c r="O2024" s="3">
        <f>VLOOKUP(D2024,underlying!$D$40:$H$75,5,FALSE)</f>
        <v>-3</v>
      </c>
      <c r="P2024" s="4">
        <f t="shared" si="70"/>
        <v>42803</v>
      </c>
      <c r="Q2024" s="7">
        <f>IF(G2024="C",NormalCallSprd(O2024,H2024,M2024,(P2024-A2024)/365), NormalPutSprd(O2024,H2024,M2024,(P2024-A2024)/365))</f>
        <v>0.39348530644078328</v>
      </c>
      <c r="R2024" s="9">
        <f t="shared" si="72"/>
        <v>3.4853064407832646E-3</v>
      </c>
    </row>
    <row r="2025" spans="1:18" x14ac:dyDescent="0.2">
      <c r="A2025" s="2">
        <v>42622</v>
      </c>
      <c r="B2025" s="1" t="s">
        <v>56</v>
      </c>
      <c r="C2025" s="1" t="s">
        <v>57</v>
      </c>
      <c r="D2025" s="2">
        <v>42738</v>
      </c>
      <c r="E2025" s="2">
        <f t="shared" si="71"/>
        <v>42795</v>
      </c>
      <c r="F2025" s="1" t="s">
        <v>58</v>
      </c>
      <c r="G2025" s="1" t="s">
        <v>18</v>
      </c>
      <c r="H2025" s="1">
        <v>-1</v>
      </c>
      <c r="I2025" s="1">
        <v>2.39</v>
      </c>
      <c r="J2025" s="1">
        <v>0</v>
      </c>
      <c r="K2025" s="2">
        <v>42981</v>
      </c>
      <c r="L2025" s="1">
        <v>3716</v>
      </c>
      <c r="M2025" s="1">
        <v>3.99</v>
      </c>
      <c r="N2025" s="1">
        <v>-0.49207000000000001</v>
      </c>
      <c r="O2025" s="3">
        <f>VLOOKUP(D2025,underlying!$D$40:$H$75,5,FALSE)</f>
        <v>-3</v>
      </c>
      <c r="P2025" s="4">
        <f t="shared" si="70"/>
        <v>42803</v>
      </c>
      <c r="Q2025" s="7">
        <f>IF(G2025="C",NormalCallSprd(O2025,H2025,M2025,(P2025-A2025)/365), NormalPutSprd(O2025,H2025,M2025,(P2025-A2025)/365))</f>
        <v>2.3934853064407831</v>
      </c>
      <c r="R2025" s="9">
        <f t="shared" si="72"/>
        <v>3.4853064407829315E-3</v>
      </c>
    </row>
    <row r="2026" spans="1:18" x14ac:dyDescent="0.2">
      <c r="A2026" s="2">
        <v>42622</v>
      </c>
      <c r="B2026" s="1" t="s">
        <v>56</v>
      </c>
      <c r="C2026" s="1" t="s">
        <v>57</v>
      </c>
      <c r="D2026" s="2">
        <v>42738</v>
      </c>
      <c r="E2026" s="2">
        <f t="shared" si="71"/>
        <v>42795</v>
      </c>
      <c r="F2026" s="1" t="s">
        <v>58</v>
      </c>
      <c r="G2026" s="1" t="s">
        <v>16</v>
      </c>
      <c r="H2026" s="1">
        <v>-0.75</v>
      </c>
      <c r="I2026" s="1">
        <v>0.34</v>
      </c>
      <c r="J2026" s="1">
        <v>0</v>
      </c>
      <c r="K2026" s="2">
        <v>42981</v>
      </c>
      <c r="L2026" s="1">
        <v>3716</v>
      </c>
      <c r="M2026" s="1">
        <v>4.01</v>
      </c>
      <c r="N2026" s="1">
        <v>-0.47377000000000002</v>
      </c>
      <c r="O2026" s="3">
        <f>VLOOKUP(D2026,underlying!$D$40:$H$75,5,FALSE)</f>
        <v>-3</v>
      </c>
      <c r="P2026" s="4">
        <f t="shared" si="70"/>
        <v>42803</v>
      </c>
      <c r="Q2026" s="7">
        <f>IF(G2026="C",NormalCallSprd(O2026,H2026,M2026,(P2026-A2026)/365), NormalPutSprd(O2026,H2026,M2026,(P2026-A2026)/365))</f>
        <v>0.34136677565972906</v>
      </c>
      <c r="R2026" s="9">
        <f t="shared" si="72"/>
        <v>1.3667756597290359E-3</v>
      </c>
    </row>
    <row r="2027" spans="1:18" x14ac:dyDescent="0.2">
      <c r="A2027" s="2">
        <v>42622</v>
      </c>
      <c r="B2027" s="1" t="s">
        <v>56</v>
      </c>
      <c r="C2027" s="1" t="s">
        <v>57</v>
      </c>
      <c r="D2027" s="2">
        <v>42738</v>
      </c>
      <c r="E2027" s="2">
        <f t="shared" si="71"/>
        <v>42795</v>
      </c>
      <c r="F2027" s="1" t="s">
        <v>58</v>
      </c>
      <c r="G2027" s="1" t="s">
        <v>18</v>
      </c>
      <c r="H2027" s="1">
        <v>-0.75</v>
      </c>
      <c r="I2027" s="1">
        <v>2.58</v>
      </c>
      <c r="J2027" s="1">
        <v>-0.01</v>
      </c>
      <c r="K2027" s="2">
        <v>42981</v>
      </c>
      <c r="L2027" s="1">
        <v>3716</v>
      </c>
      <c r="M2027" s="1">
        <v>4.01</v>
      </c>
      <c r="N2027" s="1">
        <v>-0.45540999999999998</v>
      </c>
      <c r="O2027" s="3">
        <f>VLOOKUP(D2027,underlying!$D$40:$H$75,5,FALSE)</f>
        <v>-3</v>
      </c>
      <c r="P2027" s="4">
        <f t="shared" si="70"/>
        <v>42803</v>
      </c>
      <c r="Q2027" s="7">
        <f>IF(G2027="C",NormalCallSprd(O2027,H2027,M2027,(P2027-A2027)/365), NormalPutSprd(O2027,H2027,M2027,(P2027-A2027)/365))</f>
        <v>2.5913667756597292</v>
      </c>
      <c r="R2027" s="9">
        <f t="shared" si="72"/>
        <v>1.13667756597291E-2</v>
      </c>
    </row>
    <row r="2028" spans="1:18" x14ac:dyDescent="0.2">
      <c r="A2028" s="2">
        <v>42622</v>
      </c>
      <c r="B2028" s="1" t="s">
        <v>56</v>
      </c>
      <c r="C2028" s="1" t="s">
        <v>57</v>
      </c>
      <c r="D2028" s="2">
        <v>42738</v>
      </c>
      <c r="E2028" s="2">
        <f t="shared" si="71"/>
        <v>42795</v>
      </c>
      <c r="F2028" s="1" t="s">
        <v>58</v>
      </c>
      <c r="G2028" s="1" t="s">
        <v>16</v>
      </c>
      <c r="H2028" s="1">
        <v>-0.5</v>
      </c>
      <c r="I2028" s="1">
        <v>0.28999999999999998</v>
      </c>
      <c r="J2028" s="1">
        <v>0</v>
      </c>
      <c r="K2028" s="2">
        <v>42981</v>
      </c>
      <c r="L2028" s="1">
        <v>3716</v>
      </c>
      <c r="M2028" s="1">
        <v>4.0199999999999996</v>
      </c>
      <c r="N2028" s="1">
        <v>-0.43718000000000001</v>
      </c>
      <c r="O2028" s="3">
        <f>VLOOKUP(D2028,underlying!$D$40:$H$75,5,FALSE)</f>
        <v>-3</v>
      </c>
      <c r="P2028" s="4">
        <f t="shared" si="70"/>
        <v>42803</v>
      </c>
      <c r="Q2028" s="7">
        <f>IF(G2028="C",NormalCallSprd(O2028,H2028,M2028,(P2028-A2028)/365), NormalPutSprd(O2028,H2028,M2028,(P2028-A2028)/365))</f>
        <v>0.29320849336306409</v>
      </c>
      <c r="R2028" s="9">
        <f t="shared" si="72"/>
        <v>3.2084933630641133E-3</v>
      </c>
    </row>
    <row r="2029" spans="1:18" x14ac:dyDescent="0.2">
      <c r="A2029" s="2">
        <v>42622</v>
      </c>
      <c r="B2029" s="1" t="s">
        <v>56</v>
      </c>
      <c r="C2029" s="1" t="s">
        <v>57</v>
      </c>
      <c r="D2029" s="2">
        <v>42738</v>
      </c>
      <c r="E2029" s="2">
        <f t="shared" si="71"/>
        <v>42795</v>
      </c>
      <c r="F2029" s="1" t="s">
        <v>58</v>
      </c>
      <c r="G2029" s="1" t="s">
        <v>18</v>
      </c>
      <c r="H2029" s="1">
        <v>-0.5</v>
      </c>
      <c r="I2029" s="1">
        <v>2.79</v>
      </c>
      <c r="J2029" s="1">
        <v>0</v>
      </c>
      <c r="K2029" s="2">
        <v>42981</v>
      </c>
      <c r="L2029" s="1">
        <v>3716</v>
      </c>
      <c r="M2029" s="1">
        <v>4.0199999999999996</v>
      </c>
      <c r="N2029" s="1">
        <v>-0.41886000000000001</v>
      </c>
      <c r="O2029" s="3">
        <f>VLOOKUP(D2029,underlying!$D$40:$H$75,5,FALSE)</f>
        <v>-3</v>
      </c>
      <c r="P2029" s="4">
        <f t="shared" si="70"/>
        <v>42803</v>
      </c>
      <c r="Q2029" s="7">
        <f>IF(G2029="C",NormalCallSprd(O2029,H2029,M2029,(P2029-A2029)/365), NormalPutSprd(O2029,H2029,M2029,(P2029-A2029)/365))</f>
        <v>2.7932084933630641</v>
      </c>
      <c r="R2029" s="9">
        <f t="shared" si="72"/>
        <v>3.2084933630640577E-3</v>
      </c>
    </row>
    <row r="2030" spans="1:18" x14ac:dyDescent="0.2">
      <c r="A2030" s="2">
        <v>42622</v>
      </c>
      <c r="B2030" s="1" t="s">
        <v>56</v>
      </c>
      <c r="C2030" s="1" t="s">
        <v>57</v>
      </c>
      <c r="D2030" s="2">
        <v>42738</v>
      </c>
      <c r="E2030" s="2">
        <f t="shared" si="71"/>
        <v>42795</v>
      </c>
      <c r="F2030" s="1" t="s">
        <v>58</v>
      </c>
      <c r="G2030" s="1" t="s">
        <v>16</v>
      </c>
      <c r="H2030" s="1">
        <v>-0.25</v>
      </c>
      <c r="I2030" s="1">
        <v>0.25</v>
      </c>
      <c r="J2030" s="1">
        <v>0</v>
      </c>
      <c r="K2030" s="2">
        <v>42981</v>
      </c>
      <c r="L2030" s="1">
        <v>3716</v>
      </c>
      <c r="M2030" s="1">
        <v>4.0199999999999996</v>
      </c>
      <c r="N2030" s="1">
        <v>-0.40137</v>
      </c>
      <c r="O2030" s="3">
        <f>VLOOKUP(D2030,underlying!$D$40:$H$75,5,FALSE)</f>
        <v>-3</v>
      </c>
      <c r="P2030" s="4">
        <f t="shared" si="70"/>
        <v>42803</v>
      </c>
      <c r="Q2030" s="7">
        <f>IF(G2030="C",NormalCallSprd(O2030,H2030,M2030,(P2030-A2030)/365), NormalPutSprd(O2030,H2030,M2030,(P2030-A2030)/365))</f>
        <v>0.24896623071975149</v>
      </c>
      <c r="R2030" s="9">
        <f t="shared" si="72"/>
        <v>1.0337692802485088E-3</v>
      </c>
    </row>
    <row r="2031" spans="1:18" x14ac:dyDescent="0.2">
      <c r="A2031" s="2">
        <v>42622</v>
      </c>
      <c r="B2031" s="1" t="s">
        <v>56</v>
      </c>
      <c r="C2031" s="1" t="s">
        <v>57</v>
      </c>
      <c r="D2031" s="2">
        <v>42738</v>
      </c>
      <c r="E2031" s="2">
        <f t="shared" si="71"/>
        <v>42795</v>
      </c>
      <c r="F2031" s="1" t="s">
        <v>58</v>
      </c>
      <c r="G2031" s="1" t="s">
        <v>18</v>
      </c>
      <c r="H2031" s="1">
        <v>-0.25</v>
      </c>
      <c r="I2031" s="1">
        <v>2.99</v>
      </c>
      <c r="J2031" s="1">
        <v>0</v>
      </c>
      <c r="K2031" s="2">
        <v>42981</v>
      </c>
      <c r="L2031" s="1">
        <v>3716</v>
      </c>
      <c r="M2031" s="1">
        <v>4.0199999999999996</v>
      </c>
      <c r="N2031" s="1">
        <v>-0.38306000000000001</v>
      </c>
      <c r="O2031" s="3">
        <f>VLOOKUP(D2031,underlying!$D$40:$H$75,5,FALSE)</f>
        <v>-3</v>
      </c>
      <c r="P2031" s="4">
        <f t="shared" si="70"/>
        <v>42803</v>
      </c>
      <c r="Q2031" s="7">
        <f>IF(G2031="C",NormalCallSprd(O2031,H2031,M2031,(P2031-A2031)/365), NormalPutSprd(O2031,H2031,M2031,(P2031-A2031)/365))</f>
        <v>2.9989662307197515</v>
      </c>
      <c r="R2031" s="9">
        <f t="shared" si="72"/>
        <v>8.9662307197513336E-3</v>
      </c>
    </row>
    <row r="2032" spans="1:18" x14ac:dyDescent="0.2">
      <c r="A2032" s="2">
        <v>42622</v>
      </c>
      <c r="B2032" s="1" t="s">
        <v>56</v>
      </c>
      <c r="C2032" s="1" t="s">
        <v>57</v>
      </c>
      <c r="D2032" s="2">
        <v>42739</v>
      </c>
      <c r="E2032" s="2">
        <f t="shared" si="71"/>
        <v>42826</v>
      </c>
      <c r="F2032" s="1" t="s">
        <v>58</v>
      </c>
      <c r="G2032" s="1" t="s">
        <v>16</v>
      </c>
      <c r="H2032" s="1">
        <v>-10</v>
      </c>
      <c r="I2032" s="1">
        <v>7.24</v>
      </c>
      <c r="J2032" s="1">
        <v>-0.24</v>
      </c>
      <c r="K2032" s="2">
        <v>43043</v>
      </c>
      <c r="L2032" s="1">
        <v>3716</v>
      </c>
      <c r="M2032" s="1">
        <v>3.95</v>
      </c>
      <c r="N2032" s="1">
        <v>-0.36618000000000001</v>
      </c>
      <c r="O2032" s="3">
        <f>VLOOKUP(D2032,underlying!$D$40:$H$75,5,FALSE)</f>
        <v>-2.75</v>
      </c>
      <c r="P2032" s="4">
        <f t="shared" si="70"/>
        <v>42836</v>
      </c>
      <c r="Q2032" s="7">
        <f>IF(G2032="C",NormalCallSprd(O2032,H2032,M2032,(P2032-A2032)/365), NormalPutSprd(O2032,H2032,M2032,(P2032-A2032)/365))</f>
        <v>7.2583010309252343</v>
      </c>
      <c r="R2032" s="9">
        <f t="shared" si="72"/>
        <v>1.8301030925234052E-2</v>
      </c>
    </row>
    <row r="2033" spans="1:18" x14ac:dyDescent="0.2">
      <c r="A2033" s="2">
        <v>42622</v>
      </c>
      <c r="B2033" s="1" t="s">
        <v>56</v>
      </c>
      <c r="C2033" s="1" t="s">
        <v>57</v>
      </c>
      <c r="D2033" s="2">
        <v>42739</v>
      </c>
      <c r="E2033" s="2">
        <f t="shared" si="71"/>
        <v>42826</v>
      </c>
      <c r="F2033" s="1" t="s">
        <v>58</v>
      </c>
      <c r="G2033" s="1" t="s">
        <v>18</v>
      </c>
      <c r="H2033" s="1">
        <v>-10</v>
      </c>
      <c r="I2033" s="1">
        <v>0.01</v>
      </c>
      <c r="J2033" s="1">
        <v>0</v>
      </c>
      <c r="K2033" s="2">
        <v>43043</v>
      </c>
      <c r="L2033" s="1">
        <v>3716</v>
      </c>
      <c r="M2033" s="1">
        <v>3.95</v>
      </c>
      <c r="N2033" s="1">
        <v>-0.34817999999999999</v>
      </c>
      <c r="O2033" s="3">
        <f>VLOOKUP(D2033,underlying!$D$40:$H$75,5,FALSE)</f>
        <v>-2.75</v>
      </c>
      <c r="P2033" s="4">
        <f t="shared" si="70"/>
        <v>42836</v>
      </c>
      <c r="Q2033" s="7">
        <f>IF(G2033="C",NormalCallSprd(O2033,H2033,M2033,(P2033-A2033)/365), NormalPutSprd(O2033,H2033,M2033,(P2033-A2033)/365))</f>
        <v>8.3010309252338349E-3</v>
      </c>
      <c r="R2033" s="9">
        <f t="shared" si="72"/>
        <v>1.6989690747661653E-3</v>
      </c>
    </row>
    <row r="2034" spans="1:18" x14ac:dyDescent="0.2">
      <c r="A2034" s="2">
        <v>42622</v>
      </c>
      <c r="B2034" s="1" t="s">
        <v>56</v>
      </c>
      <c r="C2034" s="1" t="s">
        <v>57</v>
      </c>
      <c r="D2034" s="2">
        <v>42739</v>
      </c>
      <c r="E2034" s="2">
        <f t="shared" si="71"/>
        <v>42826</v>
      </c>
      <c r="F2034" s="1" t="s">
        <v>58</v>
      </c>
      <c r="G2034" s="1" t="s">
        <v>16</v>
      </c>
      <c r="H2034" s="1">
        <v>-9</v>
      </c>
      <c r="I2034" s="1">
        <v>6.25</v>
      </c>
      <c r="J2034" s="1">
        <v>-0.25</v>
      </c>
      <c r="K2034" s="2">
        <v>43043</v>
      </c>
      <c r="L2034" s="1">
        <v>3716</v>
      </c>
      <c r="M2034" s="1">
        <v>3.96</v>
      </c>
      <c r="N2034" s="1">
        <v>-0.33205000000000001</v>
      </c>
      <c r="O2034" s="3">
        <f>VLOOKUP(D2034,underlying!$D$40:$H$75,5,FALSE)</f>
        <v>-2.75</v>
      </c>
      <c r="P2034" s="4">
        <f t="shared" si="70"/>
        <v>42836</v>
      </c>
      <c r="Q2034" s="7">
        <f>IF(G2034="C",NormalCallSprd(O2034,H2034,M2034,(P2034-A2034)/365), NormalPutSprd(O2034,H2034,M2034,(P2034-A2034)/365))</f>
        <v>6.2718168034737412</v>
      </c>
      <c r="R2034" s="9">
        <f t="shared" si="72"/>
        <v>2.1816803473741153E-2</v>
      </c>
    </row>
    <row r="2035" spans="1:18" x14ac:dyDescent="0.2">
      <c r="A2035" s="2">
        <v>42622</v>
      </c>
      <c r="B2035" s="1" t="s">
        <v>56</v>
      </c>
      <c r="C2035" s="1" t="s">
        <v>57</v>
      </c>
      <c r="D2035" s="2">
        <v>42739</v>
      </c>
      <c r="E2035" s="2">
        <f t="shared" si="71"/>
        <v>42826</v>
      </c>
      <c r="F2035" s="1" t="s">
        <v>58</v>
      </c>
      <c r="G2035" s="1" t="s">
        <v>18</v>
      </c>
      <c r="H2035" s="1">
        <v>-9</v>
      </c>
      <c r="I2035" s="1">
        <v>0.02</v>
      </c>
      <c r="J2035" s="1">
        <v>0</v>
      </c>
      <c r="K2035" s="2">
        <v>43043</v>
      </c>
      <c r="L2035" s="1">
        <v>3716</v>
      </c>
      <c r="M2035" s="1">
        <v>3.96</v>
      </c>
      <c r="N2035" s="1">
        <v>-0.31545000000000001</v>
      </c>
      <c r="O2035" s="3">
        <f>VLOOKUP(D2035,underlying!$D$40:$H$75,5,FALSE)</f>
        <v>-2.75</v>
      </c>
      <c r="P2035" s="4">
        <f t="shared" si="70"/>
        <v>42836</v>
      </c>
      <c r="Q2035" s="7">
        <f>IF(G2035="C",NormalCallSprd(O2035,H2035,M2035,(P2035-A2035)/365), NormalPutSprd(O2035,H2035,M2035,(P2035-A2035)/365))</f>
        <v>2.1816803473740997E-2</v>
      </c>
      <c r="R2035" s="9">
        <f t="shared" si="72"/>
        <v>1.8168034737409966E-3</v>
      </c>
    </row>
    <row r="2036" spans="1:18" x14ac:dyDescent="0.2">
      <c r="A2036" s="2">
        <v>42622</v>
      </c>
      <c r="B2036" s="1" t="s">
        <v>56</v>
      </c>
      <c r="C2036" s="1" t="s">
        <v>57</v>
      </c>
      <c r="D2036" s="2">
        <v>42739</v>
      </c>
      <c r="E2036" s="2">
        <f t="shared" si="71"/>
        <v>42826</v>
      </c>
      <c r="F2036" s="1" t="s">
        <v>58</v>
      </c>
      <c r="G2036" s="1" t="s">
        <v>16</v>
      </c>
      <c r="H2036" s="1">
        <v>-8</v>
      </c>
      <c r="I2036" s="1">
        <v>5.28</v>
      </c>
      <c r="J2036" s="1">
        <v>-0.25</v>
      </c>
      <c r="K2036" s="2">
        <v>43043</v>
      </c>
      <c r="L2036" s="1">
        <v>3716</v>
      </c>
      <c r="M2036" s="1">
        <v>3.96</v>
      </c>
      <c r="N2036" s="1">
        <v>-0.29921999999999999</v>
      </c>
      <c r="O2036" s="3">
        <f>VLOOKUP(D2036,underlying!$D$40:$H$75,5,FALSE)</f>
        <v>-2.75</v>
      </c>
      <c r="P2036" s="4">
        <f t="shared" si="70"/>
        <v>42836</v>
      </c>
      <c r="Q2036" s="7">
        <f>IF(G2036="C",NormalCallSprd(O2036,H2036,M2036,(P2036-A2036)/365), NormalPutSprd(O2036,H2036,M2036,(P2036-A2036)/365))</f>
        <v>5.3013438091751528</v>
      </c>
      <c r="R2036" s="9">
        <f t="shared" si="72"/>
        <v>2.134380917515255E-2</v>
      </c>
    </row>
    <row r="2037" spans="1:18" x14ac:dyDescent="0.2">
      <c r="A2037" s="2">
        <v>42622</v>
      </c>
      <c r="B2037" s="1" t="s">
        <v>56</v>
      </c>
      <c r="C2037" s="1" t="s">
        <v>57</v>
      </c>
      <c r="D2037" s="2">
        <v>42739</v>
      </c>
      <c r="E2037" s="2">
        <f t="shared" si="71"/>
        <v>42826</v>
      </c>
      <c r="F2037" s="1" t="s">
        <v>58</v>
      </c>
      <c r="G2037" s="1" t="s">
        <v>18</v>
      </c>
      <c r="H2037" s="1">
        <v>-8</v>
      </c>
      <c r="I2037" s="1">
        <v>0.05</v>
      </c>
      <c r="J2037" s="1">
        <v>0.01</v>
      </c>
      <c r="K2037" s="2">
        <v>43043</v>
      </c>
      <c r="L2037" s="1">
        <v>3716</v>
      </c>
      <c r="M2037" s="1">
        <v>3.96</v>
      </c>
      <c r="N2037" s="1">
        <v>-0.25291000000000002</v>
      </c>
      <c r="O2037" s="3">
        <f>VLOOKUP(D2037,underlying!$D$40:$H$75,5,FALSE)</f>
        <v>-2.75</v>
      </c>
      <c r="P2037" s="4">
        <f t="shared" si="70"/>
        <v>42836</v>
      </c>
      <c r="Q2037" s="7">
        <f>IF(G2037="C",NormalCallSprd(O2037,H2037,M2037,(P2037-A2037)/365), NormalPutSprd(O2037,H2037,M2037,(P2037-A2037)/365))</f>
        <v>5.1343809175152619E-2</v>
      </c>
      <c r="R2037" s="9">
        <f t="shared" si="72"/>
        <v>1.343809175152616E-3</v>
      </c>
    </row>
    <row r="2038" spans="1:18" x14ac:dyDescent="0.2">
      <c r="A2038" s="2">
        <v>42622</v>
      </c>
      <c r="B2038" s="1" t="s">
        <v>56</v>
      </c>
      <c r="C2038" s="1" t="s">
        <v>57</v>
      </c>
      <c r="D2038" s="2">
        <v>42739</v>
      </c>
      <c r="E2038" s="2">
        <f t="shared" si="71"/>
        <v>42826</v>
      </c>
      <c r="F2038" s="1" t="s">
        <v>58</v>
      </c>
      <c r="G2038" s="1" t="s">
        <v>16</v>
      </c>
      <c r="H2038" s="1">
        <v>-7.25</v>
      </c>
      <c r="I2038" s="1">
        <v>4.58</v>
      </c>
      <c r="J2038" s="1">
        <v>-0.23</v>
      </c>
      <c r="K2038" s="2">
        <v>43043</v>
      </c>
      <c r="L2038" s="1">
        <v>3716</v>
      </c>
      <c r="M2038" s="1">
        <v>3.96</v>
      </c>
      <c r="N2038" s="1">
        <v>-0.19685</v>
      </c>
      <c r="O2038" s="3">
        <f>VLOOKUP(D2038,underlying!$D$40:$H$75,5,FALSE)</f>
        <v>-2.75</v>
      </c>
      <c r="P2038" s="4">
        <f t="shared" si="70"/>
        <v>42836</v>
      </c>
      <c r="Q2038" s="7">
        <f>IF(G2038="C",NormalCallSprd(O2038,H2038,M2038,(P2038-A2038)/365), NormalPutSprd(O2038,H2038,M2038,(P2038-A2038)/365))</f>
        <v>4.5921390295560309</v>
      </c>
      <c r="R2038" s="9">
        <f t="shared" si="72"/>
        <v>1.2139029556030856E-2</v>
      </c>
    </row>
    <row r="2039" spans="1:18" x14ac:dyDescent="0.2">
      <c r="A2039" s="2">
        <v>42622</v>
      </c>
      <c r="B2039" s="1" t="s">
        <v>56</v>
      </c>
      <c r="C2039" s="1" t="s">
        <v>57</v>
      </c>
      <c r="D2039" s="2">
        <v>42739</v>
      </c>
      <c r="E2039" s="2">
        <f t="shared" si="71"/>
        <v>42826</v>
      </c>
      <c r="F2039" s="1" t="s">
        <v>58</v>
      </c>
      <c r="G2039" s="1" t="s">
        <v>18</v>
      </c>
      <c r="H2039" s="1">
        <v>-7.25</v>
      </c>
      <c r="I2039" s="1">
        <v>0.09</v>
      </c>
      <c r="J2039" s="1">
        <v>0.01</v>
      </c>
      <c r="K2039" s="2">
        <v>43043</v>
      </c>
      <c r="L2039" s="1">
        <v>3716</v>
      </c>
      <c r="M2039" s="1">
        <v>3.96</v>
      </c>
      <c r="N2039" s="1">
        <v>-0.14876</v>
      </c>
      <c r="O2039" s="3">
        <f>VLOOKUP(D2039,underlying!$D$40:$H$75,5,FALSE)</f>
        <v>-2.75</v>
      </c>
      <c r="P2039" s="4">
        <f t="shared" si="70"/>
        <v>42836</v>
      </c>
      <c r="Q2039" s="7">
        <f>IF(G2039="C",NormalCallSprd(O2039,H2039,M2039,(P2039-A2039)/365), NormalPutSprd(O2039,H2039,M2039,(P2039-A2039)/365))</f>
        <v>9.2139029556031149E-2</v>
      </c>
      <c r="R2039" s="9">
        <f t="shared" si="72"/>
        <v>2.1390295560311523E-3</v>
      </c>
    </row>
    <row r="2040" spans="1:18" x14ac:dyDescent="0.2">
      <c r="A2040" s="2">
        <v>42622</v>
      </c>
      <c r="B2040" s="1" t="s">
        <v>56</v>
      </c>
      <c r="C2040" s="1" t="s">
        <v>57</v>
      </c>
      <c r="D2040" s="2">
        <v>42739</v>
      </c>
      <c r="E2040" s="2">
        <f t="shared" si="71"/>
        <v>42826</v>
      </c>
      <c r="F2040" s="1" t="s">
        <v>58</v>
      </c>
      <c r="G2040" s="1" t="s">
        <v>16</v>
      </c>
      <c r="H2040" s="1">
        <v>-7</v>
      </c>
      <c r="I2040" s="1">
        <v>4.3499999999999996</v>
      </c>
      <c r="J2040" s="1">
        <v>-0.23</v>
      </c>
      <c r="K2040" s="2">
        <v>43043</v>
      </c>
      <c r="L2040" s="1">
        <v>3716</v>
      </c>
      <c r="M2040" s="1">
        <v>3.96</v>
      </c>
      <c r="N2040" s="1">
        <v>1.8679999999999999E-2</v>
      </c>
      <c r="O2040" s="3">
        <f>VLOOKUP(D2040,underlying!$D$40:$H$75,5,FALSE)</f>
        <v>-2.75</v>
      </c>
      <c r="P2040" s="4">
        <f t="shared" si="70"/>
        <v>42836</v>
      </c>
      <c r="Q2040" s="7">
        <f>IF(G2040="C",NormalCallSprd(O2040,H2040,M2040,(P2040-A2040)/365), NormalPutSprd(O2040,H2040,M2040,(P2040-A2040)/365))</f>
        <v>4.3607861189816939</v>
      </c>
      <c r="R2040" s="9">
        <f t="shared" si="72"/>
        <v>1.0786118981694237E-2</v>
      </c>
    </row>
    <row r="2041" spans="1:18" x14ac:dyDescent="0.2">
      <c r="A2041" s="2">
        <v>42622</v>
      </c>
      <c r="B2041" s="1" t="s">
        <v>56</v>
      </c>
      <c r="C2041" s="1" t="s">
        <v>57</v>
      </c>
      <c r="D2041" s="2">
        <v>42739</v>
      </c>
      <c r="E2041" s="2">
        <f t="shared" si="71"/>
        <v>42826</v>
      </c>
      <c r="F2041" s="1" t="s">
        <v>58</v>
      </c>
      <c r="G2041" s="1" t="s">
        <v>18</v>
      </c>
      <c r="H2041" s="1">
        <v>-7</v>
      </c>
      <c r="I2041" s="1">
        <v>0.11</v>
      </c>
      <c r="J2041" s="1">
        <v>0.02</v>
      </c>
      <c r="K2041" s="2">
        <v>43043</v>
      </c>
      <c r="L2041" s="1">
        <v>3716</v>
      </c>
      <c r="M2041" s="1">
        <v>3.96</v>
      </c>
      <c r="N2041" s="1">
        <v>2.4639999999999999E-2</v>
      </c>
      <c r="O2041" s="3">
        <f>VLOOKUP(D2041,underlying!$D$40:$H$75,5,FALSE)</f>
        <v>-2.75</v>
      </c>
      <c r="P2041" s="4">
        <f t="shared" ref="P2041:P2104" si="73">DATE(YEAR(K2041),DAY(K2041),MONTH(K2041))</f>
        <v>42836</v>
      </c>
      <c r="Q2041" s="7">
        <f>IF(G2041="C",NormalCallSprd(O2041,H2041,M2041,(P2041-A2041)/365), NormalPutSprd(O2041,H2041,M2041,(P2041-A2041)/365))</f>
        <v>0.11078611898169355</v>
      </c>
      <c r="R2041" s="9">
        <f t="shared" si="72"/>
        <v>7.8611898169354821E-4</v>
      </c>
    </row>
    <row r="2042" spans="1:18" x14ac:dyDescent="0.2">
      <c r="A2042" s="2">
        <v>42622</v>
      </c>
      <c r="B2042" s="1" t="s">
        <v>56</v>
      </c>
      <c r="C2042" s="1" t="s">
        <v>57</v>
      </c>
      <c r="D2042" s="2">
        <v>42739</v>
      </c>
      <c r="E2042" s="2">
        <f t="shared" si="71"/>
        <v>42826</v>
      </c>
      <c r="F2042" s="1" t="s">
        <v>58</v>
      </c>
      <c r="G2042" s="1" t="s">
        <v>16</v>
      </c>
      <c r="H2042" s="1">
        <v>-6.75</v>
      </c>
      <c r="I2042" s="1">
        <v>4.12</v>
      </c>
      <c r="J2042" s="1">
        <v>-0.23</v>
      </c>
      <c r="K2042" s="2">
        <v>43043</v>
      </c>
      <c r="L2042" s="1">
        <v>3716</v>
      </c>
      <c r="M2042" s="1">
        <v>3.96</v>
      </c>
      <c r="N2042" s="1">
        <v>3.211E-2</v>
      </c>
      <c r="O2042" s="3">
        <f>VLOOKUP(D2042,underlying!$D$40:$H$75,5,FALSE)</f>
        <v>-2.75</v>
      </c>
      <c r="P2042" s="4">
        <f t="shared" si="73"/>
        <v>42836</v>
      </c>
      <c r="Q2042" s="7">
        <f>IF(G2042="C",NormalCallSprd(O2042,H2042,M2042,(P2042-A2042)/365), NormalPutSprd(O2042,H2042,M2042,(P2042-A2042)/365))</f>
        <v>4.1325140641516578</v>
      </c>
      <c r="R2042" s="9">
        <f t="shared" si="72"/>
        <v>1.2514064151657678E-2</v>
      </c>
    </row>
    <row r="2043" spans="1:18" x14ac:dyDescent="0.2">
      <c r="A2043" s="2">
        <v>42622</v>
      </c>
      <c r="B2043" s="1" t="s">
        <v>56</v>
      </c>
      <c r="C2043" s="1" t="s">
        <v>57</v>
      </c>
      <c r="D2043" s="2">
        <v>42739</v>
      </c>
      <c r="E2043" s="2">
        <f t="shared" si="71"/>
        <v>42826</v>
      </c>
      <c r="F2043" s="1" t="s">
        <v>58</v>
      </c>
      <c r="G2043" s="1" t="s">
        <v>18</v>
      </c>
      <c r="H2043" s="1">
        <v>-6.75</v>
      </c>
      <c r="I2043" s="1">
        <v>0.13</v>
      </c>
      <c r="J2043" s="1">
        <v>0.02</v>
      </c>
      <c r="K2043" s="2">
        <v>43043</v>
      </c>
      <c r="L2043" s="1">
        <v>3716</v>
      </c>
      <c r="M2043" s="1">
        <v>3.96</v>
      </c>
      <c r="N2043" s="1">
        <v>4.1730000000000003E-2</v>
      </c>
      <c r="O2043" s="3">
        <f>VLOOKUP(D2043,underlying!$D$40:$H$75,5,FALSE)</f>
        <v>-2.75</v>
      </c>
      <c r="P2043" s="4">
        <f t="shared" si="73"/>
        <v>42836</v>
      </c>
      <c r="Q2043" s="7">
        <f>IF(G2043="C",NormalCallSprd(O2043,H2043,M2043,(P2043-A2043)/365), NormalPutSprd(O2043,H2043,M2043,(P2043-A2043)/365))</f>
        <v>0.13251406415165751</v>
      </c>
      <c r="R2043" s="9">
        <f t="shared" si="72"/>
        <v>2.5140641516575024E-3</v>
      </c>
    </row>
    <row r="2044" spans="1:18" x14ac:dyDescent="0.2">
      <c r="A2044" s="2">
        <v>42622</v>
      </c>
      <c r="B2044" s="1" t="s">
        <v>56</v>
      </c>
      <c r="C2044" s="1" t="s">
        <v>57</v>
      </c>
      <c r="D2044" s="2">
        <v>42739</v>
      </c>
      <c r="E2044" s="2">
        <f t="shared" si="71"/>
        <v>42826</v>
      </c>
      <c r="F2044" s="1" t="s">
        <v>58</v>
      </c>
      <c r="G2044" s="1" t="s">
        <v>16</v>
      </c>
      <c r="H2044" s="1">
        <v>-6.5</v>
      </c>
      <c r="I2044" s="1">
        <v>3.9</v>
      </c>
      <c r="J2044" s="1">
        <v>-0.22</v>
      </c>
      <c r="K2044" s="2">
        <v>43043</v>
      </c>
      <c r="L2044" s="1">
        <v>3716</v>
      </c>
      <c r="M2044" s="1">
        <v>3.96</v>
      </c>
      <c r="N2044" s="1">
        <v>0.99129</v>
      </c>
      <c r="O2044" s="3">
        <f>VLOOKUP(D2044,underlying!$D$40:$H$75,5,FALSE)</f>
        <v>-2.75</v>
      </c>
      <c r="P2044" s="4">
        <f t="shared" si="73"/>
        <v>42836</v>
      </c>
      <c r="Q2044" s="7">
        <f>IF(G2044="C",NormalCallSprd(O2044,H2044,M2044,(P2044-A2044)/365), NormalPutSprd(O2044,H2044,M2044,(P2044-A2044)/365))</f>
        <v>3.9076881130480037</v>
      </c>
      <c r="R2044" s="9">
        <f t="shared" si="72"/>
        <v>7.688113048003764E-3</v>
      </c>
    </row>
    <row r="2045" spans="1:18" x14ac:dyDescent="0.2">
      <c r="A2045" s="2">
        <v>42622</v>
      </c>
      <c r="B2045" s="1" t="s">
        <v>56</v>
      </c>
      <c r="C2045" s="1" t="s">
        <v>57</v>
      </c>
      <c r="D2045" s="2">
        <v>42739</v>
      </c>
      <c r="E2045" s="2">
        <f t="shared" si="71"/>
        <v>42826</v>
      </c>
      <c r="F2045" s="1" t="s">
        <v>58</v>
      </c>
      <c r="G2045" s="1" t="s">
        <v>18</v>
      </c>
      <c r="H2045" s="1">
        <v>-6.5</v>
      </c>
      <c r="I2045" s="1">
        <v>0.16</v>
      </c>
      <c r="J2045" s="1">
        <v>0.03</v>
      </c>
      <c r="K2045" s="2">
        <v>43043</v>
      </c>
      <c r="L2045" s="1">
        <v>3716</v>
      </c>
      <c r="M2045" s="1">
        <v>3.96</v>
      </c>
      <c r="N2045" s="1">
        <v>0.99695</v>
      </c>
      <c r="O2045" s="3">
        <f>VLOOKUP(D2045,underlying!$D$40:$H$75,5,FALSE)</f>
        <v>-2.75</v>
      </c>
      <c r="P2045" s="4">
        <f t="shared" si="73"/>
        <v>42836</v>
      </c>
      <c r="Q2045" s="7">
        <f>IF(G2045="C",NormalCallSprd(O2045,H2045,M2045,(P2045-A2045)/365), NormalPutSprd(O2045,H2045,M2045,(P2045-A2045)/365))</f>
        <v>0.1576881130480039</v>
      </c>
      <c r="R2045" s="9">
        <f t="shared" si="72"/>
        <v>2.3118869519961061E-3</v>
      </c>
    </row>
    <row r="2046" spans="1:18" x14ac:dyDescent="0.2">
      <c r="A2046" s="2">
        <v>42622</v>
      </c>
      <c r="B2046" s="1" t="s">
        <v>56</v>
      </c>
      <c r="C2046" s="1" t="s">
        <v>57</v>
      </c>
      <c r="D2046" s="2">
        <v>42739</v>
      </c>
      <c r="E2046" s="2">
        <f t="shared" si="71"/>
        <v>42826</v>
      </c>
      <c r="F2046" s="1" t="s">
        <v>58</v>
      </c>
      <c r="G2046" s="1" t="s">
        <v>16</v>
      </c>
      <c r="H2046" s="1">
        <v>-6.25</v>
      </c>
      <c r="I2046" s="1">
        <v>3.68</v>
      </c>
      <c r="J2046" s="1">
        <v>-0.22</v>
      </c>
      <c r="K2046" s="2">
        <v>43043</v>
      </c>
      <c r="L2046" s="1">
        <v>3716</v>
      </c>
      <c r="M2046" s="1">
        <v>3.96</v>
      </c>
      <c r="N2046" s="1">
        <v>0.99846999999999997</v>
      </c>
      <c r="O2046" s="3">
        <f>VLOOKUP(D2046,underlying!$D$40:$H$75,5,FALSE)</f>
        <v>-2.75</v>
      </c>
      <c r="P2046" s="4">
        <f t="shared" si="73"/>
        <v>42836</v>
      </c>
      <c r="Q2046" s="7">
        <f>IF(G2046="C",NormalCallSprd(O2046,H2046,M2046,(P2046-A2046)/365), NormalPutSprd(O2046,H2046,M2046,(P2046-A2046)/365))</f>
        <v>3.6866907304093561</v>
      </c>
      <c r="R2046" s="9">
        <f t="shared" si="72"/>
        <v>6.6907304093559716E-3</v>
      </c>
    </row>
    <row r="2047" spans="1:18" x14ac:dyDescent="0.2">
      <c r="A2047" s="2">
        <v>42622</v>
      </c>
      <c r="B2047" s="1" t="s">
        <v>56</v>
      </c>
      <c r="C2047" s="1" t="s">
        <v>57</v>
      </c>
      <c r="D2047" s="2">
        <v>42739</v>
      </c>
      <c r="E2047" s="2">
        <f t="shared" si="71"/>
        <v>42826</v>
      </c>
      <c r="F2047" s="1" t="s">
        <v>58</v>
      </c>
      <c r="G2047" s="1" t="s">
        <v>18</v>
      </c>
      <c r="H2047" s="1">
        <v>-6.25</v>
      </c>
      <c r="I2047" s="1">
        <v>0.19</v>
      </c>
      <c r="J2047" s="1">
        <v>0.03</v>
      </c>
      <c r="K2047" s="2">
        <v>43043</v>
      </c>
      <c r="L2047" s="1">
        <v>3716</v>
      </c>
      <c r="M2047" s="1">
        <v>3.96</v>
      </c>
      <c r="N2047" s="1">
        <v>5.3080000000000002E-2</v>
      </c>
      <c r="O2047" s="3">
        <f>VLOOKUP(D2047,underlying!$D$40:$H$75,5,FALSE)</f>
        <v>-2.75</v>
      </c>
      <c r="P2047" s="4">
        <f t="shared" si="73"/>
        <v>42836</v>
      </c>
      <c r="Q2047" s="7">
        <f>IF(G2047="C",NormalCallSprd(O2047,H2047,M2047,(P2047-A2047)/365), NormalPutSprd(O2047,H2047,M2047,(P2047-A2047)/365))</f>
        <v>0.1866907304093558</v>
      </c>
      <c r="R2047" s="9">
        <f t="shared" si="72"/>
        <v>3.3092695906442038E-3</v>
      </c>
    </row>
    <row r="2048" spans="1:18" x14ac:dyDescent="0.2">
      <c r="A2048" s="2">
        <v>42622</v>
      </c>
      <c r="B2048" s="1" t="s">
        <v>56</v>
      </c>
      <c r="C2048" s="1" t="s">
        <v>57</v>
      </c>
      <c r="D2048" s="2">
        <v>42739</v>
      </c>
      <c r="E2048" s="2">
        <f t="shared" si="71"/>
        <v>42826</v>
      </c>
      <c r="F2048" s="1" t="s">
        <v>58</v>
      </c>
      <c r="G2048" s="1" t="s">
        <v>16</v>
      </c>
      <c r="H2048" s="1">
        <v>-6</v>
      </c>
      <c r="I2048" s="1">
        <v>3.46</v>
      </c>
      <c r="J2048" s="1">
        <v>-0.22</v>
      </c>
      <c r="K2048" s="2">
        <v>43043</v>
      </c>
      <c r="L2048" s="1">
        <v>3716</v>
      </c>
      <c r="M2048" s="1">
        <v>3.96</v>
      </c>
      <c r="N2048" s="1">
        <v>0.99880000000000002</v>
      </c>
      <c r="O2048" s="3">
        <f>VLOOKUP(D2048,underlying!$D$40:$H$75,5,FALSE)</f>
        <v>-2.75</v>
      </c>
      <c r="P2048" s="4">
        <f t="shared" si="73"/>
        <v>42836</v>
      </c>
      <c r="Q2048" s="7">
        <f>IF(G2048="C",NormalCallSprd(O2048,H2048,M2048,(P2048-A2048)/365), NormalPutSprd(O2048,H2048,M2048,(P2048-A2048)/365))</f>
        <v>3.469918044916116</v>
      </c>
      <c r="R2048" s="9">
        <f t="shared" si="72"/>
        <v>9.9180449161160311E-3</v>
      </c>
    </row>
    <row r="2049" spans="1:18" x14ac:dyDescent="0.2">
      <c r="A2049" s="2">
        <v>42622</v>
      </c>
      <c r="B2049" s="1" t="s">
        <v>56</v>
      </c>
      <c r="C2049" s="1" t="s">
        <v>57</v>
      </c>
      <c r="D2049" s="2">
        <v>42739</v>
      </c>
      <c r="E2049" s="2">
        <f t="shared" si="71"/>
        <v>42826</v>
      </c>
      <c r="F2049" s="1" t="s">
        <v>58</v>
      </c>
      <c r="G2049" s="1" t="s">
        <v>18</v>
      </c>
      <c r="H2049" s="1">
        <v>-6</v>
      </c>
      <c r="I2049" s="1">
        <v>0.22</v>
      </c>
      <c r="J2049" s="1">
        <v>0.03</v>
      </c>
      <c r="K2049" s="2">
        <v>43043</v>
      </c>
      <c r="L2049" s="1">
        <v>3716</v>
      </c>
      <c r="M2049" s="1">
        <v>3.96</v>
      </c>
      <c r="N2049" s="1">
        <v>6.676E-2</v>
      </c>
      <c r="O2049" s="3">
        <f>VLOOKUP(D2049,underlying!$D$40:$H$75,5,FALSE)</f>
        <v>-2.75</v>
      </c>
      <c r="P2049" s="4">
        <f t="shared" si="73"/>
        <v>42836</v>
      </c>
      <c r="Q2049" s="7">
        <f>IF(G2049="C",NormalCallSprd(O2049,H2049,M2049,(P2049-A2049)/365), NormalPutSprd(O2049,H2049,M2049,(P2049-A2049)/365))</f>
        <v>0.21991804491611611</v>
      </c>
      <c r="R2049" s="9">
        <f t="shared" si="72"/>
        <v>8.1955083883894497E-5</v>
      </c>
    </row>
    <row r="2050" spans="1:18" x14ac:dyDescent="0.2">
      <c r="A2050" s="2">
        <v>42622</v>
      </c>
      <c r="B2050" s="1" t="s">
        <v>56</v>
      </c>
      <c r="C2050" s="1" t="s">
        <v>57</v>
      </c>
      <c r="D2050" s="2">
        <v>42739</v>
      </c>
      <c r="E2050" s="2">
        <f t="shared" ref="E2050:E2113" si="74">DATE(YEAR(D2050),DAY(D2050),MONTH(D2050))</f>
        <v>42826</v>
      </c>
      <c r="F2050" s="1" t="s">
        <v>58</v>
      </c>
      <c r="G2050" s="1" t="s">
        <v>16</v>
      </c>
      <c r="H2050" s="1">
        <v>-5.75</v>
      </c>
      <c r="I2050" s="1">
        <v>3.25</v>
      </c>
      <c r="J2050" s="1">
        <v>-0.21</v>
      </c>
      <c r="K2050" s="2">
        <v>43043</v>
      </c>
      <c r="L2050" s="1">
        <v>3716</v>
      </c>
      <c r="M2050" s="1">
        <v>3.96</v>
      </c>
      <c r="N2050" s="1">
        <v>8.3030000000000007E-2</v>
      </c>
      <c r="O2050" s="3">
        <f>VLOOKUP(D2050,underlying!$D$40:$H$75,5,FALSE)</f>
        <v>-2.75</v>
      </c>
      <c r="P2050" s="4">
        <f t="shared" si="73"/>
        <v>42836</v>
      </c>
      <c r="Q2050" s="7">
        <f>IF(G2050="C",NormalCallSprd(O2050,H2050,M2050,(P2050-A2050)/365), NormalPutSprd(O2050,H2050,M2050,(P2050-A2050)/365))</f>
        <v>3.2577756243008982</v>
      </c>
      <c r="R2050" s="9">
        <f t="shared" si="72"/>
        <v>7.7756243008981762E-3</v>
      </c>
    </row>
    <row r="2051" spans="1:18" x14ac:dyDescent="0.2">
      <c r="A2051" s="2">
        <v>42622</v>
      </c>
      <c r="B2051" s="1" t="s">
        <v>56</v>
      </c>
      <c r="C2051" s="1" t="s">
        <v>57</v>
      </c>
      <c r="D2051" s="2">
        <v>42739</v>
      </c>
      <c r="E2051" s="2">
        <f t="shared" si="74"/>
        <v>42826</v>
      </c>
      <c r="F2051" s="1" t="s">
        <v>58</v>
      </c>
      <c r="G2051" s="1" t="s">
        <v>18</v>
      </c>
      <c r="H2051" s="1">
        <v>-5.75</v>
      </c>
      <c r="I2051" s="1">
        <v>0.26</v>
      </c>
      <c r="J2051" s="1">
        <v>0.04</v>
      </c>
      <c r="K2051" s="2">
        <v>43043</v>
      </c>
      <c r="L2051" s="1">
        <v>3716</v>
      </c>
      <c r="M2051" s="1">
        <v>3.96</v>
      </c>
      <c r="N2051" s="1">
        <v>0.1021</v>
      </c>
      <c r="O2051" s="3">
        <f>VLOOKUP(D2051,underlying!$D$40:$H$75,5,FALSE)</f>
        <v>-2.75</v>
      </c>
      <c r="P2051" s="4">
        <f t="shared" si="73"/>
        <v>42836</v>
      </c>
      <c r="Q2051" s="7">
        <f>IF(G2051="C",NormalCallSprd(O2051,H2051,M2051,(P2051-A2051)/365), NormalPutSprd(O2051,H2051,M2051,(P2051-A2051)/365))</f>
        <v>0.25777562430089807</v>
      </c>
      <c r="R2051" s="9">
        <f t="shared" ref="R2051:R2114" si="75">ABS(Q2051-I2051)</f>
        <v>2.2243756991019437E-3</v>
      </c>
    </row>
    <row r="2052" spans="1:18" x14ac:dyDescent="0.2">
      <c r="A2052" s="2">
        <v>42622</v>
      </c>
      <c r="B2052" s="1" t="s">
        <v>56</v>
      </c>
      <c r="C2052" s="1" t="s">
        <v>57</v>
      </c>
      <c r="D2052" s="2">
        <v>42739</v>
      </c>
      <c r="E2052" s="2">
        <f t="shared" si="74"/>
        <v>42826</v>
      </c>
      <c r="F2052" s="1" t="s">
        <v>58</v>
      </c>
      <c r="G2052" s="1" t="s">
        <v>16</v>
      </c>
      <c r="H2052" s="1">
        <v>-5.5</v>
      </c>
      <c r="I2052" s="1">
        <v>3.04</v>
      </c>
      <c r="J2052" s="1">
        <v>-0.21</v>
      </c>
      <c r="K2052" s="2">
        <v>43043</v>
      </c>
      <c r="L2052" s="1">
        <v>3716</v>
      </c>
      <c r="M2052" s="1">
        <v>3.96</v>
      </c>
      <c r="N2052" s="1">
        <v>0.12418</v>
      </c>
      <c r="O2052" s="3">
        <f>VLOOKUP(D2052,underlying!$D$40:$H$75,5,FALSE)</f>
        <v>-2.75</v>
      </c>
      <c r="P2052" s="4">
        <f t="shared" si="73"/>
        <v>42836</v>
      </c>
      <c r="Q2052" s="7">
        <f>IF(G2052="C",NormalCallSprd(O2052,H2052,M2052,(P2052-A2052)/365), NormalPutSprd(O2052,H2052,M2052,(P2052-A2052)/365))</f>
        <v>3.050673628975618</v>
      </c>
      <c r="R2052" s="9">
        <f t="shared" si="75"/>
        <v>1.0673628975617966E-2</v>
      </c>
    </row>
    <row r="2053" spans="1:18" x14ac:dyDescent="0.2">
      <c r="A2053" s="2">
        <v>42622</v>
      </c>
      <c r="B2053" s="1" t="s">
        <v>56</v>
      </c>
      <c r="C2053" s="1" t="s">
        <v>57</v>
      </c>
      <c r="D2053" s="2">
        <v>42739</v>
      </c>
      <c r="E2053" s="2">
        <f t="shared" si="74"/>
        <v>42826</v>
      </c>
      <c r="F2053" s="1" t="s">
        <v>58</v>
      </c>
      <c r="G2053" s="1" t="s">
        <v>18</v>
      </c>
      <c r="H2053" s="1">
        <v>-5.5</v>
      </c>
      <c r="I2053" s="1">
        <v>0.3</v>
      </c>
      <c r="J2053" s="1">
        <v>0.04</v>
      </c>
      <c r="K2053" s="2">
        <v>43043</v>
      </c>
      <c r="L2053" s="1">
        <v>3716</v>
      </c>
      <c r="M2053" s="1">
        <v>3.96</v>
      </c>
      <c r="N2053" s="1">
        <v>0.14884</v>
      </c>
      <c r="O2053" s="3">
        <f>VLOOKUP(D2053,underlying!$D$40:$H$75,5,FALSE)</f>
        <v>-2.75</v>
      </c>
      <c r="P2053" s="4">
        <f t="shared" si="73"/>
        <v>42836</v>
      </c>
      <c r="Q2053" s="7">
        <f>IF(G2053="C",NormalCallSprd(O2053,H2053,M2053,(P2053-A2053)/365), NormalPutSprd(O2053,H2053,M2053,(P2053-A2053)/365))</f>
        <v>0.30067362897561806</v>
      </c>
      <c r="R2053" s="9">
        <f t="shared" si="75"/>
        <v>6.73628975618068E-4</v>
      </c>
    </row>
    <row r="2054" spans="1:18" x14ac:dyDescent="0.2">
      <c r="A2054" s="2">
        <v>42622</v>
      </c>
      <c r="B2054" s="1" t="s">
        <v>56</v>
      </c>
      <c r="C2054" s="1" t="s">
        <v>57</v>
      </c>
      <c r="D2054" s="2">
        <v>42739</v>
      </c>
      <c r="E2054" s="2">
        <f t="shared" si="74"/>
        <v>42826</v>
      </c>
      <c r="F2054" s="1" t="s">
        <v>58</v>
      </c>
      <c r="G2054" s="1" t="s">
        <v>16</v>
      </c>
      <c r="H2054" s="1">
        <v>-5.25</v>
      </c>
      <c r="I2054" s="1">
        <v>2.84</v>
      </c>
      <c r="J2054" s="1">
        <v>-0.2</v>
      </c>
      <c r="K2054" s="2">
        <v>43043</v>
      </c>
      <c r="L2054" s="1">
        <v>3716</v>
      </c>
      <c r="M2054" s="1">
        <v>3.96</v>
      </c>
      <c r="N2054" s="1">
        <v>0.17615</v>
      </c>
      <c r="O2054" s="3">
        <f>VLOOKUP(D2054,underlying!$D$40:$H$75,5,FALSE)</f>
        <v>-2.75</v>
      </c>
      <c r="P2054" s="4">
        <f t="shared" si="73"/>
        <v>42836</v>
      </c>
      <c r="Q2054" s="7">
        <f>IF(G2054="C",NormalCallSprd(O2054,H2054,M2054,(P2054-A2054)/365), NormalPutSprd(O2054,H2054,M2054,(P2054-A2054)/365))</f>
        <v>2.8490214217921239</v>
      </c>
      <c r="R2054" s="9">
        <f t="shared" si="75"/>
        <v>9.0214217921240625E-3</v>
      </c>
    </row>
    <row r="2055" spans="1:18" x14ac:dyDescent="0.2">
      <c r="A2055" s="2">
        <v>42622</v>
      </c>
      <c r="B2055" s="1" t="s">
        <v>56</v>
      </c>
      <c r="C2055" s="1" t="s">
        <v>57</v>
      </c>
      <c r="D2055" s="2">
        <v>42739</v>
      </c>
      <c r="E2055" s="2">
        <f t="shared" si="74"/>
        <v>42826</v>
      </c>
      <c r="F2055" s="1" t="s">
        <v>58</v>
      </c>
      <c r="G2055" s="1" t="s">
        <v>18</v>
      </c>
      <c r="H2055" s="1">
        <v>-5.25</v>
      </c>
      <c r="I2055" s="1">
        <v>0.35</v>
      </c>
      <c r="J2055" s="1">
        <v>0.05</v>
      </c>
      <c r="K2055" s="2">
        <v>43043</v>
      </c>
      <c r="L2055" s="1">
        <v>3716</v>
      </c>
      <c r="M2055" s="1">
        <v>3.96</v>
      </c>
      <c r="N2055" s="1">
        <v>0.2089</v>
      </c>
      <c r="O2055" s="3">
        <f>VLOOKUP(D2055,underlying!$D$40:$H$75,5,FALSE)</f>
        <v>-2.75</v>
      </c>
      <c r="P2055" s="4">
        <f t="shared" si="73"/>
        <v>42836</v>
      </c>
      <c r="Q2055" s="7">
        <f>IF(G2055="C",NormalCallSprd(O2055,H2055,M2055,(P2055-A2055)/365), NormalPutSprd(O2055,H2055,M2055,(P2055-A2055)/365))</f>
        <v>0.34902142179212386</v>
      </c>
      <c r="R2055" s="9">
        <f t="shared" si="75"/>
        <v>9.7857820787611294E-4</v>
      </c>
    </row>
    <row r="2056" spans="1:18" x14ac:dyDescent="0.2">
      <c r="A2056" s="2">
        <v>42622</v>
      </c>
      <c r="B2056" s="1" t="s">
        <v>56</v>
      </c>
      <c r="C2056" s="1" t="s">
        <v>57</v>
      </c>
      <c r="D2056" s="2">
        <v>42739</v>
      </c>
      <c r="E2056" s="2">
        <f t="shared" si="74"/>
        <v>42826</v>
      </c>
      <c r="F2056" s="1" t="s">
        <v>58</v>
      </c>
      <c r="G2056" s="1" t="s">
        <v>16</v>
      </c>
      <c r="H2056" s="1">
        <v>-5</v>
      </c>
      <c r="I2056" s="1">
        <v>2.64</v>
      </c>
      <c r="J2056" s="1">
        <v>-0.2</v>
      </c>
      <c r="K2056" s="2">
        <v>43043</v>
      </c>
      <c r="L2056" s="1">
        <v>3716</v>
      </c>
      <c r="M2056" s="1">
        <v>3.96</v>
      </c>
      <c r="N2056" s="1">
        <v>0.24262</v>
      </c>
      <c r="O2056" s="3">
        <f>VLOOKUP(D2056,underlying!$D$40:$H$75,5,FALSE)</f>
        <v>-2.75</v>
      </c>
      <c r="P2056" s="4">
        <f t="shared" si="73"/>
        <v>42836</v>
      </c>
      <c r="Q2056" s="7">
        <f>IF(G2056="C",NormalCallSprd(O2056,H2056,M2056,(P2056-A2056)/365), NormalPutSprd(O2056,H2056,M2056,(P2056-A2056)/365))</f>
        <v>2.6532217378769181</v>
      </c>
      <c r="R2056" s="9">
        <f t="shared" si="75"/>
        <v>1.3221737876917938E-2</v>
      </c>
    </row>
    <row r="2057" spans="1:18" x14ac:dyDescent="0.2">
      <c r="A2057" s="2">
        <v>42622</v>
      </c>
      <c r="B2057" s="1" t="s">
        <v>56</v>
      </c>
      <c r="C2057" s="1" t="s">
        <v>57</v>
      </c>
      <c r="D2057" s="2">
        <v>42739</v>
      </c>
      <c r="E2057" s="2">
        <f t="shared" si="74"/>
        <v>42826</v>
      </c>
      <c r="F2057" s="1" t="s">
        <v>58</v>
      </c>
      <c r="G2057" s="1" t="s">
        <v>18</v>
      </c>
      <c r="H2057" s="1">
        <v>-5</v>
      </c>
      <c r="I2057" s="1">
        <v>0.4</v>
      </c>
      <c r="J2057" s="1">
        <v>0.05</v>
      </c>
      <c r="K2057" s="2">
        <v>43043</v>
      </c>
      <c r="L2057" s="1">
        <v>3716</v>
      </c>
      <c r="M2057" s="1">
        <v>3.96</v>
      </c>
      <c r="N2057" s="1">
        <v>0.28126000000000001</v>
      </c>
      <c r="O2057" s="3">
        <f>VLOOKUP(D2057,underlying!$D$40:$H$75,5,FALSE)</f>
        <v>-2.75</v>
      </c>
      <c r="P2057" s="4">
        <f t="shared" si="73"/>
        <v>42836</v>
      </c>
      <c r="Q2057" s="7">
        <f>IF(G2057="C",NormalCallSprd(O2057,H2057,M2057,(P2057-A2057)/365), NormalPutSprd(O2057,H2057,M2057,(P2057-A2057)/365))</f>
        <v>0.40322173787691784</v>
      </c>
      <c r="R2057" s="9">
        <f t="shared" si="75"/>
        <v>3.2217378769178184E-3</v>
      </c>
    </row>
    <row r="2058" spans="1:18" x14ac:dyDescent="0.2">
      <c r="A2058" s="2">
        <v>42622</v>
      </c>
      <c r="B2058" s="1" t="s">
        <v>56</v>
      </c>
      <c r="C2058" s="1" t="s">
        <v>57</v>
      </c>
      <c r="D2058" s="2">
        <v>42739</v>
      </c>
      <c r="E2058" s="2">
        <f t="shared" si="74"/>
        <v>42826</v>
      </c>
      <c r="F2058" s="1" t="s">
        <v>58</v>
      </c>
      <c r="G2058" s="1" t="s">
        <v>16</v>
      </c>
      <c r="H2058" s="1">
        <v>-4.75</v>
      </c>
      <c r="I2058" s="1">
        <v>2.4500000000000002</v>
      </c>
      <c r="J2058" s="1">
        <v>-0.2</v>
      </c>
      <c r="K2058" s="2">
        <v>43043</v>
      </c>
      <c r="L2058" s="1">
        <v>3716</v>
      </c>
      <c r="M2058" s="1">
        <v>3.94</v>
      </c>
      <c r="N2058" s="1">
        <v>0.32072000000000001</v>
      </c>
      <c r="O2058" s="3">
        <f>VLOOKUP(D2058,underlying!$D$40:$H$75,5,FALSE)</f>
        <v>-2.75</v>
      </c>
      <c r="P2058" s="4">
        <f t="shared" si="73"/>
        <v>42836</v>
      </c>
      <c r="Q2058" s="7">
        <f>IF(G2058="C",NormalCallSprd(O2058,H2058,M2058,(P2058-A2058)/365), NormalPutSprd(O2058,H2058,M2058,(P2058-A2058)/365))</f>
        <v>2.458754909287109</v>
      </c>
      <c r="R2058" s="9">
        <f t="shared" si="75"/>
        <v>8.7549092871088696E-3</v>
      </c>
    </row>
    <row r="2059" spans="1:18" x14ac:dyDescent="0.2">
      <c r="A2059" s="2">
        <v>42622</v>
      </c>
      <c r="B2059" s="1" t="s">
        <v>56</v>
      </c>
      <c r="C2059" s="1" t="s">
        <v>57</v>
      </c>
      <c r="D2059" s="2">
        <v>42739</v>
      </c>
      <c r="E2059" s="2">
        <f t="shared" si="74"/>
        <v>42826</v>
      </c>
      <c r="F2059" s="1" t="s">
        <v>58</v>
      </c>
      <c r="G2059" s="1" t="s">
        <v>18</v>
      </c>
      <c r="H2059" s="1">
        <v>-4.75</v>
      </c>
      <c r="I2059" s="1">
        <v>0.46</v>
      </c>
      <c r="J2059" s="1">
        <v>0.06</v>
      </c>
      <c r="K2059" s="2">
        <v>43043</v>
      </c>
      <c r="L2059" s="1">
        <v>3716</v>
      </c>
      <c r="M2059" s="1">
        <v>3.94</v>
      </c>
      <c r="N2059" s="1">
        <v>0.36362</v>
      </c>
      <c r="O2059" s="3">
        <f>VLOOKUP(D2059,underlying!$D$40:$H$75,5,FALSE)</f>
        <v>-2.75</v>
      </c>
      <c r="P2059" s="4">
        <f t="shared" si="73"/>
        <v>42836</v>
      </c>
      <c r="Q2059" s="7">
        <f>IF(G2059="C",NormalCallSprd(O2059,H2059,M2059,(P2059-A2059)/365), NormalPutSprd(O2059,H2059,M2059,(P2059-A2059)/365))</f>
        <v>0.45875490928710905</v>
      </c>
      <c r="R2059" s="9">
        <f t="shared" si="75"/>
        <v>1.2450907128909727E-3</v>
      </c>
    </row>
    <row r="2060" spans="1:18" x14ac:dyDescent="0.2">
      <c r="A2060" s="2">
        <v>42622</v>
      </c>
      <c r="B2060" s="1" t="s">
        <v>56</v>
      </c>
      <c r="C2060" s="1" t="s">
        <v>57</v>
      </c>
      <c r="D2060" s="2">
        <v>42739</v>
      </c>
      <c r="E2060" s="2">
        <f t="shared" si="74"/>
        <v>42826</v>
      </c>
      <c r="F2060" s="1" t="s">
        <v>58</v>
      </c>
      <c r="G2060" s="1" t="s">
        <v>16</v>
      </c>
      <c r="H2060" s="1">
        <v>-4.5</v>
      </c>
      <c r="I2060" s="1">
        <v>2.27</v>
      </c>
      <c r="J2060" s="1">
        <v>-0.18</v>
      </c>
      <c r="K2060" s="2">
        <v>43043</v>
      </c>
      <c r="L2060" s="1">
        <v>3716</v>
      </c>
      <c r="M2060" s="1">
        <v>3.96</v>
      </c>
      <c r="N2060" s="1">
        <v>0.40788000000000002</v>
      </c>
      <c r="O2060" s="3">
        <f>VLOOKUP(D2060,underlying!$D$40:$H$75,5,FALSE)</f>
        <v>-2.75</v>
      </c>
      <c r="P2060" s="4">
        <f t="shared" si="73"/>
        <v>42836</v>
      </c>
      <c r="Q2060" s="7">
        <f>IF(G2060="C",NormalCallSprd(O2060,H2060,M2060,(P2060-A2060)/365), NormalPutSprd(O2060,H2060,M2060,(P2060-A2060)/365))</f>
        <v>2.2807207277004071</v>
      </c>
      <c r="R2060" s="9">
        <f t="shared" si="75"/>
        <v>1.0720727700407107E-2</v>
      </c>
    </row>
    <row r="2061" spans="1:18" x14ac:dyDescent="0.2">
      <c r="A2061" s="2">
        <v>42622</v>
      </c>
      <c r="B2061" s="1" t="s">
        <v>56</v>
      </c>
      <c r="C2061" s="1" t="s">
        <v>57</v>
      </c>
      <c r="D2061" s="2">
        <v>42739</v>
      </c>
      <c r="E2061" s="2">
        <f t="shared" si="74"/>
        <v>42826</v>
      </c>
      <c r="F2061" s="1" t="s">
        <v>58</v>
      </c>
      <c r="G2061" s="1" t="s">
        <v>18</v>
      </c>
      <c r="H2061" s="1">
        <v>-4.5</v>
      </c>
      <c r="I2061" s="1">
        <v>0.53</v>
      </c>
      <c r="J2061" s="1">
        <v>7.0000000000000007E-2</v>
      </c>
      <c r="K2061" s="2">
        <v>43043</v>
      </c>
      <c r="L2061" s="1">
        <v>3716</v>
      </c>
      <c r="M2061" s="1">
        <v>3.96</v>
      </c>
      <c r="N2061" s="1">
        <v>0.45345999999999997</v>
      </c>
      <c r="O2061" s="3">
        <f>VLOOKUP(D2061,underlying!$D$40:$H$75,5,FALSE)</f>
        <v>-2.75</v>
      </c>
      <c r="P2061" s="4">
        <f t="shared" si="73"/>
        <v>42836</v>
      </c>
      <c r="Q2061" s="7">
        <f>IF(G2061="C",NormalCallSprd(O2061,H2061,M2061,(P2061-A2061)/365), NormalPutSprd(O2061,H2061,M2061,(P2061-A2061)/365))</f>
        <v>0.53072072770040724</v>
      </c>
      <c r="R2061" s="9">
        <f t="shared" si="75"/>
        <v>7.2072770040720879E-4</v>
      </c>
    </row>
    <row r="2062" spans="1:18" x14ac:dyDescent="0.2">
      <c r="A2062" s="2">
        <v>42622</v>
      </c>
      <c r="B2062" s="1" t="s">
        <v>56</v>
      </c>
      <c r="C2062" s="1" t="s">
        <v>57</v>
      </c>
      <c r="D2062" s="2">
        <v>42739</v>
      </c>
      <c r="E2062" s="2">
        <f t="shared" si="74"/>
        <v>42826</v>
      </c>
      <c r="F2062" s="1" t="s">
        <v>58</v>
      </c>
      <c r="G2062" s="1" t="s">
        <v>16</v>
      </c>
      <c r="H2062" s="1">
        <v>-4.25</v>
      </c>
      <c r="I2062" s="1">
        <v>2.09</v>
      </c>
      <c r="J2062" s="1">
        <v>-0.19</v>
      </c>
      <c r="K2062" s="2">
        <v>43043</v>
      </c>
      <c r="L2062" s="1">
        <v>3716</v>
      </c>
      <c r="M2062" s="1">
        <v>3.94</v>
      </c>
      <c r="N2062" s="1">
        <v>0.49942999999999999</v>
      </c>
      <c r="O2062" s="3">
        <f>VLOOKUP(D2062,underlying!$D$40:$H$75,5,FALSE)</f>
        <v>-2.75</v>
      </c>
      <c r="P2062" s="4">
        <f t="shared" si="73"/>
        <v>42836</v>
      </c>
      <c r="Q2062" s="7">
        <f>IF(G2062="C",NormalCallSprd(O2062,H2062,M2062,(P2062-A2062)/365), NormalPutSprd(O2062,H2062,M2062,(P2062-A2062)/365))</f>
        <v>2.0993333633604037</v>
      </c>
      <c r="R2062" s="9">
        <f t="shared" si="75"/>
        <v>9.3333633604038013E-3</v>
      </c>
    </row>
    <row r="2063" spans="1:18" x14ac:dyDescent="0.2">
      <c r="A2063" s="2">
        <v>42622</v>
      </c>
      <c r="B2063" s="1" t="s">
        <v>56</v>
      </c>
      <c r="C2063" s="1" t="s">
        <v>57</v>
      </c>
      <c r="D2063" s="2">
        <v>42739</v>
      </c>
      <c r="E2063" s="2">
        <f t="shared" si="74"/>
        <v>42826</v>
      </c>
      <c r="F2063" s="1" t="s">
        <v>58</v>
      </c>
      <c r="G2063" s="1" t="s">
        <v>18</v>
      </c>
      <c r="H2063" s="1">
        <v>-4.25</v>
      </c>
      <c r="I2063" s="1">
        <v>0.6</v>
      </c>
      <c r="J2063" s="1">
        <v>7.0000000000000007E-2</v>
      </c>
      <c r="K2063" s="2">
        <v>43043</v>
      </c>
      <c r="L2063" s="1">
        <v>3716</v>
      </c>
      <c r="M2063" s="1">
        <v>3.94</v>
      </c>
      <c r="N2063" s="1">
        <v>0.54540999999999995</v>
      </c>
      <c r="O2063" s="3">
        <f>VLOOKUP(D2063,underlying!$D$40:$H$75,5,FALSE)</f>
        <v>-2.75</v>
      </c>
      <c r="P2063" s="4">
        <f t="shared" si="73"/>
        <v>42836</v>
      </c>
      <c r="Q2063" s="7">
        <f>IF(G2063="C",NormalCallSprd(O2063,H2063,M2063,(P2063-A2063)/365), NormalPutSprd(O2063,H2063,M2063,(P2063-A2063)/365))</f>
        <v>0.59933336336040366</v>
      </c>
      <c r="R2063" s="9">
        <f t="shared" si="75"/>
        <v>6.6663663959631858E-4</v>
      </c>
    </row>
    <row r="2064" spans="1:18" x14ac:dyDescent="0.2">
      <c r="A2064" s="2">
        <v>42622</v>
      </c>
      <c r="B2064" s="1" t="s">
        <v>56</v>
      </c>
      <c r="C2064" s="1" t="s">
        <v>57</v>
      </c>
      <c r="D2064" s="2">
        <v>42739</v>
      </c>
      <c r="E2064" s="2">
        <f t="shared" si="74"/>
        <v>42826</v>
      </c>
      <c r="F2064" s="1" t="s">
        <v>58</v>
      </c>
      <c r="G2064" s="1" t="s">
        <v>16</v>
      </c>
      <c r="H2064" s="1">
        <v>-4</v>
      </c>
      <c r="I2064" s="1">
        <v>1.93</v>
      </c>
      <c r="J2064" s="1">
        <v>-0.17</v>
      </c>
      <c r="K2064" s="2">
        <v>43043</v>
      </c>
      <c r="L2064" s="1">
        <v>3716</v>
      </c>
      <c r="M2064" s="1">
        <v>3.96</v>
      </c>
      <c r="N2064" s="1">
        <v>0.59097999999999995</v>
      </c>
      <c r="O2064" s="3">
        <f>VLOOKUP(D2064,underlying!$D$40:$H$75,5,FALSE)</f>
        <v>-2.75</v>
      </c>
      <c r="P2064" s="4">
        <f t="shared" si="73"/>
        <v>42836</v>
      </c>
      <c r="Q2064" s="7">
        <f>IF(G2064="C",NormalCallSprd(O2064,H2064,M2064,(P2064-A2064)/365), NormalPutSprd(O2064,H2064,M2064,(P2064-A2064)/365))</f>
        <v>1.9360237973783678</v>
      </c>
      <c r="R2064" s="9">
        <f t="shared" si="75"/>
        <v>6.02379737836789E-3</v>
      </c>
    </row>
    <row r="2065" spans="1:18" x14ac:dyDescent="0.2">
      <c r="A2065" s="2">
        <v>42622</v>
      </c>
      <c r="B2065" s="1" t="s">
        <v>56</v>
      </c>
      <c r="C2065" s="1" t="s">
        <v>57</v>
      </c>
      <c r="D2065" s="2">
        <v>42739</v>
      </c>
      <c r="E2065" s="2">
        <f t="shared" si="74"/>
        <v>42826</v>
      </c>
      <c r="F2065" s="1" t="s">
        <v>58</v>
      </c>
      <c r="G2065" s="1" t="s">
        <v>18</v>
      </c>
      <c r="H2065" s="1">
        <v>-4</v>
      </c>
      <c r="I2065" s="1">
        <v>0.68</v>
      </c>
      <c r="J2065" s="1">
        <v>0.08</v>
      </c>
      <c r="K2065" s="2">
        <v>43043</v>
      </c>
      <c r="L2065" s="1">
        <v>3716</v>
      </c>
      <c r="M2065" s="1">
        <v>3.96</v>
      </c>
      <c r="N2065" s="1">
        <v>0.63524999999999998</v>
      </c>
      <c r="O2065" s="3">
        <f>VLOOKUP(D2065,underlying!$D$40:$H$75,5,FALSE)</f>
        <v>-2.75</v>
      </c>
      <c r="P2065" s="4">
        <f t="shared" si="73"/>
        <v>42836</v>
      </c>
      <c r="Q2065" s="7">
        <f>IF(G2065="C",NormalCallSprd(O2065,H2065,M2065,(P2065-A2065)/365), NormalPutSprd(O2065,H2065,M2065,(P2065-A2065)/365))</f>
        <v>0.68602379737836794</v>
      </c>
      <c r="R2065" s="9">
        <f t="shared" si="75"/>
        <v>6.02379737836789E-3</v>
      </c>
    </row>
    <row r="2066" spans="1:18" x14ac:dyDescent="0.2">
      <c r="A2066" s="2">
        <v>42622</v>
      </c>
      <c r="B2066" s="1" t="s">
        <v>56</v>
      </c>
      <c r="C2066" s="1" t="s">
        <v>57</v>
      </c>
      <c r="D2066" s="2">
        <v>42739</v>
      </c>
      <c r="E2066" s="2">
        <f t="shared" si="74"/>
        <v>42826</v>
      </c>
      <c r="F2066" s="1" t="s">
        <v>58</v>
      </c>
      <c r="G2066" s="1" t="s">
        <v>16</v>
      </c>
      <c r="H2066" s="1">
        <v>-3.75</v>
      </c>
      <c r="I2066" s="1">
        <v>1.76</v>
      </c>
      <c r="J2066" s="1">
        <v>-0.17</v>
      </c>
      <c r="K2066" s="2">
        <v>43043</v>
      </c>
      <c r="L2066" s="1">
        <v>3716</v>
      </c>
      <c r="M2066" s="1">
        <v>3.94</v>
      </c>
      <c r="N2066" s="1">
        <v>0.67815000000000003</v>
      </c>
      <c r="O2066" s="3">
        <f>VLOOKUP(D2066,underlying!$D$40:$H$75,5,FALSE)</f>
        <v>-2.75</v>
      </c>
      <c r="P2066" s="4">
        <f t="shared" si="73"/>
        <v>42836</v>
      </c>
      <c r="Q2066" s="7">
        <f>IF(G2066="C",NormalCallSprd(O2066,H2066,M2066,(P2066-A2066)/365), NormalPutSprd(O2066,H2066,M2066,(P2066-A2066)/365))</f>
        <v>1.7690769857145459</v>
      </c>
      <c r="R2066" s="9">
        <f t="shared" si="75"/>
        <v>9.0769857145458488E-3</v>
      </c>
    </row>
    <row r="2067" spans="1:18" x14ac:dyDescent="0.2">
      <c r="A2067" s="2">
        <v>42622</v>
      </c>
      <c r="B2067" s="1" t="s">
        <v>56</v>
      </c>
      <c r="C2067" s="1" t="s">
        <v>57</v>
      </c>
      <c r="D2067" s="2">
        <v>42739</v>
      </c>
      <c r="E2067" s="2">
        <f t="shared" si="74"/>
        <v>42826</v>
      </c>
      <c r="F2067" s="1" t="s">
        <v>58</v>
      </c>
      <c r="G2067" s="1" t="s">
        <v>18</v>
      </c>
      <c r="H2067" s="1">
        <v>-3.75</v>
      </c>
      <c r="I2067" s="1">
        <v>0.77</v>
      </c>
      <c r="J2067" s="1">
        <v>0.08</v>
      </c>
      <c r="K2067" s="2">
        <v>43043</v>
      </c>
      <c r="L2067" s="1">
        <v>3716</v>
      </c>
      <c r="M2067" s="1">
        <v>3.94</v>
      </c>
      <c r="N2067" s="1">
        <v>0.71760999999999997</v>
      </c>
      <c r="O2067" s="3">
        <f>VLOOKUP(D2067,underlying!$D$40:$H$75,5,FALSE)</f>
        <v>-2.75</v>
      </c>
      <c r="P2067" s="4">
        <f t="shared" si="73"/>
        <v>42836</v>
      </c>
      <c r="Q2067" s="7">
        <f>IF(G2067="C",NormalCallSprd(O2067,H2067,M2067,(P2067-A2067)/365), NormalPutSprd(O2067,H2067,M2067,(P2067-A2067)/365))</f>
        <v>0.76907698571454597</v>
      </c>
      <c r="R2067" s="9">
        <f t="shared" si="75"/>
        <v>9.2301428545404907E-4</v>
      </c>
    </row>
    <row r="2068" spans="1:18" x14ac:dyDescent="0.2">
      <c r="A2068" s="2">
        <v>42622</v>
      </c>
      <c r="B2068" s="1" t="s">
        <v>56</v>
      </c>
      <c r="C2068" s="1" t="s">
        <v>57</v>
      </c>
      <c r="D2068" s="2">
        <v>42739</v>
      </c>
      <c r="E2068" s="2">
        <f t="shared" si="74"/>
        <v>42826</v>
      </c>
      <c r="F2068" s="1" t="s">
        <v>58</v>
      </c>
      <c r="G2068" s="1" t="s">
        <v>16</v>
      </c>
      <c r="H2068" s="1">
        <v>-3.5</v>
      </c>
      <c r="I2068" s="1">
        <v>1.61</v>
      </c>
      <c r="J2068" s="1">
        <v>-0.16</v>
      </c>
      <c r="K2068" s="2">
        <v>43043</v>
      </c>
      <c r="L2068" s="1">
        <v>3716</v>
      </c>
      <c r="M2068" s="1">
        <v>3.95</v>
      </c>
      <c r="N2068" s="1">
        <v>0.75524000000000002</v>
      </c>
      <c r="O2068" s="3">
        <f>VLOOKUP(D2068,underlying!$D$40:$H$75,5,FALSE)</f>
        <v>-2.75</v>
      </c>
      <c r="P2068" s="4">
        <f t="shared" si="73"/>
        <v>42836</v>
      </c>
      <c r="Q2068" s="7">
        <f>IF(G2068="C",NormalCallSprd(O2068,H2068,M2068,(P2068-A2068)/365), NormalPutSprd(O2068,H2068,M2068,(P2068-A2068)/365))</f>
        <v>1.6185205343518159</v>
      </c>
      <c r="R2068" s="9">
        <f t="shared" si="75"/>
        <v>8.5205343518157672E-3</v>
      </c>
    </row>
    <row r="2069" spans="1:18" x14ac:dyDescent="0.2">
      <c r="A2069" s="2">
        <v>42622</v>
      </c>
      <c r="B2069" s="1" t="s">
        <v>56</v>
      </c>
      <c r="C2069" s="1" t="s">
        <v>57</v>
      </c>
      <c r="D2069" s="2">
        <v>42739</v>
      </c>
      <c r="E2069" s="2">
        <f t="shared" si="74"/>
        <v>42826</v>
      </c>
      <c r="F2069" s="1" t="s">
        <v>58</v>
      </c>
      <c r="G2069" s="1" t="s">
        <v>18</v>
      </c>
      <c r="H2069" s="1">
        <v>-3.5</v>
      </c>
      <c r="I2069" s="1">
        <v>0.87</v>
      </c>
      <c r="J2069" s="1">
        <v>0.1</v>
      </c>
      <c r="K2069" s="2">
        <v>43043</v>
      </c>
      <c r="L2069" s="1">
        <v>3716</v>
      </c>
      <c r="M2069" s="1">
        <v>3.95</v>
      </c>
      <c r="N2069" s="1">
        <v>0.78996999999999995</v>
      </c>
      <c r="O2069" s="3">
        <f>VLOOKUP(D2069,underlying!$D$40:$H$75,5,FALSE)</f>
        <v>-2.75</v>
      </c>
      <c r="P2069" s="4">
        <f t="shared" si="73"/>
        <v>42836</v>
      </c>
      <c r="Q2069" s="7">
        <f>IF(G2069="C",NormalCallSprd(O2069,H2069,M2069,(P2069-A2069)/365), NormalPutSprd(O2069,H2069,M2069,(P2069-A2069)/365))</f>
        <v>0.86852053435181586</v>
      </c>
      <c r="R2069" s="9">
        <f t="shared" si="75"/>
        <v>1.4794656481841306E-3</v>
      </c>
    </row>
    <row r="2070" spans="1:18" x14ac:dyDescent="0.2">
      <c r="A2070" s="2">
        <v>42622</v>
      </c>
      <c r="B2070" s="1" t="s">
        <v>56</v>
      </c>
      <c r="C2070" s="1" t="s">
        <v>57</v>
      </c>
      <c r="D2070" s="2">
        <v>42739</v>
      </c>
      <c r="E2070" s="2">
        <f t="shared" si="74"/>
        <v>42826</v>
      </c>
      <c r="F2070" s="1" t="s">
        <v>58</v>
      </c>
      <c r="G2070" s="1" t="s">
        <v>16</v>
      </c>
      <c r="H2070" s="1">
        <v>-3.25</v>
      </c>
      <c r="I2070" s="1">
        <v>1.47</v>
      </c>
      <c r="J2070" s="1">
        <v>-0.15</v>
      </c>
      <c r="K2070" s="2">
        <v>43043</v>
      </c>
      <c r="L2070" s="1">
        <v>3716</v>
      </c>
      <c r="M2070" s="1">
        <v>3.95</v>
      </c>
      <c r="N2070" s="1">
        <v>0.8216</v>
      </c>
      <c r="O2070" s="3">
        <f>VLOOKUP(D2070,underlying!$D$40:$H$75,5,FALSE)</f>
        <v>-2.75</v>
      </c>
      <c r="P2070" s="4">
        <f t="shared" si="73"/>
        <v>42836</v>
      </c>
      <c r="Q2070" s="7">
        <f>IF(G2070="C",NormalCallSprd(O2070,H2070,M2070,(P2070-A2070)/365), NormalPutSprd(O2070,H2070,M2070,(P2070-A2070)/365))</f>
        <v>1.4730622783987914</v>
      </c>
      <c r="R2070" s="9">
        <f t="shared" si="75"/>
        <v>3.0622783987914737E-3</v>
      </c>
    </row>
    <row r="2071" spans="1:18" x14ac:dyDescent="0.2">
      <c r="A2071" s="2">
        <v>42622</v>
      </c>
      <c r="B2071" s="1" t="s">
        <v>56</v>
      </c>
      <c r="C2071" s="1" t="s">
        <v>57</v>
      </c>
      <c r="D2071" s="2">
        <v>42739</v>
      </c>
      <c r="E2071" s="2">
        <f t="shared" si="74"/>
        <v>42826</v>
      </c>
      <c r="F2071" s="1" t="s">
        <v>58</v>
      </c>
      <c r="G2071" s="1" t="s">
        <v>18</v>
      </c>
      <c r="H2071" s="1">
        <v>-3.25</v>
      </c>
      <c r="I2071" s="1">
        <v>0.97</v>
      </c>
      <c r="J2071" s="1">
        <v>0.1</v>
      </c>
      <c r="K2071" s="2">
        <v>43043</v>
      </c>
      <c r="L2071" s="1">
        <v>3716</v>
      </c>
      <c r="M2071" s="1">
        <v>3.95</v>
      </c>
      <c r="N2071" s="1">
        <v>0.85002</v>
      </c>
      <c r="O2071" s="3">
        <f>VLOOKUP(D2071,underlying!$D$40:$H$75,5,FALSE)</f>
        <v>-2.75</v>
      </c>
      <c r="P2071" s="4">
        <f t="shared" si="73"/>
        <v>42836</v>
      </c>
      <c r="Q2071" s="7">
        <f>IF(G2071="C",NormalCallSprd(O2071,H2071,M2071,(P2071-A2071)/365), NormalPutSprd(O2071,H2071,M2071,(P2071-A2071)/365))</f>
        <v>0.97306227839879145</v>
      </c>
      <c r="R2071" s="9">
        <f t="shared" si="75"/>
        <v>3.0622783987914737E-3</v>
      </c>
    </row>
    <row r="2072" spans="1:18" x14ac:dyDescent="0.2">
      <c r="A2072" s="2">
        <v>42622</v>
      </c>
      <c r="B2072" s="1" t="s">
        <v>56</v>
      </c>
      <c r="C2072" s="1" t="s">
        <v>57</v>
      </c>
      <c r="D2072" s="2">
        <v>42739</v>
      </c>
      <c r="E2072" s="2">
        <f t="shared" si="74"/>
        <v>42826</v>
      </c>
      <c r="F2072" s="1" t="s">
        <v>58</v>
      </c>
      <c r="G2072" s="1" t="s">
        <v>16</v>
      </c>
      <c r="H2072" s="1">
        <v>-3</v>
      </c>
      <c r="I2072" s="1">
        <v>1.33</v>
      </c>
      <c r="J2072" s="1">
        <v>-0.14000000000000001</v>
      </c>
      <c r="K2072" s="2">
        <v>43043</v>
      </c>
      <c r="L2072" s="1">
        <v>3716</v>
      </c>
      <c r="M2072" s="1">
        <v>3.96</v>
      </c>
      <c r="N2072" s="1">
        <v>0.87522999999999995</v>
      </c>
      <c r="O2072" s="3">
        <f>VLOOKUP(D2072,underlying!$D$40:$H$75,5,FALSE)</f>
        <v>-2.75</v>
      </c>
      <c r="P2072" s="4">
        <f t="shared" si="73"/>
        <v>42836</v>
      </c>
      <c r="Q2072" s="7">
        <f>IF(G2072="C",NormalCallSprd(O2072,H2072,M2072,(P2072-A2072)/365), NormalPutSprd(O2072,H2072,M2072,(P2072-A2072)/365))</f>
        <v>1.3387758581412263</v>
      </c>
      <c r="R2072" s="9">
        <f t="shared" si="75"/>
        <v>8.7758581412262782E-3</v>
      </c>
    </row>
    <row r="2073" spans="1:18" x14ac:dyDescent="0.2">
      <c r="A2073" s="2">
        <v>42622</v>
      </c>
      <c r="B2073" s="1" t="s">
        <v>56</v>
      </c>
      <c r="C2073" s="1" t="s">
        <v>57</v>
      </c>
      <c r="D2073" s="2">
        <v>42739</v>
      </c>
      <c r="E2073" s="2">
        <f t="shared" si="74"/>
        <v>42826</v>
      </c>
      <c r="F2073" s="1" t="s">
        <v>58</v>
      </c>
      <c r="G2073" s="1" t="s">
        <v>18</v>
      </c>
      <c r="H2073" s="1">
        <v>-3</v>
      </c>
      <c r="I2073" s="1">
        <v>1.0900000000000001</v>
      </c>
      <c r="J2073" s="1">
        <v>0.12</v>
      </c>
      <c r="K2073" s="2">
        <v>43043</v>
      </c>
      <c r="L2073" s="1">
        <v>3716</v>
      </c>
      <c r="M2073" s="1">
        <v>3.96</v>
      </c>
      <c r="N2073" s="1">
        <v>0.89729000000000003</v>
      </c>
      <c r="O2073" s="3">
        <f>VLOOKUP(D2073,underlying!$D$40:$H$75,5,FALSE)</f>
        <v>-2.75</v>
      </c>
      <c r="P2073" s="4">
        <f t="shared" si="73"/>
        <v>42836</v>
      </c>
      <c r="Q2073" s="7">
        <f>IF(G2073="C",NormalCallSprd(O2073,H2073,M2073,(P2073-A2073)/365), NormalPutSprd(O2073,H2073,M2073,(P2073-A2073)/365))</f>
        <v>1.0887758581412263</v>
      </c>
      <c r="R2073" s="9">
        <f t="shared" si="75"/>
        <v>1.2241418587737307E-3</v>
      </c>
    </row>
    <row r="2074" spans="1:18" x14ac:dyDescent="0.2">
      <c r="A2074" s="2">
        <v>42622</v>
      </c>
      <c r="B2074" s="1" t="s">
        <v>56</v>
      </c>
      <c r="C2074" s="1" t="s">
        <v>57</v>
      </c>
      <c r="D2074" s="2">
        <v>42739</v>
      </c>
      <c r="E2074" s="2">
        <f t="shared" si="74"/>
        <v>42826</v>
      </c>
      <c r="F2074" s="1" t="s">
        <v>58</v>
      </c>
      <c r="G2074" s="1" t="s">
        <v>16</v>
      </c>
      <c r="H2074" s="1">
        <v>-2.75</v>
      </c>
      <c r="I2074" s="1">
        <v>1.2</v>
      </c>
      <c r="J2074" s="1">
        <v>-0.14000000000000001</v>
      </c>
      <c r="K2074" s="2">
        <v>43043</v>
      </c>
      <c r="L2074" s="1">
        <v>3716</v>
      </c>
      <c r="M2074" s="1">
        <v>3.95</v>
      </c>
      <c r="N2074" s="1">
        <v>0.91632999999999998</v>
      </c>
      <c r="O2074" s="3">
        <f>VLOOKUP(D2074,underlying!$D$40:$H$75,5,FALSE)</f>
        <v>-2.75</v>
      </c>
      <c r="P2074" s="4">
        <f t="shared" si="73"/>
        <v>42836</v>
      </c>
      <c r="Q2074" s="7">
        <f>IF(G2074="C",NormalCallSprd(O2074,H2074,M2074,(P2074-A2074)/365), NormalPutSprd(O2074,H2074,M2074,(P2074-A2074)/365))</f>
        <v>1.2066119326132827</v>
      </c>
      <c r="R2074" s="9">
        <f t="shared" si="75"/>
        <v>6.611932613282745E-3</v>
      </c>
    </row>
    <row r="2075" spans="1:18" x14ac:dyDescent="0.2">
      <c r="A2075" s="2">
        <v>42622</v>
      </c>
      <c r="B2075" s="1" t="s">
        <v>56</v>
      </c>
      <c r="C2075" s="1" t="s">
        <v>57</v>
      </c>
      <c r="D2075" s="2">
        <v>42739</v>
      </c>
      <c r="E2075" s="2">
        <f t="shared" si="74"/>
        <v>42826</v>
      </c>
      <c r="F2075" s="1" t="s">
        <v>58</v>
      </c>
      <c r="G2075" s="1" t="s">
        <v>18</v>
      </c>
      <c r="H2075" s="1">
        <v>-2.75</v>
      </c>
      <c r="I2075" s="1">
        <v>1.2</v>
      </c>
      <c r="J2075" s="1">
        <v>0.11</v>
      </c>
      <c r="K2075" s="2">
        <v>43043</v>
      </c>
      <c r="L2075" s="1">
        <v>3716</v>
      </c>
      <c r="M2075" s="1">
        <v>3.95</v>
      </c>
      <c r="N2075" s="1">
        <v>0.93254999999999999</v>
      </c>
      <c r="O2075" s="3">
        <f>VLOOKUP(D2075,underlying!$D$40:$H$75,5,FALSE)</f>
        <v>-2.75</v>
      </c>
      <c r="P2075" s="4">
        <f t="shared" si="73"/>
        <v>42836</v>
      </c>
      <c r="Q2075" s="7">
        <f>IF(G2075="C",NormalCallSprd(O2075,H2075,M2075,(P2075-A2075)/365), NormalPutSprd(O2075,H2075,M2075,(P2075-A2075)/365))</f>
        <v>1.2066119326132827</v>
      </c>
      <c r="R2075" s="9">
        <f t="shared" si="75"/>
        <v>6.611932613282745E-3</v>
      </c>
    </row>
    <row r="2076" spans="1:18" x14ac:dyDescent="0.2">
      <c r="A2076" s="2">
        <v>42622</v>
      </c>
      <c r="B2076" s="1" t="s">
        <v>56</v>
      </c>
      <c r="C2076" s="1" t="s">
        <v>57</v>
      </c>
      <c r="D2076" s="2">
        <v>42739</v>
      </c>
      <c r="E2076" s="2">
        <f t="shared" si="74"/>
        <v>42826</v>
      </c>
      <c r="F2076" s="1" t="s">
        <v>58</v>
      </c>
      <c r="G2076" s="1" t="s">
        <v>16</v>
      </c>
      <c r="H2076" s="1">
        <v>-2.5</v>
      </c>
      <c r="I2076" s="1">
        <v>1.0900000000000001</v>
      </c>
      <c r="J2076" s="1">
        <v>-0.12</v>
      </c>
      <c r="K2076" s="2">
        <v>43043</v>
      </c>
      <c r="L2076" s="1">
        <v>3716</v>
      </c>
      <c r="M2076" s="1">
        <v>3.96</v>
      </c>
      <c r="N2076" s="1">
        <v>0.94618000000000002</v>
      </c>
      <c r="O2076" s="3">
        <f>VLOOKUP(D2076,underlying!$D$40:$H$75,5,FALSE)</f>
        <v>-2.75</v>
      </c>
      <c r="P2076" s="4">
        <f t="shared" si="73"/>
        <v>42836</v>
      </c>
      <c r="Q2076" s="7">
        <f>IF(G2076="C",NormalCallSprd(O2076,H2076,M2076,(P2076-A2076)/365), NormalPutSprd(O2076,H2076,M2076,(P2076-A2076)/365))</f>
        <v>1.0887758581412263</v>
      </c>
      <c r="R2076" s="9">
        <f t="shared" si="75"/>
        <v>1.2241418587737307E-3</v>
      </c>
    </row>
    <row r="2077" spans="1:18" x14ac:dyDescent="0.2">
      <c r="A2077" s="2">
        <v>42622</v>
      </c>
      <c r="B2077" s="1" t="s">
        <v>56</v>
      </c>
      <c r="C2077" s="1" t="s">
        <v>57</v>
      </c>
      <c r="D2077" s="2">
        <v>42739</v>
      </c>
      <c r="E2077" s="2">
        <f t="shared" si="74"/>
        <v>42826</v>
      </c>
      <c r="F2077" s="1" t="s">
        <v>58</v>
      </c>
      <c r="G2077" s="1" t="s">
        <v>18</v>
      </c>
      <c r="H2077" s="1">
        <v>-2.5</v>
      </c>
      <c r="I2077" s="1">
        <v>1.33</v>
      </c>
      <c r="J2077" s="1">
        <v>0.12</v>
      </c>
      <c r="K2077" s="2">
        <v>43043</v>
      </c>
      <c r="L2077" s="1">
        <v>3716</v>
      </c>
      <c r="M2077" s="1">
        <v>3.96</v>
      </c>
      <c r="N2077" s="1">
        <v>0.95750000000000002</v>
      </c>
      <c r="O2077" s="3">
        <f>VLOOKUP(D2077,underlying!$D$40:$H$75,5,FALSE)</f>
        <v>-2.75</v>
      </c>
      <c r="P2077" s="4">
        <f t="shared" si="73"/>
        <v>42836</v>
      </c>
      <c r="Q2077" s="7">
        <f>IF(G2077="C",NormalCallSprd(O2077,H2077,M2077,(P2077-A2077)/365), NormalPutSprd(O2077,H2077,M2077,(P2077-A2077)/365))</f>
        <v>1.3387758581412263</v>
      </c>
      <c r="R2077" s="9">
        <f t="shared" si="75"/>
        <v>8.7758581412262782E-3</v>
      </c>
    </row>
    <row r="2078" spans="1:18" x14ac:dyDescent="0.2">
      <c r="A2078" s="2">
        <v>42622</v>
      </c>
      <c r="B2078" s="1" t="s">
        <v>56</v>
      </c>
      <c r="C2078" s="1" t="s">
        <v>57</v>
      </c>
      <c r="D2078" s="2">
        <v>42739</v>
      </c>
      <c r="E2078" s="2">
        <f t="shared" si="74"/>
        <v>42826</v>
      </c>
      <c r="F2078" s="1" t="s">
        <v>58</v>
      </c>
      <c r="G2078" s="1" t="s">
        <v>16</v>
      </c>
      <c r="H2078" s="1">
        <v>-2.25</v>
      </c>
      <c r="I2078" s="1">
        <v>0.97</v>
      </c>
      <c r="J2078" s="1">
        <v>-0.12</v>
      </c>
      <c r="K2078" s="2">
        <v>43043</v>
      </c>
      <c r="L2078" s="1">
        <v>3716</v>
      </c>
      <c r="M2078" s="1">
        <v>3.95</v>
      </c>
      <c r="N2078" s="1">
        <v>0.96675</v>
      </c>
      <c r="O2078" s="3">
        <f>VLOOKUP(D2078,underlying!$D$40:$H$75,5,FALSE)</f>
        <v>-2.75</v>
      </c>
      <c r="P2078" s="4">
        <f t="shared" si="73"/>
        <v>42836</v>
      </c>
      <c r="Q2078" s="7">
        <f>IF(G2078="C",NormalCallSprd(O2078,H2078,M2078,(P2078-A2078)/365), NormalPutSprd(O2078,H2078,M2078,(P2078-A2078)/365))</f>
        <v>0.97306227839879145</v>
      </c>
      <c r="R2078" s="9">
        <f t="shared" si="75"/>
        <v>3.0622783987914737E-3</v>
      </c>
    </row>
    <row r="2079" spans="1:18" x14ac:dyDescent="0.2">
      <c r="A2079" s="2">
        <v>42622</v>
      </c>
      <c r="B2079" s="1" t="s">
        <v>56</v>
      </c>
      <c r="C2079" s="1" t="s">
        <v>57</v>
      </c>
      <c r="D2079" s="2">
        <v>42739</v>
      </c>
      <c r="E2079" s="2">
        <f t="shared" si="74"/>
        <v>42826</v>
      </c>
      <c r="F2079" s="1" t="s">
        <v>58</v>
      </c>
      <c r="G2079" s="1" t="s">
        <v>18</v>
      </c>
      <c r="H2079" s="1">
        <v>-2.25</v>
      </c>
      <c r="I2079" s="1">
        <v>1.47</v>
      </c>
      <c r="J2079" s="1">
        <v>0.13</v>
      </c>
      <c r="K2079" s="2">
        <v>43043</v>
      </c>
      <c r="L2079" s="1">
        <v>3716</v>
      </c>
      <c r="M2079" s="1">
        <v>3.95</v>
      </c>
      <c r="N2079" s="1">
        <v>0.97423000000000004</v>
      </c>
      <c r="O2079" s="3">
        <f>VLOOKUP(D2079,underlying!$D$40:$H$75,5,FALSE)</f>
        <v>-2.75</v>
      </c>
      <c r="P2079" s="4">
        <f t="shared" si="73"/>
        <v>42836</v>
      </c>
      <c r="Q2079" s="7">
        <f>IF(G2079="C",NormalCallSprd(O2079,H2079,M2079,(P2079-A2079)/365), NormalPutSprd(O2079,H2079,M2079,(P2079-A2079)/365))</f>
        <v>1.4730622783987914</v>
      </c>
      <c r="R2079" s="9">
        <f t="shared" si="75"/>
        <v>3.0622783987914737E-3</v>
      </c>
    </row>
    <row r="2080" spans="1:18" x14ac:dyDescent="0.2">
      <c r="A2080" s="2">
        <v>42622</v>
      </c>
      <c r="B2080" s="1" t="s">
        <v>56</v>
      </c>
      <c r="C2080" s="1" t="s">
        <v>57</v>
      </c>
      <c r="D2080" s="2">
        <v>42739</v>
      </c>
      <c r="E2080" s="2">
        <f t="shared" si="74"/>
        <v>42826</v>
      </c>
      <c r="F2080" s="1" t="s">
        <v>58</v>
      </c>
      <c r="G2080" s="1" t="s">
        <v>16</v>
      </c>
      <c r="H2080" s="1">
        <v>-2</v>
      </c>
      <c r="I2080" s="1">
        <v>0.87</v>
      </c>
      <c r="J2080" s="1">
        <v>-0.1</v>
      </c>
      <c r="K2080" s="2">
        <v>43043</v>
      </c>
      <c r="L2080" s="1">
        <v>3716</v>
      </c>
      <c r="M2080" s="1">
        <v>3.95</v>
      </c>
      <c r="N2080" s="1">
        <v>0.98019000000000001</v>
      </c>
      <c r="O2080" s="3">
        <f>VLOOKUP(D2080,underlying!$D$40:$H$75,5,FALSE)</f>
        <v>-2.75</v>
      </c>
      <c r="P2080" s="4">
        <f t="shared" si="73"/>
        <v>42836</v>
      </c>
      <c r="Q2080" s="7">
        <f>IF(G2080="C",NormalCallSprd(O2080,H2080,M2080,(P2080-A2080)/365), NormalPutSprd(O2080,H2080,M2080,(P2080-A2080)/365))</f>
        <v>0.86852053435181586</v>
      </c>
      <c r="R2080" s="9">
        <f t="shared" si="75"/>
        <v>1.4794656481841306E-3</v>
      </c>
    </row>
    <row r="2081" spans="1:18" x14ac:dyDescent="0.2">
      <c r="A2081" s="2">
        <v>42622</v>
      </c>
      <c r="B2081" s="1" t="s">
        <v>56</v>
      </c>
      <c r="C2081" s="1" t="s">
        <v>57</v>
      </c>
      <c r="D2081" s="2">
        <v>42739</v>
      </c>
      <c r="E2081" s="2">
        <f t="shared" si="74"/>
        <v>42826</v>
      </c>
      <c r="F2081" s="1" t="s">
        <v>58</v>
      </c>
      <c r="G2081" s="1" t="s">
        <v>18</v>
      </c>
      <c r="H2081" s="1">
        <v>-2</v>
      </c>
      <c r="I2081" s="1">
        <v>1.61</v>
      </c>
      <c r="J2081" s="1">
        <v>0.14000000000000001</v>
      </c>
      <c r="K2081" s="2">
        <v>43043</v>
      </c>
      <c r="L2081" s="1">
        <v>3716</v>
      </c>
      <c r="M2081" s="1">
        <v>3.95</v>
      </c>
      <c r="N2081" s="1">
        <v>0.98487000000000002</v>
      </c>
      <c r="O2081" s="3">
        <f>VLOOKUP(D2081,underlying!$D$40:$H$75,5,FALSE)</f>
        <v>-2.75</v>
      </c>
      <c r="P2081" s="4">
        <f t="shared" si="73"/>
        <v>42836</v>
      </c>
      <c r="Q2081" s="7">
        <f>IF(G2081="C",NormalCallSprd(O2081,H2081,M2081,(P2081-A2081)/365), NormalPutSprd(O2081,H2081,M2081,(P2081-A2081)/365))</f>
        <v>1.6185205343518159</v>
      </c>
      <c r="R2081" s="9">
        <f t="shared" si="75"/>
        <v>8.5205343518157672E-3</v>
      </c>
    </row>
    <row r="2082" spans="1:18" x14ac:dyDescent="0.2">
      <c r="A2082" s="2">
        <v>42622</v>
      </c>
      <c r="B2082" s="1" t="s">
        <v>56</v>
      </c>
      <c r="C2082" s="1" t="s">
        <v>57</v>
      </c>
      <c r="D2082" s="2">
        <v>42739</v>
      </c>
      <c r="E2082" s="2">
        <f t="shared" si="74"/>
        <v>42826</v>
      </c>
      <c r="F2082" s="1" t="s">
        <v>58</v>
      </c>
      <c r="G2082" s="1" t="s">
        <v>16</v>
      </c>
      <c r="H2082" s="1">
        <v>-1.75</v>
      </c>
      <c r="I2082" s="1">
        <v>0.77</v>
      </c>
      <c r="J2082" s="1">
        <v>-0.1</v>
      </c>
      <c r="K2082" s="2">
        <v>43043</v>
      </c>
      <c r="L2082" s="1">
        <v>3716</v>
      </c>
      <c r="M2082" s="1">
        <v>3.94</v>
      </c>
      <c r="N2082" s="1">
        <v>0.98851</v>
      </c>
      <c r="O2082" s="3">
        <f>VLOOKUP(D2082,underlying!$D$40:$H$75,5,FALSE)</f>
        <v>-2.75</v>
      </c>
      <c r="P2082" s="4">
        <f t="shared" si="73"/>
        <v>42836</v>
      </c>
      <c r="Q2082" s="7">
        <f>IF(G2082="C",NormalCallSprd(O2082,H2082,M2082,(P2082-A2082)/365), NormalPutSprd(O2082,H2082,M2082,(P2082-A2082)/365))</f>
        <v>0.76907698571454597</v>
      </c>
      <c r="R2082" s="9">
        <f t="shared" si="75"/>
        <v>9.2301428545404907E-4</v>
      </c>
    </row>
    <row r="2083" spans="1:18" x14ac:dyDescent="0.2">
      <c r="A2083" s="2">
        <v>42622</v>
      </c>
      <c r="B2083" s="1" t="s">
        <v>56</v>
      </c>
      <c r="C2083" s="1" t="s">
        <v>57</v>
      </c>
      <c r="D2083" s="2">
        <v>42739</v>
      </c>
      <c r="E2083" s="2">
        <f t="shared" si="74"/>
        <v>42826</v>
      </c>
      <c r="F2083" s="1" t="s">
        <v>58</v>
      </c>
      <c r="G2083" s="1" t="s">
        <v>18</v>
      </c>
      <c r="H2083" s="1">
        <v>-1.75</v>
      </c>
      <c r="I2083" s="1">
        <v>1.76</v>
      </c>
      <c r="J2083" s="1">
        <v>0.14000000000000001</v>
      </c>
      <c r="K2083" s="2">
        <v>43043</v>
      </c>
      <c r="L2083" s="1">
        <v>3716</v>
      </c>
      <c r="M2083" s="1">
        <v>3.94</v>
      </c>
      <c r="N2083" s="1">
        <v>-0.98019000000000001</v>
      </c>
      <c r="O2083" s="3">
        <f>VLOOKUP(D2083,underlying!$D$40:$H$75,5,FALSE)</f>
        <v>-2.75</v>
      </c>
      <c r="P2083" s="4">
        <f t="shared" si="73"/>
        <v>42836</v>
      </c>
      <c r="Q2083" s="7">
        <f>IF(G2083="C",NormalCallSprd(O2083,H2083,M2083,(P2083-A2083)/365), NormalPutSprd(O2083,H2083,M2083,(P2083-A2083)/365))</f>
        <v>1.7690769857145459</v>
      </c>
      <c r="R2083" s="9">
        <f t="shared" si="75"/>
        <v>9.0769857145458488E-3</v>
      </c>
    </row>
    <row r="2084" spans="1:18" x14ac:dyDescent="0.2">
      <c r="A2084" s="2">
        <v>42622</v>
      </c>
      <c r="B2084" s="1" t="s">
        <v>56</v>
      </c>
      <c r="C2084" s="1" t="s">
        <v>57</v>
      </c>
      <c r="D2084" s="2">
        <v>42739</v>
      </c>
      <c r="E2084" s="2">
        <f t="shared" si="74"/>
        <v>42826</v>
      </c>
      <c r="F2084" s="1" t="s">
        <v>58</v>
      </c>
      <c r="G2084" s="1" t="s">
        <v>16</v>
      </c>
      <c r="H2084" s="1">
        <v>-1.5</v>
      </c>
      <c r="I2084" s="1">
        <v>0.68</v>
      </c>
      <c r="J2084" s="1">
        <v>-0.09</v>
      </c>
      <c r="K2084" s="2">
        <v>43043</v>
      </c>
      <c r="L2084" s="1">
        <v>3716</v>
      </c>
      <c r="M2084" s="1">
        <v>3.96</v>
      </c>
      <c r="N2084" s="1">
        <v>-0.97423000000000004</v>
      </c>
      <c r="O2084" s="3">
        <f>VLOOKUP(D2084,underlying!$D$40:$H$75,5,FALSE)</f>
        <v>-2.75</v>
      </c>
      <c r="P2084" s="4">
        <f t="shared" si="73"/>
        <v>42836</v>
      </c>
      <c r="Q2084" s="7">
        <f>IF(G2084="C",NormalCallSprd(O2084,H2084,M2084,(P2084-A2084)/365), NormalPutSprd(O2084,H2084,M2084,(P2084-A2084)/365))</f>
        <v>0.68602379737836794</v>
      </c>
      <c r="R2084" s="9">
        <f t="shared" si="75"/>
        <v>6.02379737836789E-3</v>
      </c>
    </row>
    <row r="2085" spans="1:18" x14ac:dyDescent="0.2">
      <c r="A2085" s="2">
        <v>42622</v>
      </c>
      <c r="B2085" s="1" t="s">
        <v>56</v>
      </c>
      <c r="C2085" s="1" t="s">
        <v>57</v>
      </c>
      <c r="D2085" s="2">
        <v>42739</v>
      </c>
      <c r="E2085" s="2">
        <f t="shared" si="74"/>
        <v>42826</v>
      </c>
      <c r="F2085" s="1" t="s">
        <v>58</v>
      </c>
      <c r="G2085" s="1" t="s">
        <v>18</v>
      </c>
      <c r="H2085" s="1">
        <v>-1.5</v>
      </c>
      <c r="I2085" s="1">
        <v>1.93</v>
      </c>
      <c r="J2085" s="1">
        <v>0.16</v>
      </c>
      <c r="K2085" s="2">
        <v>43043</v>
      </c>
      <c r="L2085" s="1">
        <v>3716</v>
      </c>
      <c r="M2085" s="1">
        <v>3.96</v>
      </c>
      <c r="N2085" s="1">
        <v>-0.96675</v>
      </c>
      <c r="O2085" s="3">
        <f>VLOOKUP(D2085,underlying!$D$40:$H$75,5,FALSE)</f>
        <v>-2.75</v>
      </c>
      <c r="P2085" s="4">
        <f t="shared" si="73"/>
        <v>42836</v>
      </c>
      <c r="Q2085" s="7">
        <f>IF(G2085="C",NormalCallSprd(O2085,H2085,M2085,(P2085-A2085)/365), NormalPutSprd(O2085,H2085,M2085,(P2085-A2085)/365))</f>
        <v>1.9360237973783678</v>
      </c>
      <c r="R2085" s="9">
        <f t="shared" si="75"/>
        <v>6.02379737836789E-3</v>
      </c>
    </row>
    <row r="2086" spans="1:18" x14ac:dyDescent="0.2">
      <c r="A2086" s="2">
        <v>42622</v>
      </c>
      <c r="B2086" s="1" t="s">
        <v>56</v>
      </c>
      <c r="C2086" s="1" t="s">
        <v>57</v>
      </c>
      <c r="D2086" s="2">
        <v>42739</v>
      </c>
      <c r="E2086" s="2">
        <f t="shared" si="74"/>
        <v>42826</v>
      </c>
      <c r="F2086" s="1" t="s">
        <v>58</v>
      </c>
      <c r="G2086" s="1" t="s">
        <v>16</v>
      </c>
      <c r="H2086" s="1">
        <v>-1.25</v>
      </c>
      <c r="I2086" s="1">
        <v>0.6</v>
      </c>
      <c r="J2086" s="1">
        <v>-0.09</v>
      </c>
      <c r="K2086" s="2">
        <v>43043</v>
      </c>
      <c r="L2086" s="1">
        <v>3716</v>
      </c>
      <c r="M2086" s="1">
        <v>3.94</v>
      </c>
      <c r="N2086" s="1">
        <v>-7.5799999999999999E-3</v>
      </c>
      <c r="O2086" s="3">
        <f>VLOOKUP(D2086,underlying!$D$40:$H$75,5,FALSE)</f>
        <v>-2.75</v>
      </c>
      <c r="P2086" s="4">
        <f t="shared" si="73"/>
        <v>42836</v>
      </c>
      <c r="Q2086" s="7">
        <f>IF(G2086="C",NormalCallSprd(O2086,H2086,M2086,(P2086-A2086)/365), NormalPutSprd(O2086,H2086,M2086,(P2086-A2086)/365))</f>
        <v>0.59933336336040366</v>
      </c>
      <c r="R2086" s="9">
        <f t="shared" si="75"/>
        <v>6.6663663959631858E-4</v>
      </c>
    </row>
    <row r="2087" spans="1:18" x14ac:dyDescent="0.2">
      <c r="A2087" s="2">
        <v>42622</v>
      </c>
      <c r="B2087" s="1" t="s">
        <v>56</v>
      </c>
      <c r="C2087" s="1" t="s">
        <v>57</v>
      </c>
      <c r="D2087" s="2">
        <v>42739</v>
      </c>
      <c r="E2087" s="2">
        <f t="shared" si="74"/>
        <v>42826</v>
      </c>
      <c r="F2087" s="1" t="s">
        <v>58</v>
      </c>
      <c r="G2087" s="1" t="s">
        <v>18</v>
      </c>
      <c r="H2087" s="1">
        <v>-1.25</v>
      </c>
      <c r="I2087" s="1">
        <v>2.09</v>
      </c>
      <c r="J2087" s="1">
        <v>0.16</v>
      </c>
      <c r="K2087" s="2">
        <v>43043</v>
      </c>
      <c r="L2087" s="1">
        <v>3716</v>
      </c>
      <c r="M2087" s="1">
        <v>3.94</v>
      </c>
      <c r="N2087" s="1">
        <v>-0.95713999999999999</v>
      </c>
      <c r="O2087" s="3">
        <f>VLOOKUP(D2087,underlying!$D$40:$H$75,5,FALSE)</f>
        <v>-2.75</v>
      </c>
      <c r="P2087" s="4">
        <f t="shared" si="73"/>
        <v>42836</v>
      </c>
      <c r="Q2087" s="7">
        <f>IF(G2087="C",NormalCallSprd(O2087,H2087,M2087,(P2087-A2087)/365), NormalPutSprd(O2087,H2087,M2087,(P2087-A2087)/365))</f>
        <v>2.0993333633604037</v>
      </c>
      <c r="R2087" s="9">
        <f t="shared" si="75"/>
        <v>9.3333633604038013E-3</v>
      </c>
    </row>
    <row r="2088" spans="1:18" x14ac:dyDescent="0.2">
      <c r="A2088" s="2">
        <v>42622</v>
      </c>
      <c r="B2088" s="1" t="s">
        <v>56</v>
      </c>
      <c r="C2088" s="1" t="s">
        <v>57</v>
      </c>
      <c r="D2088" s="2">
        <v>42739</v>
      </c>
      <c r="E2088" s="2">
        <f t="shared" si="74"/>
        <v>42826</v>
      </c>
      <c r="F2088" s="1" t="s">
        <v>58</v>
      </c>
      <c r="G2088" s="1" t="s">
        <v>16</v>
      </c>
      <c r="H2088" s="1">
        <v>-1</v>
      </c>
      <c r="I2088" s="1">
        <v>0.53</v>
      </c>
      <c r="J2088" s="1">
        <v>-7.0000000000000007E-2</v>
      </c>
      <c r="K2088" s="2">
        <v>43043</v>
      </c>
      <c r="L2088" s="1">
        <v>3716</v>
      </c>
      <c r="M2088" s="1">
        <v>3.96</v>
      </c>
      <c r="N2088" s="1">
        <v>-1.92E-3</v>
      </c>
      <c r="O2088" s="3">
        <f>VLOOKUP(D2088,underlying!$D$40:$H$75,5,FALSE)</f>
        <v>-2.75</v>
      </c>
      <c r="P2088" s="4">
        <f t="shared" si="73"/>
        <v>42836</v>
      </c>
      <c r="Q2088" s="7">
        <f>IF(G2088="C",NormalCallSprd(O2088,H2088,M2088,(P2088-A2088)/365), NormalPutSprd(O2088,H2088,M2088,(P2088-A2088)/365))</f>
        <v>0.53072072770040724</v>
      </c>
      <c r="R2088" s="9">
        <f t="shared" si="75"/>
        <v>7.2072770040720879E-4</v>
      </c>
    </row>
    <row r="2089" spans="1:18" x14ac:dyDescent="0.2">
      <c r="A2089" s="2">
        <v>42622</v>
      </c>
      <c r="B2089" s="1" t="s">
        <v>56</v>
      </c>
      <c r="C2089" s="1" t="s">
        <v>57</v>
      </c>
      <c r="D2089" s="2">
        <v>42739</v>
      </c>
      <c r="E2089" s="2">
        <f t="shared" si="74"/>
        <v>42826</v>
      </c>
      <c r="F2089" s="1" t="s">
        <v>58</v>
      </c>
      <c r="G2089" s="1" t="s">
        <v>18</v>
      </c>
      <c r="H2089" s="1">
        <v>-1</v>
      </c>
      <c r="I2089" s="1">
        <v>2.27</v>
      </c>
      <c r="J2089" s="1">
        <v>0.17</v>
      </c>
      <c r="K2089" s="2">
        <v>43043</v>
      </c>
      <c r="L2089" s="1">
        <v>3716</v>
      </c>
      <c r="M2089" s="1">
        <v>3.96</v>
      </c>
      <c r="N2089" s="1">
        <v>-4.0000000000000002E-4</v>
      </c>
      <c r="O2089" s="3">
        <f>VLOOKUP(D2089,underlying!$D$40:$H$75,5,FALSE)</f>
        <v>-2.75</v>
      </c>
      <c r="P2089" s="4">
        <f t="shared" si="73"/>
        <v>42836</v>
      </c>
      <c r="Q2089" s="7">
        <f>IF(G2089="C",NormalCallSprd(O2089,H2089,M2089,(P2089-A2089)/365), NormalPutSprd(O2089,H2089,M2089,(P2089-A2089)/365))</f>
        <v>2.2807207277004071</v>
      </c>
      <c r="R2089" s="9">
        <f t="shared" si="75"/>
        <v>1.0720727700407107E-2</v>
      </c>
    </row>
    <row r="2090" spans="1:18" x14ac:dyDescent="0.2">
      <c r="A2090" s="2">
        <v>42622</v>
      </c>
      <c r="B2090" s="1" t="s">
        <v>56</v>
      </c>
      <c r="C2090" s="1" t="s">
        <v>57</v>
      </c>
      <c r="D2090" s="2">
        <v>42739</v>
      </c>
      <c r="E2090" s="2">
        <f t="shared" si="74"/>
        <v>42826</v>
      </c>
      <c r="F2090" s="1" t="s">
        <v>58</v>
      </c>
      <c r="G2090" s="1" t="s">
        <v>16</v>
      </c>
      <c r="H2090" s="1">
        <v>-0.75</v>
      </c>
      <c r="I2090" s="1">
        <v>0.46</v>
      </c>
      <c r="J2090" s="1">
        <v>-7.0000000000000007E-2</v>
      </c>
      <c r="K2090" s="2">
        <v>43043</v>
      </c>
      <c r="L2090" s="1">
        <v>3716</v>
      </c>
      <c r="M2090" s="1">
        <v>3.94</v>
      </c>
      <c r="N2090" s="1">
        <v>-0.94577999999999995</v>
      </c>
      <c r="O2090" s="3">
        <f>VLOOKUP(D2090,underlying!$D$40:$H$75,5,FALSE)</f>
        <v>-2.75</v>
      </c>
      <c r="P2090" s="4">
        <f t="shared" si="73"/>
        <v>42836</v>
      </c>
      <c r="Q2090" s="7">
        <f>IF(G2090="C",NormalCallSprd(O2090,H2090,M2090,(P2090-A2090)/365), NormalPutSprd(O2090,H2090,M2090,(P2090-A2090)/365))</f>
        <v>0.45875490928710905</v>
      </c>
      <c r="R2090" s="9">
        <f t="shared" si="75"/>
        <v>1.2450907128909727E-3</v>
      </c>
    </row>
    <row r="2091" spans="1:18" x14ac:dyDescent="0.2">
      <c r="A2091" s="2">
        <v>42622</v>
      </c>
      <c r="B2091" s="1" t="s">
        <v>56</v>
      </c>
      <c r="C2091" s="1" t="s">
        <v>57</v>
      </c>
      <c r="D2091" s="2">
        <v>42739</v>
      </c>
      <c r="E2091" s="2">
        <f t="shared" si="74"/>
        <v>42826</v>
      </c>
      <c r="F2091" s="1" t="s">
        <v>58</v>
      </c>
      <c r="G2091" s="1" t="s">
        <v>18</v>
      </c>
      <c r="H2091" s="1">
        <v>-0.75</v>
      </c>
      <c r="I2091" s="1">
        <v>2.4500000000000002</v>
      </c>
      <c r="J2091" s="1">
        <v>0.17</v>
      </c>
      <c r="K2091" s="2">
        <v>43043</v>
      </c>
      <c r="L2091" s="1">
        <v>3716</v>
      </c>
      <c r="M2091" s="1">
        <v>3.94</v>
      </c>
      <c r="N2091" s="1">
        <v>-6.9999999999999994E-5</v>
      </c>
      <c r="O2091" s="3">
        <f>VLOOKUP(D2091,underlying!$D$40:$H$75,5,FALSE)</f>
        <v>-2.75</v>
      </c>
      <c r="P2091" s="4">
        <f t="shared" si="73"/>
        <v>42836</v>
      </c>
      <c r="Q2091" s="7">
        <f>IF(G2091="C",NormalCallSprd(O2091,H2091,M2091,(P2091-A2091)/365), NormalPutSprd(O2091,H2091,M2091,(P2091-A2091)/365))</f>
        <v>2.458754909287109</v>
      </c>
      <c r="R2091" s="9">
        <f t="shared" si="75"/>
        <v>8.7549092871088696E-3</v>
      </c>
    </row>
    <row r="2092" spans="1:18" x14ac:dyDescent="0.2">
      <c r="A2092" s="2">
        <v>42622</v>
      </c>
      <c r="B2092" s="1" t="s">
        <v>56</v>
      </c>
      <c r="C2092" s="1" t="s">
        <v>57</v>
      </c>
      <c r="D2092" s="2">
        <v>42739</v>
      </c>
      <c r="E2092" s="2">
        <f t="shared" si="74"/>
        <v>42826</v>
      </c>
      <c r="F2092" s="1" t="s">
        <v>58</v>
      </c>
      <c r="G2092" s="1" t="s">
        <v>16</v>
      </c>
      <c r="H2092" s="1">
        <v>-0.5</v>
      </c>
      <c r="I2092" s="1">
        <v>0.4</v>
      </c>
      <c r="J2092" s="1">
        <v>-0.06</v>
      </c>
      <c r="K2092" s="2">
        <v>43043</v>
      </c>
      <c r="L2092" s="1">
        <v>3716</v>
      </c>
      <c r="M2092" s="1">
        <v>3.96</v>
      </c>
      <c r="N2092" s="1">
        <v>-0.93210000000000004</v>
      </c>
      <c r="O2092" s="3">
        <f>VLOOKUP(D2092,underlying!$D$40:$H$75,5,FALSE)</f>
        <v>-2.75</v>
      </c>
      <c r="P2092" s="4">
        <f t="shared" si="73"/>
        <v>42836</v>
      </c>
      <c r="Q2092" s="7">
        <f>IF(G2092="C",NormalCallSprd(O2092,H2092,M2092,(P2092-A2092)/365), NormalPutSprd(O2092,H2092,M2092,(P2092-A2092)/365))</f>
        <v>0.40322173787691784</v>
      </c>
      <c r="R2092" s="9">
        <f t="shared" si="75"/>
        <v>3.2217378769178184E-3</v>
      </c>
    </row>
    <row r="2093" spans="1:18" x14ac:dyDescent="0.2">
      <c r="A2093" s="2">
        <v>42622</v>
      </c>
      <c r="B2093" s="1" t="s">
        <v>56</v>
      </c>
      <c r="C2093" s="1" t="s">
        <v>57</v>
      </c>
      <c r="D2093" s="2">
        <v>42739</v>
      </c>
      <c r="E2093" s="2">
        <f t="shared" si="74"/>
        <v>42826</v>
      </c>
      <c r="F2093" s="1" t="s">
        <v>58</v>
      </c>
      <c r="G2093" s="1" t="s">
        <v>18</v>
      </c>
      <c r="H2093" s="1">
        <v>-0.5</v>
      </c>
      <c r="I2093" s="1">
        <v>2.64</v>
      </c>
      <c r="J2093" s="1">
        <v>0.19</v>
      </c>
      <c r="K2093" s="2">
        <v>43043</v>
      </c>
      <c r="L2093" s="1">
        <v>3716</v>
      </c>
      <c r="M2093" s="1">
        <v>3.96</v>
      </c>
      <c r="N2093" s="1">
        <v>-0.91583999999999999</v>
      </c>
      <c r="O2093" s="3">
        <f>VLOOKUP(D2093,underlying!$D$40:$H$75,5,FALSE)</f>
        <v>-2.75</v>
      </c>
      <c r="P2093" s="4">
        <f t="shared" si="73"/>
        <v>42836</v>
      </c>
      <c r="Q2093" s="7">
        <f>IF(G2093="C",NormalCallSprd(O2093,H2093,M2093,(P2093-A2093)/365), NormalPutSprd(O2093,H2093,M2093,(P2093-A2093)/365))</f>
        <v>2.6532217378769181</v>
      </c>
      <c r="R2093" s="9">
        <f t="shared" si="75"/>
        <v>1.3221737876917938E-2</v>
      </c>
    </row>
    <row r="2094" spans="1:18" x14ac:dyDescent="0.2">
      <c r="A2094" s="2">
        <v>42622</v>
      </c>
      <c r="B2094" s="1" t="s">
        <v>56</v>
      </c>
      <c r="C2094" s="1" t="s">
        <v>57</v>
      </c>
      <c r="D2094" s="2">
        <v>42739</v>
      </c>
      <c r="E2094" s="2">
        <f t="shared" si="74"/>
        <v>42826</v>
      </c>
      <c r="F2094" s="1" t="s">
        <v>58</v>
      </c>
      <c r="G2094" s="1" t="s">
        <v>16</v>
      </c>
      <c r="H2094" s="1">
        <v>-0.25</v>
      </c>
      <c r="I2094" s="1">
        <v>0.35</v>
      </c>
      <c r="J2094" s="1">
        <v>-0.05</v>
      </c>
      <c r="K2094" s="2">
        <v>43043</v>
      </c>
      <c r="L2094" s="1">
        <v>3716</v>
      </c>
      <c r="M2094" s="1">
        <v>3.96</v>
      </c>
      <c r="N2094" s="1">
        <v>-0.89676</v>
      </c>
      <c r="O2094" s="3">
        <f>VLOOKUP(D2094,underlying!$D$40:$H$75,5,FALSE)</f>
        <v>-2.75</v>
      </c>
      <c r="P2094" s="4">
        <f t="shared" si="73"/>
        <v>42836</v>
      </c>
      <c r="Q2094" s="7">
        <f>IF(G2094="C",NormalCallSprd(O2094,H2094,M2094,(P2094-A2094)/365), NormalPutSprd(O2094,H2094,M2094,(P2094-A2094)/365))</f>
        <v>0.34902142179212386</v>
      </c>
      <c r="R2094" s="9">
        <f t="shared" si="75"/>
        <v>9.7857820787611294E-4</v>
      </c>
    </row>
    <row r="2095" spans="1:18" x14ac:dyDescent="0.2">
      <c r="A2095" s="2">
        <v>42622</v>
      </c>
      <c r="B2095" s="1" t="s">
        <v>56</v>
      </c>
      <c r="C2095" s="1" t="s">
        <v>57</v>
      </c>
      <c r="D2095" s="2">
        <v>42739</v>
      </c>
      <c r="E2095" s="2">
        <f t="shared" si="74"/>
        <v>42826</v>
      </c>
      <c r="F2095" s="1" t="s">
        <v>58</v>
      </c>
      <c r="G2095" s="1" t="s">
        <v>18</v>
      </c>
      <c r="H2095" s="1">
        <v>-0.25</v>
      </c>
      <c r="I2095" s="1">
        <v>2.84</v>
      </c>
      <c r="J2095" s="1">
        <v>0.19</v>
      </c>
      <c r="K2095" s="2">
        <v>43043</v>
      </c>
      <c r="L2095" s="1">
        <v>3716</v>
      </c>
      <c r="M2095" s="1">
        <v>3.96</v>
      </c>
      <c r="N2095" s="1">
        <v>-0.87468999999999997</v>
      </c>
      <c r="O2095" s="3">
        <f>VLOOKUP(D2095,underlying!$D$40:$H$75,5,FALSE)</f>
        <v>-2.75</v>
      </c>
      <c r="P2095" s="4">
        <f t="shared" si="73"/>
        <v>42836</v>
      </c>
      <c r="Q2095" s="7">
        <f>IF(G2095="C",NormalCallSprd(O2095,H2095,M2095,(P2095-A2095)/365), NormalPutSprd(O2095,H2095,M2095,(P2095-A2095)/365))</f>
        <v>2.8490214217921239</v>
      </c>
      <c r="R2095" s="9">
        <f t="shared" si="75"/>
        <v>9.0214217921240625E-3</v>
      </c>
    </row>
    <row r="2096" spans="1:18" x14ac:dyDescent="0.2">
      <c r="A2096" s="2">
        <v>42622</v>
      </c>
      <c r="B2096" s="1" t="s">
        <v>56</v>
      </c>
      <c r="C2096" s="1" t="s">
        <v>57</v>
      </c>
      <c r="D2096" s="2">
        <v>42740</v>
      </c>
      <c r="E2096" s="2">
        <f t="shared" si="74"/>
        <v>42856</v>
      </c>
      <c r="F2096" s="1" t="s">
        <v>58</v>
      </c>
      <c r="G2096" s="1" t="s">
        <v>16</v>
      </c>
      <c r="H2096" s="1">
        <v>-10</v>
      </c>
      <c r="I2096" s="1">
        <v>7.24</v>
      </c>
      <c r="J2096" s="1">
        <v>-0.24</v>
      </c>
      <c r="K2096" s="2">
        <v>43013</v>
      </c>
      <c r="L2096" s="1">
        <v>3716</v>
      </c>
      <c r="M2096" s="1">
        <v>3.9</v>
      </c>
      <c r="N2096" s="1">
        <v>-0.85002</v>
      </c>
      <c r="O2096" s="3">
        <f>VLOOKUP(D2096,underlying!$D$40:$H$75,5,FALSE)</f>
        <v>-2.75</v>
      </c>
      <c r="P2096" s="4">
        <f t="shared" si="73"/>
        <v>42865</v>
      </c>
      <c r="Q2096" s="7">
        <f>IF(G2096="C",NormalCallSprd(O2096,H2096,M2096,(P2096-A2096)/365), NormalPutSprd(O2096,H2096,M2096,(P2096-A2096)/365))</f>
        <v>7.2624127424318425</v>
      </c>
      <c r="R2096" s="9">
        <f t="shared" si="75"/>
        <v>2.2412742431842325E-2</v>
      </c>
    </row>
    <row r="2097" spans="1:18" x14ac:dyDescent="0.2">
      <c r="A2097" s="2">
        <v>42622</v>
      </c>
      <c r="B2097" s="1" t="s">
        <v>56</v>
      </c>
      <c r="C2097" s="1" t="s">
        <v>57</v>
      </c>
      <c r="D2097" s="2">
        <v>42740</v>
      </c>
      <c r="E2097" s="2">
        <f t="shared" si="74"/>
        <v>42856</v>
      </c>
      <c r="F2097" s="1" t="s">
        <v>58</v>
      </c>
      <c r="G2097" s="1" t="s">
        <v>18</v>
      </c>
      <c r="H2097" s="1">
        <v>-10</v>
      </c>
      <c r="I2097" s="1">
        <v>0.01</v>
      </c>
      <c r="J2097" s="1">
        <v>0</v>
      </c>
      <c r="K2097" s="2">
        <v>43013</v>
      </c>
      <c r="L2097" s="1">
        <v>3716</v>
      </c>
      <c r="M2097" s="1">
        <v>3.9</v>
      </c>
      <c r="N2097" s="1">
        <v>-0.82271000000000005</v>
      </c>
      <c r="O2097" s="3">
        <f>VLOOKUP(D2097,underlying!$D$40:$H$75,5,FALSE)</f>
        <v>-2.75</v>
      </c>
      <c r="P2097" s="4">
        <f t="shared" si="73"/>
        <v>42865</v>
      </c>
      <c r="Q2097" s="7">
        <f>IF(G2097="C",NormalCallSprd(O2097,H2097,M2097,(P2097-A2097)/365), NormalPutSprd(O2097,H2097,M2097,(P2097-A2097)/365))</f>
        <v>1.2412742431842585E-2</v>
      </c>
      <c r="R2097" s="9">
        <f t="shared" si="75"/>
        <v>2.412742431842585E-3</v>
      </c>
    </row>
    <row r="2098" spans="1:18" x14ac:dyDescent="0.2">
      <c r="A2098" s="2">
        <v>42622</v>
      </c>
      <c r="B2098" s="1" t="s">
        <v>56</v>
      </c>
      <c r="C2098" s="1" t="s">
        <v>57</v>
      </c>
      <c r="D2098" s="2">
        <v>42740</v>
      </c>
      <c r="E2098" s="2">
        <f t="shared" si="74"/>
        <v>42856</v>
      </c>
      <c r="F2098" s="1" t="s">
        <v>58</v>
      </c>
      <c r="G2098" s="1" t="s">
        <v>16</v>
      </c>
      <c r="H2098" s="1">
        <v>-9</v>
      </c>
      <c r="I2098" s="1">
        <v>6.26</v>
      </c>
      <c r="J2098" s="1">
        <v>-0.24</v>
      </c>
      <c r="K2098" s="2">
        <v>43013</v>
      </c>
      <c r="L2098" s="1">
        <v>3716</v>
      </c>
      <c r="M2098" s="1">
        <v>3.9</v>
      </c>
      <c r="N2098" s="1">
        <v>-0.78996999999999995</v>
      </c>
      <c r="O2098" s="3">
        <f>VLOOKUP(D2098,underlying!$D$40:$H$75,5,FALSE)</f>
        <v>-2.75</v>
      </c>
      <c r="P2098" s="4">
        <f t="shared" si="73"/>
        <v>42865</v>
      </c>
      <c r="Q2098" s="7">
        <f>IF(G2098="C",NormalCallSprd(O2098,H2098,M2098,(P2098-A2098)/365), NormalPutSprd(O2098,H2098,M2098,(P2098-A2098)/365))</f>
        <v>6.2797328328206579</v>
      </c>
      <c r="R2098" s="9">
        <f t="shared" si="75"/>
        <v>1.9732832820658075E-2</v>
      </c>
    </row>
    <row r="2099" spans="1:18" x14ac:dyDescent="0.2">
      <c r="A2099" s="2">
        <v>42622</v>
      </c>
      <c r="B2099" s="1" t="s">
        <v>56</v>
      </c>
      <c r="C2099" s="1" t="s">
        <v>57</v>
      </c>
      <c r="D2099" s="2">
        <v>42740</v>
      </c>
      <c r="E2099" s="2">
        <f t="shared" si="74"/>
        <v>42856</v>
      </c>
      <c r="F2099" s="1" t="s">
        <v>58</v>
      </c>
      <c r="G2099" s="1" t="s">
        <v>18</v>
      </c>
      <c r="H2099" s="1">
        <v>-9</v>
      </c>
      <c r="I2099" s="1">
        <v>0.03</v>
      </c>
      <c r="J2099" s="1">
        <v>0.01</v>
      </c>
      <c r="K2099" s="2">
        <v>43013</v>
      </c>
      <c r="L2099" s="1">
        <v>3716</v>
      </c>
      <c r="M2099" s="1">
        <v>3.9</v>
      </c>
      <c r="N2099" s="1">
        <v>-0.75624000000000002</v>
      </c>
      <c r="O2099" s="3">
        <f>VLOOKUP(D2099,underlying!$D$40:$H$75,5,FALSE)</f>
        <v>-2.75</v>
      </c>
      <c r="P2099" s="4">
        <f t="shared" si="73"/>
        <v>42865</v>
      </c>
      <c r="Q2099" s="7">
        <f>IF(G2099="C",NormalCallSprd(O2099,H2099,M2099,(P2099-A2099)/365), NormalPutSprd(O2099,H2099,M2099,(P2099-A2099)/365))</f>
        <v>2.9732832820657702E-2</v>
      </c>
      <c r="R2099" s="9">
        <f t="shared" si="75"/>
        <v>2.6716717934229667E-4</v>
      </c>
    </row>
    <row r="2100" spans="1:18" x14ac:dyDescent="0.2">
      <c r="A2100" s="2">
        <v>42622</v>
      </c>
      <c r="B2100" s="1" t="s">
        <v>56</v>
      </c>
      <c r="C2100" s="1" t="s">
        <v>57</v>
      </c>
      <c r="D2100" s="2">
        <v>42740</v>
      </c>
      <c r="E2100" s="2">
        <f t="shared" si="74"/>
        <v>42856</v>
      </c>
      <c r="F2100" s="1" t="s">
        <v>58</v>
      </c>
      <c r="G2100" s="1" t="s">
        <v>16</v>
      </c>
      <c r="H2100" s="1">
        <v>-8</v>
      </c>
      <c r="I2100" s="1">
        <v>5.3</v>
      </c>
      <c r="J2100" s="1">
        <v>-0.24</v>
      </c>
      <c r="K2100" s="2">
        <v>43013</v>
      </c>
      <c r="L2100" s="1">
        <v>3716</v>
      </c>
      <c r="M2100" s="1">
        <v>3.9</v>
      </c>
      <c r="N2100" s="1">
        <v>-0.71760999999999997</v>
      </c>
      <c r="O2100" s="3">
        <f>VLOOKUP(D2100,underlying!$D$40:$H$75,5,FALSE)</f>
        <v>-2.75</v>
      </c>
      <c r="P2100" s="4">
        <f t="shared" si="73"/>
        <v>42865</v>
      </c>
      <c r="Q2100" s="7">
        <f>IF(G2100="C",NormalCallSprd(O2100,H2100,M2100,(P2100-A2100)/365), NormalPutSprd(O2100,H2100,M2100,(P2100-A2100)/365))</f>
        <v>5.3156976250703272</v>
      </c>
      <c r="R2100" s="9">
        <f t="shared" si="75"/>
        <v>1.5697625070327348E-2</v>
      </c>
    </row>
    <row r="2101" spans="1:18" x14ac:dyDescent="0.2">
      <c r="A2101" s="2">
        <v>42622</v>
      </c>
      <c r="B2101" s="1" t="s">
        <v>56</v>
      </c>
      <c r="C2101" s="1" t="s">
        <v>57</v>
      </c>
      <c r="D2101" s="2">
        <v>42740</v>
      </c>
      <c r="E2101" s="2">
        <f t="shared" si="74"/>
        <v>42856</v>
      </c>
      <c r="F2101" s="1" t="s">
        <v>58</v>
      </c>
      <c r="G2101" s="1" t="s">
        <v>18</v>
      </c>
      <c r="H2101" s="1">
        <v>-8</v>
      </c>
      <c r="I2101" s="1">
        <v>7.0000000000000007E-2</v>
      </c>
      <c r="J2101" s="1">
        <v>0.02</v>
      </c>
      <c r="K2101" s="2">
        <v>43013</v>
      </c>
      <c r="L2101" s="1">
        <v>3716</v>
      </c>
      <c r="M2101" s="1">
        <v>3.9</v>
      </c>
      <c r="N2101" s="1">
        <v>-0.67815000000000003</v>
      </c>
      <c r="O2101" s="3">
        <f>VLOOKUP(D2101,underlying!$D$40:$H$75,5,FALSE)</f>
        <v>-2.75</v>
      </c>
      <c r="P2101" s="4">
        <f t="shared" si="73"/>
        <v>42865</v>
      </c>
      <c r="Q2101" s="7">
        <f>IF(G2101="C",NormalCallSprd(O2101,H2101,M2101,(P2101-A2101)/365), NormalPutSprd(O2101,H2101,M2101,(P2101-A2101)/365))</f>
        <v>6.5697625070327115E-2</v>
      </c>
      <c r="R2101" s="9">
        <f t="shared" si="75"/>
        <v>4.3023749296728919E-3</v>
      </c>
    </row>
    <row r="2102" spans="1:18" x14ac:dyDescent="0.2">
      <c r="A2102" s="2">
        <v>42622</v>
      </c>
      <c r="B2102" s="1" t="s">
        <v>56</v>
      </c>
      <c r="C2102" s="1" t="s">
        <v>57</v>
      </c>
      <c r="D2102" s="2">
        <v>42740</v>
      </c>
      <c r="E2102" s="2">
        <f t="shared" si="74"/>
        <v>42856</v>
      </c>
      <c r="F2102" s="1" t="s">
        <v>58</v>
      </c>
      <c r="G2102" s="1" t="s">
        <v>16</v>
      </c>
      <c r="H2102" s="1">
        <v>-7.25</v>
      </c>
      <c r="I2102" s="1">
        <v>4.5999999999999996</v>
      </c>
      <c r="J2102" s="1">
        <v>-0.23</v>
      </c>
      <c r="K2102" s="2">
        <v>43013</v>
      </c>
      <c r="L2102" s="1">
        <v>3716</v>
      </c>
      <c r="M2102" s="1">
        <v>3.9</v>
      </c>
      <c r="N2102" s="1">
        <v>-0.63524999999999998</v>
      </c>
      <c r="O2102" s="3">
        <f>VLOOKUP(D2102,underlying!$D$40:$H$75,5,FALSE)</f>
        <v>-2.75</v>
      </c>
      <c r="P2102" s="4">
        <f t="shared" si="73"/>
        <v>42865</v>
      </c>
      <c r="Q2102" s="7">
        <f>IF(G2102="C",NormalCallSprd(O2102,H2102,M2102,(P2102-A2102)/365), NormalPutSprd(O2102,H2102,M2102,(P2102-A2102)/365))</f>
        <v>4.6130983082543615</v>
      </c>
      <c r="R2102" s="9">
        <f t="shared" si="75"/>
        <v>1.3098308254361868E-2</v>
      </c>
    </row>
    <row r="2103" spans="1:18" x14ac:dyDescent="0.2">
      <c r="A2103" s="2">
        <v>42622</v>
      </c>
      <c r="B2103" s="1" t="s">
        <v>56</v>
      </c>
      <c r="C2103" s="1" t="s">
        <v>57</v>
      </c>
      <c r="D2103" s="2">
        <v>42740</v>
      </c>
      <c r="E2103" s="2">
        <f t="shared" si="74"/>
        <v>42856</v>
      </c>
      <c r="F2103" s="1" t="s">
        <v>58</v>
      </c>
      <c r="G2103" s="1" t="s">
        <v>18</v>
      </c>
      <c r="H2103" s="1">
        <v>-7.25</v>
      </c>
      <c r="I2103" s="1">
        <v>0.11</v>
      </c>
      <c r="J2103" s="1">
        <v>0.01</v>
      </c>
      <c r="K2103" s="2">
        <v>43013</v>
      </c>
      <c r="L2103" s="1">
        <v>3716</v>
      </c>
      <c r="M2103" s="1">
        <v>3.9</v>
      </c>
      <c r="N2103" s="1">
        <v>-0.59097999999999995</v>
      </c>
      <c r="O2103" s="3">
        <f>VLOOKUP(D2103,underlying!$D$40:$H$75,5,FALSE)</f>
        <v>-2.75</v>
      </c>
      <c r="P2103" s="4">
        <f t="shared" si="73"/>
        <v>42865</v>
      </c>
      <c r="Q2103" s="7">
        <f>IF(G2103="C",NormalCallSprd(O2103,H2103,M2103,(P2103-A2103)/365), NormalPutSprd(O2103,H2103,M2103,(P2103-A2103)/365))</f>
        <v>0.11309830825436124</v>
      </c>
      <c r="R2103" s="9">
        <f t="shared" si="75"/>
        <v>3.0983082543612345E-3</v>
      </c>
    </row>
    <row r="2104" spans="1:18" x14ac:dyDescent="0.2">
      <c r="A2104" s="2">
        <v>42622</v>
      </c>
      <c r="B2104" s="1" t="s">
        <v>56</v>
      </c>
      <c r="C2104" s="1" t="s">
        <v>57</v>
      </c>
      <c r="D2104" s="2">
        <v>42740</v>
      </c>
      <c r="E2104" s="2">
        <f t="shared" si="74"/>
        <v>42856</v>
      </c>
      <c r="F2104" s="1" t="s">
        <v>58</v>
      </c>
      <c r="G2104" s="1" t="s">
        <v>16</v>
      </c>
      <c r="H2104" s="1">
        <v>-7</v>
      </c>
      <c r="I2104" s="1">
        <v>4.37</v>
      </c>
      <c r="J2104" s="1">
        <v>-0.23</v>
      </c>
      <c r="K2104" s="2">
        <v>43013</v>
      </c>
      <c r="L2104" s="1">
        <v>3716</v>
      </c>
      <c r="M2104" s="1">
        <v>3.9</v>
      </c>
      <c r="N2104" s="1">
        <v>-0.54540999999999995</v>
      </c>
      <c r="O2104" s="3">
        <f>VLOOKUP(D2104,underlying!$D$40:$H$75,5,FALSE)</f>
        <v>-2.75</v>
      </c>
      <c r="P2104" s="4">
        <f t="shared" si="73"/>
        <v>42865</v>
      </c>
      <c r="Q2104" s="7">
        <f>IF(G2104="C",NormalCallSprd(O2104,H2104,M2104,(P2104-A2104)/365), NormalPutSprd(O2104,H2104,M2104,(P2104-A2104)/365))</f>
        <v>4.3842590809325337</v>
      </c>
      <c r="R2104" s="9">
        <f t="shared" si="75"/>
        <v>1.4259080932533585E-2</v>
      </c>
    </row>
    <row r="2105" spans="1:18" x14ac:dyDescent="0.2">
      <c r="A2105" s="2">
        <v>42622</v>
      </c>
      <c r="B2105" s="1" t="s">
        <v>56</v>
      </c>
      <c r="C2105" s="1" t="s">
        <v>57</v>
      </c>
      <c r="D2105" s="2">
        <v>42740</v>
      </c>
      <c r="E2105" s="2">
        <f t="shared" si="74"/>
        <v>42856</v>
      </c>
      <c r="F2105" s="1" t="s">
        <v>58</v>
      </c>
      <c r="G2105" s="1" t="s">
        <v>18</v>
      </c>
      <c r="H2105" s="1">
        <v>-7</v>
      </c>
      <c r="I2105" s="1">
        <v>0.13</v>
      </c>
      <c r="J2105" s="1">
        <v>0.02</v>
      </c>
      <c r="K2105" s="2">
        <v>43013</v>
      </c>
      <c r="L2105" s="1">
        <v>3716</v>
      </c>
      <c r="M2105" s="1">
        <v>3.9</v>
      </c>
      <c r="N2105" s="1">
        <v>-0.49942999999999999</v>
      </c>
      <c r="O2105" s="3">
        <f>VLOOKUP(D2105,underlying!$D$40:$H$75,5,FALSE)</f>
        <v>-2.75</v>
      </c>
      <c r="P2105" s="4">
        <f t="shared" ref="P2105:P2168" si="76">DATE(YEAR(K2105),DAY(K2105),MONTH(K2105))</f>
        <v>42865</v>
      </c>
      <c r="Q2105" s="7">
        <f>IF(G2105="C",NormalCallSprd(O2105,H2105,M2105,(P2105-A2105)/365), NormalPutSprd(O2105,H2105,M2105,(P2105-A2105)/365))</f>
        <v>0.13425908093253358</v>
      </c>
      <c r="R2105" s="9">
        <f t="shared" si="75"/>
        <v>4.2590809325335766E-3</v>
      </c>
    </row>
    <row r="2106" spans="1:18" x14ac:dyDescent="0.2">
      <c r="A2106" s="2">
        <v>42622</v>
      </c>
      <c r="B2106" s="1" t="s">
        <v>56</v>
      </c>
      <c r="C2106" s="1" t="s">
        <v>57</v>
      </c>
      <c r="D2106" s="2">
        <v>42740</v>
      </c>
      <c r="E2106" s="2">
        <f t="shared" si="74"/>
        <v>42856</v>
      </c>
      <c r="F2106" s="1" t="s">
        <v>58</v>
      </c>
      <c r="G2106" s="1" t="s">
        <v>16</v>
      </c>
      <c r="H2106" s="1">
        <v>-6.75</v>
      </c>
      <c r="I2106" s="1">
        <v>4.1399999999999997</v>
      </c>
      <c r="J2106" s="1">
        <v>-0.23</v>
      </c>
      <c r="K2106" s="2">
        <v>43013</v>
      </c>
      <c r="L2106" s="1">
        <v>3716</v>
      </c>
      <c r="M2106" s="1">
        <v>3.9</v>
      </c>
      <c r="N2106" s="1">
        <v>-0.45345999999999997</v>
      </c>
      <c r="O2106" s="3">
        <f>VLOOKUP(D2106,underlying!$D$40:$H$75,5,FALSE)</f>
        <v>-2.75</v>
      </c>
      <c r="P2106" s="4">
        <f t="shared" si="76"/>
        <v>42865</v>
      </c>
      <c r="Q2106" s="7">
        <f>IF(G2106="C",NormalCallSprd(O2106,H2106,M2106,(P2106-A2106)/365), NormalPutSprd(O2106,H2106,M2106,(P2106-A2106)/365))</f>
        <v>4.1586328193591546</v>
      </c>
      <c r="R2106" s="9">
        <f t="shared" si="75"/>
        <v>1.8632819359154951E-2</v>
      </c>
    </row>
    <row r="2107" spans="1:18" x14ac:dyDescent="0.2">
      <c r="A2107" s="2">
        <v>42622</v>
      </c>
      <c r="B2107" s="1" t="s">
        <v>56</v>
      </c>
      <c r="C2107" s="1" t="s">
        <v>57</v>
      </c>
      <c r="D2107" s="2">
        <v>42740</v>
      </c>
      <c r="E2107" s="2">
        <f t="shared" si="74"/>
        <v>42856</v>
      </c>
      <c r="F2107" s="1" t="s">
        <v>58</v>
      </c>
      <c r="G2107" s="1" t="s">
        <v>18</v>
      </c>
      <c r="H2107" s="1">
        <v>-6.75</v>
      </c>
      <c r="I2107" s="1">
        <v>0.16</v>
      </c>
      <c r="J2107" s="1">
        <v>0.03</v>
      </c>
      <c r="K2107" s="2">
        <v>43013</v>
      </c>
      <c r="L2107" s="1">
        <v>3716</v>
      </c>
      <c r="M2107" s="1">
        <v>3.9</v>
      </c>
      <c r="N2107" s="1">
        <v>-0.40788000000000002</v>
      </c>
      <c r="O2107" s="3">
        <f>VLOOKUP(D2107,underlying!$D$40:$H$75,5,FALSE)</f>
        <v>-2.75</v>
      </c>
      <c r="P2107" s="4">
        <f t="shared" si="76"/>
        <v>42865</v>
      </c>
      <c r="Q2107" s="7">
        <f>IF(G2107="C",NormalCallSprd(O2107,H2107,M2107,(P2107-A2107)/365), NormalPutSprd(O2107,H2107,M2107,(P2107-A2107)/365))</f>
        <v>0.1586328193591543</v>
      </c>
      <c r="R2107" s="9">
        <f t="shared" si="75"/>
        <v>1.3671806408457055E-3</v>
      </c>
    </row>
    <row r="2108" spans="1:18" x14ac:dyDescent="0.2">
      <c r="A2108" s="2">
        <v>42622</v>
      </c>
      <c r="B2108" s="1" t="s">
        <v>56</v>
      </c>
      <c r="C2108" s="1" t="s">
        <v>57</v>
      </c>
      <c r="D2108" s="2">
        <v>42740</v>
      </c>
      <c r="E2108" s="2">
        <f t="shared" si="74"/>
        <v>42856</v>
      </c>
      <c r="F2108" s="1" t="s">
        <v>58</v>
      </c>
      <c r="G2108" s="1" t="s">
        <v>16</v>
      </c>
      <c r="H2108" s="1">
        <v>-6.5</v>
      </c>
      <c r="I2108" s="1">
        <v>3.92</v>
      </c>
      <c r="J2108" s="1">
        <v>-0.23</v>
      </c>
      <c r="K2108" s="2">
        <v>43013</v>
      </c>
      <c r="L2108" s="1">
        <v>3716</v>
      </c>
      <c r="M2108" s="1">
        <v>3.9</v>
      </c>
      <c r="N2108" s="1">
        <v>-0.36362</v>
      </c>
      <c r="O2108" s="3">
        <f>VLOOKUP(D2108,underlying!$D$40:$H$75,5,FALSE)</f>
        <v>-2.75</v>
      </c>
      <c r="P2108" s="4">
        <f t="shared" si="76"/>
        <v>42865</v>
      </c>
      <c r="Q2108" s="7">
        <f>IF(G2108="C",NormalCallSprd(O2108,H2108,M2108,(P2108-A2108)/365), NormalPutSprd(O2108,H2108,M2108,(P2108-A2108)/365))</f>
        <v>3.9365636038443159</v>
      </c>
      <c r="R2108" s="9">
        <f t="shared" si="75"/>
        <v>1.6563603844315988E-2</v>
      </c>
    </row>
    <row r="2109" spans="1:18" x14ac:dyDescent="0.2">
      <c r="A2109" s="2">
        <v>42622</v>
      </c>
      <c r="B2109" s="1" t="s">
        <v>56</v>
      </c>
      <c r="C2109" s="1" t="s">
        <v>57</v>
      </c>
      <c r="D2109" s="2">
        <v>42740</v>
      </c>
      <c r="E2109" s="2">
        <f t="shared" si="74"/>
        <v>42856</v>
      </c>
      <c r="F2109" s="1" t="s">
        <v>58</v>
      </c>
      <c r="G2109" s="1" t="s">
        <v>18</v>
      </c>
      <c r="H2109" s="1">
        <v>-6.5</v>
      </c>
      <c r="I2109" s="1">
        <v>0.19</v>
      </c>
      <c r="J2109" s="1">
        <v>0.03</v>
      </c>
      <c r="K2109" s="2">
        <v>43013</v>
      </c>
      <c r="L2109" s="1">
        <v>3716</v>
      </c>
      <c r="M2109" s="1">
        <v>3.9</v>
      </c>
      <c r="N2109" s="1">
        <v>-0.32072000000000001</v>
      </c>
      <c r="O2109" s="3">
        <f>VLOOKUP(D2109,underlying!$D$40:$H$75,5,FALSE)</f>
        <v>-2.75</v>
      </c>
      <c r="P2109" s="4">
        <f t="shared" si="76"/>
        <v>42865</v>
      </c>
      <c r="Q2109" s="7">
        <f>IF(G2109="C",NormalCallSprd(O2109,H2109,M2109,(P2109-A2109)/365), NormalPutSprd(O2109,H2109,M2109,(P2109-A2109)/365))</f>
        <v>0.18656360384431603</v>
      </c>
      <c r="R2109" s="9">
        <f t="shared" si="75"/>
        <v>3.4363961556839739E-3</v>
      </c>
    </row>
    <row r="2110" spans="1:18" x14ac:dyDescent="0.2">
      <c r="A2110" s="2">
        <v>42622</v>
      </c>
      <c r="B2110" s="1" t="s">
        <v>56</v>
      </c>
      <c r="C2110" s="1" t="s">
        <v>57</v>
      </c>
      <c r="D2110" s="2">
        <v>42740</v>
      </c>
      <c r="E2110" s="2">
        <f t="shared" si="74"/>
        <v>42856</v>
      </c>
      <c r="F2110" s="1" t="s">
        <v>58</v>
      </c>
      <c r="G2110" s="1" t="s">
        <v>16</v>
      </c>
      <c r="H2110" s="1">
        <v>-6.25</v>
      </c>
      <c r="I2110" s="1">
        <v>3.71</v>
      </c>
      <c r="J2110" s="1">
        <v>-0.21</v>
      </c>
      <c r="K2110" s="2">
        <v>43013</v>
      </c>
      <c r="L2110" s="1">
        <v>3716</v>
      </c>
      <c r="M2110" s="1">
        <v>3.9</v>
      </c>
      <c r="N2110" s="1">
        <v>-0.28126000000000001</v>
      </c>
      <c r="O2110" s="3">
        <f>VLOOKUP(D2110,underlying!$D$40:$H$75,5,FALSE)</f>
        <v>-2.75</v>
      </c>
      <c r="P2110" s="4">
        <f t="shared" si="76"/>
        <v>42865</v>
      </c>
      <c r="Q2110" s="7">
        <f>IF(G2110="C",NormalCallSprd(O2110,H2110,M2110,(P2110-A2110)/365), NormalPutSprd(O2110,H2110,M2110,(P2110-A2110)/365))</f>
        <v>3.7184081565215825</v>
      </c>
      <c r="R2110" s="9">
        <f t="shared" si="75"/>
        <v>8.4081565215825549E-3</v>
      </c>
    </row>
    <row r="2111" spans="1:18" x14ac:dyDescent="0.2">
      <c r="A2111" s="2">
        <v>42622</v>
      </c>
      <c r="B2111" s="1" t="s">
        <v>56</v>
      </c>
      <c r="C2111" s="1" t="s">
        <v>57</v>
      </c>
      <c r="D2111" s="2">
        <v>42740</v>
      </c>
      <c r="E2111" s="2">
        <f t="shared" si="74"/>
        <v>42856</v>
      </c>
      <c r="F2111" s="1" t="s">
        <v>58</v>
      </c>
      <c r="G2111" s="1" t="s">
        <v>18</v>
      </c>
      <c r="H2111" s="1">
        <v>-6.25</v>
      </c>
      <c r="I2111" s="1">
        <v>0.22</v>
      </c>
      <c r="J2111" s="1">
        <v>0.03</v>
      </c>
      <c r="K2111" s="2">
        <v>43013</v>
      </c>
      <c r="L2111" s="1">
        <v>3716</v>
      </c>
      <c r="M2111" s="1">
        <v>3.9</v>
      </c>
      <c r="N2111" s="1">
        <v>-0.24363000000000001</v>
      </c>
      <c r="O2111" s="3">
        <f>VLOOKUP(D2111,underlying!$D$40:$H$75,5,FALSE)</f>
        <v>-2.75</v>
      </c>
      <c r="P2111" s="4">
        <f t="shared" si="76"/>
        <v>42865</v>
      </c>
      <c r="Q2111" s="7">
        <f>IF(G2111="C",NormalCallSprd(O2111,H2111,M2111,(P2111-A2111)/365), NormalPutSprd(O2111,H2111,M2111,(P2111-A2111)/365))</f>
        <v>0.21840815652158255</v>
      </c>
      <c r="R2111" s="9">
        <f t="shared" si="75"/>
        <v>1.591843478417454E-3</v>
      </c>
    </row>
    <row r="2112" spans="1:18" x14ac:dyDescent="0.2">
      <c r="A2112" s="2">
        <v>42622</v>
      </c>
      <c r="B2112" s="1" t="s">
        <v>56</v>
      </c>
      <c r="C2112" s="1" t="s">
        <v>57</v>
      </c>
      <c r="D2112" s="2">
        <v>42740</v>
      </c>
      <c r="E2112" s="2">
        <f t="shared" si="74"/>
        <v>42856</v>
      </c>
      <c r="F2112" s="1" t="s">
        <v>58</v>
      </c>
      <c r="G2112" s="1" t="s">
        <v>16</v>
      </c>
      <c r="H2112" s="1">
        <v>-6</v>
      </c>
      <c r="I2112" s="1">
        <v>3.49</v>
      </c>
      <c r="J2112" s="1">
        <v>-0.22</v>
      </c>
      <c r="K2112" s="2">
        <v>43013</v>
      </c>
      <c r="L2112" s="1">
        <v>3716</v>
      </c>
      <c r="M2112" s="1">
        <v>3.9</v>
      </c>
      <c r="N2112" s="1">
        <v>-0.2089</v>
      </c>
      <c r="O2112" s="3">
        <f>VLOOKUP(D2112,underlying!$D$40:$H$75,5,FALSE)</f>
        <v>-2.75</v>
      </c>
      <c r="P2112" s="4">
        <f t="shared" si="76"/>
        <v>42865</v>
      </c>
      <c r="Q2112" s="7">
        <f>IF(G2112="C",NormalCallSprd(O2112,H2112,M2112,(P2112-A2112)/365), NormalPutSprd(O2112,H2112,M2112,(P2112-A2112)/365))</f>
        <v>3.5045325038129964</v>
      </c>
      <c r="R2112" s="9">
        <f t="shared" si="75"/>
        <v>1.45325038129962E-2</v>
      </c>
    </row>
    <row r="2113" spans="1:18" x14ac:dyDescent="0.2">
      <c r="A2113" s="2">
        <v>42622</v>
      </c>
      <c r="B2113" s="1" t="s">
        <v>56</v>
      </c>
      <c r="C2113" s="1" t="s">
        <v>57</v>
      </c>
      <c r="D2113" s="2">
        <v>42740</v>
      </c>
      <c r="E2113" s="2">
        <f t="shared" si="74"/>
        <v>42856</v>
      </c>
      <c r="F2113" s="1" t="s">
        <v>58</v>
      </c>
      <c r="G2113" s="1" t="s">
        <v>18</v>
      </c>
      <c r="H2113" s="1">
        <v>-6</v>
      </c>
      <c r="I2113" s="1">
        <v>0.25</v>
      </c>
      <c r="J2113" s="1">
        <v>0.03</v>
      </c>
      <c r="K2113" s="2">
        <v>43013</v>
      </c>
      <c r="L2113" s="1">
        <v>3716</v>
      </c>
      <c r="M2113" s="1">
        <v>3.9</v>
      </c>
      <c r="N2113" s="1">
        <v>-0.17727000000000001</v>
      </c>
      <c r="O2113" s="3">
        <f>VLOOKUP(D2113,underlying!$D$40:$H$75,5,FALSE)</f>
        <v>-2.75</v>
      </c>
      <c r="P2113" s="4">
        <f t="shared" si="76"/>
        <v>42865</v>
      </c>
      <c r="Q2113" s="7">
        <f>IF(G2113="C",NormalCallSprd(O2113,H2113,M2113,(P2113-A2113)/365), NormalPutSprd(O2113,H2113,M2113,(P2113-A2113)/365))</f>
        <v>0.25453250381299658</v>
      </c>
      <c r="R2113" s="9">
        <f t="shared" si="75"/>
        <v>4.53250381299658E-3</v>
      </c>
    </row>
    <row r="2114" spans="1:18" x14ac:dyDescent="0.2">
      <c r="A2114" s="2">
        <v>42622</v>
      </c>
      <c r="B2114" s="1" t="s">
        <v>56</v>
      </c>
      <c r="C2114" s="1" t="s">
        <v>57</v>
      </c>
      <c r="D2114" s="2">
        <v>42740</v>
      </c>
      <c r="E2114" s="2">
        <f t="shared" ref="E2114:E2177" si="77">DATE(YEAR(D2114),DAY(D2114),MONTH(D2114))</f>
        <v>42856</v>
      </c>
      <c r="F2114" s="1" t="s">
        <v>58</v>
      </c>
      <c r="G2114" s="1" t="s">
        <v>16</v>
      </c>
      <c r="H2114" s="1">
        <v>-5.75</v>
      </c>
      <c r="I2114" s="1">
        <v>3.28</v>
      </c>
      <c r="J2114" s="1">
        <v>-0.21</v>
      </c>
      <c r="K2114" s="2">
        <v>43013</v>
      </c>
      <c r="L2114" s="1">
        <v>3716</v>
      </c>
      <c r="M2114" s="1">
        <v>3.9</v>
      </c>
      <c r="N2114" s="1">
        <v>-0.14884</v>
      </c>
      <c r="O2114" s="3">
        <f>VLOOKUP(D2114,underlying!$D$40:$H$75,5,FALSE)</f>
        <v>-2.75</v>
      </c>
      <c r="P2114" s="4">
        <f t="shared" si="76"/>
        <v>42865</v>
      </c>
      <c r="Q2114" s="7">
        <f>IF(G2114="C",NormalCallSprd(O2114,H2114,M2114,(P2114-A2114)/365), NormalPutSprd(O2114,H2114,M2114,(P2114-A2114)/365))</f>
        <v>3.2953081363555894</v>
      </c>
      <c r="R2114" s="9">
        <f t="shared" si="75"/>
        <v>1.5308136355589586E-2</v>
      </c>
    </row>
    <row r="2115" spans="1:18" x14ac:dyDescent="0.2">
      <c r="A2115" s="2">
        <v>42622</v>
      </c>
      <c r="B2115" s="1" t="s">
        <v>56</v>
      </c>
      <c r="C2115" s="1" t="s">
        <v>57</v>
      </c>
      <c r="D2115" s="2">
        <v>42740</v>
      </c>
      <c r="E2115" s="2">
        <f t="shared" si="77"/>
        <v>42856</v>
      </c>
      <c r="F2115" s="1" t="s">
        <v>58</v>
      </c>
      <c r="G2115" s="1" t="s">
        <v>18</v>
      </c>
      <c r="H2115" s="1">
        <v>-5.75</v>
      </c>
      <c r="I2115" s="1">
        <v>0.28999999999999998</v>
      </c>
      <c r="J2115" s="1">
        <v>0.03</v>
      </c>
      <c r="K2115" s="2">
        <v>43013</v>
      </c>
      <c r="L2115" s="1">
        <v>3716</v>
      </c>
      <c r="M2115" s="1">
        <v>3.9</v>
      </c>
      <c r="N2115" s="1">
        <v>-0.12364</v>
      </c>
      <c r="O2115" s="3">
        <f>VLOOKUP(D2115,underlying!$D$40:$H$75,5,FALSE)</f>
        <v>-2.75</v>
      </c>
      <c r="P2115" s="4">
        <f t="shared" si="76"/>
        <v>42865</v>
      </c>
      <c r="Q2115" s="7">
        <f>IF(G2115="C",NormalCallSprd(O2115,H2115,M2115,(P2115-A2115)/365), NormalPutSprd(O2115,H2115,M2115,(P2115-A2115)/365))</f>
        <v>0.29530813635558933</v>
      </c>
      <c r="R2115" s="9">
        <f t="shared" ref="R2115:R2178" si="78">ABS(Q2115-I2115)</f>
        <v>5.3081363555893546E-3</v>
      </c>
    </row>
    <row r="2116" spans="1:18" x14ac:dyDescent="0.2">
      <c r="A2116" s="2">
        <v>42622</v>
      </c>
      <c r="B2116" s="1" t="s">
        <v>56</v>
      </c>
      <c r="C2116" s="1" t="s">
        <v>57</v>
      </c>
      <c r="D2116" s="2">
        <v>42740</v>
      </c>
      <c r="E2116" s="2">
        <f t="shared" si="77"/>
        <v>42856</v>
      </c>
      <c r="F2116" s="1" t="s">
        <v>58</v>
      </c>
      <c r="G2116" s="1" t="s">
        <v>16</v>
      </c>
      <c r="H2116" s="1">
        <v>-5.5</v>
      </c>
      <c r="I2116" s="1">
        <v>3.08</v>
      </c>
      <c r="J2116" s="1">
        <v>-0.21</v>
      </c>
      <c r="K2116" s="2">
        <v>43013</v>
      </c>
      <c r="L2116" s="1">
        <v>3716</v>
      </c>
      <c r="M2116" s="1">
        <v>3.9</v>
      </c>
      <c r="N2116" s="1">
        <v>-0.10158</v>
      </c>
      <c r="O2116" s="3">
        <f>VLOOKUP(D2116,underlying!$D$40:$H$75,5,FALSE)</f>
        <v>-2.75</v>
      </c>
      <c r="P2116" s="4">
        <f t="shared" si="76"/>
        <v>42865</v>
      </c>
      <c r="Q2116" s="7">
        <f>IF(G2116="C",NormalCallSprd(O2116,H2116,M2116,(P2116-A2116)/365), NormalPutSprd(O2116,H2116,M2116,(P2116-A2116)/365))</f>
        <v>3.0911077180973328</v>
      </c>
      <c r="R2116" s="9">
        <f t="shared" si="78"/>
        <v>1.1107718097332686E-2</v>
      </c>
    </row>
    <row r="2117" spans="1:18" x14ac:dyDescent="0.2">
      <c r="A2117" s="2">
        <v>42622</v>
      </c>
      <c r="B2117" s="1" t="s">
        <v>56</v>
      </c>
      <c r="C2117" s="1" t="s">
        <v>57</v>
      </c>
      <c r="D2117" s="2">
        <v>42740</v>
      </c>
      <c r="E2117" s="2">
        <f t="shared" si="77"/>
        <v>42856</v>
      </c>
      <c r="F2117" s="1" t="s">
        <v>58</v>
      </c>
      <c r="G2117" s="1" t="s">
        <v>18</v>
      </c>
      <c r="H2117" s="1">
        <v>-5.5</v>
      </c>
      <c r="I2117" s="1">
        <v>0.34</v>
      </c>
      <c r="J2117" s="1">
        <v>0.04</v>
      </c>
      <c r="K2117" s="2">
        <v>43013</v>
      </c>
      <c r="L2117" s="1">
        <v>3716</v>
      </c>
      <c r="M2117" s="1">
        <v>3.9</v>
      </c>
      <c r="N2117" s="1">
        <v>-8.2540000000000002E-2</v>
      </c>
      <c r="O2117" s="3">
        <f>VLOOKUP(D2117,underlying!$D$40:$H$75,5,FALSE)</f>
        <v>-2.75</v>
      </c>
      <c r="P2117" s="4">
        <f t="shared" si="76"/>
        <v>42865</v>
      </c>
      <c r="Q2117" s="7">
        <f>IF(G2117="C",NormalCallSprd(O2117,H2117,M2117,(P2117-A2117)/365), NormalPutSprd(O2117,H2117,M2117,(P2117-A2117)/365))</f>
        <v>0.34110771809733281</v>
      </c>
      <c r="R2117" s="9">
        <f t="shared" si="78"/>
        <v>1.1077180973327883E-3</v>
      </c>
    </row>
    <row r="2118" spans="1:18" x14ac:dyDescent="0.2">
      <c r="A2118" s="2">
        <v>42622</v>
      </c>
      <c r="B2118" s="1" t="s">
        <v>56</v>
      </c>
      <c r="C2118" s="1" t="s">
        <v>57</v>
      </c>
      <c r="D2118" s="2">
        <v>42740</v>
      </c>
      <c r="E2118" s="2">
        <f t="shared" si="77"/>
        <v>42856</v>
      </c>
      <c r="F2118" s="1" t="s">
        <v>58</v>
      </c>
      <c r="G2118" s="1" t="s">
        <v>16</v>
      </c>
      <c r="H2118" s="1">
        <v>-5.25</v>
      </c>
      <c r="I2118" s="1">
        <v>2.88</v>
      </c>
      <c r="J2118" s="1">
        <v>-0.2</v>
      </c>
      <c r="K2118" s="2">
        <v>43013</v>
      </c>
      <c r="L2118" s="1">
        <v>3716</v>
      </c>
      <c r="M2118" s="1">
        <v>3.9</v>
      </c>
      <c r="N2118" s="1">
        <v>-6.6320000000000004E-2</v>
      </c>
      <c r="O2118" s="3">
        <f>VLOOKUP(D2118,underlying!$D$40:$H$75,5,FALSE)</f>
        <v>-2.75</v>
      </c>
      <c r="P2118" s="4">
        <f t="shared" si="76"/>
        <v>42865</v>
      </c>
      <c r="Q2118" s="7">
        <f>IF(G2118="C",NormalCallSprd(O2118,H2118,M2118,(P2118-A2118)/365), NormalPutSprd(O2118,H2118,M2118,(P2118-A2118)/365))</f>
        <v>2.8923004153527008</v>
      </c>
      <c r="R2118" s="9">
        <f t="shared" si="78"/>
        <v>1.2300415352700877E-2</v>
      </c>
    </row>
    <row r="2119" spans="1:18" x14ac:dyDescent="0.2">
      <c r="A2119" s="2">
        <v>42622</v>
      </c>
      <c r="B2119" s="1" t="s">
        <v>56</v>
      </c>
      <c r="C2119" s="1" t="s">
        <v>57</v>
      </c>
      <c r="D2119" s="2">
        <v>42740</v>
      </c>
      <c r="E2119" s="2">
        <f t="shared" si="77"/>
        <v>42856</v>
      </c>
      <c r="F2119" s="1" t="s">
        <v>58</v>
      </c>
      <c r="G2119" s="1" t="s">
        <v>18</v>
      </c>
      <c r="H2119" s="1">
        <v>-5.25</v>
      </c>
      <c r="I2119" s="1">
        <v>0.39</v>
      </c>
      <c r="J2119" s="1">
        <v>0.05</v>
      </c>
      <c r="K2119" s="2">
        <v>43013</v>
      </c>
      <c r="L2119" s="1">
        <v>3716</v>
      </c>
      <c r="M2119" s="1">
        <v>3.9</v>
      </c>
      <c r="N2119" s="1">
        <v>-5.2679999999999998E-2</v>
      </c>
      <c r="O2119" s="3">
        <f>VLOOKUP(D2119,underlying!$D$40:$H$75,5,FALSE)</f>
        <v>-2.75</v>
      </c>
      <c r="P2119" s="4">
        <f t="shared" si="76"/>
        <v>42865</v>
      </c>
      <c r="Q2119" s="7">
        <f>IF(G2119="C",NormalCallSprd(O2119,H2119,M2119,(P2119-A2119)/365), NormalPutSprd(O2119,H2119,M2119,(P2119-A2119)/365))</f>
        <v>0.39230041535270088</v>
      </c>
      <c r="R2119" s="9">
        <f t="shared" si="78"/>
        <v>2.3004153527008686E-3</v>
      </c>
    </row>
    <row r="2120" spans="1:18" x14ac:dyDescent="0.2">
      <c r="A2120" s="2">
        <v>42622</v>
      </c>
      <c r="B2120" s="1" t="s">
        <v>56</v>
      </c>
      <c r="C2120" s="1" t="s">
        <v>57</v>
      </c>
      <c r="D2120" s="2">
        <v>42740</v>
      </c>
      <c r="E2120" s="2">
        <f t="shared" si="77"/>
        <v>42856</v>
      </c>
      <c r="F2120" s="1" t="s">
        <v>58</v>
      </c>
      <c r="G2120" s="1" t="s">
        <v>16</v>
      </c>
      <c r="H2120" s="1">
        <v>-5</v>
      </c>
      <c r="I2120" s="1">
        <v>2.69</v>
      </c>
      <c r="J2120" s="1">
        <v>-0.19</v>
      </c>
      <c r="K2120" s="2">
        <v>43013</v>
      </c>
      <c r="L2120" s="1">
        <v>3716</v>
      </c>
      <c r="M2120" s="1">
        <v>3.9</v>
      </c>
      <c r="N2120" s="1">
        <v>-4.1369999999999997E-2</v>
      </c>
      <c r="O2120" s="3">
        <f>VLOOKUP(D2120,underlying!$D$40:$H$75,5,FALSE)</f>
        <v>-2.75</v>
      </c>
      <c r="P2120" s="4">
        <f t="shared" si="76"/>
        <v>42865</v>
      </c>
      <c r="Q2120" s="7">
        <f>IF(G2120="C",NormalCallSprd(O2120,H2120,M2120,(P2120-A2120)/365), NormalPutSprd(O2120,H2120,M2120,(P2120-A2120)/365))</f>
        <v>2.6992469346288224</v>
      </c>
      <c r="R2120" s="9">
        <f t="shared" si="78"/>
        <v>9.246934628822423E-3</v>
      </c>
    </row>
    <row r="2121" spans="1:18" x14ac:dyDescent="0.2">
      <c r="A2121" s="2">
        <v>42622</v>
      </c>
      <c r="B2121" s="1" t="s">
        <v>56</v>
      </c>
      <c r="C2121" s="1" t="s">
        <v>57</v>
      </c>
      <c r="D2121" s="2">
        <v>42740</v>
      </c>
      <c r="E2121" s="2">
        <f t="shared" si="77"/>
        <v>42856</v>
      </c>
      <c r="F2121" s="1" t="s">
        <v>58</v>
      </c>
      <c r="G2121" s="1" t="s">
        <v>18</v>
      </c>
      <c r="H2121" s="1">
        <v>-5</v>
      </c>
      <c r="I2121" s="1">
        <v>0.45</v>
      </c>
      <c r="J2121" s="1">
        <v>0.06</v>
      </c>
      <c r="K2121" s="2">
        <v>43013</v>
      </c>
      <c r="L2121" s="1">
        <v>3716</v>
      </c>
      <c r="M2121" s="1">
        <v>3.9</v>
      </c>
      <c r="N2121" s="1">
        <v>-3.211E-2</v>
      </c>
      <c r="O2121" s="3">
        <f>VLOOKUP(D2121,underlying!$D$40:$H$75,5,FALSE)</f>
        <v>-2.75</v>
      </c>
      <c r="P2121" s="4">
        <f t="shared" si="76"/>
        <v>42865</v>
      </c>
      <c r="Q2121" s="7">
        <f>IF(G2121="C",NormalCallSprd(O2121,H2121,M2121,(P2121-A2121)/365), NormalPutSprd(O2121,H2121,M2121,(P2121-A2121)/365))</f>
        <v>0.44924693462882237</v>
      </c>
      <c r="R2121" s="9">
        <f t="shared" si="78"/>
        <v>7.5306537117764139E-4</v>
      </c>
    </row>
    <row r="2122" spans="1:18" x14ac:dyDescent="0.2">
      <c r="A2122" s="2">
        <v>42622</v>
      </c>
      <c r="B2122" s="1" t="s">
        <v>56</v>
      </c>
      <c r="C2122" s="1" t="s">
        <v>57</v>
      </c>
      <c r="D2122" s="2">
        <v>42740</v>
      </c>
      <c r="E2122" s="2">
        <f t="shared" si="77"/>
        <v>42856</v>
      </c>
      <c r="F2122" s="1" t="s">
        <v>58</v>
      </c>
      <c r="G2122" s="1" t="s">
        <v>16</v>
      </c>
      <c r="H2122" s="1">
        <v>-4.75</v>
      </c>
      <c r="I2122" s="1">
        <v>2.5</v>
      </c>
      <c r="J2122" s="1">
        <v>-0.19</v>
      </c>
      <c r="K2122" s="2">
        <v>43013</v>
      </c>
      <c r="L2122" s="1">
        <v>3716</v>
      </c>
      <c r="M2122" s="1">
        <v>3.88</v>
      </c>
      <c r="N2122" s="1">
        <v>-2.4639999999999999E-2</v>
      </c>
      <c r="O2122" s="3">
        <f>VLOOKUP(D2122,underlying!$D$40:$H$75,5,FALSE)</f>
        <v>-2.75</v>
      </c>
      <c r="P2122" s="4">
        <f t="shared" si="76"/>
        <v>42865</v>
      </c>
      <c r="Q2122" s="7">
        <f>IF(G2122="C",NormalCallSprd(O2122,H2122,M2122,(P2122-A2122)/365), NormalPutSprd(O2122,H2122,M2122,(P2122-A2122)/365))</f>
        <v>2.5069563869132443</v>
      </c>
      <c r="R2122" s="9">
        <f t="shared" si="78"/>
        <v>6.9563869132442946E-3</v>
      </c>
    </row>
    <row r="2123" spans="1:18" x14ac:dyDescent="0.2">
      <c r="A2123" s="2">
        <v>42622</v>
      </c>
      <c r="B2123" s="1" t="s">
        <v>56</v>
      </c>
      <c r="C2123" s="1" t="s">
        <v>57</v>
      </c>
      <c r="D2123" s="2">
        <v>42740</v>
      </c>
      <c r="E2123" s="2">
        <f t="shared" si="77"/>
        <v>42856</v>
      </c>
      <c r="F2123" s="1" t="s">
        <v>58</v>
      </c>
      <c r="G2123" s="1" t="s">
        <v>18</v>
      </c>
      <c r="H2123" s="1">
        <v>-4.75</v>
      </c>
      <c r="I2123" s="1">
        <v>0.51</v>
      </c>
      <c r="J2123" s="1">
        <v>0.06</v>
      </c>
      <c r="K2123" s="2">
        <v>43013</v>
      </c>
      <c r="L2123" s="1">
        <v>3716</v>
      </c>
      <c r="M2123" s="1">
        <v>3.88</v>
      </c>
      <c r="N2123" s="1">
        <v>-1.8679999999999999E-2</v>
      </c>
      <c r="O2123" s="3">
        <f>VLOOKUP(D2123,underlying!$D$40:$H$75,5,FALSE)</f>
        <v>-2.75</v>
      </c>
      <c r="P2123" s="4">
        <f t="shared" si="76"/>
        <v>42865</v>
      </c>
      <c r="Q2123" s="7">
        <f>IF(G2123="C",NormalCallSprd(O2123,H2123,M2123,(P2123-A2123)/365), NormalPutSprd(O2123,H2123,M2123,(P2123-A2123)/365))</f>
        <v>0.50695638691324441</v>
      </c>
      <c r="R2123" s="9">
        <f t="shared" si="78"/>
        <v>3.0436130867556033E-3</v>
      </c>
    </row>
    <row r="2124" spans="1:18" x14ac:dyDescent="0.2">
      <c r="A2124" s="2">
        <v>42622</v>
      </c>
      <c r="B2124" s="1" t="s">
        <v>56</v>
      </c>
      <c r="C2124" s="1" t="s">
        <v>57</v>
      </c>
      <c r="D2124" s="2">
        <v>42740</v>
      </c>
      <c r="E2124" s="2">
        <f t="shared" si="77"/>
        <v>42856</v>
      </c>
      <c r="F2124" s="1" t="s">
        <v>58</v>
      </c>
      <c r="G2124" s="1" t="s">
        <v>16</v>
      </c>
      <c r="H2124" s="1">
        <v>-4.5</v>
      </c>
      <c r="I2124" s="1">
        <v>2.3199999999999998</v>
      </c>
      <c r="J2124" s="1">
        <v>-0.18</v>
      </c>
      <c r="K2124" s="2">
        <v>43013</v>
      </c>
      <c r="L2124" s="1">
        <v>3716</v>
      </c>
      <c r="M2124" s="1">
        <v>3.9</v>
      </c>
      <c r="N2124" s="1">
        <v>-1.3990000000000001E-2</v>
      </c>
      <c r="O2124" s="3">
        <f>VLOOKUP(D2124,underlying!$D$40:$H$75,5,FALSE)</f>
        <v>-2.75</v>
      </c>
      <c r="P2124" s="4">
        <f t="shared" si="76"/>
        <v>42865</v>
      </c>
      <c r="Q2124" s="7">
        <f>IF(G2124="C",NormalCallSprd(O2124,H2124,M2124,(P2124-A2124)/365), NormalPutSprd(O2124,H2124,M2124,(P2124-A2124)/365))</f>
        <v>2.3317710068661515</v>
      </c>
      <c r="R2124" s="9">
        <f t="shared" si="78"/>
        <v>1.1771006866151623E-2</v>
      </c>
    </row>
    <row r="2125" spans="1:18" x14ac:dyDescent="0.2">
      <c r="A2125" s="2">
        <v>42622</v>
      </c>
      <c r="B2125" s="1" t="s">
        <v>56</v>
      </c>
      <c r="C2125" s="1" t="s">
        <v>57</v>
      </c>
      <c r="D2125" s="2">
        <v>42740</v>
      </c>
      <c r="E2125" s="2">
        <f t="shared" si="77"/>
        <v>42856</v>
      </c>
      <c r="F2125" s="1" t="s">
        <v>58</v>
      </c>
      <c r="G2125" s="1" t="s">
        <v>18</v>
      </c>
      <c r="H2125" s="1">
        <v>-4.5</v>
      </c>
      <c r="I2125" s="1">
        <v>0.57999999999999996</v>
      </c>
      <c r="J2125" s="1">
        <v>7.0000000000000007E-2</v>
      </c>
      <c r="K2125" s="2">
        <v>43013</v>
      </c>
      <c r="L2125" s="1">
        <v>3716</v>
      </c>
      <c r="M2125" s="1">
        <v>3.9</v>
      </c>
      <c r="N2125" s="1">
        <v>-1.0359999999999999E-2</v>
      </c>
      <c r="O2125" s="3">
        <f>VLOOKUP(D2125,underlying!$D$40:$H$75,5,FALSE)</f>
        <v>-2.75</v>
      </c>
      <c r="P2125" s="4">
        <f t="shared" si="76"/>
        <v>42865</v>
      </c>
      <c r="Q2125" s="7">
        <f>IF(G2125="C",NormalCallSprd(O2125,H2125,M2125,(P2125-A2125)/365), NormalPutSprd(O2125,H2125,M2125,(P2125-A2125)/365))</f>
        <v>0.58177100686615157</v>
      </c>
      <c r="R2125" s="9">
        <f t="shared" si="78"/>
        <v>1.7710068661516143E-3</v>
      </c>
    </row>
    <row r="2126" spans="1:18" x14ac:dyDescent="0.2">
      <c r="A2126" s="2">
        <v>42622</v>
      </c>
      <c r="B2126" s="1" t="s">
        <v>56</v>
      </c>
      <c r="C2126" s="1" t="s">
        <v>57</v>
      </c>
      <c r="D2126" s="2">
        <v>42740</v>
      </c>
      <c r="E2126" s="2">
        <f t="shared" si="77"/>
        <v>42856</v>
      </c>
      <c r="F2126" s="1" t="s">
        <v>58</v>
      </c>
      <c r="G2126" s="1" t="s">
        <v>16</v>
      </c>
      <c r="H2126" s="1">
        <v>-4.25</v>
      </c>
      <c r="I2126" s="1">
        <v>2.14</v>
      </c>
      <c r="J2126" s="1">
        <v>-0.19</v>
      </c>
      <c r="K2126" s="2">
        <v>43013</v>
      </c>
      <c r="L2126" s="1">
        <v>3716</v>
      </c>
      <c r="M2126" s="1">
        <v>3.88</v>
      </c>
      <c r="N2126" s="1">
        <v>0.28466999999999998</v>
      </c>
      <c r="O2126" s="3">
        <f>VLOOKUP(D2126,underlying!$D$40:$H$75,5,FALSE)</f>
        <v>-2.75</v>
      </c>
      <c r="P2126" s="4">
        <f t="shared" si="76"/>
        <v>42865</v>
      </c>
      <c r="Q2126" s="7">
        <f>IF(G2126="C",NormalCallSprd(O2126,H2126,M2126,(P2126-A2126)/365), NormalPutSprd(O2126,H2126,M2126,(P2126-A2126)/365))</f>
        <v>2.1521587721901021</v>
      </c>
      <c r="R2126" s="9">
        <f t="shared" si="78"/>
        <v>1.2158772190101974E-2</v>
      </c>
    </row>
    <row r="2127" spans="1:18" x14ac:dyDescent="0.2">
      <c r="A2127" s="2">
        <v>42622</v>
      </c>
      <c r="B2127" s="1" t="s">
        <v>56</v>
      </c>
      <c r="C2127" s="1" t="s">
        <v>57</v>
      </c>
      <c r="D2127" s="2">
        <v>42740</v>
      </c>
      <c r="E2127" s="2">
        <f t="shared" si="77"/>
        <v>42856</v>
      </c>
      <c r="F2127" s="1" t="s">
        <v>58</v>
      </c>
      <c r="G2127" s="1" t="s">
        <v>18</v>
      </c>
      <c r="H2127" s="1">
        <v>-4.25</v>
      </c>
      <c r="I2127" s="1">
        <v>0.65</v>
      </c>
      <c r="J2127" s="1">
        <v>7.0000000000000007E-2</v>
      </c>
      <c r="K2127" s="2">
        <v>43013</v>
      </c>
      <c r="L2127" s="1">
        <v>3716</v>
      </c>
      <c r="M2127" s="1">
        <v>3.88</v>
      </c>
      <c r="N2127" s="1">
        <v>0.30517</v>
      </c>
      <c r="O2127" s="3">
        <f>VLOOKUP(D2127,underlying!$D$40:$H$75,5,FALSE)</f>
        <v>-2.75</v>
      </c>
      <c r="P2127" s="4">
        <f t="shared" si="76"/>
        <v>42865</v>
      </c>
      <c r="Q2127" s="7">
        <f>IF(G2127="C",NormalCallSprd(O2127,H2127,M2127,(P2127-A2127)/365), NormalPutSprd(O2127,H2127,M2127,(P2127-A2127)/365))</f>
        <v>0.65215877219010221</v>
      </c>
      <c r="R2127" s="9">
        <f t="shared" si="78"/>
        <v>2.1587721901021872E-3</v>
      </c>
    </row>
    <row r="2128" spans="1:18" x14ac:dyDescent="0.2">
      <c r="A2128" s="2">
        <v>42622</v>
      </c>
      <c r="B2128" s="1" t="s">
        <v>56</v>
      </c>
      <c r="C2128" s="1" t="s">
        <v>57</v>
      </c>
      <c r="D2128" s="2">
        <v>42740</v>
      </c>
      <c r="E2128" s="2">
        <f t="shared" si="77"/>
        <v>42856</v>
      </c>
      <c r="F2128" s="1" t="s">
        <v>58</v>
      </c>
      <c r="G2128" s="1" t="s">
        <v>16</v>
      </c>
      <c r="H2128" s="1">
        <v>-4</v>
      </c>
      <c r="I2128" s="1">
        <v>1.98</v>
      </c>
      <c r="J2128" s="1">
        <v>-0.17</v>
      </c>
      <c r="K2128" s="2">
        <v>43013</v>
      </c>
      <c r="L2128" s="1">
        <v>3716</v>
      </c>
      <c r="M2128" s="1">
        <v>3.9</v>
      </c>
      <c r="N2128" s="1">
        <v>0.32833000000000001</v>
      </c>
      <c r="O2128" s="3">
        <f>VLOOKUP(D2128,underlying!$D$40:$H$75,5,FALSE)</f>
        <v>-2.75</v>
      </c>
      <c r="P2128" s="4">
        <f t="shared" si="76"/>
        <v>42865</v>
      </c>
      <c r="Q2128" s="7">
        <f>IF(G2128="C",NormalCallSprd(O2128,H2128,M2128,(P2128-A2128)/365), NormalPutSprd(O2128,H2128,M2128,(P2128-A2128)/365))</f>
        <v>1.9912000688834026</v>
      </c>
      <c r="R2128" s="9">
        <f t="shared" si="78"/>
        <v>1.1200068883402636E-2</v>
      </c>
    </row>
    <row r="2129" spans="1:18" x14ac:dyDescent="0.2">
      <c r="A2129" s="2">
        <v>42622</v>
      </c>
      <c r="B2129" s="1" t="s">
        <v>56</v>
      </c>
      <c r="C2129" s="1" t="s">
        <v>57</v>
      </c>
      <c r="D2129" s="2">
        <v>42740</v>
      </c>
      <c r="E2129" s="2">
        <f t="shared" si="77"/>
        <v>42856</v>
      </c>
      <c r="F2129" s="1" t="s">
        <v>58</v>
      </c>
      <c r="G2129" s="1" t="s">
        <v>18</v>
      </c>
      <c r="H2129" s="1">
        <v>-4</v>
      </c>
      <c r="I2129" s="1">
        <v>0.74</v>
      </c>
      <c r="J2129" s="1">
        <v>0.09</v>
      </c>
      <c r="K2129" s="2">
        <v>43013</v>
      </c>
      <c r="L2129" s="1">
        <v>3716</v>
      </c>
      <c r="M2129" s="1">
        <v>3.9</v>
      </c>
      <c r="N2129" s="1">
        <v>0.35033999999999998</v>
      </c>
      <c r="O2129" s="3">
        <f>VLOOKUP(D2129,underlying!$D$40:$H$75,5,FALSE)</f>
        <v>-2.75</v>
      </c>
      <c r="P2129" s="4">
        <f t="shared" si="76"/>
        <v>42865</v>
      </c>
      <c r="Q2129" s="7">
        <f>IF(G2129="C",NormalCallSprd(O2129,H2129,M2129,(P2129-A2129)/365), NormalPutSprd(O2129,H2129,M2129,(P2129-A2129)/365))</f>
        <v>0.74120006888340251</v>
      </c>
      <c r="R2129" s="9">
        <f t="shared" si="78"/>
        <v>1.2000688834025164E-3</v>
      </c>
    </row>
    <row r="2130" spans="1:18" x14ac:dyDescent="0.2">
      <c r="A2130" s="2">
        <v>42622</v>
      </c>
      <c r="B2130" s="1" t="s">
        <v>56</v>
      </c>
      <c r="C2130" s="1" t="s">
        <v>57</v>
      </c>
      <c r="D2130" s="2">
        <v>42740</v>
      </c>
      <c r="E2130" s="2">
        <f t="shared" si="77"/>
        <v>42856</v>
      </c>
      <c r="F2130" s="1" t="s">
        <v>58</v>
      </c>
      <c r="G2130" s="1" t="s">
        <v>16</v>
      </c>
      <c r="H2130" s="1">
        <v>-3.75</v>
      </c>
      <c r="I2130" s="1">
        <v>1.82</v>
      </c>
      <c r="J2130" s="1">
        <v>-0.17</v>
      </c>
      <c r="K2130" s="2">
        <v>43013</v>
      </c>
      <c r="L2130" s="1">
        <v>3716</v>
      </c>
      <c r="M2130" s="1">
        <v>3.88</v>
      </c>
      <c r="N2130" s="1">
        <v>0.37444</v>
      </c>
      <c r="O2130" s="3">
        <f>VLOOKUP(D2130,underlying!$D$40:$H$75,5,FALSE)</f>
        <v>-2.75</v>
      </c>
      <c r="P2130" s="4">
        <f t="shared" si="76"/>
        <v>42865</v>
      </c>
      <c r="Q2130" s="7">
        <f>IF(G2130="C",NormalCallSprd(O2130,H2130,M2130,(P2130-A2130)/365), NormalPutSprd(O2130,H2130,M2130,(P2130-A2130)/365))</f>
        <v>1.8254745927416292</v>
      </c>
      <c r="R2130" s="9">
        <f t="shared" si="78"/>
        <v>5.4745927416290918E-3</v>
      </c>
    </row>
    <row r="2131" spans="1:18" x14ac:dyDescent="0.2">
      <c r="A2131" s="2">
        <v>42622</v>
      </c>
      <c r="B2131" s="1" t="s">
        <v>56</v>
      </c>
      <c r="C2131" s="1" t="s">
        <v>57</v>
      </c>
      <c r="D2131" s="2">
        <v>42740</v>
      </c>
      <c r="E2131" s="2">
        <f t="shared" si="77"/>
        <v>42856</v>
      </c>
      <c r="F2131" s="1" t="s">
        <v>58</v>
      </c>
      <c r="G2131" s="1" t="s">
        <v>18</v>
      </c>
      <c r="H2131" s="1">
        <v>-3.75</v>
      </c>
      <c r="I2131" s="1">
        <v>0.82</v>
      </c>
      <c r="J2131" s="1">
        <v>0.08</v>
      </c>
      <c r="K2131" s="2">
        <v>43013</v>
      </c>
      <c r="L2131" s="1">
        <v>3716</v>
      </c>
      <c r="M2131" s="1">
        <v>3.88</v>
      </c>
      <c r="N2131" s="1">
        <v>0.39768999999999999</v>
      </c>
      <c r="O2131" s="3">
        <f>VLOOKUP(D2131,underlying!$D$40:$H$75,5,FALSE)</f>
        <v>-2.75</v>
      </c>
      <c r="P2131" s="4">
        <f t="shared" si="76"/>
        <v>42865</v>
      </c>
      <c r="Q2131" s="7">
        <f>IF(G2131="C",NormalCallSprd(O2131,H2131,M2131,(P2131-A2131)/365), NormalPutSprd(O2131,H2131,M2131,(P2131-A2131)/365))</f>
        <v>0.82547459274162927</v>
      </c>
      <c r="R2131" s="9">
        <f t="shared" si="78"/>
        <v>5.4745927416293139E-3</v>
      </c>
    </row>
    <row r="2132" spans="1:18" x14ac:dyDescent="0.2">
      <c r="A2132" s="2">
        <v>42622</v>
      </c>
      <c r="B2132" s="1" t="s">
        <v>56</v>
      </c>
      <c r="C2132" s="1" t="s">
        <v>57</v>
      </c>
      <c r="D2132" s="2">
        <v>42740</v>
      </c>
      <c r="E2132" s="2">
        <f t="shared" si="77"/>
        <v>42856</v>
      </c>
      <c r="F2132" s="1" t="s">
        <v>58</v>
      </c>
      <c r="G2132" s="1" t="s">
        <v>16</v>
      </c>
      <c r="H2132" s="1">
        <v>-3.5</v>
      </c>
      <c r="I2132" s="1">
        <v>1.67</v>
      </c>
      <c r="J2132" s="1">
        <v>-0.15</v>
      </c>
      <c r="K2132" s="2">
        <v>43013</v>
      </c>
      <c r="L2132" s="1">
        <v>3716</v>
      </c>
      <c r="M2132" s="1">
        <v>3.89</v>
      </c>
      <c r="N2132" s="1">
        <v>0.42219000000000001</v>
      </c>
      <c r="O2132" s="3">
        <f>VLOOKUP(D2132,underlying!$D$40:$H$75,5,FALSE)</f>
        <v>-2.75</v>
      </c>
      <c r="P2132" s="4">
        <f t="shared" si="76"/>
        <v>42865</v>
      </c>
      <c r="Q2132" s="7">
        <f>IF(G2132="C",NormalCallSprd(O2132,H2132,M2132,(P2132-A2132)/365), NormalPutSprd(O2132,H2132,M2132,(P2132-A2132)/365))</f>
        <v>1.6764279892330103</v>
      </c>
      <c r="R2132" s="9">
        <f t="shared" si="78"/>
        <v>6.4279892330103561E-3</v>
      </c>
    </row>
    <row r="2133" spans="1:18" x14ac:dyDescent="0.2">
      <c r="A2133" s="2">
        <v>42622</v>
      </c>
      <c r="B2133" s="1" t="s">
        <v>56</v>
      </c>
      <c r="C2133" s="1" t="s">
        <v>57</v>
      </c>
      <c r="D2133" s="2">
        <v>42740</v>
      </c>
      <c r="E2133" s="2">
        <f t="shared" si="77"/>
        <v>42856</v>
      </c>
      <c r="F2133" s="1" t="s">
        <v>58</v>
      </c>
      <c r="G2133" s="1" t="s">
        <v>18</v>
      </c>
      <c r="H2133" s="1">
        <v>-3.5</v>
      </c>
      <c r="I2133" s="1">
        <v>0.92</v>
      </c>
      <c r="J2133" s="1">
        <v>0.09</v>
      </c>
      <c r="K2133" s="2">
        <v>43013</v>
      </c>
      <c r="L2133" s="1">
        <v>3716</v>
      </c>
      <c r="M2133" s="1">
        <v>3.89</v>
      </c>
      <c r="N2133" s="1">
        <v>0.44669999999999999</v>
      </c>
      <c r="O2133" s="3">
        <f>VLOOKUP(D2133,underlying!$D$40:$H$75,5,FALSE)</f>
        <v>-2.75</v>
      </c>
      <c r="P2133" s="4">
        <f t="shared" si="76"/>
        <v>42865</v>
      </c>
      <c r="Q2133" s="7">
        <f>IF(G2133="C",NormalCallSprd(O2133,H2133,M2133,(P2133-A2133)/365), NormalPutSprd(O2133,H2133,M2133,(P2133-A2133)/365))</f>
        <v>0.92642798923301029</v>
      </c>
      <c r="R2133" s="9">
        <f t="shared" si="78"/>
        <v>6.4279892330102451E-3</v>
      </c>
    </row>
    <row r="2134" spans="1:18" x14ac:dyDescent="0.2">
      <c r="A2134" s="2">
        <v>42622</v>
      </c>
      <c r="B2134" s="1" t="s">
        <v>56</v>
      </c>
      <c r="C2134" s="1" t="s">
        <v>57</v>
      </c>
      <c r="D2134" s="2">
        <v>42740</v>
      </c>
      <c r="E2134" s="2">
        <f t="shared" si="77"/>
        <v>42856</v>
      </c>
      <c r="F2134" s="1" t="s">
        <v>58</v>
      </c>
      <c r="G2134" s="1" t="s">
        <v>16</v>
      </c>
      <c r="H2134" s="1">
        <v>-3.25</v>
      </c>
      <c r="I2134" s="1">
        <v>1.53</v>
      </c>
      <c r="J2134" s="1">
        <v>-0.14000000000000001</v>
      </c>
      <c r="K2134" s="2">
        <v>43013</v>
      </c>
      <c r="L2134" s="1">
        <v>3716</v>
      </c>
      <c r="M2134" s="1">
        <v>3.89</v>
      </c>
      <c r="N2134" s="1">
        <v>0.47148000000000001</v>
      </c>
      <c r="O2134" s="3">
        <f>VLOOKUP(D2134,underlying!$D$40:$H$75,5,FALSE)</f>
        <v>-2.75</v>
      </c>
      <c r="P2134" s="4">
        <f t="shared" si="76"/>
        <v>42865</v>
      </c>
      <c r="Q2134" s="7">
        <f>IF(G2134="C",NormalCallSprd(O2134,H2134,M2134,(P2134-A2134)/365), NormalPutSprd(O2134,H2134,M2134,(P2134-A2134)/365))</f>
        <v>1.531919949878312</v>
      </c>
      <c r="R2134" s="9">
        <f t="shared" si="78"/>
        <v>1.9199498783120106E-3</v>
      </c>
    </row>
    <row r="2135" spans="1:18" x14ac:dyDescent="0.2">
      <c r="A2135" s="2">
        <v>42622</v>
      </c>
      <c r="B2135" s="1" t="s">
        <v>56</v>
      </c>
      <c r="C2135" s="1" t="s">
        <v>57</v>
      </c>
      <c r="D2135" s="2">
        <v>42740</v>
      </c>
      <c r="E2135" s="2">
        <f t="shared" si="77"/>
        <v>42856</v>
      </c>
      <c r="F2135" s="1" t="s">
        <v>58</v>
      </c>
      <c r="G2135" s="1" t="s">
        <v>18</v>
      </c>
      <c r="H2135" s="1">
        <v>-3.25</v>
      </c>
      <c r="I2135" s="1">
        <v>1.03</v>
      </c>
      <c r="J2135" s="1">
        <v>0.1</v>
      </c>
      <c r="K2135" s="2">
        <v>43013</v>
      </c>
      <c r="L2135" s="1">
        <v>3716</v>
      </c>
      <c r="M2135" s="1">
        <v>3.89</v>
      </c>
      <c r="N2135" s="1">
        <v>0.49620999999999998</v>
      </c>
      <c r="O2135" s="3">
        <f>VLOOKUP(D2135,underlying!$D$40:$H$75,5,FALSE)</f>
        <v>-2.75</v>
      </c>
      <c r="P2135" s="4">
        <f t="shared" si="76"/>
        <v>42865</v>
      </c>
      <c r="Q2135" s="7">
        <f>IF(G2135="C",NormalCallSprd(O2135,H2135,M2135,(P2135-A2135)/365), NormalPutSprd(O2135,H2135,M2135,(P2135-A2135)/365))</f>
        <v>1.031919949878312</v>
      </c>
      <c r="R2135" s="9">
        <f t="shared" si="78"/>
        <v>1.9199498783120106E-3</v>
      </c>
    </row>
    <row r="2136" spans="1:18" x14ac:dyDescent="0.2">
      <c r="A2136" s="2">
        <v>42622</v>
      </c>
      <c r="B2136" s="1" t="s">
        <v>56</v>
      </c>
      <c r="C2136" s="1" t="s">
        <v>57</v>
      </c>
      <c r="D2136" s="2">
        <v>42740</v>
      </c>
      <c r="E2136" s="2">
        <f t="shared" si="77"/>
        <v>42856</v>
      </c>
      <c r="F2136" s="1" t="s">
        <v>58</v>
      </c>
      <c r="G2136" s="1" t="s">
        <v>16</v>
      </c>
      <c r="H2136" s="1">
        <v>-3</v>
      </c>
      <c r="I2136" s="1">
        <v>1.39</v>
      </c>
      <c r="J2136" s="1">
        <v>-0.14000000000000001</v>
      </c>
      <c r="K2136" s="2">
        <v>43013</v>
      </c>
      <c r="L2136" s="1">
        <v>3716</v>
      </c>
      <c r="M2136" s="1">
        <v>3.9</v>
      </c>
      <c r="N2136" s="1">
        <v>0.52095000000000002</v>
      </c>
      <c r="O2136" s="3">
        <f>VLOOKUP(D2136,underlying!$D$40:$H$75,5,FALSE)</f>
        <v>-2.75</v>
      </c>
      <c r="P2136" s="4">
        <f t="shared" si="76"/>
        <v>42865</v>
      </c>
      <c r="Q2136" s="7">
        <f>IF(G2136="C",NormalCallSprd(O2136,H2136,M2136,(P2136-A2136)/365), NormalPutSprd(O2136,H2136,M2136,(P2136-A2136)/365))</f>
        <v>1.3984118734003239</v>
      </c>
      <c r="R2136" s="9">
        <f t="shared" si="78"/>
        <v>8.4118734003240103E-3</v>
      </c>
    </row>
    <row r="2137" spans="1:18" x14ac:dyDescent="0.2">
      <c r="A2137" s="2">
        <v>42622</v>
      </c>
      <c r="B2137" s="1" t="s">
        <v>56</v>
      </c>
      <c r="C2137" s="1" t="s">
        <v>57</v>
      </c>
      <c r="D2137" s="2">
        <v>42740</v>
      </c>
      <c r="E2137" s="2">
        <f t="shared" si="77"/>
        <v>42856</v>
      </c>
      <c r="F2137" s="1" t="s">
        <v>58</v>
      </c>
      <c r="G2137" s="1" t="s">
        <v>18</v>
      </c>
      <c r="H2137" s="1">
        <v>-3</v>
      </c>
      <c r="I2137" s="1">
        <v>1.1399999999999999</v>
      </c>
      <c r="J2137" s="1">
        <v>0.11</v>
      </c>
      <c r="K2137" s="2">
        <v>43013</v>
      </c>
      <c r="L2137" s="1">
        <v>3716</v>
      </c>
      <c r="M2137" s="1">
        <v>3.9</v>
      </c>
      <c r="N2137" s="1">
        <v>0.54571999999999998</v>
      </c>
      <c r="O2137" s="3">
        <f>VLOOKUP(D2137,underlying!$D$40:$H$75,5,FALSE)</f>
        <v>-2.75</v>
      </c>
      <c r="P2137" s="4">
        <f t="shared" si="76"/>
        <v>42865</v>
      </c>
      <c r="Q2137" s="7">
        <f>IF(G2137="C",NormalCallSprd(O2137,H2137,M2137,(P2137-A2137)/365), NormalPutSprd(O2137,H2137,M2137,(P2137-A2137)/365))</f>
        <v>1.1484118734003239</v>
      </c>
      <c r="R2137" s="9">
        <f t="shared" si="78"/>
        <v>8.4118734003240103E-3</v>
      </c>
    </row>
    <row r="2138" spans="1:18" x14ac:dyDescent="0.2">
      <c r="A2138" s="2">
        <v>42622</v>
      </c>
      <c r="B2138" s="1" t="s">
        <v>56</v>
      </c>
      <c r="C2138" s="1" t="s">
        <v>57</v>
      </c>
      <c r="D2138" s="2">
        <v>42740</v>
      </c>
      <c r="E2138" s="2">
        <f t="shared" si="77"/>
        <v>42856</v>
      </c>
      <c r="F2138" s="1" t="s">
        <v>58</v>
      </c>
      <c r="G2138" s="1" t="s">
        <v>16</v>
      </c>
      <c r="H2138" s="1">
        <v>-2.75</v>
      </c>
      <c r="I2138" s="1">
        <v>1.26</v>
      </c>
      <c r="J2138" s="1">
        <v>-0.14000000000000001</v>
      </c>
      <c r="K2138" s="2">
        <v>43013</v>
      </c>
      <c r="L2138" s="1">
        <v>3716</v>
      </c>
      <c r="M2138" s="1">
        <v>3.89</v>
      </c>
      <c r="N2138" s="1">
        <v>0.57023999999999997</v>
      </c>
      <c r="O2138" s="3">
        <f>VLOOKUP(D2138,underlying!$D$40:$H$75,5,FALSE)</f>
        <v>-2.75</v>
      </c>
      <c r="P2138" s="4">
        <f t="shared" si="76"/>
        <v>42865</v>
      </c>
      <c r="Q2138" s="7">
        <f>IF(G2138="C",NormalCallSprd(O2138,H2138,M2138,(P2138-A2138)/365), NormalPutSprd(O2138,H2138,M2138,(P2138-A2138)/365))</f>
        <v>1.266241000443689</v>
      </c>
      <c r="R2138" s="9">
        <f t="shared" si="78"/>
        <v>6.2410004436890265E-3</v>
      </c>
    </row>
    <row r="2139" spans="1:18" x14ac:dyDescent="0.2">
      <c r="A2139" s="2">
        <v>42622</v>
      </c>
      <c r="B2139" s="1" t="s">
        <v>56</v>
      </c>
      <c r="C2139" s="1" t="s">
        <v>57</v>
      </c>
      <c r="D2139" s="2">
        <v>42740</v>
      </c>
      <c r="E2139" s="2">
        <f t="shared" si="77"/>
        <v>42856</v>
      </c>
      <c r="F2139" s="1" t="s">
        <v>58</v>
      </c>
      <c r="G2139" s="1" t="s">
        <v>18</v>
      </c>
      <c r="H2139" s="1">
        <v>-2.75</v>
      </c>
      <c r="I2139" s="1">
        <v>1.26</v>
      </c>
      <c r="J2139" s="1">
        <v>0.11</v>
      </c>
      <c r="K2139" s="2">
        <v>43013</v>
      </c>
      <c r="L2139" s="1">
        <v>3716</v>
      </c>
      <c r="M2139" s="1">
        <v>3.89</v>
      </c>
      <c r="N2139" s="1">
        <v>0.59474000000000005</v>
      </c>
      <c r="O2139" s="3">
        <f>VLOOKUP(D2139,underlying!$D$40:$H$75,5,FALSE)</f>
        <v>-2.75</v>
      </c>
      <c r="P2139" s="4">
        <f t="shared" si="76"/>
        <v>42865</v>
      </c>
      <c r="Q2139" s="7">
        <f>IF(G2139="C",NormalCallSprd(O2139,H2139,M2139,(P2139-A2139)/365), NormalPutSprd(O2139,H2139,M2139,(P2139-A2139)/365))</f>
        <v>1.266241000443689</v>
      </c>
      <c r="R2139" s="9">
        <f t="shared" si="78"/>
        <v>6.2410004436890265E-3</v>
      </c>
    </row>
    <row r="2140" spans="1:18" x14ac:dyDescent="0.2">
      <c r="A2140" s="2">
        <v>42622</v>
      </c>
      <c r="B2140" s="1" t="s">
        <v>56</v>
      </c>
      <c r="C2140" s="1" t="s">
        <v>57</v>
      </c>
      <c r="D2140" s="2">
        <v>42740</v>
      </c>
      <c r="E2140" s="2">
        <f t="shared" si="77"/>
        <v>42856</v>
      </c>
      <c r="F2140" s="1" t="s">
        <v>58</v>
      </c>
      <c r="G2140" s="1" t="s">
        <v>16</v>
      </c>
      <c r="H2140" s="1">
        <v>-2.5</v>
      </c>
      <c r="I2140" s="1">
        <v>1.1399999999999999</v>
      </c>
      <c r="J2140" s="1">
        <v>-0.12</v>
      </c>
      <c r="K2140" s="2">
        <v>43013</v>
      </c>
      <c r="L2140" s="1">
        <v>3716</v>
      </c>
      <c r="M2140" s="1">
        <v>3.9</v>
      </c>
      <c r="N2140" s="1">
        <v>0.61797999999999997</v>
      </c>
      <c r="O2140" s="3">
        <f>VLOOKUP(D2140,underlying!$D$40:$H$75,5,FALSE)</f>
        <v>-2.75</v>
      </c>
      <c r="P2140" s="4">
        <f t="shared" si="76"/>
        <v>42865</v>
      </c>
      <c r="Q2140" s="7">
        <f>IF(G2140="C",NormalCallSprd(O2140,H2140,M2140,(P2140-A2140)/365), NormalPutSprd(O2140,H2140,M2140,(P2140-A2140)/365))</f>
        <v>1.1484118734003239</v>
      </c>
      <c r="R2140" s="9">
        <f t="shared" si="78"/>
        <v>8.4118734003240103E-3</v>
      </c>
    </row>
    <row r="2141" spans="1:18" x14ac:dyDescent="0.2">
      <c r="A2141" s="2">
        <v>42622</v>
      </c>
      <c r="B2141" s="1" t="s">
        <v>56</v>
      </c>
      <c r="C2141" s="1" t="s">
        <v>57</v>
      </c>
      <c r="D2141" s="2">
        <v>42740</v>
      </c>
      <c r="E2141" s="2">
        <f t="shared" si="77"/>
        <v>42856</v>
      </c>
      <c r="F2141" s="1" t="s">
        <v>58</v>
      </c>
      <c r="G2141" s="1" t="s">
        <v>18</v>
      </c>
      <c r="H2141" s="1">
        <v>-2.5</v>
      </c>
      <c r="I2141" s="1">
        <v>1.39</v>
      </c>
      <c r="J2141" s="1">
        <v>0.13</v>
      </c>
      <c r="K2141" s="2">
        <v>43013</v>
      </c>
      <c r="L2141" s="1">
        <v>3716</v>
      </c>
      <c r="M2141" s="1">
        <v>3.9</v>
      </c>
      <c r="N2141" s="1">
        <v>0.64209000000000005</v>
      </c>
      <c r="O2141" s="3">
        <f>VLOOKUP(D2141,underlying!$D$40:$H$75,5,FALSE)</f>
        <v>-2.75</v>
      </c>
      <c r="P2141" s="4">
        <f t="shared" si="76"/>
        <v>42865</v>
      </c>
      <c r="Q2141" s="7">
        <f>IF(G2141="C",NormalCallSprd(O2141,H2141,M2141,(P2141-A2141)/365), NormalPutSprd(O2141,H2141,M2141,(P2141-A2141)/365))</f>
        <v>1.3984118734003239</v>
      </c>
      <c r="R2141" s="9">
        <f t="shared" si="78"/>
        <v>8.4118734003240103E-3</v>
      </c>
    </row>
    <row r="2142" spans="1:18" x14ac:dyDescent="0.2">
      <c r="A2142" s="2">
        <v>42622</v>
      </c>
      <c r="B2142" s="1" t="s">
        <v>56</v>
      </c>
      <c r="C2142" s="1" t="s">
        <v>57</v>
      </c>
      <c r="D2142" s="2">
        <v>42740</v>
      </c>
      <c r="E2142" s="2">
        <f t="shared" si="77"/>
        <v>42856</v>
      </c>
      <c r="F2142" s="1" t="s">
        <v>58</v>
      </c>
      <c r="G2142" s="1" t="s">
        <v>16</v>
      </c>
      <c r="H2142" s="1">
        <v>-2.25</v>
      </c>
      <c r="I2142" s="1">
        <v>1.03</v>
      </c>
      <c r="J2142" s="1">
        <v>-0.12</v>
      </c>
      <c r="K2142" s="2">
        <v>43013</v>
      </c>
      <c r="L2142" s="1">
        <v>3716</v>
      </c>
      <c r="M2142" s="1">
        <v>3.89</v>
      </c>
      <c r="N2142" s="1">
        <v>0.66410000000000002</v>
      </c>
      <c r="O2142" s="3">
        <f>VLOOKUP(D2142,underlying!$D$40:$H$75,5,FALSE)</f>
        <v>-2.75</v>
      </c>
      <c r="P2142" s="4">
        <f t="shared" si="76"/>
        <v>42865</v>
      </c>
      <c r="Q2142" s="7">
        <f>IF(G2142="C",NormalCallSprd(O2142,H2142,M2142,(P2142-A2142)/365), NormalPutSprd(O2142,H2142,M2142,(P2142-A2142)/365))</f>
        <v>1.031919949878312</v>
      </c>
      <c r="R2142" s="9">
        <f t="shared" si="78"/>
        <v>1.9199498783120106E-3</v>
      </c>
    </row>
    <row r="2143" spans="1:18" x14ac:dyDescent="0.2">
      <c r="A2143" s="2">
        <v>42622</v>
      </c>
      <c r="B2143" s="1" t="s">
        <v>56</v>
      </c>
      <c r="C2143" s="1" t="s">
        <v>57</v>
      </c>
      <c r="D2143" s="2">
        <v>42740</v>
      </c>
      <c r="E2143" s="2">
        <f t="shared" si="77"/>
        <v>42856</v>
      </c>
      <c r="F2143" s="1" t="s">
        <v>58</v>
      </c>
      <c r="G2143" s="1" t="s">
        <v>18</v>
      </c>
      <c r="H2143" s="1">
        <v>-2.25</v>
      </c>
      <c r="I2143" s="1">
        <v>1.53</v>
      </c>
      <c r="J2143" s="1">
        <v>0.13</v>
      </c>
      <c r="K2143" s="2">
        <v>43013</v>
      </c>
      <c r="L2143" s="1">
        <v>3716</v>
      </c>
      <c r="M2143" s="1">
        <v>3.89</v>
      </c>
      <c r="N2143" s="1">
        <v>0.68725000000000003</v>
      </c>
      <c r="O2143" s="3">
        <f>VLOOKUP(D2143,underlying!$D$40:$H$75,5,FALSE)</f>
        <v>-2.75</v>
      </c>
      <c r="P2143" s="4">
        <f t="shared" si="76"/>
        <v>42865</v>
      </c>
      <c r="Q2143" s="7">
        <f>IF(G2143="C",NormalCallSprd(O2143,H2143,M2143,(P2143-A2143)/365), NormalPutSprd(O2143,H2143,M2143,(P2143-A2143)/365))</f>
        <v>1.531919949878312</v>
      </c>
      <c r="R2143" s="9">
        <f t="shared" si="78"/>
        <v>1.9199498783120106E-3</v>
      </c>
    </row>
    <row r="2144" spans="1:18" x14ac:dyDescent="0.2">
      <c r="A2144" s="2">
        <v>42622</v>
      </c>
      <c r="B2144" s="1" t="s">
        <v>56</v>
      </c>
      <c r="C2144" s="1" t="s">
        <v>57</v>
      </c>
      <c r="D2144" s="2">
        <v>42740</v>
      </c>
      <c r="E2144" s="2">
        <f t="shared" si="77"/>
        <v>42856</v>
      </c>
      <c r="F2144" s="1" t="s">
        <v>58</v>
      </c>
      <c r="G2144" s="1" t="s">
        <v>16</v>
      </c>
      <c r="H2144" s="1">
        <v>-2</v>
      </c>
      <c r="I2144" s="1">
        <v>0.92</v>
      </c>
      <c r="J2144" s="1">
        <v>-0.11</v>
      </c>
      <c r="K2144" s="2">
        <v>43013</v>
      </c>
      <c r="L2144" s="1">
        <v>3716</v>
      </c>
      <c r="M2144" s="1">
        <v>3.89</v>
      </c>
      <c r="N2144" s="1">
        <v>0.70775999999999994</v>
      </c>
      <c r="O2144" s="3">
        <f>VLOOKUP(D2144,underlying!$D$40:$H$75,5,FALSE)</f>
        <v>-2.75</v>
      </c>
      <c r="P2144" s="4">
        <f t="shared" si="76"/>
        <v>42865</v>
      </c>
      <c r="Q2144" s="7">
        <f>IF(G2144="C",NormalCallSprd(O2144,H2144,M2144,(P2144-A2144)/365), NormalPutSprd(O2144,H2144,M2144,(P2144-A2144)/365))</f>
        <v>0.92642798923301029</v>
      </c>
      <c r="R2144" s="9">
        <f t="shared" si="78"/>
        <v>6.4279892330102451E-3</v>
      </c>
    </row>
    <row r="2145" spans="1:18" x14ac:dyDescent="0.2">
      <c r="A2145" s="2">
        <v>42622</v>
      </c>
      <c r="B2145" s="1" t="s">
        <v>56</v>
      </c>
      <c r="C2145" s="1" t="s">
        <v>57</v>
      </c>
      <c r="D2145" s="2">
        <v>42740</v>
      </c>
      <c r="E2145" s="2">
        <f t="shared" si="77"/>
        <v>42856</v>
      </c>
      <c r="F2145" s="1" t="s">
        <v>58</v>
      </c>
      <c r="G2145" s="1" t="s">
        <v>18</v>
      </c>
      <c r="H2145" s="1">
        <v>-2</v>
      </c>
      <c r="I2145" s="1">
        <v>1.67</v>
      </c>
      <c r="J2145" s="1">
        <v>0.14000000000000001</v>
      </c>
      <c r="K2145" s="2">
        <v>43013</v>
      </c>
      <c r="L2145" s="1">
        <v>3716</v>
      </c>
      <c r="M2145" s="1">
        <v>3.89</v>
      </c>
      <c r="N2145" s="1">
        <v>0.72850000000000004</v>
      </c>
      <c r="O2145" s="3">
        <f>VLOOKUP(D2145,underlying!$D$40:$H$75,5,FALSE)</f>
        <v>-2.75</v>
      </c>
      <c r="P2145" s="4">
        <f t="shared" si="76"/>
        <v>42865</v>
      </c>
      <c r="Q2145" s="7">
        <f>IF(G2145="C",NormalCallSprd(O2145,H2145,M2145,(P2145-A2145)/365), NormalPutSprd(O2145,H2145,M2145,(P2145-A2145)/365))</f>
        <v>1.6764279892330103</v>
      </c>
      <c r="R2145" s="9">
        <f t="shared" si="78"/>
        <v>6.4279892330103561E-3</v>
      </c>
    </row>
    <row r="2146" spans="1:18" x14ac:dyDescent="0.2">
      <c r="A2146" s="2">
        <v>42622</v>
      </c>
      <c r="B2146" s="1" t="s">
        <v>56</v>
      </c>
      <c r="C2146" s="1" t="s">
        <v>57</v>
      </c>
      <c r="D2146" s="2">
        <v>42740</v>
      </c>
      <c r="E2146" s="2">
        <f t="shared" si="77"/>
        <v>42856</v>
      </c>
      <c r="F2146" s="1" t="s">
        <v>58</v>
      </c>
      <c r="G2146" s="1" t="s">
        <v>16</v>
      </c>
      <c r="H2146" s="1">
        <v>-1.75</v>
      </c>
      <c r="I2146" s="1">
        <v>0.82</v>
      </c>
      <c r="J2146" s="1">
        <v>-0.11</v>
      </c>
      <c r="K2146" s="2">
        <v>43013</v>
      </c>
      <c r="L2146" s="1">
        <v>3716</v>
      </c>
      <c r="M2146" s="1">
        <v>3.88</v>
      </c>
      <c r="N2146" s="1">
        <v>0.74846000000000001</v>
      </c>
      <c r="O2146" s="3">
        <f>VLOOKUP(D2146,underlying!$D$40:$H$75,5,FALSE)</f>
        <v>-2.75</v>
      </c>
      <c r="P2146" s="4">
        <f t="shared" si="76"/>
        <v>42865</v>
      </c>
      <c r="Q2146" s="7">
        <f>IF(G2146="C",NormalCallSprd(O2146,H2146,M2146,(P2146-A2146)/365), NormalPutSprd(O2146,H2146,M2146,(P2146-A2146)/365))</f>
        <v>0.82547459274162927</v>
      </c>
      <c r="R2146" s="9">
        <f t="shared" si="78"/>
        <v>5.4745927416293139E-3</v>
      </c>
    </row>
    <row r="2147" spans="1:18" x14ac:dyDescent="0.2">
      <c r="A2147" s="2">
        <v>42622</v>
      </c>
      <c r="B2147" s="1" t="s">
        <v>56</v>
      </c>
      <c r="C2147" s="1" t="s">
        <v>57</v>
      </c>
      <c r="D2147" s="2">
        <v>42740</v>
      </c>
      <c r="E2147" s="2">
        <f t="shared" si="77"/>
        <v>42856</v>
      </c>
      <c r="F2147" s="1" t="s">
        <v>58</v>
      </c>
      <c r="G2147" s="1" t="s">
        <v>18</v>
      </c>
      <c r="H2147" s="1">
        <v>-1.75</v>
      </c>
      <c r="I2147" s="1">
        <v>1.82</v>
      </c>
      <c r="J2147" s="1">
        <v>0.15</v>
      </c>
      <c r="K2147" s="2">
        <v>43013</v>
      </c>
      <c r="L2147" s="1">
        <v>3716</v>
      </c>
      <c r="M2147" s="1">
        <v>3.88</v>
      </c>
      <c r="N2147" s="1">
        <v>0.76756999999999997</v>
      </c>
      <c r="O2147" s="3">
        <f>VLOOKUP(D2147,underlying!$D$40:$H$75,5,FALSE)</f>
        <v>-2.75</v>
      </c>
      <c r="P2147" s="4">
        <f t="shared" si="76"/>
        <v>42865</v>
      </c>
      <c r="Q2147" s="7">
        <f>IF(G2147="C",NormalCallSprd(O2147,H2147,M2147,(P2147-A2147)/365), NormalPutSprd(O2147,H2147,M2147,(P2147-A2147)/365))</f>
        <v>1.8254745927416292</v>
      </c>
      <c r="R2147" s="9">
        <f t="shared" si="78"/>
        <v>5.4745927416290918E-3</v>
      </c>
    </row>
    <row r="2148" spans="1:18" x14ac:dyDescent="0.2">
      <c r="A2148" s="2">
        <v>42622</v>
      </c>
      <c r="B2148" s="1" t="s">
        <v>56</v>
      </c>
      <c r="C2148" s="1" t="s">
        <v>57</v>
      </c>
      <c r="D2148" s="2">
        <v>42740</v>
      </c>
      <c r="E2148" s="2">
        <f t="shared" si="77"/>
        <v>42856</v>
      </c>
      <c r="F2148" s="1" t="s">
        <v>58</v>
      </c>
      <c r="G2148" s="1" t="s">
        <v>16</v>
      </c>
      <c r="H2148" s="1">
        <v>-1.5</v>
      </c>
      <c r="I2148" s="1">
        <v>0.74</v>
      </c>
      <c r="J2148" s="1">
        <v>-0.09</v>
      </c>
      <c r="K2148" s="2">
        <v>43013</v>
      </c>
      <c r="L2148" s="1">
        <v>3716</v>
      </c>
      <c r="M2148" s="1">
        <v>3.9</v>
      </c>
      <c r="N2148" s="1">
        <v>0.78581000000000001</v>
      </c>
      <c r="O2148" s="3">
        <f>VLOOKUP(D2148,underlying!$D$40:$H$75,5,FALSE)</f>
        <v>-2.75</v>
      </c>
      <c r="P2148" s="4">
        <f t="shared" si="76"/>
        <v>42865</v>
      </c>
      <c r="Q2148" s="7">
        <f>IF(G2148="C",NormalCallSprd(O2148,H2148,M2148,(P2148-A2148)/365), NormalPutSprd(O2148,H2148,M2148,(P2148-A2148)/365))</f>
        <v>0.74120006888340251</v>
      </c>
      <c r="R2148" s="9">
        <f t="shared" si="78"/>
        <v>1.2000688834025164E-3</v>
      </c>
    </row>
    <row r="2149" spans="1:18" x14ac:dyDescent="0.2">
      <c r="A2149" s="2">
        <v>42622</v>
      </c>
      <c r="B2149" s="1" t="s">
        <v>56</v>
      </c>
      <c r="C2149" s="1" t="s">
        <v>57</v>
      </c>
      <c r="D2149" s="2">
        <v>42740</v>
      </c>
      <c r="E2149" s="2">
        <f t="shared" si="77"/>
        <v>42856</v>
      </c>
      <c r="F2149" s="1" t="s">
        <v>58</v>
      </c>
      <c r="G2149" s="1" t="s">
        <v>18</v>
      </c>
      <c r="H2149" s="1">
        <v>-1.5</v>
      </c>
      <c r="I2149" s="1">
        <v>1.98</v>
      </c>
      <c r="J2149" s="1">
        <v>0.16</v>
      </c>
      <c r="K2149" s="2">
        <v>43013</v>
      </c>
      <c r="L2149" s="1">
        <v>3716</v>
      </c>
      <c r="M2149" s="1">
        <v>3.9</v>
      </c>
      <c r="N2149" s="1">
        <v>0.80313999999999997</v>
      </c>
      <c r="O2149" s="3">
        <f>VLOOKUP(D2149,underlying!$D$40:$H$75,5,FALSE)</f>
        <v>-2.75</v>
      </c>
      <c r="P2149" s="4">
        <f t="shared" si="76"/>
        <v>42865</v>
      </c>
      <c r="Q2149" s="7">
        <f>IF(G2149="C",NormalCallSprd(O2149,H2149,M2149,(P2149-A2149)/365), NormalPutSprd(O2149,H2149,M2149,(P2149-A2149)/365))</f>
        <v>1.9912000688834026</v>
      </c>
      <c r="R2149" s="9">
        <f t="shared" si="78"/>
        <v>1.1200068883402636E-2</v>
      </c>
    </row>
    <row r="2150" spans="1:18" x14ac:dyDescent="0.2">
      <c r="A2150" s="2">
        <v>42622</v>
      </c>
      <c r="B2150" s="1" t="s">
        <v>56</v>
      </c>
      <c r="C2150" s="1" t="s">
        <v>57</v>
      </c>
      <c r="D2150" s="2">
        <v>42740</v>
      </c>
      <c r="E2150" s="2">
        <f t="shared" si="77"/>
        <v>42856</v>
      </c>
      <c r="F2150" s="1" t="s">
        <v>58</v>
      </c>
      <c r="G2150" s="1" t="s">
        <v>16</v>
      </c>
      <c r="H2150" s="1">
        <v>-1.25</v>
      </c>
      <c r="I2150" s="1">
        <v>0.65</v>
      </c>
      <c r="J2150" s="1">
        <v>-0.09</v>
      </c>
      <c r="K2150" s="2">
        <v>43013</v>
      </c>
      <c r="L2150" s="1">
        <v>3716</v>
      </c>
      <c r="M2150" s="1">
        <v>3.88</v>
      </c>
      <c r="N2150" s="1">
        <v>0.81955</v>
      </c>
      <c r="O2150" s="3">
        <f>VLOOKUP(D2150,underlying!$D$40:$H$75,5,FALSE)</f>
        <v>-2.75</v>
      </c>
      <c r="P2150" s="4">
        <f t="shared" si="76"/>
        <v>42865</v>
      </c>
      <c r="Q2150" s="7">
        <f>IF(G2150="C",NormalCallSprd(O2150,H2150,M2150,(P2150-A2150)/365), NormalPutSprd(O2150,H2150,M2150,(P2150-A2150)/365))</f>
        <v>0.65215877219010221</v>
      </c>
      <c r="R2150" s="9">
        <f t="shared" si="78"/>
        <v>2.1587721901021872E-3</v>
      </c>
    </row>
    <row r="2151" spans="1:18" x14ac:dyDescent="0.2">
      <c r="A2151" s="2">
        <v>42622</v>
      </c>
      <c r="B2151" s="1" t="s">
        <v>56</v>
      </c>
      <c r="C2151" s="1" t="s">
        <v>57</v>
      </c>
      <c r="D2151" s="2">
        <v>42740</v>
      </c>
      <c r="E2151" s="2">
        <f t="shared" si="77"/>
        <v>42856</v>
      </c>
      <c r="F2151" s="1" t="s">
        <v>58</v>
      </c>
      <c r="G2151" s="1" t="s">
        <v>18</v>
      </c>
      <c r="H2151" s="1">
        <v>-1.25</v>
      </c>
      <c r="I2151" s="1">
        <v>2.14</v>
      </c>
      <c r="J2151" s="1">
        <v>0.15</v>
      </c>
      <c r="K2151" s="2">
        <v>43013</v>
      </c>
      <c r="L2151" s="1">
        <v>3716</v>
      </c>
      <c r="M2151" s="1">
        <v>3.88</v>
      </c>
      <c r="N2151" s="1">
        <v>0.83503000000000005</v>
      </c>
      <c r="O2151" s="3">
        <f>VLOOKUP(D2151,underlying!$D$40:$H$75,5,FALSE)</f>
        <v>-2.75</v>
      </c>
      <c r="P2151" s="4">
        <f t="shared" si="76"/>
        <v>42865</v>
      </c>
      <c r="Q2151" s="7">
        <f>IF(G2151="C",NormalCallSprd(O2151,H2151,M2151,(P2151-A2151)/365), NormalPutSprd(O2151,H2151,M2151,(P2151-A2151)/365))</f>
        <v>2.1521587721901021</v>
      </c>
      <c r="R2151" s="9">
        <f t="shared" si="78"/>
        <v>1.2158772190101974E-2</v>
      </c>
    </row>
    <row r="2152" spans="1:18" x14ac:dyDescent="0.2">
      <c r="A2152" s="2">
        <v>42622</v>
      </c>
      <c r="B2152" s="1" t="s">
        <v>56</v>
      </c>
      <c r="C2152" s="1" t="s">
        <v>57</v>
      </c>
      <c r="D2152" s="2">
        <v>42740</v>
      </c>
      <c r="E2152" s="2">
        <f t="shared" si="77"/>
        <v>42856</v>
      </c>
      <c r="F2152" s="1" t="s">
        <v>58</v>
      </c>
      <c r="G2152" s="1" t="s">
        <v>16</v>
      </c>
      <c r="H2152" s="1">
        <v>-1</v>
      </c>
      <c r="I2152" s="1">
        <v>0.57999999999999996</v>
      </c>
      <c r="J2152" s="1">
        <v>-7.0000000000000007E-2</v>
      </c>
      <c r="K2152" s="2">
        <v>43013</v>
      </c>
      <c r="L2152" s="1">
        <v>3716</v>
      </c>
      <c r="M2152" s="1">
        <v>3.89</v>
      </c>
      <c r="N2152" s="1">
        <v>0.84957000000000005</v>
      </c>
      <c r="O2152" s="3">
        <f>VLOOKUP(D2152,underlying!$D$40:$H$75,5,FALSE)</f>
        <v>-2.75</v>
      </c>
      <c r="P2152" s="4">
        <f t="shared" si="76"/>
        <v>42865</v>
      </c>
      <c r="Q2152" s="7">
        <f>IF(G2152="C",NormalCallSprd(O2152,H2152,M2152,(P2152-A2152)/365), NormalPutSprd(O2152,H2152,M2152,(P2152-A2152)/365))</f>
        <v>0.57897379852545672</v>
      </c>
      <c r="R2152" s="9">
        <f t="shared" si="78"/>
        <v>1.0262014745432424E-3</v>
      </c>
    </row>
    <row r="2153" spans="1:18" x14ac:dyDescent="0.2">
      <c r="A2153" s="2">
        <v>42622</v>
      </c>
      <c r="B2153" s="1" t="s">
        <v>56</v>
      </c>
      <c r="C2153" s="1" t="s">
        <v>57</v>
      </c>
      <c r="D2153" s="2">
        <v>42740</v>
      </c>
      <c r="E2153" s="2">
        <f t="shared" si="77"/>
        <v>42856</v>
      </c>
      <c r="F2153" s="1" t="s">
        <v>58</v>
      </c>
      <c r="G2153" s="1" t="s">
        <v>18</v>
      </c>
      <c r="H2153" s="1">
        <v>-1</v>
      </c>
      <c r="I2153" s="1">
        <v>2.3199999999999998</v>
      </c>
      <c r="J2153" s="1">
        <v>0.17</v>
      </c>
      <c r="K2153" s="2">
        <v>43013</v>
      </c>
      <c r="L2153" s="1">
        <v>3716</v>
      </c>
      <c r="M2153" s="1">
        <v>3.89</v>
      </c>
      <c r="N2153" s="1">
        <v>0.86317999999999995</v>
      </c>
      <c r="O2153" s="3">
        <f>VLOOKUP(D2153,underlying!$D$40:$H$75,5,FALSE)</f>
        <v>-2.75</v>
      </c>
      <c r="P2153" s="4">
        <f t="shared" si="76"/>
        <v>42865</v>
      </c>
      <c r="Q2153" s="7">
        <f>IF(G2153="C",NormalCallSprd(O2153,H2153,M2153,(P2153-A2153)/365), NormalPutSprd(O2153,H2153,M2153,(P2153-A2153)/365))</f>
        <v>2.3289737985254568</v>
      </c>
      <c r="R2153" s="9">
        <f t="shared" si="78"/>
        <v>8.9737985254569885E-3</v>
      </c>
    </row>
    <row r="2154" spans="1:18" x14ac:dyDescent="0.2">
      <c r="A2154" s="2">
        <v>42622</v>
      </c>
      <c r="B2154" s="1" t="s">
        <v>56</v>
      </c>
      <c r="C2154" s="1" t="s">
        <v>57</v>
      </c>
      <c r="D2154" s="2">
        <v>42740</v>
      </c>
      <c r="E2154" s="2">
        <f t="shared" si="77"/>
        <v>42856</v>
      </c>
      <c r="F2154" s="1" t="s">
        <v>58</v>
      </c>
      <c r="G2154" s="1" t="s">
        <v>16</v>
      </c>
      <c r="H2154" s="1">
        <v>-0.75</v>
      </c>
      <c r="I2154" s="1">
        <v>0.51</v>
      </c>
      <c r="J2154" s="1">
        <v>-7.0000000000000007E-2</v>
      </c>
      <c r="K2154" s="2">
        <v>43013</v>
      </c>
      <c r="L2154" s="1">
        <v>3716</v>
      </c>
      <c r="M2154" s="1">
        <v>3.89</v>
      </c>
      <c r="N2154" s="1">
        <v>0.90854999999999997</v>
      </c>
      <c r="O2154" s="3">
        <f>VLOOKUP(D2154,underlying!$D$40:$H$75,5,FALSE)</f>
        <v>-2.75</v>
      </c>
      <c r="P2154" s="4">
        <f t="shared" si="76"/>
        <v>42865</v>
      </c>
      <c r="Q2154" s="7">
        <f>IF(G2154="C",NormalCallSprd(O2154,H2154,M2154,(P2154-A2154)/365), NormalPutSprd(O2154,H2154,M2154,(P2154-A2154)/365))</f>
        <v>0.50962401837923943</v>
      </c>
      <c r="R2154" s="9">
        <f t="shared" si="78"/>
        <v>3.7598162076057928E-4</v>
      </c>
    </row>
    <row r="2155" spans="1:18" x14ac:dyDescent="0.2">
      <c r="A2155" s="2">
        <v>42622</v>
      </c>
      <c r="B2155" s="1" t="s">
        <v>56</v>
      </c>
      <c r="C2155" s="1" t="s">
        <v>57</v>
      </c>
      <c r="D2155" s="2">
        <v>42740</v>
      </c>
      <c r="E2155" s="2">
        <f t="shared" si="77"/>
        <v>42856</v>
      </c>
      <c r="F2155" s="1" t="s">
        <v>58</v>
      </c>
      <c r="G2155" s="1" t="s">
        <v>18</v>
      </c>
      <c r="H2155" s="1">
        <v>-0.75</v>
      </c>
      <c r="I2155" s="1">
        <v>2.5</v>
      </c>
      <c r="J2155" s="1">
        <v>0.18</v>
      </c>
      <c r="K2155" s="2">
        <v>43013</v>
      </c>
      <c r="L2155" s="1">
        <v>3716</v>
      </c>
      <c r="M2155" s="1">
        <v>3.89</v>
      </c>
      <c r="N2155" s="1">
        <v>0.94125999999999999</v>
      </c>
      <c r="O2155" s="3">
        <f>VLOOKUP(D2155,underlying!$D$40:$H$75,5,FALSE)</f>
        <v>-2.75</v>
      </c>
      <c r="P2155" s="4">
        <f t="shared" si="76"/>
        <v>42865</v>
      </c>
      <c r="Q2155" s="7">
        <f>IF(G2155="C",NormalCallSprd(O2155,H2155,M2155,(P2155-A2155)/365), NormalPutSprd(O2155,H2155,M2155,(P2155-A2155)/365))</f>
        <v>2.5096240183792395</v>
      </c>
      <c r="R2155" s="9">
        <f t="shared" si="78"/>
        <v>9.6240183792395406E-3</v>
      </c>
    </row>
    <row r="2156" spans="1:18" x14ac:dyDescent="0.2">
      <c r="A2156" s="2">
        <v>42622</v>
      </c>
      <c r="B2156" s="1" t="s">
        <v>56</v>
      </c>
      <c r="C2156" s="1" t="s">
        <v>57</v>
      </c>
      <c r="D2156" s="2">
        <v>42740</v>
      </c>
      <c r="E2156" s="2">
        <f t="shared" si="77"/>
        <v>42856</v>
      </c>
      <c r="F2156" s="1" t="s">
        <v>58</v>
      </c>
      <c r="G2156" s="1" t="s">
        <v>16</v>
      </c>
      <c r="H2156" s="1">
        <v>-0.5</v>
      </c>
      <c r="I2156" s="1">
        <v>0.45</v>
      </c>
      <c r="J2156" s="1">
        <v>-0.06</v>
      </c>
      <c r="K2156" s="2">
        <v>43013</v>
      </c>
      <c r="L2156" s="1">
        <v>3716</v>
      </c>
      <c r="M2156" s="1">
        <v>3.89</v>
      </c>
      <c r="N2156" s="1">
        <v>-0.70775999999999994</v>
      </c>
      <c r="O2156" s="3">
        <f>VLOOKUP(D2156,underlying!$D$40:$H$75,5,FALSE)</f>
        <v>-2.75</v>
      </c>
      <c r="P2156" s="4">
        <f t="shared" si="76"/>
        <v>42865</v>
      </c>
      <c r="Q2156" s="7">
        <f>IF(G2156="C",NormalCallSprd(O2156,H2156,M2156,(P2156-A2156)/365), NormalPutSprd(O2156,H2156,M2156,(P2156-A2156)/365))</f>
        <v>0.44671340493883266</v>
      </c>
      <c r="R2156" s="9">
        <f t="shared" si="78"/>
        <v>3.2865950611673522E-3</v>
      </c>
    </row>
    <row r="2157" spans="1:18" x14ac:dyDescent="0.2">
      <c r="A2157" s="2">
        <v>42622</v>
      </c>
      <c r="B2157" s="1" t="s">
        <v>56</v>
      </c>
      <c r="C2157" s="1" t="s">
        <v>57</v>
      </c>
      <c r="D2157" s="2">
        <v>42740</v>
      </c>
      <c r="E2157" s="2">
        <f t="shared" si="77"/>
        <v>42856</v>
      </c>
      <c r="F2157" s="1" t="s">
        <v>58</v>
      </c>
      <c r="G2157" s="1" t="s">
        <v>18</v>
      </c>
      <c r="H2157" s="1">
        <v>-0.5</v>
      </c>
      <c r="I2157" s="1">
        <v>2.69</v>
      </c>
      <c r="J2157" s="1">
        <v>0.19</v>
      </c>
      <c r="K2157" s="2">
        <v>43013</v>
      </c>
      <c r="L2157" s="1">
        <v>3716</v>
      </c>
      <c r="M2157" s="1">
        <v>3.89</v>
      </c>
      <c r="N2157" s="1">
        <v>-0.68725000000000003</v>
      </c>
      <c r="O2157" s="3">
        <f>VLOOKUP(D2157,underlying!$D$40:$H$75,5,FALSE)</f>
        <v>-2.75</v>
      </c>
      <c r="P2157" s="4">
        <f t="shared" si="76"/>
        <v>42865</v>
      </c>
      <c r="Q2157" s="7">
        <f>IF(G2157="C",NormalCallSprd(O2157,H2157,M2157,(P2157-A2157)/365), NormalPutSprd(O2157,H2157,M2157,(P2157-A2157)/365))</f>
        <v>2.6967134049388326</v>
      </c>
      <c r="R2157" s="9">
        <f t="shared" si="78"/>
        <v>6.7134049388326567E-3</v>
      </c>
    </row>
    <row r="2158" spans="1:18" x14ac:dyDescent="0.2">
      <c r="A2158" s="2">
        <v>42622</v>
      </c>
      <c r="B2158" s="1" t="s">
        <v>56</v>
      </c>
      <c r="C2158" s="1" t="s">
        <v>57</v>
      </c>
      <c r="D2158" s="2">
        <v>42740</v>
      </c>
      <c r="E2158" s="2">
        <f t="shared" si="77"/>
        <v>42856</v>
      </c>
      <c r="F2158" s="1" t="s">
        <v>58</v>
      </c>
      <c r="G2158" s="1" t="s">
        <v>16</v>
      </c>
      <c r="H2158" s="1">
        <v>-0.25</v>
      </c>
      <c r="I2158" s="1">
        <v>0.39</v>
      </c>
      <c r="J2158" s="1">
        <v>-0.06</v>
      </c>
      <c r="K2158" s="2">
        <v>43013</v>
      </c>
      <c r="L2158" s="1">
        <v>3716</v>
      </c>
      <c r="M2158" s="1">
        <v>3.89</v>
      </c>
      <c r="N2158" s="1">
        <v>-0.66410000000000002</v>
      </c>
      <c r="O2158" s="3">
        <f>VLOOKUP(D2158,underlying!$D$40:$H$75,5,FALSE)</f>
        <v>-2.75</v>
      </c>
      <c r="P2158" s="4">
        <f t="shared" si="76"/>
        <v>42865</v>
      </c>
      <c r="Q2158" s="7">
        <f>IF(G2158="C",NormalCallSprd(O2158,H2158,M2158,(P2158-A2158)/365), NormalPutSprd(O2158,H2158,M2158,(P2158-A2158)/365))</f>
        <v>0.3899115291880012</v>
      </c>
      <c r="R2158" s="9">
        <f t="shared" si="78"/>
        <v>8.8470811998808685E-5</v>
      </c>
    </row>
    <row r="2159" spans="1:18" x14ac:dyDescent="0.2">
      <c r="A2159" s="2">
        <v>42622</v>
      </c>
      <c r="B2159" s="1" t="s">
        <v>56</v>
      </c>
      <c r="C2159" s="1" t="s">
        <v>57</v>
      </c>
      <c r="D2159" s="2">
        <v>42740</v>
      </c>
      <c r="E2159" s="2">
        <f t="shared" si="77"/>
        <v>42856</v>
      </c>
      <c r="F2159" s="1" t="s">
        <v>58</v>
      </c>
      <c r="G2159" s="1" t="s">
        <v>18</v>
      </c>
      <c r="H2159" s="1">
        <v>-0.25</v>
      </c>
      <c r="I2159" s="1">
        <v>2.88</v>
      </c>
      <c r="J2159" s="1">
        <v>0.19</v>
      </c>
      <c r="K2159" s="2">
        <v>43013</v>
      </c>
      <c r="L2159" s="1">
        <v>3716</v>
      </c>
      <c r="M2159" s="1">
        <v>3.89</v>
      </c>
      <c r="N2159" s="1">
        <v>-0.64209000000000005</v>
      </c>
      <c r="O2159" s="3">
        <f>VLOOKUP(D2159,underlying!$D$40:$H$75,5,FALSE)</f>
        <v>-2.75</v>
      </c>
      <c r="P2159" s="4">
        <f t="shared" si="76"/>
        <v>42865</v>
      </c>
      <c r="Q2159" s="7">
        <f>IF(G2159="C",NormalCallSprd(O2159,H2159,M2159,(P2159-A2159)/365), NormalPutSprd(O2159,H2159,M2159,(P2159-A2159)/365))</f>
        <v>2.8899115291880011</v>
      </c>
      <c r="R2159" s="9">
        <f t="shared" si="78"/>
        <v>9.9115291880012002E-3</v>
      </c>
    </row>
    <row r="2160" spans="1:18" x14ac:dyDescent="0.2">
      <c r="A2160" s="2">
        <v>42622</v>
      </c>
      <c r="B2160" s="1" t="s">
        <v>56</v>
      </c>
      <c r="C2160" s="1" t="s">
        <v>57</v>
      </c>
      <c r="D2160" s="2">
        <v>42741</v>
      </c>
      <c r="E2160" s="2">
        <f t="shared" si="77"/>
        <v>42887</v>
      </c>
      <c r="F2160" s="1" t="s">
        <v>58</v>
      </c>
      <c r="G2160" s="1" t="s">
        <v>16</v>
      </c>
      <c r="H2160" s="1">
        <v>-11</v>
      </c>
      <c r="I2160" s="1">
        <v>7.24</v>
      </c>
      <c r="J2160" s="1">
        <v>-0.24</v>
      </c>
      <c r="K2160" s="2">
        <v>42984</v>
      </c>
      <c r="L2160" s="1">
        <v>3716</v>
      </c>
      <c r="M2160" s="1">
        <v>3.84</v>
      </c>
      <c r="N2160" s="1">
        <v>-0.61797999999999997</v>
      </c>
      <c r="O2160" s="3">
        <f>VLOOKUP(D2160,underlying!$D$40:$H$75,5,FALSE)</f>
        <v>-3.75</v>
      </c>
      <c r="P2160" s="4">
        <f t="shared" si="76"/>
        <v>42895</v>
      </c>
      <c r="Q2160" s="7">
        <f>IF(G2160="C",NormalCallSprd(O2160,H2160,M2160,(P2160-A2160)/365), NormalPutSprd(O2160,H2160,M2160,(P2160-A2160)/365))</f>
        <v>7.2670274313738314</v>
      </c>
      <c r="R2160" s="9">
        <f t="shared" si="78"/>
        <v>2.7027431373831234E-2</v>
      </c>
    </row>
    <row r="2161" spans="1:18" x14ac:dyDescent="0.2">
      <c r="A2161" s="2">
        <v>42622</v>
      </c>
      <c r="B2161" s="1" t="s">
        <v>56</v>
      </c>
      <c r="C2161" s="1" t="s">
        <v>57</v>
      </c>
      <c r="D2161" s="2">
        <v>42741</v>
      </c>
      <c r="E2161" s="2">
        <f t="shared" si="77"/>
        <v>42887</v>
      </c>
      <c r="F2161" s="1" t="s">
        <v>58</v>
      </c>
      <c r="G2161" s="1" t="s">
        <v>18</v>
      </c>
      <c r="H2161" s="1">
        <v>-11</v>
      </c>
      <c r="I2161" s="1">
        <v>0.02</v>
      </c>
      <c r="J2161" s="1">
        <v>0.01</v>
      </c>
      <c r="K2161" s="2">
        <v>42984</v>
      </c>
      <c r="L2161" s="1">
        <v>3716</v>
      </c>
      <c r="M2161" s="1">
        <v>3.84</v>
      </c>
      <c r="N2161" s="1">
        <v>-0.59474000000000005</v>
      </c>
      <c r="O2161" s="3">
        <f>VLOOKUP(D2161,underlying!$D$40:$H$75,5,FALSE)</f>
        <v>-3.75</v>
      </c>
      <c r="P2161" s="4">
        <f t="shared" si="76"/>
        <v>42895</v>
      </c>
      <c r="Q2161" s="7">
        <f>IF(G2161="C",NormalCallSprd(O2161,H2161,M2161,(P2161-A2161)/365), NormalPutSprd(O2161,H2161,M2161,(P2161-A2161)/365))</f>
        <v>1.7027431373831343E-2</v>
      </c>
      <c r="R2161" s="9">
        <f t="shared" si="78"/>
        <v>2.9725686261686569E-3</v>
      </c>
    </row>
    <row r="2162" spans="1:18" x14ac:dyDescent="0.2">
      <c r="A2162" s="2">
        <v>42622</v>
      </c>
      <c r="B2162" s="1" t="s">
        <v>56</v>
      </c>
      <c r="C2162" s="1" t="s">
        <v>57</v>
      </c>
      <c r="D2162" s="2">
        <v>42741</v>
      </c>
      <c r="E2162" s="2">
        <f t="shared" si="77"/>
        <v>42887</v>
      </c>
      <c r="F2162" s="1" t="s">
        <v>58</v>
      </c>
      <c r="G2162" s="1" t="s">
        <v>16</v>
      </c>
      <c r="H2162" s="1">
        <v>-10</v>
      </c>
      <c r="I2162" s="1">
        <v>6.26</v>
      </c>
      <c r="J2162" s="1">
        <v>-0.25</v>
      </c>
      <c r="K2162" s="2">
        <v>42984</v>
      </c>
      <c r="L2162" s="1">
        <v>3716</v>
      </c>
      <c r="M2162" s="1">
        <v>3.84</v>
      </c>
      <c r="N2162" s="1">
        <v>-0.57023999999999997</v>
      </c>
      <c r="O2162" s="3">
        <f>VLOOKUP(D2162,underlying!$D$40:$H$75,5,FALSE)</f>
        <v>-3.75</v>
      </c>
      <c r="P2162" s="4">
        <f t="shared" si="76"/>
        <v>42895</v>
      </c>
      <c r="Q2162" s="7">
        <f>IF(G2162="C",NormalCallSprd(O2162,H2162,M2162,(P2162-A2162)/365), NormalPutSprd(O2162,H2162,M2162,(P2162-A2162)/365))</f>
        <v>6.2884660422694347</v>
      </c>
      <c r="R2162" s="9">
        <f t="shared" si="78"/>
        <v>2.8466042269434944E-2</v>
      </c>
    </row>
    <row r="2163" spans="1:18" x14ac:dyDescent="0.2">
      <c r="A2163" s="2">
        <v>42622</v>
      </c>
      <c r="B2163" s="1" t="s">
        <v>56</v>
      </c>
      <c r="C2163" s="1" t="s">
        <v>57</v>
      </c>
      <c r="D2163" s="2">
        <v>42741</v>
      </c>
      <c r="E2163" s="2">
        <f t="shared" si="77"/>
        <v>42887</v>
      </c>
      <c r="F2163" s="1" t="s">
        <v>58</v>
      </c>
      <c r="G2163" s="1" t="s">
        <v>18</v>
      </c>
      <c r="H2163" s="1">
        <v>-10</v>
      </c>
      <c r="I2163" s="1">
        <v>0.04</v>
      </c>
      <c r="J2163" s="1">
        <v>0.01</v>
      </c>
      <c r="K2163" s="2">
        <v>42984</v>
      </c>
      <c r="L2163" s="1">
        <v>3716</v>
      </c>
      <c r="M2163" s="1">
        <v>3.84</v>
      </c>
      <c r="N2163" s="1">
        <v>-0.54571999999999998</v>
      </c>
      <c r="O2163" s="3">
        <f>VLOOKUP(D2163,underlying!$D$40:$H$75,5,FALSE)</f>
        <v>-3.75</v>
      </c>
      <c r="P2163" s="4">
        <f t="shared" si="76"/>
        <v>42895</v>
      </c>
      <c r="Q2163" s="7">
        <f>IF(G2163="C",NormalCallSprd(O2163,H2163,M2163,(P2163-A2163)/365), NormalPutSprd(O2163,H2163,M2163,(P2163-A2163)/365))</f>
        <v>3.8466042269434821E-2</v>
      </c>
      <c r="R2163" s="9">
        <f t="shared" si="78"/>
        <v>1.5339577305651803E-3</v>
      </c>
    </row>
    <row r="2164" spans="1:18" x14ac:dyDescent="0.2">
      <c r="A2164" s="2">
        <v>42622</v>
      </c>
      <c r="B2164" s="1" t="s">
        <v>56</v>
      </c>
      <c r="C2164" s="1" t="s">
        <v>57</v>
      </c>
      <c r="D2164" s="2">
        <v>42741</v>
      </c>
      <c r="E2164" s="2">
        <f t="shared" si="77"/>
        <v>42887</v>
      </c>
      <c r="F2164" s="1" t="s">
        <v>58</v>
      </c>
      <c r="G2164" s="1" t="s">
        <v>16</v>
      </c>
      <c r="H2164" s="1">
        <v>-9</v>
      </c>
      <c r="I2164" s="1">
        <v>5.31</v>
      </c>
      <c r="J2164" s="1">
        <v>-0.24</v>
      </c>
      <c r="K2164" s="2">
        <v>42984</v>
      </c>
      <c r="L2164" s="1">
        <v>3716</v>
      </c>
      <c r="M2164" s="1">
        <v>3.84</v>
      </c>
      <c r="N2164" s="1">
        <v>-0.52095000000000002</v>
      </c>
      <c r="O2164" s="3">
        <f>VLOOKUP(D2164,underlying!$D$40:$H$75,5,FALSE)</f>
        <v>-3.75</v>
      </c>
      <c r="P2164" s="4">
        <f t="shared" si="76"/>
        <v>42895</v>
      </c>
      <c r="Q2164" s="7">
        <f>IF(G2164="C",NormalCallSprd(O2164,H2164,M2164,(P2164-A2164)/365), NormalPutSprd(O2164,H2164,M2164,(P2164-A2164)/365))</f>
        <v>5.3307376408485423</v>
      </c>
      <c r="R2164" s="9">
        <f t="shared" si="78"/>
        <v>2.0737640848542682E-2</v>
      </c>
    </row>
    <row r="2165" spans="1:18" x14ac:dyDescent="0.2">
      <c r="A2165" s="2">
        <v>42622</v>
      </c>
      <c r="B2165" s="1" t="s">
        <v>56</v>
      </c>
      <c r="C2165" s="1" t="s">
        <v>57</v>
      </c>
      <c r="D2165" s="2">
        <v>42741</v>
      </c>
      <c r="E2165" s="2">
        <f t="shared" si="77"/>
        <v>42887</v>
      </c>
      <c r="F2165" s="1" t="s">
        <v>58</v>
      </c>
      <c r="G2165" s="1" t="s">
        <v>18</v>
      </c>
      <c r="H2165" s="1">
        <v>-9</v>
      </c>
      <c r="I2165" s="1">
        <v>0.08</v>
      </c>
      <c r="J2165" s="1">
        <v>0.01</v>
      </c>
      <c r="K2165" s="2">
        <v>42984</v>
      </c>
      <c r="L2165" s="1">
        <v>3716</v>
      </c>
      <c r="M2165" s="1">
        <v>3.84</v>
      </c>
      <c r="N2165" s="1">
        <v>-0.49620999999999998</v>
      </c>
      <c r="O2165" s="3">
        <f>VLOOKUP(D2165,underlying!$D$40:$H$75,5,FALSE)</f>
        <v>-3.75</v>
      </c>
      <c r="P2165" s="4">
        <f t="shared" si="76"/>
        <v>42895</v>
      </c>
      <c r="Q2165" s="7">
        <f>IF(G2165="C",NormalCallSprd(O2165,H2165,M2165,(P2165-A2165)/365), NormalPutSprd(O2165,H2165,M2165,(P2165-A2165)/365))</f>
        <v>8.0737640848542153E-2</v>
      </c>
      <c r="R2165" s="9">
        <f t="shared" si="78"/>
        <v>7.3764084854215095E-4</v>
      </c>
    </row>
    <row r="2166" spans="1:18" x14ac:dyDescent="0.2">
      <c r="A2166" s="2">
        <v>42622</v>
      </c>
      <c r="B2166" s="1" t="s">
        <v>56</v>
      </c>
      <c r="C2166" s="1" t="s">
        <v>57</v>
      </c>
      <c r="D2166" s="2">
        <v>42741</v>
      </c>
      <c r="E2166" s="2">
        <f t="shared" si="77"/>
        <v>42887</v>
      </c>
      <c r="F2166" s="1" t="s">
        <v>58</v>
      </c>
      <c r="G2166" s="1" t="s">
        <v>16</v>
      </c>
      <c r="H2166" s="1">
        <v>-8.25</v>
      </c>
      <c r="I2166" s="1">
        <v>4.62</v>
      </c>
      <c r="J2166" s="1">
        <v>-0.23</v>
      </c>
      <c r="K2166" s="2">
        <v>42984</v>
      </c>
      <c r="L2166" s="1">
        <v>3716</v>
      </c>
      <c r="M2166" s="1">
        <v>3.84</v>
      </c>
      <c r="N2166" s="1">
        <v>-0.47148000000000001</v>
      </c>
      <c r="O2166" s="3">
        <f>VLOOKUP(D2166,underlying!$D$40:$H$75,5,FALSE)</f>
        <v>-3.75</v>
      </c>
      <c r="P2166" s="4">
        <f t="shared" si="76"/>
        <v>42895</v>
      </c>
      <c r="Q2166" s="7">
        <f>IF(G2166="C",NormalCallSprd(O2166,H2166,M2166,(P2166-A2166)/365), NormalPutSprd(O2166,H2166,M2166,(P2166-A2166)/365))</f>
        <v>4.6343503856168358</v>
      </c>
      <c r="R2166" s="9">
        <f t="shared" si="78"/>
        <v>1.4350385616835659E-2</v>
      </c>
    </row>
    <row r="2167" spans="1:18" x14ac:dyDescent="0.2">
      <c r="A2167" s="2">
        <v>42622</v>
      </c>
      <c r="B2167" s="1" t="s">
        <v>56</v>
      </c>
      <c r="C2167" s="1" t="s">
        <v>57</v>
      </c>
      <c r="D2167" s="2">
        <v>42741</v>
      </c>
      <c r="E2167" s="2">
        <f t="shared" si="77"/>
        <v>42887</v>
      </c>
      <c r="F2167" s="1" t="s">
        <v>58</v>
      </c>
      <c r="G2167" s="1" t="s">
        <v>18</v>
      </c>
      <c r="H2167" s="1">
        <v>-8.25</v>
      </c>
      <c r="I2167" s="1">
        <v>0.13</v>
      </c>
      <c r="J2167" s="1">
        <v>0.02</v>
      </c>
      <c r="K2167" s="2">
        <v>42984</v>
      </c>
      <c r="L2167" s="1">
        <v>3716</v>
      </c>
      <c r="M2167" s="1">
        <v>3.84</v>
      </c>
      <c r="N2167" s="1">
        <v>-0.44669999999999999</v>
      </c>
      <c r="O2167" s="3">
        <f>VLOOKUP(D2167,underlying!$D$40:$H$75,5,FALSE)</f>
        <v>-3.75</v>
      </c>
      <c r="P2167" s="4">
        <f t="shared" si="76"/>
        <v>42895</v>
      </c>
      <c r="Q2167" s="7">
        <f>IF(G2167="C",NormalCallSprd(O2167,H2167,M2167,(P2167-A2167)/365), NormalPutSprd(O2167,H2167,M2167,(P2167-A2167)/365))</f>
        <v>0.13435038561683604</v>
      </c>
      <c r="R2167" s="9">
        <f t="shared" si="78"/>
        <v>4.3503856168360389E-3</v>
      </c>
    </row>
    <row r="2168" spans="1:18" x14ac:dyDescent="0.2">
      <c r="A2168" s="2">
        <v>42622</v>
      </c>
      <c r="B2168" s="1" t="s">
        <v>56</v>
      </c>
      <c r="C2168" s="1" t="s">
        <v>57</v>
      </c>
      <c r="D2168" s="2">
        <v>42741</v>
      </c>
      <c r="E2168" s="2">
        <f t="shared" si="77"/>
        <v>42887</v>
      </c>
      <c r="F2168" s="1" t="s">
        <v>58</v>
      </c>
      <c r="G2168" s="1" t="s">
        <v>16</v>
      </c>
      <c r="H2168" s="1">
        <v>-8</v>
      </c>
      <c r="I2168" s="1">
        <v>4.3899999999999997</v>
      </c>
      <c r="J2168" s="1">
        <v>-0.23</v>
      </c>
      <c r="K2168" s="2">
        <v>42984</v>
      </c>
      <c r="L2168" s="1">
        <v>3716</v>
      </c>
      <c r="M2168" s="1">
        <v>3.84</v>
      </c>
      <c r="N2168" s="1">
        <v>-0.42219000000000001</v>
      </c>
      <c r="O2168" s="3">
        <f>VLOOKUP(D2168,underlying!$D$40:$H$75,5,FALSE)</f>
        <v>-3.75</v>
      </c>
      <c r="P2168" s="4">
        <f t="shared" si="76"/>
        <v>42895</v>
      </c>
      <c r="Q2168" s="7">
        <f>IF(G2168="C",NormalCallSprd(O2168,H2168,M2168,(P2168-A2168)/365), NormalPutSprd(O2168,H2168,M2168,(P2168-A2168)/365))</f>
        <v>4.4078272102405949</v>
      </c>
      <c r="R2168" s="9">
        <f t="shared" si="78"/>
        <v>1.7827210240595193E-2</v>
      </c>
    </row>
    <row r="2169" spans="1:18" x14ac:dyDescent="0.2">
      <c r="A2169" s="2">
        <v>42622</v>
      </c>
      <c r="B2169" s="1" t="s">
        <v>56</v>
      </c>
      <c r="C2169" s="1" t="s">
        <v>57</v>
      </c>
      <c r="D2169" s="2">
        <v>42741</v>
      </c>
      <c r="E2169" s="2">
        <f t="shared" si="77"/>
        <v>42887</v>
      </c>
      <c r="F2169" s="1" t="s">
        <v>58</v>
      </c>
      <c r="G2169" s="1" t="s">
        <v>18</v>
      </c>
      <c r="H2169" s="1">
        <v>-8</v>
      </c>
      <c r="I2169" s="1">
        <v>0.16</v>
      </c>
      <c r="J2169" s="1">
        <v>0.03</v>
      </c>
      <c r="K2169" s="2">
        <v>42984</v>
      </c>
      <c r="L2169" s="1">
        <v>3716</v>
      </c>
      <c r="M2169" s="1">
        <v>3.84</v>
      </c>
      <c r="N2169" s="1">
        <v>-0.39768999999999999</v>
      </c>
      <c r="O2169" s="3">
        <f>VLOOKUP(D2169,underlying!$D$40:$H$75,5,FALSE)</f>
        <v>-3.75</v>
      </c>
      <c r="P2169" s="4">
        <f t="shared" ref="P2169:P2232" si="79">DATE(YEAR(K2169),DAY(K2169),MONTH(K2169))</f>
        <v>42895</v>
      </c>
      <c r="Q2169" s="7">
        <f>IF(G2169="C",NormalCallSprd(O2169,H2169,M2169,(P2169-A2169)/365), NormalPutSprd(O2169,H2169,M2169,(P2169-A2169)/365))</f>
        <v>0.15782721024059465</v>
      </c>
      <c r="R2169" s="9">
        <f t="shared" si="78"/>
        <v>2.1727897594053525E-3</v>
      </c>
    </row>
    <row r="2170" spans="1:18" x14ac:dyDescent="0.2">
      <c r="A2170" s="2">
        <v>42622</v>
      </c>
      <c r="B2170" s="1" t="s">
        <v>56</v>
      </c>
      <c r="C2170" s="1" t="s">
        <v>57</v>
      </c>
      <c r="D2170" s="2">
        <v>42741</v>
      </c>
      <c r="E2170" s="2">
        <f t="shared" si="77"/>
        <v>42887</v>
      </c>
      <c r="F2170" s="1" t="s">
        <v>58</v>
      </c>
      <c r="G2170" s="1" t="s">
        <v>16</v>
      </c>
      <c r="H2170" s="1">
        <v>-7.75</v>
      </c>
      <c r="I2170" s="1">
        <v>4.17</v>
      </c>
      <c r="J2170" s="1">
        <v>-0.22</v>
      </c>
      <c r="K2170" s="2">
        <v>42984</v>
      </c>
      <c r="L2170" s="1">
        <v>3716</v>
      </c>
      <c r="M2170" s="1">
        <v>3.84</v>
      </c>
      <c r="N2170" s="1">
        <v>-0.37444</v>
      </c>
      <c r="O2170" s="3">
        <f>VLOOKUP(D2170,underlying!$D$40:$H$75,5,FALSE)</f>
        <v>-3.75</v>
      </c>
      <c r="P2170" s="4">
        <f t="shared" si="79"/>
        <v>42895</v>
      </c>
      <c r="Q2170" s="7">
        <f>IF(G2170="C",NormalCallSprd(O2170,H2170,M2170,(P2170-A2170)/365), NormalPutSprd(O2170,H2170,M2170,(P2170-A2170)/365))</f>
        <v>4.1846155238194891</v>
      </c>
      <c r="R2170" s="9">
        <f t="shared" si="78"/>
        <v>1.4615523819489162E-2</v>
      </c>
    </row>
    <row r="2171" spans="1:18" x14ac:dyDescent="0.2">
      <c r="A2171" s="2">
        <v>42622</v>
      </c>
      <c r="B2171" s="1" t="s">
        <v>56</v>
      </c>
      <c r="C2171" s="1" t="s">
        <v>57</v>
      </c>
      <c r="D2171" s="2">
        <v>42741</v>
      </c>
      <c r="E2171" s="2">
        <f t="shared" si="77"/>
        <v>42887</v>
      </c>
      <c r="F2171" s="1" t="s">
        <v>58</v>
      </c>
      <c r="G2171" s="1" t="s">
        <v>18</v>
      </c>
      <c r="H2171" s="1">
        <v>-7.75</v>
      </c>
      <c r="I2171" s="1">
        <v>0.18</v>
      </c>
      <c r="J2171" s="1">
        <v>0.02</v>
      </c>
      <c r="K2171" s="2">
        <v>42984</v>
      </c>
      <c r="L2171" s="1">
        <v>3716</v>
      </c>
      <c r="M2171" s="1">
        <v>3.84</v>
      </c>
      <c r="N2171" s="1">
        <v>-0.35033999999999998</v>
      </c>
      <c r="O2171" s="3">
        <f>VLOOKUP(D2171,underlying!$D$40:$H$75,5,FALSE)</f>
        <v>-3.75</v>
      </c>
      <c r="P2171" s="4">
        <f t="shared" si="79"/>
        <v>42895</v>
      </c>
      <c r="Q2171" s="7">
        <f>IF(G2171="C",NormalCallSprd(O2171,H2171,M2171,(P2171-A2171)/365), NormalPutSprd(O2171,H2171,M2171,(P2171-A2171)/365))</f>
        <v>0.18461552381948942</v>
      </c>
      <c r="R2171" s="9">
        <f t="shared" si="78"/>
        <v>4.615523819489431E-3</v>
      </c>
    </row>
    <row r="2172" spans="1:18" x14ac:dyDescent="0.2">
      <c r="A2172" s="2">
        <v>42622</v>
      </c>
      <c r="B2172" s="1" t="s">
        <v>56</v>
      </c>
      <c r="C2172" s="1" t="s">
        <v>57</v>
      </c>
      <c r="D2172" s="2">
        <v>42741</v>
      </c>
      <c r="E2172" s="2">
        <f t="shared" si="77"/>
        <v>42887</v>
      </c>
      <c r="F2172" s="1" t="s">
        <v>58</v>
      </c>
      <c r="G2172" s="1" t="s">
        <v>16</v>
      </c>
      <c r="H2172" s="1">
        <v>-7.5</v>
      </c>
      <c r="I2172" s="1">
        <v>3.95</v>
      </c>
      <c r="J2172" s="1">
        <v>-0.22</v>
      </c>
      <c r="K2172" s="2">
        <v>42984</v>
      </c>
      <c r="L2172" s="1">
        <v>3716</v>
      </c>
      <c r="M2172" s="1">
        <v>3.84</v>
      </c>
      <c r="N2172" s="1">
        <v>-0.32833000000000001</v>
      </c>
      <c r="O2172" s="3">
        <f>VLOOKUP(D2172,underlying!$D$40:$H$75,5,FALSE)</f>
        <v>-3.75</v>
      </c>
      <c r="P2172" s="4">
        <f t="shared" si="79"/>
        <v>42895</v>
      </c>
      <c r="Q2172" s="7">
        <f>IF(G2172="C",NormalCallSprd(O2172,H2172,M2172,(P2172-A2172)/365), NormalPutSprd(O2172,H2172,M2172,(P2172-A2172)/365))</f>
        <v>3.9650395822925644</v>
      </c>
      <c r="R2172" s="9">
        <f t="shared" si="78"/>
        <v>1.5039582292564191E-2</v>
      </c>
    </row>
    <row r="2173" spans="1:18" x14ac:dyDescent="0.2">
      <c r="A2173" s="2">
        <v>42622</v>
      </c>
      <c r="B2173" s="1" t="s">
        <v>56</v>
      </c>
      <c r="C2173" s="1" t="s">
        <v>57</v>
      </c>
      <c r="D2173" s="2">
        <v>42741</v>
      </c>
      <c r="E2173" s="2">
        <f t="shared" si="77"/>
        <v>42887</v>
      </c>
      <c r="F2173" s="1" t="s">
        <v>58</v>
      </c>
      <c r="G2173" s="1" t="s">
        <v>18</v>
      </c>
      <c r="H2173" s="1">
        <v>-7.5</v>
      </c>
      <c r="I2173" s="1">
        <v>0.21</v>
      </c>
      <c r="J2173" s="1">
        <v>0.02</v>
      </c>
      <c r="K2173" s="2">
        <v>42984</v>
      </c>
      <c r="L2173" s="1">
        <v>3716</v>
      </c>
      <c r="M2173" s="1">
        <v>3.84</v>
      </c>
      <c r="N2173" s="1">
        <v>-0.30517</v>
      </c>
      <c r="O2173" s="3">
        <f>VLOOKUP(D2173,underlying!$D$40:$H$75,5,FALSE)</f>
        <v>-3.75</v>
      </c>
      <c r="P2173" s="4">
        <f t="shared" si="79"/>
        <v>42895</v>
      </c>
      <c r="Q2173" s="7">
        <f>IF(G2173="C",NormalCallSprd(O2173,H2173,M2173,(P2173-A2173)/365), NormalPutSprd(O2173,H2173,M2173,(P2173-A2173)/365))</f>
        <v>0.21503958229256406</v>
      </c>
      <c r="R2173" s="9">
        <f t="shared" si="78"/>
        <v>5.039582292564071E-3</v>
      </c>
    </row>
    <row r="2174" spans="1:18" x14ac:dyDescent="0.2">
      <c r="A2174" s="2">
        <v>42622</v>
      </c>
      <c r="B2174" s="1" t="s">
        <v>56</v>
      </c>
      <c r="C2174" s="1" t="s">
        <v>57</v>
      </c>
      <c r="D2174" s="2">
        <v>42741</v>
      </c>
      <c r="E2174" s="2">
        <f t="shared" si="77"/>
        <v>42887</v>
      </c>
      <c r="F2174" s="1" t="s">
        <v>58</v>
      </c>
      <c r="G2174" s="1" t="s">
        <v>16</v>
      </c>
      <c r="H2174" s="1">
        <v>-7.25</v>
      </c>
      <c r="I2174" s="1">
        <v>3.74</v>
      </c>
      <c r="J2174" s="1">
        <v>-0.21</v>
      </c>
      <c r="K2174" s="2">
        <v>42984</v>
      </c>
      <c r="L2174" s="1">
        <v>3716</v>
      </c>
      <c r="M2174" s="1">
        <v>3.85</v>
      </c>
      <c r="N2174" s="1">
        <v>-0.28466999999999998</v>
      </c>
      <c r="O2174" s="3">
        <f>VLOOKUP(D2174,underlying!$D$40:$H$75,5,FALSE)</f>
        <v>-3.75</v>
      </c>
      <c r="P2174" s="4">
        <f t="shared" si="79"/>
        <v>42895</v>
      </c>
      <c r="Q2174" s="7">
        <f>IF(G2174="C",NormalCallSprd(O2174,H2174,M2174,(P2174-A2174)/365), NormalPutSprd(O2174,H2174,M2174,(P2174-A2174)/365))</f>
        <v>3.7514156714780751</v>
      </c>
      <c r="R2174" s="9">
        <f t="shared" si="78"/>
        <v>1.1415671478074874E-2</v>
      </c>
    </row>
    <row r="2175" spans="1:18" x14ac:dyDescent="0.2">
      <c r="A2175" s="2">
        <v>42622</v>
      </c>
      <c r="B2175" s="1" t="s">
        <v>56</v>
      </c>
      <c r="C2175" s="1" t="s">
        <v>57</v>
      </c>
      <c r="D2175" s="2">
        <v>42741</v>
      </c>
      <c r="E2175" s="2">
        <f t="shared" si="77"/>
        <v>42887</v>
      </c>
      <c r="F2175" s="1" t="s">
        <v>58</v>
      </c>
      <c r="G2175" s="1" t="s">
        <v>18</v>
      </c>
      <c r="H2175" s="1">
        <v>-7.25</v>
      </c>
      <c r="I2175" s="1">
        <v>0.25</v>
      </c>
      <c r="J2175" s="1">
        <v>0.03</v>
      </c>
      <c r="K2175" s="2">
        <v>42984</v>
      </c>
      <c r="L2175" s="1">
        <v>3716</v>
      </c>
      <c r="M2175" s="1">
        <v>3.85</v>
      </c>
      <c r="N2175" s="1">
        <v>-0.26391999999999999</v>
      </c>
      <c r="O2175" s="3">
        <f>VLOOKUP(D2175,underlying!$D$40:$H$75,5,FALSE)</f>
        <v>-3.75</v>
      </c>
      <c r="P2175" s="4">
        <f t="shared" si="79"/>
        <v>42895</v>
      </c>
      <c r="Q2175" s="7">
        <f>IF(G2175="C",NormalCallSprd(O2175,H2175,M2175,(P2175-A2175)/365), NormalPutSprd(O2175,H2175,M2175,(P2175-A2175)/365))</f>
        <v>0.25141567147807509</v>
      </c>
      <c r="R2175" s="9">
        <f t="shared" si="78"/>
        <v>1.4156714780750868E-3</v>
      </c>
    </row>
    <row r="2176" spans="1:18" x14ac:dyDescent="0.2">
      <c r="A2176" s="2">
        <v>42622</v>
      </c>
      <c r="B2176" s="1" t="s">
        <v>56</v>
      </c>
      <c r="C2176" s="1" t="s">
        <v>57</v>
      </c>
      <c r="D2176" s="2">
        <v>42741</v>
      </c>
      <c r="E2176" s="2">
        <f t="shared" si="77"/>
        <v>42887</v>
      </c>
      <c r="F2176" s="1" t="s">
        <v>58</v>
      </c>
      <c r="G2176" s="1" t="s">
        <v>16</v>
      </c>
      <c r="H2176" s="1">
        <v>-7</v>
      </c>
      <c r="I2176" s="1">
        <v>3.53</v>
      </c>
      <c r="J2176" s="1">
        <v>-0.21</v>
      </c>
      <c r="K2176" s="2">
        <v>42984</v>
      </c>
      <c r="L2176" s="1">
        <v>3716</v>
      </c>
      <c r="M2176" s="1">
        <v>3.85</v>
      </c>
      <c r="N2176" s="1">
        <v>-0.24396999999999999</v>
      </c>
      <c r="O2176" s="3">
        <f>VLOOKUP(D2176,underlying!$D$40:$H$75,5,FALSE)</f>
        <v>-3.75</v>
      </c>
      <c r="P2176" s="4">
        <f t="shared" si="79"/>
        <v>42895</v>
      </c>
      <c r="Q2176" s="7">
        <f>IF(G2176="C",NormalCallSprd(O2176,H2176,M2176,(P2176-A2176)/365), NormalPutSprd(O2176,H2176,M2176,(P2176-A2176)/365))</f>
        <v>3.5402749745160875</v>
      </c>
      <c r="R2176" s="9">
        <f t="shared" si="78"/>
        <v>1.027497451608772E-2</v>
      </c>
    </row>
    <row r="2177" spans="1:18" x14ac:dyDescent="0.2">
      <c r="A2177" s="2">
        <v>42622</v>
      </c>
      <c r="B2177" s="1" t="s">
        <v>56</v>
      </c>
      <c r="C2177" s="1" t="s">
        <v>57</v>
      </c>
      <c r="D2177" s="2">
        <v>42741</v>
      </c>
      <c r="E2177" s="2">
        <f t="shared" si="77"/>
        <v>42887</v>
      </c>
      <c r="F2177" s="1" t="s">
        <v>58</v>
      </c>
      <c r="G2177" s="1" t="s">
        <v>18</v>
      </c>
      <c r="H2177" s="1">
        <v>-7</v>
      </c>
      <c r="I2177" s="1">
        <v>0.28999999999999998</v>
      </c>
      <c r="J2177" s="1">
        <v>0.04</v>
      </c>
      <c r="K2177" s="2">
        <v>42984</v>
      </c>
      <c r="L2177" s="1">
        <v>3716</v>
      </c>
      <c r="M2177" s="1">
        <v>3.85</v>
      </c>
      <c r="N2177" s="1">
        <v>-0.22486</v>
      </c>
      <c r="O2177" s="3">
        <f>VLOOKUP(D2177,underlying!$D$40:$H$75,5,FALSE)</f>
        <v>-3.75</v>
      </c>
      <c r="P2177" s="4">
        <f t="shared" si="79"/>
        <v>42895</v>
      </c>
      <c r="Q2177" s="7">
        <f>IF(G2177="C",NormalCallSprd(O2177,H2177,M2177,(P2177-A2177)/365), NormalPutSprd(O2177,H2177,M2177,(P2177-A2177)/365))</f>
        <v>0.29027497451608736</v>
      </c>
      <c r="R2177" s="9">
        <f t="shared" si="78"/>
        <v>2.7497451608737844E-4</v>
      </c>
    </row>
    <row r="2178" spans="1:18" x14ac:dyDescent="0.2">
      <c r="A2178" s="2">
        <v>42622</v>
      </c>
      <c r="B2178" s="1" t="s">
        <v>56</v>
      </c>
      <c r="C2178" s="1" t="s">
        <v>57</v>
      </c>
      <c r="D2178" s="2">
        <v>42741</v>
      </c>
      <c r="E2178" s="2">
        <f t="shared" ref="E2178:E2241" si="80">DATE(YEAR(D2178),DAY(D2178),MONTH(D2178))</f>
        <v>42887</v>
      </c>
      <c r="F2178" s="1" t="s">
        <v>58</v>
      </c>
      <c r="G2178" s="1" t="s">
        <v>16</v>
      </c>
      <c r="H2178" s="1">
        <v>-6.75</v>
      </c>
      <c r="I2178" s="1">
        <v>3.32</v>
      </c>
      <c r="J2178" s="1">
        <v>-0.21</v>
      </c>
      <c r="K2178" s="2">
        <v>42984</v>
      </c>
      <c r="L2178" s="1">
        <v>3716</v>
      </c>
      <c r="M2178" s="1">
        <v>3.85</v>
      </c>
      <c r="N2178" s="1">
        <v>-0.20662</v>
      </c>
      <c r="O2178" s="3">
        <f>VLOOKUP(D2178,underlying!$D$40:$H$75,5,FALSE)</f>
        <v>-3.75</v>
      </c>
      <c r="P2178" s="4">
        <f t="shared" si="79"/>
        <v>42895</v>
      </c>
      <c r="Q2178" s="7">
        <f>IF(G2178="C",NormalCallSprd(O2178,H2178,M2178,(P2178-A2178)/365), NormalPutSprd(O2178,H2178,M2178,(P2178-A2178)/365))</f>
        <v>3.3337847746083287</v>
      </c>
      <c r="R2178" s="9">
        <f t="shared" si="78"/>
        <v>1.3784774608328831E-2</v>
      </c>
    </row>
    <row r="2179" spans="1:18" x14ac:dyDescent="0.2">
      <c r="A2179" s="2">
        <v>42622</v>
      </c>
      <c r="B2179" s="1" t="s">
        <v>56</v>
      </c>
      <c r="C2179" s="1" t="s">
        <v>57</v>
      </c>
      <c r="D2179" s="2">
        <v>42741</v>
      </c>
      <c r="E2179" s="2">
        <f t="shared" si="80"/>
        <v>42887</v>
      </c>
      <c r="F2179" s="1" t="s">
        <v>58</v>
      </c>
      <c r="G2179" s="1" t="s">
        <v>18</v>
      </c>
      <c r="H2179" s="1">
        <v>-6.75</v>
      </c>
      <c r="I2179" s="1">
        <v>0.33</v>
      </c>
      <c r="J2179" s="1">
        <v>0.04</v>
      </c>
      <c r="K2179" s="2">
        <v>42984</v>
      </c>
      <c r="L2179" s="1">
        <v>3716</v>
      </c>
      <c r="M2179" s="1">
        <v>3.85</v>
      </c>
      <c r="N2179" s="1">
        <v>-0.18928</v>
      </c>
      <c r="O2179" s="3">
        <f>VLOOKUP(D2179,underlying!$D$40:$H$75,5,FALSE)</f>
        <v>-3.75</v>
      </c>
      <c r="P2179" s="4">
        <f t="shared" si="79"/>
        <v>42895</v>
      </c>
      <c r="Q2179" s="7">
        <f>IF(G2179="C",NormalCallSprd(O2179,H2179,M2179,(P2179-A2179)/365), NormalPutSprd(O2179,H2179,M2179,(P2179-A2179)/365))</f>
        <v>0.33378477460832889</v>
      </c>
      <c r="R2179" s="9">
        <f t="shared" ref="R2179:R2242" si="81">ABS(Q2179-I2179)</f>
        <v>3.784774608328878E-3</v>
      </c>
    </row>
    <row r="2180" spans="1:18" x14ac:dyDescent="0.2">
      <c r="A2180" s="2">
        <v>42622</v>
      </c>
      <c r="B2180" s="1" t="s">
        <v>56</v>
      </c>
      <c r="C2180" s="1" t="s">
        <v>57</v>
      </c>
      <c r="D2180" s="2">
        <v>42741</v>
      </c>
      <c r="E2180" s="2">
        <f t="shared" si="80"/>
        <v>42887</v>
      </c>
      <c r="F2180" s="1" t="s">
        <v>58</v>
      </c>
      <c r="G2180" s="1" t="s">
        <v>16</v>
      </c>
      <c r="H2180" s="1">
        <v>-6.5</v>
      </c>
      <c r="I2180" s="1">
        <v>3.12</v>
      </c>
      <c r="J2180" s="1">
        <v>-0.2</v>
      </c>
      <c r="K2180" s="2">
        <v>42984</v>
      </c>
      <c r="L2180" s="1">
        <v>3716</v>
      </c>
      <c r="M2180" s="1">
        <v>3.85</v>
      </c>
      <c r="N2180" s="1">
        <v>-0.17287</v>
      </c>
      <c r="O2180" s="3">
        <f>VLOOKUP(D2180,underlying!$D$40:$H$75,5,FALSE)</f>
        <v>-3.75</v>
      </c>
      <c r="P2180" s="4">
        <f t="shared" si="79"/>
        <v>42895</v>
      </c>
      <c r="Q2180" s="7">
        <f>IF(G2180="C",NormalCallSprd(O2180,H2180,M2180,(P2180-A2180)/365), NormalPutSprd(O2180,H2180,M2180,(P2180-A2180)/365))</f>
        <v>3.1322842810224043</v>
      </c>
      <c r="R2180" s="9">
        <f t="shared" si="81"/>
        <v>1.2284281022404198E-2</v>
      </c>
    </row>
    <row r="2181" spans="1:18" x14ac:dyDescent="0.2">
      <c r="A2181" s="2">
        <v>42622</v>
      </c>
      <c r="B2181" s="1" t="s">
        <v>56</v>
      </c>
      <c r="C2181" s="1" t="s">
        <v>57</v>
      </c>
      <c r="D2181" s="2">
        <v>42741</v>
      </c>
      <c r="E2181" s="2">
        <f t="shared" si="80"/>
        <v>42887</v>
      </c>
      <c r="F2181" s="1" t="s">
        <v>58</v>
      </c>
      <c r="G2181" s="1" t="s">
        <v>18</v>
      </c>
      <c r="H2181" s="1">
        <v>-6.5</v>
      </c>
      <c r="I2181" s="1">
        <v>0.38</v>
      </c>
      <c r="J2181" s="1">
        <v>0.05</v>
      </c>
      <c r="K2181" s="2">
        <v>42984</v>
      </c>
      <c r="L2181" s="1">
        <v>3716</v>
      </c>
      <c r="M2181" s="1">
        <v>3.85</v>
      </c>
      <c r="N2181" s="1">
        <v>-0.15740000000000001</v>
      </c>
      <c r="O2181" s="3">
        <f>VLOOKUP(D2181,underlying!$D$40:$H$75,5,FALSE)</f>
        <v>-3.75</v>
      </c>
      <c r="P2181" s="4">
        <f t="shared" si="79"/>
        <v>42895</v>
      </c>
      <c r="Q2181" s="7">
        <f>IF(G2181="C",NormalCallSprd(O2181,H2181,M2181,(P2181-A2181)/365), NormalPutSprd(O2181,H2181,M2181,(P2181-A2181)/365))</f>
        <v>0.38228428102240442</v>
      </c>
      <c r="R2181" s="9">
        <f t="shared" si="81"/>
        <v>2.2842810224044108E-3</v>
      </c>
    </row>
    <row r="2182" spans="1:18" x14ac:dyDescent="0.2">
      <c r="A2182" s="2">
        <v>42622</v>
      </c>
      <c r="B2182" s="1" t="s">
        <v>56</v>
      </c>
      <c r="C2182" s="1" t="s">
        <v>57</v>
      </c>
      <c r="D2182" s="2">
        <v>42741</v>
      </c>
      <c r="E2182" s="2">
        <f t="shared" si="80"/>
        <v>42887</v>
      </c>
      <c r="F2182" s="1" t="s">
        <v>58</v>
      </c>
      <c r="G2182" s="1" t="s">
        <v>16</v>
      </c>
      <c r="H2182" s="1">
        <v>-6.25</v>
      </c>
      <c r="I2182" s="1">
        <v>2.92</v>
      </c>
      <c r="J2182" s="1">
        <v>-0.2</v>
      </c>
      <c r="K2182" s="2">
        <v>42984</v>
      </c>
      <c r="L2182" s="1">
        <v>3716</v>
      </c>
      <c r="M2182" s="1">
        <v>3.85</v>
      </c>
      <c r="N2182" s="1">
        <v>-0.14285999999999999</v>
      </c>
      <c r="O2182" s="3">
        <f>VLOOKUP(D2182,underlying!$D$40:$H$75,5,FALSE)</f>
        <v>-3.75</v>
      </c>
      <c r="P2182" s="4">
        <f t="shared" si="79"/>
        <v>42895</v>
      </c>
      <c r="Q2182" s="7">
        <f>IF(G2182="C",NormalCallSprd(O2182,H2182,M2182,(P2182-A2182)/365), NormalPutSprd(O2182,H2182,M2182,(P2182-A2182)/365))</f>
        <v>2.9361073767856585</v>
      </c>
      <c r="R2182" s="9">
        <f t="shared" si="81"/>
        <v>1.6107376785658545E-2</v>
      </c>
    </row>
    <row r="2183" spans="1:18" x14ac:dyDescent="0.2">
      <c r="A2183" s="2">
        <v>42622</v>
      </c>
      <c r="B2183" s="1" t="s">
        <v>56</v>
      </c>
      <c r="C2183" s="1" t="s">
        <v>57</v>
      </c>
      <c r="D2183" s="2">
        <v>42741</v>
      </c>
      <c r="E2183" s="2">
        <f t="shared" si="80"/>
        <v>42887</v>
      </c>
      <c r="F2183" s="1" t="s">
        <v>58</v>
      </c>
      <c r="G2183" s="1" t="s">
        <v>18</v>
      </c>
      <c r="H2183" s="1">
        <v>-6.25</v>
      </c>
      <c r="I2183" s="1">
        <v>0.43</v>
      </c>
      <c r="J2183" s="1">
        <v>0.05</v>
      </c>
      <c r="K2183" s="2">
        <v>42984</v>
      </c>
      <c r="L2183" s="1">
        <v>3716</v>
      </c>
      <c r="M2183" s="1">
        <v>3.85</v>
      </c>
      <c r="N2183" s="1">
        <v>-0.12925</v>
      </c>
      <c r="O2183" s="3">
        <f>VLOOKUP(D2183,underlying!$D$40:$H$75,5,FALSE)</f>
        <v>-3.75</v>
      </c>
      <c r="P2183" s="4">
        <f t="shared" si="79"/>
        <v>42895</v>
      </c>
      <c r="Q2183" s="7">
        <f>IF(G2183="C",NormalCallSprd(O2183,H2183,M2183,(P2183-A2183)/365), NormalPutSprd(O2183,H2183,M2183,(P2183-A2183)/365))</f>
        <v>0.43610737678565864</v>
      </c>
      <c r="R2183" s="9">
        <f t="shared" si="81"/>
        <v>6.1073767856586469E-3</v>
      </c>
    </row>
    <row r="2184" spans="1:18" x14ac:dyDescent="0.2">
      <c r="A2184" s="2">
        <v>42622</v>
      </c>
      <c r="B2184" s="1" t="s">
        <v>56</v>
      </c>
      <c r="C2184" s="1" t="s">
        <v>57</v>
      </c>
      <c r="D2184" s="2">
        <v>42741</v>
      </c>
      <c r="E2184" s="2">
        <f t="shared" si="80"/>
        <v>42887</v>
      </c>
      <c r="F2184" s="1" t="s">
        <v>58</v>
      </c>
      <c r="G2184" s="1" t="s">
        <v>16</v>
      </c>
      <c r="H2184" s="1">
        <v>-6</v>
      </c>
      <c r="I2184" s="1">
        <v>2.73</v>
      </c>
      <c r="J2184" s="1">
        <v>-0.2</v>
      </c>
      <c r="K2184" s="2">
        <v>42984</v>
      </c>
      <c r="L2184" s="1">
        <v>3716</v>
      </c>
      <c r="M2184" s="1">
        <v>3.85</v>
      </c>
      <c r="N2184" s="1">
        <v>-8.387E-2</v>
      </c>
      <c r="O2184" s="3">
        <f>VLOOKUP(D2184,underlying!$D$40:$H$75,5,FALSE)</f>
        <v>-3.75</v>
      </c>
      <c r="P2184" s="4">
        <f t="shared" si="79"/>
        <v>42895</v>
      </c>
      <c r="Q2184" s="7">
        <f>IF(G2184="C",NormalCallSprd(O2184,H2184,M2184,(P2184-A2184)/365), NormalPutSprd(O2184,H2184,M2184,(P2184-A2184)/365))</f>
        <v>2.7455783863601884</v>
      </c>
      <c r="R2184" s="9">
        <f t="shared" si="81"/>
        <v>1.5578386360188379E-2</v>
      </c>
    </row>
    <row r="2185" spans="1:18" x14ac:dyDescent="0.2">
      <c r="A2185" s="2">
        <v>42622</v>
      </c>
      <c r="B2185" s="1" t="s">
        <v>56</v>
      </c>
      <c r="C2185" s="1" t="s">
        <v>57</v>
      </c>
      <c r="D2185" s="2">
        <v>42741</v>
      </c>
      <c r="E2185" s="2">
        <f t="shared" si="80"/>
        <v>42887</v>
      </c>
      <c r="F2185" s="1" t="s">
        <v>58</v>
      </c>
      <c r="G2185" s="1" t="s">
        <v>18</v>
      </c>
      <c r="H2185" s="1">
        <v>-6</v>
      </c>
      <c r="I2185" s="1">
        <v>0.49</v>
      </c>
      <c r="J2185" s="1">
        <v>0.05</v>
      </c>
      <c r="K2185" s="2">
        <v>42984</v>
      </c>
      <c r="L2185" s="1">
        <v>3716</v>
      </c>
      <c r="M2185" s="1">
        <v>3.85</v>
      </c>
      <c r="N2185" s="1">
        <v>-5.1159999999999997E-2</v>
      </c>
      <c r="O2185" s="3">
        <f>VLOOKUP(D2185,underlying!$D$40:$H$75,5,FALSE)</f>
        <v>-3.75</v>
      </c>
      <c r="P2185" s="4">
        <f t="shared" si="79"/>
        <v>42895</v>
      </c>
      <c r="Q2185" s="7">
        <f>IF(G2185="C",NormalCallSprd(O2185,H2185,M2185,(P2185-A2185)/365), NormalPutSprd(O2185,H2185,M2185,(P2185-A2185)/365))</f>
        <v>0.49557838636018825</v>
      </c>
      <c r="R2185" s="9">
        <f t="shared" si="81"/>
        <v>5.5783863601882588E-3</v>
      </c>
    </row>
    <row r="2186" spans="1:18" x14ac:dyDescent="0.2">
      <c r="A2186" s="2">
        <v>42622</v>
      </c>
      <c r="B2186" s="1" t="s">
        <v>56</v>
      </c>
      <c r="C2186" s="1" t="s">
        <v>57</v>
      </c>
      <c r="D2186" s="2">
        <v>42741</v>
      </c>
      <c r="E2186" s="2">
        <f t="shared" si="80"/>
        <v>42887</v>
      </c>
      <c r="F2186" s="1" t="s">
        <v>58</v>
      </c>
      <c r="G2186" s="1" t="s">
        <v>16</v>
      </c>
      <c r="H2186" s="1">
        <v>-5.75</v>
      </c>
      <c r="I2186" s="1">
        <v>2.5499999999999998</v>
      </c>
      <c r="J2186" s="1">
        <v>-0.19</v>
      </c>
      <c r="K2186" s="2">
        <v>42984</v>
      </c>
      <c r="L2186" s="1">
        <v>3716</v>
      </c>
      <c r="M2186" s="1">
        <v>3.85</v>
      </c>
      <c r="N2186" s="1">
        <v>0.32962999999999998</v>
      </c>
      <c r="O2186" s="3">
        <f>VLOOKUP(D2186,underlying!$D$40:$H$75,5,FALSE)</f>
        <v>-3.75</v>
      </c>
      <c r="P2186" s="4">
        <f t="shared" si="79"/>
        <v>42895</v>
      </c>
      <c r="Q2186" s="7">
        <f>IF(G2186="C",NormalCallSprd(O2186,H2186,M2186,(P2186-A2186)/365), NormalPutSprd(O2186,H2186,M2186,(P2186-A2186)/365))</f>
        <v>2.5610077392685606</v>
      </c>
      <c r="R2186" s="9">
        <f t="shared" si="81"/>
        <v>1.1007739268560801E-2</v>
      </c>
    </row>
    <row r="2187" spans="1:18" x14ac:dyDescent="0.2">
      <c r="A2187" s="2">
        <v>42622</v>
      </c>
      <c r="B2187" s="1" t="s">
        <v>56</v>
      </c>
      <c r="C2187" s="1" t="s">
        <v>57</v>
      </c>
      <c r="D2187" s="2">
        <v>42741</v>
      </c>
      <c r="E2187" s="2">
        <f t="shared" si="80"/>
        <v>42887</v>
      </c>
      <c r="F2187" s="1" t="s">
        <v>58</v>
      </c>
      <c r="G2187" s="1" t="s">
        <v>18</v>
      </c>
      <c r="H2187" s="1">
        <v>-5.75</v>
      </c>
      <c r="I2187" s="1">
        <v>0.56000000000000005</v>
      </c>
      <c r="J2187" s="1">
        <v>0.06</v>
      </c>
      <c r="K2187" s="2">
        <v>42984</v>
      </c>
      <c r="L2187" s="1">
        <v>3716</v>
      </c>
      <c r="M2187" s="1">
        <v>3.85</v>
      </c>
      <c r="N2187" s="1">
        <v>0.34681000000000001</v>
      </c>
      <c r="O2187" s="3">
        <f>VLOOKUP(D2187,underlying!$D$40:$H$75,5,FALSE)</f>
        <v>-3.75</v>
      </c>
      <c r="P2187" s="4">
        <f t="shared" si="79"/>
        <v>42895</v>
      </c>
      <c r="Q2187" s="7">
        <f>IF(G2187="C",NormalCallSprd(O2187,H2187,M2187,(P2187-A2187)/365), NormalPutSprd(O2187,H2187,M2187,(P2187-A2187)/365))</f>
        <v>0.56100773926856051</v>
      </c>
      <c r="R2187" s="9">
        <f t="shared" si="81"/>
        <v>1.0077392685604591E-3</v>
      </c>
    </row>
    <row r="2188" spans="1:18" x14ac:dyDescent="0.2">
      <c r="A2188" s="2">
        <v>42622</v>
      </c>
      <c r="B2188" s="1" t="s">
        <v>56</v>
      </c>
      <c r="C2188" s="1" t="s">
        <v>57</v>
      </c>
      <c r="D2188" s="2">
        <v>42741</v>
      </c>
      <c r="E2188" s="2">
        <f t="shared" si="80"/>
        <v>42887</v>
      </c>
      <c r="F2188" s="1" t="s">
        <v>58</v>
      </c>
      <c r="G2188" s="1" t="s">
        <v>16</v>
      </c>
      <c r="H2188" s="1">
        <v>-5.5</v>
      </c>
      <c r="I2188" s="1">
        <v>2.37</v>
      </c>
      <c r="J2188" s="1">
        <v>-0.18</v>
      </c>
      <c r="K2188" s="2">
        <v>42984</v>
      </c>
      <c r="L2188" s="1">
        <v>3716</v>
      </c>
      <c r="M2188" s="1">
        <v>3.85</v>
      </c>
      <c r="N2188" s="1">
        <v>0.36430000000000001</v>
      </c>
      <c r="O2188" s="3">
        <f>VLOOKUP(D2188,underlying!$D$40:$H$75,5,FALSE)</f>
        <v>-3.75</v>
      </c>
      <c r="P2188" s="4">
        <f t="shared" si="79"/>
        <v>42895</v>
      </c>
      <c r="Q2188" s="7">
        <f>IF(G2188="C",NormalCallSprd(O2188,H2188,M2188,(P2188-A2188)/365), NormalPutSprd(O2188,H2188,M2188,(P2188-A2188)/365))</f>
        <v>2.3826876235546366</v>
      </c>
      <c r="R2188" s="9">
        <f t="shared" si="81"/>
        <v>1.2687623554636485E-2</v>
      </c>
    </row>
    <row r="2189" spans="1:18" x14ac:dyDescent="0.2">
      <c r="A2189" s="2">
        <v>42622</v>
      </c>
      <c r="B2189" s="1" t="s">
        <v>56</v>
      </c>
      <c r="C2189" s="1" t="s">
        <v>57</v>
      </c>
      <c r="D2189" s="2">
        <v>42741</v>
      </c>
      <c r="E2189" s="2">
        <f t="shared" si="80"/>
        <v>42887</v>
      </c>
      <c r="F2189" s="1" t="s">
        <v>58</v>
      </c>
      <c r="G2189" s="1" t="s">
        <v>18</v>
      </c>
      <c r="H2189" s="1">
        <v>-5.5</v>
      </c>
      <c r="I2189" s="1">
        <v>0.63</v>
      </c>
      <c r="J2189" s="1">
        <v>7.0000000000000007E-2</v>
      </c>
      <c r="K2189" s="2">
        <v>42984</v>
      </c>
      <c r="L2189" s="1">
        <v>3716</v>
      </c>
      <c r="M2189" s="1">
        <v>3.85</v>
      </c>
      <c r="N2189" s="1">
        <v>0.38175999999999999</v>
      </c>
      <c r="O2189" s="3">
        <f>VLOOKUP(D2189,underlying!$D$40:$H$75,5,FALSE)</f>
        <v>-3.75</v>
      </c>
      <c r="P2189" s="4">
        <f t="shared" si="79"/>
        <v>42895</v>
      </c>
      <c r="Q2189" s="7">
        <f>IF(G2189="C",NormalCallSprd(O2189,H2189,M2189,(P2189-A2189)/365), NormalPutSprd(O2189,H2189,M2189,(P2189-A2189)/365))</f>
        <v>0.63268762355463648</v>
      </c>
      <c r="R2189" s="9">
        <f t="shared" si="81"/>
        <v>2.6876235546364757E-3</v>
      </c>
    </row>
    <row r="2190" spans="1:18" x14ac:dyDescent="0.2">
      <c r="A2190" s="2">
        <v>42622</v>
      </c>
      <c r="B2190" s="1" t="s">
        <v>56</v>
      </c>
      <c r="C2190" s="1" t="s">
        <v>57</v>
      </c>
      <c r="D2190" s="2">
        <v>42741</v>
      </c>
      <c r="E2190" s="2">
        <f t="shared" si="80"/>
        <v>42887</v>
      </c>
      <c r="F2190" s="1" t="s">
        <v>58</v>
      </c>
      <c r="G2190" s="1" t="s">
        <v>16</v>
      </c>
      <c r="H2190" s="1">
        <v>-5.25</v>
      </c>
      <c r="I2190" s="1">
        <v>2.2000000000000002</v>
      </c>
      <c r="J2190" s="1">
        <v>-0.18</v>
      </c>
      <c r="K2190" s="2">
        <v>42984</v>
      </c>
      <c r="L2190" s="1">
        <v>3716</v>
      </c>
      <c r="M2190" s="1">
        <v>3.83</v>
      </c>
      <c r="N2190" s="1">
        <v>0.39982000000000001</v>
      </c>
      <c r="O2190" s="3">
        <f>VLOOKUP(D2190,underlying!$D$40:$H$75,5,FALSE)</f>
        <v>-3.75</v>
      </c>
      <c r="P2190" s="4">
        <f t="shared" si="79"/>
        <v>42895</v>
      </c>
      <c r="Q2190" s="7">
        <f>IF(G2190="C",NormalCallSprd(O2190,H2190,M2190,(P2190-A2190)/365), NormalPutSprd(O2190,H2190,M2190,(P2190-A2190)/365))</f>
        <v>2.2046564871809395</v>
      </c>
      <c r="R2190" s="9">
        <f t="shared" si="81"/>
        <v>4.6564871809393615E-3</v>
      </c>
    </row>
    <row r="2191" spans="1:18" x14ac:dyDescent="0.2">
      <c r="A2191" s="2">
        <v>42622</v>
      </c>
      <c r="B2191" s="1" t="s">
        <v>56</v>
      </c>
      <c r="C2191" s="1" t="s">
        <v>57</v>
      </c>
      <c r="D2191" s="2">
        <v>42741</v>
      </c>
      <c r="E2191" s="2">
        <f t="shared" si="80"/>
        <v>42887</v>
      </c>
      <c r="F2191" s="1" t="s">
        <v>58</v>
      </c>
      <c r="G2191" s="1" t="s">
        <v>18</v>
      </c>
      <c r="H2191" s="1">
        <v>-5.25</v>
      </c>
      <c r="I2191" s="1">
        <v>0.7</v>
      </c>
      <c r="J2191" s="1">
        <v>7.0000000000000007E-2</v>
      </c>
      <c r="K2191" s="2">
        <v>42984</v>
      </c>
      <c r="L2191" s="1">
        <v>3716</v>
      </c>
      <c r="M2191" s="1">
        <v>3.83</v>
      </c>
      <c r="N2191" s="1">
        <v>0.41787000000000002</v>
      </c>
      <c r="O2191" s="3">
        <f>VLOOKUP(D2191,underlying!$D$40:$H$75,5,FALSE)</f>
        <v>-3.75</v>
      </c>
      <c r="P2191" s="4">
        <f t="shared" si="79"/>
        <v>42895</v>
      </c>
      <c r="Q2191" s="7">
        <f>IF(G2191="C",NormalCallSprd(O2191,H2191,M2191,(P2191-A2191)/365), NormalPutSprd(O2191,H2191,M2191,(P2191-A2191)/365))</f>
        <v>0.70465648718093976</v>
      </c>
      <c r="R2191" s="9">
        <f t="shared" si="81"/>
        <v>4.6564871809398056E-3</v>
      </c>
    </row>
    <row r="2192" spans="1:18" x14ac:dyDescent="0.2">
      <c r="A2192" s="2">
        <v>42622</v>
      </c>
      <c r="B2192" s="1" t="s">
        <v>56</v>
      </c>
      <c r="C2192" s="1" t="s">
        <v>57</v>
      </c>
      <c r="D2192" s="2">
        <v>42741</v>
      </c>
      <c r="E2192" s="2">
        <f t="shared" si="80"/>
        <v>42887</v>
      </c>
      <c r="F2192" s="1" t="s">
        <v>58</v>
      </c>
      <c r="G2192" s="1" t="s">
        <v>16</v>
      </c>
      <c r="H2192" s="1">
        <v>-5</v>
      </c>
      <c r="I2192" s="1">
        <v>2.04</v>
      </c>
      <c r="J2192" s="1">
        <v>-0.16</v>
      </c>
      <c r="K2192" s="2">
        <v>42984</v>
      </c>
      <c r="L2192" s="1">
        <v>3716</v>
      </c>
      <c r="M2192" s="1">
        <v>3.85</v>
      </c>
      <c r="N2192" s="1">
        <v>0.43651000000000001</v>
      </c>
      <c r="O2192" s="3">
        <f>VLOOKUP(D2192,underlying!$D$40:$H$75,5,FALSE)</f>
        <v>-3.75</v>
      </c>
      <c r="P2192" s="4">
        <f t="shared" si="79"/>
        <v>42895</v>
      </c>
      <c r="Q2192" s="7">
        <f>IF(G2192="C",NormalCallSprd(O2192,H2192,M2192,(P2192-A2192)/365), NormalPutSprd(O2192,H2192,M2192,(P2192-A2192)/365))</f>
        <v>2.0458511800790085</v>
      </c>
      <c r="R2192" s="9">
        <f t="shared" si="81"/>
        <v>5.8511800790084223E-3</v>
      </c>
    </row>
    <row r="2193" spans="1:18" x14ac:dyDescent="0.2">
      <c r="A2193" s="2">
        <v>42622</v>
      </c>
      <c r="B2193" s="1" t="s">
        <v>56</v>
      </c>
      <c r="C2193" s="1" t="s">
        <v>57</v>
      </c>
      <c r="D2193" s="2">
        <v>42741</v>
      </c>
      <c r="E2193" s="2">
        <f t="shared" si="80"/>
        <v>42887</v>
      </c>
      <c r="F2193" s="1" t="s">
        <v>58</v>
      </c>
      <c r="G2193" s="1" t="s">
        <v>18</v>
      </c>
      <c r="H2193" s="1">
        <v>-5</v>
      </c>
      <c r="I2193" s="1">
        <v>0.79</v>
      </c>
      <c r="J2193" s="1">
        <v>0.09</v>
      </c>
      <c r="K2193" s="2">
        <v>42984</v>
      </c>
      <c r="L2193" s="1">
        <v>3716</v>
      </c>
      <c r="M2193" s="1">
        <v>3.85</v>
      </c>
      <c r="N2193" s="1">
        <v>0.45506999999999997</v>
      </c>
      <c r="O2193" s="3">
        <f>VLOOKUP(D2193,underlying!$D$40:$H$75,5,FALSE)</f>
        <v>-3.75</v>
      </c>
      <c r="P2193" s="4">
        <f t="shared" si="79"/>
        <v>42895</v>
      </c>
      <c r="Q2193" s="7">
        <f>IF(G2193="C",NormalCallSprd(O2193,H2193,M2193,(P2193-A2193)/365), NormalPutSprd(O2193,H2193,M2193,(P2193-A2193)/365))</f>
        <v>0.79585118007900835</v>
      </c>
      <c r="R2193" s="9">
        <f t="shared" si="81"/>
        <v>5.8511800790083113E-3</v>
      </c>
    </row>
    <row r="2194" spans="1:18" x14ac:dyDescent="0.2">
      <c r="A2194" s="2">
        <v>42622</v>
      </c>
      <c r="B2194" s="1" t="s">
        <v>56</v>
      </c>
      <c r="C2194" s="1" t="s">
        <v>57</v>
      </c>
      <c r="D2194" s="2">
        <v>42741</v>
      </c>
      <c r="E2194" s="2">
        <f t="shared" si="80"/>
        <v>42887</v>
      </c>
      <c r="F2194" s="1" t="s">
        <v>58</v>
      </c>
      <c r="G2194" s="1" t="s">
        <v>16</v>
      </c>
      <c r="H2194" s="1">
        <v>-4.75</v>
      </c>
      <c r="I2194" s="1">
        <v>1.87</v>
      </c>
      <c r="J2194" s="1">
        <v>-0.17</v>
      </c>
      <c r="K2194" s="2">
        <v>42984</v>
      </c>
      <c r="L2194" s="1">
        <v>3716</v>
      </c>
      <c r="M2194" s="1">
        <v>3.83</v>
      </c>
      <c r="N2194" s="1">
        <v>0.47376000000000001</v>
      </c>
      <c r="O2194" s="3">
        <f>VLOOKUP(D2194,underlying!$D$40:$H$75,5,FALSE)</f>
        <v>-3.75</v>
      </c>
      <c r="P2194" s="4">
        <f t="shared" si="79"/>
        <v>42895</v>
      </c>
      <c r="Q2194" s="7">
        <f>IF(G2194="C",NormalCallSprd(O2194,H2194,M2194,(P2194-A2194)/365), NormalPutSprd(O2194,H2194,M2194,(P2194-A2194)/365))</f>
        <v>1.8811962056384135</v>
      </c>
      <c r="R2194" s="9">
        <f t="shared" si="81"/>
        <v>1.1196205638413392E-2</v>
      </c>
    </row>
    <row r="2195" spans="1:18" x14ac:dyDescent="0.2">
      <c r="A2195" s="2">
        <v>42622</v>
      </c>
      <c r="B2195" s="1" t="s">
        <v>56</v>
      </c>
      <c r="C2195" s="1" t="s">
        <v>57</v>
      </c>
      <c r="D2195" s="2">
        <v>42741</v>
      </c>
      <c r="E2195" s="2">
        <f t="shared" si="80"/>
        <v>42887</v>
      </c>
      <c r="F2195" s="1" t="s">
        <v>58</v>
      </c>
      <c r="G2195" s="1" t="s">
        <v>18</v>
      </c>
      <c r="H2195" s="1">
        <v>-4.75</v>
      </c>
      <c r="I2195" s="1">
        <v>0.88</v>
      </c>
      <c r="J2195" s="1">
        <v>0.09</v>
      </c>
      <c r="K2195" s="2">
        <v>42984</v>
      </c>
      <c r="L2195" s="1">
        <v>3716</v>
      </c>
      <c r="M2195" s="1">
        <v>3.83</v>
      </c>
      <c r="N2195" s="1">
        <v>0.49238999999999999</v>
      </c>
      <c r="O2195" s="3">
        <f>VLOOKUP(D2195,underlying!$D$40:$H$75,5,FALSE)</f>
        <v>-3.75</v>
      </c>
      <c r="P2195" s="4">
        <f t="shared" si="79"/>
        <v>42895</v>
      </c>
      <c r="Q2195" s="7">
        <f>IF(G2195="C",NormalCallSprd(O2195,H2195,M2195,(P2195-A2195)/365), NormalPutSprd(O2195,H2195,M2195,(P2195-A2195)/365))</f>
        <v>0.88119620563841339</v>
      </c>
      <c r="R2195" s="9">
        <f t="shared" si="81"/>
        <v>1.1962056384133835E-3</v>
      </c>
    </row>
    <row r="2196" spans="1:18" x14ac:dyDescent="0.2">
      <c r="A2196" s="2">
        <v>42622</v>
      </c>
      <c r="B2196" s="1" t="s">
        <v>56</v>
      </c>
      <c r="C2196" s="1" t="s">
        <v>57</v>
      </c>
      <c r="D2196" s="2">
        <v>42741</v>
      </c>
      <c r="E2196" s="2">
        <f t="shared" si="80"/>
        <v>42887</v>
      </c>
      <c r="F2196" s="1" t="s">
        <v>58</v>
      </c>
      <c r="G2196" s="1" t="s">
        <v>16</v>
      </c>
      <c r="H2196" s="1">
        <v>-4.5</v>
      </c>
      <c r="I2196" s="1">
        <v>1.73</v>
      </c>
      <c r="J2196" s="1">
        <v>-0.15</v>
      </c>
      <c r="K2196" s="2">
        <v>42984</v>
      </c>
      <c r="L2196" s="1">
        <v>3716</v>
      </c>
      <c r="M2196" s="1">
        <v>3.84</v>
      </c>
      <c r="N2196" s="1">
        <v>0.51102000000000003</v>
      </c>
      <c r="O2196" s="3">
        <f>VLOOKUP(D2196,underlying!$D$40:$H$75,5,FALSE)</f>
        <v>-3.75</v>
      </c>
      <c r="P2196" s="4">
        <f t="shared" si="79"/>
        <v>42895</v>
      </c>
      <c r="Q2196" s="7">
        <f>IF(G2196="C",NormalCallSprd(O2196,H2196,M2196,(P2196-A2196)/365), NormalPutSprd(O2196,H2196,M2196,(P2196-A2196)/365))</f>
        <v>1.7335220025302427</v>
      </c>
      <c r="R2196" s="9">
        <f t="shared" si="81"/>
        <v>3.5220025302427072E-3</v>
      </c>
    </row>
    <row r="2197" spans="1:18" x14ac:dyDescent="0.2">
      <c r="A2197" s="2">
        <v>42622</v>
      </c>
      <c r="B2197" s="1" t="s">
        <v>56</v>
      </c>
      <c r="C2197" s="1" t="s">
        <v>57</v>
      </c>
      <c r="D2197" s="2">
        <v>42741</v>
      </c>
      <c r="E2197" s="2">
        <f t="shared" si="80"/>
        <v>42887</v>
      </c>
      <c r="F2197" s="1" t="s">
        <v>58</v>
      </c>
      <c r="G2197" s="1" t="s">
        <v>18</v>
      </c>
      <c r="H2197" s="1">
        <v>-4.5</v>
      </c>
      <c r="I2197" s="1">
        <v>0.98</v>
      </c>
      <c r="J2197" s="1">
        <v>0.1</v>
      </c>
      <c r="K2197" s="2">
        <v>42984</v>
      </c>
      <c r="L2197" s="1">
        <v>3716</v>
      </c>
      <c r="M2197" s="1">
        <v>3.84</v>
      </c>
      <c r="N2197" s="1">
        <v>0.52971000000000001</v>
      </c>
      <c r="O2197" s="3">
        <f>VLOOKUP(D2197,underlying!$D$40:$H$75,5,FALSE)</f>
        <v>-3.75</v>
      </c>
      <c r="P2197" s="4">
        <f t="shared" si="79"/>
        <v>42895</v>
      </c>
      <c r="Q2197" s="7">
        <f>IF(G2197="C",NormalCallSprd(O2197,H2197,M2197,(P2197-A2197)/365), NormalPutSprd(O2197,H2197,M2197,(P2197-A2197)/365))</f>
        <v>0.9835220025302428</v>
      </c>
      <c r="R2197" s="9">
        <f t="shared" si="81"/>
        <v>3.5220025302428182E-3</v>
      </c>
    </row>
    <row r="2198" spans="1:18" x14ac:dyDescent="0.2">
      <c r="A2198" s="2">
        <v>42622</v>
      </c>
      <c r="B2198" s="1" t="s">
        <v>56</v>
      </c>
      <c r="C2198" s="1" t="s">
        <v>57</v>
      </c>
      <c r="D2198" s="2">
        <v>42741</v>
      </c>
      <c r="E2198" s="2">
        <f t="shared" si="80"/>
        <v>42887</v>
      </c>
      <c r="F2198" s="1" t="s">
        <v>58</v>
      </c>
      <c r="G2198" s="1" t="s">
        <v>16</v>
      </c>
      <c r="H2198" s="1">
        <v>-4.25</v>
      </c>
      <c r="I2198" s="1">
        <v>1.58</v>
      </c>
      <c r="J2198" s="1">
        <v>-0.15</v>
      </c>
      <c r="K2198" s="2">
        <v>42984</v>
      </c>
      <c r="L2198" s="1">
        <v>3716</v>
      </c>
      <c r="M2198" s="1">
        <v>3.84</v>
      </c>
      <c r="N2198" s="1">
        <v>0.54825999999999997</v>
      </c>
      <c r="O2198" s="3">
        <f>VLOOKUP(D2198,underlying!$D$40:$H$75,5,FALSE)</f>
        <v>-3.75</v>
      </c>
      <c r="P2198" s="4">
        <f t="shared" si="79"/>
        <v>42895</v>
      </c>
      <c r="Q2198" s="7">
        <f>IF(G2198="C",NormalCallSprd(O2198,H2198,M2198,(P2198-A2198)/365), NormalPutSprd(O2198,H2198,M2198,(P2198-A2198)/365))</f>
        <v>1.5898665826561278</v>
      </c>
      <c r="R2198" s="9">
        <f t="shared" si="81"/>
        <v>9.8665826561277203E-3</v>
      </c>
    </row>
    <row r="2199" spans="1:18" x14ac:dyDescent="0.2">
      <c r="A2199" s="2">
        <v>42622</v>
      </c>
      <c r="B2199" s="1" t="s">
        <v>56</v>
      </c>
      <c r="C2199" s="1" t="s">
        <v>57</v>
      </c>
      <c r="D2199" s="2">
        <v>42741</v>
      </c>
      <c r="E2199" s="2">
        <f t="shared" si="80"/>
        <v>42887</v>
      </c>
      <c r="F2199" s="1" t="s">
        <v>58</v>
      </c>
      <c r="G2199" s="1" t="s">
        <v>18</v>
      </c>
      <c r="H2199" s="1">
        <v>-4.25</v>
      </c>
      <c r="I2199" s="1">
        <v>1.0900000000000001</v>
      </c>
      <c r="J2199" s="1">
        <v>0.11</v>
      </c>
      <c r="K2199" s="2">
        <v>42984</v>
      </c>
      <c r="L2199" s="1">
        <v>3716</v>
      </c>
      <c r="M2199" s="1">
        <v>3.84</v>
      </c>
      <c r="N2199" s="1">
        <v>0.56689999999999996</v>
      </c>
      <c r="O2199" s="3">
        <f>VLOOKUP(D2199,underlying!$D$40:$H$75,5,FALSE)</f>
        <v>-3.75</v>
      </c>
      <c r="P2199" s="4">
        <f t="shared" si="79"/>
        <v>42895</v>
      </c>
      <c r="Q2199" s="7">
        <f>IF(G2199="C",NormalCallSprd(O2199,H2199,M2199,(P2199-A2199)/365), NormalPutSprd(O2199,H2199,M2199,(P2199-A2199)/365))</f>
        <v>1.0898665826561278</v>
      </c>
      <c r="R2199" s="9">
        <f t="shared" si="81"/>
        <v>1.3341734387228854E-4</v>
      </c>
    </row>
    <row r="2200" spans="1:18" x14ac:dyDescent="0.2">
      <c r="A2200" s="2">
        <v>42622</v>
      </c>
      <c r="B2200" s="1" t="s">
        <v>56</v>
      </c>
      <c r="C2200" s="1" t="s">
        <v>57</v>
      </c>
      <c r="D2200" s="2">
        <v>42741</v>
      </c>
      <c r="E2200" s="2">
        <f t="shared" si="80"/>
        <v>42887</v>
      </c>
      <c r="F2200" s="1" t="s">
        <v>58</v>
      </c>
      <c r="G2200" s="1" t="s">
        <v>16</v>
      </c>
      <c r="H2200" s="1">
        <v>-4</v>
      </c>
      <c r="I2200" s="1">
        <v>1.45</v>
      </c>
      <c r="J2200" s="1">
        <v>-0.14000000000000001</v>
      </c>
      <c r="K2200" s="2">
        <v>42984</v>
      </c>
      <c r="L2200" s="1">
        <v>3716</v>
      </c>
      <c r="M2200" s="1">
        <v>3.85</v>
      </c>
      <c r="N2200" s="1">
        <v>0.5847</v>
      </c>
      <c r="O2200" s="3">
        <f>VLOOKUP(D2200,underlying!$D$40:$H$75,5,FALSE)</f>
        <v>-3.75</v>
      </c>
      <c r="P2200" s="4">
        <f t="shared" si="79"/>
        <v>42895</v>
      </c>
      <c r="Q2200" s="7">
        <f>IF(G2200="C",NormalCallSprd(O2200,H2200,M2200,(P2200-A2200)/365), NormalPutSprd(O2200,H2200,M2200,(P2200-A2200)/365))</f>
        <v>1.4570715878024771</v>
      </c>
      <c r="R2200" s="9">
        <f t="shared" si="81"/>
        <v>7.0715878024771861E-3</v>
      </c>
    </row>
    <row r="2201" spans="1:18" x14ac:dyDescent="0.2">
      <c r="A2201" s="2">
        <v>42622</v>
      </c>
      <c r="B2201" s="1" t="s">
        <v>56</v>
      </c>
      <c r="C2201" s="1" t="s">
        <v>57</v>
      </c>
      <c r="D2201" s="2">
        <v>42741</v>
      </c>
      <c r="E2201" s="2">
        <f t="shared" si="80"/>
        <v>42887</v>
      </c>
      <c r="F2201" s="1" t="s">
        <v>58</v>
      </c>
      <c r="G2201" s="1" t="s">
        <v>18</v>
      </c>
      <c r="H2201" s="1">
        <v>-4</v>
      </c>
      <c r="I2201" s="1">
        <v>1.2</v>
      </c>
      <c r="J2201" s="1">
        <v>0.11</v>
      </c>
      <c r="K2201" s="2">
        <v>42984</v>
      </c>
      <c r="L2201" s="1">
        <v>3716</v>
      </c>
      <c r="M2201" s="1">
        <v>3.85</v>
      </c>
      <c r="N2201" s="1">
        <v>0.60331999999999997</v>
      </c>
      <c r="O2201" s="3">
        <f>VLOOKUP(D2201,underlying!$D$40:$H$75,5,FALSE)</f>
        <v>-3.75</v>
      </c>
      <c r="P2201" s="4">
        <f t="shared" si="79"/>
        <v>42895</v>
      </c>
      <c r="Q2201" s="7">
        <f>IF(G2201="C",NormalCallSprd(O2201,H2201,M2201,(P2201-A2201)/365), NormalPutSprd(O2201,H2201,M2201,(P2201-A2201)/365))</f>
        <v>1.2070715878024771</v>
      </c>
      <c r="R2201" s="9">
        <f t="shared" si="81"/>
        <v>7.0715878024771861E-3</v>
      </c>
    </row>
    <row r="2202" spans="1:18" x14ac:dyDescent="0.2">
      <c r="A2202" s="2">
        <v>42622</v>
      </c>
      <c r="B2202" s="1" t="s">
        <v>56</v>
      </c>
      <c r="C2202" s="1" t="s">
        <v>57</v>
      </c>
      <c r="D2202" s="2">
        <v>42741</v>
      </c>
      <c r="E2202" s="2">
        <f t="shared" si="80"/>
        <v>42887</v>
      </c>
      <c r="F2202" s="1" t="s">
        <v>58</v>
      </c>
      <c r="G2202" s="1" t="s">
        <v>16</v>
      </c>
      <c r="H2202" s="1">
        <v>-3.75</v>
      </c>
      <c r="I2202" s="1">
        <v>1.32</v>
      </c>
      <c r="J2202" s="1">
        <v>-0.13</v>
      </c>
      <c r="K2202" s="2">
        <v>42984</v>
      </c>
      <c r="L2202" s="1">
        <v>3716</v>
      </c>
      <c r="M2202" s="1">
        <v>3.84</v>
      </c>
      <c r="N2202" s="1">
        <v>0.62048000000000003</v>
      </c>
      <c r="O2202" s="3">
        <f>VLOOKUP(D2202,underlying!$D$40:$H$75,5,FALSE)</f>
        <v>-3.75</v>
      </c>
      <c r="P2202" s="4">
        <f t="shared" si="79"/>
        <v>42895</v>
      </c>
      <c r="Q2202" s="7">
        <f>IF(G2202="C",NormalCallSprd(O2202,H2202,M2202,(P2202-A2202)/365), NormalPutSprd(O2202,H2202,M2202,(P2202-A2202)/365))</f>
        <v>1.3248788935893299</v>
      </c>
      <c r="R2202" s="9">
        <f t="shared" si="81"/>
        <v>4.8788935893298024E-3</v>
      </c>
    </row>
    <row r="2203" spans="1:18" x14ac:dyDescent="0.2">
      <c r="A2203" s="2">
        <v>42622</v>
      </c>
      <c r="B2203" s="1" t="s">
        <v>56</v>
      </c>
      <c r="C2203" s="1" t="s">
        <v>57</v>
      </c>
      <c r="D2203" s="2">
        <v>42741</v>
      </c>
      <c r="E2203" s="2">
        <f t="shared" si="80"/>
        <v>42887</v>
      </c>
      <c r="F2203" s="1" t="s">
        <v>58</v>
      </c>
      <c r="G2203" s="1" t="s">
        <v>18</v>
      </c>
      <c r="H2203" s="1">
        <v>-3.75</v>
      </c>
      <c r="I2203" s="1">
        <v>1.32</v>
      </c>
      <c r="J2203" s="1">
        <v>0.12</v>
      </c>
      <c r="K2203" s="2">
        <v>42984</v>
      </c>
      <c r="L2203" s="1">
        <v>3716</v>
      </c>
      <c r="M2203" s="1">
        <v>3.84</v>
      </c>
      <c r="N2203" s="1">
        <v>0.63875999999999999</v>
      </c>
      <c r="O2203" s="3">
        <f>VLOOKUP(D2203,underlying!$D$40:$H$75,5,FALSE)</f>
        <v>-3.75</v>
      </c>
      <c r="P2203" s="4">
        <f t="shared" si="79"/>
        <v>42895</v>
      </c>
      <c r="Q2203" s="7">
        <f>IF(G2203="C",NormalCallSprd(O2203,H2203,M2203,(P2203-A2203)/365), NormalPutSprd(O2203,H2203,M2203,(P2203-A2203)/365))</f>
        <v>1.3248788935893299</v>
      </c>
      <c r="R2203" s="9">
        <f t="shared" si="81"/>
        <v>4.8788935893298024E-3</v>
      </c>
    </row>
    <row r="2204" spans="1:18" x14ac:dyDescent="0.2">
      <c r="A2204" s="2">
        <v>42622</v>
      </c>
      <c r="B2204" s="1" t="s">
        <v>56</v>
      </c>
      <c r="C2204" s="1" t="s">
        <v>57</v>
      </c>
      <c r="D2204" s="2">
        <v>42741</v>
      </c>
      <c r="E2204" s="2">
        <f t="shared" si="80"/>
        <v>42887</v>
      </c>
      <c r="F2204" s="1" t="s">
        <v>58</v>
      </c>
      <c r="G2204" s="1" t="s">
        <v>16</v>
      </c>
      <c r="H2204" s="1">
        <v>-3.5</v>
      </c>
      <c r="I2204" s="1">
        <v>1.2</v>
      </c>
      <c r="J2204" s="1">
        <v>-0.12</v>
      </c>
      <c r="K2204" s="2">
        <v>42984</v>
      </c>
      <c r="L2204" s="1">
        <v>3716</v>
      </c>
      <c r="M2204" s="1">
        <v>3.85</v>
      </c>
      <c r="N2204" s="1">
        <v>0.65515000000000001</v>
      </c>
      <c r="O2204" s="3">
        <f>VLOOKUP(D2204,underlying!$D$40:$H$75,5,FALSE)</f>
        <v>-3.75</v>
      </c>
      <c r="P2204" s="4">
        <f t="shared" si="79"/>
        <v>42895</v>
      </c>
      <c r="Q2204" s="7">
        <f>IF(G2204="C",NormalCallSprd(O2204,H2204,M2204,(P2204-A2204)/365), NormalPutSprd(O2204,H2204,M2204,(P2204-A2204)/365))</f>
        <v>1.2070715878024771</v>
      </c>
      <c r="R2204" s="9">
        <f t="shared" si="81"/>
        <v>7.0715878024771861E-3</v>
      </c>
    </row>
    <row r="2205" spans="1:18" x14ac:dyDescent="0.2">
      <c r="A2205" s="2">
        <v>42622</v>
      </c>
      <c r="B2205" s="1" t="s">
        <v>56</v>
      </c>
      <c r="C2205" s="1" t="s">
        <v>57</v>
      </c>
      <c r="D2205" s="2">
        <v>42741</v>
      </c>
      <c r="E2205" s="2">
        <f t="shared" si="80"/>
        <v>42887</v>
      </c>
      <c r="F2205" s="1" t="s">
        <v>58</v>
      </c>
      <c r="G2205" s="1" t="s">
        <v>18</v>
      </c>
      <c r="H2205" s="1">
        <v>-3.5</v>
      </c>
      <c r="I2205" s="1">
        <v>1.45</v>
      </c>
      <c r="J2205" s="1">
        <v>0.13</v>
      </c>
      <c r="K2205" s="2">
        <v>42984</v>
      </c>
      <c r="L2205" s="1">
        <v>3716</v>
      </c>
      <c r="M2205" s="1">
        <v>3.85</v>
      </c>
      <c r="N2205" s="1">
        <v>0.67198000000000002</v>
      </c>
      <c r="O2205" s="3">
        <f>VLOOKUP(D2205,underlying!$D$40:$H$75,5,FALSE)</f>
        <v>-3.75</v>
      </c>
      <c r="P2205" s="4">
        <f t="shared" si="79"/>
        <v>42895</v>
      </c>
      <c r="Q2205" s="7">
        <f>IF(G2205="C",NormalCallSprd(O2205,H2205,M2205,(P2205-A2205)/365), NormalPutSprd(O2205,H2205,M2205,(P2205-A2205)/365))</f>
        <v>1.4570715878024771</v>
      </c>
      <c r="R2205" s="9">
        <f t="shared" si="81"/>
        <v>7.0715878024771861E-3</v>
      </c>
    </row>
    <row r="2206" spans="1:18" x14ac:dyDescent="0.2">
      <c r="A2206" s="2">
        <v>42622</v>
      </c>
      <c r="B2206" s="1" t="s">
        <v>56</v>
      </c>
      <c r="C2206" s="1" t="s">
        <v>57</v>
      </c>
      <c r="D2206" s="2">
        <v>42741</v>
      </c>
      <c r="E2206" s="2">
        <f t="shared" si="80"/>
        <v>42887</v>
      </c>
      <c r="F2206" s="1" t="s">
        <v>58</v>
      </c>
      <c r="G2206" s="1" t="s">
        <v>16</v>
      </c>
      <c r="H2206" s="1">
        <v>-3.25</v>
      </c>
      <c r="I2206" s="1">
        <v>1.0900000000000001</v>
      </c>
      <c r="J2206" s="1">
        <v>-0.11</v>
      </c>
      <c r="K2206" s="2">
        <v>42984</v>
      </c>
      <c r="L2206" s="1">
        <v>3716</v>
      </c>
      <c r="M2206" s="1">
        <v>3.84</v>
      </c>
      <c r="N2206" s="1">
        <v>0.68844000000000005</v>
      </c>
      <c r="O2206" s="3">
        <f>VLOOKUP(D2206,underlying!$D$40:$H$75,5,FALSE)</f>
        <v>-3.75</v>
      </c>
      <c r="P2206" s="4">
        <f t="shared" si="79"/>
        <v>42895</v>
      </c>
      <c r="Q2206" s="7">
        <f>IF(G2206="C",NormalCallSprd(O2206,H2206,M2206,(P2206-A2206)/365), NormalPutSprd(O2206,H2206,M2206,(P2206-A2206)/365))</f>
        <v>1.0898665826561278</v>
      </c>
      <c r="R2206" s="9">
        <f t="shared" si="81"/>
        <v>1.3341734387228854E-4</v>
      </c>
    </row>
    <row r="2207" spans="1:18" x14ac:dyDescent="0.2">
      <c r="A2207" s="2">
        <v>42622</v>
      </c>
      <c r="B2207" s="1" t="s">
        <v>56</v>
      </c>
      <c r="C2207" s="1" t="s">
        <v>57</v>
      </c>
      <c r="D2207" s="2">
        <v>42741</v>
      </c>
      <c r="E2207" s="2">
        <f t="shared" si="80"/>
        <v>42887</v>
      </c>
      <c r="F2207" s="1" t="s">
        <v>58</v>
      </c>
      <c r="G2207" s="1" t="s">
        <v>18</v>
      </c>
      <c r="H2207" s="1">
        <v>-3.25</v>
      </c>
      <c r="I2207" s="1">
        <v>1.58</v>
      </c>
      <c r="J2207" s="1">
        <v>0.13</v>
      </c>
      <c r="K2207" s="2">
        <v>42984</v>
      </c>
      <c r="L2207" s="1">
        <v>3716</v>
      </c>
      <c r="M2207" s="1">
        <v>3.84</v>
      </c>
      <c r="N2207" s="1">
        <v>0.70450000000000002</v>
      </c>
      <c r="O2207" s="3">
        <f>VLOOKUP(D2207,underlying!$D$40:$H$75,5,FALSE)</f>
        <v>-3.75</v>
      </c>
      <c r="P2207" s="4">
        <f t="shared" si="79"/>
        <v>42895</v>
      </c>
      <c r="Q2207" s="7">
        <f>IF(G2207="C",NormalCallSprd(O2207,H2207,M2207,(P2207-A2207)/365), NormalPutSprd(O2207,H2207,M2207,(P2207-A2207)/365))</f>
        <v>1.5898665826561278</v>
      </c>
      <c r="R2207" s="9">
        <f t="shared" si="81"/>
        <v>9.8665826561277203E-3</v>
      </c>
    </row>
    <row r="2208" spans="1:18" x14ac:dyDescent="0.2">
      <c r="A2208" s="2">
        <v>42622</v>
      </c>
      <c r="B2208" s="1" t="s">
        <v>56</v>
      </c>
      <c r="C2208" s="1" t="s">
        <v>57</v>
      </c>
      <c r="D2208" s="2">
        <v>42741</v>
      </c>
      <c r="E2208" s="2">
        <f t="shared" si="80"/>
        <v>42887</v>
      </c>
      <c r="F2208" s="1" t="s">
        <v>58</v>
      </c>
      <c r="G2208" s="1" t="s">
        <v>16</v>
      </c>
      <c r="H2208" s="1">
        <v>-3</v>
      </c>
      <c r="I2208" s="1">
        <v>0.98</v>
      </c>
      <c r="J2208" s="1">
        <v>-0.11</v>
      </c>
      <c r="K2208" s="2">
        <v>42984</v>
      </c>
      <c r="L2208" s="1">
        <v>3716</v>
      </c>
      <c r="M2208" s="1">
        <v>3.84</v>
      </c>
      <c r="N2208" s="1">
        <v>0.72013000000000005</v>
      </c>
      <c r="O2208" s="3">
        <f>VLOOKUP(D2208,underlying!$D$40:$H$75,5,FALSE)</f>
        <v>-3.75</v>
      </c>
      <c r="P2208" s="4">
        <f t="shared" si="79"/>
        <v>42895</v>
      </c>
      <c r="Q2208" s="7">
        <f>IF(G2208="C",NormalCallSprd(O2208,H2208,M2208,(P2208-A2208)/365), NormalPutSprd(O2208,H2208,M2208,(P2208-A2208)/365))</f>
        <v>0.9835220025302428</v>
      </c>
      <c r="R2208" s="9">
        <f t="shared" si="81"/>
        <v>3.5220025302428182E-3</v>
      </c>
    </row>
    <row r="2209" spans="1:18" x14ac:dyDescent="0.2">
      <c r="A2209" s="2">
        <v>42622</v>
      </c>
      <c r="B2209" s="1" t="s">
        <v>56</v>
      </c>
      <c r="C2209" s="1" t="s">
        <v>57</v>
      </c>
      <c r="D2209" s="2">
        <v>42741</v>
      </c>
      <c r="E2209" s="2">
        <f t="shared" si="80"/>
        <v>42887</v>
      </c>
      <c r="F2209" s="1" t="s">
        <v>58</v>
      </c>
      <c r="G2209" s="1" t="s">
        <v>18</v>
      </c>
      <c r="H2209" s="1">
        <v>-3</v>
      </c>
      <c r="I2209" s="1">
        <v>1.73</v>
      </c>
      <c r="J2209" s="1">
        <v>0.14000000000000001</v>
      </c>
      <c r="K2209" s="2">
        <v>42984</v>
      </c>
      <c r="L2209" s="1">
        <v>3716</v>
      </c>
      <c r="M2209" s="1">
        <v>3.84</v>
      </c>
      <c r="N2209" s="1">
        <v>0.73531000000000002</v>
      </c>
      <c r="O2209" s="3">
        <f>VLOOKUP(D2209,underlying!$D$40:$H$75,5,FALSE)</f>
        <v>-3.75</v>
      </c>
      <c r="P2209" s="4">
        <f t="shared" si="79"/>
        <v>42895</v>
      </c>
      <c r="Q2209" s="7">
        <f>IF(G2209="C",NormalCallSprd(O2209,H2209,M2209,(P2209-A2209)/365), NormalPutSprd(O2209,H2209,M2209,(P2209-A2209)/365))</f>
        <v>1.7335220025302427</v>
      </c>
      <c r="R2209" s="9">
        <f t="shared" si="81"/>
        <v>3.5220025302427072E-3</v>
      </c>
    </row>
    <row r="2210" spans="1:18" x14ac:dyDescent="0.2">
      <c r="A2210" s="2">
        <v>42622</v>
      </c>
      <c r="B2210" s="1" t="s">
        <v>56</v>
      </c>
      <c r="C2210" s="1" t="s">
        <v>57</v>
      </c>
      <c r="D2210" s="2">
        <v>42741</v>
      </c>
      <c r="E2210" s="2">
        <f t="shared" si="80"/>
        <v>42887</v>
      </c>
      <c r="F2210" s="1" t="s">
        <v>58</v>
      </c>
      <c r="G2210" s="1" t="s">
        <v>16</v>
      </c>
      <c r="H2210" s="1">
        <v>-2.75</v>
      </c>
      <c r="I2210" s="1">
        <v>0.88</v>
      </c>
      <c r="J2210" s="1">
        <v>-0.1</v>
      </c>
      <c r="K2210" s="2">
        <v>42984</v>
      </c>
      <c r="L2210" s="1">
        <v>3716</v>
      </c>
      <c r="M2210" s="1">
        <v>3.83</v>
      </c>
      <c r="N2210" s="1">
        <v>0.79183000000000003</v>
      </c>
      <c r="O2210" s="3">
        <f>VLOOKUP(D2210,underlying!$D$40:$H$75,5,FALSE)</f>
        <v>-3.75</v>
      </c>
      <c r="P2210" s="4">
        <f t="shared" si="79"/>
        <v>42895</v>
      </c>
      <c r="Q2210" s="7">
        <f>IF(G2210="C",NormalCallSprd(O2210,H2210,M2210,(P2210-A2210)/365), NormalPutSprd(O2210,H2210,M2210,(P2210-A2210)/365))</f>
        <v>0.88119620563841339</v>
      </c>
      <c r="R2210" s="9">
        <f t="shared" si="81"/>
        <v>1.1962056384133835E-3</v>
      </c>
    </row>
    <row r="2211" spans="1:18" x14ac:dyDescent="0.2">
      <c r="A2211" s="2">
        <v>42622</v>
      </c>
      <c r="B2211" s="1" t="s">
        <v>56</v>
      </c>
      <c r="C2211" s="1" t="s">
        <v>57</v>
      </c>
      <c r="D2211" s="2">
        <v>42741</v>
      </c>
      <c r="E2211" s="2">
        <f t="shared" si="80"/>
        <v>42887</v>
      </c>
      <c r="F2211" s="1" t="s">
        <v>58</v>
      </c>
      <c r="G2211" s="1" t="s">
        <v>18</v>
      </c>
      <c r="H2211" s="1">
        <v>-2.75</v>
      </c>
      <c r="I2211" s="1">
        <v>1.87</v>
      </c>
      <c r="J2211" s="1">
        <v>0.14000000000000001</v>
      </c>
      <c r="K2211" s="2">
        <v>42984</v>
      </c>
      <c r="L2211" s="1">
        <v>3716</v>
      </c>
      <c r="M2211" s="1">
        <v>3.83</v>
      </c>
      <c r="N2211" s="1">
        <v>0.84004000000000001</v>
      </c>
      <c r="O2211" s="3">
        <f>VLOOKUP(D2211,underlying!$D$40:$H$75,5,FALSE)</f>
        <v>-3.75</v>
      </c>
      <c r="P2211" s="4">
        <f t="shared" si="79"/>
        <v>42895</v>
      </c>
      <c r="Q2211" s="7">
        <f>IF(G2211="C",NormalCallSprd(O2211,H2211,M2211,(P2211-A2211)/365), NormalPutSprd(O2211,H2211,M2211,(P2211-A2211)/365))</f>
        <v>1.8811962056384135</v>
      </c>
      <c r="R2211" s="9">
        <f t="shared" si="81"/>
        <v>1.1196205638413392E-2</v>
      </c>
    </row>
    <row r="2212" spans="1:18" x14ac:dyDescent="0.2">
      <c r="A2212" s="2">
        <v>42622</v>
      </c>
      <c r="B2212" s="1" t="s">
        <v>56</v>
      </c>
      <c r="C2212" s="1" t="s">
        <v>57</v>
      </c>
      <c r="D2212" s="2">
        <v>42741</v>
      </c>
      <c r="E2212" s="2">
        <f t="shared" si="80"/>
        <v>42887</v>
      </c>
      <c r="F2212" s="1" t="s">
        <v>58</v>
      </c>
      <c r="G2212" s="1" t="s">
        <v>16</v>
      </c>
      <c r="H2212" s="1">
        <v>-2.5</v>
      </c>
      <c r="I2212" s="1">
        <v>0.79</v>
      </c>
      <c r="J2212" s="1">
        <v>-0.09</v>
      </c>
      <c r="K2212" s="2">
        <v>42984</v>
      </c>
      <c r="L2212" s="1">
        <v>3716</v>
      </c>
      <c r="M2212" s="1">
        <v>3.85</v>
      </c>
      <c r="N2212" s="1">
        <v>0.87897999999999998</v>
      </c>
      <c r="O2212" s="3">
        <f>VLOOKUP(D2212,underlying!$D$40:$H$75,5,FALSE)</f>
        <v>-3.75</v>
      </c>
      <c r="P2212" s="4">
        <f t="shared" si="79"/>
        <v>42895</v>
      </c>
      <c r="Q2212" s="7">
        <f>IF(G2212="C",NormalCallSprd(O2212,H2212,M2212,(P2212-A2212)/365), NormalPutSprd(O2212,H2212,M2212,(P2212-A2212)/365))</f>
        <v>0.79585118007900835</v>
      </c>
      <c r="R2212" s="9">
        <f t="shared" si="81"/>
        <v>5.8511800790083113E-3</v>
      </c>
    </row>
    <row r="2213" spans="1:18" x14ac:dyDescent="0.2">
      <c r="A2213" s="2">
        <v>42622</v>
      </c>
      <c r="B2213" s="1" t="s">
        <v>56</v>
      </c>
      <c r="C2213" s="1" t="s">
        <v>57</v>
      </c>
      <c r="D2213" s="2">
        <v>42741</v>
      </c>
      <c r="E2213" s="2">
        <f t="shared" si="80"/>
        <v>42887</v>
      </c>
      <c r="F2213" s="1" t="s">
        <v>58</v>
      </c>
      <c r="G2213" s="1" t="s">
        <v>18</v>
      </c>
      <c r="H2213" s="1">
        <v>-2.5</v>
      </c>
      <c r="I2213" s="1">
        <v>2.04</v>
      </c>
      <c r="J2213" s="1">
        <v>0.16</v>
      </c>
      <c r="K2213" s="2">
        <v>42984</v>
      </c>
      <c r="L2213" s="1">
        <v>3716</v>
      </c>
      <c r="M2213" s="1">
        <v>3.85</v>
      </c>
      <c r="N2213" s="1">
        <v>-0.65515000000000001</v>
      </c>
      <c r="O2213" s="3">
        <f>VLOOKUP(D2213,underlying!$D$40:$H$75,5,FALSE)</f>
        <v>-3.75</v>
      </c>
      <c r="P2213" s="4">
        <f t="shared" si="79"/>
        <v>42895</v>
      </c>
      <c r="Q2213" s="7">
        <f>IF(G2213="C",NormalCallSprd(O2213,H2213,M2213,(P2213-A2213)/365), NormalPutSprd(O2213,H2213,M2213,(P2213-A2213)/365))</f>
        <v>2.0458511800790085</v>
      </c>
      <c r="R2213" s="9">
        <f t="shared" si="81"/>
        <v>5.8511800790084223E-3</v>
      </c>
    </row>
    <row r="2214" spans="1:18" x14ac:dyDescent="0.2">
      <c r="A2214" s="2">
        <v>42622</v>
      </c>
      <c r="B2214" s="1" t="s">
        <v>56</v>
      </c>
      <c r="C2214" s="1" t="s">
        <v>57</v>
      </c>
      <c r="D2214" s="2">
        <v>42741</v>
      </c>
      <c r="E2214" s="2">
        <f t="shared" si="80"/>
        <v>42887</v>
      </c>
      <c r="F2214" s="1" t="s">
        <v>58</v>
      </c>
      <c r="G2214" s="1" t="s">
        <v>16</v>
      </c>
      <c r="H2214" s="1">
        <v>-2.25</v>
      </c>
      <c r="I2214" s="1">
        <v>0.7</v>
      </c>
      <c r="J2214" s="1">
        <v>-0.09</v>
      </c>
      <c r="K2214" s="2">
        <v>42984</v>
      </c>
      <c r="L2214" s="1">
        <v>3716</v>
      </c>
      <c r="M2214" s="1">
        <v>3.83</v>
      </c>
      <c r="N2214" s="1">
        <v>-0.63797000000000004</v>
      </c>
      <c r="O2214" s="3">
        <f>VLOOKUP(D2214,underlying!$D$40:$H$75,5,FALSE)</f>
        <v>-3.75</v>
      </c>
      <c r="P2214" s="4">
        <f t="shared" si="79"/>
        <v>42895</v>
      </c>
      <c r="Q2214" s="7">
        <f>IF(G2214="C",NormalCallSprd(O2214,H2214,M2214,(P2214-A2214)/365), NormalPutSprd(O2214,H2214,M2214,(P2214-A2214)/365))</f>
        <v>0.70465648718093976</v>
      </c>
      <c r="R2214" s="9">
        <f t="shared" si="81"/>
        <v>4.6564871809398056E-3</v>
      </c>
    </row>
    <row r="2215" spans="1:18" x14ac:dyDescent="0.2">
      <c r="A2215" s="2">
        <v>42622</v>
      </c>
      <c r="B2215" s="1" t="s">
        <v>56</v>
      </c>
      <c r="C2215" s="1" t="s">
        <v>57</v>
      </c>
      <c r="D2215" s="2">
        <v>42741</v>
      </c>
      <c r="E2215" s="2">
        <f t="shared" si="80"/>
        <v>42887</v>
      </c>
      <c r="F2215" s="1" t="s">
        <v>58</v>
      </c>
      <c r="G2215" s="1" t="s">
        <v>18</v>
      </c>
      <c r="H2215" s="1">
        <v>-2.25</v>
      </c>
      <c r="I2215" s="1">
        <v>2.2000000000000002</v>
      </c>
      <c r="J2215" s="1">
        <v>0.16</v>
      </c>
      <c r="K2215" s="2">
        <v>42984</v>
      </c>
      <c r="L2215" s="1">
        <v>3716</v>
      </c>
      <c r="M2215" s="1">
        <v>3.83</v>
      </c>
      <c r="N2215" s="1">
        <v>-0.62048000000000003</v>
      </c>
      <c r="O2215" s="3">
        <f>VLOOKUP(D2215,underlying!$D$40:$H$75,5,FALSE)</f>
        <v>-3.75</v>
      </c>
      <c r="P2215" s="4">
        <f t="shared" si="79"/>
        <v>42895</v>
      </c>
      <c r="Q2215" s="7">
        <f>IF(G2215="C",NormalCallSprd(O2215,H2215,M2215,(P2215-A2215)/365), NormalPutSprd(O2215,H2215,M2215,(P2215-A2215)/365))</f>
        <v>2.2046564871809395</v>
      </c>
      <c r="R2215" s="9">
        <f t="shared" si="81"/>
        <v>4.6564871809393615E-3</v>
      </c>
    </row>
    <row r="2216" spans="1:18" x14ac:dyDescent="0.2">
      <c r="A2216" s="2">
        <v>42622</v>
      </c>
      <c r="B2216" s="1" t="s">
        <v>56</v>
      </c>
      <c r="C2216" s="1" t="s">
        <v>57</v>
      </c>
      <c r="D2216" s="2">
        <v>42741</v>
      </c>
      <c r="E2216" s="2">
        <f t="shared" si="80"/>
        <v>42887</v>
      </c>
      <c r="F2216" s="1" t="s">
        <v>58</v>
      </c>
      <c r="G2216" s="1" t="s">
        <v>16</v>
      </c>
      <c r="H2216" s="1">
        <v>-2</v>
      </c>
      <c r="I2216" s="1">
        <v>0.63</v>
      </c>
      <c r="J2216" s="1">
        <v>-7.0000000000000007E-2</v>
      </c>
      <c r="K2216" s="2">
        <v>42984</v>
      </c>
      <c r="L2216" s="1">
        <v>3716</v>
      </c>
      <c r="M2216" s="1">
        <v>3.85</v>
      </c>
      <c r="N2216" s="1">
        <v>-0.60301000000000005</v>
      </c>
      <c r="O2216" s="3">
        <f>VLOOKUP(D2216,underlying!$D$40:$H$75,5,FALSE)</f>
        <v>-3.75</v>
      </c>
      <c r="P2216" s="4">
        <f t="shared" si="79"/>
        <v>42895</v>
      </c>
      <c r="Q2216" s="7">
        <f>IF(G2216="C",NormalCallSprd(O2216,H2216,M2216,(P2216-A2216)/365), NormalPutSprd(O2216,H2216,M2216,(P2216-A2216)/365))</f>
        <v>0.63268762355463648</v>
      </c>
      <c r="R2216" s="9">
        <f t="shared" si="81"/>
        <v>2.6876235546364757E-3</v>
      </c>
    </row>
    <row r="2217" spans="1:18" x14ac:dyDescent="0.2">
      <c r="A2217" s="2">
        <v>42622</v>
      </c>
      <c r="B2217" s="1" t="s">
        <v>56</v>
      </c>
      <c r="C2217" s="1" t="s">
        <v>57</v>
      </c>
      <c r="D2217" s="2">
        <v>42741</v>
      </c>
      <c r="E2217" s="2">
        <f t="shared" si="80"/>
        <v>42887</v>
      </c>
      <c r="F2217" s="1" t="s">
        <v>58</v>
      </c>
      <c r="G2217" s="1" t="s">
        <v>18</v>
      </c>
      <c r="H2217" s="1">
        <v>-2</v>
      </c>
      <c r="I2217" s="1">
        <v>2.37</v>
      </c>
      <c r="J2217" s="1">
        <v>0.17</v>
      </c>
      <c r="K2217" s="2">
        <v>42984</v>
      </c>
      <c r="L2217" s="1">
        <v>3716</v>
      </c>
      <c r="M2217" s="1">
        <v>3.85</v>
      </c>
      <c r="N2217" s="1">
        <v>-0.58496000000000004</v>
      </c>
      <c r="O2217" s="3">
        <f>VLOOKUP(D2217,underlying!$D$40:$H$75,5,FALSE)</f>
        <v>-3.75</v>
      </c>
      <c r="P2217" s="4">
        <f t="shared" si="79"/>
        <v>42895</v>
      </c>
      <c r="Q2217" s="7">
        <f>IF(G2217="C",NormalCallSprd(O2217,H2217,M2217,(P2217-A2217)/365), NormalPutSprd(O2217,H2217,M2217,(P2217-A2217)/365))</f>
        <v>2.3826876235546366</v>
      </c>
      <c r="R2217" s="9">
        <f t="shared" si="81"/>
        <v>1.2687623554636485E-2</v>
      </c>
    </row>
    <row r="2218" spans="1:18" x14ac:dyDescent="0.2">
      <c r="A2218" s="2">
        <v>42622</v>
      </c>
      <c r="B2218" s="1" t="s">
        <v>56</v>
      </c>
      <c r="C2218" s="1" t="s">
        <v>57</v>
      </c>
      <c r="D2218" s="2">
        <v>42741</v>
      </c>
      <c r="E2218" s="2">
        <f t="shared" si="80"/>
        <v>42887</v>
      </c>
      <c r="F2218" s="1" t="s">
        <v>58</v>
      </c>
      <c r="G2218" s="1" t="s">
        <v>16</v>
      </c>
      <c r="H2218" s="1">
        <v>-1.75</v>
      </c>
      <c r="I2218" s="1">
        <v>0.55000000000000004</v>
      </c>
      <c r="J2218" s="1">
        <v>-0.08</v>
      </c>
      <c r="K2218" s="2">
        <v>42984</v>
      </c>
      <c r="L2218" s="1">
        <v>3716</v>
      </c>
      <c r="M2218" s="1">
        <v>3.83</v>
      </c>
      <c r="N2218" s="1">
        <v>-0.56689999999999996</v>
      </c>
      <c r="O2218" s="3">
        <f>VLOOKUP(D2218,underlying!$D$40:$H$75,5,FALSE)</f>
        <v>-3.75</v>
      </c>
      <c r="P2218" s="4">
        <f t="shared" si="79"/>
        <v>42895</v>
      </c>
      <c r="Q2218" s="7">
        <f>IF(G2218="C",NormalCallSprd(O2218,H2218,M2218,(P2218-A2218)/365), NormalPutSprd(O2218,H2218,M2218,(P2218-A2218)/365))</f>
        <v>0.55525176599407944</v>
      </c>
      <c r="R2218" s="9">
        <f t="shared" si="81"/>
        <v>5.2517659940793937E-3</v>
      </c>
    </row>
    <row r="2219" spans="1:18" x14ac:dyDescent="0.2">
      <c r="A2219" s="2">
        <v>42622</v>
      </c>
      <c r="B2219" s="1" t="s">
        <v>56</v>
      </c>
      <c r="C2219" s="1" t="s">
        <v>57</v>
      </c>
      <c r="D2219" s="2">
        <v>42741</v>
      </c>
      <c r="E2219" s="2">
        <f t="shared" si="80"/>
        <v>42887</v>
      </c>
      <c r="F2219" s="1" t="s">
        <v>58</v>
      </c>
      <c r="G2219" s="1" t="s">
        <v>18</v>
      </c>
      <c r="H2219" s="1">
        <v>-1.75</v>
      </c>
      <c r="I2219" s="1">
        <v>2.54</v>
      </c>
      <c r="J2219" s="1">
        <v>0.16</v>
      </c>
      <c r="K2219" s="2">
        <v>42984</v>
      </c>
      <c r="L2219" s="1">
        <v>3716</v>
      </c>
      <c r="M2219" s="1">
        <v>3.83</v>
      </c>
      <c r="N2219" s="1">
        <v>-0.54825999999999997</v>
      </c>
      <c r="O2219" s="3">
        <f>VLOOKUP(D2219,underlying!$D$40:$H$75,5,FALSE)</f>
        <v>-3.75</v>
      </c>
      <c r="P2219" s="4">
        <f t="shared" si="79"/>
        <v>42895</v>
      </c>
      <c r="Q2219" s="7">
        <f>IF(G2219="C",NormalCallSprd(O2219,H2219,M2219,(P2219-A2219)/365), NormalPutSprd(O2219,H2219,M2219,(P2219-A2219)/365))</f>
        <v>2.5552517659940794</v>
      </c>
      <c r="R2219" s="9">
        <f t="shared" si="81"/>
        <v>1.5251765994079403E-2</v>
      </c>
    </row>
    <row r="2220" spans="1:18" x14ac:dyDescent="0.2">
      <c r="A2220" s="2">
        <v>42622</v>
      </c>
      <c r="B2220" s="1" t="s">
        <v>56</v>
      </c>
      <c r="C2220" s="1" t="s">
        <v>57</v>
      </c>
      <c r="D2220" s="2">
        <v>42741</v>
      </c>
      <c r="E2220" s="2">
        <f t="shared" si="80"/>
        <v>42887</v>
      </c>
      <c r="F2220" s="1" t="s">
        <v>58</v>
      </c>
      <c r="G2220" s="1" t="s">
        <v>16</v>
      </c>
      <c r="H2220" s="1">
        <v>-1.5</v>
      </c>
      <c r="I2220" s="1">
        <v>0.49</v>
      </c>
      <c r="J2220" s="1">
        <v>-7.0000000000000007E-2</v>
      </c>
      <c r="K2220" s="2">
        <v>42984</v>
      </c>
      <c r="L2220" s="1">
        <v>3716</v>
      </c>
      <c r="M2220" s="1">
        <v>3.85</v>
      </c>
      <c r="N2220" s="1">
        <v>-0.52971000000000001</v>
      </c>
      <c r="O2220" s="3">
        <f>VLOOKUP(D2220,underlying!$D$40:$H$75,5,FALSE)</f>
        <v>-3.75</v>
      </c>
      <c r="P2220" s="4">
        <f t="shared" si="79"/>
        <v>42895</v>
      </c>
      <c r="Q2220" s="7">
        <f>IF(G2220="C",NormalCallSprd(O2220,H2220,M2220,(P2220-A2220)/365), NormalPutSprd(O2220,H2220,M2220,(P2220-A2220)/365))</f>
        <v>0.49557838636018825</v>
      </c>
      <c r="R2220" s="9">
        <f t="shared" si="81"/>
        <v>5.5783863601882588E-3</v>
      </c>
    </row>
    <row r="2221" spans="1:18" x14ac:dyDescent="0.2">
      <c r="A2221" s="2">
        <v>42622</v>
      </c>
      <c r="B2221" s="1" t="s">
        <v>56</v>
      </c>
      <c r="C2221" s="1" t="s">
        <v>57</v>
      </c>
      <c r="D2221" s="2">
        <v>42741</v>
      </c>
      <c r="E2221" s="2">
        <f t="shared" si="80"/>
        <v>42887</v>
      </c>
      <c r="F2221" s="1" t="s">
        <v>58</v>
      </c>
      <c r="G2221" s="1" t="s">
        <v>18</v>
      </c>
      <c r="H2221" s="1">
        <v>-1.5</v>
      </c>
      <c r="I2221" s="1">
        <v>2.73</v>
      </c>
      <c r="J2221" s="1">
        <v>0.18</v>
      </c>
      <c r="K2221" s="2">
        <v>42984</v>
      </c>
      <c r="L2221" s="1">
        <v>3716</v>
      </c>
      <c r="M2221" s="1">
        <v>3.85</v>
      </c>
      <c r="N2221" s="1">
        <v>-0.51102000000000003</v>
      </c>
      <c r="O2221" s="3">
        <f>VLOOKUP(D2221,underlying!$D$40:$H$75,5,FALSE)</f>
        <v>-3.75</v>
      </c>
      <c r="P2221" s="4">
        <f t="shared" si="79"/>
        <v>42895</v>
      </c>
      <c r="Q2221" s="7">
        <f>IF(G2221="C",NormalCallSprd(O2221,H2221,M2221,(P2221-A2221)/365), NormalPutSprd(O2221,H2221,M2221,(P2221-A2221)/365))</f>
        <v>2.7455783863601884</v>
      </c>
      <c r="R2221" s="9">
        <f t="shared" si="81"/>
        <v>1.5578386360188379E-2</v>
      </c>
    </row>
    <row r="2222" spans="1:18" x14ac:dyDescent="0.2">
      <c r="A2222" s="2">
        <v>42622</v>
      </c>
      <c r="B2222" s="1" t="s">
        <v>56</v>
      </c>
      <c r="C2222" s="1" t="s">
        <v>57</v>
      </c>
      <c r="D2222" s="2">
        <v>42741</v>
      </c>
      <c r="E2222" s="2">
        <f t="shared" si="80"/>
        <v>42887</v>
      </c>
      <c r="F2222" s="1" t="s">
        <v>58</v>
      </c>
      <c r="G2222" s="1" t="s">
        <v>16</v>
      </c>
      <c r="H2222" s="1">
        <v>-1.25</v>
      </c>
      <c r="I2222" s="1">
        <v>0.44</v>
      </c>
      <c r="J2222" s="1">
        <v>-0.06</v>
      </c>
      <c r="K2222" s="2">
        <v>42984</v>
      </c>
      <c r="L2222" s="1">
        <v>3716</v>
      </c>
      <c r="M2222" s="1">
        <v>3.86</v>
      </c>
      <c r="N2222" s="1">
        <v>-0.49238999999999999</v>
      </c>
      <c r="O2222" s="3">
        <f>VLOOKUP(D2222,underlying!$D$40:$H$75,5,FALSE)</f>
        <v>-3.75</v>
      </c>
      <c r="P2222" s="4">
        <f t="shared" si="79"/>
        <v>42895</v>
      </c>
      <c r="Q2222" s="7">
        <f>IF(G2222="C",NormalCallSprd(O2222,H2222,M2222,(P2222-A2222)/365), NormalPutSprd(O2222,H2222,M2222,(P2222-A2222)/365))</f>
        <v>0.43871199909442243</v>
      </c>
      <c r="R2222" s="9">
        <f t="shared" si="81"/>
        <v>1.2880009055775687E-3</v>
      </c>
    </row>
    <row r="2223" spans="1:18" x14ac:dyDescent="0.2">
      <c r="A2223" s="2">
        <v>42622</v>
      </c>
      <c r="B2223" s="1" t="s">
        <v>56</v>
      </c>
      <c r="C2223" s="1" t="s">
        <v>57</v>
      </c>
      <c r="D2223" s="2">
        <v>42741</v>
      </c>
      <c r="E2223" s="2">
        <f t="shared" si="80"/>
        <v>42887</v>
      </c>
      <c r="F2223" s="1" t="s">
        <v>58</v>
      </c>
      <c r="G2223" s="1" t="s">
        <v>18</v>
      </c>
      <c r="H2223" s="1">
        <v>-1.25</v>
      </c>
      <c r="I2223" s="1">
        <v>2.93</v>
      </c>
      <c r="J2223" s="1">
        <v>0.19</v>
      </c>
      <c r="K2223" s="2">
        <v>42984</v>
      </c>
      <c r="L2223" s="1">
        <v>3716</v>
      </c>
      <c r="M2223" s="1">
        <v>3.86</v>
      </c>
      <c r="N2223" s="1">
        <v>-0.47376000000000001</v>
      </c>
      <c r="O2223" s="3">
        <f>VLOOKUP(D2223,underlying!$D$40:$H$75,5,FALSE)</f>
        <v>-3.75</v>
      </c>
      <c r="P2223" s="4">
        <f t="shared" si="79"/>
        <v>42895</v>
      </c>
      <c r="Q2223" s="7">
        <f>IF(G2223="C",NormalCallSprd(O2223,H2223,M2223,(P2223-A2223)/365), NormalPutSprd(O2223,H2223,M2223,(P2223-A2223)/365))</f>
        <v>2.9387119990944224</v>
      </c>
      <c r="R2223" s="9">
        <f t="shared" si="81"/>
        <v>8.7119990944222181E-3</v>
      </c>
    </row>
    <row r="2224" spans="1:18" x14ac:dyDescent="0.2">
      <c r="A2224" s="2">
        <v>42622</v>
      </c>
      <c r="B2224" s="1" t="s">
        <v>56</v>
      </c>
      <c r="C2224" s="1" t="s">
        <v>57</v>
      </c>
      <c r="D2224" s="2">
        <v>42741</v>
      </c>
      <c r="E2224" s="2">
        <f t="shared" si="80"/>
        <v>42887</v>
      </c>
      <c r="F2224" s="1" t="s">
        <v>58</v>
      </c>
      <c r="G2224" s="1" t="s">
        <v>16</v>
      </c>
      <c r="H2224" s="1">
        <v>-1</v>
      </c>
      <c r="I2224" s="1">
        <v>0.38</v>
      </c>
      <c r="J2224" s="1">
        <v>-0.06</v>
      </c>
      <c r="K2224" s="2">
        <v>42984</v>
      </c>
      <c r="L2224" s="1">
        <v>3716</v>
      </c>
      <c r="M2224" s="1">
        <v>3.84</v>
      </c>
      <c r="N2224" s="1">
        <v>-0.45506999999999997</v>
      </c>
      <c r="O2224" s="3">
        <f>VLOOKUP(D2224,underlying!$D$40:$H$75,5,FALSE)</f>
        <v>-3.75</v>
      </c>
      <c r="P2224" s="4">
        <f t="shared" si="79"/>
        <v>42895</v>
      </c>
      <c r="Q2224" s="7">
        <f>IF(G2224="C",NormalCallSprd(O2224,H2224,M2224,(P2224-A2224)/365), NormalPutSprd(O2224,H2224,M2224,(P2224-A2224)/365))</f>
        <v>0.37983333222490656</v>
      </c>
      <c r="R2224" s="9">
        <f t="shared" si="81"/>
        <v>1.666677750934431E-4</v>
      </c>
    </row>
    <row r="2225" spans="1:18" x14ac:dyDescent="0.2">
      <c r="A2225" s="2">
        <v>42622</v>
      </c>
      <c r="B2225" s="1" t="s">
        <v>56</v>
      </c>
      <c r="C2225" s="1" t="s">
        <v>57</v>
      </c>
      <c r="D2225" s="2">
        <v>42741</v>
      </c>
      <c r="E2225" s="2">
        <f t="shared" si="80"/>
        <v>42887</v>
      </c>
      <c r="F2225" s="1" t="s">
        <v>58</v>
      </c>
      <c r="G2225" s="1" t="s">
        <v>18</v>
      </c>
      <c r="H2225" s="1">
        <v>-1</v>
      </c>
      <c r="I2225" s="1">
        <v>3.12</v>
      </c>
      <c r="J2225" s="1">
        <v>0.19</v>
      </c>
      <c r="K2225" s="2">
        <v>42984</v>
      </c>
      <c r="L2225" s="1">
        <v>3716</v>
      </c>
      <c r="M2225" s="1">
        <v>3.84</v>
      </c>
      <c r="N2225" s="1">
        <v>-0.43651000000000001</v>
      </c>
      <c r="O2225" s="3">
        <f>VLOOKUP(D2225,underlying!$D$40:$H$75,5,FALSE)</f>
        <v>-3.75</v>
      </c>
      <c r="P2225" s="4">
        <f t="shared" si="79"/>
        <v>42895</v>
      </c>
      <c r="Q2225" s="7">
        <f>IF(G2225="C",NormalCallSprd(O2225,H2225,M2225,(P2225-A2225)/365), NormalPutSprd(O2225,H2225,M2225,(P2225-A2225)/365))</f>
        <v>3.1298333322249068</v>
      </c>
      <c r="R2225" s="9">
        <f t="shared" si="81"/>
        <v>9.8333322249066768E-3</v>
      </c>
    </row>
    <row r="2226" spans="1:18" x14ac:dyDescent="0.2">
      <c r="A2226" s="2">
        <v>42622</v>
      </c>
      <c r="B2226" s="1" t="s">
        <v>56</v>
      </c>
      <c r="C2226" s="1" t="s">
        <v>57</v>
      </c>
      <c r="D2226" s="2">
        <v>42741</v>
      </c>
      <c r="E2226" s="2">
        <f t="shared" si="80"/>
        <v>42887</v>
      </c>
      <c r="F2226" s="1" t="s">
        <v>58</v>
      </c>
      <c r="G2226" s="1" t="s">
        <v>16</v>
      </c>
      <c r="H2226" s="1">
        <v>-0.75</v>
      </c>
      <c r="I2226" s="1">
        <v>0.33</v>
      </c>
      <c r="J2226" s="1">
        <v>-0.05</v>
      </c>
      <c r="K2226" s="2">
        <v>42984</v>
      </c>
      <c r="L2226" s="1">
        <v>3716</v>
      </c>
      <c r="M2226" s="1">
        <v>3.85</v>
      </c>
      <c r="N2226" s="1">
        <v>-0.41787000000000002</v>
      </c>
      <c r="O2226" s="3">
        <f>VLOOKUP(D2226,underlying!$D$40:$H$75,5,FALSE)</f>
        <v>-3.75</v>
      </c>
      <c r="P2226" s="4">
        <f t="shared" si="79"/>
        <v>42895</v>
      </c>
      <c r="Q2226" s="7">
        <f>IF(G2226="C",NormalCallSprd(O2226,H2226,M2226,(P2226-A2226)/365), NormalPutSprd(O2226,H2226,M2226,(P2226-A2226)/365))</f>
        <v>0.33378477460832889</v>
      </c>
      <c r="R2226" s="9">
        <f t="shared" si="81"/>
        <v>3.784774608328878E-3</v>
      </c>
    </row>
    <row r="2227" spans="1:18" x14ac:dyDescent="0.2">
      <c r="A2227" s="2">
        <v>42622</v>
      </c>
      <c r="B2227" s="1" t="s">
        <v>56</v>
      </c>
      <c r="C2227" s="1" t="s">
        <v>57</v>
      </c>
      <c r="D2227" s="2">
        <v>42741</v>
      </c>
      <c r="E2227" s="2">
        <f t="shared" si="80"/>
        <v>42887</v>
      </c>
      <c r="F2227" s="1" t="s">
        <v>58</v>
      </c>
      <c r="G2227" s="1" t="s">
        <v>18</v>
      </c>
      <c r="H2227" s="1">
        <v>-0.75</v>
      </c>
      <c r="I2227" s="1">
        <v>3.32</v>
      </c>
      <c r="J2227" s="1">
        <v>0.2</v>
      </c>
      <c r="K2227" s="2">
        <v>42984</v>
      </c>
      <c r="L2227" s="1">
        <v>3716</v>
      </c>
      <c r="M2227" s="1">
        <v>3.85</v>
      </c>
      <c r="N2227" s="1">
        <v>-0.40007999999999999</v>
      </c>
      <c r="O2227" s="3">
        <f>VLOOKUP(D2227,underlying!$D$40:$H$75,5,FALSE)</f>
        <v>-3.75</v>
      </c>
      <c r="P2227" s="4">
        <f t="shared" si="79"/>
        <v>42895</v>
      </c>
      <c r="Q2227" s="7">
        <f>IF(G2227="C",NormalCallSprd(O2227,H2227,M2227,(P2227-A2227)/365), NormalPutSprd(O2227,H2227,M2227,(P2227-A2227)/365))</f>
        <v>3.3337847746083287</v>
      </c>
      <c r="R2227" s="9">
        <f t="shared" si="81"/>
        <v>1.3784774608328831E-2</v>
      </c>
    </row>
    <row r="2228" spans="1:18" x14ac:dyDescent="0.2">
      <c r="A2228" s="2">
        <v>42622</v>
      </c>
      <c r="B2228" s="1" t="s">
        <v>56</v>
      </c>
      <c r="C2228" s="1" t="s">
        <v>57</v>
      </c>
      <c r="D2228" s="2">
        <v>42741</v>
      </c>
      <c r="E2228" s="2">
        <f t="shared" si="80"/>
        <v>42887</v>
      </c>
      <c r="F2228" s="1" t="s">
        <v>58</v>
      </c>
      <c r="G2228" s="1" t="s">
        <v>16</v>
      </c>
      <c r="H2228" s="1">
        <v>-0.5</v>
      </c>
      <c r="I2228" s="1">
        <v>0.28999999999999998</v>
      </c>
      <c r="J2228" s="1">
        <v>-0.04</v>
      </c>
      <c r="K2228" s="2">
        <v>42984</v>
      </c>
      <c r="L2228" s="1">
        <v>3716</v>
      </c>
      <c r="M2228" s="1">
        <v>3.85</v>
      </c>
      <c r="N2228" s="1">
        <v>-0.38146000000000002</v>
      </c>
      <c r="O2228" s="3">
        <f>VLOOKUP(D2228,underlying!$D$40:$H$75,5,FALSE)</f>
        <v>-3.75</v>
      </c>
      <c r="P2228" s="4">
        <f t="shared" si="79"/>
        <v>42895</v>
      </c>
      <c r="Q2228" s="7">
        <f>IF(G2228="C",NormalCallSprd(O2228,H2228,M2228,(P2228-A2228)/365), NormalPutSprd(O2228,H2228,M2228,(P2228-A2228)/365))</f>
        <v>0.29027497451608736</v>
      </c>
      <c r="R2228" s="9">
        <f t="shared" si="81"/>
        <v>2.7497451608737844E-4</v>
      </c>
    </row>
    <row r="2229" spans="1:18" x14ac:dyDescent="0.2">
      <c r="A2229" s="2">
        <v>42622</v>
      </c>
      <c r="B2229" s="1" t="s">
        <v>56</v>
      </c>
      <c r="C2229" s="1" t="s">
        <v>57</v>
      </c>
      <c r="D2229" s="2">
        <v>42741</v>
      </c>
      <c r="E2229" s="2">
        <f t="shared" si="80"/>
        <v>42887</v>
      </c>
      <c r="F2229" s="1" t="s">
        <v>58</v>
      </c>
      <c r="G2229" s="1" t="s">
        <v>18</v>
      </c>
      <c r="H2229" s="1">
        <v>-0.5</v>
      </c>
      <c r="I2229" s="1">
        <v>3.53</v>
      </c>
      <c r="J2229" s="1">
        <v>0.21</v>
      </c>
      <c r="K2229" s="2">
        <v>42984</v>
      </c>
      <c r="L2229" s="1">
        <v>3716</v>
      </c>
      <c r="M2229" s="1">
        <v>3.85</v>
      </c>
      <c r="N2229" s="1">
        <v>-0.36430000000000001</v>
      </c>
      <c r="O2229" s="3">
        <f>VLOOKUP(D2229,underlying!$D$40:$H$75,5,FALSE)</f>
        <v>-3.75</v>
      </c>
      <c r="P2229" s="4">
        <f t="shared" si="79"/>
        <v>42895</v>
      </c>
      <c r="Q2229" s="7">
        <f>IF(G2229="C",NormalCallSprd(O2229,H2229,M2229,(P2229-A2229)/365), NormalPutSprd(O2229,H2229,M2229,(P2229-A2229)/365))</f>
        <v>3.5402749745160875</v>
      </c>
      <c r="R2229" s="9">
        <f t="shared" si="81"/>
        <v>1.027497451608772E-2</v>
      </c>
    </row>
    <row r="2230" spans="1:18" x14ac:dyDescent="0.2">
      <c r="A2230" s="2">
        <v>42622</v>
      </c>
      <c r="B2230" s="1" t="s">
        <v>56</v>
      </c>
      <c r="C2230" s="1" t="s">
        <v>57</v>
      </c>
      <c r="D2230" s="2">
        <v>42741</v>
      </c>
      <c r="E2230" s="2">
        <f t="shared" si="80"/>
        <v>42887</v>
      </c>
      <c r="F2230" s="1" t="s">
        <v>58</v>
      </c>
      <c r="G2230" s="1" t="s">
        <v>16</v>
      </c>
      <c r="H2230" s="1">
        <v>-0.25</v>
      </c>
      <c r="I2230" s="1">
        <v>0.25</v>
      </c>
      <c r="J2230" s="1">
        <v>-0.04</v>
      </c>
      <c r="K2230" s="2">
        <v>42984</v>
      </c>
      <c r="L2230" s="1">
        <v>3716</v>
      </c>
      <c r="M2230" s="1">
        <v>3.85</v>
      </c>
      <c r="N2230" s="1">
        <v>-0.34601999999999999</v>
      </c>
      <c r="O2230" s="3">
        <f>VLOOKUP(D2230,underlying!$D$40:$H$75,5,FALSE)</f>
        <v>-3.75</v>
      </c>
      <c r="P2230" s="4">
        <f t="shared" si="79"/>
        <v>42895</v>
      </c>
      <c r="Q2230" s="7">
        <f>IF(G2230="C",NormalCallSprd(O2230,H2230,M2230,(P2230-A2230)/365), NormalPutSprd(O2230,H2230,M2230,(P2230-A2230)/365))</f>
        <v>0.25141567147807509</v>
      </c>
      <c r="R2230" s="9">
        <f t="shared" si="81"/>
        <v>1.4156714780750868E-3</v>
      </c>
    </row>
    <row r="2231" spans="1:18" x14ac:dyDescent="0.2">
      <c r="A2231" s="2">
        <v>42622</v>
      </c>
      <c r="B2231" s="1" t="s">
        <v>56</v>
      </c>
      <c r="C2231" s="1" t="s">
        <v>57</v>
      </c>
      <c r="D2231" s="2">
        <v>42741</v>
      </c>
      <c r="E2231" s="2">
        <f t="shared" si="80"/>
        <v>42887</v>
      </c>
      <c r="F2231" s="1" t="s">
        <v>58</v>
      </c>
      <c r="G2231" s="1" t="s">
        <v>18</v>
      </c>
      <c r="H2231" s="1">
        <v>-0.25</v>
      </c>
      <c r="I2231" s="1">
        <v>3.74</v>
      </c>
      <c r="J2231" s="1">
        <v>0.21</v>
      </c>
      <c r="K2231" s="2">
        <v>42984</v>
      </c>
      <c r="L2231" s="1">
        <v>3716</v>
      </c>
      <c r="M2231" s="1">
        <v>3.85</v>
      </c>
      <c r="N2231" s="1">
        <v>-0.32962999999999998</v>
      </c>
      <c r="O2231" s="3">
        <f>VLOOKUP(D2231,underlying!$D$40:$H$75,5,FALSE)</f>
        <v>-3.75</v>
      </c>
      <c r="P2231" s="4">
        <f t="shared" si="79"/>
        <v>42895</v>
      </c>
      <c r="Q2231" s="7">
        <f>IF(G2231="C",NormalCallSprd(O2231,H2231,M2231,(P2231-A2231)/365), NormalPutSprd(O2231,H2231,M2231,(P2231-A2231)/365))</f>
        <v>3.7514156714780751</v>
      </c>
      <c r="R2231" s="9">
        <f t="shared" si="81"/>
        <v>1.1415671478074874E-2</v>
      </c>
    </row>
    <row r="2232" spans="1:18" x14ac:dyDescent="0.2">
      <c r="A2232" s="2">
        <v>42622</v>
      </c>
      <c r="B2232" s="1" t="s">
        <v>56</v>
      </c>
      <c r="C2232" s="1" t="s">
        <v>57</v>
      </c>
      <c r="D2232" s="2">
        <v>42742</v>
      </c>
      <c r="E2232" s="2">
        <f t="shared" si="80"/>
        <v>42917</v>
      </c>
      <c r="F2232" s="1" t="s">
        <v>58</v>
      </c>
      <c r="G2232" s="1" t="s">
        <v>16</v>
      </c>
      <c r="H2232" s="1">
        <v>-10</v>
      </c>
      <c r="I2232" s="1">
        <v>6.75</v>
      </c>
      <c r="J2232" s="1">
        <v>0</v>
      </c>
      <c r="K2232" s="2">
        <v>43046</v>
      </c>
      <c r="L2232" s="1">
        <v>3716</v>
      </c>
      <c r="M2232" s="1">
        <v>3.78</v>
      </c>
      <c r="N2232" s="1">
        <v>-0.31280000000000002</v>
      </c>
      <c r="O2232" s="3">
        <f>VLOOKUP(D2232,underlying!$D$40:$H$75,5,FALSE)</f>
        <v>-3.25</v>
      </c>
      <c r="P2232" s="4">
        <f t="shared" si="79"/>
        <v>42927</v>
      </c>
      <c r="Q2232" s="7">
        <f>IF(G2232="C",NormalCallSprd(O2232,H2232,M2232,(P2232-A2232)/365), NormalPutSprd(O2232,H2232,M2232,(P2232-A2232)/365))</f>
        <v>6.7832039459043241</v>
      </c>
      <c r="R2232" s="9">
        <f t="shared" si="81"/>
        <v>3.3203945904324073E-2</v>
      </c>
    </row>
    <row r="2233" spans="1:18" x14ac:dyDescent="0.2">
      <c r="A2233" s="2">
        <v>42622</v>
      </c>
      <c r="B2233" s="1" t="s">
        <v>56</v>
      </c>
      <c r="C2233" s="1" t="s">
        <v>57</v>
      </c>
      <c r="D2233" s="2">
        <v>42742</v>
      </c>
      <c r="E2233" s="2">
        <f t="shared" si="80"/>
        <v>42917</v>
      </c>
      <c r="F2233" s="1" t="s">
        <v>58</v>
      </c>
      <c r="G2233" s="1" t="s">
        <v>18</v>
      </c>
      <c r="H2233" s="1">
        <v>-10</v>
      </c>
      <c r="I2233" s="1">
        <v>0.03</v>
      </c>
      <c r="J2233" s="1">
        <v>0</v>
      </c>
      <c r="K2233" s="2">
        <v>43046</v>
      </c>
      <c r="L2233" s="1">
        <v>3716</v>
      </c>
      <c r="M2233" s="1">
        <v>3.78</v>
      </c>
      <c r="N2233" s="1">
        <v>-0.29633999999999999</v>
      </c>
      <c r="O2233" s="3">
        <f>VLOOKUP(D2233,underlying!$D$40:$H$75,5,FALSE)</f>
        <v>-3.25</v>
      </c>
      <c r="P2233" s="4">
        <f t="shared" ref="P2233:P2296" si="82">DATE(YEAR(K2233),DAY(K2233),MONTH(K2233))</f>
        <v>42927</v>
      </c>
      <c r="Q2233" s="7">
        <f>IF(G2233="C",NormalCallSprd(O2233,H2233,M2233,(P2233-A2233)/365), NormalPutSprd(O2233,H2233,M2233,(P2233-A2233)/365))</f>
        <v>3.3203945904324024E-2</v>
      </c>
      <c r="R2233" s="9">
        <f t="shared" si="81"/>
        <v>3.2039459043240251E-3</v>
      </c>
    </row>
    <row r="2234" spans="1:18" x14ac:dyDescent="0.2">
      <c r="A2234" s="2">
        <v>42622</v>
      </c>
      <c r="B2234" s="1" t="s">
        <v>56</v>
      </c>
      <c r="C2234" s="1" t="s">
        <v>57</v>
      </c>
      <c r="D2234" s="2">
        <v>42742</v>
      </c>
      <c r="E2234" s="2">
        <f t="shared" si="80"/>
        <v>42917</v>
      </c>
      <c r="F2234" s="1" t="s">
        <v>58</v>
      </c>
      <c r="G2234" s="1" t="s">
        <v>16</v>
      </c>
      <c r="H2234" s="1">
        <v>-9</v>
      </c>
      <c r="I2234" s="1">
        <v>5.79</v>
      </c>
      <c r="J2234" s="1">
        <v>0</v>
      </c>
      <c r="K2234" s="2">
        <v>43046</v>
      </c>
      <c r="L2234" s="1">
        <v>3716</v>
      </c>
      <c r="M2234" s="1">
        <v>3.78</v>
      </c>
      <c r="N2234" s="1">
        <v>-0.28027999999999997</v>
      </c>
      <c r="O2234" s="3">
        <f>VLOOKUP(D2234,underlying!$D$40:$H$75,5,FALSE)</f>
        <v>-3.25</v>
      </c>
      <c r="P2234" s="4">
        <f t="shared" si="82"/>
        <v>42927</v>
      </c>
      <c r="Q2234" s="7">
        <f>IF(G2234="C",NormalCallSprd(O2234,H2234,M2234,(P2234-A2234)/365), NormalPutSprd(O2234,H2234,M2234,(P2234-A2234)/365))</f>
        <v>5.8189375296455479</v>
      </c>
      <c r="R2234" s="9">
        <f t="shared" si="81"/>
        <v>2.8937529645547855E-2</v>
      </c>
    </row>
    <row r="2235" spans="1:18" x14ac:dyDescent="0.2">
      <c r="A2235" s="2">
        <v>42622</v>
      </c>
      <c r="B2235" s="1" t="s">
        <v>56</v>
      </c>
      <c r="C2235" s="1" t="s">
        <v>57</v>
      </c>
      <c r="D2235" s="2">
        <v>42742</v>
      </c>
      <c r="E2235" s="2">
        <f t="shared" si="80"/>
        <v>42917</v>
      </c>
      <c r="F2235" s="1" t="s">
        <v>58</v>
      </c>
      <c r="G2235" s="1" t="s">
        <v>18</v>
      </c>
      <c r="H2235" s="1">
        <v>-9</v>
      </c>
      <c r="I2235" s="1">
        <v>7.0000000000000007E-2</v>
      </c>
      <c r="J2235" s="1">
        <v>0</v>
      </c>
      <c r="K2235" s="2">
        <v>43046</v>
      </c>
      <c r="L2235" s="1">
        <v>3716</v>
      </c>
      <c r="M2235" s="1">
        <v>3.78</v>
      </c>
      <c r="N2235" s="1">
        <v>-0.26465</v>
      </c>
      <c r="O2235" s="3">
        <f>VLOOKUP(D2235,underlying!$D$40:$H$75,5,FALSE)</f>
        <v>-3.25</v>
      </c>
      <c r="P2235" s="4">
        <f t="shared" si="82"/>
        <v>42927</v>
      </c>
      <c r="Q2235" s="7">
        <f>IF(G2235="C",NormalCallSprd(O2235,H2235,M2235,(P2235-A2235)/365), NormalPutSprd(O2235,H2235,M2235,(P2235-A2235)/365))</f>
        <v>6.893752964554771E-2</v>
      </c>
      <c r="R2235" s="9">
        <f t="shared" si="81"/>
        <v>1.0624703544522968E-3</v>
      </c>
    </row>
    <row r="2236" spans="1:18" x14ac:dyDescent="0.2">
      <c r="A2236" s="2">
        <v>42622</v>
      </c>
      <c r="B2236" s="1" t="s">
        <v>56</v>
      </c>
      <c r="C2236" s="1" t="s">
        <v>57</v>
      </c>
      <c r="D2236" s="2">
        <v>42742</v>
      </c>
      <c r="E2236" s="2">
        <f t="shared" si="80"/>
        <v>42917</v>
      </c>
      <c r="F2236" s="1" t="s">
        <v>58</v>
      </c>
      <c r="G2236" s="1" t="s">
        <v>16</v>
      </c>
      <c r="H2236" s="1">
        <v>-8</v>
      </c>
      <c r="I2236" s="1">
        <v>4.8600000000000003</v>
      </c>
      <c r="J2236" s="1">
        <v>0</v>
      </c>
      <c r="K2236" s="2">
        <v>43046</v>
      </c>
      <c r="L2236" s="1">
        <v>3716</v>
      </c>
      <c r="M2236" s="1">
        <v>3.78</v>
      </c>
      <c r="N2236" s="1">
        <v>-0.24947</v>
      </c>
      <c r="O2236" s="3">
        <f>VLOOKUP(D2236,underlying!$D$40:$H$75,5,FALSE)</f>
        <v>-3.25</v>
      </c>
      <c r="P2236" s="4">
        <f t="shared" si="82"/>
        <v>42927</v>
      </c>
      <c r="Q2236" s="7">
        <f>IF(G2236="C",NormalCallSprd(O2236,H2236,M2236,(P2236-A2236)/365), NormalPutSprd(O2236,H2236,M2236,(P2236-A2236)/365))</f>
        <v>4.8839384788106246</v>
      </c>
      <c r="R2236" s="9">
        <f t="shared" si="81"/>
        <v>2.3938478810624275E-2</v>
      </c>
    </row>
    <row r="2237" spans="1:18" x14ac:dyDescent="0.2">
      <c r="A2237" s="2">
        <v>42622</v>
      </c>
      <c r="B2237" s="1" t="s">
        <v>56</v>
      </c>
      <c r="C2237" s="1" t="s">
        <v>57</v>
      </c>
      <c r="D2237" s="2">
        <v>42742</v>
      </c>
      <c r="E2237" s="2">
        <f t="shared" si="80"/>
        <v>42917</v>
      </c>
      <c r="F2237" s="1" t="s">
        <v>58</v>
      </c>
      <c r="G2237" s="1" t="s">
        <v>18</v>
      </c>
      <c r="H2237" s="1">
        <v>-8</v>
      </c>
      <c r="I2237" s="1">
        <v>0.13</v>
      </c>
      <c r="J2237" s="1">
        <v>0</v>
      </c>
      <c r="K2237" s="2">
        <v>43046</v>
      </c>
      <c r="L2237" s="1">
        <v>3716</v>
      </c>
      <c r="M2237" s="1">
        <v>3.78</v>
      </c>
      <c r="N2237" s="1">
        <v>-0.19295000000000001</v>
      </c>
      <c r="O2237" s="3">
        <f>VLOOKUP(D2237,underlying!$D$40:$H$75,5,FALSE)</f>
        <v>-3.25</v>
      </c>
      <c r="P2237" s="4">
        <f t="shared" si="82"/>
        <v>42927</v>
      </c>
      <c r="Q2237" s="7">
        <f>IF(G2237="C",NormalCallSprd(O2237,H2237,M2237,(P2237-A2237)/365), NormalPutSprd(O2237,H2237,M2237,(P2237-A2237)/365))</f>
        <v>0.13393847881062443</v>
      </c>
      <c r="R2237" s="9">
        <f t="shared" si="81"/>
        <v>3.938478810624424E-3</v>
      </c>
    </row>
    <row r="2238" spans="1:18" x14ac:dyDescent="0.2">
      <c r="A2238" s="2">
        <v>42622</v>
      </c>
      <c r="B2238" s="1" t="s">
        <v>56</v>
      </c>
      <c r="C2238" s="1" t="s">
        <v>57</v>
      </c>
      <c r="D2238" s="2">
        <v>42742</v>
      </c>
      <c r="E2238" s="2">
        <f t="shared" si="80"/>
        <v>42917</v>
      </c>
      <c r="F2238" s="1" t="s">
        <v>58</v>
      </c>
      <c r="G2238" s="1" t="s">
        <v>16</v>
      </c>
      <c r="H2238" s="1">
        <v>-7.75</v>
      </c>
      <c r="I2238" s="1">
        <v>4.63</v>
      </c>
      <c r="J2238" s="1">
        <v>-0.01</v>
      </c>
      <c r="K2238" s="2">
        <v>43046</v>
      </c>
      <c r="L2238" s="1">
        <v>3716</v>
      </c>
      <c r="M2238" s="1">
        <v>3.78</v>
      </c>
      <c r="N2238" s="1">
        <v>-0.14474000000000001</v>
      </c>
      <c r="O2238" s="3">
        <f>VLOOKUP(D2238,underlying!$D$40:$H$75,5,FALSE)</f>
        <v>-3.25</v>
      </c>
      <c r="P2238" s="4">
        <f t="shared" si="82"/>
        <v>42927</v>
      </c>
      <c r="Q2238" s="7">
        <f>IF(G2238="C",NormalCallSprd(O2238,H2238,M2238,(P2238-A2238)/365), NormalPutSprd(O2238,H2238,M2238,(P2238-A2238)/365))</f>
        <v>4.6565422951561661</v>
      </c>
      <c r="R2238" s="9">
        <f t="shared" si="81"/>
        <v>2.654229515616624E-2</v>
      </c>
    </row>
    <row r="2239" spans="1:18" x14ac:dyDescent="0.2">
      <c r="A2239" s="2">
        <v>42622</v>
      </c>
      <c r="B2239" s="1" t="s">
        <v>56</v>
      </c>
      <c r="C2239" s="1" t="s">
        <v>57</v>
      </c>
      <c r="D2239" s="2">
        <v>42742</v>
      </c>
      <c r="E2239" s="2">
        <f t="shared" si="80"/>
        <v>42917</v>
      </c>
      <c r="F2239" s="1" t="s">
        <v>58</v>
      </c>
      <c r="G2239" s="1" t="s">
        <v>18</v>
      </c>
      <c r="H2239" s="1">
        <v>-7.75</v>
      </c>
      <c r="I2239" s="1">
        <v>0.16</v>
      </c>
      <c r="J2239" s="1">
        <v>0</v>
      </c>
      <c r="K2239" s="2">
        <v>43046</v>
      </c>
      <c r="L2239" s="1">
        <v>3716</v>
      </c>
      <c r="M2239" s="1">
        <v>3.78</v>
      </c>
      <c r="N2239" s="1">
        <v>-0.10579</v>
      </c>
      <c r="O2239" s="3">
        <f>VLOOKUP(D2239,underlying!$D$40:$H$75,5,FALSE)</f>
        <v>-3.25</v>
      </c>
      <c r="P2239" s="4">
        <f t="shared" si="82"/>
        <v>42927</v>
      </c>
      <c r="Q2239" s="7">
        <f>IF(G2239="C",NormalCallSprd(O2239,H2239,M2239,(P2239-A2239)/365), NormalPutSprd(O2239,H2239,M2239,(P2239-A2239)/365))</f>
        <v>0.15654229515616655</v>
      </c>
      <c r="R2239" s="9">
        <f t="shared" si="81"/>
        <v>3.4577048438334534E-3</v>
      </c>
    </row>
    <row r="2240" spans="1:18" x14ac:dyDescent="0.2">
      <c r="A2240" s="2">
        <v>42622</v>
      </c>
      <c r="B2240" s="1" t="s">
        <v>56</v>
      </c>
      <c r="C2240" s="1" t="s">
        <v>57</v>
      </c>
      <c r="D2240" s="2">
        <v>42742</v>
      </c>
      <c r="E2240" s="2">
        <f t="shared" si="80"/>
        <v>42917</v>
      </c>
      <c r="F2240" s="1" t="s">
        <v>58</v>
      </c>
      <c r="G2240" s="1" t="s">
        <v>16</v>
      </c>
      <c r="H2240" s="1">
        <v>-7.5</v>
      </c>
      <c r="I2240" s="1">
        <v>4.41</v>
      </c>
      <c r="J2240" s="1">
        <v>0</v>
      </c>
      <c r="K2240" s="2">
        <v>43046</v>
      </c>
      <c r="L2240" s="1">
        <v>3716</v>
      </c>
      <c r="M2240" s="1">
        <v>3.78</v>
      </c>
      <c r="N2240" s="1">
        <v>0.13009000000000001</v>
      </c>
      <c r="O2240" s="3">
        <f>VLOOKUP(D2240,underlying!$D$40:$H$75,5,FALSE)</f>
        <v>-3.25</v>
      </c>
      <c r="P2240" s="4">
        <f t="shared" si="82"/>
        <v>42927</v>
      </c>
      <c r="Q2240" s="7">
        <f>IF(G2240="C",NormalCallSprd(O2240,H2240,M2240,(P2240-A2240)/365), NormalPutSprd(O2240,H2240,M2240,(P2240-A2240)/365))</f>
        <v>4.4322373853437096</v>
      </c>
      <c r="R2240" s="9">
        <f t="shared" si="81"/>
        <v>2.2237385343709448E-2</v>
      </c>
    </row>
    <row r="2241" spans="1:18" x14ac:dyDescent="0.2">
      <c r="A2241" s="2">
        <v>42622</v>
      </c>
      <c r="B2241" s="1" t="s">
        <v>56</v>
      </c>
      <c r="C2241" s="1" t="s">
        <v>57</v>
      </c>
      <c r="D2241" s="2">
        <v>42742</v>
      </c>
      <c r="E2241" s="2">
        <f t="shared" si="80"/>
        <v>42917</v>
      </c>
      <c r="F2241" s="1" t="s">
        <v>58</v>
      </c>
      <c r="G2241" s="1" t="s">
        <v>18</v>
      </c>
      <c r="H2241" s="1">
        <v>-7.5</v>
      </c>
      <c r="I2241" s="1">
        <v>0.18</v>
      </c>
      <c r="J2241" s="1">
        <v>0</v>
      </c>
      <c r="K2241" s="2">
        <v>43046</v>
      </c>
      <c r="L2241" s="1">
        <v>3716</v>
      </c>
      <c r="M2241" s="1">
        <v>3.78</v>
      </c>
      <c r="N2241" s="1">
        <v>0.15096999999999999</v>
      </c>
      <c r="O2241" s="3">
        <f>VLOOKUP(D2241,underlying!$D$40:$H$75,5,FALSE)</f>
        <v>-3.25</v>
      </c>
      <c r="P2241" s="4">
        <f t="shared" si="82"/>
        <v>42927</v>
      </c>
      <c r="Q2241" s="7">
        <f>IF(G2241="C",NormalCallSprd(O2241,H2241,M2241,(P2241-A2241)/365), NormalPutSprd(O2241,H2241,M2241,(P2241-A2241)/365))</f>
        <v>0.18223738534370928</v>
      </c>
      <c r="R2241" s="9">
        <f t="shared" si="81"/>
        <v>2.2373853437092917E-3</v>
      </c>
    </row>
    <row r="2242" spans="1:18" x14ac:dyDescent="0.2">
      <c r="A2242" s="2">
        <v>42622</v>
      </c>
      <c r="B2242" s="1" t="s">
        <v>56</v>
      </c>
      <c r="C2242" s="1" t="s">
        <v>57</v>
      </c>
      <c r="D2242" s="2">
        <v>42742</v>
      </c>
      <c r="E2242" s="2">
        <f t="shared" ref="E2242:E2305" si="83">DATE(YEAR(D2242),DAY(D2242),MONTH(D2242))</f>
        <v>42917</v>
      </c>
      <c r="F2242" s="1" t="s">
        <v>58</v>
      </c>
      <c r="G2242" s="1" t="s">
        <v>16</v>
      </c>
      <c r="H2242" s="1">
        <v>-7.25</v>
      </c>
      <c r="I2242" s="1">
        <v>4.1900000000000004</v>
      </c>
      <c r="J2242" s="1">
        <v>0</v>
      </c>
      <c r="K2242" s="2">
        <v>43046</v>
      </c>
      <c r="L2242" s="1">
        <v>3716</v>
      </c>
      <c r="M2242" s="1">
        <v>3.78</v>
      </c>
      <c r="N2242" s="1">
        <v>0.17396</v>
      </c>
      <c r="O2242" s="3">
        <f>VLOOKUP(D2242,underlying!$D$40:$H$75,5,FALSE)</f>
        <v>-3.25</v>
      </c>
      <c r="P2242" s="4">
        <f t="shared" si="82"/>
        <v>42927</v>
      </c>
      <c r="Q2242" s="7">
        <f>IF(G2242="C",NormalCallSprd(O2242,H2242,M2242,(P2242-A2242)/365), NormalPutSprd(O2242,H2242,M2242,(P2242-A2242)/365))</f>
        <v>4.2113200363637358</v>
      </c>
      <c r="R2242" s="9">
        <f t="shared" si="81"/>
        <v>2.1320036363735362E-2</v>
      </c>
    </row>
    <row r="2243" spans="1:18" x14ac:dyDescent="0.2">
      <c r="A2243" s="2">
        <v>42622</v>
      </c>
      <c r="B2243" s="1" t="s">
        <v>56</v>
      </c>
      <c r="C2243" s="1" t="s">
        <v>57</v>
      </c>
      <c r="D2243" s="2">
        <v>42742</v>
      </c>
      <c r="E2243" s="2">
        <f t="shared" si="83"/>
        <v>42917</v>
      </c>
      <c r="F2243" s="1" t="s">
        <v>58</v>
      </c>
      <c r="G2243" s="1" t="s">
        <v>18</v>
      </c>
      <c r="H2243" s="1">
        <v>-7.25</v>
      </c>
      <c r="I2243" s="1">
        <v>0.21</v>
      </c>
      <c r="J2243" s="1">
        <v>0</v>
      </c>
      <c r="K2243" s="2">
        <v>43046</v>
      </c>
      <c r="L2243" s="1">
        <v>3716</v>
      </c>
      <c r="M2243" s="1">
        <v>3.78</v>
      </c>
      <c r="N2243" s="1">
        <v>0.19847999999999999</v>
      </c>
      <c r="O2243" s="3">
        <f>VLOOKUP(D2243,underlying!$D$40:$H$75,5,FALSE)</f>
        <v>-3.25</v>
      </c>
      <c r="P2243" s="4">
        <f t="shared" si="82"/>
        <v>42927</v>
      </c>
      <c r="Q2243" s="7">
        <f>IF(G2243="C",NormalCallSprd(O2243,H2243,M2243,(P2243-A2243)/365), NormalPutSprd(O2243,H2243,M2243,(P2243-A2243)/365))</f>
        <v>0.21132003636373534</v>
      </c>
      <c r="R2243" s="9">
        <f t="shared" ref="R2243:R2306" si="84">ABS(Q2243-I2243)</f>
        <v>1.3200363637353441E-3</v>
      </c>
    </row>
    <row r="2244" spans="1:18" x14ac:dyDescent="0.2">
      <c r="A2244" s="2">
        <v>42622</v>
      </c>
      <c r="B2244" s="1" t="s">
        <v>56</v>
      </c>
      <c r="C2244" s="1" t="s">
        <v>57</v>
      </c>
      <c r="D2244" s="2">
        <v>42742</v>
      </c>
      <c r="E2244" s="2">
        <f t="shared" si="83"/>
        <v>42917</v>
      </c>
      <c r="F2244" s="1" t="s">
        <v>58</v>
      </c>
      <c r="G2244" s="1" t="s">
        <v>16</v>
      </c>
      <c r="H2244" s="1">
        <v>-7</v>
      </c>
      <c r="I2244" s="1">
        <v>3.98</v>
      </c>
      <c r="J2244" s="1">
        <v>0</v>
      </c>
      <c r="K2244" s="2">
        <v>43046</v>
      </c>
      <c r="L2244" s="1">
        <v>3716</v>
      </c>
      <c r="M2244" s="1">
        <v>3.78</v>
      </c>
      <c r="N2244" s="1">
        <v>0.99241999999999997</v>
      </c>
      <c r="O2244" s="3">
        <f>VLOOKUP(D2244,underlying!$D$40:$H$75,5,FALSE)</f>
        <v>-3.25</v>
      </c>
      <c r="P2244" s="4">
        <f t="shared" si="82"/>
        <v>42927</v>
      </c>
      <c r="Q2244" s="7">
        <f>IF(G2244="C",NormalCallSprd(O2244,H2244,M2244,(P2244-A2244)/365), NormalPutSprd(O2244,H2244,M2244,(P2244-A2244)/365))</f>
        <v>3.994095568435132</v>
      </c>
      <c r="R2244" s="9">
        <f t="shared" si="84"/>
        <v>1.4095568435132044E-2</v>
      </c>
    </row>
    <row r="2245" spans="1:18" x14ac:dyDescent="0.2">
      <c r="A2245" s="2">
        <v>42622</v>
      </c>
      <c r="B2245" s="1" t="s">
        <v>56</v>
      </c>
      <c r="C2245" s="1" t="s">
        <v>57</v>
      </c>
      <c r="D2245" s="2">
        <v>42742</v>
      </c>
      <c r="E2245" s="2">
        <f t="shared" si="83"/>
        <v>42917</v>
      </c>
      <c r="F2245" s="1" t="s">
        <v>58</v>
      </c>
      <c r="G2245" s="1" t="s">
        <v>18</v>
      </c>
      <c r="H2245" s="1">
        <v>-7</v>
      </c>
      <c r="I2245" s="1">
        <v>0.24</v>
      </c>
      <c r="J2245" s="1">
        <v>0</v>
      </c>
      <c r="K2245" s="2">
        <v>43046</v>
      </c>
      <c r="L2245" s="1">
        <v>3716</v>
      </c>
      <c r="M2245" s="1">
        <v>3.78</v>
      </c>
      <c r="N2245" s="1">
        <v>0.99614999999999998</v>
      </c>
      <c r="O2245" s="3">
        <f>VLOOKUP(D2245,underlying!$D$40:$H$75,5,FALSE)</f>
        <v>-3.25</v>
      </c>
      <c r="P2245" s="4">
        <f t="shared" si="82"/>
        <v>42927</v>
      </c>
      <c r="Q2245" s="7">
        <f>IF(G2245="C",NormalCallSprd(O2245,H2245,M2245,(P2245-A2245)/365), NormalPutSprd(O2245,H2245,M2245,(P2245-A2245)/365))</f>
        <v>0.24409556843513192</v>
      </c>
      <c r="R2245" s="9">
        <f t="shared" si="84"/>
        <v>4.0955684351319244E-3</v>
      </c>
    </row>
    <row r="2246" spans="1:18" x14ac:dyDescent="0.2">
      <c r="A2246" s="2">
        <v>42622</v>
      </c>
      <c r="B2246" s="1" t="s">
        <v>56</v>
      </c>
      <c r="C2246" s="1" t="s">
        <v>57</v>
      </c>
      <c r="D2246" s="2">
        <v>42742</v>
      </c>
      <c r="E2246" s="2">
        <f t="shared" si="83"/>
        <v>42917</v>
      </c>
      <c r="F2246" s="1" t="s">
        <v>58</v>
      </c>
      <c r="G2246" s="1" t="s">
        <v>16</v>
      </c>
      <c r="H2246" s="1">
        <v>-6.75</v>
      </c>
      <c r="I2246" s="1">
        <v>3.76</v>
      </c>
      <c r="J2246" s="1">
        <v>-0.01</v>
      </c>
      <c r="K2246" s="2">
        <v>43046</v>
      </c>
      <c r="L2246" s="1">
        <v>3716</v>
      </c>
      <c r="M2246" s="1">
        <v>3.78</v>
      </c>
      <c r="N2246" s="1">
        <v>0.22456999999999999</v>
      </c>
      <c r="O2246" s="3">
        <f>VLOOKUP(D2246,underlying!$D$40:$H$75,5,FALSE)</f>
        <v>-3.25</v>
      </c>
      <c r="P2246" s="4">
        <f t="shared" si="82"/>
        <v>42927</v>
      </c>
      <c r="Q2246" s="7">
        <f>IF(G2246="C",NormalCallSprd(O2246,H2246,M2246,(P2246-A2246)/365), NormalPutSprd(O2246,H2246,M2246,(P2246-A2246)/365))</f>
        <v>3.780875820241385</v>
      </c>
      <c r="R2246" s="9">
        <f t="shared" si="84"/>
        <v>2.0875820241385235E-2</v>
      </c>
    </row>
    <row r="2247" spans="1:18" x14ac:dyDescent="0.2">
      <c r="A2247" s="2">
        <v>42622</v>
      </c>
      <c r="B2247" s="1" t="s">
        <v>56</v>
      </c>
      <c r="C2247" s="1" t="s">
        <v>57</v>
      </c>
      <c r="D2247" s="2">
        <v>42742</v>
      </c>
      <c r="E2247" s="2">
        <f t="shared" si="83"/>
        <v>42917</v>
      </c>
      <c r="F2247" s="1" t="s">
        <v>58</v>
      </c>
      <c r="G2247" s="1" t="s">
        <v>18</v>
      </c>
      <c r="H2247" s="1">
        <v>-6.75</v>
      </c>
      <c r="I2247" s="1">
        <v>0.28000000000000003</v>
      </c>
      <c r="J2247" s="1">
        <v>0</v>
      </c>
      <c r="K2247" s="2">
        <v>43046</v>
      </c>
      <c r="L2247" s="1">
        <v>3716</v>
      </c>
      <c r="M2247" s="1">
        <v>3.78</v>
      </c>
      <c r="N2247" s="1">
        <v>0.25485000000000002</v>
      </c>
      <c r="O2247" s="3">
        <f>VLOOKUP(D2247,underlying!$D$40:$H$75,5,FALSE)</f>
        <v>-3.25</v>
      </c>
      <c r="P2247" s="4">
        <f t="shared" si="82"/>
        <v>42927</v>
      </c>
      <c r="Q2247" s="7">
        <f>IF(G2247="C",NormalCallSprd(O2247,H2247,M2247,(P2247-A2247)/365), NormalPutSprd(O2247,H2247,M2247,(P2247-A2247)/365))</f>
        <v>0.28087582024138541</v>
      </c>
      <c r="R2247" s="9">
        <f t="shared" si="84"/>
        <v>8.7582024138538328E-4</v>
      </c>
    </row>
    <row r="2248" spans="1:18" x14ac:dyDescent="0.2">
      <c r="A2248" s="2">
        <v>42622</v>
      </c>
      <c r="B2248" s="1" t="s">
        <v>56</v>
      </c>
      <c r="C2248" s="1" t="s">
        <v>57</v>
      </c>
      <c r="D2248" s="2">
        <v>42742</v>
      </c>
      <c r="E2248" s="2">
        <f t="shared" si="83"/>
        <v>42917</v>
      </c>
      <c r="F2248" s="1" t="s">
        <v>58</v>
      </c>
      <c r="G2248" s="1" t="s">
        <v>16</v>
      </c>
      <c r="H2248" s="1">
        <v>-6.5</v>
      </c>
      <c r="I2248" s="1">
        <v>3.56</v>
      </c>
      <c r="J2248" s="1">
        <v>0</v>
      </c>
      <c r="K2248" s="2">
        <v>43046</v>
      </c>
      <c r="L2248" s="1">
        <v>3716</v>
      </c>
      <c r="M2248" s="1">
        <v>3.78</v>
      </c>
      <c r="N2248" s="1">
        <v>0.28494000000000003</v>
      </c>
      <c r="O2248" s="3">
        <f>VLOOKUP(D2248,underlying!$D$40:$H$75,5,FALSE)</f>
        <v>-3.25</v>
      </c>
      <c r="P2248" s="4">
        <f t="shared" si="82"/>
        <v>42927</v>
      </c>
      <c r="Q2248" s="7">
        <f>IF(G2248="C",NormalCallSprd(O2248,H2248,M2248,(P2248-A2248)/365), NormalPutSprd(O2248,H2248,M2248,(P2248-A2248)/365))</f>
        <v>3.5719763086228333</v>
      </c>
      <c r="R2248" s="9">
        <f t="shared" si="84"/>
        <v>1.1976308622833276E-2</v>
      </c>
    </row>
    <row r="2249" spans="1:18" x14ac:dyDescent="0.2">
      <c r="A2249" s="2">
        <v>42622</v>
      </c>
      <c r="B2249" s="1" t="s">
        <v>56</v>
      </c>
      <c r="C2249" s="1" t="s">
        <v>57</v>
      </c>
      <c r="D2249" s="2">
        <v>42742</v>
      </c>
      <c r="E2249" s="2">
        <f t="shared" si="83"/>
        <v>42917</v>
      </c>
      <c r="F2249" s="1" t="s">
        <v>58</v>
      </c>
      <c r="G2249" s="1" t="s">
        <v>18</v>
      </c>
      <c r="H2249" s="1">
        <v>-6.5</v>
      </c>
      <c r="I2249" s="1">
        <v>0.32</v>
      </c>
      <c r="J2249" s="1">
        <v>0</v>
      </c>
      <c r="K2249" s="2">
        <v>43046</v>
      </c>
      <c r="L2249" s="1">
        <v>3716</v>
      </c>
      <c r="M2249" s="1">
        <v>3.78</v>
      </c>
      <c r="N2249" s="1">
        <v>0.31859999999999999</v>
      </c>
      <c r="O2249" s="3">
        <f>VLOOKUP(D2249,underlying!$D$40:$H$75,5,FALSE)</f>
        <v>-3.25</v>
      </c>
      <c r="P2249" s="4">
        <f t="shared" si="82"/>
        <v>42927</v>
      </c>
      <c r="Q2249" s="7">
        <f>IF(G2249="C",NormalCallSprd(O2249,H2249,M2249,(P2249-A2249)/365), NormalPutSprd(O2249,H2249,M2249,(P2249-A2249)/365))</f>
        <v>0.32197630862283305</v>
      </c>
      <c r="R2249" s="9">
        <f t="shared" si="84"/>
        <v>1.9763086228330451E-3</v>
      </c>
    </row>
    <row r="2250" spans="1:18" x14ac:dyDescent="0.2">
      <c r="A2250" s="2">
        <v>42622</v>
      </c>
      <c r="B2250" s="1" t="s">
        <v>56</v>
      </c>
      <c r="C2250" s="1" t="s">
        <v>57</v>
      </c>
      <c r="D2250" s="2">
        <v>42742</v>
      </c>
      <c r="E2250" s="2">
        <f t="shared" si="83"/>
        <v>42917</v>
      </c>
      <c r="F2250" s="1" t="s">
        <v>58</v>
      </c>
      <c r="G2250" s="1" t="s">
        <v>16</v>
      </c>
      <c r="H2250" s="1">
        <v>-6.25</v>
      </c>
      <c r="I2250" s="1">
        <v>3.35</v>
      </c>
      <c r="J2250" s="1">
        <v>0</v>
      </c>
      <c r="K2250" s="2">
        <v>43046</v>
      </c>
      <c r="L2250" s="1">
        <v>3716</v>
      </c>
      <c r="M2250" s="1">
        <v>3.78</v>
      </c>
      <c r="N2250" s="1">
        <v>0.35210999999999998</v>
      </c>
      <c r="O2250" s="3">
        <f>VLOOKUP(D2250,underlying!$D$40:$H$75,5,FALSE)</f>
        <v>-3.25</v>
      </c>
      <c r="P2250" s="4">
        <f t="shared" si="82"/>
        <v>42927</v>
      </c>
      <c r="Q2250" s="7">
        <f>IF(G2250="C",NormalCallSprd(O2250,H2250,M2250,(P2250-A2250)/365), NormalPutSprd(O2250,H2250,M2250,(P2250-A2250)/365))</f>
        <v>3.3677130969337994</v>
      </c>
      <c r="R2250" s="9">
        <f t="shared" si="84"/>
        <v>1.7713096933799299E-2</v>
      </c>
    </row>
    <row r="2251" spans="1:18" x14ac:dyDescent="0.2">
      <c r="A2251" s="2">
        <v>42622</v>
      </c>
      <c r="B2251" s="1" t="s">
        <v>56</v>
      </c>
      <c r="C2251" s="1" t="s">
        <v>57</v>
      </c>
      <c r="D2251" s="2">
        <v>42742</v>
      </c>
      <c r="E2251" s="2">
        <f t="shared" si="83"/>
        <v>42917</v>
      </c>
      <c r="F2251" s="1" t="s">
        <v>58</v>
      </c>
      <c r="G2251" s="1" t="s">
        <v>18</v>
      </c>
      <c r="H2251" s="1">
        <v>-6.25</v>
      </c>
      <c r="I2251" s="1">
        <v>0.37</v>
      </c>
      <c r="J2251" s="1">
        <v>0</v>
      </c>
      <c r="K2251" s="2">
        <v>43046</v>
      </c>
      <c r="L2251" s="1">
        <v>3716</v>
      </c>
      <c r="M2251" s="1">
        <v>3.78</v>
      </c>
      <c r="N2251" s="1">
        <v>0.38795000000000002</v>
      </c>
      <c r="O2251" s="3">
        <f>VLOOKUP(D2251,underlying!$D$40:$H$75,5,FALSE)</f>
        <v>-3.25</v>
      </c>
      <c r="P2251" s="4">
        <f t="shared" si="82"/>
        <v>42927</v>
      </c>
      <c r="Q2251" s="7">
        <f>IF(G2251="C",NormalCallSprd(O2251,H2251,M2251,(P2251-A2251)/365), NormalPutSprd(O2251,H2251,M2251,(P2251-A2251)/365))</f>
        <v>0.36771309693379939</v>
      </c>
      <c r="R2251" s="9">
        <f t="shared" si="84"/>
        <v>2.2869030662006073E-3</v>
      </c>
    </row>
    <row r="2252" spans="1:18" x14ac:dyDescent="0.2">
      <c r="A2252" s="2">
        <v>42622</v>
      </c>
      <c r="B2252" s="1" t="s">
        <v>56</v>
      </c>
      <c r="C2252" s="1" t="s">
        <v>57</v>
      </c>
      <c r="D2252" s="2">
        <v>42742</v>
      </c>
      <c r="E2252" s="2">
        <f t="shared" si="83"/>
        <v>42917</v>
      </c>
      <c r="F2252" s="1" t="s">
        <v>58</v>
      </c>
      <c r="G2252" s="1" t="s">
        <v>16</v>
      </c>
      <c r="H2252" s="1">
        <v>-6</v>
      </c>
      <c r="I2252" s="1">
        <v>3.15</v>
      </c>
      <c r="J2252" s="1">
        <v>-0.01</v>
      </c>
      <c r="K2252" s="2">
        <v>43046</v>
      </c>
      <c r="L2252" s="1">
        <v>3716</v>
      </c>
      <c r="M2252" s="1">
        <v>3.78</v>
      </c>
      <c r="N2252" s="1">
        <v>0.42441000000000001</v>
      </c>
      <c r="O2252" s="3">
        <f>VLOOKUP(D2252,underlying!$D$40:$H$75,5,FALSE)</f>
        <v>-3.25</v>
      </c>
      <c r="P2252" s="4">
        <f t="shared" si="82"/>
        <v>42927</v>
      </c>
      <c r="Q2252" s="7">
        <f>IF(G2252="C",NormalCallSprd(O2252,H2252,M2252,(P2252-A2252)/365), NormalPutSprd(O2252,H2252,M2252,(P2252-A2252)/365))</f>
        <v>3.1683994169457685</v>
      </c>
      <c r="R2252" s="9">
        <f t="shared" si="84"/>
        <v>1.8399416945768632E-2</v>
      </c>
    </row>
    <row r="2253" spans="1:18" x14ac:dyDescent="0.2">
      <c r="A2253" s="2">
        <v>42622</v>
      </c>
      <c r="B2253" s="1" t="s">
        <v>56</v>
      </c>
      <c r="C2253" s="1" t="s">
        <v>57</v>
      </c>
      <c r="D2253" s="2">
        <v>42742</v>
      </c>
      <c r="E2253" s="2">
        <f t="shared" si="83"/>
        <v>42917</v>
      </c>
      <c r="F2253" s="1" t="s">
        <v>58</v>
      </c>
      <c r="G2253" s="1" t="s">
        <v>18</v>
      </c>
      <c r="H2253" s="1">
        <v>-6</v>
      </c>
      <c r="I2253" s="1">
        <v>0.42</v>
      </c>
      <c r="J2253" s="1">
        <v>0</v>
      </c>
      <c r="K2253" s="2">
        <v>43046</v>
      </c>
      <c r="L2253" s="1">
        <v>3716</v>
      </c>
      <c r="M2253" s="1">
        <v>3.78</v>
      </c>
      <c r="N2253" s="1">
        <v>0.46160000000000001</v>
      </c>
      <c r="O2253" s="3">
        <f>VLOOKUP(D2253,underlying!$D$40:$H$75,5,FALSE)</f>
        <v>-3.25</v>
      </c>
      <c r="P2253" s="4">
        <f t="shared" si="82"/>
        <v>42927</v>
      </c>
      <c r="Q2253" s="7">
        <f>IF(G2253="C",NormalCallSprd(O2253,H2253,M2253,(P2253-A2253)/365), NormalPutSprd(O2253,H2253,M2253,(P2253-A2253)/365))</f>
        <v>0.41839941694576843</v>
      </c>
      <c r="R2253" s="9">
        <f t="shared" si="84"/>
        <v>1.6005830542315524E-3</v>
      </c>
    </row>
    <row r="2254" spans="1:18" x14ac:dyDescent="0.2">
      <c r="A2254" s="2">
        <v>42622</v>
      </c>
      <c r="B2254" s="1" t="s">
        <v>56</v>
      </c>
      <c r="C2254" s="1" t="s">
        <v>57</v>
      </c>
      <c r="D2254" s="2">
        <v>42742</v>
      </c>
      <c r="E2254" s="2">
        <f t="shared" si="83"/>
        <v>42917</v>
      </c>
      <c r="F2254" s="1" t="s">
        <v>58</v>
      </c>
      <c r="G2254" s="1" t="s">
        <v>16</v>
      </c>
      <c r="H2254" s="1">
        <v>-5.75</v>
      </c>
      <c r="I2254" s="1">
        <v>2.96</v>
      </c>
      <c r="J2254" s="1">
        <v>0</v>
      </c>
      <c r="K2254" s="2">
        <v>43046</v>
      </c>
      <c r="L2254" s="1">
        <v>3716</v>
      </c>
      <c r="M2254" s="1">
        <v>3.77</v>
      </c>
      <c r="N2254" s="1">
        <v>0.49895</v>
      </c>
      <c r="O2254" s="3">
        <f>VLOOKUP(D2254,underlying!$D$40:$H$75,5,FALSE)</f>
        <v>-3.25</v>
      </c>
      <c r="P2254" s="4">
        <f t="shared" si="82"/>
        <v>42927</v>
      </c>
      <c r="Q2254" s="7">
        <f>IF(G2254="C",NormalCallSprd(O2254,H2254,M2254,(P2254-A2254)/365), NormalPutSprd(O2254,H2254,M2254,(P2254-A2254)/365))</f>
        <v>2.9715370361813358</v>
      </c>
      <c r="R2254" s="9">
        <f t="shared" si="84"/>
        <v>1.1537036181335836E-2</v>
      </c>
    </row>
    <row r="2255" spans="1:18" x14ac:dyDescent="0.2">
      <c r="A2255" s="2">
        <v>42622</v>
      </c>
      <c r="B2255" s="1" t="s">
        <v>56</v>
      </c>
      <c r="C2255" s="1" t="s">
        <v>57</v>
      </c>
      <c r="D2255" s="2">
        <v>42742</v>
      </c>
      <c r="E2255" s="2">
        <f t="shared" si="83"/>
        <v>42917</v>
      </c>
      <c r="F2255" s="1" t="s">
        <v>58</v>
      </c>
      <c r="G2255" s="1" t="s">
        <v>18</v>
      </c>
      <c r="H2255" s="1">
        <v>-5.75</v>
      </c>
      <c r="I2255" s="1">
        <v>0.47</v>
      </c>
      <c r="J2255" s="1">
        <v>0</v>
      </c>
      <c r="K2255" s="2">
        <v>43046</v>
      </c>
      <c r="L2255" s="1">
        <v>3716</v>
      </c>
      <c r="M2255" s="1">
        <v>3.77</v>
      </c>
      <c r="N2255" s="1">
        <v>0.5363</v>
      </c>
      <c r="O2255" s="3">
        <f>VLOOKUP(D2255,underlying!$D$40:$H$75,5,FALSE)</f>
        <v>-3.25</v>
      </c>
      <c r="P2255" s="4">
        <f t="shared" si="82"/>
        <v>42927</v>
      </c>
      <c r="Q2255" s="7">
        <f>IF(G2255="C",NormalCallSprd(O2255,H2255,M2255,(P2255-A2255)/365), NormalPutSprd(O2255,H2255,M2255,(P2255-A2255)/365))</f>
        <v>0.47153703618133552</v>
      </c>
      <c r="R2255" s="9">
        <f t="shared" si="84"/>
        <v>1.5370361813355493E-3</v>
      </c>
    </row>
    <row r="2256" spans="1:18" x14ac:dyDescent="0.2">
      <c r="A2256" s="2">
        <v>42622</v>
      </c>
      <c r="B2256" s="1" t="s">
        <v>56</v>
      </c>
      <c r="C2256" s="1" t="s">
        <v>57</v>
      </c>
      <c r="D2256" s="2">
        <v>42742</v>
      </c>
      <c r="E2256" s="2">
        <f t="shared" si="83"/>
        <v>42917</v>
      </c>
      <c r="F2256" s="1" t="s">
        <v>58</v>
      </c>
      <c r="G2256" s="1" t="s">
        <v>16</v>
      </c>
      <c r="H2256" s="1">
        <v>-5.5</v>
      </c>
      <c r="I2256" s="1">
        <v>2.77</v>
      </c>
      <c r="J2256" s="1">
        <v>0</v>
      </c>
      <c r="K2256" s="2">
        <v>43046</v>
      </c>
      <c r="L2256" s="1">
        <v>3716</v>
      </c>
      <c r="M2256" s="1">
        <v>3.77</v>
      </c>
      <c r="N2256" s="1">
        <v>0.57350000000000001</v>
      </c>
      <c r="O2256" s="3">
        <f>VLOOKUP(D2256,underlying!$D$40:$H$75,5,FALSE)</f>
        <v>-3.25</v>
      </c>
      <c r="P2256" s="4">
        <f t="shared" si="82"/>
        <v>42927</v>
      </c>
      <c r="Q2256" s="7">
        <f>IF(G2256="C",NormalCallSprd(O2256,H2256,M2256,(P2256-A2256)/365), NormalPutSprd(O2256,H2256,M2256,(P2256-A2256)/365))</f>
        <v>2.7828894033840301</v>
      </c>
      <c r="R2256" s="9">
        <f t="shared" si="84"/>
        <v>1.2889403384030107E-2</v>
      </c>
    </row>
    <row r="2257" spans="1:18" x14ac:dyDescent="0.2">
      <c r="A2257" s="2">
        <v>42622</v>
      </c>
      <c r="B2257" s="1" t="s">
        <v>56</v>
      </c>
      <c r="C2257" s="1" t="s">
        <v>57</v>
      </c>
      <c r="D2257" s="2">
        <v>42742</v>
      </c>
      <c r="E2257" s="2">
        <f t="shared" si="83"/>
        <v>42917</v>
      </c>
      <c r="F2257" s="1" t="s">
        <v>58</v>
      </c>
      <c r="G2257" s="1" t="s">
        <v>18</v>
      </c>
      <c r="H2257" s="1">
        <v>-5.5</v>
      </c>
      <c r="I2257" s="1">
        <v>0.53</v>
      </c>
      <c r="J2257" s="1">
        <v>0</v>
      </c>
      <c r="K2257" s="2">
        <v>43046</v>
      </c>
      <c r="L2257" s="1">
        <v>3716</v>
      </c>
      <c r="M2257" s="1">
        <v>3.77</v>
      </c>
      <c r="N2257" s="1">
        <v>0.60994999999999999</v>
      </c>
      <c r="O2257" s="3">
        <f>VLOOKUP(D2257,underlying!$D$40:$H$75,5,FALSE)</f>
        <v>-3.25</v>
      </c>
      <c r="P2257" s="4">
        <f t="shared" si="82"/>
        <v>42927</v>
      </c>
      <c r="Q2257" s="7">
        <f>IF(G2257="C",NormalCallSprd(O2257,H2257,M2257,(P2257-A2257)/365), NormalPutSprd(O2257,H2257,M2257,(P2257-A2257)/365))</f>
        <v>0.5328894033840299</v>
      </c>
      <c r="R2257" s="9">
        <f t="shared" si="84"/>
        <v>2.8894033840298761E-3</v>
      </c>
    </row>
    <row r="2258" spans="1:18" x14ac:dyDescent="0.2">
      <c r="A2258" s="2">
        <v>42622</v>
      </c>
      <c r="B2258" s="1" t="s">
        <v>56</v>
      </c>
      <c r="C2258" s="1" t="s">
        <v>57</v>
      </c>
      <c r="D2258" s="2">
        <v>42742</v>
      </c>
      <c r="E2258" s="2">
        <f t="shared" si="83"/>
        <v>42917</v>
      </c>
      <c r="F2258" s="1" t="s">
        <v>58</v>
      </c>
      <c r="G2258" s="1" t="s">
        <v>16</v>
      </c>
      <c r="H2258" s="1">
        <v>-5.25</v>
      </c>
      <c r="I2258" s="1">
        <v>2.59</v>
      </c>
      <c r="J2258" s="1">
        <v>0</v>
      </c>
      <c r="K2258" s="2">
        <v>43046</v>
      </c>
      <c r="L2258" s="1">
        <v>3716</v>
      </c>
      <c r="M2258" s="1">
        <v>3.77</v>
      </c>
      <c r="N2258" s="1">
        <v>0.64578999999999998</v>
      </c>
      <c r="O2258" s="3">
        <f>VLOOKUP(D2258,underlying!$D$40:$H$75,5,FALSE)</f>
        <v>-3.25</v>
      </c>
      <c r="P2258" s="4">
        <f t="shared" si="82"/>
        <v>42927</v>
      </c>
      <c r="Q2258" s="7">
        <f>IF(G2258="C",NormalCallSprd(O2258,H2258,M2258,(P2258-A2258)/365), NormalPutSprd(O2258,H2258,M2258,(P2258-A2258)/365))</f>
        <v>2.6000866375650586</v>
      </c>
      <c r="R2258" s="9">
        <f t="shared" si="84"/>
        <v>1.0086637565058787E-2</v>
      </c>
    </row>
    <row r="2259" spans="1:18" x14ac:dyDescent="0.2">
      <c r="A2259" s="2">
        <v>42622</v>
      </c>
      <c r="B2259" s="1" t="s">
        <v>56</v>
      </c>
      <c r="C2259" s="1" t="s">
        <v>57</v>
      </c>
      <c r="D2259" s="2">
        <v>42742</v>
      </c>
      <c r="E2259" s="2">
        <f t="shared" si="83"/>
        <v>42917</v>
      </c>
      <c r="F2259" s="1" t="s">
        <v>58</v>
      </c>
      <c r="G2259" s="1" t="s">
        <v>18</v>
      </c>
      <c r="H2259" s="1">
        <v>-5.25</v>
      </c>
      <c r="I2259" s="1">
        <v>0.6</v>
      </c>
      <c r="J2259" s="1">
        <v>0</v>
      </c>
      <c r="K2259" s="2">
        <v>43046</v>
      </c>
      <c r="L2259" s="1">
        <v>3716</v>
      </c>
      <c r="M2259" s="1">
        <v>3.77</v>
      </c>
      <c r="N2259" s="1">
        <v>0.67930999999999997</v>
      </c>
      <c r="O2259" s="3">
        <f>VLOOKUP(D2259,underlying!$D$40:$H$75,5,FALSE)</f>
        <v>-3.25</v>
      </c>
      <c r="P2259" s="4">
        <f t="shared" si="82"/>
        <v>42927</v>
      </c>
      <c r="Q2259" s="7">
        <f>IF(G2259="C",NormalCallSprd(O2259,H2259,M2259,(P2259-A2259)/365), NormalPutSprd(O2259,H2259,M2259,(P2259-A2259)/365))</f>
        <v>0.60008663756505853</v>
      </c>
      <c r="R2259" s="9">
        <f t="shared" si="84"/>
        <v>8.6637565058556021E-5</v>
      </c>
    </row>
    <row r="2260" spans="1:18" x14ac:dyDescent="0.2">
      <c r="A2260" s="2">
        <v>42622</v>
      </c>
      <c r="B2260" s="1" t="s">
        <v>56</v>
      </c>
      <c r="C2260" s="1" t="s">
        <v>57</v>
      </c>
      <c r="D2260" s="2">
        <v>42742</v>
      </c>
      <c r="E2260" s="2">
        <f t="shared" si="83"/>
        <v>42917</v>
      </c>
      <c r="F2260" s="1" t="s">
        <v>58</v>
      </c>
      <c r="G2260" s="1" t="s">
        <v>16</v>
      </c>
      <c r="H2260" s="1">
        <v>-5</v>
      </c>
      <c r="I2260" s="1">
        <v>2.42</v>
      </c>
      <c r="J2260" s="1">
        <v>0</v>
      </c>
      <c r="K2260" s="2">
        <v>43046</v>
      </c>
      <c r="L2260" s="1">
        <v>3716</v>
      </c>
      <c r="M2260" s="1">
        <v>3.79</v>
      </c>
      <c r="N2260" s="1">
        <v>0.71296000000000004</v>
      </c>
      <c r="O2260" s="3">
        <f>VLOOKUP(D2260,underlying!$D$40:$H$75,5,FALSE)</f>
        <v>-3.25</v>
      </c>
      <c r="P2260" s="4">
        <f t="shared" si="82"/>
        <v>42927</v>
      </c>
      <c r="Q2260" s="7">
        <f>IF(G2260="C",NormalCallSprd(O2260,H2260,M2260,(P2260-A2260)/365), NormalPutSprd(O2260,H2260,M2260,(P2260-A2260)/365))</f>
        <v>2.4298115982583313</v>
      </c>
      <c r="R2260" s="9">
        <f t="shared" si="84"/>
        <v>9.8115982583313333E-3</v>
      </c>
    </row>
    <row r="2261" spans="1:18" x14ac:dyDescent="0.2">
      <c r="A2261" s="2">
        <v>42622</v>
      </c>
      <c r="B2261" s="1" t="s">
        <v>56</v>
      </c>
      <c r="C2261" s="1" t="s">
        <v>57</v>
      </c>
      <c r="D2261" s="2">
        <v>42742</v>
      </c>
      <c r="E2261" s="2">
        <f t="shared" si="83"/>
        <v>42917</v>
      </c>
      <c r="F2261" s="1" t="s">
        <v>58</v>
      </c>
      <c r="G2261" s="1" t="s">
        <v>18</v>
      </c>
      <c r="H2261" s="1">
        <v>-5</v>
      </c>
      <c r="I2261" s="1">
        <v>0.68</v>
      </c>
      <c r="J2261" s="1">
        <v>0</v>
      </c>
      <c r="K2261" s="2">
        <v>43046</v>
      </c>
      <c r="L2261" s="1">
        <v>3716</v>
      </c>
      <c r="M2261" s="1">
        <v>3.79</v>
      </c>
      <c r="N2261" s="1">
        <v>0.74306000000000005</v>
      </c>
      <c r="O2261" s="3">
        <f>VLOOKUP(D2261,underlying!$D$40:$H$75,5,FALSE)</f>
        <v>-3.25</v>
      </c>
      <c r="P2261" s="4">
        <f t="shared" si="82"/>
        <v>42927</v>
      </c>
      <c r="Q2261" s="7">
        <f>IF(G2261="C",NormalCallSprd(O2261,H2261,M2261,(P2261-A2261)/365), NormalPutSprd(O2261,H2261,M2261,(P2261-A2261)/365))</f>
        <v>0.67981159825833115</v>
      </c>
      <c r="R2261" s="9">
        <f t="shared" si="84"/>
        <v>1.8840174166889767E-4</v>
      </c>
    </row>
    <row r="2262" spans="1:18" x14ac:dyDescent="0.2">
      <c r="A2262" s="2">
        <v>42622</v>
      </c>
      <c r="B2262" s="1" t="s">
        <v>56</v>
      </c>
      <c r="C2262" s="1" t="s">
        <v>57</v>
      </c>
      <c r="D2262" s="2">
        <v>42742</v>
      </c>
      <c r="E2262" s="2">
        <f t="shared" si="83"/>
        <v>42917</v>
      </c>
      <c r="F2262" s="1" t="s">
        <v>58</v>
      </c>
      <c r="G2262" s="1" t="s">
        <v>16</v>
      </c>
      <c r="H2262" s="1">
        <v>-4.75</v>
      </c>
      <c r="I2262" s="1">
        <v>2.2400000000000002</v>
      </c>
      <c r="J2262" s="1">
        <v>0</v>
      </c>
      <c r="K2262" s="2">
        <v>43046</v>
      </c>
      <c r="L2262" s="1">
        <v>3716</v>
      </c>
      <c r="M2262" s="1">
        <v>3.77</v>
      </c>
      <c r="N2262" s="1">
        <v>0.77332999999999996</v>
      </c>
      <c r="O2262" s="3">
        <f>VLOOKUP(D2262,underlying!$D$40:$H$75,5,FALSE)</f>
        <v>-3.25</v>
      </c>
      <c r="P2262" s="4">
        <f t="shared" si="82"/>
        <v>42927</v>
      </c>
      <c r="Q2262" s="7">
        <f>IF(G2262="C",NormalCallSprd(O2262,H2262,M2262,(P2262-A2262)/365), NormalPutSprd(O2262,H2262,M2262,(P2262-A2262)/365))</f>
        <v>2.2530629723628977</v>
      </c>
      <c r="R2262" s="9">
        <f t="shared" si="84"/>
        <v>1.306297236289744E-2</v>
      </c>
    </row>
    <row r="2263" spans="1:18" x14ac:dyDescent="0.2">
      <c r="A2263" s="2">
        <v>42622</v>
      </c>
      <c r="B2263" s="1" t="s">
        <v>56</v>
      </c>
      <c r="C2263" s="1" t="s">
        <v>57</v>
      </c>
      <c r="D2263" s="2">
        <v>42742</v>
      </c>
      <c r="E2263" s="2">
        <f t="shared" si="83"/>
        <v>42917</v>
      </c>
      <c r="F2263" s="1" t="s">
        <v>58</v>
      </c>
      <c r="G2263" s="1" t="s">
        <v>18</v>
      </c>
      <c r="H2263" s="1">
        <v>-4.75</v>
      </c>
      <c r="I2263" s="1">
        <v>0.75</v>
      </c>
      <c r="J2263" s="1">
        <v>0</v>
      </c>
      <c r="K2263" s="2">
        <v>43046</v>
      </c>
      <c r="L2263" s="1">
        <v>3716</v>
      </c>
      <c r="M2263" s="1">
        <v>3.77</v>
      </c>
      <c r="N2263" s="1">
        <v>0.79998999999999998</v>
      </c>
      <c r="O2263" s="3">
        <f>VLOOKUP(D2263,underlying!$D$40:$H$75,5,FALSE)</f>
        <v>-3.25</v>
      </c>
      <c r="P2263" s="4">
        <f t="shared" si="82"/>
        <v>42927</v>
      </c>
      <c r="Q2263" s="7">
        <f>IF(G2263="C",NormalCallSprd(O2263,H2263,M2263,(P2263-A2263)/365), NormalPutSprd(O2263,H2263,M2263,(P2263-A2263)/365))</f>
        <v>0.75306297236289765</v>
      </c>
      <c r="R2263" s="9">
        <f t="shared" si="84"/>
        <v>3.0629723628976535E-3</v>
      </c>
    </row>
    <row r="2264" spans="1:18" x14ac:dyDescent="0.2">
      <c r="A2264" s="2">
        <v>42622</v>
      </c>
      <c r="B2264" s="1" t="s">
        <v>56</v>
      </c>
      <c r="C2264" s="1" t="s">
        <v>57</v>
      </c>
      <c r="D2264" s="2">
        <v>42742</v>
      </c>
      <c r="E2264" s="2">
        <f t="shared" si="83"/>
        <v>42917</v>
      </c>
      <c r="F2264" s="1" t="s">
        <v>58</v>
      </c>
      <c r="G2264" s="1" t="s">
        <v>16</v>
      </c>
      <c r="H2264" s="1">
        <v>-4.5</v>
      </c>
      <c r="I2264" s="1">
        <v>2.09</v>
      </c>
      <c r="J2264" s="1">
        <v>0</v>
      </c>
      <c r="K2264" s="2">
        <v>43046</v>
      </c>
      <c r="L2264" s="1">
        <v>3716</v>
      </c>
      <c r="M2264" s="1">
        <v>3.79</v>
      </c>
      <c r="N2264" s="1">
        <v>0.82511999999999996</v>
      </c>
      <c r="O2264" s="3">
        <f>VLOOKUP(D2264,underlying!$D$40:$H$75,5,FALSE)</f>
        <v>-3.25</v>
      </c>
      <c r="P2264" s="4">
        <f t="shared" si="82"/>
        <v>42927</v>
      </c>
      <c r="Q2264" s="7">
        <f>IF(G2264="C",NormalCallSprd(O2264,H2264,M2264,(P2264-A2264)/365), NormalPutSprd(O2264,H2264,M2264,(P2264-A2264)/365))</f>
        <v>2.0961406075892812</v>
      </c>
      <c r="R2264" s="9">
        <f t="shared" si="84"/>
        <v>6.1406075892813661E-3</v>
      </c>
    </row>
    <row r="2265" spans="1:18" x14ac:dyDescent="0.2">
      <c r="A2265" s="2">
        <v>42622</v>
      </c>
      <c r="B2265" s="1" t="s">
        <v>56</v>
      </c>
      <c r="C2265" s="1" t="s">
        <v>57</v>
      </c>
      <c r="D2265" s="2">
        <v>42742</v>
      </c>
      <c r="E2265" s="2">
        <f t="shared" si="83"/>
        <v>42917</v>
      </c>
      <c r="F2265" s="1" t="s">
        <v>58</v>
      </c>
      <c r="G2265" s="1" t="s">
        <v>18</v>
      </c>
      <c r="H2265" s="1">
        <v>-4.5</v>
      </c>
      <c r="I2265" s="1">
        <v>0.84</v>
      </c>
      <c r="J2265" s="1">
        <v>0</v>
      </c>
      <c r="K2265" s="2">
        <v>43046</v>
      </c>
      <c r="L2265" s="1">
        <v>3716</v>
      </c>
      <c r="M2265" s="1">
        <v>3.79</v>
      </c>
      <c r="N2265" s="1">
        <v>0.84811000000000003</v>
      </c>
      <c r="O2265" s="3">
        <f>VLOOKUP(D2265,underlying!$D$40:$H$75,5,FALSE)</f>
        <v>-3.25</v>
      </c>
      <c r="P2265" s="4">
        <f t="shared" si="82"/>
        <v>42927</v>
      </c>
      <c r="Q2265" s="7">
        <f>IF(G2265="C",NormalCallSprd(O2265,H2265,M2265,(P2265-A2265)/365), NormalPutSprd(O2265,H2265,M2265,(P2265-A2265)/365))</f>
        <v>0.84614060758928133</v>
      </c>
      <c r="R2265" s="9">
        <f t="shared" si="84"/>
        <v>6.1406075892813661E-3</v>
      </c>
    </row>
    <row r="2266" spans="1:18" x14ac:dyDescent="0.2">
      <c r="A2266" s="2">
        <v>42622</v>
      </c>
      <c r="B2266" s="1" t="s">
        <v>56</v>
      </c>
      <c r="C2266" s="1" t="s">
        <v>57</v>
      </c>
      <c r="D2266" s="2">
        <v>42742</v>
      </c>
      <c r="E2266" s="2">
        <f t="shared" si="83"/>
        <v>42917</v>
      </c>
      <c r="F2266" s="1" t="s">
        <v>58</v>
      </c>
      <c r="G2266" s="1" t="s">
        <v>16</v>
      </c>
      <c r="H2266" s="1">
        <v>-4.25</v>
      </c>
      <c r="I2266" s="1">
        <v>1.92</v>
      </c>
      <c r="J2266" s="1">
        <v>-0.01</v>
      </c>
      <c r="K2266" s="2">
        <v>43046</v>
      </c>
      <c r="L2266" s="1">
        <v>3716</v>
      </c>
      <c r="M2266" s="1">
        <v>3.77</v>
      </c>
      <c r="N2266" s="1">
        <v>0.86897000000000002</v>
      </c>
      <c r="O2266" s="3">
        <f>VLOOKUP(D2266,underlying!$D$40:$H$75,5,FALSE)</f>
        <v>-3.25</v>
      </c>
      <c r="P2266" s="4">
        <f t="shared" si="82"/>
        <v>42927</v>
      </c>
      <c r="Q2266" s="7">
        <f>IF(G2266="C",NormalCallSprd(O2266,H2266,M2266,(P2266-A2266)/365), NormalPutSprd(O2266,H2266,M2266,(P2266-A2266)/365))</f>
        <v>1.9323268467644896</v>
      </c>
      <c r="R2266" s="9">
        <f t="shared" si="84"/>
        <v>1.2326846764489696E-2</v>
      </c>
    </row>
    <row r="2267" spans="1:18" x14ac:dyDescent="0.2">
      <c r="A2267" s="2">
        <v>42622</v>
      </c>
      <c r="B2267" s="1" t="s">
        <v>56</v>
      </c>
      <c r="C2267" s="1" t="s">
        <v>57</v>
      </c>
      <c r="D2267" s="2">
        <v>42742</v>
      </c>
      <c r="E2267" s="2">
        <f t="shared" si="83"/>
        <v>42917</v>
      </c>
      <c r="F2267" s="1" t="s">
        <v>58</v>
      </c>
      <c r="G2267" s="1" t="s">
        <v>18</v>
      </c>
      <c r="H2267" s="1">
        <v>-4.25</v>
      </c>
      <c r="I2267" s="1">
        <v>0.93</v>
      </c>
      <c r="J2267" s="1">
        <v>0</v>
      </c>
      <c r="K2267" s="2">
        <v>43046</v>
      </c>
      <c r="L2267" s="1">
        <v>3716</v>
      </c>
      <c r="M2267" s="1">
        <v>3.77</v>
      </c>
      <c r="N2267" s="1">
        <v>0.88771999999999995</v>
      </c>
      <c r="O2267" s="3">
        <f>VLOOKUP(D2267,underlying!$D$40:$H$75,5,FALSE)</f>
        <v>-3.25</v>
      </c>
      <c r="P2267" s="4">
        <f t="shared" si="82"/>
        <v>42927</v>
      </c>
      <c r="Q2267" s="7">
        <f>IF(G2267="C",NormalCallSprd(O2267,H2267,M2267,(P2267-A2267)/365), NormalPutSprd(O2267,H2267,M2267,(P2267-A2267)/365))</f>
        <v>0.93232684676448974</v>
      </c>
      <c r="R2267" s="9">
        <f t="shared" si="84"/>
        <v>2.3268467644896873E-3</v>
      </c>
    </row>
    <row r="2268" spans="1:18" x14ac:dyDescent="0.2">
      <c r="A2268" s="2">
        <v>42622</v>
      </c>
      <c r="B2268" s="1" t="s">
        <v>56</v>
      </c>
      <c r="C2268" s="1" t="s">
        <v>57</v>
      </c>
      <c r="D2268" s="2">
        <v>42742</v>
      </c>
      <c r="E2268" s="2">
        <f t="shared" si="83"/>
        <v>42917</v>
      </c>
      <c r="F2268" s="1" t="s">
        <v>58</v>
      </c>
      <c r="G2268" s="1" t="s">
        <v>16</v>
      </c>
      <c r="H2268" s="1">
        <v>-4</v>
      </c>
      <c r="I2268" s="1">
        <v>1.78</v>
      </c>
      <c r="J2268" s="1">
        <v>0</v>
      </c>
      <c r="K2268" s="2">
        <v>43046</v>
      </c>
      <c r="L2268" s="1">
        <v>3716</v>
      </c>
      <c r="M2268" s="1">
        <v>3.78</v>
      </c>
      <c r="N2268" s="1">
        <v>0.90442999999999996</v>
      </c>
      <c r="O2268" s="3">
        <f>VLOOKUP(D2268,underlying!$D$40:$H$75,5,FALSE)</f>
        <v>-3.25</v>
      </c>
      <c r="P2268" s="4">
        <f t="shared" si="82"/>
        <v>42927</v>
      </c>
      <c r="Q2268" s="7">
        <f>IF(G2268="C",NormalCallSprd(O2268,H2268,M2268,(P2268-A2268)/365), NormalPutSprd(O2268,H2268,M2268,(P2268-A2268)/365))</f>
        <v>1.7858404853679448</v>
      </c>
      <c r="R2268" s="9">
        <f t="shared" si="84"/>
        <v>5.8404853679447921E-3</v>
      </c>
    </row>
    <row r="2269" spans="1:18" x14ac:dyDescent="0.2">
      <c r="A2269" s="2">
        <v>42622</v>
      </c>
      <c r="B2269" s="1" t="s">
        <v>56</v>
      </c>
      <c r="C2269" s="1" t="s">
        <v>57</v>
      </c>
      <c r="D2269" s="2">
        <v>42742</v>
      </c>
      <c r="E2269" s="2">
        <f t="shared" si="83"/>
        <v>42917</v>
      </c>
      <c r="F2269" s="1" t="s">
        <v>58</v>
      </c>
      <c r="G2269" s="1" t="s">
        <v>18</v>
      </c>
      <c r="H2269" s="1">
        <v>-4</v>
      </c>
      <c r="I2269" s="1">
        <v>1.03</v>
      </c>
      <c r="J2269" s="1">
        <v>0</v>
      </c>
      <c r="K2269" s="2">
        <v>43046</v>
      </c>
      <c r="L2269" s="1">
        <v>3716</v>
      </c>
      <c r="M2269" s="1">
        <v>3.78</v>
      </c>
      <c r="N2269" s="1">
        <v>0.91918999999999995</v>
      </c>
      <c r="O2269" s="3">
        <f>VLOOKUP(D2269,underlying!$D$40:$H$75,5,FALSE)</f>
        <v>-3.25</v>
      </c>
      <c r="P2269" s="4">
        <f t="shared" si="82"/>
        <v>42927</v>
      </c>
      <c r="Q2269" s="7">
        <f>IF(G2269="C",NormalCallSprd(O2269,H2269,M2269,(P2269-A2269)/365), NormalPutSprd(O2269,H2269,M2269,(P2269-A2269)/365))</f>
        <v>1.0358404853679448</v>
      </c>
      <c r="R2269" s="9">
        <f t="shared" si="84"/>
        <v>5.8404853679447921E-3</v>
      </c>
    </row>
    <row r="2270" spans="1:18" x14ac:dyDescent="0.2">
      <c r="A2270" s="2">
        <v>42622</v>
      </c>
      <c r="B2270" s="1" t="s">
        <v>56</v>
      </c>
      <c r="C2270" s="1" t="s">
        <v>57</v>
      </c>
      <c r="D2270" s="2">
        <v>42742</v>
      </c>
      <c r="E2270" s="2">
        <f t="shared" si="83"/>
        <v>42917</v>
      </c>
      <c r="F2270" s="1" t="s">
        <v>58</v>
      </c>
      <c r="G2270" s="1" t="s">
        <v>16</v>
      </c>
      <c r="H2270" s="1">
        <v>-3.75</v>
      </c>
      <c r="I2270" s="1">
        <v>1.64</v>
      </c>
      <c r="J2270" s="1">
        <v>0</v>
      </c>
      <c r="K2270" s="2">
        <v>43046</v>
      </c>
      <c r="L2270" s="1">
        <v>3716</v>
      </c>
      <c r="M2270" s="1">
        <v>3.78</v>
      </c>
      <c r="N2270" s="1">
        <v>0.93211999999999995</v>
      </c>
      <c r="O2270" s="3">
        <f>VLOOKUP(D2270,underlying!$D$40:$H$75,5,FALSE)</f>
        <v>-3.25</v>
      </c>
      <c r="P2270" s="4">
        <f t="shared" si="82"/>
        <v>42927</v>
      </c>
      <c r="Q2270" s="7">
        <f>IF(G2270="C",NormalCallSprd(O2270,H2270,M2270,(P2270-A2270)/365), NormalPutSprd(O2270,H2270,M2270,(P2270-A2270)/365))</f>
        <v>1.6429023142392469</v>
      </c>
      <c r="R2270" s="9">
        <f t="shared" si="84"/>
        <v>2.902314239247028E-3</v>
      </c>
    </row>
    <row r="2271" spans="1:18" x14ac:dyDescent="0.2">
      <c r="A2271" s="2">
        <v>42622</v>
      </c>
      <c r="B2271" s="1" t="s">
        <v>56</v>
      </c>
      <c r="C2271" s="1" t="s">
        <v>57</v>
      </c>
      <c r="D2271" s="2">
        <v>42742</v>
      </c>
      <c r="E2271" s="2">
        <f t="shared" si="83"/>
        <v>42917</v>
      </c>
      <c r="F2271" s="1" t="s">
        <v>58</v>
      </c>
      <c r="G2271" s="1" t="s">
        <v>18</v>
      </c>
      <c r="H2271" s="1">
        <v>-3.75</v>
      </c>
      <c r="I2271" s="1">
        <v>1.1399999999999999</v>
      </c>
      <c r="J2271" s="1">
        <v>0</v>
      </c>
      <c r="K2271" s="2">
        <v>43046</v>
      </c>
      <c r="L2271" s="1">
        <v>3716</v>
      </c>
      <c r="M2271" s="1">
        <v>3.78</v>
      </c>
      <c r="N2271" s="1">
        <v>0.94333</v>
      </c>
      <c r="O2271" s="3">
        <f>VLOOKUP(D2271,underlying!$D$40:$H$75,5,FALSE)</f>
        <v>-3.25</v>
      </c>
      <c r="P2271" s="4">
        <f t="shared" si="82"/>
        <v>42927</v>
      </c>
      <c r="Q2271" s="7">
        <f>IF(G2271="C",NormalCallSprd(O2271,H2271,M2271,(P2271-A2271)/365), NormalPutSprd(O2271,H2271,M2271,(P2271-A2271)/365))</f>
        <v>1.1429023142392469</v>
      </c>
      <c r="R2271" s="9">
        <f t="shared" si="84"/>
        <v>2.902314239247028E-3</v>
      </c>
    </row>
    <row r="2272" spans="1:18" x14ac:dyDescent="0.2">
      <c r="A2272" s="2">
        <v>42622</v>
      </c>
      <c r="B2272" s="1" t="s">
        <v>56</v>
      </c>
      <c r="C2272" s="1" t="s">
        <v>57</v>
      </c>
      <c r="D2272" s="2">
        <v>42742</v>
      </c>
      <c r="E2272" s="2">
        <f t="shared" si="83"/>
        <v>42917</v>
      </c>
      <c r="F2272" s="1" t="s">
        <v>58</v>
      </c>
      <c r="G2272" s="1" t="s">
        <v>16</v>
      </c>
      <c r="H2272" s="1">
        <v>-3.5</v>
      </c>
      <c r="I2272" s="1">
        <v>1.5</v>
      </c>
      <c r="J2272" s="1">
        <v>-0.01</v>
      </c>
      <c r="K2272" s="2">
        <v>43046</v>
      </c>
      <c r="L2272" s="1">
        <v>3716</v>
      </c>
      <c r="M2272" s="1">
        <v>3.79</v>
      </c>
      <c r="N2272" s="1">
        <v>0.95298000000000005</v>
      </c>
      <c r="O2272" s="3">
        <f>VLOOKUP(D2272,underlying!$D$40:$H$75,5,FALSE)</f>
        <v>-3.25</v>
      </c>
      <c r="P2272" s="4">
        <f t="shared" si="82"/>
        <v>42927</v>
      </c>
      <c r="Q2272" s="7">
        <f>IF(G2272="C",NormalCallSprd(O2272,H2272,M2272,(P2272-A2272)/365), NormalPutSprd(O2272,H2272,M2272,(P2272-A2272)/365))</f>
        <v>1.5107392199502512</v>
      </c>
      <c r="R2272" s="9">
        <f t="shared" si="84"/>
        <v>1.0739219950251178E-2</v>
      </c>
    </row>
    <row r="2273" spans="1:18" x14ac:dyDescent="0.2">
      <c r="A2273" s="2">
        <v>42622</v>
      </c>
      <c r="B2273" s="1" t="s">
        <v>56</v>
      </c>
      <c r="C2273" s="1" t="s">
        <v>57</v>
      </c>
      <c r="D2273" s="2">
        <v>42742</v>
      </c>
      <c r="E2273" s="2">
        <f t="shared" si="83"/>
        <v>42917</v>
      </c>
      <c r="F2273" s="1" t="s">
        <v>58</v>
      </c>
      <c r="G2273" s="1" t="s">
        <v>18</v>
      </c>
      <c r="H2273" s="1">
        <v>-3.5</v>
      </c>
      <c r="I2273" s="1">
        <v>1.25</v>
      </c>
      <c r="J2273" s="1">
        <v>-0.01</v>
      </c>
      <c r="K2273" s="2">
        <v>43046</v>
      </c>
      <c r="L2273" s="1">
        <v>3716</v>
      </c>
      <c r="M2273" s="1">
        <v>3.79</v>
      </c>
      <c r="N2273" s="1">
        <v>0.96121000000000001</v>
      </c>
      <c r="O2273" s="3">
        <f>VLOOKUP(D2273,underlying!$D$40:$H$75,5,FALSE)</f>
        <v>-3.25</v>
      </c>
      <c r="P2273" s="4">
        <f t="shared" si="82"/>
        <v>42927</v>
      </c>
      <c r="Q2273" s="7">
        <f>IF(G2273="C",NormalCallSprd(O2273,H2273,M2273,(P2273-A2273)/365), NormalPutSprd(O2273,H2273,M2273,(P2273-A2273)/365))</f>
        <v>1.2607392199502512</v>
      </c>
      <c r="R2273" s="9">
        <f t="shared" si="84"/>
        <v>1.0739219950251178E-2</v>
      </c>
    </row>
    <row r="2274" spans="1:18" x14ac:dyDescent="0.2">
      <c r="A2274" s="2">
        <v>42622</v>
      </c>
      <c r="B2274" s="1" t="s">
        <v>56</v>
      </c>
      <c r="C2274" s="1" t="s">
        <v>57</v>
      </c>
      <c r="D2274" s="2">
        <v>42742</v>
      </c>
      <c r="E2274" s="2">
        <f t="shared" si="83"/>
        <v>42917</v>
      </c>
      <c r="F2274" s="1" t="s">
        <v>58</v>
      </c>
      <c r="G2274" s="1" t="s">
        <v>16</v>
      </c>
      <c r="H2274" s="1">
        <v>-3.25</v>
      </c>
      <c r="I2274" s="1">
        <v>1.37</v>
      </c>
      <c r="J2274" s="1">
        <v>0</v>
      </c>
      <c r="K2274" s="2">
        <v>43046</v>
      </c>
      <c r="L2274" s="1">
        <v>3716</v>
      </c>
      <c r="M2274" s="1">
        <v>3.78</v>
      </c>
      <c r="N2274" s="1">
        <v>0.96814999999999996</v>
      </c>
      <c r="O2274" s="3">
        <f>VLOOKUP(D2274,underlying!$D$40:$H$75,5,FALSE)</f>
        <v>-3.25</v>
      </c>
      <c r="P2274" s="4">
        <f t="shared" si="82"/>
        <v>42927</v>
      </c>
      <c r="Q2274" s="7">
        <f>IF(G2274="C",NormalCallSprd(O2274,H2274,M2274,(P2274-A2274)/365), NormalPutSprd(O2274,H2274,M2274,(P2274-A2274)/365))</f>
        <v>1.3784955012141002</v>
      </c>
      <c r="R2274" s="9">
        <f t="shared" si="84"/>
        <v>8.4955012141001429E-3</v>
      </c>
    </row>
    <row r="2275" spans="1:18" x14ac:dyDescent="0.2">
      <c r="A2275" s="2">
        <v>42622</v>
      </c>
      <c r="B2275" s="1" t="s">
        <v>56</v>
      </c>
      <c r="C2275" s="1" t="s">
        <v>57</v>
      </c>
      <c r="D2275" s="2">
        <v>42742</v>
      </c>
      <c r="E2275" s="2">
        <f t="shared" si="83"/>
        <v>42917</v>
      </c>
      <c r="F2275" s="1" t="s">
        <v>58</v>
      </c>
      <c r="G2275" s="1" t="s">
        <v>18</v>
      </c>
      <c r="H2275" s="1">
        <v>-3.25</v>
      </c>
      <c r="I2275" s="1">
        <v>1.37</v>
      </c>
      <c r="J2275" s="1">
        <v>0</v>
      </c>
      <c r="K2275" s="2">
        <v>43046</v>
      </c>
      <c r="L2275" s="1">
        <v>3716</v>
      </c>
      <c r="M2275" s="1">
        <v>3.78</v>
      </c>
      <c r="N2275" s="1">
        <v>0.98277999999999999</v>
      </c>
      <c r="O2275" s="3">
        <f>VLOOKUP(D2275,underlying!$D$40:$H$75,5,FALSE)</f>
        <v>-3.25</v>
      </c>
      <c r="P2275" s="4">
        <f t="shared" si="82"/>
        <v>42927</v>
      </c>
      <c r="Q2275" s="7">
        <f>IF(G2275="C",NormalCallSprd(O2275,H2275,M2275,(P2275-A2275)/365), NormalPutSprd(O2275,H2275,M2275,(P2275-A2275)/365))</f>
        <v>1.3784955012141002</v>
      </c>
      <c r="R2275" s="9">
        <f t="shared" si="84"/>
        <v>8.4955012141001429E-3</v>
      </c>
    </row>
    <row r="2276" spans="1:18" x14ac:dyDescent="0.2">
      <c r="A2276" s="2">
        <v>42622</v>
      </c>
      <c r="B2276" s="1" t="s">
        <v>56</v>
      </c>
      <c r="C2276" s="1" t="s">
        <v>57</v>
      </c>
      <c r="D2276" s="2">
        <v>42742</v>
      </c>
      <c r="E2276" s="2">
        <f t="shared" si="83"/>
        <v>42917</v>
      </c>
      <c r="F2276" s="1" t="s">
        <v>58</v>
      </c>
      <c r="G2276" s="1" t="s">
        <v>16</v>
      </c>
      <c r="H2276" s="1">
        <v>-3</v>
      </c>
      <c r="I2276" s="1">
        <v>1.25</v>
      </c>
      <c r="J2276" s="1">
        <v>-0.01</v>
      </c>
      <c r="K2276" s="2">
        <v>43046</v>
      </c>
      <c r="L2276" s="1">
        <v>3716</v>
      </c>
      <c r="M2276" s="1">
        <v>3.79</v>
      </c>
      <c r="N2276" s="1">
        <v>-0.86780999999999997</v>
      </c>
      <c r="O2276" s="3">
        <f>VLOOKUP(D2276,underlying!$D$40:$H$75,5,FALSE)</f>
        <v>-3.25</v>
      </c>
      <c r="P2276" s="4">
        <f t="shared" si="82"/>
        <v>42927</v>
      </c>
      <c r="Q2276" s="7">
        <f>IF(G2276="C",NormalCallSprd(O2276,H2276,M2276,(P2276-A2276)/365), NormalPutSprd(O2276,H2276,M2276,(P2276-A2276)/365))</f>
        <v>1.2607392199502512</v>
      </c>
      <c r="R2276" s="9">
        <f t="shared" si="84"/>
        <v>1.0739219950251178E-2</v>
      </c>
    </row>
    <row r="2277" spans="1:18" x14ac:dyDescent="0.2">
      <c r="A2277" s="2">
        <v>42622</v>
      </c>
      <c r="B2277" s="1" t="s">
        <v>56</v>
      </c>
      <c r="C2277" s="1" t="s">
        <v>57</v>
      </c>
      <c r="D2277" s="2">
        <v>42742</v>
      </c>
      <c r="E2277" s="2">
        <f t="shared" si="83"/>
        <v>42917</v>
      </c>
      <c r="F2277" s="1" t="s">
        <v>58</v>
      </c>
      <c r="G2277" s="1" t="s">
        <v>18</v>
      </c>
      <c r="H2277" s="1">
        <v>-3</v>
      </c>
      <c r="I2277" s="1">
        <v>1.5</v>
      </c>
      <c r="J2277" s="1">
        <v>-0.01</v>
      </c>
      <c r="K2277" s="2">
        <v>43046</v>
      </c>
      <c r="L2277" s="1">
        <v>3716</v>
      </c>
      <c r="M2277" s="1">
        <v>3.79</v>
      </c>
      <c r="N2277" s="1">
        <v>-0.84694000000000003</v>
      </c>
      <c r="O2277" s="3">
        <f>VLOOKUP(D2277,underlying!$D$40:$H$75,5,FALSE)</f>
        <v>-3.25</v>
      </c>
      <c r="P2277" s="4">
        <f t="shared" si="82"/>
        <v>42927</v>
      </c>
      <c r="Q2277" s="7">
        <f>IF(G2277="C",NormalCallSprd(O2277,H2277,M2277,(P2277-A2277)/365), NormalPutSprd(O2277,H2277,M2277,(P2277-A2277)/365))</f>
        <v>1.5107392199502512</v>
      </c>
      <c r="R2277" s="9">
        <f t="shared" si="84"/>
        <v>1.0739219950251178E-2</v>
      </c>
    </row>
    <row r="2278" spans="1:18" x14ac:dyDescent="0.2">
      <c r="A2278" s="2">
        <v>42622</v>
      </c>
      <c r="B2278" s="1" t="s">
        <v>56</v>
      </c>
      <c r="C2278" s="1" t="s">
        <v>57</v>
      </c>
      <c r="D2278" s="2">
        <v>42742</v>
      </c>
      <c r="E2278" s="2">
        <f t="shared" si="83"/>
        <v>42917</v>
      </c>
      <c r="F2278" s="1" t="s">
        <v>58</v>
      </c>
      <c r="G2278" s="1" t="s">
        <v>16</v>
      </c>
      <c r="H2278" s="1">
        <v>-2.75</v>
      </c>
      <c r="I2278" s="1">
        <v>1.1399999999999999</v>
      </c>
      <c r="J2278" s="1">
        <v>0</v>
      </c>
      <c r="K2278" s="2">
        <v>43046</v>
      </c>
      <c r="L2278" s="1">
        <v>3716</v>
      </c>
      <c r="M2278" s="1">
        <v>3.78</v>
      </c>
      <c r="N2278" s="1">
        <v>-0.82394999999999996</v>
      </c>
      <c r="O2278" s="3">
        <f>VLOOKUP(D2278,underlying!$D$40:$H$75,5,FALSE)</f>
        <v>-3.25</v>
      </c>
      <c r="P2278" s="4">
        <f t="shared" si="82"/>
        <v>42927</v>
      </c>
      <c r="Q2278" s="7">
        <f>IF(G2278="C",NormalCallSprd(O2278,H2278,M2278,(P2278-A2278)/365), NormalPutSprd(O2278,H2278,M2278,(P2278-A2278)/365))</f>
        <v>1.1429023142392469</v>
      </c>
      <c r="R2278" s="9">
        <f t="shared" si="84"/>
        <v>2.902314239247028E-3</v>
      </c>
    </row>
    <row r="2279" spans="1:18" x14ac:dyDescent="0.2">
      <c r="A2279" s="2">
        <v>42622</v>
      </c>
      <c r="B2279" s="1" t="s">
        <v>56</v>
      </c>
      <c r="C2279" s="1" t="s">
        <v>57</v>
      </c>
      <c r="D2279" s="2">
        <v>42742</v>
      </c>
      <c r="E2279" s="2">
        <f t="shared" si="83"/>
        <v>42917</v>
      </c>
      <c r="F2279" s="1" t="s">
        <v>58</v>
      </c>
      <c r="G2279" s="1" t="s">
        <v>18</v>
      </c>
      <c r="H2279" s="1">
        <v>-2.75</v>
      </c>
      <c r="I2279" s="1">
        <v>1.64</v>
      </c>
      <c r="J2279" s="1">
        <v>0</v>
      </c>
      <c r="K2279" s="2">
        <v>43046</v>
      </c>
      <c r="L2279" s="1">
        <v>3716</v>
      </c>
      <c r="M2279" s="1">
        <v>3.78</v>
      </c>
      <c r="N2279" s="1">
        <v>-5.4900000000000001E-3</v>
      </c>
      <c r="O2279" s="3">
        <f>VLOOKUP(D2279,underlying!$D$40:$H$75,5,FALSE)</f>
        <v>-3.25</v>
      </c>
      <c r="P2279" s="4">
        <f t="shared" si="82"/>
        <v>42927</v>
      </c>
      <c r="Q2279" s="7">
        <f>IF(G2279="C",NormalCallSprd(O2279,H2279,M2279,(P2279-A2279)/365), NormalPutSprd(O2279,H2279,M2279,(P2279-A2279)/365))</f>
        <v>1.6429023142392469</v>
      </c>
      <c r="R2279" s="9">
        <f t="shared" si="84"/>
        <v>2.902314239247028E-3</v>
      </c>
    </row>
    <row r="2280" spans="1:18" x14ac:dyDescent="0.2">
      <c r="A2280" s="2">
        <v>42622</v>
      </c>
      <c r="B2280" s="1" t="s">
        <v>56</v>
      </c>
      <c r="C2280" s="1" t="s">
        <v>57</v>
      </c>
      <c r="D2280" s="2">
        <v>42742</v>
      </c>
      <c r="E2280" s="2">
        <f t="shared" si="83"/>
        <v>42917</v>
      </c>
      <c r="F2280" s="1" t="s">
        <v>58</v>
      </c>
      <c r="G2280" s="1" t="s">
        <v>16</v>
      </c>
      <c r="H2280" s="1">
        <v>-2.5</v>
      </c>
      <c r="I2280" s="1">
        <v>1.03</v>
      </c>
      <c r="J2280" s="1">
        <v>0</v>
      </c>
      <c r="K2280" s="2">
        <v>43046</v>
      </c>
      <c r="L2280" s="1">
        <v>3716</v>
      </c>
      <c r="M2280" s="1">
        <v>3.78</v>
      </c>
      <c r="N2280" s="1">
        <v>-0.79942000000000002</v>
      </c>
      <c r="O2280" s="3">
        <f>VLOOKUP(D2280,underlying!$D$40:$H$75,5,FALSE)</f>
        <v>-3.25</v>
      </c>
      <c r="P2280" s="4">
        <f t="shared" si="82"/>
        <v>42927</v>
      </c>
      <c r="Q2280" s="7">
        <f>IF(G2280="C",NormalCallSprd(O2280,H2280,M2280,(P2280-A2280)/365), NormalPutSprd(O2280,H2280,M2280,(P2280-A2280)/365))</f>
        <v>1.0358404853679448</v>
      </c>
      <c r="R2280" s="9">
        <f t="shared" si="84"/>
        <v>5.8404853679447921E-3</v>
      </c>
    </row>
    <row r="2281" spans="1:18" x14ac:dyDescent="0.2">
      <c r="A2281" s="2">
        <v>42622</v>
      </c>
      <c r="B2281" s="1" t="s">
        <v>56</v>
      </c>
      <c r="C2281" s="1" t="s">
        <v>57</v>
      </c>
      <c r="D2281" s="2">
        <v>42742</v>
      </c>
      <c r="E2281" s="2">
        <f t="shared" si="83"/>
        <v>42917</v>
      </c>
      <c r="F2281" s="1" t="s">
        <v>58</v>
      </c>
      <c r="G2281" s="1" t="s">
        <v>18</v>
      </c>
      <c r="H2281" s="1">
        <v>-2.5</v>
      </c>
      <c r="I2281" s="1">
        <v>1.78</v>
      </c>
      <c r="J2281" s="1">
        <v>0</v>
      </c>
      <c r="K2281" s="2">
        <v>43046</v>
      </c>
      <c r="L2281" s="1">
        <v>3716</v>
      </c>
      <c r="M2281" s="1">
        <v>3.78</v>
      </c>
      <c r="N2281" s="1">
        <v>-1.75E-3</v>
      </c>
      <c r="O2281" s="3">
        <f>VLOOKUP(D2281,underlying!$D$40:$H$75,5,FALSE)</f>
        <v>-3.25</v>
      </c>
      <c r="P2281" s="4">
        <f t="shared" si="82"/>
        <v>42927</v>
      </c>
      <c r="Q2281" s="7">
        <f>IF(G2281="C",NormalCallSprd(O2281,H2281,M2281,(P2281-A2281)/365), NormalPutSprd(O2281,H2281,M2281,(P2281-A2281)/365))</f>
        <v>1.7858404853679448</v>
      </c>
      <c r="R2281" s="9">
        <f t="shared" si="84"/>
        <v>5.8404853679447921E-3</v>
      </c>
    </row>
    <row r="2282" spans="1:18" x14ac:dyDescent="0.2">
      <c r="A2282" s="2">
        <v>42622</v>
      </c>
      <c r="B2282" s="1" t="s">
        <v>56</v>
      </c>
      <c r="C2282" s="1" t="s">
        <v>57</v>
      </c>
      <c r="D2282" s="2">
        <v>42742</v>
      </c>
      <c r="E2282" s="2">
        <f t="shared" si="83"/>
        <v>42917</v>
      </c>
      <c r="F2282" s="1" t="s">
        <v>58</v>
      </c>
      <c r="G2282" s="1" t="s">
        <v>16</v>
      </c>
      <c r="H2282" s="1">
        <v>-2.25</v>
      </c>
      <c r="I2282" s="1">
        <v>0.93</v>
      </c>
      <c r="J2282" s="1">
        <v>0</v>
      </c>
      <c r="K2282" s="2">
        <v>43046</v>
      </c>
      <c r="L2282" s="1">
        <v>3716</v>
      </c>
      <c r="M2282" s="1">
        <v>3.77</v>
      </c>
      <c r="N2282" s="1">
        <v>-0.77332999999999996</v>
      </c>
      <c r="O2282" s="3">
        <f>VLOOKUP(D2282,underlying!$D$40:$H$75,5,FALSE)</f>
        <v>-3.25</v>
      </c>
      <c r="P2282" s="4">
        <f t="shared" si="82"/>
        <v>42927</v>
      </c>
      <c r="Q2282" s="7">
        <f>IF(G2282="C",NormalCallSprd(O2282,H2282,M2282,(P2282-A2282)/365), NormalPutSprd(O2282,H2282,M2282,(P2282-A2282)/365))</f>
        <v>0.93232684676448974</v>
      </c>
      <c r="R2282" s="9">
        <f t="shared" si="84"/>
        <v>2.3268467644896873E-3</v>
      </c>
    </row>
    <row r="2283" spans="1:18" x14ac:dyDescent="0.2">
      <c r="A2283" s="2">
        <v>42622</v>
      </c>
      <c r="B2283" s="1" t="s">
        <v>56</v>
      </c>
      <c r="C2283" s="1" t="s">
        <v>57</v>
      </c>
      <c r="D2283" s="2">
        <v>42742</v>
      </c>
      <c r="E2283" s="2">
        <f t="shared" si="83"/>
        <v>42917</v>
      </c>
      <c r="F2283" s="1" t="s">
        <v>58</v>
      </c>
      <c r="G2283" s="1" t="s">
        <v>18</v>
      </c>
      <c r="H2283" s="1">
        <v>-2.25</v>
      </c>
      <c r="I2283" s="1">
        <v>1.92</v>
      </c>
      <c r="J2283" s="1">
        <v>-0.01</v>
      </c>
      <c r="K2283" s="2">
        <v>43046</v>
      </c>
      <c r="L2283" s="1">
        <v>3716</v>
      </c>
      <c r="M2283" s="1">
        <v>3.77</v>
      </c>
      <c r="N2283" s="1">
        <v>-0.74306000000000005</v>
      </c>
      <c r="O2283" s="3">
        <f>VLOOKUP(D2283,underlying!$D$40:$H$75,5,FALSE)</f>
        <v>-3.25</v>
      </c>
      <c r="P2283" s="4">
        <f t="shared" si="82"/>
        <v>42927</v>
      </c>
      <c r="Q2283" s="7">
        <f>IF(G2283="C",NormalCallSprd(O2283,H2283,M2283,(P2283-A2283)/365), NormalPutSprd(O2283,H2283,M2283,(P2283-A2283)/365))</f>
        <v>1.9323268467644896</v>
      </c>
      <c r="R2283" s="9">
        <f t="shared" si="84"/>
        <v>1.2326846764489696E-2</v>
      </c>
    </row>
    <row r="2284" spans="1:18" x14ac:dyDescent="0.2">
      <c r="A2284" s="2">
        <v>42622</v>
      </c>
      <c r="B2284" s="1" t="s">
        <v>56</v>
      </c>
      <c r="C2284" s="1" t="s">
        <v>57</v>
      </c>
      <c r="D2284" s="2">
        <v>42742</v>
      </c>
      <c r="E2284" s="2">
        <f t="shared" si="83"/>
        <v>42917</v>
      </c>
      <c r="F2284" s="1" t="s">
        <v>58</v>
      </c>
      <c r="G2284" s="1" t="s">
        <v>16</v>
      </c>
      <c r="H2284" s="1">
        <v>-2</v>
      </c>
      <c r="I2284" s="1">
        <v>0.84</v>
      </c>
      <c r="J2284" s="1">
        <v>0</v>
      </c>
      <c r="K2284" s="2">
        <v>43046</v>
      </c>
      <c r="L2284" s="1">
        <v>3716</v>
      </c>
      <c r="M2284" s="1">
        <v>3.79</v>
      </c>
      <c r="N2284" s="1">
        <v>-0.71296000000000004</v>
      </c>
      <c r="O2284" s="3">
        <f>VLOOKUP(D2284,underlying!$D$40:$H$75,5,FALSE)</f>
        <v>-3.25</v>
      </c>
      <c r="P2284" s="4">
        <f t="shared" si="82"/>
        <v>42927</v>
      </c>
      <c r="Q2284" s="7">
        <f>IF(G2284="C",NormalCallSprd(O2284,H2284,M2284,(P2284-A2284)/365), NormalPutSprd(O2284,H2284,M2284,(P2284-A2284)/365))</f>
        <v>0.84614060758928133</v>
      </c>
      <c r="R2284" s="9">
        <f t="shared" si="84"/>
        <v>6.1406075892813661E-3</v>
      </c>
    </row>
    <row r="2285" spans="1:18" x14ac:dyDescent="0.2">
      <c r="A2285" s="2">
        <v>42622</v>
      </c>
      <c r="B2285" s="1" t="s">
        <v>56</v>
      </c>
      <c r="C2285" s="1" t="s">
        <v>57</v>
      </c>
      <c r="D2285" s="2">
        <v>42742</v>
      </c>
      <c r="E2285" s="2">
        <f t="shared" si="83"/>
        <v>42917</v>
      </c>
      <c r="F2285" s="1" t="s">
        <v>58</v>
      </c>
      <c r="G2285" s="1" t="s">
        <v>18</v>
      </c>
      <c r="H2285" s="1">
        <v>-2</v>
      </c>
      <c r="I2285" s="1">
        <v>2.09</v>
      </c>
      <c r="J2285" s="1">
        <v>0</v>
      </c>
      <c r="K2285" s="2">
        <v>43046</v>
      </c>
      <c r="L2285" s="1">
        <v>3716</v>
      </c>
      <c r="M2285" s="1">
        <v>3.79</v>
      </c>
      <c r="N2285" s="1">
        <v>-0.67930999999999997</v>
      </c>
      <c r="O2285" s="3">
        <f>VLOOKUP(D2285,underlying!$D$40:$H$75,5,FALSE)</f>
        <v>-3.25</v>
      </c>
      <c r="P2285" s="4">
        <f t="shared" si="82"/>
        <v>42927</v>
      </c>
      <c r="Q2285" s="7">
        <f>IF(G2285="C",NormalCallSprd(O2285,H2285,M2285,(P2285-A2285)/365), NormalPutSprd(O2285,H2285,M2285,(P2285-A2285)/365))</f>
        <v>2.0961406075892812</v>
      </c>
      <c r="R2285" s="9">
        <f t="shared" si="84"/>
        <v>6.1406075892813661E-3</v>
      </c>
    </row>
    <row r="2286" spans="1:18" x14ac:dyDescent="0.2">
      <c r="A2286" s="2">
        <v>42622</v>
      </c>
      <c r="B2286" s="1" t="s">
        <v>56</v>
      </c>
      <c r="C2286" s="1" t="s">
        <v>57</v>
      </c>
      <c r="D2286" s="2">
        <v>42742</v>
      </c>
      <c r="E2286" s="2">
        <f t="shared" si="83"/>
        <v>42917</v>
      </c>
      <c r="F2286" s="1" t="s">
        <v>58</v>
      </c>
      <c r="G2286" s="1" t="s">
        <v>16</v>
      </c>
      <c r="H2286" s="1">
        <v>-1.75</v>
      </c>
      <c r="I2286" s="1">
        <v>0.75</v>
      </c>
      <c r="J2286" s="1">
        <v>0</v>
      </c>
      <c r="K2286" s="2">
        <v>43046</v>
      </c>
      <c r="L2286" s="1">
        <v>3716</v>
      </c>
      <c r="M2286" s="1">
        <v>3.77</v>
      </c>
      <c r="N2286" s="1">
        <v>-0.64578999999999998</v>
      </c>
      <c r="O2286" s="3">
        <f>VLOOKUP(D2286,underlying!$D$40:$H$75,5,FALSE)</f>
        <v>-3.25</v>
      </c>
      <c r="P2286" s="4">
        <f t="shared" si="82"/>
        <v>42927</v>
      </c>
      <c r="Q2286" s="7">
        <f>IF(G2286="C",NormalCallSprd(O2286,H2286,M2286,(P2286-A2286)/365), NormalPutSprd(O2286,H2286,M2286,(P2286-A2286)/365))</f>
        <v>0.75306297236289765</v>
      </c>
      <c r="R2286" s="9">
        <f t="shared" si="84"/>
        <v>3.0629723628976535E-3</v>
      </c>
    </row>
    <row r="2287" spans="1:18" x14ac:dyDescent="0.2">
      <c r="A2287" s="2">
        <v>42622</v>
      </c>
      <c r="B2287" s="1" t="s">
        <v>56</v>
      </c>
      <c r="C2287" s="1" t="s">
        <v>57</v>
      </c>
      <c r="D2287" s="2">
        <v>42742</v>
      </c>
      <c r="E2287" s="2">
        <f t="shared" si="83"/>
        <v>42917</v>
      </c>
      <c r="F2287" s="1" t="s">
        <v>58</v>
      </c>
      <c r="G2287" s="1" t="s">
        <v>18</v>
      </c>
      <c r="H2287" s="1">
        <v>-1.75</v>
      </c>
      <c r="I2287" s="1">
        <v>2.2400000000000002</v>
      </c>
      <c r="J2287" s="1">
        <v>0</v>
      </c>
      <c r="K2287" s="2">
        <v>43046</v>
      </c>
      <c r="L2287" s="1">
        <v>3716</v>
      </c>
      <c r="M2287" s="1">
        <v>3.77</v>
      </c>
      <c r="N2287" s="1">
        <v>-0.60994999999999999</v>
      </c>
      <c r="O2287" s="3">
        <f>VLOOKUP(D2287,underlying!$D$40:$H$75,5,FALSE)</f>
        <v>-3.25</v>
      </c>
      <c r="P2287" s="4">
        <f t="shared" si="82"/>
        <v>42927</v>
      </c>
      <c r="Q2287" s="7">
        <f>IF(G2287="C",NormalCallSprd(O2287,H2287,M2287,(P2287-A2287)/365), NormalPutSprd(O2287,H2287,M2287,(P2287-A2287)/365))</f>
        <v>2.2530629723628977</v>
      </c>
      <c r="R2287" s="9">
        <f t="shared" si="84"/>
        <v>1.306297236289744E-2</v>
      </c>
    </row>
    <row r="2288" spans="1:18" x14ac:dyDescent="0.2">
      <c r="A2288" s="2">
        <v>42622</v>
      </c>
      <c r="B2288" s="1" t="s">
        <v>56</v>
      </c>
      <c r="C2288" s="1" t="s">
        <v>57</v>
      </c>
      <c r="D2288" s="2">
        <v>42742</v>
      </c>
      <c r="E2288" s="2">
        <f t="shared" si="83"/>
        <v>42917</v>
      </c>
      <c r="F2288" s="1" t="s">
        <v>58</v>
      </c>
      <c r="G2288" s="1" t="s">
        <v>16</v>
      </c>
      <c r="H2288" s="1">
        <v>-1.5</v>
      </c>
      <c r="I2288" s="1">
        <v>0.68</v>
      </c>
      <c r="J2288" s="1">
        <v>0</v>
      </c>
      <c r="K2288" s="2">
        <v>43046</v>
      </c>
      <c r="L2288" s="1">
        <v>3716</v>
      </c>
      <c r="M2288" s="1">
        <v>3.79</v>
      </c>
      <c r="N2288" s="1">
        <v>-0.57350000000000001</v>
      </c>
      <c r="O2288" s="3">
        <f>VLOOKUP(D2288,underlying!$D$40:$H$75,5,FALSE)</f>
        <v>-3.25</v>
      </c>
      <c r="P2288" s="4">
        <f t="shared" si="82"/>
        <v>42927</v>
      </c>
      <c r="Q2288" s="7">
        <f>IF(G2288="C",NormalCallSprd(O2288,H2288,M2288,(P2288-A2288)/365), NormalPutSprd(O2288,H2288,M2288,(P2288-A2288)/365))</f>
        <v>0.67981159825833115</v>
      </c>
      <c r="R2288" s="9">
        <f t="shared" si="84"/>
        <v>1.8840174166889767E-4</v>
      </c>
    </row>
    <row r="2289" spans="1:18" x14ac:dyDescent="0.2">
      <c r="A2289" s="2">
        <v>42622</v>
      </c>
      <c r="B2289" s="1" t="s">
        <v>56</v>
      </c>
      <c r="C2289" s="1" t="s">
        <v>57</v>
      </c>
      <c r="D2289" s="2">
        <v>42742</v>
      </c>
      <c r="E2289" s="2">
        <f t="shared" si="83"/>
        <v>42917</v>
      </c>
      <c r="F2289" s="1" t="s">
        <v>58</v>
      </c>
      <c r="G2289" s="1" t="s">
        <v>18</v>
      </c>
      <c r="H2289" s="1">
        <v>-1.5</v>
      </c>
      <c r="I2289" s="1">
        <v>2.42</v>
      </c>
      <c r="J2289" s="1">
        <v>0</v>
      </c>
      <c r="K2289" s="2">
        <v>43046</v>
      </c>
      <c r="L2289" s="1">
        <v>3716</v>
      </c>
      <c r="M2289" s="1">
        <v>3.79</v>
      </c>
      <c r="N2289" s="1">
        <v>-0.5363</v>
      </c>
      <c r="O2289" s="3">
        <f>VLOOKUP(D2289,underlying!$D$40:$H$75,5,FALSE)</f>
        <v>-3.25</v>
      </c>
      <c r="P2289" s="4">
        <f t="shared" si="82"/>
        <v>42927</v>
      </c>
      <c r="Q2289" s="7">
        <f>IF(G2289="C",NormalCallSprd(O2289,H2289,M2289,(P2289-A2289)/365), NormalPutSprd(O2289,H2289,M2289,(P2289-A2289)/365))</f>
        <v>2.4298115982583313</v>
      </c>
      <c r="R2289" s="9">
        <f t="shared" si="84"/>
        <v>9.8115982583313333E-3</v>
      </c>
    </row>
    <row r="2290" spans="1:18" x14ac:dyDescent="0.2">
      <c r="A2290" s="2">
        <v>42622</v>
      </c>
      <c r="B2290" s="1" t="s">
        <v>56</v>
      </c>
      <c r="C2290" s="1" t="s">
        <v>57</v>
      </c>
      <c r="D2290" s="2">
        <v>42742</v>
      </c>
      <c r="E2290" s="2">
        <f t="shared" si="83"/>
        <v>42917</v>
      </c>
      <c r="F2290" s="1" t="s">
        <v>58</v>
      </c>
      <c r="G2290" s="1" t="s">
        <v>16</v>
      </c>
      <c r="H2290" s="1">
        <v>-1.25</v>
      </c>
      <c r="I2290" s="1">
        <v>0.6</v>
      </c>
      <c r="J2290" s="1">
        <v>0</v>
      </c>
      <c r="K2290" s="2">
        <v>43046</v>
      </c>
      <c r="L2290" s="1">
        <v>3716</v>
      </c>
      <c r="M2290" s="1">
        <v>3.77</v>
      </c>
      <c r="N2290" s="1">
        <v>-0.49895</v>
      </c>
      <c r="O2290" s="3">
        <f>VLOOKUP(D2290,underlying!$D$40:$H$75,5,FALSE)</f>
        <v>-3.25</v>
      </c>
      <c r="P2290" s="4">
        <f t="shared" si="82"/>
        <v>42927</v>
      </c>
      <c r="Q2290" s="7">
        <f>IF(G2290="C",NormalCallSprd(O2290,H2290,M2290,(P2290-A2290)/365), NormalPutSprd(O2290,H2290,M2290,(P2290-A2290)/365))</f>
        <v>0.60008663756505853</v>
      </c>
      <c r="R2290" s="9">
        <f t="shared" si="84"/>
        <v>8.6637565058556021E-5</v>
      </c>
    </row>
    <row r="2291" spans="1:18" x14ac:dyDescent="0.2">
      <c r="A2291" s="2">
        <v>42622</v>
      </c>
      <c r="B2291" s="1" t="s">
        <v>56</v>
      </c>
      <c r="C2291" s="1" t="s">
        <v>57</v>
      </c>
      <c r="D2291" s="2">
        <v>42742</v>
      </c>
      <c r="E2291" s="2">
        <f t="shared" si="83"/>
        <v>42917</v>
      </c>
      <c r="F2291" s="1" t="s">
        <v>58</v>
      </c>
      <c r="G2291" s="1" t="s">
        <v>18</v>
      </c>
      <c r="H2291" s="1">
        <v>-1.25</v>
      </c>
      <c r="I2291" s="1">
        <v>2.59</v>
      </c>
      <c r="J2291" s="1">
        <v>0</v>
      </c>
      <c r="K2291" s="2">
        <v>43046</v>
      </c>
      <c r="L2291" s="1">
        <v>3716</v>
      </c>
      <c r="M2291" s="1">
        <v>3.77</v>
      </c>
      <c r="N2291" s="1">
        <v>-0.46160000000000001</v>
      </c>
      <c r="O2291" s="3">
        <f>VLOOKUP(D2291,underlying!$D$40:$H$75,5,FALSE)</f>
        <v>-3.25</v>
      </c>
      <c r="P2291" s="4">
        <f t="shared" si="82"/>
        <v>42927</v>
      </c>
      <c r="Q2291" s="7">
        <f>IF(G2291="C",NormalCallSprd(O2291,H2291,M2291,(P2291-A2291)/365), NormalPutSprd(O2291,H2291,M2291,(P2291-A2291)/365))</f>
        <v>2.6000866375650586</v>
      </c>
      <c r="R2291" s="9">
        <f t="shared" si="84"/>
        <v>1.0086637565058787E-2</v>
      </c>
    </row>
    <row r="2292" spans="1:18" x14ac:dyDescent="0.2">
      <c r="A2292" s="2">
        <v>42622</v>
      </c>
      <c r="B2292" s="1" t="s">
        <v>56</v>
      </c>
      <c r="C2292" s="1" t="s">
        <v>57</v>
      </c>
      <c r="D2292" s="2">
        <v>42742</v>
      </c>
      <c r="E2292" s="2">
        <f t="shared" si="83"/>
        <v>42917</v>
      </c>
      <c r="F2292" s="1" t="s">
        <v>58</v>
      </c>
      <c r="G2292" s="1" t="s">
        <v>16</v>
      </c>
      <c r="H2292" s="1">
        <v>-1</v>
      </c>
      <c r="I2292" s="1">
        <v>0.54</v>
      </c>
      <c r="J2292" s="1">
        <v>0</v>
      </c>
      <c r="K2292" s="2">
        <v>43046</v>
      </c>
      <c r="L2292" s="1">
        <v>3716</v>
      </c>
      <c r="M2292" s="1">
        <v>3.79</v>
      </c>
      <c r="N2292" s="1">
        <v>-0.42441000000000001</v>
      </c>
      <c r="O2292" s="3">
        <f>VLOOKUP(D2292,underlying!$D$40:$H$75,5,FALSE)</f>
        <v>-3.25</v>
      </c>
      <c r="P2292" s="4">
        <f t="shared" si="82"/>
        <v>42927</v>
      </c>
      <c r="Q2292" s="7">
        <f>IF(G2292="C",NormalCallSprd(O2292,H2292,M2292,(P2292-A2292)/365), NormalPutSprd(O2292,H2292,M2292,(P2292-A2292)/365))</f>
        <v>0.53878965783476673</v>
      </c>
      <c r="R2292" s="9">
        <f t="shared" si="84"/>
        <v>1.2103421652333024E-3</v>
      </c>
    </row>
    <row r="2293" spans="1:18" x14ac:dyDescent="0.2">
      <c r="A2293" s="2">
        <v>42622</v>
      </c>
      <c r="B2293" s="1" t="s">
        <v>56</v>
      </c>
      <c r="C2293" s="1" t="s">
        <v>57</v>
      </c>
      <c r="D2293" s="2">
        <v>42742</v>
      </c>
      <c r="E2293" s="2">
        <f t="shared" si="83"/>
        <v>42917</v>
      </c>
      <c r="F2293" s="1" t="s">
        <v>58</v>
      </c>
      <c r="G2293" s="1" t="s">
        <v>18</v>
      </c>
      <c r="H2293" s="1">
        <v>-1</v>
      </c>
      <c r="I2293" s="1">
        <v>2.78</v>
      </c>
      <c r="J2293" s="1">
        <v>0</v>
      </c>
      <c r="K2293" s="2">
        <v>43046</v>
      </c>
      <c r="L2293" s="1">
        <v>3716</v>
      </c>
      <c r="M2293" s="1">
        <v>3.79</v>
      </c>
      <c r="N2293" s="1">
        <v>-0.38795000000000002</v>
      </c>
      <c r="O2293" s="3">
        <f>VLOOKUP(D2293,underlying!$D$40:$H$75,5,FALSE)</f>
        <v>-3.25</v>
      </c>
      <c r="P2293" s="4">
        <f t="shared" si="82"/>
        <v>42927</v>
      </c>
      <c r="Q2293" s="7">
        <f>IF(G2293="C",NormalCallSprd(O2293,H2293,M2293,(P2293-A2293)/365), NormalPutSprd(O2293,H2293,M2293,(P2293-A2293)/365))</f>
        <v>2.7887896578347666</v>
      </c>
      <c r="R2293" s="9">
        <f t="shared" si="84"/>
        <v>8.7896578347668175E-3</v>
      </c>
    </row>
    <row r="2294" spans="1:18" x14ac:dyDescent="0.2">
      <c r="A2294" s="2">
        <v>42622</v>
      </c>
      <c r="B2294" s="1" t="s">
        <v>56</v>
      </c>
      <c r="C2294" s="1" t="s">
        <v>57</v>
      </c>
      <c r="D2294" s="2">
        <v>42742</v>
      </c>
      <c r="E2294" s="2">
        <f t="shared" si="83"/>
        <v>42917</v>
      </c>
      <c r="F2294" s="1" t="s">
        <v>58</v>
      </c>
      <c r="G2294" s="1" t="s">
        <v>16</v>
      </c>
      <c r="H2294" s="1">
        <v>-0.75</v>
      </c>
      <c r="I2294" s="1">
        <v>0.48</v>
      </c>
      <c r="J2294" s="1">
        <v>0</v>
      </c>
      <c r="K2294" s="2">
        <v>43046</v>
      </c>
      <c r="L2294" s="1">
        <v>3716</v>
      </c>
      <c r="M2294" s="1">
        <v>3.8</v>
      </c>
      <c r="N2294" s="1">
        <v>-0.35210999999999998</v>
      </c>
      <c r="O2294" s="3">
        <f>VLOOKUP(D2294,underlying!$D$40:$H$75,5,FALSE)</f>
        <v>-3.25</v>
      </c>
      <c r="P2294" s="4">
        <f t="shared" si="82"/>
        <v>42927</v>
      </c>
      <c r="Q2294" s="7">
        <f>IF(G2294="C",NormalCallSprd(O2294,H2294,M2294,(P2294-A2294)/365), NormalPutSprd(O2294,H2294,M2294,(P2294-A2294)/365))</f>
        <v>0.47996386175534589</v>
      </c>
      <c r="R2294" s="9">
        <f t="shared" si="84"/>
        <v>3.6138244654093654E-5</v>
      </c>
    </row>
    <row r="2295" spans="1:18" x14ac:dyDescent="0.2">
      <c r="A2295" s="2">
        <v>42622</v>
      </c>
      <c r="B2295" s="1" t="s">
        <v>56</v>
      </c>
      <c r="C2295" s="1" t="s">
        <v>57</v>
      </c>
      <c r="D2295" s="2">
        <v>42742</v>
      </c>
      <c r="E2295" s="2">
        <f t="shared" si="83"/>
        <v>42917</v>
      </c>
      <c r="F2295" s="1" t="s">
        <v>58</v>
      </c>
      <c r="G2295" s="1" t="s">
        <v>18</v>
      </c>
      <c r="H2295" s="1">
        <v>-0.75</v>
      </c>
      <c r="I2295" s="1">
        <v>2.97</v>
      </c>
      <c r="J2295" s="1">
        <v>0</v>
      </c>
      <c r="K2295" s="2">
        <v>43046</v>
      </c>
      <c r="L2295" s="1">
        <v>3716</v>
      </c>
      <c r="M2295" s="1">
        <v>3.8</v>
      </c>
      <c r="N2295" s="1">
        <v>-0.31859999999999999</v>
      </c>
      <c r="O2295" s="3">
        <f>VLOOKUP(D2295,underlying!$D$40:$H$75,5,FALSE)</f>
        <v>-3.25</v>
      </c>
      <c r="P2295" s="4">
        <f t="shared" si="82"/>
        <v>42927</v>
      </c>
      <c r="Q2295" s="7">
        <f>IF(G2295="C",NormalCallSprd(O2295,H2295,M2295,(P2295-A2295)/365), NormalPutSprd(O2295,H2295,M2295,(P2295-A2295)/365))</f>
        <v>2.9799638617553459</v>
      </c>
      <c r="R2295" s="9">
        <f t="shared" si="84"/>
        <v>9.9638617553456932E-3</v>
      </c>
    </row>
    <row r="2296" spans="1:18" x14ac:dyDescent="0.2">
      <c r="A2296" s="2">
        <v>42622</v>
      </c>
      <c r="B2296" s="1" t="s">
        <v>56</v>
      </c>
      <c r="C2296" s="1" t="s">
        <v>57</v>
      </c>
      <c r="D2296" s="2">
        <v>42742</v>
      </c>
      <c r="E2296" s="2">
        <f t="shared" si="83"/>
        <v>42917</v>
      </c>
      <c r="F2296" s="1" t="s">
        <v>58</v>
      </c>
      <c r="G2296" s="1" t="s">
        <v>16</v>
      </c>
      <c r="H2296" s="1">
        <v>-0.5</v>
      </c>
      <c r="I2296" s="1">
        <v>0.42</v>
      </c>
      <c r="J2296" s="1">
        <v>0</v>
      </c>
      <c r="K2296" s="2">
        <v>43046</v>
      </c>
      <c r="L2296" s="1">
        <v>3716</v>
      </c>
      <c r="M2296" s="1">
        <v>3.78</v>
      </c>
      <c r="N2296" s="1">
        <v>-0.28494000000000003</v>
      </c>
      <c r="O2296" s="3">
        <f>VLOOKUP(D2296,underlying!$D$40:$H$75,5,FALSE)</f>
        <v>-3.25</v>
      </c>
      <c r="P2296" s="4">
        <f t="shared" si="82"/>
        <v>42927</v>
      </c>
      <c r="Q2296" s="7">
        <f>IF(G2296="C",NormalCallSprd(O2296,H2296,M2296,(P2296-A2296)/365), NormalPutSprd(O2296,H2296,M2296,(P2296-A2296)/365))</f>
        <v>0.41839941694576843</v>
      </c>
      <c r="R2296" s="9">
        <f t="shared" si="84"/>
        <v>1.6005830542315524E-3</v>
      </c>
    </row>
    <row r="2297" spans="1:18" x14ac:dyDescent="0.2">
      <c r="A2297" s="2">
        <v>42622</v>
      </c>
      <c r="B2297" s="1" t="s">
        <v>56</v>
      </c>
      <c r="C2297" s="1" t="s">
        <v>57</v>
      </c>
      <c r="D2297" s="2">
        <v>42742</v>
      </c>
      <c r="E2297" s="2">
        <f t="shared" si="83"/>
        <v>42917</v>
      </c>
      <c r="F2297" s="1" t="s">
        <v>58</v>
      </c>
      <c r="G2297" s="1" t="s">
        <v>18</v>
      </c>
      <c r="H2297" s="1">
        <v>-0.5</v>
      </c>
      <c r="I2297" s="1">
        <v>3.15</v>
      </c>
      <c r="J2297" s="1">
        <v>-0.01</v>
      </c>
      <c r="K2297" s="2">
        <v>43046</v>
      </c>
      <c r="L2297" s="1">
        <v>3716</v>
      </c>
      <c r="M2297" s="1">
        <v>3.78</v>
      </c>
      <c r="N2297" s="1">
        <v>-0.25485000000000002</v>
      </c>
      <c r="O2297" s="3">
        <f>VLOOKUP(D2297,underlying!$D$40:$H$75,5,FALSE)</f>
        <v>-3.25</v>
      </c>
      <c r="P2297" s="4">
        <f t="shared" ref="P2297:P2360" si="85">DATE(YEAR(K2297),DAY(K2297),MONTH(K2297))</f>
        <v>42927</v>
      </c>
      <c r="Q2297" s="7">
        <f>IF(G2297="C",NormalCallSprd(O2297,H2297,M2297,(P2297-A2297)/365), NormalPutSprd(O2297,H2297,M2297,(P2297-A2297)/365))</f>
        <v>3.1683994169457685</v>
      </c>
      <c r="R2297" s="9">
        <f t="shared" si="84"/>
        <v>1.8399416945768632E-2</v>
      </c>
    </row>
    <row r="2298" spans="1:18" x14ac:dyDescent="0.2">
      <c r="A2298" s="2">
        <v>42622</v>
      </c>
      <c r="B2298" s="1" t="s">
        <v>56</v>
      </c>
      <c r="C2298" s="1" t="s">
        <v>57</v>
      </c>
      <c r="D2298" s="2">
        <v>42742</v>
      </c>
      <c r="E2298" s="2">
        <f t="shared" si="83"/>
        <v>42917</v>
      </c>
      <c r="F2298" s="1" t="s">
        <v>58</v>
      </c>
      <c r="G2298" s="1" t="s">
        <v>16</v>
      </c>
      <c r="H2298" s="1">
        <v>-0.25</v>
      </c>
      <c r="I2298" s="1">
        <v>0.37</v>
      </c>
      <c r="J2298" s="1">
        <v>0</v>
      </c>
      <c r="K2298" s="2">
        <v>43046</v>
      </c>
      <c r="L2298" s="1">
        <v>3716</v>
      </c>
      <c r="M2298" s="1">
        <v>3.78</v>
      </c>
      <c r="N2298" s="1">
        <v>-0.22456999999999999</v>
      </c>
      <c r="O2298" s="3">
        <f>VLOOKUP(D2298,underlying!$D$40:$H$75,5,FALSE)</f>
        <v>-3.25</v>
      </c>
      <c r="P2298" s="4">
        <f t="shared" si="85"/>
        <v>42927</v>
      </c>
      <c r="Q2298" s="7">
        <f>IF(G2298="C",NormalCallSprd(O2298,H2298,M2298,(P2298-A2298)/365), NormalPutSprd(O2298,H2298,M2298,(P2298-A2298)/365))</f>
        <v>0.36771309693379939</v>
      </c>
      <c r="R2298" s="9">
        <f t="shared" si="84"/>
        <v>2.2869030662006073E-3</v>
      </c>
    </row>
    <row r="2299" spans="1:18" x14ac:dyDescent="0.2">
      <c r="A2299" s="2">
        <v>42622</v>
      </c>
      <c r="B2299" s="1" t="s">
        <v>56</v>
      </c>
      <c r="C2299" s="1" t="s">
        <v>57</v>
      </c>
      <c r="D2299" s="2">
        <v>42742</v>
      </c>
      <c r="E2299" s="2">
        <f t="shared" si="83"/>
        <v>42917</v>
      </c>
      <c r="F2299" s="1" t="s">
        <v>58</v>
      </c>
      <c r="G2299" s="1" t="s">
        <v>18</v>
      </c>
      <c r="H2299" s="1">
        <v>-0.25</v>
      </c>
      <c r="I2299" s="1">
        <v>3.35</v>
      </c>
      <c r="J2299" s="1">
        <v>0</v>
      </c>
      <c r="K2299" s="2">
        <v>43046</v>
      </c>
      <c r="L2299" s="1">
        <v>3716</v>
      </c>
      <c r="M2299" s="1">
        <v>3.78</v>
      </c>
      <c r="N2299" s="1">
        <v>-0.19791</v>
      </c>
      <c r="O2299" s="3">
        <f>VLOOKUP(D2299,underlying!$D$40:$H$75,5,FALSE)</f>
        <v>-3.25</v>
      </c>
      <c r="P2299" s="4">
        <f t="shared" si="85"/>
        <v>42927</v>
      </c>
      <c r="Q2299" s="7">
        <f>IF(G2299="C",NormalCallSprd(O2299,H2299,M2299,(P2299-A2299)/365), NormalPutSprd(O2299,H2299,M2299,(P2299-A2299)/365))</f>
        <v>3.3677130969337994</v>
      </c>
      <c r="R2299" s="9">
        <f t="shared" si="84"/>
        <v>1.7713096933799299E-2</v>
      </c>
    </row>
    <row r="2300" spans="1:18" x14ac:dyDescent="0.2">
      <c r="A2300" s="2">
        <v>42622</v>
      </c>
      <c r="B2300" s="1" t="s">
        <v>56</v>
      </c>
      <c r="C2300" s="1" t="s">
        <v>57</v>
      </c>
      <c r="D2300" s="2">
        <v>42743</v>
      </c>
      <c r="E2300" s="2">
        <f t="shared" si="83"/>
        <v>42948</v>
      </c>
      <c r="F2300" s="1" t="s">
        <v>58</v>
      </c>
      <c r="G2300" s="1" t="s">
        <v>16</v>
      </c>
      <c r="H2300" s="1">
        <v>-9</v>
      </c>
      <c r="I2300" s="1">
        <v>6.04</v>
      </c>
      <c r="J2300" s="1">
        <v>-0.24</v>
      </c>
      <c r="K2300" s="2">
        <v>42986</v>
      </c>
      <c r="L2300" s="1">
        <v>3716</v>
      </c>
      <c r="M2300" s="1">
        <v>3.75</v>
      </c>
      <c r="N2300" s="1">
        <v>-0.17279</v>
      </c>
      <c r="O2300" s="3">
        <f>VLOOKUP(D2300,underlying!$D$40:$H$75,5,FALSE)</f>
        <v>-3</v>
      </c>
      <c r="P2300" s="4">
        <f t="shared" si="85"/>
        <v>42956</v>
      </c>
      <c r="Q2300" s="7">
        <f>IF(G2300="C",NormalCallSprd(O2300,H2300,M2300,(P2300-A2300)/365), NormalPutSprd(O2300,H2300,M2300,(P2300-A2300)/365))</f>
        <v>6.0701105841807008</v>
      </c>
      <c r="R2300" s="9">
        <f t="shared" si="84"/>
        <v>3.0110584180700783E-2</v>
      </c>
    </row>
    <row r="2301" spans="1:18" x14ac:dyDescent="0.2">
      <c r="A2301" s="2">
        <v>42622</v>
      </c>
      <c r="B2301" s="1" t="s">
        <v>56</v>
      </c>
      <c r="C2301" s="1" t="s">
        <v>57</v>
      </c>
      <c r="D2301" s="2">
        <v>42743</v>
      </c>
      <c r="E2301" s="2">
        <f t="shared" si="83"/>
        <v>42948</v>
      </c>
      <c r="F2301" s="1" t="s">
        <v>58</v>
      </c>
      <c r="G2301" s="1" t="s">
        <v>18</v>
      </c>
      <c r="H2301" s="1">
        <v>-9</v>
      </c>
      <c r="I2301" s="1">
        <v>7.0000000000000007E-2</v>
      </c>
      <c r="J2301" s="1">
        <v>0.01</v>
      </c>
      <c r="K2301" s="2">
        <v>42986</v>
      </c>
      <c r="L2301" s="1">
        <v>3716</v>
      </c>
      <c r="M2301" s="1">
        <v>3.75</v>
      </c>
      <c r="N2301" s="1">
        <v>-0.14979000000000001</v>
      </c>
      <c r="O2301" s="3">
        <f>VLOOKUP(D2301,underlying!$D$40:$H$75,5,FALSE)</f>
        <v>-3</v>
      </c>
      <c r="P2301" s="4">
        <f t="shared" si="85"/>
        <v>42956</v>
      </c>
      <c r="Q2301" s="7">
        <f>IF(G2301="C",NormalCallSprd(O2301,H2301,M2301,(P2301-A2301)/365), NormalPutSprd(O2301,H2301,M2301,(P2301-A2301)/365))</f>
        <v>7.0110584180700417E-2</v>
      </c>
      <c r="R2301" s="9">
        <f t="shared" si="84"/>
        <v>1.1058418070040987E-4</v>
      </c>
    </row>
    <row r="2302" spans="1:18" x14ac:dyDescent="0.2">
      <c r="A2302" s="2">
        <v>42622</v>
      </c>
      <c r="B2302" s="1" t="s">
        <v>56</v>
      </c>
      <c r="C2302" s="1" t="s">
        <v>57</v>
      </c>
      <c r="D2302" s="2">
        <v>42743</v>
      </c>
      <c r="E2302" s="2">
        <f t="shared" si="83"/>
        <v>42948</v>
      </c>
      <c r="F2302" s="1" t="s">
        <v>58</v>
      </c>
      <c r="G2302" s="1" t="s">
        <v>16</v>
      </c>
      <c r="H2302" s="1">
        <v>-8</v>
      </c>
      <c r="I2302" s="1">
        <v>5.1100000000000003</v>
      </c>
      <c r="J2302" s="1">
        <v>-0.23</v>
      </c>
      <c r="K2302" s="2">
        <v>42986</v>
      </c>
      <c r="L2302" s="1">
        <v>3716</v>
      </c>
      <c r="M2302" s="1">
        <v>3.75</v>
      </c>
      <c r="N2302" s="1">
        <v>-0.12892999999999999</v>
      </c>
      <c r="O2302" s="3">
        <f>VLOOKUP(D2302,underlying!$D$40:$H$75,5,FALSE)</f>
        <v>-3</v>
      </c>
      <c r="P2302" s="4">
        <f t="shared" si="85"/>
        <v>42956</v>
      </c>
      <c r="Q2302" s="7">
        <f>IF(G2302="C",NormalCallSprd(O2302,H2302,M2302,(P2302-A2302)/365), NormalPutSprd(O2302,H2302,M2302,(P2302-A2302)/365))</f>
        <v>5.1333323634183046</v>
      </c>
      <c r="R2302" s="9">
        <f t="shared" si="84"/>
        <v>2.3332363418304247E-2</v>
      </c>
    </row>
    <row r="2303" spans="1:18" x14ac:dyDescent="0.2">
      <c r="A2303" s="2">
        <v>42622</v>
      </c>
      <c r="B2303" s="1" t="s">
        <v>56</v>
      </c>
      <c r="C2303" s="1" t="s">
        <v>57</v>
      </c>
      <c r="D2303" s="2">
        <v>42743</v>
      </c>
      <c r="E2303" s="2">
        <f t="shared" si="83"/>
        <v>42948</v>
      </c>
      <c r="F2303" s="1" t="s">
        <v>58</v>
      </c>
      <c r="G2303" s="1" t="s">
        <v>18</v>
      </c>
      <c r="H2303" s="1">
        <v>-8</v>
      </c>
      <c r="I2303" s="1">
        <v>0.13</v>
      </c>
      <c r="J2303" s="1">
        <v>0.02</v>
      </c>
      <c r="K2303" s="2">
        <v>42986</v>
      </c>
      <c r="L2303" s="1">
        <v>3716</v>
      </c>
      <c r="M2303" s="1">
        <v>3.75</v>
      </c>
      <c r="N2303" s="1">
        <v>-0.11018</v>
      </c>
      <c r="O2303" s="3">
        <f>VLOOKUP(D2303,underlying!$D$40:$H$75,5,FALSE)</f>
        <v>-3</v>
      </c>
      <c r="P2303" s="4">
        <f t="shared" si="85"/>
        <v>42956</v>
      </c>
      <c r="Q2303" s="7">
        <f>IF(G2303="C",NormalCallSprd(O2303,H2303,M2303,(P2303-A2303)/365), NormalPutSprd(O2303,H2303,M2303,(P2303-A2303)/365))</f>
        <v>0.13333236341830468</v>
      </c>
      <c r="R2303" s="9">
        <f t="shared" si="84"/>
        <v>3.3323634183046735E-3</v>
      </c>
    </row>
    <row r="2304" spans="1:18" x14ac:dyDescent="0.2">
      <c r="A2304" s="2">
        <v>42622</v>
      </c>
      <c r="B2304" s="1" t="s">
        <v>56</v>
      </c>
      <c r="C2304" s="1" t="s">
        <v>57</v>
      </c>
      <c r="D2304" s="2">
        <v>42743</v>
      </c>
      <c r="E2304" s="2">
        <f t="shared" si="83"/>
        <v>42948</v>
      </c>
      <c r="F2304" s="1" t="s">
        <v>58</v>
      </c>
      <c r="G2304" s="1" t="s">
        <v>16</v>
      </c>
      <c r="H2304" s="1">
        <v>-7</v>
      </c>
      <c r="I2304" s="1">
        <v>4.22</v>
      </c>
      <c r="J2304" s="1">
        <v>-0.22</v>
      </c>
      <c r="K2304" s="2">
        <v>42986</v>
      </c>
      <c r="L2304" s="1">
        <v>3716</v>
      </c>
      <c r="M2304" s="1">
        <v>3.75</v>
      </c>
      <c r="N2304" s="1">
        <v>-9.3469999999999998E-2</v>
      </c>
      <c r="O2304" s="3">
        <f>VLOOKUP(D2304,underlying!$D$40:$H$75,5,FALSE)</f>
        <v>-3</v>
      </c>
      <c r="P2304" s="4">
        <f t="shared" si="85"/>
        <v>42956</v>
      </c>
      <c r="Q2304" s="7">
        <f>IF(G2304="C",NormalCallSprd(O2304,H2304,M2304,(P2304-A2304)/365), NormalPutSprd(O2304,H2304,M2304,(P2304-A2304)/365))</f>
        <v>4.2389077877733037</v>
      </c>
      <c r="R2304" s="9">
        <f t="shared" si="84"/>
        <v>1.890778777330393E-2</v>
      </c>
    </row>
    <row r="2305" spans="1:18" x14ac:dyDescent="0.2">
      <c r="A2305" s="2">
        <v>42622</v>
      </c>
      <c r="B2305" s="1" t="s">
        <v>56</v>
      </c>
      <c r="C2305" s="1" t="s">
        <v>57</v>
      </c>
      <c r="D2305" s="2">
        <v>42743</v>
      </c>
      <c r="E2305" s="2">
        <f t="shared" si="83"/>
        <v>42948</v>
      </c>
      <c r="F2305" s="1" t="s">
        <v>58</v>
      </c>
      <c r="G2305" s="1" t="s">
        <v>18</v>
      </c>
      <c r="H2305" s="1">
        <v>-7</v>
      </c>
      <c r="I2305" s="1">
        <v>0.24</v>
      </c>
      <c r="J2305" s="1">
        <v>0.03</v>
      </c>
      <c r="K2305" s="2">
        <v>42986</v>
      </c>
      <c r="L2305" s="1">
        <v>3716</v>
      </c>
      <c r="M2305" s="1">
        <v>3.75</v>
      </c>
      <c r="N2305" s="1">
        <v>-7.8710000000000002E-2</v>
      </c>
      <c r="O2305" s="3">
        <f>VLOOKUP(D2305,underlying!$D$40:$H$75,5,FALSE)</f>
        <v>-3</v>
      </c>
      <c r="P2305" s="4">
        <f t="shared" si="85"/>
        <v>42956</v>
      </c>
      <c r="Q2305" s="7">
        <f>IF(G2305="C",NormalCallSprd(O2305,H2305,M2305,(P2305-A2305)/365), NormalPutSprd(O2305,H2305,M2305,(P2305-A2305)/365))</f>
        <v>0.23890778777330346</v>
      </c>
      <c r="R2305" s="9">
        <f t="shared" si="84"/>
        <v>1.0922122266965317E-3</v>
      </c>
    </row>
    <row r="2306" spans="1:18" x14ac:dyDescent="0.2">
      <c r="A2306" s="2">
        <v>42622</v>
      </c>
      <c r="B2306" s="1" t="s">
        <v>56</v>
      </c>
      <c r="C2306" s="1" t="s">
        <v>57</v>
      </c>
      <c r="D2306" s="2">
        <v>42743</v>
      </c>
      <c r="E2306" s="2">
        <f t="shared" ref="E2306:E2369" si="86">DATE(YEAR(D2306),DAY(D2306),MONTH(D2306))</f>
        <v>42948</v>
      </c>
      <c r="F2306" s="1" t="s">
        <v>58</v>
      </c>
      <c r="G2306" s="1" t="s">
        <v>16</v>
      </c>
      <c r="H2306" s="1">
        <v>-6.75</v>
      </c>
      <c r="I2306" s="1">
        <v>4</v>
      </c>
      <c r="J2306" s="1">
        <v>-0.22</v>
      </c>
      <c r="K2306" s="2">
        <v>42986</v>
      </c>
      <c r="L2306" s="1">
        <v>3716</v>
      </c>
      <c r="M2306" s="1">
        <v>3.75</v>
      </c>
      <c r="N2306" s="1">
        <v>-6.5780000000000005E-2</v>
      </c>
      <c r="O2306" s="3">
        <f>VLOOKUP(D2306,underlying!$D$40:$H$75,5,FALSE)</f>
        <v>-3</v>
      </c>
      <c r="P2306" s="4">
        <f t="shared" si="85"/>
        <v>42956</v>
      </c>
      <c r="Q2306" s="7">
        <f>IF(G2306="C",NormalCallSprd(O2306,H2306,M2306,(P2306-A2306)/365), NormalPutSprd(O2306,H2306,M2306,(P2306-A2306)/365))</f>
        <v>4.0239252828646928</v>
      </c>
      <c r="R2306" s="9">
        <f t="shared" si="84"/>
        <v>2.3925282864692754E-2</v>
      </c>
    </row>
    <row r="2307" spans="1:18" x14ac:dyDescent="0.2">
      <c r="A2307" s="2">
        <v>42622</v>
      </c>
      <c r="B2307" s="1" t="s">
        <v>56</v>
      </c>
      <c r="C2307" s="1" t="s">
        <v>57</v>
      </c>
      <c r="D2307" s="2">
        <v>42743</v>
      </c>
      <c r="E2307" s="2">
        <f t="shared" si="86"/>
        <v>42948</v>
      </c>
      <c r="F2307" s="1" t="s">
        <v>58</v>
      </c>
      <c r="G2307" s="1" t="s">
        <v>18</v>
      </c>
      <c r="H2307" s="1">
        <v>-6.75</v>
      </c>
      <c r="I2307" s="1">
        <v>0.27</v>
      </c>
      <c r="J2307" s="1">
        <v>0.03</v>
      </c>
      <c r="K2307" s="2">
        <v>42986</v>
      </c>
      <c r="L2307" s="1">
        <v>3716</v>
      </c>
      <c r="M2307" s="1">
        <v>3.75</v>
      </c>
      <c r="N2307" s="1">
        <v>-5.457E-2</v>
      </c>
      <c r="O2307" s="3">
        <f>VLOOKUP(D2307,underlying!$D$40:$H$75,5,FALSE)</f>
        <v>-3</v>
      </c>
      <c r="P2307" s="4">
        <f t="shared" si="85"/>
        <v>42956</v>
      </c>
      <c r="Q2307" s="7">
        <f>IF(G2307="C",NormalCallSprd(O2307,H2307,M2307,(P2307-A2307)/365), NormalPutSprd(O2307,H2307,M2307,(P2307-A2307)/365))</f>
        <v>0.27392528286469298</v>
      </c>
      <c r="R2307" s="9">
        <f t="shared" ref="R2307:R2370" si="87">ABS(Q2307-I2307)</f>
        <v>3.9252828646929583E-3</v>
      </c>
    </row>
    <row r="2308" spans="1:18" x14ac:dyDescent="0.2">
      <c r="A2308" s="2">
        <v>42622</v>
      </c>
      <c r="B2308" s="1" t="s">
        <v>56</v>
      </c>
      <c r="C2308" s="1" t="s">
        <v>57</v>
      </c>
      <c r="D2308" s="2">
        <v>42743</v>
      </c>
      <c r="E2308" s="2">
        <f t="shared" si="86"/>
        <v>42948</v>
      </c>
      <c r="F2308" s="1" t="s">
        <v>58</v>
      </c>
      <c r="G2308" s="1" t="s">
        <v>16</v>
      </c>
      <c r="H2308" s="1">
        <v>-6.5</v>
      </c>
      <c r="I2308" s="1">
        <v>3.79</v>
      </c>
      <c r="J2308" s="1">
        <v>-0.21</v>
      </c>
      <c r="K2308" s="2">
        <v>42986</v>
      </c>
      <c r="L2308" s="1">
        <v>3716</v>
      </c>
      <c r="M2308" s="1">
        <v>3.75</v>
      </c>
      <c r="N2308" s="1">
        <v>-4.4920000000000002E-2</v>
      </c>
      <c r="O2308" s="3">
        <f>VLOOKUP(D2308,underlying!$D$40:$H$75,5,FALSE)</f>
        <v>-3</v>
      </c>
      <c r="P2308" s="4">
        <f t="shared" si="85"/>
        <v>42956</v>
      </c>
      <c r="Q2308" s="7">
        <f>IF(G2308="C",NormalCallSprd(O2308,H2308,M2308,(P2308-A2308)/365), NormalPutSprd(O2308,H2308,M2308,(P2308-A2308)/365))</f>
        <v>3.8129675995647583</v>
      </c>
      <c r="R2308" s="9">
        <f t="shared" si="87"/>
        <v>2.2967599564758245E-2</v>
      </c>
    </row>
    <row r="2309" spans="1:18" x14ac:dyDescent="0.2">
      <c r="A2309" s="2">
        <v>42622</v>
      </c>
      <c r="B2309" s="1" t="s">
        <v>56</v>
      </c>
      <c r="C2309" s="1" t="s">
        <v>57</v>
      </c>
      <c r="D2309" s="2">
        <v>42743</v>
      </c>
      <c r="E2309" s="2">
        <f t="shared" si="86"/>
        <v>42948</v>
      </c>
      <c r="F2309" s="1" t="s">
        <v>58</v>
      </c>
      <c r="G2309" s="1" t="s">
        <v>18</v>
      </c>
      <c r="H2309" s="1">
        <v>-6.5</v>
      </c>
      <c r="I2309" s="1">
        <v>0.31</v>
      </c>
      <c r="J2309" s="1">
        <v>0.04</v>
      </c>
      <c r="K2309" s="2">
        <v>42986</v>
      </c>
      <c r="L2309" s="1">
        <v>3716</v>
      </c>
      <c r="M2309" s="1">
        <v>3.75</v>
      </c>
      <c r="N2309" s="1">
        <v>-3.6700000000000003E-2</v>
      </c>
      <c r="O2309" s="3">
        <f>VLOOKUP(D2309,underlying!$D$40:$H$75,5,FALSE)</f>
        <v>-3</v>
      </c>
      <c r="P2309" s="4">
        <f t="shared" si="85"/>
        <v>42956</v>
      </c>
      <c r="Q2309" s="7">
        <f>IF(G2309="C",NormalCallSprd(O2309,H2309,M2309,(P2309-A2309)/365), NormalPutSprd(O2309,H2309,M2309,(P2309-A2309)/365))</f>
        <v>0.312967599564758</v>
      </c>
      <c r="R2309" s="9">
        <f t="shared" si="87"/>
        <v>2.9675995647580056E-3</v>
      </c>
    </row>
    <row r="2310" spans="1:18" x14ac:dyDescent="0.2">
      <c r="A2310" s="2">
        <v>42622</v>
      </c>
      <c r="B2310" s="1" t="s">
        <v>56</v>
      </c>
      <c r="C2310" s="1" t="s">
        <v>57</v>
      </c>
      <c r="D2310" s="2">
        <v>42743</v>
      </c>
      <c r="E2310" s="2">
        <f t="shared" si="86"/>
        <v>42948</v>
      </c>
      <c r="F2310" s="1" t="s">
        <v>58</v>
      </c>
      <c r="G2310" s="1" t="s">
        <v>16</v>
      </c>
      <c r="H2310" s="1">
        <v>-6.25</v>
      </c>
      <c r="I2310" s="1">
        <v>3.59</v>
      </c>
      <c r="J2310" s="1">
        <v>-0.21</v>
      </c>
      <c r="K2310" s="2">
        <v>42986</v>
      </c>
      <c r="L2310" s="1">
        <v>3716</v>
      </c>
      <c r="M2310" s="1">
        <v>3.75</v>
      </c>
      <c r="N2310" s="1">
        <v>-2.9749999999999999E-2</v>
      </c>
      <c r="O2310" s="3">
        <f>VLOOKUP(D2310,underlying!$D$40:$H$75,5,FALSE)</f>
        <v>-3</v>
      </c>
      <c r="P2310" s="4">
        <f t="shared" si="85"/>
        <v>42956</v>
      </c>
      <c r="Q2310" s="7">
        <f>IF(G2310="C",NormalCallSprd(O2310,H2310,M2310,(P2310-A2310)/365), NormalPutSprd(O2310,H2310,M2310,(P2310-A2310)/365))</f>
        <v>3.606328162829072</v>
      </c>
      <c r="R2310" s="9">
        <f t="shared" si="87"/>
        <v>1.6328162829072124E-2</v>
      </c>
    </row>
    <row r="2311" spans="1:18" x14ac:dyDescent="0.2">
      <c r="A2311" s="2">
        <v>42622</v>
      </c>
      <c r="B2311" s="1" t="s">
        <v>56</v>
      </c>
      <c r="C2311" s="1" t="s">
        <v>57</v>
      </c>
      <c r="D2311" s="2">
        <v>42743</v>
      </c>
      <c r="E2311" s="2">
        <f t="shared" si="86"/>
        <v>42948</v>
      </c>
      <c r="F2311" s="1" t="s">
        <v>58</v>
      </c>
      <c r="G2311" s="1" t="s">
        <v>18</v>
      </c>
      <c r="H2311" s="1">
        <v>-6.25</v>
      </c>
      <c r="I2311" s="1">
        <v>0.35</v>
      </c>
      <c r="J2311" s="1">
        <v>0.04</v>
      </c>
      <c r="K2311" s="2">
        <v>42986</v>
      </c>
      <c r="L2311" s="1">
        <v>3716</v>
      </c>
      <c r="M2311" s="1">
        <v>3.75</v>
      </c>
      <c r="N2311" s="1">
        <v>-1.512E-2</v>
      </c>
      <c r="O2311" s="3">
        <f>VLOOKUP(D2311,underlying!$D$40:$H$75,5,FALSE)</f>
        <v>-3</v>
      </c>
      <c r="P2311" s="4">
        <f t="shared" si="85"/>
        <v>42956</v>
      </c>
      <c r="Q2311" s="7">
        <f>IF(G2311="C",NormalCallSprd(O2311,H2311,M2311,(P2311-A2311)/365), NormalPutSprd(O2311,H2311,M2311,(P2311-A2311)/365))</f>
        <v>0.35632816282907209</v>
      </c>
      <c r="R2311" s="9">
        <f t="shared" si="87"/>
        <v>6.3281628290721148E-3</v>
      </c>
    </row>
    <row r="2312" spans="1:18" x14ac:dyDescent="0.2">
      <c r="A2312" s="2">
        <v>42622</v>
      </c>
      <c r="B2312" s="1" t="s">
        <v>56</v>
      </c>
      <c r="C2312" s="1" t="s">
        <v>57</v>
      </c>
      <c r="D2312" s="2">
        <v>42743</v>
      </c>
      <c r="E2312" s="2">
        <f t="shared" si="86"/>
        <v>42948</v>
      </c>
      <c r="F2312" s="1" t="s">
        <v>58</v>
      </c>
      <c r="G2312" s="1" t="s">
        <v>16</v>
      </c>
      <c r="H2312" s="1">
        <v>-6</v>
      </c>
      <c r="I2312" s="1">
        <v>3.39</v>
      </c>
      <c r="J2312" s="1">
        <v>-0.2</v>
      </c>
      <c r="K2312" s="2">
        <v>42986</v>
      </c>
      <c r="L2312" s="1">
        <v>3716</v>
      </c>
      <c r="M2312" s="1">
        <v>3.75</v>
      </c>
      <c r="N2312" s="1">
        <v>0.29319000000000001</v>
      </c>
      <c r="O2312" s="3">
        <f>VLOOKUP(D2312,underlying!$D$40:$H$75,5,FALSE)</f>
        <v>-3</v>
      </c>
      <c r="P2312" s="4">
        <f t="shared" si="85"/>
        <v>42956</v>
      </c>
      <c r="Q2312" s="7">
        <f>IF(G2312="C",NormalCallSprd(O2312,H2312,M2312,(P2312-A2312)/365), NormalPutSprd(O2312,H2312,M2312,(P2312-A2312)/365))</f>
        <v>3.4042993595214441</v>
      </c>
      <c r="R2312" s="9">
        <f t="shared" si="87"/>
        <v>1.4299359521444011E-2</v>
      </c>
    </row>
    <row r="2313" spans="1:18" x14ac:dyDescent="0.2">
      <c r="A2313" s="2">
        <v>42622</v>
      </c>
      <c r="B2313" s="1" t="s">
        <v>56</v>
      </c>
      <c r="C2313" s="1" t="s">
        <v>57</v>
      </c>
      <c r="D2313" s="2">
        <v>42743</v>
      </c>
      <c r="E2313" s="2">
        <f t="shared" si="86"/>
        <v>42948</v>
      </c>
      <c r="F2313" s="1" t="s">
        <v>58</v>
      </c>
      <c r="G2313" s="1" t="s">
        <v>18</v>
      </c>
      <c r="H2313" s="1">
        <v>-6</v>
      </c>
      <c r="I2313" s="1">
        <v>0.4</v>
      </c>
      <c r="J2313" s="1">
        <v>0.04</v>
      </c>
      <c r="K2313" s="2">
        <v>42986</v>
      </c>
      <c r="L2313" s="1">
        <v>3716</v>
      </c>
      <c r="M2313" s="1">
        <v>3.75</v>
      </c>
      <c r="N2313" s="1">
        <v>0.31344</v>
      </c>
      <c r="O2313" s="3">
        <f>VLOOKUP(D2313,underlying!$D$40:$H$75,5,FALSE)</f>
        <v>-3</v>
      </c>
      <c r="P2313" s="4">
        <f t="shared" si="85"/>
        <v>42956</v>
      </c>
      <c r="Q2313" s="7">
        <f>IF(G2313="C",NormalCallSprd(O2313,H2313,M2313,(P2313-A2313)/365), NormalPutSprd(O2313,H2313,M2313,(P2313-A2313)/365))</f>
        <v>0.40429935952144413</v>
      </c>
      <c r="R2313" s="9">
        <f t="shared" si="87"/>
        <v>4.2993595214441127E-3</v>
      </c>
    </row>
    <row r="2314" spans="1:18" x14ac:dyDescent="0.2">
      <c r="A2314" s="2">
        <v>42622</v>
      </c>
      <c r="B2314" s="1" t="s">
        <v>56</v>
      </c>
      <c r="C2314" s="1" t="s">
        <v>57</v>
      </c>
      <c r="D2314" s="2">
        <v>42743</v>
      </c>
      <c r="E2314" s="2">
        <f t="shared" si="86"/>
        <v>42948</v>
      </c>
      <c r="F2314" s="1" t="s">
        <v>58</v>
      </c>
      <c r="G2314" s="1" t="s">
        <v>16</v>
      </c>
      <c r="H2314" s="1">
        <v>-5.75</v>
      </c>
      <c r="I2314" s="1">
        <v>3.19</v>
      </c>
      <c r="J2314" s="1">
        <v>-0.2</v>
      </c>
      <c r="K2314" s="2">
        <v>42986</v>
      </c>
      <c r="L2314" s="1">
        <v>3716</v>
      </c>
      <c r="M2314" s="1">
        <v>3.75</v>
      </c>
      <c r="N2314" s="1">
        <v>0.33524999999999999</v>
      </c>
      <c r="O2314" s="3">
        <f>VLOOKUP(D2314,underlying!$D$40:$H$75,5,FALSE)</f>
        <v>-3</v>
      </c>
      <c r="P2314" s="4">
        <f t="shared" si="85"/>
        <v>42956</v>
      </c>
      <c r="Q2314" s="7">
        <f>IF(G2314="C",NormalCallSprd(O2314,H2314,M2314,(P2314-A2314)/365), NormalPutSprd(O2314,H2314,M2314,(P2314-A2314)/365))</f>
        <v>3.2071695412352423</v>
      </c>
      <c r="R2314" s="9">
        <f t="shared" si="87"/>
        <v>1.7169541235242392E-2</v>
      </c>
    </row>
    <row r="2315" spans="1:18" x14ac:dyDescent="0.2">
      <c r="A2315" s="2">
        <v>42622</v>
      </c>
      <c r="B2315" s="1" t="s">
        <v>56</v>
      </c>
      <c r="C2315" s="1" t="s">
        <v>57</v>
      </c>
      <c r="D2315" s="2">
        <v>42743</v>
      </c>
      <c r="E2315" s="2">
        <f t="shared" si="86"/>
        <v>42948</v>
      </c>
      <c r="F2315" s="1" t="s">
        <v>58</v>
      </c>
      <c r="G2315" s="1" t="s">
        <v>18</v>
      </c>
      <c r="H2315" s="1">
        <v>-5.75</v>
      </c>
      <c r="I2315" s="1">
        <v>0.45</v>
      </c>
      <c r="J2315" s="1">
        <v>0.05</v>
      </c>
      <c r="K2315" s="2">
        <v>42986</v>
      </c>
      <c r="L2315" s="1">
        <v>3716</v>
      </c>
      <c r="M2315" s="1">
        <v>3.75</v>
      </c>
      <c r="N2315" s="1">
        <v>0.35710999999999998</v>
      </c>
      <c r="O2315" s="3">
        <f>VLOOKUP(D2315,underlying!$D$40:$H$75,5,FALSE)</f>
        <v>-3</v>
      </c>
      <c r="P2315" s="4">
        <f t="shared" si="85"/>
        <v>42956</v>
      </c>
      <c r="Q2315" s="7">
        <f>IF(G2315="C",NormalCallSprd(O2315,H2315,M2315,(P2315-A2315)/365), NormalPutSprd(O2315,H2315,M2315,(P2315-A2315)/365))</f>
        <v>0.45716954123524223</v>
      </c>
      <c r="R2315" s="9">
        <f t="shared" si="87"/>
        <v>7.1695412352422161E-3</v>
      </c>
    </row>
    <row r="2316" spans="1:18" x14ac:dyDescent="0.2">
      <c r="A2316" s="2">
        <v>42622</v>
      </c>
      <c r="B2316" s="1" t="s">
        <v>56</v>
      </c>
      <c r="C2316" s="1" t="s">
        <v>57</v>
      </c>
      <c r="D2316" s="2">
        <v>42743</v>
      </c>
      <c r="E2316" s="2">
        <f t="shared" si="86"/>
        <v>42948</v>
      </c>
      <c r="F2316" s="1" t="s">
        <v>58</v>
      </c>
      <c r="G2316" s="1" t="s">
        <v>16</v>
      </c>
      <c r="H2316" s="1">
        <v>-5.5</v>
      </c>
      <c r="I2316" s="1">
        <v>3</v>
      </c>
      <c r="J2316" s="1">
        <v>-0.19</v>
      </c>
      <c r="K2316" s="2">
        <v>42986</v>
      </c>
      <c r="L2316" s="1">
        <v>3716</v>
      </c>
      <c r="M2316" s="1">
        <v>3.75</v>
      </c>
      <c r="N2316" s="1">
        <v>0.37977</v>
      </c>
      <c r="O2316" s="3">
        <f>VLOOKUP(D2316,underlying!$D$40:$H$75,5,FALSE)</f>
        <v>-3</v>
      </c>
      <c r="P2316" s="4">
        <f t="shared" si="85"/>
        <v>42956</v>
      </c>
      <c r="Q2316" s="7">
        <f>IF(G2316="C",NormalCallSprd(O2316,H2316,M2316,(P2316-A2316)/365), NormalPutSprd(O2316,H2316,M2316,(P2316-A2316)/365))</f>
        <v>3.0152198926458817</v>
      </c>
      <c r="R2316" s="9">
        <f t="shared" si="87"/>
        <v>1.521989264588175E-2</v>
      </c>
    </row>
    <row r="2317" spans="1:18" x14ac:dyDescent="0.2">
      <c r="A2317" s="2">
        <v>42622</v>
      </c>
      <c r="B2317" s="1" t="s">
        <v>56</v>
      </c>
      <c r="C2317" s="1" t="s">
        <v>57</v>
      </c>
      <c r="D2317" s="2">
        <v>42743</v>
      </c>
      <c r="E2317" s="2">
        <f t="shared" si="86"/>
        <v>42948</v>
      </c>
      <c r="F2317" s="1" t="s">
        <v>58</v>
      </c>
      <c r="G2317" s="1" t="s">
        <v>18</v>
      </c>
      <c r="H2317" s="1">
        <v>-5.5</v>
      </c>
      <c r="I2317" s="1">
        <v>0.51</v>
      </c>
      <c r="J2317" s="1">
        <v>0.05</v>
      </c>
      <c r="K2317" s="2">
        <v>42986</v>
      </c>
      <c r="L2317" s="1">
        <v>3716</v>
      </c>
      <c r="M2317" s="1">
        <v>3.75</v>
      </c>
      <c r="N2317" s="1">
        <v>0.40193000000000001</v>
      </c>
      <c r="O2317" s="3">
        <f>VLOOKUP(D2317,underlying!$D$40:$H$75,5,FALSE)</f>
        <v>-3</v>
      </c>
      <c r="P2317" s="4">
        <f t="shared" si="85"/>
        <v>42956</v>
      </c>
      <c r="Q2317" s="7">
        <f>IF(G2317="C",NormalCallSprd(O2317,H2317,M2317,(P2317-A2317)/365), NormalPutSprd(O2317,H2317,M2317,(P2317-A2317)/365))</f>
        <v>0.51521989264588175</v>
      </c>
      <c r="R2317" s="9">
        <f t="shared" si="87"/>
        <v>5.2198926458817407E-3</v>
      </c>
    </row>
    <row r="2318" spans="1:18" x14ac:dyDescent="0.2">
      <c r="A2318" s="2">
        <v>42622</v>
      </c>
      <c r="B2318" s="1" t="s">
        <v>56</v>
      </c>
      <c r="C2318" s="1" t="s">
        <v>57</v>
      </c>
      <c r="D2318" s="2">
        <v>42743</v>
      </c>
      <c r="E2318" s="2">
        <f t="shared" si="86"/>
        <v>42948</v>
      </c>
      <c r="F2318" s="1" t="s">
        <v>58</v>
      </c>
      <c r="G2318" s="1" t="s">
        <v>16</v>
      </c>
      <c r="H2318" s="1">
        <v>-5.25</v>
      </c>
      <c r="I2318" s="1">
        <v>2.81</v>
      </c>
      <c r="J2318" s="1">
        <v>-0.19</v>
      </c>
      <c r="K2318" s="2">
        <v>42986</v>
      </c>
      <c r="L2318" s="1">
        <v>3716</v>
      </c>
      <c r="M2318" s="1">
        <v>3.75</v>
      </c>
      <c r="N2318" s="1">
        <v>0.42526000000000003</v>
      </c>
      <c r="O2318" s="3">
        <f>VLOOKUP(D2318,underlying!$D$40:$H$75,5,FALSE)</f>
        <v>-3</v>
      </c>
      <c r="P2318" s="4">
        <f t="shared" si="85"/>
        <v>42956</v>
      </c>
      <c r="Q2318" s="7">
        <f>IF(G2318="C",NormalCallSprd(O2318,H2318,M2318,(P2318-A2318)/365), NormalPutSprd(O2318,H2318,M2318,(P2318-A2318)/365))</f>
        <v>2.8287212194417339</v>
      </c>
      <c r="R2318" s="9">
        <f t="shared" si="87"/>
        <v>1.8721219441733883E-2</v>
      </c>
    </row>
    <row r="2319" spans="1:18" x14ac:dyDescent="0.2">
      <c r="A2319" s="2">
        <v>42622</v>
      </c>
      <c r="B2319" s="1" t="s">
        <v>56</v>
      </c>
      <c r="C2319" s="1" t="s">
        <v>57</v>
      </c>
      <c r="D2319" s="2">
        <v>42743</v>
      </c>
      <c r="E2319" s="2">
        <f t="shared" si="86"/>
        <v>42948</v>
      </c>
      <c r="F2319" s="1" t="s">
        <v>58</v>
      </c>
      <c r="G2319" s="1" t="s">
        <v>18</v>
      </c>
      <c r="H2319" s="1">
        <v>-5.25</v>
      </c>
      <c r="I2319" s="1">
        <v>0.57999999999999996</v>
      </c>
      <c r="J2319" s="1">
        <v>7.0000000000000007E-2</v>
      </c>
      <c r="K2319" s="2">
        <v>42986</v>
      </c>
      <c r="L2319" s="1">
        <v>3716</v>
      </c>
      <c r="M2319" s="1">
        <v>3.75</v>
      </c>
      <c r="N2319" s="1">
        <v>0.44857000000000002</v>
      </c>
      <c r="O2319" s="3">
        <f>VLOOKUP(D2319,underlying!$D$40:$H$75,5,FALSE)</f>
        <v>-3</v>
      </c>
      <c r="P2319" s="4">
        <f t="shared" si="85"/>
        <v>42956</v>
      </c>
      <c r="Q2319" s="7">
        <f>IF(G2319="C",NormalCallSprd(O2319,H2319,M2319,(P2319-A2319)/365), NormalPutSprd(O2319,H2319,M2319,(P2319-A2319)/365))</f>
        <v>0.57872121944173416</v>
      </c>
      <c r="R2319" s="9">
        <f t="shared" si="87"/>
        <v>1.2787805582658018E-3</v>
      </c>
    </row>
    <row r="2320" spans="1:18" x14ac:dyDescent="0.2">
      <c r="A2320" s="2">
        <v>42622</v>
      </c>
      <c r="B2320" s="1" t="s">
        <v>56</v>
      </c>
      <c r="C2320" s="1" t="s">
        <v>57</v>
      </c>
      <c r="D2320" s="2">
        <v>42743</v>
      </c>
      <c r="E2320" s="2">
        <f t="shared" si="86"/>
        <v>42948</v>
      </c>
      <c r="F2320" s="1" t="s">
        <v>58</v>
      </c>
      <c r="G2320" s="1" t="s">
        <v>16</v>
      </c>
      <c r="H2320" s="1">
        <v>-5</v>
      </c>
      <c r="I2320" s="1">
        <v>2.63</v>
      </c>
      <c r="J2320" s="1">
        <v>-0.19</v>
      </c>
      <c r="K2320" s="2">
        <v>42986</v>
      </c>
      <c r="L2320" s="1">
        <v>3716</v>
      </c>
      <c r="M2320" s="1">
        <v>3.73</v>
      </c>
      <c r="N2320" s="1">
        <v>0.47210999999999997</v>
      </c>
      <c r="O2320" s="3">
        <f>VLOOKUP(D2320,underlying!$D$40:$H$75,5,FALSE)</f>
        <v>-3</v>
      </c>
      <c r="P2320" s="4">
        <f t="shared" si="85"/>
        <v>42956</v>
      </c>
      <c r="Q2320" s="7">
        <f>IF(G2320="C",NormalCallSprd(O2320,H2320,M2320,(P2320-A2320)/365), NormalPutSprd(O2320,H2320,M2320,(P2320-A2320)/365))</f>
        <v>2.6414023286080779</v>
      </c>
      <c r="R2320" s="9">
        <f t="shared" si="87"/>
        <v>1.1402328608077994E-2</v>
      </c>
    </row>
    <row r="2321" spans="1:18" x14ac:dyDescent="0.2">
      <c r="A2321" s="2">
        <v>42622</v>
      </c>
      <c r="B2321" s="1" t="s">
        <v>56</v>
      </c>
      <c r="C2321" s="1" t="s">
        <v>57</v>
      </c>
      <c r="D2321" s="2">
        <v>42743</v>
      </c>
      <c r="E2321" s="2">
        <f t="shared" si="86"/>
        <v>42948</v>
      </c>
      <c r="F2321" s="1" t="s">
        <v>58</v>
      </c>
      <c r="G2321" s="1" t="s">
        <v>18</v>
      </c>
      <c r="H2321" s="1">
        <v>-5</v>
      </c>
      <c r="I2321" s="1">
        <v>0.64</v>
      </c>
      <c r="J2321" s="1">
        <v>0.06</v>
      </c>
      <c r="K2321" s="2">
        <v>42986</v>
      </c>
      <c r="L2321" s="1">
        <v>3716</v>
      </c>
      <c r="M2321" s="1">
        <v>3.73</v>
      </c>
      <c r="N2321" s="1">
        <v>0.49560999999999999</v>
      </c>
      <c r="O2321" s="3">
        <f>VLOOKUP(D2321,underlying!$D$40:$H$75,5,FALSE)</f>
        <v>-3</v>
      </c>
      <c r="P2321" s="4">
        <f t="shared" si="85"/>
        <v>42956</v>
      </c>
      <c r="Q2321" s="7">
        <f>IF(G2321="C",NormalCallSprd(O2321,H2321,M2321,(P2321-A2321)/365), NormalPutSprd(O2321,H2321,M2321,(P2321-A2321)/365))</f>
        <v>0.64140232860807811</v>
      </c>
      <c r="R2321" s="9">
        <f t="shared" si="87"/>
        <v>1.4023286080780961E-3</v>
      </c>
    </row>
    <row r="2322" spans="1:18" x14ac:dyDescent="0.2">
      <c r="A2322" s="2">
        <v>42622</v>
      </c>
      <c r="B2322" s="1" t="s">
        <v>56</v>
      </c>
      <c r="C2322" s="1" t="s">
        <v>57</v>
      </c>
      <c r="D2322" s="2">
        <v>42743</v>
      </c>
      <c r="E2322" s="2">
        <f t="shared" si="86"/>
        <v>42948</v>
      </c>
      <c r="F2322" s="1" t="s">
        <v>58</v>
      </c>
      <c r="G2322" s="1" t="s">
        <v>16</v>
      </c>
      <c r="H2322" s="1">
        <v>-4.75</v>
      </c>
      <c r="I2322" s="1">
        <v>2.46</v>
      </c>
      <c r="J2322" s="1">
        <v>-0.17</v>
      </c>
      <c r="K2322" s="2">
        <v>42986</v>
      </c>
      <c r="L2322" s="1">
        <v>3716</v>
      </c>
      <c r="M2322" s="1">
        <v>3.75</v>
      </c>
      <c r="N2322" s="1">
        <v>0.51910000000000001</v>
      </c>
      <c r="O2322" s="3">
        <f>VLOOKUP(D2322,underlying!$D$40:$H$75,5,FALSE)</f>
        <v>-3</v>
      </c>
      <c r="P2322" s="4">
        <f t="shared" si="85"/>
        <v>42956</v>
      </c>
      <c r="Q2322" s="7">
        <f>IF(G2322="C",NormalCallSprd(O2322,H2322,M2322,(P2322-A2322)/365), NormalPutSprd(O2322,H2322,M2322,(P2322-A2322)/365))</f>
        <v>2.473088769664948</v>
      </c>
      <c r="R2322" s="9">
        <f t="shared" si="87"/>
        <v>1.3088769664947986E-2</v>
      </c>
    </row>
    <row r="2323" spans="1:18" x14ac:dyDescent="0.2">
      <c r="A2323" s="2">
        <v>42622</v>
      </c>
      <c r="B2323" s="1" t="s">
        <v>56</v>
      </c>
      <c r="C2323" s="1" t="s">
        <v>57</v>
      </c>
      <c r="D2323" s="2">
        <v>42743</v>
      </c>
      <c r="E2323" s="2">
        <f t="shared" si="86"/>
        <v>42948</v>
      </c>
      <c r="F2323" s="1" t="s">
        <v>58</v>
      </c>
      <c r="G2323" s="1" t="s">
        <v>18</v>
      </c>
      <c r="H2323" s="1">
        <v>-4.75</v>
      </c>
      <c r="I2323" s="1">
        <v>0.72</v>
      </c>
      <c r="J2323" s="1">
        <v>0.08</v>
      </c>
      <c r="K2323" s="2">
        <v>42986</v>
      </c>
      <c r="L2323" s="1">
        <v>3716</v>
      </c>
      <c r="M2323" s="1">
        <v>3.75</v>
      </c>
      <c r="N2323" s="1">
        <v>0.54264000000000001</v>
      </c>
      <c r="O2323" s="3">
        <f>VLOOKUP(D2323,underlying!$D$40:$H$75,5,FALSE)</f>
        <v>-3</v>
      </c>
      <c r="P2323" s="4">
        <f t="shared" si="85"/>
        <v>42956</v>
      </c>
      <c r="Q2323" s="7">
        <f>IF(G2323="C",NormalCallSprd(O2323,H2323,M2323,(P2323-A2323)/365), NormalPutSprd(O2323,H2323,M2323,(P2323-A2323)/365))</f>
        <v>0.72308876966494806</v>
      </c>
      <c r="R2323" s="9">
        <f t="shared" si="87"/>
        <v>3.0887696649480878E-3</v>
      </c>
    </row>
    <row r="2324" spans="1:18" x14ac:dyDescent="0.2">
      <c r="A2324" s="2">
        <v>42622</v>
      </c>
      <c r="B2324" s="1" t="s">
        <v>56</v>
      </c>
      <c r="C2324" s="1" t="s">
        <v>57</v>
      </c>
      <c r="D2324" s="2">
        <v>42743</v>
      </c>
      <c r="E2324" s="2">
        <f t="shared" si="86"/>
        <v>42948</v>
      </c>
      <c r="F2324" s="1" t="s">
        <v>58</v>
      </c>
      <c r="G2324" s="1" t="s">
        <v>16</v>
      </c>
      <c r="H2324" s="1">
        <v>-4.5</v>
      </c>
      <c r="I2324" s="1">
        <v>2.29</v>
      </c>
      <c r="J2324" s="1">
        <v>-0.17</v>
      </c>
      <c r="K2324" s="2">
        <v>42986</v>
      </c>
      <c r="L2324" s="1">
        <v>3716</v>
      </c>
      <c r="M2324" s="1">
        <v>3.73</v>
      </c>
      <c r="N2324" s="1">
        <v>0.56596000000000002</v>
      </c>
      <c r="O2324" s="3">
        <f>VLOOKUP(D2324,underlying!$D$40:$H$75,5,FALSE)</f>
        <v>-3</v>
      </c>
      <c r="P2324" s="4">
        <f t="shared" si="85"/>
        <v>42956</v>
      </c>
      <c r="Q2324" s="7">
        <f>IF(G2324="C",NormalCallSprd(O2324,H2324,M2324,(P2324-A2324)/365), NormalPutSprd(O2324,H2324,M2324,(P2324-A2324)/365))</f>
        <v>2.2974255978906735</v>
      </c>
      <c r="R2324" s="9">
        <f t="shared" si="87"/>
        <v>7.4255978906734299E-3</v>
      </c>
    </row>
    <row r="2325" spans="1:18" x14ac:dyDescent="0.2">
      <c r="A2325" s="2">
        <v>42622</v>
      </c>
      <c r="B2325" s="1" t="s">
        <v>56</v>
      </c>
      <c r="C2325" s="1" t="s">
        <v>57</v>
      </c>
      <c r="D2325" s="2">
        <v>42743</v>
      </c>
      <c r="E2325" s="2">
        <f t="shared" si="86"/>
        <v>42948</v>
      </c>
      <c r="F2325" s="1" t="s">
        <v>58</v>
      </c>
      <c r="G2325" s="1" t="s">
        <v>18</v>
      </c>
      <c r="H2325" s="1">
        <v>-4.5</v>
      </c>
      <c r="I2325" s="1">
        <v>0.79</v>
      </c>
      <c r="J2325" s="1">
        <v>7.0000000000000007E-2</v>
      </c>
      <c r="K2325" s="2">
        <v>42986</v>
      </c>
      <c r="L2325" s="1">
        <v>3716</v>
      </c>
      <c r="M2325" s="1">
        <v>3.73</v>
      </c>
      <c r="N2325" s="1">
        <v>0.58928000000000003</v>
      </c>
      <c r="O2325" s="3">
        <f>VLOOKUP(D2325,underlying!$D$40:$H$75,5,FALSE)</f>
        <v>-3</v>
      </c>
      <c r="P2325" s="4">
        <f t="shared" si="85"/>
        <v>42956</v>
      </c>
      <c r="Q2325" s="7">
        <f>IF(G2325="C",NormalCallSprd(O2325,H2325,M2325,(P2325-A2325)/365), NormalPutSprd(O2325,H2325,M2325,(P2325-A2325)/365))</f>
        <v>0.79742559789067324</v>
      </c>
      <c r="R2325" s="9">
        <f t="shared" si="87"/>
        <v>7.4255978906732079E-3</v>
      </c>
    </row>
    <row r="2326" spans="1:18" x14ac:dyDescent="0.2">
      <c r="A2326" s="2">
        <v>42622</v>
      </c>
      <c r="B2326" s="1" t="s">
        <v>56</v>
      </c>
      <c r="C2326" s="1" t="s">
        <v>57</v>
      </c>
      <c r="D2326" s="2">
        <v>42743</v>
      </c>
      <c r="E2326" s="2">
        <f t="shared" si="86"/>
        <v>42948</v>
      </c>
      <c r="F2326" s="1" t="s">
        <v>58</v>
      </c>
      <c r="G2326" s="1" t="s">
        <v>16</v>
      </c>
      <c r="H2326" s="1">
        <v>-4.25</v>
      </c>
      <c r="I2326" s="1">
        <v>2.13</v>
      </c>
      <c r="J2326" s="1">
        <v>-0.16</v>
      </c>
      <c r="K2326" s="2">
        <v>42986</v>
      </c>
      <c r="L2326" s="1">
        <v>3716</v>
      </c>
      <c r="M2326" s="1">
        <v>3.75</v>
      </c>
      <c r="N2326" s="1">
        <v>0.61143999999999998</v>
      </c>
      <c r="O2326" s="3">
        <f>VLOOKUP(D2326,underlying!$D$40:$H$75,5,FALSE)</f>
        <v>-3</v>
      </c>
      <c r="P2326" s="4">
        <f t="shared" si="85"/>
        <v>42956</v>
      </c>
      <c r="Q2326" s="7">
        <f>IF(G2326="C",NormalCallSprd(O2326,H2326,M2326,(P2326-A2326)/365), NormalPutSprd(O2326,H2326,M2326,(P2326-A2326)/365))</f>
        <v>2.1421097648920964</v>
      </c>
      <c r="R2326" s="9">
        <f t="shared" si="87"/>
        <v>1.2109764892096475E-2</v>
      </c>
    </row>
    <row r="2327" spans="1:18" x14ac:dyDescent="0.2">
      <c r="A2327" s="2">
        <v>42622</v>
      </c>
      <c r="B2327" s="1" t="s">
        <v>56</v>
      </c>
      <c r="C2327" s="1" t="s">
        <v>57</v>
      </c>
      <c r="D2327" s="2">
        <v>42743</v>
      </c>
      <c r="E2327" s="2">
        <f t="shared" si="86"/>
        <v>42948</v>
      </c>
      <c r="F2327" s="1" t="s">
        <v>58</v>
      </c>
      <c r="G2327" s="1" t="s">
        <v>18</v>
      </c>
      <c r="H2327" s="1">
        <v>-4.25</v>
      </c>
      <c r="I2327" s="1">
        <v>0.89</v>
      </c>
      <c r="J2327" s="1">
        <v>0.09</v>
      </c>
      <c r="K2327" s="2">
        <v>42986</v>
      </c>
      <c r="L2327" s="1">
        <v>3716</v>
      </c>
      <c r="M2327" s="1">
        <v>3.75</v>
      </c>
      <c r="N2327" s="1">
        <v>0.63448000000000004</v>
      </c>
      <c r="O2327" s="3">
        <f>VLOOKUP(D2327,underlying!$D$40:$H$75,5,FALSE)</f>
        <v>-3</v>
      </c>
      <c r="P2327" s="4">
        <f t="shared" si="85"/>
        <v>42956</v>
      </c>
      <c r="Q2327" s="7">
        <f>IF(G2327="C",NormalCallSprd(O2327,H2327,M2327,(P2327-A2327)/365), NormalPutSprd(O2327,H2327,M2327,(P2327-A2327)/365))</f>
        <v>0.89210976489209648</v>
      </c>
      <c r="R2327" s="9">
        <f t="shared" si="87"/>
        <v>2.1097648920964662E-3</v>
      </c>
    </row>
    <row r="2328" spans="1:18" x14ac:dyDescent="0.2">
      <c r="A2328" s="2">
        <v>42622</v>
      </c>
      <c r="B2328" s="1" t="s">
        <v>56</v>
      </c>
      <c r="C2328" s="1" t="s">
        <v>57</v>
      </c>
      <c r="D2328" s="2">
        <v>42743</v>
      </c>
      <c r="E2328" s="2">
        <f t="shared" si="86"/>
        <v>42948</v>
      </c>
      <c r="F2328" s="1" t="s">
        <v>58</v>
      </c>
      <c r="G2328" s="1" t="s">
        <v>16</v>
      </c>
      <c r="H2328" s="1">
        <v>-4</v>
      </c>
      <c r="I2328" s="1">
        <v>1.97</v>
      </c>
      <c r="J2328" s="1">
        <v>-0.16</v>
      </c>
      <c r="K2328" s="2">
        <v>42986</v>
      </c>
      <c r="L2328" s="1">
        <v>3716</v>
      </c>
      <c r="M2328" s="1">
        <v>3.73</v>
      </c>
      <c r="N2328" s="1">
        <v>0.65554000000000001</v>
      </c>
      <c r="O2328" s="3">
        <f>VLOOKUP(D2328,underlying!$D$40:$H$75,5,FALSE)</f>
        <v>-3</v>
      </c>
      <c r="P2328" s="4">
        <f t="shared" si="85"/>
        <v>42956</v>
      </c>
      <c r="Q2328" s="7">
        <f>IF(G2328="C",NormalCallSprd(O2328,H2328,M2328,(P2328-A2328)/365), NormalPutSprd(O2328,H2328,M2328,(P2328-A2328)/365))</f>
        <v>1.9790025422130699</v>
      </c>
      <c r="R2328" s="9">
        <f t="shared" si="87"/>
        <v>9.0025422130699528E-3</v>
      </c>
    </row>
    <row r="2329" spans="1:18" x14ac:dyDescent="0.2">
      <c r="A2329" s="2">
        <v>42622</v>
      </c>
      <c r="B2329" s="1" t="s">
        <v>56</v>
      </c>
      <c r="C2329" s="1" t="s">
        <v>57</v>
      </c>
      <c r="D2329" s="2">
        <v>42743</v>
      </c>
      <c r="E2329" s="2">
        <f t="shared" si="86"/>
        <v>42948</v>
      </c>
      <c r="F2329" s="1" t="s">
        <v>58</v>
      </c>
      <c r="G2329" s="1" t="s">
        <v>18</v>
      </c>
      <c r="H2329" s="1">
        <v>-4</v>
      </c>
      <c r="I2329" s="1">
        <v>0.97</v>
      </c>
      <c r="J2329" s="1">
        <v>0.08</v>
      </c>
      <c r="K2329" s="2">
        <v>42986</v>
      </c>
      <c r="L2329" s="1">
        <v>3716</v>
      </c>
      <c r="M2329" s="1">
        <v>3.73</v>
      </c>
      <c r="N2329" s="1">
        <v>0.67776999999999998</v>
      </c>
      <c r="O2329" s="3">
        <f>VLOOKUP(D2329,underlying!$D$40:$H$75,5,FALSE)</f>
        <v>-3</v>
      </c>
      <c r="P2329" s="4">
        <f t="shared" si="85"/>
        <v>42956</v>
      </c>
      <c r="Q2329" s="7">
        <f>IF(G2329="C",NormalCallSprd(O2329,H2329,M2329,(P2329-A2329)/365), NormalPutSprd(O2329,H2329,M2329,(P2329-A2329)/365))</f>
        <v>0.97900254221306993</v>
      </c>
      <c r="R2329" s="9">
        <f t="shared" si="87"/>
        <v>9.0025422130699528E-3</v>
      </c>
    </row>
    <row r="2330" spans="1:18" x14ac:dyDescent="0.2">
      <c r="A2330" s="2">
        <v>42622</v>
      </c>
      <c r="B2330" s="1" t="s">
        <v>56</v>
      </c>
      <c r="C2330" s="1" t="s">
        <v>57</v>
      </c>
      <c r="D2330" s="2">
        <v>42743</v>
      </c>
      <c r="E2330" s="2">
        <f t="shared" si="86"/>
        <v>42948</v>
      </c>
      <c r="F2330" s="1" t="s">
        <v>58</v>
      </c>
      <c r="G2330" s="1" t="s">
        <v>16</v>
      </c>
      <c r="H2330" s="1">
        <v>-3.75</v>
      </c>
      <c r="I2330" s="1">
        <v>1.82</v>
      </c>
      <c r="J2330" s="1">
        <v>-0.15</v>
      </c>
      <c r="K2330" s="2">
        <v>42986</v>
      </c>
      <c r="L2330" s="1">
        <v>3716</v>
      </c>
      <c r="M2330" s="1">
        <v>3.74</v>
      </c>
      <c r="N2330" s="1">
        <v>0.69750999999999996</v>
      </c>
      <c r="O2330" s="3">
        <f>VLOOKUP(D2330,underlying!$D$40:$H$75,5,FALSE)</f>
        <v>-3</v>
      </c>
      <c r="P2330" s="4">
        <f t="shared" si="85"/>
        <v>42956</v>
      </c>
      <c r="Q2330" s="7">
        <f>IF(G2330="C",NormalCallSprd(O2330,H2330,M2330,(P2330-A2330)/365), NormalPutSprd(O2330,H2330,M2330,(P2330-A2330)/365))</f>
        <v>1.8335253434064722</v>
      </c>
      <c r="R2330" s="9">
        <f t="shared" si="87"/>
        <v>1.3525343406472157E-2</v>
      </c>
    </row>
    <row r="2331" spans="1:18" x14ac:dyDescent="0.2">
      <c r="A2331" s="2">
        <v>42622</v>
      </c>
      <c r="B2331" s="1" t="s">
        <v>56</v>
      </c>
      <c r="C2331" s="1" t="s">
        <v>57</v>
      </c>
      <c r="D2331" s="2">
        <v>42743</v>
      </c>
      <c r="E2331" s="2">
        <f t="shared" si="86"/>
        <v>42948</v>
      </c>
      <c r="F2331" s="1" t="s">
        <v>58</v>
      </c>
      <c r="G2331" s="1" t="s">
        <v>18</v>
      </c>
      <c r="H2331" s="1">
        <v>-3.75</v>
      </c>
      <c r="I2331" s="1">
        <v>1.08</v>
      </c>
      <c r="J2331" s="1">
        <v>0.1</v>
      </c>
      <c r="K2331" s="2">
        <v>42986</v>
      </c>
      <c r="L2331" s="1">
        <v>3716</v>
      </c>
      <c r="M2331" s="1">
        <v>3.74</v>
      </c>
      <c r="N2331" s="1">
        <v>0.71755000000000002</v>
      </c>
      <c r="O2331" s="3">
        <f>VLOOKUP(D2331,underlying!$D$40:$H$75,5,FALSE)</f>
        <v>-3</v>
      </c>
      <c r="P2331" s="4">
        <f t="shared" si="85"/>
        <v>42956</v>
      </c>
      <c r="Q2331" s="7">
        <f>IF(G2331="C",NormalCallSprd(O2331,H2331,M2331,(P2331-A2331)/365), NormalPutSprd(O2331,H2331,M2331,(P2331-A2331)/365))</f>
        <v>1.0835253434064722</v>
      </c>
      <c r="R2331" s="9">
        <f t="shared" si="87"/>
        <v>3.5253434064721478E-3</v>
      </c>
    </row>
    <row r="2332" spans="1:18" x14ac:dyDescent="0.2">
      <c r="A2332" s="2">
        <v>42622</v>
      </c>
      <c r="B2332" s="1" t="s">
        <v>56</v>
      </c>
      <c r="C2332" s="1" t="s">
        <v>57</v>
      </c>
      <c r="D2332" s="2">
        <v>42743</v>
      </c>
      <c r="E2332" s="2">
        <f t="shared" si="86"/>
        <v>42948</v>
      </c>
      <c r="F2332" s="1" t="s">
        <v>58</v>
      </c>
      <c r="G2332" s="1" t="s">
        <v>16</v>
      </c>
      <c r="H2332" s="1">
        <v>-3.5</v>
      </c>
      <c r="I2332" s="1">
        <v>1.68</v>
      </c>
      <c r="J2332" s="1">
        <v>-0.15</v>
      </c>
      <c r="K2332" s="2">
        <v>42986</v>
      </c>
      <c r="L2332" s="1">
        <v>3716</v>
      </c>
      <c r="M2332" s="1">
        <v>3.74</v>
      </c>
      <c r="N2332" s="1">
        <v>0.73689000000000004</v>
      </c>
      <c r="O2332" s="3">
        <f>VLOOKUP(D2332,underlying!$D$40:$H$75,5,FALSE)</f>
        <v>-3</v>
      </c>
      <c r="P2332" s="4">
        <f t="shared" si="85"/>
        <v>42956</v>
      </c>
      <c r="Q2332" s="7">
        <f>IF(G2332="C",NormalCallSprd(O2332,H2332,M2332,(P2332-A2332)/365), NormalPutSprd(O2332,H2332,M2332,(P2332-A2332)/365))</f>
        <v>1.6911937010884637</v>
      </c>
      <c r="R2332" s="9">
        <f t="shared" si="87"/>
        <v>1.1193701088463737E-2</v>
      </c>
    </row>
    <row r="2333" spans="1:18" x14ac:dyDescent="0.2">
      <c r="A2333" s="2">
        <v>42622</v>
      </c>
      <c r="B2333" s="1" t="s">
        <v>56</v>
      </c>
      <c r="C2333" s="1" t="s">
        <v>57</v>
      </c>
      <c r="D2333" s="2">
        <v>42743</v>
      </c>
      <c r="E2333" s="2">
        <f t="shared" si="86"/>
        <v>42948</v>
      </c>
      <c r="F2333" s="1" t="s">
        <v>58</v>
      </c>
      <c r="G2333" s="1" t="s">
        <v>18</v>
      </c>
      <c r="H2333" s="1">
        <v>-3.5</v>
      </c>
      <c r="I2333" s="1">
        <v>1.18</v>
      </c>
      <c r="J2333" s="1">
        <v>0.1</v>
      </c>
      <c r="K2333" s="2">
        <v>42986</v>
      </c>
      <c r="L2333" s="1">
        <v>3716</v>
      </c>
      <c r="M2333" s="1">
        <v>3.74</v>
      </c>
      <c r="N2333" s="1">
        <v>0.75549999999999995</v>
      </c>
      <c r="O2333" s="3">
        <f>VLOOKUP(D2333,underlying!$D$40:$H$75,5,FALSE)</f>
        <v>-3</v>
      </c>
      <c r="P2333" s="4">
        <f t="shared" si="85"/>
        <v>42956</v>
      </c>
      <c r="Q2333" s="7">
        <f>IF(G2333="C",NormalCallSprd(O2333,H2333,M2333,(P2333-A2333)/365), NormalPutSprd(O2333,H2333,M2333,(P2333-A2333)/365))</f>
        <v>1.1911937010884635</v>
      </c>
      <c r="R2333" s="9">
        <f t="shared" si="87"/>
        <v>1.1193701088463515E-2</v>
      </c>
    </row>
    <row r="2334" spans="1:18" x14ac:dyDescent="0.2">
      <c r="A2334" s="2">
        <v>42622</v>
      </c>
      <c r="B2334" s="1" t="s">
        <v>56</v>
      </c>
      <c r="C2334" s="1" t="s">
        <v>57</v>
      </c>
      <c r="D2334" s="2">
        <v>42743</v>
      </c>
      <c r="E2334" s="2">
        <f t="shared" si="86"/>
        <v>42948</v>
      </c>
      <c r="F2334" s="1" t="s">
        <v>58</v>
      </c>
      <c r="G2334" s="1" t="s">
        <v>16</v>
      </c>
      <c r="H2334" s="1">
        <v>-3.25</v>
      </c>
      <c r="I2334" s="1">
        <v>1.55</v>
      </c>
      <c r="J2334" s="1">
        <v>-0.13</v>
      </c>
      <c r="K2334" s="2">
        <v>42986</v>
      </c>
      <c r="L2334" s="1">
        <v>3716</v>
      </c>
      <c r="M2334" s="1">
        <v>3.75</v>
      </c>
      <c r="N2334" s="1">
        <v>0.77334000000000003</v>
      </c>
      <c r="O2334" s="3">
        <f>VLOOKUP(D2334,underlying!$D$40:$H$75,5,FALSE)</f>
        <v>-3</v>
      </c>
      <c r="P2334" s="4">
        <f t="shared" si="85"/>
        <v>42956</v>
      </c>
      <c r="Q2334" s="7">
        <f>IF(G2334="C",NormalCallSprd(O2334,H2334,M2334,(P2334-A2334)/365), NormalPutSprd(O2334,H2334,M2334,(P2334-A2334)/365))</f>
        <v>1.559567885550424</v>
      </c>
      <c r="R2334" s="9">
        <f t="shared" si="87"/>
        <v>9.5678855504239824E-3</v>
      </c>
    </row>
    <row r="2335" spans="1:18" x14ac:dyDescent="0.2">
      <c r="A2335" s="2">
        <v>42622</v>
      </c>
      <c r="B2335" s="1" t="s">
        <v>56</v>
      </c>
      <c r="C2335" s="1" t="s">
        <v>57</v>
      </c>
      <c r="D2335" s="2">
        <v>42743</v>
      </c>
      <c r="E2335" s="2">
        <f t="shared" si="86"/>
        <v>42948</v>
      </c>
      <c r="F2335" s="1" t="s">
        <v>58</v>
      </c>
      <c r="G2335" s="1" t="s">
        <v>18</v>
      </c>
      <c r="H2335" s="1">
        <v>-3.25</v>
      </c>
      <c r="I2335" s="1">
        <v>1.3</v>
      </c>
      <c r="J2335" s="1">
        <v>0.11</v>
      </c>
      <c r="K2335" s="2">
        <v>42986</v>
      </c>
      <c r="L2335" s="1">
        <v>3716</v>
      </c>
      <c r="M2335" s="1">
        <v>3.75</v>
      </c>
      <c r="N2335" s="1">
        <v>0.79037000000000002</v>
      </c>
      <c r="O2335" s="3">
        <f>VLOOKUP(D2335,underlying!$D$40:$H$75,5,FALSE)</f>
        <v>-3</v>
      </c>
      <c r="P2335" s="4">
        <f t="shared" si="85"/>
        <v>42956</v>
      </c>
      <c r="Q2335" s="7">
        <f>IF(G2335="C",NormalCallSprd(O2335,H2335,M2335,(P2335-A2335)/365), NormalPutSprd(O2335,H2335,M2335,(P2335-A2335)/365))</f>
        <v>1.309567885550424</v>
      </c>
      <c r="R2335" s="9">
        <f t="shared" si="87"/>
        <v>9.5678855504239824E-3</v>
      </c>
    </row>
    <row r="2336" spans="1:18" x14ac:dyDescent="0.2">
      <c r="A2336" s="2">
        <v>42622</v>
      </c>
      <c r="B2336" s="1" t="s">
        <v>56</v>
      </c>
      <c r="C2336" s="1" t="s">
        <v>57</v>
      </c>
      <c r="D2336" s="2">
        <v>42743</v>
      </c>
      <c r="E2336" s="2">
        <f t="shared" si="86"/>
        <v>42948</v>
      </c>
      <c r="F2336" s="1" t="s">
        <v>58</v>
      </c>
      <c r="G2336" s="1" t="s">
        <v>16</v>
      </c>
      <c r="H2336" s="1">
        <v>-3</v>
      </c>
      <c r="I2336" s="1">
        <v>1.42</v>
      </c>
      <c r="J2336" s="1">
        <v>-0.13</v>
      </c>
      <c r="K2336" s="2">
        <v>42986</v>
      </c>
      <c r="L2336" s="1">
        <v>3716</v>
      </c>
      <c r="M2336" s="1">
        <v>3.74</v>
      </c>
      <c r="N2336" s="1">
        <v>0.80657999999999996</v>
      </c>
      <c r="O2336" s="3">
        <f>VLOOKUP(D2336,underlying!$D$40:$H$75,5,FALSE)</f>
        <v>-3</v>
      </c>
      <c r="P2336" s="4">
        <f t="shared" si="85"/>
        <v>42956</v>
      </c>
      <c r="Q2336" s="7">
        <f>IF(G2336="C",NormalCallSprd(O2336,H2336,M2336,(P2336-A2336)/365), NormalPutSprd(O2336,H2336,M2336,(P2336-A2336)/365))</f>
        <v>1.4272776633084256</v>
      </c>
      <c r="R2336" s="9">
        <f t="shared" si="87"/>
        <v>7.2776633084257192E-3</v>
      </c>
    </row>
    <row r="2337" spans="1:18" x14ac:dyDescent="0.2">
      <c r="A2337" s="2">
        <v>42622</v>
      </c>
      <c r="B2337" s="1" t="s">
        <v>56</v>
      </c>
      <c r="C2337" s="1" t="s">
        <v>57</v>
      </c>
      <c r="D2337" s="2">
        <v>42743</v>
      </c>
      <c r="E2337" s="2">
        <f t="shared" si="86"/>
        <v>42948</v>
      </c>
      <c r="F2337" s="1" t="s">
        <v>58</v>
      </c>
      <c r="G2337" s="1" t="s">
        <v>18</v>
      </c>
      <c r="H2337" s="1">
        <v>-3</v>
      </c>
      <c r="I2337" s="1">
        <v>1.42</v>
      </c>
      <c r="J2337" s="1">
        <v>0.11</v>
      </c>
      <c r="K2337" s="2">
        <v>42986</v>
      </c>
      <c r="L2337" s="1">
        <v>3716</v>
      </c>
      <c r="M2337" s="1">
        <v>3.74</v>
      </c>
      <c r="N2337" s="1">
        <v>0.85016999999999998</v>
      </c>
      <c r="O2337" s="3">
        <f>VLOOKUP(D2337,underlying!$D$40:$H$75,5,FALSE)</f>
        <v>-3</v>
      </c>
      <c r="P2337" s="4">
        <f t="shared" si="85"/>
        <v>42956</v>
      </c>
      <c r="Q2337" s="7">
        <f>IF(G2337="C",NormalCallSprd(O2337,H2337,M2337,(P2337-A2337)/365), NormalPutSprd(O2337,H2337,M2337,(P2337-A2337)/365))</f>
        <v>1.4272776633084256</v>
      </c>
      <c r="R2337" s="9">
        <f t="shared" si="87"/>
        <v>7.2776633084257192E-3</v>
      </c>
    </row>
    <row r="2338" spans="1:18" x14ac:dyDescent="0.2">
      <c r="A2338" s="2">
        <v>42622</v>
      </c>
      <c r="B2338" s="1" t="s">
        <v>56</v>
      </c>
      <c r="C2338" s="1" t="s">
        <v>57</v>
      </c>
      <c r="D2338" s="2">
        <v>42743</v>
      </c>
      <c r="E2338" s="2">
        <f t="shared" si="86"/>
        <v>42948</v>
      </c>
      <c r="F2338" s="1" t="s">
        <v>58</v>
      </c>
      <c r="G2338" s="1" t="s">
        <v>16</v>
      </c>
      <c r="H2338" s="1">
        <v>-2.75</v>
      </c>
      <c r="I2338" s="1">
        <v>1.3</v>
      </c>
      <c r="J2338" s="1">
        <v>-0.12</v>
      </c>
      <c r="K2338" s="2">
        <v>42986</v>
      </c>
      <c r="L2338" s="1">
        <v>3716</v>
      </c>
      <c r="M2338" s="1">
        <v>3.75</v>
      </c>
      <c r="N2338" s="1">
        <v>0.89722000000000002</v>
      </c>
      <c r="O2338" s="3">
        <f>VLOOKUP(D2338,underlying!$D$40:$H$75,5,FALSE)</f>
        <v>-3</v>
      </c>
      <c r="P2338" s="4">
        <f t="shared" si="85"/>
        <v>42956</v>
      </c>
      <c r="Q2338" s="7">
        <f>IF(G2338="C",NormalCallSprd(O2338,H2338,M2338,(P2338-A2338)/365), NormalPutSprd(O2338,H2338,M2338,(P2338-A2338)/365))</f>
        <v>1.309567885550424</v>
      </c>
      <c r="R2338" s="9">
        <f t="shared" si="87"/>
        <v>9.5678855504239824E-3</v>
      </c>
    </row>
    <row r="2339" spans="1:18" x14ac:dyDescent="0.2">
      <c r="A2339" s="2">
        <v>42622</v>
      </c>
      <c r="B2339" s="1" t="s">
        <v>56</v>
      </c>
      <c r="C2339" s="1" t="s">
        <v>57</v>
      </c>
      <c r="D2339" s="2">
        <v>42743</v>
      </c>
      <c r="E2339" s="2">
        <f t="shared" si="86"/>
        <v>42948</v>
      </c>
      <c r="F2339" s="1" t="s">
        <v>58</v>
      </c>
      <c r="G2339" s="1" t="s">
        <v>18</v>
      </c>
      <c r="H2339" s="1">
        <v>-2.75</v>
      </c>
      <c r="I2339" s="1">
        <v>1.55</v>
      </c>
      <c r="J2339" s="1">
        <v>0.13</v>
      </c>
      <c r="K2339" s="2">
        <v>42986</v>
      </c>
      <c r="L2339" s="1">
        <v>3716</v>
      </c>
      <c r="M2339" s="1">
        <v>3.75</v>
      </c>
      <c r="N2339" s="1">
        <v>0.93171000000000004</v>
      </c>
      <c r="O2339" s="3">
        <f>VLOOKUP(D2339,underlying!$D$40:$H$75,5,FALSE)</f>
        <v>-3</v>
      </c>
      <c r="P2339" s="4">
        <f t="shared" si="85"/>
        <v>42956</v>
      </c>
      <c r="Q2339" s="7">
        <f>IF(G2339="C",NormalCallSprd(O2339,H2339,M2339,(P2339-A2339)/365), NormalPutSprd(O2339,H2339,M2339,(P2339-A2339)/365))</f>
        <v>1.559567885550424</v>
      </c>
      <c r="R2339" s="9">
        <f t="shared" si="87"/>
        <v>9.5678855504239824E-3</v>
      </c>
    </row>
    <row r="2340" spans="1:18" x14ac:dyDescent="0.2">
      <c r="A2340" s="2">
        <v>42622</v>
      </c>
      <c r="B2340" s="1" t="s">
        <v>56</v>
      </c>
      <c r="C2340" s="1" t="s">
        <v>57</v>
      </c>
      <c r="D2340" s="2">
        <v>42743</v>
      </c>
      <c r="E2340" s="2">
        <f t="shared" si="86"/>
        <v>42948</v>
      </c>
      <c r="F2340" s="1" t="s">
        <v>58</v>
      </c>
      <c r="G2340" s="1" t="s">
        <v>16</v>
      </c>
      <c r="H2340" s="1">
        <v>-2.5</v>
      </c>
      <c r="I2340" s="1">
        <v>1.18</v>
      </c>
      <c r="J2340" s="1">
        <v>-0.13</v>
      </c>
      <c r="K2340" s="2">
        <v>42986</v>
      </c>
      <c r="L2340" s="1">
        <v>3716</v>
      </c>
      <c r="M2340" s="1">
        <v>3.74</v>
      </c>
      <c r="N2340" s="1">
        <v>-0.69803000000000004</v>
      </c>
      <c r="O2340" s="3">
        <f>VLOOKUP(D2340,underlying!$D$40:$H$75,5,FALSE)</f>
        <v>-3</v>
      </c>
      <c r="P2340" s="4">
        <f t="shared" si="85"/>
        <v>42956</v>
      </c>
      <c r="Q2340" s="7">
        <f>IF(G2340="C",NormalCallSprd(O2340,H2340,M2340,(P2340-A2340)/365), NormalPutSprd(O2340,H2340,M2340,(P2340-A2340)/365))</f>
        <v>1.1911937010884635</v>
      </c>
      <c r="R2340" s="9">
        <f t="shared" si="87"/>
        <v>1.1193701088463515E-2</v>
      </c>
    </row>
    <row r="2341" spans="1:18" x14ac:dyDescent="0.2">
      <c r="A2341" s="2">
        <v>42622</v>
      </c>
      <c r="B2341" s="1" t="s">
        <v>56</v>
      </c>
      <c r="C2341" s="1" t="s">
        <v>57</v>
      </c>
      <c r="D2341" s="2">
        <v>42743</v>
      </c>
      <c r="E2341" s="2">
        <f t="shared" si="86"/>
        <v>42948</v>
      </c>
      <c r="F2341" s="1" t="s">
        <v>58</v>
      </c>
      <c r="G2341" s="1" t="s">
        <v>18</v>
      </c>
      <c r="H2341" s="1">
        <v>-2.5</v>
      </c>
      <c r="I2341" s="1">
        <v>1.68</v>
      </c>
      <c r="J2341" s="1">
        <v>0.13</v>
      </c>
      <c r="K2341" s="2">
        <v>42986</v>
      </c>
      <c r="L2341" s="1">
        <v>3716</v>
      </c>
      <c r="M2341" s="1">
        <v>3.74</v>
      </c>
      <c r="N2341" s="1">
        <v>-0.67776999999999998</v>
      </c>
      <c r="O2341" s="3">
        <f>VLOOKUP(D2341,underlying!$D$40:$H$75,5,FALSE)</f>
        <v>-3</v>
      </c>
      <c r="P2341" s="4">
        <f t="shared" si="85"/>
        <v>42956</v>
      </c>
      <c r="Q2341" s="7">
        <f>IF(G2341="C",NormalCallSprd(O2341,H2341,M2341,(P2341-A2341)/365), NormalPutSprd(O2341,H2341,M2341,(P2341-A2341)/365))</f>
        <v>1.6911937010884637</v>
      </c>
      <c r="R2341" s="9">
        <f t="shared" si="87"/>
        <v>1.1193701088463737E-2</v>
      </c>
    </row>
    <row r="2342" spans="1:18" x14ac:dyDescent="0.2">
      <c r="A2342" s="2">
        <v>42622</v>
      </c>
      <c r="B2342" s="1" t="s">
        <v>56</v>
      </c>
      <c r="C2342" s="1" t="s">
        <v>57</v>
      </c>
      <c r="D2342" s="2">
        <v>42743</v>
      </c>
      <c r="E2342" s="2">
        <f t="shared" si="86"/>
        <v>42948</v>
      </c>
      <c r="F2342" s="1" t="s">
        <v>58</v>
      </c>
      <c r="G2342" s="1" t="s">
        <v>16</v>
      </c>
      <c r="H2342" s="1">
        <v>-2.25</v>
      </c>
      <c r="I2342" s="1">
        <v>1.08</v>
      </c>
      <c r="J2342" s="1">
        <v>-0.11</v>
      </c>
      <c r="K2342" s="2">
        <v>42986</v>
      </c>
      <c r="L2342" s="1">
        <v>3716</v>
      </c>
      <c r="M2342" s="1">
        <v>3.74</v>
      </c>
      <c r="N2342" s="1">
        <v>-0.65595999999999999</v>
      </c>
      <c r="O2342" s="3">
        <f>VLOOKUP(D2342,underlying!$D$40:$H$75,5,FALSE)</f>
        <v>-3</v>
      </c>
      <c r="P2342" s="4">
        <f t="shared" si="85"/>
        <v>42956</v>
      </c>
      <c r="Q2342" s="7">
        <f>IF(G2342="C",NormalCallSprd(O2342,H2342,M2342,(P2342-A2342)/365), NormalPutSprd(O2342,H2342,M2342,(P2342-A2342)/365))</f>
        <v>1.0835253434064722</v>
      </c>
      <c r="R2342" s="9">
        <f t="shared" si="87"/>
        <v>3.5253434064721478E-3</v>
      </c>
    </row>
    <row r="2343" spans="1:18" x14ac:dyDescent="0.2">
      <c r="A2343" s="2">
        <v>42622</v>
      </c>
      <c r="B2343" s="1" t="s">
        <v>56</v>
      </c>
      <c r="C2343" s="1" t="s">
        <v>57</v>
      </c>
      <c r="D2343" s="2">
        <v>42743</v>
      </c>
      <c r="E2343" s="2">
        <f t="shared" si="86"/>
        <v>42948</v>
      </c>
      <c r="F2343" s="1" t="s">
        <v>58</v>
      </c>
      <c r="G2343" s="1" t="s">
        <v>18</v>
      </c>
      <c r="H2343" s="1">
        <v>-2.25</v>
      </c>
      <c r="I2343" s="1">
        <v>1.82</v>
      </c>
      <c r="J2343" s="1">
        <v>0.14000000000000001</v>
      </c>
      <c r="K2343" s="2">
        <v>42986</v>
      </c>
      <c r="L2343" s="1">
        <v>3716</v>
      </c>
      <c r="M2343" s="1">
        <v>3.74</v>
      </c>
      <c r="N2343" s="1">
        <v>-0.6341</v>
      </c>
      <c r="O2343" s="3">
        <f>VLOOKUP(D2343,underlying!$D$40:$H$75,5,FALSE)</f>
        <v>-3</v>
      </c>
      <c r="P2343" s="4">
        <f t="shared" si="85"/>
        <v>42956</v>
      </c>
      <c r="Q2343" s="7">
        <f>IF(G2343="C",NormalCallSprd(O2343,H2343,M2343,(P2343-A2343)/365), NormalPutSprd(O2343,H2343,M2343,(P2343-A2343)/365))</f>
        <v>1.8335253434064722</v>
      </c>
      <c r="R2343" s="9">
        <f t="shared" si="87"/>
        <v>1.3525343406472157E-2</v>
      </c>
    </row>
    <row r="2344" spans="1:18" x14ac:dyDescent="0.2">
      <c r="A2344" s="2">
        <v>42622</v>
      </c>
      <c r="B2344" s="1" t="s">
        <v>56</v>
      </c>
      <c r="C2344" s="1" t="s">
        <v>57</v>
      </c>
      <c r="D2344" s="2">
        <v>42743</v>
      </c>
      <c r="E2344" s="2">
        <f t="shared" si="86"/>
        <v>42948</v>
      </c>
      <c r="F2344" s="1" t="s">
        <v>58</v>
      </c>
      <c r="G2344" s="1" t="s">
        <v>16</v>
      </c>
      <c r="H2344" s="1">
        <v>-2</v>
      </c>
      <c r="I2344" s="1">
        <v>0.97</v>
      </c>
      <c r="J2344" s="1">
        <v>-0.11</v>
      </c>
      <c r="K2344" s="2">
        <v>42986</v>
      </c>
      <c r="L2344" s="1">
        <v>3716</v>
      </c>
      <c r="M2344" s="1">
        <v>3.73</v>
      </c>
      <c r="N2344" s="1">
        <v>-0.61143999999999998</v>
      </c>
      <c r="O2344" s="3">
        <f>VLOOKUP(D2344,underlying!$D$40:$H$75,5,FALSE)</f>
        <v>-3</v>
      </c>
      <c r="P2344" s="4">
        <f t="shared" si="85"/>
        <v>42956</v>
      </c>
      <c r="Q2344" s="7">
        <f>IF(G2344="C",NormalCallSprd(O2344,H2344,M2344,(P2344-A2344)/365), NormalPutSprd(O2344,H2344,M2344,(P2344-A2344)/365))</f>
        <v>0.97900254221306993</v>
      </c>
      <c r="R2344" s="9">
        <f t="shared" si="87"/>
        <v>9.0025422130699528E-3</v>
      </c>
    </row>
    <row r="2345" spans="1:18" x14ac:dyDescent="0.2">
      <c r="A2345" s="2">
        <v>42622</v>
      </c>
      <c r="B2345" s="1" t="s">
        <v>56</v>
      </c>
      <c r="C2345" s="1" t="s">
        <v>57</v>
      </c>
      <c r="D2345" s="2">
        <v>42743</v>
      </c>
      <c r="E2345" s="2">
        <f t="shared" si="86"/>
        <v>42948</v>
      </c>
      <c r="F2345" s="1" t="s">
        <v>58</v>
      </c>
      <c r="G2345" s="1" t="s">
        <v>18</v>
      </c>
      <c r="H2345" s="1">
        <v>-2</v>
      </c>
      <c r="I2345" s="1">
        <v>1.97</v>
      </c>
      <c r="J2345" s="1">
        <v>0.14000000000000001</v>
      </c>
      <c r="K2345" s="2">
        <v>42986</v>
      </c>
      <c r="L2345" s="1">
        <v>3716</v>
      </c>
      <c r="M2345" s="1">
        <v>3.73</v>
      </c>
      <c r="N2345" s="1">
        <v>-0.58928000000000003</v>
      </c>
      <c r="O2345" s="3">
        <f>VLOOKUP(D2345,underlying!$D$40:$H$75,5,FALSE)</f>
        <v>-3</v>
      </c>
      <c r="P2345" s="4">
        <f t="shared" si="85"/>
        <v>42956</v>
      </c>
      <c r="Q2345" s="7">
        <f>IF(G2345="C",NormalCallSprd(O2345,H2345,M2345,(P2345-A2345)/365), NormalPutSprd(O2345,H2345,M2345,(P2345-A2345)/365))</f>
        <v>1.9790025422130699</v>
      </c>
      <c r="R2345" s="9">
        <f t="shared" si="87"/>
        <v>9.0025422130699528E-3</v>
      </c>
    </row>
    <row r="2346" spans="1:18" x14ac:dyDescent="0.2">
      <c r="A2346" s="2">
        <v>42622</v>
      </c>
      <c r="B2346" s="1" t="s">
        <v>56</v>
      </c>
      <c r="C2346" s="1" t="s">
        <v>57</v>
      </c>
      <c r="D2346" s="2">
        <v>42743</v>
      </c>
      <c r="E2346" s="2">
        <f t="shared" si="86"/>
        <v>42948</v>
      </c>
      <c r="F2346" s="1" t="s">
        <v>58</v>
      </c>
      <c r="G2346" s="1" t="s">
        <v>16</v>
      </c>
      <c r="H2346" s="1">
        <v>-1.75</v>
      </c>
      <c r="I2346" s="1">
        <v>0.89</v>
      </c>
      <c r="J2346" s="1">
        <v>-0.09</v>
      </c>
      <c r="K2346" s="2">
        <v>42986</v>
      </c>
      <c r="L2346" s="1">
        <v>3716</v>
      </c>
      <c r="M2346" s="1">
        <v>3.75</v>
      </c>
      <c r="N2346" s="1">
        <v>-0.56596000000000002</v>
      </c>
      <c r="O2346" s="3">
        <f>VLOOKUP(D2346,underlying!$D$40:$H$75,5,FALSE)</f>
        <v>-3</v>
      </c>
      <c r="P2346" s="4">
        <f t="shared" si="85"/>
        <v>42956</v>
      </c>
      <c r="Q2346" s="7">
        <f>IF(G2346="C",NormalCallSprd(O2346,H2346,M2346,(P2346-A2346)/365), NormalPutSprd(O2346,H2346,M2346,(P2346-A2346)/365))</f>
        <v>0.89210976489209648</v>
      </c>
      <c r="R2346" s="9">
        <f t="shared" si="87"/>
        <v>2.1097648920964662E-3</v>
      </c>
    </row>
    <row r="2347" spans="1:18" x14ac:dyDescent="0.2">
      <c r="A2347" s="2">
        <v>42622</v>
      </c>
      <c r="B2347" s="1" t="s">
        <v>56</v>
      </c>
      <c r="C2347" s="1" t="s">
        <v>57</v>
      </c>
      <c r="D2347" s="2">
        <v>42743</v>
      </c>
      <c r="E2347" s="2">
        <f t="shared" si="86"/>
        <v>42948</v>
      </c>
      <c r="F2347" s="1" t="s">
        <v>58</v>
      </c>
      <c r="G2347" s="1" t="s">
        <v>18</v>
      </c>
      <c r="H2347" s="1">
        <v>-1.75</v>
      </c>
      <c r="I2347" s="1">
        <v>2.13</v>
      </c>
      <c r="J2347" s="1">
        <v>0.16</v>
      </c>
      <c r="K2347" s="2">
        <v>42986</v>
      </c>
      <c r="L2347" s="1">
        <v>3716</v>
      </c>
      <c r="M2347" s="1">
        <v>3.75</v>
      </c>
      <c r="N2347" s="1">
        <v>-0.54264000000000001</v>
      </c>
      <c r="O2347" s="3">
        <f>VLOOKUP(D2347,underlying!$D$40:$H$75,5,FALSE)</f>
        <v>-3</v>
      </c>
      <c r="P2347" s="4">
        <f t="shared" si="85"/>
        <v>42956</v>
      </c>
      <c r="Q2347" s="7">
        <f>IF(G2347="C",NormalCallSprd(O2347,H2347,M2347,(P2347-A2347)/365), NormalPutSprd(O2347,H2347,M2347,(P2347-A2347)/365))</f>
        <v>2.1421097648920964</v>
      </c>
      <c r="R2347" s="9">
        <f t="shared" si="87"/>
        <v>1.2109764892096475E-2</v>
      </c>
    </row>
    <row r="2348" spans="1:18" x14ac:dyDescent="0.2">
      <c r="A2348" s="2">
        <v>42622</v>
      </c>
      <c r="B2348" s="1" t="s">
        <v>56</v>
      </c>
      <c r="C2348" s="1" t="s">
        <v>57</v>
      </c>
      <c r="D2348" s="2">
        <v>42743</v>
      </c>
      <c r="E2348" s="2">
        <f t="shared" si="86"/>
        <v>42948</v>
      </c>
      <c r="F2348" s="1" t="s">
        <v>58</v>
      </c>
      <c r="G2348" s="1" t="s">
        <v>16</v>
      </c>
      <c r="H2348" s="1">
        <v>-1.5</v>
      </c>
      <c r="I2348" s="1">
        <v>0.79</v>
      </c>
      <c r="J2348" s="1">
        <v>-0.1</v>
      </c>
      <c r="K2348" s="2">
        <v>42986</v>
      </c>
      <c r="L2348" s="1">
        <v>3716</v>
      </c>
      <c r="M2348" s="1">
        <v>3.73</v>
      </c>
      <c r="N2348" s="1">
        <v>-0.51910000000000001</v>
      </c>
      <c r="O2348" s="3">
        <f>VLOOKUP(D2348,underlying!$D$40:$H$75,5,FALSE)</f>
        <v>-3</v>
      </c>
      <c r="P2348" s="4">
        <f t="shared" si="85"/>
        <v>42956</v>
      </c>
      <c r="Q2348" s="7">
        <f>IF(G2348="C",NormalCallSprd(O2348,H2348,M2348,(P2348-A2348)/365), NormalPutSprd(O2348,H2348,M2348,(P2348-A2348)/365))</f>
        <v>0.79742559789067324</v>
      </c>
      <c r="R2348" s="9">
        <f t="shared" si="87"/>
        <v>7.4255978906732079E-3</v>
      </c>
    </row>
    <row r="2349" spans="1:18" x14ac:dyDescent="0.2">
      <c r="A2349" s="2">
        <v>42622</v>
      </c>
      <c r="B2349" s="1" t="s">
        <v>56</v>
      </c>
      <c r="C2349" s="1" t="s">
        <v>57</v>
      </c>
      <c r="D2349" s="2">
        <v>42743</v>
      </c>
      <c r="E2349" s="2">
        <f t="shared" si="86"/>
        <v>42948</v>
      </c>
      <c r="F2349" s="1" t="s">
        <v>58</v>
      </c>
      <c r="G2349" s="1" t="s">
        <v>18</v>
      </c>
      <c r="H2349" s="1">
        <v>-1.5</v>
      </c>
      <c r="I2349" s="1">
        <v>2.29</v>
      </c>
      <c r="J2349" s="1">
        <v>0.16</v>
      </c>
      <c r="K2349" s="2">
        <v>42986</v>
      </c>
      <c r="L2349" s="1">
        <v>3716</v>
      </c>
      <c r="M2349" s="1">
        <v>3.73</v>
      </c>
      <c r="N2349" s="1">
        <v>-0.49560999999999999</v>
      </c>
      <c r="O2349" s="3">
        <f>VLOOKUP(D2349,underlying!$D$40:$H$75,5,FALSE)</f>
        <v>-3</v>
      </c>
      <c r="P2349" s="4">
        <f t="shared" si="85"/>
        <v>42956</v>
      </c>
      <c r="Q2349" s="7">
        <f>IF(G2349="C",NormalCallSprd(O2349,H2349,M2349,(P2349-A2349)/365), NormalPutSprd(O2349,H2349,M2349,(P2349-A2349)/365))</f>
        <v>2.2974255978906735</v>
      </c>
      <c r="R2349" s="9">
        <f t="shared" si="87"/>
        <v>7.4255978906734299E-3</v>
      </c>
    </row>
    <row r="2350" spans="1:18" x14ac:dyDescent="0.2">
      <c r="A2350" s="2">
        <v>42622</v>
      </c>
      <c r="B2350" s="1" t="s">
        <v>56</v>
      </c>
      <c r="C2350" s="1" t="s">
        <v>57</v>
      </c>
      <c r="D2350" s="2">
        <v>42743</v>
      </c>
      <c r="E2350" s="2">
        <f t="shared" si="86"/>
        <v>42948</v>
      </c>
      <c r="F2350" s="1" t="s">
        <v>58</v>
      </c>
      <c r="G2350" s="1" t="s">
        <v>16</v>
      </c>
      <c r="H2350" s="1">
        <v>-1.25</v>
      </c>
      <c r="I2350" s="1">
        <v>0.72</v>
      </c>
      <c r="J2350" s="1">
        <v>-0.08</v>
      </c>
      <c r="K2350" s="2">
        <v>42986</v>
      </c>
      <c r="L2350" s="1">
        <v>3716</v>
      </c>
      <c r="M2350" s="1">
        <v>3.75</v>
      </c>
      <c r="N2350" s="1">
        <v>-0.47210999999999997</v>
      </c>
      <c r="O2350" s="3">
        <f>VLOOKUP(D2350,underlying!$D$40:$H$75,5,FALSE)</f>
        <v>-3</v>
      </c>
      <c r="P2350" s="4">
        <f t="shared" si="85"/>
        <v>42956</v>
      </c>
      <c r="Q2350" s="7">
        <f>IF(G2350="C",NormalCallSprd(O2350,H2350,M2350,(P2350-A2350)/365), NormalPutSprd(O2350,H2350,M2350,(P2350-A2350)/365))</f>
        <v>0.72308876966494806</v>
      </c>
      <c r="R2350" s="9">
        <f t="shared" si="87"/>
        <v>3.0887696649480878E-3</v>
      </c>
    </row>
    <row r="2351" spans="1:18" x14ac:dyDescent="0.2">
      <c r="A2351" s="2">
        <v>42622</v>
      </c>
      <c r="B2351" s="1" t="s">
        <v>56</v>
      </c>
      <c r="C2351" s="1" t="s">
        <v>57</v>
      </c>
      <c r="D2351" s="2">
        <v>42743</v>
      </c>
      <c r="E2351" s="2">
        <f t="shared" si="86"/>
        <v>42948</v>
      </c>
      <c r="F2351" s="1" t="s">
        <v>58</v>
      </c>
      <c r="G2351" s="1" t="s">
        <v>18</v>
      </c>
      <c r="H2351" s="1">
        <v>-1.25</v>
      </c>
      <c r="I2351" s="1">
        <v>2.46</v>
      </c>
      <c r="J2351" s="1">
        <v>0.17</v>
      </c>
      <c r="K2351" s="2">
        <v>42986</v>
      </c>
      <c r="L2351" s="1">
        <v>3716</v>
      </c>
      <c r="M2351" s="1">
        <v>3.75</v>
      </c>
      <c r="N2351" s="1">
        <v>-0.44857000000000002</v>
      </c>
      <c r="O2351" s="3">
        <f>VLOOKUP(D2351,underlying!$D$40:$H$75,5,FALSE)</f>
        <v>-3</v>
      </c>
      <c r="P2351" s="4">
        <f t="shared" si="85"/>
        <v>42956</v>
      </c>
      <c r="Q2351" s="7">
        <f>IF(G2351="C",NormalCallSprd(O2351,H2351,M2351,(P2351-A2351)/365), NormalPutSprd(O2351,H2351,M2351,(P2351-A2351)/365))</f>
        <v>2.473088769664948</v>
      </c>
      <c r="R2351" s="9">
        <f t="shared" si="87"/>
        <v>1.3088769664947986E-2</v>
      </c>
    </row>
    <row r="2352" spans="1:18" x14ac:dyDescent="0.2">
      <c r="A2352" s="2">
        <v>42622</v>
      </c>
      <c r="B2352" s="1" t="s">
        <v>56</v>
      </c>
      <c r="C2352" s="1" t="s">
        <v>57</v>
      </c>
      <c r="D2352" s="2">
        <v>42743</v>
      </c>
      <c r="E2352" s="2">
        <f t="shared" si="86"/>
        <v>42948</v>
      </c>
      <c r="F2352" s="1" t="s">
        <v>58</v>
      </c>
      <c r="G2352" s="1" t="s">
        <v>16</v>
      </c>
      <c r="H2352" s="1">
        <v>-1</v>
      </c>
      <c r="I2352" s="1">
        <v>0.64</v>
      </c>
      <c r="J2352" s="1">
        <v>-0.08</v>
      </c>
      <c r="K2352" s="2">
        <v>42986</v>
      </c>
      <c r="L2352" s="1">
        <v>3716</v>
      </c>
      <c r="M2352" s="1">
        <v>3.73</v>
      </c>
      <c r="N2352" s="1">
        <v>-0.42526000000000003</v>
      </c>
      <c r="O2352" s="3">
        <f>VLOOKUP(D2352,underlying!$D$40:$H$75,5,FALSE)</f>
        <v>-3</v>
      </c>
      <c r="P2352" s="4">
        <f t="shared" si="85"/>
        <v>42956</v>
      </c>
      <c r="Q2352" s="7">
        <f>IF(G2352="C",NormalCallSprd(O2352,H2352,M2352,(P2352-A2352)/365), NormalPutSprd(O2352,H2352,M2352,(P2352-A2352)/365))</f>
        <v>0.64140232860807811</v>
      </c>
      <c r="R2352" s="9">
        <f t="shared" si="87"/>
        <v>1.4023286080780961E-3</v>
      </c>
    </row>
    <row r="2353" spans="1:18" x14ac:dyDescent="0.2">
      <c r="A2353" s="2">
        <v>42622</v>
      </c>
      <c r="B2353" s="1" t="s">
        <v>56</v>
      </c>
      <c r="C2353" s="1" t="s">
        <v>57</v>
      </c>
      <c r="D2353" s="2">
        <v>42743</v>
      </c>
      <c r="E2353" s="2">
        <f t="shared" si="86"/>
        <v>42948</v>
      </c>
      <c r="F2353" s="1" t="s">
        <v>58</v>
      </c>
      <c r="G2353" s="1" t="s">
        <v>18</v>
      </c>
      <c r="H2353" s="1">
        <v>-1</v>
      </c>
      <c r="I2353" s="1">
        <v>2.63</v>
      </c>
      <c r="J2353" s="1">
        <v>0.17</v>
      </c>
      <c r="K2353" s="2">
        <v>42986</v>
      </c>
      <c r="L2353" s="1">
        <v>3716</v>
      </c>
      <c r="M2353" s="1">
        <v>3.73</v>
      </c>
      <c r="N2353" s="1">
        <v>-0.40193000000000001</v>
      </c>
      <c r="O2353" s="3">
        <f>VLOOKUP(D2353,underlying!$D$40:$H$75,5,FALSE)</f>
        <v>-3</v>
      </c>
      <c r="P2353" s="4">
        <f t="shared" si="85"/>
        <v>42956</v>
      </c>
      <c r="Q2353" s="7">
        <f>IF(G2353="C",NormalCallSprd(O2353,H2353,M2353,(P2353-A2353)/365), NormalPutSprd(O2353,H2353,M2353,(P2353-A2353)/365))</f>
        <v>2.6414023286080779</v>
      </c>
      <c r="R2353" s="9">
        <f t="shared" si="87"/>
        <v>1.1402328608077994E-2</v>
      </c>
    </row>
    <row r="2354" spans="1:18" x14ac:dyDescent="0.2">
      <c r="A2354" s="2">
        <v>42622</v>
      </c>
      <c r="B2354" s="1" t="s">
        <v>56</v>
      </c>
      <c r="C2354" s="1" t="s">
        <v>57</v>
      </c>
      <c r="D2354" s="2">
        <v>42743</v>
      </c>
      <c r="E2354" s="2">
        <f t="shared" si="86"/>
        <v>42948</v>
      </c>
      <c r="F2354" s="1" t="s">
        <v>58</v>
      </c>
      <c r="G2354" s="1" t="s">
        <v>16</v>
      </c>
      <c r="H2354" s="1">
        <v>-0.75</v>
      </c>
      <c r="I2354" s="1">
        <v>0.56999999999999995</v>
      </c>
      <c r="J2354" s="1">
        <v>-7.0000000000000007E-2</v>
      </c>
      <c r="K2354" s="2">
        <v>42986</v>
      </c>
      <c r="L2354" s="1">
        <v>3716</v>
      </c>
      <c r="M2354" s="1">
        <v>3.73</v>
      </c>
      <c r="N2354" s="1">
        <v>-0.37977</v>
      </c>
      <c r="O2354" s="3">
        <f>VLOOKUP(D2354,underlying!$D$40:$H$75,5,FALSE)</f>
        <v>-3</v>
      </c>
      <c r="P2354" s="4">
        <f t="shared" si="85"/>
        <v>42956</v>
      </c>
      <c r="Q2354" s="7">
        <f>IF(G2354="C",NormalCallSprd(O2354,H2354,M2354,(P2354-A2354)/365), NormalPutSprd(O2354,H2354,M2354,(P2354-A2354)/365))</f>
        <v>0.5724582499482832</v>
      </c>
      <c r="R2354" s="9">
        <f t="shared" si="87"/>
        <v>2.4582499482832532E-3</v>
      </c>
    </row>
    <row r="2355" spans="1:18" x14ac:dyDescent="0.2">
      <c r="A2355" s="2">
        <v>42622</v>
      </c>
      <c r="B2355" s="1" t="s">
        <v>56</v>
      </c>
      <c r="C2355" s="1" t="s">
        <v>57</v>
      </c>
      <c r="D2355" s="2">
        <v>42743</v>
      </c>
      <c r="E2355" s="2">
        <f t="shared" si="86"/>
        <v>42948</v>
      </c>
      <c r="F2355" s="1" t="s">
        <v>58</v>
      </c>
      <c r="G2355" s="1" t="s">
        <v>18</v>
      </c>
      <c r="H2355" s="1">
        <v>-0.75</v>
      </c>
      <c r="I2355" s="1">
        <v>2.81</v>
      </c>
      <c r="J2355" s="1">
        <v>0.18</v>
      </c>
      <c r="K2355" s="2">
        <v>42986</v>
      </c>
      <c r="L2355" s="1">
        <v>3716</v>
      </c>
      <c r="M2355" s="1">
        <v>3.73</v>
      </c>
      <c r="N2355" s="1">
        <v>-0.35674</v>
      </c>
      <c r="O2355" s="3">
        <f>VLOOKUP(D2355,underlying!$D$40:$H$75,5,FALSE)</f>
        <v>-3</v>
      </c>
      <c r="P2355" s="4">
        <f t="shared" si="85"/>
        <v>42956</v>
      </c>
      <c r="Q2355" s="7">
        <f>IF(G2355="C",NormalCallSprd(O2355,H2355,M2355,(P2355-A2355)/365), NormalPutSprd(O2355,H2355,M2355,(P2355-A2355)/365))</f>
        <v>2.8224582499482831</v>
      </c>
      <c r="R2355" s="9">
        <f t="shared" si="87"/>
        <v>1.245824994828304E-2</v>
      </c>
    </row>
    <row r="2356" spans="1:18" x14ac:dyDescent="0.2">
      <c r="A2356" s="2">
        <v>42622</v>
      </c>
      <c r="B2356" s="1" t="s">
        <v>56</v>
      </c>
      <c r="C2356" s="1" t="s">
        <v>57</v>
      </c>
      <c r="D2356" s="2">
        <v>42743</v>
      </c>
      <c r="E2356" s="2">
        <f t="shared" si="86"/>
        <v>42948</v>
      </c>
      <c r="F2356" s="1" t="s">
        <v>58</v>
      </c>
      <c r="G2356" s="1" t="s">
        <v>16</v>
      </c>
      <c r="H2356" s="1">
        <v>-0.5</v>
      </c>
      <c r="I2356" s="1">
        <v>0.51</v>
      </c>
      <c r="J2356" s="1">
        <v>-0.06</v>
      </c>
      <c r="K2356" s="2">
        <v>42986</v>
      </c>
      <c r="L2356" s="1">
        <v>3716</v>
      </c>
      <c r="M2356" s="1">
        <v>3.73</v>
      </c>
      <c r="N2356" s="1">
        <v>-0.33567999999999998</v>
      </c>
      <c r="O2356" s="3">
        <f>VLOOKUP(D2356,underlying!$D$40:$H$75,5,FALSE)</f>
        <v>-3</v>
      </c>
      <c r="P2356" s="4">
        <f t="shared" si="85"/>
        <v>42956</v>
      </c>
      <c r="Q2356" s="7">
        <f>IF(G2356="C",NormalCallSprd(O2356,H2356,M2356,(P2356-A2356)/365), NormalPutSprd(O2356,H2356,M2356,(P2356-A2356)/365))</f>
        <v>0.50924081644848795</v>
      </c>
      <c r="R2356" s="9">
        <f t="shared" si="87"/>
        <v>7.5918355151205485E-4</v>
      </c>
    </row>
    <row r="2357" spans="1:18" x14ac:dyDescent="0.2">
      <c r="A2357" s="2">
        <v>42622</v>
      </c>
      <c r="B2357" s="1" t="s">
        <v>56</v>
      </c>
      <c r="C2357" s="1" t="s">
        <v>57</v>
      </c>
      <c r="D2357" s="2">
        <v>42743</v>
      </c>
      <c r="E2357" s="2">
        <f t="shared" si="86"/>
        <v>42948</v>
      </c>
      <c r="F2357" s="1" t="s">
        <v>58</v>
      </c>
      <c r="G2357" s="1" t="s">
        <v>18</v>
      </c>
      <c r="H2357" s="1">
        <v>-0.5</v>
      </c>
      <c r="I2357" s="1">
        <v>2.99</v>
      </c>
      <c r="J2357" s="1">
        <v>0.18</v>
      </c>
      <c r="K2357" s="2">
        <v>42986</v>
      </c>
      <c r="L2357" s="1">
        <v>3716</v>
      </c>
      <c r="M2357" s="1">
        <v>3.73</v>
      </c>
      <c r="N2357" s="1">
        <v>-0.31344</v>
      </c>
      <c r="O2357" s="3">
        <f>VLOOKUP(D2357,underlying!$D$40:$H$75,5,FALSE)</f>
        <v>-3</v>
      </c>
      <c r="P2357" s="4">
        <f t="shared" si="85"/>
        <v>42956</v>
      </c>
      <c r="Q2357" s="7">
        <f>IF(G2357="C",NormalCallSprd(O2357,H2357,M2357,(P2357-A2357)/365), NormalPutSprd(O2357,H2357,M2357,(P2357-A2357)/365))</f>
        <v>3.0092408164484881</v>
      </c>
      <c r="R2357" s="9">
        <f t="shared" si="87"/>
        <v>1.9240816448487852E-2</v>
      </c>
    </row>
    <row r="2358" spans="1:18" x14ac:dyDescent="0.2">
      <c r="A2358" s="2">
        <v>42622</v>
      </c>
      <c r="B2358" s="1" t="s">
        <v>56</v>
      </c>
      <c r="C2358" s="1" t="s">
        <v>57</v>
      </c>
      <c r="D2358" s="2">
        <v>42743</v>
      </c>
      <c r="E2358" s="2">
        <f t="shared" si="86"/>
        <v>42948</v>
      </c>
      <c r="F2358" s="1" t="s">
        <v>58</v>
      </c>
      <c r="G2358" s="1" t="s">
        <v>16</v>
      </c>
      <c r="H2358" s="1">
        <v>-0.25</v>
      </c>
      <c r="I2358" s="1">
        <v>0.45</v>
      </c>
      <c r="J2358" s="1">
        <v>-0.06</v>
      </c>
      <c r="K2358" s="2">
        <v>42986</v>
      </c>
      <c r="L2358" s="1">
        <v>3716</v>
      </c>
      <c r="M2358" s="1">
        <v>3.73</v>
      </c>
      <c r="N2358" s="1">
        <v>-0.29371000000000003</v>
      </c>
      <c r="O2358" s="3">
        <f>VLOOKUP(D2358,underlying!$D$40:$H$75,5,FALSE)</f>
        <v>-3</v>
      </c>
      <c r="P2358" s="4">
        <f t="shared" si="85"/>
        <v>42956</v>
      </c>
      <c r="Q2358" s="7">
        <f>IF(G2358="C",NormalCallSprd(O2358,H2358,M2358,(P2358-A2358)/365), NormalPutSprd(O2358,H2358,M2358,(P2358-A2358)/365))</f>
        <v>0.45148929402846011</v>
      </c>
      <c r="R2358" s="9">
        <f t="shared" si="87"/>
        <v>1.4892940284600975E-3</v>
      </c>
    </row>
    <row r="2359" spans="1:18" x14ac:dyDescent="0.2">
      <c r="A2359" s="2">
        <v>42622</v>
      </c>
      <c r="B2359" s="1" t="s">
        <v>56</v>
      </c>
      <c r="C2359" s="1" t="s">
        <v>57</v>
      </c>
      <c r="D2359" s="2">
        <v>42743</v>
      </c>
      <c r="E2359" s="2">
        <f t="shared" si="86"/>
        <v>42948</v>
      </c>
      <c r="F2359" s="1" t="s">
        <v>58</v>
      </c>
      <c r="G2359" s="1" t="s">
        <v>18</v>
      </c>
      <c r="H2359" s="1">
        <v>-0.25</v>
      </c>
      <c r="I2359" s="1">
        <v>3.18</v>
      </c>
      <c r="J2359" s="1">
        <v>0.18</v>
      </c>
      <c r="K2359" s="2">
        <v>42986</v>
      </c>
      <c r="L2359" s="1">
        <v>3716</v>
      </c>
      <c r="M2359" s="1">
        <v>3.73</v>
      </c>
      <c r="N2359" s="1">
        <v>-0.27367000000000002</v>
      </c>
      <c r="O2359" s="3">
        <f>VLOOKUP(D2359,underlying!$D$40:$H$75,5,FALSE)</f>
        <v>-3</v>
      </c>
      <c r="P2359" s="4">
        <f t="shared" si="85"/>
        <v>42956</v>
      </c>
      <c r="Q2359" s="7">
        <f>IF(G2359="C",NormalCallSprd(O2359,H2359,M2359,(P2359-A2359)/365), NormalPutSprd(O2359,H2359,M2359,(P2359-A2359)/365))</f>
        <v>3.2014892940284603</v>
      </c>
      <c r="R2359" s="9">
        <f t="shared" si="87"/>
        <v>2.1489294028460115E-2</v>
      </c>
    </row>
    <row r="2360" spans="1:18" x14ac:dyDescent="0.2">
      <c r="A2360" s="2">
        <v>42622</v>
      </c>
      <c r="B2360" s="1" t="s">
        <v>56</v>
      </c>
      <c r="C2360" s="1" t="s">
        <v>57</v>
      </c>
      <c r="D2360" s="2">
        <v>42744</v>
      </c>
      <c r="E2360" s="2">
        <f t="shared" si="86"/>
        <v>42979</v>
      </c>
      <c r="F2360" s="1" t="s">
        <v>58</v>
      </c>
      <c r="G2360" s="1" t="s">
        <v>16</v>
      </c>
      <c r="H2360" s="1">
        <v>-9</v>
      </c>
      <c r="I2360" s="1">
        <v>6.05</v>
      </c>
      <c r="J2360" s="1">
        <v>0</v>
      </c>
      <c r="K2360" s="2">
        <v>43048</v>
      </c>
      <c r="L2360" s="1">
        <v>3716</v>
      </c>
      <c r="M2360" s="1">
        <v>3.7</v>
      </c>
      <c r="N2360" s="1">
        <v>-0.25431999999999999</v>
      </c>
      <c r="O2360" s="3">
        <f>VLOOKUP(D2360,underlying!$D$40:$H$75,5,FALSE)</f>
        <v>-3</v>
      </c>
      <c r="P2360" s="4">
        <f t="shared" si="85"/>
        <v>42989</v>
      </c>
      <c r="Q2360" s="7">
        <f>IF(G2360="C",NormalCallSprd(O2360,H2360,M2360,(P2360-A2360)/365), NormalPutSprd(O2360,H2360,M2360,(P2360-A2360)/365))</f>
        <v>6.0827945015102731</v>
      </c>
      <c r="R2360" s="9">
        <f t="shared" si="87"/>
        <v>3.27945015102733E-2</v>
      </c>
    </row>
    <row r="2361" spans="1:18" x14ac:dyDescent="0.2">
      <c r="A2361" s="2">
        <v>42622</v>
      </c>
      <c r="B2361" s="1" t="s">
        <v>56</v>
      </c>
      <c r="C2361" s="1" t="s">
        <v>57</v>
      </c>
      <c r="D2361" s="2">
        <v>42744</v>
      </c>
      <c r="E2361" s="2">
        <f t="shared" si="86"/>
        <v>42979</v>
      </c>
      <c r="F2361" s="1" t="s">
        <v>58</v>
      </c>
      <c r="G2361" s="1" t="s">
        <v>18</v>
      </c>
      <c r="H2361" s="1">
        <v>-9</v>
      </c>
      <c r="I2361" s="1">
        <v>0.08</v>
      </c>
      <c r="J2361" s="1">
        <v>0</v>
      </c>
      <c r="K2361" s="2">
        <v>43048</v>
      </c>
      <c r="L2361" s="1">
        <v>3716</v>
      </c>
      <c r="M2361" s="1">
        <v>3.7</v>
      </c>
      <c r="N2361" s="1">
        <v>-0.23571</v>
      </c>
      <c r="O2361" s="3">
        <f>VLOOKUP(D2361,underlying!$D$40:$H$75,5,FALSE)</f>
        <v>-3</v>
      </c>
      <c r="P2361" s="4">
        <f t="shared" ref="P2361:P2424" si="88">DATE(YEAR(K2361),DAY(K2361),MONTH(K2361))</f>
        <v>42989</v>
      </c>
      <c r="Q2361" s="7">
        <f>IF(G2361="C",NormalCallSprd(O2361,H2361,M2361,(P2361-A2361)/365), NormalPutSprd(O2361,H2361,M2361,(P2361-A2361)/365))</f>
        <v>8.2794501510272969E-2</v>
      </c>
      <c r="R2361" s="9">
        <f t="shared" si="87"/>
        <v>2.7945015102729676E-3</v>
      </c>
    </row>
    <row r="2362" spans="1:18" x14ac:dyDescent="0.2">
      <c r="A2362" s="2">
        <v>42622</v>
      </c>
      <c r="B2362" s="1" t="s">
        <v>56</v>
      </c>
      <c r="C2362" s="1" t="s">
        <v>57</v>
      </c>
      <c r="D2362" s="2">
        <v>42744</v>
      </c>
      <c r="E2362" s="2">
        <f t="shared" si="86"/>
        <v>42979</v>
      </c>
      <c r="F2362" s="1" t="s">
        <v>58</v>
      </c>
      <c r="G2362" s="1" t="s">
        <v>16</v>
      </c>
      <c r="H2362" s="1">
        <v>-8</v>
      </c>
      <c r="I2362" s="1">
        <v>5.12</v>
      </c>
      <c r="J2362" s="1">
        <v>0</v>
      </c>
      <c r="K2362" s="2">
        <v>43048</v>
      </c>
      <c r="L2362" s="1">
        <v>3716</v>
      </c>
      <c r="M2362" s="1">
        <v>3.7</v>
      </c>
      <c r="N2362" s="1">
        <v>-0.21787999999999999</v>
      </c>
      <c r="O2362" s="3">
        <f>VLOOKUP(D2362,underlying!$D$40:$H$75,5,FALSE)</f>
        <v>-3</v>
      </c>
      <c r="P2362" s="4">
        <f t="shared" si="88"/>
        <v>42989</v>
      </c>
      <c r="Q2362" s="7">
        <f>IF(G2362="C",NormalCallSprd(O2362,H2362,M2362,(P2362-A2362)/365), NormalPutSprd(O2362,H2362,M2362,(P2362-A2362)/365))</f>
        <v>5.1525035615417272</v>
      </c>
      <c r="R2362" s="9">
        <f t="shared" si="87"/>
        <v>3.2503561541727066E-2</v>
      </c>
    </row>
    <row r="2363" spans="1:18" x14ac:dyDescent="0.2">
      <c r="A2363" s="2">
        <v>42622</v>
      </c>
      <c r="B2363" s="1" t="s">
        <v>56</v>
      </c>
      <c r="C2363" s="1" t="s">
        <v>57</v>
      </c>
      <c r="D2363" s="2">
        <v>42744</v>
      </c>
      <c r="E2363" s="2">
        <f t="shared" si="86"/>
        <v>42979</v>
      </c>
      <c r="F2363" s="1" t="s">
        <v>58</v>
      </c>
      <c r="G2363" s="1" t="s">
        <v>18</v>
      </c>
      <c r="H2363" s="1">
        <v>-8</v>
      </c>
      <c r="I2363" s="1">
        <v>0.15</v>
      </c>
      <c r="J2363" s="1">
        <v>0</v>
      </c>
      <c r="K2363" s="2">
        <v>43048</v>
      </c>
      <c r="L2363" s="1">
        <v>3716</v>
      </c>
      <c r="M2363" s="1">
        <v>3.7</v>
      </c>
      <c r="N2363" s="1">
        <v>-0.20083999999999999</v>
      </c>
      <c r="O2363" s="3">
        <f>VLOOKUP(D2363,underlying!$D$40:$H$75,5,FALSE)</f>
        <v>-3</v>
      </c>
      <c r="P2363" s="4">
        <f t="shared" si="88"/>
        <v>42989</v>
      </c>
      <c r="Q2363" s="7">
        <f>IF(G2363="C",NormalCallSprd(O2363,H2363,M2363,(P2363-A2363)/365), NormalPutSprd(O2363,H2363,M2363,(P2363-A2363)/365))</f>
        <v>0.15250356154172692</v>
      </c>
      <c r="R2363" s="9">
        <f t="shared" si="87"/>
        <v>2.5035615417269286E-3</v>
      </c>
    </row>
    <row r="2364" spans="1:18" x14ac:dyDescent="0.2">
      <c r="A2364" s="2">
        <v>42622</v>
      </c>
      <c r="B2364" s="1" t="s">
        <v>56</v>
      </c>
      <c r="C2364" s="1" t="s">
        <v>57</v>
      </c>
      <c r="D2364" s="2">
        <v>42744</v>
      </c>
      <c r="E2364" s="2">
        <f t="shared" si="86"/>
        <v>42979</v>
      </c>
      <c r="F2364" s="1" t="s">
        <v>58</v>
      </c>
      <c r="G2364" s="1" t="s">
        <v>16</v>
      </c>
      <c r="H2364" s="1">
        <v>-7</v>
      </c>
      <c r="I2364" s="1">
        <v>4.24</v>
      </c>
      <c r="J2364" s="1">
        <v>0</v>
      </c>
      <c r="K2364" s="2">
        <v>43048</v>
      </c>
      <c r="L2364" s="1">
        <v>3716</v>
      </c>
      <c r="M2364" s="1">
        <v>3.7</v>
      </c>
      <c r="N2364" s="1">
        <v>-0.18462999999999999</v>
      </c>
      <c r="O2364" s="3">
        <f>VLOOKUP(D2364,underlying!$D$40:$H$75,5,FALSE)</f>
        <v>-3</v>
      </c>
      <c r="P2364" s="4">
        <f t="shared" si="88"/>
        <v>42989</v>
      </c>
      <c r="Q2364" s="7">
        <f>IF(G2364="C",NormalCallSprd(O2364,H2364,M2364,(P2364-A2364)/365), NormalPutSprd(O2364,H2364,M2364,(P2364-A2364)/365))</f>
        <v>4.2657889803647979</v>
      </c>
      <c r="R2364" s="9">
        <f t="shared" si="87"/>
        <v>2.5788980364797709E-2</v>
      </c>
    </row>
    <row r="2365" spans="1:18" x14ac:dyDescent="0.2">
      <c r="A2365" s="2">
        <v>42622</v>
      </c>
      <c r="B2365" s="1" t="s">
        <v>56</v>
      </c>
      <c r="C2365" s="1" t="s">
        <v>57</v>
      </c>
      <c r="D2365" s="2">
        <v>42744</v>
      </c>
      <c r="E2365" s="2">
        <f t="shared" si="86"/>
        <v>42979</v>
      </c>
      <c r="F2365" s="1" t="s">
        <v>58</v>
      </c>
      <c r="G2365" s="1" t="s">
        <v>18</v>
      </c>
      <c r="H2365" s="1">
        <v>-7</v>
      </c>
      <c r="I2365" s="1">
        <v>0.26</v>
      </c>
      <c r="J2365" s="1">
        <v>-0.01</v>
      </c>
      <c r="K2365" s="2">
        <v>43048</v>
      </c>
      <c r="L2365" s="1">
        <v>3716</v>
      </c>
      <c r="M2365" s="1">
        <v>3.7</v>
      </c>
      <c r="N2365" s="1">
        <v>-0.14104</v>
      </c>
      <c r="O2365" s="3">
        <f>VLOOKUP(D2365,underlying!$D$40:$H$75,5,FALSE)</f>
        <v>-3</v>
      </c>
      <c r="P2365" s="4">
        <f t="shared" si="88"/>
        <v>42989</v>
      </c>
      <c r="Q2365" s="7">
        <f>IF(G2365="C",NormalCallSprd(O2365,H2365,M2365,(P2365-A2365)/365), NormalPutSprd(O2365,H2365,M2365,(P2365-A2365)/365))</f>
        <v>0.26578898036479781</v>
      </c>
      <c r="R2365" s="9">
        <f t="shared" si="87"/>
        <v>5.7889803647978022E-3</v>
      </c>
    </row>
    <row r="2366" spans="1:18" x14ac:dyDescent="0.2">
      <c r="A2366" s="2">
        <v>42622</v>
      </c>
      <c r="B2366" s="1" t="s">
        <v>56</v>
      </c>
      <c r="C2366" s="1" t="s">
        <v>57</v>
      </c>
      <c r="D2366" s="2">
        <v>42744</v>
      </c>
      <c r="E2366" s="2">
        <f t="shared" si="86"/>
        <v>42979</v>
      </c>
      <c r="F2366" s="1" t="s">
        <v>58</v>
      </c>
      <c r="G2366" s="1" t="s">
        <v>16</v>
      </c>
      <c r="H2366" s="1">
        <v>-6.75</v>
      </c>
      <c r="I2366" s="1">
        <v>4.03</v>
      </c>
      <c r="J2366" s="1">
        <v>0</v>
      </c>
      <c r="K2366" s="2">
        <v>43048</v>
      </c>
      <c r="L2366" s="1">
        <v>3716</v>
      </c>
      <c r="M2366" s="1">
        <v>3.7</v>
      </c>
      <c r="N2366" s="1">
        <v>-9.3990000000000004E-2</v>
      </c>
      <c r="O2366" s="3">
        <f>VLOOKUP(D2366,underlying!$D$40:$H$75,5,FALSE)</f>
        <v>-3</v>
      </c>
      <c r="P2366" s="4">
        <f t="shared" si="88"/>
        <v>42989</v>
      </c>
      <c r="Q2366" s="7">
        <f>IF(G2366="C",NormalCallSprd(O2366,H2366,M2366,(P2366-A2366)/365), NormalPutSprd(O2366,H2366,M2366,(P2366-A2366)/365))</f>
        <v>4.0528356502214464</v>
      </c>
      <c r="R2366" s="9">
        <f t="shared" si="87"/>
        <v>2.283565022144618E-2</v>
      </c>
    </row>
    <row r="2367" spans="1:18" x14ac:dyDescent="0.2">
      <c r="A2367" s="2">
        <v>42622</v>
      </c>
      <c r="B2367" s="1" t="s">
        <v>56</v>
      </c>
      <c r="C2367" s="1" t="s">
        <v>57</v>
      </c>
      <c r="D2367" s="2">
        <v>42744</v>
      </c>
      <c r="E2367" s="2">
        <f t="shared" si="86"/>
        <v>42979</v>
      </c>
      <c r="F2367" s="1" t="s">
        <v>58</v>
      </c>
      <c r="G2367" s="1" t="s">
        <v>18</v>
      </c>
      <c r="H2367" s="1">
        <v>-6.75</v>
      </c>
      <c r="I2367" s="1">
        <v>0.3</v>
      </c>
      <c r="J2367" s="1">
        <v>0</v>
      </c>
      <c r="K2367" s="2">
        <v>43048</v>
      </c>
      <c r="L2367" s="1">
        <v>3716</v>
      </c>
      <c r="M2367" s="1">
        <v>3.7</v>
      </c>
      <c r="N2367" s="1">
        <v>-5.951E-2</v>
      </c>
      <c r="O2367" s="3">
        <f>VLOOKUP(D2367,underlying!$D$40:$H$75,5,FALSE)</f>
        <v>-3</v>
      </c>
      <c r="P2367" s="4">
        <f t="shared" si="88"/>
        <v>42989</v>
      </c>
      <c r="Q2367" s="7">
        <f>IF(G2367="C",NormalCallSprd(O2367,H2367,M2367,(P2367-A2367)/365), NormalPutSprd(O2367,H2367,M2367,(P2367-A2367)/365))</f>
        <v>0.30283565022144682</v>
      </c>
      <c r="R2367" s="9">
        <f t="shared" si="87"/>
        <v>2.8356502214468282E-3</v>
      </c>
    </row>
    <row r="2368" spans="1:18" x14ac:dyDescent="0.2">
      <c r="A2368" s="2">
        <v>42622</v>
      </c>
      <c r="B2368" s="1" t="s">
        <v>56</v>
      </c>
      <c r="C2368" s="1" t="s">
        <v>57</v>
      </c>
      <c r="D2368" s="2">
        <v>42744</v>
      </c>
      <c r="E2368" s="2">
        <f t="shared" si="86"/>
        <v>42979</v>
      </c>
      <c r="F2368" s="1" t="s">
        <v>58</v>
      </c>
      <c r="G2368" s="1" t="s">
        <v>16</v>
      </c>
      <c r="H2368" s="1">
        <v>-6.5</v>
      </c>
      <c r="I2368" s="1">
        <v>3.82</v>
      </c>
      <c r="J2368" s="1">
        <v>0</v>
      </c>
      <c r="K2368" s="2">
        <v>43048</v>
      </c>
      <c r="L2368" s="1">
        <v>3716</v>
      </c>
      <c r="M2368" s="1">
        <v>3.7</v>
      </c>
      <c r="N2368" s="1">
        <v>0.36819000000000002</v>
      </c>
      <c r="O2368" s="3">
        <f>VLOOKUP(D2368,underlying!$D$40:$H$75,5,FALSE)</f>
        <v>-3</v>
      </c>
      <c r="P2368" s="4">
        <f t="shared" si="88"/>
        <v>42989</v>
      </c>
      <c r="Q2368" s="7">
        <f>IF(G2368="C",NormalCallSprd(O2368,H2368,M2368,(P2368-A2368)/365), NormalPutSprd(O2368,H2368,M2368,(P2368-A2368)/365))</f>
        <v>3.8439147337790209</v>
      </c>
      <c r="R2368" s="9">
        <f t="shared" si="87"/>
        <v>2.3914733779021091E-2</v>
      </c>
    </row>
    <row r="2369" spans="1:18" x14ac:dyDescent="0.2">
      <c r="A2369" s="2">
        <v>42622</v>
      </c>
      <c r="B2369" s="1" t="s">
        <v>56</v>
      </c>
      <c r="C2369" s="1" t="s">
        <v>57</v>
      </c>
      <c r="D2369" s="2">
        <v>42744</v>
      </c>
      <c r="E2369" s="2">
        <f t="shared" si="86"/>
        <v>42979</v>
      </c>
      <c r="F2369" s="1" t="s">
        <v>58</v>
      </c>
      <c r="G2369" s="1" t="s">
        <v>18</v>
      </c>
      <c r="H2369" s="1">
        <v>-6.5</v>
      </c>
      <c r="I2369" s="1">
        <v>0.34</v>
      </c>
      <c r="J2369" s="1">
        <v>0</v>
      </c>
      <c r="K2369" s="2">
        <v>43048</v>
      </c>
      <c r="L2369" s="1">
        <v>3716</v>
      </c>
      <c r="M2369" s="1">
        <v>3.7</v>
      </c>
      <c r="N2369" s="1">
        <v>0.38506000000000001</v>
      </c>
      <c r="O2369" s="3">
        <f>VLOOKUP(D2369,underlying!$D$40:$H$75,5,FALSE)</f>
        <v>-3</v>
      </c>
      <c r="P2369" s="4">
        <f t="shared" si="88"/>
        <v>42989</v>
      </c>
      <c r="Q2369" s="7">
        <f>IF(G2369="C",NormalCallSprd(O2369,H2369,M2369,(P2369-A2369)/365), NormalPutSprd(O2369,H2369,M2369,(P2369-A2369)/365))</f>
        <v>0.34391473377902093</v>
      </c>
      <c r="R2369" s="9">
        <f t="shared" si="87"/>
        <v>3.9147337790209069E-3</v>
      </c>
    </row>
    <row r="2370" spans="1:18" x14ac:dyDescent="0.2">
      <c r="A2370" s="2">
        <v>42622</v>
      </c>
      <c r="B2370" s="1" t="s">
        <v>56</v>
      </c>
      <c r="C2370" s="1" t="s">
        <v>57</v>
      </c>
      <c r="D2370" s="2">
        <v>42744</v>
      </c>
      <c r="E2370" s="2">
        <f t="shared" ref="E2370:E2433" si="89">DATE(YEAR(D2370),DAY(D2370),MONTH(D2370))</f>
        <v>42979</v>
      </c>
      <c r="F2370" s="1" t="s">
        <v>58</v>
      </c>
      <c r="G2370" s="1" t="s">
        <v>16</v>
      </c>
      <c r="H2370" s="1">
        <v>-6.25</v>
      </c>
      <c r="I2370" s="1">
        <v>3.62</v>
      </c>
      <c r="J2370" s="1">
        <v>0</v>
      </c>
      <c r="K2370" s="2">
        <v>43048</v>
      </c>
      <c r="L2370" s="1">
        <v>3716</v>
      </c>
      <c r="M2370" s="1">
        <v>3.7</v>
      </c>
      <c r="N2370" s="1">
        <v>0.40250000000000002</v>
      </c>
      <c r="O2370" s="3">
        <f>VLOOKUP(D2370,underlying!$D$40:$H$75,5,FALSE)</f>
        <v>-3</v>
      </c>
      <c r="P2370" s="4">
        <f t="shared" si="88"/>
        <v>42989</v>
      </c>
      <c r="Q2370" s="7">
        <f>IF(G2370="C",NormalCallSprd(O2370,H2370,M2370,(P2370-A2370)/365), NormalPutSprd(O2370,H2370,M2370,(P2370-A2370)/365))</f>
        <v>3.6393004337483803</v>
      </c>
      <c r="R2370" s="9">
        <f t="shared" si="87"/>
        <v>1.9300433748380197E-2</v>
      </c>
    </row>
    <row r="2371" spans="1:18" x14ac:dyDescent="0.2">
      <c r="A2371" s="2">
        <v>42622</v>
      </c>
      <c r="B2371" s="1" t="s">
        <v>56</v>
      </c>
      <c r="C2371" s="1" t="s">
        <v>57</v>
      </c>
      <c r="D2371" s="2">
        <v>42744</v>
      </c>
      <c r="E2371" s="2">
        <f t="shared" si="89"/>
        <v>42979</v>
      </c>
      <c r="F2371" s="1" t="s">
        <v>58</v>
      </c>
      <c r="G2371" s="1" t="s">
        <v>18</v>
      </c>
      <c r="H2371" s="1">
        <v>-6.25</v>
      </c>
      <c r="I2371" s="1">
        <v>0.39</v>
      </c>
      <c r="J2371" s="1">
        <v>0</v>
      </c>
      <c r="K2371" s="2">
        <v>43048</v>
      </c>
      <c r="L2371" s="1">
        <v>3716</v>
      </c>
      <c r="M2371" s="1">
        <v>3.7</v>
      </c>
      <c r="N2371" s="1">
        <v>0.41991000000000001</v>
      </c>
      <c r="O2371" s="3">
        <f>VLOOKUP(D2371,underlying!$D$40:$H$75,5,FALSE)</f>
        <v>-3</v>
      </c>
      <c r="P2371" s="4">
        <f t="shared" si="88"/>
        <v>42989</v>
      </c>
      <c r="Q2371" s="7">
        <f>IF(G2371="C",NormalCallSprd(O2371,H2371,M2371,(P2371-A2371)/365), NormalPutSprd(O2371,H2371,M2371,(P2371-A2371)/365))</f>
        <v>0.3893004337483803</v>
      </c>
      <c r="R2371" s="9">
        <f t="shared" ref="R2371:R2434" si="90">ABS(Q2371-I2371)</f>
        <v>6.9956625161970987E-4</v>
      </c>
    </row>
    <row r="2372" spans="1:18" x14ac:dyDescent="0.2">
      <c r="A2372" s="2">
        <v>42622</v>
      </c>
      <c r="B2372" s="1" t="s">
        <v>56</v>
      </c>
      <c r="C2372" s="1" t="s">
        <v>57</v>
      </c>
      <c r="D2372" s="2">
        <v>42744</v>
      </c>
      <c r="E2372" s="2">
        <f t="shared" si="89"/>
        <v>42979</v>
      </c>
      <c r="F2372" s="1" t="s">
        <v>58</v>
      </c>
      <c r="G2372" s="1" t="s">
        <v>16</v>
      </c>
      <c r="H2372" s="1">
        <v>-6</v>
      </c>
      <c r="I2372" s="1">
        <v>3.42</v>
      </c>
      <c r="J2372" s="1">
        <v>0</v>
      </c>
      <c r="K2372" s="2">
        <v>43048</v>
      </c>
      <c r="L2372" s="1">
        <v>3716</v>
      </c>
      <c r="M2372" s="1">
        <v>3.7</v>
      </c>
      <c r="N2372" s="1">
        <v>0.43786999999999998</v>
      </c>
      <c r="O2372" s="3">
        <f>VLOOKUP(D2372,underlying!$D$40:$H$75,5,FALSE)</f>
        <v>-3</v>
      </c>
      <c r="P2372" s="4">
        <f t="shared" si="88"/>
        <v>42989</v>
      </c>
      <c r="Q2372" s="7">
        <f>IF(G2372="C",NormalCallSprd(O2372,H2372,M2372,(P2372-A2372)/365), NormalPutSprd(O2372,H2372,M2372,(P2372-A2372)/365))</f>
        <v>3.4392647777337078</v>
      </c>
      <c r="R2372" s="9">
        <f t="shared" si="90"/>
        <v>1.9264777733707827E-2</v>
      </c>
    </row>
    <row r="2373" spans="1:18" x14ac:dyDescent="0.2">
      <c r="A2373" s="2">
        <v>42622</v>
      </c>
      <c r="B2373" s="1" t="s">
        <v>56</v>
      </c>
      <c r="C2373" s="1" t="s">
        <v>57</v>
      </c>
      <c r="D2373" s="2">
        <v>42744</v>
      </c>
      <c r="E2373" s="2">
        <f t="shared" si="89"/>
        <v>42979</v>
      </c>
      <c r="F2373" s="1" t="s">
        <v>58</v>
      </c>
      <c r="G2373" s="1" t="s">
        <v>18</v>
      </c>
      <c r="H2373" s="1">
        <v>-6</v>
      </c>
      <c r="I2373" s="1">
        <v>0.44</v>
      </c>
      <c r="J2373" s="1">
        <v>0</v>
      </c>
      <c r="K2373" s="2">
        <v>43048</v>
      </c>
      <c r="L2373" s="1">
        <v>3716</v>
      </c>
      <c r="M2373" s="1">
        <v>3.7</v>
      </c>
      <c r="N2373" s="1">
        <v>0.45574999999999999</v>
      </c>
      <c r="O2373" s="3">
        <f>VLOOKUP(D2373,underlying!$D$40:$H$75,5,FALSE)</f>
        <v>-3</v>
      </c>
      <c r="P2373" s="4">
        <f t="shared" si="88"/>
        <v>42989</v>
      </c>
      <c r="Q2373" s="7">
        <f>IF(G2373="C",NormalCallSprd(O2373,H2373,M2373,(P2373-A2373)/365), NormalPutSprd(O2373,H2373,M2373,(P2373-A2373)/365))</f>
        <v>0.43926477773370798</v>
      </c>
      <c r="R2373" s="9">
        <f t="shared" si="90"/>
        <v>7.3522226629202381E-4</v>
      </c>
    </row>
    <row r="2374" spans="1:18" x14ac:dyDescent="0.2">
      <c r="A2374" s="2">
        <v>42622</v>
      </c>
      <c r="B2374" s="1" t="s">
        <v>56</v>
      </c>
      <c r="C2374" s="1" t="s">
        <v>57</v>
      </c>
      <c r="D2374" s="2">
        <v>42744</v>
      </c>
      <c r="E2374" s="2">
        <f t="shared" si="89"/>
        <v>42979</v>
      </c>
      <c r="F2374" s="1" t="s">
        <v>58</v>
      </c>
      <c r="G2374" s="1" t="s">
        <v>16</v>
      </c>
      <c r="H2374" s="1">
        <v>-5.75</v>
      </c>
      <c r="I2374" s="1">
        <v>3.23</v>
      </c>
      <c r="J2374" s="1">
        <v>0</v>
      </c>
      <c r="K2374" s="2">
        <v>43048</v>
      </c>
      <c r="L2374" s="1">
        <v>3716</v>
      </c>
      <c r="M2374" s="1">
        <v>3.7</v>
      </c>
      <c r="N2374" s="1">
        <v>0.47375</v>
      </c>
      <c r="O2374" s="3">
        <f>VLOOKUP(D2374,underlying!$D$40:$H$75,5,FALSE)</f>
        <v>-3</v>
      </c>
      <c r="P2374" s="4">
        <f t="shared" si="88"/>
        <v>42989</v>
      </c>
      <c r="Q2374" s="7">
        <f>IF(G2374="C",NormalCallSprd(O2374,H2374,M2374,(P2374-A2374)/365), NormalPutSprd(O2374,H2374,M2374,(P2374-A2374)/365))</f>
        <v>3.2440749402384759</v>
      </c>
      <c r="R2374" s="9">
        <f t="shared" si="90"/>
        <v>1.4074940238475886E-2</v>
      </c>
    </row>
    <row r="2375" spans="1:18" x14ac:dyDescent="0.2">
      <c r="A2375" s="2">
        <v>42622</v>
      </c>
      <c r="B2375" s="1" t="s">
        <v>56</v>
      </c>
      <c r="C2375" s="1" t="s">
        <v>57</v>
      </c>
      <c r="D2375" s="2">
        <v>42744</v>
      </c>
      <c r="E2375" s="2">
        <f t="shared" si="89"/>
        <v>42979</v>
      </c>
      <c r="F2375" s="1" t="s">
        <v>58</v>
      </c>
      <c r="G2375" s="1" t="s">
        <v>18</v>
      </c>
      <c r="H2375" s="1">
        <v>-5.75</v>
      </c>
      <c r="I2375" s="1">
        <v>0.49</v>
      </c>
      <c r="J2375" s="1">
        <v>0</v>
      </c>
      <c r="K2375" s="2">
        <v>43048</v>
      </c>
      <c r="L2375" s="1">
        <v>3716</v>
      </c>
      <c r="M2375" s="1">
        <v>3.7</v>
      </c>
      <c r="N2375" s="1">
        <v>0.49169000000000002</v>
      </c>
      <c r="O2375" s="3">
        <f>VLOOKUP(D2375,underlying!$D$40:$H$75,5,FALSE)</f>
        <v>-3</v>
      </c>
      <c r="P2375" s="4">
        <f t="shared" si="88"/>
        <v>42989</v>
      </c>
      <c r="Q2375" s="7">
        <f>IF(G2375="C",NormalCallSprd(O2375,H2375,M2375,(P2375-A2375)/365), NormalPutSprd(O2375,H2375,M2375,(P2375-A2375)/365))</f>
        <v>0.49407494023847581</v>
      </c>
      <c r="R2375" s="9">
        <f t="shared" si="90"/>
        <v>4.0749402384758215E-3</v>
      </c>
    </row>
    <row r="2376" spans="1:18" x14ac:dyDescent="0.2">
      <c r="A2376" s="2">
        <v>42622</v>
      </c>
      <c r="B2376" s="1" t="s">
        <v>56</v>
      </c>
      <c r="C2376" s="1" t="s">
        <v>57</v>
      </c>
      <c r="D2376" s="2">
        <v>42744</v>
      </c>
      <c r="E2376" s="2">
        <f t="shared" si="89"/>
        <v>42979</v>
      </c>
      <c r="F2376" s="1" t="s">
        <v>58</v>
      </c>
      <c r="G2376" s="1" t="s">
        <v>16</v>
      </c>
      <c r="H2376" s="1">
        <v>-5.5</v>
      </c>
      <c r="I2376" s="1">
        <v>3.04</v>
      </c>
      <c r="J2376" s="1">
        <v>0</v>
      </c>
      <c r="K2376" s="2">
        <v>43048</v>
      </c>
      <c r="L2376" s="1">
        <v>3716</v>
      </c>
      <c r="M2376" s="1">
        <v>3.7</v>
      </c>
      <c r="N2376" s="1">
        <v>0.50963000000000003</v>
      </c>
      <c r="O2376" s="3">
        <f>VLOOKUP(D2376,underlying!$D$40:$H$75,5,FALSE)</f>
        <v>-3</v>
      </c>
      <c r="P2376" s="4">
        <f t="shared" si="88"/>
        <v>42989</v>
      </c>
      <c r="Q2376" s="7">
        <f>IF(G2376="C",NormalCallSprd(O2376,H2376,M2376,(P2376-A2376)/365), NormalPutSprd(O2376,H2376,M2376,(P2376-A2376)/365))</f>
        <v>3.0539904700187424</v>
      </c>
      <c r="R2376" s="9">
        <f t="shared" si="90"/>
        <v>1.3990470018742318E-2</v>
      </c>
    </row>
    <row r="2377" spans="1:18" x14ac:dyDescent="0.2">
      <c r="A2377" s="2">
        <v>42622</v>
      </c>
      <c r="B2377" s="1" t="s">
        <v>56</v>
      </c>
      <c r="C2377" s="1" t="s">
        <v>57</v>
      </c>
      <c r="D2377" s="2">
        <v>42744</v>
      </c>
      <c r="E2377" s="2">
        <f t="shared" si="89"/>
        <v>42979</v>
      </c>
      <c r="F2377" s="1" t="s">
        <v>58</v>
      </c>
      <c r="G2377" s="1" t="s">
        <v>18</v>
      </c>
      <c r="H2377" s="1">
        <v>-5.5</v>
      </c>
      <c r="I2377" s="1">
        <v>0.55000000000000004</v>
      </c>
      <c r="J2377" s="1">
        <v>0</v>
      </c>
      <c r="K2377" s="2">
        <v>43048</v>
      </c>
      <c r="L2377" s="1">
        <v>3716</v>
      </c>
      <c r="M2377" s="1">
        <v>3.7</v>
      </c>
      <c r="N2377" s="1">
        <v>0.52764</v>
      </c>
      <c r="O2377" s="3">
        <f>VLOOKUP(D2377,underlying!$D$40:$H$75,5,FALSE)</f>
        <v>-3</v>
      </c>
      <c r="P2377" s="4">
        <f t="shared" si="88"/>
        <v>42989</v>
      </c>
      <c r="Q2377" s="7">
        <f>IF(G2377="C",NormalCallSprd(O2377,H2377,M2377,(P2377-A2377)/365), NormalPutSprd(O2377,H2377,M2377,(P2377-A2377)/365))</f>
        <v>0.55399047001874224</v>
      </c>
      <c r="R2377" s="9">
        <f t="shared" si="90"/>
        <v>3.9904700187421982E-3</v>
      </c>
    </row>
    <row r="2378" spans="1:18" x14ac:dyDescent="0.2">
      <c r="A2378" s="2">
        <v>42622</v>
      </c>
      <c r="B2378" s="1" t="s">
        <v>56</v>
      </c>
      <c r="C2378" s="1" t="s">
        <v>57</v>
      </c>
      <c r="D2378" s="2">
        <v>42744</v>
      </c>
      <c r="E2378" s="2">
        <f t="shared" si="89"/>
        <v>42979</v>
      </c>
      <c r="F2378" s="1" t="s">
        <v>58</v>
      </c>
      <c r="G2378" s="1" t="s">
        <v>16</v>
      </c>
      <c r="H2378" s="1">
        <v>-5.25</v>
      </c>
      <c r="I2378" s="1">
        <v>2.85</v>
      </c>
      <c r="J2378" s="1">
        <v>0</v>
      </c>
      <c r="K2378" s="2">
        <v>43048</v>
      </c>
      <c r="L2378" s="1">
        <v>3716</v>
      </c>
      <c r="M2378" s="1">
        <v>3.7</v>
      </c>
      <c r="N2378" s="1">
        <v>0.54551000000000005</v>
      </c>
      <c r="O2378" s="3">
        <f>VLOOKUP(D2378,underlying!$D$40:$H$75,5,FALSE)</f>
        <v>-3</v>
      </c>
      <c r="P2378" s="4">
        <f t="shared" si="88"/>
        <v>42989</v>
      </c>
      <c r="Q2378" s="7">
        <f>IF(G2378="C",NormalCallSprd(O2378,H2378,M2378,(P2378-A2378)/365), NormalPutSprd(O2378,H2378,M2378,(P2378-A2378)/365))</f>
        <v>2.8692604688641272</v>
      </c>
      <c r="R2378" s="9">
        <f t="shared" si="90"/>
        <v>1.9260468864127134E-2</v>
      </c>
    </row>
    <row r="2379" spans="1:18" x14ac:dyDescent="0.2">
      <c r="A2379" s="2">
        <v>42622</v>
      </c>
      <c r="B2379" s="1" t="s">
        <v>56</v>
      </c>
      <c r="C2379" s="1" t="s">
        <v>57</v>
      </c>
      <c r="D2379" s="2">
        <v>42744</v>
      </c>
      <c r="E2379" s="2">
        <f t="shared" si="89"/>
        <v>42979</v>
      </c>
      <c r="F2379" s="1" t="s">
        <v>58</v>
      </c>
      <c r="G2379" s="1" t="s">
        <v>18</v>
      </c>
      <c r="H2379" s="1">
        <v>-5.25</v>
      </c>
      <c r="I2379" s="1">
        <v>0.62</v>
      </c>
      <c r="J2379" s="1">
        <v>0</v>
      </c>
      <c r="K2379" s="2">
        <v>43048</v>
      </c>
      <c r="L2379" s="1">
        <v>3716</v>
      </c>
      <c r="M2379" s="1">
        <v>3.7</v>
      </c>
      <c r="N2379" s="1">
        <v>0.56347999999999998</v>
      </c>
      <c r="O2379" s="3">
        <f>VLOOKUP(D2379,underlying!$D$40:$H$75,5,FALSE)</f>
        <v>-3</v>
      </c>
      <c r="P2379" s="4">
        <f t="shared" si="88"/>
        <v>42989</v>
      </c>
      <c r="Q2379" s="7">
        <f>IF(G2379="C",NormalCallSprd(O2379,H2379,M2379,(P2379-A2379)/365), NormalPutSprd(O2379,H2379,M2379,(P2379-A2379)/365))</f>
        <v>0.61926046886412756</v>
      </c>
      <c r="R2379" s="9">
        <f t="shared" si="90"/>
        <v>7.395311358724399E-4</v>
      </c>
    </row>
    <row r="2380" spans="1:18" x14ac:dyDescent="0.2">
      <c r="A2380" s="2">
        <v>42622</v>
      </c>
      <c r="B2380" s="1" t="s">
        <v>56</v>
      </c>
      <c r="C2380" s="1" t="s">
        <v>57</v>
      </c>
      <c r="D2380" s="2">
        <v>42744</v>
      </c>
      <c r="E2380" s="2">
        <f t="shared" si="89"/>
        <v>42979</v>
      </c>
      <c r="F2380" s="1" t="s">
        <v>58</v>
      </c>
      <c r="G2380" s="1" t="s">
        <v>16</v>
      </c>
      <c r="H2380" s="1">
        <v>-5</v>
      </c>
      <c r="I2380" s="1">
        <v>2.67</v>
      </c>
      <c r="J2380" s="1">
        <v>0</v>
      </c>
      <c r="K2380" s="2">
        <v>43048</v>
      </c>
      <c r="L2380" s="1">
        <v>3716</v>
      </c>
      <c r="M2380" s="1">
        <v>3.68</v>
      </c>
      <c r="N2380" s="1">
        <v>0.58064000000000004</v>
      </c>
      <c r="O2380" s="3">
        <f>VLOOKUP(D2380,underlying!$D$40:$H$75,5,FALSE)</f>
        <v>-3</v>
      </c>
      <c r="P2380" s="4">
        <f t="shared" si="88"/>
        <v>42989</v>
      </c>
      <c r="Q2380" s="7">
        <f>IF(G2380="C",NormalCallSprd(O2380,H2380,M2380,(P2380-A2380)/365), NormalPutSprd(O2380,H2380,M2380,(P2380-A2380)/365))</f>
        <v>2.6832075168569944</v>
      </c>
      <c r="R2380" s="9">
        <f t="shared" si="90"/>
        <v>1.3207516856994506E-2</v>
      </c>
    </row>
    <row r="2381" spans="1:18" x14ac:dyDescent="0.2">
      <c r="A2381" s="2">
        <v>42622</v>
      </c>
      <c r="B2381" s="1" t="s">
        <v>56</v>
      </c>
      <c r="C2381" s="1" t="s">
        <v>57</v>
      </c>
      <c r="D2381" s="2">
        <v>42744</v>
      </c>
      <c r="E2381" s="2">
        <f t="shared" si="89"/>
        <v>42979</v>
      </c>
      <c r="F2381" s="1" t="s">
        <v>58</v>
      </c>
      <c r="G2381" s="1" t="s">
        <v>18</v>
      </c>
      <c r="H2381" s="1">
        <v>-5</v>
      </c>
      <c r="I2381" s="1">
        <v>0.68</v>
      </c>
      <c r="J2381" s="1">
        <v>0</v>
      </c>
      <c r="K2381" s="2">
        <v>43048</v>
      </c>
      <c r="L2381" s="1">
        <v>3716</v>
      </c>
      <c r="M2381" s="1">
        <v>3.68</v>
      </c>
      <c r="N2381" s="1">
        <v>0.59862000000000004</v>
      </c>
      <c r="O2381" s="3">
        <f>VLOOKUP(D2381,underlying!$D$40:$H$75,5,FALSE)</f>
        <v>-3</v>
      </c>
      <c r="P2381" s="4">
        <f t="shared" si="88"/>
        <v>42989</v>
      </c>
      <c r="Q2381" s="7">
        <f>IF(G2381="C",NormalCallSprd(O2381,H2381,M2381,(P2381-A2381)/365), NormalPutSprd(O2381,H2381,M2381,(P2381-A2381)/365))</f>
        <v>0.68320751685699443</v>
      </c>
      <c r="R2381" s="9">
        <f t="shared" si="90"/>
        <v>3.2075168569943857E-3</v>
      </c>
    </row>
    <row r="2382" spans="1:18" x14ac:dyDescent="0.2">
      <c r="A2382" s="2">
        <v>42622</v>
      </c>
      <c r="B2382" s="1" t="s">
        <v>56</v>
      </c>
      <c r="C2382" s="1" t="s">
        <v>57</v>
      </c>
      <c r="D2382" s="2">
        <v>42744</v>
      </c>
      <c r="E2382" s="2">
        <f t="shared" si="89"/>
        <v>42979</v>
      </c>
      <c r="F2382" s="1" t="s">
        <v>58</v>
      </c>
      <c r="G2382" s="1" t="s">
        <v>16</v>
      </c>
      <c r="H2382" s="1">
        <v>-4.75</v>
      </c>
      <c r="I2382" s="1">
        <v>2.5</v>
      </c>
      <c r="J2382" s="1">
        <v>0</v>
      </c>
      <c r="K2382" s="2">
        <v>43048</v>
      </c>
      <c r="L2382" s="1">
        <v>3716</v>
      </c>
      <c r="M2382" s="1">
        <v>3.7</v>
      </c>
      <c r="N2382" s="1">
        <v>0.61519000000000001</v>
      </c>
      <c r="O2382" s="3">
        <f>VLOOKUP(D2382,underlying!$D$40:$H$75,5,FALSE)</f>
        <v>-3</v>
      </c>
      <c r="P2382" s="4">
        <f t="shared" si="88"/>
        <v>42989</v>
      </c>
      <c r="Q2382" s="7">
        <f>IF(G2382="C",NormalCallSprd(O2382,H2382,M2382,(P2382-A2382)/365), NormalPutSprd(O2382,H2382,M2382,(P2382-A2382)/365))</f>
        <v>2.5167911795219275</v>
      </c>
      <c r="R2382" s="9">
        <f t="shared" si="90"/>
        <v>1.6791179521927546E-2</v>
      </c>
    </row>
    <row r="2383" spans="1:18" x14ac:dyDescent="0.2">
      <c r="A2383" s="2">
        <v>42622</v>
      </c>
      <c r="B2383" s="1" t="s">
        <v>56</v>
      </c>
      <c r="C2383" s="1" t="s">
        <v>57</v>
      </c>
      <c r="D2383" s="2">
        <v>42744</v>
      </c>
      <c r="E2383" s="2">
        <f t="shared" si="89"/>
        <v>42979</v>
      </c>
      <c r="F2383" s="1" t="s">
        <v>58</v>
      </c>
      <c r="G2383" s="1" t="s">
        <v>18</v>
      </c>
      <c r="H2383" s="1">
        <v>-4.75</v>
      </c>
      <c r="I2383" s="1">
        <v>0.76</v>
      </c>
      <c r="J2383" s="1">
        <v>0</v>
      </c>
      <c r="K2383" s="2">
        <v>43048</v>
      </c>
      <c r="L2383" s="1">
        <v>3716</v>
      </c>
      <c r="M2383" s="1">
        <v>3.7</v>
      </c>
      <c r="N2383" s="1">
        <v>0.63288</v>
      </c>
      <c r="O2383" s="3">
        <f>VLOOKUP(D2383,underlying!$D$40:$H$75,5,FALSE)</f>
        <v>-3</v>
      </c>
      <c r="P2383" s="4">
        <f t="shared" si="88"/>
        <v>42989</v>
      </c>
      <c r="Q2383" s="7">
        <f>IF(G2383="C",NormalCallSprd(O2383,H2383,M2383,(P2383-A2383)/365), NormalPutSprd(O2383,H2383,M2383,(P2383-A2383)/365))</f>
        <v>0.76679117952192766</v>
      </c>
      <c r="R2383" s="9">
        <f t="shared" si="90"/>
        <v>6.7911795219276483E-3</v>
      </c>
    </row>
    <row r="2384" spans="1:18" x14ac:dyDescent="0.2">
      <c r="A2384" s="2">
        <v>42622</v>
      </c>
      <c r="B2384" s="1" t="s">
        <v>56</v>
      </c>
      <c r="C2384" s="1" t="s">
        <v>57</v>
      </c>
      <c r="D2384" s="2">
        <v>42744</v>
      </c>
      <c r="E2384" s="2">
        <f t="shared" si="89"/>
        <v>42979</v>
      </c>
      <c r="F2384" s="1" t="s">
        <v>58</v>
      </c>
      <c r="G2384" s="1" t="s">
        <v>16</v>
      </c>
      <c r="H2384" s="1">
        <v>-4.5</v>
      </c>
      <c r="I2384" s="1">
        <v>2.33</v>
      </c>
      <c r="J2384" s="1">
        <v>0</v>
      </c>
      <c r="K2384" s="2">
        <v>43048</v>
      </c>
      <c r="L2384" s="1">
        <v>3716</v>
      </c>
      <c r="M2384" s="1">
        <v>3.68</v>
      </c>
      <c r="N2384" s="1">
        <v>0.64875000000000005</v>
      </c>
      <c r="O2384" s="3">
        <f>VLOOKUP(D2384,underlying!$D$40:$H$75,5,FALSE)</f>
        <v>-3</v>
      </c>
      <c r="P2384" s="4">
        <f t="shared" si="88"/>
        <v>42989</v>
      </c>
      <c r="Q2384" s="7">
        <f>IF(G2384="C",NormalCallSprd(O2384,H2384,M2384,(P2384-A2384)/365), NormalPutSprd(O2384,H2384,M2384,(P2384-A2384)/365))</f>
        <v>2.3421032786049896</v>
      </c>
      <c r="R2384" s="9">
        <f t="shared" si="90"/>
        <v>1.2103278604989498E-2</v>
      </c>
    </row>
    <row r="2385" spans="1:18" x14ac:dyDescent="0.2">
      <c r="A2385" s="2">
        <v>42622</v>
      </c>
      <c r="B2385" s="1" t="s">
        <v>56</v>
      </c>
      <c r="C2385" s="1" t="s">
        <v>57</v>
      </c>
      <c r="D2385" s="2">
        <v>42744</v>
      </c>
      <c r="E2385" s="2">
        <f t="shared" si="89"/>
        <v>42979</v>
      </c>
      <c r="F2385" s="1" t="s">
        <v>58</v>
      </c>
      <c r="G2385" s="1" t="s">
        <v>18</v>
      </c>
      <c r="H2385" s="1">
        <v>-4.5</v>
      </c>
      <c r="I2385" s="1">
        <v>0.84</v>
      </c>
      <c r="J2385" s="1">
        <v>0</v>
      </c>
      <c r="K2385" s="2">
        <v>43048</v>
      </c>
      <c r="L2385" s="1">
        <v>3716</v>
      </c>
      <c r="M2385" s="1">
        <v>3.68</v>
      </c>
      <c r="N2385" s="1">
        <v>0.66508</v>
      </c>
      <c r="O2385" s="3">
        <f>VLOOKUP(D2385,underlying!$D$40:$H$75,5,FALSE)</f>
        <v>-3</v>
      </c>
      <c r="P2385" s="4">
        <f t="shared" si="88"/>
        <v>42989</v>
      </c>
      <c r="Q2385" s="7">
        <f>IF(G2385="C",NormalCallSprd(O2385,H2385,M2385,(P2385-A2385)/365), NormalPutSprd(O2385,H2385,M2385,(P2385-A2385)/365))</f>
        <v>0.84210327860498968</v>
      </c>
      <c r="R2385" s="9">
        <f t="shared" si="90"/>
        <v>2.1032786049897112E-3</v>
      </c>
    </row>
    <row r="2386" spans="1:18" x14ac:dyDescent="0.2">
      <c r="A2386" s="2">
        <v>42622</v>
      </c>
      <c r="B2386" s="1" t="s">
        <v>56</v>
      </c>
      <c r="C2386" s="1" t="s">
        <v>57</v>
      </c>
      <c r="D2386" s="2">
        <v>42744</v>
      </c>
      <c r="E2386" s="2">
        <f t="shared" si="89"/>
        <v>42979</v>
      </c>
      <c r="F2386" s="1" t="s">
        <v>58</v>
      </c>
      <c r="G2386" s="1" t="s">
        <v>16</v>
      </c>
      <c r="H2386" s="1">
        <v>-4.25</v>
      </c>
      <c r="I2386" s="1">
        <v>2.1800000000000002</v>
      </c>
      <c r="J2386" s="1">
        <v>0</v>
      </c>
      <c r="K2386" s="2">
        <v>43048</v>
      </c>
      <c r="L2386" s="1">
        <v>3716</v>
      </c>
      <c r="M2386" s="1">
        <v>3.7</v>
      </c>
      <c r="N2386" s="1">
        <v>0.68106999999999995</v>
      </c>
      <c r="O2386" s="3">
        <f>VLOOKUP(D2386,underlying!$D$40:$H$75,5,FALSE)</f>
        <v>-3</v>
      </c>
      <c r="P2386" s="4">
        <f t="shared" si="88"/>
        <v>42989</v>
      </c>
      <c r="Q2386" s="7">
        <f>IF(G2386="C",NormalCallSprd(O2386,H2386,M2386,(P2386-A2386)/365), NormalPutSprd(O2386,H2386,M2386,(P2386-A2386)/365))</f>
        <v>2.188345552063184</v>
      </c>
      <c r="R2386" s="9">
        <f t="shared" si="90"/>
        <v>8.3455520631838809E-3</v>
      </c>
    </row>
    <row r="2387" spans="1:18" x14ac:dyDescent="0.2">
      <c r="A2387" s="2">
        <v>42622</v>
      </c>
      <c r="B2387" s="1" t="s">
        <v>56</v>
      </c>
      <c r="C2387" s="1" t="s">
        <v>57</v>
      </c>
      <c r="D2387" s="2">
        <v>42744</v>
      </c>
      <c r="E2387" s="2">
        <f t="shared" si="89"/>
        <v>42979</v>
      </c>
      <c r="F2387" s="1" t="s">
        <v>58</v>
      </c>
      <c r="G2387" s="1" t="s">
        <v>18</v>
      </c>
      <c r="H2387" s="1">
        <v>-4.25</v>
      </c>
      <c r="I2387" s="1">
        <v>0.93</v>
      </c>
      <c r="J2387" s="1">
        <v>0</v>
      </c>
      <c r="K2387" s="2">
        <v>43048</v>
      </c>
      <c r="L2387" s="1">
        <v>3716</v>
      </c>
      <c r="M2387" s="1">
        <v>3.7</v>
      </c>
      <c r="N2387" s="1">
        <v>0.69669000000000003</v>
      </c>
      <c r="O2387" s="3">
        <f>VLOOKUP(D2387,underlying!$D$40:$H$75,5,FALSE)</f>
        <v>-3</v>
      </c>
      <c r="P2387" s="4">
        <f t="shared" si="88"/>
        <v>42989</v>
      </c>
      <c r="Q2387" s="7">
        <f>IF(G2387="C",NormalCallSprd(O2387,H2387,M2387,(P2387-A2387)/365), NormalPutSprd(O2387,H2387,M2387,(P2387-A2387)/365))</f>
        <v>0.93834555206318382</v>
      </c>
      <c r="R2387" s="9">
        <f t="shared" si="90"/>
        <v>8.3455520631837699E-3</v>
      </c>
    </row>
    <row r="2388" spans="1:18" x14ac:dyDescent="0.2">
      <c r="A2388" s="2">
        <v>42622</v>
      </c>
      <c r="B2388" s="1" t="s">
        <v>56</v>
      </c>
      <c r="C2388" s="1" t="s">
        <v>57</v>
      </c>
      <c r="D2388" s="2">
        <v>42744</v>
      </c>
      <c r="E2388" s="2">
        <f t="shared" si="89"/>
        <v>42979</v>
      </c>
      <c r="F2388" s="1" t="s">
        <v>58</v>
      </c>
      <c r="G2388" s="1" t="s">
        <v>16</v>
      </c>
      <c r="H2388" s="1">
        <v>-4</v>
      </c>
      <c r="I2388" s="1">
        <v>2.0099999999999998</v>
      </c>
      <c r="J2388" s="1">
        <v>-0.01</v>
      </c>
      <c r="K2388" s="2">
        <v>43048</v>
      </c>
      <c r="L2388" s="1">
        <v>3716</v>
      </c>
      <c r="M2388" s="1">
        <v>3.68</v>
      </c>
      <c r="N2388" s="1">
        <v>0.71192999999999995</v>
      </c>
      <c r="O2388" s="3">
        <f>VLOOKUP(D2388,underlying!$D$40:$H$75,5,FALSE)</f>
        <v>-3</v>
      </c>
      <c r="P2388" s="4">
        <f t="shared" si="88"/>
        <v>42989</v>
      </c>
      <c r="Q2388" s="7">
        <f>IF(G2388="C",NormalCallSprd(O2388,H2388,M2388,(P2388-A2388)/365), NormalPutSprd(O2388,H2388,M2388,(P2388-A2388)/365))</f>
        <v>2.0258521177144115</v>
      </c>
      <c r="R2388" s="9">
        <f t="shared" si="90"/>
        <v>1.5852117714411751E-2</v>
      </c>
    </row>
    <row r="2389" spans="1:18" x14ac:dyDescent="0.2">
      <c r="A2389" s="2">
        <v>42622</v>
      </c>
      <c r="B2389" s="1" t="s">
        <v>56</v>
      </c>
      <c r="C2389" s="1" t="s">
        <v>57</v>
      </c>
      <c r="D2389" s="2">
        <v>42744</v>
      </c>
      <c r="E2389" s="2">
        <f t="shared" si="89"/>
        <v>42979</v>
      </c>
      <c r="F2389" s="1" t="s">
        <v>58</v>
      </c>
      <c r="G2389" s="1" t="s">
        <v>18</v>
      </c>
      <c r="H2389" s="1">
        <v>-4</v>
      </c>
      <c r="I2389" s="1">
        <v>1.02</v>
      </c>
      <c r="J2389" s="1">
        <v>0</v>
      </c>
      <c r="K2389" s="2">
        <v>43048</v>
      </c>
      <c r="L2389" s="1">
        <v>3716</v>
      </c>
      <c r="M2389" s="1">
        <v>3.68</v>
      </c>
      <c r="N2389" s="1">
        <v>0.75573999999999997</v>
      </c>
      <c r="O2389" s="3">
        <f>VLOOKUP(D2389,underlying!$D$40:$H$75,5,FALSE)</f>
        <v>-3</v>
      </c>
      <c r="P2389" s="4">
        <f t="shared" si="88"/>
        <v>42989</v>
      </c>
      <c r="Q2389" s="7">
        <f>IF(G2389="C",NormalCallSprd(O2389,H2389,M2389,(P2389-A2389)/365), NormalPutSprd(O2389,H2389,M2389,(P2389-A2389)/365))</f>
        <v>1.0258521177144118</v>
      </c>
      <c r="R2389" s="9">
        <f t="shared" si="90"/>
        <v>5.852117714411742E-3</v>
      </c>
    </row>
    <row r="2390" spans="1:18" x14ac:dyDescent="0.2">
      <c r="A2390" s="2">
        <v>42622</v>
      </c>
      <c r="B2390" s="1" t="s">
        <v>56</v>
      </c>
      <c r="C2390" s="1" t="s">
        <v>57</v>
      </c>
      <c r="D2390" s="2">
        <v>42744</v>
      </c>
      <c r="E2390" s="2">
        <f t="shared" si="89"/>
        <v>42979</v>
      </c>
      <c r="F2390" s="1" t="s">
        <v>58</v>
      </c>
      <c r="G2390" s="1" t="s">
        <v>16</v>
      </c>
      <c r="H2390" s="1">
        <v>-3.75</v>
      </c>
      <c r="I2390" s="1">
        <v>1.87</v>
      </c>
      <c r="J2390" s="1">
        <v>0</v>
      </c>
      <c r="K2390" s="2">
        <v>43048</v>
      </c>
      <c r="L2390" s="1">
        <v>3716</v>
      </c>
      <c r="M2390" s="1">
        <v>3.69</v>
      </c>
      <c r="N2390" s="1">
        <v>0.80759000000000003</v>
      </c>
      <c r="O2390" s="3">
        <f>VLOOKUP(D2390,underlying!$D$40:$H$75,5,FALSE)</f>
        <v>-3</v>
      </c>
      <c r="P2390" s="4">
        <f t="shared" si="88"/>
        <v>42989</v>
      </c>
      <c r="Q2390" s="7">
        <f>IF(G2390="C",NormalCallSprd(O2390,H2390,M2390,(P2390-A2390)/365), NormalPutSprd(O2390,H2390,M2390,(P2390-A2390)/365))</f>
        <v>1.8813454661644065</v>
      </c>
      <c r="R2390" s="9">
        <f t="shared" si="90"/>
        <v>1.1345466164406348E-2</v>
      </c>
    </row>
    <row r="2391" spans="1:18" x14ac:dyDescent="0.2">
      <c r="A2391" s="2">
        <v>42622</v>
      </c>
      <c r="B2391" s="1" t="s">
        <v>56</v>
      </c>
      <c r="C2391" s="1" t="s">
        <v>57</v>
      </c>
      <c r="D2391" s="2">
        <v>42744</v>
      </c>
      <c r="E2391" s="2">
        <f t="shared" si="89"/>
        <v>42979</v>
      </c>
      <c r="F2391" s="1" t="s">
        <v>58</v>
      </c>
      <c r="G2391" s="1" t="s">
        <v>18</v>
      </c>
      <c r="H2391" s="1">
        <v>-3.75</v>
      </c>
      <c r="I2391" s="1">
        <v>1.1200000000000001</v>
      </c>
      <c r="J2391" s="1">
        <v>-0.01</v>
      </c>
      <c r="K2391" s="2">
        <v>43048</v>
      </c>
      <c r="L2391" s="1">
        <v>3716</v>
      </c>
      <c r="M2391" s="1">
        <v>3.69</v>
      </c>
      <c r="N2391" s="1">
        <v>0.85085</v>
      </c>
      <c r="O2391" s="3">
        <f>VLOOKUP(D2391,underlying!$D$40:$H$75,5,FALSE)</f>
        <v>-3</v>
      </c>
      <c r="P2391" s="4">
        <f t="shared" si="88"/>
        <v>42989</v>
      </c>
      <c r="Q2391" s="7">
        <f>IF(G2391="C",NormalCallSprd(O2391,H2391,M2391,(P2391-A2391)/365), NormalPutSprd(O2391,H2391,M2391,(P2391-A2391)/365))</f>
        <v>1.1313454661644065</v>
      </c>
      <c r="R2391" s="9">
        <f t="shared" si="90"/>
        <v>1.1345466164406348E-2</v>
      </c>
    </row>
    <row r="2392" spans="1:18" x14ac:dyDescent="0.2">
      <c r="A2392" s="2">
        <v>42622</v>
      </c>
      <c r="B2392" s="1" t="s">
        <v>56</v>
      </c>
      <c r="C2392" s="1" t="s">
        <v>57</v>
      </c>
      <c r="D2392" s="2">
        <v>42744</v>
      </c>
      <c r="E2392" s="2">
        <f t="shared" si="89"/>
        <v>42979</v>
      </c>
      <c r="F2392" s="1" t="s">
        <v>58</v>
      </c>
      <c r="G2392" s="1" t="s">
        <v>16</v>
      </c>
      <c r="H2392" s="1">
        <v>-3.5</v>
      </c>
      <c r="I2392" s="1">
        <v>1.73</v>
      </c>
      <c r="J2392" s="1">
        <v>0</v>
      </c>
      <c r="K2392" s="2">
        <v>43048</v>
      </c>
      <c r="L2392" s="1">
        <v>3716</v>
      </c>
      <c r="M2392" s="1">
        <v>3.69</v>
      </c>
      <c r="N2392" s="1">
        <v>-0.61519000000000001</v>
      </c>
      <c r="O2392" s="3">
        <f>VLOOKUP(D2392,underlying!$D$40:$H$75,5,FALSE)</f>
        <v>-3</v>
      </c>
      <c r="P2392" s="4">
        <f t="shared" si="88"/>
        <v>42989</v>
      </c>
      <c r="Q2392" s="7">
        <f>IF(G2392="C",NormalCallSprd(O2392,H2392,M2392,(P2392-A2392)/365), NormalPutSprd(O2392,H2392,M2392,(P2392-A2392)/365))</f>
        <v>1.7395816068900305</v>
      </c>
      <c r="R2392" s="9">
        <f t="shared" si="90"/>
        <v>9.581606890030514E-3</v>
      </c>
    </row>
    <row r="2393" spans="1:18" x14ac:dyDescent="0.2">
      <c r="A2393" s="2">
        <v>42622</v>
      </c>
      <c r="B2393" s="1" t="s">
        <v>56</v>
      </c>
      <c r="C2393" s="1" t="s">
        <v>57</v>
      </c>
      <c r="D2393" s="2">
        <v>42744</v>
      </c>
      <c r="E2393" s="2">
        <f t="shared" si="89"/>
        <v>42979</v>
      </c>
      <c r="F2393" s="1" t="s">
        <v>58</v>
      </c>
      <c r="G2393" s="1" t="s">
        <v>18</v>
      </c>
      <c r="H2393" s="1">
        <v>-3.5</v>
      </c>
      <c r="I2393" s="1">
        <v>1.23</v>
      </c>
      <c r="J2393" s="1">
        <v>0</v>
      </c>
      <c r="K2393" s="2">
        <v>43048</v>
      </c>
      <c r="L2393" s="1">
        <v>3716</v>
      </c>
      <c r="M2393" s="1">
        <v>3.69</v>
      </c>
      <c r="N2393" s="1">
        <v>-0.59831999999999996</v>
      </c>
      <c r="O2393" s="3">
        <f>VLOOKUP(D2393,underlying!$D$40:$H$75,5,FALSE)</f>
        <v>-3</v>
      </c>
      <c r="P2393" s="4">
        <f t="shared" si="88"/>
        <v>42989</v>
      </c>
      <c r="Q2393" s="7">
        <f>IF(G2393="C",NormalCallSprd(O2393,H2393,M2393,(P2393-A2393)/365), NormalPutSprd(O2393,H2393,M2393,(P2393-A2393)/365))</f>
        <v>1.2395816068900305</v>
      </c>
      <c r="R2393" s="9">
        <f t="shared" si="90"/>
        <v>9.581606890030514E-3</v>
      </c>
    </row>
    <row r="2394" spans="1:18" x14ac:dyDescent="0.2">
      <c r="A2394" s="2">
        <v>42622</v>
      </c>
      <c r="B2394" s="1" t="s">
        <v>56</v>
      </c>
      <c r="C2394" s="1" t="s">
        <v>57</v>
      </c>
      <c r="D2394" s="2">
        <v>42744</v>
      </c>
      <c r="E2394" s="2">
        <f t="shared" si="89"/>
        <v>42979</v>
      </c>
      <c r="F2394" s="1" t="s">
        <v>58</v>
      </c>
      <c r="G2394" s="1" t="s">
        <v>16</v>
      </c>
      <c r="H2394" s="1">
        <v>-3.25</v>
      </c>
      <c r="I2394" s="1">
        <v>1.6</v>
      </c>
      <c r="J2394" s="1">
        <v>0</v>
      </c>
      <c r="K2394" s="2">
        <v>43048</v>
      </c>
      <c r="L2394" s="1">
        <v>3716</v>
      </c>
      <c r="M2394" s="1">
        <v>3.7</v>
      </c>
      <c r="N2394" s="1">
        <v>-0.58089000000000002</v>
      </c>
      <c r="O2394" s="3">
        <f>VLOOKUP(D2394,underlying!$D$40:$H$75,5,FALSE)</f>
        <v>-3</v>
      </c>
      <c r="P2394" s="4">
        <f t="shared" si="88"/>
        <v>42989</v>
      </c>
      <c r="Q2394" s="7">
        <f>IF(G2394="C",NormalCallSprd(O2394,H2394,M2394,(P2394-A2394)/365), NormalPutSprd(O2394,H2394,M2394,(P2394-A2394)/365))</f>
        <v>1.6084839657047216</v>
      </c>
      <c r="R2394" s="9">
        <f t="shared" si="90"/>
        <v>8.4839657047215411E-3</v>
      </c>
    </row>
    <row r="2395" spans="1:18" x14ac:dyDescent="0.2">
      <c r="A2395" s="2">
        <v>42622</v>
      </c>
      <c r="B2395" s="1" t="s">
        <v>56</v>
      </c>
      <c r="C2395" s="1" t="s">
        <v>57</v>
      </c>
      <c r="D2395" s="2">
        <v>42744</v>
      </c>
      <c r="E2395" s="2">
        <f t="shared" si="89"/>
        <v>42979</v>
      </c>
      <c r="F2395" s="1" t="s">
        <v>58</v>
      </c>
      <c r="G2395" s="1" t="s">
        <v>18</v>
      </c>
      <c r="H2395" s="1">
        <v>-3.25</v>
      </c>
      <c r="I2395" s="1">
        <v>1.35</v>
      </c>
      <c r="J2395" s="1">
        <v>0</v>
      </c>
      <c r="K2395" s="2">
        <v>43048</v>
      </c>
      <c r="L2395" s="1">
        <v>3716</v>
      </c>
      <c r="M2395" s="1">
        <v>3.7</v>
      </c>
      <c r="N2395" s="1">
        <v>-0.56347999999999998</v>
      </c>
      <c r="O2395" s="3">
        <f>VLOOKUP(D2395,underlying!$D$40:$H$75,5,FALSE)</f>
        <v>-3</v>
      </c>
      <c r="P2395" s="4">
        <f t="shared" si="88"/>
        <v>42989</v>
      </c>
      <c r="Q2395" s="7">
        <f>IF(G2395="C",NormalCallSprd(O2395,H2395,M2395,(P2395-A2395)/365), NormalPutSprd(O2395,H2395,M2395,(P2395-A2395)/365))</f>
        <v>1.3584839657047216</v>
      </c>
      <c r="R2395" s="9">
        <f t="shared" si="90"/>
        <v>8.4839657047215411E-3</v>
      </c>
    </row>
    <row r="2396" spans="1:18" x14ac:dyDescent="0.2">
      <c r="A2396" s="2">
        <v>42622</v>
      </c>
      <c r="B2396" s="1" t="s">
        <v>56</v>
      </c>
      <c r="C2396" s="1" t="s">
        <v>57</v>
      </c>
      <c r="D2396" s="2">
        <v>42744</v>
      </c>
      <c r="E2396" s="2">
        <f t="shared" si="89"/>
        <v>42979</v>
      </c>
      <c r="F2396" s="1" t="s">
        <v>58</v>
      </c>
      <c r="G2396" s="1" t="s">
        <v>16</v>
      </c>
      <c r="H2396" s="1">
        <v>-3</v>
      </c>
      <c r="I2396" s="1">
        <v>1.47</v>
      </c>
      <c r="J2396" s="1">
        <v>0</v>
      </c>
      <c r="K2396" s="2">
        <v>43048</v>
      </c>
      <c r="L2396" s="1">
        <v>3716</v>
      </c>
      <c r="M2396" s="1">
        <v>3.69</v>
      </c>
      <c r="N2396" s="1">
        <v>-0.54551000000000005</v>
      </c>
      <c r="O2396" s="3">
        <f>VLOOKUP(D2396,underlying!$D$40:$H$75,5,FALSE)</f>
        <v>-3</v>
      </c>
      <c r="P2396" s="4">
        <f t="shared" si="88"/>
        <v>42989</v>
      </c>
      <c r="Q2396" s="7">
        <f>IF(G2396="C",NormalCallSprd(O2396,H2396,M2396,(P2396-A2396)/365), NormalPutSprd(O2396,H2396,M2396,(P2396-A2396)/365))</f>
        <v>1.476124647419458</v>
      </c>
      <c r="R2396" s="9">
        <f t="shared" si="90"/>
        <v>6.1246474194580625E-3</v>
      </c>
    </row>
    <row r="2397" spans="1:18" x14ac:dyDescent="0.2">
      <c r="A2397" s="2">
        <v>42622</v>
      </c>
      <c r="B2397" s="1" t="s">
        <v>56</v>
      </c>
      <c r="C2397" s="1" t="s">
        <v>57</v>
      </c>
      <c r="D2397" s="2">
        <v>42744</v>
      </c>
      <c r="E2397" s="2">
        <f t="shared" si="89"/>
        <v>42979</v>
      </c>
      <c r="F2397" s="1" t="s">
        <v>58</v>
      </c>
      <c r="G2397" s="1" t="s">
        <v>18</v>
      </c>
      <c r="H2397" s="1">
        <v>-3</v>
      </c>
      <c r="I2397" s="1">
        <v>1.47</v>
      </c>
      <c r="J2397" s="1">
        <v>0</v>
      </c>
      <c r="K2397" s="2">
        <v>43048</v>
      </c>
      <c r="L2397" s="1">
        <v>3716</v>
      </c>
      <c r="M2397" s="1">
        <v>3.69</v>
      </c>
      <c r="N2397" s="1">
        <v>-0.52764</v>
      </c>
      <c r="O2397" s="3">
        <f>VLOOKUP(D2397,underlying!$D$40:$H$75,5,FALSE)</f>
        <v>-3</v>
      </c>
      <c r="P2397" s="4">
        <f t="shared" si="88"/>
        <v>42989</v>
      </c>
      <c r="Q2397" s="7">
        <f>IF(G2397="C",NormalCallSprd(O2397,H2397,M2397,(P2397-A2397)/365), NormalPutSprd(O2397,H2397,M2397,(P2397-A2397)/365))</f>
        <v>1.476124647419458</v>
      </c>
      <c r="R2397" s="9">
        <f t="shared" si="90"/>
        <v>6.1246474194580625E-3</v>
      </c>
    </row>
    <row r="2398" spans="1:18" x14ac:dyDescent="0.2">
      <c r="A2398" s="2">
        <v>42622</v>
      </c>
      <c r="B2398" s="1" t="s">
        <v>56</v>
      </c>
      <c r="C2398" s="1" t="s">
        <v>57</v>
      </c>
      <c r="D2398" s="2">
        <v>42744</v>
      </c>
      <c r="E2398" s="2">
        <f t="shared" si="89"/>
        <v>42979</v>
      </c>
      <c r="F2398" s="1" t="s">
        <v>58</v>
      </c>
      <c r="G2398" s="1" t="s">
        <v>16</v>
      </c>
      <c r="H2398" s="1">
        <v>-2.75</v>
      </c>
      <c r="I2398" s="1">
        <v>1.35</v>
      </c>
      <c r="J2398" s="1">
        <v>0</v>
      </c>
      <c r="K2398" s="2">
        <v>43048</v>
      </c>
      <c r="L2398" s="1">
        <v>3716</v>
      </c>
      <c r="M2398" s="1">
        <v>3.7</v>
      </c>
      <c r="N2398" s="1">
        <v>-0.50963000000000003</v>
      </c>
      <c r="O2398" s="3">
        <f>VLOOKUP(D2398,underlying!$D$40:$H$75,5,FALSE)</f>
        <v>-3</v>
      </c>
      <c r="P2398" s="4">
        <f t="shared" si="88"/>
        <v>42989</v>
      </c>
      <c r="Q2398" s="7">
        <f>IF(G2398="C",NormalCallSprd(O2398,H2398,M2398,(P2398-A2398)/365), NormalPutSprd(O2398,H2398,M2398,(P2398-A2398)/365))</f>
        <v>1.3584839657047216</v>
      </c>
      <c r="R2398" s="9">
        <f t="shared" si="90"/>
        <v>8.4839657047215411E-3</v>
      </c>
    </row>
    <row r="2399" spans="1:18" x14ac:dyDescent="0.2">
      <c r="A2399" s="2">
        <v>42622</v>
      </c>
      <c r="B2399" s="1" t="s">
        <v>56</v>
      </c>
      <c r="C2399" s="1" t="s">
        <v>57</v>
      </c>
      <c r="D2399" s="2">
        <v>42744</v>
      </c>
      <c r="E2399" s="2">
        <f t="shared" si="89"/>
        <v>42979</v>
      </c>
      <c r="F2399" s="1" t="s">
        <v>58</v>
      </c>
      <c r="G2399" s="1" t="s">
        <v>18</v>
      </c>
      <c r="H2399" s="1">
        <v>-2.75</v>
      </c>
      <c r="I2399" s="1">
        <v>1.6</v>
      </c>
      <c r="J2399" s="1">
        <v>0</v>
      </c>
      <c r="K2399" s="2">
        <v>43048</v>
      </c>
      <c r="L2399" s="1">
        <v>3716</v>
      </c>
      <c r="M2399" s="1">
        <v>3.7</v>
      </c>
      <c r="N2399" s="1">
        <v>-0.49169000000000002</v>
      </c>
      <c r="O2399" s="3">
        <f>VLOOKUP(D2399,underlying!$D$40:$H$75,5,FALSE)</f>
        <v>-3</v>
      </c>
      <c r="P2399" s="4">
        <f t="shared" si="88"/>
        <v>42989</v>
      </c>
      <c r="Q2399" s="7">
        <f>IF(G2399="C",NormalCallSprd(O2399,H2399,M2399,(P2399-A2399)/365), NormalPutSprd(O2399,H2399,M2399,(P2399-A2399)/365))</f>
        <v>1.6084839657047216</v>
      </c>
      <c r="R2399" s="9">
        <f t="shared" si="90"/>
        <v>8.4839657047215411E-3</v>
      </c>
    </row>
    <row r="2400" spans="1:18" x14ac:dyDescent="0.2">
      <c r="A2400" s="2">
        <v>42622</v>
      </c>
      <c r="B2400" s="1" t="s">
        <v>56</v>
      </c>
      <c r="C2400" s="1" t="s">
        <v>57</v>
      </c>
      <c r="D2400" s="2">
        <v>42744</v>
      </c>
      <c r="E2400" s="2">
        <f t="shared" si="89"/>
        <v>42979</v>
      </c>
      <c r="F2400" s="1" t="s">
        <v>58</v>
      </c>
      <c r="G2400" s="1" t="s">
        <v>16</v>
      </c>
      <c r="H2400" s="1">
        <v>-2.5</v>
      </c>
      <c r="I2400" s="1">
        <v>1.23</v>
      </c>
      <c r="J2400" s="1">
        <v>0</v>
      </c>
      <c r="K2400" s="2">
        <v>43048</v>
      </c>
      <c r="L2400" s="1">
        <v>3716</v>
      </c>
      <c r="M2400" s="1">
        <v>3.69</v>
      </c>
      <c r="N2400" s="1">
        <v>-0.47375</v>
      </c>
      <c r="O2400" s="3">
        <f>VLOOKUP(D2400,underlying!$D$40:$H$75,5,FALSE)</f>
        <v>-3</v>
      </c>
      <c r="P2400" s="4">
        <f t="shared" si="88"/>
        <v>42989</v>
      </c>
      <c r="Q2400" s="7">
        <f>IF(G2400="C",NormalCallSprd(O2400,H2400,M2400,(P2400-A2400)/365), NormalPutSprd(O2400,H2400,M2400,(P2400-A2400)/365))</f>
        <v>1.2395816068900305</v>
      </c>
      <c r="R2400" s="9">
        <f t="shared" si="90"/>
        <v>9.581606890030514E-3</v>
      </c>
    </row>
    <row r="2401" spans="1:18" x14ac:dyDescent="0.2">
      <c r="A2401" s="2">
        <v>42622</v>
      </c>
      <c r="B2401" s="1" t="s">
        <v>56</v>
      </c>
      <c r="C2401" s="1" t="s">
        <v>57</v>
      </c>
      <c r="D2401" s="2">
        <v>42744</v>
      </c>
      <c r="E2401" s="2">
        <f t="shared" si="89"/>
        <v>42979</v>
      </c>
      <c r="F2401" s="1" t="s">
        <v>58</v>
      </c>
      <c r="G2401" s="1" t="s">
        <v>18</v>
      </c>
      <c r="H2401" s="1">
        <v>-2.5</v>
      </c>
      <c r="I2401" s="1">
        <v>1.73</v>
      </c>
      <c r="J2401" s="1">
        <v>0</v>
      </c>
      <c r="K2401" s="2">
        <v>43048</v>
      </c>
      <c r="L2401" s="1">
        <v>3716</v>
      </c>
      <c r="M2401" s="1">
        <v>3.69</v>
      </c>
      <c r="N2401" s="1">
        <v>-0.45574999999999999</v>
      </c>
      <c r="O2401" s="3">
        <f>VLOOKUP(D2401,underlying!$D$40:$H$75,5,FALSE)</f>
        <v>-3</v>
      </c>
      <c r="P2401" s="4">
        <f t="shared" si="88"/>
        <v>42989</v>
      </c>
      <c r="Q2401" s="7">
        <f>IF(G2401="C",NormalCallSprd(O2401,H2401,M2401,(P2401-A2401)/365), NormalPutSprd(O2401,H2401,M2401,(P2401-A2401)/365))</f>
        <v>1.7395816068900305</v>
      </c>
      <c r="R2401" s="9">
        <f t="shared" si="90"/>
        <v>9.581606890030514E-3</v>
      </c>
    </row>
    <row r="2402" spans="1:18" x14ac:dyDescent="0.2">
      <c r="A2402" s="2">
        <v>42622</v>
      </c>
      <c r="B2402" s="1" t="s">
        <v>56</v>
      </c>
      <c r="C2402" s="1" t="s">
        <v>57</v>
      </c>
      <c r="D2402" s="2">
        <v>42744</v>
      </c>
      <c r="E2402" s="2">
        <f t="shared" si="89"/>
        <v>42979</v>
      </c>
      <c r="F2402" s="1" t="s">
        <v>58</v>
      </c>
      <c r="G2402" s="1" t="s">
        <v>16</v>
      </c>
      <c r="H2402" s="1">
        <v>-2.25</v>
      </c>
      <c r="I2402" s="1">
        <v>1.1200000000000001</v>
      </c>
      <c r="J2402" s="1">
        <v>-0.01</v>
      </c>
      <c r="K2402" s="2">
        <v>43048</v>
      </c>
      <c r="L2402" s="1">
        <v>3716</v>
      </c>
      <c r="M2402" s="1">
        <v>3.69</v>
      </c>
      <c r="N2402" s="1">
        <v>-0.43786999999999998</v>
      </c>
      <c r="O2402" s="3">
        <f>VLOOKUP(D2402,underlying!$D$40:$H$75,5,FALSE)</f>
        <v>-3</v>
      </c>
      <c r="P2402" s="4">
        <f t="shared" si="88"/>
        <v>42989</v>
      </c>
      <c r="Q2402" s="7">
        <f>IF(G2402="C",NormalCallSprd(O2402,H2402,M2402,(P2402-A2402)/365), NormalPutSprd(O2402,H2402,M2402,(P2402-A2402)/365))</f>
        <v>1.1313454661644065</v>
      </c>
      <c r="R2402" s="9">
        <f t="shared" si="90"/>
        <v>1.1345466164406348E-2</v>
      </c>
    </row>
    <row r="2403" spans="1:18" x14ac:dyDescent="0.2">
      <c r="A2403" s="2">
        <v>42622</v>
      </c>
      <c r="B2403" s="1" t="s">
        <v>56</v>
      </c>
      <c r="C2403" s="1" t="s">
        <v>57</v>
      </c>
      <c r="D2403" s="2">
        <v>42744</v>
      </c>
      <c r="E2403" s="2">
        <f t="shared" si="89"/>
        <v>42979</v>
      </c>
      <c r="F2403" s="1" t="s">
        <v>58</v>
      </c>
      <c r="G2403" s="1" t="s">
        <v>18</v>
      </c>
      <c r="H2403" s="1">
        <v>-2.25</v>
      </c>
      <c r="I2403" s="1">
        <v>1.87</v>
      </c>
      <c r="J2403" s="1">
        <v>0</v>
      </c>
      <c r="K2403" s="2">
        <v>43048</v>
      </c>
      <c r="L2403" s="1">
        <v>3716</v>
      </c>
      <c r="M2403" s="1">
        <v>3.69</v>
      </c>
      <c r="N2403" s="1">
        <v>-0.41991000000000001</v>
      </c>
      <c r="O2403" s="3">
        <f>VLOOKUP(D2403,underlying!$D$40:$H$75,5,FALSE)</f>
        <v>-3</v>
      </c>
      <c r="P2403" s="4">
        <f t="shared" si="88"/>
        <v>42989</v>
      </c>
      <c r="Q2403" s="7">
        <f>IF(G2403="C",NormalCallSprd(O2403,H2403,M2403,(P2403-A2403)/365), NormalPutSprd(O2403,H2403,M2403,(P2403-A2403)/365))</f>
        <v>1.8813454661644065</v>
      </c>
      <c r="R2403" s="9">
        <f t="shared" si="90"/>
        <v>1.1345466164406348E-2</v>
      </c>
    </row>
    <row r="2404" spans="1:18" x14ac:dyDescent="0.2">
      <c r="A2404" s="2">
        <v>42622</v>
      </c>
      <c r="B2404" s="1" t="s">
        <v>56</v>
      </c>
      <c r="C2404" s="1" t="s">
        <v>57</v>
      </c>
      <c r="D2404" s="2">
        <v>42744</v>
      </c>
      <c r="E2404" s="2">
        <f t="shared" si="89"/>
        <v>42979</v>
      </c>
      <c r="F2404" s="1" t="s">
        <v>58</v>
      </c>
      <c r="G2404" s="1" t="s">
        <v>16</v>
      </c>
      <c r="H2404" s="1">
        <v>-2</v>
      </c>
      <c r="I2404" s="1">
        <v>1.02</v>
      </c>
      <c r="J2404" s="1">
        <v>0</v>
      </c>
      <c r="K2404" s="2">
        <v>43048</v>
      </c>
      <c r="L2404" s="1">
        <v>3716</v>
      </c>
      <c r="M2404" s="1">
        <v>3.68</v>
      </c>
      <c r="N2404" s="1">
        <v>-0.40275</v>
      </c>
      <c r="O2404" s="3">
        <f>VLOOKUP(D2404,underlying!$D$40:$H$75,5,FALSE)</f>
        <v>-3</v>
      </c>
      <c r="P2404" s="4">
        <f t="shared" si="88"/>
        <v>42989</v>
      </c>
      <c r="Q2404" s="7">
        <f>IF(G2404="C",NormalCallSprd(O2404,H2404,M2404,(P2404-A2404)/365), NormalPutSprd(O2404,H2404,M2404,(P2404-A2404)/365))</f>
        <v>1.0258521177144118</v>
      </c>
      <c r="R2404" s="9">
        <f t="shared" si="90"/>
        <v>5.852117714411742E-3</v>
      </c>
    </row>
    <row r="2405" spans="1:18" x14ac:dyDescent="0.2">
      <c r="A2405" s="2">
        <v>42622</v>
      </c>
      <c r="B2405" s="1" t="s">
        <v>56</v>
      </c>
      <c r="C2405" s="1" t="s">
        <v>57</v>
      </c>
      <c r="D2405" s="2">
        <v>42744</v>
      </c>
      <c r="E2405" s="2">
        <f t="shared" si="89"/>
        <v>42979</v>
      </c>
      <c r="F2405" s="1" t="s">
        <v>58</v>
      </c>
      <c r="G2405" s="1" t="s">
        <v>18</v>
      </c>
      <c r="H2405" s="1">
        <v>-2</v>
      </c>
      <c r="I2405" s="1">
        <v>2.0099999999999998</v>
      </c>
      <c r="J2405" s="1">
        <v>-0.01</v>
      </c>
      <c r="K2405" s="2">
        <v>43048</v>
      </c>
      <c r="L2405" s="1">
        <v>3716</v>
      </c>
      <c r="M2405" s="1">
        <v>3.68</v>
      </c>
      <c r="N2405" s="1">
        <v>-0.38477</v>
      </c>
      <c r="O2405" s="3">
        <f>VLOOKUP(D2405,underlying!$D$40:$H$75,5,FALSE)</f>
        <v>-3</v>
      </c>
      <c r="P2405" s="4">
        <f t="shared" si="88"/>
        <v>42989</v>
      </c>
      <c r="Q2405" s="7">
        <f>IF(G2405="C",NormalCallSprd(O2405,H2405,M2405,(P2405-A2405)/365), NormalPutSprd(O2405,H2405,M2405,(P2405-A2405)/365))</f>
        <v>2.0258521177144115</v>
      </c>
      <c r="R2405" s="9">
        <f t="shared" si="90"/>
        <v>1.5852117714411751E-2</v>
      </c>
    </row>
    <row r="2406" spans="1:18" x14ac:dyDescent="0.2">
      <c r="A2406" s="2">
        <v>42622</v>
      </c>
      <c r="B2406" s="1" t="s">
        <v>56</v>
      </c>
      <c r="C2406" s="1" t="s">
        <v>57</v>
      </c>
      <c r="D2406" s="2">
        <v>42744</v>
      </c>
      <c r="E2406" s="2">
        <f t="shared" si="89"/>
        <v>42979</v>
      </c>
      <c r="F2406" s="1" t="s">
        <v>58</v>
      </c>
      <c r="G2406" s="1" t="s">
        <v>16</v>
      </c>
      <c r="H2406" s="1">
        <v>-1.75</v>
      </c>
      <c r="I2406" s="1">
        <v>0.93</v>
      </c>
      <c r="J2406" s="1">
        <v>0</v>
      </c>
      <c r="K2406" s="2">
        <v>43048</v>
      </c>
      <c r="L2406" s="1">
        <v>3716</v>
      </c>
      <c r="M2406" s="1">
        <v>3.7</v>
      </c>
      <c r="N2406" s="1">
        <v>-0.36819000000000002</v>
      </c>
      <c r="O2406" s="3">
        <f>VLOOKUP(D2406,underlying!$D$40:$H$75,5,FALSE)</f>
        <v>-3</v>
      </c>
      <c r="P2406" s="4">
        <f t="shared" si="88"/>
        <v>42989</v>
      </c>
      <c r="Q2406" s="7">
        <f>IF(G2406="C",NormalCallSprd(O2406,H2406,M2406,(P2406-A2406)/365), NormalPutSprd(O2406,H2406,M2406,(P2406-A2406)/365))</f>
        <v>0.93834555206318382</v>
      </c>
      <c r="R2406" s="9">
        <f t="shared" si="90"/>
        <v>8.3455520631837699E-3</v>
      </c>
    </row>
    <row r="2407" spans="1:18" x14ac:dyDescent="0.2">
      <c r="A2407" s="2">
        <v>42622</v>
      </c>
      <c r="B2407" s="1" t="s">
        <v>56</v>
      </c>
      <c r="C2407" s="1" t="s">
        <v>57</v>
      </c>
      <c r="D2407" s="2">
        <v>42744</v>
      </c>
      <c r="E2407" s="2">
        <f t="shared" si="89"/>
        <v>42979</v>
      </c>
      <c r="F2407" s="1" t="s">
        <v>58</v>
      </c>
      <c r="G2407" s="1" t="s">
        <v>18</v>
      </c>
      <c r="H2407" s="1">
        <v>-1.75</v>
      </c>
      <c r="I2407" s="1">
        <v>2.1800000000000002</v>
      </c>
      <c r="J2407" s="1">
        <v>0</v>
      </c>
      <c r="K2407" s="2">
        <v>43048</v>
      </c>
      <c r="L2407" s="1">
        <v>3716</v>
      </c>
      <c r="M2407" s="1">
        <v>3.7</v>
      </c>
      <c r="N2407" s="1">
        <v>-0.35050999999999999</v>
      </c>
      <c r="O2407" s="3">
        <f>VLOOKUP(D2407,underlying!$D$40:$H$75,5,FALSE)</f>
        <v>-3</v>
      </c>
      <c r="P2407" s="4">
        <f t="shared" si="88"/>
        <v>42989</v>
      </c>
      <c r="Q2407" s="7">
        <f>IF(G2407="C",NormalCallSprd(O2407,H2407,M2407,(P2407-A2407)/365), NormalPutSprd(O2407,H2407,M2407,(P2407-A2407)/365))</f>
        <v>2.188345552063184</v>
      </c>
      <c r="R2407" s="9">
        <f t="shared" si="90"/>
        <v>8.3455520631838809E-3</v>
      </c>
    </row>
    <row r="2408" spans="1:18" x14ac:dyDescent="0.2">
      <c r="A2408" s="2">
        <v>42622</v>
      </c>
      <c r="B2408" s="1" t="s">
        <v>56</v>
      </c>
      <c r="C2408" s="1" t="s">
        <v>57</v>
      </c>
      <c r="D2408" s="2">
        <v>42744</v>
      </c>
      <c r="E2408" s="2">
        <f t="shared" si="89"/>
        <v>42979</v>
      </c>
      <c r="F2408" s="1" t="s">
        <v>58</v>
      </c>
      <c r="G2408" s="1" t="s">
        <v>16</v>
      </c>
      <c r="H2408" s="1">
        <v>-1.5</v>
      </c>
      <c r="I2408" s="1">
        <v>0.84</v>
      </c>
      <c r="J2408" s="1">
        <v>0</v>
      </c>
      <c r="K2408" s="2">
        <v>43048</v>
      </c>
      <c r="L2408" s="1">
        <v>3716</v>
      </c>
      <c r="M2408" s="1">
        <v>3.68</v>
      </c>
      <c r="N2408" s="1">
        <v>-0.33463999999999999</v>
      </c>
      <c r="O2408" s="3">
        <f>VLOOKUP(D2408,underlying!$D$40:$H$75,5,FALSE)</f>
        <v>-3</v>
      </c>
      <c r="P2408" s="4">
        <f t="shared" si="88"/>
        <v>42989</v>
      </c>
      <c r="Q2408" s="7">
        <f>IF(G2408="C",NormalCallSprd(O2408,H2408,M2408,(P2408-A2408)/365), NormalPutSprd(O2408,H2408,M2408,(P2408-A2408)/365))</f>
        <v>0.84210327860498968</v>
      </c>
      <c r="R2408" s="9">
        <f t="shared" si="90"/>
        <v>2.1032786049897112E-3</v>
      </c>
    </row>
    <row r="2409" spans="1:18" x14ac:dyDescent="0.2">
      <c r="A2409" s="2">
        <v>42622</v>
      </c>
      <c r="B2409" s="1" t="s">
        <v>56</v>
      </c>
      <c r="C2409" s="1" t="s">
        <v>57</v>
      </c>
      <c r="D2409" s="2">
        <v>42744</v>
      </c>
      <c r="E2409" s="2">
        <f t="shared" si="89"/>
        <v>42979</v>
      </c>
      <c r="F2409" s="1" t="s">
        <v>58</v>
      </c>
      <c r="G2409" s="1" t="s">
        <v>18</v>
      </c>
      <c r="H2409" s="1">
        <v>-1.5</v>
      </c>
      <c r="I2409" s="1">
        <v>2.33</v>
      </c>
      <c r="J2409" s="1">
        <v>0</v>
      </c>
      <c r="K2409" s="2">
        <v>43048</v>
      </c>
      <c r="L2409" s="1">
        <v>3716</v>
      </c>
      <c r="M2409" s="1">
        <v>3.68</v>
      </c>
      <c r="N2409" s="1">
        <v>-0.31830999999999998</v>
      </c>
      <c r="O2409" s="3">
        <f>VLOOKUP(D2409,underlying!$D$40:$H$75,5,FALSE)</f>
        <v>-3</v>
      </c>
      <c r="P2409" s="4">
        <f t="shared" si="88"/>
        <v>42989</v>
      </c>
      <c r="Q2409" s="7">
        <f>IF(G2409="C",NormalCallSprd(O2409,H2409,M2409,(P2409-A2409)/365), NormalPutSprd(O2409,H2409,M2409,(P2409-A2409)/365))</f>
        <v>2.3421032786049896</v>
      </c>
      <c r="R2409" s="9">
        <f t="shared" si="90"/>
        <v>1.2103278604989498E-2</v>
      </c>
    </row>
    <row r="2410" spans="1:18" x14ac:dyDescent="0.2">
      <c r="A2410" s="2">
        <v>42622</v>
      </c>
      <c r="B2410" s="1" t="s">
        <v>56</v>
      </c>
      <c r="C2410" s="1" t="s">
        <v>57</v>
      </c>
      <c r="D2410" s="2">
        <v>42744</v>
      </c>
      <c r="E2410" s="2">
        <f t="shared" si="89"/>
        <v>42979</v>
      </c>
      <c r="F2410" s="1" t="s">
        <v>58</v>
      </c>
      <c r="G2410" s="1" t="s">
        <v>16</v>
      </c>
      <c r="H2410" s="1">
        <v>-1.25</v>
      </c>
      <c r="I2410" s="1">
        <v>0.76</v>
      </c>
      <c r="J2410" s="1">
        <v>0</v>
      </c>
      <c r="K2410" s="2">
        <v>43048</v>
      </c>
      <c r="L2410" s="1">
        <v>3716</v>
      </c>
      <c r="M2410" s="1">
        <v>3.7</v>
      </c>
      <c r="N2410" s="1">
        <v>-0.30231999999999998</v>
      </c>
      <c r="O2410" s="3">
        <f>VLOOKUP(D2410,underlying!$D$40:$H$75,5,FALSE)</f>
        <v>-3</v>
      </c>
      <c r="P2410" s="4">
        <f t="shared" si="88"/>
        <v>42989</v>
      </c>
      <c r="Q2410" s="7">
        <f>IF(G2410="C",NormalCallSprd(O2410,H2410,M2410,(P2410-A2410)/365), NormalPutSprd(O2410,H2410,M2410,(P2410-A2410)/365))</f>
        <v>0.76679117952192766</v>
      </c>
      <c r="R2410" s="9">
        <f t="shared" si="90"/>
        <v>6.7911795219276483E-3</v>
      </c>
    </row>
    <row r="2411" spans="1:18" x14ac:dyDescent="0.2">
      <c r="A2411" s="2">
        <v>42622</v>
      </c>
      <c r="B2411" s="1" t="s">
        <v>56</v>
      </c>
      <c r="C2411" s="1" t="s">
        <v>57</v>
      </c>
      <c r="D2411" s="2">
        <v>42744</v>
      </c>
      <c r="E2411" s="2">
        <f t="shared" si="89"/>
        <v>42979</v>
      </c>
      <c r="F2411" s="1" t="s">
        <v>58</v>
      </c>
      <c r="G2411" s="1" t="s">
        <v>18</v>
      </c>
      <c r="H2411" s="1">
        <v>-1.25</v>
      </c>
      <c r="I2411" s="1">
        <v>2.5</v>
      </c>
      <c r="J2411" s="1">
        <v>0</v>
      </c>
      <c r="K2411" s="2">
        <v>43048</v>
      </c>
      <c r="L2411" s="1">
        <v>3716</v>
      </c>
      <c r="M2411" s="1">
        <v>3.7</v>
      </c>
      <c r="N2411" s="1">
        <v>-0.28670000000000001</v>
      </c>
      <c r="O2411" s="3">
        <f>VLOOKUP(D2411,underlying!$D$40:$H$75,5,FALSE)</f>
        <v>-3</v>
      </c>
      <c r="P2411" s="4">
        <f t="shared" si="88"/>
        <v>42989</v>
      </c>
      <c r="Q2411" s="7">
        <f>IF(G2411="C",NormalCallSprd(O2411,H2411,M2411,(P2411-A2411)/365), NormalPutSprd(O2411,H2411,M2411,(P2411-A2411)/365))</f>
        <v>2.5167911795219275</v>
      </c>
      <c r="R2411" s="9">
        <f t="shared" si="90"/>
        <v>1.6791179521927546E-2</v>
      </c>
    </row>
    <row r="2412" spans="1:18" x14ac:dyDescent="0.2">
      <c r="A2412" s="2">
        <v>42622</v>
      </c>
      <c r="B2412" s="1" t="s">
        <v>56</v>
      </c>
      <c r="C2412" s="1" t="s">
        <v>57</v>
      </c>
      <c r="D2412" s="2">
        <v>42744</v>
      </c>
      <c r="E2412" s="2">
        <f t="shared" si="89"/>
        <v>42979</v>
      </c>
      <c r="F2412" s="1" t="s">
        <v>58</v>
      </c>
      <c r="G2412" s="1" t="s">
        <v>16</v>
      </c>
      <c r="H2412" s="1">
        <v>-1</v>
      </c>
      <c r="I2412" s="1">
        <v>0.68</v>
      </c>
      <c r="J2412" s="1">
        <v>0</v>
      </c>
      <c r="K2412" s="2">
        <v>43048</v>
      </c>
      <c r="L2412" s="1">
        <v>3716</v>
      </c>
      <c r="M2412" s="1">
        <v>3.68</v>
      </c>
      <c r="N2412" s="1">
        <v>-0.27145999999999998</v>
      </c>
      <c r="O2412" s="3">
        <f>VLOOKUP(D2412,underlying!$D$40:$H$75,5,FALSE)</f>
        <v>-3</v>
      </c>
      <c r="P2412" s="4">
        <f t="shared" si="88"/>
        <v>42989</v>
      </c>
      <c r="Q2412" s="7">
        <f>IF(G2412="C",NormalCallSprd(O2412,H2412,M2412,(P2412-A2412)/365), NormalPutSprd(O2412,H2412,M2412,(P2412-A2412)/365))</f>
        <v>0.68320751685699443</v>
      </c>
      <c r="R2412" s="9">
        <f t="shared" si="90"/>
        <v>3.2075168569943857E-3</v>
      </c>
    </row>
    <row r="2413" spans="1:18" x14ac:dyDescent="0.2">
      <c r="A2413" s="2">
        <v>42622</v>
      </c>
      <c r="B2413" s="1" t="s">
        <v>56</v>
      </c>
      <c r="C2413" s="1" t="s">
        <v>57</v>
      </c>
      <c r="D2413" s="2">
        <v>42744</v>
      </c>
      <c r="E2413" s="2">
        <f t="shared" si="89"/>
        <v>42979</v>
      </c>
      <c r="F2413" s="1" t="s">
        <v>58</v>
      </c>
      <c r="G2413" s="1" t="s">
        <v>18</v>
      </c>
      <c r="H2413" s="1">
        <v>-1</v>
      </c>
      <c r="I2413" s="1">
        <v>2.67</v>
      </c>
      <c r="J2413" s="1">
        <v>0</v>
      </c>
      <c r="K2413" s="2">
        <v>43048</v>
      </c>
      <c r="L2413" s="1">
        <v>3716</v>
      </c>
      <c r="M2413" s="1">
        <v>3.68</v>
      </c>
      <c r="N2413" s="1">
        <v>-0.22764000000000001</v>
      </c>
      <c r="O2413" s="3">
        <f>VLOOKUP(D2413,underlying!$D$40:$H$75,5,FALSE)</f>
        <v>-3</v>
      </c>
      <c r="P2413" s="4">
        <f t="shared" si="88"/>
        <v>42989</v>
      </c>
      <c r="Q2413" s="7">
        <f>IF(G2413="C",NormalCallSprd(O2413,H2413,M2413,(P2413-A2413)/365), NormalPutSprd(O2413,H2413,M2413,(P2413-A2413)/365))</f>
        <v>2.6832075168569944</v>
      </c>
      <c r="R2413" s="9">
        <f t="shared" si="90"/>
        <v>1.3207516856994506E-2</v>
      </c>
    </row>
    <row r="2414" spans="1:18" x14ac:dyDescent="0.2">
      <c r="A2414" s="2">
        <v>42622</v>
      </c>
      <c r="B2414" s="1" t="s">
        <v>56</v>
      </c>
      <c r="C2414" s="1" t="s">
        <v>57</v>
      </c>
      <c r="D2414" s="2">
        <v>42744</v>
      </c>
      <c r="E2414" s="2">
        <f t="shared" si="89"/>
        <v>42979</v>
      </c>
      <c r="F2414" s="1" t="s">
        <v>58</v>
      </c>
      <c r="G2414" s="1" t="s">
        <v>16</v>
      </c>
      <c r="H2414" s="1">
        <v>-0.75</v>
      </c>
      <c r="I2414" s="1">
        <v>0.61</v>
      </c>
      <c r="J2414" s="1">
        <v>0</v>
      </c>
      <c r="K2414" s="2">
        <v>43048</v>
      </c>
      <c r="L2414" s="1">
        <v>3716</v>
      </c>
      <c r="M2414" s="1">
        <v>3.69</v>
      </c>
      <c r="N2414" s="1">
        <v>-0.17580000000000001</v>
      </c>
      <c r="O2414" s="3">
        <f>VLOOKUP(D2414,underlying!$D$40:$H$75,5,FALSE)</f>
        <v>-3</v>
      </c>
      <c r="P2414" s="4">
        <f t="shared" si="88"/>
        <v>42989</v>
      </c>
      <c r="Q2414" s="7">
        <f>IF(G2414="C",NormalCallSprd(O2414,H2414,M2414,(P2414-A2414)/365), NormalPutSprd(O2414,H2414,M2414,(P2414-A2414)/365))</f>
        <v>0.61593373705675247</v>
      </c>
      <c r="R2414" s="9">
        <f t="shared" si="90"/>
        <v>5.9337370567524861E-3</v>
      </c>
    </row>
    <row r="2415" spans="1:18" x14ac:dyDescent="0.2">
      <c r="A2415" s="2">
        <v>42622</v>
      </c>
      <c r="B2415" s="1" t="s">
        <v>56</v>
      </c>
      <c r="C2415" s="1" t="s">
        <v>57</v>
      </c>
      <c r="D2415" s="2">
        <v>42744</v>
      </c>
      <c r="E2415" s="2">
        <f t="shared" si="89"/>
        <v>42979</v>
      </c>
      <c r="F2415" s="1" t="s">
        <v>58</v>
      </c>
      <c r="G2415" s="1" t="s">
        <v>18</v>
      </c>
      <c r="H2415" s="1">
        <v>-0.75</v>
      </c>
      <c r="I2415" s="1">
        <v>2.85</v>
      </c>
      <c r="J2415" s="1">
        <v>0</v>
      </c>
      <c r="K2415" s="2">
        <v>43048</v>
      </c>
      <c r="L2415" s="1">
        <v>3716</v>
      </c>
      <c r="M2415" s="1">
        <v>3.69</v>
      </c>
      <c r="N2415" s="1">
        <v>-0.13253999999999999</v>
      </c>
      <c r="O2415" s="3">
        <f>VLOOKUP(D2415,underlying!$D$40:$H$75,5,FALSE)</f>
        <v>-3</v>
      </c>
      <c r="P2415" s="4">
        <f t="shared" si="88"/>
        <v>42989</v>
      </c>
      <c r="Q2415" s="7">
        <f>IF(G2415="C",NormalCallSprd(O2415,H2415,M2415,(P2415-A2415)/365), NormalPutSprd(O2415,H2415,M2415,(P2415-A2415)/365))</f>
        <v>2.8659337370567526</v>
      </c>
      <c r="R2415" s="9">
        <f t="shared" si="90"/>
        <v>1.5933737056752495E-2</v>
      </c>
    </row>
    <row r="2416" spans="1:18" x14ac:dyDescent="0.2">
      <c r="A2416" s="2">
        <v>42622</v>
      </c>
      <c r="B2416" s="1" t="s">
        <v>56</v>
      </c>
      <c r="C2416" s="1" t="s">
        <v>57</v>
      </c>
      <c r="D2416" s="2">
        <v>42744</v>
      </c>
      <c r="E2416" s="2">
        <f t="shared" si="89"/>
        <v>42979</v>
      </c>
      <c r="F2416" s="1" t="s">
        <v>58</v>
      </c>
      <c r="G2416" s="1" t="s">
        <v>16</v>
      </c>
      <c r="H2416" s="1">
        <v>-0.5</v>
      </c>
      <c r="I2416" s="1">
        <v>0.55000000000000004</v>
      </c>
      <c r="J2416" s="1">
        <v>0</v>
      </c>
      <c r="K2416" s="2">
        <v>43048</v>
      </c>
      <c r="L2416" s="1">
        <v>3716</v>
      </c>
      <c r="M2416" s="1">
        <v>3.69</v>
      </c>
      <c r="N2416" s="1">
        <v>0.16525000000000001</v>
      </c>
      <c r="O2416" s="3">
        <f>VLOOKUP(D2416,underlying!$D$40:$H$75,5,FALSE)</f>
        <v>-3</v>
      </c>
      <c r="P2416" s="4">
        <f t="shared" si="88"/>
        <v>42989</v>
      </c>
      <c r="Q2416" s="7">
        <f>IF(G2416="C",NormalCallSprd(O2416,H2416,M2416,(P2416-A2416)/365), NormalPutSprd(O2416,H2416,M2416,(P2416-A2416)/365))</f>
        <v>0.55080455738500278</v>
      </c>
      <c r="R2416" s="9">
        <f t="shared" si="90"/>
        <v>8.0455738500273544E-4</v>
      </c>
    </row>
    <row r="2417" spans="1:18" x14ac:dyDescent="0.2">
      <c r="A2417" s="2">
        <v>42622</v>
      </c>
      <c r="B2417" s="1" t="s">
        <v>56</v>
      </c>
      <c r="C2417" s="1" t="s">
        <v>57</v>
      </c>
      <c r="D2417" s="2">
        <v>42744</v>
      </c>
      <c r="E2417" s="2">
        <f t="shared" si="89"/>
        <v>42979</v>
      </c>
      <c r="F2417" s="1" t="s">
        <v>58</v>
      </c>
      <c r="G2417" s="1" t="s">
        <v>18</v>
      </c>
      <c r="H2417" s="1">
        <v>-0.5</v>
      </c>
      <c r="I2417" s="1">
        <v>3.03</v>
      </c>
      <c r="J2417" s="1">
        <v>-0.01</v>
      </c>
      <c r="K2417" s="2">
        <v>43048</v>
      </c>
      <c r="L2417" s="1">
        <v>3716</v>
      </c>
      <c r="M2417" s="1">
        <v>3.69</v>
      </c>
      <c r="N2417" s="1">
        <v>0.18811</v>
      </c>
      <c r="O2417" s="3">
        <f>VLOOKUP(D2417,underlying!$D$40:$H$75,5,FALSE)</f>
        <v>-3</v>
      </c>
      <c r="P2417" s="4">
        <f t="shared" si="88"/>
        <v>42989</v>
      </c>
      <c r="Q2417" s="7">
        <f>IF(G2417="C",NormalCallSprd(O2417,H2417,M2417,(P2417-A2417)/365), NormalPutSprd(O2417,H2417,M2417,(P2417-A2417)/365))</f>
        <v>3.0508045573850029</v>
      </c>
      <c r="R2417" s="9">
        <f t="shared" si="90"/>
        <v>2.0804557385003086E-2</v>
      </c>
    </row>
    <row r="2418" spans="1:18" x14ac:dyDescent="0.2">
      <c r="A2418" s="2">
        <v>42622</v>
      </c>
      <c r="B2418" s="1" t="s">
        <v>56</v>
      </c>
      <c r="C2418" s="1" t="s">
        <v>57</v>
      </c>
      <c r="D2418" s="2">
        <v>42744</v>
      </c>
      <c r="E2418" s="2">
        <f t="shared" si="89"/>
        <v>42979</v>
      </c>
      <c r="F2418" s="1" t="s">
        <v>58</v>
      </c>
      <c r="G2418" s="1" t="s">
        <v>16</v>
      </c>
      <c r="H2418" s="1">
        <v>-0.25</v>
      </c>
      <c r="I2418" s="1">
        <v>0.49</v>
      </c>
      <c r="J2418" s="1">
        <v>0</v>
      </c>
      <c r="K2418" s="2">
        <v>43048</v>
      </c>
      <c r="L2418" s="1">
        <v>3716</v>
      </c>
      <c r="M2418" s="1">
        <v>3.69</v>
      </c>
      <c r="N2418" s="1">
        <v>0.21224999999999999</v>
      </c>
      <c r="O2418" s="3">
        <f>VLOOKUP(D2418,underlying!$D$40:$H$75,5,FALSE)</f>
        <v>-3</v>
      </c>
      <c r="P2418" s="4">
        <f t="shared" si="88"/>
        <v>42989</v>
      </c>
      <c r="Q2418" s="7">
        <f>IF(G2418="C",NormalCallSprd(O2418,H2418,M2418,(P2418-A2418)/365), NormalPutSprd(O2418,H2418,M2418,(P2418-A2418)/365))</f>
        <v>0.49103774520989762</v>
      </c>
      <c r="R2418" s="9">
        <f t="shared" si="90"/>
        <v>1.0377452098976336E-3</v>
      </c>
    </row>
    <row r="2419" spans="1:18" x14ac:dyDescent="0.2">
      <c r="A2419" s="2">
        <v>42622</v>
      </c>
      <c r="B2419" s="1" t="s">
        <v>56</v>
      </c>
      <c r="C2419" s="1" t="s">
        <v>57</v>
      </c>
      <c r="D2419" s="2">
        <v>42744</v>
      </c>
      <c r="E2419" s="2">
        <f t="shared" si="89"/>
        <v>42979</v>
      </c>
      <c r="F2419" s="1" t="s">
        <v>58</v>
      </c>
      <c r="G2419" s="1" t="s">
        <v>18</v>
      </c>
      <c r="H2419" s="1">
        <v>-0.25</v>
      </c>
      <c r="I2419" s="1">
        <v>3.22</v>
      </c>
      <c r="J2419" s="1">
        <v>0</v>
      </c>
      <c r="K2419" s="2">
        <v>43048</v>
      </c>
      <c r="L2419" s="1">
        <v>3716</v>
      </c>
      <c r="M2419" s="1">
        <v>3.69</v>
      </c>
      <c r="N2419" s="1">
        <v>0.23769000000000001</v>
      </c>
      <c r="O2419" s="3">
        <f>VLOOKUP(D2419,underlying!$D$40:$H$75,5,FALSE)</f>
        <v>-3</v>
      </c>
      <c r="P2419" s="4">
        <f t="shared" si="88"/>
        <v>42989</v>
      </c>
      <c r="Q2419" s="7">
        <f>IF(G2419="C",NormalCallSprd(O2419,H2419,M2419,(P2419-A2419)/365), NormalPutSprd(O2419,H2419,M2419,(P2419-A2419)/365))</f>
        <v>3.2410377452098977</v>
      </c>
      <c r="R2419" s="9">
        <f t="shared" si="90"/>
        <v>2.103774520989754E-2</v>
      </c>
    </row>
    <row r="2420" spans="1:18" x14ac:dyDescent="0.2">
      <c r="A2420" s="2">
        <v>42622</v>
      </c>
      <c r="B2420" s="1" t="s">
        <v>56</v>
      </c>
      <c r="C2420" s="1" t="s">
        <v>57</v>
      </c>
      <c r="D2420" s="2">
        <v>42745</v>
      </c>
      <c r="E2420" s="2">
        <f t="shared" si="89"/>
        <v>43009</v>
      </c>
      <c r="F2420" s="1" t="s">
        <v>58</v>
      </c>
      <c r="G2420" s="1" t="s">
        <v>16</v>
      </c>
      <c r="H2420" s="1">
        <v>-9</v>
      </c>
      <c r="I2420" s="1">
        <v>7.73</v>
      </c>
      <c r="J2420" s="1">
        <v>0</v>
      </c>
      <c r="K2420" s="2">
        <v>43049</v>
      </c>
      <c r="L2420" s="1">
        <v>3716</v>
      </c>
      <c r="M2420" s="1">
        <v>3.63</v>
      </c>
      <c r="N2420" s="1">
        <v>0.99089000000000005</v>
      </c>
      <c r="O2420" s="3">
        <f>VLOOKUP(D2420,underlying!$D$40:$H$75,5,FALSE)</f>
        <v>-1.25</v>
      </c>
      <c r="P2420" s="4">
        <f t="shared" si="88"/>
        <v>43019</v>
      </c>
      <c r="Q2420" s="7">
        <f>IF(G2420="C",NormalCallSprd(O2420,H2420,M2420,(P2420-A2420)/365), NormalPutSprd(O2420,H2420,M2420,(P2420-A2420)/365))</f>
        <v>7.7783044701705917</v>
      </c>
      <c r="R2420" s="9">
        <f t="shared" si="90"/>
        <v>4.8304470170591252E-2</v>
      </c>
    </row>
    <row r="2421" spans="1:18" x14ac:dyDescent="0.2">
      <c r="A2421" s="2">
        <v>42622</v>
      </c>
      <c r="B2421" s="1" t="s">
        <v>56</v>
      </c>
      <c r="C2421" s="1" t="s">
        <v>57</v>
      </c>
      <c r="D2421" s="2">
        <v>42745</v>
      </c>
      <c r="E2421" s="2">
        <f t="shared" si="89"/>
        <v>43009</v>
      </c>
      <c r="F2421" s="1" t="s">
        <v>58</v>
      </c>
      <c r="G2421" s="1" t="s">
        <v>18</v>
      </c>
      <c r="H2421" s="1">
        <v>-9</v>
      </c>
      <c r="I2421" s="1">
        <v>0.03</v>
      </c>
      <c r="J2421" s="1">
        <v>0</v>
      </c>
      <c r="K2421" s="2">
        <v>43049</v>
      </c>
      <c r="L2421" s="1">
        <v>3716</v>
      </c>
      <c r="M2421" s="1">
        <v>3.63</v>
      </c>
      <c r="N2421" s="1">
        <v>0.99521999999999999</v>
      </c>
      <c r="O2421" s="3">
        <f>VLOOKUP(D2421,underlying!$D$40:$H$75,5,FALSE)</f>
        <v>-1.25</v>
      </c>
      <c r="P2421" s="4">
        <f t="shared" si="88"/>
        <v>43019</v>
      </c>
      <c r="Q2421" s="7">
        <f>IF(G2421="C",NormalCallSprd(O2421,H2421,M2421,(P2421-A2421)/365), NormalPutSprd(O2421,H2421,M2421,(P2421-A2421)/365))</f>
        <v>2.8304470170591591E-2</v>
      </c>
      <c r="R2421" s="9">
        <f t="shared" si="90"/>
        <v>1.6955298294084077E-3</v>
      </c>
    </row>
    <row r="2422" spans="1:18" x14ac:dyDescent="0.2">
      <c r="A2422" s="2">
        <v>42622</v>
      </c>
      <c r="B2422" s="1" t="s">
        <v>56</v>
      </c>
      <c r="C2422" s="1" t="s">
        <v>57</v>
      </c>
      <c r="D2422" s="2">
        <v>42745</v>
      </c>
      <c r="E2422" s="2">
        <f t="shared" si="89"/>
        <v>43009</v>
      </c>
      <c r="F2422" s="1" t="s">
        <v>58</v>
      </c>
      <c r="G2422" s="1" t="s">
        <v>16</v>
      </c>
      <c r="H2422" s="1">
        <v>-8</v>
      </c>
      <c r="I2422" s="1">
        <v>6.76</v>
      </c>
      <c r="J2422" s="1">
        <v>-0.01</v>
      </c>
      <c r="K2422" s="2">
        <v>43049</v>
      </c>
      <c r="L2422" s="1">
        <v>3716</v>
      </c>
      <c r="M2422" s="1">
        <v>3.63</v>
      </c>
      <c r="N2422" s="1">
        <v>0.26704</v>
      </c>
      <c r="O2422" s="3">
        <f>VLOOKUP(D2422,underlying!$D$40:$H$75,5,FALSE)</f>
        <v>-1.25</v>
      </c>
      <c r="P2422" s="4">
        <f t="shared" si="88"/>
        <v>43019</v>
      </c>
      <c r="Q2422" s="7">
        <f>IF(G2422="C",NormalCallSprd(O2422,H2422,M2422,(P2422-A2422)/365), NormalPutSprd(O2422,H2422,M2422,(P2422-A2422)/365))</f>
        <v>6.8064020230522271</v>
      </c>
      <c r="R2422" s="9">
        <f t="shared" si="90"/>
        <v>4.6402023052227293E-2</v>
      </c>
    </row>
    <row r="2423" spans="1:18" x14ac:dyDescent="0.2">
      <c r="A2423" s="2">
        <v>42622</v>
      </c>
      <c r="B2423" s="1" t="s">
        <v>56</v>
      </c>
      <c r="C2423" s="1" t="s">
        <v>57</v>
      </c>
      <c r="D2423" s="2">
        <v>42745</v>
      </c>
      <c r="E2423" s="2">
        <f t="shared" si="89"/>
        <v>43009</v>
      </c>
      <c r="F2423" s="1" t="s">
        <v>58</v>
      </c>
      <c r="G2423" s="1" t="s">
        <v>18</v>
      </c>
      <c r="H2423" s="1">
        <v>-8</v>
      </c>
      <c r="I2423" s="1">
        <v>0.06</v>
      </c>
      <c r="J2423" s="1">
        <v>0</v>
      </c>
      <c r="K2423" s="2">
        <v>43049</v>
      </c>
      <c r="L2423" s="1">
        <v>3716</v>
      </c>
      <c r="M2423" s="1">
        <v>3.63</v>
      </c>
      <c r="N2423" s="1">
        <v>0.29597000000000001</v>
      </c>
      <c r="O2423" s="3">
        <f>VLOOKUP(D2423,underlying!$D$40:$H$75,5,FALSE)</f>
        <v>-1.25</v>
      </c>
      <c r="P2423" s="4">
        <f t="shared" si="88"/>
        <v>43019</v>
      </c>
      <c r="Q2423" s="7">
        <f>IF(G2423="C",NormalCallSprd(O2423,H2423,M2423,(P2423-A2423)/365), NormalPutSprd(O2423,H2423,M2423,(P2423-A2423)/365))</f>
        <v>5.6402023052227246E-2</v>
      </c>
      <c r="R2423" s="9">
        <f t="shared" si="90"/>
        <v>3.5979769477727519E-3</v>
      </c>
    </row>
    <row r="2424" spans="1:18" x14ac:dyDescent="0.2">
      <c r="A2424" s="2">
        <v>42622</v>
      </c>
      <c r="B2424" s="1" t="s">
        <v>56</v>
      </c>
      <c r="C2424" s="1" t="s">
        <v>57</v>
      </c>
      <c r="D2424" s="2">
        <v>42745</v>
      </c>
      <c r="E2424" s="2">
        <f t="shared" si="89"/>
        <v>43009</v>
      </c>
      <c r="F2424" s="1" t="s">
        <v>58</v>
      </c>
      <c r="G2424" s="1" t="s">
        <v>16</v>
      </c>
      <c r="H2424" s="1">
        <v>-7</v>
      </c>
      <c r="I2424" s="1">
        <v>5.82</v>
      </c>
      <c r="J2424" s="1">
        <v>0</v>
      </c>
      <c r="K2424" s="2">
        <v>43049</v>
      </c>
      <c r="L2424" s="1">
        <v>3716</v>
      </c>
      <c r="M2424" s="1">
        <v>3.63</v>
      </c>
      <c r="N2424" s="1">
        <v>0.32817000000000002</v>
      </c>
      <c r="O2424" s="3">
        <f>VLOOKUP(D2424,underlying!$D$40:$H$75,5,FALSE)</f>
        <v>-1.25</v>
      </c>
      <c r="P2424" s="4">
        <f t="shared" si="88"/>
        <v>43019</v>
      </c>
      <c r="Q2424" s="7">
        <f>IF(G2424="C",NormalCallSprd(O2424,H2424,M2424,(P2424-A2424)/365), NormalPutSprd(O2424,H2424,M2424,(P2424-A2424)/365))</f>
        <v>5.8562700139134582</v>
      </c>
      <c r="R2424" s="9">
        <f t="shared" si="90"/>
        <v>3.6270013913457966E-2</v>
      </c>
    </row>
    <row r="2425" spans="1:18" x14ac:dyDescent="0.2">
      <c r="A2425" s="2">
        <v>42622</v>
      </c>
      <c r="B2425" s="1" t="s">
        <v>56</v>
      </c>
      <c r="C2425" s="1" t="s">
        <v>57</v>
      </c>
      <c r="D2425" s="2">
        <v>42745</v>
      </c>
      <c r="E2425" s="2">
        <f t="shared" si="89"/>
        <v>43009</v>
      </c>
      <c r="F2425" s="1" t="s">
        <v>58</v>
      </c>
      <c r="G2425" s="1" t="s">
        <v>18</v>
      </c>
      <c r="H2425" s="1">
        <v>-7</v>
      </c>
      <c r="I2425" s="1">
        <v>0.11</v>
      </c>
      <c r="J2425" s="1">
        <v>0</v>
      </c>
      <c r="K2425" s="2">
        <v>43049</v>
      </c>
      <c r="L2425" s="1">
        <v>3716</v>
      </c>
      <c r="M2425" s="1">
        <v>3.63</v>
      </c>
      <c r="N2425" s="1">
        <v>0.36004000000000003</v>
      </c>
      <c r="O2425" s="3">
        <f>VLOOKUP(D2425,underlying!$D$40:$H$75,5,FALSE)</f>
        <v>-1.25</v>
      </c>
      <c r="P2425" s="4">
        <f t="shared" ref="P2425:P2488" si="91">DATE(YEAR(K2425),DAY(K2425),MONTH(K2425))</f>
        <v>43019</v>
      </c>
      <c r="Q2425" s="7">
        <f>IF(G2425="C",NormalCallSprd(O2425,H2425,M2425,(P2425-A2425)/365), NormalPutSprd(O2425,H2425,M2425,(P2425-A2425)/365))</f>
        <v>0.10627001391345801</v>
      </c>
      <c r="R2425" s="9">
        <f t="shared" si="90"/>
        <v>3.7299860865419865E-3</v>
      </c>
    </row>
    <row r="2426" spans="1:18" x14ac:dyDescent="0.2">
      <c r="A2426" s="2">
        <v>42622</v>
      </c>
      <c r="B2426" s="1" t="s">
        <v>56</v>
      </c>
      <c r="C2426" s="1" t="s">
        <v>57</v>
      </c>
      <c r="D2426" s="2">
        <v>42745</v>
      </c>
      <c r="E2426" s="2">
        <f t="shared" si="89"/>
        <v>43009</v>
      </c>
      <c r="F2426" s="1" t="s">
        <v>58</v>
      </c>
      <c r="G2426" s="1" t="s">
        <v>16</v>
      </c>
      <c r="H2426" s="1">
        <v>-6.75</v>
      </c>
      <c r="I2426" s="1">
        <v>5.59</v>
      </c>
      <c r="J2426" s="1">
        <v>0</v>
      </c>
      <c r="K2426" s="2">
        <v>43049</v>
      </c>
      <c r="L2426" s="1">
        <v>3716</v>
      </c>
      <c r="M2426" s="1">
        <v>3.63</v>
      </c>
      <c r="N2426" s="1">
        <v>0.39401999999999998</v>
      </c>
      <c r="O2426" s="3">
        <f>VLOOKUP(D2426,underlying!$D$40:$H$75,5,FALSE)</f>
        <v>-1.25</v>
      </c>
      <c r="P2426" s="4">
        <f t="shared" si="91"/>
        <v>43019</v>
      </c>
      <c r="Q2426" s="7">
        <f>IF(G2426="C",NormalCallSprd(O2426,H2426,M2426,(P2426-A2426)/365), NormalPutSprd(O2426,H2426,M2426,(P2426-A2426)/365))</f>
        <v>5.6234446848438182</v>
      </c>
      <c r="R2426" s="9">
        <f t="shared" si="90"/>
        <v>3.3444684843818351E-2</v>
      </c>
    </row>
    <row r="2427" spans="1:18" x14ac:dyDescent="0.2">
      <c r="A2427" s="2">
        <v>42622</v>
      </c>
      <c r="B2427" s="1" t="s">
        <v>56</v>
      </c>
      <c r="C2427" s="1" t="s">
        <v>57</v>
      </c>
      <c r="D2427" s="2">
        <v>42745</v>
      </c>
      <c r="E2427" s="2">
        <f t="shared" si="89"/>
        <v>43009</v>
      </c>
      <c r="F2427" s="1" t="s">
        <v>58</v>
      </c>
      <c r="G2427" s="1" t="s">
        <v>18</v>
      </c>
      <c r="H2427" s="1">
        <v>-6.75</v>
      </c>
      <c r="I2427" s="1">
        <v>0.12</v>
      </c>
      <c r="J2427" s="1">
        <v>0</v>
      </c>
      <c r="K2427" s="2">
        <v>43049</v>
      </c>
      <c r="L2427" s="1">
        <v>3716</v>
      </c>
      <c r="M2427" s="1">
        <v>3.63</v>
      </c>
      <c r="N2427" s="1">
        <v>0.42847000000000002</v>
      </c>
      <c r="O2427" s="3">
        <f>VLOOKUP(D2427,underlying!$D$40:$H$75,5,FALSE)</f>
        <v>-1.25</v>
      </c>
      <c r="P2427" s="4">
        <f t="shared" si="91"/>
        <v>43019</v>
      </c>
      <c r="Q2427" s="7">
        <f>IF(G2427="C",NormalCallSprd(O2427,H2427,M2427,(P2427-A2427)/365), NormalPutSprd(O2427,H2427,M2427,(P2427-A2427)/365))</f>
        <v>0.12344468484381818</v>
      </c>
      <c r="R2427" s="9">
        <f t="shared" si="90"/>
        <v>3.4446848438181854E-3</v>
      </c>
    </row>
    <row r="2428" spans="1:18" x14ac:dyDescent="0.2">
      <c r="A2428" s="2">
        <v>42622</v>
      </c>
      <c r="B2428" s="1" t="s">
        <v>56</v>
      </c>
      <c r="C2428" s="1" t="s">
        <v>57</v>
      </c>
      <c r="D2428" s="2">
        <v>42745</v>
      </c>
      <c r="E2428" s="2">
        <f t="shared" si="89"/>
        <v>43009</v>
      </c>
      <c r="F2428" s="1" t="s">
        <v>58</v>
      </c>
      <c r="G2428" s="1" t="s">
        <v>16</v>
      </c>
      <c r="H2428" s="1">
        <v>-6.5</v>
      </c>
      <c r="I2428" s="1">
        <v>5.36</v>
      </c>
      <c r="J2428" s="1">
        <v>0</v>
      </c>
      <c r="K2428" s="2">
        <v>43049</v>
      </c>
      <c r="L2428" s="1">
        <v>3716</v>
      </c>
      <c r="M2428" s="1">
        <v>3.63</v>
      </c>
      <c r="N2428" s="1">
        <v>0.46355000000000002</v>
      </c>
      <c r="O2428" s="3">
        <f>VLOOKUP(D2428,underlying!$D$40:$H$75,5,FALSE)</f>
        <v>-1.25</v>
      </c>
      <c r="P2428" s="4">
        <f t="shared" si="91"/>
        <v>43019</v>
      </c>
      <c r="Q2428" s="7">
        <f>IF(G2428="C",NormalCallSprd(O2428,H2428,M2428,(P2428-A2428)/365), NormalPutSprd(O2428,H2428,M2428,(P2428-A2428)/365))</f>
        <v>5.3929128084077753</v>
      </c>
      <c r="R2428" s="9">
        <f t="shared" si="90"/>
        <v>3.2912808407774996E-2</v>
      </c>
    </row>
    <row r="2429" spans="1:18" x14ac:dyDescent="0.2">
      <c r="A2429" s="2">
        <v>42622</v>
      </c>
      <c r="B2429" s="1" t="s">
        <v>56</v>
      </c>
      <c r="C2429" s="1" t="s">
        <v>57</v>
      </c>
      <c r="D2429" s="2">
        <v>42745</v>
      </c>
      <c r="E2429" s="2">
        <f t="shared" si="89"/>
        <v>43009</v>
      </c>
      <c r="F2429" s="1" t="s">
        <v>58</v>
      </c>
      <c r="G2429" s="1" t="s">
        <v>18</v>
      </c>
      <c r="H2429" s="1">
        <v>-6.5</v>
      </c>
      <c r="I2429" s="1">
        <v>0.14000000000000001</v>
      </c>
      <c r="J2429" s="1">
        <v>0</v>
      </c>
      <c r="K2429" s="2">
        <v>43049</v>
      </c>
      <c r="L2429" s="1">
        <v>3716</v>
      </c>
      <c r="M2429" s="1">
        <v>3.63</v>
      </c>
      <c r="N2429" s="1">
        <v>0.49873000000000001</v>
      </c>
      <c r="O2429" s="3">
        <f>VLOOKUP(D2429,underlying!$D$40:$H$75,5,FALSE)</f>
        <v>-1.25</v>
      </c>
      <c r="P2429" s="4">
        <f t="shared" si="91"/>
        <v>43019</v>
      </c>
      <c r="Q2429" s="7">
        <f>IF(G2429="C",NormalCallSprd(O2429,H2429,M2429,(P2429-A2429)/365), NormalPutSprd(O2429,H2429,M2429,(P2429-A2429)/365))</f>
        <v>0.14291280840777559</v>
      </c>
      <c r="R2429" s="9">
        <f t="shared" si="90"/>
        <v>2.91280840777558E-3</v>
      </c>
    </row>
    <row r="2430" spans="1:18" x14ac:dyDescent="0.2">
      <c r="A2430" s="2">
        <v>42622</v>
      </c>
      <c r="B2430" s="1" t="s">
        <v>56</v>
      </c>
      <c r="C2430" s="1" t="s">
        <v>57</v>
      </c>
      <c r="D2430" s="2">
        <v>42745</v>
      </c>
      <c r="E2430" s="2">
        <f t="shared" si="89"/>
        <v>43009</v>
      </c>
      <c r="F2430" s="1" t="s">
        <v>58</v>
      </c>
      <c r="G2430" s="1" t="s">
        <v>16</v>
      </c>
      <c r="H2430" s="1">
        <v>-6.25</v>
      </c>
      <c r="I2430" s="1">
        <v>5.13</v>
      </c>
      <c r="J2430" s="1">
        <v>0</v>
      </c>
      <c r="K2430" s="2">
        <v>43049</v>
      </c>
      <c r="L2430" s="1">
        <v>3716</v>
      </c>
      <c r="M2430" s="1">
        <v>3.63</v>
      </c>
      <c r="N2430" s="1">
        <v>0.53391999999999995</v>
      </c>
      <c r="O2430" s="3">
        <f>VLOOKUP(D2430,underlying!$D$40:$H$75,5,FALSE)</f>
        <v>-1.25</v>
      </c>
      <c r="P2430" s="4">
        <f t="shared" si="91"/>
        <v>43019</v>
      </c>
      <c r="Q2430" s="7">
        <f>IF(G2430="C",NormalCallSprd(O2430,H2430,M2430,(P2430-A2430)/365), NormalPutSprd(O2430,H2430,M2430,(P2430-A2430)/365))</f>
        <v>5.1648996451347395</v>
      </c>
      <c r="R2430" s="9">
        <f t="shared" si="90"/>
        <v>3.4899645134739643E-2</v>
      </c>
    </row>
    <row r="2431" spans="1:18" x14ac:dyDescent="0.2">
      <c r="A2431" s="2">
        <v>42622</v>
      </c>
      <c r="B2431" s="1" t="s">
        <v>56</v>
      </c>
      <c r="C2431" s="1" t="s">
        <v>57</v>
      </c>
      <c r="D2431" s="2">
        <v>42745</v>
      </c>
      <c r="E2431" s="2">
        <f t="shared" si="89"/>
        <v>43009</v>
      </c>
      <c r="F2431" s="1" t="s">
        <v>58</v>
      </c>
      <c r="G2431" s="1" t="s">
        <v>18</v>
      </c>
      <c r="H2431" s="1">
        <v>-6.25</v>
      </c>
      <c r="I2431" s="1">
        <v>0.16</v>
      </c>
      <c r="J2431" s="1">
        <v>0</v>
      </c>
      <c r="K2431" s="2">
        <v>43049</v>
      </c>
      <c r="L2431" s="1">
        <v>3716</v>
      </c>
      <c r="M2431" s="1">
        <v>3.63</v>
      </c>
      <c r="N2431" s="1">
        <v>0.56899999999999995</v>
      </c>
      <c r="O2431" s="3">
        <f>VLOOKUP(D2431,underlying!$D$40:$H$75,5,FALSE)</f>
        <v>-1.25</v>
      </c>
      <c r="P2431" s="4">
        <f t="shared" si="91"/>
        <v>43019</v>
      </c>
      <c r="Q2431" s="7">
        <f>IF(G2431="C",NormalCallSprd(O2431,H2431,M2431,(P2431-A2431)/365), NormalPutSprd(O2431,H2431,M2431,(P2431-A2431)/365))</f>
        <v>0.16489964513473959</v>
      </c>
      <c r="R2431" s="9">
        <f t="shared" si="90"/>
        <v>4.8996451347395886E-3</v>
      </c>
    </row>
    <row r="2432" spans="1:18" x14ac:dyDescent="0.2">
      <c r="A2432" s="2">
        <v>42622</v>
      </c>
      <c r="B2432" s="1" t="s">
        <v>56</v>
      </c>
      <c r="C2432" s="1" t="s">
        <v>57</v>
      </c>
      <c r="D2432" s="2">
        <v>42745</v>
      </c>
      <c r="E2432" s="2">
        <f t="shared" si="89"/>
        <v>43009</v>
      </c>
      <c r="F2432" s="1" t="s">
        <v>58</v>
      </c>
      <c r="G2432" s="1" t="s">
        <v>16</v>
      </c>
      <c r="H2432" s="1">
        <v>-6</v>
      </c>
      <c r="I2432" s="1">
        <v>4.91</v>
      </c>
      <c r="J2432" s="1">
        <v>0</v>
      </c>
      <c r="K2432" s="2">
        <v>43049</v>
      </c>
      <c r="L2432" s="1">
        <v>3716</v>
      </c>
      <c r="M2432" s="1">
        <v>3.63</v>
      </c>
      <c r="N2432" s="1">
        <v>0.60345000000000004</v>
      </c>
      <c r="O2432" s="3">
        <f>VLOOKUP(D2432,underlying!$D$40:$H$75,5,FALSE)</f>
        <v>-1.25</v>
      </c>
      <c r="P2432" s="4">
        <f t="shared" si="91"/>
        <v>43019</v>
      </c>
      <c r="Q2432" s="7">
        <f>IF(G2432="C",NormalCallSprd(O2432,H2432,M2432,(P2432-A2432)/365), NormalPutSprd(O2432,H2432,M2432,(P2432-A2432)/365))</f>
        <v>4.9396405529079761</v>
      </c>
      <c r="R2432" s="9">
        <f t="shared" si="90"/>
        <v>2.9640552907975959E-2</v>
      </c>
    </row>
    <row r="2433" spans="1:18" x14ac:dyDescent="0.2">
      <c r="A2433" s="2">
        <v>42622</v>
      </c>
      <c r="B2433" s="1" t="s">
        <v>56</v>
      </c>
      <c r="C2433" s="1" t="s">
        <v>57</v>
      </c>
      <c r="D2433" s="2">
        <v>42745</v>
      </c>
      <c r="E2433" s="2">
        <f t="shared" si="89"/>
        <v>43009</v>
      </c>
      <c r="F2433" s="1" t="s">
        <v>58</v>
      </c>
      <c r="G2433" s="1" t="s">
        <v>18</v>
      </c>
      <c r="H2433" s="1">
        <v>-6</v>
      </c>
      <c r="I2433" s="1">
        <v>0.19</v>
      </c>
      <c r="J2433" s="1">
        <v>0</v>
      </c>
      <c r="K2433" s="2">
        <v>43049</v>
      </c>
      <c r="L2433" s="1">
        <v>3716</v>
      </c>
      <c r="M2433" s="1">
        <v>3.63</v>
      </c>
      <c r="N2433" s="1">
        <v>0.63741999999999999</v>
      </c>
      <c r="O2433" s="3">
        <f>VLOOKUP(D2433,underlying!$D$40:$H$75,5,FALSE)</f>
        <v>-1.25</v>
      </c>
      <c r="P2433" s="4">
        <f t="shared" si="91"/>
        <v>43019</v>
      </c>
      <c r="Q2433" s="7">
        <f>IF(G2433="C",NormalCallSprd(O2433,H2433,M2433,(P2433-A2433)/365), NormalPutSprd(O2433,H2433,M2433,(P2433-A2433)/365))</f>
        <v>0.18964055290797657</v>
      </c>
      <c r="R2433" s="9">
        <f t="shared" si="90"/>
        <v>3.5944709202342939E-4</v>
      </c>
    </row>
    <row r="2434" spans="1:18" x14ac:dyDescent="0.2">
      <c r="A2434" s="2">
        <v>42622</v>
      </c>
      <c r="B2434" s="1" t="s">
        <v>56</v>
      </c>
      <c r="C2434" s="1" t="s">
        <v>57</v>
      </c>
      <c r="D2434" s="2">
        <v>42745</v>
      </c>
      <c r="E2434" s="2">
        <f t="shared" ref="E2434:E2497" si="92">DATE(YEAR(D2434),DAY(D2434),MONTH(D2434))</f>
        <v>43009</v>
      </c>
      <c r="F2434" s="1" t="s">
        <v>58</v>
      </c>
      <c r="G2434" s="1" t="s">
        <v>16</v>
      </c>
      <c r="H2434" s="1">
        <v>-5.75</v>
      </c>
      <c r="I2434" s="1">
        <v>4.6900000000000004</v>
      </c>
      <c r="J2434" s="1">
        <v>0</v>
      </c>
      <c r="K2434" s="2">
        <v>43049</v>
      </c>
      <c r="L2434" s="1">
        <v>3716</v>
      </c>
      <c r="M2434" s="1">
        <v>3.63</v>
      </c>
      <c r="N2434" s="1">
        <v>0.66929000000000005</v>
      </c>
      <c r="O2434" s="3">
        <f>VLOOKUP(D2434,underlying!$D$40:$H$75,5,FALSE)</f>
        <v>-1.25</v>
      </c>
      <c r="P2434" s="4">
        <f t="shared" si="91"/>
        <v>43019</v>
      </c>
      <c r="Q2434" s="7">
        <f>IF(G2434="C",NormalCallSprd(O2434,H2434,M2434,(P2434-A2434)/365), NormalPutSprd(O2434,H2434,M2434,(P2434-A2434)/365))</f>
        <v>4.7173797881128188</v>
      </c>
      <c r="R2434" s="9">
        <f t="shared" si="90"/>
        <v>2.7379788112818382E-2</v>
      </c>
    </row>
    <row r="2435" spans="1:18" x14ac:dyDescent="0.2">
      <c r="A2435" s="2">
        <v>42622</v>
      </c>
      <c r="B2435" s="1" t="s">
        <v>56</v>
      </c>
      <c r="C2435" s="1" t="s">
        <v>57</v>
      </c>
      <c r="D2435" s="2">
        <v>42745</v>
      </c>
      <c r="E2435" s="2">
        <f t="shared" si="92"/>
        <v>43009</v>
      </c>
      <c r="F2435" s="1" t="s">
        <v>58</v>
      </c>
      <c r="G2435" s="1" t="s">
        <v>18</v>
      </c>
      <c r="H2435" s="1">
        <v>-5.75</v>
      </c>
      <c r="I2435" s="1">
        <v>0.22</v>
      </c>
      <c r="J2435" s="1">
        <v>0</v>
      </c>
      <c r="K2435" s="2">
        <v>43049</v>
      </c>
      <c r="L2435" s="1">
        <v>3716</v>
      </c>
      <c r="M2435" s="1">
        <v>3.63</v>
      </c>
      <c r="N2435" s="1">
        <v>0.70150000000000001</v>
      </c>
      <c r="O2435" s="3">
        <f>VLOOKUP(D2435,underlying!$D$40:$H$75,5,FALSE)</f>
        <v>-1.25</v>
      </c>
      <c r="P2435" s="4">
        <f t="shared" si="91"/>
        <v>43019</v>
      </c>
      <c r="Q2435" s="7">
        <f>IF(G2435="C",NormalCallSprd(O2435,H2435,M2435,(P2435-A2435)/365), NormalPutSprd(O2435,H2435,M2435,(P2435-A2435)/365))</f>
        <v>0.21737978811281897</v>
      </c>
      <c r="R2435" s="9">
        <f t="shared" ref="R2435:R2498" si="93">ABS(Q2435-I2435)</f>
        <v>2.6202118871810343E-3</v>
      </c>
    </row>
    <row r="2436" spans="1:18" x14ac:dyDescent="0.2">
      <c r="A2436" s="2">
        <v>42622</v>
      </c>
      <c r="B2436" s="1" t="s">
        <v>56</v>
      </c>
      <c r="C2436" s="1" t="s">
        <v>57</v>
      </c>
      <c r="D2436" s="2">
        <v>42745</v>
      </c>
      <c r="E2436" s="2">
        <f t="shared" si="92"/>
        <v>43009</v>
      </c>
      <c r="F2436" s="1" t="s">
        <v>58</v>
      </c>
      <c r="G2436" s="1" t="s">
        <v>16</v>
      </c>
      <c r="H2436" s="1">
        <v>-5.5</v>
      </c>
      <c r="I2436" s="1">
        <v>4.47</v>
      </c>
      <c r="J2436" s="1">
        <v>0</v>
      </c>
      <c r="K2436" s="2">
        <v>43049</v>
      </c>
      <c r="L2436" s="1">
        <v>3716</v>
      </c>
      <c r="M2436" s="1">
        <v>3.63</v>
      </c>
      <c r="N2436" s="1">
        <v>0.73043000000000002</v>
      </c>
      <c r="O2436" s="3">
        <f>VLOOKUP(D2436,underlying!$D$40:$H$75,5,FALSE)</f>
        <v>-1.25</v>
      </c>
      <c r="P2436" s="4">
        <f t="shared" si="91"/>
        <v>43019</v>
      </c>
      <c r="Q2436" s="7">
        <f>IF(G2436="C",NormalCallSprd(O2436,H2436,M2436,(P2436-A2436)/365), NormalPutSprd(O2436,H2436,M2436,(P2436-A2436)/365))</f>
        <v>4.4983690765013753</v>
      </c>
      <c r="R2436" s="9">
        <f t="shared" si="93"/>
        <v>2.8369076501375545E-2</v>
      </c>
    </row>
    <row r="2437" spans="1:18" x14ac:dyDescent="0.2">
      <c r="A2437" s="2">
        <v>42622</v>
      </c>
      <c r="B2437" s="1" t="s">
        <v>56</v>
      </c>
      <c r="C2437" s="1" t="s">
        <v>57</v>
      </c>
      <c r="D2437" s="2">
        <v>42745</v>
      </c>
      <c r="E2437" s="2">
        <f t="shared" si="92"/>
        <v>43009</v>
      </c>
      <c r="F2437" s="1" t="s">
        <v>58</v>
      </c>
      <c r="G2437" s="1" t="s">
        <v>18</v>
      </c>
      <c r="H2437" s="1">
        <v>-5.5</v>
      </c>
      <c r="I2437" s="1">
        <v>0.25</v>
      </c>
      <c r="J2437" s="1">
        <v>0</v>
      </c>
      <c r="K2437" s="2">
        <v>43049</v>
      </c>
      <c r="L2437" s="1">
        <v>3716</v>
      </c>
      <c r="M2437" s="1">
        <v>3.63</v>
      </c>
      <c r="N2437" s="1">
        <v>0.75978000000000001</v>
      </c>
      <c r="O2437" s="3">
        <f>VLOOKUP(D2437,underlying!$D$40:$H$75,5,FALSE)</f>
        <v>-1.25</v>
      </c>
      <c r="P2437" s="4">
        <f t="shared" si="91"/>
        <v>43019</v>
      </c>
      <c r="Q2437" s="7">
        <f>IF(G2437="C",NormalCallSprd(O2437,H2437,M2437,(P2437-A2437)/365), NormalPutSprd(O2437,H2437,M2437,(P2437-A2437)/365))</f>
        <v>0.24836907650137538</v>
      </c>
      <c r="R2437" s="9">
        <f t="shared" si="93"/>
        <v>1.6309234986246202E-3</v>
      </c>
    </row>
    <row r="2438" spans="1:18" x14ac:dyDescent="0.2">
      <c r="A2438" s="2">
        <v>42622</v>
      </c>
      <c r="B2438" s="1" t="s">
        <v>56</v>
      </c>
      <c r="C2438" s="1" t="s">
        <v>57</v>
      </c>
      <c r="D2438" s="2">
        <v>42745</v>
      </c>
      <c r="E2438" s="2">
        <f t="shared" si="92"/>
        <v>43009</v>
      </c>
      <c r="F2438" s="1" t="s">
        <v>58</v>
      </c>
      <c r="G2438" s="1" t="s">
        <v>16</v>
      </c>
      <c r="H2438" s="1">
        <v>-5.25</v>
      </c>
      <c r="I2438" s="1">
        <v>4.26</v>
      </c>
      <c r="J2438" s="1">
        <v>0</v>
      </c>
      <c r="K2438" s="2">
        <v>43049</v>
      </c>
      <c r="L2438" s="1">
        <v>3716</v>
      </c>
      <c r="M2438" s="1">
        <v>3.63</v>
      </c>
      <c r="N2438" s="1">
        <v>0.78522000000000003</v>
      </c>
      <c r="O2438" s="3">
        <f>VLOOKUP(D2438,underlying!$D$40:$H$75,5,FALSE)</f>
        <v>-1.25</v>
      </c>
      <c r="P2438" s="4">
        <f t="shared" si="91"/>
        <v>43019</v>
      </c>
      <c r="Q2438" s="7">
        <f>IF(G2438="C",NormalCallSprd(O2438,H2438,M2438,(P2438-A2438)/365), NormalPutSprd(O2438,H2438,M2438,(P2438-A2438)/365))</f>
        <v>4.2828659592944032</v>
      </c>
      <c r="R2438" s="9">
        <f t="shared" si="93"/>
        <v>2.2865959294403382E-2</v>
      </c>
    </row>
    <row r="2439" spans="1:18" x14ac:dyDescent="0.2">
      <c r="A2439" s="2">
        <v>42622</v>
      </c>
      <c r="B2439" s="1" t="s">
        <v>56</v>
      </c>
      <c r="C2439" s="1" t="s">
        <v>57</v>
      </c>
      <c r="D2439" s="2">
        <v>42745</v>
      </c>
      <c r="E2439" s="2">
        <f t="shared" si="92"/>
        <v>43009</v>
      </c>
      <c r="F2439" s="1" t="s">
        <v>58</v>
      </c>
      <c r="G2439" s="1" t="s">
        <v>18</v>
      </c>
      <c r="H2439" s="1">
        <v>-5.25</v>
      </c>
      <c r="I2439" s="1">
        <v>0.28000000000000003</v>
      </c>
      <c r="J2439" s="1">
        <v>0</v>
      </c>
      <c r="K2439" s="2">
        <v>43049</v>
      </c>
      <c r="L2439" s="1">
        <v>3716</v>
      </c>
      <c r="M2439" s="1">
        <v>3.63</v>
      </c>
      <c r="N2439" s="1">
        <v>0.80994999999999995</v>
      </c>
      <c r="O2439" s="3">
        <f>VLOOKUP(D2439,underlying!$D$40:$H$75,5,FALSE)</f>
        <v>-1.25</v>
      </c>
      <c r="P2439" s="4">
        <f t="shared" si="91"/>
        <v>43019</v>
      </c>
      <c r="Q2439" s="7">
        <f>IF(G2439="C",NormalCallSprd(O2439,H2439,M2439,(P2439-A2439)/365), NormalPutSprd(O2439,H2439,M2439,(P2439-A2439)/365))</f>
        <v>0.28286595929440361</v>
      </c>
      <c r="R2439" s="9">
        <f t="shared" si="93"/>
        <v>2.8659592944035861E-3</v>
      </c>
    </row>
    <row r="2440" spans="1:18" x14ac:dyDescent="0.2">
      <c r="A2440" s="2">
        <v>42622</v>
      </c>
      <c r="B2440" s="1" t="s">
        <v>56</v>
      </c>
      <c r="C2440" s="1" t="s">
        <v>57</v>
      </c>
      <c r="D2440" s="2">
        <v>42745</v>
      </c>
      <c r="E2440" s="2">
        <f t="shared" si="92"/>
        <v>43009</v>
      </c>
      <c r="F2440" s="1" t="s">
        <v>58</v>
      </c>
      <c r="G2440" s="1" t="s">
        <v>16</v>
      </c>
      <c r="H2440" s="1">
        <v>-5</v>
      </c>
      <c r="I2440" s="1">
        <v>4.05</v>
      </c>
      <c r="J2440" s="1">
        <v>0</v>
      </c>
      <c r="K2440" s="2">
        <v>43049</v>
      </c>
      <c r="L2440" s="1">
        <v>3716</v>
      </c>
      <c r="M2440" s="1">
        <v>3.64</v>
      </c>
      <c r="N2440" s="1">
        <v>0.83282</v>
      </c>
      <c r="O2440" s="3">
        <f>VLOOKUP(D2440,underlying!$D$40:$H$75,5,FALSE)</f>
        <v>-1.25</v>
      </c>
      <c r="P2440" s="4">
        <f t="shared" si="91"/>
        <v>43019</v>
      </c>
      <c r="Q2440" s="7">
        <f>IF(G2440="C",NormalCallSprd(O2440,H2440,M2440,(P2440-A2440)/365), NormalPutSprd(O2440,H2440,M2440,(P2440-A2440)/365))</f>
        <v>4.0736827606359824</v>
      </c>
      <c r="R2440" s="9">
        <f t="shared" si="93"/>
        <v>2.3682760635982625E-2</v>
      </c>
    </row>
    <row r="2441" spans="1:18" x14ac:dyDescent="0.2">
      <c r="A2441" s="2">
        <v>42622</v>
      </c>
      <c r="B2441" s="1" t="s">
        <v>56</v>
      </c>
      <c r="C2441" s="1" t="s">
        <v>57</v>
      </c>
      <c r="D2441" s="2">
        <v>42745</v>
      </c>
      <c r="E2441" s="2">
        <f t="shared" si="92"/>
        <v>43009</v>
      </c>
      <c r="F2441" s="1" t="s">
        <v>58</v>
      </c>
      <c r="G2441" s="1" t="s">
        <v>18</v>
      </c>
      <c r="H2441" s="1">
        <v>-5</v>
      </c>
      <c r="I2441" s="1">
        <v>0.32</v>
      </c>
      <c r="J2441" s="1">
        <v>0</v>
      </c>
      <c r="K2441" s="2">
        <v>43049</v>
      </c>
      <c r="L2441" s="1">
        <v>3716</v>
      </c>
      <c r="M2441" s="1">
        <v>3.64</v>
      </c>
      <c r="N2441" s="1">
        <v>0.8538</v>
      </c>
      <c r="O2441" s="3">
        <f>VLOOKUP(D2441,underlying!$D$40:$H$75,5,FALSE)</f>
        <v>-1.25</v>
      </c>
      <c r="P2441" s="4">
        <f t="shared" si="91"/>
        <v>43019</v>
      </c>
      <c r="Q2441" s="7">
        <f>IF(G2441="C",NormalCallSprd(O2441,H2441,M2441,(P2441-A2441)/365), NormalPutSprd(O2441,H2441,M2441,(P2441-A2441)/365))</f>
        <v>0.32368276063598311</v>
      </c>
      <c r="R2441" s="9">
        <f t="shared" si="93"/>
        <v>3.6827606359831067E-3</v>
      </c>
    </row>
    <row r="2442" spans="1:18" x14ac:dyDescent="0.2">
      <c r="A2442" s="2">
        <v>42622</v>
      </c>
      <c r="B2442" s="1" t="s">
        <v>56</v>
      </c>
      <c r="C2442" s="1" t="s">
        <v>57</v>
      </c>
      <c r="D2442" s="2">
        <v>42745</v>
      </c>
      <c r="E2442" s="2">
        <f t="shared" si="92"/>
        <v>43009</v>
      </c>
      <c r="F2442" s="1" t="s">
        <v>58</v>
      </c>
      <c r="G2442" s="1" t="s">
        <v>16</v>
      </c>
      <c r="H2442" s="1">
        <v>-4.75</v>
      </c>
      <c r="I2442" s="1">
        <v>3.84</v>
      </c>
      <c r="J2442" s="1">
        <v>0</v>
      </c>
      <c r="K2442" s="2">
        <v>43049</v>
      </c>
      <c r="L2442" s="1">
        <v>3716</v>
      </c>
      <c r="M2442" s="1">
        <v>3.64</v>
      </c>
      <c r="N2442" s="1">
        <v>0.87290000000000001</v>
      </c>
      <c r="O2442" s="3">
        <f>VLOOKUP(D2442,underlying!$D$40:$H$75,5,FALSE)</f>
        <v>-1.25</v>
      </c>
      <c r="P2442" s="4">
        <f t="shared" si="91"/>
        <v>43019</v>
      </c>
      <c r="Q2442" s="7">
        <f>IF(G2442="C",NormalCallSprd(O2442,H2442,M2442,(P2442-A2442)/365), NormalPutSprd(O2442,H2442,M2442,(P2442-A2442)/365))</f>
        <v>3.8661472139758644</v>
      </c>
      <c r="R2442" s="9">
        <f t="shared" si="93"/>
        <v>2.6147213975864503E-2</v>
      </c>
    </row>
    <row r="2443" spans="1:18" x14ac:dyDescent="0.2">
      <c r="A2443" s="2">
        <v>42622</v>
      </c>
      <c r="B2443" s="1" t="s">
        <v>56</v>
      </c>
      <c r="C2443" s="1" t="s">
        <v>57</v>
      </c>
      <c r="D2443" s="2">
        <v>42745</v>
      </c>
      <c r="E2443" s="2">
        <f t="shared" si="92"/>
        <v>43009</v>
      </c>
      <c r="F2443" s="1" t="s">
        <v>58</v>
      </c>
      <c r="G2443" s="1" t="s">
        <v>18</v>
      </c>
      <c r="H2443" s="1">
        <v>-4.75</v>
      </c>
      <c r="I2443" s="1">
        <v>0.36</v>
      </c>
      <c r="J2443" s="1">
        <v>-0.01</v>
      </c>
      <c r="K2443" s="2">
        <v>43049</v>
      </c>
      <c r="L2443" s="1">
        <v>3716</v>
      </c>
      <c r="M2443" s="1">
        <v>3.64</v>
      </c>
      <c r="N2443" s="1">
        <v>0.89015</v>
      </c>
      <c r="O2443" s="3">
        <f>VLOOKUP(D2443,underlying!$D$40:$H$75,5,FALSE)</f>
        <v>-1.25</v>
      </c>
      <c r="P2443" s="4">
        <f t="shared" si="91"/>
        <v>43019</v>
      </c>
      <c r="Q2443" s="7">
        <f>IF(G2443="C",NormalCallSprd(O2443,H2443,M2443,(P2443-A2443)/365), NormalPutSprd(O2443,H2443,M2443,(P2443-A2443)/365))</f>
        <v>0.36614721397586464</v>
      </c>
      <c r="R2443" s="9">
        <f t="shared" si="93"/>
        <v>6.1472139758646516E-3</v>
      </c>
    </row>
    <row r="2444" spans="1:18" x14ac:dyDescent="0.2">
      <c r="A2444" s="2">
        <v>42622</v>
      </c>
      <c r="B2444" s="1" t="s">
        <v>56</v>
      </c>
      <c r="C2444" s="1" t="s">
        <v>57</v>
      </c>
      <c r="D2444" s="2">
        <v>42745</v>
      </c>
      <c r="E2444" s="2">
        <f t="shared" si="92"/>
        <v>43009</v>
      </c>
      <c r="F2444" s="1" t="s">
        <v>58</v>
      </c>
      <c r="G2444" s="1" t="s">
        <v>16</v>
      </c>
      <c r="H2444" s="1">
        <v>-4.5</v>
      </c>
      <c r="I2444" s="1">
        <v>3.64</v>
      </c>
      <c r="J2444" s="1">
        <v>0</v>
      </c>
      <c r="K2444" s="2">
        <v>43049</v>
      </c>
      <c r="L2444" s="1">
        <v>3716</v>
      </c>
      <c r="M2444" s="1">
        <v>3.65</v>
      </c>
      <c r="N2444" s="1">
        <v>0.90561000000000003</v>
      </c>
      <c r="O2444" s="3">
        <f>VLOOKUP(D2444,underlying!$D$40:$H$75,5,FALSE)</f>
        <v>-1.25</v>
      </c>
      <c r="P2444" s="4">
        <f t="shared" si="91"/>
        <v>43019</v>
      </c>
      <c r="Q2444" s="7">
        <f>IF(G2444="C",NormalCallSprd(O2444,H2444,M2444,(P2444-A2444)/365), NormalPutSprd(O2444,H2444,M2444,(P2444-A2444)/365))</f>
        <v>3.6657923444895673</v>
      </c>
      <c r="R2444" s="9">
        <f t="shared" si="93"/>
        <v>2.5792344489567132E-2</v>
      </c>
    </row>
    <row r="2445" spans="1:18" x14ac:dyDescent="0.2">
      <c r="A2445" s="2">
        <v>42622</v>
      </c>
      <c r="B2445" s="1" t="s">
        <v>56</v>
      </c>
      <c r="C2445" s="1" t="s">
        <v>57</v>
      </c>
      <c r="D2445" s="2">
        <v>42745</v>
      </c>
      <c r="E2445" s="2">
        <f t="shared" si="92"/>
        <v>43009</v>
      </c>
      <c r="F2445" s="1" t="s">
        <v>58</v>
      </c>
      <c r="G2445" s="1" t="s">
        <v>18</v>
      </c>
      <c r="H2445" s="1">
        <v>-4.5</v>
      </c>
      <c r="I2445" s="1">
        <v>0.41</v>
      </c>
      <c r="J2445" s="1">
        <v>0</v>
      </c>
      <c r="K2445" s="2">
        <v>43049</v>
      </c>
      <c r="L2445" s="1">
        <v>3716</v>
      </c>
      <c r="M2445" s="1">
        <v>3.65</v>
      </c>
      <c r="N2445" s="1">
        <v>0.91935</v>
      </c>
      <c r="O2445" s="3">
        <f>VLOOKUP(D2445,underlying!$D$40:$H$75,5,FALSE)</f>
        <v>-1.25</v>
      </c>
      <c r="P2445" s="4">
        <f t="shared" si="91"/>
        <v>43019</v>
      </c>
      <c r="Q2445" s="7">
        <f>IF(G2445="C",NormalCallSprd(O2445,H2445,M2445,(P2445-A2445)/365), NormalPutSprd(O2445,H2445,M2445,(P2445-A2445)/365))</f>
        <v>0.41579234448956709</v>
      </c>
      <c r="R2445" s="9">
        <f t="shared" si="93"/>
        <v>5.7923444895671139E-3</v>
      </c>
    </row>
    <row r="2446" spans="1:18" x14ac:dyDescent="0.2">
      <c r="A2446" s="2">
        <v>42622</v>
      </c>
      <c r="B2446" s="1" t="s">
        <v>56</v>
      </c>
      <c r="C2446" s="1" t="s">
        <v>57</v>
      </c>
      <c r="D2446" s="2">
        <v>42745</v>
      </c>
      <c r="E2446" s="2">
        <f t="shared" si="92"/>
        <v>43009</v>
      </c>
      <c r="F2446" s="1" t="s">
        <v>58</v>
      </c>
      <c r="G2446" s="1" t="s">
        <v>16</v>
      </c>
      <c r="H2446" s="1">
        <v>-4.25</v>
      </c>
      <c r="I2446" s="1">
        <v>3.45</v>
      </c>
      <c r="J2446" s="1">
        <v>0</v>
      </c>
      <c r="K2446" s="2">
        <v>43049</v>
      </c>
      <c r="L2446" s="1">
        <v>3716</v>
      </c>
      <c r="M2446" s="1">
        <v>3.65</v>
      </c>
      <c r="N2446" s="1">
        <v>0.93147999999999997</v>
      </c>
      <c r="O2446" s="3">
        <f>VLOOKUP(D2446,underlying!$D$40:$H$75,5,FALSE)</f>
        <v>-1.25</v>
      </c>
      <c r="P2446" s="4">
        <f t="shared" si="91"/>
        <v>43019</v>
      </c>
      <c r="Q2446" s="7">
        <f>IF(G2446="C",NormalCallSprd(O2446,H2446,M2446,(P2446-A2446)/365), NormalPutSprd(O2446,H2446,M2446,(P2446-A2446)/365))</f>
        <v>3.467263318649493</v>
      </c>
      <c r="R2446" s="9">
        <f t="shared" si="93"/>
        <v>1.726331864949282E-2</v>
      </c>
    </row>
    <row r="2447" spans="1:18" x14ac:dyDescent="0.2">
      <c r="A2447" s="2">
        <v>42622</v>
      </c>
      <c r="B2447" s="1" t="s">
        <v>56</v>
      </c>
      <c r="C2447" s="1" t="s">
        <v>57</v>
      </c>
      <c r="D2447" s="2">
        <v>42745</v>
      </c>
      <c r="E2447" s="2">
        <f t="shared" si="92"/>
        <v>43009</v>
      </c>
      <c r="F2447" s="1" t="s">
        <v>58</v>
      </c>
      <c r="G2447" s="1" t="s">
        <v>18</v>
      </c>
      <c r="H2447" s="1">
        <v>-4.25</v>
      </c>
      <c r="I2447" s="1">
        <v>0.46</v>
      </c>
      <c r="J2447" s="1">
        <v>-0.01</v>
      </c>
      <c r="K2447" s="2">
        <v>43049</v>
      </c>
      <c r="L2447" s="1">
        <v>3716</v>
      </c>
      <c r="M2447" s="1">
        <v>3.65</v>
      </c>
      <c r="N2447" s="1">
        <v>0.94208999999999998</v>
      </c>
      <c r="O2447" s="3">
        <f>VLOOKUP(D2447,underlying!$D$40:$H$75,5,FALSE)</f>
        <v>-1.25</v>
      </c>
      <c r="P2447" s="4">
        <f t="shared" si="91"/>
        <v>43019</v>
      </c>
      <c r="Q2447" s="7">
        <f>IF(G2447="C",NormalCallSprd(O2447,H2447,M2447,(P2447-A2447)/365), NormalPutSprd(O2447,H2447,M2447,(P2447-A2447)/365))</f>
        <v>0.46726331864949289</v>
      </c>
      <c r="R2447" s="9">
        <f t="shared" si="93"/>
        <v>7.263318649492867E-3</v>
      </c>
    </row>
    <row r="2448" spans="1:18" x14ac:dyDescent="0.2">
      <c r="A2448" s="2">
        <v>42622</v>
      </c>
      <c r="B2448" s="1" t="s">
        <v>56</v>
      </c>
      <c r="C2448" s="1" t="s">
        <v>57</v>
      </c>
      <c r="D2448" s="2">
        <v>42745</v>
      </c>
      <c r="E2448" s="2">
        <f t="shared" si="92"/>
        <v>43009</v>
      </c>
      <c r="F2448" s="1" t="s">
        <v>58</v>
      </c>
      <c r="G2448" s="1" t="s">
        <v>16</v>
      </c>
      <c r="H2448" s="1">
        <v>-4</v>
      </c>
      <c r="I2448" s="1">
        <v>3.25</v>
      </c>
      <c r="J2448" s="1">
        <v>0</v>
      </c>
      <c r="K2448" s="2">
        <v>43049</v>
      </c>
      <c r="L2448" s="1">
        <v>3716</v>
      </c>
      <c r="M2448" s="1">
        <v>3.65</v>
      </c>
      <c r="N2448" s="1">
        <v>0.95130999999999999</v>
      </c>
      <c r="O2448" s="3">
        <f>VLOOKUP(D2448,underlying!$D$40:$H$75,5,FALSE)</f>
        <v>-1.25</v>
      </c>
      <c r="P2448" s="4">
        <f t="shared" si="91"/>
        <v>43019</v>
      </c>
      <c r="Q2448" s="7">
        <f>IF(G2448="C",NormalCallSprd(O2448,H2448,M2448,(P2448-A2448)/365), NormalPutSprd(O2448,H2448,M2448,(P2448-A2448)/365))</f>
        <v>3.2735351615332902</v>
      </c>
      <c r="R2448" s="9">
        <f t="shared" si="93"/>
        <v>2.3535161533290161E-2</v>
      </c>
    </row>
    <row r="2449" spans="1:18" x14ac:dyDescent="0.2">
      <c r="A2449" s="2">
        <v>42622</v>
      </c>
      <c r="B2449" s="1" t="s">
        <v>56</v>
      </c>
      <c r="C2449" s="1" t="s">
        <v>57</v>
      </c>
      <c r="D2449" s="2">
        <v>42745</v>
      </c>
      <c r="E2449" s="2">
        <f t="shared" si="92"/>
        <v>43009</v>
      </c>
      <c r="F2449" s="1" t="s">
        <v>58</v>
      </c>
      <c r="G2449" s="1" t="s">
        <v>18</v>
      </c>
      <c r="H2449" s="1">
        <v>-4</v>
      </c>
      <c r="I2449" s="1">
        <v>0.52</v>
      </c>
      <c r="J2449" s="1">
        <v>0</v>
      </c>
      <c r="K2449" s="2">
        <v>43049</v>
      </c>
      <c r="L2449" s="1">
        <v>3716</v>
      </c>
      <c r="M2449" s="1">
        <v>3.65</v>
      </c>
      <c r="N2449" s="1">
        <v>0.95925000000000005</v>
      </c>
      <c r="O2449" s="3">
        <f>VLOOKUP(D2449,underlying!$D$40:$H$75,5,FALSE)</f>
        <v>-1.25</v>
      </c>
      <c r="P2449" s="4">
        <f t="shared" si="91"/>
        <v>43019</v>
      </c>
      <c r="Q2449" s="7">
        <f>IF(G2449="C",NormalCallSprd(O2449,H2449,M2449,(P2449-A2449)/365), NormalPutSprd(O2449,H2449,M2449,(P2449-A2449)/365))</f>
        <v>0.52353516153329016</v>
      </c>
      <c r="R2449" s="9">
        <f t="shared" si="93"/>
        <v>3.5351615332901432E-3</v>
      </c>
    </row>
    <row r="2450" spans="1:18" x14ac:dyDescent="0.2">
      <c r="A2450" s="2">
        <v>42622</v>
      </c>
      <c r="B2450" s="1" t="s">
        <v>56</v>
      </c>
      <c r="C2450" s="1" t="s">
        <v>57</v>
      </c>
      <c r="D2450" s="2">
        <v>42745</v>
      </c>
      <c r="E2450" s="2">
        <f t="shared" si="92"/>
        <v>43009</v>
      </c>
      <c r="F2450" s="1" t="s">
        <v>58</v>
      </c>
      <c r="G2450" s="1" t="s">
        <v>16</v>
      </c>
      <c r="H2450" s="1">
        <v>-3.75</v>
      </c>
      <c r="I2450" s="1">
        <v>3.07</v>
      </c>
      <c r="J2450" s="1">
        <v>0</v>
      </c>
      <c r="K2450" s="2">
        <v>43049</v>
      </c>
      <c r="L2450" s="1">
        <v>3716</v>
      </c>
      <c r="M2450" s="1">
        <v>3.65</v>
      </c>
      <c r="N2450" s="1">
        <v>0.98070000000000002</v>
      </c>
      <c r="O2450" s="3">
        <f>VLOOKUP(D2450,underlying!$D$40:$H$75,5,FALSE)</f>
        <v>-1.25</v>
      </c>
      <c r="P2450" s="4">
        <f t="shared" si="91"/>
        <v>43019</v>
      </c>
      <c r="Q2450" s="7">
        <f>IF(G2450="C",NormalCallSprd(O2450,H2450,M2450,(P2450-A2450)/365), NormalPutSprd(O2450,H2450,M2450,(P2450-A2450)/365))</f>
        <v>3.0848518281362773</v>
      </c>
      <c r="R2450" s="9">
        <f t="shared" si="93"/>
        <v>1.4851828136277501E-2</v>
      </c>
    </row>
    <row r="2451" spans="1:18" x14ac:dyDescent="0.2">
      <c r="A2451" s="2">
        <v>42622</v>
      </c>
      <c r="B2451" s="1" t="s">
        <v>56</v>
      </c>
      <c r="C2451" s="1" t="s">
        <v>57</v>
      </c>
      <c r="D2451" s="2">
        <v>42745</v>
      </c>
      <c r="E2451" s="2">
        <f t="shared" si="92"/>
        <v>43009</v>
      </c>
      <c r="F2451" s="1" t="s">
        <v>58</v>
      </c>
      <c r="G2451" s="1" t="s">
        <v>18</v>
      </c>
      <c r="H2451" s="1">
        <v>-3.75</v>
      </c>
      <c r="I2451" s="1">
        <v>0.57999999999999996</v>
      </c>
      <c r="J2451" s="1">
        <v>0</v>
      </c>
      <c r="K2451" s="2">
        <v>43049</v>
      </c>
      <c r="L2451" s="1">
        <v>3716</v>
      </c>
      <c r="M2451" s="1">
        <v>3.65</v>
      </c>
      <c r="N2451" s="1">
        <v>-0.83221999999999996</v>
      </c>
      <c r="O2451" s="3">
        <f>VLOOKUP(D2451,underlying!$D$40:$H$75,5,FALSE)</f>
        <v>-1.25</v>
      </c>
      <c r="P2451" s="4">
        <f t="shared" si="91"/>
        <v>43019</v>
      </c>
      <c r="Q2451" s="7">
        <f>IF(G2451="C",NormalCallSprd(O2451,H2451,M2451,(P2451-A2451)/365), NormalPutSprd(O2451,H2451,M2451,(P2451-A2451)/365))</f>
        <v>0.58485182813627745</v>
      </c>
      <c r="R2451" s="9">
        <f t="shared" si="93"/>
        <v>4.8518281362774918E-3</v>
      </c>
    </row>
    <row r="2452" spans="1:18" x14ac:dyDescent="0.2">
      <c r="A2452" s="2">
        <v>42622</v>
      </c>
      <c r="B2452" s="1" t="s">
        <v>56</v>
      </c>
      <c r="C2452" s="1" t="s">
        <v>57</v>
      </c>
      <c r="D2452" s="2">
        <v>42745</v>
      </c>
      <c r="E2452" s="2">
        <f t="shared" si="92"/>
        <v>43009</v>
      </c>
      <c r="F2452" s="1" t="s">
        <v>58</v>
      </c>
      <c r="G2452" s="1" t="s">
        <v>16</v>
      </c>
      <c r="H2452" s="1">
        <v>-3.5</v>
      </c>
      <c r="I2452" s="1">
        <v>2.88</v>
      </c>
      <c r="J2452" s="1">
        <v>-0.01</v>
      </c>
      <c r="K2452" s="2">
        <v>43049</v>
      </c>
      <c r="L2452" s="1">
        <v>3716</v>
      </c>
      <c r="M2452" s="1">
        <v>3.65</v>
      </c>
      <c r="N2452" s="1">
        <v>-0.80935999999999997</v>
      </c>
      <c r="O2452" s="3">
        <f>VLOOKUP(D2452,underlying!$D$40:$H$75,5,FALSE)</f>
        <v>-1.25</v>
      </c>
      <c r="P2452" s="4">
        <f t="shared" si="91"/>
        <v>43019</v>
      </c>
      <c r="Q2452" s="7">
        <f>IF(G2452="C",NormalCallSprd(O2452,H2452,M2452,(P2452-A2452)/365), NormalPutSprd(O2452,H2452,M2452,(P2452-A2452)/365))</f>
        <v>2.9014468706899437</v>
      </c>
      <c r="R2452" s="9">
        <f t="shared" si="93"/>
        <v>2.1446870689943776E-2</v>
      </c>
    </row>
    <row r="2453" spans="1:18" x14ac:dyDescent="0.2">
      <c r="A2453" s="2">
        <v>42622</v>
      </c>
      <c r="B2453" s="1" t="s">
        <v>56</v>
      </c>
      <c r="C2453" s="1" t="s">
        <v>57</v>
      </c>
      <c r="D2453" s="2">
        <v>42745</v>
      </c>
      <c r="E2453" s="2">
        <f t="shared" si="92"/>
        <v>43009</v>
      </c>
      <c r="F2453" s="1" t="s">
        <v>58</v>
      </c>
      <c r="G2453" s="1" t="s">
        <v>18</v>
      </c>
      <c r="H2453" s="1">
        <v>-3.5</v>
      </c>
      <c r="I2453" s="1">
        <v>0.65</v>
      </c>
      <c r="J2453" s="1">
        <v>0</v>
      </c>
      <c r="K2453" s="2">
        <v>43049</v>
      </c>
      <c r="L2453" s="1">
        <v>3716</v>
      </c>
      <c r="M2453" s="1">
        <v>3.65</v>
      </c>
      <c r="N2453" s="1">
        <v>-0.78522000000000003</v>
      </c>
      <c r="O2453" s="3">
        <f>VLOOKUP(D2453,underlying!$D$40:$H$75,5,FALSE)</f>
        <v>-1.25</v>
      </c>
      <c r="P2453" s="4">
        <f t="shared" si="91"/>
        <v>43019</v>
      </c>
      <c r="Q2453" s="7">
        <f>IF(G2453="C",NormalCallSprd(O2453,H2453,M2453,(P2453-A2453)/365), NormalPutSprd(O2453,H2453,M2453,(P2453-A2453)/365))</f>
        <v>0.65144687068994378</v>
      </c>
      <c r="R2453" s="9">
        <f t="shared" si="93"/>
        <v>1.4468706899437578E-3</v>
      </c>
    </row>
    <row r="2454" spans="1:18" x14ac:dyDescent="0.2">
      <c r="A2454" s="2">
        <v>42622</v>
      </c>
      <c r="B2454" s="1" t="s">
        <v>56</v>
      </c>
      <c r="C2454" s="1" t="s">
        <v>57</v>
      </c>
      <c r="D2454" s="2">
        <v>42745</v>
      </c>
      <c r="E2454" s="2">
        <f t="shared" si="92"/>
        <v>43009</v>
      </c>
      <c r="F2454" s="1" t="s">
        <v>58</v>
      </c>
      <c r="G2454" s="1" t="s">
        <v>16</v>
      </c>
      <c r="H2454" s="1">
        <v>-3.25</v>
      </c>
      <c r="I2454" s="1">
        <v>2.7</v>
      </c>
      <c r="J2454" s="1">
        <v>0</v>
      </c>
      <c r="K2454" s="2">
        <v>43049</v>
      </c>
      <c r="L2454" s="1">
        <v>3716</v>
      </c>
      <c r="M2454" s="1">
        <v>3.63</v>
      </c>
      <c r="N2454" s="1">
        <v>-6.5700000000000003E-3</v>
      </c>
      <c r="O2454" s="3">
        <f>VLOOKUP(D2454,underlying!$D$40:$H$75,5,FALSE)</f>
        <v>-1.25</v>
      </c>
      <c r="P2454" s="4">
        <f t="shared" si="91"/>
        <v>43019</v>
      </c>
      <c r="Q2454" s="7">
        <f>IF(G2454="C",NormalCallSprd(O2454,H2454,M2454,(P2454-A2454)/365), NormalPutSprd(O2454,H2454,M2454,(P2454-A2454)/365))</f>
        <v>2.7162979313026803</v>
      </c>
      <c r="R2454" s="9">
        <f t="shared" si="93"/>
        <v>1.6297931302680091E-2</v>
      </c>
    </row>
    <row r="2455" spans="1:18" x14ac:dyDescent="0.2">
      <c r="A2455" s="2">
        <v>42622</v>
      </c>
      <c r="B2455" s="1" t="s">
        <v>56</v>
      </c>
      <c r="C2455" s="1" t="s">
        <v>57</v>
      </c>
      <c r="D2455" s="2">
        <v>42745</v>
      </c>
      <c r="E2455" s="2">
        <f t="shared" si="92"/>
        <v>43009</v>
      </c>
      <c r="F2455" s="1" t="s">
        <v>58</v>
      </c>
      <c r="G2455" s="1" t="s">
        <v>18</v>
      </c>
      <c r="H2455" s="1">
        <v>-3.25</v>
      </c>
      <c r="I2455" s="1">
        <v>0.71</v>
      </c>
      <c r="J2455" s="1">
        <v>0</v>
      </c>
      <c r="K2455" s="2">
        <v>43049</v>
      </c>
      <c r="L2455" s="1">
        <v>3716</v>
      </c>
      <c r="M2455" s="1">
        <v>3.63</v>
      </c>
      <c r="N2455" s="1">
        <v>-0.75978000000000001</v>
      </c>
      <c r="O2455" s="3">
        <f>VLOOKUP(D2455,underlying!$D$40:$H$75,5,FALSE)</f>
        <v>-1.25</v>
      </c>
      <c r="P2455" s="4">
        <f t="shared" si="91"/>
        <v>43019</v>
      </c>
      <c r="Q2455" s="7">
        <f>IF(G2455="C",NormalCallSprd(O2455,H2455,M2455,(P2455-A2455)/365), NormalPutSprd(O2455,H2455,M2455,(P2455-A2455)/365))</f>
        <v>0.71629793130268016</v>
      </c>
      <c r="R2455" s="9">
        <f t="shared" si="93"/>
        <v>6.2979313026801931E-3</v>
      </c>
    </row>
    <row r="2456" spans="1:18" x14ac:dyDescent="0.2">
      <c r="A2456" s="2">
        <v>42622</v>
      </c>
      <c r="B2456" s="1" t="s">
        <v>56</v>
      </c>
      <c r="C2456" s="1" t="s">
        <v>57</v>
      </c>
      <c r="D2456" s="2">
        <v>42745</v>
      </c>
      <c r="E2456" s="2">
        <f t="shared" si="92"/>
        <v>43009</v>
      </c>
      <c r="F2456" s="1" t="s">
        <v>58</v>
      </c>
      <c r="G2456" s="1" t="s">
        <v>16</v>
      </c>
      <c r="H2456" s="1">
        <v>-3</v>
      </c>
      <c r="I2456" s="1">
        <v>2.54</v>
      </c>
      <c r="J2456" s="1">
        <v>0</v>
      </c>
      <c r="K2456" s="2">
        <v>43049</v>
      </c>
      <c r="L2456" s="1">
        <v>3716</v>
      </c>
      <c r="M2456" s="1">
        <v>3.65</v>
      </c>
      <c r="N2456" s="1">
        <v>-2.2499999999999998E-3</v>
      </c>
      <c r="O2456" s="3">
        <f>VLOOKUP(D2456,underlying!$D$40:$H$75,5,FALSE)</f>
        <v>-1.25</v>
      </c>
      <c r="P2456" s="4">
        <f t="shared" si="91"/>
        <v>43019</v>
      </c>
      <c r="Q2456" s="7">
        <f>IF(G2456="C",NormalCallSprd(O2456,H2456,M2456,(P2456-A2456)/365), NormalPutSprd(O2456,H2456,M2456,(P2456-A2456)/365))</f>
        <v>2.5513391155397733</v>
      </c>
      <c r="R2456" s="9">
        <f t="shared" si="93"/>
        <v>1.1339115539773292E-2</v>
      </c>
    </row>
    <row r="2457" spans="1:18" x14ac:dyDescent="0.2">
      <c r="A2457" s="2">
        <v>42622</v>
      </c>
      <c r="B2457" s="1" t="s">
        <v>56</v>
      </c>
      <c r="C2457" s="1" t="s">
        <v>57</v>
      </c>
      <c r="D2457" s="2">
        <v>42745</v>
      </c>
      <c r="E2457" s="2">
        <f t="shared" si="92"/>
        <v>43009</v>
      </c>
      <c r="F2457" s="1" t="s">
        <v>58</v>
      </c>
      <c r="G2457" s="1" t="s">
        <v>18</v>
      </c>
      <c r="H2457" s="1">
        <v>-3</v>
      </c>
      <c r="I2457" s="1">
        <v>0.8</v>
      </c>
      <c r="J2457" s="1">
        <v>0</v>
      </c>
      <c r="K2457" s="2">
        <v>43049</v>
      </c>
      <c r="L2457" s="1">
        <v>3716</v>
      </c>
      <c r="M2457" s="1">
        <v>3.65</v>
      </c>
      <c r="N2457" s="1">
        <v>-0.73043000000000002</v>
      </c>
      <c r="O2457" s="3">
        <f>VLOOKUP(D2457,underlying!$D$40:$H$75,5,FALSE)</f>
        <v>-1.25</v>
      </c>
      <c r="P2457" s="4">
        <f t="shared" si="91"/>
        <v>43019</v>
      </c>
      <c r="Q2457" s="7">
        <f>IF(G2457="C",NormalCallSprd(O2457,H2457,M2457,(P2457-A2457)/365), NormalPutSprd(O2457,H2457,M2457,(P2457-A2457)/365))</f>
        <v>0.80133911553977299</v>
      </c>
      <c r="R2457" s="9">
        <f t="shared" si="93"/>
        <v>1.3391155397729504E-3</v>
      </c>
    </row>
    <row r="2458" spans="1:18" x14ac:dyDescent="0.2">
      <c r="A2458" s="2">
        <v>42622</v>
      </c>
      <c r="B2458" s="1" t="s">
        <v>56</v>
      </c>
      <c r="C2458" s="1" t="s">
        <v>57</v>
      </c>
      <c r="D2458" s="2">
        <v>42745</v>
      </c>
      <c r="E2458" s="2">
        <f t="shared" si="92"/>
        <v>43009</v>
      </c>
      <c r="F2458" s="1" t="s">
        <v>58</v>
      </c>
      <c r="G2458" s="1" t="s">
        <v>16</v>
      </c>
      <c r="H2458" s="1">
        <v>-2.75</v>
      </c>
      <c r="I2458" s="1">
        <v>2.36</v>
      </c>
      <c r="J2458" s="1">
        <v>0</v>
      </c>
      <c r="K2458" s="2">
        <v>43049</v>
      </c>
      <c r="L2458" s="1">
        <v>3716</v>
      </c>
      <c r="M2458" s="1">
        <v>3.63</v>
      </c>
      <c r="N2458" s="1">
        <v>-0.70150000000000001</v>
      </c>
      <c r="O2458" s="3">
        <f>VLOOKUP(D2458,underlying!$D$40:$H$75,5,FALSE)</f>
        <v>-1.25</v>
      </c>
      <c r="P2458" s="4">
        <f t="shared" si="91"/>
        <v>43019</v>
      </c>
      <c r="Q2458" s="7">
        <f>IF(G2458="C",NormalCallSprd(O2458,H2458,M2458,(P2458-A2458)/365), NormalPutSprd(O2458,H2458,M2458,(P2458-A2458)/365))</f>
        <v>2.3773325487378507</v>
      </c>
      <c r="R2458" s="9">
        <f t="shared" si="93"/>
        <v>1.7332548737850839E-2</v>
      </c>
    </row>
    <row r="2459" spans="1:18" x14ac:dyDescent="0.2">
      <c r="A2459" s="2">
        <v>42622</v>
      </c>
      <c r="B2459" s="1" t="s">
        <v>56</v>
      </c>
      <c r="C2459" s="1" t="s">
        <v>57</v>
      </c>
      <c r="D2459" s="2">
        <v>42745</v>
      </c>
      <c r="E2459" s="2">
        <f t="shared" si="92"/>
        <v>43009</v>
      </c>
      <c r="F2459" s="1" t="s">
        <v>58</v>
      </c>
      <c r="G2459" s="1" t="s">
        <v>18</v>
      </c>
      <c r="H2459" s="1">
        <v>-2.75</v>
      </c>
      <c r="I2459" s="1">
        <v>0.87</v>
      </c>
      <c r="J2459" s="1">
        <v>0</v>
      </c>
      <c r="K2459" s="2">
        <v>43049</v>
      </c>
      <c r="L2459" s="1">
        <v>3716</v>
      </c>
      <c r="M2459" s="1">
        <v>3.63</v>
      </c>
      <c r="N2459" s="1">
        <v>-0.66929000000000005</v>
      </c>
      <c r="O2459" s="3">
        <f>VLOOKUP(D2459,underlying!$D$40:$H$75,5,FALSE)</f>
        <v>-1.25</v>
      </c>
      <c r="P2459" s="4">
        <f t="shared" si="91"/>
        <v>43019</v>
      </c>
      <c r="Q2459" s="7">
        <f>IF(G2459="C",NormalCallSprd(O2459,H2459,M2459,(P2459-A2459)/365), NormalPutSprd(O2459,H2459,M2459,(P2459-A2459)/365))</f>
        <v>0.87733254873785083</v>
      </c>
      <c r="R2459" s="9">
        <f t="shared" si="93"/>
        <v>7.3325487378508303E-3</v>
      </c>
    </row>
    <row r="2460" spans="1:18" x14ac:dyDescent="0.2">
      <c r="A2460" s="2">
        <v>42622</v>
      </c>
      <c r="B2460" s="1" t="s">
        <v>56</v>
      </c>
      <c r="C2460" s="1" t="s">
        <v>57</v>
      </c>
      <c r="D2460" s="2">
        <v>42745</v>
      </c>
      <c r="E2460" s="2">
        <f t="shared" si="92"/>
        <v>43009</v>
      </c>
      <c r="F2460" s="1" t="s">
        <v>58</v>
      </c>
      <c r="G2460" s="1" t="s">
        <v>16</v>
      </c>
      <c r="H2460" s="1">
        <v>-2.5</v>
      </c>
      <c r="I2460" s="1">
        <v>2.21</v>
      </c>
      <c r="J2460" s="1">
        <v>0</v>
      </c>
      <c r="K2460" s="2">
        <v>43049</v>
      </c>
      <c r="L2460" s="1">
        <v>3716</v>
      </c>
      <c r="M2460" s="1">
        <v>3.65</v>
      </c>
      <c r="N2460" s="1">
        <v>-0.63741999999999999</v>
      </c>
      <c r="O2460" s="3">
        <f>VLOOKUP(D2460,underlying!$D$40:$H$75,5,FALSE)</f>
        <v>-1.25</v>
      </c>
      <c r="P2460" s="4">
        <f t="shared" si="91"/>
        <v>43019</v>
      </c>
      <c r="Q2460" s="7">
        <f>IF(G2460="C",NormalCallSprd(O2460,H2460,M2460,(P2460-A2460)/365), NormalPutSprd(O2460,H2460,M2460,(P2460-A2460)/365))</f>
        <v>2.2247776918043822</v>
      </c>
      <c r="R2460" s="9">
        <f t="shared" si="93"/>
        <v>1.4777691804382265E-2</v>
      </c>
    </row>
    <row r="2461" spans="1:18" x14ac:dyDescent="0.2">
      <c r="A2461" s="2">
        <v>42622</v>
      </c>
      <c r="B2461" s="1" t="s">
        <v>56</v>
      </c>
      <c r="C2461" s="1" t="s">
        <v>57</v>
      </c>
      <c r="D2461" s="2">
        <v>42745</v>
      </c>
      <c r="E2461" s="2">
        <f t="shared" si="92"/>
        <v>43009</v>
      </c>
      <c r="F2461" s="1" t="s">
        <v>58</v>
      </c>
      <c r="G2461" s="1" t="s">
        <v>18</v>
      </c>
      <c r="H2461" s="1">
        <v>-2.5</v>
      </c>
      <c r="I2461" s="1">
        <v>0.97</v>
      </c>
      <c r="J2461" s="1">
        <v>0</v>
      </c>
      <c r="K2461" s="2">
        <v>43049</v>
      </c>
      <c r="L2461" s="1">
        <v>3716</v>
      </c>
      <c r="M2461" s="1">
        <v>3.65</v>
      </c>
      <c r="N2461" s="1">
        <v>-0.60345000000000004</v>
      </c>
      <c r="O2461" s="3">
        <f>VLOOKUP(D2461,underlying!$D$40:$H$75,5,FALSE)</f>
        <v>-1.25</v>
      </c>
      <c r="P2461" s="4">
        <f t="shared" si="91"/>
        <v>43019</v>
      </c>
      <c r="Q2461" s="7">
        <f>IF(G2461="C",NormalCallSprd(O2461,H2461,M2461,(P2461-A2461)/365), NormalPutSprd(O2461,H2461,M2461,(P2461-A2461)/365))</f>
        <v>0.97477769180438234</v>
      </c>
      <c r="R2461" s="9">
        <f t="shared" si="93"/>
        <v>4.7776918043823668E-3</v>
      </c>
    </row>
    <row r="2462" spans="1:18" x14ac:dyDescent="0.2">
      <c r="A2462" s="2">
        <v>42622</v>
      </c>
      <c r="B2462" s="1" t="s">
        <v>56</v>
      </c>
      <c r="C2462" s="1" t="s">
        <v>57</v>
      </c>
      <c r="D2462" s="2">
        <v>42745</v>
      </c>
      <c r="E2462" s="2">
        <f t="shared" si="92"/>
        <v>43009</v>
      </c>
      <c r="F2462" s="1" t="s">
        <v>58</v>
      </c>
      <c r="G2462" s="1" t="s">
        <v>16</v>
      </c>
      <c r="H2462" s="1">
        <v>-2.25</v>
      </c>
      <c r="I2462" s="1">
        <v>2.0499999999999998</v>
      </c>
      <c r="J2462" s="1">
        <v>0</v>
      </c>
      <c r="K2462" s="2">
        <v>43049</v>
      </c>
      <c r="L2462" s="1">
        <v>3716</v>
      </c>
      <c r="M2462" s="1">
        <v>3.63</v>
      </c>
      <c r="N2462" s="1">
        <v>-0.56899999999999995</v>
      </c>
      <c r="O2462" s="3">
        <f>VLOOKUP(D2462,underlying!$D$40:$H$75,5,FALSE)</f>
        <v>-1.25</v>
      </c>
      <c r="P2462" s="4">
        <f t="shared" si="91"/>
        <v>43019</v>
      </c>
      <c r="Q2462" s="7">
        <f>IF(G2462="C",NormalCallSprd(O2462,H2462,M2462,(P2462-A2462)/365), NormalPutSprd(O2462,H2462,M2462,(P2462-A2462)/365))</f>
        <v>2.0626932927254638</v>
      </c>
      <c r="R2462" s="9">
        <f t="shared" si="93"/>
        <v>1.2693292725463934E-2</v>
      </c>
    </row>
    <row r="2463" spans="1:18" x14ac:dyDescent="0.2">
      <c r="A2463" s="2">
        <v>42622</v>
      </c>
      <c r="B2463" s="1" t="s">
        <v>56</v>
      </c>
      <c r="C2463" s="1" t="s">
        <v>57</v>
      </c>
      <c r="D2463" s="2">
        <v>42745</v>
      </c>
      <c r="E2463" s="2">
        <f t="shared" si="92"/>
        <v>43009</v>
      </c>
      <c r="F2463" s="1" t="s">
        <v>58</v>
      </c>
      <c r="G2463" s="1" t="s">
        <v>18</v>
      </c>
      <c r="H2463" s="1">
        <v>-2.25</v>
      </c>
      <c r="I2463" s="1">
        <v>1.06</v>
      </c>
      <c r="J2463" s="1">
        <v>0</v>
      </c>
      <c r="K2463" s="2">
        <v>43049</v>
      </c>
      <c r="L2463" s="1">
        <v>3716</v>
      </c>
      <c r="M2463" s="1">
        <v>3.63</v>
      </c>
      <c r="N2463" s="1">
        <v>-0.53391999999999995</v>
      </c>
      <c r="O2463" s="3">
        <f>VLOOKUP(D2463,underlying!$D$40:$H$75,5,FALSE)</f>
        <v>-1.25</v>
      </c>
      <c r="P2463" s="4">
        <f t="shared" si="91"/>
        <v>43019</v>
      </c>
      <c r="Q2463" s="7">
        <f>IF(G2463="C",NormalCallSprd(O2463,H2463,M2463,(P2463-A2463)/365), NormalPutSprd(O2463,H2463,M2463,(P2463-A2463)/365))</f>
        <v>1.062693292725464</v>
      </c>
      <c r="R2463" s="9">
        <f t="shared" si="93"/>
        <v>2.693292725463925E-3</v>
      </c>
    </row>
    <row r="2464" spans="1:18" x14ac:dyDescent="0.2">
      <c r="A2464" s="2">
        <v>42622</v>
      </c>
      <c r="B2464" s="1" t="s">
        <v>56</v>
      </c>
      <c r="C2464" s="1" t="s">
        <v>57</v>
      </c>
      <c r="D2464" s="2">
        <v>42745</v>
      </c>
      <c r="E2464" s="2">
        <f t="shared" si="92"/>
        <v>43009</v>
      </c>
      <c r="F2464" s="1" t="s">
        <v>58</v>
      </c>
      <c r="G2464" s="1" t="s">
        <v>16</v>
      </c>
      <c r="H2464" s="1">
        <v>-2</v>
      </c>
      <c r="I2464" s="1">
        <v>1.91</v>
      </c>
      <c r="J2464" s="1">
        <v>0</v>
      </c>
      <c r="K2464" s="2">
        <v>43049</v>
      </c>
      <c r="L2464" s="1">
        <v>3716</v>
      </c>
      <c r="M2464" s="1">
        <v>3.64</v>
      </c>
      <c r="N2464" s="1">
        <v>-0.49873000000000001</v>
      </c>
      <c r="O2464" s="3">
        <f>VLOOKUP(D2464,underlying!$D$40:$H$75,5,FALSE)</f>
        <v>-1.25</v>
      </c>
      <c r="P2464" s="4">
        <f t="shared" si="91"/>
        <v>43019</v>
      </c>
      <c r="Q2464" s="7">
        <f>IF(G2464="C",NormalCallSprd(O2464,H2464,M2464,(P2464-A2464)/365), NormalPutSprd(O2464,H2464,M2464,(P2464-A2464)/365))</f>
        <v>1.9189292850187527</v>
      </c>
      <c r="R2464" s="9">
        <f t="shared" si="93"/>
        <v>8.9292850187527861E-3</v>
      </c>
    </row>
    <row r="2465" spans="1:18" x14ac:dyDescent="0.2">
      <c r="A2465" s="2">
        <v>42622</v>
      </c>
      <c r="B2465" s="1" t="s">
        <v>56</v>
      </c>
      <c r="C2465" s="1" t="s">
        <v>57</v>
      </c>
      <c r="D2465" s="2">
        <v>42745</v>
      </c>
      <c r="E2465" s="2">
        <f t="shared" si="92"/>
        <v>43009</v>
      </c>
      <c r="F2465" s="1" t="s">
        <v>58</v>
      </c>
      <c r="G2465" s="1" t="s">
        <v>18</v>
      </c>
      <c r="H2465" s="1">
        <v>-2</v>
      </c>
      <c r="I2465" s="1">
        <v>1.1599999999999999</v>
      </c>
      <c r="J2465" s="1">
        <v>0</v>
      </c>
      <c r="K2465" s="2">
        <v>43049</v>
      </c>
      <c r="L2465" s="1">
        <v>3716</v>
      </c>
      <c r="M2465" s="1">
        <v>3.64</v>
      </c>
      <c r="N2465" s="1">
        <v>-0.46355000000000002</v>
      </c>
      <c r="O2465" s="3">
        <f>VLOOKUP(D2465,underlying!$D$40:$H$75,5,FALSE)</f>
        <v>-1.25</v>
      </c>
      <c r="P2465" s="4">
        <f t="shared" si="91"/>
        <v>43019</v>
      </c>
      <c r="Q2465" s="7">
        <f>IF(G2465="C",NormalCallSprd(O2465,H2465,M2465,(P2465-A2465)/365), NormalPutSprd(O2465,H2465,M2465,(P2465-A2465)/365))</f>
        <v>1.1689292850187527</v>
      </c>
      <c r="R2465" s="9">
        <f t="shared" si="93"/>
        <v>8.9292850187527861E-3</v>
      </c>
    </row>
    <row r="2466" spans="1:18" x14ac:dyDescent="0.2">
      <c r="A2466" s="2">
        <v>42622</v>
      </c>
      <c r="B2466" s="1" t="s">
        <v>56</v>
      </c>
      <c r="C2466" s="1" t="s">
        <v>57</v>
      </c>
      <c r="D2466" s="2">
        <v>42745</v>
      </c>
      <c r="E2466" s="2">
        <f t="shared" si="92"/>
        <v>43009</v>
      </c>
      <c r="F2466" s="1" t="s">
        <v>58</v>
      </c>
      <c r="G2466" s="1" t="s">
        <v>16</v>
      </c>
      <c r="H2466" s="1">
        <v>-1.75</v>
      </c>
      <c r="I2466" s="1">
        <v>1.77</v>
      </c>
      <c r="J2466" s="1">
        <v>0</v>
      </c>
      <c r="K2466" s="2">
        <v>43049</v>
      </c>
      <c r="L2466" s="1">
        <v>3716</v>
      </c>
      <c r="M2466" s="1">
        <v>3.64</v>
      </c>
      <c r="N2466" s="1">
        <v>-0.42847000000000002</v>
      </c>
      <c r="O2466" s="3">
        <f>VLOOKUP(D2466,underlying!$D$40:$H$75,5,FALSE)</f>
        <v>-1.25</v>
      </c>
      <c r="P2466" s="4">
        <f t="shared" si="91"/>
        <v>43019</v>
      </c>
      <c r="Q2466" s="7">
        <f>IF(G2466="C",NormalCallSprd(O2466,H2466,M2466,(P2466-A2466)/365), NormalPutSprd(O2466,H2466,M2466,(P2466-A2466)/365))</f>
        <v>1.7775858368104749</v>
      </c>
      <c r="R2466" s="9">
        <f t="shared" si="93"/>
        <v>7.5858368104748664E-3</v>
      </c>
    </row>
    <row r="2467" spans="1:18" x14ac:dyDescent="0.2">
      <c r="A2467" s="2">
        <v>42622</v>
      </c>
      <c r="B2467" s="1" t="s">
        <v>56</v>
      </c>
      <c r="C2467" s="1" t="s">
        <v>57</v>
      </c>
      <c r="D2467" s="2">
        <v>42745</v>
      </c>
      <c r="E2467" s="2">
        <f t="shared" si="92"/>
        <v>43009</v>
      </c>
      <c r="F2467" s="1" t="s">
        <v>58</v>
      </c>
      <c r="G2467" s="1" t="s">
        <v>18</v>
      </c>
      <c r="H2467" s="1">
        <v>-1.75</v>
      </c>
      <c r="I2467" s="1">
        <v>1.27</v>
      </c>
      <c r="J2467" s="1">
        <v>0</v>
      </c>
      <c r="K2467" s="2">
        <v>43049</v>
      </c>
      <c r="L2467" s="1">
        <v>3716</v>
      </c>
      <c r="M2467" s="1">
        <v>3.64</v>
      </c>
      <c r="N2467" s="1">
        <v>-0.39401999999999998</v>
      </c>
      <c r="O2467" s="3">
        <f>VLOOKUP(D2467,underlying!$D$40:$H$75,5,FALSE)</f>
        <v>-1.25</v>
      </c>
      <c r="P2467" s="4">
        <f t="shared" si="91"/>
        <v>43019</v>
      </c>
      <c r="Q2467" s="7">
        <f>IF(G2467="C",NormalCallSprd(O2467,H2467,M2467,(P2467-A2467)/365), NormalPutSprd(O2467,H2467,M2467,(P2467-A2467)/365))</f>
        <v>1.2775858368104751</v>
      </c>
      <c r="R2467" s="9">
        <f t="shared" si="93"/>
        <v>7.5858368104750884E-3</v>
      </c>
    </row>
    <row r="2468" spans="1:18" x14ac:dyDescent="0.2">
      <c r="A2468" s="2">
        <v>42622</v>
      </c>
      <c r="B2468" s="1" t="s">
        <v>56</v>
      </c>
      <c r="C2468" s="1" t="s">
        <v>57</v>
      </c>
      <c r="D2468" s="2">
        <v>42745</v>
      </c>
      <c r="E2468" s="2">
        <f t="shared" si="92"/>
        <v>43009</v>
      </c>
      <c r="F2468" s="1" t="s">
        <v>58</v>
      </c>
      <c r="G2468" s="1" t="s">
        <v>16</v>
      </c>
      <c r="H2468" s="1">
        <v>-1.5</v>
      </c>
      <c r="I2468" s="1">
        <v>1.64</v>
      </c>
      <c r="J2468" s="1">
        <v>0</v>
      </c>
      <c r="K2468" s="2">
        <v>43049</v>
      </c>
      <c r="L2468" s="1">
        <v>3716</v>
      </c>
      <c r="M2468" s="1">
        <v>3.65</v>
      </c>
      <c r="N2468" s="1">
        <v>-0.36004000000000003</v>
      </c>
      <c r="O2468" s="3">
        <f>VLOOKUP(D2468,underlying!$D$40:$H$75,5,FALSE)</f>
        <v>-1.25</v>
      </c>
      <c r="P2468" s="4">
        <f t="shared" si="91"/>
        <v>43019</v>
      </c>
      <c r="Q2468" s="7">
        <f>IF(G2468="C",NormalCallSprd(O2468,H2468,M2468,(P2468-A2468)/365), NormalPutSprd(O2468,H2468,M2468,(P2468-A2468)/365))</f>
        <v>1.6469030952404486</v>
      </c>
      <c r="R2468" s="9">
        <f t="shared" si="93"/>
        <v>6.9030952404487422E-3</v>
      </c>
    </row>
    <row r="2469" spans="1:18" x14ac:dyDescent="0.2">
      <c r="A2469" s="2">
        <v>42622</v>
      </c>
      <c r="B2469" s="1" t="s">
        <v>56</v>
      </c>
      <c r="C2469" s="1" t="s">
        <v>57</v>
      </c>
      <c r="D2469" s="2">
        <v>42745</v>
      </c>
      <c r="E2469" s="2">
        <f t="shared" si="92"/>
        <v>43009</v>
      </c>
      <c r="F2469" s="1" t="s">
        <v>58</v>
      </c>
      <c r="G2469" s="1" t="s">
        <v>18</v>
      </c>
      <c r="H2469" s="1">
        <v>-1.5</v>
      </c>
      <c r="I2469" s="1">
        <v>1.39</v>
      </c>
      <c r="J2469" s="1">
        <v>0</v>
      </c>
      <c r="K2469" s="2">
        <v>43049</v>
      </c>
      <c r="L2469" s="1">
        <v>3716</v>
      </c>
      <c r="M2469" s="1">
        <v>3.65</v>
      </c>
      <c r="N2469" s="1">
        <v>-0.32817000000000002</v>
      </c>
      <c r="O2469" s="3">
        <f>VLOOKUP(D2469,underlying!$D$40:$H$75,5,FALSE)</f>
        <v>-1.25</v>
      </c>
      <c r="P2469" s="4">
        <f t="shared" si="91"/>
        <v>43019</v>
      </c>
      <c r="Q2469" s="7">
        <f>IF(G2469="C",NormalCallSprd(O2469,H2469,M2469,(P2469-A2469)/365), NormalPutSprd(O2469,H2469,M2469,(P2469-A2469)/365))</f>
        <v>1.3969030952404486</v>
      </c>
      <c r="R2469" s="9">
        <f t="shared" si="93"/>
        <v>6.9030952404487422E-3</v>
      </c>
    </row>
    <row r="2470" spans="1:18" x14ac:dyDescent="0.2">
      <c r="A2470" s="2">
        <v>42622</v>
      </c>
      <c r="B2470" s="1" t="s">
        <v>56</v>
      </c>
      <c r="C2470" s="1" t="s">
        <v>57</v>
      </c>
      <c r="D2470" s="2">
        <v>42745</v>
      </c>
      <c r="E2470" s="2">
        <f t="shared" si="92"/>
        <v>43009</v>
      </c>
      <c r="F2470" s="1" t="s">
        <v>58</v>
      </c>
      <c r="G2470" s="1" t="s">
        <v>16</v>
      </c>
      <c r="H2470" s="1">
        <v>-1.25</v>
      </c>
      <c r="I2470" s="1">
        <v>1.5</v>
      </c>
      <c r="J2470" s="1">
        <v>-0.01</v>
      </c>
      <c r="K2470" s="2">
        <v>43049</v>
      </c>
      <c r="L2470" s="1">
        <v>3716</v>
      </c>
      <c r="M2470" s="1">
        <v>3.64</v>
      </c>
      <c r="N2470" s="1">
        <v>-0.29597000000000001</v>
      </c>
      <c r="O2470" s="3">
        <f>VLOOKUP(D2470,underlying!$D$40:$H$75,5,FALSE)</f>
        <v>-1.25</v>
      </c>
      <c r="P2470" s="4">
        <f t="shared" si="91"/>
        <v>43019</v>
      </c>
      <c r="Q2470" s="7">
        <f>IF(G2470="C",NormalCallSprd(O2470,H2470,M2470,(P2470-A2470)/365), NormalPutSprd(O2470,H2470,M2470,(P2470-A2470)/365))</f>
        <v>1.5144685903698796</v>
      </c>
      <c r="R2470" s="9">
        <f t="shared" si="93"/>
        <v>1.4468590369879575E-2</v>
      </c>
    </row>
    <row r="2471" spans="1:18" x14ac:dyDescent="0.2">
      <c r="A2471" s="2">
        <v>42622</v>
      </c>
      <c r="B2471" s="1" t="s">
        <v>56</v>
      </c>
      <c r="C2471" s="1" t="s">
        <v>57</v>
      </c>
      <c r="D2471" s="2">
        <v>42745</v>
      </c>
      <c r="E2471" s="2">
        <f t="shared" si="92"/>
        <v>43009</v>
      </c>
      <c r="F2471" s="1" t="s">
        <v>58</v>
      </c>
      <c r="G2471" s="1" t="s">
        <v>18</v>
      </c>
      <c r="H2471" s="1">
        <v>-1.25</v>
      </c>
      <c r="I2471" s="1">
        <v>1.5</v>
      </c>
      <c r="J2471" s="1">
        <v>-0.01</v>
      </c>
      <c r="K2471" s="2">
        <v>43049</v>
      </c>
      <c r="L2471" s="1">
        <v>3716</v>
      </c>
      <c r="M2471" s="1">
        <v>3.64</v>
      </c>
      <c r="N2471" s="1">
        <v>-0.26704</v>
      </c>
      <c r="O2471" s="3">
        <f>VLOOKUP(D2471,underlying!$D$40:$H$75,5,FALSE)</f>
        <v>-1.25</v>
      </c>
      <c r="P2471" s="4">
        <f t="shared" si="91"/>
        <v>43019</v>
      </c>
      <c r="Q2471" s="7">
        <f>IF(G2471="C",NormalCallSprd(O2471,H2471,M2471,(P2471-A2471)/365), NormalPutSprd(O2471,H2471,M2471,(P2471-A2471)/365))</f>
        <v>1.5144685903698796</v>
      </c>
      <c r="R2471" s="9">
        <f t="shared" si="93"/>
        <v>1.4468590369879575E-2</v>
      </c>
    </row>
    <row r="2472" spans="1:18" x14ac:dyDescent="0.2">
      <c r="A2472" s="2">
        <v>42622</v>
      </c>
      <c r="B2472" s="1" t="s">
        <v>56</v>
      </c>
      <c r="C2472" s="1" t="s">
        <v>57</v>
      </c>
      <c r="D2472" s="2">
        <v>42745</v>
      </c>
      <c r="E2472" s="2">
        <f t="shared" si="92"/>
        <v>43009</v>
      </c>
      <c r="F2472" s="1" t="s">
        <v>58</v>
      </c>
      <c r="G2472" s="1" t="s">
        <v>16</v>
      </c>
      <c r="H2472" s="1">
        <v>-1</v>
      </c>
      <c r="I2472" s="1">
        <v>1.39</v>
      </c>
      <c r="J2472" s="1">
        <v>0</v>
      </c>
      <c r="K2472" s="2">
        <v>43049</v>
      </c>
      <c r="L2472" s="1">
        <v>3716</v>
      </c>
      <c r="M2472" s="1">
        <v>3.65</v>
      </c>
      <c r="N2472" s="1">
        <v>-0.23769000000000001</v>
      </c>
      <c r="O2472" s="3">
        <f>VLOOKUP(D2472,underlying!$D$40:$H$75,5,FALSE)</f>
        <v>-1.25</v>
      </c>
      <c r="P2472" s="4">
        <f t="shared" si="91"/>
        <v>43019</v>
      </c>
      <c r="Q2472" s="7">
        <f>IF(G2472="C",NormalCallSprd(O2472,H2472,M2472,(P2472-A2472)/365), NormalPutSprd(O2472,H2472,M2472,(P2472-A2472)/365))</f>
        <v>1.3969030952404486</v>
      </c>
      <c r="R2472" s="9">
        <f t="shared" si="93"/>
        <v>6.9030952404487422E-3</v>
      </c>
    </row>
    <row r="2473" spans="1:18" x14ac:dyDescent="0.2">
      <c r="A2473" s="2">
        <v>42622</v>
      </c>
      <c r="B2473" s="1" t="s">
        <v>56</v>
      </c>
      <c r="C2473" s="1" t="s">
        <v>57</v>
      </c>
      <c r="D2473" s="2">
        <v>42745</v>
      </c>
      <c r="E2473" s="2">
        <f t="shared" si="92"/>
        <v>43009</v>
      </c>
      <c r="F2473" s="1" t="s">
        <v>58</v>
      </c>
      <c r="G2473" s="1" t="s">
        <v>18</v>
      </c>
      <c r="H2473" s="1">
        <v>-1</v>
      </c>
      <c r="I2473" s="1">
        <v>1.64</v>
      </c>
      <c r="J2473" s="1">
        <v>0</v>
      </c>
      <c r="K2473" s="2">
        <v>43049</v>
      </c>
      <c r="L2473" s="1">
        <v>3716</v>
      </c>
      <c r="M2473" s="1">
        <v>3.65</v>
      </c>
      <c r="N2473" s="1">
        <v>-0.21224999999999999</v>
      </c>
      <c r="O2473" s="3">
        <f>VLOOKUP(D2473,underlying!$D$40:$H$75,5,FALSE)</f>
        <v>-1.25</v>
      </c>
      <c r="P2473" s="4">
        <f t="shared" si="91"/>
        <v>43019</v>
      </c>
      <c r="Q2473" s="7">
        <f>IF(G2473="C",NormalCallSprd(O2473,H2473,M2473,(P2473-A2473)/365), NormalPutSprd(O2473,H2473,M2473,(P2473-A2473)/365))</f>
        <v>1.6469030952404486</v>
      </c>
      <c r="R2473" s="9">
        <f t="shared" si="93"/>
        <v>6.9030952404487422E-3</v>
      </c>
    </row>
    <row r="2474" spans="1:18" x14ac:dyDescent="0.2">
      <c r="A2474" s="2">
        <v>42622</v>
      </c>
      <c r="B2474" s="1" t="s">
        <v>56</v>
      </c>
      <c r="C2474" s="1" t="s">
        <v>57</v>
      </c>
      <c r="D2474" s="2">
        <v>42745</v>
      </c>
      <c r="E2474" s="2">
        <f t="shared" si="92"/>
        <v>43009</v>
      </c>
      <c r="F2474" s="1" t="s">
        <v>58</v>
      </c>
      <c r="G2474" s="1" t="s">
        <v>16</v>
      </c>
      <c r="H2474" s="1">
        <v>-0.75</v>
      </c>
      <c r="I2474" s="1">
        <v>1.27</v>
      </c>
      <c r="J2474" s="1">
        <v>0</v>
      </c>
      <c r="K2474" s="2">
        <v>43049</v>
      </c>
      <c r="L2474" s="1">
        <v>3716</v>
      </c>
      <c r="M2474" s="1">
        <v>3.64</v>
      </c>
      <c r="N2474" s="1">
        <v>-0.18751000000000001</v>
      </c>
      <c r="O2474" s="3">
        <f>VLOOKUP(D2474,underlying!$D$40:$H$75,5,FALSE)</f>
        <v>-1.25</v>
      </c>
      <c r="P2474" s="4">
        <f t="shared" si="91"/>
        <v>43019</v>
      </c>
      <c r="Q2474" s="7">
        <f>IF(G2474="C",NormalCallSprd(O2474,H2474,M2474,(P2474-A2474)/365), NormalPutSprd(O2474,H2474,M2474,(P2474-A2474)/365))</f>
        <v>1.2775858368104751</v>
      </c>
      <c r="R2474" s="9">
        <f t="shared" si="93"/>
        <v>7.5858368104750884E-3</v>
      </c>
    </row>
    <row r="2475" spans="1:18" x14ac:dyDescent="0.2">
      <c r="A2475" s="2">
        <v>42622</v>
      </c>
      <c r="B2475" s="1" t="s">
        <v>56</v>
      </c>
      <c r="C2475" s="1" t="s">
        <v>57</v>
      </c>
      <c r="D2475" s="2">
        <v>42745</v>
      </c>
      <c r="E2475" s="2">
        <f t="shared" si="92"/>
        <v>43009</v>
      </c>
      <c r="F2475" s="1" t="s">
        <v>58</v>
      </c>
      <c r="G2475" s="1" t="s">
        <v>18</v>
      </c>
      <c r="H2475" s="1">
        <v>-0.75</v>
      </c>
      <c r="I2475" s="1">
        <v>1.77</v>
      </c>
      <c r="J2475" s="1">
        <v>0</v>
      </c>
      <c r="K2475" s="2">
        <v>43049</v>
      </c>
      <c r="L2475" s="1">
        <v>3716</v>
      </c>
      <c r="M2475" s="1">
        <v>3.64</v>
      </c>
      <c r="N2475" s="1">
        <v>-0.16464999999999999</v>
      </c>
      <c r="O2475" s="3">
        <f>VLOOKUP(D2475,underlying!$D$40:$H$75,5,FALSE)</f>
        <v>-1.25</v>
      </c>
      <c r="P2475" s="4">
        <f t="shared" si="91"/>
        <v>43019</v>
      </c>
      <c r="Q2475" s="7">
        <f>IF(G2475="C",NormalCallSprd(O2475,H2475,M2475,(P2475-A2475)/365), NormalPutSprd(O2475,H2475,M2475,(P2475-A2475)/365))</f>
        <v>1.7775858368104749</v>
      </c>
      <c r="R2475" s="9">
        <f t="shared" si="93"/>
        <v>7.5858368104748664E-3</v>
      </c>
    </row>
    <row r="2476" spans="1:18" x14ac:dyDescent="0.2">
      <c r="A2476" s="2">
        <v>42622</v>
      </c>
      <c r="B2476" s="1" t="s">
        <v>56</v>
      </c>
      <c r="C2476" s="1" t="s">
        <v>57</v>
      </c>
      <c r="D2476" s="2">
        <v>42745</v>
      </c>
      <c r="E2476" s="2">
        <f t="shared" si="92"/>
        <v>43009</v>
      </c>
      <c r="F2476" s="1" t="s">
        <v>58</v>
      </c>
      <c r="G2476" s="1" t="s">
        <v>16</v>
      </c>
      <c r="H2476" s="1">
        <v>-0.5</v>
      </c>
      <c r="I2476" s="1">
        <v>1.1599999999999999</v>
      </c>
      <c r="J2476" s="1">
        <v>0</v>
      </c>
      <c r="K2476" s="2">
        <v>43049</v>
      </c>
      <c r="L2476" s="1">
        <v>3716</v>
      </c>
      <c r="M2476" s="1">
        <v>3.64</v>
      </c>
      <c r="N2476" s="1">
        <v>-0.14366000000000001</v>
      </c>
      <c r="O2476" s="3">
        <f>VLOOKUP(D2476,underlying!$D$40:$H$75,5,FALSE)</f>
        <v>-1.25</v>
      </c>
      <c r="P2476" s="4">
        <f t="shared" si="91"/>
        <v>43019</v>
      </c>
      <c r="Q2476" s="7">
        <f>IF(G2476="C",NormalCallSprd(O2476,H2476,M2476,(P2476-A2476)/365), NormalPutSprd(O2476,H2476,M2476,(P2476-A2476)/365))</f>
        <v>1.1689292850187527</v>
      </c>
      <c r="R2476" s="9">
        <f t="shared" si="93"/>
        <v>8.9292850187527861E-3</v>
      </c>
    </row>
    <row r="2477" spans="1:18" x14ac:dyDescent="0.2">
      <c r="A2477" s="2">
        <v>42622</v>
      </c>
      <c r="B2477" s="1" t="s">
        <v>56</v>
      </c>
      <c r="C2477" s="1" t="s">
        <v>57</v>
      </c>
      <c r="D2477" s="2">
        <v>42745</v>
      </c>
      <c r="E2477" s="2">
        <f t="shared" si="92"/>
        <v>43009</v>
      </c>
      <c r="F2477" s="1" t="s">
        <v>58</v>
      </c>
      <c r="G2477" s="1" t="s">
        <v>18</v>
      </c>
      <c r="H2477" s="1">
        <v>-0.5</v>
      </c>
      <c r="I2477" s="1">
        <v>1.91</v>
      </c>
      <c r="J2477" s="1">
        <v>0</v>
      </c>
      <c r="K2477" s="2">
        <v>43049</v>
      </c>
      <c r="L2477" s="1">
        <v>3716</v>
      </c>
      <c r="M2477" s="1">
        <v>3.64</v>
      </c>
      <c r="N2477" s="1">
        <v>-0.12457</v>
      </c>
      <c r="O2477" s="3">
        <f>VLOOKUP(D2477,underlying!$D$40:$H$75,5,FALSE)</f>
        <v>-1.25</v>
      </c>
      <c r="P2477" s="4">
        <f t="shared" si="91"/>
        <v>43019</v>
      </c>
      <c r="Q2477" s="7">
        <f>IF(G2477="C",NormalCallSprd(O2477,H2477,M2477,(P2477-A2477)/365), NormalPutSprd(O2477,H2477,M2477,(P2477-A2477)/365))</f>
        <v>1.9189292850187527</v>
      </c>
      <c r="R2477" s="9">
        <f t="shared" si="93"/>
        <v>8.9292850187527861E-3</v>
      </c>
    </row>
    <row r="2478" spans="1:18" x14ac:dyDescent="0.2">
      <c r="A2478" s="2">
        <v>42622</v>
      </c>
      <c r="B2478" s="1" t="s">
        <v>56</v>
      </c>
      <c r="C2478" s="1" t="s">
        <v>57</v>
      </c>
      <c r="D2478" s="2">
        <v>42745</v>
      </c>
      <c r="E2478" s="2">
        <f t="shared" si="92"/>
        <v>43009</v>
      </c>
      <c r="F2478" s="1" t="s">
        <v>58</v>
      </c>
      <c r="G2478" s="1" t="s">
        <v>16</v>
      </c>
      <c r="H2478" s="1">
        <v>-0.25</v>
      </c>
      <c r="I2478" s="1">
        <v>1.06</v>
      </c>
      <c r="J2478" s="1">
        <v>0</v>
      </c>
      <c r="K2478" s="2">
        <v>43049</v>
      </c>
      <c r="L2478" s="1">
        <v>3716</v>
      </c>
      <c r="M2478" s="1">
        <v>3.64</v>
      </c>
      <c r="N2478" s="1">
        <v>-0.10732</v>
      </c>
      <c r="O2478" s="3">
        <f>VLOOKUP(D2478,underlying!$D$40:$H$75,5,FALSE)</f>
        <v>-1.25</v>
      </c>
      <c r="P2478" s="4">
        <f t="shared" si="91"/>
        <v>43019</v>
      </c>
      <c r="Q2478" s="7">
        <f>IF(G2478="C",NormalCallSprd(O2478,H2478,M2478,(P2478-A2478)/365), NormalPutSprd(O2478,H2478,M2478,(P2478-A2478)/365))</f>
        <v>1.0667116582331801</v>
      </c>
      <c r="R2478" s="9">
        <f t="shared" si="93"/>
        <v>6.7116582331800956E-3</v>
      </c>
    </row>
    <row r="2479" spans="1:18" x14ac:dyDescent="0.2">
      <c r="A2479" s="2">
        <v>42622</v>
      </c>
      <c r="B2479" s="1" t="s">
        <v>56</v>
      </c>
      <c r="C2479" s="1" t="s">
        <v>57</v>
      </c>
      <c r="D2479" s="2">
        <v>42745</v>
      </c>
      <c r="E2479" s="2">
        <f t="shared" si="92"/>
        <v>43009</v>
      </c>
      <c r="F2479" s="1" t="s">
        <v>58</v>
      </c>
      <c r="G2479" s="1" t="s">
        <v>18</v>
      </c>
      <c r="H2479" s="1">
        <v>-0.25</v>
      </c>
      <c r="I2479" s="1">
        <v>2.0499999999999998</v>
      </c>
      <c r="J2479" s="1">
        <v>-0.01</v>
      </c>
      <c r="K2479" s="2">
        <v>43049</v>
      </c>
      <c r="L2479" s="1">
        <v>3716</v>
      </c>
      <c r="M2479" s="1">
        <v>3.64</v>
      </c>
      <c r="N2479" s="1">
        <v>-9.1859999999999997E-2</v>
      </c>
      <c r="O2479" s="3">
        <f>VLOOKUP(D2479,underlying!$D$40:$H$75,5,FALSE)</f>
        <v>-1.25</v>
      </c>
      <c r="P2479" s="4">
        <f t="shared" si="91"/>
        <v>43019</v>
      </c>
      <c r="Q2479" s="7">
        <f>IF(G2479="C",NormalCallSprd(O2479,H2479,M2479,(P2479-A2479)/365), NormalPutSprd(O2479,H2479,M2479,(P2479-A2479)/365))</f>
        <v>2.0667116582331801</v>
      </c>
      <c r="R2479" s="9">
        <f t="shared" si="93"/>
        <v>1.6711658233180327E-2</v>
      </c>
    </row>
    <row r="2480" spans="1:18" x14ac:dyDescent="0.2">
      <c r="A2480" s="2">
        <v>42622</v>
      </c>
      <c r="B2480" s="1" t="s">
        <v>56</v>
      </c>
      <c r="C2480" s="1" t="s">
        <v>57</v>
      </c>
      <c r="D2480" s="2">
        <v>42746</v>
      </c>
      <c r="E2480" s="2">
        <f t="shared" si="92"/>
        <v>43040</v>
      </c>
      <c r="F2480" s="1" t="s">
        <v>58</v>
      </c>
      <c r="G2480" s="1" t="s">
        <v>16</v>
      </c>
      <c r="H2480" s="1">
        <v>-9</v>
      </c>
      <c r="I2480" s="1">
        <v>8.2200000000000006</v>
      </c>
      <c r="J2480" s="1">
        <v>0</v>
      </c>
      <c r="K2480" s="2">
        <v>42989</v>
      </c>
      <c r="L2480" s="1">
        <v>3716</v>
      </c>
      <c r="M2480" s="1">
        <v>3.59</v>
      </c>
      <c r="N2480" s="1">
        <v>-7.8109999999999999E-2</v>
      </c>
      <c r="O2480" s="3">
        <f>VLOOKUP(D2480,underlying!$D$40:$H$75,5,FALSE)</f>
        <v>-0.75</v>
      </c>
      <c r="P2480" s="4">
        <f t="shared" si="91"/>
        <v>43048</v>
      </c>
      <c r="Q2480" s="7">
        <f>IF(G2480="C",NormalCallSprd(O2480,H2480,M2480,(P2480-A2480)/365), NormalPutSprd(O2480,H2480,M2480,(P2480-A2480)/365))</f>
        <v>8.2732663507109301</v>
      </c>
      <c r="R2480" s="9">
        <f t="shared" si="93"/>
        <v>5.3266350710929444E-2</v>
      </c>
    </row>
    <row r="2481" spans="1:18" x14ac:dyDescent="0.2">
      <c r="A2481" s="2">
        <v>42622</v>
      </c>
      <c r="B2481" s="1" t="s">
        <v>56</v>
      </c>
      <c r="C2481" s="1" t="s">
        <v>57</v>
      </c>
      <c r="D2481" s="2">
        <v>42746</v>
      </c>
      <c r="E2481" s="2">
        <f t="shared" si="92"/>
        <v>43040</v>
      </c>
      <c r="F2481" s="1" t="s">
        <v>58</v>
      </c>
      <c r="G2481" s="1" t="s">
        <v>18</v>
      </c>
      <c r="H2481" s="1">
        <v>-9</v>
      </c>
      <c r="I2481" s="1">
        <v>0.02</v>
      </c>
      <c r="J2481" s="1">
        <v>0</v>
      </c>
      <c r="K2481" s="2">
        <v>42989</v>
      </c>
      <c r="L2481" s="1">
        <v>3716</v>
      </c>
      <c r="M2481" s="1">
        <v>3.59</v>
      </c>
      <c r="N2481" s="1">
        <v>-6.5989999999999993E-2</v>
      </c>
      <c r="O2481" s="3">
        <f>VLOOKUP(D2481,underlying!$D$40:$H$75,5,FALSE)</f>
        <v>-0.75</v>
      </c>
      <c r="P2481" s="4">
        <f t="shared" si="91"/>
        <v>43048</v>
      </c>
      <c r="Q2481" s="7">
        <f>IF(G2481="C",NormalCallSprd(O2481,H2481,M2481,(P2481-A2481)/365), NormalPutSprd(O2481,H2481,M2481,(P2481-A2481)/365))</f>
        <v>2.3266350710929515E-2</v>
      </c>
      <c r="R2481" s="9">
        <f t="shared" si="93"/>
        <v>3.2663507109295144E-3</v>
      </c>
    </row>
    <row r="2482" spans="1:18" x14ac:dyDescent="0.2">
      <c r="A2482" s="2">
        <v>42622</v>
      </c>
      <c r="B2482" s="1" t="s">
        <v>56</v>
      </c>
      <c r="C2482" s="1" t="s">
        <v>57</v>
      </c>
      <c r="D2482" s="2">
        <v>42746</v>
      </c>
      <c r="E2482" s="2">
        <f t="shared" si="92"/>
        <v>43040</v>
      </c>
      <c r="F2482" s="1" t="s">
        <v>58</v>
      </c>
      <c r="G2482" s="1" t="s">
        <v>16</v>
      </c>
      <c r="H2482" s="1">
        <v>-8</v>
      </c>
      <c r="I2482" s="1">
        <v>7.25</v>
      </c>
      <c r="J2482" s="1">
        <v>0</v>
      </c>
      <c r="K2482" s="2">
        <v>42989</v>
      </c>
      <c r="L2482" s="1">
        <v>3716</v>
      </c>
      <c r="M2482" s="1">
        <v>3.59</v>
      </c>
      <c r="N2482" s="1">
        <v>-5.5370000000000003E-2</v>
      </c>
      <c r="O2482" s="3">
        <f>VLOOKUP(D2482,underlying!$D$40:$H$75,5,FALSE)</f>
        <v>-0.75</v>
      </c>
      <c r="P2482" s="4">
        <f t="shared" si="91"/>
        <v>43048</v>
      </c>
      <c r="Q2482" s="7">
        <f>IF(G2482="C",NormalCallSprd(O2482,H2482,M2482,(P2482-A2482)/365), NormalPutSprd(O2482,H2482,M2482,(P2482-A2482)/365))</f>
        <v>7.2964115118511259</v>
      </c>
      <c r="R2482" s="9">
        <f t="shared" si="93"/>
        <v>4.6411511851125908E-2</v>
      </c>
    </row>
    <row r="2483" spans="1:18" x14ac:dyDescent="0.2">
      <c r="A2483" s="2">
        <v>42622</v>
      </c>
      <c r="B2483" s="1" t="s">
        <v>56</v>
      </c>
      <c r="C2483" s="1" t="s">
        <v>57</v>
      </c>
      <c r="D2483" s="2">
        <v>42746</v>
      </c>
      <c r="E2483" s="2">
        <f t="shared" si="92"/>
        <v>43040</v>
      </c>
      <c r="F2483" s="1" t="s">
        <v>58</v>
      </c>
      <c r="G2483" s="1" t="s">
        <v>18</v>
      </c>
      <c r="H2483" s="1">
        <v>-8</v>
      </c>
      <c r="I2483" s="1">
        <v>0.05</v>
      </c>
      <c r="J2483" s="1">
        <v>0</v>
      </c>
      <c r="K2483" s="2">
        <v>42989</v>
      </c>
      <c r="L2483" s="1">
        <v>3716</v>
      </c>
      <c r="M2483" s="1">
        <v>3.59</v>
      </c>
      <c r="N2483" s="1">
        <v>-4.616E-2</v>
      </c>
      <c r="O2483" s="3">
        <f>VLOOKUP(D2483,underlying!$D$40:$H$75,5,FALSE)</f>
        <v>-0.75</v>
      </c>
      <c r="P2483" s="4">
        <f t="shared" si="91"/>
        <v>43048</v>
      </c>
      <c r="Q2483" s="7">
        <f>IF(G2483="C",NormalCallSprd(O2483,H2483,M2483,(P2483-A2483)/365), NormalPutSprd(O2483,H2483,M2483,(P2483-A2483)/365))</f>
        <v>4.6411511851126186E-2</v>
      </c>
      <c r="R2483" s="9">
        <f t="shared" si="93"/>
        <v>3.5884881488738168E-3</v>
      </c>
    </row>
    <row r="2484" spans="1:18" x14ac:dyDescent="0.2">
      <c r="A2484" s="2">
        <v>42622</v>
      </c>
      <c r="B2484" s="1" t="s">
        <v>56</v>
      </c>
      <c r="C2484" s="1" t="s">
        <v>57</v>
      </c>
      <c r="D2484" s="2">
        <v>42746</v>
      </c>
      <c r="E2484" s="2">
        <f t="shared" si="92"/>
        <v>43040</v>
      </c>
      <c r="F2484" s="1" t="s">
        <v>58</v>
      </c>
      <c r="G2484" s="1" t="s">
        <v>16</v>
      </c>
      <c r="H2484" s="1">
        <v>-7</v>
      </c>
      <c r="I2484" s="1">
        <v>6.29</v>
      </c>
      <c r="J2484" s="1">
        <v>-0.01</v>
      </c>
      <c r="K2484" s="2">
        <v>42989</v>
      </c>
      <c r="L2484" s="1">
        <v>3716</v>
      </c>
      <c r="M2484" s="1">
        <v>3.59</v>
      </c>
      <c r="N2484" s="1">
        <v>-3.8210000000000001E-2</v>
      </c>
      <c r="O2484" s="3">
        <f>VLOOKUP(D2484,underlying!$D$40:$H$75,5,FALSE)</f>
        <v>-0.75</v>
      </c>
      <c r="P2484" s="4">
        <f t="shared" si="91"/>
        <v>43048</v>
      </c>
      <c r="Q2484" s="7">
        <f>IF(G2484="C",NormalCallSprd(O2484,H2484,M2484,(P2484-A2484)/365), NormalPutSprd(O2484,H2484,M2484,(P2484-A2484)/365))</f>
        <v>6.3377282239832304</v>
      </c>
      <c r="R2484" s="9">
        <f t="shared" si="93"/>
        <v>4.77282239832304E-2</v>
      </c>
    </row>
    <row r="2485" spans="1:18" x14ac:dyDescent="0.2">
      <c r="A2485" s="2">
        <v>42622</v>
      </c>
      <c r="B2485" s="1" t="s">
        <v>56</v>
      </c>
      <c r="C2485" s="1" t="s">
        <v>57</v>
      </c>
      <c r="D2485" s="2">
        <v>42746</v>
      </c>
      <c r="E2485" s="2">
        <f t="shared" si="92"/>
        <v>43040</v>
      </c>
      <c r="F2485" s="1" t="s">
        <v>58</v>
      </c>
      <c r="G2485" s="1" t="s">
        <v>18</v>
      </c>
      <c r="H2485" s="1">
        <v>-7</v>
      </c>
      <c r="I2485" s="1">
        <v>0.09</v>
      </c>
      <c r="J2485" s="1">
        <v>0</v>
      </c>
      <c r="K2485" s="2">
        <v>42989</v>
      </c>
      <c r="L2485" s="1">
        <v>3716</v>
      </c>
      <c r="M2485" s="1">
        <v>3.59</v>
      </c>
      <c r="N2485" s="1">
        <v>-1.6760000000000001E-2</v>
      </c>
      <c r="O2485" s="3">
        <f>VLOOKUP(D2485,underlying!$D$40:$H$75,5,FALSE)</f>
        <v>-0.75</v>
      </c>
      <c r="P2485" s="4">
        <f t="shared" si="91"/>
        <v>43048</v>
      </c>
      <c r="Q2485" s="7">
        <f>IF(G2485="C",NormalCallSprd(O2485,H2485,M2485,(P2485-A2485)/365), NormalPutSprd(O2485,H2485,M2485,(P2485-A2485)/365))</f>
        <v>8.7728223983230949E-2</v>
      </c>
      <c r="R2485" s="9">
        <f t="shared" si="93"/>
        <v>2.2717760167690476E-3</v>
      </c>
    </row>
    <row r="2486" spans="1:18" x14ac:dyDescent="0.2">
      <c r="A2486" s="2">
        <v>42622</v>
      </c>
      <c r="B2486" s="1" t="s">
        <v>56</v>
      </c>
      <c r="C2486" s="1" t="s">
        <v>57</v>
      </c>
      <c r="D2486" s="2">
        <v>42746</v>
      </c>
      <c r="E2486" s="2">
        <f t="shared" si="92"/>
        <v>43040</v>
      </c>
      <c r="F2486" s="1" t="s">
        <v>58</v>
      </c>
      <c r="G2486" s="1" t="s">
        <v>16</v>
      </c>
      <c r="H2486" s="1">
        <v>-6.75</v>
      </c>
      <c r="I2486" s="1">
        <v>6.06</v>
      </c>
      <c r="J2486" s="1">
        <v>0</v>
      </c>
      <c r="K2486" s="2">
        <v>42989</v>
      </c>
      <c r="L2486" s="1">
        <v>3716</v>
      </c>
      <c r="M2486" s="1">
        <v>3.59</v>
      </c>
      <c r="N2486" s="1">
        <v>0.31764999999999999</v>
      </c>
      <c r="O2486" s="3">
        <f>VLOOKUP(D2486,underlying!$D$40:$H$75,5,FALSE)</f>
        <v>-0.75</v>
      </c>
      <c r="P2486" s="4">
        <f t="shared" si="91"/>
        <v>43048</v>
      </c>
      <c r="Q2486" s="7">
        <f>IF(G2486="C",NormalCallSprd(O2486,H2486,M2486,(P2486-A2486)/365), NormalPutSprd(O2486,H2486,M2486,(P2486-A2486)/365))</f>
        <v>6.1020206511121025</v>
      </c>
      <c r="R2486" s="9">
        <f t="shared" si="93"/>
        <v>4.2020651112102847E-2</v>
      </c>
    </row>
    <row r="2487" spans="1:18" x14ac:dyDescent="0.2">
      <c r="A2487" s="2">
        <v>42622</v>
      </c>
      <c r="B2487" s="1" t="s">
        <v>56</v>
      </c>
      <c r="C2487" s="1" t="s">
        <v>57</v>
      </c>
      <c r="D2487" s="2">
        <v>42746</v>
      </c>
      <c r="E2487" s="2">
        <f t="shared" si="92"/>
        <v>43040</v>
      </c>
      <c r="F2487" s="1" t="s">
        <v>58</v>
      </c>
      <c r="G2487" s="1" t="s">
        <v>18</v>
      </c>
      <c r="H2487" s="1">
        <v>-6.75</v>
      </c>
      <c r="I2487" s="1">
        <v>0.1</v>
      </c>
      <c r="J2487" s="1">
        <v>0</v>
      </c>
      <c r="K2487" s="2">
        <v>42989</v>
      </c>
      <c r="L2487" s="1">
        <v>3716</v>
      </c>
      <c r="M2487" s="1">
        <v>3.59</v>
      </c>
      <c r="N2487" s="1">
        <v>0.33856999999999998</v>
      </c>
      <c r="O2487" s="3">
        <f>VLOOKUP(D2487,underlying!$D$40:$H$75,5,FALSE)</f>
        <v>-0.75</v>
      </c>
      <c r="P2487" s="4">
        <f t="shared" si="91"/>
        <v>43048</v>
      </c>
      <c r="Q2487" s="7">
        <f>IF(G2487="C",NormalCallSprd(O2487,H2487,M2487,(P2487-A2487)/365), NormalPutSprd(O2487,H2487,M2487,(P2487-A2487)/365))</f>
        <v>0.10202065111210269</v>
      </c>
      <c r="R2487" s="9">
        <f t="shared" si="93"/>
        <v>2.0206511121026866E-3</v>
      </c>
    </row>
    <row r="2488" spans="1:18" x14ac:dyDescent="0.2">
      <c r="A2488" s="2">
        <v>42622</v>
      </c>
      <c r="B2488" s="1" t="s">
        <v>56</v>
      </c>
      <c r="C2488" s="1" t="s">
        <v>57</v>
      </c>
      <c r="D2488" s="2">
        <v>42746</v>
      </c>
      <c r="E2488" s="2">
        <f t="shared" si="92"/>
        <v>43040</v>
      </c>
      <c r="F2488" s="1" t="s">
        <v>58</v>
      </c>
      <c r="G2488" s="1" t="s">
        <v>16</v>
      </c>
      <c r="H2488" s="1">
        <v>-6.5</v>
      </c>
      <c r="I2488" s="1">
        <v>5.83</v>
      </c>
      <c r="J2488" s="1">
        <v>0</v>
      </c>
      <c r="K2488" s="2">
        <v>42989</v>
      </c>
      <c r="L2488" s="1">
        <v>3716</v>
      </c>
      <c r="M2488" s="1">
        <v>3.59</v>
      </c>
      <c r="N2488" s="1">
        <v>0.35925000000000001</v>
      </c>
      <c r="O2488" s="3">
        <f>VLOOKUP(D2488,underlying!$D$40:$H$75,5,FALSE)</f>
        <v>-0.75</v>
      </c>
      <c r="P2488" s="4">
        <f t="shared" si="91"/>
        <v>43048</v>
      </c>
      <c r="Q2488" s="7">
        <f>IF(G2488="C",NormalCallSprd(O2488,H2488,M2488,(P2488-A2488)/365), NormalPutSprd(O2488,H2488,M2488,(P2488-A2488)/365))</f>
        <v>5.8682568642471589</v>
      </c>
      <c r="R2488" s="9">
        <f t="shared" si="93"/>
        <v>3.8256864247158795E-2</v>
      </c>
    </row>
    <row r="2489" spans="1:18" x14ac:dyDescent="0.2">
      <c r="A2489" s="2">
        <v>42622</v>
      </c>
      <c r="B2489" s="1" t="s">
        <v>56</v>
      </c>
      <c r="C2489" s="1" t="s">
        <v>57</v>
      </c>
      <c r="D2489" s="2">
        <v>42746</v>
      </c>
      <c r="E2489" s="2">
        <f t="shared" si="92"/>
        <v>43040</v>
      </c>
      <c r="F2489" s="1" t="s">
        <v>58</v>
      </c>
      <c r="G2489" s="1" t="s">
        <v>18</v>
      </c>
      <c r="H2489" s="1">
        <v>-6.5</v>
      </c>
      <c r="I2489" s="1">
        <v>0.12</v>
      </c>
      <c r="J2489" s="1">
        <v>0</v>
      </c>
      <c r="K2489" s="2">
        <v>42989</v>
      </c>
      <c r="L2489" s="1">
        <v>3716</v>
      </c>
      <c r="M2489" s="1">
        <v>3.59</v>
      </c>
      <c r="N2489" s="1">
        <v>0.38185999999999998</v>
      </c>
      <c r="O2489" s="3">
        <f>VLOOKUP(D2489,underlying!$D$40:$H$75,5,FALSE)</f>
        <v>-0.75</v>
      </c>
      <c r="P2489" s="4">
        <f t="shared" ref="P2489:P2552" si="94">DATE(YEAR(K2489),DAY(K2489),MONTH(K2489))</f>
        <v>43048</v>
      </c>
      <c r="Q2489" s="7">
        <f>IF(G2489="C",NormalCallSprd(O2489,H2489,M2489,(P2489-A2489)/365), NormalPutSprd(O2489,H2489,M2489,(P2489-A2489)/365))</f>
        <v>0.11825686424715831</v>
      </c>
      <c r="R2489" s="9">
        <f t="shared" si="93"/>
        <v>1.7431357528416846E-3</v>
      </c>
    </row>
    <row r="2490" spans="1:18" x14ac:dyDescent="0.2">
      <c r="A2490" s="2">
        <v>42622</v>
      </c>
      <c r="B2490" s="1" t="s">
        <v>56</v>
      </c>
      <c r="C2490" s="1" t="s">
        <v>57</v>
      </c>
      <c r="D2490" s="2">
        <v>42746</v>
      </c>
      <c r="E2490" s="2">
        <f t="shared" si="92"/>
        <v>43040</v>
      </c>
      <c r="F2490" s="1" t="s">
        <v>58</v>
      </c>
      <c r="G2490" s="1" t="s">
        <v>16</v>
      </c>
      <c r="H2490" s="1">
        <v>-6.25</v>
      </c>
      <c r="I2490" s="1">
        <v>5.6</v>
      </c>
      <c r="J2490" s="1">
        <v>0</v>
      </c>
      <c r="K2490" s="2">
        <v>42989</v>
      </c>
      <c r="L2490" s="1">
        <v>3716</v>
      </c>
      <c r="M2490" s="1">
        <v>3.59</v>
      </c>
      <c r="N2490" s="1">
        <v>0.40357999999999999</v>
      </c>
      <c r="O2490" s="3">
        <f>VLOOKUP(D2490,underlying!$D$40:$H$75,5,FALSE)</f>
        <v>-0.75</v>
      </c>
      <c r="P2490" s="4">
        <f t="shared" si="94"/>
        <v>43048</v>
      </c>
      <c r="Q2490" s="7">
        <f>IF(G2490="C",NormalCallSprd(O2490,H2490,M2490,(P2490-A2490)/365), NormalPutSprd(O2490,H2490,M2490,(P2490-A2490)/365))</f>
        <v>5.6366360914922788</v>
      </c>
      <c r="R2490" s="9">
        <f t="shared" si="93"/>
        <v>3.6636091492279199E-2</v>
      </c>
    </row>
    <row r="2491" spans="1:18" x14ac:dyDescent="0.2">
      <c r="A2491" s="2">
        <v>42622</v>
      </c>
      <c r="B2491" s="1" t="s">
        <v>56</v>
      </c>
      <c r="C2491" s="1" t="s">
        <v>57</v>
      </c>
      <c r="D2491" s="2">
        <v>42746</v>
      </c>
      <c r="E2491" s="2">
        <f t="shared" si="92"/>
        <v>43040</v>
      </c>
      <c r="F2491" s="1" t="s">
        <v>58</v>
      </c>
      <c r="G2491" s="1" t="s">
        <v>18</v>
      </c>
      <c r="H2491" s="1">
        <v>-6.25</v>
      </c>
      <c r="I2491" s="1">
        <v>0.14000000000000001</v>
      </c>
      <c r="J2491" s="1">
        <v>0</v>
      </c>
      <c r="K2491" s="2">
        <v>42989</v>
      </c>
      <c r="L2491" s="1">
        <v>3716</v>
      </c>
      <c r="M2491" s="1">
        <v>3.59</v>
      </c>
      <c r="N2491" s="1">
        <v>0.42643999999999999</v>
      </c>
      <c r="O2491" s="3">
        <f>VLOOKUP(D2491,underlying!$D$40:$H$75,5,FALSE)</f>
        <v>-0.75</v>
      </c>
      <c r="P2491" s="4">
        <f t="shared" si="94"/>
        <v>43048</v>
      </c>
      <c r="Q2491" s="7">
        <f>IF(G2491="C",NormalCallSprd(O2491,H2491,M2491,(P2491-A2491)/365), NormalPutSprd(O2491,H2491,M2491,(P2491-A2491)/365))</f>
        <v>0.13663609149227862</v>
      </c>
      <c r="R2491" s="9">
        <f t="shared" si="93"/>
        <v>3.3639085077213915E-3</v>
      </c>
    </row>
    <row r="2492" spans="1:18" x14ac:dyDescent="0.2">
      <c r="A2492" s="2">
        <v>42622</v>
      </c>
      <c r="B2492" s="1" t="s">
        <v>56</v>
      </c>
      <c r="C2492" s="1" t="s">
        <v>57</v>
      </c>
      <c r="D2492" s="2">
        <v>42746</v>
      </c>
      <c r="E2492" s="2">
        <f t="shared" si="92"/>
        <v>43040</v>
      </c>
      <c r="F2492" s="1" t="s">
        <v>58</v>
      </c>
      <c r="G2492" s="1" t="s">
        <v>16</v>
      </c>
      <c r="H2492" s="1">
        <v>-6</v>
      </c>
      <c r="I2492" s="1">
        <v>5.37</v>
      </c>
      <c r="J2492" s="1">
        <v>0</v>
      </c>
      <c r="K2492" s="2">
        <v>42989</v>
      </c>
      <c r="L2492" s="1">
        <v>3716</v>
      </c>
      <c r="M2492" s="1">
        <v>3.59</v>
      </c>
      <c r="N2492" s="1">
        <v>0.44927</v>
      </c>
      <c r="O2492" s="3">
        <f>VLOOKUP(D2492,underlying!$D$40:$H$75,5,FALSE)</f>
        <v>-0.75</v>
      </c>
      <c r="P2492" s="4">
        <f t="shared" si="94"/>
        <v>43048</v>
      </c>
      <c r="Q2492" s="7">
        <f>IF(G2492="C",NormalCallSprd(O2492,H2492,M2492,(P2492-A2492)/365), NormalPutSprd(O2492,H2492,M2492,(P2492-A2492)/365))</f>
        <v>5.407368191004517</v>
      </c>
      <c r="R2492" s="9">
        <f t="shared" si="93"/>
        <v>3.7368191004516937E-2</v>
      </c>
    </row>
    <row r="2493" spans="1:18" x14ac:dyDescent="0.2">
      <c r="A2493" s="2">
        <v>42622</v>
      </c>
      <c r="B2493" s="1" t="s">
        <v>56</v>
      </c>
      <c r="C2493" s="1" t="s">
        <v>57</v>
      </c>
      <c r="D2493" s="2">
        <v>42746</v>
      </c>
      <c r="E2493" s="2">
        <f t="shared" si="92"/>
        <v>43040</v>
      </c>
      <c r="F2493" s="1" t="s">
        <v>58</v>
      </c>
      <c r="G2493" s="1" t="s">
        <v>18</v>
      </c>
      <c r="H2493" s="1">
        <v>-6</v>
      </c>
      <c r="I2493" s="1">
        <v>0.16</v>
      </c>
      <c r="J2493" s="1">
        <v>0</v>
      </c>
      <c r="K2493" s="2">
        <v>42989</v>
      </c>
      <c r="L2493" s="1">
        <v>3716</v>
      </c>
      <c r="M2493" s="1">
        <v>3.59</v>
      </c>
      <c r="N2493" s="1">
        <v>0.47232000000000002</v>
      </c>
      <c r="O2493" s="3">
        <f>VLOOKUP(D2493,underlying!$D$40:$H$75,5,FALSE)</f>
        <v>-0.75</v>
      </c>
      <c r="P2493" s="4">
        <f t="shared" si="94"/>
        <v>43048</v>
      </c>
      <c r="Q2493" s="7">
        <f>IF(G2493="C",NormalCallSprd(O2493,H2493,M2493,(P2493-A2493)/365), NormalPutSprd(O2493,H2493,M2493,(P2493-A2493)/365))</f>
        <v>0.15736819100451718</v>
      </c>
      <c r="R2493" s="9">
        <f t="shared" si="93"/>
        <v>2.6318089954828205E-3</v>
      </c>
    </row>
    <row r="2494" spans="1:18" x14ac:dyDescent="0.2">
      <c r="A2494" s="2">
        <v>42622</v>
      </c>
      <c r="B2494" s="1" t="s">
        <v>56</v>
      </c>
      <c r="C2494" s="1" t="s">
        <v>57</v>
      </c>
      <c r="D2494" s="2">
        <v>42746</v>
      </c>
      <c r="E2494" s="2">
        <f t="shared" si="92"/>
        <v>43040</v>
      </c>
      <c r="F2494" s="1" t="s">
        <v>58</v>
      </c>
      <c r="G2494" s="1" t="s">
        <v>16</v>
      </c>
      <c r="H2494" s="1">
        <v>-5.75</v>
      </c>
      <c r="I2494" s="1">
        <v>5.14</v>
      </c>
      <c r="J2494" s="1">
        <v>-0.01</v>
      </c>
      <c r="K2494" s="2">
        <v>42989</v>
      </c>
      <c r="L2494" s="1">
        <v>3716</v>
      </c>
      <c r="M2494" s="1">
        <v>3.59</v>
      </c>
      <c r="N2494" s="1">
        <v>0.49532999999999999</v>
      </c>
      <c r="O2494" s="3">
        <f>VLOOKUP(D2494,underlying!$D$40:$H$75,5,FALSE)</f>
        <v>-0.75</v>
      </c>
      <c r="P2494" s="4">
        <f t="shared" si="94"/>
        <v>43048</v>
      </c>
      <c r="Q2494" s="7">
        <f>IF(G2494="C",NormalCallSprd(O2494,H2494,M2494,(P2494-A2494)/365), NormalPutSprd(O2494,H2494,M2494,(P2494-A2494)/365))</f>
        <v>5.1806728676916816</v>
      </c>
      <c r="R2494" s="9">
        <f t="shared" si="93"/>
        <v>4.067286769168188E-2</v>
      </c>
    </row>
    <row r="2495" spans="1:18" x14ac:dyDescent="0.2">
      <c r="A2495" s="2">
        <v>42622</v>
      </c>
      <c r="B2495" s="1" t="s">
        <v>56</v>
      </c>
      <c r="C2495" s="1" t="s">
        <v>57</v>
      </c>
      <c r="D2495" s="2">
        <v>42746</v>
      </c>
      <c r="E2495" s="2">
        <f t="shared" si="92"/>
        <v>43040</v>
      </c>
      <c r="F2495" s="1" t="s">
        <v>58</v>
      </c>
      <c r="G2495" s="1" t="s">
        <v>18</v>
      </c>
      <c r="H2495" s="1">
        <v>-5.75</v>
      </c>
      <c r="I2495" s="1">
        <v>0.18</v>
      </c>
      <c r="J2495" s="1">
        <v>0</v>
      </c>
      <c r="K2495" s="2">
        <v>42989</v>
      </c>
      <c r="L2495" s="1">
        <v>3716</v>
      </c>
      <c r="M2495" s="1">
        <v>3.59</v>
      </c>
      <c r="N2495" s="1">
        <v>0.51832999999999996</v>
      </c>
      <c r="O2495" s="3">
        <f>VLOOKUP(D2495,underlying!$D$40:$H$75,5,FALSE)</f>
        <v>-0.75</v>
      </c>
      <c r="P2495" s="4">
        <f t="shared" si="94"/>
        <v>43048</v>
      </c>
      <c r="Q2495" s="7">
        <f>IF(G2495="C",NormalCallSprd(O2495,H2495,M2495,(P2495-A2495)/365), NormalPutSprd(O2495,H2495,M2495,(P2495-A2495)/365))</f>
        <v>0.18067286769168148</v>
      </c>
      <c r="R2495" s="9">
        <f t="shared" si="93"/>
        <v>6.7286769168148353E-4</v>
      </c>
    </row>
    <row r="2496" spans="1:18" x14ac:dyDescent="0.2">
      <c r="A2496" s="2">
        <v>42622</v>
      </c>
      <c r="B2496" s="1" t="s">
        <v>56</v>
      </c>
      <c r="C2496" s="1" t="s">
        <v>57</v>
      </c>
      <c r="D2496" s="2">
        <v>42746</v>
      </c>
      <c r="E2496" s="2">
        <f t="shared" si="92"/>
        <v>43040</v>
      </c>
      <c r="F2496" s="1" t="s">
        <v>58</v>
      </c>
      <c r="G2496" s="1" t="s">
        <v>16</v>
      </c>
      <c r="H2496" s="1">
        <v>-5.5</v>
      </c>
      <c r="I2496" s="1">
        <v>4.92</v>
      </c>
      <c r="J2496" s="1">
        <v>0</v>
      </c>
      <c r="K2496" s="2">
        <v>42989</v>
      </c>
      <c r="L2496" s="1">
        <v>3716</v>
      </c>
      <c r="M2496" s="1">
        <v>3.59</v>
      </c>
      <c r="N2496" s="1">
        <v>0.54137999999999997</v>
      </c>
      <c r="O2496" s="3">
        <f>VLOOKUP(D2496,underlying!$D$40:$H$75,5,FALSE)</f>
        <v>-0.75</v>
      </c>
      <c r="P2496" s="4">
        <f t="shared" si="94"/>
        <v>43048</v>
      </c>
      <c r="Q2496" s="7">
        <f>IF(G2496="C",NormalCallSprd(O2496,H2496,M2496,(P2496-A2496)/365), NormalPutSprd(O2496,H2496,M2496,(P2496-A2496)/365))</f>
        <v>4.9567786869529105</v>
      </c>
      <c r="R2496" s="9">
        <f t="shared" si="93"/>
        <v>3.6778686952910533E-2</v>
      </c>
    </row>
    <row r="2497" spans="1:18" x14ac:dyDescent="0.2">
      <c r="A2497" s="2">
        <v>42622</v>
      </c>
      <c r="B2497" s="1" t="s">
        <v>56</v>
      </c>
      <c r="C2497" s="1" t="s">
        <v>57</v>
      </c>
      <c r="D2497" s="2">
        <v>42746</v>
      </c>
      <c r="E2497" s="2">
        <f t="shared" si="92"/>
        <v>43040</v>
      </c>
      <c r="F2497" s="1" t="s">
        <v>58</v>
      </c>
      <c r="G2497" s="1" t="s">
        <v>18</v>
      </c>
      <c r="H2497" s="1">
        <v>-5.5</v>
      </c>
      <c r="I2497" s="1">
        <v>0.21</v>
      </c>
      <c r="J2497" s="1">
        <v>0</v>
      </c>
      <c r="K2497" s="2">
        <v>42989</v>
      </c>
      <c r="L2497" s="1">
        <v>3716</v>
      </c>
      <c r="M2497" s="1">
        <v>3.59</v>
      </c>
      <c r="N2497" s="1">
        <v>0.56422000000000005</v>
      </c>
      <c r="O2497" s="3">
        <f>VLOOKUP(D2497,underlying!$D$40:$H$75,5,FALSE)</f>
        <v>-0.75</v>
      </c>
      <c r="P2497" s="4">
        <f t="shared" si="94"/>
        <v>43048</v>
      </c>
      <c r="Q2497" s="7">
        <f>IF(G2497="C",NormalCallSprd(O2497,H2497,M2497,(P2497-A2497)/365), NormalPutSprd(O2497,H2497,M2497,(P2497-A2497)/365))</f>
        <v>0.20677868695291093</v>
      </c>
      <c r="R2497" s="9">
        <f t="shared" si="93"/>
        <v>3.2213130470890583E-3</v>
      </c>
    </row>
    <row r="2498" spans="1:18" x14ac:dyDescent="0.2">
      <c r="A2498" s="2">
        <v>42622</v>
      </c>
      <c r="B2498" s="1" t="s">
        <v>56</v>
      </c>
      <c r="C2498" s="1" t="s">
        <v>57</v>
      </c>
      <c r="D2498" s="2">
        <v>42746</v>
      </c>
      <c r="E2498" s="2">
        <f t="shared" ref="E2498:E2561" si="95">DATE(YEAR(D2498),DAY(D2498),MONTH(D2498))</f>
        <v>43040</v>
      </c>
      <c r="F2498" s="1" t="s">
        <v>58</v>
      </c>
      <c r="G2498" s="1" t="s">
        <v>16</v>
      </c>
      <c r="H2498" s="1">
        <v>-5.25</v>
      </c>
      <c r="I2498" s="1">
        <v>4.7</v>
      </c>
      <c r="J2498" s="1">
        <v>-0.01</v>
      </c>
      <c r="K2498" s="2">
        <v>42989</v>
      </c>
      <c r="L2498" s="1">
        <v>3716</v>
      </c>
      <c r="M2498" s="1">
        <v>3.59</v>
      </c>
      <c r="N2498" s="1">
        <v>0.58706999999999998</v>
      </c>
      <c r="O2498" s="3">
        <f>VLOOKUP(D2498,underlying!$D$40:$H$75,5,FALSE)</f>
        <v>-0.75</v>
      </c>
      <c r="P2498" s="4">
        <f t="shared" si="94"/>
        <v>43048</v>
      </c>
      <c r="Q2498" s="7">
        <f>IF(G2498="C",NormalCallSprd(O2498,H2498,M2498,(P2498-A2498)/365), NormalPutSprd(O2498,H2498,M2498,(P2498-A2498)/365))</f>
        <v>4.7359218836176042</v>
      </c>
      <c r="R2498" s="9">
        <f t="shared" si="93"/>
        <v>3.5921883617604067E-2</v>
      </c>
    </row>
    <row r="2499" spans="1:18" x14ac:dyDescent="0.2">
      <c r="A2499" s="2">
        <v>42622</v>
      </c>
      <c r="B2499" s="1" t="s">
        <v>56</v>
      </c>
      <c r="C2499" s="1" t="s">
        <v>57</v>
      </c>
      <c r="D2499" s="2">
        <v>42746</v>
      </c>
      <c r="E2499" s="2">
        <f t="shared" si="95"/>
        <v>43040</v>
      </c>
      <c r="F2499" s="1" t="s">
        <v>58</v>
      </c>
      <c r="G2499" s="1" t="s">
        <v>18</v>
      </c>
      <c r="H2499" s="1">
        <v>-5.25</v>
      </c>
      <c r="I2499" s="1">
        <v>0.23</v>
      </c>
      <c r="J2499" s="1">
        <v>-0.01</v>
      </c>
      <c r="K2499" s="2">
        <v>42989</v>
      </c>
      <c r="L2499" s="1">
        <v>3716</v>
      </c>
      <c r="M2499" s="1">
        <v>3.59</v>
      </c>
      <c r="N2499" s="1">
        <v>0.60880000000000001</v>
      </c>
      <c r="O2499" s="3">
        <f>VLOOKUP(D2499,underlying!$D$40:$H$75,5,FALSE)</f>
        <v>-0.75</v>
      </c>
      <c r="P2499" s="4">
        <f t="shared" si="94"/>
        <v>43048</v>
      </c>
      <c r="Q2499" s="7">
        <f>IF(G2499="C",NormalCallSprd(O2499,H2499,M2499,(P2499-A2499)/365), NormalPutSprd(O2499,H2499,M2499,(P2499-A2499)/365))</f>
        <v>0.23592188361760405</v>
      </c>
      <c r="R2499" s="9">
        <f t="shared" ref="R2499:R2562" si="96">ABS(Q2499-I2499)</f>
        <v>5.9218836176040401E-3</v>
      </c>
    </row>
    <row r="2500" spans="1:18" x14ac:dyDescent="0.2">
      <c r="A2500" s="2">
        <v>42622</v>
      </c>
      <c r="B2500" s="1" t="s">
        <v>56</v>
      </c>
      <c r="C2500" s="1" t="s">
        <v>57</v>
      </c>
      <c r="D2500" s="2">
        <v>42746</v>
      </c>
      <c r="E2500" s="2">
        <f t="shared" si="95"/>
        <v>43040</v>
      </c>
      <c r="F2500" s="1" t="s">
        <v>58</v>
      </c>
      <c r="G2500" s="1" t="s">
        <v>16</v>
      </c>
      <c r="H2500" s="1">
        <v>-5</v>
      </c>
      <c r="I2500" s="1">
        <v>4.49</v>
      </c>
      <c r="J2500" s="1">
        <v>0</v>
      </c>
      <c r="K2500" s="2">
        <v>42989</v>
      </c>
      <c r="L2500" s="1">
        <v>3716</v>
      </c>
      <c r="M2500" s="1">
        <v>3.59</v>
      </c>
      <c r="N2500" s="1">
        <v>0.63139999999999996</v>
      </c>
      <c r="O2500" s="3">
        <f>VLOOKUP(D2500,underlying!$D$40:$H$75,5,FALSE)</f>
        <v>-0.75</v>
      </c>
      <c r="P2500" s="4">
        <f t="shared" si="94"/>
        <v>43048</v>
      </c>
      <c r="Q2500" s="7">
        <f>IF(G2500="C",NormalCallSprd(O2500,H2500,M2500,(P2500-A2500)/365), NormalPutSprd(O2500,H2500,M2500,(P2500-A2500)/365))</f>
        <v>4.518344968495791</v>
      </c>
      <c r="R2500" s="9">
        <f t="shared" si="96"/>
        <v>2.8344968495790823E-2</v>
      </c>
    </row>
    <row r="2501" spans="1:18" x14ac:dyDescent="0.2">
      <c r="A2501" s="2">
        <v>42622</v>
      </c>
      <c r="B2501" s="1" t="s">
        <v>56</v>
      </c>
      <c r="C2501" s="1" t="s">
        <v>57</v>
      </c>
      <c r="D2501" s="2">
        <v>42746</v>
      </c>
      <c r="E2501" s="2">
        <f t="shared" si="95"/>
        <v>43040</v>
      </c>
      <c r="F2501" s="1" t="s">
        <v>58</v>
      </c>
      <c r="G2501" s="1" t="s">
        <v>18</v>
      </c>
      <c r="H2501" s="1">
        <v>-5</v>
      </c>
      <c r="I2501" s="1">
        <v>0.27</v>
      </c>
      <c r="J2501" s="1">
        <v>0</v>
      </c>
      <c r="K2501" s="2">
        <v>42989</v>
      </c>
      <c r="L2501" s="1">
        <v>3716</v>
      </c>
      <c r="M2501" s="1">
        <v>3.59</v>
      </c>
      <c r="N2501" s="1">
        <v>0.65207999999999999</v>
      </c>
      <c r="O2501" s="3">
        <f>VLOOKUP(D2501,underlying!$D$40:$H$75,5,FALSE)</f>
        <v>-0.75</v>
      </c>
      <c r="P2501" s="4">
        <f t="shared" si="94"/>
        <v>43048</v>
      </c>
      <c r="Q2501" s="7">
        <f>IF(G2501="C",NormalCallSprd(O2501,H2501,M2501,(P2501-A2501)/365), NormalPutSprd(O2501,H2501,M2501,(P2501-A2501)/365))</f>
        <v>0.26834496849579087</v>
      </c>
      <c r="R2501" s="9">
        <f t="shared" si="96"/>
        <v>1.6550315042091479E-3</v>
      </c>
    </row>
    <row r="2502" spans="1:18" x14ac:dyDescent="0.2">
      <c r="A2502" s="2">
        <v>42622</v>
      </c>
      <c r="B2502" s="1" t="s">
        <v>56</v>
      </c>
      <c r="C2502" s="1" t="s">
        <v>57</v>
      </c>
      <c r="D2502" s="2">
        <v>42746</v>
      </c>
      <c r="E2502" s="2">
        <f t="shared" si="95"/>
        <v>43040</v>
      </c>
      <c r="F2502" s="1" t="s">
        <v>58</v>
      </c>
      <c r="G2502" s="1" t="s">
        <v>16</v>
      </c>
      <c r="H2502" s="1">
        <v>-4.75</v>
      </c>
      <c r="I2502" s="1">
        <v>4.2699999999999996</v>
      </c>
      <c r="J2502" s="1">
        <v>-0.01</v>
      </c>
      <c r="K2502" s="2">
        <v>42989</v>
      </c>
      <c r="L2502" s="1">
        <v>3716</v>
      </c>
      <c r="M2502" s="1">
        <v>3.59</v>
      </c>
      <c r="N2502" s="1">
        <v>0.67393999999999998</v>
      </c>
      <c r="O2502" s="3">
        <f>VLOOKUP(D2502,underlying!$D$40:$H$75,5,FALSE)</f>
        <v>-0.75</v>
      </c>
      <c r="P2502" s="4">
        <f t="shared" si="94"/>
        <v>43048</v>
      </c>
      <c r="Q2502" s="7">
        <f>IF(G2502="C",NormalCallSprd(O2502,H2502,M2502,(P2502-A2502)/365), NormalPutSprd(O2502,H2502,M2502,(P2502-A2502)/365))</f>
        <v>4.3042951395258244</v>
      </c>
      <c r="R2502" s="9">
        <f t="shared" si="96"/>
        <v>3.4295139525824858E-2</v>
      </c>
    </row>
    <row r="2503" spans="1:18" x14ac:dyDescent="0.2">
      <c r="A2503" s="2">
        <v>42622</v>
      </c>
      <c r="B2503" s="1" t="s">
        <v>56</v>
      </c>
      <c r="C2503" s="1" t="s">
        <v>57</v>
      </c>
      <c r="D2503" s="2">
        <v>42746</v>
      </c>
      <c r="E2503" s="2">
        <f t="shared" si="95"/>
        <v>43040</v>
      </c>
      <c r="F2503" s="1" t="s">
        <v>58</v>
      </c>
      <c r="G2503" s="1" t="s">
        <v>18</v>
      </c>
      <c r="H2503" s="1">
        <v>-4.75</v>
      </c>
      <c r="I2503" s="1">
        <v>0.3</v>
      </c>
      <c r="J2503" s="1">
        <v>0</v>
      </c>
      <c r="K2503" s="2">
        <v>42989</v>
      </c>
      <c r="L2503" s="1">
        <v>3716</v>
      </c>
      <c r="M2503" s="1">
        <v>3.59</v>
      </c>
      <c r="N2503" s="1">
        <v>0.69335999999999998</v>
      </c>
      <c r="O2503" s="3">
        <f>VLOOKUP(D2503,underlying!$D$40:$H$75,5,FALSE)</f>
        <v>-0.75</v>
      </c>
      <c r="P2503" s="4">
        <f t="shared" si="94"/>
        <v>43048</v>
      </c>
      <c r="Q2503" s="7">
        <f>IF(G2503="C",NormalCallSprd(O2503,H2503,M2503,(P2503-A2503)/365), NormalPutSprd(O2503,H2503,M2503,(P2503-A2503)/365))</f>
        <v>0.30429513952582471</v>
      </c>
      <c r="R2503" s="9">
        <f t="shared" si="96"/>
        <v>4.2951395258247205E-3</v>
      </c>
    </row>
    <row r="2504" spans="1:18" x14ac:dyDescent="0.2">
      <c r="A2504" s="2">
        <v>42622</v>
      </c>
      <c r="B2504" s="1" t="s">
        <v>56</v>
      </c>
      <c r="C2504" s="1" t="s">
        <v>57</v>
      </c>
      <c r="D2504" s="2">
        <v>42746</v>
      </c>
      <c r="E2504" s="2">
        <f t="shared" si="95"/>
        <v>43040</v>
      </c>
      <c r="F2504" s="1" t="s">
        <v>58</v>
      </c>
      <c r="G2504" s="1" t="s">
        <v>16</v>
      </c>
      <c r="H2504" s="1">
        <v>-4.5</v>
      </c>
      <c r="I2504" s="1">
        <v>4.07</v>
      </c>
      <c r="J2504" s="1">
        <v>0</v>
      </c>
      <c r="K2504" s="2">
        <v>42989</v>
      </c>
      <c r="L2504" s="1">
        <v>3716</v>
      </c>
      <c r="M2504" s="1">
        <v>3.6</v>
      </c>
      <c r="N2504" s="1">
        <v>0.71309999999999996</v>
      </c>
      <c r="O2504" s="3">
        <f>VLOOKUP(D2504,underlying!$D$40:$H$75,5,FALSE)</f>
        <v>-0.75</v>
      </c>
      <c r="P2504" s="4">
        <f t="shared" si="94"/>
        <v>43048</v>
      </c>
      <c r="Q2504" s="7">
        <f>IF(G2504="C",NormalCallSprd(O2504,H2504,M2504,(P2504-A2504)/365), NormalPutSprd(O2504,H2504,M2504,(P2504-A2504)/365))</f>
        <v>4.0967266255894677</v>
      </c>
      <c r="R2504" s="9">
        <f t="shared" si="96"/>
        <v>2.6726625589467368E-2</v>
      </c>
    </row>
    <row r="2505" spans="1:18" x14ac:dyDescent="0.2">
      <c r="A2505" s="2">
        <v>42622</v>
      </c>
      <c r="B2505" s="1" t="s">
        <v>56</v>
      </c>
      <c r="C2505" s="1" t="s">
        <v>57</v>
      </c>
      <c r="D2505" s="2">
        <v>42746</v>
      </c>
      <c r="E2505" s="2">
        <f t="shared" si="95"/>
        <v>43040</v>
      </c>
      <c r="F2505" s="1" t="s">
        <v>58</v>
      </c>
      <c r="G2505" s="1" t="s">
        <v>18</v>
      </c>
      <c r="H2505" s="1">
        <v>-4.5</v>
      </c>
      <c r="I2505" s="1">
        <v>0.34</v>
      </c>
      <c r="J2505" s="1">
        <v>-0.01</v>
      </c>
      <c r="K2505" s="2">
        <v>42989</v>
      </c>
      <c r="L2505" s="1">
        <v>3716</v>
      </c>
      <c r="M2505" s="1">
        <v>3.6</v>
      </c>
      <c r="N2505" s="1">
        <v>0.73219000000000001</v>
      </c>
      <c r="O2505" s="3">
        <f>VLOOKUP(D2505,underlying!$D$40:$H$75,5,FALSE)</f>
        <v>-0.75</v>
      </c>
      <c r="P2505" s="4">
        <f t="shared" si="94"/>
        <v>43048</v>
      </c>
      <c r="Q2505" s="7">
        <f>IF(G2505="C",NormalCallSprd(O2505,H2505,M2505,(P2505-A2505)/365), NormalPutSprd(O2505,H2505,M2505,(P2505-A2505)/365))</f>
        <v>0.34672662558946721</v>
      </c>
      <c r="R2505" s="9">
        <f t="shared" si="96"/>
        <v>6.7266255894671834E-3</v>
      </c>
    </row>
    <row r="2506" spans="1:18" x14ac:dyDescent="0.2">
      <c r="A2506" s="2">
        <v>42622</v>
      </c>
      <c r="B2506" s="1" t="s">
        <v>56</v>
      </c>
      <c r="C2506" s="1" t="s">
        <v>57</v>
      </c>
      <c r="D2506" s="2">
        <v>42746</v>
      </c>
      <c r="E2506" s="2">
        <f t="shared" si="95"/>
        <v>43040</v>
      </c>
      <c r="F2506" s="1" t="s">
        <v>58</v>
      </c>
      <c r="G2506" s="1" t="s">
        <v>16</v>
      </c>
      <c r="H2506" s="1">
        <v>-4.25</v>
      </c>
      <c r="I2506" s="1">
        <v>3.86</v>
      </c>
      <c r="J2506" s="1">
        <v>-0.01</v>
      </c>
      <c r="K2506" s="2">
        <v>42989</v>
      </c>
      <c r="L2506" s="1">
        <v>3716</v>
      </c>
      <c r="M2506" s="1">
        <v>3.6</v>
      </c>
      <c r="N2506" s="1">
        <v>0.75058000000000002</v>
      </c>
      <c r="O2506" s="3">
        <f>VLOOKUP(D2506,underlying!$D$40:$H$75,5,FALSE)</f>
        <v>-0.75</v>
      </c>
      <c r="P2506" s="4">
        <f t="shared" si="94"/>
        <v>43048</v>
      </c>
      <c r="Q2506" s="7">
        <f>IF(G2506="C",NormalCallSprd(O2506,H2506,M2506,(P2506-A2506)/365), NormalPutSprd(O2506,H2506,M2506,(P2506-A2506)/365))</f>
        <v>3.8906497262572941</v>
      </c>
      <c r="R2506" s="9">
        <f t="shared" si="96"/>
        <v>3.064972625729423E-2</v>
      </c>
    </row>
    <row r="2507" spans="1:18" x14ac:dyDescent="0.2">
      <c r="A2507" s="2">
        <v>42622</v>
      </c>
      <c r="B2507" s="1" t="s">
        <v>56</v>
      </c>
      <c r="C2507" s="1" t="s">
        <v>57</v>
      </c>
      <c r="D2507" s="2">
        <v>42746</v>
      </c>
      <c r="E2507" s="2">
        <f t="shared" si="95"/>
        <v>43040</v>
      </c>
      <c r="F2507" s="1" t="s">
        <v>58</v>
      </c>
      <c r="G2507" s="1" t="s">
        <v>18</v>
      </c>
      <c r="H2507" s="1">
        <v>-4.25</v>
      </c>
      <c r="I2507" s="1">
        <v>0.39</v>
      </c>
      <c r="J2507" s="1">
        <v>0</v>
      </c>
      <c r="K2507" s="2">
        <v>42989</v>
      </c>
      <c r="L2507" s="1">
        <v>3716</v>
      </c>
      <c r="M2507" s="1">
        <v>3.6</v>
      </c>
      <c r="N2507" s="1">
        <v>0.76824000000000003</v>
      </c>
      <c r="O2507" s="3">
        <f>VLOOKUP(D2507,underlying!$D$40:$H$75,5,FALSE)</f>
        <v>-0.75</v>
      </c>
      <c r="P2507" s="4">
        <f t="shared" si="94"/>
        <v>43048</v>
      </c>
      <c r="Q2507" s="7">
        <f>IF(G2507="C",NormalCallSprd(O2507,H2507,M2507,(P2507-A2507)/365), NormalPutSprd(O2507,H2507,M2507,(P2507-A2507)/365))</f>
        <v>0.39064972625729427</v>
      </c>
      <c r="R2507" s="9">
        <f t="shared" si="96"/>
        <v>6.4972625729425859E-4</v>
      </c>
    </row>
    <row r="2508" spans="1:18" x14ac:dyDescent="0.2">
      <c r="A2508" s="2">
        <v>42622</v>
      </c>
      <c r="B2508" s="1" t="s">
        <v>56</v>
      </c>
      <c r="C2508" s="1" t="s">
        <v>57</v>
      </c>
      <c r="D2508" s="2">
        <v>42746</v>
      </c>
      <c r="E2508" s="2">
        <f t="shared" si="95"/>
        <v>43040</v>
      </c>
      <c r="F2508" s="1" t="s">
        <v>58</v>
      </c>
      <c r="G2508" s="1" t="s">
        <v>16</v>
      </c>
      <c r="H2508" s="1">
        <v>-4</v>
      </c>
      <c r="I2508" s="1">
        <v>3.67</v>
      </c>
      <c r="J2508" s="1">
        <v>0</v>
      </c>
      <c r="K2508" s="2">
        <v>42989</v>
      </c>
      <c r="L2508" s="1">
        <v>3716</v>
      </c>
      <c r="M2508" s="1">
        <v>3.61</v>
      </c>
      <c r="N2508" s="1">
        <v>0.78513999999999995</v>
      </c>
      <c r="O2508" s="3">
        <f>VLOOKUP(D2508,underlying!$D$40:$H$75,5,FALSE)</f>
        <v>-0.75</v>
      </c>
      <c r="P2508" s="4">
        <f t="shared" si="94"/>
        <v>43048</v>
      </c>
      <c r="Q2508" s="7">
        <f>IF(G2508="C",NormalCallSprd(O2508,H2508,M2508,(P2508-A2508)/365), NormalPutSprd(O2508,H2508,M2508,(P2508-A2508)/365))</f>
        <v>3.6918915118762388</v>
      </c>
      <c r="R2508" s="9">
        <f t="shared" si="96"/>
        <v>2.1891511876238834E-2</v>
      </c>
    </row>
    <row r="2509" spans="1:18" x14ac:dyDescent="0.2">
      <c r="A2509" s="2">
        <v>42622</v>
      </c>
      <c r="B2509" s="1" t="s">
        <v>56</v>
      </c>
      <c r="C2509" s="1" t="s">
        <v>57</v>
      </c>
      <c r="D2509" s="2">
        <v>42746</v>
      </c>
      <c r="E2509" s="2">
        <f t="shared" si="95"/>
        <v>43040</v>
      </c>
      <c r="F2509" s="1" t="s">
        <v>58</v>
      </c>
      <c r="G2509" s="1" t="s">
        <v>18</v>
      </c>
      <c r="H2509" s="1">
        <v>-4</v>
      </c>
      <c r="I2509" s="1">
        <v>0.44</v>
      </c>
      <c r="J2509" s="1">
        <v>0</v>
      </c>
      <c r="K2509" s="2">
        <v>42989</v>
      </c>
      <c r="L2509" s="1">
        <v>3716</v>
      </c>
      <c r="M2509" s="1">
        <v>3.61</v>
      </c>
      <c r="N2509" s="1">
        <v>0.80125000000000002</v>
      </c>
      <c r="O2509" s="3">
        <f>VLOOKUP(D2509,underlying!$D$40:$H$75,5,FALSE)</f>
        <v>-0.75</v>
      </c>
      <c r="P2509" s="4">
        <f t="shared" si="94"/>
        <v>43048</v>
      </c>
      <c r="Q2509" s="7">
        <f>IF(G2509="C",NormalCallSprd(O2509,H2509,M2509,(P2509-A2509)/365), NormalPutSprd(O2509,H2509,M2509,(P2509-A2509)/365))</f>
        <v>0.44189151187623887</v>
      </c>
      <c r="R2509" s="9">
        <f t="shared" si="96"/>
        <v>1.8915118762388716E-3</v>
      </c>
    </row>
    <row r="2510" spans="1:18" x14ac:dyDescent="0.2">
      <c r="A2510" s="2">
        <v>42622</v>
      </c>
      <c r="B2510" s="1" t="s">
        <v>56</v>
      </c>
      <c r="C2510" s="1" t="s">
        <v>57</v>
      </c>
      <c r="D2510" s="2">
        <v>42746</v>
      </c>
      <c r="E2510" s="2">
        <f t="shared" si="95"/>
        <v>43040</v>
      </c>
      <c r="F2510" s="1" t="s">
        <v>58</v>
      </c>
      <c r="G2510" s="1" t="s">
        <v>16</v>
      </c>
      <c r="H2510" s="1">
        <v>-3.75</v>
      </c>
      <c r="I2510" s="1">
        <v>3.47</v>
      </c>
      <c r="J2510" s="1">
        <v>0</v>
      </c>
      <c r="K2510" s="2">
        <v>42989</v>
      </c>
      <c r="L2510" s="1">
        <v>3716</v>
      </c>
      <c r="M2510" s="1">
        <v>3.61</v>
      </c>
      <c r="N2510" s="1">
        <v>0.81655999999999995</v>
      </c>
      <c r="O2510" s="3">
        <f>VLOOKUP(D2510,underlying!$D$40:$H$75,5,FALSE)</f>
        <v>-0.75</v>
      </c>
      <c r="P2510" s="4">
        <f t="shared" si="94"/>
        <v>43048</v>
      </c>
      <c r="Q2510" s="7">
        <f>IF(G2510="C",NormalCallSprd(O2510,H2510,M2510,(P2510-A2510)/365), NormalPutSprd(O2510,H2510,M2510,(P2510-A2510)/365))</f>
        <v>3.4947726120353999</v>
      </c>
      <c r="R2510" s="9">
        <f t="shared" si="96"/>
        <v>2.477261203539971E-2</v>
      </c>
    </row>
    <row r="2511" spans="1:18" x14ac:dyDescent="0.2">
      <c r="A2511" s="2">
        <v>42622</v>
      </c>
      <c r="B2511" s="1" t="s">
        <v>56</v>
      </c>
      <c r="C2511" s="1" t="s">
        <v>57</v>
      </c>
      <c r="D2511" s="2">
        <v>42746</v>
      </c>
      <c r="E2511" s="2">
        <f t="shared" si="95"/>
        <v>43040</v>
      </c>
      <c r="F2511" s="1" t="s">
        <v>58</v>
      </c>
      <c r="G2511" s="1" t="s">
        <v>18</v>
      </c>
      <c r="H2511" s="1">
        <v>-3.75</v>
      </c>
      <c r="I2511" s="1">
        <v>0.49</v>
      </c>
      <c r="J2511" s="1">
        <v>0</v>
      </c>
      <c r="K2511" s="2">
        <v>42989</v>
      </c>
      <c r="L2511" s="1">
        <v>3716</v>
      </c>
      <c r="M2511" s="1">
        <v>3.61</v>
      </c>
      <c r="N2511" s="1">
        <v>0.85763999999999996</v>
      </c>
      <c r="O2511" s="3">
        <f>VLOOKUP(D2511,underlying!$D$40:$H$75,5,FALSE)</f>
        <v>-0.75</v>
      </c>
      <c r="P2511" s="4">
        <f t="shared" si="94"/>
        <v>43048</v>
      </c>
      <c r="Q2511" s="7">
        <f>IF(G2511="C",NormalCallSprd(O2511,H2511,M2511,(P2511-A2511)/365), NormalPutSprd(O2511,H2511,M2511,(P2511-A2511)/365))</f>
        <v>0.49477261203539996</v>
      </c>
      <c r="R2511" s="9">
        <f t="shared" si="96"/>
        <v>4.7726120353999701E-3</v>
      </c>
    </row>
    <row r="2512" spans="1:18" x14ac:dyDescent="0.2">
      <c r="A2512" s="2">
        <v>42622</v>
      </c>
      <c r="B2512" s="1" t="s">
        <v>56</v>
      </c>
      <c r="C2512" s="1" t="s">
        <v>57</v>
      </c>
      <c r="D2512" s="2">
        <v>42746</v>
      </c>
      <c r="E2512" s="2">
        <f t="shared" si="95"/>
        <v>43040</v>
      </c>
      <c r="F2512" s="1" t="s">
        <v>58</v>
      </c>
      <c r="G2512" s="1" t="s">
        <v>16</v>
      </c>
      <c r="H2512" s="1">
        <v>-3.5</v>
      </c>
      <c r="I2512" s="1">
        <v>3.28</v>
      </c>
      <c r="J2512" s="1">
        <v>0</v>
      </c>
      <c r="K2512" s="2">
        <v>42989</v>
      </c>
      <c r="L2512" s="1">
        <v>3716</v>
      </c>
      <c r="M2512" s="1">
        <v>3.61</v>
      </c>
      <c r="N2512" s="1">
        <v>0.90127000000000002</v>
      </c>
      <c r="O2512" s="3">
        <f>VLOOKUP(D2512,underlying!$D$40:$H$75,5,FALSE)</f>
        <v>-0.75</v>
      </c>
      <c r="P2512" s="4">
        <f t="shared" si="94"/>
        <v>43048</v>
      </c>
      <c r="Q2512" s="7">
        <f>IF(G2512="C",NormalCallSprd(O2512,H2512,M2512,(P2512-A2512)/365), NormalPutSprd(O2512,H2512,M2512,(P2512-A2512)/365))</f>
        <v>3.3024089787400768</v>
      </c>
      <c r="R2512" s="9">
        <f t="shared" si="96"/>
        <v>2.2408978740076968E-2</v>
      </c>
    </row>
    <row r="2513" spans="1:18" x14ac:dyDescent="0.2">
      <c r="A2513" s="2">
        <v>42622</v>
      </c>
      <c r="B2513" s="1" t="s">
        <v>56</v>
      </c>
      <c r="C2513" s="1" t="s">
        <v>57</v>
      </c>
      <c r="D2513" s="2">
        <v>42746</v>
      </c>
      <c r="E2513" s="2">
        <f t="shared" si="95"/>
        <v>43040</v>
      </c>
      <c r="F2513" s="1" t="s">
        <v>58</v>
      </c>
      <c r="G2513" s="1" t="s">
        <v>18</v>
      </c>
      <c r="H2513" s="1">
        <v>-3.5</v>
      </c>
      <c r="I2513" s="1">
        <v>0.55000000000000004</v>
      </c>
      <c r="J2513" s="1">
        <v>0</v>
      </c>
      <c r="K2513" s="2">
        <v>42989</v>
      </c>
      <c r="L2513" s="1">
        <v>3716</v>
      </c>
      <c r="M2513" s="1">
        <v>3.61</v>
      </c>
      <c r="N2513" s="1">
        <v>0.93364000000000003</v>
      </c>
      <c r="O2513" s="3">
        <f>VLOOKUP(D2513,underlying!$D$40:$H$75,5,FALSE)</f>
        <v>-0.75</v>
      </c>
      <c r="P2513" s="4">
        <f t="shared" si="94"/>
        <v>43048</v>
      </c>
      <c r="Q2513" s="7">
        <f>IF(G2513="C",NormalCallSprd(O2513,H2513,M2513,(P2513-A2513)/365), NormalPutSprd(O2513,H2513,M2513,(P2513-A2513)/365))</f>
        <v>0.55240897874007688</v>
      </c>
      <c r="R2513" s="9">
        <f t="shared" si="96"/>
        <v>2.4089787400768392E-3</v>
      </c>
    </row>
    <row r="2514" spans="1:18" x14ac:dyDescent="0.2">
      <c r="A2514" s="2">
        <v>42622</v>
      </c>
      <c r="B2514" s="1" t="s">
        <v>56</v>
      </c>
      <c r="C2514" s="1" t="s">
        <v>57</v>
      </c>
      <c r="D2514" s="2">
        <v>42746</v>
      </c>
      <c r="E2514" s="2">
        <f t="shared" si="95"/>
        <v>43040</v>
      </c>
      <c r="F2514" s="1" t="s">
        <v>58</v>
      </c>
      <c r="G2514" s="1" t="s">
        <v>16</v>
      </c>
      <c r="H2514" s="1">
        <v>-3.25</v>
      </c>
      <c r="I2514" s="1">
        <v>3.09</v>
      </c>
      <c r="J2514" s="1">
        <v>-0.01</v>
      </c>
      <c r="K2514" s="2">
        <v>42989</v>
      </c>
      <c r="L2514" s="1">
        <v>3716</v>
      </c>
      <c r="M2514" s="1">
        <v>3.61</v>
      </c>
      <c r="N2514" s="1">
        <v>-0.67300000000000004</v>
      </c>
      <c r="O2514" s="3">
        <f>VLOOKUP(D2514,underlying!$D$40:$H$75,5,FALSE)</f>
        <v>-0.75</v>
      </c>
      <c r="P2514" s="4">
        <f t="shared" si="94"/>
        <v>43048</v>
      </c>
      <c r="Q2514" s="7">
        <f>IF(G2514="C",NormalCallSprd(O2514,H2514,M2514,(P2514-A2514)/365), NormalPutSprd(O2514,H2514,M2514,(P2514-A2514)/365))</f>
        <v>3.1150305542550045</v>
      </c>
      <c r="R2514" s="9">
        <f t="shared" si="96"/>
        <v>2.5030554255004667E-2</v>
      </c>
    </row>
    <row r="2515" spans="1:18" x14ac:dyDescent="0.2">
      <c r="A2515" s="2">
        <v>42622</v>
      </c>
      <c r="B2515" s="1" t="s">
        <v>56</v>
      </c>
      <c r="C2515" s="1" t="s">
        <v>57</v>
      </c>
      <c r="D2515" s="2">
        <v>42746</v>
      </c>
      <c r="E2515" s="2">
        <f t="shared" si="95"/>
        <v>43040</v>
      </c>
      <c r="F2515" s="1" t="s">
        <v>58</v>
      </c>
      <c r="G2515" s="1" t="s">
        <v>18</v>
      </c>
      <c r="H2515" s="1">
        <v>-3.25</v>
      </c>
      <c r="I2515" s="1">
        <v>0.61</v>
      </c>
      <c r="J2515" s="1">
        <v>0</v>
      </c>
      <c r="K2515" s="2">
        <v>42989</v>
      </c>
      <c r="L2515" s="1">
        <v>3716</v>
      </c>
      <c r="M2515" s="1">
        <v>3.61</v>
      </c>
      <c r="N2515" s="1">
        <v>-0.65207999999999999</v>
      </c>
      <c r="O2515" s="3">
        <f>VLOOKUP(D2515,underlying!$D$40:$H$75,5,FALSE)</f>
        <v>-0.75</v>
      </c>
      <c r="P2515" s="4">
        <f t="shared" si="94"/>
        <v>43048</v>
      </c>
      <c r="Q2515" s="7">
        <f>IF(G2515="C",NormalCallSprd(O2515,H2515,M2515,(P2515-A2515)/365), NormalPutSprd(O2515,H2515,M2515,(P2515-A2515)/365))</f>
        <v>0.61503055425500441</v>
      </c>
      <c r="R2515" s="9">
        <f t="shared" si="96"/>
        <v>5.0305542550044269E-3</v>
      </c>
    </row>
    <row r="2516" spans="1:18" x14ac:dyDescent="0.2">
      <c r="A2516" s="2">
        <v>42622</v>
      </c>
      <c r="B2516" s="1" t="s">
        <v>56</v>
      </c>
      <c r="C2516" s="1" t="s">
        <v>57</v>
      </c>
      <c r="D2516" s="2">
        <v>42746</v>
      </c>
      <c r="E2516" s="2">
        <f t="shared" si="95"/>
        <v>43040</v>
      </c>
      <c r="F2516" s="1" t="s">
        <v>58</v>
      </c>
      <c r="G2516" s="1" t="s">
        <v>16</v>
      </c>
      <c r="H2516" s="1">
        <v>-3</v>
      </c>
      <c r="I2516" s="1">
        <v>2.91</v>
      </c>
      <c r="J2516" s="1">
        <v>0</v>
      </c>
      <c r="K2516" s="2">
        <v>42989</v>
      </c>
      <c r="L2516" s="1">
        <v>3716</v>
      </c>
      <c r="M2516" s="1">
        <v>3.61</v>
      </c>
      <c r="N2516" s="1">
        <v>-0.63139999999999996</v>
      </c>
      <c r="O2516" s="3">
        <f>VLOOKUP(D2516,underlying!$D$40:$H$75,5,FALSE)</f>
        <v>-0.75</v>
      </c>
      <c r="P2516" s="4">
        <f t="shared" si="94"/>
        <v>43048</v>
      </c>
      <c r="Q2516" s="7">
        <f>IF(G2516="C",NormalCallSprd(O2516,H2516,M2516,(P2516-A2516)/365), NormalPutSprd(O2516,H2516,M2516,(P2516-A2516)/365))</f>
        <v>2.932856983095931</v>
      </c>
      <c r="R2516" s="9">
        <f t="shared" si="96"/>
        <v>2.2856983095930872E-2</v>
      </c>
    </row>
    <row r="2517" spans="1:18" x14ac:dyDescent="0.2">
      <c r="A2517" s="2">
        <v>42622</v>
      </c>
      <c r="B2517" s="1" t="s">
        <v>56</v>
      </c>
      <c r="C2517" s="1" t="s">
        <v>57</v>
      </c>
      <c r="D2517" s="2">
        <v>42746</v>
      </c>
      <c r="E2517" s="2">
        <f t="shared" si="95"/>
        <v>43040</v>
      </c>
      <c r="F2517" s="1" t="s">
        <v>58</v>
      </c>
      <c r="G2517" s="1" t="s">
        <v>18</v>
      </c>
      <c r="H2517" s="1">
        <v>-3</v>
      </c>
      <c r="I2517" s="1">
        <v>0.68</v>
      </c>
      <c r="J2517" s="1">
        <v>0</v>
      </c>
      <c r="K2517" s="2">
        <v>42989</v>
      </c>
      <c r="L2517" s="1">
        <v>3716</v>
      </c>
      <c r="M2517" s="1">
        <v>3.61</v>
      </c>
      <c r="N2517" s="1">
        <v>-0.60880000000000001</v>
      </c>
      <c r="O2517" s="3">
        <f>VLOOKUP(D2517,underlying!$D$40:$H$75,5,FALSE)</f>
        <v>-0.75</v>
      </c>
      <c r="P2517" s="4">
        <f t="shared" si="94"/>
        <v>43048</v>
      </c>
      <c r="Q2517" s="7">
        <f>IF(G2517="C",NormalCallSprd(O2517,H2517,M2517,(P2517-A2517)/365), NormalPutSprd(O2517,H2517,M2517,(P2517-A2517)/365))</f>
        <v>0.68285698309593112</v>
      </c>
      <c r="R2517" s="9">
        <f t="shared" si="96"/>
        <v>2.856983095931076E-3</v>
      </c>
    </row>
    <row r="2518" spans="1:18" x14ac:dyDescent="0.2">
      <c r="A2518" s="2">
        <v>42622</v>
      </c>
      <c r="B2518" s="1" t="s">
        <v>56</v>
      </c>
      <c r="C2518" s="1" t="s">
        <v>57</v>
      </c>
      <c r="D2518" s="2">
        <v>42746</v>
      </c>
      <c r="E2518" s="2">
        <f t="shared" si="95"/>
        <v>43040</v>
      </c>
      <c r="F2518" s="1" t="s">
        <v>58</v>
      </c>
      <c r="G2518" s="1" t="s">
        <v>16</v>
      </c>
      <c r="H2518" s="1">
        <v>-2.75</v>
      </c>
      <c r="I2518" s="1">
        <v>2.73</v>
      </c>
      <c r="J2518" s="1">
        <v>0</v>
      </c>
      <c r="K2518" s="2">
        <v>42989</v>
      </c>
      <c r="L2518" s="1">
        <v>3716</v>
      </c>
      <c r="M2518" s="1">
        <v>3.59</v>
      </c>
      <c r="N2518" s="1">
        <v>-0.58706999999999998</v>
      </c>
      <c r="O2518" s="3">
        <f>VLOOKUP(D2518,underlying!$D$40:$H$75,5,FALSE)</f>
        <v>-0.75</v>
      </c>
      <c r="P2518" s="4">
        <f t="shared" si="94"/>
        <v>43048</v>
      </c>
      <c r="Q2518" s="7">
        <f>IF(G2518="C",NormalCallSprd(O2518,H2518,M2518,(P2518-A2518)/365), NormalPutSprd(O2518,H2518,M2518,(P2518-A2518)/365))</f>
        <v>2.7485431070750987</v>
      </c>
      <c r="R2518" s="9">
        <f t="shared" si="96"/>
        <v>1.8543107075098764E-2</v>
      </c>
    </row>
    <row r="2519" spans="1:18" x14ac:dyDescent="0.2">
      <c r="A2519" s="2">
        <v>42622</v>
      </c>
      <c r="B2519" s="1" t="s">
        <v>56</v>
      </c>
      <c r="C2519" s="1" t="s">
        <v>57</v>
      </c>
      <c r="D2519" s="2">
        <v>42746</v>
      </c>
      <c r="E2519" s="2">
        <f t="shared" si="95"/>
        <v>43040</v>
      </c>
      <c r="F2519" s="1" t="s">
        <v>58</v>
      </c>
      <c r="G2519" s="1" t="s">
        <v>18</v>
      </c>
      <c r="H2519" s="1">
        <v>-2.75</v>
      </c>
      <c r="I2519" s="1">
        <v>0.74</v>
      </c>
      <c r="J2519" s="1">
        <v>-0.01</v>
      </c>
      <c r="K2519" s="2">
        <v>42989</v>
      </c>
      <c r="L2519" s="1">
        <v>3716</v>
      </c>
      <c r="M2519" s="1">
        <v>3.59</v>
      </c>
      <c r="N2519" s="1">
        <v>-0.56422000000000005</v>
      </c>
      <c r="O2519" s="3">
        <f>VLOOKUP(D2519,underlying!$D$40:$H$75,5,FALSE)</f>
        <v>-0.75</v>
      </c>
      <c r="P2519" s="4">
        <f t="shared" si="94"/>
        <v>43048</v>
      </c>
      <c r="Q2519" s="7">
        <f>IF(G2519="C",NormalCallSprd(O2519,H2519,M2519,(P2519-A2519)/365), NormalPutSprd(O2519,H2519,M2519,(P2519-A2519)/365))</f>
        <v>0.74854310707509886</v>
      </c>
      <c r="R2519" s="9">
        <f t="shared" si="96"/>
        <v>8.5431070750988658E-3</v>
      </c>
    </row>
    <row r="2520" spans="1:18" x14ac:dyDescent="0.2">
      <c r="A2520" s="2">
        <v>42622</v>
      </c>
      <c r="B2520" s="1" t="s">
        <v>56</v>
      </c>
      <c r="C2520" s="1" t="s">
        <v>57</v>
      </c>
      <c r="D2520" s="2">
        <v>42746</v>
      </c>
      <c r="E2520" s="2">
        <f t="shared" si="95"/>
        <v>43040</v>
      </c>
      <c r="F2520" s="1" t="s">
        <v>58</v>
      </c>
      <c r="G2520" s="1" t="s">
        <v>16</v>
      </c>
      <c r="H2520" s="1">
        <v>-2.5</v>
      </c>
      <c r="I2520" s="1">
        <v>2.57</v>
      </c>
      <c r="J2520" s="1">
        <v>0</v>
      </c>
      <c r="K2520" s="2">
        <v>42989</v>
      </c>
      <c r="L2520" s="1">
        <v>3716</v>
      </c>
      <c r="M2520" s="1">
        <v>3.61</v>
      </c>
      <c r="N2520" s="1">
        <v>-0.54137999999999997</v>
      </c>
      <c r="O2520" s="3">
        <f>VLOOKUP(D2520,underlying!$D$40:$H$75,5,FALSE)</f>
        <v>-0.75</v>
      </c>
      <c r="P2520" s="4">
        <f t="shared" si="94"/>
        <v>43048</v>
      </c>
      <c r="Q2520" s="7">
        <f>IF(G2520="C",NormalCallSprd(O2520,H2520,M2520,(P2520-A2520)/365), NormalPutSprd(O2520,H2520,M2520,(P2520-A2520)/365))</f>
        <v>2.5849377908423157</v>
      </c>
      <c r="R2520" s="9">
        <f t="shared" si="96"/>
        <v>1.4937790842315835E-2</v>
      </c>
    </row>
    <row r="2521" spans="1:18" x14ac:dyDescent="0.2">
      <c r="A2521" s="2">
        <v>42622</v>
      </c>
      <c r="B2521" s="1" t="s">
        <v>56</v>
      </c>
      <c r="C2521" s="1" t="s">
        <v>57</v>
      </c>
      <c r="D2521" s="2">
        <v>42746</v>
      </c>
      <c r="E2521" s="2">
        <f t="shared" si="95"/>
        <v>43040</v>
      </c>
      <c r="F2521" s="1" t="s">
        <v>58</v>
      </c>
      <c r="G2521" s="1" t="s">
        <v>18</v>
      </c>
      <c r="H2521" s="1">
        <v>-2.5</v>
      </c>
      <c r="I2521" s="1">
        <v>0.83</v>
      </c>
      <c r="J2521" s="1">
        <v>0</v>
      </c>
      <c r="K2521" s="2">
        <v>42989</v>
      </c>
      <c r="L2521" s="1">
        <v>3716</v>
      </c>
      <c r="M2521" s="1">
        <v>3.61</v>
      </c>
      <c r="N2521" s="1">
        <v>-0.51832999999999996</v>
      </c>
      <c r="O2521" s="3">
        <f>VLOOKUP(D2521,underlying!$D$40:$H$75,5,FALSE)</f>
        <v>-0.75</v>
      </c>
      <c r="P2521" s="4">
        <f t="shared" si="94"/>
        <v>43048</v>
      </c>
      <c r="Q2521" s="7">
        <f>IF(G2521="C",NormalCallSprd(O2521,H2521,M2521,(P2521-A2521)/365), NormalPutSprd(O2521,H2521,M2521,(P2521-A2521)/365))</f>
        <v>0.83493779084231579</v>
      </c>
      <c r="R2521" s="9">
        <f t="shared" si="96"/>
        <v>4.9377908423158257E-3</v>
      </c>
    </row>
    <row r="2522" spans="1:18" x14ac:dyDescent="0.2">
      <c r="A2522" s="2">
        <v>42622</v>
      </c>
      <c r="B2522" s="1" t="s">
        <v>56</v>
      </c>
      <c r="C2522" s="1" t="s">
        <v>57</v>
      </c>
      <c r="D2522" s="2">
        <v>42746</v>
      </c>
      <c r="E2522" s="2">
        <f t="shared" si="95"/>
        <v>43040</v>
      </c>
      <c r="F2522" s="1" t="s">
        <v>58</v>
      </c>
      <c r="G2522" s="1" t="s">
        <v>16</v>
      </c>
      <c r="H2522" s="1">
        <v>-2.25</v>
      </c>
      <c r="I2522" s="1">
        <v>2.39</v>
      </c>
      <c r="J2522" s="1">
        <v>-0.01</v>
      </c>
      <c r="K2522" s="2">
        <v>42989</v>
      </c>
      <c r="L2522" s="1">
        <v>3716</v>
      </c>
      <c r="M2522" s="1">
        <v>3.59</v>
      </c>
      <c r="N2522" s="1">
        <v>-0.49532999999999999</v>
      </c>
      <c r="O2522" s="3">
        <f>VLOOKUP(D2522,underlying!$D$40:$H$75,5,FALSE)</f>
        <v>-0.75</v>
      </c>
      <c r="P2522" s="4">
        <f t="shared" si="94"/>
        <v>43048</v>
      </c>
      <c r="Q2522" s="7">
        <f>IF(G2522="C",NormalCallSprd(O2522,H2522,M2522,(P2522-A2522)/365), NormalPutSprd(O2522,H2522,M2522,(P2522-A2522)/365))</f>
        <v>2.4115577014016245</v>
      </c>
      <c r="R2522" s="9">
        <f t="shared" si="96"/>
        <v>2.1557701401624385E-2</v>
      </c>
    </row>
    <row r="2523" spans="1:18" x14ac:dyDescent="0.2">
      <c r="A2523" s="2">
        <v>42622</v>
      </c>
      <c r="B2523" s="1" t="s">
        <v>56</v>
      </c>
      <c r="C2523" s="1" t="s">
        <v>57</v>
      </c>
      <c r="D2523" s="2">
        <v>42746</v>
      </c>
      <c r="E2523" s="2">
        <f t="shared" si="95"/>
        <v>43040</v>
      </c>
      <c r="F2523" s="1" t="s">
        <v>58</v>
      </c>
      <c r="G2523" s="1" t="s">
        <v>18</v>
      </c>
      <c r="H2523" s="1">
        <v>-2.25</v>
      </c>
      <c r="I2523" s="1">
        <v>0.91</v>
      </c>
      <c r="J2523" s="1">
        <v>0</v>
      </c>
      <c r="K2523" s="2">
        <v>42989</v>
      </c>
      <c r="L2523" s="1">
        <v>3716</v>
      </c>
      <c r="M2523" s="1">
        <v>3.59</v>
      </c>
      <c r="N2523" s="1">
        <v>-0.47232000000000002</v>
      </c>
      <c r="O2523" s="3">
        <f>VLOOKUP(D2523,underlying!$D$40:$H$75,5,FALSE)</f>
        <v>-0.75</v>
      </c>
      <c r="P2523" s="4">
        <f t="shared" si="94"/>
        <v>43048</v>
      </c>
      <c r="Q2523" s="7">
        <f>IF(G2523="C",NormalCallSprd(O2523,H2523,M2523,(P2523-A2523)/365), NormalPutSprd(O2523,H2523,M2523,(P2523-A2523)/365))</f>
        <v>0.91155770140162462</v>
      </c>
      <c r="R2523" s="9">
        <f t="shared" si="96"/>
        <v>1.5577014016245894E-3</v>
      </c>
    </row>
    <row r="2524" spans="1:18" x14ac:dyDescent="0.2">
      <c r="A2524" s="2">
        <v>42622</v>
      </c>
      <c r="B2524" s="1" t="s">
        <v>56</v>
      </c>
      <c r="C2524" s="1" t="s">
        <v>57</v>
      </c>
      <c r="D2524" s="2">
        <v>42746</v>
      </c>
      <c r="E2524" s="2">
        <f t="shared" si="95"/>
        <v>43040</v>
      </c>
      <c r="F2524" s="1" t="s">
        <v>58</v>
      </c>
      <c r="G2524" s="1" t="s">
        <v>16</v>
      </c>
      <c r="H2524" s="1">
        <v>-2</v>
      </c>
      <c r="I2524" s="1">
        <v>2.2400000000000002</v>
      </c>
      <c r="J2524" s="1">
        <v>-0.01</v>
      </c>
      <c r="K2524" s="2">
        <v>42989</v>
      </c>
      <c r="L2524" s="1">
        <v>3716</v>
      </c>
      <c r="M2524" s="1">
        <v>3.61</v>
      </c>
      <c r="N2524" s="1">
        <v>-0.44927</v>
      </c>
      <c r="O2524" s="3">
        <f>VLOOKUP(D2524,underlying!$D$40:$H$75,5,FALSE)</f>
        <v>-0.75</v>
      </c>
      <c r="P2524" s="4">
        <f t="shared" si="94"/>
        <v>43048</v>
      </c>
      <c r="Q2524" s="7">
        <f>IF(G2524="C",NormalCallSprd(O2524,H2524,M2524,(P2524-A2524)/365), NormalPutSprd(O2524,H2524,M2524,(P2524-A2524)/365))</f>
        <v>2.2601173143019508</v>
      </c>
      <c r="R2524" s="9">
        <f t="shared" si="96"/>
        <v>2.0117314301950628E-2</v>
      </c>
    </row>
    <row r="2525" spans="1:18" x14ac:dyDescent="0.2">
      <c r="A2525" s="2">
        <v>42622</v>
      </c>
      <c r="B2525" s="1" t="s">
        <v>56</v>
      </c>
      <c r="C2525" s="1" t="s">
        <v>57</v>
      </c>
      <c r="D2525" s="2">
        <v>42746</v>
      </c>
      <c r="E2525" s="2">
        <f t="shared" si="95"/>
        <v>43040</v>
      </c>
      <c r="F2525" s="1" t="s">
        <v>58</v>
      </c>
      <c r="G2525" s="1" t="s">
        <v>18</v>
      </c>
      <c r="H2525" s="1">
        <v>-2</v>
      </c>
      <c r="I2525" s="1">
        <v>1</v>
      </c>
      <c r="J2525" s="1">
        <v>-0.01</v>
      </c>
      <c r="K2525" s="2">
        <v>42989</v>
      </c>
      <c r="L2525" s="1">
        <v>3716</v>
      </c>
      <c r="M2525" s="1">
        <v>3.61</v>
      </c>
      <c r="N2525" s="1">
        <v>-0.42643999999999999</v>
      </c>
      <c r="O2525" s="3">
        <f>VLOOKUP(D2525,underlying!$D$40:$H$75,5,FALSE)</f>
        <v>-0.75</v>
      </c>
      <c r="P2525" s="4">
        <f t="shared" si="94"/>
        <v>43048</v>
      </c>
      <c r="Q2525" s="7">
        <f>IF(G2525="C",NormalCallSprd(O2525,H2525,M2525,(P2525-A2525)/365), NormalPutSprd(O2525,H2525,M2525,(P2525-A2525)/365))</f>
        <v>1.0101173143019508</v>
      </c>
      <c r="R2525" s="9">
        <f t="shared" si="96"/>
        <v>1.0117314301950842E-2</v>
      </c>
    </row>
    <row r="2526" spans="1:18" x14ac:dyDescent="0.2">
      <c r="A2526" s="2">
        <v>42622</v>
      </c>
      <c r="B2526" s="1" t="s">
        <v>56</v>
      </c>
      <c r="C2526" s="1" t="s">
        <v>57</v>
      </c>
      <c r="D2526" s="2">
        <v>42746</v>
      </c>
      <c r="E2526" s="2">
        <f t="shared" si="95"/>
        <v>43040</v>
      </c>
      <c r="F2526" s="1" t="s">
        <v>58</v>
      </c>
      <c r="G2526" s="1" t="s">
        <v>16</v>
      </c>
      <c r="H2526" s="1">
        <v>-1.75</v>
      </c>
      <c r="I2526" s="1">
        <v>2.08</v>
      </c>
      <c r="J2526" s="1">
        <v>-0.01</v>
      </c>
      <c r="K2526" s="2">
        <v>42989</v>
      </c>
      <c r="L2526" s="1">
        <v>3716</v>
      </c>
      <c r="M2526" s="1">
        <v>3.59</v>
      </c>
      <c r="N2526" s="1">
        <v>-0.40357999999999999</v>
      </c>
      <c r="O2526" s="3">
        <f>VLOOKUP(D2526,underlying!$D$40:$H$75,5,FALSE)</f>
        <v>-0.75</v>
      </c>
      <c r="P2526" s="4">
        <f t="shared" si="94"/>
        <v>43048</v>
      </c>
      <c r="Q2526" s="7">
        <f>IF(G2526="C",NormalCallSprd(O2526,H2526,M2526,(P2526-A2526)/365), NormalPutSprd(O2526,H2526,M2526,(P2526-A2526)/365))</f>
        <v>2.0984067383761467</v>
      </c>
      <c r="R2526" s="9">
        <f t="shared" si="96"/>
        <v>1.8406738376146592E-2</v>
      </c>
    </row>
    <row r="2527" spans="1:18" x14ac:dyDescent="0.2">
      <c r="A2527" s="2">
        <v>42622</v>
      </c>
      <c r="B2527" s="1" t="s">
        <v>56</v>
      </c>
      <c r="C2527" s="1" t="s">
        <v>57</v>
      </c>
      <c r="D2527" s="2">
        <v>42746</v>
      </c>
      <c r="E2527" s="2">
        <f t="shared" si="95"/>
        <v>43040</v>
      </c>
      <c r="F2527" s="1" t="s">
        <v>58</v>
      </c>
      <c r="G2527" s="1" t="s">
        <v>18</v>
      </c>
      <c r="H2527" s="1">
        <v>-1.75</v>
      </c>
      <c r="I2527" s="1">
        <v>1.0900000000000001</v>
      </c>
      <c r="J2527" s="1">
        <v>0</v>
      </c>
      <c r="K2527" s="2">
        <v>42989</v>
      </c>
      <c r="L2527" s="1">
        <v>3716</v>
      </c>
      <c r="M2527" s="1">
        <v>3.59</v>
      </c>
      <c r="N2527" s="1">
        <v>-0.38185999999999998</v>
      </c>
      <c r="O2527" s="3">
        <f>VLOOKUP(D2527,underlying!$D$40:$H$75,5,FALSE)</f>
        <v>-0.75</v>
      </c>
      <c r="P2527" s="4">
        <f t="shared" si="94"/>
        <v>43048</v>
      </c>
      <c r="Q2527" s="7">
        <f>IF(G2527="C",NormalCallSprd(O2527,H2527,M2527,(P2527-A2527)/365), NormalPutSprd(O2527,H2527,M2527,(P2527-A2527)/365))</f>
        <v>1.0984067383761467</v>
      </c>
      <c r="R2527" s="9">
        <f t="shared" si="96"/>
        <v>8.406738376146583E-3</v>
      </c>
    </row>
    <row r="2528" spans="1:18" x14ac:dyDescent="0.2">
      <c r="A2528" s="2">
        <v>42622</v>
      </c>
      <c r="B2528" s="1" t="s">
        <v>56</v>
      </c>
      <c r="C2528" s="1" t="s">
        <v>57</v>
      </c>
      <c r="D2528" s="2">
        <v>42746</v>
      </c>
      <c r="E2528" s="2">
        <f t="shared" si="95"/>
        <v>43040</v>
      </c>
      <c r="F2528" s="1" t="s">
        <v>58</v>
      </c>
      <c r="G2528" s="1" t="s">
        <v>16</v>
      </c>
      <c r="H2528" s="1">
        <v>-1.5</v>
      </c>
      <c r="I2528" s="1">
        <v>1.94</v>
      </c>
      <c r="J2528" s="1">
        <v>0</v>
      </c>
      <c r="K2528" s="2">
        <v>42989</v>
      </c>
      <c r="L2528" s="1">
        <v>3716</v>
      </c>
      <c r="M2528" s="1">
        <v>3.6</v>
      </c>
      <c r="N2528" s="1">
        <v>-0.35925000000000001</v>
      </c>
      <c r="O2528" s="3">
        <f>VLOOKUP(D2528,underlying!$D$40:$H$75,5,FALSE)</f>
        <v>-0.75</v>
      </c>
      <c r="P2528" s="4">
        <f t="shared" si="94"/>
        <v>43048</v>
      </c>
      <c r="Q2528" s="7">
        <f>IF(G2528="C",NormalCallSprd(O2528,H2528,M2528,(P2528-A2528)/365), NormalPutSprd(O2528,H2528,M2528,(P2528-A2528)/365))</f>
        <v>1.9553290832721011</v>
      </c>
      <c r="R2528" s="9">
        <f t="shared" si="96"/>
        <v>1.5329083272101141E-2</v>
      </c>
    </row>
    <row r="2529" spans="1:18" x14ac:dyDescent="0.2">
      <c r="A2529" s="2">
        <v>42622</v>
      </c>
      <c r="B2529" s="1" t="s">
        <v>56</v>
      </c>
      <c r="C2529" s="1" t="s">
        <v>57</v>
      </c>
      <c r="D2529" s="2">
        <v>42746</v>
      </c>
      <c r="E2529" s="2">
        <f t="shared" si="95"/>
        <v>43040</v>
      </c>
      <c r="F2529" s="1" t="s">
        <v>58</v>
      </c>
      <c r="G2529" s="1" t="s">
        <v>18</v>
      </c>
      <c r="H2529" s="1">
        <v>-1.5</v>
      </c>
      <c r="I2529" s="1">
        <v>1.2</v>
      </c>
      <c r="J2529" s="1">
        <v>0</v>
      </c>
      <c r="K2529" s="2">
        <v>42989</v>
      </c>
      <c r="L2529" s="1">
        <v>3716</v>
      </c>
      <c r="M2529" s="1">
        <v>3.6</v>
      </c>
      <c r="N2529" s="1">
        <v>-0.33856999999999998</v>
      </c>
      <c r="O2529" s="3">
        <f>VLOOKUP(D2529,underlying!$D$40:$H$75,5,FALSE)</f>
        <v>-0.75</v>
      </c>
      <c r="P2529" s="4">
        <f t="shared" si="94"/>
        <v>43048</v>
      </c>
      <c r="Q2529" s="7">
        <f>IF(G2529="C",NormalCallSprd(O2529,H2529,M2529,(P2529-A2529)/365), NormalPutSprd(O2529,H2529,M2529,(P2529-A2529)/365))</f>
        <v>1.2053290832721011</v>
      </c>
      <c r="R2529" s="9">
        <f t="shared" si="96"/>
        <v>5.3290832721011316E-3</v>
      </c>
    </row>
    <row r="2530" spans="1:18" x14ac:dyDescent="0.2">
      <c r="A2530" s="2">
        <v>42622</v>
      </c>
      <c r="B2530" s="1" t="s">
        <v>56</v>
      </c>
      <c r="C2530" s="1" t="s">
        <v>57</v>
      </c>
      <c r="D2530" s="2">
        <v>42746</v>
      </c>
      <c r="E2530" s="2">
        <f t="shared" si="95"/>
        <v>43040</v>
      </c>
      <c r="F2530" s="1" t="s">
        <v>58</v>
      </c>
      <c r="G2530" s="1" t="s">
        <v>16</v>
      </c>
      <c r="H2530" s="1">
        <v>-1.25</v>
      </c>
      <c r="I2530" s="1">
        <v>1.8</v>
      </c>
      <c r="J2530" s="1">
        <v>0</v>
      </c>
      <c r="K2530" s="2">
        <v>42989</v>
      </c>
      <c r="L2530" s="1">
        <v>3716</v>
      </c>
      <c r="M2530" s="1">
        <v>3.6</v>
      </c>
      <c r="N2530" s="1">
        <v>-0.31670999999999999</v>
      </c>
      <c r="O2530" s="3">
        <f>VLOOKUP(D2530,underlying!$D$40:$H$75,5,FALSE)</f>
        <v>-0.75</v>
      </c>
      <c r="P2530" s="4">
        <f t="shared" si="94"/>
        <v>43048</v>
      </c>
      <c r="Q2530" s="7">
        <f>IF(G2530="C",NormalCallSprd(O2530,H2530,M2530,(P2530-A2530)/365), NormalPutSprd(O2530,H2530,M2530,(P2530-A2530)/365))</f>
        <v>1.8143728988201766</v>
      </c>
      <c r="R2530" s="9">
        <f t="shared" si="96"/>
        <v>1.4372898820176561E-2</v>
      </c>
    </row>
    <row r="2531" spans="1:18" x14ac:dyDescent="0.2">
      <c r="A2531" s="2">
        <v>42622</v>
      </c>
      <c r="B2531" s="1" t="s">
        <v>56</v>
      </c>
      <c r="C2531" s="1" t="s">
        <v>57</v>
      </c>
      <c r="D2531" s="2">
        <v>42746</v>
      </c>
      <c r="E2531" s="2">
        <f t="shared" si="95"/>
        <v>43040</v>
      </c>
      <c r="F2531" s="1" t="s">
        <v>58</v>
      </c>
      <c r="G2531" s="1" t="s">
        <v>18</v>
      </c>
      <c r="H2531" s="1">
        <v>-1.25</v>
      </c>
      <c r="I2531" s="1">
        <v>1.31</v>
      </c>
      <c r="J2531" s="1">
        <v>0</v>
      </c>
      <c r="K2531" s="2">
        <v>42989</v>
      </c>
      <c r="L2531" s="1">
        <v>3716</v>
      </c>
      <c r="M2531" s="1">
        <v>3.6</v>
      </c>
      <c r="N2531" s="1">
        <v>-0.29729</v>
      </c>
      <c r="O2531" s="3">
        <f>VLOOKUP(D2531,underlying!$D$40:$H$75,5,FALSE)</f>
        <v>-0.75</v>
      </c>
      <c r="P2531" s="4">
        <f t="shared" si="94"/>
        <v>43048</v>
      </c>
      <c r="Q2531" s="7">
        <f>IF(G2531="C",NormalCallSprd(O2531,H2531,M2531,(P2531-A2531)/365), NormalPutSprd(O2531,H2531,M2531,(P2531-A2531)/365))</f>
        <v>1.3143728988201766</v>
      </c>
      <c r="R2531" s="9">
        <f t="shared" si="96"/>
        <v>4.3728988201765517E-3</v>
      </c>
    </row>
    <row r="2532" spans="1:18" x14ac:dyDescent="0.2">
      <c r="A2532" s="2">
        <v>42622</v>
      </c>
      <c r="B2532" s="1" t="s">
        <v>56</v>
      </c>
      <c r="C2532" s="1" t="s">
        <v>57</v>
      </c>
      <c r="D2532" s="2">
        <v>42746</v>
      </c>
      <c r="E2532" s="2">
        <f t="shared" si="95"/>
        <v>43040</v>
      </c>
      <c r="F2532" s="1" t="s">
        <v>58</v>
      </c>
      <c r="G2532" s="1" t="s">
        <v>16</v>
      </c>
      <c r="H2532" s="1">
        <v>-1</v>
      </c>
      <c r="I2532" s="1">
        <v>1.67</v>
      </c>
      <c r="J2532" s="1">
        <v>0</v>
      </c>
      <c r="K2532" s="2">
        <v>42989</v>
      </c>
      <c r="L2532" s="1">
        <v>3716</v>
      </c>
      <c r="M2532" s="1">
        <v>3.61</v>
      </c>
      <c r="N2532" s="1">
        <v>-0.27755000000000002</v>
      </c>
      <c r="O2532" s="3">
        <f>VLOOKUP(D2532,underlying!$D$40:$H$75,5,FALSE)</f>
        <v>-0.75</v>
      </c>
      <c r="P2532" s="4">
        <f t="shared" si="94"/>
        <v>43048</v>
      </c>
      <c r="Q2532" s="7">
        <f>IF(G2532="C",NormalCallSprd(O2532,H2532,M2532,(P2532-A2532)/365), NormalPutSprd(O2532,H2532,M2532,(P2532-A2532)/365))</f>
        <v>1.684073892330324</v>
      </c>
      <c r="R2532" s="9">
        <f t="shared" si="96"/>
        <v>1.4073892330324078E-2</v>
      </c>
    </row>
    <row r="2533" spans="1:18" x14ac:dyDescent="0.2">
      <c r="A2533" s="2">
        <v>42622</v>
      </c>
      <c r="B2533" s="1" t="s">
        <v>56</v>
      </c>
      <c r="C2533" s="1" t="s">
        <v>57</v>
      </c>
      <c r="D2533" s="2">
        <v>42746</v>
      </c>
      <c r="E2533" s="2">
        <f t="shared" si="95"/>
        <v>43040</v>
      </c>
      <c r="F2533" s="1" t="s">
        <v>58</v>
      </c>
      <c r="G2533" s="1" t="s">
        <v>18</v>
      </c>
      <c r="H2533" s="1">
        <v>-1</v>
      </c>
      <c r="I2533" s="1">
        <v>1.42</v>
      </c>
      <c r="J2533" s="1">
        <v>-0.01</v>
      </c>
      <c r="K2533" s="2">
        <v>42989</v>
      </c>
      <c r="L2533" s="1">
        <v>3716</v>
      </c>
      <c r="M2533" s="1">
        <v>3.61</v>
      </c>
      <c r="N2533" s="1">
        <v>-0.25846000000000002</v>
      </c>
      <c r="O2533" s="3">
        <f>VLOOKUP(D2533,underlying!$D$40:$H$75,5,FALSE)</f>
        <v>-0.75</v>
      </c>
      <c r="P2533" s="4">
        <f t="shared" si="94"/>
        <v>43048</v>
      </c>
      <c r="Q2533" s="7">
        <f>IF(G2533="C",NormalCallSprd(O2533,H2533,M2533,(P2533-A2533)/365), NormalPutSprd(O2533,H2533,M2533,(P2533-A2533)/365))</f>
        <v>1.434073892330324</v>
      </c>
      <c r="R2533" s="9">
        <f t="shared" si="96"/>
        <v>1.4073892330324078E-2</v>
      </c>
    </row>
    <row r="2534" spans="1:18" x14ac:dyDescent="0.2">
      <c r="A2534" s="2">
        <v>42622</v>
      </c>
      <c r="B2534" s="1" t="s">
        <v>56</v>
      </c>
      <c r="C2534" s="1" t="s">
        <v>57</v>
      </c>
      <c r="D2534" s="2">
        <v>42746</v>
      </c>
      <c r="E2534" s="2">
        <f t="shared" si="95"/>
        <v>43040</v>
      </c>
      <c r="F2534" s="1" t="s">
        <v>58</v>
      </c>
      <c r="G2534" s="1" t="s">
        <v>16</v>
      </c>
      <c r="H2534" s="1">
        <v>-0.75</v>
      </c>
      <c r="I2534" s="1">
        <v>1.54</v>
      </c>
      <c r="J2534" s="1">
        <v>0</v>
      </c>
      <c r="K2534" s="2">
        <v>42989</v>
      </c>
      <c r="L2534" s="1">
        <v>3716</v>
      </c>
      <c r="M2534" s="1">
        <v>3.6</v>
      </c>
      <c r="N2534" s="1">
        <v>-0.24007000000000001</v>
      </c>
      <c r="O2534" s="3">
        <f>VLOOKUP(D2534,underlying!$D$40:$H$75,5,FALSE)</f>
        <v>-0.75</v>
      </c>
      <c r="P2534" s="4">
        <f t="shared" si="94"/>
        <v>43048</v>
      </c>
      <c r="Q2534" s="7">
        <f>IF(G2534="C",NormalCallSprd(O2534,H2534,M2534,(P2534-A2534)/365), NormalPutSprd(O2534,H2534,M2534,(P2534-A2534)/365))</f>
        <v>1.5515684283910298</v>
      </c>
      <c r="R2534" s="9">
        <f t="shared" si="96"/>
        <v>1.1568428391029784E-2</v>
      </c>
    </row>
    <row r="2535" spans="1:18" x14ac:dyDescent="0.2">
      <c r="A2535" s="2">
        <v>42622</v>
      </c>
      <c r="B2535" s="1" t="s">
        <v>56</v>
      </c>
      <c r="C2535" s="1" t="s">
        <v>57</v>
      </c>
      <c r="D2535" s="2">
        <v>42746</v>
      </c>
      <c r="E2535" s="2">
        <f t="shared" si="95"/>
        <v>43040</v>
      </c>
      <c r="F2535" s="1" t="s">
        <v>58</v>
      </c>
      <c r="G2535" s="1" t="s">
        <v>18</v>
      </c>
      <c r="H2535" s="1">
        <v>-0.75</v>
      </c>
      <c r="I2535" s="1">
        <v>1.54</v>
      </c>
      <c r="J2535" s="1">
        <v>0</v>
      </c>
      <c r="K2535" s="2">
        <v>42989</v>
      </c>
      <c r="L2535" s="1">
        <v>3716</v>
      </c>
      <c r="M2535" s="1">
        <v>3.6</v>
      </c>
      <c r="N2535" s="1">
        <v>-0.22241</v>
      </c>
      <c r="O2535" s="3">
        <f>VLOOKUP(D2535,underlying!$D$40:$H$75,5,FALSE)</f>
        <v>-0.75</v>
      </c>
      <c r="P2535" s="4">
        <f t="shared" si="94"/>
        <v>43048</v>
      </c>
      <c r="Q2535" s="7">
        <f>IF(G2535="C",NormalCallSprd(O2535,H2535,M2535,(P2535-A2535)/365), NormalPutSprd(O2535,H2535,M2535,(P2535-A2535)/365))</f>
        <v>1.5515684283910298</v>
      </c>
      <c r="R2535" s="9">
        <f t="shared" si="96"/>
        <v>1.1568428391029784E-2</v>
      </c>
    </row>
    <row r="2536" spans="1:18" x14ac:dyDescent="0.2">
      <c r="A2536" s="2">
        <v>42622</v>
      </c>
      <c r="B2536" s="1" t="s">
        <v>56</v>
      </c>
      <c r="C2536" s="1" t="s">
        <v>57</v>
      </c>
      <c r="D2536" s="2">
        <v>42746</v>
      </c>
      <c r="E2536" s="2">
        <f t="shared" si="95"/>
        <v>43040</v>
      </c>
      <c r="F2536" s="1" t="s">
        <v>58</v>
      </c>
      <c r="G2536" s="1" t="s">
        <v>16</v>
      </c>
      <c r="H2536" s="1">
        <v>-0.5</v>
      </c>
      <c r="I2536" s="1">
        <v>1.42</v>
      </c>
      <c r="J2536" s="1">
        <v>-0.01</v>
      </c>
      <c r="K2536" s="2">
        <v>42989</v>
      </c>
      <c r="L2536" s="1">
        <v>3716</v>
      </c>
      <c r="M2536" s="1">
        <v>3.61</v>
      </c>
      <c r="N2536" s="1">
        <v>-0.20551</v>
      </c>
      <c r="O2536" s="3">
        <f>VLOOKUP(D2536,underlying!$D$40:$H$75,5,FALSE)</f>
        <v>-0.75</v>
      </c>
      <c r="P2536" s="4">
        <f t="shared" si="94"/>
        <v>43048</v>
      </c>
      <c r="Q2536" s="7">
        <f>IF(G2536="C",NormalCallSprd(O2536,H2536,M2536,(P2536-A2536)/365), NormalPutSprd(O2536,H2536,M2536,(P2536-A2536)/365))</f>
        <v>1.434073892330324</v>
      </c>
      <c r="R2536" s="9">
        <f t="shared" si="96"/>
        <v>1.4073892330324078E-2</v>
      </c>
    </row>
    <row r="2537" spans="1:18" x14ac:dyDescent="0.2">
      <c r="A2537" s="2">
        <v>42622</v>
      </c>
      <c r="B2537" s="1" t="s">
        <v>56</v>
      </c>
      <c r="C2537" s="1" t="s">
        <v>57</v>
      </c>
      <c r="D2537" s="2">
        <v>42746</v>
      </c>
      <c r="E2537" s="2">
        <f t="shared" si="95"/>
        <v>43040</v>
      </c>
      <c r="F2537" s="1" t="s">
        <v>58</v>
      </c>
      <c r="G2537" s="1" t="s">
        <v>18</v>
      </c>
      <c r="H2537" s="1">
        <v>-0.5</v>
      </c>
      <c r="I2537" s="1">
        <v>1.67</v>
      </c>
      <c r="J2537" s="1">
        <v>0</v>
      </c>
      <c r="K2537" s="2">
        <v>42989</v>
      </c>
      <c r="L2537" s="1">
        <v>3716</v>
      </c>
      <c r="M2537" s="1">
        <v>3.61</v>
      </c>
      <c r="N2537" s="1">
        <v>-0.18940000000000001</v>
      </c>
      <c r="O2537" s="3">
        <f>VLOOKUP(D2537,underlying!$D$40:$H$75,5,FALSE)</f>
        <v>-0.75</v>
      </c>
      <c r="P2537" s="4">
        <f t="shared" si="94"/>
        <v>43048</v>
      </c>
      <c r="Q2537" s="7">
        <f>IF(G2537="C",NormalCallSprd(O2537,H2537,M2537,(P2537-A2537)/365), NormalPutSprd(O2537,H2537,M2537,(P2537-A2537)/365))</f>
        <v>1.684073892330324</v>
      </c>
      <c r="R2537" s="9">
        <f t="shared" si="96"/>
        <v>1.4073892330324078E-2</v>
      </c>
    </row>
    <row r="2538" spans="1:18" x14ac:dyDescent="0.2">
      <c r="A2538" s="2">
        <v>42622</v>
      </c>
      <c r="B2538" s="1" t="s">
        <v>56</v>
      </c>
      <c r="C2538" s="1" t="s">
        <v>57</v>
      </c>
      <c r="D2538" s="2">
        <v>42746</v>
      </c>
      <c r="E2538" s="2">
        <f t="shared" si="95"/>
        <v>43040</v>
      </c>
      <c r="F2538" s="1" t="s">
        <v>58</v>
      </c>
      <c r="G2538" s="1" t="s">
        <v>16</v>
      </c>
      <c r="H2538" s="1">
        <v>-0.25</v>
      </c>
      <c r="I2538" s="1">
        <v>1.31</v>
      </c>
      <c r="J2538" s="1">
        <v>0</v>
      </c>
      <c r="K2538" s="2">
        <v>42989</v>
      </c>
      <c r="L2538" s="1">
        <v>3716</v>
      </c>
      <c r="M2538" s="1">
        <v>3.6</v>
      </c>
      <c r="N2538" s="1">
        <v>-0.17408999999999999</v>
      </c>
      <c r="O2538" s="3">
        <f>VLOOKUP(D2538,underlying!$D$40:$H$75,5,FALSE)</f>
        <v>-0.75</v>
      </c>
      <c r="P2538" s="4">
        <f t="shared" si="94"/>
        <v>43048</v>
      </c>
      <c r="Q2538" s="7">
        <f>IF(G2538="C",NormalCallSprd(O2538,H2538,M2538,(P2538-A2538)/365), NormalPutSprd(O2538,H2538,M2538,(P2538-A2538)/365))</f>
        <v>1.3143728988201766</v>
      </c>
      <c r="R2538" s="9">
        <f t="shared" si="96"/>
        <v>4.3728988201765517E-3</v>
      </c>
    </row>
    <row r="2539" spans="1:18" x14ac:dyDescent="0.2">
      <c r="A2539" s="2">
        <v>42622</v>
      </c>
      <c r="B2539" s="1" t="s">
        <v>56</v>
      </c>
      <c r="C2539" s="1" t="s">
        <v>57</v>
      </c>
      <c r="D2539" s="2">
        <v>42746</v>
      </c>
      <c r="E2539" s="2">
        <f t="shared" si="95"/>
        <v>43040</v>
      </c>
      <c r="F2539" s="1" t="s">
        <v>58</v>
      </c>
      <c r="G2539" s="1" t="s">
        <v>18</v>
      </c>
      <c r="H2539" s="1">
        <v>-0.25</v>
      </c>
      <c r="I2539" s="1">
        <v>1.8</v>
      </c>
      <c r="J2539" s="1">
        <v>0</v>
      </c>
      <c r="K2539" s="2">
        <v>42989</v>
      </c>
      <c r="L2539" s="1">
        <v>3716</v>
      </c>
      <c r="M2539" s="1">
        <v>3.6</v>
      </c>
      <c r="N2539" s="1">
        <v>-0.13300999999999999</v>
      </c>
      <c r="O2539" s="3">
        <f>VLOOKUP(D2539,underlying!$D$40:$H$75,5,FALSE)</f>
        <v>-0.75</v>
      </c>
      <c r="P2539" s="4">
        <f t="shared" si="94"/>
        <v>43048</v>
      </c>
      <c r="Q2539" s="7">
        <f>IF(G2539="C",NormalCallSprd(O2539,H2539,M2539,(P2539-A2539)/365), NormalPutSprd(O2539,H2539,M2539,(P2539-A2539)/365))</f>
        <v>1.8143728988201766</v>
      </c>
      <c r="R2539" s="9">
        <f t="shared" si="96"/>
        <v>1.4372898820176561E-2</v>
      </c>
    </row>
    <row r="2540" spans="1:18" x14ac:dyDescent="0.2">
      <c r="A2540" s="2">
        <v>42622</v>
      </c>
      <c r="B2540" s="1" t="s">
        <v>56</v>
      </c>
      <c r="C2540" s="1" t="s">
        <v>57</v>
      </c>
      <c r="D2540" s="2">
        <v>42747</v>
      </c>
      <c r="E2540" s="2">
        <f t="shared" si="95"/>
        <v>43070</v>
      </c>
      <c r="F2540" s="1" t="s">
        <v>58</v>
      </c>
      <c r="G2540" s="1" t="s">
        <v>16</v>
      </c>
      <c r="H2540" s="1">
        <v>-9</v>
      </c>
      <c r="I2540" s="1">
        <v>6.54</v>
      </c>
      <c r="J2540" s="1">
        <v>0</v>
      </c>
      <c r="K2540" s="2">
        <v>43051</v>
      </c>
      <c r="L2540" s="1">
        <v>3716</v>
      </c>
      <c r="M2540" s="1">
        <v>3.56</v>
      </c>
      <c r="N2540" s="1">
        <v>-8.9380000000000001E-2</v>
      </c>
      <c r="O2540" s="3">
        <f>VLOOKUP(D2540,underlying!$D$40:$H$75,5,FALSE)</f>
        <v>-2.5</v>
      </c>
      <c r="P2540" s="4">
        <f t="shared" si="94"/>
        <v>43080</v>
      </c>
      <c r="Q2540" s="7">
        <f>IF(G2540="C",NormalCallSprd(O2540,H2540,M2540,(P2540-A2540)/365), NormalPutSprd(O2540,H2540,M2540,(P2540-A2540)/365))</f>
        <v>6.5863330742355402</v>
      </c>
      <c r="R2540" s="9">
        <f t="shared" si="96"/>
        <v>4.6333074235540117E-2</v>
      </c>
    </row>
    <row r="2541" spans="1:18" x14ac:dyDescent="0.2">
      <c r="A2541" s="2">
        <v>42622</v>
      </c>
      <c r="B2541" s="1" t="s">
        <v>56</v>
      </c>
      <c r="C2541" s="1" t="s">
        <v>57</v>
      </c>
      <c r="D2541" s="2">
        <v>42747</v>
      </c>
      <c r="E2541" s="2">
        <f t="shared" si="95"/>
        <v>43070</v>
      </c>
      <c r="F2541" s="1" t="s">
        <v>58</v>
      </c>
      <c r="G2541" s="1" t="s">
        <v>18</v>
      </c>
      <c r="H2541" s="1">
        <v>-9</v>
      </c>
      <c r="I2541" s="1">
        <v>0.09</v>
      </c>
      <c r="J2541" s="1">
        <v>0</v>
      </c>
      <c r="K2541" s="2">
        <v>43051</v>
      </c>
      <c r="L2541" s="1">
        <v>3716</v>
      </c>
      <c r="M2541" s="1">
        <v>3.56</v>
      </c>
      <c r="N2541" s="1">
        <v>-5.7009999999999998E-2</v>
      </c>
      <c r="O2541" s="3">
        <f>VLOOKUP(D2541,underlying!$D$40:$H$75,5,FALSE)</f>
        <v>-2.5</v>
      </c>
      <c r="P2541" s="4">
        <f t="shared" si="94"/>
        <v>43080</v>
      </c>
      <c r="Q2541" s="7">
        <f>IF(G2541="C",NormalCallSprd(O2541,H2541,M2541,(P2541-A2541)/365), NormalPutSprd(O2541,H2541,M2541,(P2541-A2541)/365))</f>
        <v>8.6333074235540166E-2</v>
      </c>
      <c r="R2541" s="9">
        <f t="shared" si="96"/>
        <v>3.6669257644598302E-3</v>
      </c>
    </row>
    <row r="2542" spans="1:18" x14ac:dyDescent="0.2">
      <c r="A2542" s="2">
        <v>42622</v>
      </c>
      <c r="B2542" s="1" t="s">
        <v>56</v>
      </c>
      <c r="C2542" s="1" t="s">
        <v>57</v>
      </c>
      <c r="D2542" s="2">
        <v>42747</v>
      </c>
      <c r="E2542" s="2">
        <f t="shared" si="95"/>
        <v>43070</v>
      </c>
      <c r="F2542" s="1" t="s">
        <v>58</v>
      </c>
      <c r="G2542" s="1" t="s">
        <v>16</v>
      </c>
      <c r="H2542" s="1">
        <v>-8</v>
      </c>
      <c r="I2542" s="1">
        <v>5.61</v>
      </c>
      <c r="J2542" s="1">
        <v>0</v>
      </c>
      <c r="K2542" s="2">
        <v>43051</v>
      </c>
      <c r="L2542" s="1">
        <v>3716</v>
      </c>
      <c r="M2542" s="1">
        <v>3.57</v>
      </c>
      <c r="N2542" s="1">
        <v>0.38641999999999999</v>
      </c>
      <c r="O2542" s="3">
        <f>VLOOKUP(D2542,underlying!$D$40:$H$75,5,FALSE)</f>
        <v>-2.5</v>
      </c>
      <c r="P2542" s="4">
        <f t="shared" si="94"/>
        <v>43080</v>
      </c>
      <c r="Q2542" s="7">
        <f>IF(G2542="C",NormalCallSprd(O2542,H2542,M2542,(P2542-A2542)/365), NormalPutSprd(O2542,H2542,M2542,(P2542-A2542)/365))</f>
        <v>5.654787062792983</v>
      </c>
      <c r="R2542" s="9">
        <f t="shared" si="96"/>
        <v>4.4787062792982724E-2</v>
      </c>
    </row>
    <row r="2543" spans="1:18" x14ac:dyDescent="0.2">
      <c r="A2543" s="2">
        <v>42622</v>
      </c>
      <c r="B2543" s="1" t="s">
        <v>56</v>
      </c>
      <c r="C2543" s="1" t="s">
        <v>57</v>
      </c>
      <c r="D2543" s="2">
        <v>42747</v>
      </c>
      <c r="E2543" s="2">
        <f t="shared" si="95"/>
        <v>43070</v>
      </c>
      <c r="F2543" s="1" t="s">
        <v>58</v>
      </c>
      <c r="G2543" s="1" t="s">
        <v>18</v>
      </c>
      <c r="H2543" s="1">
        <v>-8</v>
      </c>
      <c r="I2543" s="1">
        <v>0.15</v>
      </c>
      <c r="J2543" s="1">
        <v>0</v>
      </c>
      <c r="K2543" s="2">
        <v>43051</v>
      </c>
      <c r="L2543" s="1">
        <v>3716</v>
      </c>
      <c r="M2543" s="1">
        <v>3.57</v>
      </c>
      <c r="N2543" s="1">
        <v>0.40359</v>
      </c>
      <c r="O2543" s="3">
        <f>VLOOKUP(D2543,underlying!$D$40:$H$75,5,FALSE)</f>
        <v>-2.5</v>
      </c>
      <c r="P2543" s="4">
        <f t="shared" si="94"/>
        <v>43080</v>
      </c>
      <c r="Q2543" s="7">
        <f>IF(G2543="C",NormalCallSprd(O2543,H2543,M2543,(P2543-A2543)/365), NormalPutSprd(O2543,H2543,M2543,(P2543-A2543)/365))</f>
        <v>0.15478706279298293</v>
      </c>
      <c r="R2543" s="9">
        <f t="shared" si="96"/>
        <v>4.7870627929829379E-3</v>
      </c>
    </row>
    <row r="2544" spans="1:18" x14ac:dyDescent="0.2">
      <c r="A2544" s="2">
        <v>42622</v>
      </c>
      <c r="B2544" s="1" t="s">
        <v>56</v>
      </c>
      <c r="C2544" s="1" t="s">
        <v>57</v>
      </c>
      <c r="D2544" s="2">
        <v>42747</v>
      </c>
      <c r="E2544" s="2">
        <f t="shared" si="95"/>
        <v>43070</v>
      </c>
      <c r="F2544" s="1" t="s">
        <v>58</v>
      </c>
      <c r="G2544" s="1" t="s">
        <v>16</v>
      </c>
      <c r="H2544" s="1">
        <v>-7</v>
      </c>
      <c r="I2544" s="1">
        <v>4.72</v>
      </c>
      <c r="J2544" s="1">
        <v>-0.01</v>
      </c>
      <c r="K2544" s="2">
        <v>43051</v>
      </c>
      <c r="L2544" s="1">
        <v>3716</v>
      </c>
      <c r="M2544" s="1">
        <v>3.57</v>
      </c>
      <c r="N2544" s="1">
        <v>0.42072999999999999</v>
      </c>
      <c r="O2544" s="3">
        <f>VLOOKUP(D2544,underlying!$D$40:$H$75,5,FALSE)</f>
        <v>-2.5</v>
      </c>
      <c r="P2544" s="4">
        <f t="shared" si="94"/>
        <v>43080</v>
      </c>
      <c r="Q2544" s="7">
        <f>IF(G2544="C",NormalCallSprd(O2544,H2544,M2544,(P2544-A2544)/365), NormalPutSprd(O2544,H2544,M2544,(P2544-A2544)/365))</f>
        <v>4.7609754955762247</v>
      </c>
      <c r="R2544" s="9">
        <f t="shared" si="96"/>
        <v>4.097549557622493E-2</v>
      </c>
    </row>
    <row r="2545" spans="1:18" x14ac:dyDescent="0.2">
      <c r="A2545" s="2">
        <v>42622</v>
      </c>
      <c r="B2545" s="1" t="s">
        <v>56</v>
      </c>
      <c r="C2545" s="1" t="s">
        <v>57</v>
      </c>
      <c r="D2545" s="2">
        <v>42747</v>
      </c>
      <c r="E2545" s="2">
        <f t="shared" si="95"/>
        <v>43070</v>
      </c>
      <c r="F2545" s="1" t="s">
        <v>58</v>
      </c>
      <c r="G2545" s="1" t="s">
        <v>18</v>
      </c>
      <c r="H2545" s="1">
        <v>-7</v>
      </c>
      <c r="I2545" s="1">
        <v>0.26</v>
      </c>
      <c r="J2545" s="1">
        <v>0</v>
      </c>
      <c r="K2545" s="2">
        <v>43051</v>
      </c>
      <c r="L2545" s="1">
        <v>3716</v>
      </c>
      <c r="M2545" s="1">
        <v>3.57</v>
      </c>
      <c r="N2545" s="1">
        <v>0.43841999999999998</v>
      </c>
      <c r="O2545" s="3">
        <f>VLOOKUP(D2545,underlying!$D$40:$H$75,5,FALSE)</f>
        <v>-2.5</v>
      </c>
      <c r="P2545" s="4">
        <f t="shared" si="94"/>
        <v>43080</v>
      </c>
      <c r="Q2545" s="7">
        <f>IF(G2545="C",NormalCallSprd(O2545,H2545,M2545,(P2545-A2545)/365), NormalPutSprd(O2545,H2545,M2545,(P2545-A2545)/365))</f>
        <v>0.26097549557622418</v>
      </c>
      <c r="R2545" s="9">
        <f t="shared" si="96"/>
        <v>9.7549557622417238E-4</v>
      </c>
    </row>
    <row r="2546" spans="1:18" x14ac:dyDescent="0.2">
      <c r="A2546" s="2">
        <v>42622</v>
      </c>
      <c r="B2546" s="1" t="s">
        <v>56</v>
      </c>
      <c r="C2546" s="1" t="s">
        <v>57</v>
      </c>
      <c r="D2546" s="2">
        <v>42747</v>
      </c>
      <c r="E2546" s="2">
        <f t="shared" si="95"/>
        <v>43070</v>
      </c>
      <c r="F2546" s="1" t="s">
        <v>58</v>
      </c>
      <c r="G2546" s="1" t="s">
        <v>16</v>
      </c>
      <c r="H2546" s="1">
        <v>-6.75</v>
      </c>
      <c r="I2546" s="1">
        <v>4.51</v>
      </c>
      <c r="J2546" s="1">
        <v>0</v>
      </c>
      <c r="K2546" s="2">
        <v>43051</v>
      </c>
      <c r="L2546" s="1">
        <v>3716</v>
      </c>
      <c r="M2546" s="1">
        <v>3.57</v>
      </c>
      <c r="N2546" s="1">
        <v>0.45601000000000003</v>
      </c>
      <c r="O2546" s="3">
        <f>VLOOKUP(D2546,underlying!$D$40:$H$75,5,FALSE)</f>
        <v>-2.5</v>
      </c>
      <c r="P2546" s="4">
        <f t="shared" si="94"/>
        <v>43080</v>
      </c>
      <c r="Q2546" s="7">
        <f>IF(G2546="C",NormalCallSprd(O2546,H2546,M2546,(P2546-A2546)/365), NormalPutSprd(O2546,H2546,M2546,(P2546-A2546)/365))</f>
        <v>4.545228775490795</v>
      </c>
      <c r="R2546" s="9">
        <f t="shared" si="96"/>
        <v>3.5228775490795172E-2</v>
      </c>
    </row>
    <row r="2547" spans="1:18" x14ac:dyDescent="0.2">
      <c r="A2547" s="2">
        <v>42622</v>
      </c>
      <c r="B2547" s="1" t="s">
        <v>56</v>
      </c>
      <c r="C2547" s="1" t="s">
        <v>57</v>
      </c>
      <c r="D2547" s="2">
        <v>42747</v>
      </c>
      <c r="E2547" s="2">
        <f t="shared" si="95"/>
        <v>43070</v>
      </c>
      <c r="F2547" s="1" t="s">
        <v>58</v>
      </c>
      <c r="G2547" s="1" t="s">
        <v>18</v>
      </c>
      <c r="H2547" s="1">
        <v>-6.75</v>
      </c>
      <c r="I2547" s="1">
        <v>0.28999999999999998</v>
      </c>
      <c r="J2547" s="1">
        <v>0</v>
      </c>
      <c r="K2547" s="2">
        <v>43051</v>
      </c>
      <c r="L2547" s="1">
        <v>3716</v>
      </c>
      <c r="M2547" s="1">
        <v>3.57</v>
      </c>
      <c r="N2547" s="1">
        <v>0.47371999999999997</v>
      </c>
      <c r="O2547" s="3">
        <f>VLOOKUP(D2547,underlying!$D$40:$H$75,5,FALSE)</f>
        <v>-2.5</v>
      </c>
      <c r="P2547" s="4">
        <f t="shared" si="94"/>
        <v>43080</v>
      </c>
      <c r="Q2547" s="7">
        <f>IF(G2547="C",NormalCallSprd(O2547,H2547,M2547,(P2547-A2547)/365), NormalPutSprd(O2547,H2547,M2547,(P2547-A2547)/365))</f>
        <v>0.29522877549079468</v>
      </c>
      <c r="R2547" s="9">
        <f t="shared" si="96"/>
        <v>5.2287754907947015E-3</v>
      </c>
    </row>
    <row r="2548" spans="1:18" x14ac:dyDescent="0.2">
      <c r="A2548" s="2">
        <v>42622</v>
      </c>
      <c r="B2548" s="1" t="s">
        <v>56</v>
      </c>
      <c r="C2548" s="1" t="s">
        <v>57</v>
      </c>
      <c r="D2548" s="2">
        <v>42747</v>
      </c>
      <c r="E2548" s="2">
        <f t="shared" si="95"/>
        <v>43070</v>
      </c>
      <c r="F2548" s="1" t="s">
        <v>58</v>
      </c>
      <c r="G2548" s="1" t="s">
        <v>16</v>
      </c>
      <c r="H2548" s="1">
        <v>-6.5</v>
      </c>
      <c r="I2548" s="1">
        <v>4.3</v>
      </c>
      <c r="J2548" s="1">
        <v>0</v>
      </c>
      <c r="K2548" s="2">
        <v>43051</v>
      </c>
      <c r="L2548" s="1">
        <v>3716</v>
      </c>
      <c r="M2548" s="1">
        <v>3.57</v>
      </c>
      <c r="N2548" s="1">
        <v>0.49136999999999997</v>
      </c>
      <c r="O2548" s="3">
        <f>VLOOKUP(D2548,underlying!$D$40:$H$75,5,FALSE)</f>
        <v>-2.5</v>
      </c>
      <c r="P2548" s="4">
        <f t="shared" si="94"/>
        <v>43080</v>
      </c>
      <c r="Q2548" s="7">
        <f>IF(G2548="C",NormalCallSprd(O2548,H2548,M2548,(P2548-A2548)/365), NormalPutSprd(O2548,H2548,M2548,(P2548-A2548)/365))</f>
        <v>4.3330268890058479</v>
      </c>
      <c r="R2548" s="9">
        <f t="shared" si="96"/>
        <v>3.3026889005848048E-2</v>
      </c>
    </row>
    <row r="2549" spans="1:18" x14ac:dyDescent="0.2">
      <c r="A2549" s="2">
        <v>42622</v>
      </c>
      <c r="B2549" s="1" t="s">
        <v>56</v>
      </c>
      <c r="C2549" s="1" t="s">
        <v>57</v>
      </c>
      <c r="D2549" s="2">
        <v>42747</v>
      </c>
      <c r="E2549" s="2">
        <f t="shared" si="95"/>
        <v>43070</v>
      </c>
      <c r="F2549" s="1" t="s">
        <v>58</v>
      </c>
      <c r="G2549" s="1" t="s">
        <v>18</v>
      </c>
      <c r="H2549" s="1">
        <v>-6.5</v>
      </c>
      <c r="I2549" s="1">
        <v>0.33</v>
      </c>
      <c r="J2549" s="1">
        <v>0</v>
      </c>
      <c r="K2549" s="2">
        <v>43051</v>
      </c>
      <c r="L2549" s="1">
        <v>3716</v>
      </c>
      <c r="M2549" s="1">
        <v>3.57</v>
      </c>
      <c r="N2549" s="1">
        <v>0.50902000000000003</v>
      </c>
      <c r="O2549" s="3">
        <f>VLOOKUP(D2549,underlying!$D$40:$H$75,5,FALSE)</f>
        <v>-2.5</v>
      </c>
      <c r="P2549" s="4">
        <f t="shared" si="94"/>
        <v>43080</v>
      </c>
      <c r="Q2549" s="7">
        <f>IF(G2549="C",NormalCallSprd(O2549,H2549,M2549,(P2549-A2549)/365), NormalPutSprd(O2549,H2549,M2549,(P2549-A2549)/365))</f>
        <v>0.33302688900584754</v>
      </c>
      <c r="R2549" s="9">
        <f t="shared" si="96"/>
        <v>3.0268890058475217E-3</v>
      </c>
    </row>
    <row r="2550" spans="1:18" x14ac:dyDescent="0.2">
      <c r="A2550" s="2">
        <v>42622</v>
      </c>
      <c r="B2550" s="1" t="s">
        <v>56</v>
      </c>
      <c r="C2550" s="1" t="s">
        <v>57</v>
      </c>
      <c r="D2550" s="2">
        <v>42747</v>
      </c>
      <c r="E2550" s="2">
        <f t="shared" si="95"/>
        <v>43070</v>
      </c>
      <c r="F2550" s="1" t="s">
        <v>58</v>
      </c>
      <c r="G2550" s="1" t="s">
        <v>16</v>
      </c>
      <c r="H2550" s="1">
        <v>-6.25</v>
      </c>
      <c r="I2550" s="1">
        <v>4.09</v>
      </c>
      <c r="J2550" s="1">
        <v>-0.01</v>
      </c>
      <c r="K2550" s="2">
        <v>43051</v>
      </c>
      <c r="L2550" s="1">
        <v>3716</v>
      </c>
      <c r="M2550" s="1">
        <v>3.57</v>
      </c>
      <c r="N2550" s="1">
        <v>0.52673999999999999</v>
      </c>
      <c r="O2550" s="3">
        <f>VLOOKUP(D2550,underlying!$D$40:$H$75,5,FALSE)</f>
        <v>-2.5</v>
      </c>
      <c r="P2550" s="4">
        <f t="shared" si="94"/>
        <v>43080</v>
      </c>
      <c r="Q2550" s="7">
        <f>IF(G2550="C",NormalCallSprd(O2550,H2550,M2550,(P2550-A2550)/365), NormalPutSprd(O2550,H2550,M2550,(P2550-A2550)/365))</f>
        <v>4.1246057951457535</v>
      </c>
      <c r="R2550" s="9">
        <f t="shared" si="96"/>
        <v>3.4605795145753682E-2</v>
      </c>
    </row>
    <row r="2551" spans="1:18" x14ac:dyDescent="0.2">
      <c r="A2551" s="2">
        <v>42622</v>
      </c>
      <c r="B2551" s="1" t="s">
        <v>56</v>
      </c>
      <c r="C2551" s="1" t="s">
        <v>57</v>
      </c>
      <c r="D2551" s="2">
        <v>42747</v>
      </c>
      <c r="E2551" s="2">
        <f t="shared" si="95"/>
        <v>43070</v>
      </c>
      <c r="F2551" s="1" t="s">
        <v>58</v>
      </c>
      <c r="G2551" s="1" t="s">
        <v>18</v>
      </c>
      <c r="H2551" s="1">
        <v>-6.25</v>
      </c>
      <c r="I2551" s="1">
        <v>0.37</v>
      </c>
      <c r="J2551" s="1">
        <v>0</v>
      </c>
      <c r="K2551" s="2">
        <v>43051</v>
      </c>
      <c r="L2551" s="1">
        <v>3716</v>
      </c>
      <c r="M2551" s="1">
        <v>3.57</v>
      </c>
      <c r="N2551" s="1">
        <v>0.54432999999999998</v>
      </c>
      <c r="O2551" s="3">
        <f>VLOOKUP(D2551,underlying!$D$40:$H$75,5,FALSE)</f>
        <v>-2.5</v>
      </c>
      <c r="P2551" s="4">
        <f t="shared" si="94"/>
        <v>43080</v>
      </c>
      <c r="Q2551" s="7">
        <f>IF(G2551="C",NormalCallSprd(O2551,H2551,M2551,(P2551-A2551)/365), NormalPutSprd(O2551,H2551,M2551,(P2551-A2551)/365))</f>
        <v>0.37460579514575321</v>
      </c>
      <c r="R2551" s="9">
        <f t="shared" si="96"/>
        <v>4.6057951457532109E-3</v>
      </c>
    </row>
    <row r="2552" spans="1:18" x14ac:dyDescent="0.2">
      <c r="A2552" s="2">
        <v>42622</v>
      </c>
      <c r="B2552" s="1" t="s">
        <v>56</v>
      </c>
      <c r="C2552" s="1" t="s">
        <v>57</v>
      </c>
      <c r="D2552" s="2">
        <v>42747</v>
      </c>
      <c r="E2552" s="2">
        <f t="shared" si="95"/>
        <v>43070</v>
      </c>
      <c r="F2552" s="1" t="s">
        <v>58</v>
      </c>
      <c r="G2552" s="1" t="s">
        <v>16</v>
      </c>
      <c r="H2552" s="1">
        <v>-6</v>
      </c>
      <c r="I2552" s="1">
        <v>3.89</v>
      </c>
      <c r="J2552" s="1">
        <v>0</v>
      </c>
      <c r="K2552" s="2">
        <v>43051</v>
      </c>
      <c r="L2552" s="1">
        <v>3716</v>
      </c>
      <c r="M2552" s="1">
        <v>3.57</v>
      </c>
      <c r="N2552" s="1">
        <v>0.56201999999999996</v>
      </c>
      <c r="O2552" s="3">
        <f>VLOOKUP(D2552,underlying!$D$40:$H$75,5,FALSE)</f>
        <v>-2.5</v>
      </c>
      <c r="P2552" s="4">
        <f t="shared" si="94"/>
        <v>43080</v>
      </c>
      <c r="Q2552" s="7">
        <f>IF(G2552="C",NormalCallSprd(O2552,H2552,M2552,(P2552-A2552)/365), NormalPutSprd(O2552,H2552,M2552,(P2552-A2552)/365))</f>
        <v>3.9202014408908812</v>
      </c>
      <c r="R2552" s="9">
        <f t="shared" si="96"/>
        <v>3.0201440890881059E-2</v>
      </c>
    </row>
    <row r="2553" spans="1:18" x14ac:dyDescent="0.2">
      <c r="A2553" s="2">
        <v>42622</v>
      </c>
      <c r="B2553" s="1" t="s">
        <v>56</v>
      </c>
      <c r="C2553" s="1" t="s">
        <v>57</v>
      </c>
      <c r="D2553" s="2">
        <v>42747</v>
      </c>
      <c r="E2553" s="2">
        <f t="shared" si="95"/>
        <v>43070</v>
      </c>
      <c r="F2553" s="1" t="s">
        <v>58</v>
      </c>
      <c r="G2553" s="1" t="s">
        <v>18</v>
      </c>
      <c r="H2553" s="1">
        <v>-6</v>
      </c>
      <c r="I2553" s="1">
        <v>0.42</v>
      </c>
      <c r="J2553" s="1">
        <v>0</v>
      </c>
      <c r="K2553" s="2">
        <v>43051</v>
      </c>
      <c r="L2553" s="1">
        <v>3716</v>
      </c>
      <c r="M2553" s="1">
        <v>3.57</v>
      </c>
      <c r="N2553" s="1">
        <v>0.57891000000000004</v>
      </c>
      <c r="O2553" s="3">
        <f>VLOOKUP(D2553,underlying!$D$40:$H$75,5,FALSE)</f>
        <v>-2.5</v>
      </c>
      <c r="P2553" s="4">
        <f t="shared" ref="P2553:P2616" si="97">DATE(YEAR(K2553),DAY(K2553),MONTH(K2553))</f>
        <v>43080</v>
      </c>
      <c r="Q2553" s="7">
        <f>IF(G2553="C",NormalCallSprd(O2553,H2553,M2553,(P2553-A2553)/365), NormalPutSprd(O2553,H2553,M2553,(P2553-A2553)/365))</f>
        <v>0.42020144089088085</v>
      </c>
      <c r="R2553" s="9">
        <f t="shared" si="96"/>
        <v>2.0144089088086625E-4</v>
      </c>
    </row>
    <row r="2554" spans="1:18" x14ac:dyDescent="0.2">
      <c r="A2554" s="2">
        <v>42622</v>
      </c>
      <c r="B2554" s="1" t="s">
        <v>56</v>
      </c>
      <c r="C2554" s="1" t="s">
        <v>57</v>
      </c>
      <c r="D2554" s="2">
        <v>42747</v>
      </c>
      <c r="E2554" s="2">
        <f t="shared" si="95"/>
        <v>43070</v>
      </c>
      <c r="F2554" s="1" t="s">
        <v>58</v>
      </c>
      <c r="G2554" s="1" t="s">
        <v>16</v>
      </c>
      <c r="H2554" s="1">
        <v>-5.75</v>
      </c>
      <c r="I2554" s="1">
        <v>3.69</v>
      </c>
      <c r="J2554" s="1">
        <v>0</v>
      </c>
      <c r="K2554" s="2">
        <v>43051</v>
      </c>
      <c r="L2554" s="1">
        <v>3716</v>
      </c>
      <c r="M2554" s="1">
        <v>3.57</v>
      </c>
      <c r="N2554" s="1">
        <v>0.59662000000000004</v>
      </c>
      <c r="O2554" s="3">
        <f>VLOOKUP(D2554,underlying!$D$40:$H$75,5,FALSE)</f>
        <v>-2.5</v>
      </c>
      <c r="P2554" s="4">
        <f t="shared" si="97"/>
        <v>43080</v>
      </c>
      <c r="Q2554" s="7">
        <f>IF(G2554="C",NormalCallSprd(O2554,H2554,M2554,(P2554-A2554)/365), NormalPutSprd(O2554,H2554,M2554,(P2554-A2554)/365))</f>
        <v>3.7200478635931584</v>
      </c>
      <c r="R2554" s="9">
        <f t="shared" si="96"/>
        <v>3.0047863593158475E-2</v>
      </c>
    </row>
    <row r="2555" spans="1:18" x14ac:dyDescent="0.2">
      <c r="A2555" s="2">
        <v>42622</v>
      </c>
      <c r="B2555" s="1" t="s">
        <v>56</v>
      </c>
      <c r="C2555" s="1" t="s">
        <v>57</v>
      </c>
      <c r="D2555" s="2">
        <v>42747</v>
      </c>
      <c r="E2555" s="2">
        <f t="shared" si="95"/>
        <v>43070</v>
      </c>
      <c r="F2555" s="1" t="s">
        <v>58</v>
      </c>
      <c r="G2555" s="1" t="s">
        <v>18</v>
      </c>
      <c r="H2555" s="1">
        <v>-5.75</v>
      </c>
      <c r="I2555" s="1">
        <v>0.47</v>
      </c>
      <c r="J2555" s="1">
        <v>0</v>
      </c>
      <c r="K2555" s="2">
        <v>43051</v>
      </c>
      <c r="L2555" s="1">
        <v>3716</v>
      </c>
      <c r="M2555" s="1">
        <v>3.57</v>
      </c>
      <c r="N2555" s="1">
        <v>0.61294999999999999</v>
      </c>
      <c r="O2555" s="3">
        <f>VLOOKUP(D2555,underlying!$D$40:$H$75,5,FALSE)</f>
        <v>-2.5</v>
      </c>
      <c r="P2555" s="4">
        <f t="shared" si="97"/>
        <v>43080</v>
      </c>
      <c r="Q2555" s="7">
        <f>IF(G2555="C",NormalCallSprd(O2555,H2555,M2555,(P2555-A2555)/365), NormalPutSprd(O2555,H2555,M2555,(P2555-A2555)/365))</f>
        <v>0.47004786359315842</v>
      </c>
      <c r="R2555" s="9">
        <f t="shared" si="96"/>
        <v>4.7863593158448126E-5</v>
      </c>
    </row>
    <row r="2556" spans="1:18" x14ac:dyDescent="0.2">
      <c r="A2556" s="2">
        <v>42622</v>
      </c>
      <c r="B2556" s="1" t="s">
        <v>56</v>
      </c>
      <c r="C2556" s="1" t="s">
        <v>57</v>
      </c>
      <c r="D2556" s="2">
        <v>42747</v>
      </c>
      <c r="E2556" s="2">
        <f t="shared" si="95"/>
        <v>43070</v>
      </c>
      <c r="F2556" s="1" t="s">
        <v>58</v>
      </c>
      <c r="G2556" s="1" t="s">
        <v>16</v>
      </c>
      <c r="H2556" s="1">
        <v>-5.5</v>
      </c>
      <c r="I2556" s="1">
        <v>3.5</v>
      </c>
      <c r="J2556" s="1">
        <v>0</v>
      </c>
      <c r="K2556" s="2">
        <v>43051</v>
      </c>
      <c r="L2556" s="1">
        <v>3716</v>
      </c>
      <c r="M2556" s="1">
        <v>3.57</v>
      </c>
      <c r="N2556" s="1">
        <v>0.63038000000000005</v>
      </c>
      <c r="O2556" s="3">
        <f>VLOOKUP(D2556,underlying!$D$40:$H$75,5,FALSE)</f>
        <v>-2.5</v>
      </c>
      <c r="P2556" s="4">
        <f t="shared" si="97"/>
        <v>43080</v>
      </c>
      <c r="Q2556" s="7">
        <f>IF(G2556="C",NormalCallSprd(O2556,H2556,M2556,(P2556-A2556)/365), NormalPutSprd(O2556,H2556,M2556,(P2556-A2556)/365))</f>
        <v>3.5243752020077257</v>
      </c>
      <c r="R2556" s="9">
        <f t="shared" si="96"/>
        <v>2.4375202007725694E-2</v>
      </c>
    </row>
    <row r="2557" spans="1:18" x14ac:dyDescent="0.2">
      <c r="A2557" s="2">
        <v>42622</v>
      </c>
      <c r="B2557" s="1" t="s">
        <v>56</v>
      </c>
      <c r="C2557" s="1" t="s">
        <v>57</v>
      </c>
      <c r="D2557" s="2">
        <v>42747</v>
      </c>
      <c r="E2557" s="2">
        <f t="shared" si="95"/>
        <v>43070</v>
      </c>
      <c r="F2557" s="1" t="s">
        <v>58</v>
      </c>
      <c r="G2557" s="1" t="s">
        <v>18</v>
      </c>
      <c r="H2557" s="1">
        <v>-5.5</v>
      </c>
      <c r="I2557" s="1">
        <v>0.52</v>
      </c>
      <c r="J2557" s="1">
        <v>0</v>
      </c>
      <c r="K2557" s="2">
        <v>43051</v>
      </c>
      <c r="L2557" s="1">
        <v>3716</v>
      </c>
      <c r="M2557" s="1">
        <v>3.57</v>
      </c>
      <c r="N2557" s="1">
        <v>0.64602999999999999</v>
      </c>
      <c r="O2557" s="3">
        <f>VLOOKUP(D2557,underlying!$D$40:$H$75,5,FALSE)</f>
        <v>-2.5</v>
      </c>
      <c r="P2557" s="4">
        <f t="shared" si="97"/>
        <v>43080</v>
      </c>
      <c r="Q2557" s="7">
        <f>IF(G2557="C",NormalCallSprd(O2557,H2557,M2557,(P2557-A2557)/365), NormalPutSprd(O2557,H2557,M2557,(P2557-A2557)/365))</f>
        <v>0.52437520200772592</v>
      </c>
      <c r="R2557" s="9">
        <f t="shared" si="96"/>
        <v>4.375202007725898E-3</v>
      </c>
    </row>
    <row r="2558" spans="1:18" x14ac:dyDescent="0.2">
      <c r="A2558" s="2">
        <v>42622</v>
      </c>
      <c r="B2558" s="1" t="s">
        <v>56</v>
      </c>
      <c r="C2558" s="1" t="s">
        <v>57</v>
      </c>
      <c r="D2558" s="2">
        <v>42747</v>
      </c>
      <c r="E2558" s="2">
        <f t="shared" si="95"/>
        <v>43070</v>
      </c>
      <c r="F2558" s="1" t="s">
        <v>58</v>
      </c>
      <c r="G2558" s="1" t="s">
        <v>16</v>
      </c>
      <c r="H2558" s="1">
        <v>-5.25</v>
      </c>
      <c r="I2558" s="1">
        <v>3.31</v>
      </c>
      <c r="J2558" s="1">
        <v>0</v>
      </c>
      <c r="K2558" s="2">
        <v>43051</v>
      </c>
      <c r="L2558" s="1">
        <v>3716</v>
      </c>
      <c r="M2558" s="1">
        <v>3.57</v>
      </c>
      <c r="N2558" s="1">
        <v>0.66213999999999995</v>
      </c>
      <c r="O2558" s="3">
        <f>VLOOKUP(D2558,underlying!$D$40:$H$75,5,FALSE)</f>
        <v>-2.5</v>
      </c>
      <c r="P2558" s="4">
        <f t="shared" si="97"/>
        <v>43080</v>
      </c>
      <c r="Q2558" s="7">
        <f>IF(G2558="C",NormalCallSprd(O2558,H2558,M2558,(P2558-A2558)/365), NormalPutSprd(O2558,H2558,M2558,(P2558-A2558)/365))</f>
        <v>3.3334076424978343</v>
      </c>
      <c r="R2558" s="9">
        <f t="shared" si="96"/>
        <v>2.3407642497834225E-2</v>
      </c>
    </row>
    <row r="2559" spans="1:18" x14ac:dyDescent="0.2">
      <c r="A2559" s="2">
        <v>42622</v>
      </c>
      <c r="B2559" s="1" t="s">
        <v>56</v>
      </c>
      <c r="C2559" s="1" t="s">
        <v>57</v>
      </c>
      <c r="D2559" s="2">
        <v>42747</v>
      </c>
      <c r="E2559" s="2">
        <f t="shared" si="95"/>
        <v>43070</v>
      </c>
      <c r="F2559" s="1" t="s">
        <v>58</v>
      </c>
      <c r="G2559" s="1" t="s">
        <v>18</v>
      </c>
      <c r="H2559" s="1">
        <v>-5.25</v>
      </c>
      <c r="I2559" s="1">
        <v>0.57999999999999996</v>
      </c>
      <c r="J2559" s="1">
        <v>0</v>
      </c>
      <c r="K2559" s="2">
        <v>43051</v>
      </c>
      <c r="L2559" s="1">
        <v>3716</v>
      </c>
      <c r="M2559" s="1">
        <v>3.57</v>
      </c>
      <c r="N2559" s="1">
        <v>0.67793000000000003</v>
      </c>
      <c r="O2559" s="3">
        <f>VLOOKUP(D2559,underlying!$D$40:$H$75,5,FALSE)</f>
        <v>-2.5</v>
      </c>
      <c r="P2559" s="4">
        <f t="shared" si="97"/>
        <v>43080</v>
      </c>
      <c r="Q2559" s="7">
        <f>IF(G2559="C",NormalCallSprd(O2559,H2559,M2559,(P2559-A2559)/365), NormalPutSprd(O2559,H2559,M2559,(P2559-A2559)/365))</f>
        <v>0.5834076424978345</v>
      </c>
      <c r="R2559" s="9">
        <f t="shared" si="96"/>
        <v>3.4076424978345399E-3</v>
      </c>
    </row>
    <row r="2560" spans="1:18" x14ac:dyDescent="0.2">
      <c r="A2560" s="2">
        <v>42622</v>
      </c>
      <c r="B2560" s="1" t="s">
        <v>56</v>
      </c>
      <c r="C2560" s="1" t="s">
        <v>57</v>
      </c>
      <c r="D2560" s="2">
        <v>42747</v>
      </c>
      <c r="E2560" s="2">
        <f t="shared" si="95"/>
        <v>43070</v>
      </c>
      <c r="F2560" s="1" t="s">
        <v>58</v>
      </c>
      <c r="G2560" s="1" t="s">
        <v>16</v>
      </c>
      <c r="H2560" s="1">
        <v>-5</v>
      </c>
      <c r="I2560" s="1">
        <v>3.12</v>
      </c>
      <c r="J2560" s="1">
        <v>-0.01</v>
      </c>
      <c r="K2560" s="2">
        <v>43051</v>
      </c>
      <c r="L2560" s="1">
        <v>3716</v>
      </c>
      <c r="M2560" s="1">
        <v>3.57</v>
      </c>
      <c r="N2560" s="1">
        <v>0.69337000000000004</v>
      </c>
      <c r="O2560" s="3">
        <f>VLOOKUP(D2560,underlying!$D$40:$H$75,5,FALSE)</f>
        <v>-2.5</v>
      </c>
      <c r="P2560" s="4">
        <f t="shared" si="97"/>
        <v>43080</v>
      </c>
      <c r="Q2560" s="7">
        <f>IF(G2560="C",NormalCallSprd(O2560,H2560,M2560,(P2560-A2560)/365), NormalPutSprd(O2560,H2560,M2560,(P2560-A2560)/365))</f>
        <v>3.1473613297566514</v>
      </c>
      <c r="R2560" s="9">
        <f t="shared" si="96"/>
        <v>2.7361329756651287E-2</v>
      </c>
    </row>
    <row r="2561" spans="1:18" x14ac:dyDescent="0.2">
      <c r="A2561" s="2">
        <v>42622</v>
      </c>
      <c r="B2561" s="1" t="s">
        <v>56</v>
      </c>
      <c r="C2561" s="1" t="s">
        <v>57</v>
      </c>
      <c r="D2561" s="2">
        <v>42747</v>
      </c>
      <c r="E2561" s="2">
        <f t="shared" si="95"/>
        <v>43070</v>
      </c>
      <c r="F2561" s="1" t="s">
        <v>58</v>
      </c>
      <c r="G2561" s="1" t="s">
        <v>18</v>
      </c>
      <c r="H2561" s="1">
        <v>-5</v>
      </c>
      <c r="I2561" s="1">
        <v>0.64</v>
      </c>
      <c r="J2561" s="1">
        <v>0</v>
      </c>
      <c r="K2561" s="2">
        <v>43051</v>
      </c>
      <c r="L2561" s="1">
        <v>3716</v>
      </c>
      <c r="M2561" s="1">
        <v>3.57</v>
      </c>
      <c r="N2561" s="1">
        <v>0.70843999999999996</v>
      </c>
      <c r="O2561" s="3">
        <f>VLOOKUP(D2561,underlying!$D$40:$H$75,5,FALSE)</f>
        <v>-2.5</v>
      </c>
      <c r="P2561" s="4">
        <f t="shared" si="97"/>
        <v>43080</v>
      </c>
      <c r="Q2561" s="7">
        <f>IF(G2561="C",NormalCallSprd(O2561,H2561,M2561,(P2561-A2561)/365), NormalPutSprd(O2561,H2561,M2561,(P2561-A2561)/365))</f>
        <v>0.64736132975665139</v>
      </c>
      <c r="R2561" s="9">
        <f t="shared" si="96"/>
        <v>7.3613297566513802E-3</v>
      </c>
    </row>
    <row r="2562" spans="1:18" x14ac:dyDescent="0.2">
      <c r="A2562" s="2">
        <v>42622</v>
      </c>
      <c r="B2562" s="1" t="s">
        <v>56</v>
      </c>
      <c r="C2562" s="1" t="s">
        <v>57</v>
      </c>
      <c r="D2562" s="2">
        <v>42747</v>
      </c>
      <c r="E2562" s="2">
        <f t="shared" ref="E2562:E2625" si="98">DATE(YEAR(D2562),DAY(D2562),MONTH(D2562))</f>
        <v>43070</v>
      </c>
      <c r="F2562" s="1" t="s">
        <v>58</v>
      </c>
      <c r="G2562" s="1" t="s">
        <v>16</v>
      </c>
      <c r="H2562" s="1">
        <v>-4.75</v>
      </c>
      <c r="I2562" s="1">
        <v>2.94</v>
      </c>
      <c r="J2562" s="1">
        <v>-0.01</v>
      </c>
      <c r="K2562" s="2">
        <v>43051</v>
      </c>
      <c r="L2562" s="1">
        <v>3716</v>
      </c>
      <c r="M2562" s="1">
        <v>3.57</v>
      </c>
      <c r="N2562" s="1">
        <v>0.76524999999999999</v>
      </c>
      <c r="O2562" s="3">
        <f>VLOOKUP(D2562,underlying!$D$40:$H$75,5,FALSE)</f>
        <v>-2.5</v>
      </c>
      <c r="P2562" s="4">
        <f t="shared" si="97"/>
        <v>43080</v>
      </c>
      <c r="Q2562" s="7">
        <f>IF(G2562="C",NormalCallSprd(O2562,H2562,M2562,(P2562-A2562)/365), NormalPutSprd(O2562,H2562,M2562,(P2562-A2562)/365))</f>
        <v>2.9664422736236693</v>
      </c>
      <c r="R2562" s="9">
        <f t="shared" si="96"/>
        <v>2.6442273623669355E-2</v>
      </c>
    </row>
    <row r="2563" spans="1:18" x14ac:dyDescent="0.2">
      <c r="A2563" s="2">
        <v>42622</v>
      </c>
      <c r="B2563" s="1" t="s">
        <v>56</v>
      </c>
      <c r="C2563" s="1" t="s">
        <v>57</v>
      </c>
      <c r="D2563" s="2">
        <v>42747</v>
      </c>
      <c r="E2563" s="2">
        <f t="shared" si="98"/>
        <v>43070</v>
      </c>
      <c r="F2563" s="1" t="s">
        <v>58</v>
      </c>
      <c r="G2563" s="1" t="s">
        <v>18</v>
      </c>
      <c r="H2563" s="1">
        <v>-4.75</v>
      </c>
      <c r="I2563" s="1">
        <v>0.71</v>
      </c>
      <c r="J2563" s="1">
        <v>0</v>
      </c>
      <c r="K2563" s="2">
        <v>43051</v>
      </c>
      <c r="L2563" s="1">
        <v>3716</v>
      </c>
      <c r="M2563" s="1">
        <v>3.57</v>
      </c>
      <c r="N2563" s="1">
        <v>0.81493000000000004</v>
      </c>
      <c r="O2563" s="3">
        <f>VLOOKUP(D2563,underlying!$D$40:$H$75,5,FALSE)</f>
        <v>-2.5</v>
      </c>
      <c r="P2563" s="4">
        <f t="shared" si="97"/>
        <v>43080</v>
      </c>
      <c r="Q2563" s="7">
        <f>IF(G2563="C",NormalCallSprd(O2563,H2563,M2563,(P2563-A2563)/365), NormalPutSprd(O2563,H2563,M2563,(P2563-A2563)/365))</f>
        <v>0.71644227362366908</v>
      </c>
      <c r="R2563" s="9">
        <f t="shared" ref="R2563:R2626" si="99">ABS(Q2563-I2563)</f>
        <v>6.4422736236691147E-3</v>
      </c>
    </row>
    <row r="2564" spans="1:18" x14ac:dyDescent="0.2">
      <c r="A2564" s="2">
        <v>42622</v>
      </c>
      <c r="B2564" s="1" t="s">
        <v>56</v>
      </c>
      <c r="C2564" s="1" t="s">
        <v>57</v>
      </c>
      <c r="D2564" s="2">
        <v>42747</v>
      </c>
      <c r="E2564" s="2">
        <f t="shared" si="98"/>
        <v>43070</v>
      </c>
      <c r="F2564" s="1" t="s">
        <v>58</v>
      </c>
      <c r="G2564" s="1" t="s">
        <v>16</v>
      </c>
      <c r="H2564" s="1">
        <v>-4.5</v>
      </c>
      <c r="I2564" s="1">
        <v>2.76</v>
      </c>
      <c r="J2564" s="1">
        <v>0</v>
      </c>
      <c r="K2564" s="2">
        <v>43051</v>
      </c>
      <c r="L2564" s="1">
        <v>3716</v>
      </c>
      <c r="M2564" s="1">
        <v>3.55</v>
      </c>
      <c r="N2564" s="1">
        <v>0.85621999999999998</v>
      </c>
      <c r="O2564" s="3">
        <f>VLOOKUP(D2564,underlying!$D$40:$H$75,5,FALSE)</f>
        <v>-2.5</v>
      </c>
      <c r="P2564" s="4">
        <f t="shared" si="97"/>
        <v>43080</v>
      </c>
      <c r="Q2564" s="7">
        <f>IF(G2564="C",NormalCallSprd(O2564,H2564,M2564,(P2564-A2564)/365), NormalPutSprd(O2564,H2564,M2564,(P2564-A2564)/365))</f>
        <v>2.7829628150899226</v>
      </c>
      <c r="R2564" s="9">
        <f t="shared" si="99"/>
        <v>2.2962815089922817E-2</v>
      </c>
    </row>
    <row r="2565" spans="1:18" x14ac:dyDescent="0.2">
      <c r="A2565" s="2">
        <v>42622</v>
      </c>
      <c r="B2565" s="1" t="s">
        <v>56</v>
      </c>
      <c r="C2565" s="1" t="s">
        <v>57</v>
      </c>
      <c r="D2565" s="2">
        <v>42747</v>
      </c>
      <c r="E2565" s="2">
        <f t="shared" si="98"/>
        <v>43070</v>
      </c>
      <c r="F2565" s="1" t="s">
        <v>58</v>
      </c>
      <c r="G2565" s="1" t="s">
        <v>18</v>
      </c>
      <c r="H2565" s="1">
        <v>-4.5</v>
      </c>
      <c r="I2565" s="1">
        <v>0.78</v>
      </c>
      <c r="J2565" s="1">
        <v>0</v>
      </c>
      <c r="K2565" s="2">
        <v>43051</v>
      </c>
      <c r="L2565" s="1">
        <v>3716</v>
      </c>
      <c r="M2565" s="1">
        <v>3.55</v>
      </c>
      <c r="N2565" s="1">
        <v>-0.59633000000000003</v>
      </c>
      <c r="O2565" s="3">
        <f>VLOOKUP(D2565,underlying!$D$40:$H$75,5,FALSE)</f>
        <v>-2.5</v>
      </c>
      <c r="P2565" s="4">
        <f t="shared" si="97"/>
        <v>43080</v>
      </c>
      <c r="Q2565" s="7">
        <f>IF(G2565="C",NormalCallSprd(O2565,H2565,M2565,(P2565-A2565)/365), NormalPutSprd(O2565,H2565,M2565,(P2565-A2565)/365))</f>
        <v>0.7829628150899226</v>
      </c>
      <c r="R2565" s="9">
        <f t="shared" si="99"/>
        <v>2.9628150899225769E-3</v>
      </c>
    </row>
    <row r="2566" spans="1:18" x14ac:dyDescent="0.2">
      <c r="A2566" s="2">
        <v>42622</v>
      </c>
      <c r="B2566" s="1" t="s">
        <v>56</v>
      </c>
      <c r="C2566" s="1" t="s">
        <v>57</v>
      </c>
      <c r="D2566" s="2">
        <v>42747</v>
      </c>
      <c r="E2566" s="2">
        <f t="shared" si="98"/>
        <v>43070</v>
      </c>
      <c r="F2566" s="1" t="s">
        <v>58</v>
      </c>
      <c r="G2566" s="1" t="s">
        <v>16</v>
      </c>
      <c r="H2566" s="1">
        <v>-4.25</v>
      </c>
      <c r="I2566" s="1">
        <v>2.6</v>
      </c>
      <c r="J2566" s="1">
        <v>0</v>
      </c>
      <c r="K2566" s="2">
        <v>43051</v>
      </c>
      <c r="L2566" s="1">
        <v>3716</v>
      </c>
      <c r="M2566" s="1">
        <v>3.57</v>
      </c>
      <c r="N2566" s="1">
        <v>-0.57916000000000001</v>
      </c>
      <c r="O2566" s="3">
        <f>VLOOKUP(D2566,underlying!$D$40:$H$75,5,FALSE)</f>
        <v>-2.5</v>
      </c>
      <c r="P2566" s="4">
        <f t="shared" si="97"/>
        <v>43080</v>
      </c>
      <c r="Q2566" s="7">
        <f>IF(G2566="C",NormalCallSprd(O2566,H2566,M2566,(P2566-A2566)/365), NormalPutSprd(O2566,H2566,M2566,(P2566-A2566)/365))</f>
        <v>2.6207469760495994</v>
      </c>
      <c r="R2566" s="9">
        <f t="shared" si="99"/>
        <v>2.0746976049599297E-2</v>
      </c>
    </row>
    <row r="2567" spans="1:18" x14ac:dyDescent="0.2">
      <c r="A2567" s="2">
        <v>42622</v>
      </c>
      <c r="B2567" s="1" t="s">
        <v>56</v>
      </c>
      <c r="C2567" s="1" t="s">
        <v>57</v>
      </c>
      <c r="D2567" s="2">
        <v>42747</v>
      </c>
      <c r="E2567" s="2">
        <f t="shared" si="98"/>
        <v>43070</v>
      </c>
      <c r="F2567" s="1" t="s">
        <v>58</v>
      </c>
      <c r="G2567" s="1" t="s">
        <v>18</v>
      </c>
      <c r="H2567" s="1">
        <v>-4.25</v>
      </c>
      <c r="I2567" s="1">
        <v>0.86</v>
      </c>
      <c r="J2567" s="1">
        <v>-0.01</v>
      </c>
      <c r="K2567" s="2">
        <v>43051</v>
      </c>
      <c r="L2567" s="1">
        <v>3716</v>
      </c>
      <c r="M2567" s="1">
        <v>3.57</v>
      </c>
      <c r="N2567" s="1">
        <v>-0.56201999999999996</v>
      </c>
      <c r="O2567" s="3">
        <f>VLOOKUP(D2567,underlying!$D$40:$H$75,5,FALSE)</f>
        <v>-2.5</v>
      </c>
      <c r="P2567" s="4">
        <f t="shared" si="97"/>
        <v>43080</v>
      </c>
      <c r="Q2567" s="7">
        <f>IF(G2567="C",NormalCallSprd(O2567,H2567,M2567,(P2567-A2567)/365), NormalPutSprd(O2567,H2567,M2567,(P2567-A2567)/365))</f>
        <v>0.87074697604959927</v>
      </c>
      <c r="R2567" s="9">
        <f t="shared" si="99"/>
        <v>1.0746976049599288E-2</v>
      </c>
    </row>
    <row r="2568" spans="1:18" x14ac:dyDescent="0.2">
      <c r="A2568" s="2">
        <v>42622</v>
      </c>
      <c r="B2568" s="1" t="s">
        <v>56</v>
      </c>
      <c r="C2568" s="1" t="s">
        <v>57</v>
      </c>
      <c r="D2568" s="2">
        <v>42747</v>
      </c>
      <c r="E2568" s="2">
        <f t="shared" si="98"/>
        <v>43070</v>
      </c>
      <c r="F2568" s="1" t="s">
        <v>58</v>
      </c>
      <c r="G2568" s="1" t="s">
        <v>16</v>
      </c>
      <c r="H2568" s="1">
        <v>-4</v>
      </c>
      <c r="I2568" s="1">
        <v>2.4300000000000002</v>
      </c>
      <c r="J2568" s="1">
        <v>0</v>
      </c>
      <c r="K2568" s="2">
        <v>43051</v>
      </c>
      <c r="L2568" s="1">
        <v>3716</v>
      </c>
      <c r="M2568" s="1">
        <v>3.55</v>
      </c>
      <c r="N2568" s="1">
        <v>-0.54432999999999998</v>
      </c>
      <c r="O2568" s="3">
        <f>VLOOKUP(D2568,underlying!$D$40:$H$75,5,FALSE)</f>
        <v>-2.5</v>
      </c>
      <c r="P2568" s="4">
        <f t="shared" si="97"/>
        <v>43080</v>
      </c>
      <c r="Q2568" s="7">
        <f>IF(G2568="C",NormalCallSprd(O2568,H2568,M2568,(P2568-A2568)/365), NormalPutSprd(O2568,H2568,M2568,(P2568-A2568)/365))</f>
        <v>2.4479865767864695</v>
      </c>
      <c r="R2568" s="9">
        <f t="shared" si="99"/>
        <v>1.798657678646931E-2</v>
      </c>
    </row>
    <row r="2569" spans="1:18" x14ac:dyDescent="0.2">
      <c r="A2569" s="2">
        <v>42622</v>
      </c>
      <c r="B2569" s="1" t="s">
        <v>56</v>
      </c>
      <c r="C2569" s="1" t="s">
        <v>57</v>
      </c>
      <c r="D2569" s="2">
        <v>42747</v>
      </c>
      <c r="E2569" s="2">
        <f t="shared" si="98"/>
        <v>43070</v>
      </c>
      <c r="F2569" s="1" t="s">
        <v>58</v>
      </c>
      <c r="G2569" s="1" t="s">
        <v>18</v>
      </c>
      <c r="H2569" s="1">
        <v>-4</v>
      </c>
      <c r="I2569" s="1">
        <v>0.94</v>
      </c>
      <c r="J2569" s="1">
        <v>0</v>
      </c>
      <c r="K2569" s="2">
        <v>43051</v>
      </c>
      <c r="L2569" s="1">
        <v>3716</v>
      </c>
      <c r="M2569" s="1">
        <v>3.55</v>
      </c>
      <c r="N2569" s="1">
        <v>-0.52673999999999999</v>
      </c>
      <c r="O2569" s="3">
        <f>VLOOKUP(D2569,underlying!$D$40:$H$75,5,FALSE)</f>
        <v>-2.5</v>
      </c>
      <c r="P2569" s="4">
        <f t="shared" si="97"/>
        <v>43080</v>
      </c>
      <c r="Q2569" s="7">
        <f>IF(G2569="C",NormalCallSprd(O2569,H2569,M2569,(P2569-A2569)/365), NormalPutSprd(O2569,H2569,M2569,(P2569-A2569)/365))</f>
        <v>0.94798657678646936</v>
      </c>
      <c r="R2569" s="9">
        <f t="shared" si="99"/>
        <v>7.9865767864694126E-3</v>
      </c>
    </row>
    <row r="2570" spans="1:18" x14ac:dyDescent="0.2">
      <c r="A2570" s="2">
        <v>42622</v>
      </c>
      <c r="B2570" s="1" t="s">
        <v>56</v>
      </c>
      <c r="C2570" s="1" t="s">
        <v>57</v>
      </c>
      <c r="D2570" s="2">
        <v>42747</v>
      </c>
      <c r="E2570" s="2">
        <f t="shared" si="98"/>
        <v>43070</v>
      </c>
      <c r="F2570" s="1" t="s">
        <v>58</v>
      </c>
      <c r="G2570" s="1" t="s">
        <v>16</v>
      </c>
      <c r="H2570" s="1">
        <v>-3.75</v>
      </c>
      <c r="I2570" s="1">
        <v>2.2799999999999998</v>
      </c>
      <c r="J2570" s="1">
        <v>0</v>
      </c>
      <c r="K2570" s="2">
        <v>43051</v>
      </c>
      <c r="L2570" s="1">
        <v>3716</v>
      </c>
      <c r="M2570" s="1">
        <v>3.57</v>
      </c>
      <c r="N2570" s="1">
        <v>-0.50902000000000003</v>
      </c>
      <c r="O2570" s="3">
        <f>VLOOKUP(D2570,underlying!$D$40:$H$75,5,FALSE)</f>
        <v>-2.5</v>
      </c>
      <c r="P2570" s="4">
        <f t="shared" si="97"/>
        <v>43080</v>
      </c>
      <c r="Q2570" s="7">
        <f>IF(G2570="C",NormalCallSprd(O2570,H2570,M2570,(P2570-A2570)/365), NormalPutSprd(O2570,H2570,M2570,(P2570-A2570)/365))</f>
        <v>2.2976905573827353</v>
      </c>
      <c r="R2570" s="9">
        <f t="shared" si="99"/>
        <v>1.7690557382735506E-2</v>
      </c>
    </row>
    <row r="2571" spans="1:18" x14ac:dyDescent="0.2">
      <c r="A2571" s="2">
        <v>42622</v>
      </c>
      <c r="B2571" s="1" t="s">
        <v>56</v>
      </c>
      <c r="C2571" s="1" t="s">
        <v>57</v>
      </c>
      <c r="D2571" s="2">
        <v>42747</v>
      </c>
      <c r="E2571" s="2">
        <f t="shared" si="98"/>
        <v>43070</v>
      </c>
      <c r="F2571" s="1" t="s">
        <v>58</v>
      </c>
      <c r="G2571" s="1" t="s">
        <v>18</v>
      </c>
      <c r="H2571" s="1">
        <v>-3.75</v>
      </c>
      <c r="I2571" s="1">
        <v>1.04</v>
      </c>
      <c r="J2571" s="1">
        <v>0</v>
      </c>
      <c r="K2571" s="2">
        <v>43051</v>
      </c>
      <c r="L2571" s="1">
        <v>3716</v>
      </c>
      <c r="M2571" s="1">
        <v>3.57</v>
      </c>
      <c r="N2571" s="1">
        <v>-0.49136999999999997</v>
      </c>
      <c r="O2571" s="3">
        <f>VLOOKUP(D2571,underlying!$D$40:$H$75,5,FALSE)</f>
        <v>-2.5</v>
      </c>
      <c r="P2571" s="4">
        <f t="shared" si="97"/>
        <v>43080</v>
      </c>
      <c r="Q2571" s="7">
        <f>IF(G2571="C",NormalCallSprd(O2571,H2571,M2571,(P2571-A2571)/365), NormalPutSprd(O2571,H2571,M2571,(P2571-A2571)/365))</f>
        <v>1.0476905573827353</v>
      </c>
      <c r="R2571" s="9">
        <f t="shared" si="99"/>
        <v>7.6905573827352747E-3</v>
      </c>
    </row>
    <row r="2572" spans="1:18" x14ac:dyDescent="0.2">
      <c r="A2572" s="2">
        <v>42622</v>
      </c>
      <c r="B2572" s="1" t="s">
        <v>56</v>
      </c>
      <c r="C2572" s="1" t="s">
        <v>57</v>
      </c>
      <c r="D2572" s="2">
        <v>42747</v>
      </c>
      <c r="E2572" s="2">
        <f t="shared" si="98"/>
        <v>43070</v>
      </c>
      <c r="F2572" s="1" t="s">
        <v>58</v>
      </c>
      <c r="G2572" s="1" t="s">
        <v>16</v>
      </c>
      <c r="H2572" s="1">
        <v>-3.5</v>
      </c>
      <c r="I2572" s="1">
        <v>2.12</v>
      </c>
      <c r="J2572" s="1">
        <v>0</v>
      </c>
      <c r="K2572" s="2">
        <v>43051</v>
      </c>
      <c r="L2572" s="1">
        <v>3716</v>
      </c>
      <c r="M2572" s="1">
        <v>3.55</v>
      </c>
      <c r="N2572" s="1">
        <v>-0.47371999999999997</v>
      </c>
      <c r="O2572" s="3">
        <f>VLOOKUP(D2572,underlying!$D$40:$H$75,5,FALSE)</f>
        <v>-2.5</v>
      </c>
      <c r="P2572" s="4">
        <f t="shared" si="97"/>
        <v>43080</v>
      </c>
      <c r="Q2572" s="7">
        <f>IF(G2572="C",NormalCallSprd(O2572,H2572,M2572,(P2572-A2572)/365), NormalPutSprd(O2572,H2572,M2572,(P2572-A2572)/365))</f>
        <v>2.136342161275989</v>
      </c>
      <c r="R2572" s="9">
        <f t="shared" si="99"/>
        <v>1.6342161275988865E-2</v>
      </c>
    </row>
    <row r="2573" spans="1:18" x14ac:dyDescent="0.2">
      <c r="A2573" s="2">
        <v>42622</v>
      </c>
      <c r="B2573" s="1" t="s">
        <v>56</v>
      </c>
      <c r="C2573" s="1" t="s">
        <v>57</v>
      </c>
      <c r="D2573" s="2">
        <v>42747</v>
      </c>
      <c r="E2573" s="2">
        <f t="shared" si="98"/>
        <v>43070</v>
      </c>
      <c r="F2573" s="1" t="s">
        <v>58</v>
      </c>
      <c r="G2573" s="1" t="s">
        <v>18</v>
      </c>
      <c r="H2573" s="1">
        <v>-3.5</v>
      </c>
      <c r="I2573" s="1">
        <v>1.1299999999999999</v>
      </c>
      <c r="J2573" s="1">
        <v>0</v>
      </c>
      <c r="K2573" s="2">
        <v>43051</v>
      </c>
      <c r="L2573" s="1">
        <v>3716</v>
      </c>
      <c r="M2573" s="1">
        <v>3.55</v>
      </c>
      <c r="N2573" s="1">
        <v>-0.45601000000000003</v>
      </c>
      <c r="O2573" s="3">
        <f>VLOOKUP(D2573,underlying!$D$40:$H$75,5,FALSE)</f>
        <v>-2.5</v>
      </c>
      <c r="P2573" s="4">
        <f t="shared" si="97"/>
        <v>43080</v>
      </c>
      <c r="Q2573" s="7">
        <f>IF(G2573="C",NormalCallSprd(O2573,H2573,M2573,(P2573-A2573)/365), NormalPutSprd(O2573,H2573,M2573,(P2573-A2573)/365))</f>
        <v>1.136342161275989</v>
      </c>
      <c r="R2573" s="9">
        <f t="shared" si="99"/>
        <v>6.3421612759890778E-3</v>
      </c>
    </row>
    <row r="2574" spans="1:18" x14ac:dyDescent="0.2">
      <c r="A2574" s="2">
        <v>42622</v>
      </c>
      <c r="B2574" s="1" t="s">
        <v>56</v>
      </c>
      <c r="C2574" s="1" t="s">
        <v>57</v>
      </c>
      <c r="D2574" s="2">
        <v>42747</v>
      </c>
      <c r="E2574" s="2">
        <f t="shared" si="98"/>
        <v>43070</v>
      </c>
      <c r="F2574" s="1" t="s">
        <v>58</v>
      </c>
      <c r="G2574" s="1" t="s">
        <v>16</v>
      </c>
      <c r="H2574" s="1">
        <v>-3.25</v>
      </c>
      <c r="I2574" s="1">
        <v>1.98</v>
      </c>
      <c r="J2574" s="1">
        <v>0</v>
      </c>
      <c r="K2574" s="2">
        <v>43051</v>
      </c>
      <c r="L2574" s="1">
        <v>3716</v>
      </c>
      <c r="M2574" s="1">
        <v>3.56</v>
      </c>
      <c r="N2574" s="1">
        <v>-0.43841999999999998</v>
      </c>
      <c r="O2574" s="3">
        <f>VLOOKUP(D2574,underlying!$D$40:$H$75,5,FALSE)</f>
        <v>-2.5</v>
      </c>
      <c r="P2574" s="4">
        <f t="shared" si="97"/>
        <v>43080</v>
      </c>
      <c r="Q2574" s="7">
        <f>IF(G2574="C",NormalCallSprd(O2574,H2574,M2574,(P2574-A2574)/365), NormalPutSprd(O2574,H2574,M2574,(P2574-A2574)/365))</f>
        <v>1.9939663929345179</v>
      </c>
      <c r="R2574" s="9">
        <f t="shared" si="99"/>
        <v>1.3966392934517957E-2</v>
      </c>
    </row>
    <row r="2575" spans="1:18" x14ac:dyDescent="0.2">
      <c r="A2575" s="2">
        <v>42622</v>
      </c>
      <c r="B2575" s="1" t="s">
        <v>56</v>
      </c>
      <c r="C2575" s="1" t="s">
        <v>57</v>
      </c>
      <c r="D2575" s="2">
        <v>42747</v>
      </c>
      <c r="E2575" s="2">
        <f t="shared" si="98"/>
        <v>43070</v>
      </c>
      <c r="F2575" s="1" t="s">
        <v>58</v>
      </c>
      <c r="G2575" s="1" t="s">
        <v>18</v>
      </c>
      <c r="H2575" s="1">
        <v>-3.25</v>
      </c>
      <c r="I2575" s="1">
        <v>1.23</v>
      </c>
      <c r="J2575" s="1">
        <v>-0.01</v>
      </c>
      <c r="K2575" s="2">
        <v>43051</v>
      </c>
      <c r="L2575" s="1">
        <v>3716</v>
      </c>
      <c r="M2575" s="1">
        <v>3.56</v>
      </c>
      <c r="N2575" s="1">
        <v>-0.42072999999999999</v>
      </c>
      <c r="O2575" s="3">
        <f>VLOOKUP(D2575,underlying!$D$40:$H$75,5,FALSE)</f>
        <v>-2.5</v>
      </c>
      <c r="P2575" s="4">
        <f t="shared" si="97"/>
        <v>43080</v>
      </c>
      <c r="Q2575" s="7">
        <f>IF(G2575="C",NormalCallSprd(O2575,H2575,M2575,(P2575-A2575)/365), NormalPutSprd(O2575,H2575,M2575,(P2575-A2575)/365))</f>
        <v>1.2439663929345179</v>
      </c>
      <c r="R2575" s="9">
        <f t="shared" si="99"/>
        <v>1.3966392934517957E-2</v>
      </c>
    </row>
    <row r="2576" spans="1:18" x14ac:dyDescent="0.2">
      <c r="A2576" s="2">
        <v>42622</v>
      </c>
      <c r="B2576" s="1" t="s">
        <v>56</v>
      </c>
      <c r="C2576" s="1" t="s">
        <v>57</v>
      </c>
      <c r="D2576" s="2">
        <v>42747</v>
      </c>
      <c r="E2576" s="2">
        <f t="shared" si="98"/>
        <v>43070</v>
      </c>
      <c r="F2576" s="1" t="s">
        <v>58</v>
      </c>
      <c r="G2576" s="1" t="s">
        <v>16</v>
      </c>
      <c r="H2576" s="1">
        <v>-3</v>
      </c>
      <c r="I2576" s="1">
        <v>1.84</v>
      </c>
      <c r="J2576" s="1">
        <v>0</v>
      </c>
      <c r="K2576" s="2">
        <v>43051</v>
      </c>
      <c r="L2576" s="1">
        <v>3716</v>
      </c>
      <c r="M2576" s="1">
        <v>3.56</v>
      </c>
      <c r="N2576" s="1">
        <v>-0.40383000000000002</v>
      </c>
      <c r="O2576" s="3">
        <f>VLOOKUP(D2576,underlying!$D$40:$H$75,5,FALSE)</f>
        <v>-2.5</v>
      </c>
      <c r="P2576" s="4">
        <f t="shared" si="97"/>
        <v>43080</v>
      </c>
      <c r="Q2576" s="7">
        <f>IF(G2576="C",NormalCallSprd(O2576,H2576,M2576,(P2576-A2576)/365), NormalPutSprd(O2576,H2576,M2576,(P2576-A2576)/365))</f>
        <v>1.8534014257543079</v>
      </c>
      <c r="R2576" s="9">
        <f t="shared" si="99"/>
        <v>1.3401425754307805E-2</v>
      </c>
    </row>
    <row r="2577" spans="1:18" x14ac:dyDescent="0.2">
      <c r="A2577" s="2">
        <v>42622</v>
      </c>
      <c r="B2577" s="1" t="s">
        <v>56</v>
      </c>
      <c r="C2577" s="1" t="s">
        <v>57</v>
      </c>
      <c r="D2577" s="2">
        <v>42747</v>
      </c>
      <c r="E2577" s="2">
        <f t="shared" si="98"/>
        <v>43070</v>
      </c>
      <c r="F2577" s="1" t="s">
        <v>58</v>
      </c>
      <c r="G2577" s="1" t="s">
        <v>18</v>
      </c>
      <c r="H2577" s="1">
        <v>-3</v>
      </c>
      <c r="I2577" s="1">
        <v>1.34</v>
      </c>
      <c r="J2577" s="1">
        <v>-0.01</v>
      </c>
      <c r="K2577" s="2">
        <v>43051</v>
      </c>
      <c r="L2577" s="1">
        <v>3716</v>
      </c>
      <c r="M2577" s="1">
        <v>3.56</v>
      </c>
      <c r="N2577" s="1">
        <v>-0.38612999999999997</v>
      </c>
      <c r="O2577" s="3">
        <f>VLOOKUP(D2577,underlying!$D$40:$H$75,5,FALSE)</f>
        <v>-2.5</v>
      </c>
      <c r="P2577" s="4">
        <f t="shared" si="97"/>
        <v>43080</v>
      </c>
      <c r="Q2577" s="7">
        <f>IF(G2577="C",NormalCallSprd(O2577,H2577,M2577,(P2577-A2577)/365), NormalPutSprd(O2577,H2577,M2577,(P2577-A2577)/365))</f>
        <v>1.3534014257543079</v>
      </c>
      <c r="R2577" s="9">
        <f t="shared" si="99"/>
        <v>1.3401425754307805E-2</v>
      </c>
    </row>
    <row r="2578" spans="1:18" x14ac:dyDescent="0.2">
      <c r="A2578" s="2">
        <v>42622</v>
      </c>
      <c r="B2578" s="1" t="s">
        <v>56</v>
      </c>
      <c r="C2578" s="1" t="s">
        <v>57</v>
      </c>
      <c r="D2578" s="2">
        <v>42747</v>
      </c>
      <c r="E2578" s="2">
        <f t="shared" si="98"/>
        <v>43070</v>
      </c>
      <c r="F2578" s="1" t="s">
        <v>58</v>
      </c>
      <c r="G2578" s="1" t="s">
        <v>16</v>
      </c>
      <c r="H2578" s="1">
        <v>-2.75</v>
      </c>
      <c r="I2578" s="1">
        <v>1.71</v>
      </c>
      <c r="J2578" s="1">
        <v>0</v>
      </c>
      <c r="K2578" s="2">
        <v>43051</v>
      </c>
      <c r="L2578" s="1">
        <v>3716</v>
      </c>
      <c r="M2578" s="1">
        <v>3.57</v>
      </c>
      <c r="N2578" s="1">
        <v>-0.36980000000000002</v>
      </c>
      <c r="O2578" s="3">
        <f>VLOOKUP(D2578,underlying!$D$40:$H$75,5,FALSE)</f>
        <v>-2.5</v>
      </c>
      <c r="P2578" s="4">
        <f t="shared" si="97"/>
        <v>43080</v>
      </c>
      <c r="Q2578" s="7">
        <f>IF(G2578="C",NormalCallSprd(O2578,H2578,M2578,(P2578-A2578)/365), NormalPutSprd(O2578,H2578,M2578,(P2578-A2578)/365))</f>
        <v>1.7234981146789357</v>
      </c>
      <c r="R2578" s="9">
        <f t="shared" si="99"/>
        <v>1.3498114678935691E-2</v>
      </c>
    </row>
    <row r="2579" spans="1:18" x14ac:dyDescent="0.2">
      <c r="A2579" s="2">
        <v>42622</v>
      </c>
      <c r="B2579" s="1" t="s">
        <v>56</v>
      </c>
      <c r="C2579" s="1" t="s">
        <v>57</v>
      </c>
      <c r="D2579" s="2">
        <v>42747</v>
      </c>
      <c r="E2579" s="2">
        <f t="shared" si="98"/>
        <v>43070</v>
      </c>
      <c r="F2579" s="1" t="s">
        <v>58</v>
      </c>
      <c r="G2579" s="1" t="s">
        <v>18</v>
      </c>
      <c r="H2579" s="1">
        <v>-2.75</v>
      </c>
      <c r="I2579" s="1">
        <v>1.46</v>
      </c>
      <c r="J2579" s="1">
        <v>0</v>
      </c>
      <c r="K2579" s="2">
        <v>43051</v>
      </c>
      <c r="L2579" s="1">
        <v>3716</v>
      </c>
      <c r="M2579" s="1">
        <v>3.57</v>
      </c>
      <c r="N2579" s="1">
        <v>-0.35236000000000001</v>
      </c>
      <c r="O2579" s="3">
        <f>VLOOKUP(D2579,underlying!$D$40:$H$75,5,FALSE)</f>
        <v>-2.5</v>
      </c>
      <c r="P2579" s="4">
        <f t="shared" si="97"/>
        <v>43080</v>
      </c>
      <c r="Q2579" s="7">
        <f>IF(G2579="C",NormalCallSprd(O2579,H2579,M2579,(P2579-A2579)/365), NormalPutSprd(O2579,H2579,M2579,(P2579-A2579)/365))</f>
        <v>1.4734981146789357</v>
      </c>
      <c r="R2579" s="9">
        <f t="shared" si="99"/>
        <v>1.3498114678935691E-2</v>
      </c>
    </row>
    <row r="2580" spans="1:18" x14ac:dyDescent="0.2">
      <c r="A2580" s="2">
        <v>42622</v>
      </c>
      <c r="B2580" s="1" t="s">
        <v>56</v>
      </c>
      <c r="C2580" s="1" t="s">
        <v>57</v>
      </c>
      <c r="D2580" s="2">
        <v>42747</v>
      </c>
      <c r="E2580" s="2">
        <f t="shared" si="98"/>
        <v>43070</v>
      </c>
      <c r="F2580" s="1" t="s">
        <v>58</v>
      </c>
      <c r="G2580" s="1" t="s">
        <v>16</v>
      </c>
      <c r="H2580" s="1">
        <v>-2.5</v>
      </c>
      <c r="I2580" s="1">
        <v>1.58</v>
      </c>
      <c r="J2580" s="1">
        <v>0</v>
      </c>
      <c r="K2580" s="2">
        <v>43051</v>
      </c>
      <c r="L2580" s="1">
        <v>3716</v>
      </c>
      <c r="M2580" s="1">
        <v>3.56</v>
      </c>
      <c r="N2580" s="1">
        <v>-0.33671000000000001</v>
      </c>
      <c r="O2580" s="3">
        <f>VLOOKUP(D2580,underlying!$D$40:$H$75,5,FALSE)</f>
        <v>-2.5</v>
      </c>
      <c r="P2580" s="4">
        <f t="shared" si="97"/>
        <v>43080</v>
      </c>
      <c r="Q2580" s="7">
        <f>IF(G2580="C",NormalCallSprd(O2580,H2580,M2580,(P2580-A2580)/365), NormalPutSprd(O2580,H2580,M2580,(P2580-A2580)/365))</f>
        <v>1.5909127799038469</v>
      </c>
      <c r="R2580" s="9">
        <f t="shared" si="99"/>
        <v>1.091277990384687E-2</v>
      </c>
    </row>
    <row r="2581" spans="1:18" x14ac:dyDescent="0.2">
      <c r="A2581" s="2">
        <v>42622</v>
      </c>
      <c r="B2581" s="1" t="s">
        <v>56</v>
      </c>
      <c r="C2581" s="1" t="s">
        <v>57</v>
      </c>
      <c r="D2581" s="2">
        <v>42747</v>
      </c>
      <c r="E2581" s="2">
        <f t="shared" si="98"/>
        <v>43070</v>
      </c>
      <c r="F2581" s="1" t="s">
        <v>58</v>
      </c>
      <c r="G2581" s="1" t="s">
        <v>18</v>
      </c>
      <c r="H2581" s="1">
        <v>-2.5</v>
      </c>
      <c r="I2581" s="1">
        <v>1.58</v>
      </c>
      <c r="J2581" s="1">
        <v>0</v>
      </c>
      <c r="K2581" s="2">
        <v>43051</v>
      </c>
      <c r="L2581" s="1">
        <v>3716</v>
      </c>
      <c r="M2581" s="1">
        <v>3.56</v>
      </c>
      <c r="N2581" s="1">
        <v>-0.3206</v>
      </c>
      <c r="O2581" s="3">
        <f>VLOOKUP(D2581,underlying!$D$40:$H$75,5,FALSE)</f>
        <v>-2.5</v>
      </c>
      <c r="P2581" s="4">
        <f t="shared" si="97"/>
        <v>43080</v>
      </c>
      <c r="Q2581" s="7">
        <f>IF(G2581="C",NormalCallSprd(O2581,H2581,M2581,(P2581-A2581)/365), NormalPutSprd(O2581,H2581,M2581,(P2581-A2581)/365))</f>
        <v>1.5909127799038469</v>
      </c>
      <c r="R2581" s="9">
        <f t="shared" si="99"/>
        <v>1.091277990384687E-2</v>
      </c>
    </row>
    <row r="2582" spans="1:18" x14ac:dyDescent="0.2">
      <c r="A2582" s="2">
        <v>42622</v>
      </c>
      <c r="B2582" s="1" t="s">
        <v>56</v>
      </c>
      <c r="C2582" s="1" t="s">
        <v>57</v>
      </c>
      <c r="D2582" s="2">
        <v>42747</v>
      </c>
      <c r="E2582" s="2">
        <f t="shared" si="98"/>
        <v>43070</v>
      </c>
      <c r="F2582" s="1" t="s">
        <v>58</v>
      </c>
      <c r="G2582" s="1" t="s">
        <v>16</v>
      </c>
      <c r="H2582" s="1">
        <v>-2.25</v>
      </c>
      <c r="I2582" s="1">
        <v>1.46</v>
      </c>
      <c r="J2582" s="1">
        <v>0</v>
      </c>
      <c r="K2582" s="2">
        <v>43051</v>
      </c>
      <c r="L2582" s="1">
        <v>3716</v>
      </c>
      <c r="M2582" s="1">
        <v>3.57</v>
      </c>
      <c r="N2582" s="1">
        <v>-0.30481999999999998</v>
      </c>
      <c r="O2582" s="3">
        <f>VLOOKUP(D2582,underlying!$D$40:$H$75,5,FALSE)</f>
        <v>-2.5</v>
      </c>
      <c r="P2582" s="4">
        <f t="shared" si="97"/>
        <v>43080</v>
      </c>
      <c r="Q2582" s="7">
        <f>IF(G2582="C",NormalCallSprd(O2582,H2582,M2582,(P2582-A2582)/365), NormalPutSprd(O2582,H2582,M2582,(P2582-A2582)/365))</f>
        <v>1.4734981146789357</v>
      </c>
      <c r="R2582" s="9">
        <f t="shared" si="99"/>
        <v>1.3498114678935691E-2</v>
      </c>
    </row>
    <row r="2583" spans="1:18" x14ac:dyDescent="0.2">
      <c r="A2583" s="2">
        <v>42622</v>
      </c>
      <c r="B2583" s="1" t="s">
        <v>56</v>
      </c>
      <c r="C2583" s="1" t="s">
        <v>57</v>
      </c>
      <c r="D2583" s="2">
        <v>42747</v>
      </c>
      <c r="E2583" s="2">
        <f t="shared" si="98"/>
        <v>43070</v>
      </c>
      <c r="F2583" s="1" t="s">
        <v>58</v>
      </c>
      <c r="G2583" s="1" t="s">
        <v>18</v>
      </c>
      <c r="H2583" s="1">
        <v>-2.25</v>
      </c>
      <c r="I2583" s="1">
        <v>1.71</v>
      </c>
      <c r="J2583" s="1">
        <v>0</v>
      </c>
      <c r="K2583" s="2">
        <v>43051</v>
      </c>
      <c r="L2583" s="1">
        <v>3716</v>
      </c>
      <c r="M2583" s="1">
        <v>3.57</v>
      </c>
      <c r="N2583" s="1">
        <v>-0.28938000000000003</v>
      </c>
      <c r="O2583" s="3">
        <f>VLOOKUP(D2583,underlying!$D$40:$H$75,5,FALSE)</f>
        <v>-2.5</v>
      </c>
      <c r="P2583" s="4">
        <f t="shared" si="97"/>
        <v>43080</v>
      </c>
      <c r="Q2583" s="7">
        <f>IF(G2583="C",NormalCallSprd(O2583,H2583,M2583,(P2583-A2583)/365), NormalPutSprd(O2583,H2583,M2583,(P2583-A2583)/365))</f>
        <v>1.7234981146789357</v>
      </c>
      <c r="R2583" s="9">
        <f t="shared" si="99"/>
        <v>1.3498114678935691E-2</v>
      </c>
    </row>
    <row r="2584" spans="1:18" x14ac:dyDescent="0.2">
      <c r="A2584" s="2">
        <v>42622</v>
      </c>
      <c r="B2584" s="1" t="s">
        <v>56</v>
      </c>
      <c r="C2584" s="1" t="s">
        <v>57</v>
      </c>
      <c r="D2584" s="2">
        <v>42747</v>
      </c>
      <c r="E2584" s="2">
        <f t="shared" si="98"/>
        <v>43070</v>
      </c>
      <c r="F2584" s="1" t="s">
        <v>58</v>
      </c>
      <c r="G2584" s="1" t="s">
        <v>16</v>
      </c>
      <c r="H2584" s="1">
        <v>-2</v>
      </c>
      <c r="I2584" s="1">
        <v>1.34</v>
      </c>
      <c r="J2584" s="1">
        <v>-0.01</v>
      </c>
      <c r="K2584" s="2">
        <v>43051</v>
      </c>
      <c r="L2584" s="1">
        <v>3716</v>
      </c>
      <c r="M2584" s="1">
        <v>3.56</v>
      </c>
      <c r="N2584" s="1">
        <v>-0.27431</v>
      </c>
      <c r="O2584" s="3">
        <f>VLOOKUP(D2584,underlying!$D$40:$H$75,5,FALSE)</f>
        <v>-2.5</v>
      </c>
      <c r="P2584" s="4">
        <f t="shared" si="97"/>
        <v>43080</v>
      </c>
      <c r="Q2584" s="7">
        <f>IF(G2584="C",NormalCallSprd(O2584,H2584,M2584,(P2584-A2584)/365), NormalPutSprd(O2584,H2584,M2584,(P2584-A2584)/365))</f>
        <v>1.3534014257543079</v>
      </c>
      <c r="R2584" s="9">
        <f t="shared" si="99"/>
        <v>1.3401425754307805E-2</v>
      </c>
    </row>
    <row r="2585" spans="1:18" x14ac:dyDescent="0.2">
      <c r="A2585" s="2">
        <v>42622</v>
      </c>
      <c r="B2585" s="1" t="s">
        <v>56</v>
      </c>
      <c r="C2585" s="1" t="s">
        <v>57</v>
      </c>
      <c r="D2585" s="2">
        <v>42747</v>
      </c>
      <c r="E2585" s="2">
        <f t="shared" si="98"/>
        <v>43070</v>
      </c>
      <c r="F2585" s="1" t="s">
        <v>58</v>
      </c>
      <c r="G2585" s="1" t="s">
        <v>18</v>
      </c>
      <c r="H2585" s="1">
        <v>-2</v>
      </c>
      <c r="I2585" s="1">
        <v>1.84</v>
      </c>
      <c r="J2585" s="1">
        <v>0</v>
      </c>
      <c r="K2585" s="2">
        <v>43051</v>
      </c>
      <c r="L2585" s="1">
        <v>3716</v>
      </c>
      <c r="M2585" s="1">
        <v>3.56</v>
      </c>
      <c r="N2585" s="1">
        <v>-0.21748999999999999</v>
      </c>
      <c r="O2585" s="3">
        <f>VLOOKUP(D2585,underlying!$D$40:$H$75,5,FALSE)</f>
        <v>-2.5</v>
      </c>
      <c r="P2585" s="4">
        <f t="shared" si="97"/>
        <v>43080</v>
      </c>
      <c r="Q2585" s="7">
        <f>IF(G2585="C",NormalCallSprd(O2585,H2585,M2585,(P2585-A2585)/365), NormalPutSprd(O2585,H2585,M2585,(P2585-A2585)/365))</f>
        <v>1.8534014257543079</v>
      </c>
      <c r="R2585" s="9">
        <f t="shared" si="99"/>
        <v>1.3401425754307805E-2</v>
      </c>
    </row>
    <row r="2586" spans="1:18" x14ac:dyDescent="0.2">
      <c r="A2586" s="2">
        <v>42622</v>
      </c>
      <c r="B2586" s="1" t="s">
        <v>56</v>
      </c>
      <c r="C2586" s="1" t="s">
        <v>57</v>
      </c>
      <c r="D2586" s="2">
        <v>42747</v>
      </c>
      <c r="E2586" s="2">
        <f t="shared" si="98"/>
        <v>43070</v>
      </c>
      <c r="F2586" s="1" t="s">
        <v>58</v>
      </c>
      <c r="G2586" s="1" t="s">
        <v>16</v>
      </c>
      <c r="H2586" s="1">
        <v>-1.75</v>
      </c>
      <c r="I2586" s="1">
        <v>1.23</v>
      </c>
      <c r="J2586" s="1">
        <v>-0.01</v>
      </c>
      <c r="K2586" s="2">
        <v>43051</v>
      </c>
      <c r="L2586" s="1">
        <v>3716</v>
      </c>
      <c r="M2586" s="1">
        <v>3.56</v>
      </c>
      <c r="N2586" s="1">
        <v>-0.16782</v>
      </c>
      <c r="O2586" s="3">
        <f>VLOOKUP(D2586,underlying!$D$40:$H$75,5,FALSE)</f>
        <v>-2.5</v>
      </c>
      <c r="P2586" s="4">
        <f t="shared" si="97"/>
        <v>43080</v>
      </c>
      <c r="Q2586" s="7">
        <f>IF(G2586="C",NormalCallSprd(O2586,H2586,M2586,(P2586-A2586)/365), NormalPutSprd(O2586,H2586,M2586,(P2586-A2586)/365))</f>
        <v>1.2439663929345179</v>
      </c>
      <c r="R2586" s="9">
        <f t="shared" si="99"/>
        <v>1.3966392934517957E-2</v>
      </c>
    </row>
    <row r="2587" spans="1:18" x14ac:dyDescent="0.2">
      <c r="A2587" s="2">
        <v>42622</v>
      </c>
      <c r="B2587" s="1" t="s">
        <v>56</v>
      </c>
      <c r="C2587" s="1" t="s">
        <v>57</v>
      </c>
      <c r="D2587" s="2">
        <v>42747</v>
      </c>
      <c r="E2587" s="2">
        <f t="shared" si="98"/>
        <v>43070</v>
      </c>
      <c r="F2587" s="1" t="s">
        <v>58</v>
      </c>
      <c r="G2587" s="1" t="s">
        <v>18</v>
      </c>
      <c r="H2587" s="1">
        <v>-1.75</v>
      </c>
      <c r="I2587" s="1">
        <v>1.98</v>
      </c>
      <c r="J2587" s="1">
        <v>0</v>
      </c>
      <c r="K2587" s="2">
        <v>43051</v>
      </c>
      <c r="L2587" s="1">
        <v>3716</v>
      </c>
      <c r="M2587" s="1">
        <v>3.56</v>
      </c>
      <c r="N2587" s="1">
        <v>-0.12653</v>
      </c>
      <c r="O2587" s="3">
        <f>VLOOKUP(D2587,underlying!$D$40:$H$75,5,FALSE)</f>
        <v>-2.5</v>
      </c>
      <c r="P2587" s="4">
        <f t="shared" si="97"/>
        <v>43080</v>
      </c>
      <c r="Q2587" s="7">
        <f>IF(G2587="C",NormalCallSprd(O2587,H2587,M2587,(P2587-A2587)/365), NormalPutSprd(O2587,H2587,M2587,(P2587-A2587)/365))</f>
        <v>1.9939663929345179</v>
      </c>
      <c r="R2587" s="9">
        <f t="shared" si="99"/>
        <v>1.3966392934517957E-2</v>
      </c>
    </row>
    <row r="2588" spans="1:18" x14ac:dyDescent="0.2">
      <c r="A2588" s="2">
        <v>42622</v>
      </c>
      <c r="B2588" s="1" t="s">
        <v>56</v>
      </c>
      <c r="C2588" s="1" t="s">
        <v>57</v>
      </c>
      <c r="D2588" s="2">
        <v>42747</v>
      </c>
      <c r="E2588" s="2">
        <f t="shared" si="98"/>
        <v>43070</v>
      </c>
      <c r="F2588" s="1" t="s">
        <v>58</v>
      </c>
      <c r="G2588" s="1" t="s">
        <v>16</v>
      </c>
      <c r="H2588" s="1">
        <v>-1.5</v>
      </c>
      <c r="I2588" s="1">
        <v>1.1299999999999999</v>
      </c>
      <c r="J2588" s="1">
        <v>0</v>
      </c>
      <c r="K2588" s="2">
        <v>43051</v>
      </c>
      <c r="L2588" s="1">
        <v>3716</v>
      </c>
      <c r="M2588" s="1">
        <v>3.55</v>
      </c>
      <c r="N2588" s="1">
        <v>0.20419999999999999</v>
      </c>
      <c r="O2588" s="3">
        <f>VLOOKUP(D2588,underlying!$D$40:$H$75,5,FALSE)</f>
        <v>-2.5</v>
      </c>
      <c r="P2588" s="4">
        <f t="shared" si="97"/>
        <v>43080</v>
      </c>
      <c r="Q2588" s="7">
        <f>IF(G2588="C",NormalCallSprd(O2588,H2588,M2588,(P2588-A2588)/365), NormalPutSprd(O2588,H2588,M2588,(P2588-A2588)/365))</f>
        <v>1.136342161275989</v>
      </c>
      <c r="R2588" s="9">
        <f t="shared" si="99"/>
        <v>6.3421612759890778E-3</v>
      </c>
    </row>
    <row r="2589" spans="1:18" x14ac:dyDescent="0.2">
      <c r="A2589" s="2">
        <v>42622</v>
      </c>
      <c r="B2589" s="1" t="s">
        <v>56</v>
      </c>
      <c r="C2589" s="1" t="s">
        <v>57</v>
      </c>
      <c r="D2589" s="2">
        <v>42747</v>
      </c>
      <c r="E2589" s="2">
        <f t="shared" si="98"/>
        <v>43070</v>
      </c>
      <c r="F2589" s="1" t="s">
        <v>58</v>
      </c>
      <c r="G2589" s="1" t="s">
        <v>18</v>
      </c>
      <c r="H2589" s="1">
        <v>-1.5</v>
      </c>
      <c r="I2589" s="1">
        <v>2.12</v>
      </c>
      <c r="J2589" s="1">
        <v>0</v>
      </c>
      <c r="K2589" s="2">
        <v>43051</v>
      </c>
      <c r="L2589" s="1">
        <v>3716</v>
      </c>
      <c r="M2589" s="1">
        <v>3.55</v>
      </c>
      <c r="N2589" s="1">
        <v>0.22832</v>
      </c>
      <c r="O2589" s="3">
        <f>VLOOKUP(D2589,underlying!$D$40:$H$75,5,FALSE)</f>
        <v>-2.5</v>
      </c>
      <c r="P2589" s="4">
        <f t="shared" si="97"/>
        <v>43080</v>
      </c>
      <c r="Q2589" s="7">
        <f>IF(G2589="C",NormalCallSprd(O2589,H2589,M2589,(P2589-A2589)/365), NormalPutSprd(O2589,H2589,M2589,(P2589-A2589)/365))</f>
        <v>2.136342161275989</v>
      </c>
      <c r="R2589" s="9">
        <f t="shared" si="99"/>
        <v>1.6342161275988865E-2</v>
      </c>
    </row>
    <row r="2590" spans="1:18" x14ac:dyDescent="0.2">
      <c r="A2590" s="2">
        <v>42622</v>
      </c>
      <c r="B2590" s="1" t="s">
        <v>56</v>
      </c>
      <c r="C2590" s="1" t="s">
        <v>57</v>
      </c>
      <c r="D2590" s="2">
        <v>42747</v>
      </c>
      <c r="E2590" s="2">
        <f t="shared" si="98"/>
        <v>43070</v>
      </c>
      <c r="F2590" s="1" t="s">
        <v>58</v>
      </c>
      <c r="G2590" s="1" t="s">
        <v>16</v>
      </c>
      <c r="H2590" s="1">
        <v>-1.25</v>
      </c>
      <c r="I2590" s="1">
        <v>1.04</v>
      </c>
      <c r="J2590" s="1">
        <v>0</v>
      </c>
      <c r="K2590" s="2">
        <v>43051</v>
      </c>
      <c r="L2590" s="1">
        <v>3716</v>
      </c>
      <c r="M2590" s="1">
        <v>3.57</v>
      </c>
      <c r="N2590" s="1">
        <v>0.25290000000000001</v>
      </c>
      <c r="O2590" s="3">
        <f>VLOOKUP(D2590,underlying!$D$40:$H$75,5,FALSE)</f>
        <v>-2.5</v>
      </c>
      <c r="P2590" s="4">
        <f t="shared" si="97"/>
        <v>43080</v>
      </c>
      <c r="Q2590" s="7">
        <f>IF(G2590="C",NormalCallSprd(O2590,H2590,M2590,(P2590-A2590)/365), NormalPutSprd(O2590,H2590,M2590,(P2590-A2590)/365))</f>
        <v>1.0476905573827353</v>
      </c>
      <c r="R2590" s="9">
        <f t="shared" si="99"/>
        <v>7.6905573827352747E-3</v>
      </c>
    </row>
    <row r="2591" spans="1:18" x14ac:dyDescent="0.2">
      <c r="A2591" s="2">
        <v>42622</v>
      </c>
      <c r="B2591" s="1" t="s">
        <v>56</v>
      </c>
      <c r="C2591" s="1" t="s">
        <v>57</v>
      </c>
      <c r="D2591" s="2">
        <v>42747</v>
      </c>
      <c r="E2591" s="2">
        <f t="shared" si="98"/>
        <v>43070</v>
      </c>
      <c r="F2591" s="1" t="s">
        <v>58</v>
      </c>
      <c r="G2591" s="1" t="s">
        <v>18</v>
      </c>
      <c r="H2591" s="1">
        <v>-1.25</v>
      </c>
      <c r="I2591" s="1">
        <v>2.2799999999999998</v>
      </c>
      <c r="J2591" s="1">
        <v>0</v>
      </c>
      <c r="K2591" s="2">
        <v>43051</v>
      </c>
      <c r="L2591" s="1">
        <v>3716</v>
      </c>
      <c r="M2591" s="1">
        <v>3.57</v>
      </c>
      <c r="N2591" s="1">
        <v>0.28105000000000002</v>
      </c>
      <c r="O2591" s="3">
        <f>VLOOKUP(D2591,underlying!$D$40:$H$75,5,FALSE)</f>
        <v>-2.5</v>
      </c>
      <c r="P2591" s="4">
        <f t="shared" si="97"/>
        <v>43080</v>
      </c>
      <c r="Q2591" s="7">
        <f>IF(G2591="C",NormalCallSprd(O2591,H2591,M2591,(P2591-A2591)/365), NormalPutSprd(O2591,H2591,M2591,(P2591-A2591)/365))</f>
        <v>2.2976905573827353</v>
      </c>
      <c r="R2591" s="9">
        <f t="shared" si="99"/>
        <v>1.7690557382735506E-2</v>
      </c>
    </row>
    <row r="2592" spans="1:18" x14ac:dyDescent="0.2">
      <c r="A2592" s="2">
        <v>42622</v>
      </c>
      <c r="B2592" s="1" t="s">
        <v>56</v>
      </c>
      <c r="C2592" s="1" t="s">
        <v>57</v>
      </c>
      <c r="D2592" s="2">
        <v>42747</v>
      </c>
      <c r="E2592" s="2">
        <f t="shared" si="98"/>
        <v>43070</v>
      </c>
      <c r="F2592" s="1" t="s">
        <v>58</v>
      </c>
      <c r="G2592" s="1" t="s">
        <v>16</v>
      </c>
      <c r="H2592" s="1">
        <v>-1</v>
      </c>
      <c r="I2592" s="1">
        <v>0.94</v>
      </c>
      <c r="J2592" s="1">
        <v>0</v>
      </c>
      <c r="K2592" s="2">
        <v>43051</v>
      </c>
      <c r="L2592" s="1">
        <v>3716</v>
      </c>
      <c r="M2592" s="1">
        <v>3.55</v>
      </c>
      <c r="N2592" s="1">
        <v>0.98863000000000001</v>
      </c>
      <c r="O2592" s="3">
        <f>VLOOKUP(D2592,underlying!$D$40:$H$75,5,FALSE)</f>
        <v>-2.5</v>
      </c>
      <c r="P2592" s="4">
        <f t="shared" si="97"/>
        <v>43080</v>
      </c>
      <c r="Q2592" s="7">
        <f>IF(G2592="C",NormalCallSprd(O2592,H2592,M2592,(P2592-A2592)/365), NormalPutSprd(O2592,H2592,M2592,(P2592-A2592)/365))</f>
        <v>0.94798657678646936</v>
      </c>
      <c r="R2592" s="9">
        <f t="shared" si="99"/>
        <v>7.9865767864694126E-3</v>
      </c>
    </row>
    <row r="2593" spans="1:18" x14ac:dyDescent="0.2">
      <c r="A2593" s="2">
        <v>42622</v>
      </c>
      <c r="B2593" s="1" t="s">
        <v>56</v>
      </c>
      <c r="C2593" s="1" t="s">
        <v>57</v>
      </c>
      <c r="D2593" s="2">
        <v>42747</v>
      </c>
      <c r="E2593" s="2">
        <f t="shared" si="98"/>
        <v>43070</v>
      </c>
      <c r="F2593" s="1" t="s">
        <v>58</v>
      </c>
      <c r="G2593" s="1" t="s">
        <v>18</v>
      </c>
      <c r="H2593" s="1">
        <v>-1</v>
      </c>
      <c r="I2593" s="1">
        <v>2.4300000000000002</v>
      </c>
      <c r="J2593" s="1">
        <v>0</v>
      </c>
      <c r="K2593" s="2">
        <v>43051</v>
      </c>
      <c r="L2593" s="1">
        <v>3716</v>
      </c>
      <c r="M2593" s="1">
        <v>3.55</v>
      </c>
      <c r="N2593" s="1">
        <v>0.30856</v>
      </c>
      <c r="O2593" s="3">
        <f>VLOOKUP(D2593,underlying!$D$40:$H$75,5,FALSE)</f>
        <v>-2.5</v>
      </c>
      <c r="P2593" s="4">
        <f t="shared" si="97"/>
        <v>43080</v>
      </c>
      <c r="Q2593" s="7">
        <f>IF(G2593="C",NormalCallSprd(O2593,H2593,M2593,(P2593-A2593)/365), NormalPutSprd(O2593,H2593,M2593,(P2593-A2593)/365))</f>
        <v>2.4479865767864695</v>
      </c>
      <c r="R2593" s="9">
        <f t="shared" si="99"/>
        <v>1.798657678646931E-2</v>
      </c>
    </row>
    <row r="2594" spans="1:18" x14ac:dyDescent="0.2">
      <c r="A2594" s="2">
        <v>42622</v>
      </c>
      <c r="B2594" s="1" t="s">
        <v>56</v>
      </c>
      <c r="C2594" s="1" t="s">
        <v>57</v>
      </c>
      <c r="D2594" s="2">
        <v>42747</v>
      </c>
      <c r="E2594" s="2">
        <f t="shared" si="98"/>
        <v>43070</v>
      </c>
      <c r="F2594" s="1" t="s">
        <v>58</v>
      </c>
      <c r="G2594" s="1" t="s">
        <v>16</v>
      </c>
      <c r="H2594" s="1">
        <v>-0.75</v>
      </c>
      <c r="I2594" s="1">
        <v>0.86</v>
      </c>
      <c r="J2594" s="1">
        <v>-0.01</v>
      </c>
      <c r="K2594" s="2">
        <v>43051</v>
      </c>
      <c r="L2594" s="1">
        <v>3716</v>
      </c>
      <c r="M2594" s="1">
        <v>3.57</v>
      </c>
      <c r="N2594" s="1">
        <v>0.33903</v>
      </c>
      <c r="O2594" s="3">
        <f>VLOOKUP(D2594,underlying!$D$40:$H$75,5,FALSE)</f>
        <v>-2.5</v>
      </c>
      <c r="P2594" s="4">
        <f t="shared" si="97"/>
        <v>43080</v>
      </c>
      <c r="Q2594" s="7">
        <f>IF(G2594="C",NormalCallSprd(O2594,H2594,M2594,(P2594-A2594)/365), NormalPutSprd(O2594,H2594,M2594,(P2594-A2594)/365))</f>
        <v>0.87074697604959927</v>
      </c>
      <c r="R2594" s="9">
        <f t="shared" si="99"/>
        <v>1.0746976049599288E-2</v>
      </c>
    </row>
    <row r="2595" spans="1:18" x14ac:dyDescent="0.2">
      <c r="A2595" s="2">
        <v>42622</v>
      </c>
      <c r="B2595" s="1" t="s">
        <v>56</v>
      </c>
      <c r="C2595" s="1" t="s">
        <v>57</v>
      </c>
      <c r="D2595" s="2">
        <v>42747</v>
      </c>
      <c r="E2595" s="2">
        <f t="shared" si="98"/>
        <v>43070</v>
      </c>
      <c r="F2595" s="1" t="s">
        <v>58</v>
      </c>
      <c r="G2595" s="1" t="s">
        <v>18</v>
      </c>
      <c r="H2595" s="1">
        <v>-0.75</v>
      </c>
      <c r="I2595" s="1">
        <v>2.6</v>
      </c>
      <c r="J2595" s="1">
        <v>0</v>
      </c>
      <c r="K2595" s="2">
        <v>43051</v>
      </c>
      <c r="L2595" s="1">
        <v>3716</v>
      </c>
      <c r="M2595" s="1">
        <v>3.57</v>
      </c>
      <c r="N2595" s="1">
        <v>0.36899999999999999</v>
      </c>
      <c r="O2595" s="3">
        <f>VLOOKUP(D2595,underlying!$D$40:$H$75,5,FALSE)</f>
        <v>-2.5</v>
      </c>
      <c r="P2595" s="4">
        <f t="shared" si="97"/>
        <v>43080</v>
      </c>
      <c r="Q2595" s="7">
        <f>IF(G2595="C",NormalCallSprd(O2595,H2595,M2595,(P2595-A2595)/365), NormalPutSprd(O2595,H2595,M2595,(P2595-A2595)/365))</f>
        <v>2.6207469760495994</v>
      </c>
      <c r="R2595" s="9">
        <f t="shared" si="99"/>
        <v>2.0746976049599297E-2</v>
      </c>
    </row>
    <row r="2596" spans="1:18" x14ac:dyDescent="0.2">
      <c r="A2596" s="2">
        <v>42622</v>
      </c>
      <c r="B2596" s="1" t="s">
        <v>56</v>
      </c>
      <c r="C2596" s="1" t="s">
        <v>57</v>
      </c>
      <c r="D2596" s="2">
        <v>42747</v>
      </c>
      <c r="E2596" s="2">
        <f t="shared" si="98"/>
        <v>43070</v>
      </c>
      <c r="F2596" s="1" t="s">
        <v>58</v>
      </c>
      <c r="G2596" s="1" t="s">
        <v>16</v>
      </c>
      <c r="H2596" s="1">
        <v>-0.5</v>
      </c>
      <c r="I2596" s="1">
        <v>0.78</v>
      </c>
      <c r="J2596" s="1">
        <v>0</v>
      </c>
      <c r="K2596" s="2">
        <v>43051</v>
      </c>
      <c r="L2596" s="1">
        <v>3716</v>
      </c>
      <c r="M2596" s="1">
        <v>3.55</v>
      </c>
      <c r="N2596" s="1">
        <v>0.40083000000000002</v>
      </c>
      <c r="O2596" s="3">
        <f>VLOOKUP(D2596,underlying!$D$40:$H$75,5,FALSE)</f>
        <v>-2.5</v>
      </c>
      <c r="P2596" s="4">
        <f t="shared" si="97"/>
        <v>43080</v>
      </c>
      <c r="Q2596" s="7">
        <f>IF(G2596="C",NormalCallSprd(O2596,H2596,M2596,(P2596-A2596)/365), NormalPutSprd(O2596,H2596,M2596,(P2596-A2596)/365))</f>
        <v>0.7829628150899226</v>
      </c>
      <c r="R2596" s="9">
        <f t="shared" si="99"/>
        <v>2.9628150899225769E-3</v>
      </c>
    </row>
    <row r="2597" spans="1:18" x14ac:dyDescent="0.2">
      <c r="A2597" s="2">
        <v>42622</v>
      </c>
      <c r="B2597" s="1" t="s">
        <v>56</v>
      </c>
      <c r="C2597" s="1" t="s">
        <v>57</v>
      </c>
      <c r="D2597" s="2">
        <v>42747</v>
      </c>
      <c r="E2597" s="2">
        <f t="shared" si="98"/>
        <v>43070</v>
      </c>
      <c r="F2597" s="1" t="s">
        <v>58</v>
      </c>
      <c r="G2597" s="1" t="s">
        <v>18</v>
      </c>
      <c r="H2597" s="1">
        <v>-0.5</v>
      </c>
      <c r="I2597" s="1">
        <v>2.76</v>
      </c>
      <c r="J2597" s="1">
        <v>0</v>
      </c>
      <c r="K2597" s="2">
        <v>43051</v>
      </c>
      <c r="L2597" s="1">
        <v>3716</v>
      </c>
      <c r="M2597" s="1">
        <v>3.55</v>
      </c>
      <c r="N2597" s="1">
        <v>0.433</v>
      </c>
      <c r="O2597" s="3">
        <f>VLOOKUP(D2597,underlying!$D$40:$H$75,5,FALSE)</f>
        <v>-2.5</v>
      </c>
      <c r="P2597" s="4">
        <f t="shared" si="97"/>
        <v>43080</v>
      </c>
      <c r="Q2597" s="7">
        <f>IF(G2597="C",NormalCallSprd(O2597,H2597,M2597,(P2597-A2597)/365), NormalPutSprd(O2597,H2597,M2597,(P2597-A2597)/365))</f>
        <v>2.7829628150899226</v>
      </c>
      <c r="R2597" s="9">
        <f t="shared" si="99"/>
        <v>2.2962815089922817E-2</v>
      </c>
    </row>
    <row r="2598" spans="1:18" x14ac:dyDescent="0.2">
      <c r="A2598" s="2">
        <v>42622</v>
      </c>
      <c r="B2598" s="1" t="s">
        <v>56</v>
      </c>
      <c r="C2598" s="1" t="s">
        <v>57</v>
      </c>
      <c r="D2598" s="2">
        <v>42747</v>
      </c>
      <c r="E2598" s="2">
        <f t="shared" si="98"/>
        <v>43070</v>
      </c>
      <c r="F2598" s="1" t="s">
        <v>58</v>
      </c>
      <c r="G2598" s="1" t="s">
        <v>16</v>
      </c>
      <c r="H2598" s="1">
        <v>-0.25</v>
      </c>
      <c r="I2598" s="1">
        <v>0.71</v>
      </c>
      <c r="J2598" s="1">
        <v>0</v>
      </c>
      <c r="K2598" s="2">
        <v>43051</v>
      </c>
      <c r="L2598" s="1">
        <v>3716</v>
      </c>
      <c r="M2598" s="1">
        <v>3.57</v>
      </c>
      <c r="N2598" s="1">
        <v>0.4657</v>
      </c>
      <c r="O2598" s="3">
        <f>VLOOKUP(D2598,underlying!$D$40:$H$75,5,FALSE)</f>
        <v>-2.5</v>
      </c>
      <c r="P2598" s="4">
        <f t="shared" si="97"/>
        <v>43080</v>
      </c>
      <c r="Q2598" s="7">
        <f>IF(G2598="C",NormalCallSprd(O2598,H2598,M2598,(P2598-A2598)/365), NormalPutSprd(O2598,H2598,M2598,(P2598-A2598)/365))</f>
        <v>0.71644227362366908</v>
      </c>
      <c r="R2598" s="9">
        <f t="shared" si="99"/>
        <v>6.4422736236691147E-3</v>
      </c>
    </row>
    <row r="2599" spans="1:18" x14ac:dyDescent="0.2">
      <c r="A2599" s="2">
        <v>42622</v>
      </c>
      <c r="B2599" s="1" t="s">
        <v>56</v>
      </c>
      <c r="C2599" s="1" t="s">
        <v>57</v>
      </c>
      <c r="D2599" s="2">
        <v>42747</v>
      </c>
      <c r="E2599" s="2">
        <f t="shared" si="98"/>
        <v>43070</v>
      </c>
      <c r="F2599" s="1" t="s">
        <v>58</v>
      </c>
      <c r="G2599" s="1" t="s">
        <v>18</v>
      </c>
      <c r="H2599" s="1">
        <v>-0.25</v>
      </c>
      <c r="I2599" s="1">
        <v>2.94</v>
      </c>
      <c r="J2599" s="1">
        <v>-0.01</v>
      </c>
      <c r="K2599" s="2">
        <v>43051</v>
      </c>
      <c r="L2599" s="1">
        <v>3716</v>
      </c>
      <c r="M2599" s="1">
        <v>3.57</v>
      </c>
      <c r="N2599" s="1">
        <v>0.49845</v>
      </c>
      <c r="O2599" s="3">
        <f>VLOOKUP(D2599,underlying!$D$40:$H$75,5,FALSE)</f>
        <v>-2.5</v>
      </c>
      <c r="P2599" s="4">
        <f t="shared" si="97"/>
        <v>43080</v>
      </c>
      <c r="Q2599" s="7">
        <f>IF(G2599="C",NormalCallSprd(O2599,H2599,M2599,(P2599-A2599)/365), NormalPutSprd(O2599,H2599,M2599,(P2599-A2599)/365))</f>
        <v>2.9664422736236693</v>
      </c>
      <c r="R2599" s="9">
        <f t="shared" si="99"/>
        <v>2.6442273623669355E-2</v>
      </c>
    </row>
    <row r="2600" spans="1:18" x14ac:dyDescent="0.2">
      <c r="A2600" s="2">
        <v>42622</v>
      </c>
      <c r="B2600" s="1" t="s">
        <v>56</v>
      </c>
      <c r="C2600" s="1" t="s">
        <v>57</v>
      </c>
      <c r="D2600" s="2">
        <v>43101</v>
      </c>
      <c r="E2600" s="2">
        <f t="shared" si="98"/>
        <v>43101</v>
      </c>
      <c r="F2600" s="1" t="s">
        <v>58</v>
      </c>
      <c r="G2600" s="1" t="s">
        <v>16</v>
      </c>
      <c r="H2600" s="1">
        <v>-9</v>
      </c>
      <c r="I2600" s="1">
        <v>6.08</v>
      </c>
      <c r="J2600" s="1">
        <v>0</v>
      </c>
      <c r="K2600" s="2">
        <v>43374</v>
      </c>
      <c r="L2600" s="1">
        <v>3716</v>
      </c>
      <c r="M2600" s="1">
        <v>3.52</v>
      </c>
      <c r="N2600" s="1">
        <v>0.53120000000000001</v>
      </c>
      <c r="O2600" s="3">
        <f>VLOOKUP(D2600,underlying!$D$40:$H$75,5,FALSE)</f>
        <v>-3</v>
      </c>
      <c r="P2600" s="4">
        <f t="shared" si="97"/>
        <v>43110</v>
      </c>
      <c r="Q2600" s="7">
        <f>IF(G2600="C",NormalCallSprd(O2600,H2600,M2600,(P2600-A2600)/365), NormalPutSprd(O2600,H2600,M2600,(P2600-A2600)/365))</f>
        <v>6.1264859021124085</v>
      </c>
      <c r="R2600" s="9">
        <f t="shared" si="99"/>
        <v>4.6485902112408439E-2</v>
      </c>
    </row>
    <row r="2601" spans="1:18" x14ac:dyDescent="0.2">
      <c r="A2601" s="2">
        <v>42622</v>
      </c>
      <c r="B2601" s="1" t="s">
        <v>56</v>
      </c>
      <c r="C2601" s="1" t="s">
        <v>57</v>
      </c>
      <c r="D2601" s="2">
        <v>43101</v>
      </c>
      <c r="E2601" s="2">
        <f t="shared" si="98"/>
        <v>43101</v>
      </c>
      <c r="F2601" s="1" t="s">
        <v>58</v>
      </c>
      <c r="G2601" s="1" t="s">
        <v>18</v>
      </c>
      <c r="H2601" s="1">
        <v>-9</v>
      </c>
      <c r="I2601" s="1">
        <v>0.13</v>
      </c>
      <c r="J2601" s="1">
        <v>0</v>
      </c>
      <c r="K2601" s="2">
        <v>43374</v>
      </c>
      <c r="L2601" s="1">
        <v>3716</v>
      </c>
      <c r="M2601" s="1">
        <v>3.52</v>
      </c>
      <c r="N2601" s="1">
        <v>0.56389999999999996</v>
      </c>
      <c r="O2601" s="3">
        <f>VLOOKUP(D2601,underlying!$D$40:$H$75,5,FALSE)</f>
        <v>-3</v>
      </c>
      <c r="P2601" s="4">
        <f t="shared" si="97"/>
        <v>43110</v>
      </c>
      <c r="Q2601" s="7">
        <f>IF(G2601="C",NormalCallSprd(O2601,H2601,M2601,(P2601-A2601)/365), NormalPutSprd(O2601,H2601,M2601,(P2601-A2601)/365))</f>
        <v>0.12648590211240832</v>
      </c>
      <c r="R2601" s="9">
        <f t="shared" si="99"/>
        <v>3.5140978875916884E-3</v>
      </c>
    </row>
    <row r="2602" spans="1:18" x14ac:dyDescent="0.2">
      <c r="A2602" s="2">
        <v>42622</v>
      </c>
      <c r="B2602" s="1" t="s">
        <v>56</v>
      </c>
      <c r="C2602" s="1" t="s">
        <v>57</v>
      </c>
      <c r="D2602" s="2">
        <v>43101</v>
      </c>
      <c r="E2602" s="2">
        <f t="shared" si="98"/>
        <v>43101</v>
      </c>
      <c r="F2602" s="1" t="s">
        <v>58</v>
      </c>
      <c r="G2602" s="1" t="s">
        <v>16</v>
      </c>
      <c r="H2602" s="1">
        <v>-8</v>
      </c>
      <c r="I2602" s="1">
        <v>5.17</v>
      </c>
      <c r="J2602" s="1">
        <v>-0.01</v>
      </c>
      <c r="K2602" s="2">
        <v>43374</v>
      </c>
      <c r="L2602" s="1">
        <v>3716</v>
      </c>
      <c r="M2602" s="1">
        <v>3.53</v>
      </c>
      <c r="N2602" s="1">
        <v>0.59606999999999999</v>
      </c>
      <c r="O2602" s="3">
        <f>VLOOKUP(D2602,underlying!$D$40:$H$75,5,FALSE)</f>
        <v>-3</v>
      </c>
      <c r="P2602" s="4">
        <f t="shared" si="97"/>
        <v>43110</v>
      </c>
      <c r="Q2602" s="7">
        <f>IF(G2602="C",NormalCallSprd(O2602,H2602,M2602,(P2602-A2602)/365), NormalPutSprd(O2602,H2602,M2602,(P2602-A2602)/365))</f>
        <v>5.2175005645495194</v>
      </c>
      <c r="R2602" s="9">
        <f t="shared" si="99"/>
        <v>4.7500564549519453E-2</v>
      </c>
    </row>
    <row r="2603" spans="1:18" x14ac:dyDescent="0.2">
      <c r="A2603" s="2">
        <v>42622</v>
      </c>
      <c r="B2603" s="1" t="s">
        <v>56</v>
      </c>
      <c r="C2603" s="1" t="s">
        <v>57</v>
      </c>
      <c r="D2603" s="2">
        <v>43101</v>
      </c>
      <c r="E2603" s="2">
        <f t="shared" si="98"/>
        <v>43101</v>
      </c>
      <c r="F2603" s="1" t="s">
        <v>58</v>
      </c>
      <c r="G2603" s="1" t="s">
        <v>18</v>
      </c>
      <c r="H2603" s="1">
        <v>-8</v>
      </c>
      <c r="I2603" s="1">
        <v>0.22</v>
      </c>
      <c r="J2603" s="1">
        <v>0</v>
      </c>
      <c r="K2603" s="2">
        <v>43374</v>
      </c>
      <c r="L2603" s="1">
        <v>3716</v>
      </c>
      <c r="M2603" s="1">
        <v>3.53</v>
      </c>
      <c r="N2603" s="1">
        <v>0.62790000000000001</v>
      </c>
      <c r="O2603" s="3">
        <f>VLOOKUP(D2603,underlying!$D$40:$H$75,5,FALSE)</f>
        <v>-3</v>
      </c>
      <c r="P2603" s="4">
        <f t="shared" si="97"/>
        <v>43110</v>
      </c>
      <c r="Q2603" s="7">
        <f>IF(G2603="C",NormalCallSprd(O2603,H2603,M2603,(P2603-A2603)/365), NormalPutSprd(O2603,H2603,M2603,(P2603-A2603)/365))</f>
        <v>0.21750056454951941</v>
      </c>
      <c r="R2603" s="9">
        <f t="shared" si="99"/>
        <v>2.4994354504805916E-3</v>
      </c>
    </row>
    <row r="2604" spans="1:18" x14ac:dyDescent="0.2">
      <c r="A2604" s="2">
        <v>42622</v>
      </c>
      <c r="B2604" s="1" t="s">
        <v>56</v>
      </c>
      <c r="C2604" s="1" t="s">
        <v>57</v>
      </c>
      <c r="D2604" s="2">
        <v>43101</v>
      </c>
      <c r="E2604" s="2">
        <f t="shared" si="98"/>
        <v>43101</v>
      </c>
      <c r="F2604" s="1" t="s">
        <v>58</v>
      </c>
      <c r="G2604" s="1" t="s">
        <v>16</v>
      </c>
      <c r="H2604" s="1">
        <v>-7</v>
      </c>
      <c r="I2604" s="1">
        <v>4.32</v>
      </c>
      <c r="J2604" s="1">
        <v>0</v>
      </c>
      <c r="K2604" s="2">
        <v>43374</v>
      </c>
      <c r="L2604" s="1">
        <v>3716</v>
      </c>
      <c r="M2604" s="1">
        <v>3.54</v>
      </c>
      <c r="N2604" s="1">
        <v>0.65786999999999995</v>
      </c>
      <c r="O2604" s="3">
        <f>VLOOKUP(D2604,underlying!$D$40:$H$75,5,FALSE)</f>
        <v>-3</v>
      </c>
      <c r="P2604" s="4">
        <f t="shared" si="97"/>
        <v>43110</v>
      </c>
      <c r="Q2604" s="7">
        <f>IF(G2604="C",NormalCallSprd(O2604,H2604,M2604,(P2604-A2604)/365), NormalPutSprd(O2604,H2604,M2604,(P2604-A2604)/365))</f>
        <v>4.3560810532227956</v>
      </c>
      <c r="R2604" s="9">
        <f t="shared" si="99"/>
        <v>3.6081053222795312E-2</v>
      </c>
    </row>
    <row r="2605" spans="1:18" x14ac:dyDescent="0.2">
      <c r="A2605" s="2">
        <v>42622</v>
      </c>
      <c r="B2605" s="1" t="s">
        <v>56</v>
      </c>
      <c r="C2605" s="1" t="s">
        <v>57</v>
      </c>
      <c r="D2605" s="2">
        <v>43101</v>
      </c>
      <c r="E2605" s="2">
        <f t="shared" si="98"/>
        <v>43101</v>
      </c>
      <c r="F2605" s="1" t="s">
        <v>58</v>
      </c>
      <c r="G2605" s="1" t="s">
        <v>18</v>
      </c>
      <c r="H2605" s="1">
        <v>-7</v>
      </c>
      <c r="I2605" s="1">
        <v>0.35</v>
      </c>
      <c r="J2605" s="1">
        <v>0</v>
      </c>
      <c r="K2605" s="2">
        <v>43374</v>
      </c>
      <c r="L2605" s="1">
        <v>3716</v>
      </c>
      <c r="M2605" s="1">
        <v>3.54</v>
      </c>
      <c r="N2605" s="1">
        <v>0.68833999999999995</v>
      </c>
      <c r="O2605" s="3">
        <f>VLOOKUP(D2605,underlying!$D$40:$H$75,5,FALSE)</f>
        <v>-3</v>
      </c>
      <c r="P2605" s="4">
        <f t="shared" si="97"/>
        <v>43110</v>
      </c>
      <c r="Q2605" s="7">
        <f>IF(G2605="C",NormalCallSprd(O2605,H2605,M2605,(P2605-A2605)/365), NormalPutSprd(O2605,H2605,M2605,(P2605-A2605)/365))</f>
        <v>0.35608105322279493</v>
      </c>
      <c r="R2605" s="9">
        <f t="shared" si="99"/>
        <v>6.0810532227949521E-3</v>
      </c>
    </row>
    <row r="2606" spans="1:18" x14ac:dyDescent="0.2">
      <c r="A2606" s="2">
        <v>42622</v>
      </c>
      <c r="B2606" s="1" t="s">
        <v>56</v>
      </c>
      <c r="C2606" s="1" t="s">
        <v>57</v>
      </c>
      <c r="D2606" s="2">
        <v>43101</v>
      </c>
      <c r="E2606" s="2">
        <f t="shared" si="98"/>
        <v>43101</v>
      </c>
      <c r="F2606" s="1" t="s">
        <v>58</v>
      </c>
      <c r="G2606" s="1" t="s">
        <v>16</v>
      </c>
      <c r="H2606" s="1">
        <v>-6.25</v>
      </c>
      <c r="I2606" s="1">
        <v>3.72</v>
      </c>
      <c r="J2606" s="1">
        <v>0</v>
      </c>
      <c r="K2606" s="2">
        <v>43374</v>
      </c>
      <c r="L2606" s="1">
        <v>3716</v>
      </c>
      <c r="M2606" s="1">
        <v>3.54</v>
      </c>
      <c r="N2606" s="1">
        <v>0.71584999999999999</v>
      </c>
      <c r="O2606" s="3">
        <f>VLOOKUP(D2606,underlying!$D$40:$H$75,5,FALSE)</f>
        <v>-3</v>
      </c>
      <c r="P2606" s="4">
        <f t="shared" si="97"/>
        <v>43110</v>
      </c>
      <c r="Q2606" s="7">
        <f>IF(G2606="C",NormalCallSprd(O2606,H2606,M2606,(P2606-A2606)/365), NormalPutSprd(O2606,H2606,M2606,(P2606-A2606)/365))</f>
        <v>3.747267155070972</v>
      </c>
      <c r="R2606" s="9">
        <f t="shared" si="99"/>
        <v>2.7267155070971771E-2</v>
      </c>
    </row>
    <row r="2607" spans="1:18" x14ac:dyDescent="0.2">
      <c r="A2607" s="2">
        <v>42622</v>
      </c>
      <c r="B2607" s="1" t="s">
        <v>56</v>
      </c>
      <c r="C2607" s="1" t="s">
        <v>57</v>
      </c>
      <c r="D2607" s="2">
        <v>43101</v>
      </c>
      <c r="E2607" s="2">
        <f t="shared" si="98"/>
        <v>43101</v>
      </c>
      <c r="F2607" s="1" t="s">
        <v>58</v>
      </c>
      <c r="G2607" s="1" t="s">
        <v>18</v>
      </c>
      <c r="H2607" s="1">
        <v>-6.25</v>
      </c>
      <c r="I2607" s="1">
        <v>0.49</v>
      </c>
      <c r="J2607" s="1">
        <v>0</v>
      </c>
      <c r="K2607" s="2">
        <v>43374</v>
      </c>
      <c r="L2607" s="1">
        <v>3716</v>
      </c>
      <c r="M2607" s="1">
        <v>3.54</v>
      </c>
      <c r="N2607" s="1">
        <v>0.74399999999999999</v>
      </c>
      <c r="O2607" s="3">
        <f>VLOOKUP(D2607,underlying!$D$40:$H$75,5,FALSE)</f>
        <v>-3</v>
      </c>
      <c r="P2607" s="4">
        <f t="shared" si="97"/>
        <v>43110</v>
      </c>
      <c r="Q2607" s="7">
        <f>IF(G2607="C",NormalCallSprd(O2607,H2607,M2607,(P2607-A2607)/365), NormalPutSprd(O2607,H2607,M2607,(P2607-A2607)/365))</f>
        <v>0.49726715507097224</v>
      </c>
      <c r="R2607" s="9">
        <f t="shared" si="99"/>
        <v>7.2671550709722532E-3</v>
      </c>
    </row>
    <row r="2608" spans="1:18" x14ac:dyDescent="0.2">
      <c r="A2608" s="2">
        <v>42622</v>
      </c>
      <c r="B2608" s="1" t="s">
        <v>56</v>
      </c>
      <c r="C2608" s="1" t="s">
        <v>57</v>
      </c>
      <c r="D2608" s="2">
        <v>43101</v>
      </c>
      <c r="E2608" s="2">
        <f t="shared" si="98"/>
        <v>43101</v>
      </c>
      <c r="F2608" s="1" t="s">
        <v>58</v>
      </c>
      <c r="G2608" s="1" t="s">
        <v>16</v>
      </c>
      <c r="H2608" s="1">
        <v>-6</v>
      </c>
      <c r="I2608" s="1">
        <v>3.52</v>
      </c>
      <c r="J2608" s="1">
        <v>-0.01</v>
      </c>
      <c r="K2608" s="2">
        <v>43374</v>
      </c>
      <c r="L2608" s="1">
        <v>3716</v>
      </c>
      <c r="M2608" s="1">
        <v>3.54</v>
      </c>
      <c r="N2608" s="1">
        <v>0.76858000000000004</v>
      </c>
      <c r="O2608" s="3">
        <f>VLOOKUP(D2608,underlying!$D$40:$H$75,5,FALSE)</f>
        <v>-3</v>
      </c>
      <c r="P2608" s="4">
        <f t="shared" si="97"/>
        <v>43110</v>
      </c>
      <c r="Q2608" s="7">
        <f>IF(G2608="C",NormalCallSprd(O2608,H2608,M2608,(P2608-A2608)/365), NormalPutSprd(O2608,H2608,M2608,(P2608-A2608)/365))</f>
        <v>3.5529250296564032</v>
      </c>
      <c r="R2608" s="9">
        <f t="shared" si="99"/>
        <v>3.2925029656403204E-2</v>
      </c>
    </row>
    <row r="2609" spans="1:18" x14ac:dyDescent="0.2">
      <c r="A2609" s="2">
        <v>42622</v>
      </c>
      <c r="B2609" s="1" t="s">
        <v>56</v>
      </c>
      <c r="C2609" s="1" t="s">
        <v>57</v>
      </c>
      <c r="D2609" s="2">
        <v>43101</v>
      </c>
      <c r="E2609" s="2">
        <f t="shared" si="98"/>
        <v>43101</v>
      </c>
      <c r="F2609" s="1" t="s">
        <v>58</v>
      </c>
      <c r="G2609" s="1" t="s">
        <v>18</v>
      </c>
      <c r="H2609" s="1">
        <v>-6</v>
      </c>
      <c r="I2609" s="1">
        <v>0.55000000000000004</v>
      </c>
      <c r="J2609" s="1">
        <v>0</v>
      </c>
      <c r="K2609" s="2">
        <v>43374</v>
      </c>
      <c r="L2609" s="1">
        <v>3716</v>
      </c>
      <c r="M2609" s="1">
        <v>3.54</v>
      </c>
      <c r="N2609" s="1">
        <v>0.79269999999999996</v>
      </c>
      <c r="O2609" s="3">
        <f>VLOOKUP(D2609,underlying!$D$40:$H$75,5,FALSE)</f>
        <v>-3</v>
      </c>
      <c r="P2609" s="4">
        <f t="shared" si="97"/>
        <v>43110</v>
      </c>
      <c r="Q2609" s="7">
        <f>IF(G2609="C",NormalCallSprd(O2609,H2609,M2609,(P2609-A2609)/365), NormalPutSprd(O2609,H2609,M2609,(P2609-A2609)/365))</f>
        <v>0.55292502965640322</v>
      </c>
      <c r="R2609" s="9">
        <f t="shared" si="99"/>
        <v>2.9250296564031775E-3</v>
      </c>
    </row>
    <row r="2610" spans="1:18" x14ac:dyDescent="0.2">
      <c r="A2610" s="2">
        <v>42622</v>
      </c>
      <c r="B2610" s="1" t="s">
        <v>56</v>
      </c>
      <c r="C2610" s="1" t="s">
        <v>57</v>
      </c>
      <c r="D2610" s="2">
        <v>43101</v>
      </c>
      <c r="E2610" s="2">
        <f t="shared" si="98"/>
        <v>43101</v>
      </c>
      <c r="F2610" s="1" t="s">
        <v>58</v>
      </c>
      <c r="G2610" s="1" t="s">
        <v>16</v>
      </c>
      <c r="H2610" s="1">
        <v>-5.75</v>
      </c>
      <c r="I2610" s="1">
        <v>3.34</v>
      </c>
      <c r="J2610" s="1">
        <v>0</v>
      </c>
      <c r="K2610" s="2">
        <v>43374</v>
      </c>
      <c r="L2610" s="1">
        <v>3716</v>
      </c>
      <c r="M2610" s="1">
        <v>3.54</v>
      </c>
      <c r="N2610" s="1">
        <v>0.81523999999999996</v>
      </c>
      <c r="O2610" s="3">
        <f>VLOOKUP(D2610,underlying!$D$40:$H$75,5,FALSE)</f>
        <v>-3</v>
      </c>
      <c r="P2610" s="4">
        <f t="shared" si="97"/>
        <v>43110</v>
      </c>
      <c r="Q2610" s="7">
        <f>IF(G2610="C",NormalCallSprd(O2610,H2610,M2610,(P2610-A2610)/365), NormalPutSprd(O2610,H2610,M2610,(P2610-A2610)/365))</f>
        <v>3.3632389431616718</v>
      </c>
      <c r="R2610" s="9">
        <f t="shared" si="99"/>
        <v>2.3238943161671965E-2</v>
      </c>
    </row>
    <row r="2611" spans="1:18" x14ac:dyDescent="0.2">
      <c r="A2611" s="2">
        <v>42622</v>
      </c>
      <c r="B2611" s="1" t="s">
        <v>56</v>
      </c>
      <c r="C2611" s="1" t="s">
        <v>57</v>
      </c>
      <c r="D2611" s="2">
        <v>43101</v>
      </c>
      <c r="E2611" s="2">
        <f t="shared" si="98"/>
        <v>43101</v>
      </c>
      <c r="F2611" s="1" t="s">
        <v>58</v>
      </c>
      <c r="G2611" s="1" t="s">
        <v>18</v>
      </c>
      <c r="H2611" s="1">
        <v>-5.75</v>
      </c>
      <c r="I2611" s="1">
        <v>0.61</v>
      </c>
      <c r="J2611" s="1">
        <v>0</v>
      </c>
      <c r="K2611" s="2">
        <v>43374</v>
      </c>
      <c r="L2611" s="1">
        <v>3716</v>
      </c>
      <c r="M2611" s="1">
        <v>3.54</v>
      </c>
      <c r="N2611" s="1">
        <v>0.83616000000000001</v>
      </c>
      <c r="O2611" s="3">
        <f>VLOOKUP(D2611,underlying!$D$40:$H$75,5,FALSE)</f>
        <v>-3</v>
      </c>
      <c r="P2611" s="4">
        <f t="shared" si="97"/>
        <v>43110</v>
      </c>
      <c r="Q2611" s="7">
        <f>IF(G2611="C",NormalCallSprd(O2611,H2611,M2611,(P2611-A2611)/365), NormalPutSprd(O2611,H2611,M2611,(P2611-A2611)/365))</f>
        <v>0.61323894316167205</v>
      </c>
      <c r="R2611" s="9">
        <f t="shared" si="99"/>
        <v>3.2389431616720588E-3</v>
      </c>
    </row>
    <row r="2612" spans="1:18" x14ac:dyDescent="0.2">
      <c r="A2612" s="2">
        <v>42622</v>
      </c>
      <c r="B2612" s="1" t="s">
        <v>56</v>
      </c>
      <c r="C2612" s="1" t="s">
        <v>57</v>
      </c>
      <c r="D2612" s="2">
        <v>43101</v>
      </c>
      <c r="E2612" s="2">
        <f t="shared" si="98"/>
        <v>43101</v>
      </c>
      <c r="F2612" s="1" t="s">
        <v>58</v>
      </c>
      <c r="G2612" s="1" t="s">
        <v>16</v>
      </c>
      <c r="H2612" s="1">
        <v>-5.5</v>
      </c>
      <c r="I2612" s="1">
        <v>3.15</v>
      </c>
      <c r="J2612" s="1">
        <v>0</v>
      </c>
      <c r="K2612" s="2">
        <v>43374</v>
      </c>
      <c r="L2612" s="1">
        <v>3716</v>
      </c>
      <c r="M2612" s="1">
        <v>3.54</v>
      </c>
      <c r="N2612" s="1">
        <v>0.85543999999999998</v>
      </c>
      <c r="O2612" s="3">
        <f>VLOOKUP(D2612,underlying!$D$40:$H$75,5,FALSE)</f>
        <v>-3</v>
      </c>
      <c r="P2612" s="4">
        <f t="shared" si="97"/>
        <v>43110</v>
      </c>
      <c r="Q2612" s="7">
        <f>IF(G2612="C",NormalCallSprd(O2612,H2612,M2612,(P2612-A2612)/365), NormalPutSprd(O2612,H2612,M2612,(P2612-A2612)/365))</f>
        <v>3.1784128503348992</v>
      </c>
      <c r="R2612" s="9">
        <f t="shared" si="99"/>
        <v>2.8412850334899264E-2</v>
      </c>
    </row>
    <row r="2613" spans="1:18" x14ac:dyDescent="0.2">
      <c r="A2613" s="2">
        <v>42622</v>
      </c>
      <c r="B2613" s="1" t="s">
        <v>56</v>
      </c>
      <c r="C2613" s="1" t="s">
        <v>57</v>
      </c>
      <c r="D2613" s="2">
        <v>43101</v>
      </c>
      <c r="E2613" s="2">
        <f t="shared" si="98"/>
        <v>43101</v>
      </c>
      <c r="F2613" s="1" t="s">
        <v>58</v>
      </c>
      <c r="G2613" s="1" t="s">
        <v>18</v>
      </c>
      <c r="H2613" s="1">
        <v>-5.5</v>
      </c>
      <c r="I2613" s="1">
        <v>0.67</v>
      </c>
      <c r="J2613" s="1">
        <v>0</v>
      </c>
      <c r="K2613" s="2">
        <v>43374</v>
      </c>
      <c r="L2613" s="1">
        <v>3716</v>
      </c>
      <c r="M2613" s="1">
        <v>3.54</v>
      </c>
      <c r="N2613" s="1">
        <v>0.87309000000000003</v>
      </c>
      <c r="O2613" s="3">
        <f>VLOOKUP(D2613,underlying!$D$40:$H$75,5,FALSE)</f>
        <v>-3</v>
      </c>
      <c r="P2613" s="4">
        <f t="shared" si="97"/>
        <v>43110</v>
      </c>
      <c r="Q2613" s="7">
        <f>IF(G2613="C",NormalCallSprd(O2613,H2613,M2613,(P2613-A2613)/365), NormalPutSprd(O2613,H2613,M2613,(P2613-A2613)/365))</f>
        <v>0.67841285033489918</v>
      </c>
      <c r="R2613" s="9">
        <f t="shared" si="99"/>
        <v>8.4128503348991357E-3</v>
      </c>
    </row>
    <row r="2614" spans="1:18" x14ac:dyDescent="0.2">
      <c r="A2614" s="2">
        <v>42622</v>
      </c>
      <c r="B2614" s="1" t="s">
        <v>56</v>
      </c>
      <c r="C2614" s="1" t="s">
        <v>57</v>
      </c>
      <c r="D2614" s="2">
        <v>43101</v>
      </c>
      <c r="E2614" s="2">
        <f t="shared" si="98"/>
        <v>43101</v>
      </c>
      <c r="F2614" s="1" t="s">
        <v>58</v>
      </c>
      <c r="G2614" s="1" t="s">
        <v>16</v>
      </c>
      <c r="H2614" s="1">
        <v>-5.25</v>
      </c>
      <c r="I2614" s="1">
        <v>2.97</v>
      </c>
      <c r="J2614" s="1">
        <v>-0.01</v>
      </c>
      <c r="K2614" s="2">
        <v>43374</v>
      </c>
      <c r="L2614" s="1">
        <v>3716</v>
      </c>
      <c r="M2614" s="1">
        <v>3.54</v>
      </c>
      <c r="N2614" s="1">
        <v>0.88914000000000004</v>
      </c>
      <c r="O2614" s="3">
        <f>VLOOKUP(D2614,underlying!$D$40:$H$75,5,FALSE)</f>
        <v>-3</v>
      </c>
      <c r="P2614" s="4">
        <f t="shared" si="97"/>
        <v>43110</v>
      </c>
      <c r="Q2614" s="7">
        <f>IF(G2614="C",NormalCallSprd(O2614,H2614,M2614,(P2614-A2614)/365), NormalPutSprd(O2614,H2614,M2614,(P2614-A2614)/365))</f>
        <v>2.9986407635011045</v>
      </c>
      <c r="R2614" s="9">
        <f t="shared" si="99"/>
        <v>2.8640763501104338E-2</v>
      </c>
    </row>
    <row r="2615" spans="1:18" x14ac:dyDescent="0.2">
      <c r="A2615" s="2">
        <v>42622</v>
      </c>
      <c r="B2615" s="1" t="s">
        <v>56</v>
      </c>
      <c r="C2615" s="1" t="s">
        <v>57</v>
      </c>
      <c r="D2615" s="2">
        <v>43101</v>
      </c>
      <c r="E2615" s="2">
        <f t="shared" si="98"/>
        <v>43101</v>
      </c>
      <c r="F2615" s="1" t="s">
        <v>58</v>
      </c>
      <c r="G2615" s="1" t="s">
        <v>18</v>
      </c>
      <c r="H2615" s="1">
        <v>-5.25</v>
      </c>
      <c r="I2615" s="1">
        <v>0.74</v>
      </c>
      <c r="J2615" s="1">
        <v>0</v>
      </c>
      <c r="K2615" s="2">
        <v>43374</v>
      </c>
      <c r="L2615" s="1">
        <v>3716</v>
      </c>
      <c r="M2615" s="1">
        <v>3.54</v>
      </c>
      <c r="N2615" s="1">
        <v>0.90363000000000004</v>
      </c>
      <c r="O2615" s="3">
        <f>VLOOKUP(D2615,underlying!$D$40:$H$75,5,FALSE)</f>
        <v>-3</v>
      </c>
      <c r="P2615" s="4">
        <f t="shared" si="97"/>
        <v>43110</v>
      </c>
      <c r="Q2615" s="7">
        <f>IF(G2615="C",NormalCallSprd(O2615,H2615,M2615,(P2615-A2615)/365), NormalPutSprd(O2615,H2615,M2615,(P2615-A2615)/365))</f>
        <v>0.74864076350110453</v>
      </c>
      <c r="R2615" s="9">
        <f t="shared" si="99"/>
        <v>8.6407635011045425E-3</v>
      </c>
    </row>
    <row r="2616" spans="1:18" x14ac:dyDescent="0.2">
      <c r="A2616" s="2">
        <v>42622</v>
      </c>
      <c r="B2616" s="1" t="s">
        <v>56</v>
      </c>
      <c r="C2616" s="1" t="s">
        <v>57</v>
      </c>
      <c r="D2616" s="2">
        <v>43101</v>
      </c>
      <c r="E2616" s="2">
        <f t="shared" si="98"/>
        <v>43101</v>
      </c>
      <c r="F2616" s="1" t="s">
        <v>58</v>
      </c>
      <c r="G2616" s="1" t="s">
        <v>16</v>
      </c>
      <c r="H2616" s="1">
        <v>-5</v>
      </c>
      <c r="I2616" s="1">
        <v>2.79</v>
      </c>
      <c r="J2616" s="1">
        <v>-0.01</v>
      </c>
      <c r="K2616" s="2">
        <v>43374</v>
      </c>
      <c r="L2616" s="1">
        <v>3716</v>
      </c>
      <c r="M2616" s="1">
        <v>3.52</v>
      </c>
      <c r="N2616" s="1">
        <v>0.91662999999999994</v>
      </c>
      <c r="O2616" s="3">
        <f>VLOOKUP(D2616,underlying!$D$40:$H$75,5,FALSE)</f>
        <v>-3</v>
      </c>
      <c r="P2616" s="4">
        <f t="shared" si="97"/>
        <v>43110</v>
      </c>
      <c r="Q2616" s="7">
        <f>IF(G2616="C",NormalCallSprd(O2616,H2616,M2616,(P2616-A2616)/365), NormalPutSprd(O2616,H2616,M2616,(P2616-A2616)/365))</f>
        <v>2.8159227388008587</v>
      </c>
      <c r="R2616" s="9">
        <f t="shared" si="99"/>
        <v>2.5922738800858713E-2</v>
      </c>
    </row>
    <row r="2617" spans="1:18" x14ac:dyDescent="0.2">
      <c r="A2617" s="2">
        <v>42622</v>
      </c>
      <c r="B2617" s="1" t="s">
        <v>56</v>
      </c>
      <c r="C2617" s="1" t="s">
        <v>57</v>
      </c>
      <c r="D2617" s="2">
        <v>43101</v>
      </c>
      <c r="E2617" s="2">
        <f t="shared" si="98"/>
        <v>43101</v>
      </c>
      <c r="F2617" s="1" t="s">
        <v>58</v>
      </c>
      <c r="G2617" s="1" t="s">
        <v>18</v>
      </c>
      <c r="H2617" s="1">
        <v>-5</v>
      </c>
      <c r="I2617" s="1">
        <v>0.81</v>
      </c>
      <c r="J2617" s="1">
        <v>0</v>
      </c>
      <c r="K2617" s="2">
        <v>43374</v>
      </c>
      <c r="L2617" s="1">
        <v>3716</v>
      </c>
      <c r="M2617" s="1">
        <v>3.52</v>
      </c>
      <c r="N2617" s="1">
        <v>0.92822000000000005</v>
      </c>
      <c r="O2617" s="3">
        <f>VLOOKUP(D2617,underlying!$D$40:$H$75,5,FALSE)</f>
        <v>-3</v>
      </c>
      <c r="P2617" s="4">
        <f t="shared" ref="P2617:P2680" si="100">DATE(YEAR(K2617),DAY(K2617),MONTH(K2617))</f>
        <v>43110</v>
      </c>
      <c r="Q2617" s="7">
        <f>IF(G2617="C",NormalCallSprd(O2617,H2617,M2617,(P2617-A2617)/365), NormalPutSprd(O2617,H2617,M2617,(P2617-A2617)/365))</f>
        <v>0.81592273880085875</v>
      </c>
      <c r="R2617" s="9">
        <f t="shared" si="99"/>
        <v>5.9227388008586956E-3</v>
      </c>
    </row>
    <row r="2618" spans="1:18" x14ac:dyDescent="0.2">
      <c r="A2618" s="2">
        <v>42622</v>
      </c>
      <c r="B2618" s="1" t="s">
        <v>56</v>
      </c>
      <c r="C2618" s="1" t="s">
        <v>57</v>
      </c>
      <c r="D2618" s="2">
        <v>43101</v>
      </c>
      <c r="E2618" s="2">
        <f t="shared" si="98"/>
        <v>43101</v>
      </c>
      <c r="F2618" s="1" t="s">
        <v>58</v>
      </c>
      <c r="G2618" s="1" t="s">
        <v>16</v>
      </c>
      <c r="H2618" s="1">
        <v>-4.75</v>
      </c>
      <c r="I2618" s="1">
        <v>2.63</v>
      </c>
      <c r="J2618" s="1">
        <v>-0.01</v>
      </c>
      <c r="K2618" s="2">
        <v>43374</v>
      </c>
      <c r="L2618" s="1">
        <v>3716</v>
      </c>
      <c r="M2618" s="1">
        <v>3.54</v>
      </c>
      <c r="N2618" s="1">
        <v>0.95533999999999997</v>
      </c>
      <c r="O2618" s="3">
        <f>VLOOKUP(D2618,underlying!$D$40:$H$75,5,FALSE)</f>
        <v>-3</v>
      </c>
      <c r="P2618" s="4">
        <f t="shared" si="100"/>
        <v>43110</v>
      </c>
      <c r="Q2618" s="7">
        <f>IF(G2618="C",NormalCallSprd(O2618,H2618,M2618,(P2618-A2618)/365), NormalPutSprd(O2618,H2618,M2618,(P2618-A2618)/365))</f>
        <v>2.6549737908208426</v>
      </c>
      <c r="R2618" s="9">
        <f t="shared" si="99"/>
        <v>2.4973790820842723E-2</v>
      </c>
    </row>
    <row r="2619" spans="1:18" x14ac:dyDescent="0.2">
      <c r="A2619" s="2">
        <v>42622</v>
      </c>
      <c r="B2619" s="1" t="s">
        <v>56</v>
      </c>
      <c r="C2619" s="1" t="s">
        <v>57</v>
      </c>
      <c r="D2619" s="2">
        <v>43101</v>
      </c>
      <c r="E2619" s="2">
        <f t="shared" si="98"/>
        <v>43101</v>
      </c>
      <c r="F2619" s="1" t="s">
        <v>58</v>
      </c>
      <c r="G2619" s="1" t="s">
        <v>18</v>
      </c>
      <c r="H2619" s="1">
        <v>-4.75</v>
      </c>
      <c r="I2619" s="1">
        <v>0.9</v>
      </c>
      <c r="J2619" s="1">
        <v>0</v>
      </c>
      <c r="K2619" s="2">
        <v>43374</v>
      </c>
      <c r="L2619" s="1">
        <v>3716</v>
      </c>
      <c r="M2619" s="1">
        <v>3.54</v>
      </c>
      <c r="N2619" s="1">
        <v>0.97731999999999997</v>
      </c>
      <c r="O2619" s="3">
        <f>VLOOKUP(D2619,underlying!$D$40:$H$75,5,FALSE)</f>
        <v>-3</v>
      </c>
      <c r="P2619" s="4">
        <f t="shared" si="100"/>
        <v>43110</v>
      </c>
      <c r="Q2619" s="7">
        <f>IF(G2619="C",NormalCallSprd(O2619,H2619,M2619,(P2619-A2619)/365), NormalPutSprd(O2619,H2619,M2619,(P2619-A2619)/365))</f>
        <v>0.90497379082084239</v>
      </c>
      <c r="R2619" s="9">
        <f t="shared" si="99"/>
        <v>4.973790820842372E-3</v>
      </c>
    </row>
    <row r="2620" spans="1:18" x14ac:dyDescent="0.2">
      <c r="A2620" s="2">
        <v>42622</v>
      </c>
      <c r="B2620" s="1" t="s">
        <v>56</v>
      </c>
      <c r="C2620" s="1" t="s">
        <v>57</v>
      </c>
      <c r="D2620" s="2">
        <v>43101</v>
      </c>
      <c r="E2620" s="2">
        <f t="shared" si="98"/>
        <v>43101</v>
      </c>
      <c r="F2620" s="1" t="s">
        <v>58</v>
      </c>
      <c r="G2620" s="1" t="s">
        <v>16</v>
      </c>
      <c r="H2620" s="1">
        <v>-4.5</v>
      </c>
      <c r="I2620" s="1">
        <v>2.46</v>
      </c>
      <c r="J2620" s="1">
        <v>0</v>
      </c>
      <c r="K2620" s="2">
        <v>43374</v>
      </c>
      <c r="L2620" s="1">
        <v>3716</v>
      </c>
      <c r="M2620" s="1">
        <v>3.52</v>
      </c>
      <c r="N2620" s="1">
        <v>-0.79269999999999996</v>
      </c>
      <c r="O2620" s="3">
        <f>VLOOKUP(D2620,underlying!$D$40:$H$75,5,FALSE)</f>
        <v>-3</v>
      </c>
      <c r="P2620" s="4">
        <f t="shared" si="100"/>
        <v>43110</v>
      </c>
      <c r="Q2620" s="7">
        <f>IF(G2620="C",NormalCallSprd(O2620,H2620,M2620,(P2620-A2620)/365), NormalPutSprd(O2620,H2620,M2620,(P2620-A2620)/365))</f>
        <v>2.4827773720013364</v>
      </c>
      <c r="R2620" s="9">
        <f t="shared" si="99"/>
        <v>2.2777372001336449E-2</v>
      </c>
    </row>
    <row r="2621" spans="1:18" x14ac:dyDescent="0.2">
      <c r="A2621" s="2">
        <v>42622</v>
      </c>
      <c r="B2621" s="1" t="s">
        <v>56</v>
      </c>
      <c r="C2621" s="1" t="s">
        <v>57</v>
      </c>
      <c r="D2621" s="2">
        <v>43101</v>
      </c>
      <c r="E2621" s="2">
        <f t="shared" si="98"/>
        <v>43101</v>
      </c>
      <c r="F2621" s="1" t="s">
        <v>58</v>
      </c>
      <c r="G2621" s="1" t="s">
        <v>18</v>
      </c>
      <c r="H2621" s="1">
        <v>-4.5</v>
      </c>
      <c r="I2621" s="1">
        <v>0.97</v>
      </c>
      <c r="J2621" s="1">
        <v>-0.01</v>
      </c>
      <c r="K2621" s="2">
        <v>43374</v>
      </c>
      <c r="L2621" s="1">
        <v>3716</v>
      </c>
      <c r="M2621" s="1">
        <v>3.52</v>
      </c>
      <c r="N2621" s="1">
        <v>-0.76858000000000004</v>
      </c>
      <c r="O2621" s="3">
        <f>VLOOKUP(D2621,underlying!$D$40:$H$75,5,FALSE)</f>
        <v>-3</v>
      </c>
      <c r="P2621" s="4">
        <f t="shared" si="100"/>
        <v>43110</v>
      </c>
      <c r="Q2621" s="7">
        <f>IF(G2621="C",NormalCallSprd(O2621,H2621,M2621,(P2621-A2621)/365), NormalPutSprd(O2621,H2621,M2621,(P2621-A2621)/365))</f>
        <v>0.98277737200133652</v>
      </c>
      <c r="R2621" s="9">
        <f t="shared" si="99"/>
        <v>1.2777372001336551E-2</v>
      </c>
    </row>
    <row r="2622" spans="1:18" x14ac:dyDescent="0.2">
      <c r="A2622" s="2">
        <v>42622</v>
      </c>
      <c r="B2622" s="1" t="s">
        <v>56</v>
      </c>
      <c r="C2622" s="1" t="s">
        <v>57</v>
      </c>
      <c r="D2622" s="2">
        <v>43101</v>
      </c>
      <c r="E2622" s="2">
        <f t="shared" si="98"/>
        <v>43101</v>
      </c>
      <c r="F2622" s="1" t="s">
        <v>58</v>
      </c>
      <c r="G2622" s="1" t="s">
        <v>16</v>
      </c>
      <c r="H2622" s="1">
        <v>-4.25</v>
      </c>
      <c r="I2622" s="1">
        <v>2.31</v>
      </c>
      <c r="J2622" s="1">
        <v>-0.01</v>
      </c>
      <c r="K2622" s="2">
        <v>43374</v>
      </c>
      <c r="L2622" s="1">
        <v>3716</v>
      </c>
      <c r="M2622" s="1">
        <v>3.54</v>
      </c>
      <c r="N2622" s="1">
        <v>-0.74399999999999999</v>
      </c>
      <c r="O2622" s="3">
        <f>VLOOKUP(D2622,underlying!$D$40:$H$75,5,FALSE)</f>
        <v>-3</v>
      </c>
      <c r="P2622" s="4">
        <f t="shared" si="100"/>
        <v>43110</v>
      </c>
      <c r="Q2622" s="7">
        <f>IF(G2622="C",NormalCallSprd(O2622,H2622,M2622,(P2622-A2622)/365), NormalPutSprd(O2622,H2622,M2622,(P2622-A2622)/365))</f>
        <v>2.3335220510500134</v>
      </c>
      <c r="R2622" s="9">
        <f t="shared" si="99"/>
        <v>2.3522051050013371E-2</v>
      </c>
    </row>
    <row r="2623" spans="1:18" x14ac:dyDescent="0.2">
      <c r="A2623" s="2">
        <v>42622</v>
      </c>
      <c r="B2623" s="1" t="s">
        <v>56</v>
      </c>
      <c r="C2623" s="1" t="s">
        <v>57</v>
      </c>
      <c r="D2623" s="2">
        <v>43101</v>
      </c>
      <c r="E2623" s="2">
        <f t="shared" si="98"/>
        <v>43101</v>
      </c>
      <c r="F2623" s="1" t="s">
        <v>58</v>
      </c>
      <c r="G2623" s="1" t="s">
        <v>18</v>
      </c>
      <c r="H2623" s="1">
        <v>-4.25</v>
      </c>
      <c r="I2623" s="1">
        <v>1.07</v>
      </c>
      <c r="J2623" s="1">
        <v>-0.01</v>
      </c>
      <c r="K2623" s="2">
        <v>43374</v>
      </c>
      <c r="L2623" s="1">
        <v>3716</v>
      </c>
      <c r="M2623" s="1">
        <v>3.54</v>
      </c>
      <c r="N2623" s="1">
        <v>-8.2699999999999996E-3</v>
      </c>
      <c r="O2623" s="3">
        <f>VLOOKUP(D2623,underlying!$D$40:$H$75,5,FALSE)</f>
        <v>-3</v>
      </c>
      <c r="P2623" s="4">
        <f t="shared" si="100"/>
        <v>43110</v>
      </c>
      <c r="Q2623" s="7">
        <f>IF(G2623="C",NormalCallSprd(O2623,H2623,M2623,(P2623-A2623)/365), NormalPutSprd(O2623,H2623,M2623,(P2623-A2623)/365))</f>
        <v>1.0835220510500134</v>
      </c>
      <c r="R2623" s="9">
        <f t="shared" si="99"/>
        <v>1.3522051050013362E-2</v>
      </c>
    </row>
    <row r="2624" spans="1:18" x14ac:dyDescent="0.2">
      <c r="A2624" s="2">
        <v>42622</v>
      </c>
      <c r="B2624" s="1" t="s">
        <v>56</v>
      </c>
      <c r="C2624" s="1" t="s">
        <v>57</v>
      </c>
      <c r="D2624" s="2">
        <v>43101</v>
      </c>
      <c r="E2624" s="2">
        <f t="shared" si="98"/>
        <v>43101</v>
      </c>
      <c r="F2624" s="1" t="s">
        <v>58</v>
      </c>
      <c r="G2624" s="1" t="s">
        <v>16</v>
      </c>
      <c r="H2624" s="1">
        <v>-4</v>
      </c>
      <c r="I2624" s="1">
        <v>2.15</v>
      </c>
      <c r="J2624" s="1">
        <v>-0.01</v>
      </c>
      <c r="K2624" s="2">
        <v>43374</v>
      </c>
      <c r="L2624" s="1">
        <v>3716</v>
      </c>
      <c r="M2624" s="1">
        <v>3.52</v>
      </c>
      <c r="N2624" s="1">
        <v>-0.71584999999999999</v>
      </c>
      <c r="O2624" s="3">
        <f>VLOOKUP(D2624,underlying!$D$40:$H$75,5,FALSE)</f>
        <v>-3</v>
      </c>
      <c r="P2624" s="4">
        <f t="shared" si="100"/>
        <v>43110</v>
      </c>
      <c r="Q2624" s="7">
        <f>IF(G2624="C",NormalCallSprd(O2624,H2624,M2624,(P2624-A2624)/365), NormalPutSprd(O2624,H2624,M2624,(P2624-A2624)/365))</f>
        <v>2.1725026763590569</v>
      </c>
      <c r="R2624" s="9">
        <f t="shared" si="99"/>
        <v>2.2502676359057006E-2</v>
      </c>
    </row>
    <row r="2625" spans="1:18" x14ac:dyDescent="0.2">
      <c r="A2625" s="2">
        <v>42622</v>
      </c>
      <c r="B2625" s="1" t="s">
        <v>56</v>
      </c>
      <c r="C2625" s="1" t="s">
        <v>57</v>
      </c>
      <c r="D2625" s="2">
        <v>43101</v>
      </c>
      <c r="E2625" s="2">
        <f t="shared" si="98"/>
        <v>43101</v>
      </c>
      <c r="F2625" s="1" t="s">
        <v>58</v>
      </c>
      <c r="G2625" s="1" t="s">
        <v>18</v>
      </c>
      <c r="H2625" s="1">
        <v>-4</v>
      </c>
      <c r="I2625" s="1">
        <v>1.1599999999999999</v>
      </c>
      <c r="J2625" s="1">
        <v>0</v>
      </c>
      <c r="K2625" s="2">
        <v>43374</v>
      </c>
      <c r="L2625" s="1">
        <v>3716</v>
      </c>
      <c r="M2625" s="1">
        <v>3.52</v>
      </c>
      <c r="N2625" s="1">
        <v>-0.68833999999999995</v>
      </c>
      <c r="O2625" s="3">
        <f>VLOOKUP(D2625,underlying!$D$40:$H$75,5,FALSE)</f>
        <v>-3</v>
      </c>
      <c r="P2625" s="4">
        <f t="shared" si="100"/>
        <v>43110</v>
      </c>
      <c r="Q2625" s="7">
        <f>IF(G2625="C",NormalCallSprd(O2625,H2625,M2625,(P2625-A2625)/365), NormalPutSprd(O2625,H2625,M2625,(P2625-A2625)/365))</f>
        <v>1.1725026763590569</v>
      </c>
      <c r="R2625" s="9">
        <f t="shared" si="99"/>
        <v>1.2502676359056997E-2</v>
      </c>
    </row>
    <row r="2626" spans="1:18" x14ac:dyDescent="0.2">
      <c r="A2626" s="2">
        <v>42622</v>
      </c>
      <c r="B2626" s="1" t="s">
        <v>56</v>
      </c>
      <c r="C2626" s="1" t="s">
        <v>57</v>
      </c>
      <c r="D2626" s="2">
        <v>43101</v>
      </c>
      <c r="E2626" s="2">
        <f t="shared" ref="E2626:E2689" si="101">DATE(YEAR(D2626),DAY(D2626),MONTH(D2626))</f>
        <v>43101</v>
      </c>
      <c r="F2626" s="1" t="s">
        <v>58</v>
      </c>
      <c r="G2626" s="1" t="s">
        <v>16</v>
      </c>
      <c r="H2626" s="1">
        <v>-3.75</v>
      </c>
      <c r="I2626" s="1">
        <v>2.0099999999999998</v>
      </c>
      <c r="J2626" s="1">
        <v>-0.01</v>
      </c>
      <c r="K2626" s="2">
        <v>43374</v>
      </c>
      <c r="L2626" s="1">
        <v>3716</v>
      </c>
      <c r="M2626" s="1">
        <v>3.53</v>
      </c>
      <c r="N2626" s="1">
        <v>-0.65786999999999995</v>
      </c>
      <c r="O2626" s="3">
        <f>VLOOKUP(D2626,underlying!$D$40:$H$75,5,FALSE)</f>
        <v>-3</v>
      </c>
      <c r="P2626" s="4">
        <f t="shared" si="100"/>
        <v>43110</v>
      </c>
      <c r="Q2626" s="7">
        <f>IF(G2626="C",NormalCallSprd(O2626,H2626,M2626,(P2626-A2626)/365), NormalPutSprd(O2626,H2626,M2626,(P2626-A2626)/365))</f>
        <v>2.0307641049841583</v>
      </c>
      <c r="R2626" s="9">
        <f t="shared" si="99"/>
        <v>2.0764104984158482E-2</v>
      </c>
    </row>
    <row r="2627" spans="1:18" x14ac:dyDescent="0.2">
      <c r="A2627" s="2">
        <v>42622</v>
      </c>
      <c r="B2627" s="1" t="s">
        <v>56</v>
      </c>
      <c r="C2627" s="1" t="s">
        <v>57</v>
      </c>
      <c r="D2627" s="2">
        <v>43101</v>
      </c>
      <c r="E2627" s="2">
        <f t="shared" si="101"/>
        <v>43101</v>
      </c>
      <c r="F2627" s="1" t="s">
        <v>58</v>
      </c>
      <c r="G2627" s="1" t="s">
        <v>18</v>
      </c>
      <c r="H2627" s="1">
        <v>-3.75</v>
      </c>
      <c r="I2627" s="1">
        <v>1.27</v>
      </c>
      <c r="J2627" s="1">
        <v>0</v>
      </c>
      <c r="K2627" s="2">
        <v>43374</v>
      </c>
      <c r="L2627" s="1">
        <v>3716</v>
      </c>
      <c r="M2627" s="1">
        <v>3.53</v>
      </c>
      <c r="N2627" s="1">
        <v>-0.62790000000000001</v>
      </c>
      <c r="O2627" s="3">
        <f>VLOOKUP(D2627,underlying!$D$40:$H$75,5,FALSE)</f>
        <v>-3</v>
      </c>
      <c r="P2627" s="4">
        <f t="shared" si="100"/>
        <v>43110</v>
      </c>
      <c r="Q2627" s="7">
        <f>IF(G2627="C",NormalCallSprd(O2627,H2627,M2627,(P2627-A2627)/365), NormalPutSprd(O2627,H2627,M2627,(P2627-A2627)/365))</f>
        <v>1.280764104984158</v>
      </c>
      <c r="R2627" s="9">
        <f t="shared" ref="R2627:R2690" si="102">ABS(Q2627-I2627)</f>
        <v>1.0764104984158029E-2</v>
      </c>
    </row>
    <row r="2628" spans="1:18" x14ac:dyDescent="0.2">
      <c r="A2628" s="2">
        <v>42622</v>
      </c>
      <c r="B2628" s="1" t="s">
        <v>56</v>
      </c>
      <c r="C2628" s="1" t="s">
        <v>57</v>
      </c>
      <c r="D2628" s="2">
        <v>43101</v>
      </c>
      <c r="E2628" s="2">
        <f t="shared" si="101"/>
        <v>43101</v>
      </c>
      <c r="F2628" s="1" t="s">
        <v>58</v>
      </c>
      <c r="G2628" s="1" t="s">
        <v>16</v>
      </c>
      <c r="H2628" s="1">
        <v>-3.5</v>
      </c>
      <c r="I2628" s="1">
        <v>1.88</v>
      </c>
      <c r="J2628" s="1">
        <v>0</v>
      </c>
      <c r="K2628" s="2">
        <v>43374</v>
      </c>
      <c r="L2628" s="1">
        <v>3716</v>
      </c>
      <c r="M2628" s="1">
        <v>3.53</v>
      </c>
      <c r="N2628" s="1">
        <v>-0.59606999999999999</v>
      </c>
      <c r="O2628" s="3">
        <f>VLOOKUP(D2628,underlying!$D$40:$H$75,5,FALSE)</f>
        <v>-3</v>
      </c>
      <c r="P2628" s="4">
        <f t="shared" si="100"/>
        <v>43110</v>
      </c>
      <c r="Q2628" s="7">
        <f>IF(G2628="C",NormalCallSprd(O2628,H2628,M2628,(P2628-A2628)/365), NormalPutSprd(O2628,H2628,M2628,(P2628-A2628)/365))</f>
        <v>1.8905540750123491</v>
      </c>
      <c r="R2628" s="9">
        <f t="shared" si="102"/>
        <v>1.0554075012349173E-2</v>
      </c>
    </row>
    <row r="2629" spans="1:18" x14ac:dyDescent="0.2">
      <c r="A2629" s="2">
        <v>42622</v>
      </c>
      <c r="B2629" s="1" t="s">
        <v>56</v>
      </c>
      <c r="C2629" s="1" t="s">
        <v>57</v>
      </c>
      <c r="D2629" s="2">
        <v>43101</v>
      </c>
      <c r="E2629" s="2">
        <f t="shared" si="101"/>
        <v>43101</v>
      </c>
      <c r="F2629" s="1" t="s">
        <v>58</v>
      </c>
      <c r="G2629" s="1" t="s">
        <v>18</v>
      </c>
      <c r="H2629" s="1">
        <v>-3.5</v>
      </c>
      <c r="I2629" s="1">
        <v>1.38</v>
      </c>
      <c r="J2629" s="1">
        <v>0</v>
      </c>
      <c r="K2629" s="2">
        <v>43374</v>
      </c>
      <c r="L2629" s="1">
        <v>3716</v>
      </c>
      <c r="M2629" s="1">
        <v>3.53</v>
      </c>
      <c r="N2629" s="1">
        <v>-0.56389999999999996</v>
      </c>
      <c r="O2629" s="3">
        <f>VLOOKUP(D2629,underlying!$D$40:$H$75,5,FALSE)</f>
        <v>-3</v>
      </c>
      <c r="P2629" s="4">
        <f t="shared" si="100"/>
        <v>43110</v>
      </c>
      <c r="Q2629" s="7">
        <f>IF(G2629="C",NormalCallSprd(O2629,H2629,M2629,(P2629-A2629)/365), NormalPutSprd(O2629,H2629,M2629,(P2629-A2629)/365))</f>
        <v>1.3905540750123491</v>
      </c>
      <c r="R2629" s="9">
        <f t="shared" si="102"/>
        <v>1.0554075012349173E-2</v>
      </c>
    </row>
    <row r="2630" spans="1:18" x14ac:dyDescent="0.2">
      <c r="A2630" s="2">
        <v>42622</v>
      </c>
      <c r="B2630" s="1" t="s">
        <v>56</v>
      </c>
      <c r="C2630" s="1" t="s">
        <v>57</v>
      </c>
      <c r="D2630" s="2">
        <v>43101</v>
      </c>
      <c r="E2630" s="2">
        <f t="shared" si="101"/>
        <v>43101</v>
      </c>
      <c r="F2630" s="1" t="s">
        <v>58</v>
      </c>
      <c r="G2630" s="1" t="s">
        <v>16</v>
      </c>
      <c r="H2630" s="1">
        <v>-3.25</v>
      </c>
      <c r="I2630" s="1">
        <v>1.75</v>
      </c>
      <c r="J2630" s="1">
        <v>0</v>
      </c>
      <c r="K2630" s="2">
        <v>43374</v>
      </c>
      <c r="L2630" s="1">
        <v>3716</v>
      </c>
      <c r="M2630" s="1">
        <v>3.54</v>
      </c>
      <c r="N2630" s="1">
        <v>-0.53120000000000001</v>
      </c>
      <c r="O2630" s="3">
        <f>VLOOKUP(D2630,underlying!$D$40:$H$75,5,FALSE)</f>
        <v>-3</v>
      </c>
      <c r="P2630" s="4">
        <f t="shared" si="100"/>
        <v>43110</v>
      </c>
      <c r="Q2630" s="7">
        <f>IF(G2630="C",NormalCallSprd(O2630,H2630,M2630,(P2630-A2630)/365), NormalPutSprd(O2630,H2630,M2630,(P2630-A2630)/365))</f>
        <v>1.7610095347195553</v>
      </c>
      <c r="R2630" s="9">
        <f t="shared" si="102"/>
        <v>1.1009534719555347E-2</v>
      </c>
    </row>
    <row r="2631" spans="1:18" x14ac:dyDescent="0.2">
      <c r="A2631" s="2">
        <v>42622</v>
      </c>
      <c r="B2631" s="1" t="s">
        <v>56</v>
      </c>
      <c r="C2631" s="1" t="s">
        <v>57</v>
      </c>
      <c r="D2631" s="2">
        <v>43101</v>
      </c>
      <c r="E2631" s="2">
        <f t="shared" si="101"/>
        <v>43101</v>
      </c>
      <c r="F2631" s="1" t="s">
        <v>58</v>
      </c>
      <c r="G2631" s="1" t="s">
        <v>18</v>
      </c>
      <c r="H2631" s="1">
        <v>-3.25</v>
      </c>
      <c r="I2631" s="1">
        <v>1.5</v>
      </c>
      <c r="J2631" s="1">
        <v>0</v>
      </c>
      <c r="K2631" s="2">
        <v>43374</v>
      </c>
      <c r="L2631" s="1">
        <v>3716</v>
      </c>
      <c r="M2631" s="1">
        <v>3.54</v>
      </c>
      <c r="N2631" s="1">
        <v>-0.49845</v>
      </c>
      <c r="O2631" s="3">
        <f>VLOOKUP(D2631,underlying!$D$40:$H$75,5,FALSE)</f>
        <v>-3</v>
      </c>
      <c r="P2631" s="4">
        <f t="shared" si="100"/>
        <v>43110</v>
      </c>
      <c r="Q2631" s="7">
        <f>IF(G2631="C",NormalCallSprd(O2631,H2631,M2631,(P2631-A2631)/365), NormalPutSprd(O2631,H2631,M2631,(P2631-A2631)/365))</f>
        <v>1.5110095347195553</v>
      </c>
      <c r="R2631" s="9">
        <f t="shared" si="102"/>
        <v>1.1009534719555347E-2</v>
      </c>
    </row>
    <row r="2632" spans="1:18" x14ac:dyDescent="0.2">
      <c r="A2632" s="2">
        <v>42622</v>
      </c>
      <c r="B2632" s="1" t="s">
        <v>56</v>
      </c>
      <c r="C2632" s="1" t="s">
        <v>57</v>
      </c>
      <c r="D2632" s="2">
        <v>43101</v>
      </c>
      <c r="E2632" s="2">
        <f t="shared" si="101"/>
        <v>43101</v>
      </c>
      <c r="F2632" s="1" t="s">
        <v>58</v>
      </c>
      <c r="G2632" s="1" t="s">
        <v>16</v>
      </c>
      <c r="H2632" s="1">
        <v>-3</v>
      </c>
      <c r="I2632" s="1">
        <v>1.62</v>
      </c>
      <c r="J2632" s="1">
        <v>0</v>
      </c>
      <c r="K2632" s="2">
        <v>43374</v>
      </c>
      <c r="L2632" s="1">
        <v>3716</v>
      </c>
      <c r="M2632" s="1">
        <v>3.53</v>
      </c>
      <c r="N2632" s="1">
        <v>-0.4657</v>
      </c>
      <c r="O2632" s="3">
        <f>VLOOKUP(D2632,underlying!$D$40:$H$75,5,FALSE)</f>
        <v>-3</v>
      </c>
      <c r="P2632" s="4">
        <f t="shared" si="100"/>
        <v>43110</v>
      </c>
      <c r="Q2632" s="7">
        <f>IF(G2632="C",NormalCallSprd(O2632,H2632,M2632,(P2632-A2632)/365), NormalPutSprd(O2632,H2632,M2632,(P2632-A2632)/365))</f>
        <v>1.6283518427836856</v>
      </c>
      <c r="R2632" s="9">
        <f t="shared" si="102"/>
        <v>8.3518427836855036E-3</v>
      </c>
    </row>
    <row r="2633" spans="1:18" x14ac:dyDescent="0.2">
      <c r="A2633" s="2">
        <v>42622</v>
      </c>
      <c r="B2633" s="1" t="s">
        <v>56</v>
      </c>
      <c r="C2633" s="1" t="s">
        <v>57</v>
      </c>
      <c r="D2633" s="2">
        <v>43101</v>
      </c>
      <c r="E2633" s="2">
        <f t="shared" si="101"/>
        <v>43101</v>
      </c>
      <c r="F2633" s="1" t="s">
        <v>58</v>
      </c>
      <c r="G2633" s="1" t="s">
        <v>18</v>
      </c>
      <c r="H2633" s="1">
        <v>-3</v>
      </c>
      <c r="I2633" s="1">
        <v>1.62</v>
      </c>
      <c r="J2633" s="1">
        <v>0</v>
      </c>
      <c r="K2633" s="2">
        <v>43374</v>
      </c>
      <c r="L2633" s="1">
        <v>3716</v>
      </c>
      <c r="M2633" s="1">
        <v>3.53</v>
      </c>
      <c r="N2633" s="1">
        <v>-0.433</v>
      </c>
      <c r="O2633" s="3">
        <f>VLOOKUP(D2633,underlying!$D$40:$H$75,5,FALSE)</f>
        <v>-3</v>
      </c>
      <c r="P2633" s="4">
        <f t="shared" si="100"/>
        <v>43110</v>
      </c>
      <c r="Q2633" s="7">
        <f>IF(G2633="C",NormalCallSprd(O2633,H2633,M2633,(P2633-A2633)/365), NormalPutSprd(O2633,H2633,M2633,(P2633-A2633)/365))</f>
        <v>1.6283518427836856</v>
      </c>
      <c r="R2633" s="9">
        <f t="shared" si="102"/>
        <v>8.3518427836855036E-3</v>
      </c>
    </row>
    <row r="2634" spans="1:18" x14ac:dyDescent="0.2">
      <c r="A2634" s="2">
        <v>42622</v>
      </c>
      <c r="B2634" s="1" t="s">
        <v>56</v>
      </c>
      <c r="C2634" s="1" t="s">
        <v>57</v>
      </c>
      <c r="D2634" s="2">
        <v>43101</v>
      </c>
      <c r="E2634" s="2">
        <f t="shared" si="101"/>
        <v>43101</v>
      </c>
      <c r="F2634" s="1" t="s">
        <v>58</v>
      </c>
      <c r="G2634" s="1" t="s">
        <v>16</v>
      </c>
      <c r="H2634" s="1">
        <v>-2.75</v>
      </c>
      <c r="I2634" s="1">
        <v>1.5</v>
      </c>
      <c r="J2634" s="1">
        <v>0</v>
      </c>
      <c r="K2634" s="2">
        <v>43374</v>
      </c>
      <c r="L2634" s="1">
        <v>3716</v>
      </c>
      <c r="M2634" s="1">
        <v>3.54</v>
      </c>
      <c r="N2634" s="1">
        <v>-0.40083000000000002</v>
      </c>
      <c r="O2634" s="3">
        <f>VLOOKUP(D2634,underlying!$D$40:$H$75,5,FALSE)</f>
        <v>-3</v>
      </c>
      <c r="P2634" s="4">
        <f t="shared" si="100"/>
        <v>43110</v>
      </c>
      <c r="Q2634" s="7">
        <f>IF(G2634="C",NormalCallSprd(O2634,H2634,M2634,(P2634-A2634)/365), NormalPutSprd(O2634,H2634,M2634,(P2634-A2634)/365))</f>
        <v>1.5110095347195553</v>
      </c>
      <c r="R2634" s="9">
        <f t="shared" si="102"/>
        <v>1.1009534719555347E-2</v>
      </c>
    </row>
    <row r="2635" spans="1:18" x14ac:dyDescent="0.2">
      <c r="A2635" s="2">
        <v>42622</v>
      </c>
      <c r="B2635" s="1" t="s">
        <v>56</v>
      </c>
      <c r="C2635" s="1" t="s">
        <v>57</v>
      </c>
      <c r="D2635" s="2">
        <v>43101</v>
      </c>
      <c r="E2635" s="2">
        <f t="shared" si="101"/>
        <v>43101</v>
      </c>
      <c r="F2635" s="1" t="s">
        <v>58</v>
      </c>
      <c r="G2635" s="1" t="s">
        <v>18</v>
      </c>
      <c r="H2635" s="1">
        <v>-2.75</v>
      </c>
      <c r="I2635" s="1">
        <v>1.75</v>
      </c>
      <c r="J2635" s="1">
        <v>0</v>
      </c>
      <c r="K2635" s="2">
        <v>43374</v>
      </c>
      <c r="L2635" s="1">
        <v>3716</v>
      </c>
      <c r="M2635" s="1">
        <v>3.54</v>
      </c>
      <c r="N2635" s="1">
        <v>-0.36899999999999999</v>
      </c>
      <c r="O2635" s="3">
        <f>VLOOKUP(D2635,underlying!$D$40:$H$75,5,FALSE)</f>
        <v>-3</v>
      </c>
      <c r="P2635" s="4">
        <f t="shared" si="100"/>
        <v>43110</v>
      </c>
      <c r="Q2635" s="7">
        <f>IF(G2635="C",NormalCallSprd(O2635,H2635,M2635,(P2635-A2635)/365), NormalPutSprd(O2635,H2635,M2635,(P2635-A2635)/365))</f>
        <v>1.7610095347195553</v>
      </c>
      <c r="R2635" s="9">
        <f t="shared" si="102"/>
        <v>1.1009534719555347E-2</v>
      </c>
    </row>
    <row r="2636" spans="1:18" x14ac:dyDescent="0.2">
      <c r="A2636" s="2">
        <v>42622</v>
      </c>
      <c r="B2636" s="1" t="s">
        <v>56</v>
      </c>
      <c r="C2636" s="1" t="s">
        <v>57</v>
      </c>
      <c r="D2636" s="2">
        <v>43101</v>
      </c>
      <c r="E2636" s="2">
        <f t="shared" si="101"/>
        <v>43101</v>
      </c>
      <c r="F2636" s="1" t="s">
        <v>58</v>
      </c>
      <c r="G2636" s="1" t="s">
        <v>16</v>
      </c>
      <c r="H2636" s="1">
        <v>-2.5</v>
      </c>
      <c r="I2636" s="1">
        <v>1.38</v>
      </c>
      <c r="J2636" s="1">
        <v>0</v>
      </c>
      <c r="K2636" s="2">
        <v>43374</v>
      </c>
      <c r="L2636" s="1">
        <v>3716</v>
      </c>
      <c r="M2636" s="1">
        <v>3.53</v>
      </c>
      <c r="N2636" s="1">
        <v>-0.33903</v>
      </c>
      <c r="O2636" s="3">
        <f>VLOOKUP(D2636,underlying!$D$40:$H$75,5,FALSE)</f>
        <v>-3</v>
      </c>
      <c r="P2636" s="4">
        <f t="shared" si="100"/>
        <v>43110</v>
      </c>
      <c r="Q2636" s="7">
        <f>IF(G2636="C",NormalCallSprd(O2636,H2636,M2636,(P2636-A2636)/365), NormalPutSprd(O2636,H2636,M2636,(P2636-A2636)/365))</f>
        <v>1.3905540750123491</v>
      </c>
      <c r="R2636" s="9">
        <f t="shared" si="102"/>
        <v>1.0554075012349173E-2</v>
      </c>
    </row>
    <row r="2637" spans="1:18" x14ac:dyDescent="0.2">
      <c r="A2637" s="2">
        <v>42622</v>
      </c>
      <c r="B2637" s="1" t="s">
        <v>56</v>
      </c>
      <c r="C2637" s="1" t="s">
        <v>57</v>
      </c>
      <c r="D2637" s="2">
        <v>43101</v>
      </c>
      <c r="E2637" s="2">
        <f t="shared" si="101"/>
        <v>43101</v>
      </c>
      <c r="F2637" s="1" t="s">
        <v>58</v>
      </c>
      <c r="G2637" s="1" t="s">
        <v>18</v>
      </c>
      <c r="H2637" s="1">
        <v>-2.5</v>
      </c>
      <c r="I2637" s="1">
        <v>1.88</v>
      </c>
      <c r="J2637" s="1">
        <v>0</v>
      </c>
      <c r="K2637" s="2">
        <v>43374</v>
      </c>
      <c r="L2637" s="1">
        <v>3716</v>
      </c>
      <c r="M2637" s="1">
        <v>3.53</v>
      </c>
      <c r="N2637" s="1">
        <v>-0.30856</v>
      </c>
      <c r="O2637" s="3">
        <f>VLOOKUP(D2637,underlying!$D$40:$H$75,5,FALSE)</f>
        <v>-3</v>
      </c>
      <c r="P2637" s="4">
        <f t="shared" si="100"/>
        <v>43110</v>
      </c>
      <c r="Q2637" s="7">
        <f>IF(G2637="C",NormalCallSprd(O2637,H2637,M2637,(P2637-A2637)/365), NormalPutSprd(O2637,H2637,M2637,(P2637-A2637)/365))</f>
        <v>1.8905540750123491</v>
      </c>
      <c r="R2637" s="9">
        <f t="shared" si="102"/>
        <v>1.0554075012349173E-2</v>
      </c>
    </row>
    <row r="2638" spans="1:18" x14ac:dyDescent="0.2">
      <c r="A2638" s="2">
        <v>42622</v>
      </c>
      <c r="B2638" s="1" t="s">
        <v>56</v>
      </c>
      <c r="C2638" s="1" t="s">
        <v>57</v>
      </c>
      <c r="D2638" s="2">
        <v>43101</v>
      </c>
      <c r="E2638" s="2">
        <f t="shared" si="101"/>
        <v>43101</v>
      </c>
      <c r="F2638" s="1" t="s">
        <v>58</v>
      </c>
      <c r="G2638" s="1" t="s">
        <v>16</v>
      </c>
      <c r="H2638" s="1">
        <v>-2.25</v>
      </c>
      <c r="I2638" s="1">
        <v>1.27</v>
      </c>
      <c r="J2638" s="1">
        <v>0</v>
      </c>
      <c r="K2638" s="2">
        <v>43374</v>
      </c>
      <c r="L2638" s="1">
        <v>3716</v>
      </c>
      <c r="M2638" s="1">
        <v>3.53</v>
      </c>
      <c r="N2638" s="1">
        <v>-0.28105000000000002</v>
      </c>
      <c r="O2638" s="3">
        <f>VLOOKUP(D2638,underlying!$D$40:$H$75,5,FALSE)</f>
        <v>-3</v>
      </c>
      <c r="P2638" s="4">
        <f t="shared" si="100"/>
        <v>43110</v>
      </c>
      <c r="Q2638" s="7">
        <f>IF(G2638="C",NormalCallSprd(O2638,H2638,M2638,(P2638-A2638)/365), NormalPutSprd(O2638,H2638,M2638,(P2638-A2638)/365))</f>
        <v>1.280764104984158</v>
      </c>
      <c r="R2638" s="9">
        <f t="shared" si="102"/>
        <v>1.0764104984158029E-2</v>
      </c>
    </row>
    <row r="2639" spans="1:18" x14ac:dyDescent="0.2">
      <c r="A2639" s="2">
        <v>42622</v>
      </c>
      <c r="B2639" s="1" t="s">
        <v>56</v>
      </c>
      <c r="C2639" s="1" t="s">
        <v>57</v>
      </c>
      <c r="D2639" s="2">
        <v>43101</v>
      </c>
      <c r="E2639" s="2">
        <f t="shared" si="101"/>
        <v>43101</v>
      </c>
      <c r="F2639" s="1" t="s">
        <v>58</v>
      </c>
      <c r="G2639" s="1" t="s">
        <v>18</v>
      </c>
      <c r="H2639" s="1">
        <v>-2.25</v>
      </c>
      <c r="I2639" s="1">
        <v>2.0099999999999998</v>
      </c>
      <c r="J2639" s="1">
        <v>-0.01</v>
      </c>
      <c r="K2639" s="2">
        <v>43374</v>
      </c>
      <c r="L2639" s="1">
        <v>3716</v>
      </c>
      <c r="M2639" s="1">
        <v>3.53</v>
      </c>
      <c r="N2639" s="1">
        <v>-0.25290000000000001</v>
      </c>
      <c r="O2639" s="3">
        <f>VLOOKUP(D2639,underlying!$D$40:$H$75,5,FALSE)</f>
        <v>-3</v>
      </c>
      <c r="P2639" s="4">
        <f t="shared" si="100"/>
        <v>43110</v>
      </c>
      <c r="Q2639" s="7">
        <f>IF(G2639="C",NormalCallSprd(O2639,H2639,M2639,(P2639-A2639)/365), NormalPutSprd(O2639,H2639,M2639,(P2639-A2639)/365))</f>
        <v>2.0307641049841583</v>
      </c>
      <c r="R2639" s="9">
        <f t="shared" si="102"/>
        <v>2.0764104984158482E-2</v>
      </c>
    </row>
    <row r="2640" spans="1:18" x14ac:dyDescent="0.2">
      <c r="A2640" s="2">
        <v>42622</v>
      </c>
      <c r="B2640" s="1" t="s">
        <v>56</v>
      </c>
      <c r="C2640" s="1" t="s">
        <v>57</v>
      </c>
      <c r="D2640" s="2">
        <v>43101</v>
      </c>
      <c r="E2640" s="2">
        <f t="shared" si="101"/>
        <v>43101</v>
      </c>
      <c r="F2640" s="1" t="s">
        <v>58</v>
      </c>
      <c r="G2640" s="1" t="s">
        <v>16</v>
      </c>
      <c r="H2640" s="1">
        <v>-2</v>
      </c>
      <c r="I2640" s="1">
        <v>1.1599999999999999</v>
      </c>
      <c r="J2640" s="1">
        <v>0</v>
      </c>
      <c r="K2640" s="2">
        <v>43374</v>
      </c>
      <c r="L2640" s="1">
        <v>3716</v>
      </c>
      <c r="M2640" s="1">
        <v>3.52</v>
      </c>
      <c r="N2640" s="1">
        <v>-0.22832</v>
      </c>
      <c r="O2640" s="3">
        <f>VLOOKUP(D2640,underlying!$D$40:$H$75,5,FALSE)</f>
        <v>-3</v>
      </c>
      <c r="P2640" s="4">
        <f t="shared" si="100"/>
        <v>43110</v>
      </c>
      <c r="Q2640" s="7">
        <f>IF(G2640="C",NormalCallSprd(O2640,H2640,M2640,(P2640-A2640)/365), NormalPutSprd(O2640,H2640,M2640,(P2640-A2640)/365))</f>
        <v>1.1725026763590569</v>
      </c>
      <c r="R2640" s="9">
        <f t="shared" si="102"/>
        <v>1.2502676359056997E-2</v>
      </c>
    </row>
    <row r="2641" spans="1:18" x14ac:dyDescent="0.2">
      <c r="A2641" s="2">
        <v>42622</v>
      </c>
      <c r="B2641" s="1" t="s">
        <v>56</v>
      </c>
      <c r="C2641" s="1" t="s">
        <v>57</v>
      </c>
      <c r="D2641" s="2">
        <v>43101</v>
      </c>
      <c r="E2641" s="2">
        <f t="shared" si="101"/>
        <v>43101</v>
      </c>
      <c r="F2641" s="1" t="s">
        <v>58</v>
      </c>
      <c r="G2641" s="1" t="s">
        <v>18</v>
      </c>
      <c r="H2641" s="1">
        <v>-2</v>
      </c>
      <c r="I2641" s="1">
        <v>2.15</v>
      </c>
      <c r="J2641" s="1">
        <v>-0.01</v>
      </c>
      <c r="K2641" s="2">
        <v>43374</v>
      </c>
      <c r="L2641" s="1">
        <v>3716</v>
      </c>
      <c r="M2641" s="1">
        <v>3.52</v>
      </c>
      <c r="N2641" s="1">
        <v>-0.20419999999999999</v>
      </c>
      <c r="O2641" s="3">
        <f>VLOOKUP(D2641,underlying!$D$40:$H$75,5,FALSE)</f>
        <v>-3</v>
      </c>
      <c r="P2641" s="4">
        <f t="shared" si="100"/>
        <v>43110</v>
      </c>
      <c r="Q2641" s="7">
        <f>IF(G2641="C",NormalCallSprd(O2641,H2641,M2641,(P2641-A2641)/365), NormalPutSprd(O2641,H2641,M2641,(P2641-A2641)/365))</f>
        <v>2.1725026763590569</v>
      </c>
      <c r="R2641" s="9">
        <f t="shared" si="102"/>
        <v>2.2502676359057006E-2</v>
      </c>
    </row>
    <row r="2642" spans="1:18" x14ac:dyDescent="0.2">
      <c r="A2642" s="2">
        <v>42622</v>
      </c>
      <c r="B2642" s="1" t="s">
        <v>56</v>
      </c>
      <c r="C2642" s="1" t="s">
        <v>57</v>
      </c>
      <c r="D2642" s="2">
        <v>43101</v>
      </c>
      <c r="E2642" s="2">
        <f t="shared" si="101"/>
        <v>43101</v>
      </c>
      <c r="F2642" s="1" t="s">
        <v>58</v>
      </c>
      <c r="G2642" s="1" t="s">
        <v>16</v>
      </c>
      <c r="H2642" s="1">
        <v>-1.75</v>
      </c>
      <c r="I2642" s="1">
        <v>1.07</v>
      </c>
      <c r="J2642" s="1">
        <v>-0.01</v>
      </c>
      <c r="K2642" s="2">
        <v>43374</v>
      </c>
      <c r="L2642" s="1">
        <v>3716</v>
      </c>
      <c r="M2642" s="1">
        <v>3.54</v>
      </c>
      <c r="N2642" s="1">
        <v>-0.18165999999999999</v>
      </c>
      <c r="O2642" s="3">
        <f>VLOOKUP(D2642,underlying!$D$40:$H$75,5,FALSE)</f>
        <v>-3</v>
      </c>
      <c r="P2642" s="4">
        <f t="shared" si="100"/>
        <v>43110</v>
      </c>
      <c r="Q2642" s="7">
        <f>IF(G2642="C",NormalCallSprd(O2642,H2642,M2642,(P2642-A2642)/365), NormalPutSprd(O2642,H2642,M2642,(P2642-A2642)/365))</f>
        <v>1.0835220510500134</v>
      </c>
      <c r="R2642" s="9">
        <f t="shared" si="102"/>
        <v>1.3522051050013362E-2</v>
      </c>
    </row>
    <row r="2643" spans="1:18" x14ac:dyDescent="0.2">
      <c r="A2643" s="2">
        <v>42622</v>
      </c>
      <c r="B2643" s="1" t="s">
        <v>56</v>
      </c>
      <c r="C2643" s="1" t="s">
        <v>57</v>
      </c>
      <c r="D2643" s="2">
        <v>43101</v>
      </c>
      <c r="E2643" s="2">
        <f t="shared" si="101"/>
        <v>43101</v>
      </c>
      <c r="F2643" s="1" t="s">
        <v>58</v>
      </c>
      <c r="G2643" s="1" t="s">
        <v>18</v>
      </c>
      <c r="H2643" s="1">
        <v>-1.75</v>
      </c>
      <c r="I2643" s="1">
        <v>2.31</v>
      </c>
      <c r="J2643" s="1">
        <v>-0.01</v>
      </c>
      <c r="K2643" s="2">
        <v>43374</v>
      </c>
      <c r="L2643" s="1">
        <v>3716</v>
      </c>
      <c r="M2643" s="1">
        <v>3.54</v>
      </c>
      <c r="N2643" s="1">
        <v>-0.16073999999999999</v>
      </c>
      <c r="O2643" s="3">
        <f>VLOOKUP(D2643,underlying!$D$40:$H$75,5,FALSE)</f>
        <v>-3</v>
      </c>
      <c r="P2643" s="4">
        <f t="shared" si="100"/>
        <v>43110</v>
      </c>
      <c r="Q2643" s="7">
        <f>IF(G2643="C",NormalCallSprd(O2643,H2643,M2643,(P2643-A2643)/365), NormalPutSprd(O2643,H2643,M2643,(P2643-A2643)/365))</f>
        <v>2.3335220510500134</v>
      </c>
      <c r="R2643" s="9">
        <f t="shared" si="102"/>
        <v>2.3522051050013371E-2</v>
      </c>
    </row>
    <row r="2644" spans="1:18" x14ac:dyDescent="0.2">
      <c r="A2644" s="2">
        <v>42622</v>
      </c>
      <c r="B2644" s="1" t="s">
        <v>56</v>
      </c>
      <c r="C2644" s="1" t="s">
        <v>57</v>
      </c>
      <c r="D2644" s="2">
        <v>43101</v>
      </c>
      <c r="E2644" s="2">
        <f t="shared" si="101"/>
        <v>43101</v>
      </c>
      <c r="F2644" s="1" t="s">
        <v>58</v>
      </c>
      <c r="G2644" s="1" t="s">
        <v>16</v>
      </c>
      <c r="H2644" s="1">
        <v>-1.5</v>
      </c>
      <c r="I2644" s="1">
        <v>0.98</v>
      </c>
      <c r="J2644" s="1">
        <v>0</v>
      </c>
      <c r="K2644" s="2">
        <v>43374</v>
      </c>
      <c r="L2644" s="1">
        <v>3716</v>
      </c>
      <c r="M2644" s="1">
        <v>3.53</v>
      </c>
      <c r="N2644" s="1">
        <v>-0.14146</v>
      </c>
      <c r="O2644" s="3">
        <f>VLOOKUP(D2644,underlying!$D$40:$H$75,5,FALSE)</f>
        <v>-3</v>
      </c>
      <c r="P2644" s="4">
        <f t="shared" si="100"/>
        <v>43110</v>
      </c>
      <c r="Q2644" s="7">
        <f>IF(G2644="C",NormalCallSprd(O2644,H2644,M2644,(P2644-A2644)/365), NormalPutSprd(O2644,H2644,M2644,(P2644-A2644)/365))</f>
        <v>0.98708823000461254</v>
      </c>
      <c r="R2644" s="9">
        <f t="shared" si="102"/>
        <v>7.0882300046125613E-3</v>
      </c>
    </row>
    <row r="2645" spans="1:18" x14ac:dyDescent="0.2">
      <c r="A2645" s="2">
        <v>42622</v>
      </c>
      <c r="B2645" s="1" t="s">
        <v>56</v>
      </c>
      <c r="C2645" s="1" t="s">
        <v>57</v>
      </c>
      <c r="D2645" s="2">
        <v>43101</v>
      </c>
      <c r="E2645" s="2">
        <f t="shared" si="101"/>
        <v>43101</v>
      </c>
      <c r="F2645" s="1" t="s">
        <v>58</v>
      </c>
      <c r="G2645" s="1" t="s">
        <v>18</v>
      </c>
      <c r="H2645" s="1">
        <v>-1.5</v>
      </c>
      <c r="I2645" s="1">
        <v>2.4700000000000002</v>
      </c>
      <c r="J2645" s="1">
        <v>0</v>
      </c>
      <c r="K2645" s="2">
        <v>43374</v>
      </c>
      <c r="L2645" s="1">
        <v>3716</v>
      </c>
      <c r="M2645" s="1">
        <v>3.53</v>
      </c>
      <c r="N2645" s="1">
        <v>-0.12381</v>
      </c>
      <c r="O2645" s="3">
        <f>VLOOKUP(D2645,underlying!$D$40:$H$75,5,FALSE)</f>
        <v>-3</v>
      </c>
      <c r="P2645" s="4">
        <f t="shared" si="100"/>
        <v>43110</v>
      </c>
      <c r="Q2645" s="7">
        <f>IF(G2645="C",NormalCallSprd(O2645,H2645,M2645,(P2645-A2645)/365), NormalPutSprd(O2645,H2645,M2645,(P2645-A2645)/365))</f>
        <v>2.4870882300046127</v>
      </c>
      <c r="R2645" s="9">
        <f t="shared" si="102"/>
        <v>1.7088230004612459E-2</v>
      </c>
    </row>
    <row r="2646" spans="1:18" x14ac:dyDescent="0.2">
      <c r="A2646" s="2">
        <v>42622</v>
      </c>
      <c r="B2646" s="1" t="s">
        <v>56</v>
      </c>
      <c r="C2646" s="1" t="s">
        <v>57</v>
      </c>
      <c r="D2646" s="2">
        <v>43101</v>
      </c>
      <c r="E2646" s="2">
        <f t="shared" si="101"/>
        <v>43101</v>
      </c>
      <c r="F2646" s="1" t="s">
        <v>58</v>
      </c>
      <c r="G2646" s="1" t="s">
        <v>16</v>
      </c>
      <c r="H2646" s="1">
        <v>-1.25</v>
      </c>
      <c r="I2646" s="1">
        <v>0.89</v>
      </c>
      <c r="J2646" s="1">
        <v>-0.01</v>
      </c>
      <c r="K2646" s="2">
        <v>43374</v>
      </c>
      <c r="L2646" s="1">
        <v>3716</v>
      </c>
      <c r="M2646" s="1">
        <v>3.53</v>
      </c>
      <c r="N2646" s="1">
        <v>-0.10775999999999999</v>
      </c>
      <c r="O2646" s="3">
        <f>VLOOKUP(D2646,underlying!$D$40:$H$75,5,FALSE)</f>
        <v>-3</v>
      </c>
      <c r="P2646" s="4">
        <f t="shared" si="100"/>
        <v>43110</v>
      </c>
      <c r="Q2646" s="7">
        <f>IF(G2646="C",NormalCallSprd(O2646,H2646,M2646,(P2646-A2646)/365), NormalPutSprd(O2646,H2646,M2646,(P2646-A2646)/365))</f>
        <v>0.90076488059881732</v>
      </c>
      <c r="R2646" s="9">
        <f t="shared" si="102"/>
        <v>1.0764880598817306E-2</v>
      </c>
    </row>
    <row r="2647" spans="1:18" x14ac:dyDescent="0.2">
      <c r="A2647" s="2">
        <v>42622</v>
      </c>
      <c r="B2647" s="1" t="s">
        <v>56</v>
      </c>
      <c r="C2647" s="1" t="s">
        <v>57</v>
      </c>
      <c r="D2647" s="2">
        <v>43101</v>
      </c>
      <c r="E2647" s="2">
        <f t="shared" si="101"/>
        <v>43101</v>
      </c>
      <c r="F2647" s="1" t="s">
        <v>58</v>
      </c>
      <c r="G2647" s="1" t="s">
        <v>18</v>
      </c>
      <c r="H2647" s="1">
        <v>-1.25</v>
      </c>
      <c r="I2647" s="1">
        <v>2.63</v>
      </c>
      <c r="J2647" s="1">
        <v>0</v>
      </c>
      <c r="K2647" s="2">
        <v>43374</v>
      </c>
      <c r="L2647" s="1">
        <v>3716</v>
      </c>
      <c r="M2647" s="1">
        <v>3.53</v>
      </c>
      <c r="N2647" s="1">
        <v>-9.3259999999999996E-2</v>
      </c>
      <c r="O2647" s="3">
        <f>VLOOKUP(D2647,underlying!$D$40:$H$75,5,FALSE)</f>
        <v>-3</v>
      </c>
      <c r="P2647" s="4">
        <f t="shared" si="100"/>
        <v>43110</v>
      </c>
      <c r="Q2647" s="7">
        <f>IF(G2647="C",NormalCallSprd(O2647,H2647,M2647,(P2647-A2647)/365), NormalPutSprd(O2647,H2647,M2647,(P2647-A2647)/365))</f>
        <v>2.6507648805988175</v>
      </c>
      <c r="R2647" s="9">
        <f t="shared" si="102"/>
        <v>2.0764880598817648E-2</v>
      </c>
    </row>
    <row r="2648" spans="1:18" x14ac:dyDescent="0.2">
      <c r="A2648" s="2">
        <v>42622</v>
      </c>
      <c r="B2648" s="1" t="s">
        <v>56</v>
      </c>
      <c r="C2648" s="1" t="s">
        <v>57</v>
      </c>
      <c r="D2648" s="2">
        <v>43101</v>
      </c>
      <c r="E2648" s="2">
        <f t="shared" si="101"/>
        <v>43101</v>
      </c>
      <c r="F2648" s="1" t="s">
        <v>58</v>
      </c>
      <c r="G2648" s="1" t="s">
        <v>16</v>
      </c>
      <c r="H2648" s="1">
        <v>-1</v>
      </c>
      <c r="I2648" s="1">
        <v>0.81</v>
      </c>
      <c r="J2648" s="1">
        <v>0</v>
      </c>
      <c r="K2648" s="2">
        <v>43374</v>
      </c>
      <c r="L2648" s="1">
        <v>3716</v>
      </c>
      <c r="M2648" s="1">
        <v>3.52</v>
      </c>
      <c r="N2648" s="1">
        <v>-8.0259999999999998E-2</v>
      </c>
      <c r="O2648" s="3">
        <f>VLOOKUP(D2648,underlying!$D$40:$H$75,5,FALSE)</f>
        <v>-3</v>
      </c>
      <c r="P2648" s="4">
        <f t="shared" si="100"/>
        <v>43110</v>
      </c>
      <c r="Q2648" s="7">
        <f>IF(G2648="C",NormalCallSprd(O2648,H2648,M2648,(P2648-A2648)/365), NormalPutSprd(O2648,H2648,M2648,(P2648-A2648)/365))</f>
        <v>0.81592273880085875</v>
      </c>
      <c r="R2648" s="9">
        <f t="shared" si="102"/>
        <v>5.9227388008586956E-3</v>
      </c>
    </row>
    <row r="2649" spans="1:18" x14ac:dyDescent="0.2">
      <c r="A2649" s="2">
        <v>42622</v>
      </c>
      <c r="B2649" s="1" t="s">
        <v>56</v>
      </c>
      <c r="C2649" s="1" t="s">
        <v>57</v>
      </c>
      <c r="D2649" s="2">
        <v>43101</v>
      </c>
      <c r="E2649" s="2">
        <f t="shared" si="101"/>
        <v>43101</v>
      </c>
      <c r="F2649" s="1" t="s">
        <v>58</v>
      </c>
      <c r="G2649" s="1" t="s">
        <v>18</v>
      </c>
      <c r="H2649" s="1">
        <v>-1</v>
      </c>
      <c r="I2649" s="1">
        <v>2.79</v>
      </c>
      <c r="J2649" s="1">
        <v>-0.01</v>
      </c>
      <c r="K2649" s="2">
        <v>43374</v>
      </c>
      <c r="L2649" s="1">
        <v>3716</v>
      </c>
      <c r="M2649" s="1">
        <v>3.52</v>
      </c>
      <c r="N2649" s="1">
        <v>-6.8680000000000005E-2</v>
      </c>
      <c r="O2649" s="3">
        <f>VLOOKUP(D2649,underlying!$D$40:$H$75,5,FALSE)</f>
        <v>-3</v>
      </c>
      <c r="P2649" s="4">
        <f t="shared" si="100"/>
        <v>43110</v>
      </c>
      <c r="Q2649" s="7">
        <f>IF(G2649="C",NormalCallSprd(O2649,H2649,M2649,(P2649-A2649)/365), NormalPutSprd(O2649,H2649,M2649,(P2649-A2649)/365))</f>
        <v>2.8159227388008587</v>
      </c>
      <c r="R2649" s="9">
        <f t="shared" si="102"/>
        <v>2.5922738800858713E-2</v>
      </c>
    </row>
    <row r="2650" spans="1:18" x14ac:dyDescent="0.2">
      <c r="A2650" s="2">
        <v>42622</v>
      </c>
      <c r="B2650" s="1" t="s">
        <v>56</v>
      </c>
      <c r="C2650" s="1" t="s">
        <v>57</v>
      </c>
      <c r="D2650" s="2">
        <v>43101</v>
      </c>
      <c r="E2650" s="2">
        <f t="shared" si="101"/>
        <v>43101</v>
      </c>
      <c r="F2650" s="1" t="s">
        <v>58</v>
      </c>
      <c r="G2650" s="1" t="s">
        <v>16</v>
      </c>
      <c r="H2650" s="1">
        <v>-0.75</v>
      </c>
      <c r="I2650" s="1">
        <v>0.74</v>
      </c>
      <c r="J2650" s="1">
        <v>0</v>
      </c>
      <c r="K2650" s="2">
        <v>43374</v>
      </c>
      <c r="L2650" s="1">
        <v>3716</v>
      </c>
      <c r="M2650" s="1">
        <v>3.53</v>
      </c>
      <c r="N2650" s="1">
        <v>-4.156E-2</v>
      </c>
      <c r="O2650" s="3">
        <f>VLOOKUP(D2650,underlying!$D$40:$H$75,5,FALSE)</f>
        <v>-3</v>
      </c>
      <c r="P2650" s="4">
        <f t="shared" si="100"/>
        <v>43110</v>
      </c>
      <c r="Q2650" s="7">
        <f>IF(G2650="C",NormalCallSprd(O2650,H2650,M2650,(P2650-A2650)/365), NormalPutSprd(O2650,H2650,M2650,(P2650-A2650)/365))</f>
        <v>0.74467638333038355</v>
      </c>
      <c r="R2650" s="9">
        <f t="shared" si="102"/>
        <v>4.67638333038356E-3</v>
      </c>
    </row>
    <row r="2651" spans="1:18" x14ac:dyDescent="0.2">
      <c r="A2651" s="2">
        <v>42622</v>
      </c>
      <c r="B2651" s="1" t="s">
        <v>56</v>
      </c>
      <c r="C2651" s="1" t="s">
        <v>57</v>
      </c>
      <c r="D2651" s="2">
        <v>43101</v>
      </c>
      <c r="E2651" s="2">
        <f t="shared" si="101"/>
        <v>43101</v>
      </c>
      <c r="F2651" s="1" t="s">
        <v>58</v>
      </c>
      <c r="G2651" s="1" t="s">
        <v>18</v>
      </c>
      <c r="H2651" s="1">
        <v>-0.75</v>
      </c>
      <c r="I2651" s="1">
        <v>2.97</v>
      </c>
      <c r="J2651" s="1">
        <v>0</v>
      </c>
      <c r="K2651" s="2">
        <v>43374</v>
      </c>
      <c r="L2651" s="1">
        <v>3716</v>
      </c>
      <c r="M2651" s="1">
        <v>3.53</v>
      </c>
      <c r="N2651" s="1">
        <v>-1.958E-2</v>
      </c>
      <c r="O2651" s="3">
        <f>VLOOKUP(D2651,underlying!$D$40:$H$75,5,FALSE)</f>
        <v>-3</v>
      </c>
      <c r="P2651" s="4">
        <f t="shared" si="100"/>
        <v>43110</v>
      </c>
      <c r="Q2651" s="7">
        <f>IF(G2651="C",NormalCallSprd(O2651,H2651,M2651,(P2651-A2651)/365), NormalPutSprd(O2651,H2651,M2651,(P2651-A2651)/365))</f>
        <v>2.9946763833303836</v>
      </c>
      <c r="R2651" s="9">
        <f t="shared" si="102"/>
        <v>2.4676383330383356E-2</v>
      </c>
    </row>
    <row r="2652" spans="1:18" x14ac:dyDescent="0.2">
      <c r="A2652" s="2">
        <v>42622</v>
      </c>
      <c r="B2652" s="1" t="s">
        <v>56</v>
      </c>
      <c r="C2652" s="1" t="s">
        <v>57</v>
      </c>
      <c r="D2652" s="2">
        <v>43101</v>
      </c>
      <c r="E2652" s="2">
        <f t="shared" si="101"/>
        <v>43101</v>
      </c>
      <c r="F2652" s="1" t="s">
        <v>58</v>
      </c>
      <c r="G2652" s="1" t="s">
        <v>16</v>
      </c>
      <c r="H2652" s="1">
        <v>-0.5</v>
      </c>
      <c r="I2652" s="1">
        <v>0.67</v>
      </c>
      <c r="J2652" s="1">
        <v>0</v>
      </c>
      <c r="K2652" s="2">
        <v>43374</v>
      </c>
      <c r="L2652" s="1">
        <v>3716</v>
      </c>
      <c r="M2652" s="1">
        <v>3.53</v>
      </c>
      <c r="N2652" s="1">
        <v>0.36279</v>
      </c>
      <c r="O2652" s="3">
        <f>VLOOKUP(D2652,underlying!$D$40:$H$75,5,FALSE)</f>
        <v>-3</v>
      </c>
      <c r="P2652" s="4">
        <f t="shared" si="100"/>
        <v>43110</v>
      </c>
      <c r="Q2652" s="7">
        <f>IF(G2652="C",NormalCallSprd(O2652,H2652,M2652,(P2652-A2652)/365), NormalPutSprd(O2652,H2652,M2652,(P2652-A2652)/365))</f>
        <v>0.67458688402229006</v>
      </c>
      <c r="R2652" s="9">
        <f t="shared" si="102"/>
        <v>4.5868840222900165E-3</v>
      </c>
    </row>
    <row r="2653" spans="1:18" x14ac:dyDescent="0.2">
      <c r="A2653" s="2">
        <v>42622</v>
      </c>
      <c r="B2653" s="1" t="s">
        <v>56</v>
      </c>
      <c r="C2653" s="1" t="s">
        <v>57</v>
      </c>
      <c r="D2653" s="2">
        <v>43101</v>
      </c>
      <c r="E2653" s="2">
        <f t="shared" si="101"/>
        <v>43101</v>
      </c>
      <c r="F2653" s="1" t="s">
        <v>58</v>
      </c>
      <c r="G2653" s="1" t="s">
        <v>18</v>
      </c>
      <c r="H2653" s="1">
        <v>-0.5</v>
      </c>
      <c r="I2653" s="1">
        <v>3.15</v>
      </c>
      <c r="J2653" s="1">
        <v>0</v>
      </c>
      <c r="K2653" s="2">
        <v>43374</v>
      </c>
      <c r="L2653" s="1">
        <v>3716</v>
      </c>
      <c r="M2653" s="1">
        <v>3.53</v>
      </c>
      <c r="N2653" s="1">
        <v>0.38479000000000002</v>
      </c>
      <c r="O2653" s="3">
        <f>VLOOKUP(D2653,underlying!$D$40:$H$75,5,FALSE)</f>
        <v>-3</v>
      </c>
      <c r="P2653" s="4">
        <f t="shared" si="100"/>
        <v>43110</v>
      </c>
      <c r="Q2653" s="7">
        <f>IF(G2653="C",NormalCallSprd(O2653,H2653,M2653,(P2653-A2653)/365), NormalPutSprd(O2653,H2653,M2653,(P2653-A2653)/365))</f>
        <v>3.1745868840222902</v>
      </c>
      <c r="R2653" s="9">
        <f t="shared" si="102"/>
        <v>2.4586884022290256E-2</v>
      </c>
    </row>
    <row r="2654" spans="1:18" x14ac:dyDescent="0.2">
      <c r="A2654" s="2">
        <v>42622</v>
      </c>
      <c r="B2654" s="1" t="s">
        <v>56</v>
      </c>
      <c r="C2654" s="1" t="s">
        <v>57</v>
      </c>
      <c r="D2654" s="2">
        <v>43101</v>
      </c>
      <c r="E2654" s="2">
        <f t="shared" si="101"/>
        <v>43101</v>
      </c>
      <c r="F2654" s="1" t="s">
        <v>58</v>
      </c>
      <c r="G2654" s="1" t="s">
        <v>16</v>
      </c>
      <c r="H2654" s="1">
        <v>-0.25</v>
      </c>
      <c r="I2654" s="1">
        <v>0.61</v>
      </c>
      <c r="J2654" s="1">
        <v>0</v>
      </c>
      <c r="K2654" s="2">
        <v>43374</v>
      </c>
      <c r="L2654" s="1">
        <v>3716</v>
      </c>
      <c r="M2654" s="1">
        <v>3.54</v>
      </c>
      <c r="N2654" s="1">
        <v>0.40590999999999999</v>
      </c>
      <c r="O2654" s="3">
        <f>VLOOKUP(D2654,underlying!$D$40:$H$75,5,FALSE)</f>
        <v>-3</v>
      </c>
      <c r="P2654" s="4">
        <f t="shared" si="100"/>
        <v>43110</v>
      </c>
      <c r="Q2654" s="7">
        <f>IF(G2654="C",NormalCallSprd(O2654,H2654,M2654,(P2654-A2654)/365), NormalPutSprd(O2654,H2654,M2654,(P2654-A2654)/365))</f>
        <v>0.61323894316167205</v>
      </c>
      <c r="R2654" s="9">
        <f t="shared" si="102"/>
        <v>3.2389431616720588E-3</v>
      </c>
    </row>
    <row r="2655" spans="1:18" x14ac:dyDescent="0.2">
      <c r="A2655" s="2">
        <v>42622</v>
      </c>
      <c r="B2655" s="1" t="s">
        <v>56</v>
      </c>
      <c r="C2655" s="1" t="s">
        <v>57</v>
      </c>
      <c r="D2655" s="2">
        <v>43101</v>
      </c>
      <c r="E2655" s="2">
        <f t="shared" si="101"/>
        <v>43101</v>
      </c>
      <c r="F2655" s="1" t="s">
        <v>58</v>
      </c>
      <c r="G2655" s="1" t="s">
        <v>18</v>
      </c>
      <c r="H2655" s="1">
        <v>-0.25</v>
      </c>
      <c r="I2655" s="1">
        <v>3.34</v>
      </c>
      <c r="J2655" s="1">
        <v>0</v>
      </c>
      <c r="K2655" s="2">
        <v>43374</v>
      </c>
      <c r="L2655" s="1">
        <v>3716</v>
      </c>
      <c r="M2655" s="1">
        <v>3.54</v>
      </c>
      <c r="N2655" s="1">
        <v>0.42812</v>
      </c>
      <c r="O2655" s="3">
        <f>VLOOKUP(D2655,underlying!$D$40:$H$75,5,FALSE)</f>
        <v>-3</v>
      </c>
      <c r="P2655" s="4">
        <f t="shared" si="100"/>
        <v>43110</v>
      </c>
      <c r="Q2655" s="7">
        <f>IF(G2655="C",NormalCallSprd(O2655,H2655,M2655,(P2655-A2655)/365), NormalPutSprd(O2655,H2655,M2655,(P2655-A2655)/365))</f>
        <v>3.3632389431616718</v>
      </c>
      <c r="R2655" s="9">
        <f t="shared" si="102"/>
        <v>2.3238943161671965E-2</v>
      </c>
    </row>
    <row r="2656" spans="1:18" x14ac:dyDescent="0.2">
      <c r="A2656" s="2">
        <v>42622</v>
      </c>
      <c r="B2656" s="1" t="s">
        <v>56</v>
      </c>
      <c r="C2656" s="1" t="s">
        <v>57</v>
      </c>
      <c r="D2656" s="2">
        <v>43102</v>
      </c>
      <c r="E2656" s="2">
        <f t="shared" si="101"/>
        <v>43132</v>
      </c>
      <c r="F2656" s="1" t="s">
        <v>58</v>
      </c>
      <c r="G2656" s="1" t="s">
        <v>16</v>
      </c>
      <c r="H2656" s="1">
        <v>-9</v>
      </c>
      <c r="I2656" s="1">
        <v>6.55</v>
      </c>
      <c r="J2656" s="1">
        <v>0</v>
      </c>
      <c r="K2656" s="2">
        <v>43345</v>
      </c>
      <c r="L2656" s="1">
        <v>3716</v>
      </c>
      <c r="M2656" s="1">
        <v>3.51</v>
      </c>
      <c r="N2656" s="1">
        <v>0.45029000000000002</v>
      </c>
      <c r="O2656" s="3">
        <f>VLOOKUP(D2656,underlying!$D$40:$H$75,5,FALSE)</f>
        <v>-2.5</v>
      </c>
      <c r="P2656" s="4">
        <f t="shared" si="100"/>
        <v>43140</v>
      </c>
      <c r="Q2656" s="7">
        <f>IF(G2656="C",NormalCallSprd(O2656,H2656,M2656,(P2656-A2656)/365), NormalPutSprd(O2656,H2656,M2656,(P2656-A2656)/365))</f>
        <v>6.6081052015100585</v>
      </c>
      <c r="R2656" s="9">
        <f t="shared" si="102"/>
        <v>5.8105201510058713E-2</v>
      </c>
    </row>
    <row r="2657" spans="1:18" x14ac:dyDescent="0.2">
      <c r="A2657" s="2">
        <v>42622</v>
      </c>
      <c r="B2657" s="1" t="s">
        <v>56</v>
      </c>
      <c r="C2657" s="1" t="s">
        <v>57</v>
      </c>
      <c r="D2657" s="2">
        <v>43102</v>
      </c>
      <c r="E2657" s="2">
        <f t="shared" si="101"/>
        <v>43132</v>
      </c>
      <c r="F2657" s="1" t="s">
        <v>58</v>
      </c>
      <c r="G2657" s="1" t="s">
        <v>18</v>
      </c>
      <c r="H2657" s="1">
        <v>-9</v>
      </c>
      <c r="I2657" s="1">
        <v>0.11</v>
      </c>
      <c r="J2657" s="1">
        <v>0</v>
      </c>
      <c r="K2657" s="2">
        <v>43345</v>
      </c>
      <c r="L2657" s="1">
        <v>3716</v>
      </c>
      <c r="M2657" s="1">
        <v>3.51</v>
      </c>
      <c r="N2657" s="1">
        <v>0.47266999999999998</v>
      </c>
      <c r="O2657" s="3">
        <f>VLOOKUP(D2657,underlying!$D$40:$H$75,5,FALSE)</f>
        <v>-2.5</v>
      </c>
      <c r="P2657" s="4">
        <f t="shared" si="100"/>
        <v>43140</v>
      </c>
      <c r="Q2657" s="7">
        <f>IF(G2657="C",NormalCallSprd(O2657,H2657,M2657,(P2657-A2657)/365), NormalPutSprd(O2657,H2657,M2657,(P2657-A2657)/365))</f>
        <v>0.10810520151005902</v>
      </c>
      <c r="R2657" s="9">
        <f t="shared" si="102"/>
        <v>1.8947984899409798E-3</v>
      </c>
    </row>
    <row r="2658" spans="1:18" x14ac:dyDescent="0.2">
      <c r="A2658" s="2">
        <v>42622</v>
      </c>
      <c r="B2658" s="1" t="s">
        <v>56</v>
      </c>
      <c r="C2658" s="1" t="s">
        <v>57</v>
      </c>
      <c r="D2658" s="2">
        <v>43102</v>
      </c>
      <c r="E2658" s="2">
        <f t="shared" si="101"/>
        <v>43132</v>
      </c>
      <c r="F2658" s="1" t="s">
        <v>58</v>
      </c>
      <c r="G2658" s="1" t="s">
        <v>16</v>
      </c>
      <c r="H2658" s="1">
        <v>-8</v>
      </c>
      <c r="I2658" s="1">
        <v>5.64</v>
      </c>
      <c r="J2658" s="1">
        <v>0</v>
      </c>
      <c r="K2658" s="2">
        <v>43345</v>
      </c>
      <c r="L2658" s="1">
        <v>3716</v>
      </c>
      <c r="M2658" s="1">
        <v>3.52</v>
      </c>
      <c r="N2658" s="1">
        <v>0.49498999999999999</v>
      </c>
      <c r="O2658" s="3">
        <f>VLOOKUP(D2658,underlying!$D$40:$H$75,5,FALSE)</f>
        <v>-2.5</v>
      </c>
      <c r="P2658" s="4">
        <f t="shared" si="100"/>
        <v>43140</v>
      </c>
      <c r="Q2658" s="7">
        <f>IF(G2658="C",NormalCallSprd(O2658,H2658,M2658,(P2658-A2658)/365), NormalPutSprd(O2658,H2658,M2658,(P2658-A2658)/365))</f>
        <v>5.6862539275184245</v>
      </c>
      <c r="R2658" s="9">
        <f t="shared" si="102"/>
        <v>4.6253927518424831E-2</v>
      </c>
    </row>
    <row r="2659" spans="1:18" x14ac:dyDescent="0.2">
      <c r="A2659" s="2">
        <v>42622</v>
      </c>
      <c r="B2659" s="1" t="s">
        <v>56</v>
      </c>
      <c r="C2659" s="1" t="s">
        <v>57</v>
      </c>
      <c r="D2659" s="2">
        <v>43102</v>
      </c>
      <c r="E2659" s="2">
        <f t="shared" si="101"/>
        <v>43132</v>
      </c>
      <c r="F2659" s="1" t="s">
        <v>58</v>
      </c>
      <c r="G2659" s="1" t="s">
        <v>18</v>
      </c>
      <c r="H2659" s="1">
        <v>-8</v>
      </c>
      <c r="I2659" s="1">
        <v>0.18</v>
      </c>
      <c r="J2659" s="1">
        <v>-0.01</v>
      </c>
      <c r="K2659" s="2">
        <v>43345</v>
      </c>
      <c r="L2659" s="1">
        <v>3716</v>
      </c>
      <c r="M2659" s="1">
        <v>3.52</v>
      </c>
      <c r="N2659" s="1">
        <v>0.51731000000000005</v>
      </c>
      <c r="O2659" s="3">
        <f>VLOOKUP(D2659,underlying!$D$40:$H$75,5,FALSE)</f>
        <v>-2.5</v>
      </c>
      <c r="P2659" s="4">
        <f t="shared" si="100"/>
        <v>43140</v>
      </c>
      <c r="Q2659" s="7">
        <f>IF(G2659="C",NormalCallSprd(O2659,H2659,M2659,(P2659-A2659)/365), NormalPutSprd(O2659,H2659,M2659,(P2659-A2659)/365))</f>
        <v>0.18625392751842398</v>
      </c>
      <c r="R2659" s="9">
        <f t="shared" si="102"/>
        <v>6.2539275184239906E-3</v>
      </c>
    </row>
    <row r="2660" spans="1:18" x14ac:dyDescent="0.2">
      <c r="A2660" s="2">
        <v>42622</v>
      </c>
      <c r="B2660" s="1" t="s">
        <v>56</v>
      </c>
      <c r="C2660" s="1" t="s">
        <v>57</v>
      </c>
      <c r="D2660" s="2">
        <v>43102</v>
      </c>
      <c r="E2660" s="2">
        <f t="shared" si="101"/>
        <v>43132</v>
      </c>
      <c r="F2660" s="1" t="s">
        <v>58</v>
      </c>
      <c r="G2660" s="1" t="s">
        <v>16</v>
      </c>
      <c r="H2660" s="1">
        <v>-7</v>
      </c>
      <c r="I2660" s="1">
        <v>4.76</v>
      </c>
      <c r="J2660" s="1">
        <v>-0.01</v>
      </c>
      <c r="K2660" s="2">
        <v>43345</v>
      </c>
      <c r="L2660" s="1">
        <v>3716</v>
      </c>
      <c r="M2660" s="1">
        <v>3.53</v>
      </c>
      <c r="N2660" s="1">
        <v>0.53969</v>
      </c>
      <c r="O2660" s="3">
        <f>VLOOKUP(D2660,underlying!$D$40:$H$75,5,FALSE)</f>
        <v>-2.5</v>
      </c>
      <c r="P2660" s="4">
        <f t="shared" si="100"/>
        <v>43140</v>
      </c>
      <c r="Q2660" s="7">
        <f>IF(G2660="C",NormalCallSprd(O2660,H2660,M2660,(P2660-A2660)/365), NormalPutSprd(O2660,H2660,M2660,(P2660-A2660)/365))</f>
        <v>4.806042758010669</v>
      </c>
      <c r="R2660" s="9">
        <f t="shared" si="102"/>
        <v>4.604275801066926E-2</v>
      </c>
    </row>
    <row r="2661" spans="1:18" x14ac:dyDescent="0.2">
      <c r="A2661" s="2">
        <v>42622</v>
      </c>
      <c r="B2661" s="1" t="s">
        <v>56</v>
      </c>
      <c r="C2661" s="1" t="s">
        <v>57</v>
      </c>
      <c r="D2661" s="2">
        <v>43102</v>
      </c>
      <c r="E2661" s="2">
        <f t="shared" si="101"/>
        <v>43132</v>
      </c>
      <c r="F2661" s="1" t="s">
        <v>58</v>
      </c>
      <c r="G2661" s="1" t="s">
        <v>18</v>
      </c>
      <c r="H2661" s="1">
        <v>-7</v>
      </c>
      <c r="I2661" s="1">
        <v>0.3</v>
      </c>
      <c r="J2661" s="1">
        <v>0</v>
      </c>
      <c r="K2661" s="2">
        <v>43345</v>
      </c>
      <c r="L2661" s="1">
        <v>3716</v>
      </c>
      <c r="M2661" s="1">
        <v>3.53</v>
      </c>
      <c r="N2661" s="1">
        <v>0.56186000000000003</v>
      </c>
      <c r="O2661" s="3">
        <f>VLOOKUP(D2661,underlying!$D$40:$H$75,5,FALSE)</f>
        <v>-2.5</v>
      </c>
      <c r="P2661" s="4">
        <f t="shared" si="100"/>
        <v>43140</v>
      </c>
      <c r="Q2661" s="7">
        <f>IF(G2661="C",NormalCallSprd(O2661,H2661,M2661,(P2661-A2661)/365), NormalPutSprd(O2661,H2661,M2661,(P2661-A2661)/365))</f>
        <v>0.30604275801066927</v>
      </c>
      <c r="R2661" s="9">
        <f t="shared" si="102"/>
        <v>6.0427580106692802E-3</v>
      </c>
    </row>
    <row r="2662" spans="1:18" x14ac:dyDescent="0.2">
      <c r="A2662" s="2">
        <v>42622</v>
      </c>
      <c r="B2662" s="1" t="s">
        <v>56</v>
      </c>
      <c r="C2662" s="1" t="s">
        <v>57</v>
      </c>
      <c r="D2662" s="2">
        <v>43102</v>
      </c>
      <c r="E2662" s="2">
        <f t="shared" si="101"/>
        <v>43132</v>
      </c>
      <c r="F2662" s="1" t="s">
        <v>58</v>
      </c>
      <c r="G2662" s="1" t="s">
        <v>16</v>
      </c>
      <c r="H2662" s="1">
        <v>-6.25</v>
      </c>
      <c r="I2662" s="1">
        <v>4.1399999999999997</v>
      </c>
      <c r="J2662" s="1">
        <v>0</v>
      </c>
      <c r="K2662" s="2">
        <v>43345</v>
      </c>
      <c r="L2662" s="1">
        <v>3716</v>
      </c>
      <c r="M2662" s="1">
        <v>3.53</v>
      </c>
      <c r="N2662" s="1">
        <v>0.58406999999999998</v>
      </c>
      <c r="O2662" s="3">
        <f>VLOOKUP(D2662,underlying!$D$40:$H$75,5,FALSE)</f>
        <v>-2.5</v>
      </c>
      <c r="P2662" s="4">
        <f t="shared" si="100"/>
        <v>43140</v>
      </c>
      <c r="Q2662" s="7">
        <f>IF(G2662="C",NormalCallSprd(O2662,H2662,M2662,(P2662-A2662)/365), NormalPutSprd(O2662,H2662,M2662,(P2662-A2662)/365))</f>
        <v>4.1787712319567261</v>
      </c>
      <c r="R2662" s="9">
        <f t="shared" si="102"/>
        <v>3.8771231956726382E-2</v>
      </c>
    </row>
    <row r="2663" spans="1:18" x14ac:dyDescent="0.2">
      <c r="A2663" s="2">
        <v>42622</v>
      </c>
      <c r="B2663" s="1" t="s">
        <v>56</v>
      </c>
      <c r="C2663" s="1" t="s">
        <v>57</v>
      </c>
      <c r="D2663" s="2">
        <v>43102</v>
      </c>
      <c r="E2663" s="2">
        <f t="shared" si="101"/>
        <v>43132</v>
      </c>
      <c r="F2663" s="1" t="s">
        <v>58</v>
      </c>
      <c r="G2663" s="1" t="s">
        <v>18</v>
      </c>
      <c r="H2663" s="1">
        <v>-6.25</v>
      </c>
      <c r="I2663" s="1">
        <v>0.43</v>
      </c>
      <c r="J2663" s="1">
        <v>0</v>
      </c>
      <c r="K2663" s="2">
        <v>43345</v>
      </c>
      <c r="L2663" s="1">
        <v>3716</v>
      </c>
      <c r="M2663" s="1">
        <v>3.53</v>
      </c>
      <c r="N2663" s="1">
        <v>0.60519000000000001</v>
      </c>
      <c r="O2663" s="3">
        <f>VLOOKUP(D2663,underlying!$D$40:$H$75,5,FALSE)</f>
        <v>-2.5</v>
      </c>
      <c r="P2663" s="4">
        <f t="shared" si="100"/>
        <v>43140</v>
      </c>
      <c r="Q2663" s="7">
        <f>IF(G2663="C",NormalCallSprd(O2663,H2663,M2663,(P2663-A2663)/365), NormalPutSprd(O2663,H2663,M2663,(P2663-A2663)/365))</f>
        <v>0.42877123195672556</v>
      </c>
      <c r="R2663" s="9">
        <f t="shared" si="102"/>
        <v>1.2287680432744308E-3</v>
      </c>
    </row>
    <row r="2664" spans="1:18" x14ac:dyDescent="0.2">
      <c r="A2664" s="2">
        <v>42622</v>
      </c>
      <c r="B2664" s="1" t="s">
        <v>56</v>
      </c>
      <c r="C2664" s="1" t="s">
        <v>57</v>
      </c>
      <c r="D2664" s="2">
        <v>43102</v>
      </c>
      <c r="E2664" s="2">
        <f t="shared" si="101"/>
        <v>43132</v>
      </c>
      <c r="F2664" s="1" t="s">
        <v>58</v>
      </c>
      <c r="G2664" s="1" t="s">
        <v>16</v>
      </c>
      <c r="H2664" s="1">
        <v>-6</v>
      </c>
      <c r="I2664" s="1">
        <v>3.94</v>
      </c>
      <c r="J2664" s="1">
        <v>-0.01</v>
      </c>
      <c r="K2664" s="2">
        <v>43345</v>
      </c>
      <c r="L2664" s="1">
        <v>3716</v>
      </c>
      <c r="M2664" s="1">
        <v>3.53</v>
      </c>
      <c r="N2664" s="1">
        <v>0.62719999999999998</v>
      </c>
      <c r="O2664" s="3">
        <f>VLOOKUP(D2664,underlying!$D$40:$H$75,5,FALSE)</f>
        <v>-2.5</v>
      </c>
      <c r="P2664" s="4">
        <f t="shared" si="100"/>
        <v>43140</v>
      </c>
      <c r="Q2664" s="7">
        <f>IF(G2664="C",NormalCallSprd(O2664,H2664,M2664,(P2664-A2664)/365), NormalPutSprd(O2664,H2664,M2664,(P2664-A2664)/365))</f>
        <v>3.9773648658415661</v>
      </c>
      <c r="R2664" s="9">
        <f t="shared" si="102"/>
        <v>3.7364865841566175E-2</v>
      </c>
    </row>
    <row r="2665" spans="1:18" x14ac:dyDescent="0.2">
      <c r="A2665" s="2">
        <v>42622</v>
      </c>
      <c r="B2665" s="1" t="s">
        <v>56</v>
      </c>
      <c r="C2665" s="1" t="s">
        <v>57</v>
      </c>
      <c r="D2665" s="2">
        <v>43102</v>
      </c>
      <c r="E2665" s="2">
        <f t="shared" si="101"/>
        <v>43132</v>
      </c>
      <c r="F2665" s="1" t="s">
        <v>58</v>
      </c>
      <c r="G2665" s="1" t="s">
        <v>18</v>
      </c>
      <c r="H2665" s="1">
        <v>-6</v>
      </c>
      <c r="I2665" s="1">
        <v>0.47</v>
      </c>
      <c r="J2665" s="1">
        <v>0</v>
      </c>
      <c r="K2665" s="2">
        <v>43345</v>
      </c>
      <c r="L2665" s="1">
        <v>3716</v>
      </c>
      <c r="M2665" s="1">
        <v>3.53</v>
      </c>
      <c r="N2665" s="1">
        <v>0.64734000000000003</v>
      </c>
      <c r="O2665" s="3">
        <f>VLOOKUP(D2665,underlying!$D$40:$H$75,5,FALSE)</f>
        <v>-2.5</v>
      </c>
      <c r="P2665" s="4">
        <f t="shared" si="100"/>
        <v>43140</v>
      </c>
      <c r="Q2665" s="7">
        <f>IF(G2665="C",NormalCallSprd(O2665,H2665,M2665,(P2665-A2665)/365), NormalPutSprd(O2665,H2665,M2665,(P2665-A2665)/365))</f>
        <v>0.47736486584156584</v>
      </c>
      <c r="R2665" s="9">
        <f t="shared" si="102"/>
        <v>7.3648658415658708E-3</v>
      </c>
    </row>
    <row r="2666" spans="1:18" x14ac:dyDescent="0.2">
      <c r="A2666" s="2">
        <v>42622</v>
      </c>
      <c r="B2666" s="1" t="s">
        <v>56</v>
      </c>
      <c r="C2666" s="1" t="s">
        <v>57</v>
      </c>
      <c r="D2666" s="2">
        <v>43102</v>
      </c>
      <c r="E2666" s="2">
        <f t="shared" si="101"/>
        <v>43132</v>
      </c>
      <c r="F2666" s="1" t="s">
        <v>58</v>
      </c>
      <c r="G2666" s="1" t="s">
        <v>16</v>
      </c>
      <c r="H2666" s="1">
        <v>-5.75</v>
      </c>
      <c r="I2666" s="1">
        <v>3.75</v>
      </c>
      <c r="J2666" s="1">
        <v>0</v>
      </c>
      <c r="K2666" s="2">
        <v>43345</v>
      </c>
      <c r="L2666" s="1">
        <v>3716</v>
      </c>
      <c r="M2666" s="1">
        <v>3.53</v>
      </c>
      <c r="N2666" s="1">
        <v>0.66868000000000005</v>
      </c>
      <c r="O2666" s="3">
        <f>VLOOKUP(D2666,underlying!$D$40:$H$75,5,FALSE)</f>
        <v>-2.5</v>
      </c>
      <c r="P2666" s="4">
        <f t="shared" si="100"/>
        <v>43140</v>
      </c>
      <c r="Q2666" s="7">
        <f>IF(G2666="C",NormalCallSprd(O2666,H2666,M2666,(P2666-A2666)/365), NormalPutSprd(O2666,H2666,M2666,(P2666-A2666)/365))</f>
        <v>3.7801516278020113</v>
      </c>
      <c r="R2666" s="9">
        <f t="shared" si="102"/>
        <v>3.0151627802011305E-2</v>
      </c>
    </row>
    <row r="2667" spans="1:18" x14ac:dyDescent="0.2">
      <c r="A2667" s="2">
        <v>42622</v>
      </c>
      <c r="B2667" s="1" t="s">
        <v>56</v>
      </c>
      <c r="C2667" s="1" t="s">
        <v>57</v>
      </c>
      <c r="D2667" s="2">
        <v>43102</v>
      </c>
      <c r="E2667" s="2">
        <f t="shared" si="101"/>
        <v>43132</v>
      </c>
      <c r="F2667" s="1" t="s">
        <v>58</v>
      </c>
      <c r="G2667" s="1" t="s">
        <v>18</v>
      </c>
      <c r="H2667" s="1">
        <v>-5.75</v>
      </c>
      <c r="I2667" s="1">
        <v>0.53</v>
      </c>
      <c r="J2667" s="1">
        <v>0</v>
      </c>
      <c r="K2667" s="2">
        <v>43345</v>
      </c>
      <c r="L2667" s="1">
        <v>3716</v>
      </c>
      <c r="M2667" s="1">
        <v>3.53</v>
      </c>
      <c r="N2667" s="1">
        <v>0.68764999999999998</v>
      </c>
      <c r="O2667" s="3">
        <f>VLOOKUP(D2667,underlying!$D$40:$H$75,5,FALSE)</f>
        <v>-2.5</v>
      </c>
      <c r="P2667" s="4">
        <f t="shared" si="100"/>
        <v>43140</v>
      </c>
      <c r="Q2667" s="7">
        <f>IF(G2667="C",NormalCallSprd(O2667,H2667,M2667,(P2667-A2667)/365), NormalPutSprd(O2667,H2667,M2667,(P2667-A2667)/365))</f>
        <v>0.5301516278020113</v>
      </c>
      <c r="R2667" s="9">
        <f t="shared" si="102"/>
        <v>1.5162780201127823E-4</v>
      </c>
    </row>
    <row r="2668" spans="1:18" x14ac:dyDescent="0.2">
      <c r="A2668" s="2">
        <v>42622</v>
      </c>
      <c r="B2668" s="1" t="s">
        <v>56</v>
      </c>
      <c r="C2668" s="1" t="s">
        <v>57</v>
      </c>
      <c r="D2668" s="2">
        <v>43102</v>
      </c>
      <c r="E2668" s="2">
        <f t="shared" si="101"/>
        <v>43132</v>
      </c>
      <c r="F2668" s="1" t="s">
        <v>58</v>
      </c>
      <c r="G2668" s="1" t="s">
        <v>16</v>
      </c>
      <c r="H2668" s="1">
        <v>-5.5</v>
      </c>
      <c r="I2668" s="1">
        <v>3.56</v>
      </c>
      <c r="J2668" s="1">
        <v>0</v>
      </c>
      <c r="K2668" s="2">
        <v>43345</v>
      </c>
      <c r="L2668" s="1">
        <v>3716</v>
      </c>
      <c r="M2668" s="1">
        <v>3.53</v>
      </c>
      <c r="N2668" s="1">
        <v>0.70698000000000005</v>
      </c>
      <c r="O2668" s="3">
        <f>VLOOKUP(D2668,underlying!$D$40:$H$75,5,FALSE)</f>
        <v>-2.5</v>
      </c>
      <c r="P2668" s="4">
        <f t="shared" si="100"/>
        <v>43140</v>
      </c>
      <c r="Q2668" s="7">
        <f>IF(G2668="C",NormalCallSprd(O2668,H2668,M2668,(P2668-A2668)/365), NormalPutSprd(O2668,H2668,M2668,(P2668-A2668)/365))</f>
        <v>3.5873363062611676</v>
      </c>
      <c r="R2668" s="9">
        <f t="shared" si="102"/>
        <v>2.7336306261167564E-2</v>
      </c>
    </row>
    <row r="2669" spans="1:18" x14ac:dyDescent="0.2">
      <c r="A2669" s="2">
        <v>42622</v>
      </c>
      <c r="B2669" s="1" t="s">
        <v>56</v>
      </c>
      <c r="C2669" s="1" t="s">
        <v>57</v>
      </c>
      <c r="D2669" s="2">
        <v>43102</v>
      </c>
      <c r="E2669" s="2">
        <f t="shared" si="101"/>
        <v>43132</v>
      </c>
      <c r="F2669" s="1" t="s">
        <v>58</v>
      </c>
      <c r="G2669" s="1" t="s">
        <v>18</v>
      </c>
      <c r="H2669" s="1">
        <v>-5.5</v>
      </c>
      <c r="I2669" s="1">
        <v>0.57999999999999996</v>
      </c>
      <c r="J2669" s="1">
        <v>0</v>
      </c>
      <c r="K2669" s="2">
        <v>43345</v>
      </c>
      <c r="L2669" s="1">
        <v>3716</v>
      </c>
      <c r="M2669" s="1">
        <v>3.53</v>
      </c>
      <c r="N2669" s="1">
        <v>0.72570999999999997</v>
      </c>
      <c r="O2669" s="3">
        <f>VLOOKUP(D2669,underlying!$D$40:$H$75,5,FALSE)</f>
        <v>-2.5</v>
      </c>
      <c r="P2669" s="4">
        <f t="shared" si="100"/>
        <v>43140</v>
      </c>
      <c r="Q2669" s="7">
        <f>IF(G2669="C",NormalCallSprd(O2669,H2669,M2669,(P2669-A2669)/365), NormalPutSprd(O2669,H2669,M2669,(P2669-A2669)/365))</f>
        <v>0.58733630626116795</v>
      </c>
      <c r="R2669" s="9">
        <f t="shared" si="102"/>
        <v>7.3363062611679908E-3</v>
      </c>
    </row>
    <row r="2670" spans="1:18" x14ac:dyDescent="0.2">
      <c r="A2670" s="2">
        <v>42622</v>
      </c>
      <c r="B2670" s="1" t="s">
        <v>56</v>
      </c>
      <c r="C2670" s="1" t="s">
        <v>57</v>
      </c>
      <c r="D2670" s="2">
        <v>43102</v>
      </c>
      <c r="E2670" s="2">
        <f t="shared" si="101"/>
        <v>43132</v>
      </c>
      <c r="F2670" s="1" t="s">
        <v>58</v>
      </c>
      <c r="G2670" s="1" t="s">
        <v>16</v>
      </c>
      <c r="H2670" s="1">
        <v>-5.25</v>
      </c>
      <c r="I2670" s="1">
        <v>3.37</v>
      </c>
      <c r="J2670" s="1">
        <v>0</v>
      </c>
      <c r="K2670" s="2">
        <v>43345</v>
      </c>
      <c r="L2670" s="1">
        <v>3716</v>
      </c>
      <c r="M2670" s="1">
        <v>3.53</v>
      </c>
      <c r="N2670" s="1">
        <v>0.74378</v>
      </c>
      <c r="O2670" s="3">
        <f>VLOOKUP(D2670,underlying!$D$40:$H$75,5,FALSE)</f>
        <v>-2.5</v>
      </c>
      <c r="P2670" s="4">
        <f t="shared" si="100"/>
        <v>43140</v>
      </c>
      <c r="Q2670" s="7">
        <f>IF(G2670="C",NormalCallSprd(O2670,H2670,M2670,(P2670-A2670)/365), NormalPutSprd(O2670,H2670,M2670,(P2670-A2670)/365))</f>
        <v>3.3991174273288354</v>
      </c>
      <c r="R2670" s="9">
        <f t="shared" si="102"/>
        <v>2.9117427328835266E-2</v>
      </c>
    </row>
    <row r="2671" spans="1:18" x14ac:dyDescent="0.2">
      <c r="A2671" s="2">
        <v>42622</v>
      </c>
      <c r="B2671" s="1" t="s">
        <v>56</v>
      </c>
      <c r="C2671" s="1" t="s">
        <v>57</v>
      </c>
      <c r="D2671" s="2">
        <v>43102</v>
      </c>
      <c r="E2671" s="2">
        <f t="shared" si="101"/>
        <v>43132</v>
      </c>
      <c r="F2671" s="1" t="s">
        <v>58</v>
      </c>
      <c r="G2671" s="1" t="s">
        <v>18</v>
      </c>
      <c r="H2671" s="1">
        <v>-5.25</v>
      </c>
      <c r="I2671" s="1">
        <v>0.64</v>
      </c>
      <c r="J2671" s="1">
        <v>0</v>
      </c>
      <c r="K2671" s="2">
        <v>43345</v>
      </c>
      <c r="L2671" s="1">
        <v>3716</v>
      </c>
      <c r="M2671" s="1">
        <v>3.53</v>
      </c>
      <c r="N2671" s="1">
        <v>0.76117999999999997</v>
      </c>
      <c r="O2671" s="3">
        <f>VLOOKUP(D2671,underlying!$D$40:$H$75,5,FALSE)</f>
        <v>-2.5</v>
      </c>
      <c r="P2671" s="4">
        <f t="shared" si="100"/>
        <v>43140</v>
      </c>
      <c r="Q2671" s="7">
        <f>IF(G2671="C",NormalCallSprd(O2671,H2671,M2671,(P2671-A2671)/365), NormalPutSprd(O2671,H2671,M2671,(P2671-A2671)/365))</f>
        <v>0.64911742732883571</v>
      </c>
      <c r="R2671" s="9">
        <f t="shared" si="102"/>
        <v>9.1174273288356922E-3</v>
      </c>
    </row>
    <row r="2672" spans="1:18" x14ac:dyDescent="0.2">
      <c r="A2672" s="2">
        <v>42622</v>
      </c>
      <c r="B2672" s="1" t="s">
        <v>56</v>
      </c>
      <c r="C2672" s="1" t="s">
        <v>57</v>
      </c>
      <c r="D2672" s="2">
        <v>43102</v>
      </c>
      <c r="E2672" s="2">
        <f t="shared" si="101"/>
        <v>43132</v>
      </c>
      <c r="F2672" s="1" t="s">
        <v>58</v>
      </c>
      <c r="G2672" s="1" t="s">
        <v>16</v>
      </c>
      <c r="H2672" s="1">
        <v>-5</v>
      </c>
      <c r="I2672" s="1">
        <v>3.19</v>
      </c>
      <c r="J2672" s="1">
        <v>0</v>
      </c>
      <c r="K2672" s="2">
        <v>43345</v>
      </c>
      <c r="L2672" s="1">
        <v>3716</v>
      </c>
      <c r="M2672" s="1">
        <v>3.53</v>
      </c>
      <c r="N2672" s="1">
        <v>0.77786</v>
      </c>
      <c r="O2672" s="3">
        <f>VLOOKUP(D2672,underlying!$D$40:$H$75,5,FALSE)</f>
        <v>-2.5</v>
      </c>
      <c r="P2672" s="4">
        <f t="shared" si="100"/>
        <v>43140</v>
      </c>
      <c r="Q2672" s="7">
        <f>IF(G2672="C",NormalCallSprd(O2672,H2672,M2672,(P2672-A2672)/365), NormalPutSprd(O2672,H2672,M2672,(P2672-A2672)/365))</f>
        <v>3.2156855405466591</v>
      </c>
      <c r="R2672" s="9">
        <f t="shared" si="102"/>
        <v>2.5685540546659169E-2</v>
      </c>
    </row>
    <row r="2673" spans="1:18" x14ac:dyDescent="0.2">
      <c r="A2673" s="2">
        <v>42622</v>
      </c>
      <c r="B2673" s="1" t="s">
        <v>56</v>
      </c>
      <c r="C2673" s="1" t="s">
        <v>57</v>
      </c>
      <c r="D2673" s="2">
        <v>43102</v>
      </c>
      <c r="E2673" s="2">
        <f t="shared" si="101"/>
        <v>43132</v>
      </c>
      <c r="F2673" s="1" t="s">
        <v>58</v>
      </c>
      <c r="G2673" s="1" t="s">
        <v>18</v>
      </c>
      <c r="H2673" s="1">
        <v>-5</v>
      </c>
      <c r="I2673" s="1">
        <v>0.71</v>
      </c>
      <c r="J2673" s="1">
        <v>0</v>
      </c>
      <c r="K2673" s="2">
        <v>43345</v>
      </c>
      <c r="L2673" s="1">
        <v>3716</v>
      </c>
      <c r="M2673" s="1">
        <v>3.53</v>
      </c>
      <c r="N2673" s="1">
        <v>0.79381999999999997</v>
      </c>
      <c r="O2673" s="3">
        <f>VLOOKUP(D2673,underlying!$D$40:$H$75,5,FALSE)</f>
        <v>-2.5</v>
      </c>
      <c r="P2673" s="4">
        <f t="shared" si="100"/>
        <v>43140</v>
      </c>
      <c r="Q2673" s="7">
        <f>IF(G2673="C",NormalCallSprd(O2673,H2673,M2673,(P2673-A2673)/365), NormalPutSprd(O2673,H2673,M2673,(P2673-A2673)/365))</f>
        <v>0.715685540546659</v>
      </c>
      <c r="R2673" s="9">
        <f t="shared" si="102"/>
        <v>5.6855405466590403E-3</v>
      </c>
    </row>
    <row r="2674" spans="1:18" x14ac:dyDescent="0.2">
      <c r="A2674" s="2">
        <v>42622</v>
      </c>
      <c r="B2674" s="1" t="s">
        <v>56</v>
      </c>
      <c r="C2674" s="1" t="s">
        <v>57</v>
      </c>
      <c r="D2674" s="2">
        <v>43102</v>
      </c>
      <c r="E2674" s="2">
        <f t="shared" si="101"/>
        <v>43132</v>
      </c>
      <c r="F2674" s="1" t="s">
        <v>58</v>
      </c>
      <c r="G2674" s="1" t="s">
        <v>16</v>
      </c>
      <c r="H2674" s="1">
        <v>-4.75</v>
      </c>
      <c r="I2674" s="1">
        <v>3.01</v>
      </c>
      <c r="J2674" s="1">
        <v>0</v>
      </c>
      <c r="K2674" s="2">
        <v>43345</v>
      </c>
      <c r="L2674" s="1">
        <v>3716</v>
      </c>
      <c r="M2674" s="1">
        <v>3.53</v>
      </c>
      <c r="N2674" s="1">
        <v>0.80903000000000003</v>
      </c>
      <c r="O2674" s="3">
        <f>VLOOKUP(D2674,underlying!$D$40:$H$75,5,FALSE)</f>
        <v>-2.5</v>
      </c>
      <c r="P2674" s="4">
        <f t="shared" si="100"/>
        <v>43140</v>
      </c>
      <c r="Q2674" s="7">
        <f>IF(G2674="C",NormalCallSprd(O2674,H2674,M2674,(P2674-A2674)/365), NormalPutSprd(O2674,H2674,M2674,(P2674-A2674)/365))</f>
        <v>3.0372215166391801</v>
      </c>
      <c r="R2674" s="9">
        <f t="shared" si="102"/>
        <v>2.7221516639180265E-2</v>
      </c>
    </row>
    <row r="2675" spans="1:18" x14ac:dyDescent="0.2">
      <c r="A2675" s="2">
        <v>42622</v>
      </c>
      <c r="B2675" s="1" t="s">
        <v>56</v>
      </c>
      <c r="C2675" s="1" t="s">
        <v>57</v>
      </c>
      <c r="D2675" s="2">
        <v>43102</v>
      </c>
      <c r="E2675" s="2">
        <f t="shared" si="101"/>
        <v>43132</v>
      </c>
      <c r="F2675" s="1" t="s">
        <v>58</v>
      </c>
      <c r="G2675" s="1" t="s">
        <v>18</v>
      </c>
      <c r="H2675" s="1">
        <v>-4.75</v>
      </c>
      <c r="I2675" s="1">
        <v>0.78</v>
      </c>
      <c r="J2675" s="1">
        <v>0</v>
      </c>
      <c r="K2675" s="2">
        <v>43345</v>
      </c>
      <c r="L2675" s="1">
        <v>3716</v>
      </c>
      <c r="M2675" s="1">
        <v>3.53</v>
      </c>
      <c r="N2675" s="1">
        <v>0.82347999999999999</v>
      </c>
      <c r="O2675" s="3">
        <f>VLOOKUP(D2675,underlying!$D$40:$H$75,5,FALSE)</f>
        <v>-2.5</v>
      </c>
      <c r="P2675" s="4">
        <f t="shared" si="100"/>
        <v>43140</v>
      </c>
      <c r="Q2675" s="7">
        <f>IF(G2675="C",NormalCallSprd(O2675,H2675,M2675,(P2675-A2675)/365), NormalPutSprd(O2675,H2675,M2675,(P2675-A2675)/365))</f>
        <v>0.78722151663918016</v>
      </c>
      <c r="R2675" s="9">
        <f t="shared" si="102"/>
        <v>7.2215166391801366E-3</v>
      </c>
    </row>
    <row r="2676" spans="1:18" x14ac:dyDescent="0.2">
      <c r="A2676" s="2">
        <v>42622</v>
      </c>
      <c r="B2676" s="1" t="s">
        <v>56</v>
      </c>
      <c r="C2676" s="1" t="s">
        <v>57</v>
      </c>
      <c r="D2676" s="2">
        <v>43102</v>
      </c>
      <c r="E2676" s="2">
        <f t="shared" si="101"/>
        <v>43132</v>
      </c>
      <c r="F2676" s="1" t="s">
        <v>58</v>
      </c>
      <c r="G2676" s="1" t="s">
        <v>16</v>
      </c>
      <c r="H2676" s="1">
        <v>-4.5</v>
      </c>
      <c r="I2676" s="1">
        <v>2.83</v>
      </c>
      <c r="J2676" s="1">
        <v>0</v>
      </c>
      <c r="K2676" s="2">
        <v>43345</v>
      </c>
      <c r="L2676" s="1">
        <v>3716</v>
      </c>
      <c r="M2676" s="1">
        <v>3.51</v>
      </c>
      <c r="N2676" s="1">
        <v>0.83716999999999997</v>
      </c>
      <c r="O2676" s="3">
        <f>VLOOKUP(D2676,underlying!$D$40:$H$75,5,FALSE)</f>
        <v>-2.5</v>
      </c>
      <c r="P2676" s="4">
        <f t="shared" si="100"/>
        <v>43140</v>
      </c>
      <c r="Q2676" s="7">
        <f>IF(G2676="C",NormalCallSprd(O2676,H2676,M2676,(P2676-A2676)/365), NormalPutSprd(O2676,H2676,M2676,(P2676-A2676)/365))</f>
        <v>2.8554116353638954</v>
      </c>
      <c r="R2676" s="9">
        <f t="shared" si="102"/>
        <v>2.5411635363895346E-2</v>
      </c>
    </row>
    <row r="2677" spans="1:18" x14ac:dyDescent="0.2">
      <c r="A2677" s="2">
        <v>42622</v>
      </c>
      <c r="B2677" s="1" t="s">
        <v>56</v>
      </c>
      <c r="C2677" s="1" t="s">
        <v>57</v>
      </c>
      <c r="D2677" s="2">
        <v>43102</v>
      </c>
      <c r="E2677" s="2">
        <f t="shared" si="101"/>
        <v>43132</v>
      </c>
      <c r="F2677" s="1" t="s">
        <v>58</v>
      </c>
      <c r="G2677" s="1" t="s">
        <v>18</v>
      </c>
      <c r="H2677" s="1">
        <v>-4.5</v>
      </c>
      <c r="I2677" s="1">
        <v>0.85</v>
      </c>
      <c r="J2677" s="1">
        <v>0</v>
      </c>
      <c r="K2677" s="2">
        <v>43345</v>
      </c>
      <c r="L2677" s="1">
        <v>3716</v>
      </c>
      <c r="M2677" s="1">
        <v>3.51</v>
      </c>
      <c r="N2677" s="1">
        <v>0.87365999999999999</v>
      </c>
      <c r="O2677" s="3">
        <f>VLOOKUP(D2677,underlying!$D$40:$H$75,5,FALSE)</f>
        <v>-2.5</v>
      </c>
      <c r="P2677" s="4">
        <f t="shared" si="100"/>
        <v>43140</v>
      </c>
      <c r="Q2677" s="7">
        <f>IF(G2677="C",NormalCallSprd(O2677,H2677,M2677,(P2677-A2677)/365), NormalPutSprd(O2677,H2677,M2677,(P2677-A2677)/365))</f>
        <v>0.8554116353638952</v>
      </c>
      <c r="R2677" s="9">
        <f t="shared" si="102"/>
        <v>5.4116353638952175E-3</v>
      </c>
    </row>
    <row r="2678" spans="1:18" x14ac:dyDescent="0.2">
      <c r="A2678" s="2">
        <v>42622</v>
      </c>
      <c r="B2678" s="1" t="s">
        <v>56</v>
      </c>
      <c r="C2678" s="1" t="s">
        <v>57</v>
      </c>
      <c r="D2678" s="2">
        <v>43102</v>
      </c>
      <c r="E2678" s="2">
        <f t="shared" si="101"/>
        <v>43132</v>
      </c>
      <c r="F2678" s="1" t="s">
        <v>58</v>
      </c>
      <c r="G2678" s="1" t="s">
        <v>16</v>
      </c>
      <c r="H2678" s="1">
        <v>-4.25</v>
      </c>
      <c r="I2678" s="1">
        <v>2.67</v>
      </c>
      <c r="J2678" s="1">
        <v>0</v>
      </c>
      <c r="K2678" s="2">
        <v>43345</v>
      </c>
      <c r="L2678" s="1">
        <v>3716</v>
      </c>
      <c r="M2678" s="1">
        <v>3.53</v>
      </c>
      <c r="N2678" s="1">
        <v>0.91264000000000001</v>
      </c>
      <c r="O2678" s="3">
        <f>VLOOKUP(D2678,underlying!$D$40:$H$75,5,FALSE)</f>
        <v>-2.5</v>
      </c>
      <c r="P2678" s="4">
        <f t="shared" si="100"/>
        <v>43140</v>
      </c>
      <c r="Q2678" s="7">
        <f>IF(G2678="C",NormalCallSprd(O2678,H2678,M2678,(P2678-A2678)/365), NormalPutSprd(O2678,H2678,M2678,(P2678-A2678)/365))</f>
        <v>2.6958622169495854</v>
      </c>
      <c r="R2678" s="9">
        <f t="shared" si="102"/>
        <v>2.5862216949585459E-2</v>
      </c>
    </row>
    <row r="2679" spans="1:18" x14ac:dyDescent="0.2">
      <c r="A2679" s="2">
        <v>42622</v>
      </c>
      <c r="B2679" s="1" t="s">
        <v>56</v>
      </c>
      <c r="C2679" s="1" t="s">
        <v>57</v>
      </c>
      <c r="D2679" s="2">
        <v>43102</v>
      </c>
      <c r="E2679" s="2">
        <f t="shared" si="101"/>
        <v>43132</v>
      </c>
      <c r="F2679" s="1" t="s">
        <v>58</v>
      </c>
      <c r="G2679" s="1" t="s">
        <v>18</v>
      </c>
      <c r="H2679" s="1">
        <v>-4.25</v>
      </c>
      <c r="I2679" s="1">
        <v>0.94</v>
      </c>
      <c r="J2679" s="1">
        <v>0</v>
      </c>
      <c r="K2679" s="2">
        <v>43345</v>
      </c>
      <c r="L2679" s="1">
        <v>3716</v>
      </c>
      <c r="M2679" s="1">
        <v>3.53</v>
      </c>
      <c r="N2679" s="1">
        <v>0.94094</v>
      </c>
      <c r="O2679" s="3">
        <f>VLOOKUP(D2679,underlying!$D$40:$H$75,5,FALSE)</f>
        <v>-2.5</v>
      </c>
      <c r="P2679" s="4">
        <f t="shared" si="100"/>
        <v>43140</v>
      </c>
      <c r="Q2679" s="7">
        <f>IF(G2679="C",NormalCallSprd(O2679,H2679,M2679,(P2679-A2679)/365), NormalPutSprd(O2679,H2679,M2679,(P2679-A2679)/365))</f>
        <v>0.94586221694958572</v>
      </c>
      <c r="R2679" s="9">
        <f t="shared" si="102"/>
        <v>5.8622169495857746E-3</v>
      </c>
    </row>
    <row r="2680" spans="1:18" x14ac:dyDescent="0.2">
      <c r="A2680" s="2">
        <v>42622</v>
      </c>
      <c r="B2680" s="1" t="s">
        <v>56</v>
      </c>
      <c r="C2680" s="1" t="s">
        <v>57</v>
      </c>
      <c r="D2680" s="2">
        <v>43102</v>
      </c>
      <c r="E2680" s="2">
        <f t="shared" si="101"/>
        <v>43132</v>
      </c>
      <c r="F2680" s="1" t="s">
        <v>58</v>
      </c>
      <c r="G2680" s="1" t="s">
        <v>16</v>
      </c>
      <c r="H2680" s="1">
        <v>-4</v>
      </c>
      <c r="I2680" s="1">
        <v>2.5</v>
      </c>
      <c r="J2680" s="1">
        <v>0</v>
      </c>
      <c r="K2680" s="2">
        <v>43345</v>
      </c>
      <c r="L2680" s="1">
        <v>3716</v>
      </c>
      <c r="M2680" s="1">
        <v>3.51</v>
      </c>
      <c r="N2680" s="1">
        <v>-0.62719999999999998</v>
      </c>
      <c r="O2680" s="3">
        <f>VLOOKUP(D2680,underlying!$D$40:$H$75,5,FALSE)</f>
        <v>-2.5</v>
      </c>
      <c r="P2680" s="4">
        <f t="shared" si="100"/>
        <v>43140</v>
      </c>
      <c r="Q2680" s="7">
        <f>IF(G2680="C",NormalCallSprd(O2680,H2680,M2680,(P2680-A2680)/365), NormalPutSprd(O2680,H2680,M2680,(P2680-A2680)/365))</f>
        <v>2.5243495767760917</v>
      </c>
      <c r="R2680" s="9">
        <f t="shared" si="102"/>
        <v>2.434957677609173E-2</v>
      </c>
    </row>
    <row r="2681" spans="1:18" x14ac:dyDescent="0.2">
      <c r="A2681" s="2">
        <v>42622</v>
      </c>
      <c r="B2681" s="1" t="s">
        <v>56</v>
      </c>
      <c r="C2681" s="1" t="s">
        <v>57</v>
      </c>
      <c r="D2681" s="2">
        <v>43102</v>
      </c>
      <c r="E2681" s="2">
        <f t="shared" si="101"/>
        <v>43132</v>
      </c>
      <c r="F2681" s="1" t="s">
        <v>58</v>
      </c>
      <c r="G2681" s="1" t="s">
        <v>18</v>
      </c>
      <c r="H2681" s="1">
        <v>-4</v>
      </c>
      <c r="I2681" s="1">
        <v>1.02</v>
      </c>
      <c r="J2681" s="1">
        <v>0</v>
      </c>
      <c r="K2681" s="2">
        <v>43345</v>
      </c>
      <c r="L2681" s="1">
        <v>3716</v>
      </c>
      <c r="M2681" s="1">
        <v>3.51</v>
      </c>
      <c r="N2681" s="1">
        <v>-0.60519000000000001</v>
      </c>
      <c r="O2681" s="3">
        <f>VLOOKUP(D2681,underlying!$D$40:$H$75,5,FALSE)</f>
        <v>-2.5</v>
      </c>
      <c r="P2681" s="4">
        <f t="shared" ref="P2681:P2744" si="103">DATE(YEAR(K2681),DAY(K2681),MONTH(K2681))</f>
        <v>43140</v>
      </c>
      <c r="Q2681" s="7">
        <f>IF(G2681="C",NormalCallSprd(O2681,H2681,M2681,(P2681-A2681)/365), NormalPutSprd(O2681,H2681,M2681,(P2681-A2681)/365))</f>
        <v>1.0243495767760917</v>
      </c>
      <c r="R2681" s="9">
        <f t="shared" si="102"/>
        <v>4.3495767760917126E-3</v>
      </c>
    </row>
    <row r="2682" spans="1:18" x14ac:dyDescent="0.2">
      <c r="A2682" s="2">
        <v>42622</v>
      </c>
      <c r="B2682" s="1" t="s">
        <v>56</v>
      </c>
      <c r="C2682" s="1" t="s">
        <v>57</v>
      </c>
      <c r="D2682" s="2">
        <v>43102</v>
      </c>
      <c r="E2682" s="2">
        <f t="shared" si="101"/>
        <v>43132</v>
      </c>
      <c r="F2682" s="1" t="s">
        <v>58</v>
      </c>
      <c r="G2682" s="1" t="s">
        <v>16</v>
      </c>
      <c r="H2682" s="1">
        <v>-3.75</v>
      </c>
      <c r="I2682" s="1">
        <v>2.36</v>
      </c>
      <c r="J2682" s="1">
        <v>0</v>
      </c>
      <c r="K2682" s="2">
        <v>43345</v>
      </c>
      <c r="L2682" s="1">
        <v>3716</v>
      </c>
      <c r="M2682" s="1">
        <v>3.53</v>
      </c>
      <c r="N2682" s="1">
        <v>-0.58406999999999998</v>
      </c>
      <c r="O2682" s="3">
        <f>VLOOKUP(D2682,underlying!$D$40:$H$75,5,FALSE)</f>
        <v>-2.5</v>
      </c>
      <c r="P2682" s="4">
        <f t="shared" si="103"/>
        <v>43140</v>
      </c>
      <c r="Q2682" s="7">
        <f>IF(G2682="C",NormalCallSprd(O2682,H2682,M2682,(P2682-A2682)/365), NormalPutSprd(O2682,H2682,M2682,(P2682-A2682)/365))</f>
        <v>2.3762313947118918</v>
      </c>
      <c r="R2682" s="9">
        <f t="shared" si="102"/>
        <v>1.6231394711891944E-2</v>
      </c>
    </row>
    <row r="2683" spans="1:18" x14ac:dyDescent="0.2">
      <c r="A2683" s="2">
        <v>42622</v>
      </c>
      <c r="B2683" s="1" t="s">
        <v>56</v>
      </c>
      <c r="C2683" s="1" t="s">
        <v>57</v>
      </c>
      <c r="D2683" s="2">
        <v>43102</v>
      </c>
      <c r="E2683" s="2">
        <f t="shared" si="101"/>
        <v>43132</v>
      </c>
      <c r="F2683" s="1" t="s">
        <v>58</v>
      </c>
      <c r="G2683" s="1" t="s">
        <v>18</v>
      </c>
      <c r="H2683" s="1">
        <v>-3.75</v>
      </c>
      <c r="I2683" s="1">
        <v>1.1200000000000001</v>
      </c>
      <c r="J2683" s="1">
        <v>0</v>
      </c>
      <c r="K2683" s="2">
        <v>43345</v>
      </c>
      <c r="L2683" s="1">
        <v>3716</v>
      </c>
      <c r="M2683" s="1">
        <v>3.53</v>
      </c>
      <c r="N2683" s="1">
        <v>-0.56186000000000003</v>
      </c>
      <c r="O2683" s="3">
        <f>VLOOKUP(D2683,underlying!$D$40:$H$75,5,FALSE)</f>
        <v>-2.5</v>
      </c>
      <c r="P2683" s="4">
        <f t="shared" si="103"/>
        <v>43140</v>
      </c>
      <c r="Q2683" s="7">
        <f>IF(G2683="C",NormalCallSprd(O2683,H2683,M2683,(P2683-A2683)/365), NormalPutSprd(O2683,H2683,M2683,(P2683-A2683)/365))</f>
        <v>1.1262313947118916</v>
      </c>
      <c r="R2683" s="9">
        <f t="shared" si="102"/>
        <v>6.2313947118914914E-3</v>
      </c>
    </row>
    <row r="2684" spans="1:18" x14ac:dyDescent="0.2">
      <c r="A2684" s="2">
        <v>42622</v>
      </c>
      <c r="B2684" s="1" t="s">
        <v>56</v>
      </c>
      <c r="C2684" s="1" t="s">
        <v>57</v>
      </c>
      <c r="D2684" s="2">
        <v>43102</v>
      </c>
      <c r="E2684" s="2">
        <f t="shared" si="101"/>
        <v>43132</v>
      </c>
      <c r="F2684" s="1" t="s">
        <v>58</v>
      </c>
      <c r="G2684" s="1" t="s">
        <v>16</v>
      </c>
      <c r="H2684" s="1">
        <v>-3.5</v>
      </c>
      <c r="I2684" s="1">
        <v>2.2000000000000002</v>
      </c>
      <c r="J2684" s="1">
        <v>0</v>
      </c>
      <c r="K2684" s="2">
        <v>43345</v>
      </c>
      <c r="L2684" s="1">
        <v>3716</v>
      </c>
      <c r="M2684" s="1">
        <v>3.51</v>
      </c>
      <c r="N2684" s="1">
        <v>-0.53969</v>
      </c>
      <c r="O2684" s="3">
        <f>VLOOKUP(D2684,underlying!$D$40:$H$75,5,FALSE)</f>
        <v>-2.5</v>
      </c>
      <c r="P2684" s="4">
        <f t="shared" si="103"/>
        <v>43140</v>
      </c>
      <c r="Q2684" s="7">
        <f>IF(G2684="C",NormalCallSprd(O2684,H2684,M2684,(P2684-A2684)/365), NormalPutSprd(O2684,H2684,M2684,(P2684-A2684)/365))</f>
        <v>2.2156299339058707</v>
      </c>
      <c r="R2684" s="9">
        <f t="shared" si="102"/>
        <v>1.562993390587053E-2</v>
      </c>
    </row>
    <row r="2685" spans="1:18" x14ac:dyDescent="0.2">
      <c r="A2685" s="2">
        <v>42622</v>
      </c>
      <c r="B2685" s="1" t="s">
        <v>56</v>
      </c>
      <c r="C2685" s="1" t="s">
        <v>57</v>
      </c>
      <c r="D2685" s="2">
        <v>43102</v>
      </c>
      <c r="E2685" s="2">
        <f t="shared" si="101"/>
        <v>43132</v>
      </c>
      <c r="F2685" s="1" t="s">
        <v>58</v>
      </c>
      <c r="G2685" s="1" t="s">
        <v>18</v>
      </c>
      <c r="H2685" s="1">
        <v>-3.5</v>
      </c>
      <c r="I2685" s="1">
        <v>1.2</v>
      </c>
      <c r="J2685" s="1">
        <v>-0.01</v>
      </c>
      <c r="K2685" s="2">
        <v>43345</v>
      </c>
      <c r="L2685" s="1">
        <v>3716</v>
      </c>
      <c r="M2685" s="1">
        <v>3.51</v>
      </c>
      <c r="N2685" s="1">
        <v>-0.51731000000000005</v>
      </c>
      <c r="O2685" s="3">
        <f>VLOOKUP(D2685,underlying!$D$40:$H$75,5,FALSE)</f>
        <v>-2.5</v>
      </c>
      <c r="P2685" s="4">
        <f t="shared" si="103"/>
        <v>43140</v>
      </c>
      <c r="Q2685" s="7">
        <f>IF(G2685="C",NormalCallSprd(O2685,H2685,M2685,(P2685-A2685)/365), NormalPutSprd(O2685,H2685,M2685,(P2685-A2685)/365))</f>
        <v>1.2156299339058709</v>
      </c>
      <c r="R2685" s="9">
        <f t="shared" si="102"/>
        <v>1.5629933905870974E-2</v>
      </c>
    </row>
    <row r="2686" spans="1:18" x14ac:dyDescent="0.2">
      <c r="A2686" s="2">
        <v>42622</v>
      </c>
      <c r="B2686" s="1" t="s">
        <v>56</v>
      </c>
      <c r="C2686" s="1" t="s">
        <v>57</v>
      </c>
      <c r="D2686" s="2">
        <v>43102</v>
      </c>
      <c r="E2686" s="2">
        <f t="shared" si="101"/>
        <v>43132</v>
      </c>
      <c r="F2686" s="1" t="s">
        <v>58</v>
      </c>
      <c r="G2686" s="1" t="s">
        <v>16</v>
      </c>
      <c r="H2686" s="1">
        <v>-3.25</v>
      </c>
      <c r="I2686" s="1">
        <v>2.06</v>
      </c>
      <c r="J2686" s="1">
        <v>0</v>
      </c>
      <c r="K2686" s="2">
        <v>43345</v>
      </c>
      <c r="L2686" s="1">
        <v>3716</v>
      </c>
      <c r="M2686" s="1">
        <v>3.52</v>
      </c>
      <c r="N2686" s="1">
        <v>-0.49498999999999999</v>
      </c>
      <c r="O2686" s="3">
        <f>VLOOKUP(D2686,underlying!$D$40:$H$75,5,FALSE)</f>
        <v>-2.5</v>
      </c>
      <c r="P2686" s="4">
        <f t="shared" si="103"/>
        <v>43140</v>
      </c>
      <c r="Q2686" s="7">
        <f>IF(G2686="C",NormalCallSprd(O2686,H2686,M2686,(P2686-A2686)/365), NormalPutSprd(O2686,H2686,M2686,(P2686-A2686)/365))</f>
        <v>2.074590756170609</v>
      </c>
      <c r="R2686" s="9">
        <f t="shared" si="102"/>
        <v>1.4590756170608898E-2</v>
      </c>
    </row>
    <row r="2687" spans="1:18" x14ac:dyDescent="0.2">
      <c r="A2687" s="2">
        <v>42622</v>
      </c>
      <c r="B2687" s="1" t="s">
        <v>56</v>
      </c>
      <c r="C2687" s="1" t="s">
        <v>57</v>
      </c>
      <c r="D2687" s="2">
        <v>43102</v>
      </c>
      <c r="E2687" s="2">
        <f t="shared" si="101"/>
        <v>43132</v>
      </c>
      <c r="F2687" s="1" t="s">
        <v>58</v>
      </c>
      <c r="G2687" s="1" t="s">
        <v>18</v>
      </c>
      <c r="H2687" s="1">
        <v>-3.25</v>
      </c>
      <c r="I2687" s="1">
        <v>1.31</v>
      </c>
      <c r="J2687" s="1">
        <v>-0.01</v>
      </c>
      <c r="K2687" s="2">
        <v>43345</v>
      </c>
      <c r="L2687" s="1">
        <v>3716</v>
      </c>
      <c r="M2687" s="1">
        <v>3.52</v>
      </c>
      <c r="N2687" s="1">
        <v>-0.47266999999999998</v>
      </c>
      <c r="O2687" s="3">
        <f>VLOOKUP(D2687,underlying!$D$40:$H$75,5,FALSE)</f>
        <v>-2.5</v>
      </c>
      <c r="P2687" s="4">
        <f t="shared" si="103"/>
        <v>43140</v>
      </c>
      <c r="Q2687" s="7">
        <f>IF(G2687="C",NormalCallSprd(O2687,H2687,M2687,(P2687-A2687)/365), NormalPutSprd(O2687,H2687,M2687,(P2687-A2687)/365))</f>
        <v>1.324590756170609</v>
      </c>
      <c r="R2687" s="9">
        <f t="shared" si="102"/>
        <v>1.4590756170608898E-2</v>
      </c>
    </row>
    <row r="2688" spans="1:18" x14ac:dyDescent="0.2">
      <c r="A2688" s="2">
        <v>42622</v>
      </c>
      <c r="B2688" s="1" t="s">
        <v>56</v>
      </c>
      <c r="C2688" s="1" t="s">
        <v>57</v>
      </c>
      <c r="D2688" s="2">
        <v>43102</v>
      </c>
      <c r="E2688" s="2">
        <f t="shared" si="101"/>
        <v>43132</v>
      </c>
      <c r="F2688" s="1" t="s">
        <v>58</v>
      </c>
      <c r="G2688" s="1" t="s">
        <v>16</v>
      </c>
      <c r="H2688" s="1">
        <v>-3</v>
      </c>
      <c r="I2688" s="1">
        <v>1.92</v>
      </c>
      <c r="J2688" s="1">
        <v>0</v>
      </c>
      <c r="K2688" s="2">
        <v>43345</v>
      </c>
      <c r="L2688" s="1">
        <v>3716</v>
      </c>
      <c r="M2688" s="1">
        <v>3.52</v>
      </c>
      <c r="N2688" s="1">
        <v>-0.45029000000000002</v>
      </c>
      <c r="O2688" s="3">
        <f>VLOOKUP(D2688,underlying!$D$40:$H$75,5,FALSE)</f>
        <v>-2.5</v>
      </c>
      <c r="P2688" s="4">
        <f t="shared" si="103"/>
        <v>43140</v>
      </c>
      <c r="Q2688" s="7">
        <f>IF(G2688="C",NormalCallSprd(O2688,H2688,M2688,(P2688-A2688)/365), NormalPutSprd(O2688,H2688,M2688,(P2688-A2688)/365))</f>
        <v>1.9347826480280785</v>
      </c>
      <c r="R2688" s="9">
        <f t="shared" si="102"/>
        <v>1.4782648028078604E-2</v>
      </c>
    </row>
    <row r="2689" spans="1:18" x14ac:dyDescent="0.2">
      <c r="A2689" s="2">
        <v>42622</v>
      </c>
      <c r="B2689" s="1" t="s">
        <v>56</v>
      </c>
      <c r="C2689" s="1" t="s">
        <v>57</v>
      </c>
      <c r="D2689" s="2">
        <v>43102</v>
      </c>
      <c r="E2689" s="2">
        <f t="shared" si="101"/>
        <v>43132</v>
      </c>
      <c r="F2689" s="1" t="s">
        <v>58</v>
      </c>
      <c r="G2689" s="1" t="s">
        <v>18</v>
      </c>
      <c r="H2689" s="1">
        <v>-3</v>
      </c>
      <c r="I2689" s="1">
        <v>1.42</v>
      </c>
      <c r="J2689" s="1">
        <v>0</v>
      </c>
      <c r="K2689" s="2">
        <v>43345</v>
      </c>
      <c r="L2689" s="1">
        <v>3716</v>
      </c>
      <c r="M2689" s="1">
        <v>3.52</v>
      </c>
      <c r="N2689" s="1">
        <v>-0.42812</v>
      </c>
      <c r="O2689" s="3">
        <f>VLOOKUP(D2689,underlying!$D$40:$H$75,5,FALSE)</f>
        <v>-2.5</v>
      </c>
      <c r="P2689" s="4">
        <f t="shared" si="103"/>
        <v>43140</v>
      </c>
      <c r="Q2689" s="7">
        <f>IF(G2689="C",NormalCallSprd(O2689,H2689,M2689,(P2689-A2689)/365), NormalPutSprd(O2689,H2689,M2689,(P2689-A2689)/365))</f>
        <v>1.4347826480280785</v>
      </c>
      <c r="R2689" s="9">
        <f t="shared" si="102"/>
        <v>1.4782648028078604E-2</v>
      </c>
    </row>
    <row r="2690" spans="1:18" x14ac:dyDescent="0.2">
      <c r="A2690" s="2">
        <v>42622</v>
      </c>
      <c r="B2690" s="1" t="s">
        <v>56</v>
      </c>
      <c r="C2690" s="1" t="s">
        <v>57</v>
      </c>
      <c r="D2690" s="2">
        <v>43102</v>
      </c>
      <c r="E2690" s="2">
        <f t="shared" ref="E2690:E2753" si="104">DATE(YEAR(D2690),DAY(D2690),MONTH(D2690))</f>
        <v>43132</v>
      </c>
      <c r="F2690" s="1" t="s">
        <v>58</v>
      </c>
      <c r="G2690" s="1" t="s">
        <v>16</v>
      </c>
      <c r="H2690" s="1">
        <v>-2.75</v>
      </c>
      <c r="I2690" s="1">
        <v>1.79</v>
      </c>
      <c r="J2690" s="1">
        <v>0</v>
      </c>
      <c r="K2690" s="2">
        <v>43345</v>
      </c>
      <c r="L2690" s="1">
        <v>3716</v>
      </c>
      <c r="M2690" s="1">
        <v>3.53</v>
      </c>
      <c r="N2690" s="1">
        <v>-0.40590999999999999</v>
      </c>
      <c r="O2690" s="3">
        <f>VLOOKUP(D2690,underlying!$D$40:$H$75,5,FALSE)</f>
        <v>-2.5</v>
      </c>
      <c r="P2690" s="4">
        <f t="shared" si="103"/>
        <v>43140</v>
      </c>
      <c r="Q2690" s="7">
        <f>IF(G2690="C",NormalCallSprd(O2690,H2690,M2690,(P2690-A2690)/365), NormalPutSprd(O2690,H2690,M2690,(P2690-A2690)/365))</f>
        <v>1.8056209088988122</v>
      </c>
      <c r="R2690" s="9">
        <f t="shared" si="102"/>
        <v>1.562090889881218E-2</v>
      </c>
    </row>
    <row r="2691" spans="1:18" x14ac:dyDescent="0.2">
      <c r="A2691" s="2">
        <v>42622</v>
      </c>
      <c r="B2691" s="1" t="s">
        <v>56</v>
      </c>
      <c r="C2691" s="1" t="s">
        <v>57</v>
      </c>
      <c r="D2691" s="2">
        <v>43102</v>
      </c>
      <c r="E2691" s="2">
        <f t="shared" si="104"/>
        <v>43132</v>
      </c>
      <c r="F2691" s="1" t="s">
        <v>58</v>
      </c>
      <c r="G2691" s="1" t="s">
        <v>18</v>
      </c>
      <c r="H2691" s="1">
        <v>-2.75</v>
      </c>
      <c r="I2691" s="1">
        <v>1.54</v>
      </c>
      <c r="J2691" s="1">
        <v>0</v>
      </c>
      <c r="K2691" s="2">
        <v>43345</v>
      </c>
      <c r="L2691" s="1">
        <v>3716</v>
      </c>
      <c r="M2691" s="1">
        <v>3.53</v>
      </c>
      <c r="N2691" s="1">
        <v>-0.38479000000000002</v>
      </c>
      <c r="O2691" s="3">
        <f>VLOOKUP(D2691,underlying!$D$40:$H$75,5,FALSE)</f>
        <v>-2.5</v>
      </c>
      <c r="P2691" s="4">
        <f t="shared" si="103"/>
        <v>43140</v>
      </c>
      <c r="Q2691" s="7">
        <f>IF(G2691="C",NormalCallSprd(O2691,H2691,M2691,(P2691-A2691)/365), NormalPutSprd(O2691,H2691,M2691,(P2691-A2691)/365))</f>
        <v>1.5556209088988122</v>
      </c>
      <c r="R2691" s="9">
        <f t="shared" ref="R2691:R2754" si="105">ABS(Q2691-I2691)</f>
        <v>1.562090889881218E-2</v>
      </c>
    </row>
    <row r="2692" spans="1:18" x14ac:dyDescent="0.2">
      <c r="A2692" s="2">
        <v>42622</v>
      </c>
      <c r="B2692" s="1" t="s">
        <v>56</v>
      </c>
      <c r="C2692" s="1" t="s">
        <v>57</v>
      </c>
      <c r="D2692" s="2">
        <v>43102</v>
      </c>
      <c r="E2692" s="2">
        <f t="shared" si="104"/>
        <v>43132</v>
      </c>
      <c r="F2692" s="1" t="s">
        <v>58</v>
      </c>
      <c r="G2692" s="1" t="s">
        <v>16</v>
      </c>
      <c r="H2692" s="1">
        <v>-2.5</v>
      </c>
      <c r="I2692" s="1">
        <v>1.66</v>
      </c>
      <c r="J2692" s="1">
        <v>0</v>
      </c>
      <c r="K2692" s="2">
        <v>43345</v>
      </c>
      <c r="L2692" s="1">
        <v>3716</v>
      </c>
      <c r="M2692" s="1">
        <v>3.52</v>
      </c>
      <c r="N2692" s="1">
        <v>-0.36279</v>
      </c>
      <c r="O2692" s="3">
        <f>VLOOKUP(D2692,underlying!$D$40:$H$75,5,FALSE)</f>
        <v>-2.5</v>
      </c>
      <c r="P2692" s="4">
        <f t="shared" si="103"/>
        <v>43140</v>
      </c>
      <c r="Q2692" s="7">
        <f>IF(G2692="C",NormalCallSprd(O2692,H2692,M2692,(P2692-A2692)/365), NormalPutSprd(O2692,H2692,M2692,(P2692-A2692)/365))</f>
        <v>1.6729046061503492</v>
      </c>
      <c r="R2692" s="9">
        <f t="shared" si="105"/>
        <v>1.2904606150349274E-2</v>
      </c>
    </row>
    <row r="2693" spans="1:18" x14ac:dyDescent="0.2">
      <c r="A2693" s="2">
        <v>42622</v>
      </c>
      <c r="B2693" s="1" t="s">
        <v>56</v>
      </c>
      <c r="C2693" s="1" t="s">
        <v>57</v>
      </c>
      <c r="D2693" s="2">
        <v>43102</v>
      </c>
      <c r="E2693" s="2">
        <f t="shared" si="104"/>
        <v>43132</v>
      </c>
      <c r="F2693" s="1" t="s">
        <v>58</v>
      </c>
      <c r="G2693" s="1" t="s">
        <v>18</v>
      </c>
      <c r="H2693" s="1">
        <v>-2.5</v>
      </c>
      <c r="I2693" s="1">
        <v>1.66</v>
      </c>
      <c r="J2693" s="1">
        <v>0</v>
      </c>
      <c r="K2693" s="2">
        <v>43345</v>
      </c>
      <c r="L2693" s="1">
        <v>3716</v>
      </c>
      <c r="M2693" s="1">
        <v>3.52</v>
      </c>
      <c r="N2693" s="1">
        <v>-0.34264</v>
      </c>
      <c r="O2693" s="3">
        <f>VLOOKUP(D2693,underlying!$D$40:$H$75,5,FALSE)</f>
        <v>-2.5</v>
      </c>
      <c r="P2693" s="4">
        <f t="shared" si="103"/>
        <v>43140</v>
      </c>
      <c r="Q2693" s="7">
        <f>IF(G2693="C",NormalCallSprd(O2693,H2693,M2693,(P2693-A2693)/365), NormalPutSprd(O2693,H2693,M2693,(P2693-A2693)/365))</f>
        <v>1.6729046061503492</v>
      </c>
      <c r="R2693" s="9">
        <f t="shared" si="105"/>
        <v>1.2904606150349274E-2</v>
      </c>
    </row>
    <row r="2694" spans="1:18" x14ac:dyDescent="0.2">
      <c r="A2694" s="2">
        <v>42622</v>
      </c>
      <c r="B2694" s="1" t="s">
        <v>56</v>
      </c>
      <c r="C2694" s="1" t="s">
        <v>57</v>
      </c>
      <c r="D2694" s="2">
        <v>43102</v>
      </c>
      <c r="E2694" s="2">
        <f t="shared" si="104"/>
        <v>43132</v>
      </c>
      <c r="F2694" s="1" t="s">
        <v>58</v>
      </c>
      <c r="G2694" s="1" t="s">
        <v>16</v>
      </c>
      <c r="H2694" s="1">
        <v>-2.25</v>
      </c>
      <c r="I2694" s="1">
        <v>1.54</v>
      </c>
      <c r="J2694" s="1">
        <v>0</v>
      </c>
      <c r="K2694" s="2">
        <v>43345</v>
      </c>
      <c r="L2694" s="1">
        <v>3716</v>
      </c>
      <c r="M2694" s="1">
        <v>3.53</v>
      </c>
      <c r="N2694" s="1">
        <v>-0.32129999999999997</v>
      </c>
      <c r="O2694" s="3">
        <f>VLOOKUP(D2694,underlying!$D$40:$H$75,5,FALSE)</f>
        <v>-2.5</v>
      </c>
      <c r="P2694" s="4">
        <f t="shared" si="103"/>
        <v>43140</v>
      </c>
      <c r="Q2694" s="7">
        <f>IF(G2694="C",NormalCallSprd(O2694,H2694,M2694,(P2694-A2694)/365), NormalPutSprd(O2694,H2694,M2694,(P2694-A2694)/365))</f>
        <v>1.5556209088988122</v>
      </c>
      <c r="R2694" s="9">
        <f t="shared" si="105"/>
        <v>1.562090889881218E-2</v>
      </c>
    </row>
    <row r="2695" spans="1:18" x14ac:dyDescent="0.2">
      <c r="A2695" s="2">
        <v>42622</v>
      </c>
      <c r="B2695" s="1" t="s">
        <v>56</v>
      </c>
      <c r="C2695" s="1" t="s">
        <v>57</v>
      </c>
      <c r="D2695" s="2">
        <v>43102</v>
      </c>
      <c r="E2695" s="2">
        <f t="shared" si="104"/>
        <v>43132</v>
      </c>
      <c r="F2695" s="1" t="s">
        <v>58</v>
      </c>
      <c r="G2695" s="1" t="s">
        <v>18</v>
      </c>
      <c r="H2695" s="1">
        <v>-2.25</v>
      </c>
      <c r="I2695" s="1">
        <v>1.79</v>
      </c>
      <c r="J2695" s="1">
        <v>0</v>
      </c>
      <c r="K2695" s="2">
        <v>43345</v>
      </c>
      <c r="L2695" s="1">
        <v>3716</v>
      </c>
      <c r="M2695" s="1">
        <v>3.53</v>
      </c>
      <c r="N2695" s="1">
        <v>-0.30232999999999999</v>
      </c>
      <c r="O2695" s="3">
        <f>VLOOKUP(D2695,underlying!$D$40:$H$75,5,FALSE)</f>
        <v>-2.5</v>
      </c>
      <c r="P2695" s="4">
        <f t="shared" si="103"/>
        <v>43140</v>
      </c>
      <c r="Q2695" s="7">
        <f>IF(G2695="C",NormalCallSprd(O2695,H2695,M2695,(P2695-A2695)/365), NormalPutSprd(O2695,H2695,M2695,(P2695-A2695)/365))</f>
        <v>1.8056209088988122</v>
      </c>
      <c r="R2695" s="9">
        <f t="shared" si="105"/>
        <v>1.562090889881218E-2</v>
      </c>
    </row>
    <row r="2696" spans="1:18" x14ac:dyDescent="0.2">
      <c r="A2696" s="2">
        <v>42622</v>
      </c>
      <c r="B2696" s="1" t="s">
        <v>56</v>
      </c>
      <c r="C2696" s="1" t="s">
        <v>57</v>
      </c>
      <c r="D2696" s="2">
        <v>43102</v>
      </c>
      <c r="E2696" s="2">
        <f t="shared" si="104"/>
        <v>43132</v>
      </c>
      <c r="F2696" s="1" t="s">
        <v>58</v>
      </c>
      <c r="G2696" s="1" t="s">
        <v>16</v>
      </c>
      <c r="H2696" s="1">
        <v>-2</v>
      </c>
      <c r="I2696" s="1">
        <v>1.42</v>
      </c>
      <c r="J2696" s="1">
        <v>0</v>
      </c>
      <c r="K2696" s="2">
        <v>43345</v>
      </c>
      <c r="L2696" s="1">
        <v>3716</v>
      </c>
      <c r="M2696" s="1">
        <v>3.52</v>
      </c>
      <c r="N2696" s="1">
        <v>-0.28299999999999997</v>
      </c>
      <c r="O2696" s="3">
        <f>VLOOKUP(D2696,underlying!$D$40:$H$75,5,FALSE)</f>
        <v>-2.5</v>
      </c>
      <c r="P2696" s="4">
        <f t="shared" si="103"/>
        <v>43140</v>
      </c>
      <c r="Q2696" s="7">
        <f>IF(G2696="C",NormalCallSprd(O2696,H2696,M2696,(P2696-A2696)/365), NormalPutSprd(O2696,H2696,M2696,(P2696-A2696)/365))</f>
        <v>1.4347826480280785</v>
      </c>
      <c r="R2696" s="9">
        <f t="shared" si="105"/>
        <v>1.4782648028078604E-2</v>
      </c>
    </row>
    <row r="2697" spans="1:18" x14ac:dyDescent="0.2">
      <c r="A2697" s="2">
        <v>42622</v>
      </c>
      <c r="B2697" s="1" t="s">
        <v>56</v>
      </c>
      <c r="C2697" s="1" t="s">
        <v>57</v>
      </c>
      <c r="D2697" s="2">
        <v>43102</v>
      </c>
      <c r="E2697" s="2">
        <f t="shared" si="104"/>
        <v>43132</v>
      </c>
      <c r="F2697" s="1" t="s">
        <v>58</v>
      </c>
      <c r="G2697" s="1" t="s">
        <v>18</v>
      </c>
      <c r="H2697" s="1">
        <v>-2</v>
      </c>
      <c r="I2697" s="1">
        <v>1.92</v>
      </c>
      <c r="J2697" s="1">
        <v>0</v>
      </c>
      <c r="K2697" s="2">
        <v>43345</v>
      </c>
      <c r="L2697" s="1">
        <v>3716</v>
      </c>
      <c r="M2697" s="1">
        <v>3.52</v>
      </c>
      <c r="N2697" s="1">
        <v>-0.26428000000000001</v>
      </c>
      <c r="O2697" s="3">
        <f>VLOOKUP(D2697,underlying!$D$40:$H$75,5,FALSE)</f>
        <v>-2.5</v>
      </c>
      <c r="P2697" s="4">
        <f t="shared" si="103"/>
        <v>43140</v>
      </c>
      <c r="Q2697" s="7">
        <f>IF(G2697="C",NormalCallSprd(O2697,H2697,M2697,(P2697-A2697)/365), NormalPutSprd(O2697,H2697,M2697,(P2697-A2697)/365))</f>
        <v>1.9347826480280785</v>
      </c>
      <c r="R2697" s="9">
        <f t="shared" si="105"/>
        <v>1.4782648028078604E-2</v>
      </c>
    </row>
    <row r="2698" spans="1:18" x14ac:dyDescent="0.2">
      <c r="A2698" s="2">
        <v>42622</v>
      </c>
      <c r="B2698" s="1" t="s">
        <v>56</v>
      </c>
      <c r="C2698" s="1" t="s">
        <v>57</v>
      </c>
      <c r="D2698" s="2">
        <v>43102</v>
      </c>
      <c r="E2698" s="2">
        <f t="shared" si="104"/>
        <v>43132</v>
      </c>
      <c r="F2698" s="1" t="s">
        <v>58</v>
      </c>
      <c r="G2698" s="1" t="s">
        <v>16</v>
      </c>
      <c r="H2698" s="1">
        <v>-1.75</v>
      </c>
      <c r="I2698" s="1">
        <v>1.31</v>
      </c>
      <c r="J2698" s="1">
        <v>-0.01</v>
      </c>
      <c r="K2698" s="2">
        <v>43345</v>
      </c>
      <c r="L2698" s="1">
        <v>3716</v>
      </c>
      <c r="M2698" s="1">
        <v>3.52</v>
      </c>
      <c r="N2698" s="1">
        <v>-0.2462</v>
      </c>
      <c r="O2698" s="3">
        <f>VLOOKUP(D2698,underlying!$D$40:$H$75,5,FALSE)</f>
        <v>-2.5</v>
      </c>
      <c r="P2698" s="4">
        <f t="shared" si="103"/>
        <v>43140</v>
      </c>
      <c r="Q2698" s="7">
        <f>IF(G2698="C",NormalCallSprd(O2698,H2698,M2698,(P2698-A2698)/365), NormalPutSprd(O2698,H2698,M2698,(P2698-A2698)/365))</f>
        <v>1.324590756170609</v>
      </c>
      <c r="R2698" s="9">
        <f t="shared" si="105"/>
        <v>1.4590756170608898E-2</v>
      </c>
    </row>
    <row r="2699" spans="1:18" x14ac:dyDescent="0.2">
      <c r="A2699" s="2">
        <v>42622</v>
      </c>
      <c r="B2699" s="1" t="s">
        <v>56</v>
      </c>
      <c r="C2699" s="1" t="s">
        <v>57</v>
      </c>
      <c r="D2699" s="2">
        <v>43102</v>
      </c>
      <c r="E2699" s="2">
        <f t="shared" si="104"/>
        <v>43132</v>
      </c>
      <c r="F2699" s="1" t="s">
        <v>58</v>
      </c>
      <c r="G2699" s="1" t="s">
        <v>18</v>
      </c>
      <c r="H2699" s="1">
        <v>-1.75</v>
      </c>
      <c r="I2699" s="1">
        <v>2.06</v>
      </c>
      <c r="J2699" s="1">
        <v>0</v>
      </c>
      <c r="K2699" s="2">
        <v>43345</v>
      </c>
      <c r="L2699" s="1">
        <v>3716</v>
      </c>
      <c r="M2699" s="1">
        <v>3.52</v>
      </c>
      <c r="N2699" s="1">
        <v>-0.22881000000000001</v>
      </c>
      <c r="O2699" s="3">
        <f>VLOOKUP(D2699,underlying!$D$40:$H$75,5,FALSE)</f>
        <v>-2.5</v>
      </c>
      <c r="P2699" s="4">
        <f t="shared" si="103"/>
        <v>43140</v>
      </c>
      <c r="Q2699" s="7">
        <f>IF(G2699="C",NormalCallSprd(O2699,H2699,M2699,(P2699-A2699)/365), NormalPutSprd(O2699,H2699,M2699,(P2699-A2699)/365))</f>
        <v>2.074590756170609</v>
      </c>
      <c r="R2699" s="9">
        <f t="shared" si="105"/>
        <v>1.4590756170608898E-2</v>
      </c>
    </row>
    <row r="2700" spans="1:18" x14ac:dyDescent="0.2">
      <c r="A2700" s="2">
        <v>42622</v>
      </c>
      <c r="B2700" s="1" t="s">
        <v>56</v>
      </c>
      <c r="C2700" s="1" t="s">
        <v>57</v>
      </c>
      <c r="D2700" s="2">
        <v>43102</v>
      </c>
      <c r="E2700" s="2">
        <f t="shared" si="104"/>
        <v>43132</v>
      </c>
      <c r="F2700" s="1" t="s">
        <v>58</v>
      </c>
      <c r="G2700" s="1" t="s">
        <v>16</v>
      </c>
      <c r="H2700" s="1">
        <v>-1.5</v>
      </c>
      <c r="I2700" s="1">
        <v>1.2</v>
      </c>
      <c r="J2700" s="1">
        <v>-0.01</v>
      </c>
      <c r="K2700" s="2">
        <v>43345</v>
      </c>
      <c r="L2700" s="1">
        <v>3716</v>
      </c>
      <c r="M2700" s="1">
        <v>3.51</v>
      </c>
      <c r="N2700" s="1">
        <v>-0.21212</v>
      </c>
      <c r="O2700" s="3">
        <f>VLOOKUP(D2700,underlying!$D$40:$H$75,5,FALSE)</f>
        <v>-2.5</v>
      </c>
      <c r="P2700" s="4">
        <f t="shared" si="103"/>
        <v>43140</v>
      </c>
      <c r="Q2700" s="7">
        <f>IF(G2700="C",NormalCallSprd(O2700,H2700,M2700,(P2700-A2700)/365), NormalPutSprd(O2700,H2700,M2700,(P2700-A2700)/365))</f>
        <v>1.2156299339058709</v>
      </c>
      <c r="R2700" s="9">
        <f t="shared" si="105"/>
        <v>1.5629933905870974E-2</v>
      </c>
    </row>
    <row r="2701" spans="1:18" x14ac:dyDescent="0.2">
      <c r="A2701" s="2">
        <v>42622</v>
      </c>
      <c r="B2701" s="1" t="s">
        <v>56</v>
      </c>
      <c r="C2701" s="1" t="s">
        <v>57</v>
      </c>
      <c r="D2701" s="2">
        <v>43102</v>
      </c>
      <c r="E2701" s="2">
        <f t="shared" si="104"/>
        <v>43132</v>
      </c>
      <c r="F2701" s="1" t="s">
        <v>58</v>
      </c>
      <c r="G2701" s="1" t="s">
        <v>18</v>
      </c>
      <c r="H2701" s="1">
        <v>-1.5</v>
      </c>
      <c r="I2701" s="1">
        <v>2.2000000000000002</v>
      </c>
      <c r="J2701" s="1">
        <v>0</v>
      </c>
      <c r="K2701" s="2">
        <v>43345</v>
      </c>
      <c r="L2701" s="1">
        <v>3716</v>
      </c>
      <c r="M2701" s="1">
        <v>3.51</v>
      </c>
      <c r="N2701" s="1">
        <v>-0.19616</v>
      </c>
      <c r="O2701" s="3">
        <f>VLOOKUP(D2701,underlying!$D$40:$H$75,5,FALSE)</f>
        <v>-2.5</v>
      </c>
      <c r="P2701" s="4">
        <f t="shared" si="103"/>
        <v>43140</v>
      </c>
      <c r="Q2701" s="7">
        <f>IF(G2701="C",NormalCallSprd(O2701,H2701,M2701,(P2701-A2701)/365), NormalPutSprd(O2701,H2701,M2701,(P2701-A2701)/365))</f>
        <v>2.2156299339058707</v>
      </c>
      <c r="R2701" s="9">
        <f t="shared" si="105"/>
        <v>1.562993390587053E-2</v>
      </c>
    </row>
    <row r="2702" spans="1:18" x14ac:dyDescent="0.2">
      <c r="A2702" s="2">
        <v>42622</v>
      </c>
      <c r="B2702" s="1" t="s">
        <v>56</v>
      </c>
      <c r="C2702" s="1" t="s">
        <v>57</v>
      </c>
      <c r="D2702" s="2">
        <v>43102</v>
      </c>
      <c r="E2702" s="2">
        <f t="shared" si="104"/>
        <v>43132</v>
      </c>
      <c r="F2702" s="1" t="s">
        <v>58</v>
      </c>
      <c r="G2702" s="1" t="s">
        <v>16</v>
      </c>
      <c r="H2702" s="1">
        <v>-1.25</v>
      </c>
      <c r="I2702" s="1">
        <v>1.1200000000000001</v>
      </c>
      <c r="J2702" s="1">
        <v>0</v>
      </c>
      <c r="K2702" s="2">
        <v>43345</v>
      </c>
      <c r="L2702" s="1">
        <v>3716</v>
      </c>
      <c r="M2702" s="1">
        <v>3.53</v>
      </c>
      <c r="N2702" s="1">
        <v>-0.18095</v>
      </c>
      <c r="O2702" s="3">
        <f>VLOOKUP(D2702,underlying!$D$40:$H$75,5,FALSE)</f>
        <v>-2.5</v>
      </c>
      <c r="P2702" s="4">
        <f t="shared" si="103"/>
        <v>43140</v>
      </c>
      <c r="Q2702" s="7">
        <f>IF(G2702="C",NormalCallSprd(O2702,H2702,M2702,(P2702-A2702)/365), NormalPutSprd(O2702,H2702,M2702,(P2702-A2702)/365))</f>
        <v>1.1262313947118916</v>
      </c>
      <c r="R2702" s="9">
        <f t="shared" si="105"/>
        <v>6.2313947118914914E-3</v>
      </c>
    </row>
    <row r="2703" spans="1:18" x14ac:dyDescent="0.2">
      <c r="A2703" s="2">
        <v>42622</v>
      </c>
      <c r="B2703" s="1" t="s">
        <v>56</v>
      </c>
      <c r="C2703" s="1" t="s">
        <v>57</v>
      </c>
      <c r="D2703" s="2">
        <v>43102</v>
      </c>
      <c r="E2703" s="2">
        <f t="shared" si="104"/>
        <v>43132</v>
      </c>
      <c r="F2703" s="1" t="s">
        <v>58</v>
      </c>
      <c r="G2703" s="1" t="s">
        <v>18</v>
      </c>
      <c r="H2703" s="1">
        <v>-1.25</v>
      </c>
      <c r="I2703" s="1">
        <v>2.36</v>
      </c>
      <c r="J2703" s="1">
        <v>0</v>
      </c>
      <c r="K2703" s="2">
        <v>43345</v>
      </c>
      <c r="L2703" s="1">
        <v>3716</v>
      </c>
      <c r="M2703" s="1">
        <v>3.53</v>
      </c>
      <c r="N2703" s="1">
        <v>-0.16650000000000001</v>
      </c>
      <c r="O2703" s="3">
        <f>VLOOKUP(D2703,underlying!$D$40:$H$75,5,FALSE)</f>
        <v>-2.5</v>
      </c>
      <c r="P2703" s="4">
        <f t="shared" si="103"/>
        <v>43140</v>
      </c>
      <c r="Q2703" s="7">
        <f>IF(G2703="C",NormalCallSprd(O2703,H2703,M2703,(P2703-A2703)/365), NormalPutSprd(O2703,H2703,M2703,(P2703-A2703)/365))</f>
        <v>2.3762313947118918</v>
      </c>
      <c r="R2703" s="9">
        <f t="shared" si="105"/>
        <v>1.6231394711891944E-2</v>
      </c>
    </row>
    <row r="2704" spans="1:18" x14ac:dyDescent="0.2">
      <c r="A2704" s="2">
        <v>42622</v>
      </c>
      <c r="B2704" s="1" t="s">
        <v>56</v>
      </c>
      <c r="C2704" s="1" t="s">
        <v>57</v>
      </c>
      <c r="D2704" s="2">
        <v>43102</v>
      </c>
      <c r="E2704" s="2">
        <f t="shared" si="104"/>
        <v>43132</v>
      </c>
      <c r="F2704" s="1" t="s">
        <v>58</v>
      </c>
      <c r="G2704" s="1" t="s">
        <v>16</v>
      </c>
      <c r="H2704" s="1">
        <v>-1</v>
      </c>
      <c r="I2704" s="1">
        <v>1.02</v>
      </c>
      <c r="J2704" s="1">
        <v>0</v>
      </c>
      <c r="K2704" s="2">
        <v>43345</v>
      </c>
      <c r="L2704" s="1">
        <v>3716</v>
      </c>
      <c r="M2704" s="1">
        <v>3.52</v>
      </c>
      <c r="N2704" s="1">
        <v>-0.15281</v>
      </c>
      <c r="O2704" s="3">
        <f>VLOOKUP(D2704,underlying!$D$40:$H$75,5,FALSE)</f>
        <v>-2.5</v>
      </c>
      <c r="P2704" s="4">
        <f t="shared" si="103"/>
        <v>43140</v>
      </c>
      <c r="Q2704" s="7">
        <f>IF(G2704="C",NormalCallSprd(O2704,H2704,M2704,(P2704-A2704)/365), NormalPutSprd(O2704,H2704,M2704,(P2704-A2704)/365))</f>
        <v>1.0288067969364092</v>
      </c>
      <c r="R2704" s="9">
        <f t="shared" si="105"/>
        <v>8.806796936409178E-3</v>
      </c>
    </row>
    <row r="2705" spans="1:18" x14ac:dyDescent="0.2">
      <c r="A2705" s="2">
        <v>42622</v>
      </c>
      <c r="B2705" s="1" t="s">
        <v>56</v>
      </c>
      <c r="C2705" s="1" t="s">
        <v>57</v>
      </c>
      <c r="D2705" s="2">
        <v>43102</v>
      </c>
      <c r="E2705" s="2">
        <f t="shared" si="104"/>
        <v>43132</v>
      </c>
      <c r="F2705" s="1" t="s">
        <v>58</v>
      </c>
      <c r="G2705" s="1" t="s">
        <v>18</v>
      </c>
      <c r="H2705" s="1">
        <v>-1</v>
      </c>
      <c r="I2705" s="1">
        <v>2.5099999999999998</v>
      </c>
      <c r="J2705" s="1">
        <v>0</v>
      </c>
      <c r="K2705" s="2">
        <v>43345</v>
      </c>
      <c r="L2705" s="1">
        <v>3716</v>
      </c>
      <c r="M2705" s="1">
        <v>3.52</v>
      </c>
      <c r="N2705" s="1">
        <v>-0.11632000000000001</v>
      </c>
      <c r="O2705" s="3">
        <f>VLOOKUP(D2705,underlying!$D$40:$H$75,5,FALSE)</f>
        <v>-2.5</v>
      </c>
      <c r="P2705" s="4">
        <f t="shared" si="103"/>
        <v>43140</v>
      </c>
      <c r="Q2705" s="7">
        <f>IF(G2705="C",NormalCallSprd(O2705,H2705,M2705,(P2705-A2705)/365), NormalPutSprd(O2705,H2705,M2705,(P2705-A2705)/365))</f>
        <v>2.5288067969364092</v>
      </c>
      <c r="R2705" s="9">
        <f t="shared" si="105"/>
        <v>1.8806796936409409E-2</v>
      </c>
    </row>
    <row r="2706" spans="1:18" x14ac:dyDescent="0.2">
      <c r="A2706" s="2">
        <v>42622</v>
      </c>
      <c r="B2706" s="1" t="s">
        <v>56</v>
      </c>
      <c r="C2706" s="1" t="s">
        <v>57</v>
      </c>
      <c r="D2706" s="2">
        <v>43102</v>
      </c>
      <c r="E2706" s="2">
        <f t="shared" si="104"/>
        <v>43132</v>
      </c>
      <c r="F2706" s="1" t="s">
        <v>58</v>
      </c>
      <c r="G2706" s="1" t="s">
        <v>16</v>
      </c>
      <c r="H2706" s="1">
        <v>-0.75</v>
      </c>
      <c r="I2706" s="1">
        <v>0.93</v>
      </c>
      <c r="J2706" s="1">
        <v>-0.01</v>
      </c>
      <c r="K2706" s="2">
        <v>43345</v>
      </c>
      <c r="L2706" s="1">
        <v>3716</v>
      </c>
      <c r="M2706" s="1">
        <v>3.52</v>
      </c>
      <c r="N2706" s="1">
        <v>-7.7340000000000006E-2</v>
      </c>
      <c r="O2706" s="3">
        <f>VLOOKUP(D2706,underlying!$D$40:$H$75,5,FALSE)</f>
        <v>-2.5</v>
      </c>
      <c r="P2706" s="4">
        <f t="shared" si="103"/>
        <v>43140</v>
      </c>
      <c r="Q2706" s="7">
        <f>IF(G2706="C",NormalCallSprd(O2706,H2706,M2706,(P2706-A2706)/365), NormalPutSprd(O2706,H2706,M2706,(P2706-A2706)/365))</f>
        <v>0.94150492344715009</v>
      </c>
      <c r="R2706" s="9">
        <f t="shared" si="105"/>
        <v>1.1504923447150039E-2</v>
      </c>
    </row>
    <row r="2707" spans="1:18" x14ac:dyDescent="0.2">
      <c r="A2707" s="2">
        <v>42622</v>
      </c>
      <c r="B2707" s="1" t="s">
        <v>56</v>
      </c>
      <c r="C2707" s="1" t="s">
        <v>57</v>
      </c>
      <c r="D2707" s="2">
        <v>43102</v>
      </c>
      <c r="E2707" s="2">
        <f t="shared" si="104"/>
        <v>43132</v>
      </c>
      <c r="F2707" s="1" t="s">
        <v>58</v>
      </c>
      <c r="G2707" s="1" t="s">
        <v>18</v>
      </c>
      <c r="H2707" s="1">
        <v>-0.75</v>
      </c>
      <c r="I2707" s="1">
        <v>2.67</v>
      </c>
      <c r="J2707" s="1">
        <v>0</v>
      </c>
      <c r="K2707" s="2">
        <v>43345</v>
      </c>
      <c r="L2707" s="1">
        <v>3716</v>
      </c>
      <c r="M2707" s="1">
        <v>3.52</v>
      </c>
      <c r="N2707" s="1">
        <v>-4.904E-2</v>
      </c>
      <c r="O2707" s="3">
        <f>VLOOKUP(D2707,underlying!$D$40:$H$75,5,FALSE)</f>
        <v>-2.5</v>
      </c>
      <c r="P2707" s="4">
        <f t="shared" si="103"/>
        <v>43140</v>
      </c>
      <c r="Q2707" s="7">
        <f>IF(G2707="C",NormalCallSprd(O2707,H2707,M2707,(P2707-A2707)/365), NormalPutSprd(O2707,H2707,M2707,(P2707-A2707)/365))</f>
        <v>2.69150492344715</v>
      </c>
      <c r="R2707" s="9">
        <f t="shared" si="105"/>
        <v>2.1504923447150048E-2</v>
      </c>
    </row>
    <row r="2708" spans="1:18" x14ac:dyDescent="0.2">
      <c r="A2708" s="2">
        <v>42622</v>
      </c>
      <c r="B2708" s="1" t="s">
        <v>56</v>
      </c>
      <c r="C2708" s="1" t="s">
        <v>57</v>
      </c>
      <c r="D2708" s="2">
        <v>43102</v>
      </c>
      <c r="E2708" s="2">
        <f t="shared" si="104"/>
        <v>43132</v>
      </c>
      <c r="F2708" s="1" t="s">
        <v>58</v>
      </c>
      <c r="G2708" s="1" t="s">
        <v>16</v>
      </c>
      <c r="H2708" s="1">
        <v>-0.5</v>
      </c>
      <c r="I2708" s="1">
        <v>0.85</v>
      </c>
      <c r="J2708" s="1">
        <v>0</v>
      </c>
      <c r="K2708" s="2">
        <v>43345</v>
      </c>
      <c r="L2708" s="1">
        <v>3716</v>
      </c>
      <c r="M2708" s="1">
        <v>3.51</v>
      </c>
      <c r="N2708" s="1">
        <v>0.38779000000000002</v>
      </c>
      <c r="O2708" s="3">
        <f>VLOOKUP(D2708,underlying!$D$40:$H$75,5,FALSE)</f>
        <v>-2.5</v>
      </c>
      <c r="P2708" s="4">
        <f t="shared" si="103"/>
        <v>43140</v>
      </c>
      <c r="Q2708" s="7">
        <f>IF(G2708="C",NormalCallSprd(O2708,H2708,M2708,(P2708-A2708)/365), NormalPutSprd(O2708,H2708,M2708,(P2708-A2708)/365))</f>
        <v>0.8554116353638952</v>
      </c>
      <c r="R2708" s="9">
        <f t="shared" si="105"/>
        <v>5.4116353638952175E-3</v>
      </c>
    </row>
    <row r="2709" spans="1:18" x14ac:dyDescent="0.2">
      <c r="A2709" s="2">
        <v>42622</v>
      </c>
      <c r="B2709" s="1" t="s">
        <v>56</v>
      </c>
      <c r="C2709" s="1" t="s">
        <v>57</v>
      </c>
      <c r="D2709" s="2">
        <v>43102</v>
      </c>
      <c r="E2709" s="2">
        <f t="shared" si="104"/>
        <v>43132</v>
      </c>
      <c r="F2709" s="1" t="s">
        <v>58</v>
      </c>
      <c r="G2709" s="1" t="s">
        <v>18</v>
      </c>
      <c r="H2709" s="1">
        <v>-0.5</v>
      </c>
      <c r="I2709" s="1">
        <v>2.83</v>
      </c>
      <c r="J2709" s="1">
        <v>0</v>
      </c>
      <c r="K2709" s="2">
        <v>43345</v>
      </c>
      <c r="L2709" s="1">
        <v>3716</v>
      </c>
      <c r="M2709" s="1">
        <v>3.51</v>
      </c>
      <c r="N2709" s="1">
        <v>0.40468999999999999</v>
      </c>
      <c r="O2709" s="3">
        <f>VLOOKUP(D2709,underlying!$D$40:$H$75,5,FALSE)</f>
        <v>-2.5</v>
      </c>
      <c r="P2709" s="4">
        <f t="shared" si="103"/>
        <v>43140</v>
      </c>
      <c r="Q2709" s="7">
        <f>IF(G2709="C",NormalCallSprd(O2709,H2709,M2709,(P2709-A2709)/365), NormalPutSprd(O2709,H2709,M2709,(P2709-A2709)/365))</f>
        <v>2.8554116353638954</v>
      </c>
      <c r="R2709" s="9">
        <f t="shared" si="105"/>
        <v>2.5411635363895346E-2</v>
      </c>
    </row>
    <row r="2710" spans="1:18" x14ac:dyDescent="0.2">
      <c r="A2710" s="2">
        <v>42622</v>
      </c>
      <c r="B2710" s="1" t="s">
        <v>56</v>
      </c>
      <c r="C2710" s="1" t="s">
        <v>57</v>
      </c>
      <c r="D2710" s="2">
        <v>43102</v>
      </c>
      <c r="E2710" s="2">
        <f t="shared" si="104"/>
        <v>43132</v>
      </c>
      <c r="F2710" s="1" t="s">
        <v>58</v>
      </c>
      <c r="G2710" s="1" t="s">
        <v>16</v>
      </c>
      <c r="H2710" s="1">
        <v>-0.25</v>
      </c>
      <c r="I2710" s="1">
        <v>0.78</v>
      </c>
      <c r="J2710" s="1">
        <v>0</v>
      </c>
      <c r="K2710" s="2">
        <v>43345</v>
      </c>
      <c r="L2710" s="1">
        <v>3716</v>
      </c>
      <c r="M2710" s="1">
        <v>3.52</v>
      </c>
      <c r="N2710" s="1">
        <v>0.42154999999999998</v>
      </c>
      <c r="O2710" s="3">
        <f>VLOOKUP(D2710,underlying!$D$40:$H$75,5,FALSE)</f>
        <v>-2.5</v>
      </c>
      <c r="P2710" s="4">
        <f t="shared" si="103"/>
        <v>43140</v>
      </c>
      <c r="Q2710" s="7">
        <f>IF(G2710="C",NormalCallSprd(O2710,H2710,M2710,(P2710-A2710)/365), NormalPutSprd(O2710,H2710,M2710,(P2710-A2710)/365))</f>
        <v>0.78310444171096483</v>
      </c>
      <c r="R2710" s="9">
        <f t="shared" si="105"/>
        <v>3.1044417109648004E-3</v>
      </c>
    </row>
    <row r="2711" spans="1:18" x14ac:dyDescent="0.2">
      <c r="A2711" s="2">
        <v>42622</v>
      </c>
      <c r="B2711" s="1" t="s">
        <v>56</v>
      </c>
      <c r="C2711" s="1" t="s">
        <v>57</v>
      </c>
      <c r="D2711" s="2">
        <v>43102</v>
      </c>
      <c r="E2711" s="2">
        <f t="shared" si="104"/>
        <v>43132</v>
      </c>
      <c r="F2711" s="1" t="s">
        <v>58</v>
      </c>
      <c r="G2711" s="1" t="s">
        <v>18</v>
      </c>
      <c r="H2711" s="1">
        <v>-0.25</v>
      </c>
      <c r="I2711" s="1">
        <v>3.01</v>
      </c>
      <c r="J2711" s="1">
        <v>0</v>
      </c>
      <c r="K2711" s="2">
        <v>43345</v>
      </c>
      <c r="L2711" s="1">
        <v>3716</v>
      </c>
      <c r="M2711" s="1">
        <v>3.52</v>
      </c>
      <c r="N2711" s="1">
        <v>0.43895000000000001</v>
      </c>
      <c r="O2711" s="3">
        <f>VLOOKUP(D2711,underlying!$D$40:$H$75,5,FALSE)</f>
        <v>-2.5</v>
      </c>
      <c r="P2711" s="4">
        <f t="shared" si="103"/>
        <v>43140</v>
      </c>
      <c r="Q2711" s="7">
        <f>IF(G2711="C",NormalCallSprd(O2711,H2711,M2711,(P2711-A2711)/365), NormalPutSprd(O2711,H2711,M2711,(P2711-A2711)/365))</f>
        <v>3.0331044417109645</v>
      </c>
      <c r="R2711" s="9">
        <f t="shared" si="105"/>
        <v>2.3104441710964707E-2</v>
      </c>
    </row>
    <row r="2712" spans="1:18" x14ac:dyDescent="0.2">
      <c r="A2712" s="2">
        <v>42622</v>
      </c>
      <c r="B2712" s="1" t="s">
        <v>56</v>
      </c>
      <c r="C2712" s="1" t="s">
        <v>57</v>
      </c>
      <c r="D2712" s="2">
        <v>43103</v>
      </c>
      <c r="E2712" s="2">
        <f t="shared" si="104"/>
        <v>43160</v>
      </c>
      <c r="F2712" s="1" t="s">
        <v>58</v>
      </c>
      <c r="G2712" s="1" t="s">
        <v>16</v>
      </c>
      <c r="H2712" s="1">
        <v>-9</v>
      </c>
      <c r="I2712" s="1">
        <v>6.79</v>
      </c>
      <c r="J2712" s="1">
        <v>-0.24</v>
      </c>
      <c r="K2712" s="2">
        <v>43346</v>
      </c>
      <c r="L2712" s="1">
        <v>3716</v>
      </c>
      <c r="M2712" s="1">
        <v>3.5</v>
      </c>
      <c r="N2712" s="1">
        <v>0.45624999999999999</v>
      </c>
      <c r="O2712" s="3">
        <f>VLOOKUP(D2712,underlying!$D$40:$H$75,5,FALSE)</f>
        <v>-2.25</v>
      </c>
      <c r="P2712" s="4">
        <f t="shared" si="103"/>
        <v>43168</v>
      </c>
      <c r="Q2712" s="7">
        <f>IF(G2712="C",NormalCallSprd(O2712,H2712,M2712,(P2712-A2712)/365), NormalPutSprd(O2712,H2712,M2712,(P2712-A2712)/365))</f>
        <v>6.8550560304115091</v>
      </c>
      <c r="R2712" s="9">
        <f t="shared" si="105"/>
        <v>6.5056030411509091E-2</v>
      </c>
    </row>
    <row r="2713" spans="1:18" x14ac:dyDescent="0.2">
      <c r="A2713" s="2">
        <v>42622</v>
      </c>
      <c r="B2713" s="1" t="s">
        <v>56</v>
      </c>
      <c r="C2713" s="1" t="s">
        <v>57</v>
      </c>
      <c r="D2713" s="2">
        <v>43103</v>
      </c>
      <c r="E2713" s="2">
        <f t="shared" si="104"/>
        <v>43160</v>
      </c>
      <c r="F2713" s="1" t="s">
        <v>58</v>
      </c>
      <c r="G2713" s="1" t="s">
        <v>18</v>
      </c>
      <c r="H2713" s="1">
        <v>-9</v>
      </c>
      <c r="I2713" s="1">
        <v>0.1</v>
      </c>
      <c r="J2713" s="1">
        <v>0.01</v>
      </c>
      <c r="K2713" s="2">
        <v>43346</v>
      </c>
      <c r="L2713" s="1">
        <v>3716</v>
      </c>
      <c r="M2713" s="1">
        <v>3.5</v>
      </c>
      <c r="N2713" s="1">
        <v>0.47366999999999998</v>
      </c>
      <c r="O2713" s="3">
        <f>VLOOKUP(D2713,underlying!$D$40:$H$75,5,FALSE)</f>
        <v>-2.25</v>
      </c>
      <c r="P2713" s="4">
        <f t="shared" si="103"/>
        <v>43168</v>
      </c>
      <c r="Q2713" s="7">
        <f>IF(G2713="C",NormalCallSprd(O2713,H2713,M2713,(P2713-A2713)/365), NormalPutSprd(O2713,H2713,M2713,(P2713-A2713)/365))</f>
        <v>0.10505603041150863</v>
      </c>
      <c r="R2713" s="9">
        <f t="shared" si="105"/>
        <v>5.0560304115086219E-3</v>
      </c>
    </row>
    <row r="2714" spans="1:18" x14ac:dyDescent="0.2">
      <c r="A2714" s="2">
        <v>42622</v>
      </c>
      <c r="B2714" s="1" t="s">
        <v>56</v>
      </c>
      <c r="C2714" s="1" t="s">
        <v>57</v>
      </c>
      <c r="D2714" s="2">
        <v>43103</v>
      </c>
      <c r="E2714" s="2">
        <f t="shared" si="104"/>
        <v>43160</v>
      </c>
      <c r="F2714" s="1" t="s">
        <v>58</v>
      </c>
      <c r="G2714" s="1" t="s">
        <v>16</v>
      </c>
      <c r="H2714" s="1">
        <v>-8</v>
      </c>
      <c r="I2714" s="1">
        <v>5.87</v>
      </c>
      <c r="J2714" s="1">
        <v>-0.23</v>
      </c>
      <c r="K2714" s="2">
        <v>43346</v>
      </c>
      <c r="L2714" s="1">
        <v>3716</v>
      </c>
      <c r="M2714" s="1">
        <v>3.51</v>
      </c>
      <c r="N2714" s="1">
        <v>0.49103000000000002</v>
      </c>
      <c r="O2714" s="3">
        <f>VLOOKUP(D2714,underlying!$D$40:$H$75,5,FALSE)</f>
        <v>-2.25</v>
      </c>
      <c r="P2714" s="4">
        <f t="shared" si="103"/>
        <v>43168</v>
      </c>
      <c r="Q2714" s="7">
        <f>IF(G2714="C",NormalCallSprd(O2714,H2714,M2714,(P2714-A2714)/365), NormalPutSprd(O2714,H2714,M2714,(P2714-A2714)/365))</f>
        <v>5.9296373711377459</v>
      </c>
      <c r="R2714" s="9">
        <f t="shared" si="105"/>
        <v>5.9637371137745809E-2</v>
      </c>
    </row>
    <row r="2715" spans="1:18" x14ac:dyDescent="0.2">
      <c r="A2715" s="2">
        <v>42622</v>
      </c>
      <c r="B2715" s="1" t="s">
        <v>56</v>
      </c>
      <c r="C2715" s="1" t="s">
        <v>57</v>
      </c>
      <c r="D2715" s="2">
        <v>43103</v>
      </c>
      <c r="E2715" s="2">
        <f t="shared" si="104"/>
        <v>43160</v>
      </c>
      <c r="F2715" s="1" t="s">
        <v>58</v>
      </c>
      <c r="G2715" s="1" t="s">
        <v>18</v>
      </c>
      <c r="H2715" s="1">
        <v>-8</v>
      </c>
      <c r="I2715" s="1">
        <v>0.18</v>
      </c>
      <c r="J2715" s="1">
        <v>0.02</v>
      </c>
      <c r="K2715" s="2">
        <v>43346</v>
      </c>
      <c r="L2715" s="1">
        <v>3716</v>
      </c>
      <c r="M2715" s="1">
        <v>3.51</v>
      </c>
      <c r="N2715" s="1">
        <v>0.50838000000000005</v>
      </c>
      <c r="O2715" s="3">
        <f>VLOOKUP(D2715,underlying!$D$40:$H$75,5,FALSE)</f>
        <v>-2.25</v>
      </c>
      <c r="P2715" s="4">
        <f t="shared" si="103"/>
        <v>43168</v>
      </c>
      <c r="Q2715" s="7">
        <f>IF(G2715="C",NormalCallSprd(O2715,H2715,M2715,(P2715-A2715)/365), NormalPutSprd(O2715,H2715,M2715,(P2715-A2715)/365))</f>
        <v>0.17963737113774533</v>
      </c>
      <c r="R2715" s="9">
        <f t="shared" si="105"/>
        <v>3.6262886225466029E-4</v>
      </c>
    </row>
    <row r="2716" spans="1:18" x14ac:dyDescent="0.2">
      <c r="A2716" s="2">
        <v>42622</v>
      </c>
      <c r="B2716" s="1" t="s">
        <v>56</v>
      </c>
      <c r="C2716" s="1" t="s">
        <v>57</v>
      </c>
      <c r="D2716" s="2">
        <v>43103</v>
      </c>
      <c r="E2716" s="2">
        <f t="shared" si="104"/>
        <v>43160</v>
      </c>
      <c r="F2716" s="1" t="s">
        <v>58</v>
      </c>
      <c r="G2716" s="1" t="s">
        <v>16</v>
      </c>
      <c r="H2716" s="1">
        <v>-7</v>
      </c>
      <c r="I2716" s="1">
        <v>4.99</v>
      </c>
      <c r="J2716" s="1">
        <v>-0.22</v>
      </c>
      <c r="K2716" s="2">
        <v>43346</v>
      </c>
      <c r="L2716" s="1">
        <v>3716</v>
      </c>
      <c r="M2716" s="1">
        <v>3.51</v>
      </c>
      <c r="N2716" s="1">
        <v>0.52580000000000005</v>
      </c>
      <c r="O2716" s="3">
        <f>VLOOKUP(D2716,underlying!$D$40:$H$75,5,FALSE)</f>
        <v>-2.25</v>
      </c>
      <c r="P2716" s="4">
        <f t="shared" si="103"/>
        <v>43168</v>
      </c>
      <c r="Q2716" s="7">
        <f>IF(G2716="C",NormalCallSprd(O2716,H2716,M2716,(P2716-A2716)/365), NormalPutSprd(O2716,H2716,M2716,(P2716-A2716)/365))</f>
        <v>5.0408367265871821</v>
      </c>
      <c r="R2716" s="9">
        <f t="shared" si="105"/>
        <v>5.0836726587181857E-2</v>
      </c>
    </row>
    <row r="2717" spans="1:18" x14ac:dyDescent="0.2">
      <c r="A2717" s="2">
        <v>42622</v>
      </c>
      <c r="B2717" s="1" t="s">
        <v>56</v>
      </c>
      <c r="C2717" s="1" t="s">
        <v>57</v>
      </c>
      <c r="D2717" s="2">
        <v>43103</v>
      </c>
      <c r="E2717" s="2">
        <f t="shared" si="104"/>
        <v>43160</v>
      </c>
      <c r="F2717" s="1" t="s">
        <v>58</v>
      </c>
      <c r="G2717" s="1" t="s">
        <v>18</v>
      </c>
      <c r="H2717" s="1">
        <v>-7</v>
      </c>
      <c r="I2717" s="1">
        <v>0.28999999999999998</v>
      </c>
      <c r="J2717" s="1">
        <v>0.03</v>
      </c>
      <c r="K2717" s="2">
        <v>43346</v>
      </c>
      <c r="L2717" s="1">
        <v>3716</v>
      </c>
      <c r="M2717" s="1">
        <v>3.51</v>
      </c>
      <c r="N2717" s="1">
        <v>0.54310000000000003</v>
      </c>
      <c r="O2717" s="3">
        <f>VLOOKUP(D2717,underlying!$D$40:$H$75,5,FALSE)</f>
        <v>-2.25</v>
      </c>
      <c r="P2717" s="4">
        <f t="shared" si="103"/>
        <v>43168</v>
      </c>
      <c r="Q2717" s="7">
        <f>IF(G2717="C",NormalCallSprd(O2717,H2717,M2717,(P2717-A2717)/365), NormalPutSprd(O2717,H2717,M2717,(P2717-A2717)/365))</f>
        <v>0.2908367265871819</v>
      </c>
      <c r="R2717" s="9">
        <f t="shared" si="105"/>
        <v>8.3672658718192405E-4</v>
      </c>
    </row>
    <row r="2718" spans="1:18" x14ac:dyDescent="0.2">
      <c r="A2718" s="2">
        <v>42622</v>
      </c>
      <c r="B2718" s="1" t="s">
        <v>56</v>
      </c>
      <c r="C2718" s="1" t="s">
        <v>57</v>
      </c>
      <c r="D2718" s="2">
        <v>43103</v>
      </c>
      <c r="E2718" s="2">
        <f t="shared" si="104"/>
        <v>43160</v>
      </c>
      <c r="F2718" s="1" t="s">
        <v>58</v>
      </c>
      <c r="G2718" s="1" t="s">
        <v>16</v>
      </c>
      <c r="H2718" s="1">
        <v>-6.25</v>
      </c>
      <c r="I2718" s="1">
        <v>4.37</v>
      </c>
      <c r="J2718" s="1">
        <v>-0.2</v>
      </c>
      <c r="K2718" s="2">
        <v>43346</v>
      </c>
      <c r="L2718" s="1">
        <v>3716</v>
      </c>
      <c r="M2718" s="1">
        <v>3.51</v>
      </c>
      <c r="N2718" s="1">
        <v>0.5605</v>
      </c>
      <c r="O2718" s="3">
        <f>VLOOKUP(D2718,underlying!$D$40:$H$75,5,FALSE)</f>
        <v>-2.25</v>
      </c>
      <c r="P2718" s="4">
        <f t="shared" si="103"/>
        <v>43168</v>
      </c>
      <c r="Q2718" s="7">
        <f>IF(G2718="C",NormalCallSprd(O2718,H2718,M2718,(P2718-A2718)/365), NormalPutSprd(O2718,H2718,M2718,(P2718-A2718)/365))</f>
        <v>4.4066237975653477</v>
      </c>
      <c r="R2718" s="9">
        <f t="shared" si="105"/>
        <v>3.6623797565347616E-2</v>
      </c>
    </row>
    <row r="2719" spans="1:18" x14ac:dyDescent="0.2">
      <c r="A2719" s="2">
        <v>42622</v>
      </c>
      <c r="B2719" s="1" t="s">
        <v>56</v>
      </c>
      <c r="C2719" s="1" t="s">
        <v>57</v>
      </c>
      <c r="D2719" s="2">
        <v>43103</v>
      </c>
      <c r="E2719" s="2">
        <f t="shared" si="104"/>
        <v>43160</v>
      </c>
      <c r="F2719" s="1" t="s">
        <v>58</v>
      </c>
      <c r="G2719" s="1" t="s">
        <v>18</v>
      </c>
      <c r="H2719" s="1">
        <v>-6.25</v>
      </c>
      <c r="I2719" s="1">
        <v>0.4</v>
      </c>
      <c r="J2719" s="1">
        <v>0.04</v>
      </c>
      <c r="K2719" s="2">
        <v>43346</v>
      </c>
      <c r="L2719" s="1">
        <v>3716</v>
      </c>
      <c r="M2719" s="1">
        <v>3.51</v>
      </c>
      <c r="N2719" s="1">
        <v>0.57711999999999997</v>
      </c>
      <c r="O2719" s="3">
        <f>VLOOKUP(D2719,underlying!$D$40:$H$75,5,FALSE)</f>
        <v>-2.25</v>
      </c>
      <c r="P2719" s="4">
        <f t="shared" si="103"/>
        <v>43168</v>
      </c>
      <c r="Q2719" s="7">
        <f>IF(G2719="C",NormalCallSprd(O2719,H2719,M2719,(P2719-A2719)/365), NormalPutSprd(O2719,H2719,M2719,(P2719-A2719)/365))</f>
        <v>0.40662379756534789</v>
      </c>
      <c r="R2719" s="9">
        <f t="shared" si="105"/>
        <v>6.6237975653478665E-3</v>
      </c>
    </row>
    <row r="2720" spans="1:18" x14ac:dyDescent="0.2">
      <c r="A2720" s="2">
        <v>42622</v>
      </c>
      <c r="B2720" s="1" t="s">
        <v>56</v>
      </c>
      <c r="C2720" s="1" t="s">
        <v>57</v>
      </c>
      <c r="D2720" s="2">
        <v>43103</v>
      </c>
      <c r="E2720" s="2">
        <f t="shared" si="104"/>
        <v>43160</v>
      </c>
      <c r="F2720" s="1" t="s">
        <v>58</v>
      </c>
      <c r="G2720" s="1" t="s">
        <v>16</v>
      </c>
      <c r="H2720" s="1">
        <v>-6</v>
      </c>
      <c r="I2720" s="1">
        <v>4.16</v>
      </c>
      <c r="J2720" s="1">
        <v>-0.21</v>
      </c>
      <c r="K2720" s="2">
        <v>43346</v>
      </c>
      <c r="L2720" s="1">
        <v>3716</v>
      </c>
      <c r="M2720" s="1">
        <v>3.51</v>
      </c>
      <c r="N2720" s="1">
        <v>0.59455000000000002</v>
      </c>
      <c r="O2720" s="3">
        <f>VLOOKUP(D2720,underlying!$D$40:$H$75,5,FALSE)</f>
        <v>-2.25</v>
      </c>
      <c r="P2720" s="4">
        <f t="shared" si="103"/>
        <v>43168</v>
      </c>
      <c r="Q2720" s="7">
        <f>IF(G2720="C",NormalCallSprd(O2720,H2720,M2720,(P2720-A2720)/365), NormalPutSprd(O2720,H2720,M2720,(P2720-A2720)/365))</f>
        <v>4.2024718675398383</v>
      </c>
      <c r="R2720" s="9">
        <f t="shared" si="105"/>
        <v>4.2471867539838115E-2</v>
      </c>
    </row>
    <row r="2721" spans="1:18" x14ac:dyDescent="0.2">
      <c r="A2721" s="2">
        <v>42622</v>
      </c>
      <c r="B2721" s="1" t="s">
        <v>56</v>
      </c>
      <c r="C2721" s="1" t="s">
        <v>57</v>
      </c>
      <c r="D2721" s="2">
        <v>43103</v>
      </c>
      <c r="E2721" s="2">
        <f t="shared" si="104"/>
        <v>43160</v>
      </c>
      <c r="F2721" s="1" t="s">
        <v>58</v>
      </c>
      <c r="G2721" s="1" t="s">
        <v>18</v>
      </c>
      <c r="H2721" s="1">
        <v>-6</v>
      </c>
      <c r="I2721" s="1">
        <v>0.45</v>
      </c>
      <c r="J2721" s="1">
        <v>0.05</v>
      </c>
      <c r="K2721" s="2">
        <v>43346</v>
      </c>
      <c r="L2721" s="1">
        <v>3716</v>
      </c>
      <c r="M2721" s="1">
        <v>3.51</v>
      </c>
      <c r="N2721" s="1">
        <v>0.61063000000000001</v>
      </c>
      <c r="O2721" s="3">
        <f>VLOOKUP(D2721,underlying!$D$40:$H$75,5,FALSE)</f>
        <v>-2.25</v>
      </c>
      <c r="P2721" s="4">
        <f t="shared" si="103"/>
        <v>43168</v>
      </c>
      <c r="Q2721" s="7">
        <f>IF(G2721="C",NormalCallSprd(O2721,H2721,M2721,(P2721-A2721)/365), NormalPutSprd(O2721,H2721,M2721,(P2721-A2721)/365))</f>
        <v>0.45247186753983831</v>
      </c>
      <c r="R2721" s="9">
        <f t="shared" si="105"/>
        <v>2.4718675398383017E-3</v>
      </c>
    </row>
    <row r="2722" spans="1:18" x14ac:dyDescent="0.2">
      <c r="A2722" s="2">
        <v>42622</v>
      </c>
      <c r="B2722" s="1" t="s">
        <v>56</v>
      </c>
      <c r="C2722" s="1" t="s">
        <v>57</v>
      </c>
      <c r="D2722" s="2">
        <v>43103</v>
      </c>
      <c r="E2722" s="2">
        <f t="shared" si="104"/>
        <v>43160</v>
      </c>
      <c r="F2722" s="1" t="s">
        <v>58</v>
      </c>
      <c r="G2722" s="1" t="s">
        <v>16</v>
      </c>
      <c r="H2722" s="1">
        <v>-5.75</v>
      </c>
      <c r="I2722" s="1">
        <v>3.96</v>
      </c>
      <c r="J2722" s="1">
        <v>-0.21</v>
      </c>
      <c r="K2722" s="2">
        <v>43346</v>
      </c>
      <c r="L2722" s="1">
        <v>3716</v>
      </c>
      <c r="M2722" s="1">
        <v>3.51</v>
      </c>
      <c r="N2722" s="1">
        <v>0.62780000000000002</v>
      </c>
      <c r="O2722" s="3">
        <f>VLOOKUP(D2722,underlying!$D$40:$H$75,5,FALSE)</f>
        <v>-2.25</v>
      </c>
      <c r="P2722" s="4">
        <f t="shared" si="103"/>
        <v>43168</v>
      </c>
      <c r="Q2722" s="7">
        <f>IF(G2722="C",NormalCallSprd(O2722,H2722,M2722,(P2722-A2722)/365), NormalPutSprd(O2722,H2722,M2722,(P2722-A2722)/365))</f>
        <v>4.0022855610539745</v>
      </c>
      <c r="R2722" s="9">
        <f t="shared" si="105"/>
        <v>4.2285561053974519E-2</v>
      </c>
    </row>
    <row r="2723" spans="1:18" x14ac:dyDescent="0.2">
      <c r="A2723" s="2">
        <v>42622</v>
      </c>
      <c r="B2723" s="1" t="s">
        <v>56</v>
      </c>
      <c r="C2723" s="1" t="s">
        <v>57</v>
      </c>
      <c r="D2723" s="2">
        <v>43103</v>
      </c>
      <c r="E2723" s="2">
        <f t="shared" si="104"/>
        <v>43160</v>
      </c>
      <c r="F2723" s="1" t="s">
        <v>58</v>
      </c>
      <c r="G2723" s="1" t="s">
        <v>18</v>
      </c>
      <c r="H2723" s="1">
        <v>-5.75</v>
      </c>
      <c r="I2723" s="1">
        <v>0.5</v>
      </c>
      <c r="J2723" s="1">
        <v>0.05</v>
      </c>
      <c r="K2723" s="2">
        <v>43346</v>
      </c>
      <c r="L2723" s="1">
        <v>3716</v>
      </c>
      <c r="M2723" s="1">
        <v>3.51</v>
      </c>
      <c r="N2723" s="1">
        <v>0.64322999999999997</v>
      </c>
      <c r="O2723" s="3">
        <f>VLOOKUP(D2723,underlying!$D$40:$H$75,5,FALSE)</f>
        <v>-2.25</v>
      </c>
      <c r="P2723" s="4">
        <f t="shared" si="103"/>
        <v>43168</v>
      </c>
      <c r="Q2723" s="7">
        <f>IF(G2723="C",NormalCallSprd(O2723,H2723,M2723,(P2723-A2723)/365), NormalPutSprd(O2723,H2723,M2723,(P2723-A2723)/365))</f>
        <v>0.50228556105397482</v>
      </c>
      <c r="R2723" s="9">
        <f t="shared" si="105"/>
        <v>2.2855610539748161E-3</v>
      </c>
    </row>
    <row r="2724" spans="1:18" x14ac:dyDescent="0.2">
      <c r="A2724" s="2">
        <v>42622</v>
      </c>
      <c r="B2724" s="1" t="s">
        <v>56</v>
      </c>
      <c r="C2724" s="1" t="s">
        <v>57</v>
      </c>
      <c r="D2724" s="2">
        <v>43103</v>
      </c>
      <c r="E2724" s="2">
        <f t="shared" si="104"/>
        <v>43160</v>
      </c>
      <c r="F2724" s="1" t="s">
        <v>58</v>
      </c>
      <c r="G2724" s="1" t="s">
        <v>16</v>
      </c>
      <c r="H2724" s="1">
        <v>-5.5</v>
      </c>
      <c r="I2724" s="1">
        <v>3.77</v>
      </c>
      <c r="J2724" s="1">
        <v>-0.2</v>
      </c>
      <c r="K2724" s="2">
        <v>43346</v>
      </c>
      <c r="L2724" s="1">
        <v>3716</v>
      </c>
      <c r="M2724" s="1">
        <v>3.51</v>
      </c>
      <c r="N2724" s="1">
        <v>0.65912000000000004</v>
      </c>
      <c r="O2724" s="3">
        <f>VLOOKUP(D2724,underlying!$D$40:$H$75,5,FALSE)</f>
        <v>-2.25</v>
      </c>
      <c r="P2724" s="4">
        <f t="shared" si="103"/>
        <v>43168</v>
      </c>
      <c r="Q2724" s="7">
        <f>IF(G2724="C",NormalCallSprd(O2724,H2724,M2724,(P2724-A2724)/365), NormalPutSprd(O2724,H2724,M2724,(P2724-A2724)/365))</f>
        <v>3.8062646414031271</v>
      </c>
      <c r="R2724" s="9">
        <f t="shared" si="105"/>
        <v>3.6264641403127129E-2</v>
      </c>
    </row>
    <row r="2725" spans="1:18" x14ac:dyDescent="0.2">
      <c r="A2725" s="2">
        <v>42622</v>
      </c>
      <c r="B2725" s="1" t="s">
        <v>56</v>
      </c>
      <c r="C2725" s="1" t="s">
        <v>57</v>
      </c>
      <c r="D2725" s="2">
        <v>43103</v>
      </c>
      <c r="E2725" s="2">
        <f t="shared" si="104"/>
        <v>43160</v>
      </c>
      <c r="F2725" s="1" t="s">
        <v>58</v>
      </c>
      <c r="G2725" s="1" t="s">
        <v>18</v>
      </c>
      <c r="H2725" s="1">
        <v>-5.5</v>
      </c>
      <c r="I2725" s="1">
        <v>0.55000000000000004</v>
      </c>
      <c r="J2725" s="1">
        <v>0.05</v>
      </c>
      <c r="K2725" s="2">
        <v>43346</v>
      </c>
      <c r="L2725" s="1">
        <v>3716</v>
      </c>
      <c r="M2725" s="1">
        <v>3.51</v>
      </c>
      <c r="N2725" s="1">
        <v>0.67469000000000001</v>
      </c>
      <c r="O2725" s="3">
        <f>VLOOKUP(D2725,underlying!$D$40:$H$75,5,FALSE)</f>
        <v>-2.25</v>
      </c>
      <c r="P2725" s="4">
        <f t="shared" si="103"/>
        <v>43168</v>
      </c>
      <c r="Q2725" s="7">
        <f>IF(G2725="C",NormalCallSprd(O2725,H2725,M2725,(P2725-A2725)/365), NormalPutSprd(O2725,H2725,M2725,(P2725-A2725)/365))</f>
        <v>0.55626464140312737</v>
      </c>
      <c r="R2725" s="9">
        <f t="shared" si="105"/>
        <v>6.2646414031273245E-3</v>
      </c>
    </row>
    <row r="2726" spans="1:18" x14ac:dyDescent="0.2">
      <c r="A2726" s="2">
        <v>42622</v>
      </c>
      <c r="B2726" s="1" t="s">
        <v>56</v>
      </c>
      <c r="C2726" s="1" t="s">
        <v>57</v>
      </c>
      <c r="D2726" s="2">
        <v>43103</v>
      </c>
      <c r="E2726" s="2">
        <f t="shared" si="104"/>
        <v>43160</v>
      </c>
      <c r="F2726" s="1" t="s">
        <v>58</v>
      </c>
      <c r="G2726" s="1" t="s">
        <v>16</v>
      </c>
      <c r="H2726" s="1">
        <v>-5.25</v>
      </c>
      <c r="I2726" s="1">
        <v>3.58</v>
      </c>
      <c r="J2726" s="1">
        <v>-0.19</v>
      </c>
      <c r="K2726" s="2">
        <v>43346</v>
      </c>
      <c r="L2726" s="1">
        <v>3716</v>
      </c>
      <c r="M2726" s="1">
        <v>3.51</v>
      </c>
      <c r="N2726" s="1">
        <v>0.68994</v>
      </c>
      <c r="O2726" s="3">
        <f>VLOOKUP(D2726,underlying!$D$40:$H$75,5,FALSE)</f>
        <v>-2.25</v>
      </c>
      <c r="P2726" s="4">
        <f t="shared" si="103"/>
        <v>43168</v>
      </c>
      <c r="Q2726" s="7">
        <f>IF(G2726="C",NormalCallSprd(O2726,H2726,M2726,(P2726-A2726)/365), NormalPutSprd(O2726,H2726,M2726,(P2726-A2726)/365))</f>
        <v>3.6146041305394387</v>
      </c>
      <c r="R2726" s="9">
        <f t="shared" si="105"/>
        <v>3.4604130539438671E-2</v>
      </c>
    </row>
    <row r="2727" spans="1:18" x14ac:dyDescent="0.2">
      <c r="A2727" s="2">
        <v>42622</v>
      </c>
      <c r="B2727" s="1" t="s">
        <v>56</v>
      </c>
      <c r="C2727" s="1" t="s">
        <v>57</v>
      </c>
      <c r="D2727" s="2">
        <v>43103</v>
      </c>
      <c r="E2727" s="2">
        <f t="shared" si="104"/>
        <v>43160</v>
      </c>
      <c r="F2727" s="1" t="s">
        <v>58</v>
      </c>
      <c r="G2727" s="1" t="s">
        <v>18</v>
      </c>
      <c r="H2727" s="1">
        <v>-5.25</v>
      </c>
      <c r="I2727" s="1">
        <v>0.61</v>
      </c>
      <c r="J2727" s="1">
        <v>0.06</v>
      </c>
      <c r="K2727" s="2">
        <v>43346</v>
      </c>
      <c r="L2727" s="1">
        <v>3716</v>
      </c>
      <c r="M2727" s="1">
        <v>3.51</v>
      </c>
      <c r="N2727" s="1">
        <v>0.70482999999999996</v>
      </c>
      <c r="O2727" s="3">
        <f>VLOOKUP(D2727,underlying!$D$40:$H$75,5,FALSE)</f>
        <v>-2.25</v>
      </c>
      <c r="P2727" s="4">
        <f t="shared" si="103"/>
        <v>43168</v>
      </c>
      <c r="Q2727" s="7">
        <f>IF(G2727="C",NormalCallSprd(O2727,H2727,M2727,(P2727-A2727)/365), NormalPutSprd(O2727,H2727,M2727,(P2727-A2727)/365))</f>
        <v>0.61460413053943885</v>
      </c>
      <c r="R2727" s="9">
        <f t="shared" si="105"/>
        <v>4.6041305394388665E-3</v>
      </c>
    </row>
    <row r="2728" spans="1:18" x14ac:dyDescent="0.2">
      <c r="A2728" s="2">
        <v>42622</v>
      </c>
      <c r="B2728" s="1" t="s">
        <v>56</v>
      </c>
      <c r="C2728" s="1" t="s">
        <v>57</v>
      </c>
      <c r="D2728" s="2">
        <v>43103</v>
      </c>
      <c r="E2728" s="2">
        <f t="shared" si="104"/>
        <v>43160</v>
      </c>
      <c r="F2728" s="1" t="s">
        <v>58</v>
      </c>
      <c r="G2728" s="1" t="s">
        <v>16</v>
      </c>
      <c r="H2728" s="1">
        <v>-5</v>
      </c>
      <c r="I2728" s="1">
        <v>3.4</v>
      </c>
      <c r="J2728" s="1">
        <v>-0.18</v>
      </c>
      <c r="K2728" s="2">
        <v>43346</v>
      </c>
      <c r="L2728" s="1">
        <v>3716</v>
      </c>
      <c r="M2728" s="1">
        <v>3.51</v>
      </c>
      <c r="N2728" s="1">
        <v>0.7611</v>
      </c>
      <c r="O2728" s="3">
        <f>VLOOKUP(D2728,underlying!$D$40:$H$75,5,FALSE)</f>
        <v>-2.25</v>
      </c>
      <c r="P2728" s="4">
        <f t="shared" si="103"/>
        <v>43168</v>
      </c>
      <c r="Q2728" s="7">
        <f>IF(G2728="C",NormalCallSprd(O2728,H2728,M2728,(P2728-A2728)/365), NormalPutSprd(O2728,H2728,M2728,(P2728-A2728)/365))</f>
        <v>3.4274927364182002</v>
      </c>
      <c r="R2728" s="9">
        <f t="shared" si="105"/>
        <v>2.749273641820027E-2</v>
      </c>
    </row>
    <row r="2729" spans="1:18" x14ac:dyDescent="0.2">
      <c r="A2729" s="2">
        <v>42622</v>
      </c>
      <c r="B2729" s="1" t="s">
        <v>56</v>
      </c>
      <c r="C2729" s="1" t="s">
        <v>57</v>
      </c>
      <c r="D2729" s="2">
        <v>43103</v>
      </c>
      <c r="E2729" s="2">
        <f t="shared" si="104"/>
        <v>43160</v>
      </c>
      <c r="F2729" s="1" t="s">
        <v>58</v>
      </c>
      <c r="G2729" s="1" t="s">
        <v>18</v>
      </c>
      <c r="H2729" s="1">
        <v>-5</v>
      </c>
      <c r="I2729" s="1">
        <v>0.67</v>
      </c>
      <c r="J2729" s="1">
        <v>0.06</v>
      </c>
      <c r="K2729" s="2">
        <v>43346</v>
      </c>
      <c r="L2729" s="1">
        <v>3716</v>
      </c>
      <c r="M2729" s="1">
        <v>3.51</v>
      </c>
      <c r="N2729" s="1">
        <v>0.81052000000000002</v>
      </c>
      <c r="O2729" s="3">
        <f>VLOOKUP(D2729,underlying!$D$40:$H$75,5,FALSE)</f>
        <v>-2.25</v>
      </c>
      <c r="P2729" s="4">
        <f t="shared" si="103"/>
        <v>43168</v>
      </c>
      <c r="Q2729" s="7">
        <f>IF(G2729="C",NormalCallSprd(O2729,H2729,M2729,(P2729-A2729)/365), NormalPutSprd(O2729,H2729,M2729,(P2729-A2729)/365))</f>
        <v>0.67749273641820007</v>
      </c>
      <c r="R2729" s="9">
        <f t="shared" si="105"/>
        <v>7.49273641820003E-3</v>
      </c>
    </row>
    <row r="2730" spans="1:18" x14ac:dyDescent="0.2">
      <c r="A2730" s="2">
        <v>42622</v>
      </c>
      <c r="B2730" s="1" t="s">
        <v>56</v>
      </c>
      <c r="C2730" s="1" t="s">
        <v>57</v>
      </c>
      <c r="D2730" s="2">
        <v>43103</v>
      </c>
      <c r="E2730" s="2">
        <f t="shared" si="104"/>
        <v>43160</v>
      </c>
      <c r="F2730" s="1" t="s">
        <v>58</v>
      </c>
      <c r="G2730" s="1" t="s">
        <v>16</v>
      </c>
      <c r="H2730" s="1">
        <v>-4.75</v>
      </c>
      <c r="I2730" s="1">
        <v>3.21</v>
      </c>
      <c r="J2730" s="1">
        <v>-0.19</v>
      </c>
      <c r="K2730" s="2">
        <v>43346</v>
      </c>
      <c r="L2730" s="1">
        <v>3716</v>
      </c>
      <c r="M2730" s="1">
        <v>3.51</v>
      </c>
      <c r="N2730" s="1">
        <v>-0.59426000000000001</v>
      </c>
      <c r="O2730" s="3">
        <f>VLOOKUP(D2730,underlying!$D$40:$H$75,5,FALSE)</f>
        <v>-2.25</v>
      </c>
      <c r="P2730" s="4">
        <f t="shared" si="103"/>
        <v>43168</v>
      </c>
      <c r="Q2730" s="7">
        <f>IF(G2730="C",NormalCallSprd(O2730,H2730,M2730,(P2730-A2730)/365), NormalPutSprd(O2730,H2730,M2730,(P2730-A2730)/365))</f>
        <v>3.2451112750683375</v>
      </c>
      <c r="R2730" s="9">
        <f t="shared" si="105"/>
        <v>3.5111275068337555E-2</v>
      </c>
    </row>
    <row r="2731" spans="1:18" x14ac:dyDescent="0.2">
      <c r="A2731" s="2">
        <v>42622</v>
      </c>
      <c r="B2731" s="1" t="s">
        <v>56</v>
      </c>
      <c r="C2731" s="1" t="s">
        <v>57</v>
      </c>
      <c r="D2731" s="2">
        <v>43103</v>
      </c>
      <c r="E2731" s="2">
        <f t="shared" si="104"/>
        <v>43160</v>
      </c>
      <c r="F2731" s="1" t="s">
        <v>58</v>
      </c>
      <c r="G2731" s="1" t="s">
        <v>18</v>
      </c>
      <c r="H2731" s="1">
        <v>-4.75</v>
      </c>
      <c r="I2731" s="1">
        <v>0.74</v>
      </c>
      <c r="J2731" s="1">
        <v>7.0000000000000007E-2</v>
      </c>
      <c r="K2731" s="2">
        <v>43346</v>
      </c>
      <c r="L2731" s="1">
        <v>3716</v>
      </c>
      <c r="M2731" s="1">
        <v>3.51</v>
      </c>
      <c r="N2731" s="1">
        <v>-0.57737000000000005</v>
      </c>
      <c r="O2731" s="3">
        <f>VLOOKUP(D2731,underlying!$D$40:$H$75,5,FALSE)</f>
        <v>-2.25</v>
      </c>
      <c r="P2731" s="4">
        <f t="shared" si="103"/>
        <v>43168</v>
      </c>
      <c r="Q2731" s="7">
        <f>IF(G2731="C",NormalCallSprd(O2731,H2731,M2731,(P2731-A2731)/365), NormalPutSprd(O2731,H2731,M2731,(P2731-A2731)/365))</f>
        <v>0.7451112750683373</v>
      </c>
      <c r="R2731" s="9">
        <f t="shared" si="105"/>
        <v>5.1112750683373065E-3</v>
      </c>
    </row>
    <row r="2732" spans="1:18" x14ac:dyDescent="0.2">
      <c r="A2732" s="2">
        <v>42622</v>
      </c>
      <c r="B2732" s="1" t="s">
        <v>56</v>
      </c>
      <c r="C2732" s="1" t="s">
        <v>57</v>
      </c>
      <c r="D2732" s="2">
        <v>43103</v>
      </c>
      <c r="E2732" s="2">
        <f t="shared" si="104"/>
        <v>43160</v>
      </c>
      <c r="F2732" s="1" t="s">
        <v>58</v>
      </c>
      <c r="G2732" s="1" t="s">
        <v>16</v>
      </c>
      <c r="H2732" s="1">
        <v>-4.5</v>
      </c>
      <c r="I2732" s="1">
        <v>3.04</v>
      </c>
      <c r="J2732" s="1">
        <v>-0.18</v>
      </c>
      <c r="K2732" s="2">
        <v>43346</v>
      </c>
      <c r="L2732" s="1">
        <v>3716</v>
      </c>
      <c r="M2732" s="1">
        <v>3.51</v>
      </c>
      <c r="N2732" s="1">
        <v>-0.5605</v>
      </c>
      <c r="O2732" s="3">
        <f>VLOOKUP(D2732,underlying!$D$40:$H$75,5,FALSE)</f>
        <v>-2.25</v>
      </c>
      <c r="P2732" s="4">
        <f t="shared" si="103"/>
        <v>43168</v>
      </c>
      <c r="Q2732" s="7">
        <f>IF(G2732="C",NormalCallSprd(O2732,H2732,M2732,(P2732-A2732)/365), NormalPutSprd(O2732,H2732,M2732,(P2732-A2732)/365))</f>
        <v>3.0676311089554491</v>
      </c>
      <c r="R2732" s="9">
        <f t="shared" si="105"/>
        <v>2.7631108955449069E-2</v>
      </c>
    </row>
    <row r="2733" spans="1:18" x14ac:dyDescent="0.2">
      <c r="A2733" s="2">
        <v>42622</v>
      </c>
      <c r="B2733" s="1" t="s">
        <v>56</v>
      </c>
      <c r="C2733" s="1" t="s">
        <v>57</v>
      </c>
      <c r="D2733" s="2">
        <v>43103</v>
      </c>
      <c r="E2733" s="2">
        <f t="shared" si="104"/>
        <v>43160</v>
      </c>
      <c r="F2733" s="1" t="s">
        <v>58</v>
      </c>
      <c r="G2733" s="1" t="s">
        <v>18</v>
      </c>
      <c r="H2733" s="1">
        <v>-4.5</v>
      </c>
      <c r="I2733" s="1">
        <v>0.81</v>
      </c>
      <c r="J2733" s="1">
        <v>7.0000000000000007E-2</v>
      </c>
      <c r="K2733" s="2">
        <v>43346</v>
      </c>
      <c r="L2733" s="1">
        <v>3716</v>
      </c>
      <c r="M2733" s="1">
        <v>3.51</v>
      </c>
      <c r="N2733" s="1">
        <v>-0.54310000000000003</v>
      </c>
      <c r="O2733" s="3">
        <f>VLOOKUP(D2733,underlying!$D$40:$H$75,5,FALSE)</f>
        <v>-2.25</v>
      </c>
      <c r="P2733" s="4">
        <f t="shared" si="103"/>
        <v>43168</v>
      </c>
      <c r="Q2733" s="7">
        <f>IF(G2733="C",NormalCallSprd(O2733,H2733,M2733,(P2733-A2733)/365), NormalPutSprd(O2733,H2733,M2733,(P2733-A2733)/365))</f>
        <v>0.81763110895544888</v>
      </c>
      <c r="R2733" s="9">
        <f t="shared" si="105"/>
        <v>7.6311089554488287E-3</v>
      </c>
    </row>
    <row r="2734" spans="1:18" x14ac:dyDescent="0.2">
      <c r="A2734" s="2">
        <v>42622</v>
      </c>
      <c r="B2734" s="1" t="s">
        <v>56</v>
      </c>
      <c r="C2734" s="1" t="s">
        <v>57</v>
      </c>
      <c r="D2734" s="2">
        <v>43103</v>
      </c>
      <c r="E2734" s="2">
        <f t="shared" si="104"/>
        <v>43160</v>
      </c>
      <c r="F2734" s="1" t="s">
        <v>58</v>
      </c>
      <c r="G2734" s="1" t="s">
        <v>16</v>
      </c>
      <c r="H2734" s="1">
        <v>-4.25</v>
      </c>
      <c r="I2734" s="1">
        <v>2.86</v>
      </c>
      <c r="J2734" s="1">
        <v>-0.18</v>
      </c>
      <c r="K2734" s="2">
        <v>43346</v>
      </c>
      <c r="L2734" s="1">
        <v>3716</v>
      </c>
      <c r="M2734" s="1">
        <v>3.49</v>
      </c>
      <c r="N2734" s="1">
        <v>-0.52580000000000005</v>
      </c>
      <c r="O2734" s="3">
        <f>VLOOKUP(D2734,underlying!$D$40:$H$75,5,FALSE)</f>
        <v>-2.25</v>
      </c>
      <c r="P2734" s="4">
        <f t="shared" si="103"/>
        <v>43168</v>
      </c>
      <c r="Q2734" s="7">
        <f>IF(G2734="C",NormalCallSprd(O2734,H2734,M2734,(P2734-A2734)/365), NormalPutSprd(O2734,H2734,M2734,(P2734-A2734)/365))</f>
        <v>2.8864629959765224</v>
      </c>
      <c r="R2734" s="9">
        <f t="shared" si="105"/>
        <v>2.6462995976522574E-2</v>
      </c>
    </row>
    <row r="2735" spans="1:18" x14ac:dyDescent="0.2">
      <c r="A2735" s="2">
        <v>42622</v>
      </c>
      <c r="B2735" s="1" t="s">
        <v>56</v>
      </c>
      <c r="C2735" s="1" t="s">
        <v>57</v>
      </c>
      <c r="D2735" s="2">
        <v>43103</v>
      </c>
      <c r="E2735" s="2">
        <f t="shared" si="104"/>
        <v>43160</v>
      </c>
      <c r="F2735" s="1" t="s">
        <v>58</v>
      </c>
      <c r="G2735" s="1" t="s">
        <v>18</v>
      </c>
      <c r="H2735" s="1">
        <v>-4.25</v>
      </c>
      <c r="I2735" s="1">
        <v>0.88</v>
      </c>
      <c r="J2735" s="1">
        <v>7.0000000000000007E-2</v>
      </c>
      <c r="K2735" s="2">
        <v>43346</v>
      </c>
      <c r="L2735" s="1">
        <v>3716</v>
      </c>
      <c r="M2735" s="1">
        <v>3.49</v>
      </c>
      <c r="N2735" s="1">
        <v>-0.50838000000000005</v>
      </c>
      <c r="O2735" s="3">
        <f>VLOOKUP(D2735,underlying!$D$40:$H$75,5,FALSE)</f>
        <v>-2.25</v>
      </c>
      <c r="P2735" s="4">
        <f t="shared" si="103"/>
        <v>43168</v>
      </c>
      <c r="Q2735" s="7">
        <f>IF(G2735="C",NormalCallSprd(O2735,H2735,M2735,(P2735-A2735)/365), NormalPutSprd(O2735,H2735,M2735,(P2735-A2735)/365))</f>
        <v>0.88646299597652267</v>
      </c>
      <c r="R2735" s="9">
        <f t="shared" si="105"/>
        <v>6.4629959765226674E-3</v>
      </c>
    </row>
    <row r="2736" spans="1:18" x14ac:dyDescent="0.2">
      <c r="A2736" s="2">
        <v>42622</v>
      </c>
      <c r="B2736" s="1" t="s">
        <v>56</v>
      </c>
      <c r="C2736" s="1" t="s">
        <v>57</v>
      </c>
      <c r="D2736" s="2">
        <v>43103</v>
      </c>
      <c r="E2736" s="2">
        <f t="shared" si="104"/>
        <v>43160</v>
      </c>
      <c r="F2736" s="1" t="s">
        <v>58</v>
      </c>
      <c r="G2736" s="1" t="s">
        <v>16</v>
      </c>
      <c r="H2736" s="1">
        <v>-4</v>
      </c>
      <c r="I2736" s="1">
        <v>2.7</v>
      </c>
      <c r="J2736" s="1">
        <v>-0.16</v>
      </c>
      <c r="K2736" s="2">
        <v>43346</v>
      </c>
      <c r="L2736" s="1">
        <v>3716</v>
      </c>
      <c r="M2736" s="1">
        <v>3.51</v>
      </c>
      <c r="N2736" s="1">
        <v>-0.49103000000000002</v>
      </c>
      <c r="O2736" s="3">
        <f>VLOOKUP(D2736,underlying!$D$40:$H$75,5,FALSE)</f>
        <v>-2.25</v>
      </c>
      <c r="P2736" s="4">
        <f t="shared" si="103"/>
        <v>43168</v>
      </c>
      <c r="Q2736" s="7">
        <f>IF(G2736="C",NormalCallSprd(O2736,H2736,M2736,(P2736-A2736)/365), NormalPutSprd(O2736,H2736,M2736,(P2736-A2736)/365))</f>
        <v>2.7280037663440204</v>
      </c>
      <c r="R2736" s="9">
        <f t="shared" si="105"/>
        <v>2.8003766344020242E-2</v>
      </c>
    </row>
    <row r="2737" spans="1:18" x14ac:dyDescent="0.2">
      <c r="A2737" s="2">
        <v>42622</v>
      </c>
      <c r="B2737" s="1" t="s">
        <v>56</v>
      </c>
      <c r="C2737" s="1" t="s">
        <v>57</v>
      </c>
      <c r="D2737" s="2">
        <v>43103</v>
      </c>
      <c r="E2737" s="2">
        <f t="shared" si="104"/>
        <v>43160</v>
      </c>
      <c r="F2737" s="1" t="s">
        <v>58</v>
      </c>
      <c r="G2737" s="1" t="s">
        <v>18</v>
      </c>
      <c r="H2737" s="1">
        <v>-4</v>
      </c>
      <c r="I2737" s="1">
        <v>0.97</v>
      </c>
      <c r="J2737" s="1">
        <v>0.09</v>
      </c>
      <c r="K2737" s="2">
        <v>43346</v>
      </c>
      <c r="L2737" s="1">
        <v>3716</v>
      </c>
      <c r="M2737" s="1">
        <v>3.51</v>
      </c>
      <c r="N2737" s="1">
        <v>-0.47366999999999998</v>
      </c>
      <c r="O2737" s="3">
        <f>VLOOKUP(D2737,underlying!$D$40:$H$75,5,FALSE)</f>
        <v>-2.25</v>
      </c>
      <c r="P2737" s="4">
        <f t="shared" si="103"/>
        <v>43168</v>
      </c>
      <c r="Q2737" s="7">
        <f>IF(G2737="C",NormalCallSprd(O2737,H2737,M2737,(P2737-A2737)/365), NormalPutSprd(O2737,H2737,M2737,(P2737-A2737)/365))</f>
        <v>0.97800376634402042</v>
      </c>
      <c r="R2737" s="9">
        <f t="shared" si="105"/>
        <v>8.0037663440204465E-3</v>
      </c>
    </row>
    <row r="2738" spans="1:18" x14ac:dyDescent="0.2">
      <c r="A2738" s="2">
        <v>42622</v>
      </c>
      <c r="B2738" s="1" t="s">
        <v>56</v>
      </c>
      <c r="C2738" s="1" t="s">
        <v>57</v>
      </c>
      <c r="D2738" s="2">
        <v>43103</v>
      </c>
      <c r="E2738" s="2">
        <f t="shared" si="104"/>
        <v>43160</v>
      </c>
      <c r="F2738" s="1" t="s">
        <v>58</v>
      </c>
      <c r="G2738" s="1" t="s">
        <v>16</v>
      </c>
      <c r="H2738" s="1">
        <v>-3.75</v>
      </c>
      <c r="I2738" s="1">
        <v>2.5299999999999998</v>
      </c>
      <c r="J2738" s="1">
        <v>-0.18</v>
      </c>
      <c r="K2738" s="2">
        <v>43346</v>
      </c>
      <c r="L2738" s="1">
        <v>3716</v>
      </c>
      <c r="M2738" s="1">
        <v>3.49</v>
      </c>
      <c r="N2738" s="1">
        <v>-0.45624999999999999</v>
      </c>
      <c r="O2738" s="3">
        <f>VLOOKUP(D2738,underlying!$D$40:$H$75,5,FALSE)</f>
        <v>-2.25</v>
      </c>
      <c r="P2738" s="4">
        <f t="shared" si="103"/>
        <v>43168</v>
      </c>
      <c r="Q2738" s="7">
        <f>IF(G2738="C",NormalCallSprd(O2738,H2738,M2738,(P2738-A2738)/365), NormalPutSprd(O2738,H2738,M2738,(P2738-A2738)/365))</f>
        <v>2.5569611046825398</v>
      </c>
      <c r="R2738" s="9">
        <f t="shared" si="105"/>
        <v>2.6961104682539982E-2</v>
      </c>
    </row>
    <row r="2739" spans="1:18" x14ac:dyDescent="0.2">
      <c r="A2739" s="2">
        <v>42622</v>
      </c>
      <c r="B2739" s="1" t="s">
        <v>56</v>
      </c>
      <c r="C2739" s="1" t="s">
        <v>57</v>
      </c>
      <c r="D2739" s="2">
        <v>43103</v>
      </c>
      <c r="E2739" s="2">
        <f t="shared" si="104"/>
        <v>43160</v>
      </c>
      <c r="F2739" s="1" t="s">
        <v>58</v>
      </c>
      <c r="G2739" s="1" t="s">
        <v>18</v>
      </c>
      <c r="H2739" s="1">
        <v>-3.75</v>
      </c>
      <c r="I2739" s="1">
        <v>1.05</v>
      </c>
      <c r="J2739" s="1">
        <v>0.08</v>
      </c>
      <c r="K2739" s="2">
        <v>43346</v>
      </c>
      <c r="L2739" s="1">
        <v>3716</v>
      </c>
      <c r="M2739" s="1">
        <v>3.49</v>
      </c>
      <c r="N2739" s="1">
        <v>-0.43895000000000001</v>
      </c>
      <c r="O2739" s="3">
        <f>VLOOKUP(D2739,underlying!$D$40:$H$75,5,FALSE)</f>
        <v>-2.25</v>
      </c>
      <c r="P2739" s="4">
        <f t="shared" si="103"/>
        <v>43168</v>
      </c>
      <c r="Q2739" s="7">
        <f>IF(G2739="C",NormalCallSprd(O2739,H2739,M2739,(P2739-A2739)/365), NormalPutSprd(O2739,H2739,M2739,(P2739-A2739)/365))</f>
        <v>1.0569611046825398</v>
      </c>
      <c r="R2739" s="9">
        <f t="shared" si="105"/>
        <v>6.9611046825397427E-3</v>
      </c>
    </row>
    <row r="2740" spans="1:18" x14ac:dyDescent="0.2">
      <c r="A2740" s="2">
        <v>42622</v>
      </c>
      <c r="B2740" s="1" t="s">
        <v>56</v>
      </c>
      <c r="C2740" s="1" t="s">
        <v>57</v>
      </c>
      <c r="D2740" s="2">
        <v>43103</v>
      </c>
      <c r="E2740" s="2">
        <f t="shared" si="104"/>
        <v>43160</v>
      </c>
      <c r="F2740" s="1" t="s">
        <v>58</v>
      </c>
      <c r="G2740" s="1" t="s">
        <v>16</v>
      </c>
      <c r="H2740" s="1">
        <v>-3.5</v>
      </c>
      <c r="I2740" s="1">
        <v>2.39</v>
      </c>
      <c r="J2740" s="1">
        <v>-0.15</v>
      </c>
      <c r="K2740" s="2">
        <v>43346</v>
      </c>
      <c r="L2740" s="1">
        <v>3716</v>
      </c>
      <c r="M2740" s="1">
        <v>3.51</v>
      </c>
      <c r="N2740" s="1">
        <v>-0.42154999999999998</v>
      </c>
      <c r="O2740" s="3">
        <f>VLOOKUP(D2740,underlying!$D$40:$H$75,5,FALSE)</f>
        <v>-2.25</v>
      </c>
      <c r="P2740" s="4">
        <f t="shared" si="103"/>
        <v>43168</v>
      </c>
      <c r="Q2740" s="7">
        <f>IF(G2740="C",NormalCallSprd(O2740,H2740,M2740,(P2740-A2740)/365), NormalPutSprd(O2740,H2740,M2740,(P2740-A2740)/365))</f>
        <v>2.409736353665612</v>
      </c>
      <c r="R2740" s="9">
        <f t="shared" si="105"/>
        <v>1.9736353665611883E-2</v>
      </c>
    </row>
    <row r="2741" spans="1:18" x14ac:dyDescent="0.2">
      <c r="A2741" s="2">
        <v>42622</v>
      </c>
      <c r="B2741" s="1" t="s">
        <v>56</v>
      </c>
      <c r="C2741" s="1" t="s">
        <v>57</v>
      </c>
      <c r="D2741" s="2">
        <v>43103</v>
      </c>
      <c r="E2741" s="2">
        <f t="shared" si="104"/>
        <v>43160</v>
      </c>
      <c r="F2741" s="1" t="s">
        <v>58</v>
      </c>
      <c r="G2741" s="1" t="s">
        <v>18</v>
      </c>
      <c r="H2741" s="1">
        <v>-3.5</v>
      </c>
      <c r="I2741" s="1">
        <v>1.1499999999999999</v>
      </c>
      <c r="J2741" s="1">
        <v>0.1</v>
      </c>
      <c r="K2741" s="2">
        <v>43346</v>
      </c>
      <c r="L2741" s="1">
        <v>3716</v>
      </c>
      <c r="M2741" s="1">
        <v>3.51</v>
      </c>
      <c r="N2741" s="1">
        <v>-0.40493000000000001</v>
      </c>
      <c r="O2741" s="3">
        <f>VLOOKUP(D2741,underlying!$D$40:$H$75,5,FALSE)</f>
        <v>-2.25</v>
      </c>
      <c r="P2741" s="4">
        <f t="shared" si="103"/>
        <v>43168</v>
      </c>
      <c r="Q2741" s="7">
        <f>IF(G2741="C",NormalCallSprd(O2741,H2741,M2741,(P2741-A2741)/365), NormalPutSprd(O2741,H2741,M2741,(P2741-A2741)/365))</f>
        <v>1.159736353665612</v>
      </c>
      <c r="R2741" s="9">
        <f t="shared" si="105"/>
        <v>9.7363536656120964E-3</v>
      </c>
    </row>
    <row r="2742" spans="1:18" x14ac:dyDescent="0.2">
      <c r="A2742" s="2">
        <v>42622</v>
      </c>
      <c r="B2742" s="1" t="s">
        <v>56</v>
      </c>
      <c r="C2742" s="1" t="s">
        <v>57</v>
      </c>
      <c r="D2742" s="2">
        <v>43103</v>
      </c>
      <c r="E2742" s="2">
        <f t="shared" si="104"/>
        <v>43160</v>
      </c>
      <c r="F2742" s="1" t="s">
        <v>58</v>
      </c>
      <c r="G2742" s="1" t="s">
        <v>16</v>
      </c>
      <c r="H2742" s="1">
        <v>-3.25</v>
      </c>
      <c r="I2742" s="1">
        <v>2.23</v>
      </c>
      <c r="J2742" s="1">
        <v>-0.16</v>
      </c>
      <c r="K2742" s="2">
        <v>43346</v>
      </c>
      <c r="L2742" s="1">
        <v>3716</v>
      </c>
      <c r="M2742" s="1">
        <v>3.49</v>
      </c>
      <c r="N2742" s="1">
        <v>-0.38750000000000001</v>
      </c>
      <c r="O2742" s="3">
        <f>VLOOKUP(D2742,underlying!$D$40:$H$75,5,FALSE)</f>
        <v>-2.25</v>
      </c>
      <c r="P2742" s="4">
        <f t="shared" si="103"/>
        <v>43168</v>
      </c>
      <c r="Q2742" s="7">
        <f>IF(G2742="C",NormalCallSprd(O2742,H2742,M2742,(P2742-A2742)/365), NormalPutSprd(O2742,H2742,M2742,(P2742-A2742)/365))</f>
        <v>2.2494036420141996</v>
      </c>
      <c r="R2742" s="9">
        <f t="shared" si="105"/>
        <v>1.940364201419964E-2</v>
      </c>
    </row>
    <row r="2743" spans="1:18" x14ac:dyDescent="0.2">
      <c r="A2743" s="2">
        <v>42622</v>
      </c>
      <c r="B2743" s="1" t="s">
        <v>56</v>
      </c>
      <c r="C2743" s="1" t="s">
        <v>57</v>
      </c>
      <c r="D2743" s="2">
        <v>43103</v>
      </c>
      <c r="E2743" s="2">
        <f t="shared" si="104"/>
        <v>43160</v>
      </c>
      <c r="F2743" s="1" t="s">
        <v>58</v>
      </c>
      <c r="G2743" s="1" t="s">
        <v>18</v>
      </c>
      <c r="H2743" s="1">
        <v>-3.25</v>
      </c>
      <c r="I2743" s="1">
        <v>1.24</v>
      </c>
      <c r="J2743" s="1">
        <v>0.09</v>
      </c>
      <c r="K2743" s="2">
        <v>43346</v>
      </c>
      <c r="L2743" s="1">
        <v>3716</v>
      </c>
      <c r="M2743" s="1">
        <v>3.49</v>
      </c>
      <c r="N2743" s="1">
        <v>-0.37141999999999997</v>
      </c>
      <c r="O2743" s="3">
        <f>VLOOKUP(D2743,underlying!$D$40:$H$75,5,FALSE)</f>
        <v>-2.25</v>
      </c>
      <c r="P2743" s="4">
        <f t="shared" si="103"/>
        <v>43168</v>
      </c>
      <c r="Q2743" s="7">
        <f>IF(G2743="C",NormalCallSprd(O2743,H2743,M2743,(P2743-A2743)/365), NormalPutSprd(O2743,H2743,M2743,(P2743-A2743)/365))</f>
        <v>1.2494036420141996</v>
      </c>
      <c r="R2743" s="9">
        <f t="shared" si="105"/>
        <v>9.4036420141996313E-3</v>
      </c>
    </row>
    <row r="2744" spans="1:18" x14ac:dyDescent="0.2">
      <c r="A2744" s="2">
        <v>42622</v>
      </c>
      <c r="B2744" s="1" t="s">
        <v>56</v>
      </c>
      <c r="C2744" s="1" t="s">
        <v>57</v>
      </c>
      <c r="D2744" s="2">
        <v>43103</v>
      </c>
      <c r="E2744" s="2">
        <f t="shared" si="104"/>
        <v>43160</v>
      </c>
      <c r="F2744" s="1" t="s">
        <v>58</v>
      </c>
      <c r="G2744" s="1" t="s">
        <v>16</v>
      </c>
      <c r="H2744" s="1">
        <v>-3</v>
      </c>
      <c r="I2744" s="1">
        <v>2.09</v>
      </c>
      <c r="J2744" s="1">
        <v>-0.14000000000000001</v>
      </c>
      <c r="K2744" s="2">
        <v>43346</v>
      </c>
      <c r="L2744" s="1">
        <v>3716</v>
      </c>
      <c r="M2744" s="1">
        <v>3.5</v>
      </c>
      <c r="N2744" s="1">
        <v>-0.35425000000000001</v>
      </c>
      <c r="O2744" s="3">
        <f>VLOOKUP(D2744,underlying!$D$40:$H$75,5,FALSE)</f>
        <v>-2.25</v>
      </c>
      <c r="P2744" s="4">
        <f t="shared" si="103"/>
        <v>43168</v>
      </c>
      <c r="Q2744" s="7">
        <f>IF(G2744="C",NormalCallSprd(O2744,H2744,M2744,(P2744-A2744)/365), NormalPutSprd(O2744,H2744,M2744,(P2744-A2744)/365))</f>
        <v>2.1089087915017366</v>
      </c>
      <c r="R2744" s="9">
        <f t="shared" si="105"/>
        <v>1.8908791501736744E-2</v>
      </c>
    </row>
    <row r="2745" spans="1:18" x14ac:dyDescent="0.2">
      <c r="A2745" s="2">
        <v>42622</v>
      </c>
      <c r="B2745" s="1" t="s">
        <v>56</v>
      </c>
      <c r="C2745" s="1" t="s">
        <v>57</v>
      </c>
      <c r="D2745" s="2">
        <v>43103</v>
      </c>
      <c r="E2745" s="2">
        <f t="shared" si="104"/>
        <v>43160</v>
      </c>
      <c r="F2745" s="1" t="s">
        <v>58</v>
      </c>
      <c r="G2745" s="1" t="s">
        <v>18</v>
      </c>
      <c r="H2745" s="1">
        <v>-3</v>
      </c>
      <c r="I2745" s="1">
        <v>1.35</v>
      </c>
      <c r="J2745" s="1">
        <v>0.11</v>
      </c>
      <c r="K2745" s="2">
        <v>43346</v>
      </c>
      <c r="L2745" s="1">
        <v>3716</v>
      </c>
      <c r="M2745" s="1">
        <v>3.5</v>
      </c>
      <c r="N2745" s="1">
        <v>-0.33882000000000001</v>
      </c>
      <c r="O2745" s="3">
        <f>VLOOKUP(D2745,underlying!$D$40:$H$75,5,FALSE)</f>
        <v>-2.25</v>
      </c>
      <c r="P2745" s="4">
        <f t="shared" ref="P2745:P2808" si="106">DATE(YEAR(K2745),DAY(K2745),MONTH(K2745))</f>
        <v>43168</v>
      </c>
      <c r="Q2745" s="7">
        <f>IF(G2745="C",NormalCallSprd(O2745,H2745,M2745,(P2745-A2745)/365), NormalPutSprd(O2745,H2745,M2745,(P2745-A2745)/365))</f>
        <v>1.3589087915017364</v>
      </c>
      <c r="R2745" s="9">
        <f t="shared" si="105"/>
        <v>8.9087915017362906E-3</v>
      </c>
    </row>
    <row r="2746" spans="1:18" x14ac:dyDescent="0.2">
      <c r="A2746" s="2">
        <v>42622</v>
      </c>
      <c r="B2746" s="1" t="s">
        <v>56</v>
      </c>
      <c r="C2746" s="1" t="s">
        <v>57</v>
      </c>
      <c r="D2746" s="2">
        <v>43103</v>
      </c>
      <c r="E2746" s="2">
        <f t="shared" si="104"/>
        <v>43160</v>
      </c>
      <c r="F2746" s="1" t="s">
        <v>58</v>
      </c>
      <c r="G2746" s="1" t="s">
        <v>16</v>
      </c>
      <c r="H2746" s="1">
        <v>-2.75</v>
      </c>
      <c r="I2746" s="1">
        <v>1.95</v>
      </c>
      <c r="J2746" s="1">
        <v>-0.14000000000000001</v>
      </c>
      <c r="K2746" s="2">
        <v>43346</v>
      </c>
      <c r="L2746" s="1">
        <v>3716</v>
      </c>
      <c r="M2746" s="1">
        <v>3.5</v>
      </c>
      <c r="N2746" s="1">
        <v>-0.32294</v>
      </c>
      <c r="O2746" s="3">
        <f>VLOOKUP(D2746,underlying!$D$40:$H$75,5,FALSE)</f>
        <v>-2.25</v>
      </c>
      <c r="P2746" s="4">
        <f t="shared" si="106"/>
        <v>43168</v>
      </c>
      <c r="Q2746" s="7">
        <f>IF(G2746="C",NormalCallSprd(O2746,H2746,M2746,(P2746-A2746)/365), NormalPutSprd(O2746,H2746,M2746,(P2746-A2746)/365))</f>
        <v>1.969400706128521</v>
      </c>
      <c r="R2746" s="9">
        <f t="shared" si="105"/>
        <v>1.9400706128521072E-2</v>
      </c>
    </row>
    <row r="2747" spans="1:18" x14ac:dyDescent="0.2">
      <c r="A2747" s="2">
        <v>42622</v>
      </c>
      <c r="B2747" s="1" t="s">
        <v>56</v>
      </c>
      <c r="C2747" s="1" t="s">
        <v>57</v>
      </c>
      <c r="D2747" s="2">
        <v>43103</v>
      </c>
      <c r="E2747" s="2">
        <f t="shared" si="104"/>
        <v>43160</v>
      </c>
      <c r="F2747" s="1" t="s">
        <v>58</v>
      </c>
      <c r="G2747" s="1" t="s">
        <v>18</v>
      </c>
      <c r="H2747" s="1">
        <v>-2.75</v>
      </c>
      <c r="I2747" s="1">
        <v>1.46</v>
      </c>
      <c r="J2747" s="1">
        <v>0.11</v>
      </c>
      <c r="K2747" s="2">
        <v>43346</v>
      </c>
      <c r="L2747" s="1">
        <v>3716</v>
      </c>
      <c r="M2747" s="1">
        <v>3.5</v>
      </c>
      <c r="N2747" s="1">
        <v>-0.30736000000000002</v>
      </c>
      <c r="O2747" s="3">
        <f>VLOOKUP(D2747,underlying!$D$40:$H$75,5,FALSE)</f>
        <v>-2.25</v>
      </c>
      <c r="P2747" s="4">
        <f t="shared" si="106"/>
        <v>43168</v>
      </c>
      <c r="Q2747" s="7">
        <f>IF(G2747="C",NormalCallSprd(O2747,H2747,M2747,(P2747-A2747)/365), NormalPutSprd(O2747,H2747,M2747,(P2747-A2747)/365))</f>
        <v>1.469400706128521</v>
      </c>
      <c r="R2747" s="9">
        <f t="shared" si="105"/>
        <v>9.4007061285210636E-3</v>
      </c>
    </row>
    <row r="2748" spans="1:18" x14ac:dyDescent="0.2">
      <c r="A2748" s="2">
        <v>42622</v>
      </c>
      <c r="B2748" s="1" t="s">
        <v>56</v>
      </c>
      <c r="C2748" s="1" t="s">
        <v>57</v>
      </c>
      <c r="D2748" s="2">
        <v>43103</v>
      </c>
      <c r="E2748" s="2">
        <f t="shared" si="104"/>
        <v>43160</v>
      </c>
      <c r="F2748" s="1" t="s">
        <v>58</v>
      </c>
      <c r="G2748" s="1" t="s">
        <v>16</v>
      </c>
      <c r="H2748" s="1">
        <v>-2.5</v>
      </c>
      <c r="I2748" s="1">
        <v>1.82</v>
      </c>
      <c r="J2748" s="1">
        <v>-0.13</v>
      </c>
      <c r="K2748" s="2">
        <v>43346</v>
      </c>
      <c r="L2748" s="1">
        <v>3716</v>
      </c>
      <c r="M2748" s="1">
        <v>3.51</v>
      </c>
      <c r="N2748" s="1">
        <v>-0.29210999999999998</v>
      </c>
      <c r="O2748" s="3">
        <f>VLOOKUP(D2748,underlying!$D$40:$H$75,5,FALSE)</f>
        <v>-2.25</v>
      </c>
      <c r="P2748" s="4">
        <f t="shared" si="106"/>
        <v>43168</v>
      </c>
      <c r="Q2748" s="7">
        <f>IF(G2748="C",NormalCallSprd(O2748,H2748,M2748,(P2748-A2748)/365), NormalPutSprd(O2748,H2748,M2748,(P2748-A2748)/365))</f>
        <v>1.8405471203222983</v>
      </c>
      <c r="R2748" s="9">
        <f t="shared" si="105"/>
        <v>2.0547120322298218E-2</v>
      </c>
    </row>
    <row r="2749" spans="1:18" x14ac:dyDescent="0.2">
      <c r="A2749" s="2">
        <v>42622</v>
      </c>
      <c r="B2749" s="1" t="s">
        <v>56</v>
      </c>
      <c r="C2749" s="1" t="s">
        <v>57</v>
      </c>
      <c r="D2749" s="2">
        <v>43103</v>
      </c>
      <c r="E2749" s="2">
        <f t="shared" si="104"/>
        <v>43160</v>
      </c>
      <c r="F2749" s="1" t="s">
        <v>58</v>
      </c>
      <c r="G2749" s="1" t="s">
        <v>18</v>
      </c>
      <c r="H2749" s="1">
        <v>-2.5</v>
      </c>
      <c r="I2749" s="1">
        <v>1.58</v>
      </c>
      <c r="J2749" s="1">
        <v>0.12</v>
      </c>
      <c r="K2749" s="2">
        <v>43346</v>
      </c>
      <c r="L2749" s="1">
        <v>3716</v>
      </c>
      <c r="M2749" s="1">
        <v>3.51</v>
      </c>
      <c r="N2749" s="1">
        <v>-0.27722000000000002</v>
      </c>
      <c r="O2749" s="3">
        <f>VLOOKUP(D2749,underlying!$D$40:$H$75,5,FALSE)</f>
        <v>-2.25</v>
      </c>
      <c r="P2749" s="4">
        <f t="shared" si="106"/>
        <v>43168</v>
      </c>
      <c r="Q2749" s="7">
        <f>IF(G2749="C",NormalCallSprd(O2749,H2749,M2749,(P2749-A2749)/365), NormalPutSprd(O2749,H2749,M2749,(P2749-A2749)/365))</f>
        <v>1.5905471203222983</v>
      </c>
      <c r="R2749" s="9">
        <f t="shared" si="105"/>
        <v>1.0547120322298209E-2</v>
      </c>
    </row>
    <row r="2750" spans="1:18" x14ac:dyDescent="0.2">
      <c r="A2750" s="2">
        <v>42622</v>
      </c>
      <c r="B2750" s="1" t="s">
        <v>56</v>
      </c>
      <c r="C2750" s="1" t="s">
        <v>57</v>
      </c>
      <c r="D2750" s="2">
        <v>43103</v>
      </c>
      <c r="E2750" s="2">
        <f t="shared" si="104"/>
        <v>43160</v>
      </c>
      <c r="F2750" s="1" t="s">
        <v>58</v>
      </c>
      <c r="G2750" s="1" t="s">
        <v>16</v>
      </c>
      <c r="H2750" s="1">
        <v>-2.25</v>
      </c>
      <c r="I2750" s="1">
        <v>1.69</v>
      </c>
      <c r="J2750" s="1">
        <v>-0.14000000000000001</v>
      </c>
      <c r="K2750" s="2">
        <v>43346</v>
      </c>
      <c r="L2750" s="1">
        <v>3716</v>
      </c>
      <c r="M2750" s="1">
        <v>3.5</v>
      </c>
      <c r="N2750" s="1">
        <v>-0.22095000000000001</v>
      </c>
      <c r="O2750" s="3">
        <f>VLOOKUP(D2750,underlying!$D$40:$H$75,5,FALSE)</f>
        <v>-2.25</v>
      </c>
      <c r="P2750" s="4">
        <f t="shared" si="106"/>
        <v>43168</v>
      </c>
      <c r="Q2750" s="7">
        <f>IF(G2750="C",NormalCallSprd(O2750,H2750,M2750,(P2750-A2750)/365), NormalPutSprd(O2750,H2750,M2750,(P2750-A2750)/365))</f>
        <v>1.7077645701446922</v>
      </c>
      <c r="R2750" s="9">
        <f t="shared" si="105"/>
        <v>1.7764570144692238E-2</v>
      </c>
    </row>
    <row r="2751" spans="1:18" x14ac:dyDescent="0.2">
      <c r="A2751" s="2">
        <v>42622</v>
      </c>
      <c r="B2751" s="1" t="s">
        <v>56</v>
      </c>
      <c r="C2751" s="1" t="s">
        <v>57</v>
      </c>
      <c r="D2751" s="2">
        <v>43103</v>
      </c>
      <c r="E2751" s="2">
        <f t="shared" si="104"/>
        <v>43160</v>
      </c>
      <c r="F2751" s="1" t="s">
        <v>58</v>
      </c>
      <c r="G2751" s="1" t="s">
        <v>18</v>
      </c>
      <c r="H2751" s="1">
        <v>-2.25</v>
      </c>
      <c r="I2751" s="1">
        <v>1.69</v>
      </c>
      <c r="J2751" s="1">
        <v>0.11</v>
      </c>
      <c r="K2751" s="2">
        <v>43346</v>
      </c>
      <c r="L2751" s="1">
        <v>3716</v>
      </c>
      <c r="M2751" s="1">
        <v>3.5</v>
      </c>
      <c r="N2751" s="1">
        <v>-0.17152999999999999</v>
      </c>
      <c r="O2751" s="3">
        <f>VLOOKUP(D2751,underlying!$D$40:$H$75,5,FALSE)</f>
        <v>-2.25</v>
      </c>
      <c r="P2751" s="4">
        <f t="shared" si="106"/>
        <v>43168</v>
      </c>
      <c r="Q2751" s="7">
        <f>IF(G2751="C",NormalCallSprd(O2751,H2751,M2751,(P2751-A2751)/365), NormalPutSprd(O2751,H2751,M2751,(P2751-A2751)/365))</f>
        <v>1.7077645701446922</v>
      </c>
      <c r="R2751" s="9">
        <f t="shared" si="105"/>
        <v>1.7764570144692238E-2</v>
      </c>
    </row>
    <row r="2752" spans="1:18" x14ac:dyDescent="0.2">
      <c r="A2752" s="2">
        <v>42622</v>
      </c>
      <c r="B2752" s="1" t="s">
        <v>56</v>
      </c>
      <c r="C2752" s="1" t="s">
        <v>57</v>
      </c>
      <c r="D2752" s="2">
        <v>43103</v>
      </c>
      <c r="E2752" s="2">
        <f t="shared" si="104"/>
        <v>43160</v>
      </c>
      <c r="F2752" s="1" t="s">
        <v>58</v>
      </c>
      <c r="G2752" s="1" t="s">
        <v>16</v>
      </c>
      <c r="H2752" s="1">
        <v>-2</v>
      </c>
      <c r="I2752" s="1">
        <v>1.58</v>
      </c>
      <c r="J2752" s="1">
        <v>-0.11</v>
      </c>
      <c r="K2752" s="2">
        <v>43346</v>
      </c>
      <c r="L2752" s="1">
        <v>3716</v>
      </c>
      <c r="M2752" s="1">
        <v>3.51</v>
      </c>
      <c r="N2752" s="1">
        <v>0.21468000000000001</v>
      </c>
      <c r="O2752" s="3">
        <f>VLOOKUP(D2752,underlying!$D$40:$H$75,5,FALSE)</f>
        <v>-2.25</v>
      </c>
      <c r="P2752" s="4">
        <f t="shared" si="106"/>
        <v>43168</v>
      </c>
      <c r="Q2752" s="7">
        <f>IF(G2752="C",NormalCallSprd(O2752,H2752,M2752,(P2752-A2752)/365), NormalPutSprd(O2752,H2752,M2752,(P2752-A2752)/365))</f>
        <v>1.5905471203222983</v>
      </c>
      <c r="R2752" s="9">
        <f t="shared" si="105"/>
        <v>1.0547120322298209E-2</v>
      </c>
    </row>
    <row r="2753" spans="1:18" x14ac:dyDescent="0.2">
      <c r="A2753" s="2">
        <v>42622</v>
      </c>
      <c r="B2753" s="1" t="s">
        <v>56</v>
      </c>
      <c r="C2753" s="1" t="s">
        <v>57</v>
      </c>
      <c r="D2753" s="2">
        <v>43103</v>
      </c>
      <c r="E2753" s="2">
        <f t="shared" si="104"/>
        <v>43160</v>
      </c>
      <c r="F2753" s="1" t="s">
        <v>58</v>
      </c>
      <c r="G2753" s="1" t="s">
        <v>18</v>
      </c>
      <c r="H2753" s="1">
        <v>-2</v>
      </c>
      <c r="I2753" s="1">
        <v>1.82</v>
      </c>
      <c r="J2753" s="1">
        <v>0.13</v>
      </c>
      <c r="K2753" s="2">
        <v>43346</v>
      </c>
      <c r="L2753" s="1">
        <v>3716</v>
      </c>
      <c r="M2753" s="1">
        <v>3.51</v>
      </c>
      <c r="N2753" s="1">
        <v>0.23834</v>
      </c>
      <c r="O2753" s="3">
        <f>VLOOKUP(D2753,underlying!$D$40:$H$75,5,FALSE)</f>
        <v>-2.25</v>
      </c>
      <c r="P2753" s="4">
        <f t="shared" si="106"/>
        <v>43168</v>
      </c>
      <c r="Q2753" s="7">
        <f>IF(G2753="C",NormalCallSprd(O2753,H2753,M2753,(P2753-A2753)/365), NormalPutSprd(O2753,H2753,M2753,(P2753-A2753)/365))</f>
        <v>1.8405471203222983</v>
      </c>
      <c r="R2753" s="9">
        <f t="shared" si="105"/>
        <v>2.0547120322298218E-2</v>
      </c>
    </row>
    <row r="2754" spans="1:18" x14ac:dyDescent="0.2">
      <c r="A2754" s="2">
        <v>42622</v>
      </c>
      <c r="B2754" s="1" t="s">
        <v>56</v>
      </c>
      <c r="C2754" s="1" t="s">
        <v>57</v>
      </c>
      <c r="D2754" s="2">
        <v>43103</v>
      </c>
      <c r="E2754" s="2">
        <f t="shared" ref="E2754:E2817" si="107">DATE(YEAR(D2754),DAY(D2754),MONTH(D2754))</f>
        <v>43160</v>
      </c>
      <c r="F2754" s="1" t="s">
        <v>58</v>
      </c>
      <c r="G2754" s="1" t="s">
        <v>16</v>
      </c>
      <c r="H2754" s="1">
        <v>-1.75</v>
      </c>
      <c r="I2754" s="1">
        <v>1.46</v>
      </c>
      <c r="J2754" s="1">
        <v>-0.12</v>
      </c>
      <c r="K2754" s="2">
        <v>43346</v>
      </c>
      <c r="L2754" s="1">
        <v>3716</v>
      </c>
      <c r="M2754" s="1">
        <v>3.5</v>
      </c>
      <c r="N2754" s="1">
        <v>0.26335999999999998</v>
      </c>
      <c r="O2754" s="3">
        <f>VLOOKUP(D2754,underlying!$D$40:$H$75,5,FALSE)</f>
        <v>-2.25</v>
      </c>
      <c r="P2754" s="4">
        <f t="shared" si="106"/>
        <v>43168</v>
      </c>
      <c r="Q2754" s="7">
        <f>IF(G2754="C",NormalCallSprd(O2754,H2754,M2754,(P2754-A2754)/365), NormalPutSprd(O2754,H2754,M2754,(P2754-A2754)/365))</f>
        <v>1.469400706128521</v>
      </c>
      <c r="R2754" s="9">
        <f t="shared" si="105"/>
        <v>9.4007061285210636E-3</v>
      </c>
    </row>
    <row r="2755" spans="1:18" x14ac:dyDescent="0.2">
      <c r="A2755" s="2">
        <v>42622</v>
      </c>
      <c r="B2755" s="1" t="s">
        <v>56</v>
      </c>
      <c r="C2755" s="1" t="s">
        <v>57</v>
      </c>
      <c r="D2755" s="2">
        <v>43103</v>
      </c>
      <c r="E2755" s="2">
        <f t="shared" si="107"/>
        <v>43160</v>
      </c>
      <c r="F2755" s="1" t="s">
        <v>58</v>
      </c>
      <c r="G2755" s="1" t="s">
        <v>18</v>
      </c>
      <c r="H2755" s="1">
        <v>-1.75</v>
      </c>
      <c r="I2755" s="1">
        <v>1.95</v>
      </c>
      <c r="J2755" s="1">
        <v>0.12</v>
      </c>
      <c r="K2755" s="2">
        <v>43346</v>
      </c>
      <c r="L2755" s="1">
        <v>3716</v>
      </c>
      <c r="M2755" s="1">
        <v>3.5</v>
      </c>
      <c r="N2755" s="1">
        <v>0.28965000000000002</v>
      </c>
      <c r="O2755" s="3">
        <f>VLOOKUP(D2755,underlying!$D$40:$H$75,5,FALSE)</f>
        <v>-2.25</v>
      </c>
      <c r="P2755" s="4">
        <f t="shared" si="106"/>
        <v>43168</v>
      </c>
      <c r="Q2755" s="7">
        <f>IF(G2755="C",NormalCallSprd(O2755,H2755,M2755,(P2755-A2755)/365), NormalPutSprd(O2755,H2755,M2755,(P2755-A2755)/365))</f>
        <v>1.969400706128521</v>
      </c>
      <c r="R2755" s="9">
        <f t="shared" ref="R2755:R2818" si="108">ABS(Q2755-I2755)</f>
        <v>1.9400706128521072E-2</v>
      </c>
    </row>
    <row r="2756" spans="1:18" x14ac:dyDescent="0.2">
      <c r="A2756" s="2">
        <v>42622</v>
      </c>
      <c r="B2756" s="1" t="s">
        <v>56</v>
      </c>
      <c r="C2756" s="1" t="s">
        <v>57</v>
      </c>
      <c r="D2756" s="2">
        <v>43103</v>
      </c>
      <c r="E2756" s="2">
        <f t="shared" si="107"/>
        <v>43160</v>
      </c>
      <c r="F2756" s="1" t="s">
        <v>58</v>
      </c>
      <c r="G2756" s="1" t="s">
        <v>16</v>
      </c>
      <c r="H2756" s="1">
        <v>-1.5</v>
      </c>
      <c r="I2756" s="1">
        <v>1.35</v>
      </c>
      <c r="J2756" s="1">
        <v>-0.11</v>
      </c>
      <c r="K2756" s="2">
        <v>43346</v>
      </c>
      <c r="L2756" s="1">
        <v>3716</v>
      </c>
      <c r="M2756" s="1">
        <v>3.5</v>
      </c>
      <c r="N2756" s="1">
        <v>0.98509000000000002</v>
      </c>
      <c r="O2756" s="3">
        <f>VLOOKUP(D2756,underlying!$D$40:$H$75,5,FALSE)</f>
        <v>-2.25</v>
      </c>
      <c r="P2756" s="4">
        <f t="shared" si="106"/>
        <v>43168</v>
      </c>
      <c r="Q2756" s="7">
        <f>IF(G2756="C",NormalCallSprd(O2756,H2756,M2756,(P2756-A2756)/365), NormalPutSprd(O2756,H2756,M2756,(P2756-A2756)/365))</f>
        <v>1.3589087915017364</v>
      </c>
      <c r="R2756" s="9">
        <f t="shared" si="108"/>
        <v>8.9087915017362906E-3</v>
      </c>
    </row>
    <row r="2757" spans="1:18" x14ac:dyDescent="0.2">
      <c r="A2757" s="2">
        <v>42622</v>
      </c>
      <c r="B2757" s="1" t="s">
        <v>56</v>
      </c>
      <c r="C2757" s="1" t="s">
        <v>57</v>
      </c>
      <c r="D2757" s="2">
        <v>43103</v>
      </c>
      <c r="E2757" s="2">
        <f t="shared" si="107"/>
        <v>43160</v>
      </c>
      <c r="F2757" s="1" t="s">
        <v>58</v>
      </c>
      <c r="G2757" s="1" t="s">
        <v>18</v>
      </c>
      <c r="H2757" s="1">
        <v>-1.5</v>
      </c>
      <c r="I2757" s="1">
        <v>2.09</v>
      </c>
      <c r="J2757" s="1">
        <v>0.14000000000000001</v>
      </c>
      <c r="K2757" s="2">
        <v>43346</v>
      </c>
      <c r="L2757" s="1">
        <v>3716</v>
      </c>
      <c r="M2757" s="1">
        <v>3.5</v>
      </c>
      <c r="N2757" s="1">
        <v>0.31668000000000002</v>
      </c>
      <c r="O2757" s="3">
        <f>VLOOKUP(D2757,underlying!$D$40:$H$75,5,FALSE)</f>
        <v>-2.25</v>
      </c>
      <c r="P2757" s="4">
        <f t="shared" si="106"/>
        <v>43168</v>
      </c>
      <c r="Q2757" s="7">
        <f>IF(G2757="C",NormalCallSprd(O2757,H2757,M2757,(P2757-A2757)/365), NormalPutSprd(O2757,H2757,M2757,(P2757-A2757)/365))</f>
        <v>2.1089087915017366</v>
      </c>
      <c r="R2757" s="9">
        <f t="shared" si="108"/>
        <v>1.8908791501736744E-2</v>
      </c>
    </row>
    <row r="2758" spans="1:18" x14ac:dyDescent="0.2">
      <c r="A2758" s="2">
        <v>42622</v>
      </c>
      <c r="B2758" s="1" t="s">
        <v>56</v>
      </c>
      <c r="C2758" s="1" t="s">
        <v>57</v>
      </c>
      <c r="D2758" s="2">
        <v>43103</v>
      </c>
      <c r="E2758" s="2">
        <f t="shared" si="107"/>
        <v>43160</v>
      </c>
      <c r="F2758" s="1" t="s">
        <v>58</v>
      </c>
      <c r="G2758" s="1" t="s">
        <v>16</v>
      </c>
      <c r="H2758" s="1">
        <v>-1.25</v>
      </c>
      <c r="I2758" s="1">
        <v>1.24</v>
      </c>
      <c r="J2758" s="1">
        <v>-0.11</v>
      </c>
      <c r="K2758" s="2">
        <v>43346</v>
      </c>
      <c r="L2758" s="1">
        <v>3716</v>
      </c>
      <c r="M2758" s="1">
        <v>3.49</v>
      </c>
      <c r="N2758" s="1">
        <v>0.34598000000000001</v>
      </c>
      <c r="O2758" s="3">
        <f>VLOOKUP(D2758,underlying!$D$40:$H$75,5,FALSE)</f>
        <v>-2.25</v>
      </c>
      <c r="P2758" s="4">
        <f t="shared" si="106"/>
        <v>43168</v>
      </c>
      <c r="Q2758" s="7">
        <f>IF(G2758="C",NormalCallSprd(O2758,H2758,M2758,(P2758-A2758)/365), NormalPutSprd(O2758,H2758,M2758,(P2758-A2758)/365))</f>
        <v>1.2494036420141996</v>
      </c>
      <c r="R2758" s="9">
        <f t="shared" si="108"/>
        <v>9.4036420141996313E-3</v>
      </c>
    </row>
    <row r="2759" spans="1:18" x14ac:dyDescent="0.2">
      <c r="A2759" s="2">
        <v>42622</v>
      </c>
      <c r="B2759" s="1" t="s">
        <v>56</v>
      </c>
      <c r="C2759" s="1" t="s">
        <v>57</v>
      </c>
      <c r="D2759" s="2">
        <v>43103</v>
      </c>
      <c r="E2759" s="2">
        <f t="shared" si="107"/>
        <v>43160</v>
      </c>
      <c r="F2759" s="1" t="s">
        <v>58</v>
      </c>
      <c r="G2759" s="1" t="s">
        <v>18</v>
      </c>
      <c r="H2759" s="1">
        <v>-1.25</v>
      </c>
      <c r="I2759" s="1">
        <v>2.23</v>
      </c>
      <c r="J2759" s="1">
        <v>0.14000000000000001</v>
      </c>
      <c r="K2759" s="2">
        <v>43346</v>
      </c>
      <c r="L2759" s="1">
        <v>3716</v>
      </c>
      <c r="M2759" s="1">
        <v>3.49</v>
      </c>
      <c r="N2759" s="1">
        <v>0.37469999999999998</v>
      </c>
      <c r="O2759" s="3">
        <f>VLOOKUP(D2759,underlying!$D$40:$H$75,5,FALSE)</f>
        <v>-2.25</v>
      </c>
      <c r="P2759" s="4">
        <f t="shared" si="106"/>
        <v>43168</v>
      </c>
      <c r="Q2759" s="7">
        <f>IF(G2759="C",NormalCallSprd(O2759,H2759,M2759,(P2759-A2759)/365), NormalPutSprd(O2759,H2759,M2759,(P2759-A2759)/365))</f>
        <v>2.2494036420141996</v>
      </c>
      <c r="R2759" s="9">
        <f t="shared" si="108"/>
        <v>1.940364201419964E-2</v>
      </c>
    </row>
    <row r="2760" spans="1:18" x14ac:dyDescent="0.2">
      <c r="A2760" s="2">
        <v>42622</v>
      </c>
      <c r="B2760" s="1" t="s">
        <v>56</v>
      </c>
      <c r="C2760" s="1" t="s">
        <v>57</v>
      </c>
      <c r="D2760" s="2">
        <v>43103</v>
      </c>
      <c r="E2760" s="2">
        <f t="shared" si="107"/>
        <v>43160</v>
      </c>
      <c r="F2760" s="1" t="s">
        <v>58</v>
      </c>
      <c r="G2760" s="1" t="s">
        <v>16</v>
      </c>
      <c r="H2760" s="1">
        <v>-1</v>
      </c>
      <c r="I2760" s="1">
        <v>1.1499999999999999</v>
      </c>
      <c r="J2760" s="1">
        <v>-0.09</v>
      </c>
      <c r="K2760" s="2">
        <v>43346</v>
      </c>
      <c r="L2760" s="1">
        <v>3716</v>
      </c>
      <c r="M2760" s="1">
        <v>3.51</v>
      </c>
      <c r="N2760" s="1">
        <v>0.40514</v>
      </c>
      <c r="O2760" s="3">
        <f>VLOOKUP(D2760,underlying!$D$40:$H$75,5,FALSE)</f>
        <v>-2.25</v>
      </c>
      <c r="P2760" s="4">
        <f t="shared" si="106"/>
        <v>43168</v>
      </c>
      <c r="Q2760" s="7">
        <f>IF(G2760="C",NormalCallSprd(O2760,H2760,M2760,(P2760-A2760)/365), NormalPutSprd(O2760,H2760,M2760,(P2760-A2760)/365))</f>
        <v>1.159736353665612</v>
      </c>
      <c r="R2760" s="9">
        <f t="shared" si="108"/>
        <v>9.7363536656120964E-3</v>
      </c>
    </row>
    <row r="2761" spans="1:18" x14ac:dyDescent="0.2">
      <c r="A2761" s="2">
        <v>42622</v>
      </c>
      <c r="B2761" s="1" t="s">
        <v>56</v>
      </c>
      <c r="C2761" s="1" t="s">
        <v>57</v>
      </c>
      <c r="D2761" s="2">
        <v>43103</v>
      </c>
      <c r="E2761" s="2">
        <f t="shared" si="107"/>
        <v>43160</v>
      </c>
      <c r="F2761" s="1" t="s">
        <v>58</v>
      </c>
      <c r="G2761" s="1" t="s">
        <v>18</v>
      </c>
      <c r="H2761" s="1">
        <v>-1</v>
      </c>
      <c r="I2761" s="1">
        <v>2.39</v>
      </c>
      <c r="J2761" s="1">
        <v>0.16</v>
      </c>
      <c r="K2761" s="2">
        <v>43346</v>
      </c>
      <c r="L2761" s="1">
        <v>3716</v>
      </c>
      <c r="M2761" s="1">
        <v>3.51</v>
      </c>
      <c r="N2761" s="1">
        <v>0.43584000000000001</v>
      </c>
      <c r="O2761" s="3">
        <f>VLOOKUP(D2761,underlying!$D$40:$H$75,5,FALSE)</f>
        <v>-2.25</v>
      </c>
      <c r="P2761" s="4">
        <f t="shared" si="106"/>
        <v>43168</v>
      </c>
      <c r="Q2761" s="7">
        <f>IF(G2761="C",NormalCallSprd(O2761,H2761,M2761,(P2761-A2761)/365), NormalPutSprd(O2761,H2761,M2761,(P2761-A2761)/365))</f>
        <v>2.409736353665612</v>
      </c>
      <c r="R2761" s="9">
        <f t="shared" si="108"/>
        <v>1.9736353665611883E-2</v>
      </c>
    </row>
    <row r="2762" spans="1:18" x14ac:dyDescent="0.2">
      <c r="A2762" s="2">
        <v>42622</v>
      </c>
      <c r="B2762" s="1" t="s">
        <v>56</v>
      </c>
      <c r="C2762" s="1" t="s">
        <v>57</v>
      </c>
      <c r="D2762" s="2">
        <v>43103</v>
      </c>
      <c r="E2762" s="2">
        <f t="shared" si="107"/>
        <v>43160</v>
      </c>
      <c r="F2762" s="1" t="s">
        <v>58</v>
      </c>
      <c r="G2762" s="1" t="s">
        <v>16</v>
      </c>
      <c r="H2762" s="1">
        <v>-0.75</v>
      </c>
      <c r="I2762" s="1">
        <v>1.05</v>
      </c>
      <c r="J2762" s="1">
        <v>-0.1</v>
      </c>
      <c r="K2762" s="2">
        <v>43346</v>
      </c>
      <c r="L2762" s="1">
        <v>3716</v>
      </c>
      <c r="M2762" s="1">
        <v>3.49</v>
      </c>
      <c r="N2762" s="1">
        <v>0.46700000000000003</v>
      </c>
      <c r="O2762" s="3">
        <f>VLOOKUP(D2762,underlying!$D$40:$H$75,5,FALSE)</f>
        <v>-2.25</v>
      </c>
      <c r="P2762" s="4">
        <f t="shared" si="106"/>
        <v>43168</v>
      </c>
      <c r="Q2762" s="7">
        <f>IF(G2762="C",NormalCallSprd(O2762,H2762,M2762,(P2762-A2762)/365), NormalPutSprd(O2762,H2762,M2762,(P2762-A2762)/365))</f>
        <v>1.0569611046825398</v>
      </c>
      <c r="R2762" s="9">
        <f t="shared" si="108"/>
        <v>6.9611046825397427E-3</v>
      </c>
    </row>
    <row r="2763" spans="1:18" x14ac:dyDescent="0.2">
      <c r="A2763" s="2">
        <v>42622</v>
      </c>
      <c r="B2763" s="1" t="s">
        <v>56</v>
      </c>
      <c r="C2763" s="1" t="s">
        <v>57</v>
      </c>
      <c r="D2763" s="2">
        <v>43103</v>
      </c>
      <c r="E2763" s="2">
        <f t="shared" si="107"/>
        <v>43160</v>
      </c>
      <c r="F2763" s="1" t="s">
        <v>58</v>
      </c>
      <c r="G2763" s="1" t="s">
        <v>18</v>
      </c>
      <c r="H2763" s="1">
        <v>-0.75</v>
      </c>
      <c r="I2763" s="1">
        <v>2.5299999999999998</v>
      </c>
      <c r="J2763" s="1">
        <v>0.14000000000000001</v>
      </c>
      <c r="K2763" s="2">
        <v>43346</v>
      </c>
      <c r="L2763" s="1">
        <v>3716</v>
      </c>
      <c r="M2763" s="1">
        <v>3.49</v>
      </c>
      <c r="N2763" s="1">
        <v>0.49819999999999998</v>
      </c>
      <c r="O2763" s="3">
        <f>VLOOKUP(D2763,underlying!$D$40:$H$75,5,FALSE)</f>
        <v>-2.25</v>
      </c>
      <c r="P2763" s="4">
        <f t="shared" si="106"/>
        <v>43168</v>
      </c>
      <c r="Q2763" s="7">
        <f>IF(G2763="C",NormalCallSprd(O2763,H2763,M2763,(P2763-A2763)/365), NormalPutSprd(O2763,H2763,M2763,(P2763-A2763)/365))</f>
        <v>2.5569611046825398</v>
      </c>
      <c r="R2763" s="9">
        <f t="shared" si="108"/>
        <v>2.6961104682539982E-2</v>
      </c>
    </row>
    <row r="2764" spans="1:18" x14ac:dyDescent="0.2">
      <c r="A2764" s="2">
        <v>42622</v>
      </c>
      <c r="B2764" s="1" t="s">
        <v>56</v>
      </c>
      <c r="C2764" s="1" t="s">
        <v>57</v>
      </c>
      <c r="D2764" s="2">
        <v>43103</v>
      </c>
      <c r="E2764" s="2">
        <f t="shared" si="107"/>
        <v>43160</v>
      </c>
      <c r="F2764" s="1" t="s">
        <v>58</v>
      </c>
      <c r="G2764" s="1" t="s">
        <v>16</v>
      </c>
      <c r="H2764" s="1">
        <v>-0.5</v>
      </c>
      <c r="I2764" s="1">
        <v>0.97</v>
      </c>
      <c r="J2764" s="1">
        <v>-0.08</v>
      </c>
      <c r="K2764" s="2">
        <v>43346</v>
      </c>
      <c r="L2764" s="1">
        <v>3716</v>
      </c>
      <c r="M2764" s="1">
        <v>3.51</v>
      </c>
      <c r="N2764" s="1">
        <v>0.52939999999999998</v>
      </c>
      <c r="O2764" s="3">
        <f>VLOOKUP(D2764,underlying!$D$40:$H$75,5,FALSE)</f>
        <v>-2.25</v>
      </c>
      <c r="P2764" s="4">
        <f t="shared" si="106"/>
        <v>43168</v>
      </c>
      <c r="Q2764" s="7">
        <f>IF(G2764="C",NormalCallSprd(O2764,H2764,M2764,(P2764-A2764)/365), NormalPutSprd(O2764,H2764,M2764,(P2764-A2764)/365))</f>
        <v>0.97800376634402042</v>
      </c>
      <c r="R2764" s="9">
        <f t="shared" si="108"/>
        <v>8.0037663440204465E-3</v>
      </c>
    </row>
    <row r="2765" spans="1:18" x14ac:dyDescent="0.2">
      <c r="A2765" s="2">
        <v>42622</v>
      </c>
      <c r="B2765" s="1" t="s">
        <v>56</v>
      </c>
      <c r="C2765" s="1" t="s">
        <v>57</v>
      </c>
      <c r="D2765" s="2">
        <v>43103</v>
      </c>
      <c r="E2765" s="2">
        <f t="shared" si="107"/>
        <v>43160</v>
      </c>
      <c r="F2765" s="1" t="s">
        <v>58</v>
      </c>
      <c r="G2765" s="1" t="s">
        <v>18</v>
      </c>
      <c r="H2765" s="1">
        <v>-0.5</v>
      </c>
      <c r="I2765" s="1">
        <v>2.7</v>
      </c>
      <c r="J2765" s="1">
        <v>0.16</v>
      </c>
      <c r="K2765" s="2">
        <v>43346</v>
      </c>
      <c r="L2765" s="1">
        <v>3716</v>
      </c>
      <c r="M2765" s="1">
        <v>3.51</v>
      </c>
      <c r="N2765" s="1">
        <v>0.56055999999999995</v>
      </c>
      <c r="O2765" s="3">
        <f>VLOOKUP(D2765,underlying!$D$40:$H$75,5,FALSE)</f>
        <v>-2.25</v>
      </c>
      <c r="P2765" s="4">
        <f t="shared" si="106"/>
        <v>43168</v>
      </c>
      <c r="Q2765" s="7">
        <f>IF(G2765="C",NormalCallSprd(O2765,H2765,M2765,(P2765-A2765)/365), NormalPutSprd(O2765,H2765,M2765,(P2765-A2765)/365))</f>
        <v>2.7280037663440204</v>
      </c>
      <c r="R2765" s="9">
        <f t="shared" si="108"/>
        <v>2.8003766344020242E-2</v>
      </c>
    </row>
    <row r="2766" spans="1:18" x14ac:dyDescent="0.2">
      <c r="A2766" s="2">
        <v>42622</v>
      </c>
      <c r="B2766" s="1" t="s">
        <v>56</v>
      </c>
      <c r="C2766" s="1" t="s">
        <v>57</v>
      </c>
      <c r="D2766" s="2">
        <v>43103</v>
      </c>
      <c r="E2766" s="2">
        <f t="shared" si="107"/>
        <v>43160</v>
      </c>
      <c r="F2766" s="1" t="s">
        <v>58</v>
      </c>
      <c r="G2766" s="1" t="s">
        <v>16</v>
      </c>
      <c r="H2766" s="1">
        <v>-0.25</v>
      </c>
      <c r="I2766" s="1">
        <v>0.89</v>
      </c>
      <c r="J2766" s="1">
        <v>-0.08</v>
      </c>
      <c r="K2766" s="2">
        <v>43346</v>
      </c>
      <c r="L2766" s="1">
        <v>3716</v>
      </c>
      <c r="M2766" s="1">
        <v>3.51</v>
      </c>
      <c r="N2766" s="1">
        <v>0.59126000000000001</v>
      </c>
      <c r="O2766" s="3">
        <f>VLOOKUP(D2766,underlying!$D$40:$H$75,5,FALSE)</f>
        <v>-2.25</v>
      </c>
      <c r="P2766" s="4">
        <f t="shared" si="106"/>
        <v>43168</v>
      </c>
      <c r="Q2766" s="7">
        <f>IF(G2766="C",NormalCallSprd(O2766,H2766,M2766,(P2766-A2766)/365), NormalPutSprd(O2766,H2766,M2766,(P2766-A2766)/365))</f>
        <v>0.89521262381894773</v>
      </c>
      <c r="R2766" s="9">
        <f t="shared" si="108"/>
        <v>5.2126238189477148E-3</v>
      </c>
    </row>
    <row r="2767" spans="1:18" x14ac:dyDescent="0.2">
      <c r="A2767" s="2">
        <v>42622</v>
      </c>
      <c r="B2767" s="1" t="s">
        <v>56</v>
      </c>
      <c r="C2767" s="1" t="s">
        <v>57</v>
      </c>
      <c r="D2767" s="2">
        <v>43103</v>
      </c>
      <c r="E2767" s="2">
        <f t="shared" si="107"/>
        <v>43160</v>
      </c>
      <c r="F2767" s="1" t="s">
        <v>58</v>
      </c>
      <c r="G2767" s="1" t="s">
        <v>18</v>
      </c>
      <c r="H2767" s="1">
        <v>-0.25</v>
      </c>
      <c r="I2767" s="1">
        <v>2.87</v>
      </c>
      <c r="J2767" s="1">
        <v>0.16</v>
      </c>
      <c r="K2767" s="2">
        <v>43346</v>
      </c>
      <c r="L2767" s="1">
        <v>3716</v>
      </c>
      <c r="M2767" s="1">
        <v>3.51</v>
      </c>
      <c r="N2767" s="1">
        <v>0.62170999999999998</v>
      </c>
      <c r="O2767" s="3">
        <f>VLOOKUP(D2767,underlying!$D$40:$H$75,5,FALSE)</f>
        <v>-2.25</v>
      </c>
      <c r="P2767" s="4">
        <f t="shared" si="106"/>
        <v>43168</v>
      </c>
      <c r="Q2767" s="7">
        <f>IF(G2767="C",NormalCallSprd(O2767,H2767,M2767,(P2767-A2767)/365), NormalPutSprd(O2767,H2767,M2767,(P2767-A2767)/365))</f>
        <v>2.8952126238189475</v>
      </c>
      <c r="R2767" s="9">
        <f t="shared" si="108"/>
        <v>2.5212623818947399E-2</v>
      </c>
    </row>
    <row r="2768" spans="1:18" x14ac:dyDescent="0.2">
      <c r="A2768" s="2">
        <v>42622</v>
      </c>
      <c r="B2768" s="1" t="s">
        <v>56</v>
      </c>
      <c r="C2768" s="1" t="s">
        <v>57</v>
      </c>
      <c r="D2768" s="2">
        <v>43104</v>
      </c>
      <c r="E2768" s="2">
        <f t="shared" si="107"/>
        <v>43191</v>
      </c>
      <c r="F2768" s="1" t="s">
        <v>58</v>
      </c>
      <c r="G2768" s="1" t="s">
        <v>16</v>
      </c>
      <c r="H2768" s="1">
        <v>-9</v>
      </c>
      <c r="I2768" s="1">
        <v>7.27</v>
      </c>
      <c r="J2768" s="1">
        <v>0</v>
      </c>
      <c r="K2768" s="2">
        <v>43408</v>
      </c>
      <c r="L2768" s="1">
        <v>3716</v>
      </c>
      <c r="M2768" s="1">
        <v>3.49</v>
      </c>
      <c r="N2768" s="1">
        <v>0.65042</v>
      </c>
      <c r="O2768" s="3">
        <f>VLOOKUP(D2768,underlying!$D$40:$H$75,5,FALSE)</f>
        <v>-1.75</v>
      </c>
      <c r="P2768" s="4">
        <f t="shared" si="106"/>
        <v>43201</v>
      </c>
      <c r="Q2768" s="7">
        <f>IF(G2768="C",NormalCallSprd(O2768,H2768,M2768,(P2768-A2768)/365), NormalPutSprd(O2768,H2768,M2768,(P2768-A2768)/365))</f>
        <v>7.3408477624556463</v>
      </c>
      <c r="R2768" s="9">
        <f t="shared" si="108"/>
        <v>7.0847762455646723E-2</v>
      </c>
    </row>
    <row r="2769" spans="1:18" x14ac:dyDescent="0.2">
      <c r="A2769" s="2">
        <v>42622</v>
      </c>
      <c r="B2769" s="1" t="s">
        <v>56</v>
      </c>
      <c r="C2769" s="1" t="s">
        <v>57</v>
      </c>
      <c r="D2769" s="2">
        <v>43104</v>
      </c>
      <c r="E2769" s="2">
        <f t="shared" si="107"/>
        <v>43191</v>
      </c>
      <c r="F2769" s="1" t="s">
        <v>58</v>
      </c>
      <c r="G2769" s="1" t="s">
        <v>18</v>
      </c>
      <c r="H2769" s="1">
        <v>-9</v>
      </c>
      <c r="I2769" s="1">
        <v>0.09</v>
      </c>
      <c r="J2769" s="1">
        <v>0</v>
      </c>
      <c r="K2769" s="2">
        <v>43408</v>
      </c>
      <c r="L2769" s="1">
        <v>3716</v>
      </c>
      <c r="M2769" s="1">
        <v>3.49</v>
      </c>
      <c r="N2769" s="1">
        <v>0.67972999999999995</v>
      </c>
      <c r="O2769" s="3">
        <f>VLOOKUP(D2769,underlying!$D$40:$H$75,5,FALSE)</f>
        <v>-1.75</v>
      </c>
      <c r="P2769" s="4">
        <f t="shared" si="106"/>
        <v>43201</v>
      </c>
      <c r="Q2769" s="7">
        <f>IF(G2769="C",NormalCallSprd(O2769,H2769,M2769,(P2769-A2769)/365), NormalPutSprd(O2769,H2769,M2769,(P2769-A2769)/365))</f>
        <v>9.0847762455646172E-2</v>
      </c>
      <c r="R2769" s="9">
        <f t="shared" si="108"/>
        <v>8.4776245564617547E-4</v>
      </c>
    </row>
    <row r="2770" spans="1:18" x14ac:dyDescent="0.2">
      <c r="A2770" s="2">
        <v>42622</v>
      </c>
      <c r="B2770" s="1" t="s">
        <v>56</v>
      </c>
      <c r="C2770" s="1" t="s">
        <v>57</v>
      </c>
      <c r="D2770" s="2">
        <v>43104</v>
      </c>
      <c r="E2770" s="2">
        <f t="shared" si="107"/>
        <v>43191</v>
      </c>
      <c r="F2770" s="1" t="s">
        <v>58</v>
      </c>
      <c r="G2770" s="1" t="s">
        <v>16</v>
      </c>
      <c r="H2770" s="1">
        <v>-8</v>
      </c>
      <c r="I2770" s="1">
        <v>6.34</v>
      </c>
      <c r="J2770" s="1">
        <v>0</v>
      </c>
      <c r="K2770" s="2">
        <v>43408</v>
      </c>
      <c r="L2770" s="1">
        <v>3716</v>
      </c>
      <c r="M2770" s="1">
        <v>3.5</v>
      </c>
      <c r="N2770" s="1">
        <v>0.70626999999999995</v>
      </c>
      <c r="O2770" s="3">
        <f>VLOOKUP(D2770,underlying!$D$40:$H$75,5,FALSE)</f>
        <v>-1.75</v>
      </c>
      <c r="P2770" s="4">
        <f t="shared" si="106"/>
        <v>43201</v>
      </c>
      <c r="Q2770" s="7">
        <f>IF(G2770="C",NormalCallSprd(O2770,H2770,M2770,(P2770-A2770)/365), NormalPutSprd(O2770,H2770,M2770,(P2770-A2770)/365))</f>
        <v>6.4054027446557944</v>
      </c>
      <c r="R2770" s="9">
        <f t="shared" si="108"/>
        <v>6.5402744655794542E-2</v>
      </c>
    </row>
    <row r="2771" spans="1:18" x14ac:dyDescent="0.2">
      <c r="A2771" s="2">
        <v>42622</v>
      </c>
      <c r="B2771" s="1" t="s">
        <v>56</v>
      </c>
      <c r="C2771" s="1" t="s">
        <v>57</v>
      </c>
      <c r="D2771" s="2">
        <v>43104</v>
      </c>
      <c r="E2771" s="2">
        <f t="shared" si="107"/>
        <v>43191</v>
      </c>
      <c r="F2771" s="1" t="s">
        <v>58</v>
      </c>
      <c r="G2771" s="1" t="s">
        <v>18</v>
      </c>
      <c r="H2771" s="1">
        <v>-8</v>
      </c>
      <c r="I2771" s="1">
        <v>0.15</v>
      </c>
      <c r="J2771" s="1">
        <v>0</v>
      </c>
      <c r="K2771" s="2">
        <v>43408</v>
      </c>
      <c r="L2771" s="1">
        <v>3716</v>
      </c>
      <c r="M2771" s="1">
        <v>3.5</v>
      </c>
      <c r="N2771" s="1">
        <v>0.73358000000000001</v>
      </c>
      <c r="O2771" s="3">
        <f>VLOOKUP(D2771,underlying!$D$40:$H$75,5,FALSE)</f>
        <v>-1.75</v>
      </c>
      <c r="P2771" s="4">
        <f t="shared" si="106"/>
        <v>43201</v>
      </c>
      <c r="Q2771" s="7">
        <f>IF(G2771="C",NormalCallSprd(O2771,H2771,M2771,(P2771-A2771)/365), NormalPutSprd(O2771,H2771,M2771,(P2771-A2771)/365))</f>
        <v>0.15540274465579457</v>
      </c>
      <c r="R2771" s="9">
        <f t="shared" si="108"/>
        <v>5.4027446557945724E-3</v>
      </c>
    </row>
    <row r="2772" spans="1:18" x14ac:dyDescent="0.2">
      <c r="A2772" s="2">
        <v>42622</v>
      </c>
      <c r="B2772" s="1" t="s">
        <v>56</v>
      </c>
      <c r="C2772" s="1" t="s">
        <v>57</v>
      </c>
      <c r="D2772" s="2">
        <v>43104</v>
      </c>
      <c r="E2772" s="2">
        <f t="shared" si="107"/>
        <v>43191</v>
      </c>
      <c r="F2772" s="1" t="s">
        <v>58</v>
      </c>
      <c r="G2772" s="1" t="s">
        <v>16</v>
      </c>
      <c r="H2772" s="1">
        <v>-7</v>
      </c>
      <c r="I2772" s="1">
        <v>5.45</v>
      </c>
      <c r="J2772" s="1">
        <v>0</v>
      </c>
      <c r="K2772" s="2">
        <v>43408</v>
      </c>
      <c r="L2772" s="1">
        <v>3716</v>
      </c>
      <c r="M2772" s="1">
        <v>3.51</v>
      </c>
      <c r="N2772" s="1">
        <v>0.75749999999999995</v>
      </c>
      <c r="O2772" s="3">
        <f>VLOOKUP(D2772,underlying!$D$40:$H$75,5,FALSE)</f>
        <v>-1.75</v>
      </c>
      <c r="P2772" s="4">
        <f t="shared" si="106"/>
        <v>43201</v>
      </c>
      <c r="Q2772" s="7">
        <f>IF(G2772="C",NormalCallSprd(O2772,H2772,M2772,(P2772-A2772)/365), NormalPutSprd(O2772,H2772,M2772,(P2772-A2772)/365))</f>
        <v>5.5044068057173732</v>
      </c>
      <c r="R2772" s="9">
        <f t="shared" si="108"/>
        <v>5.4406805717372997E-2</v>
      </c>
    </row>
    <row r="2773" spans="1:18" x14ac:dyDescent="0.2">
      <c r="A2773" s="2">
        <v>42622</v>
      </c>
      <c r="B2773" s="1" t="s">
        <v>56</v>
      </c>
      <c r="C2773" s="1" t="s">
        <v>57</v>
      </c>
      <c r="D2773" s="2">
        <v>43104</v>
      </c>
      <c r="E2773" s="2">
        <f t="shared" si="107"/>
        <v>43191</v>
      </c>
      <c r="F2773" s="1" t="s">
        <v>58</v>
      </c>
      <c r="G2773" s="1" t="s">
        <v>18</v>
      </c>
      <c r="H2773" s="1">
        <v>-7</v>
      </c>
      <c r="I2773" s="1">
        <v>0.25</v>
      </c>
      <c r="J2773" s="1">
        <v>0</v>
      </c>
      <c r="K2773" s="2">
        <v>43408</v>
      </c>
      <c r="L2773" s="1">
        <v>3716</v>
      </c>
      <c r="M2773" s="1">
        <v>3.51</v>
      </c>
      <c r="N2773" s="1">
        <v>0.78113999999999995</v>
      </c>
      <c r="O2773" s="3">
        <f>VLOOKUP(D2773,underlying!$D$40:$H$75,5,FALSE)</f>
        <v>-1.75</v>
      </c>
      <c r="P2773" s="4">
        <f t="shared" si="106"/>
        <v>43201</v>
      </c>
      <c r="Q2773" s="7">
        <f>IF(G2773="C",NormalCallSprd(O2773,H2773,M2773,(P2773-A2773)/365), NormalPutSprd(O2773,H2773,M2773,(P2773-A2773)/365))</f>
        <v>0.2544068057173729</v>
      </c>
      <c r="R2773" s="9">
        <f t="shared" si="108"/>
        <v>4.4068057173728969E-3</v>
      </c>
    </row>
    <row r="2774" spans="1:18" x14ac:dyDescent="0.2">
      <c r="A2774" s="2">
        <v>42622</v>
      </c>
      <c r="B2774" s="1" t="s">
        <v>56</v>
      </c>
      <c r="C2774" s="1" t="s">
        <v>57</v>
      </c>
      <c r="D2774" s="2">
        <v>43104</v>
      </c>
      <c r="E2774" s="2">
        <f t="shared" si="107"/>
        <v>43191</v>
      </c>
      <c r="F2774" s="1" t="s">
        <v>58</v>
      </c>
      <c r="G2774" s="1" t="s">
        <v>16</v>
      </c>
      <c r="H2774" s="1">
        <v>-6.25</v>
      </c>
      <c r="I2774" s="1">
        <v>4.8099999999999996</v>
      </c>
      <c r="J2774" s="1">
        <v>0</v>
      </c>
      <c r="K2774" s="2">
        <v>43408</v>
      </c>
      <c r="L2774" s="1">
        <v>3716</v>
      </c>
      <c r="M2774" s="1">
        <v>3.51</v>
      </c>
      <c r="N2774" s="1">
        <v>0.80335999999999996</v>
      </c>
      <c r="O2774" s="3">
        <f>VLOOKUP(D2774,underlying!$D$40:$H$75,5,FALSE)</f>
        <v>-1.75</v>
      </c>
      <c r="P2774" s="4">
        <f t="shared" si="106"/>
        <v>43201</v>
      </c>
      <c r="Q2774" s="7">
        <f>IF(G2774="C",NormalCallSprd(O2774,H2774,M2774,(P2774-A2774)/365), NormalPutSprd(O2774,H2774,M2774,(P2774-A2774)/365))</f>
        <v>4.8559239957539724</v>
      </c>
      <c r="R2774" s="9">
        <f t="shared" si="108"/>
        <v>4.5923995753972768E-2</v>
      </c>
    </row>
    <row r="2775" spans="1:18" x14ac:dyDescent="0.2">
      <c r="A2775" s="2">
        <v>42622</v>
      </c>
      <c r="B2775" s="1" t="s">
        <v>56</v>
      </c>
      <c r="C2775" s="1" t="s">
        <v>57</v>
      </c>
      <c r="D2775" s="2">
        <v>43104</v>
      </c>
      <c r="E2775" s="2">
        <f t="shared" si="107"/>
        <v>43191</v>
      </c>
      <c r="F2775" s="1" t="s">
        <v>58</v>
      </c>
      <c r="G2775" s="1" t="s">
        <v>18</v>
      </c>
      <c r="H2775" s="1">
        <v>-6.25</v>
      </c>
      <c r="I2775" s="1">
        <v>0.35</v>
      </c>
      <c r="J2775" s="1">
        <v>0</v>
      </c>
      <c r="K2775" s="2">
        <v>43408</v>
      </c>
      <c r="L2775" s="1">
        <v>3716</v>
      </c>
      <c r="M2775" s="1">
        <v>3.51</v>
      </c>
      <c r="N2775" s="1">
        <v>0.82411999999999996</v>
      </c>
      <c r="O2775" s="3">
        <f>VLOOKUP(D2775,underlying!$D$40:$H$75,5,FALSE)</f>
        <v>-1.75</v>
      </c>
      <c r="P2775" s="4">
        <f t="shared" si="106"/>
        <v>43201</v>
      </c>
      <c r="Q2775" s="7">
        <f>IF(G2775="C",NormalCallSprd(O2775,H2775,M2775,(P2775-A2775)/365), NormalPutSprd(O2775,H2775,M2775,(P2775-A2775)/365))</f>
        <v>0.35592399575397299</v>
      </c>
      <c r="R2775" s="9">
        <f t="shared" si="108"/>
        <v>5.9239957539730104E-3</v>
      </c>
    </row>
    <row r="2776" spans="1:18" x14ac:dyDescent="0.2">
      <c r="A2776" s="2">
        <v>42622</v>
      </c>
      <c r="B2776" s="1" t="s">
        <v>56</v>
      </c>
      <c r="C2776" s="1" t="s">
        <v>57</v>
      </c>
      <c r="D2776" s="2">
        <v>43104</v>
      </c>
      <c r="E2776" s="2">
        <f t="shared" si="107"/>
        <v>43191</v>
      </c>
      <c r="F2776" s="1" t="s">
        <v>58</v>
      </c>
      <c r="G2776" s="1" t="s">
        <v>16</v>
      </c>
      <c r="H2776" s="1">
        <v>-6</v>
      </c>
      <c r="I2776" s="1">
        <v>4.5999999999999996</v>
      </c>
      <c r="J2776" s="1">
        <v>0</v>
      </c>
      <c r="K2776" s="2">
        <v>43408</v>
      </c>
      <c r="L2776" s="1">
        <v>3716</v>
      </c>
      <c r="M2776" s="1">
        <v>3.51</v>
      </c>
      <c r="N2776" s="1">
        <v>0.84340000000000004</v>
      </c>
      <c r="O2776" s="3">
        <f>VLOOKUP(D2776,underlying!$D$40:$H$75,5,FALSE)</f>
        <v>-1.75</v>
      </c>
      <c r="P2776" s="4">
        <f t="shared" si="106"/>
        <v>43201</v>
      </c>
      <c r="Q2776" s="7">
        <f>IF(G2776="C",NormalCallSprd(O2776,H2776,M2776,(P2776-A2776)/365), NormalPutSprd(O2776,H2776,M2776,(P2776-A2776)/365))</f>
        <v>4.6462257003705707</v>
      </c>
      <c r="R2776" s="9">
        <f t="shared" si="108"/>
        <v>4.6225700370571055E-2</v>
      </c>
    </row>
    <row r="2777" spans="1:18" x14ac:dyDescent="0.2">
      <c r="A2777" s="2">
        <v>42622</v>
      </c>
      <c r="B2777" s="1" t="s">
        <v>56</v>
      </c>
      <c r="C2777" s="1" t="s">
        <v>57</v>
      </c>
      <c r="D2777" s="2">
        <v>43104</v>
      </c>
      <c r="E2777" s="2">
        <f t="shared" si="107"/>
        <v>43191</v>
      </c>
      <c r="F2777" s="1" t="s">
        <v>58</v>
      </c>
      <c r="G2777" s="1" t="s">
        <v>18</v>
      </c>
      <c r="H2777" s="1">
        <v>-6</v>
      </c>
      <c r="I2777" s="1">
        <v>0.39</v>
      </c>
      <c r="J2777" s="1">
        <v>0</v>
      </c>
      <c r="K2777" s="2">
        <v>43408</v>
      </c>
      <c r="L2777" s="1">
        <v>3716</v>
      </c>
      <c r="M2777" s="1">
        <v>3.51</v>
      </c>
      <c r="N2777" s="1">
        <v>0.86119999999999997</v>
      </c>
      <c r="O2777" s="3">
        <f>VLOOKUP(D2777,underlying!$D$40:$H$75,5,FALSE)</f>
        <v>-1.75</v>
      </c>
      <c r="P2777" s="4">
        <f t="shared" si="106"/>
        <v>43201</v>
      </c>
      <c r="Q2777" s="7">
        <f>IF(G2777="C",NormalCallSprd(O2777,H2777,M2777,(P2777-A2777)/365), NormalPutSprd(O2777,H2777,M2777,(P2777-A2777)/365))</f>
        <v>0.3962257003705702</v>
      </c>
      <c r="R2777" s="9">
        <f t="shared" si="108"/>
        <v>6.2257003705701863E-3</v>
      </c>
    </row>
    <row r="2778" spans="1:18" x14ac:dyDescent="0.2">
      <c r="A2778" s="2">
        <v>42622</v>
      </c>
      <c r="B2778" s="1" t="s">
        <v>56</v>
      </c>
      <c r="C2778" s="1" t="s">
        <v>57</v>
      </c>
      <c r="D2778" s="2">
        <v>43104</v>
      </c>
      <c r="E2778" s="2">
        <f t="shared" si="107"/>
        <v>43191</v>
      </c>
      <c r="F2778" s="1" t="s">
        <v>58</v>
      </c>
      <c r="G2778" s="1" t="s">
        <v>16</v>
      </c>
      <c r="H2778" s="1">
        <v>-5.75</v>
      </c>
      <c r="I2778" s="1">
        <v>4.4000000000000004</v>
      </c>
      <c r="J2778" s="1">
        <v>0</v>
      </c>
      <c r="K2778" s="2">
        <v>43408</v>
      </c>
      <c r="L2778" s="1">
        <v>3716</v>
      </c>
      <c r="M2778" s="1">
        <v>3.51</v>
      </c>
      <c r="N2778" s="1">
        <v>0.87751999999999997</v>
      </c>
      <c r="O2778" s="3">
        <f>VLOOKUP(D2778,underlying!$D$40:$H$75,5,FALSE)</f>
        <v>-1.75</v>
      </c>
      <c r="P2778" s="4">
        <f t="shared" si="106"/>
        <v>43201</v>
      </c>
      <c r="Q2778" s="7">
        <f>IF(G2778="C",NormalCallSprd(O2778,H2778,M2778,(P2778-A2778)/365), NormalPutSprd(O2778,H2778,M2778,(P2778-A2778)/365))</f>
        <v>4.4400803486190821</v>
      </c>
      <c r="R2778" s="9">
        <f t="shared" si="108"/>
        <v>4.0080348619081718E-2</v>
      </c>
    </row>
    <row r="2779" spans="1:18" x14ac:dyDescent="0.2">
      <c r="A2779" s="2">
        <v>42622</v>
      </c>
      <c r="B2779" s="1" t="s">
        <v>56</v>
      </c>
      <c r="C2779" s="1" t="s">
        <v>57</v>
      </c>
      <c r="D2779" s="2">
        <v>43104</v>
      </c>
      <c r="E2779" s="2">
        <f t="shared" si="107"/>
        <v>43191</v>
      </c>
      <c r="F2779" s="1" t="s">
        <v>58</v>
      </c>
      <c r="G2779" s="1" t="s">
        <v>18</v>
      </c>
      <c r="H2779" s="1">
        <v>-5.75</v>
      </c>
      <c r="I2779" s="1">
        <v>0.44</v>
      </c>
      <c r="J2779" s="1">
        <v>0</v>
      </c>
      <c r="K2779" s="2">
        <v>43408</v>
      </c>
      <c r="L2779" s="1">
        <v>3716</v>
      </c>
      <c r="M2779" s="1">
        <v>3.51</v>
      </c>
      <c r="N2779" s="1">
        <v>0.89239999999999997</v>
      </c>
      <c r="O2779" s="3">
        <f>VLOOKUP(D2779,underlying!$D$40:$H$75,5,FALSE)</f>
        <v>-1.75</v>
      </c>
      <c r="P2779" s="4">
        <f t="shared" si="106"/>
        <v>43201</v>
      </c>
      <c r="Q2779" s="7">
        <f>IF(G2779="C",NormalCallSprd(O2779,H2779,M2779,(P2779-A2779)/365), NormalPutSprd(O2779,H2779,M2779,(P2779-A2779)/365))</f>
        <v>0.4400803486190823</v>
      </c>
      <c r="R2779" s="9">
        <f t="shared" si="108"/>
        <v>8.0348619082293293E-5</v>
      </c>
    </row>
    <row r="2780" spans="1:18" x14ac:dyDescent="0.2">
      <c r="A2780" s="2">
        <v>42622</v>
      </c>
      <c r="B2780" s="1" t="s">
        <v>56</v>
      </c>
      <c r="C2780" s="1" t="s">
        <v>57</v>
      </c>
      <c r="D2780" s="2">
        <v>43104</v>
      </c>
      <c r="E2780" s="2">
        <f t="shared" si="107"/>
        <v>43191</v>
      </c>
      <c r="F2780" s="1" t="s">
        <v>58</v>
      </c>
      <c r="G2780" s="1" t="s">
        <v>16</v>
      </c>
      <c r="H2780" s="1">
        <v>-5.5</v>
      </c>
      <c r="I2780" s="1">
        <v>4.2</v>
      </c>
      <c r="J2780" s="1">
        <v>0</v>
      </c>
      <c r="K2780" s="2">
        <v>43408</v>
      </c>
      <c r="L2780" s="1">
        <v>3716</v>
      </c>
      <c r="M2780" s="1">
        <v>3.51</v>
      </c>
      <c r="N2780" s="1">
        <v>0.90588999999999997</v>
      </c>
      <c r="O2780" s="3">
        <f>VLOOKUP(D2780,underlying!$D$40:$H$75,5,FALSE)</f>
        <v>-1.75</v>
      </c>
      <c r="P2780" s="4">
        <f t="shared" si="106"/>
        <v>43201</v>
      </c>
      <c r="Q2780" s="7">
        <f>IF(G2780="C",NormalCallSprd(O2780,H2780,M2780,(P2780-A2780)/365), NormalPutSprd(O2780,H2780,M2780,(P2780-A2780)/365))</f>
        <v>4.237680348611959</v>
      </c>
      <c r="R2780" s="9">
        <f t="shared" si="108"/>
        <v>3.7680348611958792E-2</v>
      </c>
    </row>
    <row r="2781" spans="1:18" x14ac:dyDescent="0.2">
      <c r="A2781" s="2">
        <v>42622</v>
      </c>
      <c r="B2781" s="1" t="s">
        <v>56</v>
      </c>
      <c r="C2781" s="1" t="s">
        <v>57</v>
      </c>
      <c r="D2781" s="2">
        <v>43104</v>
      </c>
      <c r="E2781" s="2">
        <f t="shared" si="107"/>
        <v>43191</v>
      </c>
      <c r="F2781" s="1" t="s">
        <v>58</v>
      </c>
      <c r="G2781" s="1" t="s">
        <v>18</v>
      </c>
      <c r="H2781" s="1">
        <v>-5.5</v>
      </c>
      <c r="I2781" s="1">
        <v>0.48</v>
      </c>
      <c r="J2781" s="1">
        <v>0</v>
      </c>
      <c r="K2781" s="2">
        <v>43408</v>
      </c>
      <c r="L2781" s="1">
        <v>3716</v>
      </c>
      <c r="M2781" s="1">
        <v>3.51</v>
      </c>
      <c r="N2781" s="1">
        <v>0.91803000000000001</v>
      </c>
      <c r="O2781" s="3">
        <f>VLOOKUP(D2781,underlying!$D$40:$H$75,5,FALSE)</f>
        <v>-1.75</v>
      </c>
      <c r="P2781" s="4">
        <f t="shared" si="106"/>
        <v>43201</v>
      </c>
      <c r="Q2781" s="7">
        <f>IF(G2781="C",NormalCallSprd(O2781,H2781,M2781,(P2781-A2781)/365), NormalPutSprd(O2781,H2781,M2781,(P2781-A2781)/365))</f>
        <v>0.4876803486119588</v>
      </c>
      <c r="R2781" s="9">
        <f t="shared" si="108"/>
        <v>7.6803486119588205E-3</v>
      </c>
    </row>
    <row r="2782" spans="1:18" x14ac:dyDescent="0.2">
      <c r="A2782" s="2">
        <v>42622</v>
      </c>
      <c r="B2782" s="1" t="s">
        <v>56</v>
      </c>
      <c r="C2782" s="1" t="s">
        <v>57</v>
      </c>
      <c r="D2782" s="2">
        <v>43104</v>
      </c>
      <c r="E2782" s="2">
        <f t="shared" si="107"/>
        <v>43191</v>
      </c>
      <c r="F2782" s="1" t="s">
        <v>58</v>
      </c>
      <c r="G2782" s="1" t="s">
        <v>16</v>
      </c>
      <c r="H2782" s="1">
        <v>-5.25</v>
      </c>
      <c r="I2782" s="1">
        <v>4</v>
      </c>
      <c r="J2782" s="1">
        <v>0</v>
      </c>
      <c r="K2782" s="2">
        <v>43408</v>
      </c>
      <c r="L2782" s="1">
        <v>3716</v>
      </c>
      <c r="M2782" s="1">
        <v>3.51</v>
      </c>
      <c r="N2782" s="1">
        <v>0.94708999999999999</v>
      </c>
      <c r="O2782" s="3">
        <f>VLOOKUP(D2782,underlying!$D$40:$H$75,5,FALSE)</f>
        <v>-1.75</v>
      </c>
      <c r="P2782" s="4">
        <f t="shared" si="106"/>
        <v>43201</v>
      </c>
      <c r="Q2782" s="7">
        <f>IF(G2782="C",NormalCallSprd(O2782,H2782,M2782,(P2782-A2782)/365), NormalPutSprd(O2782,H2782,M2782,(P2782-A2782)/365))</f>
        <v>4.0392159287863691</v>
      </c>
      <c r="R2782" s="9">
        <f t="shared" si="108"/>
        <v>3.9215928786369147E-2</v>
      </c>
    </row>
    <row r="2783" spans="1:18" x14ac:dyDescent="0.2">
      <c r="A2783" s="2">
        <v>42622</v>
      </c>
      <c r="B2783" s="1" t="s">
        <v>56</v>
      </c>
      <c r="C2783" s="1" t="s">
        <v>57</v>
      </c>
      <c r="D2783" s="2">
        <v>43104</v>
      </c>
      <c r="E2783" s="2">
        <f t="shared" si="107"/>
        <v>43191</v>
      </c>
      <c r="F2783" s="1" t="s">
        <v>58</v>
      </c>
      <c r="G2783" s="1" t="s">
        <v>18</v>
      </c>
      <c r="H2783" s="1">
        <v>-5.25</v>
      </c>
      <c r="I2783" s="1">
        <v>0.53</v>
      </c>
      <c r="J2783" s="1">
        <v>-0.01</v>
      </c>
      <c r="K2783" s="2">
        <v>43408</v>
      </c>
      <c r="L2783" s="1">
        <v>3716</v>
      </c>
      <c r="M2783" s="1">
        <v>3.51</v>
      </c>
      <c r="N2783" s="1">
        <v>0.97172999999999998</v>
      </c>
      <c r="O2783" s="3">
        <f>VLOOKUP(D2783,underlying!$D$40:$H$75,5,FALSE)</f>
        <v>-1.75</v>
      </c>
      <c r="P2783" s="4">
        <f t="shared" si="106"/>
        <v>43201</v>
      </c>
      <c r="Q2783" s="7">
        <f>IF(G2783="C",NormalCallSprd(O2783,H2783,M2783,(P2783-A2783)/365), NormalPutSprd(O2783,H2783,M2783,(P2783-A2783)/365))</f>
        <v>0.53921592878636904</v>
      </c>
      <c r="R2783" s="9">
        <f t="shared" si="108"/>
        <v>9.2159287863690098E-3</v>
      </c>
    </row>
    <row r="2784" spans="1:18" x14ac:dyDescent="0.2">
      <c r="A2784" s="2">
        <v>42622</v>
      </c>
      <c r="B2784" s="1" t="s">
        <v>56</v>
      </c>
      <c r="C2784" s="1" t="s">
        <v>57</v>
      </c>
      <c r="D2784" s="2">
        <v>43104</v>
      </c>
      <c r="E2784" s="2">
        <f t="shared" si="107"/>
        <v>43191</v>
      </c>
      <c r="F2784" s="1" t="s">
        <v>58</v>
      </c>
      <c r="G2784" s="1" t="s">
        <v>16</v>
      </c>
      <c r="H2784" s="1">
        <v>-5</v>
      </c>
      <c r="I2784" s="1">
        <v>3.81</v>
      </c>
      <c r="J2784" s="1">
        <v>0</v>
      </c>
      <c r="K2784" s="2">
        <v>43408</v>
      </c>
      <c r="L2784" s="1">
        <v>3716</v>
      </c>
      <c r="M2784" s="1">
        <v>3.51</v>
      </c>
      <c r="N2784" s="1">
        <v>-0.78173000000000004</v>
      </c>
      <c r="O2784" s="3">
        <f>VLOOKUP(D2784,underlying!$D$40:$H$75,5,FALSE)</f>
        <v>-1.75</v>
      </c>
      <c r="P2784" s="4">
        <f t="shared" si="106"/>
        <v>43201</v>
      </c>
      <c r="Q2784" s="7">
        <f>IF(G2784="C",NormalCallSprd(O2784,H2784,M2784,(P2784-A2784)/365), NormalPutSprd(O2784,H2784,M2784,(P2784-A2784)/365))</f>
        <v>3.8448737822485413</v>
      </c>
      <c r="R2784" s="9">
        <f t="shared" si="108"/>
        <v>3.4873782248541207E-2</v>
      </c>
    </row>
    <row r="2785" spans="1:18" x14ac:dyDescent="0.2">
      <c r="A2785" s="2">
        <v>42622</v>
      </c>
      <c r="B2785" s="1" t="s">
        <v>56</v>
      </c>
      <c r="C2785" s="1" t="s">
        <v>57</v>
      </c>
      <c r="D2785" s="2">
        <v>43104</v>
      </c>
      <c r="E2785" s="2">
        <f t="shared" si="107"/>
        <v>43191</v>
      </c>
      <c r="F2785" s="1" t="s">
        <v>58</v>
      </c>
      <c r="G2785" s="1" t="s">
        <v>18</v>
      </c>
      <c r="H2785" s="1">
        <v>-5</v>
      </c>
      <c r="I2785" s="1">
        <v>0.59</v>
      </c>
      <c r="J2785" s="1">
        <v>0</v>
      </c>
      <c r="K2785" s="2">
        <v>43408</v>
      </c>
      <c r="L2785" s="1">
        <v>3716</v>
      </c>
      <c r="M2785" s="1">
        <v>3.51</v>
      </c>
      <c r="N2785" s="1">
        <v>-0.75807000000000002</v>
      </c>
      <c r="O2785" s="3">
        <f>VLOOKUP(D2785,underlying!$D$40:$H$75,5,FALSE)</f>
        <v>-1.75</v>
      </c>
      <c r="P2785" s="4">
        <f t="shared" si="106"/>
        <v>43201</v>
      </c>
      <c r="Q2785" s="7">
        <f>IF(G2785="C",NormalCallSprd(O2785,H2785,M2785,(P2785-A2785)/365), NormalPutSprd(O2785,H2785,M2785,(P2785-A2785)/365))</f>
        <v>0.59487378224854126</v>
      </c>
      <c r="R2785" s="9">
        <f t="shared" si="108"/>
        <v>4.8737822485412918E-3</v>
      </c>
    </row>
    <row r="2786" spans="1:18" x14ac:dyDescent="0.2">
      <c r="A2786" s="2">
        <v>42622</v>
      </c>
      <c r="B2786" s="1" t="s">
        <v>56</v>
      </c>
      <c r="C2786" s="1" t="s">
        <v>57</v>
      </c>
      <c r="D2786" s="2">
        <v>43104</v>
      </c>
      <c r="E2786" s="2">
        <f t="shared" si="107"/>
        <v>43191</v>
      </c>
      <c r="F2786" s="1" t="s">
        <v>58</v>
      </c>
      <c r="G2786" s="1" t="s">
        <v>16</v>
      </c>
      <c r="H2786" s="1">
        <v>-4.75</v>
      </c>
      <c r="I2786" s="1">
        <v>3.62</v>
      </c>
      <c r="J2786" s="1">
        <v>0</v>
      </c>
      <c r="K2786" s="2">
        <v>43408</v>
      </c>
      <c r="L2786" s="1">
        <v>3716</v>
      </c>
      <c r="M2786" s="1">
        <v>3.51</v>
      </c>
      <c r="N2786" s="1">
        <v>-0.73304999999999998</v>
      </c>
      <c r="O2786" s="3">
        <f>VLOOKUP(D2786,underlying!$D$40:$H$75,5,FALSE)</f>
        <v>-1.75</v>
      </c>
      <c r="P2786" s="4">
        <f t="shared" si="106"/>
        <v>43201</v>
      </c>
      <c r="Q2786" s="7">
        <f>IF(G2786="C",NormalCallSprd(O2786,H2786,M2786,(P2786-A2786)/365), NormalPutSprd(O2786,H2786,M2786,(P2786-A2786)/365))</f>
        <v>3.6548356792533756</v>
      </c>
      <c r="R2786" s="9">
        <f t="shared" si="108"/>
        <v>3.4835679253375496E-2</v>
      </c>
    </row>
    <row r="2787" spans="1:18" x14ac:dyDescent="0.2">
      <c r="A2787" s="2">
        <v>42622</v>
      </c>
      <c r="B2787" s="1" t="s">
        <v>56</v>
      </c>
      <c r="C2787" s="1" t="s">
        <v>57</v>
      </c>
      <c r="D2787" s="2">
        <v>43104</v>
      </c>
      <c r="E2787" s="2">
        <f t="shared" si="107"/>
        <v>43191</v>
      </c>
      <c r="F2787" s="1" t="s">
        <v>58</v>
      </c>
      <c r="G2787" s="1" t="s">
        <v>18</v>
      </c>
      <c r="H2787" s="1">
        <v>-4.75</v>
      </c>
      <c r="I2787" s="1">
        <v>0.65</v>
      </c>
      <c r="J2787" s="1">
        <v>0</v>
      </c>
      <c r="K2787" s="2">
        <v>43408</v>
      </c>
      <c r="L2787" s="1">
        <v>3716</v>
      </c>
      <c r="M2787" s="1">
        <v>3.51</v>
      </c>
      <c r="N2787" s="1">
        <v>-1.1310000000000001E-2</v>
      </c>
      <c r="O2787" s="3">
        <f>VLOOKUP(D2787,underlying!$D$40:$H$75,5,FALSE)</f>
        <v>-1.75</v>
      </c>
      <c r="P2787" s="4">
        <f t="shared" si="106"/>
        <v>43201</v>
      </c>
      <c r="Q2787" s="7">
        <f>IF(G2787="C",NormalCallSprd(O2787,H2787,M2787,(P2787-A2787)/365), NormalPutSprd(O2787,H2787,M2787,(P2787-A2787)/365))</f>
        <v>0.6548356792533756</v>
      </c>
      <c r="R2787" s="9">
        <f t="shared" si="108"/>
        <v>4.8356792533755799E-3</v>
      </c>
    </row>
    <row r="2788" spans="1:18" x14ac:dyDescent="0.2">
      <c r="A2788" s="2">
        <v>42622</v>
      </c>
      <c r="B2788" s="1" t="s">
        <v>56</v>
      </c>
      <c r="C2788" s="1" t="s">
        <v>57</v>
      </c>
      <c r="D2788" s="2">
        <v>43104</v>
      </c>
      <c r="E2788" s="2">
        <f t="shared" si="107"/>
        <v>43191</v>
      </c>
      <c r="F2788" s="1" t="s">
        <v>58</v>
      </c>
      <c r="G2788" s="1" t="s">
        <v>16</v>
      </c>
      <c r="H2788" s="1">
        <v>-4.5</v>
      </c>
      <c r="I2788" s="1">
        <v>3.43</v>
      </c>
      <c r="J2788" s="1">
        <v>-0.01</v>
      </c>
      <c r="K2788" s="2">
        <v>43408</v>
      </c>
      <c r="L2788" s="1">
        <v>3716</v>
      </c>
      <c r="M2788" s="1">
        <v>3.51</v>
      </c>
      <c r="N2788" s="1">
        <v>-0.70674999999999999</v>
      </c>
      <c r="O2788" s="3">
        <f>VLOOKUP(D2788,underlying!$D$40:$H$75,5,FALSE)</f>
        <v>-1.75</v>
      </c>
      <c r="P2788" s="4">
        <f t="shared" si="106"/>
        <v>43201</v>
      </c>
      <c r="Q2788" s="7">
        <f>IF(G2788="C",NormalCallSprd(O2788,H2788,M2788,(P2788-A2788)/365), NormalPutSprd(O2788,H2788,M2788,(P2788-A2788)/365))</f>
        <v>3.4692770644227817</v>
      </c>
      <c r="R2788" s="9">
        <f t="shared" si="108"/>
        <v>3.927706442278156E-2</v>
      </c>
    </row>
    <row r="2789" spans="1:18" x14ac:dyDescent="0.2">
      <c r="A2789" s="2">
        <v>42622</v>
      </c>
      <c r="B2789" s="1" t="s">
        <v>56</v>
      </c>
      <c r="C2789" s="1" t="s">
        <v>57</v>
      </c>
      <c r="D2789" s="2">
        <v>43104</v>
      </c>
      <c r="E2789" s="2">
        <f t="shared" si="107"/>
        <v>43191</v>
      </c>
      <c r="F2789" s="1" t="s">
        <v>58</v>
      </c>
      <c r="G2789" s="1" t="s">
        <v>18</v>
      </c>
      <c r="H2789" s="1">
        <v>-4.5</v>
      </c>
      <c r="I2789" s="1">
        <v>0.71</v>
      </c>
      <c r="J2789" s="1">
        <v>0</v>
      </c>
      <c r="K2789" s="2">
        <v>43408</v>
      </c>
      <c r="L2789" s="1">
        <v>3716</v>
      </c>
      <c r="M2789" s="1">
        <v>3.51</v>
      </c>
      <c r="N2789" s="1">
        <v>-0.67972999999999995</v>
      </c>
      <c r="O2789" s="3">
        <f>VLOOKUP(D2789,underlying!$D$40:$H$75,5,FALSE)</f>
        <v>-1.75</v>
      </c>
      <c r="P2789" s="4">
        <f t="shared" si="106"/>
        <v>43201</v>
      </c>
      <c r="Q2789" s="7">
        <f>IF(G2789="C",NormalCallSprd(O2789,H2789,M2789,(P2789-A2789)/365), NormalPutSprd(O2789,H2789,M2789,(P2789-A2789)/365))</f>
        <v>0.71927706442278205</v>
      </c>
      <c r="R2789" s="9">
        <f t="shared" si="108"/>
        <v>9.2770644227820886E-3</v>
      </c>
    </row>
    <row r="2790" spans="1:18" x14ac:dyDescent="0.2">
      <c r="A2790" s="2">
        <v>42622</v>
      </c>
      <c r="B2790" s="1" t="s">
        <v>56</v>
      </c>
      <c r="C2790" s="1" t="s">
        <v>57</v>
      </c>
      <c r="D2790" s="2">
        <v>43104</v>
      </c>
      <c r="E2790" s="2">
        <f t="shared" si="107"/>
        <v>43191</v>
      </c>
      <c r="F2790" s="1" t="s">
        <v>58</v>
      </c>
      <c r="G2790" s="1" t="s">
        <v>16</v>
      </c>
      <c r="H2790" s="1">
        <v>-4.25</v>
      </c>
      <c r="I2790" s="1">
        <v>3.26</v>
      </c>
      <c r="J2790" s="1">
        <v>0</v>
      </c>
      <c r="K2790" s="2">
        <v>43408</v>
      </c>
      <c r="L2790" s="1">
        <v>3716</v>
      </c>
      <c r="M2790" s="1">
        <v>3.51</v>
      </c>
      <c r="N2790" s="1">
        <v>-0.65042</v>
      </c>
      <c r="O2790" s="3">
        <f>VLOOKUP(D2790,underlying!$D$40:$H$75,5,FALSE)</f>
        <v>-1.75</v>
      </c>
      <c r="P2790" s="4">
        <f t="shared" si="106"/>
        <v>43201</v>
      </c>
      <c r="Q2790" s="7">
        <f>IF(G2790="C",NormalCallSprd(O2790,H2790,M2790,(P2790-A2790)/365), NormalPutSprd(O2790,H2790,M2790,(P2790-A2790)/365))</f>
        <v>3.2883656563137245</v>
      </c>
      <c r="R2790" s="9">
        <f t="shared" si="108"/>
        <v>2.8365656313724674E-2</v>
      </c>
    </row>
    <row r="2791" spans="1:18" x14ac:dyDescent="0.2">
      <c r="A2791" s="2">
        <v>42622</v>
      </c>
      <c r="B2791" s="1" t="s">
        <v>56</v>
      </c>
      <c r="C2791" s="1" t="s">
        <v>57</v>
      </c>
      <c r="D2791" s="2">
        <v>43104</v>
      </c>
      <c r="E2791" s="2">
        <f t="shared" si="107"/>
        <v>43191</v>
      </c>
      <c r="F2791" s="1" t="s">
        <v>58</v>
      </c>
      <c r="G2791" s="1" t="s">
        <v>18</v>
      </c>
      <c r="H2791" s="1">
        <v>-4.25</v>
      </c>
      <c r="I2791" s="1">
        <v>0.78</v>
      </c>
      <c r="J2791" s="1">
        <v>0</v>
      </c>
      <c r="K2791" s="2">
        <v>43408</v>
      </c>
      <c r="L2791" s="1">
        <v>3716</v>
      </c>
      <c r="M2791" s="1">
        <v>3.51</v>
      </c>
      <c r="N2791" s="1">
        <v>-0.62170999999999998</v>
      </c>
      <c r="O2791" s="3">
        <f>VLOOKUP(D2791,underlying!$D$40:$H$75,5,FALSE)</f>
        <v>-1.75</v>
      </c>
      <c r="P2791" s="4">
        <f t="shared" si="106"/>
        <v>43201</v>
      </c>
      <c r="Q2791" s="7">
        <f>IF(G2791="C",NormalCallSprd(O2791,H2791,M2791,(P2791-A2791)/365), NormalPutSprd(O2791,H2791,M2791,(P2791-A2791)/365))</f>
        <v>0.78836565631372435</v>
      </c>
      <c r="R2791" s="9">
        <f t="shared" si="108"/>
        <v>8.3656563137243234E-3</v>
      </c>
    </row>
    <row r="2792" spans="1:18" x14ac:dyDescent="0.2">
      <c r="A2792" s="2">
        <v>42622</v>
      </c>
      <c r="B2792" s="1" t="s">
        <v>56</v>
      </c>
      <c r="C2792" s="1" t="s">
        <v>57</v>
      </c>
      <c r="D2792" s="2">
        <v>43104</v>
      </c>
      <c r="E2792" s="2">
        <f t="shared" si="107"/>
        <v>43191</v>
      </c>
      <c r="F2792" s="1" t="s">
        <v>58</v>
      </c>
      <c r="G2792" s="1" t="s">
        <v>16</v>
      </c>
      <c r="H2792" s="1">
        <v>-4</v>
      </c>
      <c r="I2792" s="1">
        <v>3.08</v>
      </c>
      <c r="J2792" s="1">
        <v>0</v>
      </c>
      <c r="K2792" s="2">
        <v>43408</v>
      </c>
      <c r="L2792" s="1">
        <v>3716</v>
      </c>
      <c r="M2792" s="1">
        <v>3.51</v>
      </c>
      <c r="N2792" s="1">
        <v>-0.59126000000000001</v>
      </c>
      <c r="O2792" s="3">
        <f>VLOOKUP(D2792,underlying!$D$40:$H$75,5,FALSE)</f>
        <v>-1.75</v>
      </c>
      <c r="P2792" s="4">
        <f t="shared" si="106"/>
        <v>43201</v>
      </c>
      <c r="Q2792" s="7">
        <f>IF(G2792="C",NormalCallSprd(O2792,H2792,M2792,(P2792-A2792)/365), NormalPutSprd(O2792,H2792,M2792,(P2792-A2792)/365))</f>
        <v>3.1122600676548768</v>
      </c>
      <c r="R2792" s="9">
        <f t="shared" si="108"/>
        <v>3.2260067654876767E-2</v>
      </c>
    </row>
    <row r="2793" spans="1:18" x14ac:dyDescent="0.2">
      <c r="A2793" s="2">
        <v>42622</v>
      </c>
      <c r="B2793" s="1" t="s">
        <v>56</v>
      </c>
      <c r="C2793" s="1" t="s">
        <v>57</v>
      </c>
      <c r="D2793" s="2">
        <v>43104</v>
      </c>
      <c r="E2793" s="2">
        <f t="shared" si="107"/>
        <v>43191</v>
      </c>
      <c r="F2793" s="1" t="s">
        <v>58</v>
      </c>
      <c r="G2793" s="1" t="s">
        <v>18</v>
      </c>
      <c r="H2793" s="1">
        <v>-4</v>
      </c>
      <c r="I2793" s="1">
        <v>0.85</v>
      </c>
      <c r="J2793" s="1">
        <v>-0.01</v>
      </c>
      <c r="K2793" s="2">
        <v>43408</v>
      </c>
      <c r="L2793" s="1">
        <v>3716</v>
      </c>
      <c r="M2793" s="1">
        <v>3.51</v>
      </c>
      <c r="N2793" s="1">
        <v>-0.56055999999999995</v>
      </c>
      <c r="O2793" s="3">
        <f>VLOOKUP(D2793,underlying!$D$40:$H$75,5,FALSE)</f>
        <v>-1.75</v>
      </c>
      <c r="P2793" s="4">
        <f t="shared" si="106"/>
        <v>43201</v>
      </c>
      <c r="Q2793" s="7">
        <f>IF(G2793="C",NormalCallSprd(O2793,H2793,M2793,(P2793-A2793)/365), NormalPutSprd(O2793,H2793,M2793,(P2793-A2793)/365))</f>
        <v>0.86226006765487706</v>
      </c>
      <c r="R2793" s="9">
        <f t="shared" si="108"/>
        <v>1.2260067654877083E-2</v>
      </c>
    </row>
    <row r="2794" spans="1:18" x14ac:dyDescent="0.2">
      <c r="A2794" s="2">
        <v>42622</v>
      </c>
      <c r="B2794" s="1" t="s">
        <v>56</v>
      </c>
      <c r="C2794" s="1" t="s">
        <v>57</v>
      </c>
      <c r="D2794" s="2">
        <v>43104</v>
      </c>
      <c r="E2794" s="2">
        <f t="shared" si="107"/>
        <v>43191</v>
      </c>
      <c r="F2794" s="1" t="s">
        <v>58</v>
      </c>
      <c r="G2794" s="1" t="s">
        <v>16</v>
      </c>
      <c r="H2794" s="1">
        <v>-3.75</v>
      </c>
      <c r="I2794" s="1">
        <v>2.9</v>
      </c>
      <c r="J2794" s="1">
        <v>-0.01</v>
      </c>
      <c r="K2794" s="2">
        <v>43408</v>
      </c>
      <c r="L2794" s="1">
        <v>3716</v>
      </c>
      <c r="M2794" s="1">
        <v>3.49</v>
      </c>
      <c r="N2794" s="1">
        <v>-0.52939999999999998</v>
      </c>
      <c r="O2794" s="3">
        <f>VLOOKUP(D2794,underlying!$D$40:$H$75,5,FALSE)</f>
        <v>-1.75</v>
      </c>
      <c r="P2794" s="4">
        <f t="shared" si="106"/>
        <v>43201</v>
      </c>
      <c r="Q2794" s="7">
        <f>IF(G2794="C",NormalCallSprd(O2794,H2794,M2794,(P2794-A2794)/365), NormalPutSprd(O2794,H2794,M2794,(P2794-A2794)/365))</f>
        <v>2.9320420808205983</v>
      </c>
      <c r="R2794" s="9">
        <f t="shared" si="108"/>
        <v>3.204208082059834E-2</v>
      </c>
    </row>
    <row r="2795" spans="1:18" x14ac:dyDescent="0.2">
      <c r="A2795" s="2">
        <v>42622</v>
      </c>
      <c r="B2795" s="1" t="s">
        <v>56</v>
      </c>
      <c r="C2795" s="1" t="s">
        <v>57</v>
      </c>
      <c r="D2795" s="2">
        <v>43104</v>
      </c>
      <c r="E2795" s="2">
        <f t="shared" si="107"/>
        <v>43191</v>
      </c>
      <c r="F2795" s="1" t="s">
        <v>58</v>
      </c>
      <c r="G2795" s="1" t="s">
        <v>18</v>
      </c>
      <c r="H2795" s="1">
        <v>-3.75</v>
      </c>
      <c r="I2795" s="1">
        <v>0.92</v>
      </c>
      <c r="J2795" s="1">
        <v>0</v>
      </c>
      <c r="K2795" s="2">
        <v>43408</v>
      </c>
      <c r="L2795" s="1">
        <v>3716</v>
      </c>
      <c r="M2795" s="1">
        <v>3.49</v>
      </c>
      <c r="N2795" s="1">
        <v>-0.49819999999999998</v>
      </c>
      <c r="O2795" s="3">
        <f>VLOOKUP(D2795,underlying!$D$40:$H$75,5,FALSE)</f>
        <v>-1.75</v>
      </c>
      <c r="P2795" s="4">
        <f t="shared" si="106"/>
        <v>43201</v>
      </c>
      <c r="Q2795" s="7">
        <f>IF(G2795="C",NormalCallSprd(O2795,H2795,M2795,(P2795-A2795)/365), NormalPutSprd(O2795,H2795,M2795,(P2795-A2795)/365))</f>
        <v>0.93204208082059814</v>
      </c>
      <c r="R2795" s="9">
        <f t="shared" si="108"/>
        <v>1.20420808205981E-2</v>
      </c>
    </row>
    <row r="2796" spans="1:18" x14ac:dyDescent="0.2">
      <c r="A2796" s="2">
        <v>42622</v>
      </c>
      <c r="B2796" s="1" t="s">
        <v>56</v>
      </c>
      <c r="C2796" s="1" t="s">
        <v>57</v>
      </c>
      <c r="D2796" s="2">
        <v>43104</v>
      </c>
      <c r="E2796" s="2">
        <f t="shared" si="107"/>
        <v>43191</v>
      </c>
      <c r="F2796" s="1" t="s">
        <v>58</v>
      </c>
      <c r="G2796" s="1" t="s">
        <v>16</v>
      </c>
      <c r="H2796" s="1">
        <v>-3.5</v>
      </c>
      <c r="I2796" s="1">
        <v>2.75</v>
      </c>
      <c r="J2796" s="1">
        <v>0</v>
      </c>
      <c r="K2796" s="2">
        <v>43408</v>
      </c>
      <c r="L2796" s="1">
        <v>3716</v>
      </c>
      <c r="M2796" s="1">
        <v>3.51</v>
      </c>
      <c r="N2796" s="1">
        <v>-0.46700000000000003</v>
      </c>
      <c r="O2796" s="3">
        <f>VLOOKUP(D2796,underlying!$D$40:$H$75,5,FALSE)</f>
        <v>-1.75</v>
      </c>
      <c r="P2796" s="4">
        <f t="shared" si="106"/>
        <v>43201</v>
      </c>
      <c r="Q2796" s="7">
        <f>IF(G2796="C",NormalCallSprd(O2796,H2796,M2796,(P2796-A2796)/365), NormalPutSprd(O2796,H2796,M2796,(P2796-A2796)/365))</f>
        <v>2.7750472861790332</v>
      </c>
      <c r="R2796" s="9">
        <f t="shared" si="108"/>
        <v>2.5047286179033179E-2</v>
      </c>
    </row>
    <row r="2797" spans="1:18" x14ac:dyDescent="0.2">
      <c r="A2797" s="2">
        <v>42622</v>
      </c>
      <c r="B2797" s="1" t="s">
        <v>56</v>
      </c>
      <c r="C2797" s="1" t="s">
        <v>57</v>
      </c>
      <c r="D2797" s="2">
        <v>43104</v>
      </c>
      <c r="E2797" s="2">
        <f t="shared" si="107"/>
        <v>43191</v>
      </c>
      <c r="F2797" s="1" t="s">
        <v>58</v>
      </c>
      <c r="G2797" s="1" t="s">
        <v>18</v>
      </c>
      <c r="H2797" s="1">
        <v>-3.5</v>
      </c>
      <c r="I2797" s="1">
        <v>1.01</v>
      </c>
      <c r="J2797" s="1">
        <v>-0.01</v>
      </c>
      <c r="K2797" s="2">
        <v>43408</v>
      </c>
      <c r="L2797" s="1">
        <v>3716</v>
      </c>
      <c r="M2797" s="1">
        <v>3.51</v>
      </c>
      <c r="N2797" s="1">
        <v>-0.43584000000000001</v>
      </c>
      <c r="O2797" s="3">
        <f>VLOOKUP(D2797,underlying!$D$40:$H$75,5,FALSE)</f>
        <v>-1.75</v>
      </c>
      <c r="P2797" s="4">
        <f t="shared" si="106"/>
        <v>43201</v>
      </c>
      <c r="Q2797" s="7">
        <f>IF(G2797="C",NormalCallSprd(O2797,H2797,M2797,(P2797-A2797)/365), NormalPutSprd(O2797,H2797,M2797,(P2797-A2797)/365))</f>
        <v>1.0250472861790332</v>
      </c>
      <c r="R2797" s="9">
        <f t="shared" si="108"/>
        <v>1.504728617903317E-2</v>
      </c>
    </row>
    <row r="2798" spans="1:18" x14ac:dyDescent="0.2">
      <c r="A2798" s="2">
        <v>42622</v>
      </c>
      <c r="B2798" s="1" t="s">
        <v>56</v>
      </c>
      <c r="C2798" s="1" t="s">
        <v>57</v>
      </c>
      <c r="D2798" s="2">
        <v>43104</v>
      </c>
      <c r="E2798" s="2">
        <f t="shared" si="107"/>
        <v>43191</v>
      </c>
      <c r="F2798" s="1" t="s">
        <v>58</v>
      </c>
      <c r="G2798" s="1" t="s">
        <v>16</v>
      </c>
      <c r="H2798" s="1">
        <v>-3.25</v>
      </c>
      <c r="I2798" s="1">
        <v>2.58</v>
      </c>
      <c r="J2798" s="1">
        <v>0</v>
      </c>
      <c r="K2798" s="2">
        <v>43408</v>
      </c>
      <c r="L2798" s="1">
        <v>3716</v>
      </c>
      <c r="M2798" s="1">
        <v>3.49</v>
      </c>
      <c r="N2798" s="1">
        <v>-0.40514</v>
      </c>
      <c r="O2798" s="3">
        <f>VLOOKUP(D2798,underlying!$D$40:$H$75,5,FALSE)</f>
        <v>-1.75</v>
      </c>
      <c r="P2798" s="4">
        <f t="shared" si="106"/>
        <v>43201</v>
      </c>
      <c r="Q2798" s="7">
        <f>IF(G2798="C",NormalCallSprd(O2798,H2798,M2798,(P2798-A2798)/365), NormalPutSprd(O2798,H2798,M2798,(P2798-A2798)/365))</f>
        <v>2.6047160723884377</v>
      </c>
      <c r="R2798" s="9">
        <f t="shared" si="108"/>
        <v>2.4716072388437649E-2</v>
      </c>
    </row>
    <row r="2799" spans="1:18" x14ac:dyDescent="0.2">
      <c r="A2799" s="2">
        <v>42622</v>
      </c>
      <c r="B2799" s="1" t="s">
        <v>56</v>
      </c>
      <c r="C2799" s="1" t="s">
        <v>57</v>
      </c>
      <c r="D2799" s="2">
        <v>43104</v>
      </c>
      <c r="E2799" s="2">
        <f t="shared" si="107"/>
        <v>43191</v>
      </c>
      <c r="F2799" s="1" t="s">
        <v>58</v>
      </c>
      <c r="G2799" s="1" t="s">
        <v>18</v>
      </c>
      <c r="H2799" s="1">
        <v>-3.25</v>
      </c>
      <c r="I2799" s="1">
        <v>1.0900000000000001</v>
      </c>
      <c r="J2799" s="1">
        <v>-0.01</v>
      </c>
      <c r="K2799" s="2">
        <v>43408</v>
      </c>
      <c r="L2799" s="1">
        <v>3716</v>
      </c>
      <c r="M2799" s="1">
        <v>3.49</v>
      </c>
      <c r="N2799" s="1">
        <v>-0.37469999999999998</v>
      </c>
      <c r="O2799" s="3">
        <f>VLOOKUP(D2799,underlying!$D$40:$H$75,5,FALSE)</f>
        <v>-1.75</v>
      </c>
      <c r="P2799" s="4">
        <f t="shared" si="106"/>
        <v>43201</v>
      </c>
      <c r="Q2799" s="7">
        <f>IF(G2799="C",NormalCallSprd(O2799,H2799,M2799,(P2799-A2799)/365), NormalPutSprd(O2799,H2799,M2799,(P2799-A2799)/365))</f>
        <v>1.1047160723884375</v>
      </c>
      <c r="R2799" s="9">
        <f t="shared" si="108"/>
        <v>1.4716072388437418E-2</v>
      </c>
    </row>
    <row r="2800" spans="1:18" x14ac:dyDescent="0.2">
      <c r="A2800" s="2">
        <v>42622</v>
      </c>
      <c r="B2800" s="1" t="s">
        <v>56</v>
      </c>
      <c r="C2800" s="1" t="s">
        <v>57</v>
      </c>
      <c r="D2800" s="2">
        <v>43104</v>
      </c>
      <c r="E2800" s="2">
        <f t="shared" si="107"/>
        <v>43191</v>
      </c>
      <c r="F2800" s="1" t="s">
        <v>58</v>
      </c>
      <c r="G2800" s="1" t="s">
        <v>16</v>
      </c>
      <c r="H2800" s="1">
        <v>-3</v>
      </c>
      <c r="I2800" s="1">
        <v>2.4300000000000002</v>
      </c>
      <c r="J2800" s="1">
        <v>-0.01</v>
      </c>
      <c r="K2800" s="2">
        <v>43408</v>
      </c>
      <c r="L2800" s="1">
        <v>3716</v>
      </c>
      <c r="M2800" s="1">
        <v>3.51</v>
      </c>
      <c r="N2800" s="1">
        <v>-0.34598000000000001</v>
      </c>
      <c r="O2800" s="3">
        <f>VLOOKUP(D2800,underlying!$D$40:$H$75,5,FALSE)</f>
        <v>-1.75</v>
      </c>
      <c r="P2800" s="4">
        <f t="shared" si="106"/>
        <v>43201</v>
      </c>
      <c r="Q2800" s="7">
        <f>IF(G2800="C",NormalCallSprd(O2800,H2800,M2800,(P2800-A2800)/365), NormalPutSprd(O2800,H2800,M2800,(P2800-A2800)/365))</f>
        <v>2.4586761690458871</v>
      </c>
      <c r="R2800" s="9">
        <f t="shared" si="108"/>
        <v>2.867616904588699E-2</v>
      </c>
    </row>
    <row r="2801" spans="1:18" x14ac:dyDescent="0.2">
      <c r="A2801" s="2">
        <v>42622</v>
      </c>
      <c r="B2801" s="1" t="s">
        <v>56</v>
      </c>
      <c r="C2801" s="1" t="s">
        <v>57</v>
      </c>
      <c r="D2801" s="2">
        <v>43104</v>
      </c>
      <c r="E2801" s="2">
        <f t="shared" si="107"/>
        <v>43191</v>
      </c>
      <c r="F2801" s="1" t="s">
        <v>58</v>
      </c>
      <c r="G2801" s="1" t="s">
        <v>18</v>
      </c>
      <c r="H2801" s="1">
        <v>-3</v>
      </c>
      <c r="I2801" s="1">
        <v>1.2</v>
      </c>
      <c r="J2801" s="1">
        <v>0</v>
      </c>
      <c r="K2801" s="2">
        <v>43408</v>
      </c>
      <c r="L2801" s="1">
        <v>3716</v>
      </c>
      <c r="M2801" s="1">
        <v>3.51</v>
      </c>
      <c r="N2801" s="1">
        <v>-0.31668000000000002</v>
      </c>
      <c r="O2801" s="3">
        <f>VLOOKUP(D2801,underlying!$D$40:$H$75,5,FALSE)</f>
        <v>-1.75</v>
      </c>
      <c r="P2801" s="4">
        <f t="shared" si="106"/>
        <v>43201</v>
      </c>
      <c r="Q2801" s="7">
        <f>IF(G2801="C",NormalCallSprd(O2801,H2801,M2801,(P2801-A2801)/365), NormalPutSprd(O2801,H2801,M2801,(P2801-A2801)/365))</f>
        <v>1.2086761690458871</v>
      </c>
      <c r="R2801" s="9">
        <f t="shared" si="108"/>
        <v>8.6761690458871943E-3</v>
      </c>
    </row>
    <row r="2802" spans="1:18" x14ac:dyDescent="0.2">
      <c r="A2802" s="2">
        <v>42622</v>
      </c>
      <c r="B2802" s="1" t="s">
        <v>56</v>
      </c>
      <c r="C2802" s="1" t="s">
        <v>57</v>
      </c>
      <c r="D2802" s="2">
        <v>43104</v>
      </c>
      <c r="E2802" s="2">
        <f t="shared" si="107"/>
        <v>43191</v>
      </c>
      <c r="F2802" s="1" t="s">
        <v>58</v>
      </c>
      <c r="G2802" s="1" t="s">
        <v>16</v>
      </c>
      <c r="H2802" s="1">
        <v>-2.75</v>
      </c>
      <c r="I2802" s="1">
        <v>2.2799999999999998</v>
      </c>
      <c r="J2802" s="1">
        <v>0</v>
      </c>
      <c r="K2802" s="2">
        <v>43408</v>
      </c>
      <c r="L2802" s="1">
        <v>3716</v>
      </c>
      <c r="M2802" s="1">
        <v>3.49</v>
      </c>
      <c r="N2802" s="1">
        <v>-0.29013</v>
      </c>
      <c r="O2802" s="3">
        <f>VLOOKUP(D2802,underlying!$D$40:$H$75,5,FALSE)</f>
        <v>-1.75</v>
      </c>
      <c r="P2802" s="4">
        <f t="shared" si="106"/>
        <v>43201</v>
      </c>
      <c r="Q2802" s="7">
        <f>IF(G2802="C",NormalCallSprd(O2802,H2802,M2802,(P2802-A2802)/365), NormalPutSprd(O2802,H2802,M2802,(P2802-A2802)/365))</f>
        <v>2.2987761419483492</v>
      </c>
      <c r="R2802" s="9">
        <f t="shared" si="108"/>
        <v>1.8776141948349423E-2</v>
      </c>
    </row>
    <row r="2803" spans="1:18" x14ac:dyDescent="0.2">
      <c r="A2803" s="2">
        <v>42622</v>
      </c>
      <c r="B2803" s="1" t="s">
        <v>56</v>
      </c>
      <c r="C2803" s="1" t="s">
        <v>57</v>
      </c>
      <c r="D2803" s="2">
        <v>43104</v>
      </c>
      <c r="E2803" s="2">
        <f t="shared" si="107"/>
        <v>43191</v>
      </c>
      <c r="F2803" s="1" t="s">
        <v>58</v>
      </c>
      <c r="G2803" s="1" t="s">
        <v>18</v>
      </c>
      <c r="H2803" s="1">
        <v>-2.75</v>
      </c>
      <c r="I2803" s="1">
        <v>1.29</v>
      </c>
      <c r="J2803" s="1">
        <v>0</v>
      </c>
      <c r="K2803" s="2">
        <v>43408</v>
      </c>
      <c r="L2803" s="1">
        <v>3716</v>
      </c>
      <c r="M2803" s="1">
        <v>3.49</v>
      </c>
      <c r="N2803" s="1">
        <v>-0.26283000000000001</v>
      </c>
      <c r="O2803" s="3">
        <f>VLOOKUP(D2803,underlying!$D$40:$H$75,5,FALSE)</f>
        <v>-1.75</v>
      </c>
      <c r="P2803" s="4">
        <f t="shared" si="106"/>
        <v>43201</v>
      </c>
      <c r="Q2803" s="7">
        <f>IF(G2803="C",NormalCallSprd(O2803,H2803,M2803,(P2803-A2803)/365), NormalPutSprd(O2803,H2803,M2803,(P2803-A2803)/365))</f>
        <v>1.2987761419483492</v>
      </c>
      <c r="R2803" s="9">
        <f t="shared" si="108"/>
        <v>8.776141948349192E-3</v>
      </c>
    </row>
    <row r="2804" spans="1:18" x14ac:dyDescent="0.2">
      <c r="A2804" s="2">
        <v>42622</v>
      </c>
      <c r="B2804" s="1" t="s">
        <v>56</v>
      </c>
      <c r="C2804" s="1" t="s">
        <v>57</v>
      </c>
      <c r="D2804" s="2">
        <v>43104</v>
      </c>
      <c r="E2804" s="2">
        <f t="shared" si="107"/>
        <v>43191</v>
      </c>
      <c r="F2804" s="1" t="s">
        <v>58</v>
      </c>
      <c r="G2804" s="1" t="s">
        <v>16</v>
      </c>
      <c r="H2804" s="1">
        <v>-2.5</v>
      </c>
      <c r="I2804" s="1">
        <v>2.14</v>
      </c>
      <c r="J2804" s="1">
        <v>0</v>
      </c>
      <c r="K2804" s="2">
        <v>43408</v>
      </c>
      <c r="L2804" s="1">
        <v>3716</v>
      </c>
      <c r="M2804" s="1">
        <v>3.5</v>
      </c>
      <c r="N2804" s="1">
        <v>-0.2389</v>
      </c>
      <c r="O2804" s="3">
        <f>VLOOKUP(D2804,underlying!$D$40:$H$75,5,FALSE)</f>
        <v>-1.75</v>
      </c>
      <c r="P2804" s="4">
        <f t="shared" si="106"/>
        <v>43201</v>
      </c>
      <c r="Q2804" s="7">
        <f>IF(G2804="C",NormalCallSprd(O2804,H2804,M2804,(P2804-A2804)/365), NormalPutSprd(O2804,H2804,M2804,(P2804-A2804)/365))</f>
        <v>2.1590076939558167</v>
      </c>
      <c r="R2804" s="9">
        <f t="shared" si="108"/>
        <v>1.9007693955816585E-2</v>
      </c>
    </row>
    <row r="2805" spans="1:18" x14ac:dyDescent="0.2">
      <c r="A2805" s="2">
        <v>42622</v>
      </c>
      <c r="B2805" s="1" t="s">
        <v>56</v>
      </c>
      <c r="C2805" s="1" t="s">
        <v>57</v>
      </c>
      <c r="D2805" s="2">
        <v>43104</v>
      </c>
      <c r="E2805" s="2">
        <f t="shared" si="107"/>
        <v>43191</v>
      </c>
      <c r="F2805" s="1" t="s">
        <v>58</v>
      </c>
      <c r="G2805" s="1" t="s">
        <v>18</v>
      </c>
      <c r="H2805" s="1">
        <v>-2.5</v>
      </c>
      <c r="I2805" s="1">
        <v>1.39</v>
      </c>
      <c r="J2805" s="1">
        <v>-0.01</v>
      </c>
      <c r="K2805" s="2">
        <v>43408</v>
      </c>
      <c r="L2805" s="1">
        <v>3716</v>
      </c>
      <c r="M2805" s="1">
        <v>3.5</v>
      </c>
      <c r="N2805" s="1">
        <v>-0.21526999999999999</v>
      </c>
      <c r="O2805" s="3">
        <f>VLOOKUP(D2805,underlying!$D$40:$H$75,5,FALSE)</f>
        <v>-1.75</v>
      </c>
      <c r="P2805" s="4">
        <f t="shared" si="106"/>
        <v>43201</v>
      </c>
      <c r="Q2805" s="7">
        <f>IF(G2805="C",NormalCallSprd(O2805,H2805,M2805,(P2805-A2805)/365), NormalPutSprd(O2805,H2805,M2805,(P2805-A2805)/365))</f>
        <v>1.4090076939558169</v>
      </c>
      <c r="R2805" s="9">
        <f t="shared" si="108"/>
        <v>1.9007693955817029E-2</v>
      </c>
    </row>
    <row r="2806" spans="1:18" x14ac:dyDescent="0.2">
      <c r="A2806" s="2">
        <v>42622</v>
      </c>
      <c r="B2806" s="1" t="s">
        <v>56</v>
      </c>
      <c r="C2806" s="1" t="s">
        <v>57</v>
      </c>
      <c r="D2806" s="2">
        <v>43104</v>
      </c>
      <c r="E2806" s="2">
        <f t="shared" si="107"/>
        <v>43191</v>
      </c>
      <c r="F2806" s="1" t="s">
        <v>58</v>
      </c>
      <c r="G2806" s="1" t="s">
        <v>16</v>
      </c>
      <c r="H2806" s="1">
        <v>-2.25</v>
      </c>
      <c r="I2806" s="1">
        <v>2</v>
      </c>
      <c r="J2806" s="1">
        <v>0</v>
      </c>
      <c r="K2806" s="2">
        <v>43408</v>
      </c>
      <c r="L2806" s="1">
        <v>3716</v>
      </c>
      <c r="M2806" s="1">
        <v>3.5</v>
      </c>
      <c r="N2806" s="1">
        <v>-0.19303999999999999</v>
      </c>
      <c r="O2806" s="3">
        <f>VLOOKUP(D2806,underlying!$D$40:$H$75,5,FALSE)</f>
        <v>-1.75</v>
      </c>
      <c r="P2806" s="4">
        <f t="shared" si="106"/>
        <v>43201</v>
      </c>
      <c r="Q2806" s="7">
        <f>IF(G2806="C",NormalCallSprd(O2806,H2806,M2806,(P2806-A2806)/365), NormalPutSprd(O2806,H2806,M2806,(P2806-A2806)/365))</f>
        <v>2.019916158763805</v>
      </c>
      <c r="R2806" s="9">
        <f t="shared" si="108"/>
        <v>1.9916158763805036E-2</v>
      </c>
    </row>
    <row r="2807" spans="1:18" x14ac:dyDescent="0.2">
      <c r="A2807" s="2">
        <v>42622</v>
      </c>
      <c r="B2807" s="1" t="s">
        <v>56</v>
      </c>
      <c r="C2807" s="1" t="s">
        <v>57</v>
      </c>
      <c r="D2807" s="2">
        <v>43104</v>
      </c>
      <c r="E2807" s="2">
        <f t="shared" si="107"/>
        <v>43191</v>
      </c>
      <c r="F2807" s="1" t="s">
        <v>58</v>
      </c>
      <c r="G2807" s="1" t="s">
        <v>18</v>
      </c>
      <c r="H2807" s="1">
        <v>-2.25</v>
      </c>
      <c r="I2807" s="1">
        <v>1.5</v>
      </c>
      <c r="J2807" s="1">
        <v>-0.01</v>
      </c>
      <c r="K2807" s="2">
        <v>43408</v>
      </c>
      <c r="L2807" s="1">
        <v>3716</v>
      </c>
      <c r="M2807" s="1">
        <v>3.5</v>
      </c>
      <c r="N2807" s="1">
        <v>-0.17227999999999999</v>
      </c>
      <c r="O2807" s="3">
        <f>VLOOKUP(D2807,underlying!$D$40:$H$75,5,FALSE)</f>
        <v>-1.75</v>
      </c>
      <c r="P2807" s="4">
        <f t="shared" si="106"/>
        <v>43201</v>
      </c>
      <c r="Q2807" s="7">
        <f>IF(G2807="C",NormalCallSprd(O2807,H2807,M2807,(P2807-A2807)/365), NormalPutSprd(O2807,H2807,M2807,(P2807-A2807)/365))</f>
        <v>1.519916158763805</v>
      </c>
      <c r="R2807" s="9">
        <f t="shared" si="108"/>
        <v>1.9916158763805036E-2</v>
      </c>
    </row>
    <row r="2808" spans="1:18" x14ac:dyDescent="0.2">
      <c r="A2808" s="2">
        <v>42622</v>
      </c>
      <c r="B2808" s="1" t="s">
        <v>56</v>
      </c>
      <c r="C2808" s="1" t="s">
        <v>57</v>
      </c>
      <c r="D2808" s="2">
        <v>43104</v>
      </c>
      <c r="E2808" s="2">
        <f t="shared" si="107"/>
        <v>43191</v>
      </c>
      <c r="F2808" s="1" t="s">
        <v>58</v>
      </c>
      <c r="G2808" s="1" t="s">
        <v>16</v>
      </c>
      <c r="H2808" s="1">
        <v>-2</v>
      </c>
      <c r="I2808" s="1">
        <v>1.87</v>
      </c>
      <c r="J2808" s="1">
        <v>0</v>
      </c>
      <c r="K2808" s="2">
        <v>43408</v>
      </c>
      <c r="L2808" s="1">
        <v>3716</v>
      </c>
      <c r="M2808" s="1">
        <v>3.51</v>
      </c>
      <c r="N2808" s="1">
        <v>-0.153</v>
      </c>
      <c r="O2808" s="3">
        <f>VLOOKUP(D2808,underlying!$D$40:$H$75,5,FALSE)</f>
        <v>-1.75</v>
      </c>
      <c r="P2808" s="4">
        <f t="shared" si="106"/>
        <v>43201</v>
      </c>
      <c r="Q2808" s="7">
        <f>IF(G2808="C",NormalCallSprd(O2808,H2808,M2808,(P2808-A2808)/365), NormalPutSprd(O2808,H2808,M2808,(P2808-A2808)/365))</f>
        <v>1.8914596925823004</v>
      </c>
      <c r="R2808" s="9">
        <f t="shared" si="108"/>
        <v>2.1459692582300294E-2</v>
      </c>
    </row>
    <row r="2809" spans="1:18" x14ac:dyDescent="0.2">
      <c r="A2809" s="2">
        <v>42622</v>
      </c>
      <c r="B2809" s="1" t="s">
        <v>56</v>
      </c>
      <c r="C2809" s="1" t="s">
        <v>57</v>
      </c>
      <c r="D2809" s="2">
        <v>43104</v>
      </c>
      <c r="E2809" s="2">
        <f t="shared" si="107"/>
        <v>43191</v>
      </c>
      <c r="F2809" s="1" t="s">
        <v>58</v>
      </c>
      <c r="G2809" s="1" t="s">
        <v>18</v>
      </c>
      <c r="H2809" s="1">
        <v>-2</v>
      </c>
      <c r="I2809" s="1">
        <v>1.63</v>
      </c>
      <c r="J2809" s="1">
        <v>0</v>
      </c>
      <c r="K2809" s="2">
        <v>43408</v>
      </c>
      <c r="L2809" s="1">
        <v>3716</v>
      </c>
      <c r="M2809" s="1">
        <v>3.51</v>
      </c>
      <c r="N2809" s="1">
        <v>-0.13519999999999999</v>
      </c>
      <c r="O2809" s="3">
        <f>VLOOKUP(D2809,underlying!$D$40:$H$75,5,FALSE)</f>
        <v>-1.75</v>
      </c>
      <c r="P2809" s="4">
        <f t="shared" ref="P2809:P2872" si="109">DATE(YEAR(K2809),DAY(K2809),MONTH(K2809))</f>
        <v>43201</v>
      </c>
      <c r="Q2809" s="7">
        <f>IF(G2809="C",NormalCallSprd(O2809,H2809,M2809,(P2809-A2809)/365), NormalPutSprd(O2809,H2809,M2809,(P2809-A2809)/365))</f>
        <v>1.6414596925823004</v>
      </c>
      <c r="R2809" s="9">
        <f t="shared" si="108"/>
        <v>1.1459692582300507E-2</v>
      </c>
    </row>
    <row r="2810" spans="1:18" x14ac:dyDescent="0.2">
      <c r="A2810" s="2">
        <v>42622</v>
      </c>
      <c r="B2810" s="1" t="s">
        <v>56</v>
      </c>
      <c r="C2810" s="1" t="s">
        <v>57</v>
      </c>
      <c r="D2810" s="2">
        <v>43104</v>
      </c>
      <c r="E2810" s="2">
        <f t="shared" si="107"/>
        <v>43191</v>
      </c>
      <c r="F2810" s="1" t="s">
        <v>58</v>
      </c>
      <c r="G2810" s="1" t="s">
        <v>16</v>
      </c>
      <c r="H2810" s="1">
        <v>-1.75</v>
      </c>
      <c r="I2810" s="1">
        <v>1.74</v>
      </c>
      <c r="J2810" s="1">
        <v>0</v>
      </c>
      <c r="K2810" s="2">
        <v>43408</v>
      </c>
      <c r="L2810" s="1">
        <v>3716</v>
      </c>
      <c r="M2810" s="1">
        <v>3.5</v>
      </c>
      <c r="N2810" s="1">
        <v>-0.11888</v>
      </c>
      <c r="O2810" s="3">
        <f>VLOOKUP(D2810,underlying!$D$40:$H$75,5,FALSE)</f>
        <v>-1.75</v>
      </c>
      <c r="P2810" s="4">
        <f t="shared" si="109"/>
        <v>43201</v>
      </c>
      <c r="Q2810" s="7">
        <f>IF(G2810="C",NormalCallSprd(O2810,H2810,M2810,(P2810-A2810)/365), NormalPutSprd(O2810,H2810,M2810,(P2810-A2810)/365))</f>
        <v>1.75861575593633</v>
      </c>
      <c r="R2810" s="9">
        <f t="shared" si="108"/>
        <v>1.8615755936330025E-2</v>
      </c>
    </row>
    <row r="2811" spans="1:18" x14ac:dyDescent="0.2">
      <c r="A2811" s="2">
        <v>42622</v>
      </c>
      <c r="B2811" s="1" t="s">
        <v>56</v>
      </c>
      <c r="C2811" s="1" t="s">
        <v>57</v>
      </c>
      <c r="D2811" s="2">
        <v>43104</v>
      </c>
      <c r="E2811" s="2">
        <f t="shared" si="107"/>
        <v>43191</v>
      </c>
      <c r="F2811" s="1" t="s">
        <v>58</v>
      </c>
      <c r="G2811" s="1" t="s">
        <v>18</v>
      </c>
      <c r="H2811" s="1">
        <v>-1.75</v>
      </c>
      <c r="I2811" s="1">
        <v>1.74</v>
      </c>
      <c r="J2811" s="1">
        <v>0</v>
      </c>
      <c r="K2811" s="2">
        <v>43408</v>
      </c>
      <c r="L2811" s="1">
        <v>3716</v>
      </c>
      <c r="M2811" s="1">
        <v>3.5</v>
      </c>
      <c r="N2811" s="1">
        <v>-0.104</v>
      </c>
      <c r="O2811" s="3">
        <f>VLOOKUP(D2811,underlying!$D$40:$H$75,5,FALSE)</f>
        <v>-1.75</v>
      </c>
      <c r="P2811" s="4">
        <f t="shared" si="109"/>
        <v>43201</v>
      </c>
      <c r="Q2811" s="7">
        <f>IF(G2811="C",NormalCallSprd(O2811,H2811,M2811,(P2811-A2811)/365), NormalPutSprd(O2811,H2811,M2811,(P2811-A2811)/365))</f>
        <v>1.75861575593633</v>
      </c>
      <c r="R2811" s="9">
        <f t="shared" si="108"/>
        <v>1.8615755936330025E-2</v>
      </c>
    </row>
    <row r="2812" spans="1:18" x14ac:dyDescent="0.2">
      <c r="A2812" s="2">
        <v>42622</v>
      </c>
      <c r="B2812" s="1" t="s">
        <v>56</v>
      </c>
      <c r="C2812" s="1" t="s">
        <v>57</v>
      </c>
      <c r="D2812" s="2">
        <v>43104</v>
      </c>
      <c r="E2812" s="2">
        <f t="shared" si="107"/>
        <v>43191</v>
      </c>
      <c r="F2812" s="1" t="s">
        <v>58</v>
      </c>
      <c r="G2812" s="1" t="s">
        <v>16</v>
      </c>
      <c r="H2812" s="1">
        <v>-1.5</v>
      </c>
      <c r="I2812" s="1">
        <v>1.63</v>
      </c>
      <c r="J2812" s="1">
        <v>0</v>
      </c>
      <c r="K2812" s="2">
        <v>43408</v>
      </c>
      <c r="L2812" s="1">
        <v>3716</v>
      </c>
      <c r="M2812" s="1">
        <v>3.51</v>
      </c>
      <c r="N2812" s="1">
        <v>-9.0520000000000003E-2</v>
      </c>
      <c r="O2812" s="3">
        <f>VLOOKUP(D2812,underlying!$D$40:$H$75,5,FALSE)</f>
        <v>-1.75</v>
      </c>
      <c r="P2812" s="4">
        <f t="shared" si="109"/>
        <v>43201</v>
      </c>
      <c r="Q2812" s="7">
        <f>IF(G2812="C",NormalCallSprd(O2812,H2812,M2812,(P2812-A2812)/365), NormalPutSprd(O2812,H2812,M2812,(P2812-A2812)/365))</f>
        <v>1.6414596925823004</v>
      </c>
      <c r="R2812" s="9">
        <f t="shared" si="108"/>
        <v>1.1459692582300507E-2</v>
      </c>
    </row>
    <row r="2813" spans="1:18" x14ac:dyDescent="0.2">
      <c r="A2813" s="2">
        <v>42622</v>
      </c>
      <c r="B2813" s="1" t="s">
        <v>56</v>
      </c>
      <c r="C2813" s="1" t="s">
        <v>57</v>
      </c>
      <c r="D2813" s="2">
        <v>43104</v>
      </c>
      <c r="E2813" s="2">
        <f t="shared" si="107"/>
        <v>43191</v>
      </c>
      <c r="F2813" s="1" t="s">
        <v>58</v>
      </c>
      <c r="G2813" s="1" t="s">
        <v>18</v>
      </c>
      <c r="H2813" s="1">
        <v>-1.5</v>
      </c>
      <c r="I2813" s="1">
        <v>1.87</v>
      </c>
      <c r="J2813" s="1">
        <v>0</v>
      </c>
      <c r="K2813" s="2">
        <v>43408</v>
      </c>
      <c r="L2813" s="1">
        <v>3716</v>
      </c>
      <c r="M2813" s="1">
        <v>3.51</v>
      </c>
      <c r="N2813" s="1">
        <v>-7.8380000000000005E-2</v>
      </c>
      <c r="O2813" s="3">
        <f>VLOOKUP(D2813,underlying!$D$40:$H$75,5,FALSE)</f>
        <v>-1.75</v>
      </c>
      <c r="P2813" s="4">
        <f t="shared" si="109"/>
        <v>43201</v>
      </c>
      <c r="Q2813" s="7">
        <f>IF(G2813="C",NormalCallSprd(O2813,H2813,M2813,(P2813-A2813)/365), NormalPutSprd(O2813,H2813,M2813,(P2813-A2813)/365))</f>
        <v>1.8914596925823004</v>
      </c>
      <c r="R2813" s="9">
        <f t="shared" si="108"/>
        <v>2.1459692582300294E-2</v>
      </c>
    </row>
    <row r="2814" spans="1:18" x14ac:dyDescent="0.2">
      <c r="A2814" s="2">
        <v>42622</v>
      </c>
      <c r="B2814" s="1" t="s">
        <v>56</v>
      </c>
      <c r="C2814" s="1" t="s">
        <v>57</v>
      </c>
      <c r="D2814" s="2">
        <v>43104</v>
      </c>
      <c r="E2814" s="2">
        <f t="shared" si="107"/>
        <v>43191</v>
      </c>
      <c r="F2814" s="1" t="s">
        <v>58</v>
      </c>
      <c r="G2814" s="1" t="s">
        <v>16</v>
      </c>
      <c r="H2814" s="1">
        <v>-1.25</v>
      </c>
      <c r="I2814" s="1">
        <v>1.5</v>
      </c>
      <c r="J2814" s="1">
        <v>-0.01</v>
      </c>
      <c r="K2814" s="2">
        <v>43408</v>
      </c>
      <c r="L2814" s="1">
        <v>3716</v>
      </c>
      <c r="M2814" s="1">
        <v>3.5</v>
      </c>
      <c r="N2814" s="1">
        <v>-4.931E-2</v>
      </c>
      <c r="O2814" s="3">
        <f>VLOOKUP(D2814,underlying!$D$40:$H$75,5,FALSE)</f>
        <v>-1.75</v>
      </c>
      <c r="P2814" s="4">
        <f t="shared" si="109"/>
        <v>43201</v>
      </c>
      <c r="Q2814" s="7">
        <f>IF(G2814="C",NormalCallSprd(O2814,H2814,M2814,(P2814-A2814)/365), NormalPutSprd(O2814,H2814,M2814,(P2814-A2814)/365))</f>
        <v>1.519916158763805</v>
      </c>
      <c r="R2814" s="9">
        <f t="shared" si="108"/>
        <v>1.9916158763805036E-2</v>
      </c>
    </row>
    <row r="2815" spans="1:18" x14ac:dyDescent="0.2">
      <c r="A2815" s="2">
        <v>42622</v>
      </c>
      <c r="B2815" s="1" t="s">
        <v>56</v>
      </c>
      <c r="C2815" s="1" t="s">
        <v>57</v>
      </c>
      <c r="D2815" s="2">
        <v>43104</v>
      </c>
      <c r="E2815" s="2">
        <f t="shared" si="107"/>
        <v>43191</v>
      </c>
      <c r="F2815" s="1" t="s">
        <v>58</v>
      </c>
      <c r="G2815" s="1" t="s">
        <v>18</v>
      </c>
      <c r="H2815" s="1">
        <v>-1.25</v>
      </c>
      <c r="I2815" s="1">
        <v>2</v>
      </c>
      <c r="J2815" s="1">
        <v>0</v>
      </c>
      <c r="K2815" s="2">
        <v>43408</v>
      </c>
      <c r="L2815" s="1">
        <v>3716</v>
      </c>
      <c r="M2815" s="1">
        <v>3.5</v>
      </c>
      <c r="N2815" s="1">
        <v>-2.4670000000000001E-2</v>
      </c>
      <c r="O2815" s="3">
        <f>VLOOKUP(D2815,underlying!$D$40:$H$75,5,FALSE)</f>
        <v>-1.75</v>
      </c>
      <c r="P2815" s="4">
        <f t="shared" si="109"/>
        <v>43201</v>
      </c>
      <c r="Q2815" s="7">
        <f>IF(G2815="C",NormalCallSprd(O2815,H2815,M2815,(P2815-A2815)/365), NormalPutSprd(O2815,H2815,M2815,(P2815-A2815)/365))</f>
        <v>2.019916158763805</v>
      </c>
      <c r="R2815" s="9">
        <f t="shared" si="108"/>
        <v>1.9916158763805036E-2</v>
      </c>
    </row>
    <row r="2816" spans="1:18" x14ac:dyDescent="0.2">
      <c r="A2816" s="2">
        <v>42622</v>
      </c>
      <c r="B2816" s="1" t="s">
        <v>56</v>
      </c>
      <c r="C2816" s="1" t="s">
        <v>57</v>
      </c>
      <c r="D2816" s="2">
        <v>43104</v>
      </c>
      <c r="E2816" s="2">
        <f t="shared" si="107"/>
        <v>43191</v>
      </c>
      <c r="F2816" s="1" t="s">
        <v>58</v>
      </c>
      <c r="G2816" s="1" t="s">
        <v>16</v>
      </c>
      <c r="H2816" s="1">
        <v>-1</v>
      </c>
      <c r="I2816" s="1">
        <v>1.39</v>
      </c>
      <c r="J2816" s="1">
        <v>-0.01</v>
      </c>
      <c r="K2816" s="2">
        <v>43408</v>
      </c>
      <c r="L2816" s="1">
        <v>3716</v>
      </c>
      <c r="M2816" s="1">
        <v>3.5</v>
      </c>
      <c r="N2816" s="1">
        <v>0.40771000000000002</v>
      </c>
      <c r="O2816" s="3">
        <f>VLOOKUP(D2816,underlying!$D$40:$H$75,5,FALSE)</f>
        <v>-1.75</v>
      </c>
      <c r="P2816" s="4">
        <f t="shared" si="109"/>
        <v>43201</v>
      </c>
      <c r="Q2816" s="7">
        <f>IF(G2816="C",NormalCallSprd(O2816,H2816,M2816,(P2816-A2816)/365), NormalPutSprd(O2816,H2816,M2816,(P2816-A2816)/365))</f>
        <v>1.4090076939558169</v>
      </c>
      <c r="R2816" s="9">
        <f t="shared" si="108"/>
        <v>1.9007693955817029E-2</v>
      </c>
    </row>
    <row r="2817" spans="1:18" x14ac:dyDescent="0.2">
      <c r="A2817" s="2">
        <v>42622</v>
      </c>
      <c r="B2817" s="1" t="s">
        <v>56</v>
      </c>
      <c r="C2817" s="1" t="s">
        <v>57</v>
      </c>
      <c r="D2817" s="2">
        <v>43104</v>
      </c>
      <c r="E2817" s="2">
        <f t="shared" si="107"/>
        <v>43191</v>
      </c>
      <c r="F2817" s="1" t="s">
        <v>58</v>
      </c>
      <c r="G2817" s="1" t="s">
        <v>18</v>
      </c>
      <c r="H2817" s="1">
        <v>-1</v>
      </c>
      <c r="I2817" s="1">
        <v>2.14</v>
      </c>
      <c r="J2817" s="1">
        <v>0</v>
      </c>
      <c r="K2817" s="2">
        <v>43408</v>
      </c>
      <c r="L2817" s="1">
        <v>3716</v>
      </c>
      <c r="M2817" s="1">
        <v>3.5</v>
      </c>
      <c r="N2817" s="1">
        <v>0.42941000000000001</v>
      </c>
      <c r="O2817" s="3">
        <f>VLOOKUP(D2817,underlying!$D$40:$H$75,5,FALSE)</f>
        <v>-1.75</v>
      </c>
      <c r="P2817" s="4">
        <f t="shared" si="109"/>
        <v>43201</v>
      </c>
      <c r="Q2817" s="7">
        <f>IF(G2817="C",NormalCallSprd(O2817,H2817,M2817,(P2817-A2817)/365), NormalPutSprd(O2817,H2817,M2817,(P2817-A2817)/365))</f>
        <v>2.1590076939558167</v>
      </c>
      <c r="R2817" s="9">
        <f t="shared" si="108"/>
        <v>1.9007693955816585E-2</v>
      </c>
    </row>
    <row r="2818" spans="1:18" x14ac:dyDescent="0.2">
      <c r="A2818" s="2">
        <v>42622</v>
      </c>
      <c r="B2818" s="1" t="s">
        <v>56</v>
      </c>
      <c r="C2818" s="1" t="s">
        <v>57</v>
      </c>
      <c r="D2818" s="2">
        <v>43104</v>
      </c>
      <c r="E2818" s="2">
        <f t="shared" ref="E2818:E2881" si="110">DATE(YEAR(D2818),DAY(D2818),MONTH(D2818))</f>
        <v>43191</v>
      </c>
      <c r="F2818" s="1" t="s">
        <v>58</v>
      </c>
      <c r="G2818" s="1" t="s">
        <v>16</v>
      </c>
      <c r="H2818" s="1">
        <v>-0.75</v>
      </c>
      <c r="I2818" s="1">
        <v>1.29</v>
      </c>
      <c r="J2818" s="1">
        <v>0</v>
      </c>
      <c r="K2818" s="2">
        <v>43408</v>
      </c>
      <c r="L2818" s="1">
        <v>3716</v>
      </c>
      <c r="M2818" s="1">
        <v>3.49</v>
      </c>
      <c r="N2818" s="1">
        <v>0.45106000000000002</v>
      </c>
      <c r="O2818" s="3">
        <f>VLOOKUP(D2818,underlying!$D$40:$H$75,5,FALSE)</f>
        <v>-1.75</v>
      </c>
      <c r="P2818" s="4">
        <f t="shared" si="109"/>
        <v>43201</v>
      </c>
      <c r="Q2818" s="7">
        <f>IF(G2818="C",NormalCallSprd(O2818,H2818,M2818,(P2818-A2818)/365), NormalPutSprd(O2818,H2818,M2818,(P2818-A2818)/365))</f>
        <v>1.2987761419483492</v>
      </c>
      <c r="R2818" s="9">
        <f t="shared" si="108"/>
        <v>8.776141948349192E-3</v>
      </c>
    </row>
    <row r="2819" spans="1:18" x14ac:dyDescent="0.2">
      <c r="A2819" s="2">
        <v>42622</v>
      </c>
      <c r="B2819" s="1" t="s">
        <v>56</v>
      </c>
      <c r="C2819" s="1" t="s">
        <v>57</v>
      </c>
      <c r="D2819" s="2">
        <v>43104</v>
      </c>
      <c r="E2819" s="2">
        <f t="shared" si="110"/>
        <v>43191</v>
      </c>
      <c r="F2819" s="1" t="s">
        <v>58</v>
      </c>
      <c r="G2819" s="1" t="s">
        <v>18</v>
      </c>
      <c r="H2819" s="1">
        <v>-0.75</v>
      </c>
      <c r="I2819" s="1">
        <v>2.2799999999999998</v>
      </c>
      <c r="J2819" s="1">
        <v>0</v>
      </c>
      <c r="K2819" s="2">
        <v>43408</v>
      </c>
      <c r="L2819" s="1">
        <v>3716</v>
      </c>
      <c r="M2819" s="1">
        <v>3.49</v>
      </c>
      <c r="N2819" s="1">
        <v>0.47291</v>
      </c>
      <c r="O2819" s="3">
        <f>VLOOKUP(D2819,underlying!$D$40:$H$75,5,FALSE)</f>
        <v>-1.75</v>
      </c>
      <c r="P2819" s="4">
        <f t="shared" si="109"/>
        <v>43201</v>
      </c>
      <c r="Q2819" s="7">
        <f>IF(G2819="C",NormalCallSprd(O2819,H2819,M2819,(P2819-A2819)/365), NormalPutSprd(O2819,H2819,M2819,(P2819-A2819)/365))</f>
        <v>2.2987761419483492</v>
      </c>
      <c r="R2819" s="9">
        <f t="shared" ref="R2819:R2882" si="111">ABS(Q2819-I2819)</f>
        <v>1.8776141948349423E-2</v>
      </c>
    </row>
    <row r="2820" spans="1:18" x14ac:dyDescent="0.2">
      <c r="A2820" s="2">
        <v>42622</v>
      </c>
      <c r="B2820" s="1" t="s">
        <v>56</v>
      </c>
      <c r="C2820" s="1" t="s">
        <v>57</v>
      </c>
      <c r="D2820" s="2">
        <v>43104</v>
      </c>
      <c r="E2820" s="2">
        <f t="shared" si="110"/>
        <v>43191</v>
      </c>
      <c r="F2820" s="1" t="s">
        <v>58</v>
      </c>
      <c r="G2820" s="1" t="s">
        <v>16</v>
      </c>
      <c r="H2820" s="1">
        <v>-0.5</v>
      </c>
      <c r="I2820" s="1">
        <v>1.2</v>
      </c>
      <c r="J2820" s="1">
        <v>0</v>
      </c>
      <c r="K2820" s="2">
        <v>43408</v>
      </c>
      <c r="L2820" s="1">
        <v>3716</v>
      </c>
      <c r="M2820" s="1">
        <v>3.51</v>
      </c>
      <c r="N2820" s="1">
        <v>0.49469999999999997</v>
      </c>
      <c r="O2820" s="3">
        <f>VLOOKUP(D2820,underlying!$D$40:$H$75,5,FALSE)</f>
        <v>-1.75</v>
      </c>
      <c r="P2820" s="4">
        <f t="shared" si="109"/>
        <v>43201</v>
      </c>
      <c r="Q2820" s="7">
        <f>IF(G2820="C",NormalCallSprd(O2820,H2820,M2820,(P2820-A2820)/365), NormalPutSprd(O2820,H2820,M2820,(P2820-A2820)/365))</f>
        <v>1.2086761690458871</v>
      </c>
      <c r="R2820" s="9">
        <f t="shared" si="111"/>
        <v>8.6761690458871943E-3</v>
      </c>
    </row>
    <row r="2821" spans="1:18" x14ac:dyDescent="0.2">
      <c r="A2821" s="2">
        <v>42622</v>
      </c>
      <c r="B2821" s="1" t="s">
        <v>56</v>
      </c>
      <c r="C2821" s="1" t="s">
        <v>57</v>
      </c>
      <c r="D2821" s="2">
        <v>43104</v>
      </c>
      <c r="E2821" s="2">
        <f t="shared" si="110"/>
        <v>43191</v>
      </c>
      <c r="F2821" s="1" t="s">
        <v>58</v>
      </c>
      <c r="G2821" s="1" t="s">
        <v>18</v>
      </c>
      <c r="H2821" s="1">
        <v>-0.5</v>
      </c>
      <c r="I2821" s="1">
        <v>2.4300000000000002</v>
      </c>
      <c r="J2821" s="1">
        <v>-0.01</v>
      </c>
      <c r="K2821" s="2">
        <v>43408</v>
      </c>
      <c r="L2821" s="1">
        <v>3716</v>
      </c>
      <c r="M2821" s="1">
        <v>3.51</v>
      </c>
      <c r="N2821" s="1">
        <v>0.51649</v>
      </c>
      <c r="O2821" s="3">
        <f>VLOOKUP(D2821,underlying!$D$40:$H$75,5,FALSE)</f>
        <v>-1.75</v>
      </c>
      <c r="P2821" s="4">
        <f t="shared" si="109"/>
        <v>43201</v>
      </c>
      <c r="Q2821" s="7">
        <f>IF(G2821="C",NormalCallSprd(O2821,H2821,M2821,(P2821-A2821)/365), NormalPutSprd(O2821,H2821,M2821,(P2821-A2821)/365))</f>
        <v>2.4586761690458871</v>
      </c>
      <c r="R2821" s="9">
        <f t="shared" si="111"/>
        <v>2.867616904588699E-2</v>
      </c>
    </row>
    <row r="2822" spans="1:18" x14ac:dyDescent="0.2">
      <c r="A2822" s="2">
        <v>42622</v>
      </c>
      <c r="B2822" s="1" t="s">
        <v>56</v>
      </c>
      <c r="C2822" s="1" t="s">
        <v>57</v>
      </c>
      <c r="D2822" s="2">
        <v>43104</v>
      </c>
      <c r="E2822" s="2">
        <f t="shared" si="110"/>
        <v>43191</v>
      </c>
      <c r="F2822" s="1" t="s">
        <v>58</v>
      </c>
      <c r="G2822" s="1" t="s">
        <v>16</v>
      </c>
      <c r="H2822" s="1">
        <v>-0.25</v>
      </c>
      <c r="I2822" s="1">
        <v>1.0900000000000001</v>
      </c>
      <c r="J2822" s="1">
        <v>-0.01</v>
      </c>
      <c r="K2822" s="2">
        <v>43408</v>
      </c>
      <c r="L2822" s="1">
        <v>3716</v>
      </c>
      <c r="M2822" s="1">
        <v>3.49</v>
      </c>
      <c r="N2822" s="1">
        <v>0.53834000000000004</v>
      </c>
      <c r="O2822" s="3">
        <f>VLOOKUP(D2822,underlying!$D$40:$H$75,5,FALSE)</f>
        <v>-1.75</v>
      </c>
      <c r="P2822" s="4">
        <f t="shared" si="109"/>
        <v>43201</v>
      </c>
      <c r="Q2822" s="7">
        <f>IF(G2822="C",NormalCallSprd(O2822,H2822,M2822,(P2822-A2822)/365), NormalPutSprd(O2822,H2822,M2822,(P2822-A2822)/365))</f>
        <v>1.1047160723884375</v>
      </c>
      <c r="R2822" s="9">
        <f t="shared" si="111"/>
        <v>1.4716072388437418E-2</v>
      </c>
    </row>
    <row r="2823" spans="1:18" x14ac:dyDescent="0.2">
      <c r="A2823" s="2">
        <v>42622</v>
      </c>
      <c r="B2823" s="1" t="s">
        <v>56</v>
      </c>
      <c r="C2823" s="1" t="s">
        <v>57</v>
      </c>
      <c r="D2823" s="2">
        <v>43104</v>
      </c>
      <c r="E2823" s="2">
        <f t="shared" si="110"/>
        <v>43191</v>
      </c>
      <c r="F2823" s="1" t="s">
        <v>58</v>
      </c>
      <c r="G2823" s="1" t="s">
        <v>18</v>
      </c>
      <c r="H2823" s="1">
        <v>-0.25</v>
      </c>
      <c r="I2823" s="1">
        <v>2.58</v>
      </c>
      <c r="J2823" s="1">
        <v>0</v>
      </c>
      <c r="K2823" s="2">
        <v>43408</v>
      </c>
      <c r="L2823" s="1">
        <v>3716</v>
      </c>
      <c r="M2823" s="1">
        <v>3.49</v>
      </c>
      <c r="N2823" s="1">
        <v>0.55998999999999999</v>
      </c>
      <c r="O2823" s="3">
        <f>VLOOKUP(D2823,underlying!$D$40:$H$75,5,FALSE)</f>
        <v>-1.75</v>
      </c>
      <c r="P2823" s="4">
        <f t="shared" si="109"/>
        <v>43201</v>
      </c>
      <c r="Q2823" s="7">
        <f>IF(G2823="C",NormalCallSprd(O2823,H2823,M2823,(P2823-A2823)/365), NormalPutSprd(O2823,H2823,M2823,(P2823-A2823)/365))</f>
        <v>2.6047160723884377</v>
      </c>
      <c r="R2823" s="9">
        <f t="shared" si="111"/>
        <v>2.4716072388437649E-2</v>
      </c>
    </row>
    <row r="2824" spans="1:18" x14ac:dyDescent="0.2">
      <c r="A2824" s="2">
        <v>42622</v>
      </c>
      <c r="B2824" s="1" t="s">
        <v>56</v>
      </c>
      <c r="C2824" s="1" t="s">
        <v>57</v>
      </c>
      <c r="D2824" s="2">
        <v>43105</v>
      </c>
      <c r="E2824" s="2">
        <f t="shared" si="110"/>
        <v>43221</v>
      </c>
      <c r="F2824" s="1" t="s">
        <v>58</v>
      </c>
      <c r="G2824" s="1" t="s">
        <v>16</v>
      </c>
      <c r="H2824" s="1">
        <v>-9</v>
      </c>
      <c r="I2824" s="1">
        <v>7.75</v>
      </c>
      <c r="J2824" s="1">
        <v>0</v>
      </c>
      <c r="K2824" s="2">
        <v>43348</v>
      </c>
      <c r="L2824" s="1">
        <v>3716</v>
      </c>
      <c r="M2824" s="1">
        <v>3.49</v>
      </c>
      <c r="N2824" s="1">
        <v>0.58169000000000004</v>
      </c>
      <c r="O2824" s="3">
        <f>VLOOKUP(D2824,underlying!$D$40:$H$75,5,FALSE)</f>
        <v>-1.25</v>
      </c>
      <c r="P2824" s="4">
        <f t="shared" si="109"/>
        <v>43229</v>
      </c>
      <c r="Q2824" s="7">
        <f>IF(G2824="C",NormalCallSprd(O2824,H2824,M2824,(P2824-A2824)/365), NormalPutSprd(O2824,H2824,M2824,(P2824-A2824)/365))</f>
        <v>7.8279987827813793</v>
      </c>
      <c r="R2824" s="9">
        <f t="shared" si="111"/>
        <v>7.7998782781379283E-2</v>
      </c>
    </row>
    <row r="2825" spans="1:18" x14ac:dyDescent="0.2">
      <c r="A2825" s="2">
        <v>42622</v>
      </c>
      <c r="B2825" s="1" t="s">
        <v>56</v>
      </c>
      <c r="C2825" s="1" t="s">
        <v>57</v>
      </c>
      <c r="D2825" s="2">
        <v>43105</v>
      </c>
      <c r="E2825" s="2">
        <f t="shared" si="110"/>
        <v>43221</v>
      </c>
      <c r="F2825" s="1" t="s">
        <v>58</v>
      </c>
      <c r="G2825" s="1" t="s">
        <v>18</v>
      </c>
      <c r="H2825" s="1">
        <v>-9</v>
      </c>
      <c r="I2825" s="1">
        <v>0.08</v>
      </c>
      <c r="J2825" s="1">
        <v>0</v>
      </c>
      <c r="K2825" s="2">
        <v>43348</v>
      </c>
      <c r="L2825" s="1">
        <v>3716</v>
      </c>
      <c r="M2825" s="1">
        <v>3.49</v>
      </c>
      <c r="N2825" s="1">
        <v>0.60233000000000003</v>
      </c>
      <c r="O2825" s="3">
        <f>VLOOKUP(D2825,underlying!$D$40:$H$75,5,FALSE)</f>
        <v>-1.25</v>
      </c>
      <c r="P2825" s="4">
        <f t="shared" si="109"/>
        <v>43229</v>
      </c>
      <c r="Q2825" s="7">
        <f>IF(G2825="C",NormalCallSprd(O2825,H2825,M2825,(P2825-A2825)/365), NormalPutSprd(O2825,H2825,M2825,(P2825-A2825)/365))</f>
        <v>7.7998782781378798E-2</v>
      </c>
      <c r="R2825" s="9">
        <f t="shared" si="111"/>
        <v>2.0012172186212041E-3</v>
      </c>
    </row>
    <row r="2826" spans="1:18" x14ac:dyDescent="0.2">
      <c r="A2826" s="2">
        <v>42622</v>
      </c>
      <c r="B2826" s="1" t="s">
        <v>56</v>
      </c>
      <c r="C2826" s="1" t="s">
        <v>57</v>
      </c>
      <c r="D2826" s="2">
        <v>43105</v>
      </c>
      <c r="E2826" s="2">
        <f t="shared" si="110"/>
        <v>43221</v>
      </c>
      <c r="F2826" s="1" t="s">
        <v>58</v>
      </c>
      <c r="G2826" s="1" t="s">
        <v>16</v>
      </c>
      <c r="H2826" s="1">
        <v>-8</v>
      </c>
      <c r="I2826" s="1">
        <v>6.81</v>
      </c>
      <c r="J2826" s="1">
        <v>0</v>
      </c>
      <c r="K2826" s="2">
        <v>43348</v>
      </c>
      <c r="L2826" s="1">
        <v>3716</v>
      </c>
      <c r="M2826" s="1">
        <v>3.49</v>
      </c>
      <c r="N2826" s="1">
        <v>0.62385999999999997</v>
      </c>
      <c r="O2826" s="3">
        <f>VLOOKUP(D2826,underlying!$D$40:$H$75,5,FALSE)</f>
        <v>-1.25</v>
      </c>
      <c r="P2826" s="4">
        <f t="shared" si="109"/>
        <v>43229</v>
      </c>
      <c r="Q2826" s="7">
        <f>IF(G2826="C",NormalCallSprd(O2826,H2826,M2826,(P2826-A2826)/365), NormalPutSprd(O2826,H2826,M2826,(P2826-A2826)/365))</f>
        <v>6.8819622205041489</v>
      </c>
      <c r="R2826" s="9">
        <f t="shared" si="111"/>
        <v>7.1962220504149244E-2</v>
      </c>
    </row>
    <row r="2827" spans="1:18" x14ac:dyDescent="0.2">
      <c r="A2827" s="2">
        <v>42622</v>
      </c>
      <c r="B2827" s="1" t="s">
        <v>56</v>
      </c>
      <c r="C2827" s="1" t="s">
        <v>57</v>
      </c>
      <c r="D2827" s="2">
        <v>43105</v>
      </c>
      <c r="E2827" s="2">
        <f t="shared" si="110"/>
        <v>43221</v>
      </c>
      <c r="F2827" s="1" t="s">
        <v>58</v>
      </c>
      <c r="G2827" s="1" t="s">
        <v>18</v>
      </c>
      <c r="H2827" s="1">
        <v>-8</v>
      </c>
      <c r="I2827" s="1">
        <v>0.13</v>
      </c>
      <c r="J2827" s="1">
        <v>0</v>
      </c>
      <c r="K2827" s="2">
        <v>43348</v>
      </c>
      <c r="L2827" s="1">
        <v>3716</v>
      </c>
      <c r="M2827" s="1">
        <v>3.49</v>
      </c>
      <c r="N2827" s="1">
        <v>0.64359</v>
      </c>
      <c r="O2827" s="3">
        <f>VLOOKUP(D2827,underlying!$D$40:$H$75,5,FALSE)</f>
        <v>-1.25</v>
      </c>
      <c r="P2827" s="4">
        <f t="shared" si="109"/>
        <v>43229</v>
      </c>
      <c r="Q2827" s="7">
        <f>IF(G2827="C",NormalCallSprd(O2827,H2827,M2827,(P2827-A2827)/365), NormalPutSprd(O2827,H2827,M2827,(P2827-A2827)/365))</f>
        <v>0.13196222050414885</v>
      </c>
      <c r="R2827" s="9">
        <f t="shared" si="111"/>
        <v>1.9622205041488483E-3</v>
      </c>
    </row>
    <row r="2828" spans="1:18" x14ac:dyDescent="0.2">
      <c r="A2828" s="2">
        <v>42622</v>
      </c>
      <c r="B2828" s="1" t="s">
        <v>56</v>
      </c>
      <c r="C2828" s="1" t="s">
        <v>57</v>
      </c>
      <c r="D2828" s="2">
        <v>43105</v>
      </c>
      <c r="E2828" s="2">
        <f t="shared" si="110"/>
        <v>43221</v>
      </c>
      <c r="F2828" s="1" t="s">
        <v>58</v>
      </c>
      <c r="G2828" s="1" t="s">
        <v>16</v>
      </c>
      <c r="H2828" s="1">
        <v>-7</v>
      </c>
      <c r="I2828" s="1">
        <v>5.9</v>
      </c>
      <c r="J2828" s="1">
        <v>-0.01</v>
      </c>
      <c r="K2828" s="2">
        <v>43348</v>
      </c>
      <c r="L2828" s="1">
        <v>3716</v>
      </c>
      <c r="M2828" s="1">
        <v>3.5</v>
      </c>
      <c r="N2828" s="1">
        <v>0.66449999999999998</v>
      </c>
      <c r="O2828" s="3">
        <f>VLOOKUP(D2828,underlying!$D$40:$H$75,5,FALSE)</f>
        <v>-1.25</v>
      </c>
      <c r="P2828" s="4">
        <f t="shared" si="109"/>
        <v>43229</v>
      </c>
      <c r="Q2828" s="7">
        <f>IF(G2828="C",NormalCallSprd(O2828,H2828,M2828,(P2828-A2828)/365), NormalPutSprd(O2828,H2828,M2828,(P2828-A2828)/365))</f>
        <v>5.9671392697041838</v>
      </c>
      <c r="R2828" s="9">
        <f t="shared" si="111"/>
        <v>6.7139269704183491E-2</v>
      </c>
    </row>
    <row r="2829" spans="1:18" x14ac:dyDescent="0.2">
      <c r="A2829" s="2">
        <v>42622</v>
      </c>
      <c r="B2829" s="1" t="s">
        <v>56</v>
      </c>
      <c r="C2829" s="1" t="s">
        <v>57</v>
      </c>
      <c r="D2829" s="2">
        <v>43105</v>
      </c>
      <c r="E2829" s="2">
        <f t="shared" si="110"/>
        <v>43221</v>
      </c>
      <c r="F2829" s="1" t="s">
        <v>58</v>
      </c>
      <c r="G2829" s="1" t="s">
        <v>18</v>
      </c>
      <c r="H2829" s="1">
        <v>-7</v>
      </c>
      <c r="I2829" s="1">
        <v>0.21</v>
      </c>
      <c r="J2829" s="1">
        <v>-0.01</v>
      </c>
      <c r="K2829" s="2">
        <v>43348</v>
      </c>
      <c r="L2829" s="1">
        <v>3716</v>
      </c>
      <c r="M2829" s="1">
        <v>3.5</v>
      </c>
      <c r="N2829" s="1">
        <v>0.68311999999999995</v>
      </c>
      <c r="O2829" s="3">
        <f>VLOOKUP(D2829,underlying!$D$40:$H$75,5,FALSE)</f>
        <v>-1.25</v>
      </c>
      <c r="P2829" s="4">
        <f t="shared" si="109"/>
        <v>43229</v>
      </c>
      <c r="Q2829" s="7">
        <f>IF(G2829="C",NormalCallSprd(O2829,H2829,M2829,(P2829-A2829)/365), NormalPutSprd(O2829,H2829,M2829,(P2829-A2829)/365))</f>
        <v>0.21713926970418362</v>
      </c>
      <c r="R2829" s="9">
        <f t="shared" si="111"/>
        <v>7.1392697041836317E-3</v>
      </c>
    </row>
    <row r="2830" spans="1:18" x14ac:dyDescent="0.2">
      <c r="A2830" s="2">
        <v>42622</v>
      </c>
      <c r="B2830" s="1" t="s">
        <v>56</v>
      </c>
      <c r="C2830" s="1" t="s">
        <v>57</v>
      </c>
      <c r="D2830" s="2">
        <v>43105</v>
      </c>
      <c r="E2830" s="2">
        <f t="shared" si="110"/>
        <v>43221</v>
      </c>
      <c r="F2830" s="1" t="s">
        <v>58</v>
      </c>
      <c r="G2830" s="1" t="s">
        <v>16</v>
      </c>
      <c r="H2830" s="1">
        <v>-6.25</v>
      </c>
      <c r="I2830" s="1">
        <v>5.25</v>
      </c>
      <c r="J2830" s="1">
        <v>0</v>
      </c>
      <c r="K2830" s="2">
        <v>43348</v>
      </c>
      <c r="L2830" s="1">
        <v>3716</v>
      </c>
      <c r="M2830" s="1">
        <v>3.5</v>
      </c>
      <c r="N2830" s="1">
        <v>0.70211000000000001</v>
      </c>
      <c r="O2830" s="3">
        <f>VLOOKUP(D2830,underlying!$D$40:$H$75,5,FALSE)</f>
        <v>-1.25</v>
      </c>
      <c r="P2830" s="4">
        <f t="shared" si="109"/>
        <v>43229</v>
      </c>
      <c r="Q2830" s="7">
        <f>IF(G2830="C",NormalCallSprd(O2830,H2830,M2830,(P2830-A2830)/365), NormalPutSprd(O2830,H2830,M2830,(P2830-A2830)/365))</f>
        <v>5.3049808647099628</v>
      </c>
      <c r="R2830" s="9">
        <f t="shared" si="111"/>
        <v>5.4980864709962773E-2</v>
      </c>
    </row>
    <row r="2831" spans="1:18" x14ac:dyDescent="0.2">
      <c r="A2831" s="2">
        <v>42622</v>
      </c>
      <c r="B2831" s="1" t="s">
        <v>56</v>
      </c>
      <c r="C2831" s="1" t="s">
        <v>57</v>
      </c>
      <c r="D2831" s="2">
        <v>43105</v>
      </c>
      <c r="E2831" s="2">
        <f t="shared" si="110"/>
        <v>43221</v>
      </c>
      <c r="F2831" s="1" t="s">
        <v>58</v>
      </c>
      <c r="G2831" s="1" t="s">
        <v>18</v>
      </c>
      <c r="H2831" s="1">
        <v>-6.25</v>
      </c>
      <c r="I2831" s="1">
        <v>0.3</v>
      </c>
      <c r="J2831" s="1">
        <v>0</v>
      </c>
      <c r="K2831" s="2">
        <v>43348</v>
      </c>
      <c r="L2831" s="1">
        <v>3716</v>
      </c>
      <c r="M2831" s="1">
        <v>3.5</v>
      </c>
      <c r="N2831" s="1">
        <v>0.72053999999999996</v>
      </c>
      <c r="O2831" s="3">
        <f>VLOOKUP(D2831,underlying!$D$40:$H$75,5,FALSE)</f>
        <v>-1.25</v>
      </c>
      <c r="P2831" s="4">
        <f t="shared" si="109"/>
        <v>43229</v>
      </c>
      <c r="Q2831" s="7">
        <f>IF(G2831="C",NormalCallSprd(O2831,H2831,M2831,(P2831-A2831)/365), NormalPutSprd(O2831,H2831,M2831,(P2831-A2831)/365))</f>
        <v>0.30498086470996261</v>
      </c>
      <c r="R2831" s="9">
        <f t="shared" si="111"/>
        <v>4.980864709962618E-3</v>
      </c>
    </row>
    <row r="2832" spans="1:18" x14ac:dyDescent="0.2">
      <c r="A2832" s="2">
        <v>42622</v>
      </c>
      <c r="B2832" s="1" t="s">
        <v>56</v>
      </c>
      <c r="C2832" s="1" t="s">
        <v>57</v>
      </c>
      <c r="D2832" s="2">
        <v>43105</v>
      </c>
      <c r="E2832" s="2">
        <f t="shared" si="110"/>
        <v>43221</v>
      </c>
      <c r="F2832" s="1" t="s">
        <v>58</v>
      </c>
      <c r="G2832" s="1" t="s">
        <v>16</v>
      </c>
      <c r="H2832" s="1">
        <v>-6</v>
      </c>
      <c r="I2832" s="1">
        <v>5.04</v>
      </c>
      <c r="J2832" s="1">
        <v>0</v>
      </c>
      <c r="K2832" s="2">
        <v>43348</v>
      </c>
      <c r="L2832" s="1">
        <v>3716</v>
      </c>
      <c r="M2832" s="1">
        <v>3.5</v>
      </c>
      <c r="N2832" s="1">
        <v>0.73834999999999995</v>
      </c>
      <c r="O2832" s="3">
        <f>VLOOKUP(D2832,underlying!$D$40:$H$75,5,FALSE)</f>
        <v>-1.25</v>
      </c>
      <c r="P2832" s="4">
        <f t="shared" si="109"/>
        <v>43229</v>
      </c>
      <c r="Q2832" s="7">
        <f>IF(G2832="C",NormalCallSprd(O2832,H2832,M2832,(P2832-A2832)/365), NormalPutSprd(O2832,H2832,M2832,(P2832-A2832)/365))</f>
        <v>5.0900014894543668</v>
      </c>
      <c r="R2832" s="9">
        <f t="shared" si="111"/>
        <v>5.0001489454366776E-2</v>
      </c>
    </row>
    <row r="2833" spans="1:18" x14ac:dyDescent="0.2">
      <c r="A2833" s="2">
        <v>42622</v>
      </c>
      <c r="B2833" s="1" t="s">
        <v>56</v>
      </c>
      <c r="C2833" s="1" t="s">
        <v>57</v>
      </c>
      <c r="D2833" s="2">
        <v>43105</v>
      </c>
      <c r="E2833" s="2">
        <f t="shared" si="110"/>
        <v>43221</v>
      </c>
      <c r="F2833" s="1" t="s">
        <v>58</v>
      </c>
      <c r="G2833" s="1" t="s">
        <v>18</v>
      </c>
      <c r="H2833" s="1">
        <v>-6</v>
      </c>
      <c r="I2833" s="1">
        <v>0.34</v>
      </c>
      <c r="J2833" s="1">
        <v>0</v>
      </c>
      <c r="K2833" s="2">
        <v>43348</v>
      </c>
      <c r="L2833" s="1">
        <v>3716</v>
      </c>
      <c r="M2833" s="1">
        <v>3.5</v>
      </c>
      <c r="N2833" s="1">
        <v>0.75553000000000003</v>
      </c>
      <c r="O2833" s="3">
        <f>VLOOKUP(D2833,underlying!$D$40:$H$75,5,FALSE)</f>
        <v>-1.25</v>
      </c>
      <c r="P2833" s="4">
        <f t="shared" si="109"/>
        <v>43229</v>
      </c>
      <c r="Q2833" s="7">
        <f>IF(G2833="C",NormalCallSprd(O2833,H2833,M2833,(P2833-A2833)/365), NormalPutSprd(O2833,H2833,M2833,(P2833-A2833)/365))</f>
        <v>0.34000148945436687</v>
      </c>
      <c r="R2833" s="9">
        <f t="shared" si="111"/>
        <v>1.4894543668431126E-6</v>
      </c>
    </row>
    <row r="2834" spans="1:18" x14ac:dyDescent="0.2">
      <c r="A2834" s="2">
        <v>42622</v>
      </c>
      <c r="B2834" s="1" t="s">
        <v>56</v>
      </c>
      <c r="C2834" s="1" t="s">
        <v>57</v>
      </c>
      <c r="D2834" s="2">
        <v>43105</v>
      </c>
      <c r="E2834" s="2">
        <f t="shared" si="110"/>
        <v>43221</v>
      </c>
      <c r="F2834" s="1" t="s">
        <v>58</v>
      </c>
      <c r="G2834" s="1" t="s">
        <v>16</v>
      </c>
      <c r="H2834" s="1">
        <v>-5.75</v>
      </c>
      <c r="I2834" s="1">
        <v>4.83</v>
      </c>
      <c r="J2834" s="1">
        <v>0</v>
      </c>
      <c r="K2834" s="2">
        <v>43348</v>
      </c>
      <c r="L2834" s="1">
        <v>3716</v>
      </c>
      <c r="M2834" s="1">
        <v>3.5</v>
      </c>
      <c r="N2834" s="1">
        <v>0.77203999999999995</v>
      </c>
      <c r="O2834" s="3">
        <f>VLOOKUP(D2834,underlying!$D$40:$H$75,5,FALSE)</f>
        <v>-1.25</v>
      </c>
      <c r="P2834" s="4">
        <f t="shared" si="109"/>
        <v>43229</v>
      </c>
      <c r="Q2834" s="7">
        <f>IF(G2834="C",NormalCallSprd(O2834,H2834,M2834,(P2834-A2834)/365), NormalPutSprd(O2834,H2834,M2834,(P2834-A2834)/365))</f>
        <v>4.8781974456233774</v>
      </c>
      <c r="R2834" s="9">
        <f t="shared" si="111"/>
        <v>4.8197445623377355E-2</v>
      </c>
    </row>
    <row r="2835" spans="1:18" x14ac:dyDescent="0.2">
      <c r="A2835" s="2">
        <v>42622</v>
      </c>
      <c r="B2835" s="1" t="s">
        <v>56</v>
      </c>
      <c r="C2835" s="1" t="s">
        <v>57</v>
      </c>
      <c r="D2835" s="2">
        <v>43105</v>
      </c>
      <c r="E2835" s="2">
        <f t="shared" si="110"/>
        <v>43221</v>
      </c>
      <c r="F2835" s="1" t="s">
        <v>58</v>
      </c>
      <c r="G2835" s="1" t="s">
        <v>18</v>
      </c>
      <c r="H2835" s="1">
        <v>-5.75</v>
      </c>
      <c r="I2835" s="1">
        <v>0.37</v>
      </c>
      <c r="J2835" s="1">
        <v>-0.01</v>
      </c>
      <c r="K2835" s="2">
        <v>43348</v>
      </c>
      <c r="L2835" s="1">
        <v>3716</v>
      </c>
      <c r="M2835" s="1">
        <v>3.5</v>
      </c>
      <c r="N2835" s="1">
        <v>0.78852</v>
      </c>
      <c r="O2835" s="3">
        <f>VLOOKUP(D2835,underlying!$D$40:$H$75,5,FALSE)</f>
        <v>-1.25</v>
      </c>
      <c r="P2835" s="4">
        <f t="shared" si="109"/>
        <v>43229</v>
      </c>
      <c r="Q2835" s="7">
        <f>IF(G2835="C",NormalCallSprd(O2835,H2835,M2835,(P2835-A2835)/365), NormalPutSprd(O2835,H2835,M2835,(P2835-A2835)/365))</f>
        <v>0.37819744562337709</v>
      </c>
      <c r="R2835" s="9">
        <f t="shared" si="111"/>
        <v>8.1974456233770976E-3</v>
      </c>
    </row>
    <row r="2836" spans="1:18" x14ac:dyDescent="0.2">
      <c r="A2836" s="2">
        <v>42622</v>
      </c>
      <c r="B2836" s="1" t="s">
        <v>56</v>
      </c>
      <c r="C2836" s="1" t="s">
        <v>57</v>
      </c>
      <c r="D2836" s="2">
        <v>43105</v>
      </c>
      <c r="E2836" s="2">
        <f t="shared" si="110"/>
        <v>43221</v>
      </c>
      <c r="F2836" s="1" t="s">
        <v>58</v>
      </c>
      <c r="G2836" s="1" t="s">
        <v>16</v>
      </c>
      <c r="H2836" s="1">
        <v>-5.5</v>
      </c>
      <c r="I2836" s="1">
        <v>4.62</v>
      </c>
      <c r="J2836" s="1">
        <v>0</v>
      </c>
      <c r="K2836" s="2">
        <v>43348</v>
      </c>
      <c r="L2836" s="1">
        <v>3716</v>
      </c>
      <c r="M2836" s="1">
        <v>3.5</v>
      </c>
      <c r="N2836" s="1">
        <v>0.80364000000000002</v>
      </c>
      <c r="O2836" s="3">
        <f>VLOOKUP(D2836,underlying!$D$40:$H$75,5,FALSE)</f>
        <v>-1.25</v>
      </c>
      <c r="P2836" s="4">
        <f t="shared" si="109"/>
        <v>43229</v>
      </c>
      <c r="Q2836" s="7">
        <f>IF(G2836="C",NormalCallSprd(O2836,H2836,M2836,(P2836-A2836)/365), NormalPutSprd(O2836,H2836,M2836,(P2836-A2836)/365))</f>
        <v>4.6697540707723393</v>
      </c>
      <c r="R2836" s="9">
        <f t="shared" si="111"/>
        <v>4.9754070772339176E-2</v>
      </c>
    </row>
    <row r="2837" spans="1:18" x14ac:dyDescent="0.2">
      <c r="A2837" s="2">
        <v>42622</v>
      </c>
      <c r="B2837" s="1" t="s">
        <v>56</v>
      </c>
      <c r="C2837" s="1" t="s">
        <v>57</v>
      </c>
      <c r="D2837" s="2">
        <v>43105</v>
      </c>
      <c r="E2837" s="2">
        <f t="shared" si="110"/>
        <v>43221</v>
      </c>
      <c r="F2837" s="1" t="s">
        <v>58</v>
      </c>
      <c r="G2837" s="1" t="s">
        <v>18</v>
      </c>
      <c r="H2837" s="1">
        <v>-5.5</v>
      </c>
      <c r="I2837" s="1">
        <v>0.42</v>
      </c>
      <c r="J2837" s="1">
        <v>0</v>
      </c>
      <c r="K2837" s="2">
        <v>43348</v>
      </c>
      <c r="L2837" s="1">
        <v>3716</v>
      </c>
      <c r="M2837" s="1">
        <v>3.5</v>
      </c>
      <c r="N2837" s="1">
        <v>0.81803999999999999</v>
      </c>
      <c r="O2837" s="3">
        <f>VLOOKUP(D2837,underlying!$D$40:$H$75,5,FALSE)</f>
        <v>-1.25</v>
      </c>
      <c r="P2837" s="4">
        <f t="shared" si="109"/>
        <v>43229</v>
      </c>
      <c r="Q2837" s="7">
        <f>IF(G2837="C",NormalCallSprd(O2837,H2837,M2837,(P2837-A2837)/365), NormalPutSprd(O2837,H2837,M2837,(P2837-A2837)/365))</f>
        <v>0.41975407077233978</v>
      </c>
      <c r="R2837" s="9">
        <f t="shared" si="111"/>
        <v>2.4592922766020209E-4</v>
      </c>
    </row>
    <row r="2838" spans="1:18" x14ac:dyDescent="0.2">
      <c r="A2838" s="2">
        <v>42622</v>
      </c>
      <c r="B2838" s="1" t="s">
        <v>56</v>
      </c>
      <c r="C2838" s="1" t="s">
        <v>57</v>
      </c>
      <c r="D2838" s="2">
        <v>43105</v>
      </c>
      <c r="E2838" s="2">
        <f t="shared" si="110"/>
        <v>43221</v>
      </c>
      <c r="F2838" s="1" t="s">
        <v>58</v>
      </c>
      <c r="G2838" s="1" t="s">
        <v>16</v>
      </c>
      <c r="H2838" s="1">
        <v>-5.25</v>
      </c>
      <c r="I2838" s="1">
        <v>4.42</v>
      </c>
      <c r="J2838" s="1">
        <v>0</v>
      </c>
      <c r="K2838" s="2">
        <v>43348</v>
      </c>
      <c r="L2838" s="1">
        <v>3716</v>
      </c>
      <c r="M2838" s="1">
        <v>3.5</v>
      </c>
      <c r="N2838" s="1">
        <v>0.83170999999999995</v>
      </c>
      <c r="O2838" s="3">
        <f>VLOOKUP(D2838,underlying!$D$40:$H$75,5,FALSE)</f>
        <v>-1.25</v>
      </c>
      <c r="P2838" s="4">
        <f t="shared" si="109"/>
        <v>43229</v>
      </c>
      <c r="Q2838" s="7">
        <f>IF(G2838="C",NormalCallSprd(O2838,H2838,M2838,(P2838-A2838)/365), NormalPutSprd(O2838,H2838,M2838,(P2838-A2838)/365))</f>
        <v>4.4648566303548511</v>
      </c>
      <c r="R2838" s="9">
        <f t="shared" si="111"/>
        <v>4.4856630354851212E-2</v>
      </c>
    </row>
    <row r="2839" spans="1:18" x14ac:dyDescent="0.2">
      <c r="A2839" s="2">
        <v>42622</v>
      </c>
      <c r="B2839" s="1" t="s">
        <v>56</v>
      </c>
      <c r="C2839" s="1" t="s">
        <v>57</v>
      </c>
      <c r="D2839" s="2">
        <v>43105</v>
      </c>
      <c r="E2839" s="2">
        <f t="shared" si="110"/>
        <v>43221</v>
      </c>
      <c r="F2839" s="1" t="s">
        <v>58</v>
      </c>
      <c r="G2839" s="1" t="s">
        <v>18</v>
      </c>
      <c r="H2839" s="1">
        <v>-5.25</v>
      </c>
      <c r="I2839" s="1">
        <v>0.46</v>
      </c>
      <c r="J2839" s="1">
        <v>0</v>
      </c>
      <c r="K2839" s="2">
        <v>43348</v>
      </c>
      <c r="L2839" s="1">
        <v>3716</v>
      </c>
      <c r="M2839" s="1">
        <v>3.5</v>
      </c>
      <c r="N2839" s="1">
        <v>0.84463999999999995</v>
      </c>
      <c r="O2839" s="3">
        <f>VLOOKUP(D2839,underlying!$D$40:$H$75,5,FALSE)</f>
        <v>-1.25</v>
      </c>
      <c r="P2839" s="4">
        <f t="shared" si="109"/>
        <v>43229</v>
      </c>
      <c r="Q2839" s="7">
        <f>IF(G2839="C",NormalCallSprd(O2839,H2839,M2839,(P2839-A2839)/365), NormalPutSprd(O2839,H2839,M2839,(P2839-A2839)/365))</f>
        <v>0.46485663035485097</v>
      </c>
      <c r="R2839" s="9">
        <f t="shared" si="111"/>
        <v>4.8566303548509548E-3</v>
      </c>
    </row>
    <row r="2840" spans="1:18" x14ac:dyDescent="0.2">
      <c r="A2840" s="2">
        <v>42622</v>
      </c>
      <c r="B2840" s="1" t="s">
        <v>56</v>
      </c>
      <c r="C2840" s="1" t="s">
        <v>57</v>
      </c>
      <c r="D2840" s="2">
        <v>43105</v>
      </c>
      <c r="E2840" s="2">
        <f t="shared" si="110"/>
        <v>43221</v>
      </c>
      <c r="F2840" s="1" t="s">
        <v>58</v>
      </c>
      <c r="G2840" s="1" t="s">
        <v>16</v>
      </c>
      <c r="H2840" s="1">
        <v>-5</v>
      </c>
      <c r="I2840" s="1">
        <v>4.22</v>
      </c>
      <c r="J2840" s="1">
        <v>0</v>
      </c>
      <c r="K2840" s="2">
        <v>43348</v>
      </c>
      <c r="L2840" s="1">
        <v>3716</v>
      </c>
      <c r="M2840" s="1">
        <v>3.5</v>
      </c>
      <c r="N2840" s="1">
        <v>0.85684000000000005</v>
      </c>
      <c r="O2840" s="3">
        <f>VLOOKUP(D2840,underlying!$D$40:$H$75,5,FALSE)</f>
        <v>-1.25</v>
      </c>
      <c r="P2840" s="4">
        <f t="shared" si="109"/>
        <v>43229</v>
      </c>
      <c r="Q2840" s="7">
        <f>IF(G2840="C",NormalCallSprd(O2840,H2840,M2840,(P2840-A2840)/365), NormalPutSprd(O2840,H2840,M2840,(P2840-A2840)/365))</f>
        <v>4.2636891480297114</v>
      </c>
      <c r="R2840" s="9">
        <f t="shared" si="111"/>
        <v>4.3689148029711689E-2</v>
      </c>
    </row>
    <row r="2841" spans="1:18" x14ac:dyDescent="0.2">
      <c r="A2841" s="2">
        <v>42622</v>
      </c>
      <c r="B2841" s="1" t="s">
        <v>56</v>
      </c>
      <c r="C2841" s="1" t="s">
        <v>57</v>
      </c>
      <c r="D2841" s="2">
        <v>43105</v>
      </c>
      <c r="E2841" s="2">
        <f t="shared" si="110"/>
        <v>43221</v>
      </c>
      <c r="F2841" s="1" t="s">
        <v>58</v>
      </c>
      <c r="G2841" s="1" t="s">
        <v>18</v>
      </c>
      <c r="H2841" s="1">
        <v>-5</v>
      </c>
      <c r="I2841" s="1">
        <v>0.51</v>
      </c>
      <c r="J2841" s="1">
        <v>0</v>
      </c>
      <c r="K2841" s="2">
        <v>43348</v>
      </c>
      <c r="L2841" s="1">
        <v>3716</v>
      </c>
      <c r="M2841" s="1">
        <v>3.5</v>
      </c>
      <c r="N2841" s="1">
        <v>0.88912999999999998</v>
      </c>
      <c r="O2841" s="3">
        <f>VLOOKUP(D2841,underlying!$D$40:$H$75,5,FALSE)</f>
        <v>-1.25</v>
      </c>
      <c r="P2841" s="4">
        <f t="shared" si="109"/>
        <v>43229</v>
      </c>
      <c r="Q2841" s="7">
        <f>IF(G2841="C",NormalCallSprd(O2841,H2841,M2841,(P2841-A2841)/365), NormalPutSprd(O2841,H2841,M2841,(P2841-A2841)/365))</f>
        <v>0.51368914802971122</v>
      </c>
      <c r="R2841" s="9">
        <f t="shared" si="111"/>
        <v>3.6891480297112089E-3</v>
      </c>
    </row>
    <row r="2842" spans="1:18" x14ac:dyDescent="0.2">
      <c r="A2842" s="2">
        <v>42622</v>
      </c>
      <c r="B2842" s="1" t="s">
        <v>56</v>
      </c>
      <c r="C2842" s="1" t="s">
        <v>57</v>
      </c>
      <c r="D2842" s="2">
        <v>43105</v>
      </c>
      <c r="E2842" s="2">
        <f t="shared" si="110"/>
        <v>43221</v>
      </c>
      <c r="F2842" s="1" t="s">
        <v>58</v>
      </c>
      <c r="G2842" s="1" t="s">
        <v>16</v>
      </c>
      <c r="H2842" s="1">
        <v>-4.75</v>
      </c>
      <c r="I2842" s="1">
        <v>4.03</v>
      </c>
      <c r="J2842" s="1">
        <v>0</v>
      </c>
      <c r="K2842" s="2">
        <v>43348</v>
      </c>
      <c r="L2842" s="1">
        <v>3716</v>
      </c>
      <c r="M2842" s="1">
        <v>3.51</v>
      </c>
      <c r="N2842" s="1">
        <v>0.92327000000000004</v>
      </c>
      <c r="O2842" s="3">
        <f>VLOOKUP(D2842,underlying!$D$40:$H$75,5,FALSE)</f>
        <v>-1.25</v>
      </c>
      <c r="P2842" s="4">
        <f t="shared" si="109"/>
        <v>43229</v>
      </c>
      <c r="Q2842" s="7">
        <f>IF(G2842="C",NormalCallSprd(O2842,H2842,M2842,(P2842-A2842)/365), NormalPutSprd(O2842,H2842,M2842,(P2842-A2842)/365))</f>
        <v>4.0702452080577087</v>
      </c>
      <c r="R2842" s="9">
        <f t="shared" si="111"/>
        <v>4.0245208057708481E-2</v>
      </c>
    </row>
    <row r="2843" spans="1:18" x14ac:dyDescent="0.2">
      <c r="A2843" s="2">
        <v>42622</v>
      </c>
      <c r="B2843" s="1" t="s">
        <v>56</v>
      </c>
      <c r="C2843" s="1" t="s">
        <v>57</v>
      </c>
      <c r="D2843" s="2">
        <v>43105</v>
      </c>
      <c r="E2843" s="2">
        <f t="shared" si="110"/>
        <v>43221</v>
      </c>
      <c r="F2843" s="1" t="s">
        <v>58</v>
      </c>
      <c r="G2843" s="1" t="s">
        <v>18</v>
      </c>
      <c r="H2843" s="1">
        <v>-4.75</v>
      </c>
      <c r="I2843" s="1">
        <v>0.56000000000000005</v>
      </c>
      <c r="J2843" s="1">
        <v>-0.01</v>
      </c>
      <c r="K2843" s="2">
        <v>43348</v>
      </c>
      <c r="L2843" s="1">
        <v>3716</v>
      </c>
      <c r="M2843" s="1">
        <v>3.51</v>
      </c>
      <c r="N2843" s="1">
        <v>0.94730999999999999</v>
      </c>
      <c r="O2843" s="3">
        <f>VLOOKUP(D2843,underlying!$D$40:$H$75,5,FALSE)</f>
        <v>-1.25</v>
      </c>
      <c r="P2843" s="4">
        <f t="shared" si="109"/>
        <v>43229</v>
      </c>
      <c r="Q2843" s="7">
        <f>IF(G2843="C",NormalCallSprd(O2843,H2843,M2843,(P2843-A2843)/365), NormalPutSprd(O2843,H2843,M2843,(P2843-A2843)/365))</f>
        <v>0.57024520805770884</v>
      </c>
      <c r="R2843" s="9">
        <f t="shared" si="111"/>
        <v>1.0245208057708788E-2</v>
      </c>
    </row>
    <row r="2844" spans="1:18" x14ac:dyDescent="0.2">
      <c r="A2844" s="2">
        <v>42622</v>
      </c>
      <c r="B2844" s="1" t="s">
        <v>56</v>
      </c>
      <c r="C2844" s="1" t="s">
        <v>57</v>
      </c>
      <c r="D2844" s="2">
        <v>43105</v>
      </c>
      <c r="E2844" s="2">
        <f t="shared" si="110"/>
        <v>43221</v>
      </c>
      <c r="F2844" s="1" t="s">
        <v>58</v>
      </c>
      <c r="G2844" s="1" t="s">
        <v>16</v>
      </c>
      <c r="H2844" s="1">
        <v>-4.5</v>
      </c>
      <c r="I2844" s="1">
        <v>3.84</v>
      </c>
      <c r="J2844" s="1">
        <v>0</v>
      </c>
      <c r="K2844" s="2">
        <v>43348</v>
      </c>
      <c r="L2844" s="1">
        <v>3716</v>
      </c>
      <c r="M2844" s="1">
        <v>3.51</v>
      </c>
      <c r="N2844" s="1">
        <v>-0.58169000000000004</v>
      </c>
      <c r="O2844" s="3">
        <f>VLOOKUP(D2844,underlying!$D$40:$H$75,5,FALSE)</f>
        <v>-1.25</v>
      </c>
      <c r="P2844" s="4">
        <f t="shared" si="109"/>
        <v>43229</v>
      </c>
      <c r="Q2844" s="7">
        <f>IF(G2844="C",NormalCallSprd(O2844,H2844,M2844,(P2844-A2844)/365), NormalPutSprd(O2844,H2844,M2844,(P2844-A2844)/365))</f>
        <v>3.8772393348807483</v>
      </c>
      <c r="R2844" s="9">
        <f t="shared" si="111"/>
        <v>3.7239334880748487E-2</v>
      </c>
    </row>
    <row r="2845" spans="1:18" x14ac:dyDescent="0.2">
      <c r="A2845" s="2">
        <v>42622</v>
      </c>
      <c r="B2845" s="1" t="s">
        <v>56</v>
      </c>
      <c r="C2845" s="1" t="s">
        <v>57</v>
      </c>
      <c r="D2845" s="2">
        <v>43105</v>
      </c>
      <c r="E2845" s="2">
        <f t="shared" si="110"/>
        <v>43221</v>
      </c>
      <c r="F2845" s="1" t="s">
        <v>58</v>
      </c>
      <c r="G2845" s="1" t="s">
        <v>18</v>
      </c>
      <c r="H2845" s="1">
        <v>-4.5</v>
      </c>
      <c r="I2845" s="1">
        <v>0.62</v>
      </c>
      <c r="J2845" s="1">
        <v>0</v>
      </c>
      <c r="K2845" s="2">
        <v>43348</v>
      </c>
      <c r="L2845" s="1">
        <v>3716</v>
      </c>
      <c r="M2845" s="1">
        <v>3.51</v>
      </c>
      <c r="N2845" s="1">
        <v>-0.55998999999999999</v>
      </c>
      <c r="O2845" s="3">
        <f>VLOOKUP(D2845,underlying!$D$40:$H$75,5,FALSE)</f>
        <v>-1.25</v>
      </c>
      <c r="P2845" s="4">
        <f t="shared" si="109"/>
        <v>43229</v>
      </c>
      <c r="Q2845" s="7">
        <f>IF(G2845="C",NormalCallSprd(O2845,H2845,M2845,(P2845-A2845)/365), NormalPutSprd(O2845,H2845,M2845,(P2845-A2845)/365))</f>
        <v>0.62723933488074846</v>
      </c>
      <c r="R2845" s="9">
        <f t="shared" si="111"/>
        <v>7.2393348807484603E-3</v>
      </c>
    </row>
    <row r="2846" spans="1:18" x14ac:dyDescent="0.2">
      <c r="A2846" s="2">
        <v>42622</v>
      </c>
      <c r="B2846" s="1" t="s">
        <v>56</v>
      </c>
      <c r="C2846" s="1" t="s">
        <v>57</v>
      </c>
      <c r="D2846" s="2">
        <v>43105</v>
      </c>
      <c r="E2846" s="2">
        <f t="shared" si="110"/>
        <v>43221</v>
      </c>
      <c r="F2846" s="1" t="s">
        <v>58</v>
      </c>
      <c r="G2846" s="1" t="s">
        <v>16</v>
      </c>
      <c r="H2846" s="1">
        <v>-4.25</v>
      </c>
      <c r="I2846" s="1">
        <v>3.65</v>
      </c>
      <c r="J2846" s="1">
        <v>0</v>
      </c>
      <c r="K2846" s="2">
        <v>43348</v>
      </c>
      <c r="L2846" s="1">
        <v>3716</v>
      </c>
      <c r="M2846" s="1">
        <v>3.51</v>
      </c>
      <c r="N2846" s="1">
        <v>-0.53834000000000004</v>
      </c>
      <c r="O2846" s="3">
        <f>VLOOKUP(D2846,underlying!$D$40:$H$75,5,FALSE)</f>
        <v>-1.25</v>
      </c>
      <c r="P2846" s="4">
        <f t="shared" si="109"/>
        <v>43229</v>
      </c>
      <c r="Q2846" s="7">
        <f>IF(G2846="C",NormalCallSprd(O2846,H2846,M2846,(P2846-A2846)/365), NormalPutSprd(O2846,H2846,M2846,(P2846-A2846)/365))</f>
        <v>3.6884897883343881</v>
      </c>
      <c r="R2846" s="9">
        <f t="shared" si="111"/>
        <v>3.8489788334388209E-2</v>
      </c>
    </row>
    <row r="2847" spans="1:18" x14ac:dyDescent="0.2">
      <c r="A2847" s="2">
        <v>42622</v>
      </c>
      <c r="B2847" s="1" t="s">
        <v>56</v>
      </c>
      <c r="C2847" s="1" t="s">
        <v>57</v>
      </c>
      <c r="D2847" s="2">
        <v>43105</v>
      </c>
      <c r="E2847" s="2">
        <f t="shared" si="110"/>
        <v>43221</v>
      </c>
      <c r="F2847" s="1" t="s">
        <v>58</v>
      </c>
      <c r="G2847" s="1" t="s">
        <v>18</v>
      </c>
      <c r="H2847" s="1">
        <v>-4.25</v>
      </c>
      <c r="I2847" s="1">
        <v>0.68</v>
      </c>
      <c r="J2847" s="1">
        <v>0</v>
      </c>
      <c r="K2847" s="2">
        <v>43348</v>
      </c>
      <c r="L2847" s="1">
        <v>3716</v>
      </c>
      <c r="M2847" s="1">
        <v>3.51</v>
      </c>
      <c r="N2847" s="1">
        <v>-0.51649</v>
      </c>
      <c r="O2847" s="3">
        <f>VLOOKUP(D2847,underlying!$D$40:$H$75,5,FALSE)</f>
        <v>-1.25</v>
      </c>
      <c r="P2847" s="4">
        <f t="shared" si="109"/>
        <v>43229</v>
      </c>
      <c r="Q2847" s="7">
        <f>IF(G2847="C",NormalCallSprd(O2847,H2847,M2847,(P2847-A2847)/365), NormalPutSprd(O2847,H2847,M2847,(P2847-A2847)/365))</f>
        <v>0.68848978833438801</v>
      </c>
      <c r="R2847" s="9">
        <f t="shared" si="111"/>
        <v>8.4897883343879599E-3</v>
      </c>
    </row>
    <row r="2848" spans="1:18" x14ac:dyDescent="0.2">
      <c r="A2848" s="2">
        <v>42622</v>
      </c>
      <c r="B2848" s="1" t="s">
        <v>56</v>
      </c>
      <c r="C2848" s="1" t="s">
        <v>57</v>
      </c>
      <c r="D2848" s="2">
        <v>43105</v>
      </c>
      <c r="E2848" s="2">
        <f t="shared" si="110"/>
        <v>43221</v>
      </c>
      <c r="F2848" s="1" t="s">
        <v>58</v>
      </c>
      <c r="G2848" s="1" t="s">
        <v>16</v>
      </c>
      <c r="H2848" s="1">
        <v>-4</v>
      </c>
      <c r="I2848" s="1">
        <v>3.47</v>
      </c>
      <c r="J2848" s="1">
        <v>0</v>
      </c>
      <c r="K2848" s="2">
        <v>43348</v>
      </c>
      <c r="L2848" s="1">
        <v>3716</v>
      </c>
      <c r="M2848" s="1">
        <v>3.51</v>
      </c>
      <c r="N2848" s="1">
        <v>-0.49469999999999997</v>
      </c>
      <c r="O2848" s="3">
        <f>VLOOKUP(D2848,underlying!$D$40:$H$75,5,FALSE)</f>
        <v>-1.25</v>
      </c>
      <c r="P2848" s="4">
        <f t="shared" si="109"/>
        <v>43229</v>
      </c>
      <c r="Q2848" s="7">
        <f>IF(G2848="C",NormalCallSprd(O2848,H2848,M2848,(P2848-A2848)/365), NormalPutSprd(O2848,H2848,M2848,(P2848-A2848)/365))</f>
        <v>3.5041619154095569</v>
      </c>
      <c r="R2848" s="9">
        <f t="shared" si="111"/>
        <v>3.4161915409556709E-2</v>
      </c>
    </row>
    <row r="2849" spans="1:18" x14ac:dyDescent="0.2">
      <c r="A2849" s="2">
        <v>42622</v>
      </c>
      <c r="B2849" s="1" t="s">
        <v>56</v>
      </c>
      <c r="C2849" s="1" t="s">
        <v>57</v>
      </c>
      <c r="D2849" s="2">
        <v>43105</v>
      </c>
      <c r="E2849" s="2">
        <f t="shared" si="110"/>
        <v>43221</v>
      </c>
      <c r="F2849" s="1" t="s">
        <v>58</v>
      </c>
      <c r="G2849" s="1" t="s">
        <v>18</v>
      </c>
      <c r="H2849" s="1">
        <v>-4</v>
      </c>
      <c r="I2849" s="1">
        <v>0.75</v>
      </c>
      <c r="J2849" s="1">
        <v>0</v>
      </c>
      <c r="K2849" s="2">
        <v>43348</v>
      </c>
      <c r="L2849" s="1">
        <v>3716</v>
      </c>
      <c r="M2849" s="1">
        <v>3.51</v>
      </c>
      <c r="N2849" s="1">
        <v>-0.47291</v>
      </c>
      <c r="O2849" s="3">
        <f>VLOOKUP(D2849,underlying!$D$40:$H$75,5,FALSE)</f>
        <v>-1.25</v>
      </c>
      <c r="P2849" s="4">
        <f t="shared" si="109"/>
        <v>43229</v>
      </c>
      <c r="Q2849" s="7">
        <f>IF(G2849="C",NormalCallSprd(O2849,H2849,M2849,(P2849-A2849)/365), NormalPutSprd(O2849,H2849,M2849,(P2849-A2849)/365))</f>
        <v>0.7541619154095569</v>
      </c>
      <c r="R2849" s="9">
        <f t="shared" si="111"/>
        <v>4.1619154095569044E-3</v>
      </c>
    </row>
    <row r="2850" spans="1:18" x14ac:dyDescent="0.2">
      <c r="A2850" s="2">
        <v>42622</v>
      </c>
      <c r="B2850" s="1" t="s">
        <v>56</v>
      </c>
      <c r="C2850" s="1" t="s">
        <v>57</v>
      </c>
      <c r="D2850" s="2">
        <v>43105</v>
      </c>
      <c r="E2850" s="2">
        <f t="shared" si="110"/>
        <v>43221</v>
      </c>
      <c r="F2850" s="1" t="s">
        <v>58</v>
      </c>
      <c r="G2850" s="1" t="s">
        <v>16</v>
      </c>
      <c r="H2850" s="1">
        <v>-3.75</v>
      </c>
      <c r="I2850" s="1">
        <v>3.29</v>
      </c>
      <c r="J2850" s="1">
        <v>0</v>
      </c>
      <c r="K2850" s="2">
        <v>43348</v>
      </c>
      <c r="L2850" s="1">
        <v>3716</v>
      </c>
      <c r="M2850" s="1">
        <v>3.51</v>
      </c>
      <c r="N2850" s="1">
        <v>-0.45106000000000002</v>
      </c>
      <c r="O2850" s="3">
        <f>VLOOKUP(D2850,underlying!$D$40:$H$75,5,FALSE)</f>
        <v>-1.25</v>
      </c>
      <c r="P2850" s="4">
        <f t="shared" si="109"/>
        <v>43229</v>
      </c>
      <c r="Q2850" s="7">
        <f>IF(G2850="C",NormalCallSprd(O2850,H2850,M2850,(P2850-A2850)/365), NormalPutSprd(O2850,H2850,M2850,(P2850-A2850)/365))</f>
        <v>3.3244135025725972</v>
      </c>
      <c r="R2850" s="9">
        <f t="shared" si="111"/>
        <v>3.4413502572597121E-2</v>
      </c>
    </row>
    <row r="2851" spans="1:18" x14ac:dyDescent="0.2">
      <c r="A2851" s="2">
        <v>42622</v>
      </c>
      <c r="B2851" s="1" t="s">
        <v>56</v>
      </c>
      <c r="C2851" s="1" t="s">
        <v>57</v>
      </c>
      <c r="D2851" s="2">
        <v>43105</v>
      </c>
      <c r="E2851" s="2">
        <f t="shared" si="110"/>
        <v>43221</v>
      </c>
      <c r="F2851" s="1" t="s">
        <v>58</v>
      </c>
      <c r="G2851" s="1" t="s">
        <v>18</v>
      </c>
      <c r="H2851" s="1">
        <v>-3.75</v>
      </c>
      <c r="I2851" s="1">
        <v>0.82</v>
      </c>
      <c r="J2851" s="1">
        <v>0</v>
      </c>
      <c r="K2851" s="2">
        <v>43348</v>
      </c>
      <c r="L2851" s="1">
        <v>3716</v>
      </c>
      <c r="M2851" s="1">
        <v>3.51</v>
      </c>
      <c r="N2851" s="1">
        <v>-0.42941000000000001</v>
      </c>
      <c r="O2851" s="3">
        <f>VLOOKUP(D2851,underlying!$D$40:$H$75,5,FALSE)</f>
        <v>-1.25</v>
      </c>
      <c r="P2851" s="4">
        <f t="shared" si="109"/>
        <v>43229</v>
      </c>
      <c r="Q2851" s="7">
        <f>IF(G2851="C",NormalCallSprd(O2851,H2851,M2851,(P2851-A2851)/365), NormalPutSprd(O2851,H2851,M2851,(P2851-A2851)/365))</f>
        <v>0.82441350257259738</v>
      </c>
      <c r="R2851" s="9">
        <f t="shared" si="111"/>
        <v>4.4135025725974275E-3</v>
      </c>
    </row>
    <row r="2852" spans="1:18" x14ac:dyDescent="0.2">
      <c r="A2852" s="2">
        <v>42622</v>
      </c>
      <c r="B2852" s="1" t="s">
        <v>56</v>
      </c>
      <c r="C2852" s="1" t="s">
        <v>57</v>
      </c>
      <c r="D2852" s="2">
        <v>43105</v>
      </c>
      <c r="E2852" s="2">
        <f t="shared" si="110"/>
        <v>43221</v>
      </c>
      <c r="F2852" s="1" t="s">
        <v>58</v>
      </c>
      <c r="G2852" s="1" t="s">
        <v>16</v>
      </c>
      <c r="H2852" s="1">
        <v>-3.5</v>
      </c>
      <c r="I2852" s="1">
        <v>3.12</v>
      </c>
      <c r="J2852" s="1">
        <v>0</v>
      </c>
      <c r="K2852" s="2">
        <v>43348</v>
      </c>
      <c r="L2852" s="1">
        <v>3716</v>
      </c>
      <c r="M2852" s="1">
        <v>3.51</v>
      </c>
      <c r="N2852" s="1">
        <v>-0.40771000000000002</v>
      </c>
      <c r="O2852" s="3">
        <f>VLOOKUP(D2852,underlying!$D$40:$H$75,5,FALSE)</f>
        <v>-1.25</v>
      </c>
      <c r="P2852" s="4">
        <f t="shared" si="109"/>
        <v>43229</v>
      </c>
      <c r="Q2852" s="7">
        <f>IF(G2852="C",NormalCallSprd(O2852,H2852,M2852,(P2852-A2852)/365), NormalPutSprd(O2852,H2852,M2852,(P2852-A2852)/365))</f>
        <v>3.1493935281301715</v>
      </c>
      <c r="R2852" s="9">
        <f t="shared" si="111"/>
        <v>2.9393528130171376E-2</v>
      </c>
    </row>
    <row r="2853" spans="1:18" x14ac:dyDescent="0.2">
      <c r="A2853" s="2">
        <v>42622</v>
      </c>
      <c r="B2853" s="1" t="s">
        <v>56</v>
      </c>
      <c r="C2853" s="1" t="s">
        <v>57</v>
      </c>
      <c r="D2853" s="2">
        <v>43105</v>
      </c>
      <c r="E2853" s="2">
        <f t="shared" si="110"/>
        <v>43221</v>
      </c>
      <c r="F2853" s="1" t="s">
        <v>58</v>
      </c>
      <c r="G2853" s="1" t="s">
        <v>18</v>
      </c>
      <c r="H2853" s="1">
        <v>-3.5</v>
      </c>
      <c r="I2853" s="1">
        <v>0.89</v>
      </c>
      <c r="J2853" s="1">
        <v>0</v>
      </c>
      <c r="K2853" s="2">
        <v>43348</v>
      </c>
      <c r="L2853" s="1">
        <v>3716</v>
      </c>
      <c r="M2853" s="1">
        <v>3.51</v>
      </c>
      <c r="N2853" s="1">
        <v>-0.38707000000000003</v>
      </c>
      <c r="O2853" s="3">
        <f>VLOOKUP(D2853,underlying!$D$40:$H$75,5,FALSE)</f>
        <v>-1.25</v>
      </c>
      <c r="P2853" s="4">
        <f t="shared" si="109"/>
        <v>43229</v>
      </c>
      <c r="Q2853" s="7">
        <f>IF(G2853="C",NormalCallSprd(O2853,H2853,M2853,(P2853-A2853)/365), NormalPutSprd(O2853,H2853,M2853,(P2853-A2853)/365))</f>
        <v>0.89939352813017159</v>
      </c>
      <c r="R2853" s="9">
        <f t="shared" si="111"/>
        <v>9.3935281301715801E-3</v>
      </c>
    </row>
    <row r="2854" spans="1:18" x14ac:dyDescent="0.2">
      <c r="A2854" s="2">
        <v>42622</v>
      </c>
      <c r="B2854" s="1" t="s">
        <v>56</v>
      </c>
      <c r="C2854" s="1" t="s">
        <v>57</v>
      </c>
      <c r="D2854" s="2">
        <v>43105</v>
      </c>
      <c r="E2854" s="2">
        <f t="shared" si="110"/>
        <v>43221</v>
      </c>
      <c r="F2854" s="1" t="s">
        <v>58</v>
      </c>
      <c r="G2854" s="1" t="s">
        <v>16</v>
      </c>
      <c r="H2854" s="1">
        <v>-3.25</v>
      </c>
      <c r="I2854" s="1">
        <v>2.94</v>
      </c>
      <c r="J2854" s="1">
        <v>0</v>
      </c>
      <c r="K2854" s="2">
        <v>43348</v>
      </c>
      <c r="L2854" s="1">
        <v>3716</v>
      </c>
      <c r="M2854" s="1">
        <v>3.49</v>
      </c>
      <c r="N2854" s="1">
        <v>-0.36553999999999998</v>
      </c>
      <c r="O2854" s="3">
        <f>VLOOKUP(D2854,underlying!$D$40:$H$75,5,FALSE)</f>
        <v>-1.25</v>
      </c>
      <c r="P2854" s="4">
        <f t="shared" si="109"/>
        <v>43229</v>
      </c>
      <c r="Q2854" s="7">
        <f>IF(G2854="C",NormalCallSprd(O2854,H2854,M2854,(P2854-A2854)/365), NormalPutSprd(O2854,H2854,M2854,(P2854-A2854)/365))</f>
        <v>2.9699137586440223</v>
      </c>
      <c r="R2854" s="9">
        <f t="shared" si="111"/>
        <v>2.9913758644022348E-2</v>
      </c>
    </row>
    <row r="2855" spans="1:18" x14ac:dyDescent="0.2">
      <c r="A2855" s="2">
        <v>42622</v>
      </c>
      <c r="B2855" s="1" t="s">
        <v>56</v>
      </c>
      <c r="C2855" s="1" t="s">
        <v>57</v>
      </c>
      <c r="D2855" s="2">
        <v>43105</v>
      </c>
      <c r="E2855" s="2">
        <f t="shared" si="110"/>
        <v>43221</v>
      </c>
      <c r="F2855" s="1" t="s">
        <v>58</v>
      </c>
      <c r="G2855" s="1" t="s">
        <v>18</v>
      </c>
      <c r="H2855" s="1">
        <v>-3.25</v>
      </c>
      <c r="I2855" s="1">
        <v>0.96</v>
      </c>
      <c r="J2855" s="1">
        <v>0</v>
      </c>
      <c r="K2855" s="2">
        <v>43348</v>
      </c>
      <c r="L2855" s="1">
        <v>3716</v>
      </c>
      <c r="M2855" s="1">
        <v>3.49</v>
      </c>
      <c r="N2855" s="1">
        <v>-0.34581000000000001</v>
      </c>
      <c r="O2855" s="3">
        <f>VLOOKUP(D2855,underlying!$D$40:$H$75,5,FALSE)</f>
        <v>-1.25</v>
      </c>
      <c r="P2855" s="4">
        <f t="shared" si="109"/>
        <v>43229</v>
      </c>
      <c r="Q2855" s="7">
        <f>IF(G2855="C",NormalCallSprd(O2855,H2855,M2855,(P2855-A2855)/365), NormalPutSprd(O2855,H2855,M2855,(P2855-A2855)/365))</f>
        <v>0.96991375864402252</v>
      </c>
      <c r="R2855" s="9">
        <f t="shared" si="111"/>
        <v>9.9137586440225522E-3</v>
      </c>
    </row>
    <row r="2856" spans="1:18" x14ac:dyDescent="0.2">
      <c r="A2856" s="2">
        <v>42622</v>
      </c>
      <c r="B2856" s="1" t="s">
        <v>56</v>
      </c>
      <c r="C2856" s="1" t="s">
        <v>57</v>
      </c>
      <c r="D2856" s="2">
        <v>43105</v>
      </c>
      <c r="E2856" s="2">
        <f t="shared" si="110"/>
        <v>43221</v>
      </c>
      <c r="F2856" s="1" t="s">
        <v>58</v>
      </c>
      <c r="G2856" s="1" t="s">
        <v>16</v>
      </c>
      <c r="H2856" s="1">
        <v>-3</v>
      </c>
      <c r="I2856" s="1">
        <v>2.78</v>
      </c>
      <c r="J2856" s="1">
        <v>-0.01</v>
      </c>
      <c r="K2856" s="2">
        <v>43348</v>
      </c>
      <c r="L2856" s="1">
        <v>3716</v>
      </c>
      <c r="M2856" s="1">
        <v>3.51</v>
      </c>
      <c r="N2856" s="1">
        <v>-0.32490000000000002</v>
      </c>
      <c r="O2856" s="3">
        <f>VLOOKUP(D2856,underlying!$D$40:$H$75,5,FALSE)</f>
        <v>-1.25</v>
      </c>
      <c r="P2856" s="4">
        <f t="shared" si="109"/>
        <v>43229</v>
      </c>
      <c r="Q2856" s="7">
        <f>IF(G2856="C",NormalCallSprd(O2856,H2856,M2856,(P2856-A2856)/365), NormalPutSprd(O2856,H2856,M2856,(P2856-A2856)/365))</f>
        <v>2.8140835721266302</v>
      </c>
      <c r="R2856" s="9">
        <f t="shared" si="111"/>
        <v>3.4083572126630379E-2</v>
      </c>
    </row>
    <row r="2857" spans="1:18" x14ac:dyDescent="0.2">
      <c r="A2857" s="2">
        <v>42622</v>
      </c>
      <c r="B2857" s="1" t="s">
        <v>56</v>
      </c>
      <c r="C2857" s="1" t="s">
        <v>57</v>
      </c>
      <c r="D2857" s="2">
        <v>43105</v>
      </c>
      <c r="E2857" s="2">
        <f t="shared" si="110"/>
        <v>43221</v>
      </c>
      <c r="F2857" s="1" t="s">
        <v>58</v>
      </c>
      <c r="G2857" s="1" t="s">
        <v>18</v>
      </c>
      <c r="H2857" s="1">
        <v>-3</v>
      </c>
      <c r="I2857" s="1">
        <v>1.05</v>
      </c>
      <c r="J2857" s="1">
        <v>0</v>
      </c>
      <c r="K2857" s="2">
        <v>43348</v>
      </c>
      <c r="L2857" s="1">
        <v>3716</v>
      </c>
      <c r="M2857" s="1">
        <v>3.51</v>
      </c>
      <c r="N2857" s="1">
        <v>-0.30628</v>
      </c>
      <c r="O2857" s="3">
        <f>VLOOKUP(D2857,underlying!$D$40:$H$75,5,FALSE)</f>
        <v>-1.25</v>
      </c>
      <c r="P2857" s="4">
        <f t="shared" si="109"/>
        <v>43229</v>
      </c>
      <c r="Q2857" s="7">
        <f>IF(G2857="C",NormalCallSprd(O2857,H2857,M2857,(P2857-A2857)/365), NormalPutSprd(O2857,H2857,M2857,(P2857-A2857)/365))</f>
        <v>1.0640835721266302</v>
      </c>
      <c r="R2857" s="9">
        <f t="shared" si="111"/>
        <v>1.4083572126630139E-2</v>
      </c>
    </row>
    <row r="2858" spans="1:18" x14ac:dyDescent="0.2">
      <c r="A2858" s="2">
        <v>42622</v>
      </c>
      <c r="B2858" s="1" t="s">
        <v>56</v>
      </c>
      <c r="C2858" s="1" t="s">
        <v>57</v>
      </c>
      <c r="D2858" s="2">
        <v>43105</v>
      </c>
      <c r="E2858" s="2">
        <f t="shared" si="110"/>
        <v>43221</v>
      </c>
      <c r="F2858" s="1" t="s">
        <v>58</v>
      </c>
      <c r="G2858" s="1" t="s">
        <v>16</v>
      </c>
      <c r="H2858" s="1">
        <v>-2.75</v>
      </c>
      <c r="I2858" s="1">
        <v>2.62</v>
      </c>
      <c r="J2858" s="1">
        <v>0</v>
      </c>
      <c r="K2858" s="2">
        <v>43348</v>
      </c>
      <c r="L2858" s="1">
        <v>3716</v>
      </c>
      <c r="M2858" s="1">
        <v>3.49</v>
      </c>
      <c r="N2858" s="1">
        <v>-0.28728999999999999</v>
      </c>
      <c r="O2858" s="3">
        <f>VLOOKUP(D2858,underlying!$D$40:$H$75,5,FALSE)</f>
        <v>-1.25</v>
      </c>
      <c r="P2858" s="4">
        <f t="shared" si="109"/>
        <v>43229</v>
      </c>
      <c r="Q2858" s="7">
        <f>IF(G2858="C",NormalCallSprd(O2858,H2858,M2858,(P2858-A2858)/365), NormalPutSprd(O2858,H2858,M2858,(P2858-A2858)/365))</f>
        <v>2.6443003830840772</v>
      </c>
      <c r="R2858" s="9">
        <f t="shared" si="111"/>
        <v>2.4300383084077115E-2</v>
      </c>
    </row>
    <row r="2859" spans="1:18" x14ac:dyDescent="0.2">
      <c r="A2859" s="2">
        <v>42622</v>
      </c>
      <c r="B2859" s="1" t="s">
        <v>56</v>
      </c>
      <c r="C2859" s="1" t="s">
        <v>57</v>
      </c>
      <c r="D2859" s="2">
        <v>43105</v>
      </c>
      <c r="E2859" s="2">
        <f t="shared" si="110"/>
        <v>43221</v>
      </c>
      <c r="F2859" s="1" t="s">
        <v>58</v>
      </c>
      <c r="G2859" s="1" t="s">
        <v>18</v>
      </c>
      <c r="H2859" s="1">
        <v>-2.75</v>
      </c>
      <c r="I2859" s="1">
        <v>1.1299999999999999</v>
      </c>
      <c r="J2859" s="1">
        <v>0</v>
      </c>
      <c r="K2859" s="2">
        <v>43348</v>
      </c>
      <c r="L2859" s="1">
        <v>3716</v>
      </c>
      <c r="M2859" s="1">
        <v>3.49</v>
      </c>
      <c r="N2859" s="1">
        <v>-0.26885999999999999</v>
      </c>
      <c r="O2859" s="3">
        <f>VLOOKUP(D2859,underlying!$D$40:$H$75,5,FALSE)</f>
        <v>-1.25</v>
      </c>
      <c r="P2859" s="4">
        <f t="shared" si="109"/>
        <v>43229</v>
      </c>
      <c r="Q2859" s="7">
        <f>IF(G2859="C",NormalCallSprd(O2859,H2859,M2859,(P2859-A2859)/365), NormalPutSprd(O2859,H2859,M2859,(P2859-A2859)/365))</f>
        <v>1.1443003830840772</v>
      </c>
      <c r="R2859" s="9">
        <f t="shared" si="111"/>
        <v>1.4300383084077328E-2</v>
      </c>
    </row>
    <row r="2860" spans="1:18" x14ac:dyDescent="0.2">
      <c r="A2860" s="2">
        <v>42622</v>
      </c>
      <c r="B2860" s="1" t="s">
        <v>56</v>
      </c>
      <c r="C2860" s="1" t="s">
        <v>57</v>
      </c>
      <c r="D2860" s="2">
        <v>43105</v>
      </c>
      <c r="E2860" s="2">
        <f t="shared" si="110"/>
        <v>43221</v>
      </c>
      <c r="F2860" s="1" t="s">
        <v>58</v>
      </c>
      <c r="G2860" s="1" t="s">
        <v>16</v>
      </c>
      <c r="H2860" s="1">
        <v>-2.5</v>
      </c>
      <c r="I2860" s="1">
        <v>2.4700000000000002</v>
      </c>
      <c r="J2860" s="1">
        <v>-0.01</v>
      </c>
      <c r="K2860" s="2">
        <v>43348</v>
      </c>
      <c r="L2860" s="1">
        <v>3716</v>
      </c>
      <c r="M2860" s="1">
        <v>3.51</v>
      </c>
      <c r="N2860" s="1">
        <v>-0.25105</v>
      </c>
      <c r="O2860" s="3">
        <f>VLOOKUP(D2860,underlying!$D$40:$H$75,5,FALSE)</f>
        <v>-1.25</v>
      </c>
      <c r="P2860" s="4">
        <f t="shared" si="109"/>
        <v>43229</v>
      </c>
      <c r="Q2860" s="7">
        <f>IF(G2860="C",NormalCallSprd(O2860,H2860,M2860,(P2860-A2860)/365), NormalPutSprd(O2860,H2860,M2860,(P2860-A2860)/365))</f>
        <v>2.4992033059560317</v>
      </c>
      <c r="R2860" s="9">
        <f t="shared" si="111"/>
        <v>2.9203305956031489E-2</v>
      </c>
    </row>
    <row r="2861" spans="1:18" x14ac:dyDescent="0.2">
      <c r="A2861" s="2">
        <v>42622</v>
      </c>
      <c r="B2861" s="1" t="s">
        <v>56</v>
      </c>
      <c r="C2861" s="1" t="s">
        <v>57</v>
      </c>
      <c r="D2861" s="2">
        <v>43105</v>
      </c>
      <c r="E2861" s="2">
        <f t="shared" si="110"/>
        <v>43221</v>
      </c>
      <c r="F2861" s="1" t="s">
        <v>58</v>
      </c>
      <c r="G2861" s="1" t="s">
        <v>18</v>
      </c>
      <c r="H2861" s="1">
        <v>-2.5</v>
      </c>
      <c r="I2861" s="1">
        <v>1.24</v>
      </c>
      <c r="J2861" s="1">
        <v>0</v>
      </c>
      <c r="K2861" s="2">
        <v>43348</v>
      </c>
      <c r="L2861" s="1">
        <v>3716</v>
      </c>
      <c r="M2861" s="1">
        <v>3.51</v>
      </c>
      <c r="N2861" s="1">
        <v>-0.23386999999999999</v>
      </c>
      <c r="O2861" s="3">
        <f>VLOOKUP(D2861,underlying!$D$40:$H$75,5,FALSE)</f>
        <v>-1.25</v>
      </c>
      <c r="P2861" s="4">
        <f t="shared" si="109"/>
        <v>43229</v>
      </c>
      <c r="Q2861" s="7">
        <f>IF(G2861="C",NormalCallSprd(O2861,H2861,M2861,(P2861-A2861)/365), NormalPutSprd(O2861,H2861,M2861,(P2861-A2861)/365))</f>
        <v>1.2492033059560317</v>
      </c>
      <c r="R2861" s="9">
        <f t="shared" si="111"/>
        <v>9.2033059560316932E-3</v>
      </c>
    </row>
    <row r="2862" spans="1:18" x14ac:dyDescent="0.2">
      <c r="A2862" s="2">
        <v>42622</v>
      </c>
      <c r="B2862" s="1" t="s">
        <v>56</v>
      </c>
      <c r="C2862" s="1" t="s">
        <v>57</v>
      </c>
      <c r="D2862" s="2">
        <v>43105</v>
      </c>
      <c r="E2862" s="2">
        <f t="shared" si="110"/>
        <v>43221</v>
      </c>
      <c r="F2862" s="1" t="s">
        <v>58</v>
      </c>
      <c r="G2862" s="1" t="s">
        <v>16</v>
      </c>
      <c r="H2862" s="1">
        <v>-2.25</v>
      </c>
      <c r="I2862" s="1">
        <v>2.31</v>
      </c>
      <c r="J2862" s="1">
        <v>-0.01</v>
      </c>
      <c r="K2862" s="2">
        <v>43348</v>
      </c>
      <c r="L2862" s="1">
        <v>3716</v>
      </c>
      <c r="M2862" s="1">
        <v>3.49</v>
      </c>
      <c r="N2862" s="1">
        <v>-0.21736</v>
      </c>
      <c r="O2862" s="3">
        <f>VLOOKUP(D2862,underlying!$D$40:$H$75,5,FALSE)</f>
        <v>-1.25</v>
      </c>
      <c r="P2862" s="4">
        <f t="shared" si="109"/>
        <v>43229</v>
      </c>
      <c r="Q2862" s="7">
        <f>IF(G2862="C",NormalCallSprd(O2862,H2862,M2862,(P2862-A2862)/365), NormalPutSprd(O2862,H2862,M2862,(P2862-A2862)/365))</f>
        <v>2.3396309871788596</v>
      </c>
      <c r="R2862" s="9">
        <f t="shared" si="111"/>
        <v>2.9630987178859591E-2</v>
      </c>
    </row>
    <row r="2863" spans="1:18" x14ac:dyDescent="0.2">
      <c r="A2863" s="2">
        <v>42622</v>
      </c>
      <c r="B2863" s="1" t="s">
        <v>56</v>
      </c>
      <c r="C2863" s="1" t="s">
        <v>57</v>
      </c>
      <c r="D2863" s="2">
        <v>43105</v>
      </c>
      <c r="E2863" s="2">
        <f t="shared" si="110"/>
        <v>43221</v>
      </c>
      <c r="F2863" s="1" t="s">
        <v>58</v>
      </c>
      <c r="G2863" s="1" t="s">
        <v>18</v>
      </c>
      <c r="H2863" s="1">
        <v>-2.25</v>
      </c>
      <c r="I2863" s="1">
        <v>1.33</v>
      </c>
      <c r="J2863" s="1">
        <v>0</v>
      </c>
      <c r="K2863" s="2">
        <v>43348</v>
      </c>
      <c r="L2863" s="1">
        <v>3716</v>
      </c>
      <c r="M2863" s="1">
        <v>3.49</v>
      </c>
      <c r="N2863" s="1">
        <v>-0.20088</v>
      </c>
      <c r="O2863" s="3">
        <f>VLOOKUP(D2863,underlying!$D$40:$H$75,5,FALSE)</f>
        <v>-1.25</v>
      </c>
      <c r="P2863" s="4">
        <f t="shared" si="109"/>
        <v>43229</v>
      </c>
      <c r="Q2863" s="7">
        <f>IF(G2863="C",NormalCallSprd(O2863,H2863,M2863,(P2863-A2863)/365), NormalPutSprd(O2863,H2863,M2863,(P2863-A2863)/365))</f>
        <v>1.3396309871788596</v>
      </c>
      <c r="R2863" s="9">
        <f t="shared" si="111"/>
        <v>9.6309871788595736E-3</v>
      </c>
    </row>
    <row r="2864" spans="1:18" x14ac:dyDescent="0.2">
      <c r="A2864" s="2">
        <v>42622</v>
      </c>
      <c r="B2864" s="1" t="s">
        <v>56</v>
      </c>
      <c r="C2864" s="1" t="s">
        <v>57</v>
      </c>
      <c r="D2864" s="2">
        <v>43105</v>
      </c>
      <c r="E2864" s="2">
        <f t="shared" si="110"/>
        <v>43221</v>
      </c>
      <c r="F2864" s="1" t="s">
        <v>58</v>
      </c>
      <c r="G2864" s="1" t="s">
        <v>16</v>
      </c>
      <c r="H2864" s="1">
        <v>-2</v>
      </c>
      <c r="I2864" s="1">
        <v>2.1800000000000002</v>
      </c>
      <c r="J2864" s="1">
        <v>0</v>
      </c>
      <c r="K2864" s="2">
        <v>43348</v>
      </c>
      <c r="L2864" s="1">
        <v>3716</v>
      </c>
      <c r="M2864" s="1">
        <v>3.5</v>
      </c>
      <c r="N2864" s="1">
        <v>-0.18576000000000001</v>
      </c>
      <c r="O2864" s="3">
        <f>VLOOKUP(D2864,underlying!$D$40:$H$75,5,FALSE)</f>
        <v>-1.25</v>
      </c>
      <c r="P2864" s="4">
        <f t="shared" si="109"/>
        <v>43229</v>
      </c>
      <c r="Q2864" s="7">
        <f>IF(G2864="C",NormalCallSprd(O2864,H2864,M2864,(P2864-A2864)/365), NormalPutSprd(O2864,H2864,M2864,(P2864-A2864)/365))</f>
        <v>2.2004385213119226</v>
      </c>
      <c r="R2864" s="9">
        <f t="shared" si="111"/>
        <v>2.0438521311922475E-2</v>
      </c>
    </row>
    <row r="2865" spans="1:18" x14ac:dyDescent="0.2">
      <c r="A2865" s="2">
        <v>42622</v>
      </c>
      <c r="B2865" s="1" t="s">
        <v>56</v>
      </c>
      <c r="C2865" s="1" t="s">
        <v>57</v>
      </c>
      <c r="D2865" s="2">
        <v>43105</v>
      </c>
      <c r="E2865" s="2">
        <f t="shared" si="110"/>
        <v>43221</v>
      </c>
      <c r="F2865" s="1" t="s">
        <v>58</v>
      </c>
      <c r="G2865" s="1" t="s">
        <v>18</v>
      </c>
      <c r="H2865" s="1">
        <v>-2</v>
      </c>
      <c r="I2865" s="1">
        <v>1.44</v>
      </c>
      <c r="J2865" s="1">
        <v>0</v>
      </c>
      <c r="K2865" s="2">
        <v>43348</v>
      </c>
      <c r="L2865" s="1">
        <v>3716</v>
      </c>
      <c r="M2865" s="1">
        <v>3.5</v>
      </c>
      <c r="N2865" s="1">
        <v>-0.17136000000000001</v>
      </c>
      <c r="O2865" s="3">
        <f>VLOOKUP(D2865,underlying!$D$40:$H$75,5,FALSE)</f>
        <v>-1.25</v>
      </c>
      <c r="P2865" s="4">
        <f t="shared" si="109"/>
        <v>43229</v>
      </c>
      <c r="Q2865" s="7">
        <f>IF(G2865="C",NormalCallSprd(O2865,H2865,M2865,(P2865-A2865)/365), NormalPutSprd(O2865,H2865,M2865,(P2865-A2865)/365))</f>
        <v>1.4504385213119229</v>
      </c>
      <c r="R2865" s="9">
        <f t="shared" si="111"/>
        <v>1.043852131192291E-2</v>
      </c>
    </row>
    <row r="2866" spans="1:18" x14ac:dyDescent="0.2">
      <c r="A2866" s="2">
        <v>42622</v>
      </c>
      <c r="B2866" s="1" t="s">
        <v>56</v>
      </c>
      <c r="C2866" s="1" t="s">
        <v>57</v>
      </c>
      <c r="D2866" s="2">
        <v>43105</v>
      </c>
      <c r="E2866" s="2">
        <f t="shared" si="110"/>
        <v>43221</v>
      </c>
      <c r="F2866" s="1" t="s">
        <v>58</v>
      </c>
      <c r="G2866" s="1" t="s">
        <v>16</v>
      </c>
      <c r="H2866" s="1">
        <v>-1.75</v>
      </c>
      <c r="I2866" s="1">
        <v>2.04</v>
      </c>
      <c r="J2866" s="1">
        <v>0</v>
      </c>
      <c r="K2866" s="2">
        <v>43348</v>
      </c>
      <c r="L2866" s="1">
        <v>3716</v>
      </c>
      <c r="M2866" s="1">
        <v>3.5</v>
      </c>
      <c r="N2866" s="1">
        <v>-0.15769</v>
      </c>
      <c r="O2866" s="3">
        <f>VLOOKUP(D2866,underlying!$D$40:$H$75,5,FALSE)</f>
        <v>-1.25</v>
      </c>
      <c r="P2866" s="4">
        <f t="shared" si="109"/>
        <v>43229</v>
      </c>
      <c r="Q2866" s="7">
        <f>IF(G2866="C",NormalCallSprd(O2866,H2866,M2866,(P2866-A2866)/365), NormalPutSprd(O2866,H2866,M2866,(P2866-A2866)/365))</f>
        <v>2.0616736283681476</v>
      </c>
      <c r="R2866" s="9">
        <f t="shared" si="111"/>
        <v>2.1673628368147568E-2</v>
      </c>
    </row>
    <row r="2867" spans="1:18" x14ac:dyDescent="0.2">
      <c r="A2867" s="2">
        <v>42622</v>
      </c>
      <c r="B2867" s="1" t="s">
        <v>56</v>
      </c>
      <c r="C2867" s="1" t="s">
        <v>57</v>
      </c>
      <c r="D2867" s="2">
        <v>43105</v>
      </c>
      <c r="E2867" s="2">
        <f t="shared" si="110"/>
        <v>43221</v>
      </c>
      <c r="F2867" s="1" t="s">
        <v>58</v>
      </c>
      <c r="G2867" s="1" t="s">
        <v>18</v>
      </c>
      <c r="H2867" s="1">
        <v>-1.75</v>
      </c>
      <c r="I2867" s="1">
        <v>1.55</v>
      </c>
      <c r="J2867" s="1">
        <v>0</v>
      </c>
      <c r="K2867" s="2">
        <v>43348</v>
      </c>
      <c r="L2867" s="1">
        <v>3716</v>
      </c>
      <c r="M2867" s="1">
        <v>3.5</v>
      </c>
      <c r="N2867" s="1">
        <v>-0.14476</v>
      </c>
      <c r="O2867" s="3">
        <f>VLOOKUP(D2867,underlying!$D$40:$H$75,5,FALSE)</f>
        <v>-1.25</v>
      </c>
      <c r="P2867" s="4">
        <f t="shared" si="109"/>
        <v>43229</v>
      </c>
      <c r="Q2867" s="7">
        <f>IF(G2867="C",NormalCallSprd(O2867,H2867,M2867,(P2867-A2867)/365), NormalPutSprd(O2867,H2867,M2867,(P2867-A2867)/365))</f>
        <v>1.5616736283681476</v>
      </c>
      <c r="R2867" s="9">
        <f t="shared" si="111"/>
        <v>1.1673628368147559E-2</v>
      </c>
    </row>
    <row r="2868" spans="1:18" x14ac:dyDescent="0.2">
      <c r="A2868" s="2">
        <v>42622</v>
      </c>
      <c r="B2868" s="1" t="s">
        <v>56</v>
      </c>
      <c r="C2868" s="1" t="s">
        <v>57</v>
      </c>
      <c r="D2868" s="2">
        <v>43105</v>
      </c>
      <c r="E2868" s="2">
        <f t="shared" si="110"/>
        <v>43221</v>
      </c>
      <c r="F2868" s="1" t="s">
        <v>58</v>
      </c>
      <c r="G2868" s="1" t="s">
        <v>16</v>
      </c>
      <c r="H2868" s="1">
        <v>-1.5</v>
      </c>
      <c r="I2868" s="1">
        <v>1.91</v>
      </c>
      <c r="J2868" s="1">
        <v>-0.01</v>
      </c>
      <c r="K2868" s="2">
        <v>43348</v>
      </c>
      <c r="L2868" s="1">
        <v>3716</v>
      </c>
      <c r="M2868" s="1">
        <v>3.51</v>
      </c>
      <c r="N2868" s="1">
        <v>-0.13256000000000001</v>
      </c>
      <c r="O2868" s="3">
        <f>VLOOKUP(D2868,underlying!$D$40:$H$75,5,FALSE)</f>
        <v>-1.25</v>
      </c>
      <c r="P2868" s="4">
        <f t="shared" si="109"/>
        <v>43229</v>
      </c>
      <c r="Q2868" s="7">
        <f>IF(G2868="C",NormalCallSprd(O2868,H2868,M2868,(P2868-A2868)/365), NormalPutSprd(O2868,H2868,M2868,(P2868-A2868)/365))</f>
        <v>1.9335346291474429</v>
      </c>
      <c r="R2868" s="9">
        <f t="shared" si="111"/>
        <v>2.3534629147442976E-2</v>
      </c>
    </row>
    <row r="2869" spans="1:18" x14ac:dyDescent="0.2">
      <c r="A2869" s="2">
        <v>42622</v>
      </c>
      <c r="B2869" s="1" t="s">
        <v>56</v>
      </c>
      <c r="C2869" s="1" t="s">
        <v>57</v>
      </c>
      <c r="D2869" s="2">
        <v>43105</v>
      </c>
      <c r="E2869" s="2">
        <f t="shared" si="110"/>
        <v>43221</v>
      </c>
      <c r="F2869" s="1" t="s">
        <v>58</v>
      </c>
      <c r="G2869" s="1" t="s">
        <v>18</v>
      </c>
      <c r="H2869" s="1">
        <v>-1.5</v>
      </c>
      <c r="I2869" s="1">
        <v>1.67</v>
      </c>
      <c r="J2869" s="1">
        <v>0</v>
      </c>
      <c r="K2869" s="2">
        <v>43348</v>
      </c>
      <c r="L2869" s="1">
        <v>3716</v>
      </c>
      <c r="M2869" s="1">
        <v>3.51</v>
      </c>
      <c r="N2869" s="1">
        <v>-0.10027</v>
      </c>
      <c r="O2869" s="3">
        <f>VLOOKUP(D2869,underlying!$D$40:$H$75,5,FALSE)</f>
        <v>-1.25</v>
      </c>
      <c r="P2869" s="4">
        <f t="shared" si="109"/>
        <v>43229</v>
      </c>
      <c r="Q2869" s="7">
        <f>IF(G2869="C",NormalCallSprd(O2869,H2869,M2869,(P2869-A2869)/365), NormalPutSprd(O2869,H2869,M2869,(P2869-A2869)/365))</f>
        <v>1.6835346291474429</v>
      </c>
      <c r="R2869" s="9">
        <f t="shared" si="111"/>
        <v>1.3534629147442967E-2</v>
      </c>
    </row>
    <row r="2870" spans="1:18" x14ac:dyDescent="0.2">
      <c r="A2870" s="2">
        <v>42622</v>
      </c>
      <c r="B2870" s="1" t="s">
        <v>56</v>
      </c>
      <c r="C2870" s="1" t="s">
        <v>57</v>
      </c>
      <c r="D2870" s="2">
        <v>43105</v>
      </c>
      <c r="E2870" s="2">
        <f t="shared" si="110"/>
        <v>43221</v>
      </c>
      <c r="F2870" s="1" t="s">
        <v>58</v>
      </c>
      <c r="G2870" s="1" t="s">
        <v>16</v>
      </c>
      <c r="H2870" s="1">
        <v>-1.25</v>
      </c>
      <c r="I2870" s="1">
        <v>1.78</v>
      </c>
      <c r="J2870" s="1">
        <v>0</v>
      </c>
      <c r="K2870" s="2">
        <v>43348</v>
      </c>
      <c r="L2870" s="1">
        <v>3716</v>
      </c>
      <c r="M2870" s="1">
        <v>3.5</v>
      </c>
      <c r="N2870" s="1">
        <v>-6.6129999999999994E-2</v>
      </c>
      <c r="O2870" s="3">
        <f>VLOOKUP(D2870,underlying!$D$40:$H$75,5,FALSE)</f>
        <v>-1.25</v>
      </c>
      <c r="P2870" s="4">
        <f t="shared" si="109"/>
        <v>43229</v>
      </c>
      <c r="Q2870" s="7">
        <f>IF(G2870="C",NormalCallSprd(O2870,H2870,M2870,(P2870-A2870)/365), NormalPutSprd(O2870,H2870,M2870,(P2870-A2870)/365))</f>
        <v>1.8006363929011024</v>
      </c>
      <c r="R2870" s="9">
        <f t="shared" si="111"/>
        <v>2.0636392901102418E-2</v>
      </c>
    </row>
    <row r="2871" spans="1:18" x14ac:dyDescent="0.2">
      <c r="A2871" s="2">
        <v>42622</v>
      </c>
      <c r="B2871" s="1" t="s">
        <v>56</v>
      </c>
      <c r="C2871" s="1" t="s">
        <v>57</v>
      </c>
      <c r="D2871" s="2">
        <v>43105</v>
      </c>
      <c r="E2871" s="2">
        <f t="shared" si="110"/>
        <v>43221</v>
      </c>
      <c r="F2871" s="1" t="s">
        <v>58</v>
      </c>
      <c r="G2871" s="1" t="s">
        <v>18</v>
      </c>
      <c r="H2871" s="1">
        <v>-1.25</v>
      </c>
      <c r="I2871" s="1">
        <v>1.78</v>
      </c>
      <c r="J2871" s="1">
        <v>0</v>
      </c>
      <c r="K2871" s="2">
        <v>43348</v>
      </c>
      <c r="L2871" s="1">
        <v>3716</v>
      </c>
      <c r="M2871" s="1">
        <v>3.5</v>
      </c>
      <c r="N2871" s="1">
        <v>-4.2090000000000002E-2</v>
      </c>
      <c r="O2871" s="3">
        <f>VLOOKUP(D2871,underlying!$D$40:$H$75,5,FALSE)</f>
        <v>-1.25</v>
      </c>
      <c r="P2871" s="4">
        <f t="shared" si="109"/>
        <v>43229</v>
      </c>
      <c r="Q2871" s="7">
        <f>IF(G2871="C",NormalCallSprd(O2871,H2871,M2871,(P2871-A2871)/365), NormalPutSprd(O2871,H2871,M2871,(P2871-A2871)/365))</f>
        <v>1.8006363929011024</v>
      </c>
      <c r="R2871" s="9">
        <f t="shared" si="111"/>
        <v>2.0636392901102418E-2</v>
      </c>
    </row>
    <row r="2872" spans="1:18" x14ac:dyDescent="0.2">
      <c r="A2872" s="2">
        <v>42622</v>
      </c>
      <c r="B2872" s="1" t="s">
        <v>56</v>
      </c>
      <c r="C2872" s="1" t="s">
        <v>57</v>
      </c>
      <c r="D2872" s="2">
        <v>43105</v>
      </c>
      <c r="E2872" s="2">
        <f t="shared" si="110"/>
        <v>43221</v>
      </c>
      <c r="F2872" s="1" t="s">
        <v>58</v>
      </c>
      <c r="G2872" s="1" t="s">
        <v>16</v>
      </c>
      <c r="H2872" s="1">
        <v>-1</v>
      </c>
      <c r="I2872" s="1">
        <v>1.67</v>
      </c>
      <c r="J2872" s="1">
        <v>0</v>
      </c>
      <c r="K2872" s="2">
        <v>43348</v>
      </c>
      <c r="L2872" s="1">
        <v>3716</v>
      </c>
      <c r="M2872" s="1">
        <v>3.51</v>
      </c>
      <c r="N2872" s="1">
        <v>0.40567999999999999</v>
      </c>
      <c r="O2872" s="3">
        <f>VLOOKUP(D2872,underlying!$D$40:$H$75,5,FALSE)</f>
        <v>-1.25</v>
      </c>
      <c r="P2872" s="4">
        <f t="shared" si="109"/>
        <v>43229</v>
      </c>
      <c r="Q2872" s="7">
        <f>IF(G2872="C",NormalCallSprd(O2872,H2872,M2872,(P2872-A2872)/365), NormalPutSprd(O2872,H2872,M2872,(P2872-A2872)/365))</f>
        <v>1.6835346291474429</v>
      </c>
      <c r="R2872" s="9">
        <f t="shared" si="111"/>
        <v>1.3534629147442967E-2</v>
      </c>
    </row>
    <row r="2873" spans="1:18" x14ac:dyDescent="0.2">
      <c r="A2873" s="2">
        <v>42622</v>
      </c>
      <c r="B2873" s="1" t="s">
        <v>56</v>
      </c>
      <c r="C2873" s="1" t="s">
        <v>57</v>
      </c>
      <c r="D2873" s="2">
        <v>43105</v>
      </c>
      <c r="E2873" s="2">
        <f t="shared" si="110"/>
        <v>43221</v>
      </c>
      <c r="F2873" s="1" t="s">
        <v>58</v>
      </c>
      <c r="G2873" s="1" t="s">
        <v>18</v>
      </c>
      <c r="H2873" s="1">
        <v>-1</v>
      </c>
      <c r="I2873" s="1">
        <v>1.91</v>
      </c>
      <c r="J2873" s="1">
        <v>-0.01</v>
      </c>
      <c r="K2873" s="2">
        <v>43348</v>
      </c>
      <c r="L2873" s="1">
        <v>3716</v>
      </c>
      <c r="M2873" s="1">
        <v>3.51</v>
      </c>
      <c r="N2873" s="1">
        <v>0.42229</v>
      </c>
      <c r="O2873" s="3">
        <f>VLOOKUP(D2873,underlying!$D$40:$H$75,5,FALSE)</f>
        <v>-1.25</v>
      </c>
      <c r="P2873" s="4">
        <f t="shared" ref="P2873:P2936" si="112">DATE(YEAR(K2873),DAY(K2873),MONTH(K2873))</f>
        <v>43229</v>
      </c>
      <c r="Q2873" s="7">
        <f>IF(G2873="C",NormalCallSprd(O2873,H2873,M2873,(P2873-A2873)/365), NormalPutSprd(O2873,H2873,M2873,(P2873-A2873)/365))</f>
        <v>1.9335346291474429</v>
      </c>
      <c r="R2873" s="9">
        <f t="shared" si="111"/>
        <v>2.3534629147442976E-2</v>
      </c>
    </row>
    <row r="2874" spans="1:18" x14ac:dyDescent="0.2">
      <c r="A2874" s="2">
        <v>42622</v>
      </c>
      <c r="B2874" s="1" t="s">
        <v>56</v>
      </c>
      <c r="C2874" s="1" t="s">
        <v>57</v>
      </c>
      <c r="D2874" s="2">
        <v>43105</v>
      </c>
      <c r="E2874" s="2">
        <f t="shared" si="110"/>
        <v>43221</v>
      </c>
      <c r="F2874" s="1" t="s">
        <v>58</v>
      </c>
      <c r="G2874" s="1" t="s">
        <v>16</v>
      </c>
      <c r="H2874" s="1">
        <v>-0.75</v>
      </c>
      <c r="I2874" s="1">
        <v>1.55</v>
      </c>
      <c r="J2874" s="1">
        <v>0</v>
      </c>
      <c r="K2874" s="2">
        <v>43348</v>
      </c>
      <c r="L2874" s="1">
        <v>3716</v>
      </c>
      <c r="M2874" s="1">
        <v>3.5</v>
      </c>
      <c r="N2874" s="1">
        <v>0.43941999999999998</v>
      </c>
      <c r="O2874" s="3">
        <f>VLOOKUP(D2874,underlying!$D$40:$H$75,5,FALSE)</f>
        <v>-1.25</v>
      </c>
      <c r="P2874" s="4">
        <f t="shared" si="112"/>
        <v>43229</v>
      </c>
      <c r="Q2874" s="7">
        <f>IF(G2874="C",NormalCallSprd(O2874,H2874,M2874,(P2874-A2874)/365), NormalPutSprd(O2874,H2874,M2874,(P2874-A2874)/365))</f>
        <v>1.5616736283681476</v>
      </c>
      <c r="R2874" s="9">
        <f t="shared" si="111"/>
        <v>1.1673628368147559E-2</v>
      </c>
    </row>
    <row r="2875" spans="1:18" x14ac:dyDescent="0.2">
      <c r="A2875" s="2">
        <v>42622</v>
      </c>
      <c r="B2875" s="1" t="s">
        <v>56</v>
      </c>
      <c r="C2875" s="1" t="s">
        <v>57</v>
      </c>
      <c r="D2875" s="2">
        <v>43105</v>
      </c>
      <c r="E2875" s="2">
        <f t="shared" si="110"/>
        <v>43221</v>
      </c>
      <c r="F2875" s="1" t="s">
        <v>58</v>
      </c>
      <c r="G2875" s="1" t="s">
        <v>18</v>
      </c>
      <c r="H2875" s="1">
        <v>-0.75</v>
      </c>
      <c r="I2875" s="1">
        <v>2.04</v>
      </c>
      <c r="J2875" s="1">
        <v>0</v>
      </c>
      <c r="K2875" s="2">
        <v>43348</v>
      </c>
      <c r="L2875" s="1">
        <v>3716</v>
      </c>
      <c r="M2875" s="1">
        <v>3.5</v>
      </c>
      <c r="N2875" s="1">
        <v>0.45645999999999998</v>
      </c>
      <c r="O2875" s="3">
        <f>VLOOKUP(D2875,underlying!$D$40:$H$75,5,FALSE)</f>
        <v>-1.25</v>
      </c>
      <c r="P2875" s="4">
        <f t="shared" si="112"/>
        <v>43229</v>
      </c>
      <c r="Q2875" s="7">
        <f>IF(G2875="C",NormalCallSprd(O2875,H2875,M2875,(P2875-A2875)/365), NormalPutSprd(O2875,H2875,M2875,(P2875-A2875)/365))</f>
        <v>2.0616736283681476</v>
      </c>
      <c r="R2875" s="9">
        <f t="shared" si="111"/>
        <v>2.1673628368147568E-2</v>
      </c>
    </row>
    <row r="2876" spans="1:18" x14ac:dyDescent="0.2">
      <c r="A2876" s="2">
        <v>42622</v>
      </c>
      <c r="B2876" s="1" t="s">
        <v>56</v>
      </c>
      <c r="C2876" s="1" t="s">
        <v>57</v>
      </c>
      <c r="D2876" s="2">
        <v>43105</v>
      </c>
      <c r="E2876" s="2">
        <f t="shared" si="110"/>
        <v>43221</v>
      </c>
      <c r="F2876" s="1" t="s">
        <v>58</v>
      </c>
      <c r="G2876" s="1" t="s">
        <v>16</v>
      </c>
      <c r="H2876" s="1">
        <v>-0.5</v>
      </c>
      <c r="I2876" s="1">
        <v>1.44</v>
      </c>
      <c r="J2876" s="1">
        <v>0</v>
      </c>
      <c r="K2876" s="2">
        <v>43348</v>
      </c>
      <c r="L2876" s="1">
        <v>3716</v>
      </c>
      <c r="M2876" s="1">
        <v>3.5</v>
      </c>
      <c r="N2876" s="1">
        <v>0.47360000000000002</v>
      </c>
      <c r="O2876" s="3">
        <f>VLOOKUP(D2876,underlying!$D$40:$H$75,5,FALSE)</f>
        <v>-1.25</v>
      </c>
      <c r="P2876" s="4">
        <f t="shared" si="112"/>
        <v>43229</v>
      </c>
      <c r="Q2876" s="7">
        <f>IF(G2876="C",NormalCallSprd(O2876,H2876,M2876,(P2876-A2876)/365), NormalPutSprd(O2876,H2876,M2876,(P2876-A2876)/365))</f>
        <v>1.4504385213119229</v>
      </c>
      <c r="R2876" s="9">
        <f t="shared" si="111"/>
        <v>1.043852131192291E-2</v>
      </c>
    </row>
    <row r="2877" spans="1:18" x14ac:dyDescent="0.2">
      <c r="A2877" s="2">
        <v>42622</v>
      </c>
      <c r="B2877" s="1" t="s">
        <v>56</v>
      </c>
      <c r="C2877" s="1" t="s">
        <v>57</v>
      </c>
      <c r="D2877" s="2">
        <v>43105</v>
      </c>
      <c r="E2877" s="2">
        <f t="shared" si="110"/>
        <v>43221</v>
      </c>
      <c r="F2877" s="1" t="s">
        <v>58</v>
      </c>
      <c r="G2877" s="1" t="s">
        <v>18</v>
      </c>
      <c r="H2877" s="1">
        <v>-0.5</v>
      </c>
      <c r="I2877" s="1">
        <v>2.1800000000000002</v>
      </c>
      <c r="J2877" s="1">
        <v>0</v>
      </c>
      <c r="K2877" s="2">
        <v>43348</v>
      </c>
      <c r="L2877" s="1">
        <v>3716</v>
      </c>
      <c r="M2877" s="1">
        <v>3.5</v>
      </c>
      <c r="N2877" s="1">
        <v>0.49069000000000002</v>
      </c>
      <c r="O2877" s="3">
        <f>VLOOKUP(D2877,underlying!$D$40:$H$75,5,FALSE)</f>
        <v>-1.25</v>
      </c>
      <c r="P2877" s="4">
        <f t="shared" si="112"/>
        <v>43229</v>
      </c>
      <c r="Q2877" s="7">
        <f>IF(G2877="C",NormalCallSprd(O2877,H2877,M2877,(P2877-A2877)/365), NormalPutSprd(O2877,H2877,M2877,(P2877-A2877)/365))</f>
        <v>2.2004385213119226</v>
      </c>
      <c r="R2877" s="9">
        <f t="shared" si="111"/>
        <v>2.0438521311922475E-2</v>
      </c>
    </row>
    <row r="2878" spans="1:18" x14ac:dyDescent="0.2">
      <c r="A2878" s="2">
        <v>42622</v>
      </c>
      <c r="B2878" s="1" t="s">
        <v>56</v>
      </c>
      <c r="C2878" s="1" t="s">
        <v>57</v>
      </c>
      <c r="D2878" s="2">
        <v>43105</v>
      </c>
      <c r="E2878" s="2">
        <f t="shared" si="110"/>
        <v>43221</v>
      </c>
      <c r="F2878" s="1" t="s">
        <v>58</v>
      </c>
      <c r="G2878" s="1" t="s">
        <v>16</v>
      </c>
      <c r="H2878" s="1">
        <v>-0.25</v>
      </c>
      <c r="I2878" s="1">
        <v>1.33</v>
      </c>
      <c r="J2878" s="1">
        <v>0</v>
      </c>
      <c r="K2878" s="2">
        <v>43348</v>
      </c>
      <c r="L2878" s="1">
        <v>3716</v>
      </c>
      <c r="M2878" s="1">
        <v>3.49</v>
      </c>
      <c r="N2878" s="1">
        <v>0.50777000000000005</v>
      </c>
      <c r="O2878" s="3">
        <f>VLOOKUP(D2878,underlying!$D$40:$H$75,5,FALSE)</f>
        <v>-1.25</v>
      </c>
      <c r="P2878" s="4">
        <f t="shared" si="112"/>
        <v>43229</v>
      </c>
      <c r="Q2878" s="7">
        <f>IF(G2878="C",NormalCallSprd(O2878,H2878,M2878,(P2878-A2878)/365), NormalPutSprd(O2878,H2878,M2878,(P2878-A2878)/365))</f>
        <v>1.3396309871788596</v>
      </c>
      <c r="R2878" s="9">
        <f t="shared" si="111"/>
        <v>9.6309871788595736E-3</v>
      </c>
    </row>
    <row r="2879" spans="1:18" x14ac:dyDescent="0.2">
      <c r="A2879" s="2">
        <v>42622</v>
      </c>
      <c r="B2879" s="1" t="s">
        <v>56</v>
      </c>
      <c r="C2879" s="1" t="s">
        <v>57</v>
      </c>
      <c r="D2879" s="2">
        <v>43105</v>
      </c>
      <c r="E2879" s="2">
        <f t="shared" si="110"/>
        <v>43221</v>
      </c>
      <c r="F2879" s="1" t="s">
        <v>58</v>
      </c>
      <c r="G2879" s="1" t="s">
        <v>18</v>
      </c>
      <c r="H2879" s="1">
        <v>-0.25</v>
      </c>
      <c r="I2879" s="1">
        <v>2.31</v>
      </c>
      <c r="J2879" s="1">
        <v>-0.01</v>
      </c>
      <c r="K2879" s="2">
        <v>43348</v>
      </c>
      <c r="L2879" s="1">
        <v>3716</v>
      </c>
      <c r="M2879" s="1">
        <v>3.49</v>
      </c>
      <c r="N2879" s="1">
        <v>0.52492000000000005</v>
      </c>
      <c r="O2879" s="3">
        <f>VLOOKUP(D2879,underlying!$D$40:$H$75,5,FALSE)</f>
        <v>-1.25</v>
      </c>
      <c r="P2879" s="4">
        <f t="shared" si="112"/>
        <v>43229</v>
      </c>
      <c r="Q2879" s="7">
        <f>IF(G2879="C",NormalCallSprd(O2879,H2879,M2879,(P2879-A2879)/365), NormalPutSprd(O2879,H2879,M2879,(P2879-A2879)/365))</f>
        <v>2.3396309871788596</v>
      </c>
      <c r="R2879" s="9">
        <f t="shared" si="111"/>
        <v>2.9630987178859591E-2</v>
      </c>
    </row>
    <row r="2880" spans="1:18" x14ac:dyDescent="0.2">
      <c r="A2880" s="2">
        <v>42622</v>
      </c>
      <c r="B2880" s="1" t="s">
        <v>56</v>
      </c>
      <c r="C2880" s="1" t="s">
        <v>57</v>
      </c>
      <c r="D2880" s="2">
        <v>43106</v>
      </c>
      <c r="E2880" s="2">
        <f t="shared" si="110"/>
        <v>43252</v>
      </c>
      <c r="F2880" s="1" t="s">
        <v>58</v>
      </c>
      <c r="G2880" s="1" t="s">
        <v>16</v>
      </c>
      <c r="H2880" s="1">
        <v>-8</v>
      </c>
      <c r="I2880" s="1">
        <v>5.27</v>
      </c>
      <c r="J2880" s="1">
        <v>-0.01</v>
      </c>
      <c r="K2880" s="2">
        <v>43410</v>
      </c>
      <c r="L2880" s="1">
        <v>3716</v>
      </c>
      <c r="M2880" s="1">
        <v>3.51</v>
      </c>
      <c r="N2880" s="1">
        <v>0.54195000000000004</v>
      </c>
      <c r="O2880" s="3">
        <f>VLOOKUP(D2880,underlying!$D$40:$H$75,5,FALSE)</f>
        <v>-3</v>
      </c>
      <c r="P2880" s="4">
        <f t="shared" si="112"/>
        <v>43262</v>
      </c>
      <c r="Q2880" s="7">
        <f>IF(G2880="C",NormalCallSprd(O2880,H2880,M2880,(P2880-A2880)/365), NormalPutSprd(O2880,H2880,M2880,(P2880-A2880)/365))</f>
        <v>5.3345104739740954</v>
      </c>
      <c r="R2880" s="9">
        <f t="shared" si="111"/>
        <v>6.4510473974095817E-2</v>
      </c>
    </row>
    <row r="2881" spans="1:18" x14ac:dyDescent="0.2">
      <c r="A2881" s="2">
        <v>42622</v>
      </c>
      <c r="B2881" s="1" t="s">
        <v>56</v>
      </c>
      <c r="C2881" s="1" t="s">
        <v>57</v>
      </c>
      <c r="D2881" s="2">
        <v>43106</v>
      </c>
      <c r="E2881" s="2">
        <f t="shared" si="110"/>
        <v>43252</v>
      </c>
      <c r="F2881" s="1" t="s">
        <v>58</v>
      </c>
      <c r="G2881" s="1" t="s">
        <v>18</v>
      </c>
      <c r="H2881" s="1">
        <v>-8</v>
      </c>
      <c r="I2881" s="1">
        <v>0.33</v>
      </c>
      <c r="J2881" s="1">
        <v>0</v>
      </c>
      <c r="K2881" s="2">
        <v>43410</v>
      </c>
      <c r="L2881" s="1">
        <v>3716</v>
      </c>
      <c r="M2881" s="1">
        <v>3.51</v>
      </c>
      <c r="N2881" s="1">
        <v>0.55908000000000002</v>
      </c>
      <c r="O2881" s="3">
        <f>VLOOKUP(D2881,underlying!$D$40:$H$75,5,FALSE)</f>
        <v>-3</v>
      </c>
      <c r="P2881" s="4">
        <f t="shared" si="112"/>
        <v>43262</v>
      </c>
      <c r="Q2881" s="7">
        <f>IF(G2881="C",NormalCallSprd(O2881,H2881,M2881,(P2881-A2881)/365), NormalPutSprd(O2881,H2881,M2881,(P2881-A2881)/365))</f>
        <v>0.33451047397409578</v>
      </c>
      <c r="R2881" s="9">
        <f t="shared" si="111"/>
        <v>4.5104739740957633E-3</v>
      </c>
    </row>
    <row r="2882" spans="1:18" x14ac:dyDescent="0.2">
      <c r="A2882" s="2">
        <v>42622</v>
      </c>
      <c r="B2882" s="1" t="s">
        <v>56</v>
      </c>
      <c r="C2882" s="1" t="s">
        <v>57</v>
      </c>
      <c r="D2882" s="2">
        <v>43106</v>
      </c>
      <c r="E2882" s="2">
        <f t="shared" ref="E2882:E2945" si="113">DATE(YEAR(D2882),DAY(D2882),MONTH(D2882))</f>
        <v>43252</v>
      </c>
      <c r="F2882" s="1" t="s">
        <v>58</v>
      </c>
      <c r="G2882" s="1" t="s">
        <v>16</v>
      </c>
      <c r="H2882" s="1">
        <v>-7</v>
      </c>
      <c r="I2882" s="1">
        <v>4.45</v>
      </c>
      <c r="J2882" s="1">
        <v>0</v>
      </c>
      <c r="K2882" s="2">
        <v>43410</v>
      </c>
      <c r="L2882" s="1">
        <v>3716</v>
      </c>
      <c r="M2882" s="1">
        <v>3.51</v>
      </c>
      <c r="N2882" s="1">
        <v>0.57545000000000002</v>
      </c>
      <c r="O2882" s="3">
        <f>VLOOKUP(D2882,underlying!$D$40:$H$75,5,FALSE)</f>
        <v>-3</v>
      </c>
      <c r="P2882" s="4">
        <f t="shared" si="112"/>
        <v>43262</v>
      </c>
      <c r="Q2882" s="7">
        <f>IF(G2882="C",NormalCallSprd(O2882,H2882,M2882,(P2882-A2882)/365), NormalPutSprd(O2882,H2882,M2882,(P2882-A2882)/365))</f>
        <v>4.5014502027591368</v>
      </c>
      <c r="R2882" s="9">
        <f t="shared" si="111"/>
        <v>5.1450202759136587E-2</v>
      </c>
    </row>
    <row r="2883" spans="1:18" x14ac:dyDescent="0.2">
      <c r="A2883" s="2">
        <v>42622</v>
      </c>
      <c r="B2883" s="1" t="s">
        <v>56</v>
      </c>
      <c r="C2883" s="1" t="s">
        <v>57</v>
      </c>
      <c r="D2883" s="2">
        <v>43106</v>
      </c>
      <c r="E2883" s="2">
        <f t="shared" si="113"/>
        <v>43252</v>
      </c>
      <c r="F2883" s="1" t="s">
        <v>58</v>
      </c>
      <c r="G2883" s="1" t="s">
        <v>18</v>
      </c>
      <c r="H2883" s="1">
        <v>-7</v>
      </c>
      <c r="I2883" s="1">
        <v>0.5</v>
      </c>
      <c r="J2883" s="1">
        <v>0</v>
      </c>
      <c r="K2883" s="2">
        <v>43410</v>
      </c>
      <c r="L2883" s="1">
        <v>3716</v>
      </c>
      <c r="M2883" s="1">
        <v>3.51</v>
      </c>
      <c r="N2883" s="1">
        <v>0.59262000000000004</v>
      </c>
      <c r="O2883" s="3">
        <f>VLOOKUP(D2883,underlying!$D$40:$H$75,5,FALSE)</f>
        <v>-3</v>
      </c>
      <c r="P2883" s="4">
        <f t="shared" si="112"/>
        <v>43262</v>
      </c>
      <c r="Q2883" s="7">
        <f>IF(G2883="C",NormalCallSprd(O2883,H2883,M2883,(P2883-A2883)/365), NormalPutSprd(O2883,H2883,M2883,(P2883-A2883)/365))</f>
        <v>0.50145020275913665</v>
      </c>
      <c r="R2883" s="9">
        <f t="shared" ref="R2883:R2946" si="114">ABS(Q2883-I2883)</f>
        <v>1.450202759136654E-3</v>
      </c>
    </row>
    <row r="2884" spans="1:18" x14ac:dyDescent="0.2">
      <c r="A2884" s="2">
        <v>42622</v>
      </c>
      <c r="B2884" s="1" t="s">
        <v>56</v>
      </c>
      <c r="C2884" s="1" t="s">
        <v>57</v>
      </c>
      <c r="D2884" s="2">
        <v>43106</v>
      </c>
      <c r="E2884" s="2">
        <f t="shared" si="113"/>
        <v>43252</v>
      </c>
      <c r="F2884" s="1" t="s">
        <v>58</v>
      </c>
      <c r="G2884" s="1" t="s">
        <v>16</v>
      </c>
      <c r="H2884" s="1">
        <v>-6</v>
      </c>
      <c r="I2884" s="1">
        <v>3.69</v>
      </c>
      <c r="J2884" s="1">
        <v>0</v>
      </c>
      <c r="K2884" s="2">
        <v>43410</v>
      </c>
      <c r="L2884" s="1">
        <v>3716</v>
      </c>
      <c r="M2884" s="1">
        <v>3.51</v>
      </c>
      <c r="N2884" s="1">
        <v>0.60846999999999996</v>
      </c>
      <c r="O2884" s="3">
        <f>VLOOKUP(D2884,underlying!$D$40:$H$75,5,FALSE)</f>
        <v>-3</v>
      </c>
      <c r="P2884" s="4">
        <f t="shared" si="112"/>
        <v>43262</v>
      </c>
      <c r="Q2884" s="7">
        <f>IF(G2884="C",NormalCallSprd(O2884,H2884,M2884,(P2884-A2884)/365), NormalPutSprd(O2884,H2884,M2884,(P2884-A2884)/365))</f>
        <v>3.7275992712160213</v>
      </c>
      <c r="R2884" s="9">
        <f t="shared" si="114"/>
        <v>3.7599271216021357E-2</v>
      </c>
    </row>
    <row r="2885" spans="1:18" x14ac:dyDescent="0.2">
      <c r="A2885" s="2">
        <v>42622</v>
      </c>
      <c r="B2885" s="1" t="s">
        <v>56</v>
      </c>
      <c r="C2885" s="1" t="s">
        <v>57</v>
      </c>
      <c r="D2885" s="2">
        <v>43106</v>
      </c>
      <c r="E2885" s="2">
        <f t="shared" si="113"/>
        <v>43252</v>
      </c>
      <c r="F2885" s="1" t="s">
        <v>58</v>
      </c>
      <c r="G2885" s="1" t="s">
        <v>18</v>
      </c>
      <c r="H2885" s="1">
        <v>-6</v>
      </c>
      <c r="I2885" s="1">
        <v>0.72</v>
      </c>
      <c r="J2885" s="1">
        <v>0</v>
      </c>
      <c r="K2885" s="2">
        <v>43410</v>
      </c>
      <c r="L2885" s="1">
        <v>3716</v>
      </c>
      <c r="M2885" s="1">
        <v>3.51</v>
      </c>
      <c r="N2885" s="1">
        <v>0.62539999999999996</v>
      </c>
      <c r="O2885" s="3">
        <f>VLOOKUP(D2885,underlying!$D$40:$H$75,5,FALSE)</f>
        <v>-3</v>
      </c>
      <c r="P2885" s="4">
        <f t="shared" si="112"/>
        <v>43262</v>
      </c>
      <c r="Q2885" s="7">
        <f>IF(G2885="C",NormalCallSprd(O2885,H2885,M2885,(P2885-A2885)/365), NormalPutSprd(O2885,H2885,M2885,(P2885-A2885)/365))</f>
        <v>0.72759927121602153</v>
      </c>
      <c r="R2885" s="9">
        <f t="shared" si="114"/>
        <v>7.5992712160215525E-3</v>
      </c>
    </row>
    <row r="2886" spans="1:18" x14ac:dyDescent="0.2">
      <c r="A2886" s="2">
        <v>42622</v>
      </c>
      <c r="B2886" s="1" t="s">
        <v>56</v>
      </c>
      <c r="C2886" s="1" t="s">
        <v>57</v>
      </c>
      <c r="D2886" s="2">
        <v>43106</v>
      </c>
      <c r="E2886" s="2">
        <f t="shared" si="113"/>
        <v>43252</v>
      </c>
      <c r="F2886" s="1" t="s">
        <v>58</v>
      </c>
      <c r="G2886" s="1" t="s">
        <v>16</v>
      </c>
      <c r="H2886" s="1">
        <v>-5.75</v>
      </c>
      <c r="I2886" s="1">
        <v>3.5</v>
      </c>
      <c r="J2886" s="1">
        <v>-0.01</v>
      </c>
      <c r="K2886" s="2">
        <v>43410</v>
      </c>
      <c r="L2886" s="1">
        <v>3716</v>
      </c>
      <c r="M2886" s="1">
        <v>3.51</v>
      </c>
      <c r="N2886" s="1">
        <v>0.64061000000000001</v>
      </c>
      <c r="O2886" s="3">
        <f>VLOOKUP(D2886,underlying!$D$40:$H$75,5,FALSE)</f>
        <v>-3</v>
      </c>
      <c r="P2886" s="4">
        <f t="shared" si="112"/>
        <v>43262</v>
      </c>
      <c r="Q2886" s="7">
        <f>IF(G2886="C",NormalCallSprd(O2886,H2886,M2886,(P2886-A2886)/365), NormalPutSprd(O2886,H2886,M2886,(P2886-A2886)/365))</f>
        <v>3.5446305681090808</v>
      </c>
      <c r="R2886" s="9">
        <f t="shared" si="114"/>
        <v>4.4630568109080837E-2</v>
      </c>
    </row>
    <row r="2887" spans="1:18" x14ac:dyDescent="0.2">
      <c r="A2887" s="2">
        <v>42622</v>
      </c>
      <c r="B2887" s="1" t="s">
        <v>56</v>
      </c>
      <c r="C2887" s="1" t="s">
        <v>57</v>
      </c>
      <c r="D2887" s="2">
        <v>43106</v>
      </c>
      <c r="E2887" s="2">
        <f t="shared" si="113"/>
        <v>43252</v>
      </c>
      <c r="F2887" s="1" t="s">
        <v>58</v>
      </c>
      <c r="G2887" s="1" t="s">
        <v>18</v>
      </c>
      <c r="H2887" s="1">
        <v>-5.75</v>
      </c>
      <c r="I2887" s="1">
        <v>0.79</v>
      </c>
      <c r="J2887" s="1">
        <v>0</v>
      </c>
      <c r="K2887" s="2">
        <v>43410</v>
      </c>
      <c r="L2887" s="1">
        <v>3716</v>
      </c>
      <c r="M2887" s="1">
        <v>3.51</v>
      </c>
      <c r="N2887" s="1">
        <v>0.65629000000000004</v>
      </c>
      <c r="O2887" s="3">
        <f>VLOOKUP(D2887,underlying!$D$40:$H$75,5,FALSE)</f>
        <v>-3</v>
      </c>
      <c r="P2887" s="4">
        <f t="shared" si="112"/>
        <v>43262</v>
      </c>
      <c r="Q2887" s="7">
        <f>IF(G2887="C",NormalCallSprd(O2887,H2887,M2887,(P2887-A2887)/365), NormalPutSprd(O2887,H2887,M2887,(P2887-A2887)/365))</f>
        <v>0.79463056810908095</v>
      </c>
      <c r="R2887" s="9">
        <f t="shared" si="114"/>
        <v>4.6305681090809125E-3</v>
      </c>
    </row>
    <row r="2888" spans="1:18" x14ac:dyDescent="0.2">
      <c r="A2888" s="2">
        <v>42622</v>
      </c>
      <c r="B2888" s="1" t="s">
        <v>56</v>
      </c>
      <c r="C2888" s="1" t="s">
        <v>57</v>
      </c>
      <c r="D2888" s="2">
        <v>43106</v>
      </c>
      <c r="E2888" s="2">
        <f t="shared" si="113"/>
        <v>43252</v>
      </c>
      <c r="F2888" s="1" t="s">
        <v>58</v>
      </c>
      <c r="G2888" s="1" t="s">
        <v>16</v>
      </c>
      <c r="H2888" s="1">
        <v>-5.5</v>
      </c>
      <c r="I2888" s="1">
        <v>3.33</v>
      </c>
      <c r="J2888" s="1">
        <v>0</v>
      </c>
      <c r="K2888" s="2">
        <v>43410</v>
      </c>
      <c r="L2888" s="1">
        <v>3716</v>
      </c>
      <c r="M2888" s="1">
        <v>3.51</v>
      </c>
      <c r="N2888" s="1">
        <v>0.67168000000000005</v>
      </c>
      <c r="O2888" s="3">
        <f>VLOOKUP(D2888,underlying!$D$40:$H$75,5,FALSE)</f>
        <v>-3</v>
      </c>
      <c r="P2888" s="4">
        <f t="shared" si="112"/>
        <v>43262</v>
      </c>
      <c r="Q2888" s="7">
        <f>IF(G2888="C",NormalCallSprd(O2888,H2888,M2888,(P2888-A2888)/365), NormalPutSprd(O2888,H2888,M2888,(P2888-A2888)/365))</f>
        <v>3.3661643578144642</v>
      </c>
      <c r="R2888" s="9">
        <f t="shared" si="114"/>
        <v>3.6164357814464143E-2</v>
      </c>
    </row>
    <row r="2889" spans="1:18" x14ac:dyDescent="0.2">
      <c r="A2889" s="2">
        <v>42622</v>
      </c>
      <c r="B2889" s="1" t="s">
        <v>56</v>
      </c>
      <c r="C2889" s="1" t="s">
        <v>57</v>
      </c>
      <c r="D2889" s="2">
        <v>43106</v>
      </c>
      <c r="E2889" s="2">
        <f t="shared" si="113"/>
        <v>43252</v>
      </c>
      <c r="F2889" s="1" t="s">
        <v>58</v>
      </c>
      <c r="G2889" s="1" t="s">
        <v>18</v>
      </c>
      <c r="H2889" s="1">
        <v>-5.5</v>
      </c>
      <c r="I2889" s="1">
        <v>0.86</v>
      </c>
      <c r="J2889" s="1">
        <v>0</v>
      </c>
      <c r="K2889" s="2">
        <v>43410</v>
      </c>
      <c r="L2889" s="1">
        <v>3716</v>
      </c>
      <c r="M2889" s="1">
        <v>3.51</v>
      </c>
      <c r="N2889" s="1">
        <v>0.68674000000000002</v>
      </c>
      <c r="O2889" s="3">
        <f>VLOOKUP(D2889,underlying!$D$40:$H$75,5,FALSE)</f>
        <v>-3</v>
      </c>
      <c r="P2889" s="4">
        <f t="shared" si="112"/>
        <v>43262</v>
      </c>
      <c r="Q2889" s="7">
        <f>IF(G2889="C",NormalCallSprd(O2889,H2889,M2889,(P2889-A2889)/365), NormalPutSprd(O2889,H2889,M2889,(P2889-A2889)/365))</f>
        <v>0.8661643578144641</v>
      </c>
      <c r="R2889" s="9">
        <f t="shared" si="114"/>
        <v>6.1643578144641165E-3</v>
      </c>
    </row>
    <row r="2890" spans="1:18" x14ac:dyDescent="0.2">
      <c r="A2890" s="2">
        <v>42622</v>
      </c>
      <c r="B2890" s="1" t="s">
        <v>56</v>
      </c>
      <c r="C2890" s="1" t="s">
        <v>57</v>
      </c>
      <c r="D2890" s="2">
        <v>43106</v>
      </c>
      <c r="E2890" s="2">
        <f t="shared" si="113"/>
        <v>43252</v>
      </c>
      <c r="F2890" s="1" t="s">
        <v>58</v>
      </c>
      <c r="G2890" s="1" t="s">
        <v>16</v>
      </c>
      <c r="H2890" s="1">
        <v>-5.25</v>
      </c>
      <c r="I2890" s="1">
        <v>3.16</v>
      </c>
      <c r="J2890" s="1">
        <v>0</v>
      </c>
      <c r="K2890" s="2">
        <v>43410</v>
      </c>
      <c r="L2890" s="1">
        <v>3716</v>
      </c>
      <c r="M2890" s="1">
        <v>3.51</v>
      </c>
      <c r="N2890" s="1">
        <v>0.71582999999999997</v>
      </c>
      <c r="O2890" s="3">
        <f>VLOOKUP(D2890,underlying!$D$40:$H$75,5,FALSE)</f>
        <v>-3</v>
      </c>
      <c r="P2890" s="4">
        <f t="shared" si="112"/>
        <v>43262</v>
      </c>
      <c r="Q2890" s="7">
        <f>IF(G2890="C",NormalCallSprd(O2890,H2890,M2890,(P2890-A2890)/365), NormalPutSprd(O2890,H2890,M2890,(P2890-A2890)/365))</f>
        <v>3.1923394506488059</v>
      </c>
      <c r="R2890" s="9">
        <f t="shared" si="114"/>
        <v>3.2339450648805723E-2</v>
      </c>
    </row>
    <row r="2891" spans="1:18" x14ac:dyDescent="0.2">
      <c r="A2891" s="2">
        <v>42622</v>
      </c>
      <c r="B2891" s="1" t="s">
        <v>56</v>
      </c>
      <c r="C2891" s="1" t="s">
        <v>57</v>
      </c>
      <c r="D2891" s="2">
        <v>43106</v>
      </c>
      <c r="E2891" s="2">
        <f t="shared" si="113"/>
        <v>43252</v>
      </c>
      <c r="F2891" s="1" t="s">
        <v>58</v>
      </c>
      <c r="G2891" s="1" t="s">
        <v>18</v>
      </c>
      <c r="H2891" s="1">
        <v>-5.25</v>
      </c>
      <c r="I2891" s="1">
        <v>0.93</v>
      </c>
      <c r="J2891" s="1">
        <v>0</v>
      </c>
      <c r="K2891" s="2">
        <v>43410</v>
      </c>
      <c r="L2891" s="1">
        <v>3716</v>
      </c>
      <c r="M2891" s="1">
        <v>3.51</v>
      </c>
      <c r="N2891" s="1">
        <v>0.77</v>
      </c>
      <c r="O2891" s="3">
        <f>VLOOKUP(D2891,underlying!$D$40:$H$75,5,FALSE)</f>
        <v>-3</v>
      </c>
      <c r="P2891" s="4">
        <f t="shared" si="112"/>
        <v>43262</v>
      </c>
      <c r="Q2891" s="7">
        <f>IF(G2891="C",NormalCallSprd(O2891,H2891,M2891,(P2891-A2891)/365), NormalPutSprd(O2891,H2891,M2891,(P2891-A2891)/365))</f>
        <v>0.94233945064880609</v>
      </c>
      <c r="R2891" s="9">
        <f t="shared" si="114"/>
        <v>1.2339450648806038E-2</v>
      </c>
    </row>
    <row r="2892" spans="1:18" x14ac:dyDescent="0.2">
      <c r="A2892" s="2">
        <v>42622</v>
      </c>
      <c r="B2892" s="1" t="s">
        <v>56</v>
      </c>
      <c r="C2892" s="1" t="s">
        <v>57</v>
      </c>
      <c r="D2892" s="2">
        <v>43106</v>
      </c>
      <c r="E2892" s="2">
        <f t="shared" si="113"/>
        <v>43252</v>
      </c>
      <c r="F2892" s="1" t="s">
        <v>58</v>
      </c>
      <c r="G2892" s="1" t="s">
        <v>16</v>
      </c>
      <c r="H2892" s="1">
        <v>-5</v>
      </c>
      <c r="I2892" s="1">
        <v>2.98</v>
      </c>
      <c r="J2892" s="1">
        <v>0</v>
      </c>
      <c r="K2892" s="2">
        <v>43410</v>
      </c>
      <c r="L2892" s="1">
        <v>3716</v>
      </c>
      <c r="M2892" s="1">
        <v>3.49</v>
      </c>
      <c r="N2892" s="1">
        <v>0.81738999999999995</v>
      </c>
      <c r="O2892" s="3">
        <f>VLOOKUP(D2892,underlying!$D$40:$H$75,5,FALSE)</f>
        <v>-3</v>
      </c>
      <c r="P2892" s="4">
        <f t="shared" si="112"/>
        <v>43262</v>
      </c>
      <c r="Q2892" s="7">
        <f>IF(G2892="C",NormalCallSprd(O2892,H2892,M2892,(P2892-A2892)/365), NormalPutSprd(O2892,H2892,M2892,(P2892-A2892)/365))</f>
        <v>3.013659136028501</v>
      </c>
      <c r="R2892" s="9">
        <f t="shared" si="114"/>
        <v>3.3659136028501013E-2</v>
      </c>
    </row>
    <row r="2893" spans="1:18" x14ac:dyDescent="0.2">
      <c r="A2893" s="2">
        <v>42622</v>
      </c>
      <c r="B2893" s="1" t="s">
        <v>56</v>
      </c>
      <c r="C2893" s="1" t="s">
        <v>57</v>
      </c>
      <c r="D2893" s="2">
        <v>43106</v>
      </c>
      <c r="E2893" s="2">
        <f t="shared" si="113"/>
        <v>43252</v>
      </c>
      <c r="F2893" s="1" t="s">
        <v>58</v>
      </c>
      <c r="G2893" s="1" t="s">
        <v>18</v>
      </c>
      <c r="H2893" s="1">
        <v>-5</v>
      </c>
      <c r="I2893" s="1">
        <v>1</v>
      </c>
      <c r="J2893" s="1">
        <v>0</v>
      </c>
      <c r="K2893" s="2">
        <v>43410</v>
      </c>
      <c r="L2893" s="1">
        <v>3716</v>
      </c>
      <c r="M2893" s="1">
        <v>3.49</v>
      </c>
      <c r="N2893" s="1">
        <v>-0.57569000000000004</v>
      </c>
      <c r="O2893" s="3">
        <f>VLOOKUP(D2893,underlying!$D$40:$H$75,5,FALSE)</f>
        <v>-3</v>
      </c>
      <c r="P2893" s="4">
        <f t="shared" si="112"/>
        <v>43262</v>
      </c>
      <c r="Q2893" s="7">
        <f>IF(G2893="C",NormalCallSprd(O2893,H2893,M2893,(P2893-A2893)/365), NormalPutSprd(O2893,H2893,M2893,(P2893-A2893)/365))</f>
        <v>1.0136591360285008</v>
      </c>
      <c r="R2893" s="9">
        <f t="shared" si="114"/>
        <v>1.3659136028500773E-2</v>
      </c>
    </row>
    <row r="2894" spans="1:18" x14ac:dyDescent="0.2">
      <c r="A2894" s="2">
        <v>42622</v>
      </c>
      <c r="B2894" s="1" t="s">
        <v>56</v>
      </c>
      <c r="C2894" s="1" t="s">
        <v>57</v>
      </c>
      <c r="D2894" s="2">
        <v>43106</v>
      </c>
      <c r="E2894" s="2">
        <f t="shared" si="113"/>
        <v>43252</v>
      </c>
      <c r="F2894" s="1" t="s">
        <v>58</v>
      </c>
      <c r="G2894" s="1" t="s">
        <v>16</v>
      </c>
      <c r="H2894" s="1">
        <v>-4.75</v>
      </c>
      <c r="I2894" s="1">
        <v>2.83</v>
      </c>
      <c r="J2894" s="1">
        <v>0</v>
      </c>
      <c r="K2894" s="2">
        <v>43410</v>
      </c>
      <c r="L2894" s="1">
        <v>3716</v>
      </c>
      <c r="M2894" s="1">
        <v>3.51</v>
      </c>
      <c r="N2894" s="1">
        <v>-0.55908000000000002</v>
      </c>
      <c r="O2894" s="3">
        <f>VLOOKUP(D2894,underlying!$D$40:$H$75,5,FALSE)</f>
        <v>-3</v>
      </c>
      <c r="P2894" s="4">
        <f t="shared" si="112"/>
        <v>43262</v>
      </c>
      <c r="Q2894" s="7">
        <f>IF(G2894="C",NormalCallSprd(O2894,H2894,M2894,(P2894-A2894)/365), NormalPutSprd(O2894,H2894,M2894,(P2894-A2894)/365))</f>
        <v>2.8591200839723121</v>
      </c>
      <c r="R2894" s="9">
        <f t="shared" si="114"/>
        <v>2.9120083972312027E-2</v>
      </c>
    </row>
    <row r="2895" spans="1:18" x14ac:dyDescent="0.2">
      <c r="A2895" s="2">
        <v>42622</v>
      </c>
      <c r="B2895" s="1" t="s">
        <v>56</v>
      </c>
      <c r="C2895" s="1" t="s">
        <v>57</v>
      </c>
      <c r="D2895" s="2">
        <v>43106</v>
      </c>
      <c r="E2895" s="2">
        <f t="shared" si="113"/>
        <v>43252</v>
      </c>
      <c r="F2895" s="1" t="s">
        <v>58</v>
      </c>
      <c r="G2895" s="1" t="s">
        <v>18</v>
      </c>
      <c r="H2895" s="1">
        <v>-4.75</v>
      </c>
      <c r="I2895" s="1">
        <v>1.1000000000000001</v>
      </c>
      <c r="J2895" s="1">
        <v>0</v>
      </c>
      <c r="K2895" s="2">
        <v>43410</v>
      </c>
      <c r="L2895" s="1">
        <v>3716</v>
      </c>
      <c r="M2895" s="1">
        <v>3.51</v>
      </c>
      <c r="N2895" s="1">
        <v>-0.54195000000000004</v>
      </c>
      <c r="O2895" s="3">
        <f>VLOOKUP(D2895,underlying!$D$40:$H$75,5,FALSE)</f>
        <v>-3</v>
      </c>
      <c r="P2895" s="4">
        <f t="shared" si="112"/>
        <v>43262</v>
      </c>
      <c r="Q2895" s="7">
        <f>IF(G2895="C",NormalCallSprd(O2895,H2895,M2895,(P2895-A2895)/365), NormalPutSprd(O2895,H2895,M2895,(P2895-A2895)/365))</f>
        <v>1.1091200839723123</v>
      </c>
      <c r="R2895" s="9">
        <f t="shared" si="114"/>
        <v>9.1200839723122318E-3</v>
      </c>
    </row>
    <row r="2896" spans="1:18" x14ac:dyDescent="0.2">
      <c r="A2896" s="2">
        <v>42622</v>
      </c>
      <c r="B2896" s="1" t="s">
        <v>56</v>
      </c>
      <c r="C2896" s="1" t="s">
        <v>57</v>
      </c>
      <c r="D2896" s="2">
        <v>43106</v>
      </c>
      <c r="E2896" s="2">
        <f t="shared" si="113"/>
        <v>43252</v>
      </c>
      <c r="F2896" s="1" t="s">
        <v>58</v>
      </c>
      <c r="G2896" s="1" t="s">
        <v>16</v>
      </c>
      <c r="H2896" s="1">
        <v>-4.5</v>
      </c>
      <c r="I2896" s="1">
        <v>2.66</v>
      </c>
      <c r="J2896" s="1">
        <v>0</v>
      </c>
      <c r="K2896" s="2">
        <v>43410</v>
      </c>
      <c r="L2896" s="1">
        <v>3716</v>
      </c>
      <c r="M2896" s="1">
        <v>3.49</v>
      </c>
      <c r="N2896" s="1">
        <v>-0.52492000000000005</v>
      </c>
      <c r="O2896" s="3">
        <f>VLOOKUP(D2896,underlying!$D$40:$H$75,5,FALSE)</f>
        <v>-3</v>
      </c>
      <c r="P2896" s="4">
        <f t="shared" si="112"/>
        <v>43262</v>
      </c>
      <c r="Q2896" s="7">
        <f>IF(G2896="C",NormalCallSprd(O2896,H2896,M2896,(P2896-A2896)/365), NormalPutSprd(O2896,H2896,M2896,(P2896-A2896)/365))</f>
        <v>2.6899253256207425</v>
      </c>
      <c r="R2896" s="9">
        <f t="shared" si="114"/>
        <v>2.9925325620742349E-2</v>
      </c>
    </row>
    <row r="2897" spans="1:18" x14ac:dyDescent="0.2">
      <c r="A2897" s="2">
        <v>42622</v>
      </c>
      <c r="B2897" s="1" t="s">
        <v>56</v>
      </c>
      <c r="C2897" s="1" t="s">
        <v>57</v>
      </c>
      <c r="D2897" s="2">
        <v>43106</v>
      </c>
      <c r="E2897" s="2">
        <f t="shared" si="113"/>
        <v>43252</v>
      </c>
      <c r="F2897" s="1" t="s">
        <v>58</v>
      </c>
      <c r="G2897" s="1" t="s">
        <v>18</v>
      </c>
      <c r="H2897" s="1">
        <v>-4.5</v>
      </c>
      <c r="I2897" s="1">
        <v>1.18</v>
      </c>
      <c r="J2897" s="1">
        <v>0</v>
      </c>
      <c r="K2897" s="2">
        <v>43410</v>
      </c>
      <c r="L2897" s="1">
        <v>3716</v>
      </c>
      <c r="M2897" s="1">
        <v>3.49</v>
      </c>
      <c r="N2897" s="1">
        <v>-0.50777000000000005</v>
      </c>
      <c r="O2897" s="3">
        <f>VLOOKUP(D2897,underlying!$D$40:$H$75,5,FALSE)</f>
        <v>-3</v>
      </c>
      <c r="P2897" s="4">
        <f t="shared" si="112"/>
        <v>43262</v>
      </c>
      <c r="Q2897" s="7">
        <f>IF(G2897="C",NormalCallSprd(O2897,H2897,M2897,(P2897-A2897)/365), NormalPutSprd(O2897,H2897,M2897,(P2897-A2897)/365))</f>
        <v>1.1899253256207425</v>
      </c>
      <c r="R2897" s="9">
        <f t="shared" si="114"/>
        <v>9.9253256207425533E-3</v>
      </c>
    </row>
    <row r="2898" spans="1:18" x14ac:dyDescent="0.2">
      <c r="A2898" s="2">
        <v>42622</v>
      </c>
      <c r="B2898" s="1" t="s">
        <v>56</v>
      </c>
      <c r="C2898" s="1" t="s">
        <v>57</v>
      </c>
      <c r="D2898" s="2">
        <v>43106</v>
      </c>
      <c r="E2898" s="2">
        <f t="shared" si="113"/>
        <v>43252</v>
      </c>
      <c r="F2898" s="1" t="s">
        <v>58</v>
      </c>
      <c r="G2898" s="1" t="s">
        <v>16</v>
      </c>
      <c r="H2898" s="1">
        <v>-4.25</v>
      </c>
      <c r="I2898" s="1">
        <v>2.52</v>
      </c>
      <c r="J2898" s="1">
        <v>0</v>
      </c>
      <c r="K2898" s="2">
        <v>43410</v>
      </c>
      <c r="L2898" s="1">
        <v>3716</v>
      </c>
      <c r="M2898" s="1">
        <v>3.51</v>
      </c>
      <c r="N2898" s="1">
        <v>-0.49069000000000002</v>
      </c>
      <c r="O2898" s="3">
        <f>VLOOKUP(D2898,underlying!$D$40:$H$75,5,FALSE)</f>
        <v>-3</v>
      </c>
      <c r="P2898" s="4">
        <f t="shared" si="112"/>
        <v>43262</v>
      </c>
      <c r="Q2898" s="7">
        <f>IF(G2898="C",NormalCallSprd(O2898,H2898,M2898,(P2898-A2898)/365), NormalPutSprd(O2898,H2898,M2898,(P2898-A2898)/365))</f>
        <v>2.5458742949750115</v>
      </c>
      <c r="R2898" s="9">
        <f t="shared" si="114"/>
        <v>2.587429497501148E-2</v>
      </c>
    </row>
    <row r="2899" spans="1:18" x14ac:dyDescent="0.2">
      <c r="A2899" s="2">
        <v>42622</v>
      </c>
      <c r="B2899" s="1" t="s">
        <v>56</v>
      </c>
      <c r="C2899" s="1" t="s">
        <v>57</v>
      </c>
      <c r="D2899" s="2">
        <v>43106</v>
      </c>
      <c r="E2899" s="2">
        <f t="shared" si="113"/>
        <v>43252</v>
      </c>
      <c r="F2899" s="1" t="s">
        <v>58</v>
      </c>
      <c r="G2899" s="1" t="s">
        <v>18</v>
      </c>
      <c r="H2899" s="1">
        <v>-4.25</v>
      </c>
      <c r="I2899" s="1">
        <v>1.28</v>
      </c>
      <c r="J2899" s="1">
        <v>0</v>
      </c>
      <c r="K2899" s="2">
        <v>43410</v>
      </c>
      <c r="L2899" s="1">
        <v>3716</v>
      </c>
      <c r="M2899" s="1">
        <v>3.51</v>
      </c>
      <c r="N2899" s="1">
        <v>-0.47360000000000002</v>
      </c>
      <c r="O2899" s="3">
        <f>VLOOKUP(D2899,underlying!$D$40:$H$75,5,FALSE)</f>
        <v>-3</v>
      </c>
      <c r="P2899" s="4">
        <f t="shared" si="112"/>
        <v>43262</v>
      </c>
      <c r="Q2899" s="7">
        <f>IF(G2899="C",NormalCallSprd(O2899,H2899,M2899,(P2899-A2899)/365), NormalPutSprd(O2899,H2899,M2899,(P2899-A2899)/365))</f>
        <v>1.2958742949750117</v>
      </c>
      <c r="R2899" s="9">
        <f t="shared" si="114"/>
        <v>1.5874294975011694E-2</v>
      </c>
    </row>
    <row r="2900" spans="1:18" x14ac:dyDescent="0.2">
      <c r="A2900" s="2">
        <v>42622</v>
      </c>
      <c r="B2900" s="1" t="s">
        <v>56</v>
      </c>
      <c r="C2900" s="1" t="s">
        <v>57</v>
      </c>
      <c r="D2900" s="2">
        <v>43106</v>
      </c>
      <c r="E2900" s="2">
        <f t="shared" si="113"/>
        <v>43252</v>
      </c>
      <c r="F2900" s="1" t="s">
        <v>58</v>
      </c>
      <c r="G2900" s="1" t="s">
        <v>16</v>
      </c>
      <c r="H2900" s="1">
        <v>-4</v>
      </c>
      <c r="I2900" s="1">
        <v>2.36</v>
      </c>
      <c r="J2900" s="1">
        <v>0</v>
      </c>
      <c r="K2900" s="2">
        <v>43410</v>
      </c>
      <c r="L2900" s="1">
        <v>3716</v>
      </c>
      <c r="M2900" s="1">
        <v>3.49</v>
      </c>
      <c r="N2900" s="1">
        <v>-0.45645999999999998</v>
      </c>
      <c r="O2900" s="3">
        <f>VLOOKUP(D2900,underlying!$D$40:$H$75,5,FALSE)</f>
        <v>-3</v>
      </c>
      <c r="P2900" s="4">
        <f t="shared" si="112"/>
        <v>43262</v>
      </c>
      <c r="Q2900" s="7">
        <f>IF(G2900="C",NormalCallSprd(O2900,H2900,M2900,(P2900-A2900)/365), NormalPutSprd(O2900,H2900,M2900,(P2900-A2900)/365))</f>
        <v>2.3866477319070145</v>
      </c>
      <c r="R2900" s="9">
        <f t="shared" si="114"/>
        <v>2.6647731907014638E-2</v>
      </c>
    </row>
    <row r="2901" spans="1:18" x14ac:dyDescent="0.2">
      <c r="A2901" s="2">
        <v>42622</v>
      </c>
      <c r="B2901" s="1" t="s">
        <v>56</v>
      </c>
      <c r="C2901" s="1" t="s">
        <v>57</v>
      </c>
      <c r="D2901" s="2">
        <v>43106</v>
      </c>
      <c r="E2901" s="2">
        <f t="shared" si="113"/>
        <v>43252</v>
      </c>
      <c r="F2901" s="1" t="s">
        <v>58</v>
      </c>
      <c r="G2901" s="1" t="s">
        <v>18</v>
      </c>
      <c r="H2901" s="1">
        <v>-4</v>
      </c>
      <c r="I2901" s="1">
        <v>1.37</v>
      </c>
      <c r="J2901" s="1">
        <v>0</v>
      </c>
      <c r="K2901" s="2">
        <v>43410</v>
      </c>
      <c r="L2901" s="1">
        <v>3716</v>
      </c>
      <c r="M2901" s="1">
        <v>3.49</v>
      </c>
      <c r="N2901" s="1">
        <v>-0.43941999999999998</v>
      </c>
      <c r="O2901" s="3">
        <f>VLOOKUP(D2901,underlying!$D$40:$H$75,5,FALSE)</f>
        <v>-3</v>
      </c>
      <c r="P2901" s="4">
        <f t="shared" si="112"/>
        <v>43262</v>
      </c>
      <c r="Q2901" s="7">
        <f>IF(G2901="C",NormalCallSprd(O2901,H2901,M2901,(P2901-A2901)/365), NormalPutSprd(O2901,H2901,M2901,(P2901-A2901)/365))</f>
        <v>1.3866477319070147</v>
      </c>
      <c r="R2901" s="9">
        <f t="shared" si="114"/>
        <v>1.6647731907014629E-2</v>
      </c>
    </row>
    <row r="2902" spans="1:18" x14ac:dyDescent="0.2">
      <c r="A2902" s="2">
        <v>42622</v>
      </c>
      <c r="B2902" s="1" t="s">
        <v>56</v>
      </c>
      <c r="C2902" s="1" t="s">
        <v>57</v>
      </c>
      <c r="D2902" s="2">
        <v>43106</v>
      </c>
      <c r="E2902" s="2">
        <f t="shared" si="113"/>
        <v>43252</v>
      </c>
      <c r="F2902" s="1" t="s">
        <v>58</v>
      </c>
      <c r="G2902" s="1" t="s">
        <v>16</v>
      </c>
      <c r="H2902" s="1">
        <v>-3.75</v>
      </c>
      <c r="I2902" s="1">
        <v>2.2200000000000002</v>
      </c>
      <c r="J2902" s="1">
        <v>-0.01</v>
      </c>
      <c r="K2902" s="2">
        <v>43410</v>
      </c>
      <c r="L2902" s="1">
        <v>3716</v>
      </c>
      <c r="M2902" s="1">
        <v>3.5</v>
      </c>
      <c r="N2902" s="1">
        <v>-0.42229</v>
      </c>
      <c r="O2902" s="3">
        <f>VLOOKUP(D2902,underlying!$D$40:$H$75,5,FALSE)</f>
        <v>-3</v>
      </c>
      <c r="P2902" s="4">
        <f t="shared" si="112"/>
        <v>43262</v>
      </c>
      <c r="Q2902" s="7">
        <f>IF(G2902="C",NormalCallSprd(O2902,H2902,M2902,(P2902-A2902)/365), NormalPutSprd(O2902,H2902,M2902,(P2902-A2902)/365))</f>
        <v>2.248092183855273</v>
      </c>
      <c r="R2902" s="9">
        <f t="shared" si="114"/>
        <v>2.809218385527279E-2</v>
      </c>
    </row>
    <row r="2903" spans="1:18" x14ac:dyDescent="0.2">
      <c r="A2903" s="2">
        <v>42622</v>
      </c>
      <c r="B2903" s="1" t="s">
        <v>56</v>
      </c>
      <c r="C2903" s="1" t="s">
        <v>57</v>
      </c>
      <c r="D2903" s="2">
        <v>43106</v>
      </c>
      <c r="E2903" s="2">
        <f t="shared" si="113"/>
        <v>43252</v>
      </c>
      <c r="F2903" s="1" t="s">
        <v>58</v>
      </c>
      <c r="G2903" s="1" t="s">
        <v>18</v>
      </c>
      <c r="H2903" s="1">
        <v>-3.75</v>
      </c>
      <c r="I2903" s="1">
        <v>1.48</v>
      </c>
      <c r="J2903" s="1">
        <v>0</v>
      </c>
      <c r="K2903" s="2">
        <v>43410</v>
      </c>
      <c r="L2903" s="1">
        <v>3716</v>
      </c>
      <c r="M2903" s="1">
        <v>3.5</v>
      </c>
      <c r="N2903" s="1">
        <v>-0.40592</v>
      </c>
      <c r="O2903" s="3">
        <f>VLOOKUP(D2903,underlying!$D$40:$H$75,5,FALSE)</f>
        <v>-3</v>
      </c>
      <c r="P2903" s="4">
        <f t="shared" si="112"/>
        <v>43262</v>
      </c>
      <c r="Q2903" s="7">
        <f>IF(G2903="C",NormalCallSprd(O2903,H2903,M2903,(P2903-A2903)/365), NormalPutSprd(O2903,H2903,M2903,(P2903-A2903)/365))</f>
        <v>1.4980921838552728</v>
      </c>
      <c r="R2903" s="9">
        <f t="shared" si="114"/>
        <v>1.8092183855272781E-2</v>
      </c>
    </row>
    <row r="2904" spans="1:18" x14ac:dyDescent="0.2">
      <c r="A2904" s="2">
        <v>42622</v>
      </c>
      <c r="B2904" s="1" t="s">
        <v>56</v>
      </c>
      <c r="C2904" s="1" t="s">
        <v>57</v>
      </c>
      <c r="D2904" s="2">
        <v>43106</v>
      </c>
      <c r="E2904" s="2">
        <f t="shared" si="113"/>
        <v>43252</v>
      </c>
      <c r="F2904" s="1" t="s">
        <v>58</v>
      </c>
      <c r="G2904" s="1" t="s">
        <v>16</v>
      </c>
      <c r="H2904" s="1">
        <v>-3.5</v>
      </c>
      <c r="I2904" s="1">
        <v>2.09</v>
      </c>
      <c r="J2904" s="1">
        <v>0</v>
      </c>
      <c r="K2904" s="2">
        <v>43410</v>
      </c>
      <c r="L2904" s="1">
        <v>3716</v>
      </c>
      <c r="M2904" s="1">
        <v>3.5</v>
      </c>
      <c r="N2904" s="1">
        <v>-0.38874999999999998</v>
      </c>
      <c r="O2904" s="3">
        <f>VLOOKUP(D2904,underlying!$D$40:$H$75,5,FALSE)</f>
        <v>-3</v>
      </c>
      <c r="P2904" s="4">
        <f t="shared" si="112"/>
        <v>43262</v>
      </c>
      <c r="Q2904" s="7">
        <f>IF(G2904="C",NormalCallSprd(O2904,H2904,M2904,(P2904-A2904)/365), NormalPutSprd(O2904,H2904,M2904,(P2904-A2904)/365))</f>
        <v>2.1096845726015623</v>
      </c>
      <c r="R2904" s="9">
        <f t="shared" si="114"/>
        <v>1.9684572601562422E-2</v>
      </c>
    </row>
    <row r="2905" spans="1:18" x14ac:dyDescent="0.2">
      <c r="A2905" s="2">
        <v>42622</v>
      </c>
      <c r="B2905" s="1" t="s">
        <v>56</v>
      </c>
      <c r="C2905" s="1" t="s">
        <v>57</v>
      </c>
      <c r="D2905" s="2">
        <v>43106</v>
      </c>
      <c r="E2905" s="2">
        <f t="shared" si="113"/>
        <v>43252</v>
      </c>
      <c r="F2905" s="1" t="s">
        <v>58</v>
      </c>
      <c r="G2905" s="1" t="s">
        <v>18</v>
      </c>
      <c r="H2905" s="1">
        <v>-3.5</v>
      </c>
      <c r="I2905" s="1">
        <v>1.59</v>
      </c>
      <c r="J2905" s="1">
        <v>0</v>
      </c>
      <c r="K2905" s="2">
        <v>43410</v>
      </c>
      <c r="L2905" s="1">
        <v>3716</v>
      </c>
      <c r="M2905" s="1">
        <v>3.5</v>
      </c>
      <c r="N2905" s="1">
        <v>-0.37291000000000002</v>
      </c>
      <c r="O2905" s="3">
        <f>VLOOKUP(D2905,underlying!$D$40:$H$75,5,FALSE)</f>
        <v>-3</v>
      </c>
      <c r="P2905" s="4">
        <f t="shared" si="112"/>
        <v>43262</v>
      </c>
      <c r="Q2905" s="7">
        <f>IF(G2905="C",NormalCallSprd(O2905,H2905,M2905,(P2905-A2905)/365), NormalPutSprd(O2905,H2905,M2905,(P2905-A2905)/365))</f>
        <v>1.6096845726015623</v>
      </c>
      <c r="R2905" s="9">
        <f t="shared" si="114"/>
        <v>1.96845726015622E-2</v>
      </c>
    </row>
    <row r="2906" spans="1:18" x14ac:dyDescent="0.2">
      <c r="A2906" s="2">
        <v>42622</v>
      </c>
      <c r="B2906" s="1" t="s">
        <v>56</v>
      </c>
      <c r="C2906" s="1" t="s">
        <v>57</v>
      </c>
      <c r="D2906" s="2">
        <v>43106</v>
      </c>
      <c r="E2906" s="2">
        <f t="shared" si="113"/>
        <v>43252</v>
      </c>
      <c r="F2906" s="1" t="s">
        <v>58</v>
      </c>
      <c r="G2906" s="1" t="s">
        <v>16</v>
      </c>
      <c r="H2906" s="1">
        <v>-3.25</v>
      </c>
      <c r="I2906" s="1">
        <v>1.96</v>
      </c>
      <c r="J2906" s="1">
        <v>0</v>
      </c>
      <c r="K2906" s="2">
        <v>43410</v>
      </c>
      <c r="L2906" s="1">
        <v>3716</v>
      </c>
      <c r="M2906" s="1">
        <v>3.51</v>
      </c>
      <c r="N2906" s="1">
        <v>-0.35597000000000001</v>
      </c>
      <c r="O2906" s="3">
        <f>VLOOKUP(D2906,underlying!$D$40:$H$75,5,FALSE)</f>
        <v>-3</v>
      </c>
      <c r="P2906" s="4">
        <f t="shared" si="112"/>
        <v>43262</v>
      </c>
      <c r="Q2906" s="7">
        <f>IF(G2906="C",NormalCallSprd(O2906,H2906,M2906,(P2906-A2906)/365), NormalPutSprd(O2906,H2906,M2906,(P2906-A2906)/365))</f>
        <v>1.9818994285799671</v>
      </c>
      <c r="R2906" s="9">
        <f t="shared" si="114"/>
        <v>2.1899428579967184E-2</v>
      </c>
    </row>
    <row r="2907" spans="1:18" x14ac:dyDescent="0.2">
      <c r="A2907" s="2">
        <v>42622</v>
      </c>
      <c r="B2907" s="1" t="s">
        <v>56</v>
      </c>
      <c r="C2907" s="1" t="s">
        <v>57</v>
      </c>
      <c r="D2907" s="2">
        <v>43106</v>
      </c>
      <c r="E2907" s="2">
        <f t="shared" si="113"/>
        <v>43252</v>
      </c>
      <c r="F2907" s="1" t="s">
        <v>58</v>
      </c>
      <c r="G2907" s="1" t="s">
        <v>18</v>
      </c>
      <c r="H2907" s="1">
        <v>-3.25</v>
      </c>
      <c r="I2907" s="1">
        <v>1.71</v>
      </c>
      <c r="J2907" s="1">
        <v>0</v>
      </c>
      <c r="K2907" s="2">
        <v>43410</v>
      </c>
      <c r="L2907" s="1">
        <v>3716</v>
      </c>
      <c r="M2907" s="1">
        <v>3.51</v>
      </c>
      <c r="N2907" s="1">
        <v>-0.34076000000000001</v>
      </c>
      <c r="O2907" s="3">
        <f>VLOOKUP(D2907,underlying!$D$40:$H$75,5,FALSE)</f>
        <v>-3</v>
      </c>
      <c r="P2907" s="4">
        <f t="shared" si="112"/>
        <v>43262</v>
      </c>
      <c r="Q2907" s="7">
        <f>IF(G2907="C",NormalCallSprd(O2907,H2907,M2907,(P2907-A2907)/365), NormalPutSprd(O2907,H2907,M2907,(P2907-A2907)/365))</f>
        <v>1.7318994285799671</v>
      </c>
      <c r="R2907" s="9">
        <f t="shared" si="114"/>
        <v>2.1899428579967184E-2</v>
      </c>
    </row>
    <row r="2908" spans="1:18" x14ac:dyDescent="0.2">
      <c r="A2908" s="2">
        <v>42622</v>
      </c>
      <c r="B2908" s="1" t="s">
        <v>56</v>
      </c>
      <c r="C2908" s="1" t="s">
        <v>57</v>
      </c>
      <c r="D2908" s="2">
        <v>43106</v>
      </c>
      <c r="E2908" s="2">
        <f t="shared" si="113"/>
        <v>43252</v>
      </c>
      <c r="F2908" s="1" t="s">
        <v>58</v>
      </c>
      <c r="G2908" s="1" t="s">
        <v>16</v>
      </c>
      <c r="H2908" s="1">
        <v>-3</v>
      </c>
      <c r="I2908" s="1">
        <v>1.83</v>
      </c>
      <c r="J2908" s="1">
        <v>0</v>
      </c>
      <c r="K2908" s="2">
        <v>43410</v>
      </c>
      <c r="L2908" s="1">
        <v>3716</v>
      </c>
      <c r="M2908" s="1">
        <v>3.5</v>
      </c>
      <c r="N2908" s="1">
        <v>-0.32507999999999998</v>
      </c>
      <c r="O2908" s="3">
        <f>VLOOKUP(D2908,underlying!$D$40:$H$75,5,FALSE)</f>
        <v>-3</v>
      </c>
      <c r="P2908" s="4">
        <f t="shared" si="112"/>
        <v>43262</v>
      </c>
      <c r="Q2908" s="7">
        <f>IF(G2908="C",NormalCallSprd(O2908,H2908,M2908,(P2908-A2908)/365), NormalPutSprd(O2908,H2908,M2908,(P2908-A2908)/365))</f>
        <v>1.8489350906470234</v>
      </c>
      <c r="R2908" s="9">
        <f t="shared" si="114"/>
        <v>1.8935090647023367E-2</v>
      </c>
    </row>
    <row r="2909" spans="1:18" x14ac:dyDescent="0.2">
      <c r="A2909" s="2">
        <v>42622</v>
      </c>
      <c r="B2909" s="1" t="s">
        <v>56</v>
      </c>
      <c r="C2909" s="1" t="s">
        <v>57</v>
      </c>
      <c r="D2909" s="2">
        <v>43106</v>
      </c>
      <c r="E2909" s="2">
        <f t="shared" si="113"/>
        <v>43252</v>
      </c>
      <c r="F2909" s="1" t="s">
        <v>58</v>
      </c>
      <c r="G2909" s="1" t="s">
        <v>18</v>
      </c>
      <c r="H2909" s="1">
        <v>-3</v>
      </c>
      <c r="I2909" s="1">
        <v>1.83</v>
      </c>
      <c r="J2909" s="1">
        <v>0</v>
      </c>
      <c r="K2909" s="2">
        <v>43410</v>
      </c>
      <c r="L2909" s="1">
        <v>3716</v>
      </c>
      <c r="M2909" s="1">
        <v>3.5</v>
      </c>
      <c r="N2909" s="1">
        <v>-0.30969999999999998</v>
      </c>
      <c r="O2909" s="3">
        <f>VLOOKUP(D2909,underlying!$D$40:$H$75,5,FALSE)</f>
        <v>-3</v>
      </c>
      <c r="P2909" s="4">
        <f t="shared" si="112"/>
        <v>43262</v>
      </c>
      <c r="Q2909" s="7">
        <f>IF(G2909="C",NormalCallSprd(O2909,H2909,M2909,(P2909-A2909)/365), NormalPutSprd(O2909,H2909,M2909,(P2909-A2909)/365))</f>
        <v>1.8489350906470234</v>
      </c>
      <c r="R2909" s="9">
        <f t="shared" si="114"/>
        <v>1.8935090647023367E-2</v>
      </c>
    </row>
    <row r="2910" spans="1:18" x14ac:dyDescent="0.2">
      <c r="A2910" s="2">
        <v>42622</v>
      </c>
      <c r="B2910" s="1" t="s">
        <v>56</v>
      </c>
      <c r="C2910" s="1" t="s">
        <v>57</v>
      </c>
      <c r="D2910" s="2">
        <v>43106</v>
      </c>
      <c r="E2910" s="2">
        <f t="shared" si="113"/>
        <v>43252</v>
      </c>
      <c r="F2910" s="1" t="s">
        <v>58</v>
      </c>
      <c r="G2910" s="1" t="s">
        <v>16</v>
      </c>
      <c r="H2910" s="1">
        <v>-2.75</v>
      </c>
      <c r="I2910" s="1">
        <v>1.71</v>
      </c>
      <c r="J2910" s="1">
        <v>0</v>
      </c>
      <c r="K2910" s="2">
        <v>43410</v>
      </c>
      <c r="L2910" s="1">
        <v>3716</v>
      </c>
      <c r="M2910" s="1">
        <v>3.51</v>
      </c>
      <c r="N2910" s="1">
        <v>-0.29463</v>
      </c>
      <c r="O2910" s="3">
        <f>VLOOKUP(D2910,underlying!$D$40:$H$75,5,FALSE)</f>
        <v>-3</v>
      </c>
      <c r="P2910" s="4">
        <f t="shared" si="112"/>
        <v>43262</v>
      </c>
      <c r="Q2910" s="7">
        <f>IF(G2910="C",NormalCallSprd(O2910,H2910,M2910,(P2910-A2910)/365), NormalPutSprd(O2910,H2910,M2910,(P2910-A2910)/365))</f>
        <v>1.7318994285799671</v>
      </c>
      <c r="R2910" s="9">
        <f t="shared" si="114"/>
        <v>2.1899428579967184E-2</v>
      </c>
    </row>
    <row r="2911" spans="1:18" x14ac:dyDescent="0.2">
      <c r="A2911" s="2">
        <v>42622</v>
      </c>
      <c r="B2911" s="1" t="s">
        <v>56</v>
      </c>
      <c r="C2911" s="1" t="s">
        <v>57</v>
      </c>
      <c r="D2911" s="2">
        <v>43106</v>
      </c>
      <c r="E2911" s="2">
        <f t="shared" si="113"/>
        <v>43252</v>
      </c>
      <c r="F2911" s="1" t="s">
        <v>58</v>
      </c>
      <c r="G2911" s="1" t="s">
        <v>18</v>
      </c>
      <c r="H2911" s="1">
        <v>-2.75</v>
      </c>
      <c r="I2911" s="1">
        <v>1.96</v>
      </c>
      <c r="J2911" s="1">
        <v>0</v>
      </c>
      <c r="K2911" s="2">
        <v>43410</v>
      </c>
      <c r="L2911" s="1">
        <v>3716</v>
      </c>
      <c r="M2911" s="1">
        <v>3.51</v>
      </c>
      <c r="N2911" s="1">
        <v>-0.26554</v>
      </c>
      <c r="O2911" s="3">
        <f>VLOOKUP(D2911,underlying!$D$40:$H$75,5,FALSE)</f>
        <v>-3</v>
      </c>
      <c r="P2911" s="4">
        <f t="shared" si="112"/>
        <v>43262</v>
      </c>
      <c r="Q2911" s="7">
        <f>IF(G2911="C",NormalCallSprd(O2911,H2911,M2911,(P2911-A2911)/365), NormalPutSprd(O2911,H2911,M2911,(P2911-A2911)/365))</f>
        <v>1.9818994285799671</v>
      </c>
      <c r="R2911" s="9">
        <f t="shared" si="114"/>
        <v>2.1899428579967184E-2</v>
      </c>
    </row>
    <row r="2912" spans="1:18" x14ac:dyDescent="0.2">
      <c r="A2912" s="2">
        <v>42622</v>
      </c>
      <c r="B2912" s="1" t="s">
        <v>56</v>
      </c>
      <c r="C2912" s="1" t="s">
        <v>57</v>
      </c>
      <c r="D2912" s="2">
        <v>43106</v>
      </c>
      <c r="E2912" s="2">
        <f t="shared" si="113"/>
        <v>43252</v>
      </c>
      <c r="F2912" s="1" t="s">
        <v>58</v>
      </c>
      <c r="G2912" s="1" t="s">
        <v>16</v>
      </c>
      <c r="H2912" s="1">
        <v>-2.5</v>
      </c>
      <c r="I2912" s="1">
        <v>1.59</v>
      </c>
      <c r="J2912" s="1">
        <v>0</v>
      </c>
      <c r="K2912" s="2">
        <v>43410</v>
      </c>
      <c r="L2912" s="1">
        <v>3716</v>
      </c>
      <c r="M2912" s="1">
        <v>3.5</v>
      </c>
      <c r="N2912" s="1">
        <v>-0.21137</v>
      </c>
      <c r="O2912" s="3">
        <f>VLOOKUP(D2912,underlying!$D$40:$H$75,5,FALSE)</f>
        <v>-3</v>
      </c>
      <c r="P2912" s="4">
        <f t="shared" si="112"/>
        <v>43262</v>
      </c>
      <c r="Q2912" s="7">
        <f>IF(G2912="C",NormalCallSprd(O2912,H2912,M2912,(P2912-A2912)/365), NormalPutSprd(O2912,H2912,M2912,(P2912-A2912)/365))</f>
        <v>1.6096845726015623</v>
      </c>
      <c r="R2912" s="9">
        <f t="shared" si="114"/>
        <v>1.96845726015622E-2</v>
      </c>
    </row>
    <row r="2913" spans="1:18" x14ac:dyDescent="0.2">
      <c r="A2913" s="2">
        <v>42622</v>
      </c>
      <c r="B2913" s="1" t="s">
        <v>56</v>
      </c>
      <c r="C2913" s="1" t="s">
        <v>57</v>
      </c>
      <c r="D2913" s="2">
        <v>43106</v>
      </c>
      <c r="E2913" s="2">
        <f t="shared" si="113"/>
        <v>43252</v>
      </c>
      <c r="F2913" s="1" t="s">
        <v>58</v>
      </c>
      <c r="G2913" s="1" t="s">
        <v>18</v>
      </c>
      <c r="H2913" s="1">
        <v>-2.5</v>
      </c>
      <c r="I2913" s="1">
        <v>2.09</v>
      </c>
      <c r="J2913" s="1">
        <v>0</v>
      </c>
      <c r="K2913" s="2">
        <v>43410</v>
      </c>
      <c r="L2913" s="1">
        <v>3716</v>
      </c>
      <c r="M2913" s="1">
        <v>3.5</v>
      </c>
      <c r="N2913" s="1">
        <v>-0.16397999999999999</v>
      </c>
      <c r="O2913" s="3">
        <f>VLOOKUP(D2913,underlying!$D$40:$H$75,5,FALSE)</f>
        <v>-3</v>
      </c>
      <c r="P2913" s="4">
        <f t="shared" si="112"/>
        <v>43262</v>
      </c>
      <c r="Q2913" s="7">
        <f>IF(G2913="C",NormalCallSprd(O2913,H2913,M2913,(P2913-A2913)/365), NormalPutSprd(O2913,H2913,M2913,(P2913-A2913)/365))</f>
        <v>2.1096845726015623</v>
      </c>
      <c r="R2913" s="9">
        <f t="shared" si="114"/>
        <v>1.9684572601562422E-2</v>
      </c>
    </row>
    <row r="2914" spans="1:18" x14ac:dyDescent="0.2">
      <c r="A2914" s="2">
        <v>42622</v>
      </c>
      <c r="B2914" s="1" t="s">
        <v>56</v>
      </c>
      <c r="C2914" s="1" t="s">
        <v>57</v>
      </c>
      <c r="D2914" s="2">
        <v>43106</v>
      </c>
      <c r="E2914" s="2">
        <f t="shared" si="113"/>
        <v>43252</v>
      </c>
      <c r="F2914" s="1" t="s">
        <v>58</v>
      </c>
      <c r="G2914" s="1" t="s">
        <v>16</v>
      </c>
      <c r="H2914" s="1">
        <v>-2.25</v>
      </c>
      <c r="I2914" s="1">
        <v>1.48</v>
      </c>
      <c r="J2914" s="1">
        <v>0</v>
      </c>
      <c r="K2914" s="2">
        <v>43410</v>
      </c>
      <c r="L2914" s="1">
        <v>3716</v>
      </c>
      <c r="M2914" s="1">
        <v>3.5</v>
      </c>
      <c r="N2914" s="1">
        <v>0.14599000000000001</v>
      </c>
      <c r="O2914" s="3">
        <f>VLOOKUP(D2914,underlying!$D$40:$H$75,5,FALSE)</f>
        <v>-3</v>
      </c>
      <c r="P2914" s="4">
        <f t="shared" si="112"/>
        <v>43262</v>
      </c>
      <c r="Q2914" s="7">
        <f>IF(G2914="C",NormalCallSprd(O2914,H2914,M2914,(P2914-A2914)/365), NormalPutSprd(O2914,H2914,M2914,(P2914-A2914)/365))</f>
        <v>1.4980921838552728</v>
      </c>
      <c r="R2914" s="9">
        <f t="shared" si="114"/>
        <v>1.8092183855272781E-2</v>
      </c>
    </row>
    <row r="2915" spans="1:18" x14ac:dyDescent="0.2">
      <c r="A2915" s="2">
        <v>42622</v>
      </c>
      <c r="B2915" s="1" t="s">
        <v>56</v>
      </c>
      <c r="C2915" s="1" t="s">
        <v>57</v>
      </c>
      <c r="D2915" s="2">
        <v>43106</v>
      </c>
      <c r="E2915" s="2">
        <f t="shared" si="113"/>
        <v>43252</v>
      </c>
      <c r="F2915" s="1" t="s">
        <v>58</v>
      </c>
      <c r="G2915" s="1" t="s">
        <v>18</v>
      </c>
      <c r="H2915" s="1">
        <v>-2.25</v>
      </c>
      <c r="I2915" s="1">
        <v>2.2200000000000002</v>
      </c>
      <c r="J2915" s="1">
        <v>-0.01</v>
      </c>
      <c r="K2915" s="2">
        <v>43410</v>
      </c>
      <c r="L2915" s="1">
        <v>3716</v>
      </c>
      <c r="M2915" s="1">
        <v>3.5</v>
      </c>
      <c r="N2915" s="1">
        <v>0.16383</v>
      </c>
      <c r="O2915" s="3">
        <f>VLOOKUP(D2915,underlying!$D$40:$H$75,5,FALSE)</f>
        <v>-3</v>
      </c>
      <c r="P2915" s="4">
        <f t="shared" si="112"/>
        <v>43262</v>
      </c>
      <c r="Q2915" s="7">
        <f>IF(G2915="C",NormalCallSprd(O2915,H2915,M2915,(P2915-A2915)/365), NormalPutSprd(O2915,H2915,M2915,(P2915-A2915)/365))</f>
        <v>2.248092183855273</v>
      </c>
      <c r="R2915" s="9">
        <f t="shared" si="114"/>
        <v>2.809218385527279E-2</v>
      </c>
    </row>
    <row r="2916" spans="1:18" x14ac:dyDescent="0.2">
      <c r="A2916" s="2">
        <v>42622</v>
      </c>
      <c r="B2916" s="1" t="s">
        <v>56</v>
      </c>
      <c r="C2916" s="1" t="s">
        <v>57</v>
      </c>
      <c r="D2916" s="2">
        <v>43106</v>
      </c>
      <c r="E2916" s="2">
        <f t="shared" si="113"/>
        <v>43252</v>
      </c>
      <c r="F2916" s="1" t="s">
        <v>58</v>
      </c>
      <c r="G2916" s="1" t="s">
        <v>16</v>
      </c>
      <c r="H2916" s="1">
        <v>-2</v>
      </c>
      <c r="I2916" s="1">
        <v>1.37</v>
      </c>
      <c r="J2916" s="1">
        <v>0</v>
      </c>
      <c r="K2916" s="2">
        <v>43410</v>
      </c>
      <c r="L2916" s="1">
        <v>3716</v>
      </c>
      <c r="M2916" s="1">
        <v>3.49</v>
      </c>
      <c r="N2916" s="1">
        <v>0.18304000000000001</v>
      </c>
      <c r="O2916" s="3">
        <f>VLOOKUP(D2916,underlying!$D$40:$H$75,5,FALSE)</f>
        <v>-3</v>
      </c>
      <c r="P2916" s="4">
        <f t="shared" si="112"/>
        <v>43262</v>
      </c>
      <c r="Q2916" s="7">
        <f>IF(G2916="C",NormalCallSprd(O2916,H2916,M2916,(P2916-A2916)/365), NormalPutSprd(O2916,H2916,M2916,(P2916-A2916)/365))</f>
        <v>1.3866477319070147</v>
      </c>
      <c r="R2916" s="9">
        <f t="shared" si="114"/>
        <v>1.6647731907014629E-2</v>
      </c>
    </row>
    <row r="2917" spans="1:18" x14ac:dyDescent="0.2">
      <c r="A2917" s="2">
        <v>42622</v>
      </c>
      <c r="B2917" s="1" t="s">
        <v>56</v>
      </c>
      <c r="C2917" s="1" t="s">
        <v>57</v>
      </c>
      <c r="D2917" s="2">
        <v>43106</v>
      </c>
      <c r="E2917" s="2">
        <f t="shared" si="113"/>
        <v>43252</v>
      </c>
      <c r="F2917" s="1" t="s">
        <v>58</v>
      </c>
      <c r="G2917" s="1" t="s">
        <v>18</v>
      </c>
      <c r="H2917" s="1">
        <v>-2</v>
      </c>
      <c r="I2917" s="1">
        <v>2.36</v>
      </c>
      <c r="J2917" s="1">
        <v>0</v>
      </c>
      <c r="K2917" s="2">
        <v>43410</v>
      </c>
      <c r="L2917" s="1">
        <v>3716</v>
      </c>
      <c r="M2917" s="1">
        <v>3.49</v>
      </c>
      <c r="N2917" s="1">
        <v>0.20297999999999999</v>
      </c>
      <c r="O2917" s="3">
        <f>VLOOKUP(D2917,underlying!$D$40:$H$75,5,FALSE)</f>
        <v>-3</v>
      </c>
      <c r="P2917" s="4">
        <f t="shared" si="112"/>
        <v>43262</v>
      </c>
      <c r="Q2917" s="7">
        <f>IF(G2917="C",NormalCallSprd(O2917,H2917,M2917,(P2917-A2917)/365), NormalPutSprd(O2917,H2917,M2917,(P2917-A2917)/365))</f>
        <v>2.3866477319070145</v>
      </c>
      <c r="R2917" s="9">
        <f t="shared" si="114"/>
        <v>2.6647731907014638E-2</v>
      </c>
    </row>
    <row r="2918" spans="1:18" x14ac:dyDescent="0.2">
      <c r="A2918" s="2">
        <v>42622</v>
      </c>
      <c r="B2918" s="1" t="s">
        <v>56</v>
      </c>
      <c r="C2918" s="1" t="s">
        <v>57</v>
      </c>
      <c r="D2918" s="2">
        <v>43106</v>
      </c>
      <c r="E2918" s="2">
        <f t="shared" si="113"/>
        <v>43252</v>
      </c>
      <c r="F2918" s="1" t="s">
        <v>58</v>
      </c>
      <c r="G2918" s="1" t="s">
        <v>16</v>
      </c>
      <c r="H2918" s="1">
        <v>-1.75</v>
      </c>
      <c r="I2918" s="1">
        <v>1.28</v>
      </c>
      <c r="J2918" s="1">
        <v>0</v>
      </c>
      <c r="K2918" s="2">
        <v>43410</v>
      </c>
      <c r="L2918" s="1">
        <v>3716</v>
      </c>
      <c r="M2918" s="1">
        <v>3.5</v>
      </c>
      <c r="N2918" s="1">
        <v>0.96609</v>
      </c>
      <c r="O2918" s="3">
        <f>VLOOKUP(D2918,underlying!$D$40:$H$75,5,FALSE)</f>
        <v>-3</v>
      </c>
      <c r="P2918" s="4">
        <f t="shared" si="112"/>
        <v>43262</v>
      </c>
      <c r="Q2918" s="7">
        <f>IF(G2918="C",NormalCallSprd(O2918,H2918,M2918,(P2918-A2918)/365), NormalPutSprd(O2918,H2918,M2918,(P2918-A2918)/365))</f>
        <v>1.2907797842780173</v>
      </c>
      <c r="R2918" s="9">
        <f t="shared" si="114"/>
        <v>1.077978427801729E-2</v>
      </c>
    </row>
    <row r="2919" spans="1:18" x14ac:dyDescent="0.2">
      <c r="A2919" s="2">
        <v>42622</v>
      </c>
      <c r="B2919" s="1" t="s">
        <v>56</v>
      </c>
      <c r="C2919" s="1" t="s">
        <v>57</v>
      </c>
      <c r="D2919" s="2">
        <v>43106</v>
      </c>
      <c r="E2919" s="2">
        <f t="shared" si="113"/>
        <v>43252</v>
      </c>
      <c r="F2919" s="1" t="s">
        <v>58</v>
      </c>
      <c r="G2919" s="1" t="s">
        <v>18</v>
      </c>
      <c r="H2919" s="1">
        <v>-1.75</v>
      </c>
      <c r="I2919" s="1">
        <v>2.5099999999999998</v>
      </c>
      <c r="J2919" s="1">
        <v>0</v>
      </c>
      <c r="K2919" s="2">
        <v>43410</v>
      </c>
      <c r="L2919" s="1">
        <v>3716</v>
      </c>
      <c r="M2919" s="1">
        <v>3.5</v>
      </c>
      <c r="N2919" s="1">
        <v>0.98143000000000002</v>
      </c>
      <c r="O2919" s="3">
        <f>VLOOKUP(D2919,underlying!$D$40:$H$75,5,FALSE)</f>
        <v>-3</v>
      </c>
      <c r="P2919" s="4">
        <f t="shared" si="112"/>
        <v>43262</v>
      </c>
      <c r="Q2919" s="7">
        <f>IF(G2919="C",NormalCallSprd(O2919,H2919,M2919,(P2919-A2919)/365), NormalPutSprd(O2919,H2919,M2919,(P2919-A2919)/365))</f>
        <v>2.5407797842780173</v>
      </c>
      <c r="R2919" s="9">
        <f t="shared" si="114"/>
        <v>3.077978427801753E-2</v>
      </c>
    </row>
    <row r="2920" spans="1:18" x14ac:dyDescent="0.2">
      <c r="A2920" s="2">
        <v>42622</v>
      </c>
      <c r="B2920" s="1" t="s">
        <v>56</v>
      </c>
      <c r="C2920" s="1" t="s">
        <v>57</v>
      </c>
      <c r="D2920" s="2">
        <v>43106</v>
      </c>
      <c r="E2920" s="2">
        <f t="shared" si="113"/>
        <v>43252</v>
      </c>
      <c r="F2920" s="1" t="s">
        <v>58</v>
      </c>
      <c r="G2920" s="1" t="s">
        <v>16</v>
      </c>
      <c r="H2920" s="1">
        <v>-1.5</v>
      </c>
      <c r="I2920" s="1">
        <v>1.18</v>
      </c>
      <c r="J2920" s="1">
        <v>0</v>
      </c>
      <c r="K2920" s="2">
        <v>43410</v>
      </c>
      <c r="L2920" s="1">
        <v>3716</v>
      </c>
      <c r="M2920" s="1">
        <v>3.5</v>
      </c>
      <c r="N2920" s="1">
        <v>0.22603000000000001</v>
      </c>
      <c r="O2920" s="3">
        <f>VLOOKUP(D2920,underlying!$D$40:$H$75,5,FALSE)</f>
        <v>-3</v>
      </c>
      <c r="P2920" s="4">
        <f t="shared" si="112"/>
        <v>43262</v>
      </c>
      <c r="Q2920" s="7">
        <f>IF(G2920="C",NormalCallSprd(O2920,H2920,M2920,(P2920-A2920)/365), NormalPutSprd(O2920,H2920,M2920,(P2920-A2920)/365))</f>
        <v>1.194937682621626</v>
      </c>
      <c r="R2920" s="9">
        <f t="shared" si="114"/>
        <v>1.4937682621626092E-2</v>
      </c>
    </row>
    <row r="2921" spans="1:18" x14ac:dyDescent="0.2">
      <c r="A2921" s="2">
        <v>42622</v>
      </c>
      <c r="B2921" s="1" t="s">
        <v>56</v>
      </c>
      <c r="C2921" s="1" t="s">
        <v>57</v>
      </c>
      <c r="D2921" s="2">
        <v>43106</v>
      </c>
      <c r="E2921" s="2">
        <f t="shared" si="113"/>
        <v>43252</v>
      </c>
      <c r="F2921" s="1" t="s">
        <v>58</v>
      </c>
      <c r="G2921" s="1" t="s">
        <v>18</v>
      </c>
      <c r="H2921" s="1">
        <v>-1.5</v>
      </c>
      <c r="I2921" s="1">
        <v>2.66</v>
      </c>
      <c r="J2921" s="1">
        <v>-0.01</v>
      </c>
      <c r="K2921" s="2">
        <v>43410</v>
      </c>
      <c r="L2921" s="1">
        <v>3716</v>
      </c>
      <c r="M2921" s="1">
        <v>3.5</v>
      </c>
      <c r="N2921" s="1">
        <v>0.24857000000000001</v>
      </c>
      <c r="O2921" s="3">
        <f>VLOOKUP(D2921,underlying!$D$40:$H$75,5,FALSE)</f>
        <v>-3</v>
      </c>
      <c r="P2921" s="4">
        <f t="shared" si="112"/>
        <v>43262</v>
      </c>
      <c r="Q2921" s="7">
        <f>IF(G2921="C",NormalCallSprd(O2921,H2921,M2921,(P2921-A2921)/365), NormalPutSprd(O2921,H2921,M2921,(P2921-A2921)/365))</f>
        <v>2.6949376826216258</v>
      </c>
      <c r="R2921" s="9">
        <f t="shared" si="114"/>
        <v>3.4937682621625665E-2</v>
      </c>
    </row>
    <row r="2922" spans="1:18" x14ac:dyDescent="0.2">
      <c r="A2922" s="2">
        <v>42622</v>
      </c>
      <c r="B2922" s="1" t="s">
        <v>56</v>
      </c>
      <c r="C2922" s="1" t="s">
        <v>57</v>
      </c>
      <c r="D2922" s="2">
        <v>43106</v>
      </c>
      <c r="E2922" s="2">
        <f t="shared" si="113"/>
        <v>43252</v>
      </c>
      <c r="F2922" s="1" t="s">
        <v>58</v>
      </c>
      <c r="G2922" s="1" t="s">
        <v>16</v>
      </c>
      <c r="H2922" s="1">
        <v>-1.25</v>
      </c>
      <c r="I2922" s="1">
        <v>1.1000000000000001</v>
      </c>
      <c r="J2922" s="1">
        <v>0</v>
      </c>
      <c r="K2922" s="2">
        <v>43410</v>
      </c>
      <c r="L2922" s="1">
        <v>3716</v>
      </c>
      <c r="M2922" s="1">
        <v>3.51</v>
      </c>
      <c r="N2922" s="1">
        <v>0.27185999999999999</v>
      </c>
      <c r="O2922" s="3">
        <f>VLOOKUP(D2922,underlying!$D$40:$H$75,5,FALSE)</f>
        <v>-3</v>
      </c>
      <c r="P2922" s="4">
        <f t="shared" si="112"/>
        <v>43262</v>
      </c>
      <c r="Q2922" s="7">
        <f>IF(G2922="C",NormalCallSprd(O2922,H2922,M2922,(P2922-A2922)/365), NormalPutSprd(O2922,H2922,M2922,(P2922-A2922)/365))</f>
        <v>1.1091200839723123</v>
      </c>
      <c r="R2922" s="9">
        <f t="shared" si="114"/>
        <v>9.1200839723122318E-3</v>
      </c>
    </row>
    <row r="2923" spans="1:18" x14ac:dyDescent="0.2">
      <c r="A2923" s="2">
        <v>42622</v>
      </c>
      <c r="B2923" s="1" t="s">
        <v>56</v>
      </c>
      <c r="C2923" s="1" t="s">
        <v>57</v>
      </c>
      <c r="D2923" s="2">
        <v>43106</v>
      </c>
      <c r="E2923" s="2">
        <f t="shared" si="113"/>
        <v>43252</v>
      </c>
      <c r="F2923" s="1" t="s">
        <v>58</v>
      </c>
      <c r="G2923" s="1" t="s">
        <v>18</v>
      </c>
      <c r="H2923" s="1">
        <v>-1.25</v>
      </c>
      <c r="I2923" s="1">
        <v>2.83</v>
      </c>
      <c r="J2923" s="1">
        <v>0</v>
      </c>
      <c r="K2923" s="2">
        <v>43410</v>
      </c>
      <c r="L2923" s="1">
        <v>3716</v>
      </c>
      <c r="M2923" s="1">
        <v>3.51</v>
      </c>
      <c r="N2923" s="1">
        <v>0.29836000000000001</v>
      </c>
      <c r="O2923" s="3">
        <f>VLOOKUP(D2923,underlying!$D$40:$H$75,5,FALSE)</f>
        <v>-3</v>
      </c>
      <c r="P2923" s="4">
        <f t="shared" si="112"/>
        <v>43262</v>
      </c>
      <c r="Q2923" s="7">
        <f>IF(G2923="C",NormalCallSprd(O2923,H2923,M2923,(P2923-A2923)/365), NormalPutSprd(O2923,H2923,M2923,(P2923-A2923)/365))</f>
        <v>2.8591200839723121</v>
      </c>
      <c r="R2923" s="9">
        <f t="shared" si="114"/>
        <v>2.9120083972312027E-2</v>
      </c>
    </row>
    <row r="2924" spans="1:18" x14ac:dyDescent="0.2">
      <c r="A2924" s="2">
        <v>42622</v>
      </c>
      <c r="B2924" s="1" t="s">
        <v>56</v>
      </c>
      <c r="C2924" s="1" t="s">
        <v>57</v>
      </c>
      <c r="D2924" s="2">
        <v>43106</v>
      </c>
      <c r="E2924" s="2">
        <f t="shared" si="113"/>
        <v>43252</v>
      </c>
      <c r="F2924" s="1" t="s">
        <v>58</v>
      </c>
      <c r="G2924" s="1" t="s">
        <v>16</v>
      </c>
      <c r="H2924" s="1">
        <v>-1</v>
      </c>
      <c r="I2924" s="1">
        <v>1.01</v>
      </c>
      <c r="J2924" s="1">
        <v>0</v>
      </c>
      <c r="K2924" s="2">
        <v>43410</v>
      </c>
      <c r="L2924" s="1">
        <v>3716</v>
      </c>
      <c r="M2924" s="1">
        <v>3.51</v>
      </c>
      <c r="N2924" s="1">
        <v>0.32399</v>
      </c>
      <c r="O2924" s="3">
        <f>VLOOKUP(D2924,underlying!$D$40:$H$75,5,FALSE)</f>
        <v>-3</v>
      </c>
      <c r="P2924" s="4">
        <f t="shared" si="112"/>
        <v>43262</v>
      </c>
      <c r="Q2924" s="7">
        <f>IF(G2924="C",NormalCallSprd(O2924,H2924,M2924,(P2924-A2924)/365), NormalPutSprd(O2924,H2924,M2924,(P2924-A2924)/365))</f>
        <v>1.0232851208486389</v>
      </c>
      <c r="R2924" s="9">
        <f t="shared" si="114"/>
        <v>1.3285120848638865E-2</v>
      </c>
    </row>
    <row r="2925" spans="1:18" x14ac:dyDescent="0.2">
      <c r="A2925" s="2">
        <v>42622</v>
      </c>
      <c r="B2925" s="1" t="s">
        <v>56</v>
      </c>
      <c r="C2925" s="1" t="s">
        <v>57</v>
      </c>
      <c r="D2925" s="2">
        <v>43106</v>
      </c>
      <c r="E2925" s="2">
        <f t="shared" si="113"/>
        <v>43252</v>
      </c>
      <c r="F2925" s="1" t="s">
        <v>58</v>
      </c>
      <c r="G2925" s="1" t="s">
        <v>18</v>
      </c>
      <c r="H2925" s="1">
        <v>-1</v>
      </c>
      <c r="I2925" s="1">
        <v>2.99</v>
      </c>
      <c r="J2925" s="1">
        <v>0</v>
      </c>
      <c r="K2925" s="2">
        <v>43410</v>
      </c>
      <c r="L2925" s="1">
        <v>3716</v>
      </c>
      <c r="M2925" s="1">
        <v>3.51</v>
      </c>
      <c r="N2925" s="1">
        <v>0.35221999999999998</v>
      </c>
      <c r="O2925" s="3">
        <f>VLOOKUP(D2925,underlying!$D$40:$H$75,5,FALSE)</f>
        <v>-3</v>
      </c>
      <c r="P2925" s="4">
        <f t="shared" si="112"/>
        <v>43262</v>
      </c>
      <c r="Q2925" s="7">
        <f>IF(G2925="C",NormalCallSprd(O2925,H2925,M2925,(P2925-A2925)/365), NormalPutSprd(O2925,H2925,M2925,(P2925-A2925)/365))</f>
        <v>3.0232851208486387</v>
      </c>
      <c r="R2925" s="9">
        <f t="shared" si="114"/>
        <v>3.3285120848638439E-2</v>
      </c>
    </row>
    <row r="2926" spans="1:18" x14ac:dyDescent="0.2">
      <c r="A2926" s="2">
        <v>42622</v>
      </c>
      <c r="B2926" s="1" t="s">
        <v>56</v>
      </c>
      <c r="C2926" s="1" t="s">
        <v>57</v>
      </c>
      <c r="D2926" s="2">
        <v>43106</v>
      </c>
      <c r="E2926" s="2">
        <f t="shared" si="113"/>
        <v>43252</v>
      </c>
      <c r="F2926" s="1" t="s">
        <v>58</v>
      </c>
      <c r="G2926" s="1" t="s">
        <v>16</v>
      </c>
      <c r="H2926" s="1">
        <v>-0.75</v>
      </c>
      <c r="I2926" s="1">
        <v>0.93</v>
      </c>
      <c r="J2926" s="1">
        <v>0</v>
      </c>
      <c r="K2926" s="2">
        <v>43410</v>
      </c>
      <c r="L2926" s="1">
        <v>3716</v>
      </c>
      <c r="M2926" s="1">
        <v>3.51</v>
      </c>
      <c r="N2926" s="1">
        <v>0.37979000000000002</v>
      </c>
      <c r="O2926" s="3">
        <f>VLOOKUP(D2926,underlying!$D$40:$H$75,5,FALSE)</f>
        <v>-3</v>
      </c>
      <c r="P2926" s="4">
        <f t="shared" si="112"/>
        <v>43262</v>
      </c>
      <c r="Q2926" s="7">
        <f>IF(G2926="C",NormalCallSprd(O2926,H2926,M2926,(P2926-A2926)/365), NormalPutSprd(O2926,H2926,M2926,(P2926-A2926)/365))</f>
        <v>0.94233945064880609</v>
      </c>
      <c r="R2926" s="9">
        <f t="shared" si="114"/>
        <v>1.2339450648806038E-2</v>
      </c>
    </row>
    <row r="2927" spans="1:18" x14ac:dyDescent="0.2">
      <c r="A2927" s="2">
        <v>42622</v>
      </c>
      <c r="B2927" s="1" t="s">
        <v>56</v>
      </c>
      <c r="C2927" s="1" t="s">
        <v>57</v>
      </c>
      <c r="D2927" s="2">
        <v>43106</v>
      </c>
      <c r="E2927" s="2">
        <f t="shared" si="113"/>
        <v>43252</v>
      </c>
      <c r="F2927" s="1" t="s">
        <v>58</v>
      </c>
      <c r="G2927" s="1" t="s">
        <v>18</v>
      </c>
      <c r="H2927" s="1">
        <v>-0.75</v>
      </c>
      <c r="I2927" s="1">
        <v>3.16</v>
      </c>
      <c r="J2927" s="1">
        <v>0</v>
      </c>
      <c r="K2927" s="2">
        <v>43410</v>
      </c>
      <c r="L2927" s="1">
        <v>3716</v>
      </c>
      <c r="M2927" s="1">
        <v>3.51</v>
      </c>
      <c r="N2927" s="1">
        <v>0.40897</v>
      </c>
      <c r="O2927" s="3">
        <f>VLOOKUP(D2927,underlying!$D$40:$H$75,5,FALSE)</f>
        <v>-3</v>
      </c>
      <c r="P2927" s="4">
        <f t="shared" si="112"/>
        <v>43262</v>
      </c>
      <c r="Q2927" s="7">
        <f>IF(G2927="C",NormalCallSprd(O2927,H2927,M2927,(P2927-A2927)/365), NormalPutSprd(O2927,H2927,M2927,(P2927-A2927)/365))</f>
        <v>3.1923394506488059</v>
      </c>
      <c r="R2927" s="9">
        <f t="shared" si="114"/>
        <v>3.2339450648805723E-2</v>
      </c>
    </row>
    <row r="2928" spans="1:18" x14ac:dyDescent="0.2">
      <c r="A2928" s="2">
        <v>42622</v>
      </c>
      <c r="B2928" s="1" t="s">
        <v>56</v>
      </c>
      <c r="C2928" s="1" t="s">
        <v>57</v>
      </c>
      <c r="D2928" s="2">
        <v>43106</v>
      </c>
      <c r="E2928" s="2">
        <f t="shared" si="113"/>
        <v>43252</v>
      </c>
      <c r="F2928" s="1" t="s">
        <v>58</v>
      </c>
      <c r="G2928" s="1" t="s">
        <v>16</v>
      </c>
      <c r="H2928" s="1">
        <v>-0.5</v>
      </c>
      <c r="I2928" s="1">
        <v>0.86</v>
      </c>
      <c r="J2928" s="1">
        <v>0</v>
      </c>
      <c r="K2928" s="2">
        <v>43410</v>
      </c>
      <c r="L2928" s="1">
        <v>3716</v>
      </c>
      <c r="M2928" s="1">
        <v>3.51</v>
      </c>
      <c r="N2928" s="1">
        <v>0.43835000000000002</v>
      </c>
      <c r="O2928" s="3">
        <f>VLOOKUP(D2928,underlying!$D$40:$H$75,5,FALSE)</f>
        <v>-3</v>
      </c>
      <c r="P2928" s="4">
        <f t="shared" si="112"/>
        <v>43262</v>
      </c>
      <c r="Q2928" s="7">
        <f>IF(G2928="C",NormalCallSprd(O2928,H2928,M2928,(P2928-A2928)/365), NormalPutSprd(O2928,H2928,M2928,(P2928-A2928)/365))</f>
        <v>0.8661643578144641</v>
      </c>
      <c r="R2928" s="9">
        <f t="shared" si="114"/>
        <v>6.1643578144641165E-3</v>
      </c>
    </row>
    <row r="2929" spans="1:18" x14ac:dyDescent="0.2">
      <c r="A2929" s="2">
        <v>42622</v>
      </c>
      <c r="B2929" s="1" t="s">
        <v>56</v>
      </c>
      <c r="C2929" s="1" t="s">
        <v>57</v>
      </c>
      <c r="D2929" s="2">
        <v>43106</v>
      </c>
      <c r="E2929" s="2">
        <f t="shared" si="113"/>
        <v>43252</v>
      </c>
      <c r="F2929" s="1" t="s">
        <v>58</v>
      </c>
      <c r="G2929" s="1" t="s">
        <v>18</v>
      </c>
      <c r="H2929" s="1">
        <v>-0.5</v>
      </c>
      <c r="I2929" s="1">
        <v>3.33</v>
      </c>
      <c r="J2929" s="1">
        <v>0</v>
      </c>
      <c r="K2929" s="2">
        <v>43410</v>
      </c>
      <c r="L2929" s="1">
        <v>3716</v>
      </c>
      <c r="M2929" s="1">
        <v>3.51</v>
      </c>
      <c r="N2929" s="1">
        <v>0.46814</v>
      </c>
      <c r="O2929" s="3">
        <f>VLOOKUP(D2929,underlying!$D$40:$H$75,5,FALSE)</f>
        <v>-3</v>
      </c>
      <c r="P2929" s="4">
        <f t="shared" si="112"/>
        <v>43262</v>
      </c>
      <c r="Q2929" s="7">
        <f>IF(G2929="C",NormalCallSprd(O2929,H2929,M2929,(P2929-A2929)/365), NormalPutSprd(O2929,H2929,M2929,(P2929-A2929)/365))</f>
        <v>3.3661643578144642</v>
      </c>
      <c r="R2929" s="9">
        <f t="shared" si="114"/>
        <v>3.6164357814464143E-2</v>
      </c>
    </row>
    <row r="2930" spans="1:18" x14ac:dyDescent="0.2">
      <c r="A2930" s="2">
        <v>42622</v>
      </c>
      <c r="B2930" s="1" t="s">
        <v>56</v>
      </c>
      <c r="C2930" s="1" t="s">
        <v>57</v>
      </c>
      <c r="D2930" s="2">
        <v>43106</v>
      </c>
      <c r="E2930" s="2">
        <f t="shared" si="113"/>
        <v>43252</v>
      </c>
      <c r="F2930" s="1" t="s">
        <v>58</v>
      </c>
      <c r="G2930" s="1" t="s">
        <v>16</v>
      </c>
      <c r="H2930" s="1">
        <v>-0.25</v>
      </c>
      <c r="I2930" s="1">
        <v>0.78</v>
      </c>
      <c r="J2930" s="1">
        <v>0</v>
      </c>
      <c r="K2930" s="2">
        <v>43410</v>
      </c>
      <c r="L2930" s="1">
        <v>3716</v>
      </c>
      <c r="M2930" s="1">
        <v>3.5</v>
      </c>
      <c r="N2930" s="1">
        <v>0.49793999999999999</v>
      </c>
      <c r="O2930" s="3">
        <f>VLOOKUP(D2930,underlying!$D$40:$H$75,5,FALSE)</f>
        <v>-3</v>
      </c>
      <c r="P2930" s="4">
        <f t="shared" si="112"/>
        <v>43262</v>
      </c>
      <c r="Q2930" s="7">
        <f>IF(G2930="C",NormalCallSprd(O2930,H2930,M2930,(P2930-A2930)/365), NormalPutSprd(O2930,H2930,M2930,(P2930-A2930)/365))</f>
        <v>0.79019838078687077</v>
      </c>
      <c r="R2930" s="9">
        <f t="shared" si="114"/>
        <v>1.0198380786870742E-2</v>
      </c>
    </row>
    <row r="2931" spans="1:18" x14ac:dyDescent="0.2">
      <c r="A2931" s="2">
        <v>42622</v>
      </c>
      <c r="B2931" s="1" t="s">
        <v>56</v>
      </c>
      <c r="C2931" s="1" t="s">
        <v>57</v>
      </c>
      <c r="D2931" s="2">
        <v>43106</v>
      </c>
      <c r="E2931" s="2">
        <f t="shared" si="113"/>
        <v>43252</v>
      </c>
      <c r="F2931" s="1" t="s">
        <v>58</v>
      </c>
      <c r="G2931" s="1" t="s">
        <v>18</v>
      </c>
      <c r="H2931" s="1">
        <v>-0.25</v>
      </c>
      <c r="I2931" s="1">
        <v>3.5</v>
      </c>
      <c r="J2931" s="1">
        <v>0</v>
      </c>
      <c r="K2931" s="2">
        <v>43410</v>
      </c>
      <c r="L2931" s="1">
        <v>3716</v>
      </c>
      <c r="M2931" s="1">
        <v>3.5</v>
      </c>
      <c r="N2931" s="1">
        <v>0.52773999999999999</v>
      </c>
      <c r="O2931" s="3">
        <f>VLOOKUP(D2931,underlying!$D$40:$H$75,5,FALSE)</f>
        <v>-3</v>
      </c>
      <c r="P2931" s="4">
        <f t="shared" si="112"/>
        <v>43262</v>
      </c>
      <c r="Q2931" s="7">
        <f>IF(G2931="C",NormalCallSprd(O2931,H2931,M2931,(P2931-A2931)/365), NormalPutSprd(O2931,H2931,M2931,(P2931-A2931)/365))</f>
        <v>3.5401983807868707</v>
      </c>
      <c r="R2931" s="9">
        <f t="shared" si="114"/>
        <v>4.0198380786870658E-2</v>
      </c>
    </row>
    <row r="2932" spans="1:18" x14ac:dyDescent="0.2">
      <c r="A2932" s="2">
        <v>42622</v>
      </c>
      <c r="B2932" s="1" t="s">
        <v>56</v>
      </c>
      <c r="C2932" s="1" t="s">
        <v>57</v>
      </c>
      <c r="D2932" s="2">
        <v>43107</v>
      </c>
      <c r="E2932" s="2">
        <f t="shared" si="113"/>
        <v>43282</v>
      </c>
      <c r="F2932" s="1" t="s">
        <v>58</v>
      </c>
      <c r="G2932" s="1" t="s">
        <v>16</v>
      </c>
      <c r="H2932" s="1">
        <v>-8</v>
      </c>
      <c r="I2932" s="1">
        <v>5.51</v>
      </c>
      <c r="J2932" s="1">
        <v>0</v>
      </c>
      <c r="K2932" s="2">
        <v>43411</v>
      </c>
      <c r="L2932" s="1">
        <v>3716</v>
      </c>
      <c r="M2932" s="1">
        <v>3.51</v>
      </c>
      <c r="N2932" s="1">
        <v>0.55752999999999997</v>
      </c>
      <c r="O2932" s="3">
        <f>VLOOKUP(D2932,underlying!$D$40:$H$75,5,FALSE)</f>
        <v>-2.75</v>
      </c>
      <c r="P2932" s="4">
        <f t="shared" si="112"/>
        <v>43292</v>
      </c>
      <c r="Q2932" s="7">
        <f>IF(G2932="C",NormalCallSprd(O2932,H2932,M2932,(P2932-A2932)/365), NormalPutSprd(O2932,H2932,M2932,(P2932-A2932)/365))</f>
        <v>5.5737619327895223</v>
      </c>
      <c r="R2932" s="9">
        <f t="shared" si="114"/>
        <v>6.3761932789522469E-2</v>
      </c>
    </row>
    <row r="2933" spans="1:18" x14ac:dyDescent="0.2">
      <c r="A2933" s="2">
        <v>42622</v>
      </c>
      <c r="B2933" s="1" t="s">
        <v>56</v>
      </c>
      <c r="C2933" s="1" t="s">
        <v>57</v>
      </c>
      <c r="D2933" s="2">
        <v>43107</v>
      </c>
      <c r="E2933" s="2">
        <f t="shared" si="113"/>
        <v>43282</v>
      </c>
      <c r="F2933" s="1" t="s">
        <v>58</v>
      </c>
      <c r="G2933" s="1" t="s">
        <v>18</v>
      </c>
      <c r="H2933" s="1">
        <v>-8</v>
      </c>
      <c r="I2933" s="1">
        <v>0.32</v>
      </c>
      <c r="J2933" s="1">
        <v>0</v>
      </c>
      <c r="K2933" s="2">
        <v>43411</v>
      </c>
      <c r="L2933" s="1">
        <v>3716</v>
      </c>
      <c r="M2933" s="1">
        <v>3.51</v>
      </c>
      <c r="N2933" s="1">
        <v>0.58691000000000004</v>
      </c>
      <c r="O2933" s="3">
        <f>VLOOKUP(D2933,underlying!$D$40:$H$75,5,FALSE)</f>
        <v>-2.75</v>
      </c>
      <c r="P2933" s="4">
        <f t="shared" si="112"/>
        <v>43292</v>
      </c>
      <c r="Q2933" s="7">
        <f>IF(G2933="C",NormalCallSprd(O2933,H2933,M2933,(P2933-A2933)/365), NormalPutSprd(O2933,H2933,M2933,(P2933-A2933)/365))</f>
        <v>0.32376193278952209</v>
      </c>
      <c r="R2933" s="9">
        <f t="shared" si="114"/>
        <v>3.7619327895220822E-3</v>
      </c>
    </row>
    <row r="2934" spans="1:18" x14ac:dyDescent="0.2">
      <c r="A2934" s="2">
        <v>42622</v>
      </c>
      <c r="B2934" s="1" t="s">
        <v>56</v>
      </c>
      <c r="C2934" s="1" t="s">
        <v>57</v>
      </c>
      <c r="D2934" s="2">
        <v>43107</v>
      </c>
      <c r="E2934" s="2">
        <f t="shared" si="113"/>
        <v>43282</v>
      </c>
      <c r="F2934" s="1" t="s">
        <v>58</v>
      </c>
      <c r="G2934" s="1" t="s">
        <v>16</v>
      </c>
      <c r="H2934" s="1">
        <v>-7</v>
      </c>
      <c r="I2934" s="1">
        <v>4.68</v>
      </c>
      <c r="J2934" s="1">
        <v>0</v>
      </c>
      <c r="K2934" s="2">
        <v>43411</v>
      </c>
      <c r="L2934" s="1">
        <v>3716</v>
      </c>
      <c r="M2934" s="1">
        <v>3.51</v>
      </c>
      <c r="N2934" s="1">
        <v>0.61609000000000003</v>
      </c>
      <c r="O2934" s="3">
        <f>VLOOKUP(D2934,underlying!$D$40:$H$75,5,FALSE)</f>
        <v>-2.75</v>
      </c>
      <c r="P2934" s="4">
        <f t="shared" si="112"/>
        <v>43292</v>
      </c>
      <c r="Q2934" s="7">
        <f>IF(G2934="C",NormalCallSprd(O2934,H2934,M2934,(P2934-A2934)/365), NormalPutSprd(O2934,H2934,M2934,(P2934-A2934)/365))</f>
        <v>4.7331435816459804</v>
      </c>
      <c r="R2934" s="9">
        <f t="shared" si="114"/>
        <v>5.3143581645980653E-2</v>
      </c>
    </row>
    <row r="2935" spans="1:18" x14ac:dyDescent="0.2">
      <c r="A2935" s="2">
        <v>42622</v>
      </c>
      <c r="B2935" s="1" t="s">
        <v>56</v>
      </c>
      <c r="C2935" s="1" t="s">
        <v>57</v>
      </c>
      <c r="D2935" s="2">
        <v>43107</v>
      </c>
      <c r="E2935" s="2">
        <f t="shared" si="113"/>
        <v>43282</v>
      </c>
      <c r="F2935" s="1" t="s">
        <v>58</v>
      </c>
      <c r="G2935" s="1" t="s">
        <v>18</v>
      </c>
      <c r="H2935" s="1">
        <v>-7</v>
      </c>
      <c r="I2935" s="1">
        <v>0.48</v>
      </c>
      <c r="J2935" s="1">
        <v>0</v>
      </c>
      <c r="K2935" s="2">
        <v>43411</v>
      </c>
      <c r="L2935" s="1">
        <v>3716</v>
      </c>
      <c r="M2935" s="1">
        <v>3.51</v>
      </c>
      <c r="N2935" s="1">
        <v>0.64366000000000001</v>
      </c>
      <c r="O2935" s="3">
        <f>VLOOKUP(D2935,underlying!$D$40:$H$75,5,FALSE)</f>
        <v>-2.75</v>
      </c>
      <c r="P2935" s="4">
        <f t="shared" si="112"/>
        <v>43292</v>
      </c>
      <c r="Q2935" s="7">
        <f>IF(G2935="C",NormalCallSprd(O2935,H2935,M2935,(P2935-A2935)/365), NormalPutSprd(O2935,H2935,M2935,(P2935-A2935)/365))</f>
        <v>0.48314358164598031</v>
      </c>
      <c r="R2935" s="9">
        <f t="shared" si="114"/>
        <v>3.1435816459803312E-3</v>
      </c>
    </row>
    <row r="2936" spans="1:18" x14ac:dyDescent="0.2">
      <c r="A2936" s="2">
        <v>42622</v>
      </c>
      <c r="B2936" s="1" t="s">
        <v>56</v>
      </c>
      <c r="C2936" s="1" t="s">
        <v>57</v>
      </c>
      <c r="D2936" s="2">
        <v>43107</v>
      </c>
      <c r="E2936" s="2">
        <f t="shared" si="113"/>
        <v>43282</v>
      </c>
      <c r="F2936" s="1" t="s">
        <v>58</v>
      </c>
      <c r="G2936" s="1" t="s">
        <v>16</v>
      </c>
      <c r="H2936" s="1">
        <v>-6</v>
      </c>
      <c r="I2936" s="1">
        <v>3.9</v>
      </c>
      <c r="J2936" s="1">
        <v>0</v>
      </c>
      <c r="K2936" s="2">
        <v>43411</v>
      </c>
      <c r="L2936" s="1">
        <v>3716</v>
      </c>
      <c r="M2936" s="1">
        <v>3.51</v>
      </c>
      <c r="N2936" s="1">
        <v>0.67190000000000005</v>
      </c>
      <c r="O2936" s="3">
        <f>VLOOKUP(D2936,underlying!$D$40:$H$75,5,FALSE)</f>
        <v>-2.75</v>
      </c>
      <c r="P2936" s="4">
        <f t="shared" si="112"/>
        <v>43292</v>
      </c>
      <c r="Q2936" s="7">
        <f>IF(G2936="C",NormalCallSprd(O2936,H2936,M2936,(P2936-A2936)/365), NormalPutSprd(O2936,H2936,M2936,(P2936-A2936)/365))</f>
        <v>3.9487531874028186</v>
      </c>
      <c r="R2936" s="9">
        <f t="shared" si="114"/>
        <v>4.8753187402818643E-2</v>
      </c>
    </row>
    <row r="2937" spans="1:18" x14ac:dyDescent="0.2">
      <c r="A2937" s="2">
        <v>42622</v>
      </c>
      <c r="B2937" s="1" t="s">
        <v>56</v>
      </c>
      <c r="C2937" s="1" t="s">
        <v>57</v>
      </c>
      <c r="D2937" s="2">
        <v>43107</v>
      </c>
      <c r="E2937" s="2">
        <f t="shared" si="113"/>
        <v>43282</v>
      </c>
      <c r="F2937" s="1" t="s">
        <v>58</v>
      </c>
      <c r="G2937" s="1" t="s">
        <v>18</v>
      </c>
      <c r="H2937" s="1">
        <v>-6</v>
      </c>
      <c r="I2937" s="1">
        <v>0.69</v>
      </c>
      <c r="J2937" s="1">
        <v>0</v>
      </c>
      <c r="K2937" s="2">
        <v>43411</v>
      </c>
      <c r="L2937" s="1">
        <v>3716</v>
      </c>
      <c r="M2937" s="1">
        <v>3.51</v>
      </c>
      <c r="N2937" s="1">
        <v>0.69752999999999998</v>
      </c>
      <c r="O2937" s="3">
        <f>VLOOKUP(D2937,underlying!$D$40:$H$75,5,FALSE)</f>
        <v>-2.75</v>
      </c>
      <c r="P2937" s="4">
        <f t="shared" ref="P2937:P3000" si="115">DATE(YEAR(K2937),DAY(K2937),MONTH(K2937))</f>
        <v>43292</v>
      </c>
      <c r="Q2937" s="7">
        <f>IF(G2937="C",NormalCallSprd(O2937,H2937,M2937,(P2937-A2937)/365), NormalPutSprd(O2937,H2937,M2937,(P2937-A2937)/365))</f>
        <v>0.69875318740281889</v>
      </c>
      <c r="R2937" s="9">
        <f t="shared" si="114"/>
        <v>8.7531874028189405E-3</v>
      </c>
    </row>
    <row r="2938" spans="1:18" x14ac:dyDescent="0.2">
      <c r="A2938" s="2">
        <v>42622</v>
      </c>
      <c r="B2938" s="1" t="s">
        <v>56</v>
      </c>
      <c r="C2938" s="1" t="s">
        <v>57</v>
      </c>
      <c r="D2938" s="2">
        <v>43107</v>
      </c>
      <c r="E2938" s="2">
        <f t="shared" si="113"/>
        <v>43282</v>
      </c>
      <c r="F2938" s="1" t="s">
        <v>58</v>
      </c>
      <c r="G2938" s="1" t="s">
        <v>16</v>
      </c>
      <c r="H2938" s="1">
        <v>-5.75</v>
      </c>
      <c r="I2938" s="1">
        <v>3.72</v>
      </c>
      <c r="J2938" s="1">
        <v>0</v>
      </c>
      <c r="K2938" s="2">
        <v>43411</v>
      </c>
      <c r="L2938" s="1">
        <v>3716</v>
      </c>
      <c r="M2938" s="1">
        <v>3.51</v>
      </c>
      <c r="N2938" s="1">
        <v>0.72297999999999996</v>
      </c>
      <c r="O2938" s="3">
        <f>VLOOKUP(D2938,underlying!$D$40:$H$75,5,FALSE)</f>
        <v>-2.75</v>
      </c>
      <c r="P2938" s="4">
        <f t="shared" si="115"/>
        <v>43292</v>
      </c>
      <c r="Q2938" s="7">
        <f>IF(G2938="C",NormalCallSprd(O2938,H2938,M2938,(P2938-A2938)/365), NormalPutSprd(O2938,H2938,M2938,(P2938-A2938)/365))</f>
        <v>3.7626463565865937</v>
      </c>
      <c r="R2938" s="9">
        <f t="shared" si="114"/>
        <v>4.2646356586593548E-2</v>
      </c>
    </row>
    <row r="2939" spans="1:18" x14ac:dyDescent="0.2">
      <c r="A2939" s="2">
        <v>42622</v>
      </c>
      <c r="B2939" s="1" t="s">
        <v>56</v>
      </c>
      <c r="C2939" s="1" t="s">
        <v>57</v>
      </c>
      <c r="D2939" s="2">
        <v>43107</v>
      </c>
      <c r="E2939" s="2">
        <f t="shared" si="113"/>
        <v>43282</v>
      </c>
      <c r="F2939" s="1" t="s">
        <v>58</v>
      </c>
      <c r="G2939" s="1" t="s">
        <v>18</v>
      </c>
      <c r="H2939" s="1">
        <v>-5.75</v>
      </c>
      <c r="I2939" s="1">
        <v>0.75</v>
      </c>
      <c r="J2939" s="1">
        <v>-0.01</v>
      </c>
      <c r="K2939" s="2">
        <v>43411</v>
      </c>
      <c r="L2939" s="1">
        <v>3716</v>
      </c>
      <c r="M2939" s="1">
        <v>3.51</v>
      </c>
      <c r="N2939" s="1">
        <v>0.74731000000000003</v>
      </c>
      <c r="O2939" s="3">
        <f>VLOOKUP(D2939,underlying!$D$40:$H$75,5,FALSE)</f>
        <v>-2.75</v>
      </c>
      <c r="P2939" s="4">
        <f t="shared" si="115"/>
        <v>43292</v>
      </c>
      <c r="Q2939" s="7">
        <f>IF(G2939="C",NormalCallSprd(O2939,H2939,M2939,(P2939-A2939)/365), NormalPutSprd(O2939,H2939,M2939,(P2939-A2939)/365))</f>
        <v>0.76264635658659385</v>
      </c>
      <c r="R2939" s="9">
        <f t="shared" si="114"/>
        <v>1.2646356586593854E-2</v>
      </c>
    </row>
    <row r="2940" spans="1:18" x14ac:dyDescent="0.2">
      <c r="A2940" s="2">
        <v>42622</v>
      </c>
      <c r="B2940" s="1" t="s">
        <v>56</v>
      </c>
      <c r="C2940" s="1" t="s">
        <v>57</v>
      </c>
      <c r="D2940" s="2">
        <v>43107</v>
      </c>
      <c r="E2940" s="2">
        <f t="shared" si="113"/>
        <v>43282</v>
      </c>
      <c r="F2940" s="1" t="s">
        <v>58</v>
      </c>
      <c r="G2940" s="1" t="s">
        <v>16</v>
      </c>
      <c r="H2940" s="1">
        <v>-5.5</v>
      </c>
      <c r="I2940" s="1">
        <v>3.54</v>
      </c>
      <c r="J2940" s="1">
        <v>0</v>
      </c>
      <c r="K2940" s="2">
        <v>43411</v>
      </c>
      <c r="L2940" s="1">
        <v>3716</v>
      </c>
      <c r="M2940" s="1">
        <v>3.51</v>
      </c>
      <c r="N2940" s="1">
        <v>0.77044000000000001</v>
      </c>
      <c r="O2940" s="3">
        <f>VLOOKUP(D2940,underlying!$D$40:$H$75,5,FALSE)</f>
        <v>-2.75</v>
      </c>
      <c r="P2940" s="4">
        <f t="shared" si="115"/>
        <v>43292</v>
      </c>
      <c r="Q2940" s="7">
        <f>IF(G2940="C",NormalCallSprd(O2940,H2940,M2940,(P2940-A2940)/365), NormalPutSprd(O2940,H2940,M2940,(P2940-A2940)/365))</f>
        <v>3.5808360225727363</v>
      </c>
      <c r="R2940" s="9">
        <f t="shared" si="114"/>
        <v>4.0836022572736219E-2</v>
      </c>
    </row>
    <row r="2941" spans="1:18" x14ac:dyDescent="0.2">
      <c r="A2941" s="2">
        <v>42622</v>
      </c>
      <c r="B2941" s="1" t="s">
        <v>56</v>
      </c>
      <c r="C2941" s="1" t="s">
        <v>57</v>
      </c>
      <c r="D2941" s="2">
        <v>43107</v>
      </c>
      <c r="E2941" s="2">
        <f t="shared" si="113"/>
        <v>43282</v>
      </c>
      <c r="F2941" s="1" t="s">
        <v>58</v>
      </c>
      <c r="G2941" s="1" t="s">
        <v>18</v>
      </c>
      <c r="H2941" s="1">
        <v>-5.5</v>
      </c>
      <c r="I2941" s="1">
        <v>0.82</v>
      </c>
      <c r="J2941" s="1">
        <v>0</v>
      </c>
      <c r="K2941" s="2">
        <v>43411</v>
      </c>
      <c r="L2941" s="1">
        <v>3716</v>
      </c>
      <c r="M2941" s="1">
        <v>3.51</v>
      </c>
      <c r="N2941" s="1">
        <v>0.7923</v>
      </c>
      <c r="O2941" s="3">
        <f>VLOOKUP(D2941,underlying!$D$40:$H$75,5,FALSE)</f>
        <v>-2.75</v>
      </c>
      <c r="P2941" s="4">
        <f t="shared" si="115"/>
        <v>43292</v>
      </c>
      <c r="Q2941" s="7">
        <f>IF(G2941="C",NormalCallSprd(O2941,H2941,M2941,(P2941-A2941)/365), NormalPutSprd(O2941,H2941,M2941,(P2941-A2941)/365))</f>
        <v>0.83083602257273637</v>
      </c>
      <c r="R2941" s="9">
        <f t="shared" si="114"/>
        <v>1.0836022572736415E-2</v>
      </c>
    </row>
    <row r="2942" spans="1:18" x14ac:dyDescent="0.2">
      <c r="A2942" s="2">
        <v>42622</v>
      </c>
      <c r="B2942" s="1" t="s">
        <v>56</v>
      </c>
      <c r="C2942" s="1" t="s">
        <v>57</v>
      </c>
      <c r="D2942" s="2">
        <v>43107</v>
      </c>
      <c r="E2942" s="2">
        <f t="shared" si="113"/>
        <v>43282</v>
      </c>
      <c r="F2942" s="1" t="s">
        <v>58</v>
      </c>
      <c r="G2942" s="1" t="s">
        <v>16</v>
      </c>
      <c r="H2942" s="1">
        <v>-5.25</v>
      </c>
      <c r="I2942" s="1">
        <v>3.36</v>
      </c>
      <c r="J2942" s="1">
        <v>-0.01</v>
      </c>
      <c r="K2942" s="2">
        <v>43411</v>
      </c>
      <c r="L2942" s="1">
        <v>3716</v>
      </c>
      <c r="M2942" s="1">
        <v>3.51</v>
      </c>
      <c r="N2942" s="1">
        <v>0.81284999999999996</v>
      </c>
      <c r="O2942" s="3">
        <f>VLOOKUP(D2942,underlying!$D$40:$H$75,5,FALSE)</f>
        <v>-2.75</v>
      </c>
      <c r="P2942" s="4">
        <f t="shared" si="115"/>
        <v>43292</v>
      </c>
      <c r="Q2942" s="7">
        <f>IF(G2942="C",NormalCallSprd(O2942,H2942,M2942,(P2942-A2942)/365), NormalPutSprd(O2942,H2942,M2942,(P2942-A2942)/365))</f>
        <v>3.4034608649757527</v>
      </c>
      <c r="R2942" s="9">
        <f t="shared" si="114"/>
        <v>4.3460864975752855E-2</v>
      </c>
    </row>
    <row r="2943" spans="1:18" x14ac:dyDescent="0.2">
      <c r="A2943" s="2">
        <v>42622</v>
      </c>
      <c r="B2943" s="1" t="s">
        <v>56</v>
      </c>
      <c r="C2943" s="1" t="s">
        <v>57</v>
      </c>
      <c r="D2943" s="2">
        <v>43107</v>
      </c>
      <c r="E2943" s="2">
        <f t="shared" si="113"/>
        <v>43282</v>
      </c>
      <c r="F2943" s="1" t="s">
        <v>58</v>
      </c>
      <c r="G2943" s="1" t="s">
        <v>18</v>
      </c>
      <c r="H2943" s="1">
        <v>-5.25</v>
      </c>
      <c r="I2943" s="1">
        <v>0.89</v>
      </c>
      <c r="J2943" s="1">
        <v>0</v>
      </c>
      <c r="K2943" s="2">
        <v>43411</v>
      </c>
      <c r="L2943" s="1">
        <v>3716</v>
      </c>
      <c r="M2943" s="1">
        <v>3.51</v>
      </c>
      <c r="N2943" s="1">
        <v>0.83204999999999996</v>
      </c>
      <c r="O2943" s="3">
        <f>VLOOKUP(D2943,underlying!$D$40:$H$75,5,FALSE)</f>
        <v>-2.75</v>
      </c>
      <c r="P2943" s="4">
        <f t="shared" si="115"/>
        <v>43292</v>
      </c>
      <c r="Q2943" s="7">
        <f>IF(G2943="C",NormalCallSprd(O2943,H2943,M2943,(P2943-A2943)/365), NormalPutSprd(O2943,H2943,M2943,(P2943-A2943)/365))</f>
        <v>0.90346086497575295</v>
      </c>
      <c r="R2943" s="9">
        <f t="shared" si="114"/>
        <v>1.346086497575294E-2</v>
      </c>
    </row>
    <row r="2944" spans="1:18" x14ac:dyDescent="0.2">
      <c r="A2944" s="2">
        <v>42622</v>
      </c>
      <c r="B2944" s="1" t="s">
        <v>56</v>
      </c>
      <c r="C2944" s="1" t="s">
        <v>57</v>
      </c>
      <c r="D2944" s="2">
        <v>43107</v>
      </c>
      <c r="E2944" s="2">
        <f t="shared" si="113"/>
        <v>43282</v>
      </c>
      <c r="F2944" s="1" t="s">
        <v>58</v>
      </c>
      <c r="G2944" s="1" t="s">
        <v>16</v>
      </c>
      <c r="H2944" s="1">
        <v>-5</v>
      </c>
      <c r="I2944" s="1">
        <v>3.19</v>
      </c>
      <c r="J2944" s="1">
        <v>-0.01</v>
      </c>
      <c r="K2944" s="2">
        <v>43411</v>
      </c>
      <c r="L2944" s="1">
        <v>3716</v>
      </c>
      <c r="M2944" s="1">
        <v>3.51</v>
      </c>
      <c r="N2944" s="1">
        <v>0.84989999999999999</v>
      </c>
      <c r="O2944" s="3">
        <f>VLOOKUP(D2944,underlying!$D$40:$H$75,5,FALSE)</f>
        <v>-2.75</v>
      </c>
      <c r="P2944" s="4">
        <f t="shared" si="115"/>
        <v>43292</v>
      </c>
      <c r="Q2944" s="7">
        <f>IF(G2944="C",NormalCallSprd(O2944,H2944,M2944,(P2944-A2944)/365), NormalPutSprd(O2944,H2944,M2944,(P2944-A2944)/365))</f>
        <v>3.2306514099698509</v>
      </c>
      <c r="R2944" s="9">
        <f t="shared" si="114"/>
        <v>4.0651409969850949E-2</v>
      </c>
    </row>
    <row r="2945" spans="1:18" x14ac:dyDescent="0.2">
      <c r="A2945" s="2">
        <v>42622</v>
      </c>
      <c r="B2945" s="1" t="s">
        <v>56</v>
      </c>
      <c r="C2945" s="1" t="s">
        <v>57</v>
      </c>
      <c r="D2945" s="2">
        <v>43107</v>
      </c>
      <c r="E2945" s="2">
        <f t="shared" si="113"/>
        <v>43282</v>
      </c>
      <c r="F2945" s="1" t="s">
        <v>58</v>
      </c>
      <c r="G2945" s="1" t="s">
        <v>18</v>
      </c>
      <c r="H2945" s="1">
        <v>-5</v>
      </c>
      <c r="I2945" s="1">
        <v>0.97</v>
      </c>
      <c r="J2945" s="1">
        <v>0</v>
      </c>
      <c r="K2945" s="2">
        <v>43411</v>
      </c>
      <c r="L2945" s="1">
        <v>3716</v>
      </c>
      <c r="M2945" s="1">
        <v>3.51</v>
      </c>
      <c r="N2945" s="1">
        <v>0.86700999999999995</v>
      </c>
      <c r="O2945" s="3">
        <f>VLOOKUP(D2945,underlying!$D$40:$H$75,5,FALSE)</f>
        <v>-2.75</v>
      </c>
      <c r="P2945" s="4">
        <f t="shared" si="115"/>
        <v>43292</v>
      </c>
      <c r="Q2945" s="7">
        <f>IF(G2945="C",NormalCallSprd(O2945,H2945,M2945,(P2945-A2945)/365), NormalPutSprd(O2945,H2945,M2945,(P2945-A2945)/365))</f>
        <v>0.98065140996985078</v>
      </c>
      <c r="R2945" s="9">
        <f t="shared" si="114"/>
        <v>1.0651409969850811E-2</v>
      </c>
    </row>
    <row r="2946" spans="1:18" x14ac:dyDescent="0.2">
      <c r="A2946" s="2">
        <v>42622</v>
      </c>
      <c r="B2946" s="1" t="s">
        <v>56</v>
      </c>
      <c r="C2946" s="1" t="s">
        <v>57</v>
      </c>
      <c r="D2946" s="2">
        <v>43107</v>
      </c>
      <c r="E2946" s="2">
        <f t="shared" ref="E2946:E3009" si="116">DATE(YEAR(D2946),DAY(D2946),MONTH(D2946))</f>
        <v>43282</v>
      </c>
      <c r="F2946" s="1" t="s">
        <v>58</v>
      </c>
      <c r="G2946" s="1" t="s">
        <v>16</v>
      </c>
      <c r="H2946" s="1">
        <v>-4.75</v>
      </c>
      <c r="I2946" s="1">
        <v>3.02</v>
      </c>
      <c r="J2946" s="1">
        <v>0</v>
      </c>
      <c r="K2946" s="2">
        <v>43411</v>
      </c>
      <c r="L2946" s="1">
        <v>3716</v>
      </c>
      <c r="M2946" s="1">
        <v>3.49</v>
      </c>
      <c r="N2946" s="1">
        <v>0.88214999999999999</v>
      </c>
      <c r="O2946" s="3">
        <f>VLOOKUP(D2946,underlying!$D$40:$H$75,5,FALSE)</f>
        <v>-2.75</v>
      </c>
      <c r="P2946" s="4">
        <f t="shared" si="115"/>
        <v>43292</v>
      </c>
      <c r="Q2946" s="7">
        <f>IF(G2946="C",NormalCallSprd(O2946,H2946,M2946,(P2946-A2946)/365), NormalPutSprd(O2946,H2946,M2946,(P2946-A2946)/365))</f>
        <v>3.0526389008595833</v>
      </c>
      <c r="R2946" s="9">
        <f t="shared" si="114"/>
        <v>3.263890085958332E-2</v>
      </c>
    </row>
    <row r="2947" spans="1:18" x14ac:dyDescent="0.2">
      <c r="A2947" s="2">
        <v>42622</v>
      </c>
      <c r="B2947" s="1" t="s">
        <v>56</v>
      </c>
      <c r="C2947" s="1" t="s">
        <v>57</v>
      </c>
      <c r="D2947" s="2">
        <v>43107</v>
      </c>
      <c r="E2947" s="2">
        <f t="shared" si="116"/>
        <v>43282</v>
      </c>
      <c r="F2947" s="1" t="s">
        <v>58</v>
      </c>
      <c r="G2947" s="1" t="s">
        <v>18</v>
      </c>
      <c r="H2947" s="1">
        <v>-4.75</v>
      </c>
      <c r="I2947" s="1">
        <v>1.04</v>
      </c>
      <c r="J2947" s="1">
        <v>0</v>
      </c>
      <c r="K2947" s="2">
        <v>43411</v>
      </c>
      <c r="L2947" s="1">
        <v>3716</v>
      </c>
      <c r="M2947" s="1">
        <v>3.49</v>
      </c>
      <c r="N2947" s="1">
        <v>0.89598</v>
      </c>
      <c r="O2947" s="3">
        <f>VLOOKUP(D2947,underlying!$D$40:$H$75,5,FALSE)</f>
        <v>-2.75</v>
      </c>
      <c r="P2947" s="4">
        <f t="shared" si="115"/>
        <v>43292</v>
      </c>
      <c r="Q2947" s="7">
        <f>IF(G2947="C",NormalCallSprd(O2947,H2947,M2947,(P2947-A2947)/365), NormalPutSprd(O2947,H2947,M2947,(P2947-A2947)/365))</f>
        <v>1.0526389008595833</v>
      </c>
      <c r="R2947" s="9">
        <f t="shared" ref="R2947:R3010" si="117">ABS(Q2947-I2947)</f>
        <v>1.2638900859583302E-2</v>
      </c>
    </row>
    <row r="2948" spans="1:18" x14ac:dyDescent="0.2">
      <c r="A2948" s="2">
        <v>42622</v>
      </c>
      <c r="B2948" s="1" t="s">
        <v>56</v>
      </c>
      <c r="C2948" s="1" t="s">
        <v>57</v>
      </c>
      <c r="D2948" s="2">
        <v>43107</v>
      </c>
      <c r="E2948" s="2">
        <f t="shared" si="116"/>
        <v>43282</v>
      </c>
      <c r="F2948" s="1" t="s">
        <v>58</v>
      </c>
      <c r="G2948" s="1" t="s">
        <v>16</v>
      </c>
      <c r="H2948" s="1">
        <v>-4.5</v>
      </c>
      <c r="I2948" s="1">
        <v>2.86</v>
      </c>
      <c r="J2948" s="1">
        <v>-0.01</v>
      </c>
      <c r="K2948" s="2">
        <v>43411</v>
      </c>
      <c r="L2948" s="1">
        <v>3716</v>
      </c>
      <c r="M2948" s="1">
        <v>3.51</v>
      </c>
      <c r="N2948" s="1">
        <v>0.90854000000000001</v>
      </c>
      <c r="O2948" s="3">
        <f>VLOOKUP(D2948,underlying!$D$40:$H$75,5,FALSE)</f>
        <v>-2.75</v>
      </c>
      <c r="P2948" s="4">
        <f t="shared" si="115"/>
        <v>43292</v>
      </c>
      <c r="Q2948" s="7">
        <f>IF(G2948="C",NormalCallSprd(O2948,H2948,M2948,(P2948-A2948)/365), NormalPutSprd(O2948,H2948,M2948,(P2948-A2948)/365))</f>
        <v>2.8992051705102333</v>
      </c>
      <c r="R2948" s="9">
        <f t="shared" si="117"/>
        <v>3.9205170510233422E-2</v>
      </c>
    </row>
    <row r="2949" spans="1:18" x14ac:dyDescent="0.2">
      <c r="A2949" s="2">
        <v>42622</v>
      </c>
      <c r="B2949" s="1" t="s">
        <v>56</v>
      </c>
      <c r="C2949" s="1" t="s">
        <v>57</v>
      </c>
      <c r="D2949" s="2">
        <v>43107</v>
      </c>
      <c r="E2949" s="2">
        <f t="shared" si="116"/>
        <v>43282</v>
      </c>
      <c r="F2949" s="1" t="s">
        <v>58</v>
      </c>
      <c r="G2949" s="1" t="s">
        <v>18</v>
      </c>
      <c r="H2949" s="1">
        <v>-4.5</v>
      </c>
      <c r="I2949" s="1">
        <v>1.1399999999999999</v>
      </c>
      <c r="J2949" s="1">
        <v>0</v>
      </c>
      <c r="K2949" s="2">
        <v>43411</v>
      </c>
      <c r="L2949" s="1">
        <v>3716</v>
      </c>
      <c r="M2949" s="1">
        <v>3.51</v>
      </c>
      <c r="N2949" s="1">
        <v>0.93915999999999999</v>
      </c>
      <c r="O2949" s="3">
        <f>VLOOKUP(D2949,underlying!$D$40:$H$75,5,FALSE)</f>
        <v>-2.75</v>
      </c>
      <c r="P2949" s="4">
        <f t="shared" si="115"/>
        <v>43292</v>
      </c>
      <c r="Q2949" s="7">
        <f>IF(G2949="C",NormalCallSprd(O2949,H2949,M2949,(P2949-A2949)/365), NormalPutSprd(O2949,H2949,M2949,(P2949-A2949)/365))</f>
        <v>1.1492051705102331</v>
      </c>
      <c r="R2949" s="9">
        <f t="shared" si="117"/>
        <v>9.2051705102331738E-3</v>
      </c>
    </row>
    <row r="2950" spans="1:18" x14ac:dyDescent="0.2">
      <c r="A2950" s="2">
        <v>42622</v>
      </c>
      <c r="B2950" s="1" t="s">
        <v>56</v>
      </c>
      <c r="C2950" s="1" t="s">
        <v>57</v>
      </c>
      <c r="D2950" s="2">
        <v>43107</v>
      </c>
      <c r="E2950" s="2">
        <f t="shared" si="116"/>
        <v>43282</v>
      </c>
      <c r="F2950" s="1" t="s">
        <v>58</v>
      </c>
      <c r="G2950" s="1" t="s">
        <v>16</v>
      </c>
      <c r="H2950" s="1">
        <v>-4.25</v>
      </c>
      <c r="I2950" s="1">
        <v>2.7</v>
      </c>
      <c r="J2950" s="1">
        <v>0</v>
      </c>
      <c r="K2950" s="2">
        <v>43411</v>
      </c>
      <c r="L2950" s="1">
        <v>3716</v>
      </c>
      <c r="M2950" s="1">
        <v>3.49</v>
      </c>
      <c r="N2950" s="1">
        <v>-0.84989999999999999</v>
      </c>
      <c r="O2950" s="3">
        <f>VLOOKUP(D2950,underlying!$D$40:$H$75,5,FALSE)</f>
        <v>-2.75</v>
      </c>
      <c r="P2950" s="4">
        <f t="shared" si="115"/>
        <v>43292</v>
      </c>
      <c r="Q2950" s="7">
        <f>IF(G2950="C",NormalCallSprd(O2950,H2950,M2950,(P2950-A2950)/365), NormalPutSprd(O2950,H2950,M2950,(P2950-A2950)/365))</f>
        <v>2.7304975943796039</v>
      </c>
      <c r="R2950" s="9">
        <f t="shared" si="117"/>
        <v>3.0497594379603754E-2</v>
      </c>
    </row>
    <row r="2951" spans="1:18" x14ac:dyDescent="0.2">
      <c r="A2951" s="2">
        <v>42622</v>
      </c>
      <c r="B2951" s="1" t="s">
        <v>56</v>
      </c>
      <c r="C2951" s="1" t="s">
        <v>57</v>
      </c>
      <c r="D2951" s="2">
        <v>43107</v>
      </c>
      <c r="E2951" s="2">
        <f t="shared" si="116"/>
        <v>43282</v>
      </c>
      <c r="F2951" s="1" t="s">
        <v>58</v>
      </c>
      <c r="G2951" s="1" t="s">
        <v>18</v>
      </c>
      <c r="H2951" s="1">
        <v>-4.25</v>
      </c>
      <c r="I2951" s="1">
        <v>1.22</v>
      </c>
      <c r="J2951" s="1">
        <v>0</v>
      </c>
      <c r="K2951" s="2">
        <v>43411</v>
      </c>
      <c r="L2951" s="1">
        <v>3716</v>
      </c>
      <c r="M2951" s="1">
        <v>3.49</v>
      </c>
      <c r="N2951" s="1">
        <v>-0.83204999999999996</v>
      </c>
      <c r="O2951" s="3">
        <f>VLOOKUP(D2951,underlying!$D$40:$H$75,5,FALSE)</f>
        <v>-2.75</v>
      </c>
      <c r="P2951" s="4">
        <f t="shared" si="115"/>
        <v>43292</v>
      </c>
      <c r="Q2951" s="7">
        <f>IF(G2951="C",NormalCallSprd(O2951,H2951,M2951,(P2951-A2951)/365), NormalPutSprd(O2951,H2951,M2951,(P2951-A2951)/365))</f>
        <v>1.2304975943796039</v>
      </c>
      <c r="R2951" s="9">
        <f t="shared" si="117"/>
        <v>1.0497594379603958E-2</v>
      </c>
    </row>
    <row r="2952" spans="1:18" x14ac:dyDescent="0.2">
      <c r="A2952" s="2">
        <v>42622</v>
      </c>
      <c r="B2952" s="1" t="s">
        <v>56</v>
      </c>
      <c r="C2952" s="1" t="s">
        <v>57</v>
      </c>
      <c r="D2952" s="2">
        <v>43107</v>
      </c>
      <c r="E2952" s="2">
        <f t="shared" si="116"/>
        <v>43282</v>
      </c>
      <c r="F2952" s="1" t="s">
        <v>58</v>
      </c>
      <c r="G2952" s="1" t="s">
        <v>16</v>
      </c>
      <c r="H2952" s="1">
        <v>-4</v>
      </c>
      <c r="I2952" s="1">
        <v>2.56</v>
      </c>
      <c r="J2952" s="1">
        <v>0</v>
      </c>
      <c r="K2952" s="2">
        <v>43411</v>
      </c>
      <c r="L2952" s="1">
        <v>3716</v>
      </c>
      <c r="M2952" s="1">
        <v>3.51</v>
      </c>
      <c r="N2952" s="1">
        <v>-0.81284999999999996</v>
      </c>
      <c r="O2952" s="3">
        <f>VLOOKUP(D2952,underlying!$D$40:$H$75,5,FALSE)</f>
        <v>-2.75</v>
      </c>
      <c r="P2952" s="4">
        <f t="shared" si="115"/>
        <v>43292</v>
      </c>
      <c r="Q2952" s="7">
        <f>IF(G2952="C",NormalCallSprd(O2952,H2952,M2952,(P2952-A2952)/365), NormalPutSprd(O2952,H2952,M2952,(P2952-A2952)/365))</f>
        <v>2.5873428855095812</v>
      </c>
      <c r="R2952" s="9">
        <f t="shared" si="117"/>
        <v>2.7342885509581194E-2</v>
      </c>
    </row>
    <row r="2953" spans="1:18" x14ac:dyDescent="0.2">
      <c r="A2953" s="2">
        <v>42622</v>
      </c>
      <c r="B2953" s="1" t="s">
        <v>56</v>
      </c>
      <c r="C2953" s="1" t="s">
        <v>57</v>
      </c>
      <c r="D2953" s="2">
        <v>43107</v>
      </c>
      <c r="E2953" s="2">
        <f t="shared" si="116"/>
        <v>43282</v>
      </c>
      <c r="F2953" s="1" t="s">
        <v>58</v>
      </c>
      <c r="G2953" s="1" t="s">
        <v>18</v>
      </c>
      <c r="H2953" s="1">
        <v>-4</v>
      </c>
      <c r="I2953" s="1">
        <v>1.32</v>
      </c>
      <c r="J2953" s="1">
        <v>0</v>
      </c>
      <c r="K2953" s="2">
        <v>43411</v>
      </c>
      <c r="L2953" s="1">
        <v>3716</v>
      </c>
      <c r="M2953" s="1">
        <v>3.51</v>
      </c>
      <c r="N2953" s="1">
        <v>-2.98E-2</v>
      </c>
      <c r="O2953" s="3">
        <f>VLOOKUP(D2953,underlying!$D$40:$H$75,5,FALSE)</f>
        <v>-2.75</v>
      </c>
      <c r="P2953" s="4">
        <f t="shared" si="115"/>
        <v>43292</v>
      </c>
      <c r="Q2953" s="7">
        <f>IF(G2953="C",NormalCallSprd(O2953,H2953,M2953,(P2953-A2953)/365), NormalPutSprd(O2953,H2953,M2953,(P2953-A2953)/365))</f>
        <v>1.3373428855095815</v>
      </c>
      <c r="R2953" s="9">
        <f t="shared" si="117"/>
        <v>1.7342885509581407E-2</v>
      </c>
    </row>
    <row r="2954" spans="1:18" x14ac:dyDescent="0.2">
      <c r="A2954" s="2">
        <v>42622</v>
      </c>
      <c r="B2954" s="1" t="s">
        <v>56</v>
      </c>
      <c r="C2954" s="1" t="s">
        <v>57</v>
      </c>
      <c r="D2954" s="2">
        <v>43107</v>
      </c>
      <c r="E2954" s="2">
        <f t="shared" si="116"/>
        <v>43282</v>
      </c>
      <c r="F2954" s="1" t="s">
        <v>58</v>
      </c>
      <c r="G2954" s="1" t="s">
        <v>16</v>
      </c>
      <c r="H2954" s="1">
        <v>-3.75</v>
      </c>
      <c r="I2954" s="1">
        <v>2.4</v>
      </c>
      <c r="J2954" s="1">
        <v>0</v>
      </c>
      <c r="K2954" s="2">
        <v>43411</v>
      </c>
      <c r="L2954" s="1">
        <v>3716</v>
      </c>
      <c r="M2954" s="1">
        <v>3.49</v>
      </c>
      <c r="N2954" s="1">
        <v>-0.79291</v>
      </c>
      <c r="O2954" s="3">
        <f>VLOOKUP(D2954,underlying!$D$40:$H$75,5,FALSE)</f>
        <v>-2.75</v>
      </c>
      <c r="P2954" s="4">
        <f t="shared" si="115"/>
        <v>43292</v>
      </c>
      <c r="Q2954" s="7">
        <f>IF(G2954="C",NormalCallSprd(O2954,H2954,M2954,(P2954-A2954)/365), NormalPutSprd(O2954,H2954,M2954,(P2954-A2954)/365))</f>
        <v>2.4283971910125834</v>
      </c>
      <c r="R2954" s="9">
        <f t="shared" si="117"/>
        <v>2.8397191012583534E-2</v>
      </c>
    </row>
    <row r="2955" spans="1:18" x14ac:dyDescent="0.2">
      <c r="A2955" s="2">
        <v>42622</v>
      </c>
      <c r="B2955" s="1" t="s">
        <v>56</v>
      </c>
      <c r="C2955" s="1" t="s">
        <v>57</v>
      </c>
      <c r="D2955" s="2">
        <v>43107</v>
      </c>
      <c r="E2955" s="2">
        <f t="shared" si="116"/>
        <v>43282</v>
      </c>
      <c r="F2955" s="1" t="s">
        <v>58</v>
      </c>
      <c r="G2955" s="1" t="s">
        <v>18</v>
      </c>
      <c r="H2955" s="1">
        <v>-3.75</v>
      </c>
      <c r="I2955" s="1">
        <v>1.41</v>
      </c>
      <c r="J2955" s="1">
        <v>0</v>
      </c>
      <c r="K2955" s="2">
        <v>43411</v>
      </c>
      <c r="L2955" s="1">
        <v>3716</v>
      </c>
      <c r="M2955" s="1">
        <v>3.49</v>
      </c>
      <c r="N2955" s="1">
        <v>-1.4460000000000001E-2</v>
      </c>
      <c r="O2955" s="3">
        <f>VLOOKUP(D2955,underlying!$D$40:$H$75,5,FALSE)</f>
        <v>-2.75</v>
      </c>
      <c r="P2955" s="4">
        <f t="shared" si="115"/>
        <v>43292</v>
      </c>
      <c r="Q2955" s="7">
        <f>IF(G2955="C",NormalCallSprd(O2955,H2955,M2955,(P2955-A2955)/365), NormalPutSprd(O2955,H2955,M2955,(P2955-A2955)/365))</f>
        <v>1.4283971910125834</v>
      </c>
      <c r="R2955" s="9">
        <f t="shared" si="117"/>
        <v>1.8397191012583525E-2</v>
      </c>
    </row>
    <row r="2956" spans="1:18" x14ac:dyDescent="0.2">
      <c r="A2956" s="2">
        <v>42622</v>
      </c>
      <c r="B2956" s="1" t="s">
        <v>56</v>
      </c>
      <c r="C2956" s="1" t="s">
        <v>57</v>
      </c>
      <c r="D2956" s="2">
        <v>43107</v>
      </c>
      <c r="E2956" s="2">
        <f t="shared" si="116"/>
        <v>43282</v>
      </c>
      <c r="F2956" s="1" t="s">
        <v>58</v>
      </c>
      <c r="G2956" s="1" t="s">
        <v>16</v>
      </c>
      <c r="H2956" s="1">
        <v>-3.5</v>
      </c>
      <c r="I2956" s="1">
        <v>2.2599999999999998</v>
      </c>
      <c r="J2956" s="1">
        <v>-0.01</v>
      </c>
      <c r="K2956" s="2">
        <v>43411</v>
      </c>
      <c r="L2956" s="1">
        <v>3716</v>
      </c>
      <c r="M2956" s="1">
        <v>3.5</v>
      </c>
      <c r="N2956" s="1">
        <v>-0.76985999999999999</v>
      </c>
      <c r="O2956" s="3">
        <f>VLOOKUP(D2956,underlying!$D$40:$H$75,5,FALSE)</f>
        <v>-2.75</v>
      </c>
      <c r="P2956" s="4">
        <f t="shared" si="115"/>
        <v>43292</v>
      </c>
      <c r="Q2956" s="7">
        <f>IF(G2956="C",NormalCallSprd(O2956,H2956,M2956,(P2956-A2956)/365), NormalPutSprd(O2956,H2956,M2956,(P2956-A2956)/365))</f>
        <v>2.2903856157009068</v>
      </c>
      <c r="R2956" s="9">
        <f t="shared" si="117"/>
        <v>3.0385615700907032E-2</v>
      </c>
    </row>
    <row r="2957" spans="1:18" x14ac:dyDescent="0.2">
      <c r="A2957" s="2">
        <v>42622</v>
      </c>
      <c r="B2957" s="1" t="s">
        <v>56</v>
      </c>
      <c r="C2957" s="1" t="s">
        <v>57</v>
      </c>
      <c r="D2957" s="2">
        <v>43107</v>
      </c>
      <c r="E2957" s="2">
        <f t="shared" si="116"/>
        <v>43282</v>
      </c>
      <c r="F2957" s="1" t="s">
        <v>58</v>
      </c>
      <c r="G2957" s="1" t="s">
        <v>18</v>
      </c>
      <c r="H2957" s="1">
        <v>-3.5</v>
      </c>
      <c r="I2957" s="1">
        <v>1.52</v>
      </c>
      <c r="J2957" s="1">
        <v>0</v>
      </c>
      <c r="K2957" s="2">
        <v>43411</v>
      </c>
      <c r="L2957" s="1">
        <v>3716</v>
      </c>
      <c r="M2957" s="1">
        <v>3.5</v>
      </c>
      <c r="N2957" s="1">
        <v>-0.74731000000000003</v>
      </c>
      <c r="O2957" s="3">
        <f>VLOOKUP(D2957,underlying!$D$40:$H$75,5,FALSE)</f>
        <v>-2.75</v>
      </c>
      <c r="P2957" s="4">
        <f t="shared" si="115"/>
        <v>43292</v>
      </c>
      <c r="Q2957" s="7">
        <f>IF(G2957="C",NormalCallSprd(O2957,H2957,M2957,(P2957-A2957)/365), NormalPutSprd(O2957,H2957,M2957,(P2957-A2957)/365))</f>
        <v>1.5403856157009066</v>
      </c>
      <c r="R2957" s="9">
        <f t="shared" si="117"/>
        <v>2.0385615700906579E-2</v>
      </c>
    </row>
    <row r="2958" spans="1:18" x14ac:dyDescent="0.2">
      <c r="A2958" s="2">
        <v>42622</v>
      </c>
      <c r="B2958" s="1" t="s">
        <v>56</v>
      </c>
      <c r="C2958" s="1" t="s">
        <v>57</v>
      </c>
      <c r="D2958" s="2">
        <v>43107</v>
      </c>
      <c r="E2958" s="2">
        <f t="shared" si="116"/>
        <v>43282</v>
      </c>
      <c r="F2958" s="1" t="s">
        <v>58</v>
      </c>
      <c r="G2958" s="1" t="s">
        <v>16</v>
      </c>
      <c r="H2958" s="1">
        <v>-3.25</v>
      </c>
      <c r="I2958" s="1">
        <v>2.13</v>
      </c>
      <c r="J2958" s="1">
        <v>0</v>
      </c>
      <c r="K2958" s="2">
        <v>43411</v>
      </c>
      <c r="L2958" s="1">
        <v>3716</v>
      </c>
      <c r="M2958" s="1">
        <v>3.5</v>
      </c>
      <c r="N2958" s="1">
        <v>-0.72402</v>
      </c>
      <c r="O2958" s="3">
        <f>VLOOKUP(D2958,underlying!$D$40:$H$75,5,FALSE)</f>
        <v>-2.75</v>
      </c>
      <c r="P2958" s="4">
        <f t="shared" si="115"/>
        <v>43292</v>
      </c>
      <c r="Q2958" s="7">
        <f>IF(G2958="C",NormalCallSprd(O2958,H2958,M2958,(P2958-A2958)/365), NormalPutSprd(O2958,H2958,M2958,(P2958-A2958)/365))</f>
        <v>2.1522797677299534</v>
      </c>
      <c r="R2958" s="9">
        <f t="shared" si="117"/>
        <v>2.2279767729953548E-2</v>
      </c>
    </row>
    <row r="2959" spans="1:18" x14ac:dyDescent="0.2">
      <c r="A2959" s="2">
        <v>42622</v>
      </c>
      <c r="B2959" s="1" t="s">
        <v>56</v>
      </c>
      <c r="C2959" s="1" t="s">
        <v>57</v>
      </c>
      <c r="D2959" s="2">
        <v>43107</v>
      </c>
      <c r="E2959" s="2">
        <f t="shared" si="116"/>
        <v>43282</v>
      </c>
      <c r="F2959" s="1" t="s">
        <v>58</v>
      </c>
      <c r="G2959" s="1" t="s">
        <v>18</v>
      </c>
      <c r="H2959" s="1">
        <v>-3.25</v>
      </c>
      <c r="I2959" s="1">
        <v>1.63</v>
      </c>
      <c r="J2959" s="1">
        <v>0</v>
      </c>
      <c r="K2959" s="2">
        <v>43411</v>
      </c>
      <c r="L2959" s="1">
        <v>3716</v>
      </c>
      <c r="M2959" s="1">
        <v>3.5</v>
      </c>
      <c r="N2959" s="1">
        <v>-0.69752999999999998</v>
      </c>
      <c r="O2959" s="3">
        <f>VLOOKUP(D2959,underlying!$D$40:$H$75,5,FALSE)</f>
        <v>-2.75</v>
      </c>
      <c r="P2959" s="4">
        <f t="shared" si="115"/>
        <v>43292</v>
      </c>
      <c r="Q2959" s="7">
        <f>IF(G2959="C",NormalCallSprd(O2959,H2959,M2959,(P2959-A2959)/365), NormalPutSprd(O2959,H2959,M2959,(P2959-A2959)/365))</f>
        <v>1.6522797677299534</v>
      </c>
      <c r="R2959" s="9">
        <f t="shared" si="117"/>
        <v>2.2279767729953548E-2</v>
      </c>
    </row>
    <row r="2960" spans="1:18" x14ac:dyDescent="0.2">
      <c r="A2960" s="2">
        <v>42622</v>
      </c>
      <c r="B2960" s="1" t="s">
        <v>56</v>
      </c>
      <c r="C2960" s="1" t="s">
        <v>57</v>
      </c>
      <c r="D2960" s="2">
        <v>43107</v>
      </c>
      <c r="E2960" s="2">
        <f t="shared" si="116"/>
        <v>43282</v>
      </c>
      <c r="F2960" s="1" t="s">
        <v>58</v>
      </c>
      <c r="G2960" s="1" t="s">
        <v>16</v>
      </c>
      <c r="H2960" s="1">
        <v>-3</v>
      </c>
      <c r="I2960" s="1">
        <v>2</v>
      </c>
      <c r="J2960" s="1">
        <v>0</v>
      </c>
      <c r="K2960" s="2">
        <v>43411</v>
      </c>
      <c r="L2960" s="1">
        <v>3716</v>
      </c>
      <c r="M2960" s="1">
        <v>3.51</v>
      </c>
      <c r="N2960" s="1">
        <v>-0.67190000000000005</v>
      </c>
      <c r="O2960" s="3">
        <f>VLOOKUP(D2960,underlying!$D$40:$H$75,5,FALSE)</f>
        <v>-2.75</v>
      </c>
      <c r="P2960" s="4">
        <f t="shared" si="115"/>
        <v>43292</v>
      </c>
      <c r="Q2960" s="7">
        <f>IF(G2960="C",NormalCallSprd(O2960,H2960,M2960,(P2960-A2960)/365), NormalPutSprd(O2960,H2960,M2960,(P2960-A2960)/365))</f>
        <v>2.0247992822590088</v>
      </c>
      <c r="R2960" s="9">
        <f t="shared" si="117"/>
        <v>2.4799282259008848E-2</v>
      </c>
    </row>
    <row r="2961" spans="1:18" x14ac:dyDescent="0.2">
      <c r="A2961" s="2">
        <v>42622</v>
      </c>
      <c r="B2961" s="1" t="s">
        <v>56</v>
      </c>
      <c r="C2961" s="1" t="s">
        <v>57</v>
      </c>
      <c r="D2961" s="2">
        <v>43107</v>
      </c>
      <c r="E2961" s="2">
        <f t="shared" si="116"/>
        <v>43282</v>
      </c>
      <c r="F2961" s="1" t="s">
        <v>58</v>
      </c>
      <c r="G2961" s="1" t="s">
        <v>18</v>
      </c>
      <c r="H2961" s="1">
        <v>-3</v>
      </c>
      <c r="I2961" s="1">
        <v>1.75</v>
      </c>
      <c r="J2961" s="1">
        <v>-0.01</v>
      </c>
      <c r="K2961" s="2">
        <v>43411</v>
      </c>
      <c r="L2961" s="1">
        <v>3716</v>
      </c>
      <c r="M2961" s="1">
        <v>3.51</v>
      </c>
      <c r="N2961" s="1">
        <v>-0.64366000000000001</v>
      </c>
      <c r="O2961" s="3">
        <f>VLOOKUP(D2961,underlying!$D$40:$H$75,5,FALSE)</f>
        <v>-2.75</v>
      </c>
      <c r="P2961" s="4">
        <f t="shared" si="115"/>
        <v>43292</v>
      </c>
      <c r="Q2961" s="7">
        <f>IF(G2961="C",NormalCallSprd(O2961,H2961,M2961,(P2961-A2961)/365), NormalPutSprd(O2961,H2961,M2961,(P2961-A2961)/365))</f>
        <v>1.7747992822590088</v>
      </c>
      <c r="R2961" s="9">
        <f t="shared" si="117"/>
        <v>2.4799282259008848E-2</v>
      </c>
    </row>
    <row r="2962" spans="1:18" x14ac:dyDescent="0.2">
      <c r="A2962" s="2">
        <v>42622</v>
      </c>
      <c r="B2962" s="1" t="s">
        <v>56</v>
      </c>
      <c r="C2962" s="1" t="s">
        <v>57</v>
      </c>
      <c r="D2962" s="2">
        <v>43107</v>
      </c>
      <c r="E2962" s="2">
        <f t="shared" si="116"/>
        <v>43282</v>
      </c>
      <c r="F2962" s="1" t="s">
        <v>58</v>
      </c>
      <c r="G2962" s="1" t="s">
        <v>16</v>
      </c>
      <c r="H2962" s="1">
        <v>-2.75</v>
      </c>
      <c r="I2962" s="1">
        <v>1.87</v>
      </c>
      <c r="J2962" s="1">
        <v>0</v>
      </c>
      <c r="K2962" s="2">
        <v>43411</v>
      </c>
      <c r="L2962" s="1">
        <v>3716</v>
      </c>
      <c r="M2962" s="1">
        <v>3.5</v>
      </c>
      <c r="N2962" s="1">
        <v>-0.61609000000000003</v>
      </c>
      <c r="O2962" s="3">
        <f>VLOOKUP(D2962,underlying!$D$40:$H$75,5,FALSE)</f>
        <v>-2.75</v>
      </c>
      <c r="P2962" s="4">
        <f t="shared" si="115"/>
        <v>43292</v>
      </c>
      <c r="Q2962" s="7">
        <f>IF(G2962="C",NormalCallSprd(O2962,H2962,M2962,(P2962-A2962)/365), NormalPutSprd(O2962,H2962,M2962,(P2962-A2962)/365))</f>
        <v>1.8917732461549819</v>
      </c>
      <c r="R2962" s="9">
        <f t="shared" si="117"/>
        <v>2.1773246154981774E-2</v>
      </c>
    </row>
    <row r="2963" spans="1:18" x14ac:dyDescent="0.2">
      <c r="A2963" s="2">
        <v>42622</v>
      </c>
      <c r="B2963" s="1" t="s">
        <v>56</v>
      </c>
      <c r="C2963" s="1" t="s">
        <v>57</v>
      </c>
      <c r="D2963" s="2">
        <v>43107</v>
      </c>
      <c r="E2963" s="2">
        <f t="shared" si="116"/>
        <v>43282</v>
      </c>
      <c r="F2963" s="1" t="s">
        <v>58</v>
      </c>
      <c r="G2963" s="1" t="s">
        <v>18</v>
      </c>
      <c r="H2963" s="1">
        <v>-2.75</v>
      </c>
      <c r="I2963" s="1">
        <v>1.87</v>
      </c>
      <c r="J2963" s="1">
        <v>0</v>
      </c>
      <c r="K2963" s="2">
        <v>43411</v>
      </c>
      <c r="L2963" s="1">
        <v>3716</v>
      </c>
      <c r="M2963" s="1">
        <v>3.5</v>
      </c>
      <c r="N2963" s="1">
        <v>-0.58691000000000004</v>
      </c>
      <c r="O2963" s="3">
        <f>VLOOKUP(D2963,underlying!$D$40:$H$75,5,FALSE)</f>
        <v>-2.75</v>
      </c>
      <c r="P2963" s="4">
        <f t="shared" si="115"/>
        <v>43292</v>
      </c>
      <c r="Q2963" s="7">
        <f>IF(G2963="C",NormalCallSprd(O2963,H2963,M2963,(P2963-A2963)/365), NormalPutSprd(O2963,H2963,M2963,(P2963-A2963)/365))</f>
        <v>1.8917732461549819</v>
      </c>
      <c r="R2963" s="9">
        <f t="shared" si="117"/>
        <v>2.1773246154981774E-2</v>
      </c>
    </row>
    <row r="2964" spans="1:18" x14ac:dyDescent="0.2">
      <c r="A2964" s="2">
        <v>42622</v>
      </c>
      <c r="B2964" s="1" t="s">
        <v>56</v>
      </c>
      <c r="C2964" s="1" t="s">
        <v>57</v>
      </c>
      <c r="D2964" s="2">
        <v>43107</v>
      </c>
      <c r="E2964" s="2">
        <f t="shared" si="116"/>
        <v>43282</v>
      </c>
      <c r="F2964" s="1" t="s">
        <v>58</v>
      </c>
      <c r="G2964" s="1" t="s">
        <v>16</v>
      </c>
      <c r="H2964" s="1">
        <v>-2.5</v>
      </c>
      <c r="I2964" s="1">
        <v>1.75</v>
      </c>
      <c r="J2964" s="1">
        <v>-0.01</v>
      </c>
      <c r="K2964" s="2">
        <v>43411</v>
      </c>
      <c r="L2964" s="1">
        <v>3716</v>
      </c>
      <c r="M2964" s="1">
        <v>3.51</v>
      </c>
      <c r="N2964" s="1">
        <v>-0.55752999999999997</v>
      </c>
      <c r="O2964" s="3">
        <f>VLOOKUP(D2964,underlying!$D$40:$H$75,5,FALSE)</f>
        <v>-2.75</v>
      </c>
      <c r="P2964" s="4">
        <f t="shared" si="115"/>
        <v>43292</v>
      </c>
      <c r="Q2964" s="7">
        <f>IF(G2964="C",NormalCallSprd(O2964,H2964,M2964,(P2964-A2964)/365), NormalPutSprd(O2964,H2964,M2964,(P2964-A2964)/365))</f>
        <v>1.7747992822590088</v>
      </c>
      <c r="R2964" s="9">
        <f t="shared" si="117"/>
        <v>2.4799282259008848E-2</v>
      </c>
    </row>
    <row r="2965" spans="1:18" x14ac:dyDescent="0.2">
      <c r="A2965" s="2">
        <v>42622</v>
      </c>
      <c r="B2965" s="1" t="s">
        <v>56</v>
      </c>
      <c r="C2965" s="1" t="s">
        <v>57</v>
      </c>
      <c r="D2965" s="2">
        <v>43107</v>
      </c>
      <c r="E2965" s="2">
        <f t="shared" si="116"/>
        <v>43282</v>
      </c>
      <c r="F2965" s="1" t="s">
        <v>58</v>
      </c>
      <c r="G2965" s="1" t="s">
        <v>18</v>
      </c>
      <c r="H2965" s="1">
        <v>-2.5</v>
      </c>
      <c r="I2965" s="1">
        <v>2</v>
      </c>
      <c r="J2965" s="1">
        <v>0</v>
      </c>
      <c r="K2965" s="2">
        <v>43411</v>
      </c>
      <c r="L2965" s="1">
        <v>3716</v>
      </c>
      <c r="M2965" s="1">
        <v>3.51</v>
      </c>
      <c r="N2965" s="1">
        <v>-0.52773999999999999</v>
      </c>
      <c r="O2965" s="3">
        <f>VLOOKUP(D2965,underlying!$D$40:$H$75,5,FALSE)</f>
        <v>-2.75</v>
      </c>
      <c r="P2965" s="4">
        <f t="shared" si="115"/>
        <v>43292</v>
      </c>
      <c r="Q2965" s="7">
        <f>IF(G2965="C",NormalCallSprd(O2965,H2965,M2965,(P2965-A2965)/365), NormalPutSprd(O2965,H2965,M2965,(P2965-A2965)/365))</f>
        <v>2.0247992822590088</v>
      </c>
      <c r="R2965" s="9">
        <f t="shared" si="117"/>
        <v>2.4799282259008848E-2</v>
      </c>
    </row>
    <row r="2966" spans="1:18" x14ac:dyDescent="0.2">
      <c r="A2966" s="2">
        <v>42622</v>
      </c>
      <c r="B2966" s="1" t="s">
        <v>56</v>
      </c>
      <c r="C2966" s="1" t="s">
        <v>57</v>
      </c>
      <c r="D2966" s="2">
        <v>43107</v>
      </c>
      <c r="E2966" s="2">
        <f t="shared" si="116"/>
        <v>43282</v>
      </c>
      <c r="F2966" s="1" t="s">
        <v>58</v>
      </c>
      <c r="G2966" s="1" t="s">
        <v>16</v>
      </c>
      <c r="H2966" s="1">
        <v>-2.25</v>
      </c>
      <c r="I2966" s="1">
        <v>1.63</v>
      </c>
      <c r="J2966" s="1">
        <v>0</v>
      </c>
      <c r="K2966" s="2">
        <v>43411</v>
      </c>
      <c r="L2966" s="1">
        <v>3716</v>
      </c>
      <c r="M2966" s="1">
        <v>3.5</v>
      </c>
      <c r="N2966" s="1">
        <v>-0.49793999999999999</v>
      </c>
      <c r="O2966" s="3">
        <f>VLOOKUP(D2966,underlying!$D$40:$H$75,5,FALSE)</f>
        <v>-2.75</v>
      </c>
      <c r="P2966" s="4">
        <f t="shared" si="115"/>
        <v>43292</v>
      </c>
      <c r="Q2966" s="7">
        <f>IF(G2966="C",NormalCallSprd(O2966,H2966,M2966,(P2966-A2966)/365), NormalPutSprd(O2966,H2966,M2966,(P2966-A2966)/365))</f>
        <v>1.6522797677299534</v>
      </c>
      <c r="R2966" s="9">
        <f t="shared" si="117"/>
        <v>2.2279767729953548E-2</v>
      </c>
    </row>
    <row r="2967" spans="1:18" x14ac:dyDescent="0.2">
      <c r="A2967" s="2">
        <v>42622</v>
      </c>
      <c r="B2967" s="1" t="s">
        <v>56</v>
      </c>
      <c r="C2967" s="1" t="s">
        <v>57</v>
      </c>
      <c r="D2967" s="2">
        <v>43107</v>
      </c>
      <c r="E2967" s="2">
        <f t="shared" si="116"/>
        <v>43282</v>
      </c>
      <c r="F2967" s="1" t="s">
        <v>58</v>
      </c>
      <c r="G2967" s="1" t="s">
        <v>18</v>
      </c>
      <c r="H2967" s="1">
        <v>-2.25</v>
      </c>
      <c r="I2967" s="1">
        <v>2.13</v>
      </c>
      <c r="J2967" s="1">
        <v>0</v>
      </c>
      <c r="K2967" s="2">
        <v>43411</v>
      </c>
      <c r="L2967" s="1">
        <v>3716</v>
      </c>
      <c r="M2967" s="1">
        <v>3.5</v>
      </c>
      <c r="N2967" s="1">
        <v>-0.46814</v>
      </c>
      <c r="O2967" s="3">
        <f>VLOOKUP(D2967,underlying!$D$40:$H$75,5,FALSE)</f>
        <v>-2.75</v>
      </c>
      <c r="P2967" s="4">
        <f t="shared" si="115"/>
        <v>43292</v>
      </c>
      <c r="Q2967" s="7">
        <f>IF(G2967="C",NormalCallSprd(O2967,H2967,M2967,(P2967-A2967)/365), NormalPutSprd(O2967,H2967,M2967,(P2967-A2967)/365))</f>
        <v>2.1522797677299534</v>
      </c>
      <c r="R2967" s="9">
        <f t="shared" si="117"/>
        <v>2.2279767729953548E-2</v>
      </c>
    </row>
    <row r="2968" spans="1:18" x14ac:dyDescent="0.2">
      <c r="A2968" s="2">
        <v>42622</v>
      </c>
      <c r="B2968" s="1" t="s">
        <v>56</v>
      </c>
      <c r="C2968" s="1" t="s">
        <v>57</v>
      </c>
      <c r="D2968" s="2">
        <v>43107</v>
      </c>
      <c r="E2968" s="2">
        <f t="shared" si="116"/>
        <v>43282</v>
      </c>
      <c r="F2968" s="1" t="s">
        <v>58</v>
      </c>
      <c r="G2968" s="1" t="s">
        <v>16</v>
      </c>
      <c r="H2968" s="1">
        <v>-2</v>
      </c>
      <c r="I2968" s="1">
        <v>1.52</v>
      </c>
      <c r="J2968" s="1">
        <v>0</v>
      </c>
      <c r="K2968" s="2">
        <v>43411</v>
      </c>
      <c r="L2968" s="1">
        <v>3716</v>
      </c>
      <c r="M2968" s="1">
        <v>3.5</v>
      </c>
      <c r="N2968" s="1">
        <v>-0.43835000000000002</v>
      </c>
      <c r="O2968" s="3">
        <f>VLOOKUP(D2968,underlying!$D$40:$H$75,5,FALSE)</f>
        <v>-2.75</v>
      </c>
      <c r="P2968" s="4">
        <f t="shared" si="115"/>
        <v>43292</v>
      </c>
      <c r="Q2968" s="7">
        <f>IF(G2968="C",NormalCallSprd(O2968,H2968,M2968,(P2968-A2968)/365), NormalPutSprd(O2968,H2968,M2968,(P2968-A2968)/365))</f>
        <v>1.5403856157009066</v>
      </c>
      <c r="R2968" s="9">
        <f t="shared" si="117"/>
        <v>2.0385615700906579E-2</v>
      </c>
    </row>
    <row r="2969" spans="1:18" x14ac:dyDescent="0.2">
      <c r="A2969" s="2">
        <v>42622</v>
      </c>
      <c r="B2969" s="1" t="s">
        <v>56</v>
      </c>
      <c r="C2969" s="1" t="s">
        <v>57</v>
      </c>
      <c r="D2969" s="2">
        <v>43107</v>
      </c>
      <c r="E2969" s="2">
        <f t="shared" si="116"/>
        <v>43282</v>
      </c>
      <c r="F2969" s="1" t="s">
        <v>58</v>
      </c>
      <c r="G2969" s="1" t="s">
        <v>18</v>
      </c>
      <c r="H2969" s="1">
        <v>-2</v>
      </c>
      <c r="I2969" s="1">
        <v>2.2599999999999998</v>
      </c>
      <c r="J2969" s="1">
        <v>-0.01</v>
      </c>
      <c r="K2969" s="2">
        <v>43411</v>
      </c>
      <c r="L2969" s="1">
        <v>3716</v>
      </c>
      <c r="M2969" s="1">
        <v>3.5</v>
      </c>
      <c r="N2969" s="1">
        <v>-0.40897</v>
      </c>
      <c r="O2969" s="3">
        <f>VLOOKUP(D2969,underlying!$D$40:$H$75,5,FALSE)</f>
        <v>-2.75</v>
      </c>
      <c r="P2969" s="4">
        <f t="shared" si="115"/>
        <v>43292</v>
      </c>
      <c r="Q2969" s="7">
        <f>IF(G2969="C",NormalCallSprd(O2969,H2969,M2969,(P2969-A2969)/365), NormalPutSprd(O2969,H2969,M2969,(P2969-A2969)/365))</f>
        <v>2.2903856157009068</v>
      </c>
      <c r="R2969" s="9">
        <f t="shared" si="117"/>
        <v>3.0385615700907032E-2</v>
      </c>
    </row>
    <row r="2970" spans="1:18" x14ac:dyDescent="0.2">
      <c r="A2970" s="2">
        <v>42622</v>
      </c>
      <c r="B2970" s="1" t="s">
        <v>56</v>
      </c>
      <c r="C2970" s="1" t="s">
        <v>57</v>
      </c>
      <c r="D2970" s="2">
        <v>43107</v>
      </c>
      <c r="E2970" s="2">
        <f t="shared" si="116"/>
        <v>43282</v>
      </c>
      <c r="F2970" s="1" t="s">
        <v>58</v>
      </c>
      <c r="G2970" s="1" t="s">
        <v>16</v>
      </c>
      <c r="H2970" s="1">
        <v>-1.75</v>
      </c>
      <c r="I2970" s="1">
        <v>1.41</v>
      </c>
      <c r="J2970" s="1">
        <v>0</v>
      </c>
      <c r="K2970" s="2">
        <v>43411</v>
      </c>
      <c r="L2970" s="1">
        <v>3716</v>
      </c>
      <c r="M2970" s="1">
        <v>3.49</v>
      </c>
      <c r="N2970" s="1">
        <v>-0.37979000000000002</v>
      </c>
      <c r="O2970" s="3">
        <f>VLOOKUP(D2970,underlying!$D$40:$H$75,5,FALSE)</f>
        <v>-2.75</v>
      </c>
      <c r="P2970" s="4">
        <f t="shared" si="115"/>
        <v>43292</v>
      </c>
      <c r="Q2970" s="7">
        <f>IF(G2970="C",NormalCallSprd(O2970,H2970,M2970,(P2970-A2970)/365), NormalPutSprd(O2970,H2970,M2970,(P2970-A2970)/365))</f>
        <v>1.4283971910125834</v>
      </c>
      <c r="R2970" s="9">
        <f t="shared" si="117"/>
        <v>1.8397191012583525E-2</v>
      </c>
    </row>
    <row r="2971" spans="1:18" x14ac:dyDescent="0.2">
      <c r="A2971" s="2">
        <v>42622</v>
      </c>
      <c r="B2971" s="1" t="s">
        <v>56</v>
      </c>
      <c r="C2971" s="1" t="s">
        <v>57</v>
      </c>
      <c r="D2971" s="2">
        <v>43107</v>
      </c>
      <c r="E2971" s="2">
        <f t="shared" si="116"/>
        <v>43282</v>
      </c>
      <c r="F2971" s="1" t="s">
        <v>58</v>
      </c>
      <c r="G2971" s="1" t="s">
        <v>18</v>
      </c>
      <c r="H2971" s="1">
        <v>-1.75</v>
      </c>
      <c r="I2971" s="1">
        <v>2.4</v>
      </c>
      <c r="J2971" s="1">
        <v>0</v>
      </c>
      <c r="K2971" s="2">
        <v>43411</v>
      </c>
      <c r="L2971" s="1">
        <v>3716</v>
      </c>
      <c r="M2971" s="1">
        <v>3.49</v>
      </c>
      <c r="N2971" s="1">
        <v>-0.35221999999999998</v>
      </c>
      <c r="O2971" s="3">
        <f>VLOOKUP(D2971,underlying!$D$40:$H$75,5,FALSE)</f>
        <v>-2.75</v>
      </c>
      <c r="P2971" s="4">
        <f t="shared" si="115"/>
        <v>43292</v>
      </c>
      <c r="Q2971" s="7">
        <f>IF(G2971="C",NormalCallSprd(O2971,H2971,M2971,(P2971-A2971)/365), NormalPutSprd(O2971,H2971,M2971,(P2971-A2971)/365))</f>
        <v>2.4283971910125834</v>
      </c>
      <c r="R2971" s="9">
        <f t="shared" si="117"/>
        <v>2.8397191012583534E-2</v>
      </c>
    </row>
    <row r="2972" spans="1:18" x14ac:dyDescent="0.2">
      <c r="A2972" s="2">
        <v>42622</v>
      </c>
      <c r="B2972" s="1" t="s">
        <v>56</v>
      </c>
      <c r="C2972" s="1" t="s">
        <v>57</v>
      </c>
      <c r="D2972" s="2">
        <v>43107</v>
      </c>
      <c r="E2972" s="2">
        <f t="shared" si="116"/>
        <v>43282</v>
      </c>
      <c r="F2972" s="1" t="s">
        <v>58</v>
      </c>
      <c r="G2972" s="1" t="s">
        <v>16</v>
      </c>
      <c r="H2972" s="1">
        <v>-1.5</v>
      </c>
      <c r="I2972" s="1">
        <v>1.32</v>
      </c>
      <c r="J2972" s="1">
        <v>0</v>
      </c>
      <c r="K2972" s="2">
        <v>43411</v>
      </c>
      <c r="L2972" s="1">
        <v>3716</v>
      </c>
      <c r="M2972" s="1">
        <v>3.5</v>
      </c>
      <c r="N2972" s="1">
        <v>-0.32399</v>
      </c>
      <c r="O2972" s="3">
        <f>VLOOKUP(D2972,underlying!$D$40:$H$75,5,FALSE)</f>
        <v>-2.75</v>
      </c>
      <c r="P2972" s="4">
        <f t="shared" si="115"/>
        <v>43292</v>
      </c>
      <c r="Q2972" s="7">
        <f>IF(G2972="C",NormalCallSprd(O2972,H2972,M2972,(P2972-A2972)/365), NormalPutSprd(O2972,H2972,M2972,(P2972-A2972)/365))</f>
        <v>1.3321218677821531</v>
      </c>
      <c r="R2972" s="9">
        <f t="shared" si="117"/>
        <v>1.2121867782153073E-2</v>
      </c>
    </row>
    <row r="2973" spans="1:18" x14ac:dyDescent="0.2">
      <c r="A2973" s="2">
        <v>42622</v>
      </c>
      <c r="B2973" s="1" t="s">
        <v>56</v>
      </c>
      <c r="C2973" s="1" t="s">
        <v>57</v>
      </c>
      <c r="D2973" s="2">
        <v>43107</v>
      </c>
      <c r="E2973" s="2">
        <f t="shared" si="116"/>
        <v>43282</v>
      </c>
      <c r="F2973" s="1" t="s">
        <v>58</v>
      </c>
      <c r="G2973" s="1" t="s">
        <v>18</v>
      </c>
      <c r="H2973" s="1">
        <v>-1.5</v>
      </c>
      <c r="I2973" s="1">
        <v>2.5499999999999998</v>
      </c>
      <c r="J2973" s="1">
        <v>0</v>
      </c>
      <c r="K2973" s="2">
        <v>43411</v>
      </c>
      <c r="L2973" s="1">
        <v>3716</v>
      </c>
      <c r="M2973" s="1">
        <v>3.5</v>
      </c>
      <c r="N2973" s="1">
        <v>-0.29836000000000001</v>
      </c>
      <c r="O2973" s="3">
        <f>VLOOKUP(D2973,underlying!$D$40:$H$75,5,FALSE)</f>
        <v>-2.75</v>
      </c>
      <c r="P2973" s="4">
        <f t="shared" si="115"/>
        <v>43292</v>
      </c>
      <c r="Q2973" s="7">
        <f>IF(G2973="C",NormalCallSprd(O2973,H2973,M2973,(P2973-A2973)/365), NormalPutSprd(O2973,H2973,M2973,(P2973-A2973)/365))</f>
        <v>2.5821218677821531</v>
      </c>
      <c r="R2973" s="9">
        <f t="shared" si="117"/>
        <v>3.2121867782153313E-2</v>
      </c>
    </row>
    <row r="2974" spans="1:18" x14ac:dyDescent="0.2">
      <c r="A2974" s="2">
        <v>42622</v>
      </c>
      <c r="B2974" s="1" t="s">
        <v>56</v>
      </c>
      <c r="C2974" s="1" t="s">
        <v>57</v>
      </c>
      <c r="D2974" s="2">
        <v>43107</v>
      </c>
      <c r="E2974" s="2">
        <f t="shared" si="116"/>
        <v>43282</v>
      </c>
      <c r="F2974" s="1" t="s">
        <v>58</v>
      </c>
      <c r="G2974" s="1" t="s">
        <v>16</v>
      </c>
      <c r="H2974" s="1">
        <v>-1.25</v>
      </c>
      <c r="I2974" s="1">
        <v>1.22</v>
      </c>
      <c r="J2974" s="1">
        <v>0</v>
      </c>
      <c r="K2974" s="2">
        <v>43411</v>
      </c>
      <c r="L2974" s="1">
        <v>3716</v>
      </c>
      <c r="M2974" s="1">
        <v>3.5</v>
      </c>
      <c r="N2974" s="1">
        <v>-0.27289999999999998</v>
      </c>
      <c r="O2974" s="3">
        <f>VLOOKUP(D2974,underlying!$D$40:$H$75,5,FALSE)</f>
        <v>-2.75</v>
      </c>
      <c r="P2974" s="4">
        <f t="shared" si="115"/>
        <v>43292</v>
      </c>
      <c r="Q2974" s="7">
        <f>IF(G2974="C",NormalCallSprd(O2974,H2974,M2974,(P2974-A2974)/365), NormalPutSprd(O2974,H2974,M2974,(P2974-A2974)/365))</f>
        <v>1.2356381590368404</v>
      </c>
      <c r="R2974" s="9">
        <f t="shared" si="117"/>
        <v>1.5638159036840404E-2</v>
      </c>
    </row>
    <row r="2975" spans="1:18" x14ac:dyDescent="0.2">
      <c r="A2975" s="2">
        <v>42622</v>
      </c>
      <c r="B2975" s="1" t="s">
        <v>56</v>
      </c>
      <c r="C2975" s="1" t="s">
        <v>57</v>
      </c>
      <c r="D2975" s="2">
        <v>43107</v>
      </c>
      <c r="E2975" s="2">
        <f t="shared" si="116"/>
        <v>43282</v>
      </c>
      <c r="F2975" s="1" t="s">
        <v>58</v>
      </c>
      <c r="G2975" s="1" t="s">
        <v>18</v>
      </c>
      <c r="H2975" s="1">
        <v>-1.25</v>
      </c>
      <c r="I2975" s="1">
        <v>2.7</v>
      </c>
      <c r="J2975" s="1">
        <v>-0.01</v>
      </c>
      <c r="K2975" s="2">
        <v>43411</v>
      </c>
      <c r="L2975" s="1">
        <v>3716</v>
      </c>
      <c r="M2975" s="1">
        <v>3.5</v>
      </c>
      <c r="N2975" s="1">
        <v>-0.24857000000000001</v>
      </c>
      <c r="O2975" s="3">
        <f>VLOOKUP(D2975,underlying!$D$40:$H$75,5,FALSE)</f>
        <v>-2.75</v>
      </c>
      <c r="P2975" s="4">
        <f t="shared" si="115"/>
        <v>43292</v>
      </c>
      <c r="Q2975" s="7">
        <f>IF(G2975="C",NormalCallSprd(O2975,H2975,M2975,(P2975-A2975)/365), NormalPutSprd(O2975,H2975,M2975,(P2975-A2975)/365))</f>
        <v>2.7356381590368404</v>
      </c>
      <c r="R2975" s="9">
        <f t="shared" si="117"/>
        <v>3.56381590368402E-2</v>
      </c>
    </row>
    <row r="2976" spans="1:18" x14ac:dyDescent="0.2">
      <c r="A2976" s="2">
        <v>42622</v>
      </c>
      <c r="B2976" s="1" t="s">
        <v>56</v>
      </c>
      <c r="C2976" s="1" t="s">
        <v>57</v>
      </c>
      <c r="D2976" s="2">
        <v>43107</v>
      </c>
      <c r="E2976" s="2">
        <f t="shared" si="116"/>
        <v>43282</v>
      </c>
      <c r="F2976" s="1" t="s">
        <v>58</v>
      </c>
      <c r="G2976" s="1" t="s">
        <v>16</v>
      </c>
      <c r="H2976" s="1">
        <v>-1</v>
      </c>
      <c r="I2976" s="1">
        <v>1.1399999999999999</v>
      </c>
      <c r="J2976" s="1">
        <v>0</v>
      </c>
      <c r="K2976" s="2">
        <v>43411</v>
      </c>
      <c r="L2976" s="1">
        <v>3716</v>
      </c>
      <c r="M2976" s="1">
        <v>3.51</v>
      </c>
      <c r="N2976" s="1">
        <v>-0.22544</v>
      </c>
      <c r="O2976" s="3">
        <f>VLOOKUP(D2976,underlying!$D$40:$H$75,5,FALSE)</f>
        <v>-2.75</v>
      </c>
      <c r="P2976" s="4">
        <f t="shared" si="115"/>
        <v>43292</v>
      </c>
      <c r="Q2976" s="7">
        <f>IF(G2976="C",NormalCallSprd(O2976,H2976,M2976,(P2976-A2976)/365), NormalPutSprd(O2976,H2976,M2976,(P2976-A2976)/365))</f>
        <v>1.1492051705102331</v>
      </c>
      <c r="R2976" s="9">
        <f t="shared" si="117"/>
        <v>9.2051705102331738E-3</v>
      </c>
    </row>
    <row r="2977" spans="1:18" x14ac:dyDescent="0.2">
      <c r="A2977" s="2">
        <v>42622</v>
      </c>
      <c r="B2977" s="1" t="s">
        <v>56</v>
      </c>
      <c r="C2977" s="1" t="s">
        <v>57</v>
      </c>
      <c r="D2977" s="2">
        <v>43107</v>
      </c>
      <c r="E2977" s="2">
        <f t="shared" si="116"/>
        <v>43282</v>
      </c>
      <c r="F2977" s="1" t="s">
        <v>58</v>
      </c>
      <c r="G2977" s="1" t="s">
        <v>18</v>
      </c>
      <c r="H2977" s="1">
        <v>-1</v>
      </c>
      <c r="I2977" s="1">
        <v>2.86</v>
      </c>
      <c r="J2977" s="1">
        <v>-0.01</v>
      </c>
      <c r="K2977" s="2">
        <v>43411</v>
      </c>
      <c r="L2977" s="1">
        <v>3716</v>
      </c>
      <c r="M2977" s="1">
        <v>3.51</v>
      </c>
      <c r="N2977" s="1">
        <v>-0.20358000000000001</v>
      </c>
      <c r="O2977" s="3">
        <f>VLOOKUP(D2977,underlying!$D$40:$H$75,5,FALSE)</f>
        <v>-2.75</v>
      </c>
      <c r="P2977" s="4">
        <f t="shared" si="115"/>
        <v>43292</v>
      </c>
      <c r="Q2977" s="7">
        <f>IF(G2977="C",NormalCallSprd(O2977,H2977,M2977,(P2977-A2977)/365), NormalPutSprd(O2977,H2977,M2977,(P2977-A2977)/365))</f>
        <v>2.8992051705102333</v>
      </c>
      <c r="R2977" s="9">
        <f t="shared" si="117"/>
        <v>3.9205170510233422E-2</v>
      </c>
    </row>
    <row r="2978" spans="1:18" x14ac:dyDescent="0.2">
      <c r="A2978" s="2">
        <v>42622</v>
      </c>
      <c r="B2978" s="1" t="s">
        <v>56</v>
      </c>
      <c r="C2978" s="1" t="s">
        <v>57</v>
      </c>
      <c r="D2978" s="2">
        <v>43107</v>
      </c>
      <c r="E2978" s="2">
        <f t="shared" si="116"/>
        <v>43282</v>
      </c>
      <c r="F2978" s="1" t="s">
        <v>58</v>
      </c>
      <c r="G2978" s="1" t="s">
        <v>16</v>
      </c>
      <c r="H2978" s="1">
        <v>-0.75</v>
      </c>
      <c r="I2978" s="1">
        <v>1.05</v>
      </c>
      <c r="J2978" s="1">
        <v>0</v>
      </c>
      <c r="K2978" s="2">
        <v>43411</v>
      </c>
      <c r="L2978" s="1">
        <v>3716</v>
      </c>
      <c r="M2978" s="1">
        <v>3.51</v>
      </c>
      <c r="N2978" s="1">
        <v>-0.18304000000000001</v>
      </c>
      <c r="O2978" s="3">
        <f>VLOOKUP(D2978,underlying!$D$40:$H$75,5,FALSE)</f>
        <v>-2.75</v>
      </c>
      <c r="P2978" s="4">
        <f t="shared" si="115"/>
        <v>43292</v>
      </c>
      <c r="Q2978" s="7">
        <f>IF(G2978="C",NormalCallSprd(O2978,H2978,M2978,(P2978-A2978)/365), NormalPutSprd(O2978,H2978,M2978,(P2978-A2978)/365))</f>
        <v>1.0625290596071777</v>
      </c>
      <c r="R2978" s="9">
        <f t="shared" si="117"/>
        <v>1.2529059607177651E-2</v>
      </c>
    </row>
    <row r="2979" spans="1:18" x14ac:dyDescent="0.2">
      <c r="A2979" s="2">
        <v>42622</v>
      </c>
      <c r="B2979" s="1" t="s">
        <v>56</v>
      </c>
      <c r="C2979" s="1" t="s">
        <v>57</v>
      </c>
      <c r="D2979" s="2">
        <v>43107</v>
      </c>
      <c r="E2979" s="2">
        <f t="shared" si="116"/>
        <v>43282</v>
      </c>
      <c r="F2979" s="1" t="s">
        <v>58</v>
      </c>
      <c r="G2979" s="1" t="s">
        <v>18</v>
      </c>
      <c r="H2979" s="1">
        <v>-0.75</v>
      </c>
      <c r="I2979" s="1">
        <v>3.03</v>
      </c>
      <c r="J2979" s="1">
        <v>0</v>
      </c>
      <c r="K2979" s="2">
        <v>43411</v>
      </c>
      <c r="L2979" s="1">
        <v>3716</v>
      </c>
      <c r="M2979" s="1">
        <v>3.51</v>
      </c>
      <c r="N2979" s="1">
        <v>-0.16383</v>
      </c>
      <c r="O2979" s="3">
        <f>VLOOKUP(D2979,underlying!$D$40:$H$75,5,FALSE)</f>
        <v>-2.75</v>
      </c>
      <c r="P2979" s="4">
        <f t="shared" si="115"/>
        <v>43292</v>
      </c>
      <c r="Q2979" s="7">
        <f>IF(G2979="C",NormalCallSprd(O2979,H2979,M2979,(P2979-A2979)/365), NormalPutSprd(O2979,H2979,M2979,(P2979-A2979)/365))</f>
        <v>3.0625290596071779</v>
      </c>
      <c r="R2979" s="9">
        <f t="shared" si="117"/>
        <v>3.2529059607178112E-2</v>
      </c>
    </row>
    <row r="2980" spans="1:18" x14ac:dyDescent="0.2">
      <c r="A2980" s="2">
        <v>42622</v>
      </c>
      <c r="B2980" s="1" t="s">
        <v>56</v>
      </c>
      <c r="C2980" s="1" t="s">
        <v>57</v>
      </c>
      <c r="D2980" s="2">
        <v>43107</v>
      </c>
      <c r="E2980" s="2">
        <f t="shared" si="116"/>
        <v>43282</v>
      </c>
      <c r="F2980" s="1" t="s">
        <v>58</v>
      </c>
      <c r="G2980" s="1" t="s">
        <v>16</v>
      </c>
      <c r="H2980" s="1">
        <v>-0.5</v>
      </c>
      <c r="I2980" s="1">
        <v>0.97</v>
      </c>
      <c r="J2980" s="1">
        <v>0</v>
      </c>
      <c r="K2980" s="2">
        <v>43411</v>
      </c>
      <c r="L2980" s="1">
        <v>3716</v>
      </c>
      <c r="M2980" s="1">
        <v>3.51</v>
      </c>
      <c r="N2980" s="1">
        <v>-0.14599000000000001</v>
      </c>
      <c r="O2980" s="3">
        <f>VLOOKUP(D2980,underlying!$D$40:$H$75,5,FALSE)</f>
        <v>-2.75</v>
      </c>
      <c r="P2980" s="4">
        <f t="shared" si="115"/>
        <v>43292</v>
      </c>
      <c r="Q2980" s="7">
        <f>IF(G2980="C",NormalCallSprd(O2980,H2980,M2980,(P2980-A2980)/365), NormalPutSprd(O2980,H2980,M2980,(P2980-A2980)/365))</f>
        <v>0.98065140996985078</v>
      </c>
      <c r="R2980" s="9">
        <f t="shared" si="117"/>
        <v>1.0651409969850811E-2</v>
      </c>
    </row>
    <row r="2981" spans="1:18" x14ac:dyDescent="0.2">
      <c r="A2981" s="2">
        <v>42622</v>
      </c>
      <c r="B2981" s="1" t="s">
        <v>56</v>
      </c>
      <c r="C2981" s="1" t="s">
        <v>57</v>
      </c>
      <c r="D2981" s="2">
        <v>43107</v>
      </c>
      <c r="E2981" s="2">
        <f t="shared" si="116"/>
        <v>43282</v>
      </c>
      <c r="F2981" s="1" t="s">
        <v>58</v>
      </c>
      <c r="G2981" s="1" t="s">
        <v>18</v>
      </c>
      <c r="H2981" s="1">
        <v>-0.5</v>
      </c>
      <c r="I2981" s="1">
        <v>3.19</v>
      </c>
      <c r="J2981" s="1">
        <v>-0.01</v>
      </c>
      <c r="K2981" s="2">
        <v>43411</v>
      </c>
      <c r="L2981" s="1">
        <v>3716</v>
      </c>
      <c r="M2981" s="1">
        <v>3.51</v>
      </c>
      <c r="N2981" s="1">
        <v>-0.12887999999999999</v>
      </c>
      <c r="O2981" s="3">
        <f>VLOOKUP(D2981,underlying!$D$40:$H$75,5,FALSE)</f>
        <v>-2.75</v>
      </c>
      <c r="P2981" s="4">
        <f t="shared" si="115"/>
        <v>43292</v>
      </c>
      <c r="Q2981" s="7">
        <f>IF(G2981="C",NormalCallSprd(O2981,H2981,M2981,(P2981-A2981)/365), NormalPutSprd(O2981,H2981,M2981,(P2981-A2981)/365))</f>
        <v>3.2306514099698509</v>
      </c>
      <c r="R2981" s="9">
        <f t="shared" si="117"/>
        <v>4.0651409969850949E-2</v>
      </c>
    </row>
    <row r="2982" spans="1:18" x14ac:dyDescent="0.2">
      <c r="A2982" s="2">
        <v>42622</v>
      </c>
      <c r="B2982" s="1" t="s">
        <v>56</v>
      </c>
      <c r="C2982" s="1" t="s">
        <v>57</v>
      </c>
      <c r="D2982" s="2">
        <v>43107</v>
      </c>
      <c r="E2982" s="2">
        <f t="shared" si="116"/>
        <v>43282</v>
      </c>
      <c r="F2982" s="1" t="s">
        <v>58</v>
      </c>
      <c r="G2982" s="1" t="s">
        <v>16</v>
      </c>
      <c r="H2982" s="1">
        <v>-0.25</v>
      </c>
      <c r="I2982" s="1">
        <v>0.89</v>
      </c>
      <c r="J2982" s="1">
        <v>0</v>
      </c>
      <c r="K2982" s="2">
        <v>43411</v>
      </c>
      <c r="L2982" s="1">
        <v>3716</v>
      </c>
      <c r="M2982" s="1">
        <v>3.51</v>
      </c>
      <c r="N2982" s="1">
        <v>-0.11373999999999999</v>
      </c>
      <c r="O2982" s="3">
        <f>VLOOKUP(D2982,underlying!$D$40:$H$75,5,FALSE)</f>
        <v>-2.75</v>
      </c>
      <c r="P2982" s="4">
        <f t="shared" si="115"/>
        <v>43292</v>
      </c>
      <c r="Q2982" s="7">
        <f>IF(G2982="C",NormalCallSprd(O2982,H2982,M2982,(P2982-A2982)/365), NormalPutSprd(O2982,H2982,M2982,(P2982-A2982)/365))</f>
        <v>0.90346086497575295</v>
      </c>
      <c r="R2982" s="9">
        <f t="shared" si="117"/>
        <v>1.346086497575294E-2</v>
      </c>
    </row>
    <row r="2983" spans="1:18" x14ac:dyDescent="0.2">
      <c r="A2983" s="2">
        <v>42622</v>
      </c>
      <c r="B2983" s="1" t="s">
        <v>56</v>
      </c>
      <c r="C2983" s="1" t="s">
        <v>57</v>
      </c>
      <c r="D2983" s="2">
        <v>43107</v>
      </c>
      <c r="E2983" s="2">
        <f t="shared" si="116"/>
        <v>43282</v>
      </c>
      <c r="F2983" s="1" t="s">
        <v>58</v>
      </c>
      <c r="G2983" s="1" t="s">
        <v>18</v>
      </c>
      <c r="H2983" s="1">
        <v>-0.25</v>
      </c>
      <c r="I2983" s="1">
        <v>3.36</v>
      </c>
      <c r="J2983" s="1">
        <v>-0.01</v>
      </c>
      <c r="K2983" s="2">
        <v>43411</v>
      </c>
      <c r="L2983" s="1">
        <v>3716</v>
      </c>
      <c r="M2983" s="1">
        <v>3.51</v>
      </c>
      <c r="N2983" s="1">
        <v>-9.9909999999999999E-2</v>
      </c>
      <c r="O2983" s="3">
        <f>VLOOKUP(D2983,underlying!$D$40:$H$75,5,FALSE)</f>
        <v>-2.75</v>
      </c>
      <c r="P2983" s="4">
        <f t="shared" si="115"/>
        <v>43292</v>
      </c>
      <c r="Q2983" s="7">
        <f>IF(G2983="C",NormalCallSprd(O2983,H2983,M2983,(P2983-A2983)/365), NormalPutSprd(O2983,H2983,M2983,(P2983-A2983)/365))</f>
        <v>3.4034608649757527</v>
      </c>
      <c r="R2983" s="9">
        <f t="shared" si="117"/>
        <v>4.3460864975752855E-2</v>
      </c>
    </row>
    <row r="2984" spans="1:18" x14ac:dyDescent="0.2">
      <c r="A2984" s="2">
        <v>42622</v>
      </c>
      <c r="B2984" s="1" t="s">
        <v>56</v>
      </c>
      <c r="C2984" s="1" t="s">
        <v>57</v>
      </c>
      <c r="D2984" s="2">
        <v>43108</v>
      </c>
      <c r="E2984" s="2">
        <f t="shared" si="116"/>
        <v>43313</v>
      </c>
      <c r="F2984" s="1" t="s">
        <v>58</v>
      </c>
      <c r="G2984" s="1" t="s">
        <v>16</v>
      </c>
      <c r="H2984" s="1">
        <v>-8</v>
      </c>
      <c r="I2984" s="1">
        <v>6.17</v>
      </c>
      <c r="J2984" s="1">
        <v>-0.01</v>
      </c>
      <c r="K2984" s="2">
        <v>43351</v>
      </c>
      <c r="L2984" s="1">
        <v>3716</v>
      </c>
      <c r="M2984" s="1">
        <v>3.51</v>
      </c>
      <c r="N2984" s="1">
        <v>-8.7340000000000001E-2</v>
      </c>
      <c r="O2984" s="3">
        <f>VLOOKUP(D2984,underlying!$D$40:$H$75,5,FALSE)</f>
        <v>-2</v>
      </c>
      <c r="P2984" s="4">
        <f t="shared" si="115"/>
        <v>43321</v>
      </c>
      <c r="Q2984" s="7">
        <f>IF(G2984="C",NormalCallSprd(O2984,H2984,M2984,(P2984-A2984)/365), NormalPutSprd(O2984,H2984,M2984,(P2984-A2984)/365))</f>
        <v>6.2533888478610891</v>
      </c>
      <c r="R2984" s="9">
        <f t="shared" si="117"/>
        <v>8.3388847861089133E-2</v>
      </c>
    </row>
    <row r="2985" spans="1:18" x14ac:dyDescent="0.2">
      <c r="A2985" s="2">
        <v>42622</v>
      </c>
      <c r="B2985" s="1" t="s">
        <v>56</v>
      </c>
      <c r="C2985" s="1" t="s">
        <v>57</v>
      </c>
      <c r="D2985" s="2">
        <v>43108</v>
      </c>
      <c r="E2985" s="2">
        <f t="shared" si="116"/>
        <v>43313</v>
      </c>
      <c r="F2985" s="1" t="s">
        <v>58</v>
      </c>
      <c r="G2985" s="1" t="s">
        <v>18</v>
      </c>
      <c r="H2985" s="1">
        <v>-8</v>
      </c>
      <c r="I2985" s="1">
        <v>0.25</v>
      </c>
      <c r="J2985" s="1">
        <v>0</v>
      </c>
      <c r="K2985" s="2">
        <v>43351</v>
      </c>
      <c r="L2985" s="1">
        <v>3716</v>
      </c>
      <c r="M2985" s="1">
        <v>3.51</v>
      </c>
      <c r="N2985" s="1">
        <v>-5.672E-2</v>
      </c>
      <c r="O2985" s="3">
        <f>VLOOKUP(D2985,underlying!$D$40:$H$75,5,FALSE)</f>
        <v>-2</v>
      </c>
      <c r="P2985" s="4">
        <f t="shared" si="115"/>
        <v>43321</v>
      </c>
      <c r="Q2985" s="7">
        <f>IF(G2985="C",NormalCallSprd(O2985,H2985,M2985,(P2985-A2985)/365), NormalPutSprd(O2985,H2985,M2985,(P2985-A2985)/365))</f>
        <v>0.25338884786108917</v>
      </c>
      <c r="R2985" s="9">
        <f t="shared" si="117"/>
        <v>3.3888478610891726E-3</v>
      </c>
    </row>
    <row r="2986" spans="1:18" x14ac:dyDescent="0.2">
      <c r="A2986" s="2">
        <v>42622</v>
      </c>
      <c r="B2986" s="1" t="s">
        <v>56</v>
      </c>
      <c r="C2986" s="1" t="s">
        <v>57</v>
      </c>
      <c r="D2986" s="2">
        <v>43108</v>
      </c>
      <c r="E2986" s="2">
        <f t="shared" si="116"/>
        <v>43313</v>
      </c>
      <c r="F2986" s="1" t="s">
        <v>58</v>
      </c>
      <c r="G2986" s="1" t="s">
        <v>16</v>
      </c>
      <c r="H2986" s="1">
        <v>-7</v>
      </c>
      <c r="I2986" s="1">
        <v>5.31</v>
      </c>
      <c r="J2986" s="1">
        <v>-0.01</v>
      </c>
      <c r="K2986" s="2">
        <v>43351</v>
      </c>
      <c r="L2986" s="1">
        <v>3716</v>
      </c>
      <c r="M2986" s="1">
        <v>3.51</v>
      </c>
      <c r="N2986" s="1">
        <v>0.27334000000000003</v>
      </c>
      <c r="O2986" s="3">
        <f>VLOOKUP(D2986,underlying!$D$40:$H$75,5,FALSE)</f>
        <v>-2</v>
      </c>
      <c r="P2986" s="4">
        <f t="shared" si="115"/>
        <v>43321</v>
      </c>
      <c r="Q2986" s="7">
        <f>IF(G2986="C",NormalCallSprd(O2986,H2986,M2986,(P2986-A2986)/365), NormalPutSprd(O2986,H2986,M2986,(P2986-A2986)/365))</f>
        <v>5.3825617842249081</v>
      </c>
      <c r="R2986" s="9">
        <f t="shared" si="117"/>
        <v>7.2561784224908443E-2</v>
      </c>
    </row>
    <row r="2987" spans="1:18" x14ac:dyDescent="0.2">
      <c r="A2987" s="2">
        <v>42622</v>
      </c>
      <c r="B2987" s="1" t="s">
        <v>56</v>
      </c>
      <c r="C2987" s="1" t="s">
        <v>57</v>
      </c>
      <c r="D2987" s="2">
        <v>43108</v>
      </c>
      <c r="E2987" s="2">
        <f t="shared" si="116"/>
        <v>43313</v>
      </c>
      <c r="F2987" s="1" t="s">
        <v>58</v>
      </c>
      <c r="G2987" s="1" t="s">
        <v>18</v>
      </c>
      <c r="H2987" s="1">
        <v>-7</v>
      </c>
      <c r="I2987" s="1">
        <v>0.38</v>
      </c>
      <c r="J2987" s="1">
        <v>0</v>
      </c>
      <c r="K2987" s="2">
        <v>43351</v>
      </c>
      <c r="L2987" s="1">
        <v>3716</v>
      </c>
      <c r="M2987" s="1">
        <v>3.51</v>
      </c>
      <c r="N2987" s="1">
        <v>0.29199000000000003</v>
      </c>
      <c r="O2987" s="3">
        <f>VLOOKUP(D2987,underlying!$D$40:$H$75,5,FALSE)</f>
        <v>-2</v>
      </c>
      <c r="P2987" s="4">
        <f t="shared" si="115"/>
        <v>43321</v>
      </c>
      <c r="Q2987" s="7">
        <f>IF(G2987="C",NormalCallSprd(O2987,H2987,M2987,(P2987-A2987)/365), NormalPutSprd(O2987,H2987,M2987,(P2987-A2987)/365))</f>
        <v>0.38256178422490761</v>
      </c>
      <c r="R2987" s="9">
        <f t="shared" si="117"/>
        <v>2.5617842249076039E-3</v>
      </c>
    </row>
    <row r="2988" spans="1:18" x14ac:dyDescent="0.2">
      <c r="A2988" s="2">
        <v>42622</v>
      </c>
      <c r="B2988" s="1" t="s">
        <v>56</v>
      </c>
      <c r="C2988" s="1" t="s">
        <v>57</v>
      </c>
      <c r="D2988" s="2">
        <v>43108</v>
      </c>
      <c r="E2988" s="2">
        <f t="shared" si="116"/>
        <v>43313</v>
      </c>
      <c r="F2988" s="1" t="s">
        <v>58</v>
      </c>
      <c r="G2988" s="1" t="s">
        <v>16</v>
      </c>
      <c r="H2988" s="1">
        <v>-6</v>
      </c>
      <c r="I2988" s="1">
        <v>4.5</v>
      </c>
      <c r="J2988" s="1">
        <v>-0.01</v>
      </c>
      <c r="K2988" s="2">
        <v>43351</v>
      </c>
      <c r="L2988" s="1">
        <v>3716</v>
      </c>
      <c r="M2988" s="1">
        <v>3.51</v>
      </c>
      <c r="N2988" s="1">
        <v>0.31061</v>
      </c>
      <c r="O2988" s="3">
        <f>VLOOKUP(D2988,underlying!$D$40:$H$75,5,FALSE)</f>
        <v>-2</v>
      </c>
      <c r="P2988" s="4">
        <f t="shared" si="115"/>
        <v>43321</v>
      </c>
      <c r="Q2988" s="7">
        <f>IF(G2988="C",NormalCallSprd(O2988,H2988,M2988,(P2988-A2988)/365), NormalPutSprd(O2988,H2988,M2988,(P2988-A2988)/365))</f>
        <v>4.5600971858127908</v>
      </c>
      <c r="R2988" s="9">
        <f t="shared" si="117"/>
        <v>6.0097185812790777E-2</v>
      </c>
    </row>
    <row r="2989" spans="1:18" x14ac:dyDescent="0.2">
      <c r="A2989" s="2">
        <v>42622</v>
      </c>
      <c r="B2989" s="1" t="s">
        <v>56</v>
      </c>
      <c r="C2989" s="1" t="s">
        <v>57</v>
      </c>
      <c r="D2989" s="2">
        <v>43108</v>
      </c>
      <c r="E2989" s="2">
        <f t="shared" si="116"/>
        <v>43313</v>
      </c>
      <c r="F2989" s="1" t="s">
        <v>58</v>
      </c>
      <c r="G2989" s="1" t="s">
        <v>18</v>
      </c>
      <c r="H2989" s="1">
        <v>-6</v>
      </c>
      <c r="I2989" s="1">
        <v>0.55000000000000004</v>
      </c>
      <c r="J2989" s="1">
        <v>0</v>
      </c>
      <c r="K2989" s="2">
        <v>43351</v>
      </c>
      <c r="L2989" s="1">
        <v>3716</v>
      </c>
      <c r="M2989" s="1">
        <v>3.51</v>
      </c>
      <c r="N2989" s="1">
        <v>0.32972000000000001</v>
      </c>
      <c r="O2989" s="3">
        <f>VLOOKUP(D2989,underlying!$D$40:$H$75,5,FALSE)</f>
        <v>-2</v>
      </c>
      <c r="P2989" s="4">
        <f t="shared" si="115"/>
        <v>43321</v>
      </c>
      <c r="Q2989" s="7">
        <f>IF(G2989="C",NormalCallSprd(O2989,H2989,M2989,(P2989-A2989)/365), NormalPutSprd(O2989,H2989,M2989,(P2989-A2989)/365))</f>
        <v>0.56009718581279089</v>
      </c>
      <c r="R2989" s="9">
        <f t="shared" si="117"/>
        <v>1.0097185812790843E-2</v>
      </c>
    </row>
    <row r="2990" spans="1:18" x14ac:dyDescent="0.2">
      <c r="A2990" s="2">
        <v>42622</v>
      </c>
      <c r="B2990" s="1" t="s">
        <v>56</v>
      </c>
      <c r="C2990" s="1" t="s">
        <v>57</v>
      </c>
      <c r="D2990" s="2">
        <v>43108</v>
      </c>
      <c r="E2990" s="2">
        <f t="shared" si="116"/>
        <v>43313</v>
      </c>
      <c r="F2990" s="1" t="s">
        <v>58</v>
      </c>
      <c r="G2990" s="1" t="s">
        <v>16</v>
      </c>
      <c r="H2990" s="1">
        <v>-5.75</v>
      </c>
      <c r="I2990" s="1">
        <v>4.3099999999999996</v>
      </c>
      <c r="J2990" s="1">
        <v>0</v>
      </c>
      <c r="K2990" s="2">
        <v>43351</v>
      </c>
      <c r="L2990" s="1">
        <v>3716</v>
      </c>
      <c r="M2990" s="1">
        <v>3.51</v>
      </c>
      <c r="N2990" s="1">
        <v>0.34927000000000002</v>
      </c>
      <c r="O2990" s="3">
        <f>VLOOKUP(D2990,underlying!$D$40:$H$75,5,FALSE)</f>
        <v>-2</v>
      </c>
      <c r="P2990" s="4">
        <f t="shared" si="115"/>
        <v>43321</v>
      </c>
      <c r="Q2990" s="7">
        <f>IF(G2990="C",NormalCallSprd(O2990,H2990,M2990,(P2990-A2990)/365), NormalPutSprd(O2990,H2990,M2990,(P2990-A2990)/365))</f>
        <v>4.3632297722754574</v>
      </c>
      <c r="R2990" s="9">
        <f t="shared" si="117"/>
        <v>5.3229772275457776E-2</v>
      </c>
    </row>
    <row r="2991" spans="1:18" x14ac:dyDescent="0.2">
      <c r="A2991" s="2">
        <v>42622</v>
      </c>
      <c r="B2991" s="1" t="s">
        <v>56</v>
      </c>
      <c r="C2991" s="1" t="s">
        <v>57</v>
      </c>
      <c r="D2991" s="2">
        <v>43108</v>
      </c>
      <c r="E2991" s="2">
        <f t="shared" si="116"/>
        <v>43313</v>
      </c>
      <c r="F2991" s="1" t="s">
        <v>58</v>
      </c>
      <c r="G2991" s="1" t="s">
        <v>18</v>
      </c>
      <c r="H2991" s="1">
        <v>-5.75</v>
      </c>
      <c r="I2991" s="1">
        <v>0.61</v>
      </c>
      <c r="J2991" s="1">
        <v>0</v>
      </c>
      <c r="K2991" s="2">
        <v>43351</v>
      </c>
      <c r="L2991" s="1">
        <v>3716</v>
      </c>
      <c r="M2991" s="1">
        <v>3.51</v>
      </c>
      <c r="N2991" s="1">
        <v>0.36887999999999999</v>
      </c>
      <c r="O2991" s="3">
        <f>VLOOKUP(D2991,underlying!$D$40:$H$75,5,FALSE)</f>
        <v>-2</v>
      </c>
      <c r="P2991" s="4">
        <f t="shared" si="115"/>
        <v>43321</v>
      </c>
      <c r="Q2991" s="7">
        <f>IF(G2991="C",NormalCallSprd(O2991,H2991,M2991,(P2991-A2991)/365), NormalPutSprd(O2991,H2991,M2991,(P2991-A2991)/365))</f>
        <v>0.61322977227545694</v>
      </c>
      <c r="R2991" s="9">
        <f t="shared" si="117"/>
        <v>3.2297722754569547E-3</v>
      </c>
    </row>
    <row r="2992" spans="1:18" x14ac:dyDescent="0.2">
      <c r="A2992" s="2">
        <v>42622</v>
      </c>
      <c r="B2992" s="1" t="s">
        <v>56</v>
      </c>
      <c r="C2992" s="1" t="s">
        <v>57</v>
      </c>
      <c r="D2992" s="2">
        <v>43108</v>
      </c>
      <c r="E2992" s="2">
        <f t="shared" si="116"/>
        <v>43313</v>
      </c>
      <c r="F2992" s="1" t="s">
        <v>58</v>
      </c>
      <c r="G2992" s="1" t="s">
        <v>16</v>
      </c>
      <c r="H2992" s="1">
        <v>-5.5</v>
      </c>
      <c r="I2992" s="1">
        <v>4.12</v>
      </c>
      <c r="J2992" s="1">
        <v>0</v>
      </c>
      <c r="K2992" s="2">
        <v>43351</v>
      </c>
      <c r="L2992" s="1">
        <v>3716</v>
      </c>
      <c r="M2992" s="1">
        <v>3.51</v>
      </c>
      <c r="N2992" s="1">
        <v>0.38923999999999997</v>
      </c>
      <c r="O2992" s="3">
        <f>VLOOKUP(D2992,underlying!$D$40:$H$75,5,FALSE)</f>
        <v>-2</v>
      </c>
      <c r="P2992" s="4">
        <f t="shared" si="115"/>
        <v>43321</v>
      </c>
      <c r="Q2992" s="7">
        <f>IF(G2992="C",NormalCallSprd(O2992,H2992,M2992,(P2992-A2992)/365), NormalPutSprd(O2992,H2992,M2992,(P2992-A2992)/365))</f>
        <v>4.170172376834584</v>
      </c>
      <c r="R2992" s="9">
        <f t="shared" si="117"/>
        <v>5.0172376834583865E-2</v>
      </c>
    </row>
    <row r="2993" spans="1:18" x14ac:dyDescent="0.2">
      <c r="A2993" s="2">
        <v>42622</v>
      </c>
      <c r="B2993" s="1" t="s">
        <v>56</v>
      </c>
      <c r="C2993" s="1" t="s">
        <v>57</v>
      </c>
      <c r="D2993" s="2">
        <v>43108</v>
      </c>
      <c r="E2993" s="2">
        <f t="shared" si="116"/>
        <v>43313</v>
      </c>
      <c r="F2993" s="1" t="s">
        <v>58</v>
      </c>
      <c r="G2993" s="1" t="s">
        <v>18</v>
      </c>
      <c r="H2993" s="1">
        <v>-5.5</v>
      </c>
      <c r="I2993" s="1">
        <v>0.66</v>
      </c>
      <c r="J2993" s="1">
        <v>0</v>
      </c>
      <c r="K2993" s="2">
        <v>43351</v>
      </c>
      <c r="L2993" s="1">
        <v>3716</v>
      </c>
      <c r="M2993" s="1">
        <v>3.51</v>
      </c>
      <c r="N2993" s="1">
        <v>0.40966000000000002</v>
      </c>
      <c r="O2993" s="3">
        <f>VLOOKUP(D2993,underlying!$D$40:$H$75,5,FALSE)</f>
        <v>-2</v>
      </c>
      <c r="P2993" s="4">
        <f t="shared" si="115"/>
        <v>43321</v>
      </c>
      <c r="Q2993" s="7">
        <f>IF(G2993="C",NormalCallSprd(O2993,H2993,M2993,(P2993-A2993)/365), NormalPutSprd(O2993,H2993,M2993,(P2993-A2993)/365))</f>
        <v>0.67017237683458408</v>
      </c>
      <c r="R2993" s="9">
        <f t="shared" si="117"/>
        <v>1.0172376834584052E-2</v>
      </c>
    </row>
    <row r="2994" spans="1:18" x14ac:dyDescent="0.2">
      <c r="A2994" s="2">
        <v>42622</v>
      </c>
      <c r="B2994" s="1" t="s">
        <v>56</v>
      </c>
      <c r="C2994" s="1" t="s">
        <v>57</v>
      </c>
      <c r="D2994" s="2">
        <v>43108</v>
      </c>
      <c r="E2994" s="2">
        <f t="shared" si="116"/>
        <v>43313</v>
      </c>
      <c r="F2994" s="1" t="s">
        <v>58</v>
      </c>
      <c r="G2994" s="1" t="s">
        <v>16</v>
      </c>
      <c r="H2994" s="1">
        <v>-5.25</v>
      </c>
      <c r="I2994" s="1">
        <v>3.93</v>
      </c>
      <c r="J2994" s="1">
        <v>0</v>
      </c>
      <c r="K2994" s="2">
        <v>43351</v>
      </c>
      <c r="L2994" s="1">
        <v>3716</v>
      </c>
      <c r="M2994" s="1">
        <v>3.51</v>
      </c>
      <c r="N2994" s="1">
        <v>0.43080000000000002</v>
      </c>
      <c r="O2994" s="3">
        <f>VLOOKUP(D2994,underlying!$D$40:$H$75,5,FALSE)</f>
        <v>-2</v>
      </c>
      <c r="P2994" s="4">
        <f t="shared" si="115"/>
        <v>43321</v>
      </c>
      <c r="Q2994" s="7">
        <f>IF(G2994="C",NormalCallSprd(O2994,H2994,M2994,(P2994-A2994)/365), NormalPutSprd(O2994,H2994,M2994,(P2994-A2994)/365))</f>
        <v>3.9810741238224048</v>
      </c>
      <c r="R2994" s="9">
        <f t="shared" si="117"/>
        <v>5.1074123822404616E-2</v>
      </c>
    </row>
    <row r="2995" spans="1:18" x14ac:dyDescent="0.2">
      <c r="A2995" s="2">
        <v>42622</v>
      </c>
      <c r="B2995" s="1" t="s">
        <v>56</v>
      </c>
      <c r="C2995" s="1" t="s">
        <v>57</v>
      </c>
      <c r="D2995" s="2">
        <v>43108</v>
      </c>
      <c r="E2995" s="2">
        <f t="shared" si="116"/>
        <v>43313</v>
      </c>
      <c r="F2995" s="1" t="s">
        <v>58</v>
      </c>
      <c r="G2995" s="1" t="s">
        <v>18</v>
      </c>
      <c r="H2995" s="1">
        <v>-5.25</v>
      </c>
      <c r="I2995" s="1">
        <v>0.72</v>
      </c>
      <c r="J2995" s="1">
        <v>0</v>
      </c>
      <c r="K2995" s="2">
        <v>43351</v>
      </c>
      <c r="L2995" s="1">
        <v>3716</v>
      </c>
      <c r="M2995" s="1">
        <v>3.51</v>
      </c>
      <c r="N2995" s="1">
        <v>0.45188</v>
      </c>
      <c r="O2995" s="3">
        <f>VLOOKUP(D2995,underlying!$D$40:$H$75,5,FALSE)</f>
        <v>-2</v>
      </c>
      <c r="P2995" s="4">
        <f t="shared" si="115"/>
        <v>43321</v>
      </c>
      <c r="Q2995" s="7">
        <f>IF(G2995="C",NormalCallSprd(O2995,H2995,M2995,(P2995-A2995)/365), NormalPutSprd(O2995,H2995,M2995,(P2995-A2995)/365))</f>
        <v>0.73107412382240489</v>
      </c>
      <c r="R2995" s="9">
        <f t="shared" si="117"/>
        <v>1.1074123822404913E-2</v>
      </c>
    </row>
    <row r="2996" spans="1:18" x14ac:dyDescent="0.2">
      <c r="A2996" s="2">
        <v>42622</v>
      </c>
      <c r="B2996" s="1" t="s">
        <v>56</v>
      </c>
      <c r="C2996" s="1" t="s">
        <v>57</v>
      </c>
      <c r="D2996" s="2">
        <v>43108</v>
      </c>
      <c r="E2996" s="2">
        <f t="shared" si="116"/>
        <v>43313</v>
      </c>
      <c r="F2996" s="1" t="s">
        <v>58</v>
      </c>
      <c r="G2996" s="1" t="s">
        <v>16</v>
      </c>
      <c r="H2996" s="1">
        <v>-5</v>
      </c>
      <c r="I2996" s="1">
        <v>3.75</v>
      </c>
      <c r="J2996" s="1">
        <v>0</v>
      </c>
      <c r="K2996" s="2">
        <v>43351</v>
      </c>
      <c r="L2996" s="1">
        <v>3716</v>
      </c>
      <c r="M2996" s="1">
        <v>3.51</v>
      </c>
      <c r="N2996" s="1">
        <v>0.47314000000000001</v>
      </c>
      <c r="O2996" s="3">
        <f>VLOOKUP(D2996,underlying!$D$40:$H$75,5,FALSE)</f>
        <v>-2</v>
      </c>
      <c r="P2996" s="4">
        <f t="shared" si="115"/>
        <v>43321</v>
      </c>
      <c r="Q2996" s="7">
        <f>IF(G2996="C",NormalCallSprd(O2996,H2996,M2996,(P2996-A2996)/365), NormalPutSprd(O2996,H2996,M2996,(P2996-A2996)/365))</f>
        <v>3.7960790952773005</v>
      </c>
      <c r="R2996" s="9">
        <f t="shared" si="117"/>
        <v>4.6079095277300475E-2</v>
      </c>
    </row>
    <row r="2997" spans="1:18" x14ac:dyDescent="0.2">
      <c r="A2997" s="2">
        <v>42622</v>
      </c>
      <c r="B2997" s="1" t="s">
        <v>56</v>
      </c>
      <c r="C2997" s="1" t="s">
        <v>57</v>
      </c>
      <c r="D2997" s="2">
        <v>43108</v>
      </c>
      <c r="E2997" s="2">
        <f t="shared" si="116"/>
        <v>43313</v>
      </c>
      <c r="F2997" s="1" t="s">
        <v>58</v>
      </c>
      <c r="G2997" s="1" t="s">
        <v>18</v>
      </c>
      <c r="H2997" s="1">
        <v>-5</v>
      </c>
      <c r="I2997" s="1">
        <v>0.79</v>
      </c>
      <c r="J2997" s="1">
        <v>0</v>
      </c>
      <c r="K2997" s="2">
        <v>43351</v>
      </c>
      <c r="L2997" s="1">
        <v>3716</v>
      </c>
      <c r="M2997" s="1">
        <v>3.51</v>
      </c>
      <c r="N2997" s="1">
        <v>0.49435000000000001</v>
      </c>
      <c r="O2997" s="3">
        <f>VLOOKUP(D2997,underlying!$D$40:$H$75,5,FALSE)</f>
        <v>-2</v>
      </c>
      <c r="P2997" s="4">
        <f t="shared" si="115"/>
        <v>43321</v>
      </c>
      <c r="Q2997" s="7">
        <f>IF(G2997="C",NormalCallSprd(O2997,H2997,M2997,(P2997-A2997)/365), NormalPutSprd(O2997,H2997,M2997,(P2997-A2997)/365))</f>
        <v>0.79607909527730059</v>
      </c>
      <c r="R2997" s="9">
        <f t="shared" si="117"/>
        <v>6.0790952773005502E-3</v>
      </c>
    </row>
    <row r="2998" spans="1:18" x14ac:dyDescent="0.2">
      <c r="A2998" s="2">
        <v>42622</v>
      </c>
      <c r="B2998" s="1" t="s">
        <v>56</v>
      </c>
      <c r="C2998" s="1" t="s">
        <v>57</v>
      </c>
      <c r="D2998" s="2">
        <v>43108</v>
      </c>
      <c r="E2998" s="2">
        <f t="shared" si="116"/>
        <v>43313</v>
      </c>
      <c r="F2998" s="1" t="s">
        <v>58</v>
      </c>
      <c r="G2998" s="1" t="s">
        <v>16</v>
      </c>
      <c r="H2998" s="1">
        <v>-4.75</v>
      </c>
      <c r="I2998" s="1">
        <v>3.57</v>
      </c>
      <c r="J2998" s="1">
        <v>0</v>
      </c>
      <c r="K2998" s="2">
        <v>43351</v>
      </c>
      <c r="L2998" s="1">
        <v>3716</v>
      </c>
      <c r="M2998" s="1">
        <v>3.51</v>
      </c>
      <c r="N2998" s="1">
        <v>0.51556000000000002</v>
      </c>
      <c r="O2998" s="3">
        <f>VLOOKUP(D2998,underlying!$D$40:$H$75,5,FALSE)</f>
        <v>-2</v>
      </c>
      <c r="P2998" s="4">
        <f t="shared" si="115"/>
        <v>43321</v>
      </c>
      <c r="Q2998" s="7">
        <f>IF(G2998="C",NormalCallSprd(O2998,H2998,M2998,(P2998-A2998)/365), NormalPutSprd(O2998,H2998,M2998,(P2998-A2998)/365))</f>
        <v>3.6153253715784484</v>
      </c>
      <c r="R2998" s="9">
        <f t="shared" si="117"/>
        <v>4.5325371578448514E-2</v>
      </c>
    </row>
    <row r="2999" spans="1:18" x14ac:dyDescent="0.2">
      <c r="A2999" s="2">
        <v>42622</v>
      </c>
      <c r="B2999" s="1" t="s">
        <v>56</v>
      </c>
      <c r="C2999" s="1" t="s">
        <v>57</v>
      </c>
      <c r="D2999" s="2">
        <v>43108</v>
      </c>
      <c r="E2999" s="2">
        <f t="shared" si="116"/>
        <v>43313</v>
      </c>
      <c r="F2999" s="1" t="s">
        <v>58</v>
      </c>
      <c r="G2999" s="1" t="s">
        <v>18</v>
      </c>
      <c r="H2999" s="1">
        <v>-4.75</v>
      </c>
      <c r="I2999" s="1">
        <v>0.85</v>
      </c>
      <c r="J2999" s="1">
        <v>-0.01</v>
      </c>
      <c r="K2999" s="2">
        <v>43351</v>
      </c>
      <c r="L2999" s="1">
        <v>3716</v>
      </c>
      <c r="M2999" s="1">
        <v>3.51</v>
      </c>
      <c r="N2999" s="1">
        <v>0.53681999999999996</v>
      </c>
      <c r="O2999" s="3">
        <f>VLOOKUP(D2999,underlying!$D$40:$H$75,5,FALSE)</f>
        <v>-2</v>
      </c>
      <c r="P2999" s="4">
        <f t="shared" si="115"/>
        <v>43321</v>
      </c>
      <c r="Q2999" s="7">
        <f>IF(G2999="C",NormalCallSprd(O2999,H2999,M2999,(P2999-A2999)/365), NormalPutSprd(O2999,H2999,M2999,(P2999-A2999)/365))</f>
        <v>0.86532537157844813</v>
      </c>
      <c r="R2999" s="9">
        <f t="shared" si="117"/>
        <v>1.5325371578448155E-2</v>
      </c>
    </row>
    <row r="3000" spans="1:18" x14ac:dyDescent="0.2">
      <c r="A3000" s="2">
        <v>42622</v>
      </c>
      <c r="B3000" s="1" t="s">
        <v>56</v>
      </c>
      <c r="C3000" s="1" t="s">
        <v>57</v>
      </c>
      <c r="D3000" s="2">
        <v>43108</v>
      </c>
      <c r="E3000" s="2">
        <f t="shared" si="116"/>
        <v>43313</v>
      </c>
      <c r="F3000" s="1" t="s">
        <v>58</v>
      </c>
      <c r="G3000" s="1" t="s">
        <v>16</v>
      </c>
      <c r="H3000" s="1">
        <v>-4.5</v>
      </c>
      <c r="I3000" s="1">
        <v>3.4</v>
      </c>
      <c r="J3000" s="1">
        <v>0</v>
      </c>
      <c r="K3000" s="2">
        <v>43351</v>
      </c>
      <c r="L3000" s="1">
        <v>3716</v>
      </c>
      <c r="M3000" s="1">
        <v>3.51</v>
      </c>
      <c r="N3000" s="1">
        <v>0.55789999999999995</v>
      </c>
      <c r="O3000" s="3">
        <f>VLOOKUP(D3000,underlying!$D$40:$H$75,5,FALSE)</f>
        <v>-2</v>
      </c>
      <c r="P3000" s="4">
        <f t="shared" si="115"/>
        <v>43321</v>
      </c>
      <c r="Q3000" s="7">
        <f>IF(G3000="C",NormalCallSprd(O3000,H3000,M3000,(P3000-A3000)/365), NormalPutSprd(O3000,H3000,M3000,(P3000-A3000)/365))</f>
        <v>3.4389440869338102</v>
      </c>
      <c r="R3000" s="9">
        <f t="shared" si="117"/>
        <v>3.894408693381024E-2</v>
      </c>
    </row>
    <row r="3001" spans="1:18" x14ac:dyDescent="0.2">
      <c r="A3001" s="2">
        <v>42622</v>
      </c>
      <c r="B3001" s="1" t="s">
        <v>56</v>
      </c>
      <c r="C3001" s="1" t="s">
        <v>57</v>
      </c>
      <c r="D3001" s="2">
        <v>43108</v>
      </c>
      <c r="E3001" s="2">
        <f t="shared" si="116"/>
        <v>43313</v>
      </c>
      <c r="F3001" s="1" t="s">
        <v>58</v>
      </c>
      <c r="G3001" s="1" t="s">
        <v>18</v>
      </c>
      <c r="H3001" s="1">
        <v>-4.5</v>
      </c>
      <c r="I3001" s="1">
        <v>0.93</v>
      </c>
      <c r="J3001" s="1">
        <v>0</v>
      </c>
      <c r="K3001" s="2">
        <v>43351</v>
      </c>
      <c r="L3001" s="1">
        <v>3716</v>
      </c>
      <c r="M3001" s="1">
        <v>3.51</v>
      </c>
      <c r="N3001" s="1">
        <v>0.57904</v>
      </c>
      <c r="O3001" s="3">
        <f>VLOOKUP(D3001,underlying!$D$40:$H$75,5,FALSE)</f>
        <v>-2</v>
      </c>
      <c r="P3001" s="4">
        <f t="shared" ref="P3001:P3064" si="118">DATE(YEAR(K3001),DAY(K3001),MONTH(K3001))</f>
        <v>43321</v>
      </c>
      <c r="Q3001" s="7">
        <f>IF(G3001="C",NormalCallSprd(O3001,H3001,M3001,(P3001-A3001)/365), NormalPutSprd(O3001,H3001,M3001,(P3001-A3001)/365))</f>
        <v>0.93894408693381026</v>
      </c>
      <c r="R3001" s="9">
        <f t="shared" si="117"/>
        <v>8.9440869338102136E-3</v>
      </c>
    </row>
    <row r="3002" spans="1:18" x14ac:dyDescent="0.2">
      <c r="A3002" s="2">
        <v>42622</v>
      </c>
      <c r="B3002" s="1" t="s">
        <v>56</v>
      </c>
      <c r="C3002" s="1" t="s">
        <v>57</v>
      </c>
      <c r="D3002" s="2">
        <v>43108</v>
      </c>
      <c r="E3002" s="2">
        <f t="shared" si="116"/>
        <v>43313</v>
      </c>
      <c r="F3002" s="1" t="s">
        <v>58</v>
      </c>
      <c r="G3002" s="1" t="s">
        <v>16</v>
      </c>
      <c r="H3002" s="1">
        <v>-4.25</v>
      </c>
      <c r="I3002" s="1">
        <v>3.23</v>
      </c>
      <c r="J3002" s="1">
        <v>0</v>
      </c>
      <c r="K3002" s="2">
        <v>43351</v>
      </c>
      <c r="L3002" s="1">
        <v>3716</v>
      </c>
      <c r="M3002" s="1">
        <v>3.51</v>
      </c>
      <c r="N3002" s="1">
        <v>0.59916000000000003</v>
      </c>
      <c r="O3002" s="3">
        <f>VLOOKUP(D3002,underlying!$D$40:$H$75,5,FALSE)</f>
        <v>-2</v>
      </c>
      <c r="P3002" s="4">
        <f t="shared" si="118"/>
        <v>43321</v>
      </c>
      <c r="Q3002" s="7">
        <f>IF(G3002="C",NormalCallSprd(O3002,H3002,M3002,(P3002-A3002)/365), NormalPutSprd(O3002,H3002,M3002,(P3002-A3002)/365))</f>
        <v>3.2670585103715597</v>
      </c>
      <c r="R3002" s="9">
        <f t="shared" si="117"/>
        <v>3.7058510371559716E-2</v>
      </c>
    </row>
    <row r="3003" spans="1:18" x14ac:dyDescent="0.2">
      <c r="A3003" s="2">
        <v>42622</v>
      </c>
      <c r="B3003" s="1" t="s">
        <v>56</v>
      </c>
      <c r="C3003" s="1" t="s">
        <v>57</v>
      </c>
      <c r="D3003" s="2">
        <v>43108</v>
      </c>
      <c r="E3003" s="2">
        <f t="shared" si="116"/>
        <v>43313</v>
      </c>
      <c r="F3003" s="1" t="s">
        <v>58</v>
      </c>
      <c r="G3003" s="1" t="s">
        <v>18</v>
      </c>
      <c r="H3003" s="1">
        <v>-4.25</v>
      </c>
      <c r="I3003" s="1">
        <v>1</v>
      </c>
      <c r="J3003" s="1">
        <v>-0.01</v>
      </c>
      <c r="K3003" s="2">
        <v>43351</v>
      </c>
      <c r="L3003" s="1">
        <v>3716</v>
      </c>
      <c r="M3003" s="1">
        <v>3.51</v>
      </c>
      <c r="N3003" s="1">
        <v>0.62016000000000004</v>
      </c>
      <c r="O3003" s="3">
        <f>VLOOKUP(D3003,underlying!$D$40:$H$75,5,FALSE)</f>
        <v>-2</v>
      </c>
      <c r="P3003" s="4">
        <f t="shared" si="118"/>
        <v>43321</v>
      </c>
      <c r="Q3003" s="7">
        <f>IF(G3003="C",NormalCallSprd(O3003,H3003,M3003,(P3003-A3003)/365), NormalPutSprd(O3003,H3003,M3003,(P3003-A3003)/365))</f>
        <v>1.0170585103715599</v>
      </c>
      <c r="R3003" s="9">
        <f t="shared" si="117"/>
        <v>1.7058510371559921E-2</v>
      </c>
    </row>
    <row r="3004" spans="1:18" x14ac:dyDescent="0.2">
      <c r="A3004" s="2">
        <v>42622</v>
      </c>
      <c r="B3004" s="1" t="s">
        <v>56</v>
      </c>
      <c r="C3004" s="1" t="s">
        <v>57</v>
      </c>
      <c r="D3004" s="2">
        <v>43108</v>
      </c>
      <c r="E3004" s="2">
        <f t="shared" si="116"/>
        <v>43313</v>
      </c>
      <c r="F3004" s="1" t="s">
        <v>58</v>
      </c>
      <c r="G3004" s="1" t="s">
        <v>16</v>
      </c>
      <c r="H3004" s="1">
        <v>-4</v>
      </c>
      <c r="I3004" s="1">
        <v>3.05</v>
      </c>
      <c r="J3004" s="1">
        <v>0</v>
      </c>
      <c r="K3004" s="2">
        <v>43351</v>
      </c>
      <c r="L3004" s="1">
        <v>3716</v>
      </c>
      <c r="M3004" s="1">
        <v>3.49</v>
      </c>
      <c r="N3004" s="1">
        <v>0.63943000000000005</v>
      </c>
      <c r="O3004" s="3">
        <f>VLOOKUP(D3004,underlying!$D$40:$H$75,5,FALSE)</f>
        <v>-2</v>
      </c>
      <c r="P3004" s="4">
        <f t="shared" si="118"/>
        <v>43321</v>
      </c>
      <c r="Q3004" s="7">
        <f>IF(G3004="C",NormalCallSprd(O3004,H3004,M3004,(P3004-A3004)/365), NormalPutSprd(O3004,H3004,M3004,(P3004-A3004)/365))</f>
        <v>3.08964388488122</v>
      </c>
      <c r="R3004" s="9">
        <f t="shared" si="117"/>
        <v>3.9643884881220171E-2</v>
      </c>
    </row>
    <row r="3005" spans="1:18" x14ac:dyDescent="0.2">
      <c r="A3005" s="2">
        <v>42622</v>
      </c>
      <c r="B3005" s="1" t="s">
        <v>56</v>
      </c>
      <c r="C3005" s="1" t="s">
        <v>57</v>
      </c>
      <c r="D3005" s="2">
        <v>43108</v>
      </c>
      <c r="E3005" s="2">
        <f t="shared" si="116"/>
        <v>43313</v>
      </c>
      <c r="F3005" s="1" t="s">
        <v>58</v>
      </c>
      <c r="G3005" s="1" t="s">
        <v>18</v>
      </c>
      <c r="H3005" s="1">
        <v>-4</v>
      </c>
      <c r="I3005" s="1">
        <v>1.08</v>
      </c>
      <c r="J3005" s="1">
        <v>0</v>
      </c>
      <c r="K3005" s="2">
        <v>43351</v>
      </c>
      <c r="L3005" s="1">
        <v>3716</v>
      </c>
      <c r="M3005" s="1">
        <v>3.49</v>
      </c>
      <c r="N3005" s="1">
        <v>0.65986999999999996</v>
      </c>
      <c r="O3005" s="3">
        <f>VLOOKUP(D3005,underlying!$D$40:$H$75,5,FALSE)</f>
        <v>-2</v>
      </c>
      <c r="P3005" s="4">
        <f t="shared" si="118"/>
        <v>43321</v>
      </c>
      <c r="Q3005" s="7">
        <f>IF(G3005="C",NormalCallSprd(O3005,H3005,M3005,(P3005-A3005)/365), NormalPutSprd(O3005,H3005,M3005,(P3005-A3005)/365))</f>
        <v>1.08964388488122</v>
      </c>
      <c r="R3005" s="9">
        <f t="shared" si="117"/>
        <v>9.6438848812199218E-3</v>
      </c>
    </row>
    <row r="3006" spans="1:18" x14ac:dyDescent="0.2">
      <c r="A3006" s="2">
        <v>42622</v>
      </c>
      <c r="B3006" s="1" t="s">
        <v>56</v>
      </c>
      <c r="C3006" s="1" t="s">
        <v>57</v>
      </c>
      <c r="D3006" s="2">
        <v>43108</v>
      </c>
      <c r="E3006" s="2">
        <f t="shared" si="116"/>
        <v>43313</v>
      </c>
      <c r="F3006" s="1" t="s">
        <v>58</v>
      </c>
      <c r="G3006" s="1" t="s">
        <v>16</v>
      </c>
      <c r="H3006" s="1">
        <v>-3.75</v>
      </c>
      <c r="I3006" s="1">
        <v>2.9</v>
      </c>
      <c r="J3006" s="1">
        <v>0</v>
      </c>
      <c r="K3006" s="2">
        <v>43351</v>
      </c>
      <c r="L3006" s="1">
        <v>3716</v>
      </c>
      <c r="M3006" s="1">
        <v>3.51</v>
      </c>
      <c r="N3006" s="1">
        <v>0.67808999999999997</v>
      </c>
      <c r="O3006" s="3">
        <f>VLOOKUP(D3006,underlying!$D$40:$H$75,5,FALSE)</f>
        <v>-2</v>
      </c>
      <c r="P3006" s="4">
        <f t="shared" si="118"/>
        <v>43321</v>
      </c>
      <c r="Q3006" s="7">
        <f>IF(G3006="C",NormalCallSprd(O3006,H3006,M3006,(P3006-A3006)/365), NormalPutSprd(O3006,H3006,M3006,(P3006-A3006)/365))</f>
        <v>2.9372229812208901</v>
      </c>
      <c r="R3006" s="9">
        <f t="shared" si="117"/>
        <v>3.7222981220890183E-2</v>
      </c>
    </row>
    <row r="3007" spans="1:18" x14ac:dyDescent="0.2">
      <c r="A3007" s="2">
        <v>42622</v>
      </c>
      <c r="B3007" s="1" t="s">
        <v>56</v>
      </c>
      <c r="C3007" s="1" t="s">
        <v>57</v>
      </c>
      <c r="D3007" s="2">
        <v>43108</v>
      </c>
      <c r="E3007" s="2">
        <f t="shared" si="116"/>
        <v>43313</v>
      </c>
      <c r="F3007" s="1" t="s">
        <v>58</v>
      </c>
      <c r="G3007" s="1" t="s">
        <v>18</v>
      </c>
      <c r="H3007" s="1">
        <v>-3.75</v>
      </c>
      <c r="I3007" s="1">
        <v>1.17</v>
      </c>
      <c r="J3007" s="1">
        <v>0</v>
      </c>
      <c r="K3007" s="2">
        <v>43351</v>
      </c>
      <c r="L3007" s="1">
        <v>3716</v>
      </c>
      <c r="M3007" s="1">
        <v>3.51</v>
      </c>
      <c r="N3007" s="1">
        <v>0.69671000000000005</v>
      </c>
      <c r="O3007" s="3">
        <f>VLOOKUP(D3007,underlying!$D$40:$H$75,5,FALSE)</f>
        <v>-2</v>
      </c>
      <c r="P3007" s="4">
        <f t="shared" si="118"/>
        <v>43321</v>
      </c>
      <c r="Q3007" s="7">
        <f>IF(G3007="C",NormalCallSprd(O3007,H3007,M3007,(P3007-A3007)/365), NormalPutSprd(O3007,H3007,M3007,(P3007-A3007)/365))</f>
        <v>1.1872229812208899</v>
      </c>
      <c r="R3007" s="9">
        <f t="shared" si="117"/>
        <v>1.7222981220889944E-2</v>
      </c>
    </row>
    <row r="3008" spans="1:18" x14ac:dyDescent="0.2">
      <c r="A3008" s="2">
        <v>42622</v>
      </c>
      <c r="B3008" s="1" t="s">
        <v>56</v>
      </c>
      <c r="C3008" s="1" t="s">
        <v>57</v>
      </c>
      <c r="D3008" s="2">
        <v>43108</v>
      </c>
      <c r="E3008" s="2">
        <f t="shared" si="116"/>
        <v>43313</v>
      </c>
      <c r="F3008" s="1" t="s">
        <v>58</v>
      </c>
      <c r="G3008" s="1" t="s">
        <v>16</v>
      </c>
      <c r="H3008" s="1">
        <v>-3.5</v>
      </c>
      <c r="I3008" s="1">
        <v>2.73</v>
      </c>
      <c r="J3008" s="1">
        <v>-0.01</v>
      </c>
      <c r="K3008" s="2">
        <v>43351</v>
      </c>
      <c r="L3008" s="1">
        <v>3716</v>
      </c>
      <c r="M3008" s="1">
        <v>3.49</v>
      </c>
      <c r="N3008" s="1">
        <v>0.71479999999999999</v>
      </c>
      <c r="O3008" s="3">
        <f>VLOOKUP(D3008,underlying!$D$40:$H$75,5,FALSE)</f>
        <v>-2</v>
      </c>
      <c r="P3008" s="4">
        <f t="shared" si="118"/>
        <v>43321</v>
      </c>
      <c r="Q3008" s="7">
        <f>IF(G3008="C",NormalCallSprd(O3008,H3008,M3008,(P3008-A3008)/365), NormalPutSprd(O3008,H3008,M3008,(P3008-A3008)/365))</f>
        <v>2.768947939713613</v>
      </c>
      <c r="R3008" s="9">
        <f t="shared" si="117"/>
        <v>3.8947939713612989E-2</v>
      </c>
    </row>
    <row r="3009" spans="1:18" x14ac:dyDescent="0.2">
      <c r="A3009" s="2">
        <v>42622</v>
      </c>
      <c r="B3009" s="1" t="s">
        <v>56</v>
      </c>
      <c r="C3009" s="1" t="s">
        <v>57</v>
      </c>
      <c r="D3009" s="2">
        <v>43108</v>
      </c>
      <c r="E3009" s="2">
        <f t="shared" si="116"/>
        <v>43313</v>
      </c>
      <c r="F3009" s="1" t="s">
        <v>58</v>
      </c>
      <c r="G3009" s="1" t="s">
        <v>18</v>
      </c>
      <c r="H3009" s="1">
        <v>-3.5</v>
      </c>
      <c r="I3009" s="1">
        <v>1.25</v>
      </c>
      <c r="J3009" s="1">
        <v>-0.01</v>
      </c>
      <c r="K3009" s="2">
        <v>43351</v>
      </c>
      <c r="L3009" s="1">
        <v>3716</v>
      </c>
      <c r="M3009" s="1">
        <v>3.49</v>
      </c>
      <c r="N3009" s="1">
        <v>0.73231999999999997</v>
      </c>
      <c r="O3009" s="3">
        <f>VLOOKUP(D3009,underlying!$D$40:$H$75,5,FALSE)</f>
        <v>-2</v>
      </c>
      <c r="P3009" s="4">
        <f t="shared" si="118"/>
        <v>43321</v>
      </c>
      <c r="Q3009" s="7">
        <f>IF(G3009="C",NormalCallSprd(O3009,H3009,M3009,(P3009-A3009)/365), NormalPutSprd(O3009,H3009,M3009,(P3009-A3009)/365))</f>
        <v>1.2689479397136132</v>
      </c>
      <c r="R3009" s="9">
        <f t="shared" si="117"/>
        <v>1.8947939713613193E-2</v>
      </c>
    </row>
    <row r="3010" spans="1:18" x14ac:dyDescent="0.2">
      <c r="A3010" s="2">
        <v>42622</v>
      </c>
      <c r="B3010" s="1" t="s">
        <v>56</v>
      </c>
      <c r="C3010" s="1" t="s">
        <v>57</v>
      </c>
      <c r="D3010" s="2">
        <v>43108</v>
      </c>
      <c r="E3010" s="2">
        <f t="shared" ref="E3010:E3073" si="119">DATE(YEAR(D3010),DAY(D3010),MONTH(D3010))</f>
        <v>43313</v>
      </c>
      <c r="F3010" s="1" t="s">
        <v>58</v>
      </c>
      <c r="G3010" s="1" t="s">
        <v>16</v>
      </c>
      <c r="H3010" s="1">
        <v>-3.25</v>
      </c>
      <c r="I3010" s="1">
        <v>2.59</v>
      </c>
      <c r="J3010" s="1">
        <v>-0.01</v>
      </c>
      <c r="K3010" s="2">
        <v>43351</v>
      </c>
      <c r="L3010" s="1">
        <v>3716</v>
      </c>
      <c r="M3010" s="1">
        <v>3.51</v>
      </c>
      <c r="N3010" s="1">
        <v>0.79617000000000004</v>
      </c>
      <c r="O3010" s="3">
        <f>VLOOKUP(D3010,underlying!$D$40:$H$75,5,FALSE)</f>
        <v>-2</v>
      </c>
      <c r="P3010" s="4">
        <f t="shared" si="118"/>
        <v>43321</v>
      </c>
      <c r="Q3010" s="7">
        <f>IF(G3010="C",NormalCallSprd(O3010,H3010,M3010,(P3010-A3010)/365), NormalPutSprd(O3010,H3010,M3010,(P3010-A3010)/365))</f>
        <v>2.626615330798669</v>
      </c>
      <c r="R3010" s="9">
        <f t="shared" si="117"/>
        <v>3.6615330798669188E-2</v>
      </c>
    </row>
    <row r="3011" spans="1:18" x14ac:dyDescent="0.2">
      <c r="A3011" s="2">
        <v>42622</v>
      </c>
      <c r="B3011" s="1" t="s">
        <v>56</v>
      </c>
      <c r="C3011" s="1" t="s">
        <v>57</v>
      </c>
      <c r="D3011" s="2">
        <v>43108</v>
      </c>
      <c r="E3011" s="2">
        <f t="shared" si="119"/>
        <v>43313</v>
      </c>
      <c r="F3011" s="1" t="s">
        <v>58</v>
      </c>
      <c r="G3011" s="1" t="s">
        <v>18</v>
      </c>
      <c r="H3011" s="1">
        <v>-3.25</v>
      </c>
      <c r="I3011" s="1">
        <v>1.36</v>
      </c>
      <c r="J3011" s="1">
        <v>0</v>
      </c>
      <c r="K3011" s="2">
        <v>43351</v>
      </c>
      <c r="L3011" s="1">
        <v>3716</v>
      </c>
      <c r="M3011" s="1">
        <v>3.51</v>
      </c>
      <c r="N3011" s="1">
        <v>0.84928000000000003</v>
      </c>
      <c r="O3011" s="3">
        <f>VLOOKUP(D3011,underlying!$D$40:$H$75,5,FALSE)</f>
        <v>-2</v>
      </c>
      <c r="P3011" s="4">
        <f t="shared" si="118"/>
        <v>43321</v>
      </c>
      <c r="Q3011" s="7">
        <f>IF(G3011="C",NormalCallSprd(O3011,H3011,M3011,(P3011-A3011)/365), NormalPutSprd(O3011,H3011,M3011,(P3011-A3011)/365))</f>
        <v>1.3766153307986688</v>
      </c>
      <c r="R3011" s="9">
        <f t="shared" ref="R3011:R3074" si="120">ABS(Q3011-I3011)</f>
        <v>1.6615330798668726E-2</v>
      </c>
    </row>
    <row r="3012" spans="1:18" x14ac:dyDescent="0.2">
      <c r="A3012" s="2">
        <v>42622</v>
      </c>
      <c r="B3012" s="1" t="s">
        <v>56</v>
      </c>
      <c r="C3012" s="1" t="s">
        <v>57</v>
      </c>
      <c r="D3012" s="2">
        <v>43108</v>
      </c>
      <c r="E3012" s="2">
        <f t="shared" si="119"/>
        <v>43313</v>
      </c>
      <c r="F3012" s="1" t="s">
        <v>58</v>
      </c>
      <c r="G3012" s="1" t="s">
        <v>16</v>
      </c>
      <c r="H3012" s="1">
        <v>-3</v>
      </c>
      <c r="I3012" s="1">
        <v>2.44</v>
      </c>
      <c r="J3012" s="1">
        <v>0</v>
      </c>
      <c r="K3012" s="2">
        <v>43351</v>
      </c>
      <c r="L3012" s="1">
        <v>3716</v>
      </c>
      <c r="M3012" s="1">
        <v>3.49</v>
      </c>
      <c r="N3012" s="1">
        <v>-0.71535000000000004</v>
      </c>
      <c r="O3012" s="3">
        <f>VLOOKUP(D3012,underlying!$D$40:$H$75,5,FALSE)</f>
        <v>-2</v>
      </c>
      <c r="P3012" s="4">
        <f t="shared" si="118"/>
        <v>43321</v>
      </c>
      <c r="Q3012" s="7">
        <f>IF(G3012="C",NormalCallSprd(O3012,H3012,M3012,(P3012-A3012)/365), NormalPutSprd(O3012,H3012,M3012,(P3012-A3012)/365))</f>
        <v>2.467914379120276</v>
      </c>
      <c r="R3012" s="9">
        <f t="shared" si="120"/>
        <v>2.7914379120276056E-2</v>
      </c>
    </row>
    <row r="3013" spans="1:18" x14ac:dyDescent="0.2">
      <c r="A3013" s="2">
        <v>42622</v>
      </c>
      <c r="B3013" s="1" t="s">
        <v>56</v>
      </c>
      <c r="C3013" s="1" t="s">
        <v>57</v>
      </c>
      <c r="D3013" s="2">
        <v>43108</v>
      </c>
      <c r="E3013" s="2">
        <f t="shared" si="119"/>
        <v>43313</v>
      </c>
      <c r="F3013" s="1" t="s">
        <v>58</v>
      </c>
      <c r="G3013" s="1" t="s">
        <v>18</v>
      </c>
      <c r="H3013" s="1">
        <v>-3</v>
      </c>
      <c r="I3013" s="1">
        <v>1.45</v>
      </c>
      <c r="J3013" s="1">
        <v>0</v>
      </c>
      <c r="K3013" s="2">
        <v>43351</v>
      </c>
      <c r="L3013" s="1">
        <v>3716</v>
      </c>
      <c r="M3013" s="1">
        <v>3.49</v>
      </c>
      <c r="N3013" s="1">
        <v>-0.69671000000000005</v>
      </c>
      <c r="O3013" s="3">
        <f>VLOOKUP(D3013,underlying!$D$40:$H$75,5,FALSE)</f>
        <v>-2</v>
      </c>
      <c r="P3013" s="4">
        <f t="shared" si="118"/>
        <v>43321</v>
      </c>
      <c r="Q3013" s="7">
        <f>IF(G3013="C",NormalCallSprd(O3013,H3013,M3013,(P3013-A3013)/365), NormalPutSprd(O3013,H3013,M3013,(P3013-A3013)/365))</f>
        <v>1.467914379120276</v>
      </c>
      <c r="R3013" s="9">
        <f t="shared" si="120"/>
        <v>1.7914379120276047E-2</v>
      </c>
    </row>
    <row r="3014" spans="1:18" x14ac:dyDescent="0.2">
      <c r="A3014" s="2">
        <v>42622</v>
      </c>
      <c r="B3014" s="1" t="s">
        <v>56</v>
      </c>
      <c r="C3014" s="1" t="s">
        <v>57</v>
      </c>
      <c r="D3014" s="2">
        <v>43108</v>
      </c>
      <c r="E3014" s="2">
        <f t="shared" si="119"/>
        <v>43313</v>
      </c>
      <c r="F3014" s="1" t="s">
        <v>58</v>
      </c>
      <c r="G3014" s="1" t="s">
        <v>16</v>
      </c>
      <c r="H3014" s="1">
        <v>-2.75</v>
      </c>
      <c r="I3014" s="1">
        <v>2.2999999999999998</v>
      </c>
      <c r="J3014" s="1">
        <v>0</v>
      </c>
      <c r="K3014" s="2">
        <v>43351</v>
      </c>
      <c r="L3014" s="1">
        <v>3716</v>
      </c>
      <c r="M3014" s="1">
        <v>3.5</v>
      </c>
      <c r="N3014" s="1">
        <v>-0.67808999999999997</v>
      </c>
      <c r="O3014" s="3">
        <f>VLOOKUP(D3014,underlying!$D$40:$H$75,5,FALSE)</f>
        <v>-2</v>
      </c>
      <c r="P3014" s="4">
        <f t="shared" si="118"/>
        <v>43321</v>
      </c>
      <c r="Q3014" s="7">
        <f>IF(G3014="C",NormalCallSprd(O3014,H3014,M3014,(P3014-A3014)/365), NormalPutSprd(O3014,H3014,M3014,(P3014-A3014)/365))</f>
        <v>2.3304002829182973</v>
      </c>
      <c r="R3014" s="9">
        <f t="shared" si="120"/>
        <v>3.0400282918297439E-2</v>
      </c>
    </row>
    <row r="3015" spans="1:18" x14ac:dyDescent="0.2">
      <c r="A3015" s="2">
        <v>42622</v>
      </c>
      <c r="B3015" s="1" t="s">
        <v>56</v>
      </c>
      <c r="C3015" s="1" t="s">
        <v>57</v>
      </c>
      <c r="D3015" s="2">
        <v>43108</v>
      </c>
      <c r="E3015" s="2">
        <f t="shared" si="119"/>
        <v>43313</v>
      </c>
      <c r="F3015" s="1" t="s">
        <v>58</v>
      </c>
      <c r="G3015" s="1" t="s">
        <v>18</v>
      </c>
      <c r="H3015" s="1">
        <v>-2.75</v>
      </c>
      <c r="I3015" s="1">
        <v>1.56</v>
      </c>
      <c r="J3015" s="1">
        <v>0</v>
      </c>
      <c r="K3015" s="2">
        <v>43351</v>
      </c>
      <c r="L3015" s="1">
        <v>3716</v>
      </c>
      <c r="M3015" s="1">
        <v>3.5</v>
      </c>
      <c r="N3015" s="1">
        <v>-0.65898000000000001</v>
      </c>
      <c r="O3015" s="3">
        <f>VLOOKUP(D3015,underlying!$D$40:$H$75,5,FALSE)</f>
        <v>-2</v>
      </c>
      <c r="P3015" s="4">
        <f t="shared" si="118"/>
        <v>43321</v>
      </c>
      <c r="Q3015" s="7">
        <f>IF(G3015="C",NormalCallSprd(O3015,H3015,M3015,(P3015-A3015)/365), NormalPutSprd(O3015,H3015,M3015,(P3015-A3015)/365))</f>
        <v>1.5804002829182973</v>
      </c>
      <c r="R3015" s="9">
        <f t="shared" si="120"/>
        <v>2.0400282918297208E-2</v>
      </c>
    </row>
    <row r="3016" spans="1:18" x14ac:dyDescent="0.2">
      <c r="A3016" s="2">
        <v>42622</v>
      </c>
      <c r="B3016" s="1" t="s">
        <v>56</v>
      </c>
      <c r="C3016" s="1" t="s">
        <v>57</v>
      </c>
      <c r="D3016" s="2">
        <v>43108</v>
      </c>
      <c r="E3016" s="2">
        <f t="shared" si="119"/>
        <v>43313</v>
      </c>
      <c r="F3016" s="1" t="s">
        <v>58</v>
      </c>
      <c r="G3016" s="1" t="s">
        <v>16</v>
      </c>
      <c r="H3016" s="1">
        <v>-2.5</v>
      </c>
      <c r="I3016" s="1">
        <v>2.17</v>
      </c>
      <c r="J3016" s="1">
        <v>0</v>
      </c>
      <c r="K3016" s="2">
        <v>43351</v>
      </c>
      <c r="L3016" s="1">
        <v>3716</v>
      </c>
      <c r="M3016" s="1">
        <v>3.5</v>
      </c>
      <c r="N3016" s="1">
        <v>-0.63943000000000005</v>
      </c>
      <c r="O3016" s="3">
        <f>VLOOKUP(D3016,underlying!$D$40:$H$75,5,FALSE)</f>
        <v>-2</v>
      </c>
      <c r="P3016" s="4">
        <f t="shared" si="118"/>
        <v>43321</v>
      </c>
      <c r="Q3016" s="7">
        <f>IF(G3016="C",NormalCallSprd(O3016,H3016,M3016,(P3016-A3016)/365), NormalPutSprd(O3016,H3016,M3016,(P3016-A3016)/365))</f>
        <v>2.1925675826402289</v>
      </c>
      <c r="R3016" s="9">
        <f t="shared" si="120"/>
        <v>2.2567582640228956E-2</v>
      </c>
    </row>
    <row r="3017" spans="1:18" x14ac:dyDescent="0.2">
      <c r="A3017" s="2">
        <v>42622</v>
      </c>
      <c r="B3017" s="1" t="s">
        <v>56</v>
      </c>
      <c r="C3017" s="1" t="s">
        <v>57</v>
      </c>
      <c r="D3017" s="2">
        <v>43108</v>
      </c>
      <c r="E3017" s="2">
        <f t="shared" si="119"/>
        <v>43313</v>
      </c>
      <c r="F3017" s="1" t="s">
        <v>58</v>
      </c>
      <c r="G3017" s="1" t="s">
        <v>18</v>
      </c>
      <c r="H3017" s="1">
        <v>-2.5</v>
      </c>
      <c r="I3017" s="1">
        <v>1.67</v>
      </c>
      <c r="J3017" s="1">
        <v>0</v>
      </c>
      <c r="K3017" s="2">
        <v>43351</v>
      </c>
      <c r="L3017" s="1">
        <v>3716</v>
      </c>
      <c r="M3017" s="1">
        <v>3.5</v>
      </c>
      <c r="N3017" s="1">
        <v>-0.61982000000000004</v>
      </c>
      <c r="O3017" s="3">
        <f>VLOOKUP(D3017,underlying!$D$40:$H$75,5,FALSE)</f>
        <v>-2</v>
      </c>
      <c r="P3017" s="4">
        <f t="shared" si="118"/>
        <v>43321</v>
      </c>
      <c r="Q3017" s="7">
        <f>IF(G3017="C",NormalCallSprd(O3017,H3017,M3017,(P3017-A3017)/365), NormalPutSprd(O3017,H3017,M3017,(P3017-A3017)/365))</f>
        <v>1.6925675826402291</v>
      </c>
      <c r="R3017" s="9">
        <f t="shared" si="120"/>
        <v>2.2567582640229178E-2</v>
      </c>
    </row>
    <row r="3018" spans="1:18" x14ac:dyDescent="0.2">
      <c r="A3018" s="2">
        <v>42622</v>
      </c>
      <c r="B3018" s="1" t="s">
        <v>56</v>
      </c>
      <c r="C3018" s="1" t="s">
        <v>57</v>
      </c>
      <c r="D3018" s="2">
        <v>43108</v>
      </c>
      <c r="E3018" s="2">
        <f t="shared" si="119"/>
        <v>43313</v>
      </c>
      <c r="F3018" s="1" t="s">
        <v>58</v>
      </c>
      <c r="G3018" s="1" t="s">
        <v>16</v>
      </c>
      <c r="H3018" s="1">
        <v>-2.25</v>
      </c>
      <c r="I3018" s="1">
        <v>2.04</v>
      </c>
      <c r="J3018" s="1">
        <v>0</v>
      </c>
      <c r="K3018" s="2">
        <v>43351</v>
      </c>
      <c r="L3018" s="1">
        <v>3716</v>
      </c>
      <c r="M3018" s="1">
        <v>3.51</v>
      </c>
      <c r="N3018" s="1">
        <v>-0.59945999999999999</v>
      </c>
      <c r="O3018" s="3">
        <f>VLOOKUP(D3018,underlying!$D$40:$H$75,5,FALSE)</f>
        <v>-2</v>
      </c>
      <c r="P3018" s="4">
        <f t="shared" si="118"/>
        <v>43321</v>
      </c>
      <c r="Q3018" s="7">
        <f>IF(G3018="C",NormalCallSprd(O3018,H3018,M3018,(P3018-A3018)/365), NormalPutSprd(O3018,H3018,M3018,(P3018-A3018)/365))</f>
        <v>2.0653677730121114</v>
      </c>
      <c r="R3018" s="9">
        <f t="shared" si="120"/>
        <v>2.536777301211135E-2</v>
      </c>
    </row>
    <row r="3019" spans="1:18" x14ac:dyDescent="0.2">
      <c r="A3019" s="2">
        <v>42622</v>
      </c>
      <c r="B3019" s="1" t="s">
        <v>56</v>
      </c>
      <c r="C3019" s="1" t="s">
        <v>57</v>
      </c>
      <c r="D3019" s="2">
        <v>43108</v>
      </c>
      <c r="E3019" s="2">
        <f t="shared" si="119"/>
        <v>43313</v>
      </c>
      <c r="F3019" s="1" t="s">
        <v>58</v>
      </c>
      <c r="G3019" s="1" t="s">
        <v>18</v>
      </c>
      <c r="H3019" s="1">
        <v>-2.25</v>
      </c>
      <c r="I3019" s="1">
        <v>1.79</v>
      </c>
      <c r="J3019" s="1">
        <v>-0.01</v>
      </c>
      <c r="K3019" s="2">
        <v>43351</v>
      </c>
      <c r="L3019" s="1">
        <v>3716</v>
      </c>
      <c r="M3019" s="1">
        <v>3.51</v>
      </c>
      <c r="N3019" s="1">
        <v>-0.57904</v>
      </c>
      <c r="O3019" s="3">
        <f>VLOOKUP(D3019,underlying!$D$40:$H$75,5,FALSE)</f>
        <v>-2</v>
      </c>
      <c r="P3019" s="4">
        <f t="shared" si="118"/>
        <v>43321</v>
      </c>
      <c r="Q3019" s="7">
        <f>IF(G3019="C",NormalCallSprd(O3019,H3019,M3019,(P3019-A3019)/365), NormalPutSprd(O3019,H3019,M3019,(P3019-A3019)/365))</f>
        <v>1.8153677730121112</v>
      </c>
      <c r="R3019" s="9">
        <f t="shared" si="120"/>
        <v>2.5367773012111128E-2</v>
      </c>
    </row>
    <row r="3020" spans="1:18" x14ac:dyDescent="0.2">
      <c r="A3020" s="2">
        <v>42622</v>
      </c>
      <c r="B3020" s="1" t="s">
        <v>56</v>
      </c>
      <c r="C3020" s="1" t="s">
        <v>57</v>
      </c>
      <c r="D3020" s="2">
        <v>43108</v>
      </c>
      <c r="E3020" s="2">
        <f t="shared" si="119"/>
        <v>43313</v>
      </c>
      <c r="F3020" s="1" t="s">
        <v>58</v>
      </c>
      <c r="G3020" s="1" t="s">
        <v>16</v>
      </c>
      <c r="H3020" s="1">
        <v>-2</v>
      </c>
      <c r="I3020" s="1">
        <v>1.91</v>
      </c>
      <c r="J3020" s="1">
        <v>0</v>
      </c>
      <c r="K3020" s="2">
        <v>43351</v>
      </c>
      <c r="L3020" s="1">
        <v>3716</v>
      </c>
      <c r="M3020" s="1">
        <v>3.5</v>
      </c>
      <c r="N3020" s="1">
        <v>-0.55789999999999995</v>
      </c>
      <c r="O3020" s="3">
        <f>VLOOKUP(D3020,underlying!$D$40:$H$75,5,FALSE)</f>
        <v>-2</v>
      </c>
      <c r="P3020" s="4">
        <f t="shared" si="118"/>
        <v>43321</v>
      </c>
      <c r="Q3020" s="7">
        <f>IF(G3020="C",NormalCallSprd(O3020,H3020,M3020,(P3020-A3020)/365), NormalPutSprd(O3020,H3020,M3020,(P3020-A3020)/365))</f>
        <v>1.932280921293503</v>
      </c>
      <c r="R3020" s="9">
        <f t="shared" si="120"/>
        <v>2.228092129350312E-2</v>
      </c>
    </row>
    <row r="3021" spans="1:18" x14ac:dyDescent="0.2">
      <c r="A3021" s="2">
        <v>42622</v>
      </c>
      <c r="B3021" s="1" t="s">
        <v>56</v>
      </c>
      <c r="C3021" s="1" t="s">
        <v>57</v>
      </c>
      <c r="D3021" s="2">
        <v>43108</v>
      </c>
      <c r="E3021" s="2">
        <f t="shared" si="119"/>
        <v>43313</v>
      </c>
      <c r="F3021" s="1" t="s">
        <v>58</v>
      </c>
      <c r="G3021" s="1" t="s">
        <v>18</v>
      </c>
      <c r="H3021" s="1">
        <v>-2</v>
      </c>
      <c r="I3021" s="1">
        <v>1.91</v>
      </c>
      <c r="J3021" s="1">
        <v>0</v>
      </c>
      <c r="K3021" s="2">
        <v>43351</v>
      </c>
      <c r="L3021" s="1">
        <v>3716</v>
      </c>
      <c r="M3021" s="1">
        <v>3.5</v>
      </c>
      <c r="N3021" s="1">
        <v>-0.53681999999999996</v>
      </c>
      <c r="O3021" s="3">
        <f>VLOOKUP(D3021,underlying!$D$40:$H$75,5,FALSE)</f>
        <v>-2</v>
      </c>
      <c r="P3021" s="4">
        <f t="shared" si="118"/>
        <v>43321</v>
      </c>
      <c r="Q3021" s="7">
        <f>IF(G3021="C",NormalCallSprd(O3021,H3021,M3021,(P3021-A3021)/365), NormalPutSprd(O3021,H3021,M3021,(P3021-A3021)/365))</f>
        <v>1.932280921293503</v>
      </c>
      <c r="R3021" s="9">
        <f t="shared" si="120"/>
        <v>2.228092129350312E-2</v>
      </c>
    </row>
    <row r="3022" spans="1:18" x14ac:dyDescent="0.2">
      <c r="A3022" s="2">
        <v>42622</v>
      </c>
      <c r="B3022" s="1" t="s">
        <v>56</v>
      </c>
      <c r="C3022" s="1" t="s">
        <v>57</v>
      </c>
      <c r="D3022" s="2">
        <v>43108</v>
      </c>
      <c r="E3022" s="2">
        <f t="shared" si="119"/>
        <v>43313</v>
      </c>
      <c r="F3022" s="1" t="s">
        <v>58</v>
      </c>
      <c r="G3022" s="1" t="s">
        <v>16</v>
      </c>
      <c r="H3022" s="1">
        <v>-1.75</v>
      </c>
      <c r="I3022" s="1">
        <v>1.79</v>
      </c>
      <c r="J3022" s="1">
        <v>-0.01</v>
      </c>
      <c r="K3022" s="2">
        <v>43351</v>
      </c>
      <c r="L3022" s="1">
        <v>3716</v>
      </c>
      <c r="M3022" s="1">
        <v>3.51</v>
      </c>
      <c r="N3022" s="1">
        <v>-0.51556000000000002</v>
      </c>
      <c r="O3022" s="3">
        <f>VLOOKUP(D3022,underlying!$D$40:$H$75,5,FALSE)</f>
        <v>-2</v>
      </c>
      <c r="P3022" s="4">
        <f t="shared" si="118"/>
        <v>43321</v>
      </c>
      <c r="Q3022" s="7">
        <f>IF(G3022="C",NormalCallSprd(O3022,H3022,M3022,(P3022-A3022)/365), NormalPutSprd(O3022,H3022,M3022,(P3022-A3022)/365))</f>
        <v>1.8153677730121112</v>
      </c>
      <c r="R3022" s="9">
        <f t="shared" si="120"/>
        <v>2.5367773012111128E-2</v>
      </c>
    </row>
    <row r="3023" spans="1:18" x14ac:dyDescent="0.2">
      <c r="A3023" s="2">
        <v>42622</v>
      </c>
      <c r="B3023" s="1" t="s">
        <v>56</v>
      </c>
      <c r="C3023" s="1" t="s">
        <v>57</v>
      </c>
      <c r="D3023" s="2">
        <v>43108</v>
      </c>
      <c r="E3023" s="2">
        <f t="shared" si="119"/>
        <v>43313</v>
      </c>
      <c r="F3023" s="1" t="s">
        <v>58</v>
      </c>
      <c r="G3023" s="1" t="s">
        <v>18</v>
      </c>
      <c r="H3023" s="1">
        <v>-1.75</v>
      </c>
      <c r="I3023" s="1">
        <v>2.04</v>
      </c>
      <c r="J3023" s="1">
        <v>0</v>
      </c>
      <c r="K3023" s="2">
        <v>43351</v>
      </c>
      <c r="L3023" s="1">
        <v>3716</v>
      </c>
      <c r="M3023" s="1">
        <v>3.51</v>
      </c>
      <c r="N3023" s="1">
        <v>-0.49435000000000001</v>
      </c>
      <c r="O3023" s="3">
        <f>VLOOKUP(D3023,underlying!$D$40:$H$75,5,FALSE)</f>
        <v>-2</v>
      </c>
      <c r="P3023" s="4">
        <f t="shared" si="118"/>
        <v>43321</v>
      </c>
      <c r="Q3023" s="7">
        <f>IF(G3023="C",NormalCallSprd(O3023,H3023,M3023,(P3023-A3023)/365), NormalPutSprd(O3023,H3023,M3023,(P3023-A3023)/365))</f>
        <v>2.0653677730121114</v>
      </c>
      <c r="R3023" s="9">
        <f t="shared" si="120"/>
        <v>2.536777301211135E-2</v>
      </c>
    </row>
    <row r="3024" spans="1:18" x14ac:dyDescent="0.2">
      <c r="A3024" s="2">
        <v>42622</v>
      </c>
      <c r="B3024" s="1" t="s">
        <v>56</v>
      </c>
      <c r="C3024" s="1" t="s">
        <v>57</v>
      </c>
      <c r="D3024" s="2">
        <v>43108</v>
      </c>
      <c r="E3024" s="2">
        <f t="shared" si="119"/>
        <v>43313</v>
      </c>
      <c r="F3024" s="1" t="s">
        <v>58</v>
      </c>
      <c r="G3024" s="1" t="s">
        <v>16</v>
      </c>
      <c r="H3024" s="1">
        <v>-1.5</v>
      </c>
      <c r="I3024" s="1">
        <v>1.67</v>
      </c>
      <c r="J3024" s="1">
        <v>0</v>
      </c>
      <c r="K3024" s="2">
        <v>43351</v>
      </c>
      <c r="L3024" s="1">
        <v>3716</v>
      </c>
      <c r="M3024" s="1">
        <v>3.5</v>
      </c>
      <c r="N3024" s="1">
        <v>-0.47314000000000001</v>
      </c>
      <c r="O3024" s="3">
        <f>VLOOKUP(D3024,underlying!$D$40:$H$75,5,FALSE)</f>
        <v>-2</v>
      </c>
      <c r="P3024" s="4">
        <f t="shared" si="118"/>
        <v>43321</v>
      </c>
      <c r="Q3024" s="7">
        <f>IF(G3024="C",NormalCallSprd(O3024,H3024,M3024,(P3024-A3024)/365), NormalPutSprd(O3024,H3024,M3024,(P3024-A3024)/365))</f>
        <v>1.6925675826402291</v>
      </c>
      <c r="R3024" s="9">
        <f t="shared" si="120"/>
        <v>2.2567582640229178E-2</v>
      </c>
    </row>
    <row r="3025" spans="1:18" x14ac:dyDescent="0.2">
      <c r="A3025" s="2">
        <v>42622</v>
      </c>
      <c r="B3025" s="1" t="s">
        <v>56</v>
      </c>
      <c r="C3025" s="1" t="s">
        <v>57</v>
      </c>
      <c r="D3025" s="2">
        <v>43108</v>
      </c>
      <c r="E3025" s="2">
        <f t="shared" si="119"/>
        <v>43313</v>
      </c>
      <c r="F3025" s="1" t="s">
        <v>58</v>
      </c>
      <c r="G3025" s="1" t="s">
        <v>18</v>
      </c>
      <c r="H3025" s="1">
        <v>-1.5</v>
      </c>
      <c r="I3025" s="1">
        <v>2.17</v>
      </c>
      <c r="J3025" s="1">
        <v>0</v>
      </c>
      <c r="K3025" s="2">
        <v>43351</v>
      </c>
      <c r="L3025" s="1">
        <v>3716</v>
      </c>
      <c r="M3025" s="1">
        <v>3.5</v>
      </c>
      <c r="N3025" s="1">
        <v>-0.45188</v>
      </c>
      <c r="O3025" s="3">
        <f>VLOOKUP(D3025,underlying!$D$40:$H$75,5,FALSE)</f>
        <v>-2</v>
      </c>
      <c r="P3025" s="4">
        <f t="shared" si="118"/>
        <v>43321</v>
      </c>
      <c r="Q3025" s="7">
        <f>IF(G3025="C",NormalCallSprd(O3025,H3025,M3025,(P3025-A3025)/365), NormalPutSprd(O3025,H3025,M3025,(P3025-A3025)/365))</f>
        <v>2.1925675826402289</v>
      </c>
      <c r="R3025" s="9">
        <f t="shared" si="120"/>
        <v>2.2567582640228956E-2</v>
      </c>
    </row>
    <row r="3026" spans="1:18" x14ac:dyDescent="0.2">
      <c r="A3026" s="2">
        <v>42622</v>
      </c>
      <c r="B3026" s="1" t="s">
        <v>56</v>
      </c>
      <c r="C3026" s="1" t="s">
        <v>57</v>
      </c>
      <c r="D3026" s="2">
        <v>43108</v>
      </c>
      <c r="E3026" s="2">
        <f t="shared" si="119"/>
        <v>43313</v>
      </c>
      <c r="F3026" s="1" t="s">
        <v>58</v>
      </c>
      <c r="G3026" s="1" t="s">
        <v>16</v>
      </c>
      <c r="H3026" s="1">
        <v>-1.25</v>
      </c>
      <c r="I3026" s="1">
        <v>1.56</v>
      </c>
      <c r="J3026" s="1">
        <v>0</v>
      </c>
      <c r="K3026" s="2">
        <v>43351</v>
      </c>
      <c r="L3026" s="1">
        <v>3716</v>
      </c>
      <c r="M3026" s="1">
        <v>3.5</v>
      </c>
      <c r="N3026" s="1">
        <v>-0.43080000000000002</v>
      </c>
      <c r="O3026" s="3">
        <f>VLOOKUP(D3026,underlying!$D$40:$H$75,5,FALSE)</f>
        <v>-2</v>
      </c>
      <c r="P3026" s="4">
        <f t="shared" si="118"/>
        <v>43321</v>
      </c>
      <c r="Q3026" s="7">
        <f>IF(G3026="C",NormalCallSprd(O3026,H3026,M3026,(P3026-A3026)/365), NormalPutSprd(O3026,H3026,M3026,(P3026-A3026)/365))</f>
        <v>1.5804002829182973</v>
      </c>
      <c r="R3026" s="9">
        <f t="shared" si="120"/>
        <v>2.0400282918297208E-2</v>
      </c>
    </row>
    <row r="3027" spans="1:18" x14ac:dyDescent="0.2">
      <c r="A3027" s="2">
        <v>42622</v>
      </c>
      <c r="B3027" s="1" t="s">
        <v>56</v>
      </c>
      <c r="C3027" s="1" t="s">
        <v>57</v>
      </c>
      <c r="D3027" s="2">
        <v>43108</v>
      </c>
      <c r="E3027" s="2">
        <f t="shared" si="119"/>
        <v>43313</v>
      </c>
      <c r="F3027" s="1" t="s">
        <v>58</v>
      </c>
      <c r="G3027" s="1" t="s">
        <v>18</v>
      </c>
      <c r="H3027" s="1">
        <v>-1.25</v>
      </c>
      <c r="I3027" s="1">
        <v>2.2999999999999998</v>
      </c>
      <c r="J3027" s="1">
        <v>0</v>
      </c>
      <c r="K3027" s="2">
        <v>43351</v>
      </c>
      <c r="L3027" s="1">
        <v>3716</v>
      </c>
      <c r="M3027" s="1">
        <v>3.5</v>
      </c>
      <c r="N3027" s="1">
        <v>-0.40966000000000002</v>
      </c>
      <c r="O3027" s="3">
        <f>VLOOKUP(D3027,underlying!$D$40:$H$75,5,FALSE)</f>
        <v>-2</v>
      </c>
      <c r="P3027" s="4">
        <f t="shared" si="118"/>
        <v>43321</v>
      </c>
      <c r="Q3027" s="7">
        <f>IF(G3027="C",NormalCallSprd(O3027,H3027,M3027,(P3027-A3027)/365), NormalPutSprd(O3027,H3027,M3027,(P3027-A3027)/365))</f>
        <v>2.3304002829182973</v>
      </c>
      <c r="R3027" s="9">
        <f t="shared" si="120"/>
        <v>3.0400282918297439E-2</v>
      </c>
    </row>
    <row r="3028" spans="1:18" x14ac:dyDescent="0.2">
      <c r="A3028" s="2">
        <v>42622</v>
      </c>
      <c r="B3028" s="1" t="s">
        <v>56</v>
      </c>
      <c r="C3028" s="1" t="s">
        <v>57</v>
      </c>
      <c r="D3028" s="2">
        <v>43108</v>
      </c>
      <c r="E3028" s="2">
        <f t="shared" si="119"/>
        <v>43313</v>
      </c>
      <c r="F3028" s="1" t="s">
        <v>58</v>
      </c>
      <c r="G3028" s="1" t="s">
        <v>16</v>
      </c>
      <c r="H3028" s="1">
        <v>-1</v>
      </c>
      <c r="I3028" s="1">
        <v>1.45</v>
      </c>
      <c r="J3028" s="1">
        <v>0</v>
      </c>
      <c r="K3028" s="2">
        <v>43351</v>
      </c>
      <c r="L3028" s="1">
        <v>3716</v>
      </c>
      <c r="M3028" s="1">
        <v>3.49</v>
      </c>
      <c r="N3028" s="1">
        <v>-0.38952999999999999</v>
      </c>
      <c r="O3028" s="3">
        <f>VLOOKUP(D3028,underlying!$D$40:$H$75,5,FALSE)</f>
        <v>-2</v>
      </c>
      <c r="P3028" s="4">
        <f t="shared" si="118"/>
        <v>43321</v>
      </c>
      <c r="Q3028" s="7">
        <f>IF(G3028="C",NormalCallSprd(O3028,H3028,M3028,(P3028-A3028)/365), NormalPutSprd(O3028,H3028,M3028,(P3028-A3028)/365))</f>
        <v>1.467914379120276</v>
      </c>
      <c r="R3028" s="9">
        <f t="shared" si="120"/>
        <v>1.7914379120276047E-2</v>
      </c>
    </row>
    <row r="3029" spans="1:18" x14ac:dyDescent="0.2">
      <c r="A3029" s="2">
        <v>42622</v>
      </c>
      <c r="B3029" s="1" t="s">
        <v>56</v>
      </c>
      <c r="C3029" s="1" t="s">
        <v>57</v>
      </c>
      <c r="D3029" s="2">
        <v>43108</v>
      </c>
      <c r="E3029" s="2">
        <f t="shared" si="119"/>
        <v>43313</v>
      </c>
      <c r="F3029" s="1" t="s">
        <v>58</v>
      </c>
      <c r="G3029" s="1" t="s">
        <v>18</v>
      </c>
      <c r="H3029" s="1">
        <v>-1</v>
      </c>
      <c r="I3029" s="1">
        <v>2.44</v>
      </c>
      <c r="J3029" s="1">
        <v>0</v>
      </c>
      <c r="K3029" s="2">
        <v>43351</v>
      </c>
      <c r="L3029" s="1">
        <v>3716</v>
      </c>
      <c r="M3029" s="1">
        <v>3.49</v>
      </c>
      <c r="N3029" s="1">
        <v>-0.36853999999999998</v>
      </c>
      <c r="O3029" s="3">
        <f>VLOOKUP(D3029,underlying!$D$40:$H$75,5,FALSE)</f>
        <v>-2</v>
      </c>
      <c r="P3029" s="4">
        <f t="shared" si="118"/>
        <v>43321</v>
      </c>
      <c r="Q3029" s="7">
        <f>IF(G3029="C",NormalCallSprd(O3029,H3029,M3029,(P3029-A3029)/365), NormalPutSprd(O3029,H3029,M3029,(P3029-A3029)/365))</f>
        <v>2.467914379120276</v>
      </c>
      <c r="R3029" s="9">
        <f t="shared" si="120"/>
        <v>2.7914379120276056E-2</v>
      </c>
    </row>
    <row r="3030" spans="1:18" x14ac:dyDescent="0.2">
      <c r="A3030" s="2">
        <v>42622</v>
      </c>
      <c r="B3030" s="1" t="s">
        <v>56</v>
      </c>
      <c r="C3030" s="1" t="s">
        <v>57</v>
      </c>
      <c r="D3030" s="2">
        <v>43108</v>
      </c>
      <c r="E3030" s="2">
        <f t="shared" si="119"/>
        <v>43313</v>
      </c>
      <c r="F3030" s="1" t="s">
        <v>58</v>
      </c>
      <c r="G3030" s="1" t="s">
        <v>16</v>
      </c>
      <c r="H3030" s="1">
        <v>-0.75</v>
      </c>
      <c r="I3030" s="1">
        <v>1.35</v>
      </c>
      <c r="J3030" s="1">
        <v>-0.01</v>
      </c>
      <c r="K3030" s="2">
        <v>43351</v>
      </c>
      <c r="L3030" s="1">
        <v>3716</v>
      </c>
      <c r="M3030" s="1">
        <v>3.5</v>
      </c>
      <c r="N3030" s="1">
        <v>-0.34927000000000002</v>
      </c>
      <c r="O3030" s="3">
        <f>VLOOKUP(D3030,underlying!$D$40:$H$75,5,FALSE)</f>
        <v>-2</v>
      </c>
      <c r="P3030" s="4">
        <f t="shared" si="118"/>
        <v>43321</v>
      </c>
      <c r="Q3030" s="7">
        <f>IF(G3030="C",NormalCallSprd(O3030,H3030,M3030,(P3030-A3030)/365), NormalPutSprd(O3030,H3030,M3030,(P3030-A3030)/365))</f>
        <v>1.371274847332735</v>
      </c>
      <c r="R3030" s="9">
        <f t="shared" si="120"/>
        <v>2.1274847332734881E-2</v>
      </c>
    </row>
    <row r="3031" spans="1:18" x14ac:dyDescent="0.2">
      <c r="A3031" s="2">
        <v>42622</v>
      </c>
      <c r="B3031" s="1" t="s">
        <v>56</v>
      </c>
      <c r="C3031" s="1" t="s">
        <v>57</v>
      </c>
      <c r="D3031" s="2">
        <v>43108</v>
      </c>
      <c r="E3031" s="2">
        <f t="shared" si="119"/>
        <v>43313</v>
      </c>
      <c r="F3031" s="1" t="s">
        <v>58</v>
      </c>
      <c r="G3031" s="1" t="s">
        <v>18</v>
      </c>
      <c r="H3031" s="1">
        <v>-0.75</v>
      </c>
      <c r="I3031" s="1">
        <v>2.59</v>
      </c>
      <c r="J3031" s="1">
        <v>0</v>
      </c>
      <c r="K3031" s="2">
        <v>43351</v>
      </c>
      <c r="L3031" s="1">
        <v>3716</v>
      </c>
      <c r="M3031" s="1">
        <v>3.5</v>
      </c>
      <c r="N3031" s="1">
        <v>-0.32883000000000001</v>
      </c>
      <c r="O3031" s="3">
        <f>VLOOKUP(D3031,underlying!$D$40:$H$75,5,FALSE)</f>
        <v>-2</v>
      </c>
      <c r="P3031" s="4">
        <f t="shared" si="118"/>
        <v>43321</v>
      </c>
      <c r="Q3031" s="7">
        <f>IF(G3031="C",NormalCallSprd(O3031,H3031,M3031,(P3031-A3031)/365), NormalPutSprd(O3031,H3031,M3031,(P3031-A3031)/365))</f>
        <v>2.6212748473327347</v>
      </c>
      <c r="R3031" s="9">
        <f t="shared" si="120"/>
        <v>3.127484733273489E-2</v>
      </c>
    </row>
    <row r="3032" spans="1:18" x14ac:dyDescent="0.2">
      <c r="A3032" s="2">
        <v>42622</v>
      </c>
      <c r="B3032" s="1" t="s">
        <v>56</v>
      </c>
      <c r="C3032" s="1" t="s">
        <v>57</v>
      </c>
      <c r="D3032" s="2">
        <v>43108</v>
      </c>
      <c r="E3032" s="2">
        <f t="shared" si="119"/>
        <v>43313</v>
      </c>
      <c r="F3032" s="1" t="s">
        <v>58</v>
      </c>
      <c r="G3032" s="1" t="s">
        <v>16</v>
      </c>
      <c r="H3032" s="1">
        <v>-0.5</v>
      </c>
      <c r="I3032" s="1">
        <v>1.26</v>
      </c>
      <c r="J3032" s="1">
        <v>0</v>
      </c>
      <c r="K3032" s="2">
        <v>43351</v>
      </c>
      <c r="L3032" s="1">
        <v>3716</v>
      </c>
      <c r="M3032" s="1">
        <v>3.5</v>
      </c>
      <c r="N3032" s="1">
        <v>-0.31061</v>
      </c>
      <c r="O3032" s="3">
        <f>VLOOKUP(D3032,underlying!$D$40:$H$75,5,FALSE)</f>
        <v>-2</v>
      </c>
      <c r="P3032" s="4">
        <f t="shared" si="118"/>
        <v>43321</v>
      </c>
      <c r="Q3032" s="7">
        <f>IF(G3032="C",NormalCallSprd(O3032,H3032,M3032,(P3032-A3032)/365), NormalPutSprd(O3032,H3032,M3032,(P3032-A3032)/365))</f>
        <v>1.2742095180553894</v>
      </c>
      <c r="R3032" s="9">
        <f t="shared" si="120"/>
        <v>1.4209518055389392E-2</v>
      </c>
    </row>
    <row r="3033" spans="1:18" x14ac:dyDescent="0.2">
      <c r="A3033" s="2">
        <v>42622</v>
      </c>
      <c r="B3033" s="1" t="s">
        <v>56</v>
      </c>
      <c r="C3033" s="1" t="s">
        <v>57</v>
      </c>
      <c r="D3033" s="2">
        <v>43108</v>
      </c>
      <c r="E3033" s="2">
        <f t="shared" si="119"/>
        <v>43313</v>
      </c>
      <c r="F3033" s="1" t="s">
        <v>58</v>
      </c>
      <c r="G3033" s="1" t="s">
        <v>18</v>
      </c>
      <c r="H3033" s="1">
        <v>-0.5</v>
      </c>
      <c r="I3033" s="1">
        <v>2.74</v>
      </c>
      <c r="J3033" s="1">
        <v>0</v>
      </c>
      <c r="K3033" s="2">
        <v>43351</v>
      </c>
      <c r="L3033" s="1">
        <v>3716</v>
      </c>
      <c r="M3033" s="1">
        <v>3.5</v>
      </c>
      <c r="N3033" s="1">
        <v>-0.29199000000000003</v>
      </c>
      <c r="O3033" s="3">
        <f>VLOOKUP(D3033,underlying!$D$40:$H$75,5,FALSE)</f>
        <v>-2</v>
      </c>
      <c r="P3033" s="4">
        <f t="shared" si="118"/>
        <v>43321</v>
      </c>
      <c r="Q3033" s="7">
        <f>IF(G3033="C",NormalCallSprd(O3033,H3033,M3033,(P3033-A3033)/365), NormalPutSprd(O3033,H3033,M3033,(P3033-A3033)/365))</f>
        <v>2.7742095180553896</v>
      </c>
      <c r="R3033" s="9">
        <f t="shared" si="120"/>
        <v>3.420951805538941E-2</v>
      </c>
    </row>
    <row r="3034" spans="1:18" x14ac:dyDescent="0.2">
      <c r="A3034" s="2">
        <v>42622</v>
      </c>
      <c r="B3034" s="1" t="s">
        <v>56</v>
      </c>
      <c r="C3034" s="1" t="s">
        <v>57</v>
      </c>
      <c r="D3034" s="2">
        <v>43108</v>
      </c>
      <c r="E3034" s="2">
        <f t="shared" si="119"/>
        <v>43313</v>
      </c>
      <c r="F3034" s="1" t="s">
        <v>58</v>
      </c>
      <c r="G3034" s="1" t="s">
        <v>16</v>
      </c>
      <c r="H3034" s="1">
        <v>-0.25</v>
      </c>
      <c r="I3034" s="1">
        <v>1.17</v>
      </c>
      <c r="J3034" s="1">
        <v>0</v>
      </c>
      <c r="K3034" s="2">
        <v>43351</v>
      </c>
      <c r="L3034" s="1">
        <v>3716</v>
      </c>
      <c r="M3034" s="1">
        <v>3.51</v>
      </c>
      <c r="N3034" s="1">
        <v>-0.27389999999999998</v>
      </c>
      <c r="O3034" s="3">
        <f>VLOOKUP(D3034,underlying!$D$40:$H$75,5,FALSE)</f>
        <v>-2</v>
      </c>
      <c r="P3034" s="4">
        <f t="shared" si="118"/>
        <v>43321</v>
      </c>
      <c r="Q3034" s="7">
        <f>IF(G3034="C",NormalCallSprd(O3034,H3034,M3034,(P3034-A3034)/365), NormalPutSprd(O3034,H3034,M3034,(P3034-A3034)/365))</f>
        <v>1.1872229812208899</v>
      </c>
      <c r="R3034" s="9">
        <f t="shared" si="120"/>
        <v>1.7222981220889944E-2</v>
      </c>
    </row>
    <row r="3035" spans="1:18" x14ac:dyDescent="0.2">
      <c r="A3035" s="2">
        <v>42622</v>
      </c>
      <c r="B3035" s="1" t="s">
        <v>56</v>
      </c>
      <c r="C3035" s="1" t="s">
        <v>57</v>
      </c>
      <c r="D3035" s="2">
        <v>43108</v>
      </c>
      <c r="E3035" s="2">
        <f t="shared" si="119"/>
        <v>43313</v>
      </c>
      <c r="F3035" s="1" t="s">
        <v>58</v>
      </c>
      <c r="G3035" s="1" t="s">
        <v>18</v>
      </c>
      <c r="H3035" s="1">
        <v>-0.25</v>
      </c>
      <c r="I3035" s="1">
        <v>2.9</v>
      </c>
      <c r="J3035" s="1">
        <v>0</v>
      </c>
      <c r="K3035" s="2">
        <v>43351</v>
      </c>
      <c r="L3035" s="1">
        <v>3716</v>
      </c>
      <c r="M3035" s="1">
        <v>3.51</v>
      </c>
      <c r="N3035" s="1">
        <v>-0.25638</v>
      </c>
      <c r="O3035" s="3">
        <f>VLOOKUP(D3035,underlying!$D$40:$H$75,5,FALSE)</f>
        <v>-2</v>
      </c>
      <c r="P3035" s="4">
        <f t="shared" si="118"/>
        <v>43321</v>
      </c>
      <c r="Q3035" s="7">
        <f>IF(G3035="C",NormalCallSprd(O3035,H3035,M3035,(P3035-A3035)/365), NormalPutSprd(O3035,H3035,M3035,(P3035-A3035)/365))</f>
        <v>2.9372229812208901</v>
      </c>
      <c r="R3035" s="9">
        <f t="shared" si="120"/>
        <v>3.7222981220890183E-2</v>
      </c>
    </row>
    <row r="3036" spans="1:18" x14ac:dyDescent="0.2">
      <c r="A3036" s="2">
        <v>42622</v>
      </c>
      <c r="B3036" s="1" t="s">
        <v>56</v>
      </c>
      <c r="C3036" s="1" t="s">
        <v>57</v>
      </c>
      <c r="D3036" s="2">
        <v>43109</v>
      </c>
      <c r="E3036" s="2">
        <f t="shared" si="119"/>
        <v>43344</v>
      </c>
      <c r="F3036" s="1" t="s">
        <v>58</v>
      </c>
      <c r="G3036" s="1" t="s">
        <v>16</v>
      </c>
      <c r="H3036" s="1">
        <v>-8</v>
      </c>
      <c r="I3036" s="1">
        <v>6.63</v>
      </c>
      <c r="J3036" s="1">
        <v>-0.01</v>
      </c>
      <c r="K3036" s="2">
        <v>43413</v>
      </c>
      <c r="L3036" s="1">
        <v>3716</v>
      </c>
      <c r="M3036" s="1">
        <v>3.5</v>
      </c>
      <c r="N3036" s="1">
        <v>-0.19252</v>
      </c>
      <c r="O3036" s="3">
        <f>VLOOKUP(D3036,underlying!$D$40:$H$75,5,FALSE)</f>
        <v>-1.5</v>
      </c>
      <c r="P3036" s="4">
        <f t="shared" si="118"/>
        <v>43354</v>
      </c>
      <c r="Q3036" s="7">
        <f>IF(G3036="C",NormalCallSprd(O3036,H3036,M3036,(P3036-A3036)/365), NormalPutSprd(O3036,H3036,M3036,(P3036-A3036)/365))</f>
        <v>6.7202442216979259</v>
      </c>
      <c r="R3036" s="9">
        <f t="shared" si="120"/>
        <v>9.0244221697926008E-2</v>
      </c>
    </row>
    <row r="3037" spans="1:18" x14ac:dyDescent="0.2">
      <c r="A3037" s="2">
        <v>42622</v>
      </c>
      <c r="B3037" s="1" t="s">
        <v>56</v>
      </c>
      <c r="C3037" s="1" t="s">
        <v>57</v>
      </c>
      <c r="D3037" s="2">
        <v>43109</v>
      </c>
      <c r="E3037" s="2">
        <f t="shared" si="119"/>
        <v>43344</v>
      </c>
      <c r="F3037" s="1" t="s">
        <v>58</v>
      </c>
      <c r="G3037" s="1" t="s">
        <v>18</v>
      </c>
      <c r="H3037" s="1">
        <v>-8</v>
      </c>
      <c r="I3037" s="1">
        <v>0.22</v>
      </c>
      <c r="J3037" s="1">
        <v>0</v>
      </c>
      <c r="K3037" s="2">
        <v>43413</v>
      </c>
      <c r="L3037" s="1">
        <v>3716</v>
      </c>
      <c r="M3037" s="1">
        <v>3.5</v>
      </c>
      <c r="N3037" s="1">
        <v>-0.13941999999999999</v>
      </c>
      <c r="O3037" s="3">
        <f>VLOOKUP(D3037,underlying!$D$40:$H$75,5,FALSE)</f>
        <v>-1.5</v>
      </c>
      <c r="P3037" s="4">
        <f t="shared" si="118"/>
        <v>43354</v>
      </c>
      <c r="Q3037" s="7">
        <f>IF(G3037="C",NormalCallSprd(O3037,H3037,M3037,(P3037-A3037)/365), NormalPutSprd(O3037,H3037,M3037,(P3037-A3037)/365))</f>
        <v>0.22024422169792554</v>
      </c>
      <c r="R3037" s="9">
        <f t="shared" si="120"/>
        <v>2.442216979255396E-4</v>
      </c>
    </row>
    <row r="3038" spans="1:18" x14ac:dyDescent="0.2">
      <c r="A3038" s="2">
        <v>42622</v>
      </c>
      <c r="B3038" s="1" t="s">
        <v>56</v>
      </c>
      <c r="C3038" s="1" t="s">
        <v>57</v>
      </c>
      <c r="D3038" s="2">
        <v>43109</v>
      </c>
      <c r="E3038" s="2">
        <f t="shared" si="119"/>
        <v>43344</v>
      </c>
      <c r="F3038" s="1" t="s">
        <v>58</v>
      </c>
      <c r="G3038" s="1" t="s">
        <v>16</v>
      </c>
      <c r="H3038" s="1">
        <v>-7</v>
      </c>
      <c r="I3038" s="1">
        <v>5.76</v>
      </c>
      <c r="J3038" s="1">
        <v>0</v>
      </c>
      <c r="K3038" s="2">
        <v>43413</v>
      </c>
      <c r="L3038" s="1">
        <v>3716</v>
      </c>
      <c r="M3038" s="1">
        <v>3.51</v>
      </c>
      <c r="N3038" s="1">
        <v>0.40673999999999999</v>
      </c>
      <c r="O3038" s="3">
        <f>VLOOKUP(D3038,underlying!$D$40:$H$75,5,FALSE)</f>
        <v>-1.5</v>
      </c>
      <c r="P3038" s="4">
        <f t="shared" si="118"/>
        <v>43354</v>
      </c>
      <c r="Q3038" s="7">
        <f>IF(G3038="C",NormalCallSprd(O3038,H3038,M3038,(P3038-A3038)/365), NormalPutSprd(O3038,H3038,M3038,(P3038-A3038)/365))</f>
        <v>5.83673390296613</v>
      </c>
      <c r="R3038" s="9">
        <f t="shared" si="120"/>
        <v>7.6733902966130252E-2</v>
      </c>
    </row>
    <row r="3039" spans="1:18" x14ac:dyDescent="0.2">
      <c r="A3039" s="2">
        <v>42622</v>
      </c>
      <c r="B3039" s="1" t="s">
        <v>56</v>
      </c>
      <c r="C3039" s="1" t="s">
        <v>57</v>
      </c>
      <c r="D3039" s="2">
        <v>43109</v>
      </c>
      <c r="E3039" s="2">
        <f t="shared" si="119"/>
        <v>43344</v>
      </c>
      <c r="F3039" s="1" t="s">
        <v>58</v>
      </c>
      <c r="G3039" s="1" t="s">
        <v>18</v>
      </c>
      <c r="H3039" s="1">
        <v>-7</v>
      </c>
      <c r="I3039" s="1">
        <v>0.33</v>
      </c>
      <c r="J3039" s="1">
        <v>0</v>
      </c>
      <c r="K3039" s="2">
        <v>43413</v>
      </c>
      <c r="L3039" s="1">
        <v>3716</v>
      </c>
      <c r="M3039" s="1">
        <v>3.51</v>
      </c>
      <c r="N3039" s="1">
        <v>0.42308000000000001</v>
      </c>
      <c r="O3039" s="3">
        <f>VLOOKUP(D3039,underlying!$D$40:$H$75,5,FALSE)</f>
        <v>-1.5</v>
      </c>
      <c r="P3039" s="4">
        <f t="shared" si="118"/>
        <v>43354</v>
      </c>
      <c r="Q3039" s="7">
        <f>IF(G3039="C",NormalCallSprd(O3039,H3039,M3039,(P3039-A3039)/365), NormalPutSprd(O3039,H3039,M3039,(P3039-A3039)/365))</f>
        <v>0.33673390296613054</v>
      </c>
      <c r="R3039" s="9">
        <f t="shared" si="120"/>
        <v>6.7339029661305227E-3</v>
      </c>
    </row>
    <row r="3040" spans="1:18" x14ac:dyDescent="0.2">
      <c r="A3040" s="2">
        <v>42622</v>
      </c>
      <c r="B3040" s="1" t="s">
        <v>56</v>
      </c>
      <c r="C3040" s="1" t="s">
        <v>57</v>
      </c>
      <c r="D3040" s="2">
        <v>43109</v>
      </c>
      <c r="E3040" s="2">
        <f t="shared" si="119"/>
        <v>43344</v>
      </c>
      <c r="F3040" s="1" t="s">
        <v>58</v>
      </c>
      <c r="G3040" s="1" t="s">
        <v>16</v>
      </c>
      <c r="H3040" s="1">
        <v>-6</v>
      </c>
      <c r="I3040" s="1">
        <v>4.93</v>
      </c>
      <c r="J3040" s="1">
        <v>0</v>
      </c>
      <c r="K3040" s="2">
        <v>43413</v>
      </c>
      <c r="L3040" s="1">
        <v>3716</v>
      </c>
      <c r="M3040" s="1">
        <v>3.51</v>
      </c>
      <c r="N3040" s="1">
        <v>0.43991999999999998</v>
      </c>
      <c r="O3040" s="3">
        <f>VLOOKUP(D3040,underlying!$D$40:$H$75,5,FALSE)</f>
        <v>-1.5</v>
      </c>
      <c r="P3040" s="4">
        <f t="shared" si="118"/>
        <v>43354</v>
      </c>
      <c r="Q3040" s="7">
        <f>IF(G3040="C",NormalCallSprd(O3040,H3040,M3040,(P3040-A3040)/365), NormalPutSprd(O3040,H3040,M3040,(P3040-A3040)/365))</f>
        <v>4.9943739452667222</v>
      </c>
      <c r="R3040" s="9">
        <f t="shared" si="120"/>
        <v>6.4373945266722465E-2</v>
      </c>
    </row>
    <row r="3041" spans="1:18" x14ac:dyDescent="0.2">
      <c r="A3041" s="2">
        <v>42622</v>
      </c>
      <c r="B3041" s="1" t="s">
        <v>56</v>
      </c>
      <c r="C3041" s="1" t="s">
        <v>57</v>
      </c>
      <c r="D3041" s="2">
        <v>43109</v>
      </c>
      <c r="E3041" s="2">
        <f t="shared" si="119"/>
        <v>43344</v>
      </c>
      <c r="F3041" s="1" t="s">
        <v>58</v>
      </c>
      <c r="G3041" s="1" t="s">
        <v>18</v>
      </c>
      <c r="H3041" s="1">
        <v>-6</v>
      </c>
      <c r="I3041" s="1">
        <v>0.49</v>
      </c>
      <c r="J3041" s="1">
        <v>0</v>
      </c>
      <c r="K3041" s="2">
        <v>43413</v>
      </c>
      <c r="L3041" s="1">
        <v>3716</v>
      </c>
      <c r="M3041" s="1">
        <v>3.51</v>
      </c>
      <c r="N3041" s="1">
        <v>0.45666000000000001</v>
      </c>
      <c r="O3041" s="3">
        <f>VLOOKUP(D3041,underlying!$D$40:$H$75,5,FALSE)</f>
        <v>-1.5</v>
      </c>
      <c r="P3041" s="4">
        <f t="shared" si="118"/>
        <v>43354</v>
      </c>
      <c r="Q3041" s="7">
        <f>IF(G3041="C",NormalCallSprd(O3041,H3041,M3041,(P3041-A3041)/365), NormalPutSprd(O3041,H3041,M3041,(P3041-A3041)/365))</f>
        <v>0.49437394526672224</v>
      </c>
      <c r="R3041" s="9">
        <f t="shared" si="120"/>
        <v>4.3739452667222456E-3</v>
      </c>
    </row>
    <row r="3042" spans="1:18" x14ac:dyDescent="0.2">
      <c r="A3042" s="2">
        <v>42622</v>
      </c>
      <c r="B3042" s="1" t="s">
        <v>56</v>
      </c>
      <c r="C3042" s="1" t="s">
        <v>57</v>
      </c>
      <c r="D3042" s="2">
        <v>43109</v>
      </c>
      <c r="E3042" s="2">
        <f t="shared" si="119"/>
        <v>43344</v>
      </c>
      <c r="F3042" s="1" t="s">
        <v>58</v>
      </c>
      <c r="G3042" s="1" t="s">
        <v>16</v>
      </c>
      <c r="H3042" s="1">
        <v>-5.75</v>
      </c>
      <c r="I3042" s="1">
        <v>4.7300000000000004</v>
      </c>
      <c r="J3042" s="1">
        <v>0</v>
      </c>
      <c r="K3042" s="2">
        <v>43413</v>
      </c>
      <c r="L3042" s="1">
        <v>3716</v>
      </c>
      <c r="M3042" s="1">
        <v>3.51</v>
      </c>
      <c r="N3042" s="1">
        <v>0.47350999999999999</v>
      </c>
      <c r="O3042" s="3">
        <f>VLOOKUP(D3042,underlying!$D$40:$H$75,5,FALSE)</f>
        <v>-1.5</v>
      </c>
      <c r="P3042" s="4">
        <f t="shared" si="118"/>
        <v>43354</v>
      </c>
      <c r="Q3042" s="7">
        <f>IF(G3042="C",NormalCallSprd(O3042,H3042,M3042,(P3042-A3042)/365), NormalPutSprd(O3042,H3042,M3042,(P3042-A3042)/365))</f>
        <v>4.7917267775852723</v>
      </c>
      <c r="R3042" s="9">
        <f t="shared" si="120"/>
        <v>6.1726777585271897E-2</v>
      </c>
    </row>
    <row r="3043" spans="1:18" x14ac:dyDescent="0.2">
      <c r="A3043" s="2">
        <v>42622</v>
      </c>
      <c r="B3043" s="1" t="s">
        <v>56</v>
      </c>
      <c r="C3043" s="1" t="s">
        <v>57</v>
      </c>
      <c r="D3043" s="2">
        <v>43109</v>
      </c>
      <c r="E3043" s="2">
        <f t="shared" si="119"/>
        <v>43344</v>
      </c>
      <c r="F3043" s="1" t="s">
        <v>58</v>
      </c>
      <c r="G3043" s="1" t="s">
        <v>18</v>
      </c>
      <c r="H3043" s="1">
        <v>-5.75</v>
      </c>
      <c r="I3043" s="1">
        <v>0.53</v>
      </c>
      <c r="J3043" s="1">
        <v>-0.01</v>
      </c>
      <c r="K3043" s="2">
        <v>43413</v>
      </c>
      <c r="L3043" s="1">
        <v>3716</v>
      </c>
      <c r="M3043" s="1">
        <v>3.51</v>
      </c>
      <c r="N3043" s="1">
        <v>0.49029</v>
      </c>
      <c r="O3043" s="3">
        <f>VLOOKUP(D3043,underlying!$D$40:$H$75,5,FALSE)</f>
        <v>-1.5</v>
      </c>
      <c r="P3043" s="4">
        <f t="shared" si="118"/>
        <v>43354</v>
      </c>
      <c r="Q3043" s="7">
        <f>IF(G3043="C",NormalCallSprd(O3043,H3043,M3043,(P3043-A3043)/365), NormalPutSprd(O3043,H3043,M3043,(P3043-A3043)/365))</f>
        <v>0.54172677758527232</v>
      </c>
      <c r="R3043" s="9">
        <f t="shared" si="120"/>
        <v>1.1726777585272297E-2</v>
      </c>
    </row>
    <row r="3044" spans="1:18" x14ac:dyDescent="0.2">
      <c r="A3044" s="2">
        <v>42622</v>
      </c>
      <c r="B3044" s="1" t="s">
        <v>56</v>
      </c>
      <c r="C3044" s="1" t="s">
        <v>57</v>
      </c>
      <c r="D3044" s="2">
        <v>43109</v>
      </c>
      <c r="E3044" s="2">
        <f t="shared" si="119"/>
        <v>43344</v>
      </c>
      <c r="F3044" s="1" t="s">
        <v>58</v>
      </c>
      <c r="G3044" s="1" t="s">
        <v>16</v>
      </c>
      <c r="H3044" s="1">
        <v>-5.5</v>
      </c>
      <c r="I3044" s="1">
        <v>4.53</v>
      </c>
      <c r="J3044" s="1">
        <v>-0.01</v>
      </c>
      <c r="K3044" s="2">
        <v>43413</v>
      </c>
      <c r="L3044" s="1">
        <v>3716</v>
      </c>
      <c r="M3044" s="1">
        <v>3.51</v>
      </c>
      <c r="N3044" s="1">
        <v>0.50707999999999998</v>
      </c>
      <c r="O3044" s="3">
        <f>VLOOKUP(D3044,underlying!$D$40:$H$75,5,FALSE)</f>
        <v>-1.5</v>
      </c>
      <c r="P3044" s="4">
        <f t="shared" si="118"/>
        <v>43354</v>
      </c>
      <c r="Q3044" s="7">
        <f>IF(G3044="C",NormalCallSprd(O3044,H3044,M3044,(P3044-A3044)/365), NormalPutSprd(O3044,H3044,M3044,(P3044-A3044)/365))</f>
        <v>4.5925598110778125</v>
      </c>
      <c r="R3044" s="9">
        <f t="shared" si="120"/>
        <v>6.2559811077812277E-2</v>
      </c>
    </row>
    <row r="3045" spans="1:18" x14ac:dyDescent="0.2">
      <c r="A3045" s="2">
        <v>42622</v>
      </c>
      <c r="B3045" s="1" t="s">
        <v>56</v>
      </c>
      <c r="C3045" s="1" t="s">
        <v>57</v>
      </c>
      <c r="D3045" s="2">
        <v>43109</v>
      </c>
      <c r="E3045" s="2">
        <f t="shared" si="119"/>
        <v>43344</v>
      </c>
      <c r="F3045" s="1" t="s">
        <v>58</v>
      </c>
      <c r="G3045" s="1" t="s">
        <v>18</v>
      </c>
      <c r="H3045" s="1">
        <v>-5.5</v>
      </c>
      <c r="I3045" s="1">
        <v>0.57999999999999996</v>
      </c>
      <c r="J3045" s="1">
        <v>-0.01</v>
      </c>
      <c r="K3045" s="2">
        <v>43413</v>
      </c>
      <c r="L3045" s="1">
        <v>3716</v>
      </c>
      <c r="M3045" s="1">
        <v>3.51</v>
      </c>
      <c r="N3045" s="1">
        <v>0.52393000000000001</v>
      </c>
      <c r="O3045" s="3">
        <f>VLOOKUP(D3045,underlying!$D$40:$H$75,5,FALSE)</f>
        <v>-1.5</v>
      </c>
      <c r="P3045" s="4">
        <f t="shared" si="118"/>
        <v>43354</v>
      </c>
      <c r="Q3045" s="7">
        <f>IF(G3045="C",NormalCallSprd(O3045,H3045,M3045,(P3045-A3045)/365), NormalPutSprd(O3045,H3045,M3045,(P3045-A3045)/365))</f>
        <v>0.59255981107781264</v>
      </c>
      <c r="R3045" s="9">
        <f t="shared" si="120"/>
        <v>1.2559811077812677E-2</v>
      </c>
    </row>
    <row r="3046" spans="1:18" x14ac:dyDescent="0.2">
      <c r="A3046" s="2">
        <v>42622</v>
      </c>
      <c r="B3046" s="1" t="s">
        <v>56</v>
      </c>
      <c r="C3046" s="1" t="s">
        <v>57</v>
      </c>
      <c r="D3046" s="2">
        <v>43109</v>
      </c>
      <c r="E3046" s="2">
        <f t="shared" si="119"/>
        <v>43344</v>
      </c>
      <c r="F3046" s="1" t="s">
        <v>58</v>
      </c>
      <c r="G3046" s="1" t="s">
        <v>16</v>
      </c>
      <c r="H3046" s="1">
        <v>-5.25</v>
      </c>
      <c r="I3046" s="1">
        <v>4.34</v>
      </c>
      <c r="J3046" s="1">
        <v>0</v>
      </c>
      <c r="K3046" s="2">
        <v>43413</v>
      </c>
      <c r="L3046" s="1">
        <v>3716</v>
      </c>
      <c r="M3046" s="1">
        <v>3.51</v>
      </c>
      <c r="N3046" s="1">
        <v>0.54066999999999998</v>
      </c>
      <c r="O3046" s="3">
        <f>VLOOKUP(D3046,underlying!$D$40:$H$75,5,FALSE)</f>
        <v>-1.5</v>
      </c>
      <c r="P3046" s="4">
        <f t="shared" si="118"/>
        <v>43354</v>
      </c>
      <c r="Q3046" s="7">
        <f>IF(G3046="C",NormalCallSprd(O3046,H3046,M3046,(P3046-A3046)/365), NormalPutSprd(O3046,H3046,M3046,(P3046-A3046)/365))</f>
        <v>4.3970213124885538</v>
      </c>
      <c r="R3046" s="9">
        <f t="shared" si="120"/>
        <v>5.702131248855391E-2</v>
      </c>
    </row>
    <row r="3047" spans="1:18" x14ac:dyDescent="0.2">
      <c r="A3047" s="2">
        <v>42622</v>
      </c>
      <c r="B3047" s="1" t="s">
        <v>56</v>
      </c>
      <c r="C3047" s="1" t="s">
        <v>57</v>
      </c>
      <c r="D3047" s="2">
        <v>43109</v>
      </c>
      <c r="E3047" s="2">
        <f t="shared" si="119"/>
        <v>43344</v>
      </c>
      <c r="F3047" s="1" t="s">
        <v>58</v>
      </c>
      <c r="G3047" s="1" t="s">
        <v>18</v>
      </c>
      <c r="H3047" s="1">
        <v>-5.25</v>
      </c>
      <c r="I3047" s="1">
        <v>0.64</v>
      </c>
      <c r="J3047" s="1">
        <v>0</v>
      </c>
      <c r="K3047" s="2">
        <v>43413</v>
      </c>
      <c r="L3047" s="1">
        <v>3716</v>
      </c>
      <c r="M3047" s="1">
        <v>3.51</v>
      </c>
      <c r="N3047" s="1">
        <v>0.55750999999999995</v>
      </c>
      <c r="O3047" s="3">
        <f>VLOOKUP(D3047,underlying!$D$40:$H$75,5,FALSE)</f>
        <v>-1.5</v>
      </c>
      <c r="P3047" s="4">
        <f t="shared" si="118"/>
        <v>43354</v>
      </c>
      <c r="Q3047" s="7">
        <f>IF(G3047="C",NormalCallSprd(O3047,H3047,M3047,(P3047-A3047)/365), NormalPutSprd(O3047,H3047,M3047,(P3047-A3047)/365))</f>
        <v>0.64702131248855388</v>
      </c>
      <c r="R3047" s="9">
        <f t="shared" si="120"/>
        <v>7.0213124885538658E-3</v>
      </c>
    </row>
    <row r="3048" spans="1:18" x14ac:dyDescent="0.2">
      <c r="A3048" s="2">
        <v>42622</v>
      </c>
      <c r="B3048" s="1" t="s">
        <v>56</v>
      </c>
      <c r="C3048" s="1" t="s">
        <v>57</v>
      </c>
      <c r="D3048" s="2">
        <v>43109</v>
      </c>
      <c r="E3048" s="2">
        <f t="shared" si="119"/>
        <v>43344</v>
      </c>
      <c r="F3048" s="1" t="s">
        <v>58</v>
      </c>
      <c r="G3048" s="1" t="s">
        <v>16</v>
      </c>
      <c r="H3048" s="1">
        <v>-5</v>
      </c>
      <c r="I3048" s="1">
        <v>4.1500000000000004</v>
      </c>
      <c r="J3048" s="1">
        <v>0</v>
      </c>
      <c r="K3048" s="2">
        <v>43413</v>
      </c>
      <c r="L3048" s="1">
        <v>3716</v>
      </c>
      <c r="M3048" s="1">
        <v>3.51</v>
      </c>
      <c r="N3048" s="1">
        <v>0.57360999999999995</v>
      </c>
      <c r="O3048" s="3">
        <f>VLOOKUP(D3048,underlying!$D$40:$H$75,5,FALSE)</f>
        <v>-1.5</v>
      </c>
      <c r="P3048" s="4">
        <f t="shared" si="118"/>
        <v>43354</v>
      </c>
      <c r="Q3048" s="7">
        <f>IF(G3048="C",NormalCallSprd(O3048,H3048,M3048,(P3048-A3048)/365), NormalPutSprd(O3048,H3048,M3048,(P3048-A3048)/365))</f>
        <v>4.20525631176237</v>
      </c>
      <c r="R3048" s="9">
        <f t="shared" si="120"/>
        <v>5.525631176236967E-2</v>
      </c>
    </row>
    <row r="3049" spans="1:18" x14ac:dyDescent="0.2">
      <c r="A3049" s="2">
        <v>42622</v>
      </c>
      <c r="B3049" s="1" t="s">
        <v>56</v>
      </c>
      <c r="C3049" s="1" t="s">
        <v>57</v>
      </c>
      <c r="D3049" s="2">
        <v>43109</v>
      </c>
      <c r="E3049" s="2">
        <f t="shared" si="119"/>
        <v>43344</v>
      </c>
      <c r="F3049" s="1" t="s">
        <v>58</v>
      </c>
      <c r="G3049" s="1" t="s">
        <v>18</v>
      </c>
      <c r="H3049" s="1">
        <v>-5</v>
      </c>
      <c r="I3049" s="1">
        <v>0.7</v>
      </c>
      <c r="J3049" s="1">
        <v>0</v>
      </c>
      <c r="K3049" s="2">
        <v>43413</v>
      </c>
      <c r="L3049" s="1">
        <v>3716</v>
      </c>
      <c r="M3049" s="1">
        <v>3.51</v>
      </c>
      <c r="N3049" s="1">
        <v>0.59050000000000002</v>
      </c>
      <c r="O3049" s="3">
        <f>VLOOKUP(D3049,underlying!$D$40:$H$75,5,FALSE)</f>
        <v>-1.5</v>
      </c>
      <c r="P3049" s="4">
        <f t="shared" si="118"/>
        <v>43354</v>
      </c>
      <c r="Q3049" s="7">
        <f>IF(G3049="C",NormalCallSprd(O3049,H3049,M3049,(P3049-A3049)/365), NormalPutSprd(O3049,H3049,M3049,(P3049-A3049)/365))</f>
        <v>0.70525631176236958</v>
      </c>
      <c r="R3049" s="9">
        <f t="shared" si="120"/>
        <v>5.2563117623696254E-3</v>
      </c>
    </row>
    <row r="3050" spans="1:18" x14ac:dyDescent="0.2">
      <c r="A3050" s="2">
        <v>42622</v>
      </c>
      <c r="B3050" s="1" t="s">
        <v>56</v>
      </c>
      <c r="C3050" s="1" t="s">
        <v>57</v>
      </c>
      <c r="D3050" s="2">
        <v>43109</v>
      </c>
      <c r="E3050" s="2">
        <f t="shared" si="119"/>
        <v>43344</v>
      </c>
      <c r="F3050" s="1" t="s">
        <v>58</v>
      </c>
      <c r="G3050" s="1" t="s">
        <v>16</v>
      </c>
      <c r="H3050" s="1">
        <v>-4.75</v>
      </c>
      <c r="I3050" s="1">
        <v>3.96</v>
      </c>
      <c r="J3050" s="1">
        <v>-0.01</v>
      </c>
      <c r="K3050" s="2">
        <v>43413</v>
      </c>
      <c r="L3050" s="1">
        <v>3716</v>
      </c>
      <c r="M3050" s="1">
        <v>3.51</v>
      </c>
      <c r="N3050" s="1">
        <v>0.60609000000000002</v>
      </c>
      <c r="O3050" s="3">
        <f>VLOOKUP(D3050,underlying!$D$40:$H$75,5,FALSE)</f>
        <v>-1.5</v>
      </c>
      <c r="P3050" s="4">
        <f t="shared" si="118"/>
        <v>43354</v>
      </c>
      <c r="Q3050" s="7">
        <f>IF(G3050="C",NormalCallSprd(O3050,H3050,M3050,(P3050-A3050)/365), NormalPutSprd(O3050,H3050,M3050,(P3050-A3050)/365))</f>
        <v>4.0174057255384312</v>
      </c>
      <c r="R3050" s="9">
        <f t="shared" si="120"/>
        <v>5.7405725538431263E-2</v>
      </c>
    </row>
    <row r="3051" spans="1:18" x14ac:dyDescent="0.2">
      <c r="A3051" s="2">
        <v>42622</v>
      </c>
      <c r="B3051" s="1" t="s">
        <v>56</v>
      </c>
      <c r="C3051" s="1" t="s">
        <v>57</v>
      </c>
      <c r="D3051" s="2">
        <v>43109</v>
      </c>
      <c r="E3051" s="2">
        <f t="shared" si="119"/>
        <v>43344</v>
      </c>
      <c r="F3051" s="1" t="s">
        <v>58</v>
      </c>
      <c r="G3051" s="1" t="s">
        <v>18</v>
      </c>
      <c r="H3051" s="1">
        <v>-4.75</v>
      </c>
      <c r="I3051" s="1">
        <v>0.76</v>
      </c>
      <c r="J3051" s="1">
        <v>0</v>
      </c>
      <c r="K3051" s="2">
        <v>43413</v>
      </c>
      <c r="L3051" s="1">
        <v>3716</v>
      </c>
      <c r="M3051" s="1">
        <v>3.51</v>
      </c>
      <c r="N3051" s="1">
        <v>0.62275999999999998</v>
      </c>
      <c r="O3051" s="3">
        <f>VLOOKUP(D3051,underlying!$D$40:$H$75,5,FALSE)</f>
        <v>-1.5</v>
      </c>
      <c r="P3051" s="4">
        <f t="shared" si="118"/>
        <v>43354</v>
      </c>
      <c r="Q3051" s="7">
        <f>IF(G3051="C",NormalCallSprd(O3051,H3051,M3051,(P3051-A3051)/365), NormalPutSprd(O3051,H3051,M3051,(P3051-A3051)/365))</f>
        <v>0.76740572553843101</v>
      </c>
      <c r="R3051" s="9">
        <f t="shared" si="120"/>
        <v>7.4057255384309961E-3</v>
      </c>
    </row>
    <row r="3052" spans="1:18" x14ac:dyDescent="0.2">
      <c r="A3052" s="2">
        <v>42622</v>
      </c>
      <c r="B3052" s="1" t="s">
        <v>56</v>
      </c>
      <c r="C3052" s="1" t="s">
        <v>57</v>
      </c>
      <c r="D3052" s="2">
        <v>43109</v>
      </c>
      <c r="E3052" s="2">
        <f t="shared" si="119"/>
        <v>43344</v>
      </c>
      <c r="F3052" s="1" t="s">
        <v>58</v>
      </c>
      <c r="G3052" s="1" t="s">
        <v>16</v>
      </c>
      <c r="H3052" s="1">
        <v>-4.5</v>
      </c>
      <c r="I3052" s="1">
        <v>3.78</v>
      </c>
      <c r="J3052" s="1">
        <v>-0.01</v>
      </c>
      <c r="K3052" s="2">
        <v>43413</v>
      </c>
      <c r="L3052" s="1">
        <v>3716</v>
      </c>
      <c r="M3052" s="1">
        <v>3.51</v>
      </c>
      <c r="N3052" s="1">
        <v>0.63814000000000004</v>
      </c>
      <c r="O3052" s="3">
        <f>VLOOKUP(D3052,underlying!$D$40:$H$75,5,FALSE)</f>
        <v>-1.5</v>
      </c>
      <c r="P3052" s="4">
        <f t="shared" si="118"/>
        <v>43354</v>
      </c>
      <c r="Q3052" s="7">
        <f>IF(G3052="C",NormalCallSprd(O3052,H3052,M3052,(P3052-A3052)/365), NormalPutSprd(O3052,H3052,M3052,(P3052-A3052)/365))</f>
        <v>3.8336054785369846</v>
      </c>
      <c r="R3052" s="9">
        <f t="shared" si="120"/>
        <v>5.360547853698483E-2</v>
      </c>
    </row>
    <row r="3053" spans="1:18" x14ac:dyDescent="0.2">
      <c r="A3053" s="2">
        <v>42622</v>
      </c>
      <c r="B3053" s="1" t="s">
        <v>56</v>
      </c>
      <c r="C3053" s="1" t="s">
        <v>57</v>
      </c>
      <c r="D3053" s="2">
        <v>43109</v>
      </c>
      <c r="E3053" s="2">
        <f t="shared" si="119"/>
        <v>43344</v>
      </c>
      <c r="F3053" s="1" t="s">
        <v>58</v>
      </c>
      <c r="G3053" s="1" t="s">
        <v>18</v>
      </c>
      <c r="H3053" s="1">
        <v>-4.5</v>
      </c>
      <c r="I3053" s="1">
        <v>0.82</v>
      </c>
      <c r="J3053" s="1">
        <v>0</v>
      </c>
      <c r="K3053" s="2">
        <v>43413</v>
      </c>
      <c r="L3053" s="1">
        <v>3716</v>
      </c>
      <c r="M3053" s="1">
        <v>3.51</v>
      </c>
      <c r="N3053" s="1">
        <v>0.65363000000000004</v>
      </c>
      <c r="O3053" s="3">
        <f>VLOOKUP(D3053,underlying!$D$40:$H$75,5,FALSE)</f>
        <v>-1.5</v>
      </c>
      <c r="P3053" s="4">
        <f t="shared" si="118"/>
        <v>43354</v>
      </c>
      <c r="Q3053" s="7">
        <f>IF(G3053="C",NormalCallSprd(O3053,H3053,M3053,(P3053-A3053)/365), NormalPutSprd(O3053,H3053,M3053,(P3053-A3053)/365))</f>
        <v>0.83360547853698463</v>
      </c>
      <c r="R3053" s="9">
        <f t="shared" si="120"/>
        <v>1.3605478536984683E-2</v>
      </c>
    </row>
    <row r="3054" spans="1:18" x14ac:dyDescent="0.2">
      <c r="A3054" s="2">
        <v>42622</v>
      </c>
      <c r="B3054" s="1" t="s">
        <v>56</v>
      </c>
      <c r="C3054" s="1" t="s">
        <v>57</v>
      </c>
      <c r="D3054" s="2">
        <v>43109</v>
      </c>
      <c r="E3054" s="2">
        <f t="shared" si="119"/>
        <v>43344</v>
      </c>
      <c r="F3054" s="1" t="s">
        <v>58</v>
      </c>
      <c r="G3054" s="1" t="s">
        <v>16</v>
      </c>
      <c r="H3054" s="1">
        <v>-4.25</v>
      </c>
      <c r="I3054" s="1">
        <v>3.61</v>
      </c>
      <c r="J3054" s="1">
        <v>0</v>
      </c>
      <c r="K3054" s="2">
        <v>43413</v>
      </c>
      <c r="L3054" s="1">
        <v>3716</v>
      </c>
      <c r="M3054" s="1">
        <v>3.51</v>
      </c>
      <c r="N3054" s="1">
        <v>0.66835999999999995</v>
      </c>
      <c r="O3054" s="3">
        <f>VLOOKUP(D3054,underlying!$D$40:$H$75,5,FALSE)</f>
        <v>-1.5</v>
      </c>
      <c r="P3054" s="4">
        <f t="shared" si="118"/>
        <v>43354</v>
      </c>
      <c r="Q3054" s="7">
        <f>IF(G3054="C",NormalCallSprd(O3054,H3054,M3054,(P3054-A3054)/365), NormalPutSprd(O3054,H3054,M3054,(P3054-A3054)/365))</f>
        <v>3.6539856317946242</v>
      </c>
      <c r="R3054" s="9">
        <f t="shared" si="120"/>
        <v>4.3985631794624336E-2</v>
      </c>
    </row>
    <row r="3055" spans="1:18" x14ac:dyDescent="0.2">
      <c r="A3055" s="2">
        <v>42622</v>
      </c>
      <c r="B3055" s="1" t="s">
        <v>56</v>
      </c>
      <c r="C3055" s="1" t="s">
        <v>57</v>
      </c>
      <c r="D3055" s="2">
        <v>43109</v>
      </c>
      <c r="E3055" s="2">
        <f t="shared" si="119"/>
        <v>43344</v>
      </c>
      <c r="F3055" s="1" t="s">
        <v>58</v>
      </c>
      <c r="G3055" s="1" t="s">
        <v>18</v>
      </c>
      <c r="H3055" s="1">
        <v>-4.25</v>
      </c>
      <c r="I3055" s="1">
        <v>0.89</v>
      </c>
      <c r="J3055" s="1">
        <v>0</v>
      </c>
      <c r="K3055" s="2">
        <v>43413</v>
      </c>
      <c r="L3055" s="1">
        <v>3716</v>
      </c>
      <c r="M3055" s="1">
        <v>3.51</v>
      </c>
      <c r="N3055" s="1">
        <v>0.68323</v>
      </c>
      <c r="O3055" s="3">
        <f>VLOOKUP(D3055,underlying!$D$40:$H$75,5,FALSE)</f>
        <v>-1.5</v>
      </c>
      <c r="P3055" s="4">
        <f t="shared" si="118"/>
        <v>43354</v>
      </c>
      <c r="Q3055" s="7">
        <f>IF(G3055="C",NormalCallSprd(O3055,H3055,M3055,(P3055-A3055)/365), NormalPutSprd(O3055,H3055,M3055,(P3055-A3055)/365))</f>
        <v>0.90398563179462388</v>
      </c>
      <c r="R3055" s="9">
        <f t="shared" si="120"/>
        <v>1.3985631794623865E-2</v>
      </c>
    </row>
    <row r="3056" spans="1:18" x14ac:dyDescent="0.2">
      <c r="A3056" s="2">
        <v>42622</v>
      </c>
      <c r="B3056" s="1" t="s">
        <v>56</v>
      </c>
      <c r="C3056" s="1" t="s">
        <v>57</v>
      </c>
      <c r="D3056" s="2">
        <v>43109</v>
      </c>
      <c r="E3056" s="2">
        <f t="shared" si="119"/>
        <v>43344</v>
      </c>
      <c r="F3056" s="1" t="s">
        <v>58</v>
      </c>
      <c r="G3056" s="1" t="s">
        <v>16</v>
      </c>
      <c r="H3056" s="1">
        <v>-4</v>
      </c>
      <c r="I3056" s="1">
        <v>3.43</v>
      </c>
      <c r="J3056" s="1">
        <v>-0.01</v>
      </c>
      <c r="K3056" s="2">
        <v>43413</v>
      </c>
      <c r="L3056" s="1">
        <v>3716</v>
      </c>
      <c r="M3056" s="1">
        <v>3.51</v>
      </c>
      <c r="N3056" s="1">
        <v>0.71196000000000004</v>
      </c>
      <c r="O3056" s="3">
        <f>VLOOKUP(D3056,underlying!$D$40:$H$75,5,FALSE)</f>
        <v>-1.5</v>
      </c>
      <c r="P3056" s="4">
        <f t="shared" si="118"/>
        <v>43354</v>
      </c>
      <c r="Q3056" s="7">
        <f>IF(G3056="C",NormalCallSprd(O3056,H3056,M3056,(P3056-A3056)/365), NormalPutSprd(O3056,H3056,M3056,(P3056-A3056)/365))</f>
        <v>3.4786695269378018</v>
      </c>
      <c r="R3056" s="9">
        <f t="shared" si="120"/>
        <v>4.8669526937801688E-2</v>
      </c>
    </row>
    <row r="3057" spans="1:18" x14ac:dyDescent="0.2">
      <c r="A3057" s="2">
        <v>42622</v>
      </c>
      <c r="B3057" s="1" t="s">
        <v>56</v>
      </c>
      <c r="C3057" s="1" t="s">
        <v>57</v>
      </c>
      <c r="D3057" s="2">
        <v>43109</v>
      </c>
      <c r="E3057" s="2">
        <f t="shared" si="119"/>
        <v>43344</v>
      </c>
      <c r="F3057" s="1" t="s">
        <v>58</v>
      </c>
      <c r="G3057" s="1" t="s">
        <v>18</v>
      </c>
      <c r="H3057" s="1">
        <v>-4</v>
      </c>
      <c r="I3057" s="1">
        <v>0.97</v>
      </c>
      <c r="J3057" s="1">
        <v>0</v>
      </c>
      <c r="K3057" s="2">
        <v>43413</v>
      </c>
      <c r="L3057" s="1">
        <v>3716</v>
      </c>
      <c r="M3057" s="1">
        <v>3.51</v>
      </c>
      <c r="N3057" s="1">
        <v>0.76497999999999999</v>
      </c>
      <c r="O3057" s="3">
        <f>VLOOKUP(D3057,underlying!$D$40:$H$75,5,FALSE)</f>
        <v>-1.5</v>
      </c>
      <c r="P3057" s="4">
        <f t="shared" si="118"/>
        <v>43354</v>
      </c>
      <c r="Q3057" s="7">
        <f>IF(G3057="C",NormalCallSprd(O3057,H3057,M3057,(P3057-A3057)/365), NormalPutSprd(O3057,H3057,M3057,(P3057-A3057)/365))</f>
        <v>0.97866952693780174</v>
      </c>
      <c r="R3057" s="9">
        <f t="shared" si="120"/>
        <v>8.6695269378017636E-3</v>
      </c>
    </row>
    <row r="3058" spans="1:18" x14ac:dyDescent="0.2">
      <c r="A3058" s="2">
        <v>42622</v>
      </c>
      <c r="B3058" s="1" t="s">
        <v>56</v>
      </c>
      <c r="C3058" s="1" t="s">
        <v>57</v>
      </c>
      <c r="D3058" s="2">
        <v>43109</v>
      </c>
      <c r="E3058" s="2">
        <f t="shared" si="119"/>
        <v>43344</v>
      </c>
      <c r="F3058" s="1" t="s">
        <v>58</v>
      </c>
      <c r="G3058" s="1" t="s">
        <v>16</v>
      </c>
      <c r="H3058" s="1">
        <v>-3.75</v>
      </c>
      <c r="I3058" s="1">
        <v>3.26</v>
      </c>
      <c r="J3058" s="1">
        <v>-0.01</v>
      </c>
      <c r="K3058" s="2">
        <v>43413</v>
      </c>
      <c r="L3058" s="1">
        <v>3716</v>
      </c>
      <c r="M3058" s="1">
        <v>3.51</v>
      </c>
      <c r="N3058" s="1">
        <v>0.81211</v>
      </c>
      <c r="O3058" s="3">
        <f>VLOOKUP(D3058,underlying!$D$40:$H$75,5,FALSE)</f>
        <v>-1.5</v>
      </c>
      <c r="P3058" s="4">
        <f t="shared" si="118"/>
        <v>43354</v>
      </c>
      <c r="Q3058" s="7">
        <f>IF(G3058="C",NormalCallSprd(O3058,H3058,M3058,(P3058-A3058)/365), NormalPutSprd(O3058,H3058,M3058,(P3058-A3058)/365))</f>
        <v>3.3077729557854725</v>
      </c>
      <c r="R3058" s="9">
        <f t="shared" si="120"/>
        <v>4.7772955785472693E-2</v>
      </c>
    </row>
    <row r="3059" spans="1:18" x14ac:dyDescent="0.2">
      <c r="A3059" s="2">
        <v>42622</v>
      </c>
      <c r="B3059" s="1" t="s">
        <v>56</v>
      </c>
      <c r="C3059" s="1" t="s">
        <v>57</v>
      </c>
      <c r="D3059" s="2">
        <v>43109</v>
      </c>
      <c r="E3059" s="2">
        <f t="shared" si="119"/>
        <v>43344</v>
      </c>
      <c r="F3059" s="1" t="s">
        <v>58</v>
      </c>
      <c r="G3059" s="1" t="s">
        <v>18</v>
      </c>
      <c r="H3059" s="1">
        <v>-3.75</v>
      </c>
      <c r="I3059" s="1">
        <v>1.04</v>
      </c>
      <c r="J3059" s="1">
        <v>-0.01</v>
      </c>
      <c r="K3059" s="2">
        <v>43413</v>
      </c>
      <c r="L3059" s="1">
        <v>3716</v>
      </c>
      <c r="M3059" s="1">
        <v>3.51</v>
      </c>
      <c r="N3059" s="1">
        <v>-0.57384999999999997</v>
      </c>
      <c r="O3059" s="3">
        <f>VLOOKUP(D3059,underlying!$D$40:$H$75,5,FALSE)</f>
        <v>-1.5</v>
      </c>
      <c r="P3059" s="4">
        <f t="shared" si="118"/>
        <v>43354</v>
      </c>
      <c r="Q3059" s="7">
        <f>IF(G3059="C",NormalCallSprd(O3059,H3059,M3059,(P3059-A3059)/365), NormalPutSprd(O3059,H3059,M3059,(P3059-A3059)/365))</f>
        <v>1.0577729557854727</v>
      </c>
      <c r="R3059" s="9">
        <f t="shared" si="120"/>
        <v>1.7772955785472666E-2</v>
      </c>
    </row>
    <row r="3060" spans="1:18" x14ac:dyDescent="0.2">
      <c r="A3060" s="2">
        <v>42622</v>
      </c>
      <c r="B3060" s="1" t="s">
        <v>56</v>
      </c>
      <c r="C3060" s="1" t="s">
        <v>57</v>
      </c>
      <c r="D3060" s="2">
        <v>43109</v>
      </c>
      <c r="E3060" s="2">
        <f t="shared" si="119"/>
        <v>43344</v>
      </c>
      <c r="F3060" s="1" t="s">
        <v>58</v>
      </c>
      <c r="G3060" s="1" t="s">
        <v>16</v>
      </c>
      <c r="H3060" s="1">
        <v>-3.5</v>
      </c>
      <c r="I3060" s="1">
        <v>3.09</v>
      </c>
      <c r="J3060" s="1">
        <v>0</v>
      </c>
      <c r="K3060" s="2">
        <v>43413</v>
      </c>
      <c r="L3060" s="1">
        <v>3716</v>
      </c>
      <c r="M3060" s="1">
        <v>3.49</v>
      </c>
      <c r="N3060" s="1">
        <v>-0.55750999999999995</v>
      </c>
      <c r="O3060" s="3">
        <f>VLOOKUP(D3060,underlying!$D$40:$H$75,5,FALSE)</f>
        <v>-1.5</v>
      </c>
      <c r="P3060" s="4">
        <f t="shared" si="118"/>
        <v>43354</v>
      </c>
      <c r="Q3060" s="7">
        <f>IF(G3060="C",NormalCallSprd(O3060,H3060,M3060,(P3060-A3060)/365), NormalPutSprd(O3060,H3060,M3060,(P3060-A3060)/365))</f>
        <v>3.1309875520868395</v>
      </c>
      <c r="R3060" s="9">
        <f t="shared" si="120"/>
        <v>4.0987552086839685E-2</v>
      </c>
    </row>
    <row r="3061" spans="1:18" x14ac:dyDescent="0.2">
      <c r="A3061" s="2">
        <v>42622</v>
      </c>
      <c r="B3061" s="1" t="s">
        <v>56</v>
      </c>
      <c r="C3061" s="1" t="s">
        <v>57</v>
      </c>
      <c r="D3061" s="2">
        <v>43109</v>
      </c>
      <c r="E3061" s="2">
        <f t="shared" si="119"/>
        <v>43344</v>
      </c>
      <c r="F3061" s="1" t="s">
        <v>58</v>
      </c>
      <c r="G3061" s="1" t="s">
        <v>18</v>
      </c>
      <c r="H3061" s="1">
        <v>-3.5</v>
      </c>
      <c r="I3061" s="1">
        <v>1.1200000000000001</v>
      </c>
      <c r="J3061" s="1">
        <v>0</v>
      </c>
      <c r="K3061" s="2">
        <v>43413</v>
      </c>
      <c r="L3061" s="1">
        <v>3716</v>
      </c>
      <c r="M3061" s="1">
        <v>3.49</v>
      </c>
      <c r="N3061" s="1">
        <v>-0.54066999999999998</v>
      </c>
      <c r="O3061" s="3">
        <f>VLOOKUP(D3061,underlying!$D$40:$H$75,5,FALSE)</f>
        <v>-1.5</v>
      </c>
      <c r="P3061" s="4">
        <f t="shared" si="118"/>
        <v>43354</v>
      </c>
      <c r="Q3061" s="7">
        <f>IF(G3061="C",NormalCallSprd(O3061,H3061,M3061,(P3061-A3061)/365), NormalPutSprd(O3061,H3061,M3061,(P3061-A3061)/365))</f>
        <v>1.1309875520868395</v>
      </c>
      <c r="R3061" s="9">
        <f t="shared" si="120"/>
        <v>1.0987552086839436E-2</v>
      </c>
    </row>
    <row r="3062" spans="1:18" x14ac:dyDescent="0.2">
      <c r="A3062" s="2">
        <v>42622</v>
      </c>
      <c r="B3062" s="1" t="s">
        <v>56</v>
      </c>
      <c r="C3062" s="1" t="s">
        <v>57</v>
      </c>
      <c r="D3062" s="2">
        <v>43109</v>
      </c>
      <c r="E3062" s="2">
        <f t="shared" si="119"/>
        <v>43344</v>
      </c>
      <c r="F3062" s="1" t="s">
        <v>58</v>
      </c>
      <c r="G3062" s="1" t="s">
        <v>16</v>
      </c>
      <c r="H3062" s="1">
        <v>-3.25</v>
      </c>
      <c r="I3062" s="1">
        <v>2.94</v>
      </c>
      <c r="J3062" s="1">
        <v>0</v>
      </c>
      <c r="K3062" s="2">
        <v>43413</v>
      </c>
      <c r="L3062" s="1">
        <v>3716</v>
      </c>
      <c r="M3062" s="1">
        <v>3.51</v>
      </c>
      <c r="N3062" s="1">
        <v>-0.52393000000000001</v>
      </c>
      <c r="O3062" s="3">
        <f>VLOOKUP(D3062,underlying!$D$40:$H$75,5,FALSE)</f>
        <v>-1.5</v>
      </c>
      <c r="P3062" s="4">
        <f t="shared" si="118"/>
        <v>43354</v>
      </c>
      <c r="Q3062" s="7">
        <f>IF(G3062="C",NormalCallSprd(O3062,H3062,M3062,(P3062-A3062)/365), NormalPutSprd(O3062,H3062,M3062,(P3062-A3062)/365))</f>
        <v>2.9796591015899798</v>
      </c>
      <c r="R3062" s="9">
        <f t="shared" si="120"/>
        <v>3.9659101589979873E-2</v>
      </c>
    </row>
    <row r="3063" spans="1:18" x14ac:dyDescent="0.2">
      <c r="A3063" s="2">
        <v>42622</v>
      </c>
      <c r="B3063" s="1" t="s">
        <v>56</v>
      </c>
      <c r="C3063" s="1" t="s">
        <v>57</v>
      </c>
      <c r="D3063" s="2">
        <v>43109</v>
      </c>
      <c r="E3063" s="2">
        <f t="shared" si="119"/>
        <v>43344</v>
      </c>
      <c r="F3063" s="1" t="s">
        <v>58</v>
      </c>
      <c r="G3063" s="1" t="s">
        <v>18</v>
      </c>
      <c r="H3063" s="1">
        <v>-3.25</v>
      </c>
      <c r="I3063" s="1">
        <v>1.21</v>
      </c>
      <c r="J3063" s="1">
        <v>-0.01</v>
      </c>
      <c r="K3063" s="2">
        <v>43413</v>
      </c>
      <c r="L3063" s="1">
        <v>3716</v>
      </c>
      <c r="M3063" s="1">
        <v>3.51</v>
      </c>
      <c r="N3063" s="1">
        <v>-0.50707999999999998</v>
      </c>
      <c r="O3063" s="3">
        <f>VLOOKUP(D3063,underlying!$D$40:$H$75,5,FALSE)</f>
        <v>-1.5</v>
      </c>
      <c r="P3063" s="4">
        <f t="shared" si="118"/>
        <v>43354</v>
      </c>
      <c r="Q3063" s="7">
        <f>IF(G3063="C",NormalCallSprd(O3063,H3063,M3063,(P3063-A3063)/365), NormalPutSprd(O3063,H3063,M3063,(P3063-A3063)/365))</f>
        <v>1.2296591015899796</v>
      </c>
      <c r="R3063" s="9">
        <f t="shared" si="120"/>
        <v>1.9659101589979633E-2</v>
      </c>
    </row>
    <row r="3064" spans="1:18" x14ac:dyDescent="0.2">
      <c r="A3064" s="2">
        <v>42622</v>
      </c>
      <c r="B3064" s="1" t="s">
        <v>56</v>
      </c>
      <c r="C3064" s="1" t="s">
        <v>57</v>
      </c>
      <c r="D3064" s="2">
        <v>43109</v>
      </c>
      <c r="E3064" s="2">
        <f t="shared" si="119"/>
        <v>43344</v>
      </c>
      <c r="F3064" s="1" t="s">
        <v>58</v>
      </c>
      <c r="G3064" s="1" t="s">
        <v>16</v>
      </c>
      <c r="H3064" s="1">
        <v>-3</v>
      </c>
      <c r="I3064" s="1">
        <v>2.77</v>
      </c>
      <c r="J3064" s="1">
        <v>-0.01</v>
      </c>
      <c r="K3064" s="2">
        <v>43413</v>
      </c>
      <c r="L3064" s="1">
        <v>3716</v>
      </c>
      <c r="M3064" s="1">
        <v>3.49</v>
      </c>
      <c r="N3064" s="1">
        <v>-0.49029</v>
      </c>
      <c r="O3064" s="3">
        <f>VLOOKUP(D3064,underlying!$D$40:$H$75,5,FALSE)</f>
        <v>-1.5</v>
      </c>
      <c r="P3064" s="4">
        <f t="shared" si="118"/>
        <v>43354</v>
      </c>
      <c r="Q3064" s="7">
        <f>IF(G3064="C",NormalCallSprd(O3064,H3064,M3064,(P3064-A3064)/365), NormalPutSprd(O3064,H3064,M3064,(P3064-A3064)/365))</f>
        <v>2.8118352399414221</v>
      </c>
      <c r="R3064" s="9">
        <f t="shared" si="120"/>
        <v>4.1835239941422131E-2</v>
      </c>
    </row>
    <row r="3065" spans="1:18" x14ac:dyDescent="0.2">
      <c r="A3065" s="2">
        <v>42622</v>
      </c>
      <c r="B3065" s="1" t="s">
        <v>56</v>
      </c>
      <c r="C3065" s="1" t="s">
        <v>57</v>
      </c>
      <c r="D3065" s="2">
        <v>43109</v>
      </c>
      <c r="E3065" s="2">
        <f t="shared" si="119"/>
        <v>43344</v>
      </c>
      <c r="F3065" s="1" t="s">
        <v>58</v>
      </c>
      <c r="G3065" s="1" t="s">
        <v>18</v>
      </c>
      <c r="H3065" s="1">
        <v>-3</v>
      </c>
      <c r="I3065" s="1">
        <v>1.29</v>
      </c>
      <c r="J3065" s="1">
        <v>-0.01</v>
      </c>
      <c r="K3065" s="2">
        <v>43413</v>
      </c>
      <c r="L3065" s="1">
        <v>3716</v>
      </c>
      <c r="M3065" s="1">
        <v>3.49</v>
      </c>
      <c r="N3065" s="1">
        <v>-0.47350999999999999</v>
      </c>
      <c r="O3065" s="3">
        <f>VLOOKUP(D3065,underlying!$D$40:$H$75,5,FALSE)</f>
        <v>-1.5</v>
      </c>
      <c r="P3065" s="4">
        <f t="shared" ref="P3065:P3128" si="121">DATE(YEAR(K3065),DAY(K3065),MONTH(K3065))</f>
        <v>43354</v>
      </c>
      <c r="Q3065" s="7">
        <f>IF(G3065="C",NormalCallSprd(O3065,H3065,M3065,(P3065-A3065)/365), NormalPutSprd(O3065,H3065,M3065,(P3065-A3065)/365))</f>
        <v>1.3118352399414221</v>
      </c>
      <c r="R3065" s="9">
        <f t="shared" si="120"/>
        <v>2.1835239941422113E-2</v>
      </c>
    </row>
    <row r="3066" spans="1:18" x14ac:dyDescent="0.2">
      <c r="A3066" s="2">
        <v>42622</v>
      </c>
      <c r="B3066" s="1" t="s">
        <v>56</v>
      </c>
      <c r="C3066" s="1" t="s">
        <v>57</v>
      </c>
      <c r="D3066" s="2">
        <v>43109</v>
      </c>
      <c r="E3066" s="2">
        <f t="shared" si="119"/>
        <v>43344</v>
      </c>
      <c r="F3066" s="1" t="s">
        <v>58</v>
      </c>
      <c r="G3066" s="1" t="s">
        <v>16</v>
      </c>
      <c r="H3066" s="1">
        <v>-2.75</v>
      </c>
      <c r="I3066" s="1">
        <v>2.64</v>
      </c>
      <c r="J3066" s="1">
        <v>0</v>
      </c>
      <c r="K3066" s="2">
        <v>43413</v>
      </c>
      <c r="L3066" s="1">
        <v>3716</v>
      </c>
      <c r="M3066" s="1">
        <v>3.51</v>
      </c>
      <c r="N3066" s="1">
        <v>-0.45666000000000001</v>
      </c>
      <c r="O3066" s="3">
        <f>VLOOKUP(D3066,underlying!$D$40:$H$75,5,FALSE)</f>
        <v>-1.5</v>
      </c>
      <c r="P3066" s="4">
        <f t="shared" si="121"/>
        <v>43354</v>
      </c>
      <c r="Q3066" s="7">
        <f>IF(G3066="C",NormalCallSprd(O3066,H3066,M3066,(P3066-A3066)/365), NormalPutSprd(O3066,H3066,M3066,(P3066-A3066)/365))</f>
        <v>2.6703903274108036</v>
      </c>
      <c r="R3066" s="9">
        <f t="shared" si="120"/>
        <v>3.0390327410803497E-2</v>
      </c>
    </row>
    <row r="3067" spans="1:18" x14ac:dyDescent="0.2">
      <c r="A3067" s="2">
        <v>42622</v>
      </c>
      <c r="B3067" s="1" t="s">
        <v>56</v>
      </c>
      <c r="C3067" s="1" t="s">
        <v>57</v>
      </c>
      <c r="D3067" s="2">
        <v>43109</v>
      </c>
      <c r="E3067" s="2">
        <f t="shared" si="119"/>
        <v>43344</v>
      </c>
      <c r="F3067" s="1" t="s">
        <v>58</v>
      </c>
      <c r="G3067" s="1" t="s">
        <v>18</v>
      </c>
      <c r="H3067" s="1">
        <v>-2.75</v>
      </c>
      <c r="I3067" s="1">
        <v>1.4</v>
      </c>
      <c r="J3067" s="1">
        <v>0</v>
      </c>
      <c r="K3067" s="2">
        <v>43413</v>
      </c>
      <c r="L3067" s="1">
        <v>3716</v>
      </c>
      <c r="M3067" s="1">
        <v>3.51</v>
      </c>
      <c r="N3067" s="1">
        <v>-0.43991999999999998</v>
      </c>
      <c r="O3067" s="3">
        <f>VLOOKUP(D3067,underlying!$D$40:$H$75,5,FALSE)</f>
        <v>-1.5</v>
      </c>
      <c r="P3067" s="4">
        <f t="shared" si="121"/>
        <v>43354</v>
      </c>
      <c r="Q3067" s="7">
        <f>IF(G3067="C",NormalCallSprd(O3067,H3067,M3067,(P3067-A3067)/365), NormalPutSprd(O3067,H3067,M3067,(P3067-A3067)/365))</f>
        <v>1.4203903274108036</v>
      </c>
      <c r="R3067" s="9">
        <f t="shared" si="120"/>
        <v>2.039032741080371E-2</v>
      </c>
    </row>
    <row r="3068" spans="1:18" x14ac:dyDescent="0.2">
      <c r="A3068" s="2">
        <v>42622</v>
      </c>
      <c r="B3068" s="1" t="s">
        <v>56</v>
      </c>
      <c r="C3068" s="1" t="s">
        <v>57</v>
      </c>
      <c r="D3068" s="2">
        <v>43109</v>
      </c>
      <c r="E3068" s="2">
        <f t="shared" si="119"/>
        <v>43344</v>
      </c>
      <c r="F3068" s="1" t="s">
        <v>58</v>
      </c>
      <c r="G3068" s="1" t="s">
        <v>16</v>
      </c>
      <c r="H3068" s="1">
        <v>-2.5</v>
      </c>
      <c r="I3068" s="1">
        <v>2.48</v>
      </c>
      <c r="J3068" s="1">
        <v>0</v>
      </c>
      <c r="K3068" s="2">
        <v>43413</v>
      </c>
      <c r="L3068" s="1">
        <v>3716</v>
      </c>
      <c r="M3068" s="1">
        <v>3.49</v>
      </c>
      <c r="N3068" s="1">
        <v>-0.42308000000000001</v>
      </c>
      <c r="O3068" s="3">
        <f>VLOOKUP(D3068,underlying!$D$40:$H$75,5,FALSE)</f>
        <v>-1.5</v>
      </c>
      <c r="P3068" s="4">
        <f t="shared" si="121"/>
        <v>43354</v>
      </c>
      <c r="Q3068" s="7">
        <f>IF(G3068="C",NormalCallSprd(O3068,H3068,M3068,(P3068-A3068)/365), NormalPutSprd(O3068,H3068,M3068,(P3068-A3068)/365))</f>
        <v>2.5119394429464474</v>
      </c>
      <c r="R3068" s="9">
        <f t="shared" si="120"/>
        <v>3.1939442946447461E-2</v>
      </c>
    </row>
    <row r="3069" spans="1:18" x14ac:dyDescent="0.2">
      <c r="A3069" s="2">
        <v>42622</v>
      </c>
      <c r="B3069" s="1" t="s">
        <v>56</v>
      </c>
      <c r="C3069" s="1" t="s">
        <v>57</v>
      </c>
      <c r="D3069" s="2">
        <v>43109</v>
      </c>
      <c r="E3069" s="2">
        <f t="shared" si="119"/>
        <v>43344</v>
      </c>
      <c r="F3069" s="1" t="s">
        <v>58</v>
      </c>
      <c r="G3069" s="1" t="s">
        <v>18</v>
      </c>
      <c r="H3069" s="1">
        <v>-2.5</v>
      </c>
      <c r="I3069" s="1">
        <v>1.49</v>
      </c>
      <c r="J3069" s="1">
        <v>0</v>
      </c>
      <c r="K3069" s="2">
        <v>43413</v>
      </c>
      <c r="L3069" s="1">
        <v>3716</v>
      </c>
      <c r="M3069" s="1">
        <v>3.49</v>
      </c>
      <c r="N3069" s="1">
        <v>-0.40698000000000001</v>
      </c>
      <c r="O3069" s="3">
        <f>VLOOKUP(D3069,underlying!$D$40:$H$75,5,FALSE)</f>
        <v>-1.5</v>
      </c>
      <c r="P3069" s="4">
        <f t="shared" si="121"/>
        <v>43354</v>
      </c>
      <c r="Q3069" s="7">
        <f>IF(G3069="C",NormalCallSprd(O3069,H3069,M3069,(P3069-A3069)/365), NormalPutSprd(O3069,H3069,M3069,(P3069-A3069)/365))</f>
        <v>1.5119394429464472</v>
      </c>
      <c r="R3069" s="9">
        <f t="shared" si="120"/>
        <v>2.193944294644723E-2</v>
      </c>
    </row>
    <row r="3070" spans="1:18" x14ac:dyDescent="0.2">
      <c r="A3070" s="2">
        <v>42622</v>
      </c>
      <c r="B3070" s="1" t="s">
        <v>56</v>
      </c>
      <c r="C3070" s="1" t="s">
        <v>57</v>
      </c>
      <c r="D3070" s="2">
        <v>43109</v>
      </c>
      <c r="E3070" s="2">
        <f t="shared" si="119"/>
        <v>43344</v>
      </c>
      <c r="F3070" s="1" t="s">
        <v>58</v>
      </c>
      <c r="G3070" s="1" t="s">
        <v>16</v>
      </c>
      <c r="H3070" s="1">
        <v>-2.25</v>
      </c>
      <c r="I3070" s="1">
        <v>2.34</v>
      </c>
      <c r="J3070" s="1">
        <v>-0.01</v>
      </c>
      <c r="K3070" s="2">
        <v>43413</v>
      </c>
      <c r="L3070" s="1">
        <v>3716</v>
      </c>
      <c r="M3070" s="1">
        <v>3.5</v>
      </c>
      <c r="N3070" s="1">
        <v>-0.39008999999999999</v>
      </c>
      <c r="O3070" s="3">
        <f>VLOOKUP(D3070,underlying!$D$40:$H$75,5,FALSE)</f>
        <v>-1.5</v>
      </c>
      <c r="P3070" s="4">
        <f t="shared" si="121"/>
        <v>43354</v>
      </c>
      <c r="Q3070" s="7">
        <f>IF(G3070="C",NormalCallSprd(O3070,H3070,M3070,(P3070-A3070)/365), NormalPutSprd(O3070,H3070,M3070,(P3070-A3070)/365))</f>
        <v>2.3749609591728595</v>
      </c>
      <c r="R3070" s="9">
        <f t="shared" si="120"/>
        <v>3.4960959172859685E-2</v>
      </c>
    </row>
    <row r="3071" spans="1:18" x14ac:dyDescent="0.2">
      <c r="A3071" s="2">
        <v>42622</v>
      </c>
      <c r="B3071" s="1" t="s">
        <v>56</v>
      </c>
      <c r="C3071" s="1" t="s">
        <v>57</v>
      </c>
      <c r="D3071" s="2">
        <v>43109</v>
      </c>
      <c r="E3071" s="2">
        <f t="shared" si="119"/>
        <v>43344</v>
      </c>
      <c r="F3071" s="1" t="s">
        <v>58</v>
      </c>
      <c r="G3071" s="1" t="s">
        <v>18</v>
      </c>
      <c r="H3071" s="1">
        <v>-2.25</v>
      </c>
      <c r="I3071" s="1">
        <v>1.6</v>
      </c>
      <c r="J3071" s="1">
        <v>-0.01</v>
      </c>
      <c r="K3071" s="2">
        <v>43413</v>
      </c>
      <c r="L3071" s="1">
        <v>3716</v>
      </c>
      <c r="M3071" s="1">
        <v>3.5</v>
      </c>
      <c r="N3071" s="1">
        <v>-0.3745</v>
      </c>
      <c r="O3071" s="3">
        <f>VLOOKUP(D3071,underlying!$D$40:$H$75,5,FALSE)</f>
        <v>-1.5</v>
      </c>
      <c r="P3071" s="4">
        <f t="shared" si="121"/>
        <v>43354</v>
      </c>
      <c r="Q3071" s="7">
        <f>IF(G3071="C",NormalCallSprd(O3071,H3071,M3071,(P3071-A3071)/365), NormalPutSprd(O3071,H3071,M3071,(P3071-A3071)/365))</f>
        <v>1.6249609591728593</v>
      </c>
      <c r="R3071" s="9">
        <f t="shared" si="120"/>
        <v>2.4960959172859232E-2</v>
      </c>
    </row>
    <row r="3072" spans="1:18" x14ac:dyDescent="0.2">
      <c r="A3072" s="2">
        <v>42622</v>
      </c>
      <c r="B3072" s="1" t="s">
        <v>56</v>
      </c>
      <c r="C3072" s="1" t="s">
        <v>57</v>
      </c>
      <c r="D3072" s="2">
        <v>43109</v>
      </c>
      <c r="E3072" s="2">
        <f t="shared" si="119"/>
        <v>43344</v>
      </c>
      <c r="F3072" s="1" t="s">
        <v>58</v>
      </c>
      <c r="G3072" s="1" t="s">
        <v>16</v>
      </c>
      <c r="H3072" s="1">
        <v>-2</v>
      </c>
      <c r="I3072" s="1">
        <v>2.21</v>
      </c>
      <c r="J3072" s="1">
        <v>0</v>
      </c>
      <c r="K3072" s="2">
        <v>43413</v>
      </c>
      <c r="L3072" s="1">
        <v>3716</v>
      </c>
      <c r="M3072" s="1">
        <v>3.5</v>
      </c>
      <c r="N3072" s="1">
        <v>-0.35782999999999998</v>
      </c>
      <c r="O3072" s="3">
        <f>VLOOKUP(D3072,underlying!$D$40:$H$75,5,FALSE)</f>
        <v>-1.5</v>
      </c>
      <c r="P3072" s="4">
        <f t="shared" si="121"/>
        <v>43354</v>
      </c>
      <c r="Q3072" s="7">
        <f>IF(G3072="C",NormalCallSprd(O3072,H3072,M3072,(P3072-A3072)/365), NormalPutSprd(O3072,H3072,M3072,(P3072-A3072)/365))</f>
        <v>2.2374192286628043</v>
      </c>
      <c r="R3072" s="9">
        <f t="shared" si="120"/>
        <v>2.7419228662804329E-2</v>
      </c>
    </row>
    <row r="3073" spans="1:18" x14ac:dyDescent="0.2">
      <c r="A3073" s="2">
        <v>42622</v>
      </c>
      <c r="B3073" s="1" t="s">
        <v>56</v>
      </c>
      <c r="C3073" s="1" t="s">
        <v>57</v>
      </c>
      <c r="D3073" s="2">
        <v>43109</v>
      </c>
      <c r="E3073" s="2">
        <f t="shared" si="119"/>
        <v>43344</v>
      </c>
      <c r="F3073" s="1" t="s">
        <v>58</v>
      </c>
      <c r="G3073" s="1" t="s">
        <v>18</v>
      </c>
      <c r="H3073" s="1">
        <v>-2</v>
      </c>
      <c r="I3073" s="1">
        <v>1.71</v>
      </c>
      <c r="J3073" s="1">
        <v>-0.01</v>
      </c>
      <c r="K3073" s="2">
        <v>43413</v>
      </c>
      <c r="L3073" s="1">
        <v>3716</v>
      </c>
      <c r="M3073" s="1">
        <v>3.5</v>
      </c>
      <c r="N3073" s="1">
        <v>-0.34244999999999998</v>
      </c>
      <c r="O3073" s="3">
        <f>VLOOKUP(D3073,underlying!$D$40:$H$75,5,FALSE)</f>
        <v>-1.5</v>
      </c>
      <c r="P3073" s="4">
        <f t="shared" si="121"/>
        <v>43354</v>
      </c>
      <c r="Q3073" s="7">
        <f>IF(G3073="C",NormalCallSprd(O3073,H3073,M3073,(P3073-A3073)/365), NormalPutSprd(O3073,H3073,M3073,(P3073-A3073)/365))</f>
        <v>1.7374192286628045</v>
      </c>
      <c r="R3073" s="9">
        <f t="shared" si="120"/>
        <v>2.7419228662804551E-2</v>
      </c>
    </row>
    <row r="3074" spans="1:18" x14ac:dyDescent="0.2">
      <c r="A3074" s="2">
        <v>42622</v>
      </c>
      <c r="B3074" s="1" t="s">
        <v>56</v>
      </c>
      <c r="C3074" s="1" t="s">
        <v>57</v>
      </c>
      <c r="D3074" s="2">
        <v>43109</v>
      </c>
      <c r="E3074" s="2">
        <f t="shared" ref="E3074:E3137" si="122">DATE(YEAR(D3074),DAY(D3074),MONTH(D3074))</f>
        <v>43344</v>
      </c>
      <c r="F3074" s="1" t="s">
        <v>58</v>
      </c>
      <c r="G3074" s="1" t="s">
        <v>16</v>
      </c>
      <c r="H3074" s="1">
        <v>-1.75</v>
      </c>
      <c r="I3074" s="1">
        <v>2.08</v>
      </c>
      <c r="J3074" s="1">
        <v>-0.01</v>
      </c>
      <c r="K3074" s="2">
        <v>43413</v>
      </c>
      <c r="L3074" s="1">
        <v>3716</v>
      </c>
      <c r="M3074" s="1">
        <v>3.51</v>
      </c>
      <c r="N3074" s="1">
        <v>-0.32695999999999997</v>
      </c>
      <c r="O3074" s="3">
        <f>VLOOKUP(D3074,underlying!$D$40:$H$75,5,FALSE)</f>
        <v>-1.5</v>
      </c>
      <c r="P3074" s="4">
        <f t="shared" si="121"/>
        <v>43354</v>
      </c>
      <c r="Q3074" s="7">
        <f>IF(G3074="C",NormalCallSprd(O3074,H3074,M3074,(P3074-A3074)/365), NormalPutSprd(O3074,H3074,M3074,(P3074-A3074)/365))</f>
        <v>2.1105238956648087</v>
      </c>
      <c r="R3074" s="9">
        <f t="shared" si="120"/>
        <v>3.052389566480862E-2</v>
      </c>
    </row>
    <row r="3075" spans="1:18" x14ac:dyDescent="0.2">
      <c r="A3075" s="2">
        <v>42622</v>
      </c>
      <c r="B3075" s="1" t="s">
        <v>56</v>
      </c>
      <c r="C3075" s="1" t="s">
        <v>57</v>
      </c>
      <c r="D3075" s="2">
        <v>43109</v>
      </c>
      <c r="E3075" s="2">
        <f t="shared" si="122"/>
        <v>43344</v>
      </c>
      <c r="F3075" s="1" t="s">
        <v>58</v>
      </c>
      <c r="G3075" s="1" t="s">
        <v>18</v>
      </c>
      <c r="H3075" s="1">
        <v>-1.75</v>
      </c>
      <c r="I3075" s="1">
        <v>1.84</v>
      </c>
      <c r="J3075" s="1">
        <v>0</v>
      </c>
      <c r="K3075" s="2">
        <v>43413</v>
      </c>
      <c r="L3075" s="1">
        <v>3716</v>
      </c>
      <c r="M3075" s="1">
        <v>3.51</v>
      </c>
      <c r="N3075" s="1">
        <v>-0.31223000000000001</v>
      </c>
      <c r="O3075" s="3">
        <f>VLOOKUP(D3075,underlying!$D$40:$H$75,5,FALSE)</f>
        <v>-1.5</v>
      </c>
      <c r="P3075" s="4">
        <f t="shared" si="121"/>
        <v>43354</v>
      </c>
      <c r="Q3075" s="7">
        <f>IF(G3075="C",NormalCallSprd(O3075,H3075,M3075,(P3075-A3075)/365), NormalPutSprd(O3075,H3075,M3075,(P3075-A3075)/365))</f>
        <v>1.8605238956648089</v>
      </c>
      <c r="R3075" s="9">
        <f t="shared" ref="R3075:R3138" si="123">ABS(Q3075-I3075)</f>
        <v>2.0523895664808833E-2</v>
      </c>
    </row>
    <row r="3076" spans="1:18" x14ac:dyDescent="0.2">
      <c r="A3076" s="2">
        <v>42622</v>
      </c>
      <c r="B3076" s="1" t="s">
        <v>56</v>
      </c>
      <c r="C3076" s="1" t="s">
        <v>57</v>
      </c>
      <c r="D3076" s="2">
        <v>43109</v>
      </c>
      <c r="E3076" s="2">
        <f t="shared" si="122"/>
        <v>43344</v>
      </c>
      <c r="F3076" s="1" t="s">
        <v>58</v>
      </c>
      <c r="G3076" s="1" t="s">
        <v>16</v>
      </c>
      <c r="H3076" s="1">
        <v>-1.5</v>
      </c>
      <c r="I3076" s="1">
        <v>1.95</v>
      </c>
      <c r="J3076" s="1">
        <v>0</v>
      </c>
      <c r="K3076" s="2">
        <v>43413</v>
      </c>
      <c r="L3076" s="1">
        <v>3716</v>
      </c>
      <c r="M3076" s="1">
        <v>3.5</v>
      </c>
      <c r="N3076" s="1">
        <v>-0.29736000000000001</v>
      </c>
      <c r="O3076" s="3">
        <f>VLOOKUP(D3076,underlying!$D$40:$H$75,5,FALSE)</f>
        <v>-1.5</v>
      </c>
      <c r="P3076" s="4">
        <f t="shared" si="121"/>
        <v>43354</v>
      </c>
      <c r="Q3076" s="7">
        <f>IF(G3076="C",NormalCallSprd(O3076,H3076,M3076,(P3076-A3076)/365), NormalPutSprd(O3076,H3076,M3076,(P3076-A3076)/365))</f>
        <v>1.9773667107496509</v>
      </c>
      <c r="R3076" s="9">
        <f t="shared" si="123"/>
        <v>2.7366710749650913E-2</v>
      </c>
    </row>
    <row r="3077" spans="1:18" x14ac:dyDescent="0.2">
      <c r="A3077" s="2">
        <v>42622</v>
      </c>
      <c r="B3077" s="1" t="s">
        <v>56</v>
      </c>
      <c r="C3077" s="1" t="s">
        <v>57</v>
      </c>
      <c r="D3077" s="2">
        <v>43109</v>
      </c>
      <c r="E3077" s="2">
        <f t="shared" si="122"/>
        <v>43344</v>
      </c>
      <c r="F3077" s="1" t="s">
        <v>58</v>
      </c>
      <c r="G3077" s="1" t="s">
        <v>18</v>
      </c>
      <c r="H3077" s="1">
        <v>-1.5</v>
      </c>
      <c r="I3077" s="1">
        <v>1.95</v>
      </c>
      <c r="J3077" s="1">
        <v>0</v>
      </c>
      <c r="K3077" s="2">
        <v>43413</v>
      </c>
      <c r="L3077" s="1">
        <v>3716</v>
      </c>
      <c r="M3077" s="1">
        <v>3.5</v>
      </c>
      <c r="N3077" s="1">
        <v>-0.26862999999999998</v>
      </c>
      <c r="O3077" s="3">
        <f>VLOOKUP(D3077,underlying!$D$40:$H$75,5,FALSE)</f>
        <v>-1.5</v>
      </c>
      <c r="P3077" s="4">
        <f t="shared" si="121"/>
        <v>43354</v>
      </c>
      <c r="Q3077" s="7">
        <f>IF(G3077="C",NormalCallSprd(O3077,H3077,M3077,(P3077-A3077)/365), NormalPutSprd(O3077,H3077,M3077,(P3077-A3077)/365))</f>
        <v>1.9773667107496509</v>
      </c>
      <c r="R3077" s="9">
        <f t="shared" si="123"/>
        <v>2.7366710749650913E-2</v>
      </c>
    </row>
    <row r="3078" spans="1:18" x14ac:dyDescent="0.2">
      <c r="A3078" s="2">
        <v>42622</v>
      </c>
      <c r="B3078" s="1" t="s">
        <v>56</v>
      </c>
      <c r="C3078" s="1" t="s">
        <v>57</v>
      </c>
      <c r="D3078" s="2">
        <v>43109</v>
      </c>
      <c r="E3078" s="2">
        <f t="shared" si="122"/>
        <v>43344</v>
      </c>
      <c r="F3078" s="1" t="s">
        <v>58</v>
      </c>
      <c r="G3078" s="1" t="s">
        <v>16</v>
      </c>
      <c r="H3078" s="1">
        <v>-1.25</v>
      </c>
      <c r="I3078" s="1">
        <v>1.84</v>
      </c>
      <c r="J3078" s="1">
        <v>0</v>
      </c>
      <c r="K3078" s="2">
        <v>43413</v>
      </c>
      <c r="L3078" s="1">
        <v>3716</v>
      </c>
      <c r="M3078" s="1">
        <v>3.51</v>
      </c>
      <c r="N3078" s="1">
        <v>-0.21560000000000001</v>
      </c>
      <c r="O3078" s="3">
        <f>VLOOKUP(D3078,underlying!$D$40:$H$75,5,FALSE)</f>
        <v>-1.5</v>
      </c>
      <c r="P3078" s="4">
        <f t="shared" si="121"/>
        <v>43354</v>
      </c>
      <c r="Q3078" s="7">
        <f>IF(G3078="C",NormalCallSprd(O3078,H3078,M3078,(P3078-A3078)/365), NormalPutSprd(O3078,H3078,M3078,(P3078-A3078)/365))</f>
        <v>1.8605238956648089</v>
      </c>
      <c r="R3078" s="9">
        <f t="shared" si="123"/>
        <v>2.0523895664808833E-2</v>
      </c>
    </row>
    <row r="3079" spans="1:18" x14ac:dyDescent="0.2">
      <c r="A3079" s="2">
        <v>42622</v>
      </c>
      <c r="B3079" s="1" t="s">
        <v>56</v>
      </c>
      <c r="C3079" s="1" t="s">
        <v>57</v>
      </c>
      <c r="D3079" s="2">
        <v>43109</v>
      </c>
      <c r="E3079" s="2">
        <f t="shared" si="122"/>
        <v>43344</v>
      </c>
      <c r="F3079" s="1" t="s">
        <v>58</v>
      </c>
      <c r="G3079" s="1" t="s">
        <v>18</v>
      </c>
      <c r="H3079" s="1">
        <v>-1.25</v>
      </c>
      <c r="I3079" s="1">
        <v>2.08</v>
      </c>
      <c r="J3079" s="1">
        <v>-0.01</v>
      </c>
      <c r="K3079" s="2">
        <v>43413</v>
      </c>
      <c r="L3079" s="1">
        <v>3716</v>
      </c>
      <c r="M3079" s="1">
        <v>3.51</v>
      </c>
      <c r="N3079" s="1">
        <v>-0.16847999999999999</v>
      </c>
      <c r="O3079" s="3">
        <f>VLOOKUP(D3079,underlying!$D$40:$H$75,5,FALSE)</f>
        <v>-1.5</v>
      </c>
      <c r="P3079" s="4">
        <f t="shared" si="121"/>
        <v>43354</v>
      </c>
      <c r="Q3079" s="7">
        <f>IF(G3079="C",NormalCallSprd(O3079,H3079,M3079,(P3079-A3079)/365), NormalPutSprd(O3079,H3079,M3079,(P3079-A3079)/365))</f>
        <v>2.1105238956648087</v>
      </c>
      <c r="R3079" s="9">
        <f t="shared" si="123"/>
        <v>3.052389566480862E-2</v>
      </c>
    </row>
    <row r="3080" spans="1:18" x14ac:dyDescent="0.2">
      <c r="A3080" s="2">
        <v>42622</v>
      </c>
      <c r="B3080" s="1" t="s">
        <v>56</v>
      </c>
      <c r="C3080" s="1" t="s">
        <v>57</v>
      </c>
      <c r="D3080" s="2">
        <v>43109</v>
      </c>
      <c r="E3080" s="2">
        <f t="shared" si="122"/>
        <v>43344</v>
      </c>
      <c r="F3080" s="1" t="s">
        <v>58</v>
      </c>
      <c r="G3080" s="1" t="s">
        <v>16</v>
      </c>
      <c r="H3080" s="1">
        <v>-1</v>
      </c>
      <c r="I3080" s="1">
        <v>1.71</v>
      </c>
      <c r="J3080" s="1">
        <v>-0.01</v>
      </c>
      <c r="K3080" s="2">
        <v>43413</v>
      </c>
      <c r="L3080" s="1">
        <v>3716</v>
      </c>
      <c r="M3080" s="1">
        <v>3.5</v>
      </c>
      <c r="N3080" s="1">
        <v>0.19173999999999999</v>
      </c>
      <c r="O3080" s="3">
        <f>VLOOKUP(D3080,underlying!$D$40:$H$75,5,FALSE)</f>
        <v>-1.5</v>
      </c>
      <c r="P3080" s="4">
        <f t="shared" si="121"/>
        <v>43354</v>
      </c>
      <c r="Q3080" s="7">
        <f>IF(G3080="C",NormalCallSprd(O3080,H3080,M3080,(P3080-A3080)/365), NormalPutSprd(O3080,H3080,M3080,(P3080-A3080)/365))</f>
        <v>1.7374192286628045</v>
      </c>
      <c r="R3080" s="9">
        <f t="shared" si="123"/>
        <v>2.7419228662804551E-2</v>
      </c>
    </row>
    <row r="3081" spans="1:18" x14ac:dyDescent="0.2">
      <c r="A3081" s="2">
        <v>42622</v>
      </c>
      <c r="B3081" s="1" t="s">
        <v>56</v>
      </c>
      <c r="C3081" s="1" t="s">
        <v>57</v>
      </c>
      <c r="D3081" s="2">
        <v>43109</v>
      </c>
      <c r="E3081" s="2">
        <f t="shared" si="122"/>
        <v>43344</v>
      </c>
      <c r="F3081" s="1" t="s">
        <v>58</v>
      </c>
      <c r="G3081" s="1" t="s">
        <v>18</v>
      </c>
      <c r="H3081" s="1">
        <v>-1</v>
      </c>
      <c r="I3081" s="1">
        <v>2.21</v>
      </c>
      <c r="J3081" s="1">
        <v>0</v>
      </c>
      <c r="K3081" s="2">
        <v>43413</v>
      </c>
      <c r="L3081" s="1">
        <v>3716</v>
      </c>
      <c r="M3081" s="1">
        <v>3.5</v>
      </c>
      <c r="N3081" s="1">
        <v>0.21206</v>
      </c>
      <c r="O3081" s="3">
        <f>VLOOKUP(D3081,underlying!$D$40:$H$75,5,FALSE)</f>
        <v>-1.5</v>
      </c>
      <c r="P3081" s="4">
        <f t="shared" si="121"/>
        <v>43354</v>
      </c>
      <c r="Q3081" s="7">
        <f>IF(G3081="C",NormalCallSprd(O3081,H3081,M3081,(P3081-A3081)/365), NormalPutSprd(O3081,H3081,M3081,(P3081-A3081)/365))</f>
        <v>2.2374192286628043</v>
      </c>
      <c r="R3081" s="9">
        <f t="shared" si="123"/>
        <v>2.7419228662804329E-2</v>
      </c>
    </row>
    <row r="3082" spans="1:18" x14ac:dyDescent="0.2">
      <c r="A3082" s="2">
        <v>42622</v>
      </c>
      <c r="B3082" s="1" t="s">
        <v>56</v>
      </c>
      <c r="C3082" s="1" t="s">
        <v>57</v>
      </c>
      <c r="D3082" s="2">
        <v>43109</v>
      </c>
      <c r="E3082" s="2">
        <f t="shared" si="122"/>
        <v>43344</v>
      </c>
      <c r="F3082" s="1" t="s">
        <v>58</v>
      </c>
      <c r="G3082" s="1" t="s">
        <v>16</v>
      </c>
      <c r="H3082" s="1">
        <v>-0.75</v>
      </c>
      <c r="I3082" s="1">
        <v>1.6</v>
      </c>
      <c r="J3082" s="1">
        <v>-0.01</v>
      </c>
      <c r="K3082" s="2">
        <v>43413</v>
      </c>
      <c r="L3082" s="1">
        <v>3716</v>
      </c>
      <c r="M3082" s="1">
        <v>3.5</v>
      </c>
      <c r="N3082" s="1">
        <v>0.23474999999999999</v>
      </c>
      <c r="O3082" s="3">
        <f>VLOOKUP(D3082,underlying!$D$40:$H$75,5,FALSE)</f>
        <v>-1.5</v>
      </c>
      <c r="P3082" s="4">
        <f t="shared" si="121"/>
        <v>43354</v>
      </c>
      <c r="Q3082" s="7">
        <f>IF(G3082="C",NormalCallSprd(O3082,H3082,M3082,(P3082-A3082)/365), NormalPutSprd(O3082,H3082,M3082,(P3082-A3082)/365))</f>
        <v>1.6249609591728593</v>
      </c>
      <c r="R3082" s="9">
        <f t="shared" si="123"/>
        <v>2.4960959172859232E-2</v>
      </c>
    </row>
    <row r="3083" spans="1:18" x14ac:dyDescent="0.2">
      <c r="A3083" s="2">
        <v>42622</v>
      </c>
      <c r="B3083" s="1" t="s">
        <v>56</v>
      </c>
      <c r="C3083" s="1" t="s">
        <v>57</v>
      </c>
      <c r="D3083" s="2">
        <v>43109</v>
      </c>
      <c r="E3083" s="2">
        <f t="shared" si="122"/>
        <v>43344</v>
      </c>
      <c r="F3083" s="1" t="s">
        <v>58</v>
      </c>
      <c r="G3083" s="1" t="s">
        <v>18</v>
      </c>
      <c r="H3083" s="1">
        <v>-0.75</v>
      </c>
      <c r="I3083" s="1">
        <v>2.34</v>
      </c>
      <c r="J3083" s="1">
        <v>-0.01</v>
      </c>
      <c r="K3083" s="2">
        <v>43413</v>
      </c>
      <c r="L3083" s="1">
        <v>3716</v>
      </c>
      <c r="M3083" s="1">
        <v>3.5</v>
      </c>
      <c r="N3083" s="1">
        <v>0.25681999999999999</v>
      </c>
      <c r="O3083" s="3">
        <f>VLOOKUP(D3083,underlying!$D$40:$H$75,5,FALSE)</f>
        <v>-1.5</v>
      </c>
      <c r="P3083" s="4">
        <f t="shared" si="121"/>
        <v>43354</v>
      </c>
      <c r="Q3083" s="7">
        <f>IF(G3083="C",NormalCallSprd(O3083,H3083,M3083,(P3083-A3083)/365), NormalPutSprd(O3083,H3083,M3083,(P3083-A3083)/365))</f>
        <v>2.3749609591728595</v>
      </c>
      <c r="R3083" s="9">
        <f t="shared" si="123"/>
        <v>3.4960959172859685E-2</v>
      </c>
    </row>
    <row r="3084" spans="1:18" x14ac:dyDescent="0.2">
      <c r="A3084" s="2">
        <v>42622</v>
      </c>
      <c r="B3084" s="1" t="s">
        <v>56</v>
      </c>
      <c r="C3084" s="1" t="s">
        <v>57</v>
      </c>
      <c r="D3084" s="2">
        <v>43109</v>
      </c>
      <c r="E3084" s="2">
        <f t="shared" si="122"/>
        <v>43344</v>
      </c>
      <c r="F3084" s="1" t="s">
        <v>58</v>
      </c>
      <c r="G3084" s="1" t="s">
        <v>16</v>
      </c>
      <c r="H3084" s="1">
        <v>-0.5</v>
      </c>
      <c r="I3084" s="1">
        <v>1.49</v>
      </c>
      <c r="J3084" s="1">
        <v>0</v>
      </c>
      <c r="K3084" s="2">
        <v>43413</v>
      </c>
      <c r="L3084" s="1">
        <v>3716</v>
      </c>
      <c r="M3084" s="1">
        <v>3.49</v>
      </c>
      <c r="N3084" s="1">
        <v>0.97004999999999997</v>
      </c>
      <c r="O3084" s="3">
        <f>VLOOKUP(D3084,underlying!$D$40:$H$75,5,FALSE)</f>
        <v>-1.5</v>
      </c>
      <c r="P3084" s="4">
        <f t="shared" si="121"/>
        <v>43354</v>
      </c>
      <c r="Q3084" s="7">
        <f>IF(G3084="C",NormalCallSprd(O3084,H3084,M3084,(P3084-A3084)/365), NormalPutSprd(O3084,H3084,M3084,(P3084-A3084)/365))</f>
        <v>1.5119394429464472</v>
      </c>
      <c r="R3084" s="9">
        <f t="shared" si="123"/>
        <v>2.193944294644723E-2</v>
      </c>
    </row>
    <row r="3085" spans="1:18" x14ac:dyDescent="0.2">
      <c r="A3085" s="2">
        <v>42622</v>
      </c>
      <c r="B3085" s="1" t="s">
        <v>56</v>
      </c>
      <c r="C3085" s="1" t="s">
        <v>57</v>
      </c>
      <c r="D3085" s="2">
        <v>43109</v>
      </c>
      <c r="E3085" s="2">
        <f t="shared" si="122"/>
        <v>43344</v>
      </c>
      <c r="F3085" s="1" t="s">
        <v>58</v>
      </c>
      <c r="G3085" s="1" t="s">
        <v>18</v>
      </c>
      <c r="H3085" s="1">
        <v>-0.5</v>
      </c>
      <c r="I3085" s="1">
        <v>2.48</v>
      </c>
      <c r="J3085" s="1">
        <v>0</v>
      </c>
      <c r="K3085" s="2">
        <v>43413</v>
      </c>
      <c r="L3085" s="1">
        <v>3716</v>
      </c>
      <c r="M3085" s="1">
        <v>3.49</v>
      </c>
      <c r="N3085" s="1">
        <v>0.27951999999999999</v>
      </c>
      <c r="O3085" s="3">
        <f>VLOOKUP(D3085,underlying!$D$40:$H$75,5,FALSE)</f>
        <v>-1.5</v>
      </c>
      <c r="P3085" s="4">
        <f t="shared" si="121"/>
        <v>43354</v>
      </c>
      <c r="Q3085" s="7">
        <f>IF(G3085="C",NormalCallSprd(O3085,H3085,M3085,(P3085-A3085)/365), NormalPutSprd(O3085,H3085,M3085,(P3085-A3085)/365))</f>
        <v>2.5119394429464474</v>
      </c>
      <c r="R3085" s="9">
        <f t="shared" si="123"/>
        <v>3.1939442946447461E-2</v>
      </c>
    </row>
    <row r="3086" spans="1:18" x14ac:dyDescent="0.2">
      <c r="A3086" s="2">
        <v>42622</v>
      </c>
      <c r="B3086" s="1" t="s">
        <v>56</v>
      </c>
      <c r="C3086" s="1" t="s">
        <v>57</v>
      </c>
      <c r="D3086" s="2">
        <v>43109</v>
      </c>
      <c r="E3086" s="2">
        <f t="shared" si="122"/>
        <v>43344</v>
      </c>
      <c r="F3086" s="1" t="s">
        <v>58</v>
      </c>
      <c r="G3086" s="1" t="s">
        <v>16</v>
      </c>
      <c r="H3086" s="1">
        <v>-0.25</v>
      </c>
      <c r="I3086" s="1">
        <v>1.4</v>
      </c>
      <c r="J3086" s="1">
        <v>0</v>
      </c>
      <c r="K3086" s="2">
        <v>43413</v>
      </c>
      <c r="L3086" s="1">
        <v>3716</v>
      </c>
      <c r="M3086" s="1">
        <v>3.5</v>
      </c>
      <c r="N3086" s="1">
        <v>0.30530000000000002</v>
      </c>
      <c r="O3086" s="3">
        <f>VLOOKUP(D3086,underlying!$D$40:$H$75,5,FALSE)</f>
        <v>-1.5</v>
      </c>
      <c r="P3086" s="4">
        <f t="shared" si="121"/>
        <v>43354</v>
      </c>
      <c r="Q3086" s="7">
        <f>IF(G3086="C",NormalCallSprd(O3086,H3086,M3086,(P3086-A3086)/365), NormalPutSprd(O3086,H3086,M3086,(P3086-A3086)/365))</f>
        <v>1.4149170471905248</v>
      </c>
      <c r="R3086" s="9">
        <f t="shared" si="123"/>
        <v>1.491704719052489E-2</v>
      </c>
    </row>
    <row r="3087" spans="1:18" x14ac:dyDescent="0.2">
      <c r="A3087" s="2">
        <v>42622</v>
      </c>
      <c r="B3087" s="1" t="s">
        <v>56</v>
      </c>
      <c r="C3087" s="1" t="s">
        <v>57</v>
      </c>
      <c r="D3087" s="2">
        <v>43109</v>
      </c>
      <c r="E3087" s="2">
        <f t="shared" si="122"/>
        <v>43344</v>
      </c>
      <c r="F3087" s="1" t="s">
        <v>58</v>
      </c>
      <c r="G3087" s="1" t="s">
        <v>18</v>
      </c>
      <c r="H3087" s="1">
        <v>-0.25</v>
      </c>
      <c r="I3087" s="1">
        <v>2.63</v>
      </c>
      <c r="J3087" s="1">
        <v>0</v>
      </c>
      <c r="K3087" s="2">
        <v>43413</v>
      </c>
      <c r="L3087" s="1">
        <v>3716</v>
      </c>
      <c r="M3087" s="1">
        <v>3.5</v>
      </c>
      <c r="N3087" s="1">
        <v>0.33012999999999998</v>
      </c>
      <c r="O3087" s="3">
        <f>VLOOKUP(D3087,underlying!$D$40:$H$75,5,FALSE)</f>
        <v>-1.5</v>
      </c>
      <c r="P3087" s="4">
        <f t="shared" si="121"/>
        <v>43354</v>
      </c>
      <c r="Q3087" s="7">
        <f>IF(G3087="C",NormalCallSprd(O3087,H3087,M3087,(P3087-A3087)/365), NormalPutSprd(O3087,H3087,M3087,(P3087-A3087)/365))</f>
        <v>2.6649170471905248</v>
      </c>
      <c r="R3087" s="9">
        <f t="shared" si="123"/>
        <v>3.4917047190524908E-2</v>
      </c>
    </row>
    <row r="3088" spans="1:18" x14ac:dyDescent="0.2">
      <c r="A3088" s="2">
        <v>42622</v>
      </c>
      <c r="B3088" s="1" t="s">
        <v>56</v>
      </c>
      <c r="C3088" s="1" t="s">
        <v>57</v>
      </c>
      <c r="D3088" s="2">
        <v>43110</v>
      </c>
      <c r="E3088" s="2">
        <f t="shared" si="122"/>
        <v>43374</v>
      </c>
      <c r="F3088" s="1" t="s">
        <v>58</v>
      </c>
      <c r="G3088" s="1" t="s">
        <v>16</v>
      </c>
      <c r="H3088" s="1">
        <v>-8</v>
      </c>
      <c r="I3088" s="1">
        <v>6.86</v>
      </c>
      <c r="J3088" s="1">
        <v>-0.01</v>
      </c>
      <c r="K3088" s="2">
        <v>43383</v>
      </c>
      <c r="L3088" s="1">
        <v>3716</v>
      </c>
      <c r="M3088" s="1">
        <v>3.49</v>
      </c>
      <c r="N3088" s="1">
        <v>0.35743999999999998</v>
      </c>
      <c r="O3088" s="3">
        <f>VLOOKUP(D3088,underlying!$D$40:$H$75,5,FALSE)</f>
        <v>-1.25</v>
      </c>
      <c r="P3088" s="4">
        <f t="shared" si="121"/>
        <v>43383</v>
      </c>
      <c r="Q3088" s="7">
        <f>IF(G3088="C",NormalCallSprd(O3088,H3088,M3088,(P3088-A3088)/365), NormalPutSprd(O3088,H3088,M3088,(P3088-A3088)/365))</f>
        <v>6.9608378592750952</v>
      </c>
      <c r="R3088" s="9">
        <f t="shared" si="123"/>
        <v>0.10083785927509492</v>
      </c>
    </row>
    <row r="3089" spans="1:18" x14ac:dyDescent="0.2">
      <c r="A3089" s="2">
        <v>42622</v>
      </c>
      <c r="B3089" s="1" t="s">
        <v>56</v>
      </c>
      <c r="C3089" s="1" t="s">
        <v>57</v>
      </c>
      <c r="D3089" s="2">
        <v>43110</v>
      </c>
      <c r="E3089" s="2">
        <f t="shared" si="122"/>
        <v>43374</v>
      </c>
      <c r="F3089" s="1" t="s">
        <v>58</v>
      </c>
      <c r="G3089" s="1" t="s">
        <v>18</v>
      </c>
      <c r="H3089" s="1">
        <v>-8</v>
      </c>
      <c r="I3089" s="1">
        <v>0.21</v>
      </c>
      <c r="J3089" s="1">
        <v>0</v>
      </c>
      <c r="K3089" s="2">
        <v>43383</v>
      </c>
      <c r="L3089" s="1">
        <v>3716</v>
      </c>
      <c r="M3089" s="1">
        <v>3.49</v>
      </c>
      <c r="N3089" s="1">
        <v>0.38402999999999998</v>
      </c>
      <c r="O3089" s="3">
        <f>VLOOKUP(D3089,underlying!$D$40:$H$75,5,FALSE)</f>
        <v>-1.25</v>
      </c>
      <c r="P3089" s="4">
        <f t="shared" si="121"/>
        <v>43383</v>
      </c>
      <c r="Q3089" s="7">
        <f>IF(G3089="C",NormalCallSprd(O3089,H3089,M3089,(P3089-A3089)/365), NormalPutSprd(O3089,H3089,M3089,(P3089-A3089)/365))</f>
        <v>0.21083785927509496</v>
      </c>
      <c r="R3089" s="9">
        <f t="shared" si="123"/>
        <v>8.3785927509497093E-4</v>
      </c>
    </row>
    <row r="3090" spans="1:18" x14ac:dyDescent="0.2">
      <c r="A3090" s="2">
        <v>42622</v>
      </c>
      <c r="B3090" s="1" t="s">
        <v>56</v>
      </c>
      <c r="C3090" s="1" t="s">
        <v>57</v>
      </c>
      <c r="D3090" s="2">
        <v>43110</v>
      </c>
      <c r="E3090" s="2">
        <f t="shared" si="122"/>
        <v>43374</v>
      </c>
      <c r="F3090" s="1" t="s">
        <v>58</v>
      </c>
      <c r="G3090" s="1" t="s">
        <v>16</v>
      </c>
      <c r="H3090" s="1">
        <v>-7</v>
      </c>
      <c r="I3090" s="1">
        <v>5.99</v>
      </c>
      <c r="J3090" s="1">
        <v>0</v>
      </c>
      <c r="K3090" s="2">
        <v>43383</v>
      </c>
      <c r="L3090" s="1">
        <v>3716</v>
      </c>
      <c r="M3090" s="1">
        <v>3.5</v>
      </c>
      <c r="N3090" s="1">
        <v>0.41214000000000001</v>
      </c>
      <c r="O3090" s="3">
        <f>VLOOKUP(D3090,underlying!$D$40:$H$75,5,FALSE)</f>
        <v>-1.25</v>
      </c>
      <c r="P3090" s="4">
        <f t="shared" si="121"/>
        <v>43383</v>
      </c>
      <c r="Q3090" s="7">
        <f>IF(G3090="C",NormalCallSprd(O3090,H3090,M3090,(P3090-A3090)/365), NormalPutSprd(O3090,H3090,M3090,(P3090-A3090)/365))</f>
        <v>6.0716654528133169</v>
      </c>
      <c r="R3090" s="9">
        <f t="shared" si="123"/>
        <v>8.1665452813316719E-2</v>
      </c>
    </row>
    <row r="3091" spans="1:18" x14ac:dyDescent="0.2">
      <c r="A3091" s="2">
        <v>42622</v>
      </c>
      <c r="B3091" s="1" t="s">
        <v>56</v>
      </c>
      <c r="C3091" s="1" t="s">
        <v>57</v>
      </c>
      <c r="D3091" s="2">
        <v>43110</v>
      </c>
      <c r="E3091" s="2">
        <f t="shared" si="122"/>
        <v>43374</v>
      </c>
      <c r="F3091" s="1" t="s">
        <v>58</v>
      </c>
      <c r="G3091" s="1" t="s">
        <v>18</v>
      </c>
      <c r="H3091" s="1">
        <v>-7</v>
      </c>
      <c r="I3091" s="1">
        <v>0.32</v>
      </c>
      <c r="J3091" s="1">
        <v>0</v>
      </c>
      <c r="K3091" s="2">
        <v>43383</v>
      </c>
      <c r="L3091" s="1">
        <v>3716</v>
      </c>
      <c r="M3091" s="1">
        <v>3.5</v>
      </c>
      <c r="N3091" s="1">
        <v>0.44040000000000001</v>
      </c>
      <c r="O3091" s="3">
        <f>VLOOKUP(D3091,underlying!$D$40:$H$75,5,FALSE)</f>
        <v>-1.25</v>
      </c>
      <c r="P3091" s="4">
        <f t="shared" si="121"/>
        <v>43383</v>
      </c>
      <c r="Q3091" s="7">
        <f>IF(G3091="C",NormalCallSprd(O3091,H3091,M3091,(P3091-A3091)/365), NormalPutSprd(O3091,H3091,M3091,(P3091-A3091)/365))</f>
        <v>0.32166545281331693</v>
      </c>
      <c r="R3091" s="9">
        <f t="shared" si="123"/>
        <v>1.6654528133169255E-3</v>
      </c>
    </row>
    <row r="3092" spans="1:18" x14ac:dyDescent="0.2">
      <c r="A3092" s="2">
        <v>42622</v>
      </c>
      <c r="B3092" s="1" t="s">
        <v>56</v>
      </c>
      <c r="C3092" s="1" t="s">
        <v>57</v>
      </c>
      <c r="D3092" s="2">
        <v>43110</v>
      </c>
      <c r="E3092" s="2">
        <f t="shared" si="122"/>
        <v>43374</v>
      </c>
      <c r="F3092" s="1" t="s">
        <v>58</v>
      </c>
      <c r="G3092" s="1" t="s">
        <v>16</v>
      </c>
      <c r="H3092" s="1">
        <v>-6</v>
      </c>
      <c r="I3092" s="1">
        <v>5.15</v>
      </c>
      <c r="J3092" s="1">
        <v>-0.01</v>
      </c>
      <c r="K3092" s="2">
        <v>43383</v>
      </c>
      <c r="L3092" s="1">
        <v>3716</v>
      </c>
      <c r="M3092" s="1">
        <v>3.51</v>
      </c>
      <c r="N3092" s="1">
        <v>0.46903</v>
      </c>
      <c r="O3092" s="3">
        <f>VLOOKUP(D3092,underlying!$D$40:$H$75,5,FALSE)</f>
        <v>-1.25</v>
      </c>
      <c r="P3092" s="4">
        <f t="shared" si="121"/>
        <v>43383</v>
      </c>
      <c r="Q3092" s="7">
        <f>IF(G3092="C",NormalCallSprd(O3092,H3092,M3092,(P3092-A3092)/365), NormalPutSprd(O3092,H3092,M3092,(P3092-A3092)/365))</f>
        <v>5.2252089517519895</v>
      </c>
      <c r="R3092" s="9">
        <f t="shared" si="123"/>
        <v>7.5208951751989161E-2</v>
      </c>
    </row>
    <row r="3093" spans="1:18" x14ac:dyDescent="0.2">
      <c r="A3093" s="2">
        <v>42622</v>
      </c>
      <c r="B3093" s="1" t="s">
        <v>56</v>
      </c>
      <c r="C3093" s="1" t="s">
        <v>57</v>
      </c>
      <c r="D3093" s="2">
        <v>43110</v>
      </c>
      <c r="E3093" s="2">
        <f t="shared" si="122"/>
        <v>43374</v>
      </c>
      <c r="F3093" s="1" t="s">
        <v>58</v>
      </c>
      <c r="G3093" s="1" t="s">
        <v>18</v>
      </c>
      <c r="H3093" s="1">
        <v>-6</v>
      </c>
      <c r="I3093" s="1">
        <v>0.47</v>
      </c>
      <c r="J3093" s="1">
        <v>0</v>
      </c>
      <c r="K3093" s="2">
        <v>43383</v>
      </c>
      <c r="L3093" s="1">
        <v>3716</v>
      </c>
      <c r="M3093" s="1">
        <v>3.51</v>
      </c>
      <c r="N3093" s="1">
        <v>0.49764999999999998</v>
      </c>
      <c r="O3093" s="3">
        <f>VLOOKUP(D3093,underlying!$D$40:$H$75,5,FALSE)</f>
        <v>-1.25</v>
      </c>
      <c r="P3093" s="4">
        <f t="shared" si="121"/>
        <v>43383</v>
      </c>
      <c r="Q3093" s="7">
        <f>IF(G3093="C",NormalCallSprd(O3093,H3093,M3093,(P3093-A3093)/365), NormalPutSprd(O3093,H3093,M3093,(P3093-A3093)/365))</f>
        <v>0.47520895175198941</v>
      </c>
      <c r="R3093" s="9">
        <f t="shared" si="123"/>
        <v>5.2089517519894324E-3</v>
      </c>
    </row>
    <row r="3094" spans="1:18" x14ac:dyDescent="0.2">
      <c r="A3094" s="2">
        <v>42622</v>
      </c>
      <c r="B3094" s="1" t="s">
        <v>56</v>
      </c>
      <c r="C3094" s="1" t="s">
        <v>57</v>
      </c>
      <c r="D3094" s="2">
        <v>43110</v>
      </c>
      <c r="E3094" s="2">
        <f t="shared" si="122"/>
        <v>43374</v>
      </c>
      <c r="F3094" s="1" t="s">
        <v>58</v>
      </c>
      <c r="G3094" s="1" t="s">
        <v>16</v>
      </c>
      <c r="H3094" s="1">
        <v>-5.75</v>
      </c>
      <c r="I3094" s="1">
        <v>4.95</v>
      </c>
      <c r="J3094" s="1">
        <v>0</v>
      </c>
      <c r="K3094" s="2">
        <v>43383</v>
      </c>
      <c r="L3094" s="1">
        <v>3716</v>
      </c>
      <c r="M3094" s="1">
        <v>3.51</v>
      </c>
      <c r="N3094" s="1">
        <v>0.52627999999999997</v>
      </c>
      <c r="O3094" s="3">
        <f>VLOOKUP(D3094,underlying!$D$40:$H$75,5,FALSE)</f>
        <v>-1.25</v>
      </c>
      <c r="P3094" s="4">
        <f t="shared" si="121"/>
        <v>43383</v>
      </c>
      <c r="Q3094" s="7">
        <f>IF(G3094="C",NormalCallSprd(O3094,H3094,M3094,(P3094-A3094)/365), NormalPutSprd(O3094,H3094,M3094,(P3094-A3094)/365))</f>
        <v>5.0203996597491747</v>
      </c>
      <c r="R3094" s="9">
        <f t="shared" si="123"/>
        <v>7.0399659749174504E-2</v>
      </c>
    </row>
    <row r="3095" spans="1:18" x14ac:dyDescent="0.2">
      <c r="A3095" s="2">
        <v>42622</v>
      </c>
      <c r="B3095" s="1" t="s">
        <v>56</v>
      </c>
      <c r="C3095" s="1" t="s">
        <v>57</v>
      </c>
      <c r="D3095" s="2">
        <v>43110</v>
      </c>
      <c r="E3095" s="2">
        <f t="shared" si="122"/>
        <v>43374</v>
      </c>
      <c r="F3095" s="1" t="s">
        <v>58</v>
      </c>
      <c r="G3095" s="1" t="s">
        <v>18</v>
      </c>
      <c r="H3095" s="1">
        <v>-5.75</v>
      </c>
      <c r="I3095" s="1">
        <v>0.51</v>
      </c>
      <c r="J3095" s="1">
        <v>0</v>
      </c>
      <c r="K3095" s="2">
        <v>43383</v>
      </c>
      <c r="L3095" s="1">
        <v>3716</v>
      </c>
      <c r="M3095" s="1">
        <v>3.51</v>
      </c>
      <c r="N3095" s="1">
        <v>0.55491000000000001</v>
      </c>
      <c r="O3095" s="3">
        <f>VLOOKUP(D3095,underlying!$D$40:$H$75,5,FALSE)</f>
        <v>-1.25</v>
      </c>
      <c r="P3095" s="4">
        <f t="shared" si="121"/>
        <v>43383</v>
      </c>
      <c r="Q3095" s="7">
        <f>IF(G3095="C",NormalCallSprd(O3095,H3095,M3095,(P3095-A3095)/365), NormalPutSprd(O3095,H3095,M3095,(P3095-A3095)/365))</f>
        <v>0.52039965974917524</v>
      </c>
      <c r="R3095" s="9">
        <f t="shared" si="123"/>
        <v>1.0399659749175227E-2</v>
      </c>
    </row>
    <row r="3096" spans="1:18" x14ac:dyDescent="0.2">
      <c r="A3096" s="2">
        <v>42622</v>
      </c>
      <c r="B3096" s="1" t="s">
        <v>56</v>
      </c>
      <c r="C3096" s="1" t="s">
        <v>57</v>
      </c>
      <c r="D3096" s="2">
        <v>43110</v>
      </c>
      <c r="E3096" s="2">
        <f t="shared" si="122"/>
        <v>43374</v>
      </c>
      <c r="F3096" s="1" t="s">
        <v>58</v>
      </c>
      <c r="G3096" s="1" t="s">
        <v>16</v>
      </c>
      <c r="H3096" s="1">
        <v>-5.5</v>
      </c>
      <c r="I3096" s="1">
        <v>4.75</v>
      </c>
      <c r="J3096" s="1">
        <v>-0.01</v>
      </c>
      <c r="K3096" s="2">
        <v>43383</v>
      </c>
      <c r="L3096" s="1">
        <v>3716</v>
      </c>
      <c r="M3096" s="1">
        <v>3.51</v>
      </c>
      <c r="N3096" s="1">
        <v>0.58316999999999997</v>
      </c>
      <c r="O3096" s="3">
        <f>VLOOKUP(D3096,underlying!$D$40:$H$75,5,FALSE)</f>
        <v>-1.25</v>
      </c>
      <c r="P3096" s="4">
        <f t="shared" si="121"/>
        <v>43383</v>
      </c>
      <c r="Q3096" s="7">
        <f>IF(G3096="C",NormalCallSprd(O3096,H3096,M3096,(P3096-A3096)/365), NormalPutSprd(O3096,H3096,M3096,(P3096-A3096)/365))</f>
        <v>4.8189072528236432</v>
      </c>
      <c r="R3096" s="9">
        <f t="shared" si="123"/>
        <v>6.8907252823643184E-2</v>
      </c>
    </row>
    <row r="3097" spans="1:18" x14ac:dyDescent="0.2">
      <c r="A3097" s="2">
        <v>42622</v>
      </c>
      <c r="B3097" s="1" t="s">
        <v>56</v>
      </c>
      <c r="C3097" s="1" t="s">
        <v>57</v>
      </c>
      <c r="D3097" s="2">
        <v>43110</v>
      </c>
      <c r="E3097" s="2">
        <f t="shared" si="122"/>
        <v>43374</v>
      </c>
      <c r="F3097" s="1" t="s">
        <v>58</v>
      </c>
      <c r="G3097" s="1" t="s">
        <v>18</v>
      </c>
      <c r="H3097" s="1">
        <v>-5.5</v>
      </c>
      <c r="I3097" s="1">
        <v>0.56000000000000005</v>
      </c>
      <c r="J3097" s="1">
        <v>0</v>
      </c>
      <c r="K3097" s="2">
        <v>43383</v>
      </c>
      <c r="L3097" s="1">
        <v>3716</v>
      </c>
      <c r="M3097" s="1">
        <v>3.51</v>
      </c>
      <c r="N3097" s="1">
        <v>0.61128000000000005</v>
      </c>
      <c r="O3097" s="3">
        <f>VLOOKUP(D3097,underlying!$D$40:$H$75,5,FALSE)</f>
        <v>-1.25</v>
      </c>
      <c r="P3097" s="4">
        <f t="shared" si="121"/>
        <v>43383</v>
      </c>
      <c r="Q3097" s="7">
        <f>IF(G3097="C",NormalCallSprd(O3097,H3097,M3097,(P3097-A3097)/365), NormalPutSprd(O3097,H3097,M3097,(P3097-A3097)/365))</f>
        <v>0.56890725282364296</v>
      </c>
      <c r="R3097" s="9">
        <f t="shared" si="123"/>
        <v>8.9072528236429083E-3</v>
      </c>
    </row>
    <row r="3098" spans="1:18" x14ac:dyDescent="0.2">
      <c r="A3098" s="2">
        <v>42622</v>
      </c>
      <c r="B3098" s="1" t="s">
        <v>56</v>
      </c>
      <c r="C3098" s="1" t="s">
        <v>57</v>
      </c>
      <c r="D3098" s="2">
        <v>43110</v>
      </c>
      <c r="E3098" s="2">
        <f t="shared" si="122"/>
        <v>43374</v>
      </c>
      <c r="F3098" s="1" t="s">
        <v>58</v>
      </c>
      <c r="G3098" s="1" t="s">
        <v>16</v>
      </c>
      <c r="H3098" s="1">
        <v>-5.25</v>
      </c>
      <c r="I3098" s="1">
        <v>4.5599999999999996</v>
      </c>
      <c r="J3098" s="1">
        <v>0</v>
      </c>
      <c r="K3098" s="2">
        <v>43383</v>
      </c>
      <c r="L3098" s="1">
        <v>3716</v>
      </c>
      <c r="M3098" s="1">
        <v>3.51</v>
      </c>
      <c r="N3098" s="1">
        <v>0.63787000000000005</v>
      </c>
      <c r="O3098" s="3">
        <f>VLOOKUP(D3098,underlying!$D$40:$H$75,5,FALSE)</f>
        <v>-1.25</v>
      </c>
      <c r="P3098" s="4">
        <f t="shared" si="121"/>
        <v>43383</v>
      </c>
      <c r="Q3098" s="7">
        <f>IF(G3098="C",NormalCallSprd(O3098,H3098,M3098,(P3098-A3098)/365), NormalPutSprd(O3098,H3098,M3098,(P3098-A3098)/365))</f>
        <v>4.6208759563463557</v>
      </c>
      <c r="R3098" s="9">
        <f t="shared" si="123"/>
        <v>6.0875956346356119E-2</v>
      </c>
    </row>
    <row r="3099" spans="1:18" x14ac:dyDescent="0.2">
      <c r="A3099" s="2">
        <v>42622</v>
      </c>
      <c r="B3099" s="1" t="s">
        <v>56</v>
      </c>
      <c r="C3099" s="1" t="s">
        <v>57</v>
      </c>
      <c r="D3099" s="2">
        <v>43110</v>
      </c>
      <c r="E3099" s="2">
        <f t="shared" si="122"/>
        <v>43374</v>
      </c>
      <c r="F3099" s="1" t="s">
        <v>58</v>
      </c>
      <c r="G3099" s="1" t="s">
        <v>18</v>
      </c>
      <c r="H3099" s="1">
        <v>-5.25</v>
      </c>
      <c r="I3099" s="1">
        <v>0.61</v>
      </c>
      <c r="J3099" s="1">
        <v>0</v>
      </c>
      <c r="K3099" s="2">
        <v>43383</v>
      </c>
      <c r="L3099" s="1">
        <v>3716</v>
      </c>
      <c r="M3099" s="1">
        <v>3.51</v>
      </c>
      <c r="N3099" s="1">
        <v>0.66517999999999999</v>
      </c>
      <c r="O3099" s="3">
        <f>VLOOKUP(D3099,underlying!$D$40:$H$75,5,FALSE)</f>
        <v>-1.25</v>
      </c>
      <c r="P3099" s="4">
        <f t="shared" si="121"/>
        <v>43383</v>
      </c>
      <c r="Q3099" s="7">
        <f>IF(G3099="C",NormalCallSprd(O3099,H3099,M3099,(P3099-A3099)/365), NormalPutSprd(O3099,H3099,M3099,(P3099-A3099)/365))</f>
        <v>0.62087595634635573</v>
      </c>
      <c r="R3099" s="9">
        <f t="shared" si="123"/>
        <v>1.0875956346355742E-2</v>
      </c>
    </row>
    <row r="3100" spans="1:18" x14ac:dyDescent="0.2">
      <c r="A3100" s="2">
        <v>42622</v>
      </c>
      <c r="B3100" s="1" t="s">
        <v>56</v>
      </c>
      <c r="C3100" s="1" t="s">
        <v>57</v>
      </c>
      <c r="D3100" s="2">
        <v>43110</v>
      </c>
      <c r="E3100" s="2">
        <f t="shared" si="122"/>
        <v>43374</v>
      </c>
      <c r="F3100" s="1" t="s">
        <v>58</v>
      </c>
      <c r="G3100" s="1" t="s">
        <v>16</v>
      </c>
      <c r="H3100" s="1">
        <v>-5</v>
      </c>
      <c r="I3100" s="1">
        <v>4.37</v>
      </c>
      <c r="J3100" s="1">
        <v>0</v>
      </c>
      <c r="K3100" s="2">
        <v>43383</v>
      </c>
      <c r="L3100" s="1">
        <v>3716</v>
      </c>
      <c r="M3100" s="1">
        <v>3.51</v>
      </c>
      <c r="N3100" s="1">
        <v>0.69001000000000001</v>
      </c>
      <c r="O3100" s="3">
        <f>VLOOKUP(D3100,underlying!$D$40:$H$75,5,FALSE)</f>
        <v>-1.25</v>
      </c>
      <c r="P3100" s="4">
        <f t="shared" si="121"/>
        <v>43383</v>
      </c>
      <c r="Q3100" s="7">
        <f>IF(G3100="C",NormalCallSprd(O3100,H3100,M3100,(P3100-A3100)/365), NormalPutSprd(O3100,H3100,M3100,(P3100-A3100)/365))</f>
        <v>4.4264474934717821</v>
      </c>
      <c r="R3100" s="9">
        <f t="shared" si="123"/>
        <v>5.6447493471782018E-2</v>
      </c>
    </row>
    <row r="3101" spans="1:18" x14ac:dyDescent="0.2">
      <c r="A3101" s="2">
        <v>42622</v>
      </c>
      <c r="B3101" s="1" t="s">
        <v>56</v>
      </c>
      <c r="C3101" s="1" t="s">
        <v>57</v>
      </c>
      <c r="D3101" s="2">
        <v>43110</v>
      </c>
      <c r="E3101" s="2">
        <f t="shared" si="122"/>
        <v>43374</v>
      </c>
      <c r="F3101" s="1" t="s">
        <v>58</v>
      </c>
      <c r="G3101" s="1" t="s">
        <v>18</v>
      </c>
      <c r="H3101" s="1">
        <v>-5</v>
      </c>
      <c r="I3101" s="1">
        <v>0.67</v>
      </c>
      <c r="J3101" s="1">
        <v>0</v>
      </c>
      <c r="K3101" s="2">
        <v>43383</v>
      </c>
      <c r="L3101" s="1">
        <v>3716</v>
      </c>
      <c r="M3101" s="1">
        <v>3.51</v>
      </c>
      <c r="N3101" s="1">
        <v>0.71577999999999997</v>
      </c>
      <c r="O3101" s="3">
        <f>VLOOKUP(D3101,underlying!$D$40:$H$75,5,FALSE)</f>
        <v>-1.25</v>
      </c>
      <c r="P3101" s="4">
        <f t="shared" si="121"/>
        <v>43383</v>
      </c>
      <c r="Q3101" s="7">
        <f>IF(G3101="C",NormalCallSprd(O3101,H3101,M3101,(P3101-A3101)/365), NormalPutSprd(O3101,H3101,M3101,(P3101-A3101)/365))</f>
        <v>0.67644749347178224</v>
      </c>
      <c r="R3101" s="9">
        <f t="shared" si="123"/>
        <v>6.4474934717821952E-3</v>
      </c>
    </row>
    <row r="3102" spans="1:18" x14ac:dyDescent="0.2">
      <c r="A3102" s="2">
        <v>42622</v>
      </c>
      <c r="B3102" s="1" t="s">
        <v>56</v>
      </c>
      <c r="C3102" s="1" t="s">
        <v>57</v>
      </c>
      <c r="D3102" s="2">
        <v>43110</v>
      </c>
      <c r="E3102" s="2">
        <f t="shared" si="122"/>
        <v>43374</v>
      </c>
      <c r="F3102" s="1" t="s">
        <v>58</v>
      </c>
      <c r="G3102" s="1" t="s">
        <v>16</v>
      </c>
      <c r="H3102" s="1">
        <v>-4.75</v>
      </c>
      <c r="I3102" s="1">
        <v>4.18</v>
      </c>
      <c r="J3102" s="1">
        <v>0</v>
      </c>
      <c r="K3102" s="2">
        <v>43383</v>
      </c>
      <c r="L3102" s="1">
        <v>3716</v>
      </c>
      <c r="M3102" s="1">
        <v>3.51</v>
      </c>
      <c r="N3102" s="1">
        <v>0.73960000000000004</v>
      </c>
      <c r="O3102" s="3">
        <f>VLOOKUP(D3102,underlying!$D$40:$H$75,5,FALSE)</f>
        <v>-1.25</v>
      </c>
      <c r="P3102" s="4">
        <f t="shared" si="121"/>
        <v>43383</v>
      </c>
      <c r="Q3102" s="7">
        <f>IF(G3102="C",NormalCallSprd(O3102,H3102,M3102,(P3102-A3102)/365), NormalPutSprd(O3102,H3102,M3102,(P3102-A3102)/365))</f>
        <v>4.2357602800233733</v>
      </c>
      <c r="R3102" s="9">
        <f t="shared" si="123"/>
        <v>5.5760280023373632E-2</v>
      </c>
    </row>
    <row r="3103" spans="1:18" x14ac:dyDescent="0.2">
      <c r="A3103" s="2">
        <v>42622</v>
      </c>
      <c r="B3103" s="1" t="s">
        <v>56</v>
      </c>
      <c r="C3103" s="1" t="s">
        <v>57</v>
      </c>
      <c r="D3103" s="2">
        <v>43110</v>
      </c>
      <c r="E3103" s="2">
        <f t="shared" si="122"/>
        <v>43374</v>
      </c>
      <c r="F3103" s="1" t="s">
        <v>58</v>
      </c>
      <c r="G3103" s="1" t="s">
        <v>18</v>
      </c>
      <c r="H3103" s="1">
        <v>-4.75</v>
      </c>
      <c r="I3103" s="1">
        <v>0.73</v>
      </c>
      <c r="J3103" s="1">
        <v>0</v>
      </c>
      <c r="K3103" s="2">
        <v>43383</v>
      </c>
      <c r="L3103" s="1">
        <v>3716</v>
      </c>
      <c r="M3103" s="1">
        <v>3.51</v>
      </c>
      <c r="N3103" s="1">
        <v>0.76231000000000004</v>
      </c>
      <c r="O3103" s="3">
        <f>VLOOKUP(D3103,underlying!$D$40:$H$75,5,FALSE)</f>
        <v>-1.25</v>
      </c>
      <c r="P3103" s="4">
        <f t="shared" si="121"/>
        <v>43383</v>
      </c>
      <c r="Q3103" s="7">
        <f>IF(G3103="C",NormalCallSprd(O3103,H3103,M3103,(P3103-A3103)/365), NormalPutSprd(O3103,H3103,M3103,(P3103-A3103)/365))</f>
        <v>0.73576028002337324</v>
      </c>
      <c r="R3103" s="9">
        <f t="shared" si="123"/>
        <v>5.7602800233732543E-3</v>
      </c>
    </row>
    <row r="3104" spans="1:18" x14ac:dyDescent="0.2">
      <c r="A3104" s="2">
        <v>42622</v>
      </c>
      <c r="B3104" s="1" t="s">
        <v>56</v>
      </c>
      <c r="C3104" s="1" t="s">
        <v>57</v>
      </c>
      <c r="D3104" s="2">
        <v>43110</v>
      </c>
      <c r="E3104" s="2">
        <f t="shared" si="122"/>
        <v>43374</v>
      </c>
      <c r="F3104" s="1" t="s">
        <v>58</v>
      </c>
      <c r="G3104" s="1" t="s">
        <v>16</v>
      </c>
      <c r="H3104" s="1">
        <v>-4.5</v>
      </c>
      <c r="I3104" s="1">
        <v>3.99</v>
      </c>
      <c r="J3104" s="1">
        <v>-0.01</v>
      </c>
      <c r="K3104" s="2">
        <v>43383</v>
      </c>
      <c r="L3104" s="1">
        <v>3716</v>
      </c>
      <c r="M3104" s="1">
        <v>3.51</v>
      </c>
      <c r="N3104" s="1">
        <v>0.78325</v>
      </c>
      <c r="O3104" s="3">
        <f>VLOOKUP(D3104,underlying!$D$40:$H$75,5,FALSE)</f>
        <v>-1.25</v>
      </c>
      <c r="P3104" s="4">
        <f t="shared" si="121"/>
        <v>43383</v>
      </c>
      <c r="Q3104" s="7">
        <f>IF(G3104="C",NormalCallSprd(O3104,H3104,M3104,(P3104-A3104)/365), NormalPutSprd(O3104,H3104,M3104,(P3104-A3104)/365))</f>
        <v>4.0489486120228717</v>
      </c>
      <c r="R3104" s="9">
        <f t="shared" si="123"/>
        <v>5.8948612022871494E-2</v>
      </c>
    </row>
    <row r="3105" spans="1:18" x14ac:dyDescent="0.2">
      <c r="A3105" s="2">
        <v>42622</v>
      </c>
      <c r="B3105" s="1" t="s">
        <v>56</v>
      </c>
      <c r="C3105" s="1" t="s">
        <v>57</v>
      </c>
      <c r="D3105" s="2">
        <v>43110</v>
      </c>
      <c r="E3105" s="2">
        <f t="shared" si="122"/>
        <v>43374</v>
      </c>
      <c r="F3105" s="1" t="s">
        <v>58</v>
      </c>
      <c r="G3105" s="1" t="s">
        <v>18</v>
      </c>
      <c r="H3105" s="1">
        <v>-4.5</v>
      </c>
      <c r="I3105" s="1">
        <v>0.79</v>
      </c>
      <c r="J3105" s="1">
        <v>0</v>
      </c>
      <c r="K3105" s="2">
        <v>43383</v>
      </c>
      <c r="L3105" s="1">
        <v>3716</v>
      </c>
      <c r="M3105" s="1">
        <v>3.51</v>
      </c>
      <c r="N3105" s="1">
        <v>0.80357000000000001</v>
      </c>
      <c r="O3105" s="3">
        <f>VLOOKUP(D3105,underlying!$D$40:$H$75,5,FALSE)</f>
        <v>-1.25</v>
      </c>
      <c r="P3105" s="4">
        <f t="shared" si="121"/>
        <v>43383</v>
      </c>
      <c r="Q3105" s="7">
        <f>IF(G3105="C",NormalCallSprd(O3105,H3105,M3105,(P3105-A3105)/365), NormalPutSprd(O3105,H3105,M3105,(P3105-A3105)/365))</f>
        <v>0.79894861202287215</v>
      </c>
      <c r="R3105" s="9">
        <f t="shared" si="123"/>
        <v>8.9486120228721155E-3</v>
      </c>
    </row>
    <row r="3106" spans="1:18" x14ac:dyDescent="0.2">
      <c r="A3106" s="2">
        <v>42622</v>
      </c>
      <c r="B3106" s="1" t="s">
        <v>56</v>
      </c>
      <c r="C3106" s="1" t="s">
        <v>57</v>
      </c>
      <c r="D3106" s="2">
        <v>43110</v>
      </c>
      <c r="E3106" s="2">
        <f t="shared" si="122"/>
        <v>43374</v>
      </c>
      <c r="F3106" s="1" t="s">
        <v>58</v>
      </c>
      <c r="G3106" s="1" t="s">
        <v>16</v>
      </c>
      <c r="H3106" s="1">
        <v>-4.25</v>
      </c>
      <c r="I3106" s="1">
        <v>3.81</v>
      </c>
      <c r="J3106" s="1">
        <v>-0.01</v>
      </c>
      <c r="K3106" s="2">
        <v>43383</v>
      </c>
      <c r="L3106" s="1">
        <v>3716</v>
      </c>
      <c r="M3106" s="1">
        <v>3.51</v>
      </c>
      <c r="N3106" s="1">
        <v>0.82265999999999995</v>
      </c>
      <c r="O3106" s="3">
        <f>VLOOKUP(D3106,underlying!$D$40:$H$75,5,FALSE)</f>
        <v>-1.25</v>
      </c>
      <c r="P3106" s="4">
        <f t="shared" si="121"/>
        <v>43383</v>
      </c>
      <c r="Q3106" s="7">
        <f>IF(G3106="C",NormalCallSprd(O3106,H3106,M3106,(P3106-A3106)/365), NormalPutSprd(O3106,H3106,M3106,(P3106-A3106)/365))</f>
        <v>3.8661418536214995</v>
      </c>
      <c r="R3106" s="9">
        <f t="shared" si="123"/>
        <v>5.6141853621499482E-2</v>
      </c>
    </row>
    <row r="3107" spans="1:18" x14ac:dyDescent="0.2">
      <c r="A3107" s="2">
        <v>42622</v>
      </c>
      <c r="B3107" s="1" t="s">
        <v>56</v>
      </c>
      <c r="C3107" s="1" t="s">
        <v>57</v>
      </c>
      <c r="D3107" s="2">
        <v>43110</v>
      </c>
      <c r="E3107" s="2">
        <f t="shared" si="122"/>
        <v>43374</v>
      </c>
      <c r="F3107" s="1" t="s">
        <v>58</v>
      </c>
      <c r="G3107" s="1" t="s">
        <v>18</v>
      </c>
      <c r="H3107" s="1">
        <v>-4.25</v>
      </c>
      <c r="I3107" s="1">
        <v>0.85</v>
      </c>
      <c r="J3107" s="1">
        <v>-0.01</v>
      </c>
      <c r="K3107" s="2">
        <v>43383</v>
      </c>
      <c r="L3107" s="1">
        <v>3716</v>
      </c>
      <c r="M3107" s="1">
        <v>3.51</v>
      </c>
      <c r="N3107" s="1">
        <v>0.84048999999999996</v>
      </c>
      <c r="O3107" s="3">
        <f>VLOOKUP(D3107,underlying!$D$40:$H$75,5,FALSE)</f>
        <v>-1.25</v>
      </c>
      <c r="P3107" s="4">
        <f t="shared" si="121"/>
        <v>43383</v>
      </c>
      <c r="Q3107" s="7">
        <f>IF(G3107="C",NormalCallSprd(O3107,H3107,M3107,(P3107-A3107)/365), NormalPutSprd(O3107,H3107,M3107,(P3107-A3107)/365))</f>
        <v>0.8661418536214992</v>
      </c>
      <c r="R3107" s="9">
        <f t="shared" si="123"/>
        <v>1.6141853621499225E-2</v>
      </c>
    </row>
    <row r="3108" spans="1:18" x14ac:dyDescent="0.2">
      <c r="A3108" s="2">
        <v>42622</v>
      </c>
      <c r="B3108" s="1" t="s">
        <v>56</v>
      </c>
      <c r="C3108" s="1" t="s">
        <v>57</v>
      </c>
      <c r="D3108" s="2">
        <v>43110</v>
      </c>
      <c r="E3108" s="2">
        <f t="shared" si="122"/>
        <v>43374</v>
      </c>
      <c r="F3108" s="1" t="s">
        <v>58</v>
      </c>
      <c r="G3108" s="1" t="s">
        <v>16</v>
      </c>
      <c r="H3108" s="1">
        <v>-4</v>
      </c>
      <c r="I3108" s="1">
        <v>3.64</v>
      </c>
      <c r="J3108" s="1">
        <v>0</v>
      </c>
      <c r="K3108" s="2">
        <v>43383</v>
      </c>
      <c r="L3108" s="1">
        <v>3716</v>
      </c>
      <c r="M3108" s="1">
        <v>3.51</v>
      </c>
      <c r="N3108" s="1">
        <v>0.85706000000000004</v>
      </c>
      <c r="O3108" s="3">
        <f>VLOOKUP(D3108,underlying!$D$40:$H$75,5,FALSE)</f>
        <v>-1.25</v>
      </c>
      <c r="P3108" s="4">
        <f t="shared" si="121"/>
        <v>43383</v>
      </c>
      <c r="Q3108" s="7">
        <f>IF(G3108="C",NormalCallSprd(O3108,H3108,M3108,(P3108-A3108)/365), NormalPutSprd(O3108,H3108,M3108,(P3108-A3108)/365))</f>
        <v>3.6874636334740551</v>
      </c>
      <c r="R3108" s="9">
        <f t="shared" si="123"/>
        <v>4.7463633474055023E-2</v>
      </c>
    </row>
    <row r="3109" spans="1:18" x14ac:dyDescent="0.2">
      <c r="A3109" s="2">
        <v>42622</v>
      </c>
      <c r="B3109" s="1" t="s">
        <v>56</v>
      </c>
      <c r="C3109" s="1" t="s">
        <v>57</v>
      </c>
      <c r="D3109" s="2">
        <v>43110</v>
      </c>
      <c r="E3109" s="2">
        <f t="shared" si="122"/>
        <v>43374</v>
      </c>
      <c r="F3109" s="1" t="s">
        <v>58</v>
      </c>
      <c r="G3109" s="1" t="s">
        <v>18</v>
      </c>
      <c r="H3109" s="1">
        <v>-4</v>
      </c>
      <c r="I3109" s="1">
        <v>0.92</v>
      </c>
      <c r="J3109" s="1">
        <v>-0.01</v>
      </c>
      <c r="K3109" s="2">
        <v>43383</v>
      </c>
      <c r="L3109" s="1">
        <v>3716</v>
      </c>
      <c r="M3109" s="1">
        <v>3.51</v>
      </c>
      <c r="N3109" s="1">
        <v>0.87238000000000004</v>
      </c>
      <c r="O3109" s="3">
        <f>VLOOKUP(D3109,underlying!$D$40:$H$75,5,FALSE)</f>
        <v>-1.25</v>
      </c>
      <c r="P3109" s="4">
        <f t="shared" si="121"/>
        <v>43383</v>
      </c>
      <c r="Q3109" s="7">
        <f>IF(G3109="C",NormalCallSprd(O3109,H3109,M3109,(P3109-A3109)/365), NormalPutSprd(O3109,H3109,M3109,(P3109-A3109)/365))</f>
        <v>0.93746363347405504</v>
      </c>
      <c r="R3109" s="9">
        <f t="shared" si="123"/>
        <v>1.7463633474054996E-2</v>
      </c>
    </row>
    <row r="3110" spans="1:18" x14ac:dyDescent="0.2">
      <c r="A3110" s="2">
        <v>42622</v>
      </c>
      <c r="B3110" s="1" t="s">
        <v>56</v>
      </c>
      <c r="C3110" s="1" t="s">
        <v>57</v>
      </c>
      <c r="D3110" s="2">
        <v>43110</v>
      </c>
      <c r="E3110" s="2">
        <f t="shared" si="122"/>
        <v>43374</v>
      </c>
      <c r="F3110" s="1" t="s">
        <v>58</v>
      </c>
      <c r="G3110" s="1" t="s">
        <v>16</v>
      </c>
      <c r="H3110" s="1">
        <v>-3.75</v>
      </c>
      <c r="I3110" s="1">
        <v>3.46</v>
      </c>
      <c r="J3110" s="1">
        <v>-0.01</v>
      </c>
      <c r="K3110" s="2">
        <v>43383</v>
      </c>
      <c r="L3110" s="1">
        <v>3716</v>
      </c>
      <c r="M3110" s="1">
        <v>3.51</v>
      </c>
      <c r="N3110" s="1">
        <v>0.88646999999999998</v>
      </c>
      <c r="O3110" s="3">
        <f>VLOOKUP(D3110,underlying!$D$40:$H$75,5,FALSE)</f>
        <v>-1.25</v>
      </c>
      <c r="P3110" s="4">
        <f t="shared" si="121"/>
        <v>43383</v>
      </c>
      <c r="Q3110" s="7">
        <f>IF(G3110="C",NormalCallSprd(O3110,H3110,M3110,(P3110-A3110)/365), NormalPutSprd(O3110,H3110,M3110,(P3110-A3110)/365))</f>
        <v>3.5130310577710095</v>
      </c>
      <c r="R3110" s="9">
        <f t="shared" si="123"/>
        <v>5.3031057771009582E-2</v>
      </c>
    </row>
    <row r="3111" spans="1:18" x14ac:dyDescent="0.2">
      <c r="A3111" s="2">
        <v>42622</v>
      </c>
      <c r="B3111" s="1" t="s">
        <v>56</v>
      </c>
      <c r="C3111" s="1" t="s">
        <v>57</v>
      </c>
      <c r="D3111" s="2">
        <v>43110</v>
      </c>
      <c r="E3111" s="2">
        <f t="shared" si="122"/>
        <v>43374</v>
      </c>
      <c r="F3111" s="1" t="s">
        <v>58</v>
      </c>
      <c r="G3111" s="1" t="s">
        <v>18</v>
      </c>
      <c r="H3111" s="1">
        <v>-3.75</v>
      </c>
      <c r="I3111" s="1">
        <v>1</v>
      </c>
      <c r="J3111" s="1">
        <v>0</v>
      </c>
      <c r="K3111" s="2">
        <v>43383</v>
      </c>
      <c r="L3111" s="1">
        <v>3716</v>
      </c>
      <c r="M3111" s="1">
        <v>3.51</v>
      </c>
      <c r="N3111" s="1">
        <v>0.89936000000000005</v>
      </c>
      <c r="O3111" s="3">
        <f>VLOOKUP(D3111,underlying!$D$40:$H$75,5,FALSE)</f>
        <v>-1.25</v>
      </c>
      <c r="P3111" s="4">
        <f t="shared" si="121"/>
        <v>43383</v>
      </c>
      <c r="Q3111" s="7">
        <f>IF(G3111="C",NormalCallSprd(O3111,H3111,M3111,(P3111-A3111)/365), NormalPutSprd(O3111,H3111,M3111,(P3111-A3111)/365))</f>
        <v>1.0130310577710093</v>
      </c>
      <c r="R3111" s="9">
        <f t="shared" si="123"/>
        <v>1.3031057771009324E-2</v>
      </c>
    </row>
    <row r="3112" spans="1:18" x14ac:dyDescent="0.2">
      <c r="A3112" s="2">
        <v>42622</v>
      </c>
      <c r="B3112" s="1" t="s">
        <v>56</v>
      </c>
      <c r="C3112" s="1" t="s">
        <v>57</v>
      </c>
      <c r="D3112" s="2">
        <v>43110</v>
      </c>
      <c r="E3112" s="2">
        <f t="shared" si="122"/>
        <v>43374</v>
      </c>
      <c r="F3112" s="1" t="s">
        <v>58</v>
      </c>
      <c r="G3112" s="1" t="s">
        <v>16</v>
      </c>
      <c r="H3112" s="1">
        <v>-3.5</v>
      </c>
      <c r="I3112" s="1">
        <v>3.3</v>
      </c>
      <c r="J3112" s="1">
        <v>0</v>
      </c>
      <c r="K3112" s="2">
        <v>43383</v>
      </c>
      <c r="L3112" s="1">
        <v>3716</v>
      </c>
      <c r="M3112" s="1">
        <v>3.51</v>
      </c>
      <c r="N3112" s="1">
        <v>0.91108999999999996</v>
      </c>
      <c r="O3112" s="3">
        <f>VLOOKUP(D3112,underlying!$D$40:$H$75,5,FALSE)</f>
        <v>-1.25</v>
      </c>
      <c r="P3112" s="4">
        <f t="shared" si="121"/>
        <v>43383</v>
      </c>
      <c r="Q3112" s="7">
        <f>IF(G3112="C",NormalCallSprd(O3112,H3112,M3112,(P3112-A3112)/365), NormalPutSprd(O3112,H3112,M3112,(P3112-A3112)/365))</f>
        <v>3.3429539482019126</v>
      </c>
      <c r="R3112" s="9">
        <f t="shared" si="123"/>
        <v>4.2953948201912784E-2</v>
      </c>
    </row>
    <row r="3113" spans="1:18" x14ac:dyDescent="0.2">
      <c r="A3113" s="2">
        <v>42622</v>
      </c>
      <c r="B3113" s="1" t="s">
        <v>56</v>
      </c>
      <c r="C3113" s="1" t="s">
        <v>57</v>
      </c>
      <c r="D3113" s="2">
        <v>43110</v>
      </c>
      <c r="E3113" s="2">
        <f t="shared" si="122"/>
        <v>43374</v>
      </c>
      <c r="F3113" s="1" t="s">
        <v>58</v>
      </c>
      <c r="G3113" s="1" t="s">
        <v>18</v>
      </c>
      <c r="H3113" s="1">
        <v>-3.5</v>
      </c>
      <c r="I3113" s="1">
        <v>1.08</v>
      </c>
      <c r="J3113" s="1">
        <v>0</v>
      </c>
      <c r="K3113" s="2">
        <v>43383</v>
      </c>
      <c r="L3113" s="1">
        <v>3716</v>
      </c>
      <c r="M3113" s="1">
        <v>3.51</v>
      </c>
      <c r="N3113" s="1">
        <v>0.94747999999999999</v>
      </c>
      <c r="O3113" s="3">
        <f>VLOOKUP(D3113,underlying!$D$40:$H$75,5,FALSE)</f>
        <v>-1.25</v>
      </c>
      <c r="P3113" s="4">
        <f t="shared" si="121"/>
        <v>43383</v>
      </c>
      <c r="Q3113" s="7">
        <f>IF(G3113="C",NormalCallSprd(O3113,H3113,M3113,(P3113-A3113)/365), NormalPutSprd(O3113,H3113,M3113,(P3113-A3113)/365))</f>
        <v>1.0929539482019126</v>
      </c>
      <c r="R3113" s="9">
        <f t="shared" si="123"/>
        <v>1.2953948201912535E-2</v>
      </c>
    </row>
    <row r="3114" spans="1:18" x14ac:dyDescent="0.2">
      <c r="A3114" s="2">
        <v>42622</v>
      </c>
      <c r="B3114" s="1" t="s">
        <v>56</v>
      </c>
      <c r="C3114" s="1" t="s">
        <v>57</v>
      </c>
      <c r="D3114" s="2">
        <v>43110</v>
      </c>
      <c r="E3114" s="2">
        <f t="shared" si="122"/>
        <v>43374</v>
      </c>
      <c r="F3114" s="1" t="s">
        <v>58</v>
      </c>
      <c r="G3114" s="1" t="s">
        <v>16</v>
      </c>
      <c r="H3114" s="1">
        <v>-3.25</v>
      </c>
      <c r="I3114" s="1">
        <v>3.12</v>
      </c>
      <c r="J3114" s="1">
        <v>-0.01</v>
      </c>
      <c r="K3114" s="2">
        <v>43383</v>
      </c>
      <c r="L3114" s="1">
        <v>3716</v>
      </c>
      <c r="M3114" s="1">
        <v>3.49</v>
      </c>
      <c r="N3114" s="1">
        <v>-0.80357000000000001</v>
      </c>
      <c r="O3114" s="3">
        <f>VLOOKUP(D3114,underlying!$D$40:$H$75,5,FALSE)</f>
        <v>-1.25</v>
      </c>
      <c r="P3114" s="4">
        <f t="shared" si="121"/>
        <v>43383</v>
      </c>
      <c r="Q3114" s="7">
        <f>IF(G3114="C",NormalCallSprd(O3114,H3114,M3114,(P3114-A3114)/365), NormalPutSprd(O3114,H3114,M3114,(P3114-A3114)/365))</f>
        <v>3.1666809818327759</v>
      </c>
      <c r="R3114" s="9">
        <f t="shared" si="123"/>
        <v>4.6680981832775803E-2</v>
      </c>
    </row>
    <row r="3115" spans="1:18" x14ac:dyDescent="0.2">
      <c r="A3115" s="2">
        <v>42622</v>
      </c>
      <c r="B3115" s="1" t="s">
        <v>56</v>
      </c>
      <c r="C3115" s="1" t="s">
        <v>57</v>
      </c>
      <c r="D3115" s="2">
        <v>43110</v>
      </c>
      <c r="E3115" s="2">
        <f t="shared" si="122"/>
        <v>43374</v>
      </c>
      <c r="F3115" s="1" t="s">
        <v>58</v>
      </c>
      <c r="G3115" s="1" t="s">
        <v>18</v>
      </c>
      <c r="H3115" s="1">
        <v>-3.25</v>
      </c>
      <c r="I3115" s="1">
        <v>1.1499999999999999</v>
      </c>
      <c r="J3115" s="1">
        <v>0</v>
      </c>
      <c r="K3115" s="2">
        <v>43383</v>
      </c>
      <c r="L3115" s="1">
        <v>3716</v>
      </c>
      <c r="M3115" s="1">
        <v>3.49</v>
      </c>
      <c r="N3115" s="1">
        <v>-0.78325</v>
      </c>
      <c r="O3115" s="3">
        <f>VLOOKUP(D3115,underlying!$D$40:$H$75,5,FALSE)</f>
        <v>-1.25</v>
      </c>
      <c r="P3115" s="4">
        <f t="shared" si="121"/>
        <v>43383</v>
      </c>
      <c r="Q3115" s="7">
        <f>IF(G3115="C",NormalCallSprd(O3115,H3115,M3115,(P3115-A3115)/365), NormalPutSprd(O3115,H3115,M3115,(P3115-A3115)/365))</f>
        <v>1.1666809818327759</v>
      </c>
      <c r="R3115" s="9">
        <f t="shared" si="123"/>
        <v>1.6680981832775998E-2</v>
      </c>
    </row>
    <row r="3116" spans="1:18" x14ac:dyDescent="0.2">
      <c r="A3116" s="2">
        <v>42622</v>
      </c>
      <c r="B3116" s="1" t="s">
        <v>56</v>
      </c>
      <c r="C3116" s="1" t="s">
        <v>57</v>
      </c>
      <c r="D3116" s="2">
        <v>43110</v>
      </c>
      <c r="E3116" s="2">
        <f t="shared" si="122"/>
        <v>43374</v>
      </c>
      <c r="F3116" s="1" t="s">
        <v>58</v>
      </c>
      <c r="G3116" s="1" t="s">
        <v>16</v>
      </c>
      <c r="H3116" s="1">
        <v>-3</v>
      </c>
      <c r="I3116" s="1">
        <v>2.97</v>
      </c>
      <c r="J3116" s="1">
        <v>-0.01</v>
      </c>
      <c r="K3116" s="2">
        <v>43383</v>
      </c>
      <c r="L3116" s="1">
        <v>3716</v>
      </c>
      <c r="M3116" s="1">
        <v>3.51</v>
      </c>
      <c r="N3116" s="1">
        <v>-0.76056000000000001</v>
      </c>
      <c r="O3116" s="3">
        <f>VLOOKUP(D3116,underlying!$D$40:$H$75,5,FALSE)</f>
        <v>-1.25</v>
      </c>
      <c r="P3116" s="4">
        <f t="shared" si="121"/>
        <v>43383</v>
      </c>
      <c r="Q3116" s="7">
        <f>IF(G3116="C",NormalCallSprd(O3116,H3116,M3116,(P3116-A3116)/365), NormalPutSprd(O3116,H3116,M3116,(P3116-A3116)/365))</f>
        <v>3.0162646595229705</v>
      </c>
      <c r="R3116" s="9">
        <f t="shared" si="123"/>
        <v>4.6264659522970319E-2</v>
      </c>
    </row>
    <row r="3117" spans="1:18" x14ac:dyDescent="0.2">
      <c r="A3117" s="2">
        <v>42622</v>
      </c>
      <c r="B3117" s="1" t="s">
        <v>56</v>
      </c>
      <c r="C3117" s="1" t="s">
        <v>57</v>
      </c>
      <c r="D3117" s="2">
        <v>43110</v>
      </c>
      <c r="E3117" s="2">
        <f t="shared" si="122"/>
        <v>43374</v>
      </c>
      <c r="F3117" s="1" t="s">
        <v>58</v>
      </c>
      <c r="G3117" s="1" t="s">
        <v>18</v>
      </c>
      <c r="H3117" s="1">
        <v>-3</v>
      </c>
      <c r="I3117" s="1">
        <v>1.25</v>
      </c>
      <c r="J3117" s="1">
        <v>0</v>
      </c>
      <c r="K3117" s="2">
        <v>43383</v>
      </c>
      <c r="L3117" s="1">
        <v>3716</v>
      </c>
      <c r="M3117" s="1">
        <v>3.51</v>
      </c>
      <c r="N3117" s="1">
        <v>-2.5260000000000001E-2</v>
      </c>
      <c r="O3117" s="3">
        <f>VLOOKUP(D3117,underlying!$D$40:$H$75,5,FALSE)</f>
        <v>-1.25</v>
      </c>
      <c r="P3117" s="4">
        <f t="shared" si="121"/>
        <v>43383</v>
      </c>
      <c r="Q3117" s="7">
        <f>IF(G3117="C",NormalCallSprd(O3117,H3117,M3117,(P3117-A3117)/365), NormalPutSprd(O3117,H3117,M3117,(P3117-A3117)/365))</f>
        <v>1.2662646595229705</v>
      </c>
      <c r="R3117" s="9">
        <f t="shared" si="123"/>
        <v>1.6264659522970515E-2</v>
      </c>
    </row>
    <row r="3118" spans="1:18" x14ac:dyDescent="0.2">
      <c r="A3118" s="2">
        <v>42622</v>
      </c>
      <c r="B3118" s="1" t="s">
        <v>56</v>
      </c>
      <c r="C3118" s="1" t="s">
        <v>57</v>
      </c>
      <c r="D3118" s="2">
        <v>43110</v>
      </c>
      <c r="E3118" s="2">
        <f t="shared" si="122"/>
        <v>43374</v>
      </c>
      <c r="F3118" s="1" t="s">
        <v>58</v>
      </c>
      <c r="G3118" s="1" t="s">
        <v>16</v>
      </c>
      <c r="H3118" s="1">
        <v>-2.75</v>
      </c>
      <c r="I3118" s="1">
        <v>2.81</v>
      </c>
      <c r="J3118" s="1">
        <v>0</v>
      </c>
      <c r="K3118" s="2">
        <v>43383</v>
      </c>
      <c r="L3118" s="1">
        <v>3716</v>
      </c>
      <c r="M3118" s="1">
        <v>3.49</v>
      </c>
      <c r="N3118" s="1">
        <v>-0.73848999999999998</v>
      </c>
      <c r="O3118" s="3">
        <f>VLOOKUP(D3118,underlying!$D$40:$H$75,5,FALSE)</f>
        <v>-1.25</v>
      </c>
      <c r="P3118" s="4">
        <f t="shared" si="121"/>
        <v>43383</v>
      </c>
      <c r="Q3118" s="7">
        <f>IF(G3118="C",NormalCallSprd(O3118,H3118,M3118,(P3118-A3118)/365), NormalPutSprd(O3118,H3118,M3118,(P3118-A3118)/365))</f>
        <v>2.8488049266569169</v>
      </c>
      <c r="R3118" s="9">
        <f t="shared" si="123"/>
        <v>3.8804926656916816E-2</v>
      </c>
    </row>
    <row r="3119" spans="1:18" x14ac:dyDescent="0.2">
      <c r="A3119" s="2">
        <v>42622</v>
      </c>
      <c r="B3119" s="1" t="s">
        <v>56</v>
      </c>
      <c r="C3119" s="1" t="s">
        <v>57</v>
      </c>
      <c r="D3119" s="2">
        <v>43110</v>
      </c>
      <c r="E3119" s="2">
        <f t="shared" si="122"/>
        <v>43374</v>
      </c>
      <c r="F3119" s="1" t="s">
        <v>58</v>
      </c>
      <c r="G3119" s="1" t="s">
        <v>18</v>
      </c>
      <c r="H3119" s="1">
        <v>-2.75</v>
      </c>
      <c r="I3119" s="1">
        <v>1.33</v>
      </c>
      <c r="J3119" s="1">
        <v>0</v>
      </c>
      <c r="K3119" s="2">
        <v>43383</v>
      </c>
      <c r="L3119" s="1">
        <v>3716</v>
      </c>
      <c r="M3119" s="1">
        <v>3.49</v>
      </c>
      <c r="N3119" s="1">
        <v>-0.71577999999999997</v>
      </c>
      <c r="O3119" s="3">
        <f>VLOOKUP(D3119,underlying!$D$40:$H$75,5,FALSE)</f>
        <v>-1.25</v>
      </c>
      <c r="P3119" s="4">
        <f t="shared" si="121"/>
        <v>43383</v>
      </c>
      <c r="Q3119" s="7">
        <f>IF(G3119="C",NormalCallSprd(O3119,H3119,M3119,(P3119-A3119)/365), NormalPutSprd(O3119,H3119,M3119,(P3119-A3119)/365))</f>
        <v>1.3488049266569169</v>
      </c>
      <c r="R3119" s="9">
        <f t="shared" si="123"/>
        <v>1.8804926656916798E-2</v>
      </c>
    </row>
    <row r="3120" spans="1:18" x14ac:dyDescent="0.2">
      <c r="A3120" s="2">
        <v>42622</v>
      </c>
      <c r="B3120" s="1" t="s">
        <v>56</v>
      </c>
      <c r="C3120" s="1" t="s">
        <v>57</v>
      </c>
      <c r="D3120" s="2">
        <v>43110</v>
      </c>
      <c r="E3120" s="2">
        <f t="shared" si="122"/>
        <v>43374</v>
      </c>
      <c r="F3120" s="1" t="s">
        <v>58</v>
      </c>
      <c r="G3120" s="1" t="s">
        <v>16</v>
      </c>
      <c r="H3120" s="1">
        <v>-2.5</v>
      </c>
      <c r="I3120" s="1">
        <v>2.67</v>
      </c>
      <c r="J3120" s="1">
        <v>0</v>
      </c>
      <c r="K3120" s="2">
        <v>43383</v>
      </c>
      <c r="L3120" s="1">
        <v>3716</v>
      </c>
      <c r="M3120" s="1">
        <v>3.51</v>
      </c>
      <c r="N3120" s="1">
        <v>-0.69001000000000001</v>
      </c>
      <c r="O3120" s="3">
        <f>VLOOKUP(D3120,underlying!$D$40:$H$75,5,FALSE)</f>
        <v>-1.25</v>
      </c>
      <c r="P3120" s="4">
        <f t="shared" si="121"/>
        <v>43383</v>
      </c>
      <c r="Q3120" s="7">
        <f>IF(G3120="C",NormalCallSprd(O3120,H3120,M3120,(P3120-A3120)/365), NormalPutSprd(O3120,H3120,M3120,(P3120-A3120)/365))</f>
        <v>2.7081020434835641</v>
      </c>
      <c r="R3120" s="9">
        <f t="shared" si="123"/>
        <v>3.8102043483564163E-2</v>
      </c>
    </row>
    <row r="3121" spans="1:18" x14ac:dyDescent="0.2">
      <c r="A3121" s="2">
        <v>42622</v>
      </c>
      <c r="B3121" s="1" t="s">
        <v>56</v>
      </c>
      <c r="C3121" s="1" t="s">
        <v>57</v>
      </c>
      <c r="D3121" s="2">
        <v>43110</v>
      </c>
      <c r="E3121" s="2">
        <f t="shared" si="122"/>
        <v>43374</v>
      </c>
      <c r="F3121" s="1" t="s">
        <v>58</v>
      </c>
      <c r="G3121" s="1" t="s">
        <v>18</v>
      </c>
      <c r="H3121" s="1">
        <v>-2.5</v>
      </c>
      <c r="I3121" s="1">
        <v>1.44</v>
      </c>
      <c r="J3121" s="1">
        <v>0</v>
      </c>
      <c r="K3121" s="2">
        <v>43383</v>
      </c>
      <c r="L3121" s="1">
        <v>3716</v>
      </c>
      <c r="M3121" s="1">
        <v>3.51</v>
      </c>
      <c r="N3121" s="1">
        <v>-0.66517999999999999</v>
      </c>
      <c r="O3121" s="3">
        <f>VLOOKUP(D3121,underlying!$D$40:$H$75,5,FALSE)</f>
        <v>-1.25</v>
      </c>
      <c r="P3121" s="4">
        <f t="shared" si="121"/>
        <v>43383</v>
      </c>
      <c r="Q3121" s="7">
        <f>IF(G3121="C",NormalCallSprd(O3121,H3121,M3121,(P3121-A3121)/365), NormalPutSprd(O3121,H3121,M3121,(P3121-A3121)/365))</f>
        <v>1.4581020434835639</v>
      </c>
      <c r="R3121" s="9">
        <f t="shared" si="123"/>
        <v>1.8102043483563923E-2</v>
      </c>
    </row>
    <row r="3122" spans="1:18" x14ac:dyDescent="0.2">
      <c r="A3122" s="2">
        <v>42622</v>
      </c>
      <c r="B3122" s="1" t="s">
        <v>56</v>
      </c>
      <c r="C3122" s="1" t="s">
        <v>57</v>
      </c>
      <c r="D3122" s="2">
        <v>43110</v>
      </c>
      <c r="E3122" s="2">
        <f t="shared" si="122"/>
        <v>43374</v>
      </c>
      <c r="F3122" s="1" t="s">
        <v>58</v>
      </c>
      <c r="G3122" s="1" t="s">
        <v>16</v>
      </c>
      <c r="H3122" s="1">
        <v>-2.25</v>
      </c>
      <c r="I3122" s="1">
        <v>2.5099999999999998</v>
      </c>
      <c r="J3122" s="1">
        <v>-0.01</v>
      </c>
      <c r="K3122" s="2">
        <v>43383</v>
      </c>
      <c r="L3122" s="1">
        <v>3716</v>
      </c>
      <c r="M3122" s="1">
        <v>3.49</v>
      </c>
      <c r="N3122" s="1">
        <v>-0.63787000000000005</v>
      </c>
      <c r="O3122" s="3">
        <f>VLOOKUP(D3122,underlying!$D$40:$H$75,5,FALSE)</f>
        <v>-1.25</v>
      </c>
      <c r="P3122" s="4">
        <f t="shared" si="121"/>
        <v>43383</v>
      </c>
      <c r="Q3122" s="7">
        <f>IF(G3122="C",NormalCallSprd(O3122,H3122,M3122,(P3122-A3122)/365), NormalPutSprd(O3122,H3122,M3122,(P3122-A3122)/365))</f>
        <v>2.5498485904676689</v>
      </c>
      <c r="R3122" s="9">
        <f t="shared" si="123"/>
        <v>3.9848590467669087E-2</v>
      </c>
    </row>
    <row r="3123" spans="1:18" x14ac:dyDescent="0.2">
      <c r="A3123" s="2">
        <v>42622</v>
      </c>
      <c r="B3123" s="1" t="s">
        <v>56</v>
      </c>
      <c r="C3123" s="1" t="s">
        <v>57</v>
      </c>
      <c r="D3123" s="2">
        <v>43110</v>
      </c>
      <c r="E3123" s="2">
        <f t="shared" si="122"/>
        <v>43374</v>
      </c>
      <c r="F3123" s="1" t="s">
        <v>58</v>
      </c>
      <c r="G3123" s="1" t="s">
        <v>18</v>
      </c>
      <c r="H3123" s="1">
        <v>-2.25</v>
      </c>
      <c r="I3123" s="1">
        <v>1.53</v>
      </c>
      <c r="J3123" s="1">
        <v>0</v>
      </c>
      <c r="K3123" s="2">
        <v>43383</v>
      </c>
      <c r="L3123" s="1">
        <v>3716</v>
      </c>
      <c r="M3123" s="1">
        <v>3.49</v>
      </c>
      <c r="N3123" s="1">
        <v>-0.61128000000000005</v>
      </c>
      <c r="O3123" s="3">
        <f>VLOOKUP(D3123,underlying!$D$40:$H$75,5,FALSE)</f>
        <v>-1.25</v>
      </c>
      <c r="P3123" s="4">
        <f t="shared" si="121"/>
        <v>43383</v>
      </c>
      <c r="Q3123" s="7">
        <f>IF(G3123="C",NormalCallSprd(O3123,H3123,M3123,(P3123-A3123)/365), NormalPutSprd(O3123,H3123,M3123,(P3123-A3123)/365))</f>
        <v>1.5498485904676689</v>
      </c>
      <c r="R3123" s="9">
        <f t="shared" si="123"/>
        <v>1.9848590467668847E-2</v>
      </c>
    </row>
    <row r="3124" spans="1:18" x14ac:dyDescent="0.2">
      <c r="A3124" s="2">
        <v>42622</v>
      </c>
      <c r="B3124" s="1" t="s">
        <v>56</v>
      </c>
      <c r="C3124" s="1" t="s">
        <v>57</v>
      </c>
      <c r="D3124" s="2">
        <v>43110</v>
      </c>
      <c r="E3124" s="2">
        <f t="shared" si="122"/>
        <v>43374</v>
      </c>
      <c r="F3124" s="1" t="s">
        <v>58</v>
      </c>
      <c r="G3124" s="1" t="s">
        <v>16</v>
      </c>
      <c r="H3124" s="1">
        <v>-2</v>
      </c>
      <c r="I3124" s="1">
        <v>2.38</v>
      </c>
      <c r="J3124" s="1">
        <v>0</v>
      </c>
      <c r="K3124" s="2">
        <v>43383</v>
      </c>
      <c r="L3124" s="1">
        <v>3716</v>
      </c>
      <c r="M3124" s="1">
        <v>3.5</v>
      </c>
      <c r="N3124" s="1">
        <v>-0.58316999999999997</v>
      </c>
      <c r="O3124" s="3">
        <f>VLOOKUP(D3124,underlying!$D$40:$H$75,5,FALSE)</f>
        <v>-1.25</v>
      </c>
      <c r="P3124" s="4">
        <f t="shared" si="121"/>
        <v>43383</v>
      </c>
      <c r="Q3124" s="7">
        <f>IF(G3124="C",NormalCallSprd(O3124,H3124,M3124,(P3124-A3124)/365), NormalPutSprd(O3124,H3124,M3124,(P3124-A3124)/365))</f>
        <v>2.4133165798366938</v>
      </c>
      <c r="R3124" s="9">
        <f t="shared" si="123"/>
        <v>3.3316579836693894E-2</v>
      </c>
    </row>
    <row r="3125" spans="1:18" x14ac:dyDescent="0.2">
      <c r="A3125" s="2">
        <v>42622</v>
      </c>
      <c r="B3125" s="1" t="s">
        <v>56</v>
      </c>
      <c r="C3125" s="1" t="s">
        <v>57</v>
      </c>
      <c r="D3125" s="2">
        <v>43110</v>
      </c>
      <c r="E3125" s="2">
        <f t="shared" si="122"/>
        <v>43374</v>
      </c>
      <c r="F3125" s="1" t="s">
        <v>58</v>
      </c>
      <c r="G3125" s="1" t="s">
        <v>18</v>
      </c>
      <c r="H3125" s="1">
        <v>-2</v>
      </c>
      <c r="I3125" s="1">
        <v>1.64</v>
      </c>
      <c r="J3125" s="1">
        <v>0</v>
      </c>
      <c r="K3125" s="2">
        <v>43383</v>
      </c>
      <c r="L3125" s="1">
        <v>3716</v>
      </c>
      <c r="M3125" s="1">
        <v>3.5</v>
      </c>
      <c r="N3125" s="1">
        <v>-0.55491000000000001</v>
      </c>
      <c r="O3125" s="3">
        <f>VLOOKUP(D3125,underlying!$D$40:$H$75,5,FALSE)</f>
        <v>-1.25</v>
      </c>
      <c r="P3125" s="4">
        <f t="shared" si="121"/>
        <v>43383</v>
      </c>
      <c r="Q3125" s="7">
        <f>IF(G3125="C",NormalCallSprd(O3125,H3125,M3125,(P3125-A3125)/365), NormalPutSprd(O3125,H3125,M3125,(P3125-A3125)/365))</f>
        <v>1.6633165798366936</v>
      </c>
      <c r="R3125" s="9">
        <f t="shared" si="123"/>
        <v>2.3316579836693663E-2</v>
      </c>
    </row>
    <row r="3126" spans="1:18" x14ac:dyDescent="0.2">
      <c r="A3126" s="2">
        <v>42622</v>
      </c>
      <c r="B3126" s="1" t="s">
        <v>56</v>
      </c>
      <c r="C3126" s="1" t="s">
        <v>57</v>
      </c>
      <c r="D3126" s="2">
        <v>43110</v>
      </c>
      <c r="E3126" s="2">
        <f t="shared" si="122"/>
        <v>43374</v>
      </c>
      <c r="F3126" s="1" t="s">
        <v>58</v>
      </c>
      <c r="G3126" s="1" t="s">
        <v>16</v>
      </c>
      <c r="H3126" s="1">
        <v>-1.75</v>
      </c>
      <c r="I3126" s="1">
        <v>2.2400000000000002</v>
      </c>
      <c r="J3126" s="1">
        <v>-0.01</v>
      </c>
      <c r="K3126" s="2">
        <v>43383</v>
      </c>
      <c r="L3126" s="1">
        <v>3716</v>
      </c>
      <c r="M3126" s="1">
        <v>3.5</v>
      </c>
      <c r="N3126" s="1">
        <v>-0.52627999999999997</v>
      </c>
      <c r="O3126" s="3">
        <f>VLOOKUP(D3126,underlying!$D$40:$H$75,5,FALSE)</f>
        <v>-1.25</v>
      </c>
      <c r="P3126" s="4">
        <f t="shared" si="121"/>
        <v>43383</v>
      </c>
      <c r="Q3126" s="7">
        <f>IF(G3126="C",NormalCallSprd(O3126,H3126,M3126,(P3126-A3126)/365), NormalPutSprd(O3126,H3126,M3126,(P3126-A3126)/365))</f>
        <v>2.276014850143889</v>
      </c>
      <c r="R3126" s="9">
        <f t="shared" si="123"/>
        <v>3.6014850143888832E-2</v>
      </c>
    </row>
    <row r="3127" spans="1:18" x14ac:dyDescent="0.2">
      <c r="A3127" s="2">
        <v>42622</v>
      </c>
      <c r="B3127" s="1" t="s">
        <v>56</v>
      </c>
      <c r="C3127" s="1" t="s">
        <v>57</v>
      </c>
      <c r="D3127" s="2">
        <v>43110</v>
      </c>
      <c r="E3127" s="2">
        <f t="shared" si="122"/>
        <v>43374</v>
      </c>
      <c r="F3127" s="1" t="s">
        <v>58</v>
      </c>
      <c r="G3127" s="1" t="s">
        <v>18</v>
      </c>
      <c r="H3127" s="1">
        <v>-1.75</v>
      </c>
      <c r="I3127" s="1">
        <v>1.75</v>
      </c>
      <c r="J3127" s="1">
        <v>0</v>
      </c>
      <c r="K3127" s="2">
        <v>43383</v>
      </c>
      <c r="L3127" s="1">
        <v>3716</v>
      </c>
      <c r="M3127" s="1">
        <v>3.5</v>
      </c>
      <c r="N3127" s="1">
        <v>-0.49764999999999998</v>
      </c>
      <c r="O3127" s="3">
        <f>VLOOKUP(D3127,underlying!$D$40:$H$75,5,FALSE)</f>
        <v>-1.25</v>
      </c>
      <c r="P3127" s="4">
        <f t="shared" si="121"/>
        <v>43383</v>
      </c>
      <c r="Q3127" s="7">
        <f>IF(G3127="C",NormalCallSprd(O3127,H3127,M3127,(P3127-A3127)/365), NormalPutSprd(O3127,H3127,M3127,(P3127-A3127)/365))</f>
        <v>1.7760148501438893</v>
      </c>
      <c r="R3127" s="9">
        <f t="shared" si="123"/>
        <v>2.6014850143889268E-2</v>
      </c>
    </row>
    <row r="3128" spans="1:18" x14ac:dyDescent="0.2">
      <c r="A3128" s="2">
        <v>42622</v>
      </c>
      <c r="B3128" s="1" t="s">
        <v>56</v>
      </c>
      <c r="C3128" s="1" t="s">
        <v>57</v>
      </c>
      <c r="D3128" s="2">
        <v>43110</v>
      </c>
      <c r="E3128" s="2">
        <f t="shared" si="122"/>
        <v>43374</v>
      </c>
      <c r="F3128" s="1" t="s">
        <v>58</v>
      </c>
      <c r="G3128" s="1" t="s">
        <v>16</v>
      </c>
      <c r="H3128" s="1">
        <v>-1.5</v>
      </c>
      <c r="I3128" s="1">
        <v>2.12</v>
      </c>
      <c r="J3128" s="1">
        <v>0</v>
      </c>
      <c r="K3128" s="2">
        <v>43383</v>
      </c>
      <c r="L3128" s="1">
        <v>3716</v>
      </c>
      <c r="M3128" s="1">
        <v>3.51</v>
      </c>
      <c r="N3128" s="1">
        <v>-0.46903</v>
      </c>
      <c r="O3128" s="3">
        <f>VLOOKUP(D3128,underlying!$D$40:$H$75,5,FALSE)</f>
        <v>-1.25</v>
      </c>
      <c r="P3128" s="4">
        <f t="shared" si="121"/>
        <v>43383</v>
      </c>
      <c r="Q3128" s="7">
        <f>IF(G3128="C",NormalCallSprd(O3128,H3128,M3128,(P3128-A3128)/365), NormalPutSprd(O3128,H3128,M3128,(P3128-A3128)/365))</f>
        <v>2.1493752004399593</v>
      </c>
      <c r="R3128" s="9">
        <f t="shared" si="123"/>
        <v>2.9375200439959226E-2</v>
      </c>
    </row>
    <row r="3129" spans="1:18" x14ac:dyDescent="0.2">
      <c r="A3129" s="2">
        <v>42622</v>
      </c>
      <c r="B3129" s="1" t="s">
        <v>56</v>
      </c>
      <c r="C3129" s="1" t="s">
        <v>57</v>
      </c>
      <c r="D3129" s="2">
        <v>43110</v>
      </c>
      <c r="E3129" s="2">
        <f t="shared" si="122"/>
        <v>43374</v>
      </c>
      <c r="F3129" s="1" t="s">
        <v>58</v>
      </c>
      <c r="G3129" s="1" t="s">
        <v>18</v>
      </c>
      <c r="H3129" s="1">
        <v>-1.5</v>
      </c>
      <c r="I3129" s="1">
        <v>1.87</v>
      </c>
      <c r="J3129" s="1">
        <v>-0.01</v>
      </c>
      <c r="K3129" s="2">
        <v>43383</v>
      </c>
      <c r="L3129" s="1">
        <v>3716</v>
      </c>
      <c r="M3129" s="1">
        <v>3.51</v>
      </c>
      <c r="N3129" s="1">
        <v>-0.44040000000000001</v>
      </c>
      <c r="O3129" s="3">
        <f>VLOOKUP(D3129,underlying!$D$40:$H$75,5,FALSE)</f>
        <v>-1.25</v>
      </c>
      <c r="P3129" s="4">
        <f t="shared" ref="P3129:P3192" si="124">DATE(YEAR(K3129),DAY(K3129),MONTH(K3129))</f>
        <v>43383</v>
      </c>
      <c r="Q3129" s="7">
        <f>IF(G3129="C",NormalCallSprd(O3129,H3129,M3129,(P3129-A3129)/365), NormalPutSprd(O3129,H3129,M3129,(P3129-A3129)/365))</f>
        <v>1.8993752004399593</v>
      </c>
      <c r="R3129" s="9">
        <f t="shared" si="123"/>
        <v>2.9375200439959226E-2</v>
      </c>
    </row>
    <row r="3130" spans="1:18" x14ac:dyDescent="0.2">
      <c r="A3130" s="2">
        <v>42622</v>
      </c>
      <c r="B3130" s="1" t="s">
        <v>56</v>
      </c>
      <c r="C3130" s="1" t="s">
        <v>57</v>
      </c>
      <c r="D3130" s="2">
        <v>43110</v>
      </c>
      <c r="E3130" s="2">
        <f t="shared" si="122"/>
        <v>43374</v>
      </c>
      <c r="F3130" s="1" t="s">
        <v>58</v>
      </c>
      <c r="G3130" s="1" t="s">
        <v>16</v>
      </c>
      <c r="H3130" s="1">
        <v>-1.25</v>
      </c>
      <c r="I3130" s="1">
        <v>1.99</v>
      </c>
      <c r="J3130" s="1">
        <v>0</v>
      </c>
      <c r="K3130" s="2">
        <v>43383</v>
      </c>
      <c r="L3130" s="1">
        <v>3716</v>
      </c>
      <c r="M3130" s="1">
        <v>3.5</v>
      </c>
      <c r="N3130" s="1">
        <v>-0.41214000000000001</v>
      </c>
      <c r="O3130" s="3">
        <f>VLOOKUP(D3130,underlying!$D$40:$H$75,5,FALSE)</f>
        <v>-1.25</v>
      </c>
      <c r="P3130" s="4">
        <f t="shared" si="124"/>
        <v>43383</v>
      </c>
      <c r="Q3130" s="7">
        <f>IF(G3130="C",NormalCallSprd(O3130,H3130,M3130,(P3130-A3130)/365), NormalPutSprd(O3130,H3130,M3130,(P3130-A3130)/365))</f>
        <v>2.0161554138280122</v>
      </c>
      <c r="R3130" s="9">
        <f t="shared" si="123"/>
        <v>2.6155413828012231E-2</v>
      </c>
    </row>
    <row r="3131" spans="1:18" x14ac:dyDescent="0.2">
      <c r="A3131" s="2">
        <v>42622</v>
      </c>
      <c r="B3131" s="1" t="s">
        <v>56</v>
      </c>
      <c r="C3131" s="1" t="s">
        <v>57</v>
      </c>
      <c r="D3131" s="2">
        <v>43110</v>
      </c>
      <c r="E3131" s="2">
        <f t="shared" si="122"/>
        <v>43374</v>
      </c>
      <c r="F3131" s="1" t="s">
        <v>58</v>
      </c>
      <c r="G3131" s="1" t="s">
        <v>18</v>
      </c>
      <c r="H3131" s="1">
        <v>-1.25</v>
      </c>
      <c r="I3131" s="1">
        <v>1.99</v>
      </c>
      <c r="J3131" s="1">
        <v>0</v>
      </c>
      <c r="K3131" s="2">
        <v>43383</v>
      </c>
      <c r="L3131" s="1">
        <v>3716</v>
      </c>
      <c r="M3131" s="1">
        <v>3.5</v>
      </c>
      <c r="N3131" s="1">
        <v>-0.38402999999999998</v>
      </c>
      <c r="O3131" s="3">
        <f>VLOOKUP(D3131,underlying!$D$40:$H$75,5,FALSE)</f>
        <v>-1.25</v>
      </c>
      <c r="P3131" s="4">
        <f t="shared" si="124"/>
        <v>43383</v>
      </c>
      <c r="Q3131" s="7">
        <f>IF(G3131="C",NormalCallSprd(O3131,H3131,M3131,(P3131-A3131)/365), NormalPutSprd(O3131,H3131,M3131,(P3131-A3131)/365))</f>
        <v>2.0161554138280122</v>
      </c>
      <c r="R3131" s="9">
        <f t="shared" si="123"/>
        <v>2.6155413828012231E-2</v>
      </c>
    </row>
    <row r="3132" spans="1:18" x14ac:dyDescent="0.2">
      <c r="A3132" s="2">
        <v>42622</v>
      </c>
      <c r="B3132" s="1" t="s">
        <v>56</v>
      </c>
      <c r="C3132" s="1" t="s">
        <v>57</v>
      </c>
      <c r="D3132" s="2">
        <v>43110</v>
      </c>
      <c r="E3132" s="2">
        <f t="shared" si="122"/>
        <v>43374</v>
      </c>
      <c r="F3132" s="1" t="s">
        <v>58</v>
      </c>
      <c r="G3132" s="1" t="s">
        <v>16</v>
      </c>
      <c r="H3132" s="1">
        <v>-1</v>
      </c>
      <c r="I3132" s="1">
        <v>1.87</v>
      </c>
      <c r="J3132" s="1">
        <v>-0.01</v>
      </c>
      <c r="K3132" s="2">
        <v>43383</v>
      </c>
      <c r="L3132" s="1">
        <v>3716</v>
      </c>
      <c r="M3132" s="1">
        <v>3.51</v>
      </c>
      <c r="N3132" s="1">
        <v>-0.35743999999999998</v>
      </c>
      <c r="O3132" s="3">
        <f>VLOOKUP(D3132,underlying!$D$40:$H$75,5,FALSE)</f>
        <v>-1.25</v>
      </c>
      <c r="P3132" s="4">
        <f t="shared" si="124"/>
        <v>43383</v>
      </c>
      <c r="Q3132" s="7">
        <f>IF(G3132="C",NormalCallSprd(O3132,H3132,M3132,(P3132-A3132)/365), NormalPutSprd(O3132,H3132,M3132,(P3132-A3132)/365))</f>
        <v>1.8993752004399593</v>
      </c>
      <c r="R3132" s="9">
        <f t="shared" si="123"/>
        <v>2.9375200439959226E-2</v>
      </c>
    </row>
    <row r="3133" spans="1:18" x14ac:dyDescent="0.2">
      <c r="A3133" s="2">
        <v>42622</v>
      </c>
      <c r="B3133" s="1" t="s">
        <v>56</v>
      </c>
      <c r="C3133" s="1" t="s">
        <v>57</v>
      </c>
      <c r="D3133" s="2">
        <v>43110</v>
      </c>
      <c r="E3133" s="2">
        <f t="shared" si="122"/>
        <v>43374</v>
      </c>
      <c r="F3133" s="1" t="s">
        <v>58</v>
      </c>
      <c r="G3133" s="1" t="s">
        <v>18</v>
      </c>
      <c r="H3133" s="1">
        <v>-1</v>
      </c>
      <c r="I3133" s="1">
        <v>2.12</v>
      </c>
      <c r="J3133" s="1">
        <v>0</v>
      </c>
      <c r="K3133" s="2">
        <v>43383</v>
      </c>
      <c r="L3133" s="1">
        <v>3716</v>
      </c>
      <c r="M3133" s="1">
        <v>3.51</v>
      </c>
      <c r="N3133" s="1">
        <v>-0.33012999999999998</v>
      </c>
      <c r="O3133" s="3">
        <f>VLOOKUP(D3133,underlying!$D$40:$H$75,5,FALSE)</f>
        <v>-1.25</v>
      </c>
      <c r="P3133" s="4">
        <f t="shared" si="124"/>
        <v>43383</v>
      </c>
      <c r="Q3133" s="7">
        <f>IF(G3133="C",NormalCallSprd(O3133,H3133,M3133,(P3133-A3133)/365), NormalPutSprd(O3133,H3133,M3133,(P3133-A3133)/365))</f>
        <v>2.1493752004399593</v>
      </c>
      <c r="R3133" s="9">
        <f t="shared" si="123"/>
        <v>2.9375200439959226E-2</v>
      </c>
    </row>
    <row r="3134" spans="1:18" x14ac:dyDescent="0.2">
      <c r="A3134" s="2">
        <v>42622</v>
      </c>
      <c r="B3134" s="1" t="s">
        <v>56</v>
      </c>
      <c r="C3134" s="1" t="s">
        <v>57</v>
      </c>
      <c r="D3134" s="2">
        <v>43110</v>
      </c>
      <c r="E3134" s="2">
        <f t="shared" si="122"/>
        <v>43374</v>
      </c>
      <c r="F3134" s="1" t="s">
        <v>58</v>
      </c>
      <c r="G3134" s="1" t="s">
        <v>16</v>
      </c>
      <c r="H3134" s="1">
        <v>-0.75</v>
      </c>
      <c r="I3134" s="1">
        <v>1.75</v>
      </c>
      <c r="J3134" s="1">
        <v>0</v>
      </c>
      <c r="K3134" s="2">
        <v>43383</v>
      </c>
      <c r="L3134" s="1">
        <v>3716</v>
      </c>
      <c r="M3134" s="1">
        <v>3.5</v>
      </c>
      <c r="N3134" s="1">
        <v>-0.30530000000000002</v>
      </c>
      <c r="O3134" s="3">
        <f>VLOOKUP(D3134,underlying!$D$40:$H$75,5,FALSE)</f>
        <v>-1.25</v>
      </c>
      <c r="P3134" s="4">
        <f t="shared" si="124"/>
        <v>43383</v>
      </c>
      <c r="Q3134" s="7">
        <f>IF(G3134="C",NormalCallSprd(O3134,H3134,M3134,(P3134-A3134)/365), NormalPutSprd(O3134,H3134,M3134,(P3134-A3134)/365))</f>
        <v>1.7760148501438893</v>
      </c>
      <c r="R3134" s="9">
        <f t="shared" si="123"/>
        <v>2.6014850143889268E-2</v>
      </c>
    </row>
    <row r="3135" spans="1:18" x14ac:dyDescent="0.2">
      <c r="A3135" s="2">
        <v>42622</v>
      </c>
      <c r="B3135" s="1" t="s">
        <v>56</v>
      </c>
      <c r="C3135" s="1" t="s">
        <v>57</v>
      </c>
      <c r="D3135" s="2">
        <v>43110</v>
      </c>
      <c r="E3135" s="2">
        <f t="shared" si="122"/>
        <v>43374</v>
      </c>
      <c r="F3135" s="1" t="s">
        <v>58</v>
      </c>
      <c r="G3135" s="1" t="s">
        <v>18</v>
      </c>
      <c r="H3135" s="1">
        <v>-0.75</v>
      </c>
      <c r="I3135" s="1">
        <v>2.2400000000000002</v>
      </c>
      <c r="J3135" s="1">
        <v>-0.01</v>
      </c>
      <c r="K3135" s="2">
        <v>43383</v>
      </c>
      <c r="L3135" s="1">
        <v>3716</v>
      </c>
      <c r="M3135" s="1">
        <v>3.5</v>
      </c>
      <c r="N3135" s="1">
        <v>-0.27951999999999999</v>
      </c>
      <c r="O3135" s="3">
        <f>VLOOKUP(D3135,underlying!$D$40:$H$75,5,FALSE)</f>
        <v>-1.25</v>
      </c>
      <c r="P3135" s="4">
        <f t="shared" si="124"/>
        <v>43383</v>
      </c>
      <c r="Q3135" s="7">
        <f>IF(G3135="C",NormalCallSprd(O3135,H3135,M3135,(P3135-A3135)/365), NormalPutSprd(O3135,H3135,M3135,(P3135-A3135)/365))</f>
        <v>2.276014850143889</v>
      </c>
      <c r="R3135" s="9">
        <f t="shared" si="123"/>
        <v>3.6014850143888832E-2</v>
      </c>
    </row>
    <row r="3136" spans="1:18" x14ac:dyDescent="0.2">
      <c r="A3136" s="2">
        <v>42622</v>
      </c>
      <c r="B3136" s="1" t="s">
        <v>56</v>
      </c>
      <c r="C3136" s="1" t="s">
        <v>57</v>
      </c>
      <c r="D3136" s="2">
        <v>43110</v>
      </c>
      <c r="E3136" s="2">
        <f t="shared" si="122"/>
        <v>43374</v>
      </c>
      <c r="F3136" s="1" t="s">
        <v>58</v>
      </c>
      <c r="G3136" s="1" t="s">
        <v>16</v>
      </c>
      <c r="H3136" s="1">
        <v>-0.5</v>
      </c>
      <c r="I3136" s="1">
        <v>1.64</v>
      </c>
      <c r="J3136" s="1">
        <v>0</v>
      </c>
      <c r="K3136" s="2">
        <v>43383</v>
      </c>
      <c r="L3136" s="1">
        <v>3716</v>
      </c>
      <c r="M3136" s="1">
        <v>3.5</v>
      </c>
      <c r="N3136" s="1">
        <v>-0.25570999999999999</v>
      </c>
      <c r="O3136" s="3">
        <f>VLOOKUP(D3136,underlying!$D$40:$H$75,5,FALSE)</f>
        <v>-1.25</v>
      </c>
      <c r="P3136" s="4">
        <f t="shared" si="124"/>
        <v>43383</v>
      </c>
      <c r="Q3136" s="7">
        <f>IF(G3136="C",NormalCallSprd(O3136,H3136,M3136,(P3136-A3136)/365), NormalPutSprd(O3136,H3136,M3136,(P3136-A3136)/365))</f>
        <v>1.6633165798366936</v>
      </c>
      <c r="R3136" s="9">
        <f t="shared" si="123"/>
        <v>2.3316579836693663E-2</v>
      </c>
    </row>
    <row r="3137" spans="1:18" x14ac:dyDescent="0.2">
      <c r="A3137" s="2">
        <v>42622</v>
      </c>
      <c r="B3137" s="1" t="s">
        <v>56</v>
      </c>
      <c r="C3137" s="1" t="s">
        <v>57</v>
      </c>
      <c r="D3137" s="2">
        <v>43110</v>
      </c>
      <c r="E3137" s="2">
        <f t="shared" si="122"/>
        <v>43374</v>
      </c>
      <c r="F3137" s="1" t="s">
        <v>58</v>
      </c>
      <c r="G3137" s="1" t="s">
        <v>18</v>
      </c>
      <c r="H3137" s="1">
        <v>-0.5</v>
      </c>
      <c r="I3137" s="1">
        <v>2.38</v>
      </c>
      <c r="J3137" s="1">
        <v>0</v>
      </c>
      <c r="K3137" s="2">
        <v>43383</v>
      </c>
      <c r="L3137" s="1">
        <v>3716</v>
      </c>
      <c r="M3137" s="1">
        <v>3.5</v>
      </c>
      <c r="N3137" s="1">
        <v>-0.23300000000000001</v>
      </c>
      <c r="O3137" s="3">
        <f>VLOOKUP(D3137,underlying!$D$40:$H$75,5,FALSE)</f>
        <v>-1.25</v>
      </c>
      <c r="P3137" s="4">
        <f t="shared" si="124"/>
        <v>43383</v>
      </c>
      <c r="Q3137" s="7">
        <f>IF(G3137="C",NormalCallSprd(O3137,H3137,M3137,(P3137-A3137)/365), NormalPutSprd(O3137,H3137,M3137,(P3137-A3137)/365))</f>
        <v>2.4133165798366938</v>
      </c>
      <c r="R3137" s="9">
        <f t="shared" si="123"/>
        <v>3.3316579836693894E-2</v>
      </c>
    </row>
    <row r="3138" spans="1:18" x14ac:dyDescent="0.2">
      <c r="A3138" s="2">
        <v>42622</v>
      </c>
      <c r="B3138" s="1" t="s">
        <v>56</v>
      </c>
      <c r="C3138" s="1" t="s">
        <v>57</v>
      </c>
      <c r="D3138" s="2">
        <v>43110</v>
      </c>
      <c r="E3138" s="2">
        <f t="shared" ref="E3138:E3201" si="125">DATE(YEAR(D3138),DAY(D3138),MONTH(D3138))</f>
        <v>43374</v>
      </c>
      <c r="F3138" s="1" t="s">
        <v>58</v>
      </c>
      <c r="G3138" s="1" t="s">
        <v>16</v>
      </c>
      <c r="H3138" s="1">
        <v>-0.25</v>
      </c>
      <c r="I3138" s="1">
        <v>1.53</v>
      </c>
      <c r="J3138" s="1">
        <v>0</v>
      </c>
      <c r="K3138" s="2">
        <v>43383</v>
      </c>
      <c r="L3138" s="1">
        <v>3716</v>
      </c>
      <c r="M3138" s="1">
        <v>3.49</v>
      </c>
      <c r="N3138" s="1">
        <v>-0.21206</v>
      </c>
      <c r="O3138" s="3">
        <f>VLOOKUP(D3138,underlying!$D$40:$H$75,5,FALSE)</f>
        <v>-1.25</v>
      </c>
      <c r="P3138" s="4">
        <f t="shared" si="124"/>
        <v>43383</v>
      </c>
      <c r="Q3138" s="7">
        <f>IF(G3138="C",NormalCallSprd(O3138,H3138,M3138,(P3138-A3138)/365), NormalPutSprd(O3138,H3138,M3138,(P3138-A3138)/365))</f>
        <v>1.5498485904676689</v>
      </c>
      <c r="R3138" s="9">
        <f t="shared" si="123"/>
        <v>1.9848590467668847E-2</v>
      </c>
    </row>
    <row r="3139" spans="1:18" x14ac:dyDescent="0.2">
      <c r="A3139" s="2">
        <v>42622</v>
      </c>
      <c r="B3139" s="1" t="s">
        <v>56</v>
      </c>
      <c r="C3139" s="1" t="s">
        <v>57</v>
      </c>
      <c r="D3139" s="2">
        <v>43110</v>
      </c>
      <c r="E3139" s="2">
        <f t="shared" si="125"/>
        <v>43374</v>
      </c>
      <c r="F3139" s="1" t="s">
        <v>58</v>
      </c>
      <c r="G3139" s="1" t="s">
        <v>18</v>
      </c>
      <c r="H3139" s="1">
        <v>-0.25</v>
      </c>
      <c r="I3139" s="1">
        <v>2.5099999999999998</v>
      </c>
      <c r="J3139" s="1">
        <v>-0.01</v>
      </c>
      <c r="K3139" s="2">
        <v>43383</v>
      </c>
      <c r="L3139" s="1">
        <v>3716</v>
      </c>
      <c r="M3139" s="1">
        <v>3.49</v>
      </c>
      <c r="N3139" s="1">
        <v>-0.19173999999999999</v>
      </c>
      <c r="O3139" s="3">
        <f>VLOOKUP(D3139,underlying!$D$40:$H$75,5,FALSE)</f>
        <v>-1.25</v>
      </c>
      <c r="P3139" s="4">
        <f t="shared" si="124"/>
        <v>43383</v>
      </c>
      <c r="Q3139" s="7">
        <f>IF(G3139="C",NormalCallSprd(O3139,H3139,M3139,(P3139-A3139)/365), NormalPutSprd(O3139,H3139,M3139,(P3139-A3139)/365))</f>
        <v>2.5498485904676689</v>
      </c>
      <c r="R3139" s="9">
        <f t="shared" ref="R3139:R3202" si="126">ABS(Q3139-I3139)</f>
        <v>3.9848590467669087E-2</v>
      </c>
    </row>
    <row r="3140" spans="1:18" x14ac:dyDescent="0.2">
      <c r="A3140" s="2">
        <v>42622</v>
      </c>
      <c r="B3140" s="1" t="s">
        <v>56</v>
      </c>
      <c r="C3140" s="1" t="s">
        <v>57</v>
      </c>
      <c r="D3140" s="2">
        <v>43111</v>
      </c>
      <c r="E3140" s="2">
        <f t="shared" si="125"/>
        <v>43405</v>
      </c>
      <c r="F3140" s="1" t="s">
        <v>58</v>
      </c>
      <c r="G3140" s="1" t="s">
        <v>16</v>
      </c>
      <c r="H3140" s="1">
        <v>-8</v>
      </c>
      <c r="I3140" s="1">
        <v>6.88</v>
      </c>
      <c r="J3140" s="1">
        <v>0</v>
      </c>
      <c r="K3140" s="2">
        <v>43354</v>
      </c>
      <c r="L3140" s="1">
        <v>3716</v>
      </c>
      <c r="M3140" s="1">
        <v>3.49</v>
      </c>
      <c r="N3140" s="1">
        <v>-0.17265</v>
      </c>
      <c r="O3140" s="3">
        <f>VLOOKUP(D3140,underlying!$D$40:$H$75,5,FALSE)</f>
        <v>-1.25</v>
      </c>
      <c r="P3140" s="4">
        <f t="shared" si="124"/>
        <v>43413</v>
      </c>
      <c r="Q3140" s="7">
        <f>IF(G3140="C",NormalCallSprd(O3140,H3140,M3140,(P3140-A3140)/365), NormalPutSprd(O3140,H3140,M3140,(P3140-A3140)/365))</f>
        <v>6.9771176937060053</v>
      </c>
      <c r="R3140" s="9">
        <f t="shared" si="126"/>
        <v>9.7117693706005426E-2</v>
      </c>
    </row>
    <row r="3141" spans="1:18" x14ac:dyDescent="0.2">
      <c r="A3141" s="2">
        <v>42622</v>
      </c>
      <c r="B3141" s="1" t="s">
        <v>56</v>
      </c>
      <c r="C3141" s="1" t="s">
        <v>57</v>
      </c>
      <c r="D3141" s="2">
        <v>43111</v>
      </c>
      <c r="E3141" s="2">
        <f t="shared" si="125"/>
        <v>43405</v>
      </c>
      <c r="F3141" s="1" t="s">
        <v>58</v>
      </c>
      <c r="G3141" s="1" t="s">
        <v>18</v>
      </c>
      <c r="H3141" s="1">
        <v>-8</v>
      </c>
      <c r="I3141" s="1">
        <v>0.22</v>
      </c>
      <c r="J3141" s="1">
        <v>0</v>
      </c>
      <c r="K3141" s="2">
        <v>43354</v>
      </c>
      <c r="L3141" s="1">
        <v>3716</v>
      </c>
      <c r="M3141" s="1">
        <v>3.49</v>
      </c>
      <c r="N3141" s="1">
        <v>-0.15482000000000001</v>
      </c>
      <c r="O3141" s="3">
        <f>VLOOKUP(D3141,underlying!$D$40:$H$75,5,FALSE)</f>
        <v>-1.25</v>
      </c>
      <c r="P3141" s="4">
        <f t="shared" si="124"/>
        <v>43413</v>
      </c>
      <c r="Q3141" s="7">
        <f>IF(G3141="C",NormalCallSprd(O3141,H3141,M3141,(P3141-A3141)/365), NormalPutSprd(O3141,H3141,M3141,(P3141-A3141)/365))</f>
        <v>0.22711769370600496</v>
      </c>
      <c r="R3141" s="9">
        <f t="shared" si="126"/>
        <v>7.1176937060049572E-3</v>
      </c>
    </row>
    <row r="3142" spans="1:18" x14ac:dyDescent="0.2">
      <c r="A3142" s="2">
        <v>42622</v>
      </c>
      <c r="B3142" s="1" t="s">
        <v>56</v>
      </c>
      <c r="C3142" s="1" t="s">
        <v>57</v>
      </c>
      <c r="D3142" s="2">
        <v>43111</v>
      </c>
      <c r="E3142" s="2">
        <f t="shared" si="125"/>
        <v>43405</v>
      </c>
      <c r="F3142" s="1" t="s">
        <v>58</v>
      </c>
      <c r="G3142" s="1" t="s">
        <v>16</v>
      </c>
      <c r="H3142" s="1">
        <v>-7</v>
      </c>
      <c r="I3142" s="1">
        <v>6</v>
      </c>
      <c r="J3142" s="1">
        <v>-0.01</v>
      </c>
      <c r="K3142" s="2">
        <v>43354</v>
      </c>
      <c r="L3142" s="1">
        <v>3716</v>
      </c>
      <c r="M3142" s="1">
        <v>3.49</v>
      </c>
      <c r="N3142" s="1">
        <v>-0.13825000000000001</v>
      </c>
      <c r="O3142" s="3">
        <f>VLOOKUP(D3142,underlying!$D$40:$H$75,5,FALSE)</f>
        <v>-1.25</v>
      </c>
      <c r="P3142" s="4">
        <f t="shared" si="124"/>
        <v>43413</v>
      </c>
      <c r="Q3142" s="7">
        <f>IF(G3142="C",NormalCallSprd(O3142,H3142,M3142,(P3142-A3142)/365), NormalPutSprd(O3142,H3142,M3142,(P3142-A3142)/365))</f>
        <v>6.0893798627000919</v>
      </c>
      <c r="R3142" s="9">
        <f t="shared" si="126"/>
        <v>8.9379862700091905E-2</v>
      </c>
    </row>
    <row r="3143" spans="1:18" x14ac:dyDescent="0.2">
      <c r="A3143" s="2">
        <v>42622</v>
      </c>
      <c r="B3143" s="1" t="s">
        <v>56</v>
      </c>
      <c r="C3143" s="1" t="s">
        <v>57</v>
      </c>
      <c r="D3143" s="2">
        <v>43111</v>
      </c>
      <c r="E3143" s="2">
        <f t="shared" si="125"/>
        <v>43405</v>
      </c>
      <c r="F3143" s="1" t="s">
        <v>58</v>
      </c>
      <c r="G3143" s="1" t="s">
        <v>18</v>
      </c>
      <c r="H3143" s="1">
        <v>-7</v>
      </c>
      <c r="I3143" s="1">
        <v>0.33</v>
      </c>
      <c r="J3143" s="1">
        <v>-0.01</v>
      </c>
      <c r="K3143" s="2">
        <v>43354</v>
      </c>
      <c r="L3143" s="1">
        <v>3716</v>
      </c>
      <c r="M3143" s="1">
        <v>3.49</v>
      </c>
      <c r="N3143" s="1">
        <v>-0.12293</v>
      </c>
      <c r="O3143" s="3">
        <f>VLOOKUP(D3143,underlying!$D$40:$H$75,5,FALSE)</f>
        <v>-1.25</v>
      </c>
      <c r="P3143" s="4">
        <f t="shared" si="124"/>
        <v>43413</v>
      </c>
      <c r="Q3143" s="7">
        <f>IF(G3143="C",NormalCallSprd(O3143,H3143,M3143,(P3143-A3143)/365), NormalPutSprd(O3143,H3143,M3143,(P3143-A3143)/365))</f>
        <v>0.33937986270009241</v>
      </c>
      <c r="R3143" s="9">
        <f t="shared" si="126"/>
        <v>9.3798627000923895E-3</v>
      </c>
    </row>
    <row r="3144" spans="1:18" x14ac:dyDescent="0.2">
      <c r="A3144" s="2">
        <v>42622</v>
      </c>
      <c r="B3144" s="1" t="s">
        <v>56</v>
      </c>
      <c r="C3144" s="1" t="s">
        <v>57</v>
      </c>
      <c r="D3144" s="2">
        <v>43111</v>
      </c>
      <c r="E3144" s="2">
        <f t="shared" si="125"/>
        <v>43405</v>
      </c>
      <c r="F3144" s="1" t="s">
        <v>58</v>
      </c>
      <c r="G3144" s="1" t="s">
        <v>16</v>
      </c>
      <c r="H3144" s="1">
        <v>-6</v>
      </c>
      <c r="I3144" s="1">
        <v>5.17</v>
      </c>
      <c r="J3144" s="1">
        <v>-0.01</v>
      </c>
      <c r="K3144" s="2">
        <v>43354</v>
      </c>
      <c r="L3144" s="1">
        <v>3716</v>
      </c>
      <c r="M3144" s="1">
        <v>3.5</v>
      </c>
      <c r="N3144" s="1">
        <v>-0.10884000000000001</v>
      </c>
      <c r="O3144" s="3">
        <f>VLOOKUP(D3144,underlying!$D$40:$H$75,5,FALSE)</f>
        <v>-1.25</v>
      </c>
      <c r="P3144" s="4">
        <f t="shared" si="124"/>
        <v>43413</v>
      </c>
      <c r="Q3144" s="7">
        <f>IF(G3144="C",NormalCallSprd(O3144,H3144,M3144,(P3144-A3144)/365), NormalPutSprd(O3144,H3144,M3144,(P3144-A3144)/365))</f>
        <v>5.2470195387668976</v>
      </c>
      <c r="R3144" s="9">
        <f t="shared" si="126"/>
        <v>7.7019538766897711E-2</v>
      </c>
    </row>
    <row r="3145" spans="1:18" x14ac:dyDescent="0.2">
      <c r="A3145" s="2">
        <v>42622</v>
      </c>
      <c r="B3145" s="1" t="s">
        <v>56</v>
      </c>
      <c r="C3145" s="1" t="s">
        <v>57</v>
      </c>
      <c r="D3145" s="2">
        <v>43111</v>
      </c>
      <c r="E3145" s="2">
        <f t="shared" si="125"/>
        <v>43405</v>
      </c>
      <c r="F3145" s="1" t="s">
        <v>58</v>
      </c>
      <c r="G3145" s="1" t="s">
        <v>18</v>
      </c>
      <c r="H3145" s="1">
        <v>-6</v>
      </c>
      <c r="I3145" s="1">
        <v>0.49</v>
      </c>
      <c r="J3145" s="1">
        <v>0</v>
      </c>
      <c r="K3145" s="2">
        <v>43354</v>
      </c>
      <c r="L3145" s="1">
        <v>3716</v>
      </c>
      <c r="M3145" s="1">
        <v>3.5</v>
      </c>
      <c r="N3145" s="1">
        <v>-9.5949999999999994E-2</v>
      </c>
      <c r="O3145" s="3">
        <f>VLOOKUP(D3145,underlying!$D$40:$H$75,5,FALSE)</f>
        <v>-1.25</v>
      </c>
      <c r="P3145" s="4">
        <f t="shared" si="124"/>
        <v>43413</v>
      </c>
      <c r="Q3145" s="7">
        <f>IF(G3145="C",NormalCallSprd(O3145,H3145,M3145,(P3145-A3145)/365), NormalPutSprd(O3145,H3145,M3145,(P3145-A3145)/365))</f>
        <v>0.49701953876689758</v>
      </c>
      <c r="R3145" s="9">
        <f t="shared" si="126"/>
        <v>7.0195387668975928E-3</v>
      </c>
    </row>
    <row r="3146" spans="1:18" x14ac:dyDescent="0.2">
      <c r="A3146" s="2">
        <v>42622</v>
      </c>
      <c r="B3146" s="1" t="s">
        <v>56</v>
      </c>
      <c r="C3146" s="1" t="s">
        <v>57</v>
      </c>
      <c r="D3146" s="2">
        <v>43111</v>
      </c>
      <c r="E3146" s="2">
        <f t="shared" si="125"/>
        <v>43405</v>
      </c>
      <c r="F3146" s="1" t="s">
        <v>58</v>
      </c>
      <c r="G3146" s="1" t="s">
        <v>16</v>
      </c>
      <c r="H3146" s="1">
        <v>-5.75</v>
      </c>
      <c r="I3146" s="1">
        <v>4.97</v>
      </c>
      <c r="J3146" s="1">
        <v>0</v>
      </c>
      <c r="K3146" s="2">
        <v>43354</v>
      </c>
      <c r="L3146" s="1">
        <v>3716</v>
      </c>
      <c r="M3146" s="1">
        <v>3.5</v>
      </c>
      <c r="N3146" s="1">
        <v>-8.4220000000000003E-2</v>
      </c>
      <c r="O3146" s="3">
        <f>VLOOKUP(D3146,underlying!$D$40:$H$75,5,FALSE)</f>
        <v>-1.25</v>
      </c>
      <c r="P3146" s="4">
        <f t="shared" si="124"/>
        <v>43413</v>
      </c>
      <c r="Q3146" s="7">
        <f>IF(G3146="C",NormalCallSprd(O3146,H3146,M3146,(P3146-A3146)/365), NormalPutSprd(O3146,H3146,M3146,(P3146-A3146)/365))</f>
        <v>5.0431976398976506</v>
      </c>
      <c r="R3146" s="9">
        <f t="shared" si="126"/>
        <v>7.3197639897650824E-2</v>
      </c>
    </row>
    <row r="3147" spans="1:18" x14ac:dyDescent="0.2">
      <c r="A3147" s="2">
        <v>42622</v>
      </c>
      <c r="B3147" s="1" t="s">
        <v>56</v>
      </c>
      <c r="C3147" s="1" t="s">
        <v>57</v>
      </c>
      <c r="D3147" s="2">
        <v>43111</v>
      </c>
      <c r="E3147" s="2">
        <f t="shared" si="125"/>
        <v>43405</v>
      </c>
      <c r="F3147" s="1" t="s">
        <v>58</v>
      </c>
      <c r="G3147" s="1" t="s">
        <v>18</v>
      </c>
      <c r="H3147" s="1">
        <v>-5.75</v>
      </c>
      <c r="I3147" s="1">
        <v>0.54</v>
      </c>
      <c r="J3147" s="1">
        <v>0</v>
      </c>
      <c r="K3147" s="2">
        <v>43354</v>
      </c>
      <c r="L3147" s="1">
        <v>3716</v>
      </c>
      <c r="M3147" s="1">
        <v>3.5</v>
      </c>
      <c r="N3147" s="1">
        <v>-4.7820000000000001E-2</v>
      </c>
      <c r="O3147" s="3">
        <f>VLOOKUP(D3147,underlying!$D$40:$H$75,5,FALSE)</f>
        <v>-1.25</v>
      </c>
      <c r="P3147" s="4">
        <f t="shared" si="124"/>
        <v>43413</v>
      </c>
      <c r="Q3147" s="7">
        <f>IF(G3147="C",NormalCallSprd(O3147,H3147,M3147,(P3147-A3147)/365), NormalPutSprd(O3147,H3147,M3147,(P3147-A3147)/365))</f>
        <v>0.54319763989765024</v>
      </c>
      <c r="R3147" s="9">
        <f t="shared" si="126"/>
        <v>3.1976398976502063E-3</v>
      </c>
    </row>
    <row r="3148" spans="1:18" x14ac:dyDescent="0.2">
      <c r="A3148" s="2">
        <v>42622</v>
      </c>
      <c r="B3148" s="1" t="s">
        <v>56</v>
      </c>
      <c r="C3148" s="1" t="s">
        <v>57</v>
      </c>
      <c r="D3148" s="2">
        <v>43111</v>
      </c>
      <c r="E3148" s="2">
        <f t="shared" si="125"/>
        <v>43405</v>
      </c>
      <c r="F3148" s="1" t="s">
        <v>58</v>
      </c>
      <c r="G3148" s="1" t="s">
        <v>16</v>
      </c>
      <c r="H3148" s="1">
        <v>-5.5</v>
      </c>
      <c r="I3148" s="1">
        <v>4.7699999999999996</v>
      </c>
      <c r="J3148" s="1">
        <v>-0.01</v>
      </c>
      <c r="K3148" s="2">
        <v>43354</v>
      </c>
      <c r="L3148" s="1">
        <v>3716</v>
      </c>
      <c r="M3148" s="1">
        <v>3.5</v>
      </c>
      <c r="N3148" s="1">
        <v>0.29597000000000001</v>
      </c>
      <c r="O3148" s="3">
        <f>VLOOKUP(D3148,underlying!$D$40:$H$75,5,FALSE)</f>
        <v>-1.25</v>
      </c>
      <c r="P3148" s="4">
        <f t="shared" si="124"/>
        <v>43413</v>
      </c>
      <c r="Q3148" s="7">
        <f>IF(G3148="C",NormalCallSprd(O3148,H3148,M3148,(P3148-A3148)/365), NormalPutSprd(O3148,H3148,M3148,(P3148-A3148)/365))</f>
        <v>4.842680365704382</v>
      </c>
      <c r="R3148" s="9">
        <f t="shared" si="126"/>
        <v>7.268036570438241E-2</v>
      </c>
    </row>
    <row r="3149" spans="1:18" x14ac:dyDescent="0.2">
      <c r="A3149" s="2">
        <v>42622</v>
      </c>
      <c r="B3149" s="1" t="s">
        <v>56</v>
      </c>
      <c r="C3149" s="1" t="s">
        <v>57</v>
      </c>
      <c r="D3149" s="2">
        <v>43111</v>
      </c>
      <c r="E3149" s="2">
        <f t="shared" si="125"/>
        <v>43405</v>
      </c>
      <c r="F3149" s="1" t="s">
        <v>58</v>
      </c>
      <c r="G3149" s="1" t="s">
        <v>18</v>
      </c>
      <c r="H3149" s="1">
        <v>-5.5</v>
      </c>
      <c r="I3149" s="1">
        <v>0.57999999999999996</v>
      </c>
      <c r="J3149" s="1">
        <v>-0.01</v>
      </c>
      <c r="K3149" s="2">
        <v>43354</v>
      </c>
      <c r="L3149" s="1">
        <v>3716</v>
      </c>
      <c r="M3149" s="1">
        <v>3.5</v>
      </c>
      <c r="N3149" s="1">
        <v>0.31425999999999998</v>
      </c>
      <c r="O3149" s="3">
        <f>VLOOKUP(D3149,underlying!$D$40:$H$75,5,FALSE)</f>
        <v>-1.25</v>
      </c>
      <c r="P3149" s="4">
        <f t="shared" si="124"/>
        <v>43413</v>
      </c>
      <c r="Q3149" s="7">
        <f>IF(G3149="C",NormalCallSprd(O3149,H3149,M3149,(P3149-A3149)/365), NormalPutSprd(O3149,H3149,M3149,(P3149-A3149)/365))</f>
        <v>0.59268036570438198</v>
      </c>
      <c r="R3149" s="9">
        <f t="shared" si="126"/>
        <v>1.2680365704382024E-2</v>
      </c>
    </row>
    <row r="3150" spans="1:18" x14ac:dyDescent="0.2">
      <c r="A3150" s="2">
        <v>42622</v>
      </c>
      <c r="B3150" s="1" t="s">
        <v>56</v>
      </c>
      <c r="C3150" s="1" t="s">
        <v>57</v>
      </c>
      <c r="D3150" s="2">
        <v>43111</v>
      </c>
      <c r="E3150" s="2">
        <f t="shared" si="125"/>
        <v>43405</v>
      </c>
      <c r="F3150" s="1" t="s">
        <v>58</v>
      </c>
      <c r="G3150" s="1" t="s">
        <v>16</v>
      </c>
      <c r="H3150" s="1">
        <v>-5.25</v>
      </c>
      <c r="I3150" s="1">
        <v>4.58</v>
      </c>
      <c r="J3150" s="1">
        <v>0</v>
      </c>
      <c r="K3150" s="2">
        <v>43354</v>
      </c>
      <c r="L3150" s="1">
        <v>3716</v>
      </c>
      <c r="M3150" s="1">
        <v>3.5</v>
      </c>
      <c r="N3150" s="1">
        <v>0.33300999999999997</v>
      </c>
      <c r="O3150" s="3">
        <f>VLOOKUP(D3150,underlying!$D$40:$H$75,5,FALSE)</f>
        <v>-1.25</v>
      </c>
      <c r="P3150" s="4">
        <f t="shared" si="124"/>
        <v>43413</v>
      </c>
      <c r="Q3150" s="7">
        <f>IF(G3150="C",NormalCallSprd(O3150,H3150,M3150,(P3150-A3150)/365), NormalPutSprd(O3150,H3150,M3150,(P3150-A3150)/365))</f>
        <v>4.6456066550630188</v>
      </c>
      <c r="R3150" s="9">
        <f t="shared" si="126"/>
        <v>6.5606655063018771E-2</v>
      </c>
    </row>
    <row r="3151" spans="1:18" x14ac:dyDescent="0.2">
      <c r="A3151" s="2">
        <v>42622</v>
      </c>
      <c r="B3151" s="1" t="s">
        <v>56</v>
      </c>
      <c r="C3151" s="1" t="s">
        <v>57</v>
      </c>
      <c r="D3151" s="2">
        <v>43111</v>
      </c>
      <c r="E3151" s="2">
        <f t="shared" si="125"/>
        <v>43405</v>
      </c>
      <c r="F3151" s="1" t="s">
        <v>58</v>
      </c>
      <c r="G3151" s="1" t="s">
        <v>18</v>
      </c>
      <c r="H3151" s="1">
        <v>-5.25</v>
      </c>
      <c r="I3151" s="1">
        <v>0.64</v>
      </c>
      <c r="J3151" s="1">
        <v>0</v>
      </c>
      <c r="K3151" s="2">
        <v>43354</v>
      </c>
      <c r="L3151" s="1">
        <v>3716</v>
      </c>
      <c r="M3151" s="1">
        <v>3.5</v>
      </c>
      <c r="N3151" s="1">
        <v>0.35217999999999999</v>
      </c>
      <c r="O3151" s="3">
        <f>VLOOKUP(D3151,underlying!$D$40:$H$75,5,FALSE)</f>
        <v>-1.25</v>
      </c>
      <c r="P3151" s="4">
        <f t="shared" si="124"/>
        <v>43413</v>
      </c>
      <c r="Q3151" s="7">
        <f>IF(G3151="C",NormalCallSprd(O3151,H3151,M3151,(P3151-A3151)/365), NormalPutSprd(O3151,H3151,M3151,(P3151-A3151)/365))</f>
        <v>0.64560665506301873</v>
      </c>
      <c r="R3151" s="9">
        <f t="shared" si="126"/>
        <v>5.6066550630187173E-3</v>
      </c>
    </row>
    <row r="3152" spans="1:18" x14ac:dyDescent="0.2">
      <c r="A3152" s="2">
        <v>42622</v>
      </c>
      <c r="B3152" s="1" t="s">
        <v>56</v>
      </c>
      <c r="C3152" s="1" t="s">
        <v>57</v>
      </c>
      <c r="D3152" s="2">
        <v>43111</v>
      </c>
      <c r="E3152" s="2">
        <f t="shared" si="125"/>
        <v>43405</v>
      </c>
      <c r="F3152" s="1" t="s">
        <v>58</v>
      </c>
      <c r="G3152" s="1" t="s">
        <v>16</v>
      </c>
      <c r="H3152" s="1">
        <v>-5</v>
      </c>
      <c r="I3152" s="1">
        <v>4.3899999999999997</v>
      </c>
      <c r="J3152" s="1">
        <v>0</v>
      </c>
      <c r="K3152" s="2">
        <v>43354</v>
      </c>
      <c r="L3152" s="1">
        <v>3716</v>
      </c>
      <c r="M3152" s="1">
        <v>3.5</v>
      </c>
      <c r="N3152" s="1">
        <v>0.37139</v>
      </c>
      <c r="O3152" s="3">
        <f>VLOOKUP(D3152,underlying!$D$40:$H$75,5,FALSE)</f>
        <v>-1.25</v>
      </c>
      <c r="P3152" s="4">
        <f t="shared" si="124"/>
        <v>43413</v>
      </c>
      <c r="Q3152" s="7">
        <f>IF(G3152="C",NormalCallSprd(O3152,H3152,M3152,(P3152-A3152)/365), NormalPutSprd(O3152,H3152,M3152,(P3152-A3152)/365))</f>
        <v>4.4521128535969883</v>
      </c>
      <c r="R3152" s="9">
        <f t="shared" si="126"/>
        <v>6.2112853596988593E-2</v>
      </c>
    </row>
    <row r="3153" spans="1:18" x14ac:dyDescent="0.2">
      <c r="A3153" s="2">
        <v>42622</v>
      </c>
      <c r="B3153" s="1" t="s">
        <v>56</v>
      </c>
      <c r="C3153" s="1" t="s">
        <v>57</v>
      </c>
      <c r="D3153" s="2">
        <v>43111</v>
      </c>
      <c r="E3153" s="2">
        <f t="shared" si="125"/>
        <v>43405</v>
      </c>
      <c r="F3153" s="1" t="s">
        <v>58</v>
      </c>
      <c r="G3153" s="1" t="s">
        <v>18</v>
      </c>
      <c r="H3153" s="1">
        <v>-5</v>
      </c>
      <c r="I3153" s="1">
        <v>0.69</v>
      </c>
      <c r="J3153" s="1">
        <v>0</v>
      </c>
      <c r="K3153" s="2">
        <v>43354</v>
      </c>
      <c r="L3153" s="1">
        <v>3716</v>
      </c>
      <c r="M3153" s="1">
        <v>3.5</v>
      </c>
      <c r="N3153" s="1">
        <v>0.39130999999999999</v>
      </c>
      <c r="O3153" s="3">
        <f>VLOOKUP(D3153,underlying!$D$40:$H$75,5,FALSE)</f>
        <v>-1.25</v>
      </c>
      <c r="P3153" s="4">
        <f t="shared" si="124"/>
        <v>43413</v>
      </c>
      <c r="Q3153" s="7">
        <f>IF(G3153="C",NormalCallSprd(O3153,H3153,M3153,(P3153-A3153)/365), NormalPutSprd(O3153,H3153,M3153,(P3153-A3153)/365))</f>
        <v>0.70211285359698838</v>
      </c>
      <c r="R3153" s="9">
        <f t="shared" si="126"/>
        <v>1.2112853596988438E-2</v>
      </c>
    </row>
    <row r="3154" spans="1:18" x14ac:dyDescent="0.2">
      <c r="A3154" s="2">
        <v>42622</v>
      </c>
      <c r="B3154" s="1" t="s">
        <v>56</v>
      </c>
      <c r="C3154" s="1" t="s">
        <v>57</v>
      </c>
      <c r="D3154" s="2">
        <v>43111</v>
      </c>
      <c r="E3154" s="2">
        <f t="shared" si="125"/>
        <v>43405</v>
      </c>
      <c r="F3154" s="1" t="s">
        <v>58</v>
      </c>
      <c r="G3154" s="1" t="s">
        <v>16</v>
      </c>
      <c r="H3154" s="1">
        <v>-4.75</v>
      </c>
      <c r="I3154" s="1">
        <v>4.2</v>
      </c>
      <c r="J3154" s="1">
        <v>0</v>
      </c>
      <c r="K3154" s="2">
        <v>43354</v>
      </c>
      <c r="L3154" s="1">
        <v>3716</v>
      </c>
      <c r="M3154" s="1">
        <v>3.5</v>
      </c>
      <c r="N3154" s="1">
        <v>0.41127999999999998</v>
      </c>
      <c r="O3154" s="3">
        <f>VLOOKUP(D3154,underlying!$D$40:$H$75,5,FALSE)</f>
        <v>-1.25</v>
      </c>
      <c r="P3154" s="4">
        <f t="shared" si="124"/>
        <v>43413</v>
      </c>
      <c r="Q3154" s="7">
        <f>IF(G3154="C",NormalCallSprd(O3154,H3154,M3154,(P3154-A3154)/365), NormalPutSprd(O3154,H3154,M3154,(P3154-A3154)/365))</f>
        <v>4.2623319573209333</v>
      </c>
      <c r="R3154" s="9">
        <f t="shared" si="126"/>
        <v>6.2331957320933107E-2</v>
      </c>
    </row>
    <row r="3155" spans="1:18" x14ac:dyDescent="0.2">
      <c r="A3155" s="2">
        <v>42622</v>
      </c>
      <c r="B3155" s="1" t="s">
        <v>56</v>
      </c>
      <c r="C3155" s="1" t="s">
        <v>57</v>
      </c>
      <c r="D3155" s="2">
        <v>43111</v>
      </c>
      <c r="E3155" s="2">
        <f t="shared" si="125"/>
        <v>43405</v>
      </c>
      <c r="F3155" s="1" t="s">
        <v>58</v>
      </c>
      <c r="G3155" s="1" t="s">
        <v>18</v>
      </c>
      <c r="H3155" s="1">
        <v>-4.75</v>
      </c>
      <c r="I3155" s="1">
        <v>0.75</v>
      </c>
      <c r="J3155" s="1">
        <v>0</v>
      </c>
      <c r="K3155" s="2">
        <v>43354</v>
      </c>
      <c r="L3155" s="1">
        <v>3716</v>
      </c>
      <c r="M3155" s="1">
        <v>3.5</v>
      </c>
      <c r="N3155" s="1">
        <v>0.43195</v>
      </c>
      <c r="O3155" s="3">
        <f>VLOOKUP(D3155,underlying!$D$40:$H$75,5,FALSE)</f>
        <v>-1.25</v>
      </c>
      <c r="P3155" s="4">
        <f t="shared" si="124"/>
        <v>43413</v>
      </c>
      <c r="Q3155" s="7">
        <f>IF(G3155="C",NormalCallSprd(O3155,H3155,M3155,(P3155-A3155)/365), NormalPutSprd(O3155,H3155,M3155,(P3155-A3155)/365))</f>
        <v>0.7623319573209334</v>
      </c>
      <c r="R3155" s="9">
        <f t="shared" si="126"/>
        <v>1.2331957320933395E-2</v>
      </c>
    </row>
    <row r="3156" spans="1:18" x14ac:dyDescent="0.2">
      <c r="A3156" s="2">
        <v>42622</v>
      </c>
      <c r="B3156" s="1" t="s">
        <v>56</v>
      </c>
      <c r="C3156" s="1" t="s">
        <v>57</v>
      </c>
      <c r="D3156" s="2">
        <v>43111</v>
      </c>
      <c r="E3156" s="2">
        <f t="shared" si="125"/>
        <v>43405</v>
      </c>
      <c r="F3156" s="1" t="s">
        <v>58</v>
      </c>
      <c r="G3156" s="1" t="s">
        <v>16</v>
      </c>
      <c r="H3156" s="1">
        <v>-4.5</v>
      </c>
      <c r="I3156" s="1">
        <v>4.0199999999999996</v>
      </c>
      <c r="J3156" s="1">
        <v>-0.01</v>
      </c>
      <c r="K3156" s="2">
        <v>43354</v>
      </c>
      <c r="L3156" s="1">
        <v>3716</v>
      </c>
      <c r="M3156" s="1">
        <v>3.51</v>
      </c>
      <c r="N3156" s="1">
        <v>0.45254</v>
      </c>
      <c r="O3156" s="3">
        <f>VLOOKUP(D3156,underlying!$D$40:$H$75,5,FALSE)</f>
        <v>-1.25</v>
      </c>
      <c r="P3156" s="4">
        <f t="shared" si="124"/>
        <v>43413</v>
      </c>
      <c r="Q3156" s="7">
        <f>IF(G3156="C",NormalCallSprd(O3156,H3156,M3156,(P3156-A3156)/365), NormalPutSprd(O3156,H3156,M3156,(P3156-A3156)/365))</f>
        <v>4.081209007001581</v>
      </c>
      <c r="R3156" s="9">
        <f t="shared" si="126"/>
        <v>6.1209007001581384E-2</v>
      </c>
    </row>
    <row r="3157" spans="1:18" x14ac:dyDescent="0.2">
      <c r="A3157" s="2">
        <v>42622</v>
      </c>
      <c r="B3157" s="1" t="s">
        <v>56</v>
      </c>
      <c r="C3157" s="1" t="s">
        <v>57</v>
      </c>
      <c r="D3157" s="2">
        <v>43111</v>
      </c>
      <c r="E3157" s="2">
        <f t="shared" si="125"/>
        <v>43405</v>
      </c>
      <c r="F3157" s="1" t="s">
        <v>58</v>
      </c>
      <c r="G3157" s="1" t="s">
        <v>18</v>
      </c>
      <c r="H3157" s="1">
        <v>-4.5</v>
      </c>
      <c r="I3157" s="1">
        <v>0.82</v>
      </c>
      <c r="J3157" s="1">
        <v>0</v>
      </c>
      <c r="K3157" s="2">
        <v>43354</v>
      </c>
      <c r="L3157" s="1">
        <v>3716</v>
      </c>
      <c r="M3157" s="1">
        <v>3.51</v>
      </c>
      <c r="N3157" s="1">
        <v>0.47332000000000002</v>
      </c>
      <c r="O3157" s="3">
        <f>VLOOKUP(D3157,underlying!$D$40:$H$75,5,FALSE)</f>
        <v>-1.25</v>
      </c>
      <c r="P3157" s="4">
        <f t="shared" si="124"/>
        <v>43413</v>
      </c>
      <c r="Q3157" s="7">
        <f>IF(G3157="C",NormalCallSprd(O3157,H3157,M3157,(P3157-A3157)/365), NormalPutSprd(O3157,H3157,M3157,(P3157-A3157)/365))</f>
        <v>0.83120900700158029</v>
      </c>
      <c r="R3157" s="9">
        <f t="shared" si="126"/>
        <v>1.120900700158034E-2</v>
      </c>
    </row>
    <row r="3158" spans="1:18" x14ac:dyDescent="0.2">
      <c r="A3158" s="2">
        <v>42622</v>
      </c>
      <c r="B3158" s="1" t="s">
        <v>56</v>
      </c>
      <c r="C3158" s="1" t="s">
        <v>57</v>
      </c>
      <c r="D3158" s="2">
        <v>43111</v>
      </c>
      <c r="E3158" s="2">
        <f t="shared" si="125"/>
        <v>43405</v>
      </c>
      <c r="F3158" s="1" t="s">
        <v>58</v>
      </c>
      <c r="G3158" s="1" t="s">
        <v>16</v>
      </c>
      <c r="H3158" s="1">
        <v>-4.25</v>
      </c>
      <c r="I3158" s="1">
        <v>3.84</v>
      </c>
      <c r="J3158" s="1">
        <v>-0.01</v>
      </c>
      <c r="K3158" s="2">
        <v>43354</v>
      </c>
      <c r="L3158" s="1">
        <v>3716</v>
      </c>
      <c r="M3158" s="1">
        <v>3.51</v>
      </c>
      <c r="N3158" s="1">
        <v>0.49403000000000002</v>
      </c>
      <c r="O3158" s="3">
        <f>VLOOKUP(D3158,underlying!$D$40:$H$75,5,FALSE)</f>
        <v>-1.25</v>
      </c>
      <c r="P3158" s="4">
        <f t="shared" si="124"/>
        <v>43413</v>
      </c>
      <c r="Q3158" s="7">
        <f>IF(G3158="C",NormalCallSprd(O3158,H3158,M3158,(P3158-A3158)/365), NormalPutSprd(O3158,H3158,M3158,(P3158-A3158)/365))</f>
        <v>3.8993791295550246</v>
      </c>
      <c r="R3158" s="9">
        <f t="shared" si="126"/>
        <v>5.9379129555024779E-2</v>
      </c>
    </row>
    <row r="3159" spans="1:18" x14ac:dyDescent="0.2">
      <c r="A3159" s="2">
        <v>42622</v>
      </c>
      <c r="B3159" s="1" t="s">
        <v>56</v>
      </c>
      <c r="C3159" s="1" t="s">
        <v>57</v>
      </c>
      <c r="D3159" s="2">
        <v>43111</v>
      </c>
      <c r="E3159" s="2">
        <f t="shared" si="125"/>
        <v>43405</v>
      </c>
      <c r="F3159" s="1" t="s">
        <v>58</v>
      </c>
      <c r="G3159" s="1" t="s">
        <v>18</v>
      </c>
      <c r="H3159" s="1">
        <v>-4.25</v>
      </c>
      <c r="I3159" s="1">
        <v>0.89</v>
      </c>
      <c r="J3159" s="1">
        <v>0</v>
      </c>
      <c r="K3159" s="2">
        <v>43354</v>
      </c>
      <c r="L3159" s="1">
        <v>3716</v>
      </c>
      <c r="M3159" s="1">
        <v>3.51</v>
      </c>
      <c r="N3159" s="1">
        <v>0.51473999999999998</v>
      </c>
      <c r="O3159" s="3">
        <f>VLOOKUP(D3159,underlying!$D$40:$H$75,5,FALSE)</f>
        <v>-1.25</v>
      </c>
      <c r="P3159" s="4">
        <f t="shared" si="124"/>
        <v>43413</v>
      </c>
      <c r="Q3159" s="7">
        <f>IF(G3159="C",NormalCallSprd(O3159,H3159,M3159,(P3159-A3159)/365), NormalPutSprd(O3159,H3159,M3159,(P3159-A3159)/365))</f>
        <v>0.89937912955502453</v>
      </c>
      <c r="R3159" s="9">
        <f t="shared" si="126"/>
        <v>9.3791295550245124E-3</v>
      </c>
    </row>
    <row r="3160" spans="1:18" x14ac:dyDescent="0.2">
      <c r="A3160" s="2">
        <v>42622</v>
      </c>
      <c r="B3160" s="1" t="s">
        <v>56</v>
      </c>
      <c r="C3160" s="1" t="s">
        <v>57</v>
      </c>
      <c r="D3160" s="2">
        <v>43111</v>
      </c>
      <c r="E3160" s="2">
        <f t="shared" si="125"/>
        <v>43405</v>
      </c>
      <c r="F3160" s="1" t="s">
        <v>58</v>
      </c>
      <c r="G3160" s="1" t="s">
        <v>16</v>
      </c>
      <c r="H3160" s="1">
        <v>-4</v>
      </c>
      <c r="I3160" s="1">
        <v>3.67</v>
      </c>
      <c r="J3160" s="1">
        <v>0</v>
      </c>
      <c r="K3160" s="2">
        <v>43354</v>
      </c>
      <c r="L3160" s="1">
        <v>3716</v>
      </c>
      <c r="M3160" s="1">
        <v>3.51</v>
      </c>
      <c r="N3160" s="1">
        <v>0.53552</v>
      </c>
      <c r="O3160" s="3">
        <f>VLOOKUP(D3160,underlying!$D$40:$H$75,5,FALSE)</f>
        <v>-1.25</v>
      </c>
      <c r="P3160" s="4">
        <f t="shared" si="124"/>
        <v>43413</v>
      </c>
      <c r="Q3160" s="7">
        <f>IF(G3160="C",NormalCallSprd(O3160,H3160,M3160,(P3160-A3160)/365), NormalPutSprd(O3160,H3160,M3160,(P3160-A3160)/365))</f>
        <v>3.7216257482894481</v>
      </c>
      <c r="R3160" s="9">
        <f t="shared" si="126"/>
        <v>5.1625748289448214E-2</v>
      </c>
    </row>
    <row r="3161" spans="1:18" x14ac:dyDescent="0.2">
      <c r="A3161" s="2">
        <v>42622</v>
      </c>
      <c r="B3161" s="1" t="s">
        <v>56</v>
      </c>
      <c r="C3161" s="1" t="s">
        <v>57</v>
      </c>
      <c r="D3161" s="2">
        <v>43111</v>
      </c>
      <c r="E3161" s="2">
        <f t="shared" si="125"/>
        <v>43405</v>
      </c>
      <c r="F3161" s="1" t="s">
        <v>58</v>
      </c>
      <c r="G3161" s="1" t="s">
        <v>18</v>
      </c>
      <c r="H3161" s="1">
        <v>-4</v>
      </c>
      <c r="I3161" s="1">
        <v>0.96</v>
      </c>
      <c r="J3161" s="1">
        <v>0</v>
      </c>
      <c r="K3161" s="2">
        <v>43354</v>
      </c>
      <c r="L3161" s="1">
        <v>3716</v>
      </c>
      <c r="M3161" s="1">
        <v>3.51</v>
      </c>
      <c r="N3161" s="1">
        <v>0.55611999999999995</v>
      </c>
      <c r="O3161" s="3">
        <f>VLOOKUP(D3161,underlying!$D$40:$H$75,5,FALSE)</f>
        <v>-1.25</v>
      </c>
      <c r="P3161" s="4">
        <f t="shared" si="124"/>
        <v>43413</v>
      </c>
      <c r="Q3161" s="7">
        <f>IF(G3161="C",NormalCallSprd(O3161,H3161,M3161,(P3161-A3161)/365), NormalPutSprd(O3161,H3161,M3161,(P3161-A3161)/365))</f>
        <v>0.97162574828944825</v>
      </c>
      <c r="R3161" s="9">
        <f t="shared" si="126"/>
        <v>1.162574828944829E-2</v>
      </c>
    </row>
    <row r="3162" spans="1:18" x14ac:dyDescent="0.2">
      <c r="A3162" s="2">
        <v>42622</v>
      </c>
      <c r="B3162" s="1" t="s">
        <v>56</v>
      </c>
      <c r="C3162" s="1" t="s">
        <v>57</v>
      </c>
      <c r="D3162" s="2">
        <v>43111</v>
      </c>
      <c r="E3162" s="2">
        <f t="shared" si="125"/>
        <v>43405</v>
      </c>
      <c r="F3162" s="1" t="s">
        <v>58</v>
      </c>
      <c r="G3162" s="1" t="s">
        <v>16</v>
      </c>
      <c r="H3162" s="1">
        <v>-3.75</v>
      </c>
      <c r="I3162" s="1">
        <v>3.5</v>
      </c>
      <c r="J3162" s="1">
        <v>0</v>
      </c>
      <c r="K3162" s="2">
        <v>43354</v>
      </c>
      <c r="L3162" s="1">
        <v>3716</v>
      </c>
      <c r="M3162" s="1">
        <v>3.51</v>
      </c>
      <c r="N3162" s="1">
        <v>0.57677999999999996</v>
      </c>
      <c r="O3162" s="3">
        <f>VLOOKUP(D3162,underlying!$D$40:$H$75,5,FALSE)</f>
        <v>-1.25</v>
      </c>
      <c r="P3162" s="4">
        <f t="shared" si="124"/>
        <v>43413</v>
      </c>
      <c r="Q3162" s="7">
        <f>IF(G3162="C",NormalCallSprd(O3162,H3162,M3162,(P3162-A3162)/365), NormalPutSprd(O3162,H3162,M3162,(P3162-A3162)/365))</f>
        <v>3.5480600502311139</v>
      </c>
      <c r="R3162" s="9">
        <f t="shared" si="126"/>
        <v>4.8060050231113927E-2</v>
      </c>
    </row>
    <row r="3163" spans="1:18" x14ac:dyDescent="0.2">
      <c r="A3163" s="2">
        <v>42622</v>
      </c>
      <c r="B3163" s="1" t="s">
        <v>56</v>
      </c>
      <c r="C3163" s="1" t="s">
        <v>57</v>
      </c>
      <c r="D3163" s="2">
        <v>43111</v>
      </c>
      <c r="E3163" s="2">
        <f t="shared" si="125"/>
        <v>43405</v>
      </c>
      <c r="F3163" s="1" t="s">
        <v>58</v>
      </c>
      <c r="G3163" s="1" t="s">
        <v>18</v>
      </c>
      <c r="H3163" s="1">
        <v>-3.75</v>
      </c>
      <c r="I3163" s="1">
        <v>1.03</v>
      </c>
      <c r="J3163" s="1">
        <v>0</v>
      </c>
      <c r="K3163" s="2">
        <v>43354</v>
      </c>
      <c r="L3163" s="1">
        <v>3716</v>
      </c>
      <c r="M3163" s="1">
        <v>3.51</v>
      </c>
      <c r="N3163" s="1">
        <v>0.59645999999999999</v>
      </c>
      <c r="O3163" s="3">
        <f>VLOOKUP(D3163,underlying!$D$40:$H$75,5,FALSE)</f>
        <v>-1.25</v>
      </c>
      <c r="P3163" s="4">
        <f t="shared" si="124"/>
        <v>43413</v>
      </c>
      <c r="Q3163" s="7">
        <f>IF(G3163="C",NormalCallSprd(O3163,H3163,M3163,(P3163-A3163)/365), NormalPutSprd(O3163,H3163,M3163,(P3163-A3163)/365))</f>
        <v>1.0480600502311137</v>
      </c>
      <c r="R3163" s="9">
        <f t="shared" si="126"/>
        <v>1.8060050231113678E-2</v>
      </c>
    </row>
    <row r="3164" spans="1:18" x14ac:dyDescent="0.2">
      <c r="A3164" s="2">
        <v>42622</v>
      </c>
      <c r="B3164" s="1" t="s">
        <v>56</v>
      </c>
      <c r="C3164" s="1" t="s">
        <v>57</v>
      </c>
      <c r="D3164" s="2">
        <v>43111</v>
      </c>
      <c r="E3164" s="2">
        <f t="shared" si="125"/>
        <v>43405</v>
      </c>
      <c r="F3164" s="1" t="s">
        <v>58</v>
      </c>
      <c r="G3164" s="1" t="s">
        <v>16</v>
      </c>
      <c r="H3164" s="1">
        <v>-3.5</v>
      </c>
      <c r="I3164" s="1">
        <v>3.33</v>
      </c>
      <c r="J3164" s="1">
        <v>0</v>
      </c>
      <c r="K3164" s="2">
        <v>43354</v>
      </c>
      <c r="L3164" s="1">
        <v>3716</v>
      </c>
      <c r="M3164" s="1">
        <v>3.51</v>
      </c>
      <c r="N3164" s="1">
        <v>0.61700999999999995</v>
      </c>
      <c r="O3164" s="3">
        <f>VLOOKUP(D3164,underlying!$D$40:$H$75,5,FALSE)</f>
        <v>-1.25</v>
      </c>
      <c r="P3164" s="4">
        <f t="shared" si="124"/>
        <v>43413</v>
      </c>
      <c r="Q3164" s="7">
        <f>IF(G3164="C",NormalCallSprd(O3164,H3164,M3164,(P3164-A3164)/365), NormalPutSprd(O3164,H3164,M3164,(P3164-A3164)/365))</f>
        <v>3.378786200436422</v>
      </c>
      <c r="R3164" s="9">
        <f t="shared" si="126"/>
        <v>4.87862004364219E-2</v>
      </c>
    </row>
    <row r="3165" spans="1:18" x14ac:dyDescent="0.2">
      <c r="A3165" s="2">
        <v>42622</v>
      </c>
      <c r="B3165" s="1" t="s">
        <v>56</v>
      </c>
      <c r="C3165" s="1" t="s">
        <v>57</v>
      </c>
      <c r="D3165" s="2">
        <v>43111</v>
      </c>
      <c r="E3165" s="2">
        <f t="shared" si="125"/>
        <v>43405</v>
      </c>
      <c r="F3165" s="1" t="s">
        <v>58</v>
      </c>
      <c r="G3165" s="1" t="s">
        <v>18</v>
      </c>
      <c r="H3165" s="1">
        <v>-3.5</v>
      </c>
      <c r="I3165" s="1">
        <v>1.1100000000000001</v>
      </c>
      <c r="J3165" s="1">
        <v>0</v>
      </c>
      <c r="K3165" s="2">
        <v>43354</v>
      </c>
      <c r="L3165" s="1">
        <v>3716</v>
      </c>
      <c r="M3165" s="1">
        <v>3.51</v>
      </c>
      <c r="N3165" s="1">
        <v>0.63588</v>
      </c>
      <c r="O3165" s="3">
        <f>VLOOKUP(D3165,underlying!$D$40:$H$75,5,FALSE)</f>
        <v>-1.25</v>
      </c>
      <c r="P3165" s="4">
        <f t="shared" si="124"/>
        <v>43413</v>
      </c>
      <c r="Q3165" s="7">
        <f>IF(G3165="C",NormalCallSprd(O3165,H3165,M3165,(P3165-A3165)/365), NormalPutSprd(O3165,H3165,M3165,(P3165-A3165)/365))</f>
        <v>1.128786200436422</v>
      </c>
      <c r="R3165" s="9">
        <f t="shared" si="126"/>
        <v>1.8786200436421874E-2</v>
      </c>
    </row>
    <row r="3166" spans="1:18" x14ac:dyDescent="0.2">
      <c r="A3166" s="2">
        <v>42622</v>
      </c>
      <c r="B3166" s="1" t="s">
        <v>56</v>
      </c>
      <c r="C3166" s="1" t="s">
        <v>57</v>
      </c>
      <c r="D3166" s="2">
        <v>43111</v>
      </c>
      <c r="E3166" s="2">
        <f t="shared" si="125"/>
        <v>43405</v>
      </c>
      <c r="F3166" s="1" t="s">
        <v>58</v>
      </c>
      <c r="G3166" s="1" t="s">
        <v>16</v>
      </c>
      <c r="H3166" s="1">
        <v>-3.25</v>
      </c>
      <c r="I3166" s="1">
        <v>3.16</v>
      </c>
      <c r="J3166" s="1">
        <v>0</v>
      </c>
      <c r="K3166" s="2">
        <v>43354</v>
      </c>
      <c r="L3166" s="1">
        <v>3716</v>
      </c>
      <c r="M3166" s="1">
        <v>3.49</v>
      </c>
      <c r="N3166" s="1">
        <v>0.65591999999999995</v>
      </c>
      <c r="O3166" s="3">
        <f>VLOOKUP(D3166,underlying!$D$40:$H$75,5,FALSE)</f>
        <v>-1.25</v>
      </c>
      <c r="P3166" s="4">
        <f t="shared" si="124"/>
        <v>43413</v>
      </c>
      <c r="Q3166" s="7">
        <f>IF(G3166="C",NormalCallSprd(O3166,H3166,M3166,(P3166-A3166)/365), NormalPutSprd(O3166,H3166,M3166,(P3166-A3166)/365))</f>
        <v>3.203007285015413</v>
      </c>
      <c r="R3166" s="9">
        <f t="shared" si="126"/>
        <v>4.3007285015412844E-2</v>
      </c>
    </row>
    <row r="3167" spans="1:18" x14ac:dyDescent="0.2">
      <c r="A3167" s="2">
        <v>42622</v>
      </c>
      <c r="B3167" s="1" t="s">
        <v>56</v>
      </c>
      <c r="C3167" s="1" t="s">
        <v>57</v>
      </c>
      <c r="D3167" s="2">
        <v>43111</v>
      </c>
      <c r="E3167" s="2">
        <f t="shared" si="125"/>
        <v>43405</v>
      </c>
      <c r="F3167" s="1" t="s">
        <v>58</v>
      </c>
      <c r="G3167" s="1" t="s">
        <v>18</v>
      </c>
      <c r="H3167" s="1">
        <v>-3.25</v>
      </c>
      <c r="I3167" s="1">
        <v>1.19</v>
      </c>
      <c r="J3167" s="1">
        <v>0</v>
      </c>
      <c r="K3167" s="2">
        <v>43354</v>
      </c>
      <c r="L3167" s="1">
        <v>3716</v>
      </c>
      <c r="M3167" s="1">
        <v>3.49</v>
      </c>
      <c r="N3167" s="1">
        <v>0.67379999999999995</v>
      </c>
      <c r="O3167" s="3">
        <f>VLOOKUP(D3167,underlying!$D$40:$H$75,5,FALSE)</f>
        <v>-1.25</v>
      </c>
      <c r="P3167" s="4">
        <f t="shared" si="124"/>
        <v>43413</v>
      </c>
      <c r="Q3167" s="7">
        <f>IF(G3167="C",NormalCallSprd(O3167,H3167,M3167,(P3167-A3167)/365), NormalPutSprd(O3167,H3167,M3167,(P3167-A3167)/365))</f>
        <v>1.2030072850154128</v>
      </c>
      <c r="R3167" s="9">
        <f t="shared" si="126"/>
        <v>1.3007285015412817E-2</v>
      </c>
    </row>
    <row r="3168" spans="1:18" x14ac:dyDescent="0.2">
      <c r="A3168" s="2">
        <v>42622</v>
      </c>
      <c r="B3168" s="1" t="s">
        <v>56</v>
      </c>
      <c r="C3168" s="1" t="s">
        <v>57</v>
      </c>
      <c r="D3168" s="2">
        <v>43111</v>
      </c>
      <c r="E3168" s="2">
        <f t="shared" si="125"/>
        <v>43405</v>
      </c>
      <c r="F3168" s="1" t="s">
        <v>58</v>
      </c>
      <c r="G3168" s="1" t="s">
        <v>16</v>
      </c>
      <c r="H3168" s="1">
        <v>-3</v>
      </c>
      <c r="I3168" s="1">
        <v>3.01</v>
      </c>
      <c r="J3168" s="1">
        <v>0</v>
      </c>
      <c r="K3168" s="2">
        <v>43354</v>
      </c>
      <c r="L3168" s="1">
        <v>3716</v>
      </c>
      <c r="M3168" s="1">
        <v>3.51</v>
      </c>
      <c r="N3168" s="1">
        <v>0.69208999999999998</v>
      </c>
      <c r="O3168" s="3">
        <f>VLOOKUP(D3168,underlying!$D$40:$H$75,5,FALSE)</f>
        <v>-1.25</v>
      </c>
      <c r="P3168" s="4">
        <f t="shared" si="124"/>
        <v>43413</v>
      </c>
      <c r="Q3168" s="7">
        <f>IF(G3168="C",NormalCallSprd(O3168,H3168,M3168,(P3168-A3168)/365), NormalPutSprd(O3168,H3168,M3168,(P3168-A3168)/365))</f>
        <v>3.0534916289166247</v>
      </c>
      <c r="R3168" s="9">
        <f t="shared" si="126"/>
        <v>4.3491628916624947E-2</v>
      </c>
    </row>
    <row r="3169" spans="1:18" x14ac:dyDescent="0.2">
      <c r="A3169" s="2">
        <v>42622</v>
      </c>
      <c r="B3169" s="1" t="s">
        <v>56</v>
      </c>
      <c r="C3169" s="1" t="s">
        <v>57</v>
      </c>
      <c r="D3169" s="2">
        <v>43111</v>
      </c>
      <c r="E3169" s="2">
        <f t="shared" si="125"/>
        <v>43405</v>
      </c>
      <c r="F3169" s="1" t="s">
        <v>58</v>
      </c>
      <c r="G3169" s="1" t="s">
        <v>18</v>
      </c>
      <c r="H3169" s="1">
        <v>-3</v>
      </c>
      <c r="I3169" s="1">
        <v>1.28</v>
      </c>
      <c r="J3169" s="1">
        <v>-0.01</v>
      </c>
      <c r="K3169" s="2">
        <v>43354</v>
      </c>
      <c r="L3169" s="1">
        <v>3716</v>
      </c>
      <c r="M3169" s="1">
        <v>3.51</v>
      </c>
      <c r="N3169" s="1">
        <v>0.70987999999999996</v>
      </c>
      <c r="O3169" s="3">
        <f>VLOOKUP(D3169,underlying!$D$40:$H$75,5,FALSE)</f>
        <v>-1.25</v>
      </c>
      <c r="P3169" s="4">
        <f t="shared" si="124"/>
        <v>43413</v>
      </c>
      <c r="Q3169" s="7">
        <f>IF(G3169="C",NormalCallSprd(O3169,H3169,M3169,(P3169-A3169)/365), NormalPutSprd(O3169,H3169,M3169,(P3169-A3169)/365))</f>
        <v>1.3034916289166247</v>
      </c>
      <c r="R3169" s="9">
        <f t="shared" si="126"/>
        <v>2.3491628916624707E-2</v>
      </c>
    </row>
    <row r="3170" spans="1:18" x14ac:dyDescent="0.2">
      <c r="A3170" s="2">
        <v>42622</v>
      </c>
      <c r="B3170" s="1" t="s">
        <v>56</v>
      </c>
      <c r="C3170" s="1" t="s">
        <v>57</v>
      </c>
      <c r="D3170" s="2">
        <v>43111</v>
      </c>
      <c r="E3170" s="2">
        <f t="shared" si="125"/>
        <v>43405</v>
      </c>
      <c r="F3170" s="1" t="s">
        <v>58</v>
      </c>
      <c r="G3170" s="1" t="s">
        <v>16</v>
      </c>
      <c r="H3170" s="1">
        <v>-2.75</v>
      </c>
      <c r="I3170" s="1">
        <v>2.84</v>
      </c>
      <c r="J3170" s="1">
        <v>-0.01</v>
      </c>
      <c r="K3170" s="2">
        <v>43354</v>
      </c>
      <c r="L3170" s="1">
        <v>3716</v>
      </c>
      <c r="M3170" s="1">
        <v>3.49</v>
      </c>
      <c r="N3170" s="1">
        <v>0.72714000000000001</v>
      </c>
      <c r="O3170" s="3">
        <f>VLOOKUP(D3170,underlying!$D$40:$H$75,5,FALSE)</f>
        <v>-1.25</v>
      </c>
      <c r="P3170" s="4">
        <f t="shared" si="124"/>
        <v>43413</v>
      </c>
      <c r="Q3170" s="7">
        <f>IF(G3170="C",NormalCallSprd(O3170,H3170,M3170,(P3170-A3170)/365), NormalPutSprd(O3170,H3170,M3170,(P3170-A3170)/365))</f>
        <v>2.8863798973832542</v>
      </c>
      <c r="R3170" s="9">
        <f t="shared" si="126"/>
        <v>4.637989738325432E-2</v>
      </c>
    </row>
    <row r="3171" spans="1:18" x14ac:dyDescent="0.2">
      <c r="A3171" s="2">
        <v>42622</v>
      </c>
      <c r="B3171" s="1" t="s">
        <v>56</v>
      </c>
      <c r="C3171" s="1" t="s">
        <v>57</v>
      </c>
      <c r="D3171" s="2">
        <v>43111</v>
      </c>
      <c r="E3171" s="2">
        <f t="shared" si="125"/>
        <v>43405</v>
      </c>
      <c r="F3171" s="1" t="s">
        <v>58</v>
      </c>
      <c r="G3171" s="1" t="s">
        <v>18</v>
      </c>
      <c r="H3171" s="1">
        <v>-2.75</v>
      </c>
      <c r="I3171" s="1">
        <v>1.37</v>
      </c>
      <c r="J3171" s="1">
        <v>0</v>
      </c>
      <c r="K3171" s="2">
        <v>43354</v>
      </c>
      <c r="L3171" s="1">
        <v>3716</v>
      </c>
      <c r="M3171" s="1">
        <v>3.49</v>
      </c>
      <c r="N3171" s="1">
        <v>0.74383999999999995</v>
      </c>
      <c r="O3171" s="3">
        <f>VLOOKUP(D3171,underlying!$D$40:$H$75,5,FALSE)</f>
        <v>-1.25</v>
      </c>
      <c r="P3171" s="4">
        <f t="shared" si="124"/>
        <v>43413</v>
      </c>
      <c r="Q3171" s="7">
        <f>IF(G3171="C",NormalCallSprd(O3171,H3171,M3171,(P3171-A3171)/365), NormalPutSprd(O3171,H3171,M3171,(P3171-A3171)/365))</f>
        <v>1.3863798973832544</v>
      </c>
      <c r="R3171" s="9">
        <f t="shared" si="126"/>
        <v>1.6379897383254294E-2</v>
      </c>
    </row>
    <row r="3172" spans="1:18" x14ac:dyDescent="0.2">
      <c r="A3172" s="2">
        <v>42622</v>
      </c>
      <c r="B3172" s="1" t="s">
        <v>56</v>
      </c>
      <c r="C3172" s="1" t="s">
        <v>57</v>
      </c>
      <c r="D3172" s="2">
        <v>43111</v>
      </c>
      <c r="E3172" s="2">
        <f t="shared" si="125"/>
        <v>43405</v>
      </c>
      <c r="F3172" s="1" t="s">
        <v>58</v>
      </c>
      <c r="G3172" s="1" t="s">
        <v>16</v>
      </c>
      <c r="H3172" s="1">
        <v>-2.5</v>
      </c>
      <c r="I3172" s="1">
        <v>2.71</v>
      </c>
      <c r="J3172" s="1">
        <v>0</v>
      </c>
      <c r="K3172" s="2">
        <v>43354</v>
      </c>
      <c r="L3172" s="1">
        <v>3716</v>
      </c>
      <c r="M3172" s="1">
        <v>3.51</v>
      </c>
      <c r="N3172" s="1">
        <v>0.80454000000000003</v>
      </c>
      <c r="O3172" s="3">
        <f>VLOOKUP(D3172,underlying!$D$40:$H$75,5,FALSE)</f>
        <v>-1.25</v>
      </c>
      <c r="P3172" s="4">
        <f t="shared" si="124"/>
        <v>43413</v>
      </c>
      <c r="Q3172" s="7">
        <f>IF(G3172="C",NormalCallSprd(O3172,H3172,M3172,(P3172-A3172)/365), NormalPutSprd(O3172,H3172,M3172,(P3172-A3172)/365))</f>
        <v>2.746410567172973</v>
      </c>
      <c r="R3172" s="9">
        <f t="shared" si="126"/>
        <v>3.6410567172973085E-2</v>
      </c>
    </row>
    <row r="3173" spans="1:18" x14ac:dyDescent="0.2">
      <c r="A3173" s="2">
        <v>42622</v>
      </c>
      <c r="B3173" s="1" t="s">
        <v>56</v>
      </c>
      <c r="C3173" s="1" t="s">
        <v>57</v>
      </c>
      <c r="D3173" s="2">
        <v>43111</v>
      </c>
      <c r="E3173" s="2">
        <f t="shared" si="125"/>
        <v>43405</v>
      </c>
      <c r="F3173" s="1" t="s">
        <v>58</v>
      </c>
      <c r="G3173" s="1" t="s">
        <v>18</v>
      </c>
      <c r="H3173" s="1">
        <v>-2.5</v>
      </c>
      <c r="I3173" s="1">
        <v>1.47</v>
      </c>
      <c r="J3173" s="1">
        <v>-0.01</v>
      </c>
      <c r="K3173" s="2">
        <v>43354</v>
      </c>
      <c r="L3173" s="1">
        <v>3716</v>
      </c>
      <c r="M3173" s="1">
        <v>3.51</v>
      </c>
      <c r="N3173" s="1">
        <v>0.85487000000000002</v>
      </c>
      <c r="O3173" s="3">
        <f>VLOOKUP(D3173,underlying!$D$40:$H$75,5,FALSE)</f>
        <v>-1.25</v>
      </c>
      <c r="P3173" s="4">
        <f t="shared" si="124"/>
        <v>43413</v>
      </c>
      <c r="Q3173" s="7">
        <f>IF(G3173="C",NormalCallSprd(O3173,H3173,M3173,(P3173-A3173)/365), NormalPutSprd(O3173,H3173,M3173,(P3173-A3173)/365))</f>
        <v>1.496410567172973</v>
      </c>
      <c r="R3173" s="9">
        <f t="shared" si="126"/>
        <v>2.6410567172973076E-2</v>
      </c>
    </row>
    <row r="3174" spans="1:18" x14ac:dyDescent="0.2">
      <c r="A3174" s="2">
        <v>42622</v>
      </c>
      <c r="B3174" s="1" t="s">
        <v>56</v>
      </c>
      <c r="C3174" s="1" t="s">
        <v>57</v>
      </c>
      <c r="D3174" s="2">
        <v>43111</v>
      </c>
      <c r="E3174" s="2">
        <f t="shared" si="125"/>
        <v>43405</v>
      </c>
      <c r="F3174" s="1" t="s">
        <v>58</v>
      </c>
      <c r="G3174" s="1" t="s">
        <v>16</v>
      </c>
      <c r="H3174" s="1">
        <v>-2.25</v>
      </c>
      <c r="I3174" s="1">
        <v>2.5499999999999998</v>
      </c>
      <c r="J3174" s="1">
        <v>0</v>
      </c>
      <c r="K3174" s="2">
        <v>43354</v>
      </c>
      <c r="L3174" s="1">
        <v>3716</v>
      </c>
      <c r="M3174" s="1">
        <v>3.49</v>
      </c>
      <c r="N3174" s="1">
        <v>-0.69208999999999998</v>
      </c>
      <c r="O3174" s="3">
        <f>VLOOKUP(D3174,underlying!$D$40:$H$75,5,FALSE)</f>
        <v>-1.25</v>
      </c>
      <c r="P3174" s="4">
        <f t="shared" si="124"/>
        <v>43413</v>
      </c>
      <c r="Q3174" s="7">
        <f>IF(G3174="C",NormalCallSprd(O3174,H3174,M3174,(P3174-A3174)/365), NormalPutSprd(O3174,H3174,M3174,(P3174-A3174)/365))</f>
        <v>2.5883416631661635</v>
      </c>
      <c r="R3174" s="9">
        <f t="shared" si="126"/>
        <v>3.834166316616372E-2</v>
      </c>
    </row>
    <row r="3175" spans="1:18" x14ac:dyDescent="0.2">
      <c r="A3175" s="2">
        <v>42622</v>
      </c>
      <c r="B3175" s="1" t="s">
        <v>56</v>
      </c>
      <c r="C3175" s="1" t="s">
        <v>57</v>
      </c>
      <c r="D3175" s="2">
        <v>43111</v>
      </c>
      <c r="E3175" s="2">
        <f t="shared" si="125"/>
        <v>43405</v>
      </c>
      <c r="F3175" s="1" t="s">
        <v>58</v>
      </c>
      <c r="G3175" s="1" t="s">
        <v>18</v>
      </c>
      <c r="H3175" s="1">
        <v>-2.25</v>
      </c>
      <c r="I3175" s="1">
        <v>1.57</v>
      </c>
      <c r="J3175" s="1">
        <v>0</v>
      </c>
      <c r="K3175" s="2">
        <v>43354</v>
      </c>
      <c r="L3175" s="1">
        <v>3716</v>
      </c>
      <c r="M3175" s="1">
        <v>3.49</v>
      </c>
      <c r="N3175" s="1">
        <v>-0.67379999999999995</v>
      </c>
      <c r="O3175" s="3">
        <f>VLOOKUP(D3175,underlying!$D$40:$H$75,5,FALSE)</f>
        <v>-1.25</v>
      </c>
      <c r="P3175" s="4">
        <f t="shared" si="124"/>
        <v>43413</v>
      </c>
      <c r="Q3175" s="7">
        <f>IF(G3175="C",NormalCallSprd(O3175,H3175,M3175,(P3175-A3175)/365), NormalPutSprd(O3175,H3175,M3175,(P3175-A3175)/365))</f>
        <v>1.5883416631661635</v>
      </c>
      <c r="R3175" s="9">
        <f t="shared" si="126"/>
        <v>1.834166316616348E-2</v>
      </c>
    </row>
    <row r="3176" spans="1:18" x14ac:dyDescent="0.2">
      <c r="A3176" s="2">
        <v>42622</v>
      </c>
      <c r="B3176" s="1" t="s">
        <v>56</v>
      </c>
      <c r="C3176" s="1" t="s">
        <v>57</v>
      </c>
      <c r="D3176" s="2">
        <v>43111</v>
      </c>
      <c r="E3176" s="2">
        <f t="shared" si="125"/>
        <v>43405</v>
      </c>
      <c r="F3176" s="1" t="s">
        <v>58</v>
      </c>
      <c r="G3176" s="1" t="s">
        <v>16</v>
      </c>
      <c r="H3176" s="1">
        <v>-2</v>
      </c>
      <c r="I3176" s="1">
        <v>2.42</v>
      </c>
      <c r="J3176" s="1">
        <v>0</v>
      </c>
      <c r="K3176" s="2">
        <v>43354</v>
      </c>
      <c r="L3176" s="1">
        <v>3716</v>
      </c>
      <c r="M3176" s="1">
        <v>3.5</v>
      </c>
      <c r="N3176" s="1">
        <v>-0.65505000000000002</v>
      </c>
      <c r="O3176" s="3">
        <f>VLOOKUP(D3176,underlying!$D$40:$H$75,5,FALSE)</f>
        <v>-1.25</v>
      </c>
      <c r="P3176" s="4">
        <f t="shared" si="124"/>
        <v>43413</v>
      </c>
      <c r="Q3176" s="7">
        <f>IF(G3176="C",NormalCallSprd(O3176,H3176,M3176,(P3176-A3176)/365), NormalPutSprd(O3176,H3176,M3176,(P3176-A3176)/365))</f>
        <v>2.4522499052877857</v>
      </c>
      <c r="R3176" s="9">
        <f t="shared" si="126"/>
        <v>3.2249905287785818E-2</v>
      </c>
    </row>
    <row r="3177" spans="1:18" x14ac:dyDescent="0.2">
      <c r="A3177" s="2">
        <v>42622</v>
      </c>
      <c r="B3177" s="1" t="s">
        <v>56</v>
      </c>
      <c r="C3177" s="1" t="s">
        <v>57</v>
      </c>
      <c r="D3177" s="2">
        <v>43111</v>
      </c>
      <c r="E3177" s="2">
        <f t="shared" si="125"/>
        <v>43405</v>
      </c>
      <c r="F3177" s="1" t="s">
        <v>58</v>
      </c>
      <c r="G3177" s="1" t="s">
        <v>18</v>
      </c>
      <c r="H3177" s="1">
        <v>-2</v>
      </c>
      <c r="I3177" s="1">
        <v>1.68</v>
      </c>
      <c r="J3177" s="1">
        <v>0</v>
      </c>
      <c r="K3177" s="2">
        <v>43354</v>
      </c>
      <c r="L3177" s="1">
        <v>3716</v>
      </c>
      <c r="M3177" s="1">
        <v>3.5</v>
      </c>
      <c r="N3177" s="1">
        <v>-0.63588</v>
      </c>
      <c r="O3177" s="3">
        <f>VLOOKUP(D3177,underlying!$D$40:$H$75,5,FALSE)</f>
        <v>-1.25</v>
      </c>
      <c r="P3177" s="4">
        <f t="shared" si="124"/>
        <v>43413</v>
      </c>
      <c r="Q3177" s="7">
        <f>IF(G3177="C",NormalCallSprd(O3177,H3177,M3177,(P3177-A3177)/365), NormalPutSprd(O3177,H3177,M3177,(P3177-A3177)/365))</f>
        <v>1.7022499052877857</v>
      </c>
      <c r="R3177" s="9">
        <f t="shared" si="126"/>
        <v>2.2249905287785809E-2</v>
      </c>
    </row>
    <row r="3178" spans="1:18" x14ac:dyDescent="0.2">
      <c r="A3178" s="2">
        <v>42622</v>
      </c>
      <c r="B3178" s="1" t="s">
        <v>56</v>
      </c>
      <c r="C3178" s="1" t="s">
        <v>57</v>
      </c>
      <c r="D3178" s="2">
        <v>43111</v>
      </c>
      <c r="E3178" s="2">
        <f t="shared" si="125"/>
        <v>43405</v>
      </c>
      <c r="F3178" s="1" t="s">
        <v>58</v>
      </c>
      <c r="G3178" s="1" t="s">
        <v>16</v>
      </c>
      <c r="H3178" s="1">
        <v>-1.75</v>
      </c>
      <c r="I3178" s="1">
        <v>2.2799999999999998</v>
      </c>
      <c r="J3178" s="1">
        <v>0</v>
      </c>
      <c r="K3178" s="2">
        <v>43354</v>
      </c>
      <c r="L3178" s="1">
        <v>3716</v>
      </c>
      <c r="M3178" s="1">
        <v>3.5</v>
      </c>
      <c r="N3178" s="1">
        <v>-0.61667000000000005</v>
      </c>
      <c r="O3178" s="3">
        <f>VLOOKUP(D3178,underlying!$D$40:$H$75,5,FALSE)</f>
        <v>-1.25</v>
      </c>
      <c r="P3178" s="4">
        <f t="shared" si="124"/>
        <v>43413</v>
      </c>
      <c r="Q3178" s="7">
        <f>IF(G3178="C",NormalCallSprd(O3178,H3178,M3178,(P3178-A3178)/365), NormalPutSprd(O3178,H3178,M3178,(P3178-A3178)/365))</f>
        <v>2.3151825018643963</v>
      </c>
      <c r="R3178" s="9">
        <f t="shared" si="126"/>
        <v>3.5182501864396531E-2</v>
      </c>
    </row>
    <row r="3179" spans="1:18" x14ac:dyDescent="0.2">
      <c r="A3179" s="2">
        <v>42622</v>
      </c>
      <c r="B3179" s="1" t="s">
        <v>56</v>
      </c>
      <c r="C3179" s="1" t="s">
        <v>57</v>
      </c>
      <c r="D3179" s="2">
        <v>43111</v>
      </c>
      <c r="E3179" s="2">
        <f t="shared" si="125"/>
        <v>43405</v>
      </c>
      <c r="F3179" s="1" t="s">
        <v>58</v>
      </c>
      <c r="G3179" s="1" t="s">
        <v>18</v>
      </c>
      <c r="H3179" s="1">
        <v>-1.75</v>
      </c>
      <c r="I3179" s="1">
        <v>1.79</v>
      </c>
      <c r="J3179" s="1">
        <v>0</v>
      </c>
      <c r="K3179" s="2">
        <v>43354</v>
      </c>
      <c r="L3179" s="1">
        <v>3716</v>
      </c>
      <c r="M3179" s="1">
        <v>3.5</v>
      </c>
      <c r="N3179" s="1">
        <v>-0.59675</v>
      </c>
      <c r="O3179" s="3">
        <f>VLOOKUP(D3179,underlying!$D$40:$H$75,5,FALSE)</f>
        <v>-1.25</v>
      </c>
      <c r="P3179" s="4">
        <f t="shared" si="124"/>
        <v>43413</v>
      </c>
      <c r="Q3179" s="7">
        <f>IF(G3179="C",NormalCallSprd(O3179,H3179,M3179,(P3179-A3179)/365), NormalPutSprd(O3179,H3179,M3179,(P3179-A3179)/365))</f>
        <v>1.8151825018643961</v>
      </c>
      <c r="R3179" s="9">
        <f t="shared" si="126"/>
        <v>2.5182501864396079E-2</v>
      </c>
    </row>
    <row r="3180" spans="1:18" x14ac:dyDescent="0.2">
      <c r="A3180" s="2">
        <v>42622</v>
      </c>
      <c r="B3180" s="1" t="s">
        <v>56</v>
      </c>
      <c r="C3180" s="1" t="s">
        <v>57</v>
      </c>
      <c r="D3180" s="2">
        <v>43111</v>
      </c>
      <c r="E3180" s="2">
        <f t="shared" si="125"/>
        <v>43405</v>
      </c>
      <c r="F3180" s="1" t="s">
        <v>58</v>
      </c>
      <c r="G3180" s="1" t="s">
        <v>16</v>
      </c>
      <c r="H3180" s="1">
        <v>-1.5</v>
      </c>
      <c r="I3180" s="1">
        <v>2.16</v>
      </c>
      <c r="J3180" s="1">
        <v>0</v>
      </c>
      <c r="K3180" s="2">
        <v>43354</v>
      </c>
      <c r="L3180" s="1">
        <v>3716</v>
      </c>
      <c r="M3180" s="1">
        <v>3.51</v>
      </c>
      <c r="N3180" s="1">
        <v>-0.57677999999999996</v>
      </c>
      <c r="O3180" s="3">
        <f>VLOOKUP(D3180,underlying!$D$40:$H$75,5,FALSE)</f>
        <v>-1.25</v>
      </c>
      <c r="P3180" s="4">
        <f t="shared" si="124"/>
        <v>43413</v>
      </c>
      <c r="Q3180" s="7">
        <f>IF(G3180="C",NormalCallSprd(O3180,H3180,M3180,(P3180-A3180)/365), NormalPutSprd(O3180,H3180,M3180,(P3180-A3180)/365))</f>
        <v>2.1887967048256738</v>
      </c>
      <c r="R3180" s="9">
        <f t="shared" si="126"/>
        <v>2.8796704825673647E-2</v>
      </c>
    </row>
    <row r="3181" spans="1:18" x14ac:dyDescent="0.2">
      <c r="A3181" s="2">
        <v>42622</v>
      </c>
      <c r="B3181" s="1" t="s">
        <v>56</v>
      </c>
      <c r="C3181" s="1" t="s">
        <v>57</v>
      </c>
      <c r="D3181" s="2">
        <v>43111</v>
      </c>
      <c r="E3181" s="2">
        <f t="shared" si="125"/>
        <v>43405</v>
      </c>
      <c r="F3181" s="1" t="s">
        <v>58</v>
      </c>
      <c r="G3181" s="1" t="s">
        <v>18</v>
      </c>
      <c r="H3181" s="1">
        <v>-1.5</v>
      </c>
      <c r="I3181" s="1">
        <v>1.91</v>
      </c>
      <c r="J3181" s="1">
        <v>0</v>
      </c>
      <c r="K3181" s="2">
        <v>43354</v>
      </c>
      <c r="L3181" s="1">
        <v>3716</v>
      </c>
      <c r="M3181" s="1">
        <v>3.51</v>
      </c>
      <c r="N3181" s="1">
        <v>-0.55611999999999995</v>
      </c>
      <c r="O3181" s="3">
        <f>VLOOKUP(D3181,underlying!$D$40:$H$75,5,FALSE)</f>
        <v>-1.25</v>
      </c>
      <c r="P3181" s="4">
        <f t="shared" si="124"/>
        <v>43413</v>
      </c>
      <c r="Q3181" s="7">
        <f>IF(G3181="C",NormalCallSprd(O3181,H3181,M3181,(P3181-A3181)/365), NormalPutSprd(O3181,H3181,M3181,(P3181-A3181)/365))</f>
        <v>1.938796704825674</v>
      </c>
      <c r="R3181" s="9">
        <f t="shared" si="126"/>
        <v>2.8796704825674091E-2</v>
      </c>
    </row>
    <row r="3182" spans="1:18" x14ac:dyDescent="0.2">
      <c r="A3182" s="2">
        <v>42622</v>
      </c>
      <c r="B3182" s="1" t="s">
        <v>56</v>
      </c>
      <c r="C3182" s="1" t="s">
        <v>57</v>
      </c>
      <c r="D3182" s="2">
        <v>43111</v>
      </c>
      <c r="E3182" s="2">
        <f t="shared" si="125"/>
        <v>43405</v>
      </c>
      <c r="F3182" s="1" t="s">
        <v>58</v>
      </c>
      <c r="G3182" s="1" t="s">
        <v>16</v>
      </c>
      <c r="H3182" s="1">
        <v>-1.25</v>
      </c>
      <c r="I3182" s="1">
        <v>2.0299999999999998</v>
      </c>
      <c r="J3182" s="1">
        <v>0</v>
      </c>
      <c r="K3182" s="2">
        <v>43354</v>
      </c>
      <c r="L3182" s="1">
        <v>3716</v>
      </c>
      <c r="M3182" s="1">
        <v>3.5</v>
      </c>
      <c r="N3182" s="1">
        <v>-0.53552</v>
      </c>
      <c r="O3182" s="3">
        <f>VLOOKUP(D3182,underlying!$D$40:$H$75,5,FALSE)</f>
        <v>-1.25</v>
      </c>
      <c r="P3182" s="4">
        <f t="shared" si="124"/>
        <v>43413</v>
      </c>
      <c r="Q3182" s="7">
        <f>IF(G3182="C",NormalCallSprd(O3182,H3182,M3182,(P3182-A3182)/365), NormalPutSprd(O3182,H3182,M3182,(P3182-A3182)/365))</f>
        <v>2.0555115417213896</v>
      </c>
      <c r="R3182" s="9">
        <f t="shared" si="126"/>
        <v>2.5511541721389808E-2</v>
      </c>
    </row>
    <row r="3183" spans="1:18" x14ac:dyDescent="0.2">
      <c r="A3183" s="2">
        <v>42622</v>
      </c>
      <c r="B3183" s="1" t="s">
        <v>56</v>
      </c>
      <c r="C3183" s="1" t="s">
        <v>57</v>
      </c>
      <c r="D3183" s="2">
        <v>43111</v>
      </c>
      <c r="E3183" s="2">
        <f t="shared" si="125"/>
        <v>43405</v>
      </c>
      <c r="F3183" s="1" t="s">
        <v>58</v>
      </c>
      <c r="G3183" s="1" t="s">
        <v>18</v>
      </c>
      <c r="H3183" s="1">
        <v>-1.25</v>
      </c>
      <c r="I3183" s="1">
        <v>2.0299999999999998</v>
      </c>
      <c r="J3183" s="1">
        <v>0</v>
      </c>
      <c r="K3183" s="2">
        <v>43354</v>
      </c>
      <c r="L3183" s="1">
        <v>3716</v>
      </c>
      <c r="M3183" s="1">
        <v>3.5</v>
      </c>
      <c r="N3183" s="1">
        <v>-0.51473999999999998</v>
      </c>
      <c r="O3183" s="3">
        <f>VLOOKUP(D3183,underlying!$D$40:$H$75,5,FALSE)</f>
        <v>-1.25</v>
      </c>
      <c r="P3183" s="4">
        <f t="shared" si="124"/>
        <v>43413</v>
      </c>
      <c r="Q3183" s="7">
        <f>IF(G3183="C",NormalCallSprd(O3183,H3183,M3183,(P3183-A3183)/365), NormalPutSprd(O3183,H3183,M3183,(P3183-A3183)/365))</f>
        <v>2.0555115417213896</v>
      </c>
      <c r="R3183" s="9">
        <f t="shared" si="126"/>
        <v>2.5511541721389808E-2</v>
      </c>
    </row>
    <row r="3184" spans="1:18" x14ac:dyDescent="0.2">
      <c r="A3184" s="2">
        <v>42622</v>
      </c>
      <c r="B3184" s="1" t="s">
        <v>56</v>
      </c>
      <c r="C3184" s="1" t="s">
        <v>57</v>
      </c>
      <c r="D3184" s="2">
        <v>43111</v>
      </c>
      <c r="E3184" s="2">
        <f t="shared" si="125"/>
        <v>43405</v>
      </c>
      <c r="F3184" s="1" t="s">
        <v>58</v>
      </c>
      <c r="G3184" s="1" t="s">
        <v>16</v>
      </c>
      <c r="H3184" s="1">
        <v>-1</v>
      </c>
      <c r="I3184" s="1">
        <v>1.91</v>
      </c>
      <c r="J3184" s="1">
        <v>0</v>
      </c>
      <c r="K3184" s="2">
        <v>43354</v>
      </c>
      <c r="L3184" s="1">
        <v>3716</v>
      </c>
      <c r="M3184" s="1">
        <v>3.51</v>
      </c>
      <c r="N3184" s="1">
        <v>-0.49403000000000002</v>
      </c>
      <c r="O3184" s="3">
        <f>VLOOKUP(D3184,underlying!$D$40:$H$75,5,FALSE)</f>
        <v>-1.25</v>
      </c>
      <c r="P3184" s="4">
        <f t="shared" si="124"/>
        <v>43413</v>
      </c>
      <c r="Q3184" s="7">
        <f>IF(G3184="C",NormalCallSprd(O3184,H3184,M3184,(P3184-A3184)/365), NormalPutSprd(O3184,H3184,M3184,(P3184-A3184)/365))</f>
        <v>1.938796704825674</v>
      </c>
      <c r="R3184" s="9">
        <f t="shared" si="126"/>
        <v>2.8796704825674091E-2</v>
      </c>
    </row>
    <row r="3185" spans="1:18" x14ac:dyDescent="0.2">
      <c r="A3185" s="2">
        <v>42622</v>
      </c>
      <c r="B3185" s="1" t="s">
        <v>56</v>
      </c>
      <c r="C3185" s="1" t="s">
        <v>57</v>
      </c>
      <c r="D3185" s="2">
        <v>43111</v>
      </c>
      <c r="E3185" s="2">
        <f t="shared" si="125"/>
        <v>43405</v>
      </c>
      <c r="F3185" s="1" t="s">
        <v>58</v>
      </c>
      <c r="G3185" s="1" t="s">
        <v>18</v>
      </c>
      <c r="H3185" s="1">
        <v>-1</v>
      </c>
      <c r="I3185" s="1">
        <v>2.16</v>
      </c>
      <c r="J3185" s="1">
        <v>0</v>
      </c>
      <c r="K3185" s="2">
        <v>43354</v>
      </c>
      <c r="L3185" s="1">
        <v>3716</v>
      </c>
      <c r="M3185" s="1">
        <v>3.51</v>
      </c>
      <c r="N3185" s="1">
        <v>-0.47332000000000002</v>
      </c>
      <c r="O3185" s="3">
        <f>VLOOKUP(D3185,underlying!$D$40:$H$75,5,FALSE)</f>
        <v>-1.25</v>
      </c>
      <c r="P3185" s="4">
        <f t="shared" si="124"/>
        <v>43413</v>
      </c>
      <c r="Q3185" s="7">
        <f>IF(G3185="C",NormalCallSprd(O3185,H3185,M3185,(P3185-A3185)/365), NormalPutSprd(O3185,H3185,M3185,(P3185-A3185)/365))</f>
        <v>2.1887967048256738</v>
      </c>
      <c r="R3185" s="9">
        <f t="shared" si="126"/>
        <v>2.8796704825673647E-2</v>
      </c>
    </row>
    <row r="3186" spans="1:18" x14ac:dyDescent="0.2">
      <c r="A3186" s="2">
        <v>42622</v>
      </c>
      <c r="B3186" s="1" t="s">
        <v>56</v>
      </c>
      <c r="C3186" s="1" t="s">
        <v>57</v>
      </c>
      <c r="D3186" s="2">
        <v>43111</v>
      </c>
      <c r="E3186" s="2">
        <f t="shared" si="125"/>
        <v>43405</v>
      </c>
      <c r="F3186" s="1" t="s">
        <v>58</v>
      </c>
      <c r="G3186" s="1" t="s">
        <v>16</v>
      </c>
      <c r="H3186" s="1">
        <v>-0.75</v>
      </c>
      <c r="I3186" s="1">
        <v>1.79</v>
      </c>
      <c r="J3186" s="1">
        <v>0</v>
      </c>
      <c r="K3186" s="2">
        <v>43354</v>
      </c>
      <c r="L3186" s="1">
        <v>3716</v>
      </c>
      <c r="M3186" s="1">
        <v>3.5</v>
      </c>
      <c r="N3186" s="1">
        <v>-0.45254</v>
      </c>
      <c r="O3186" s="3">
        <f>VLOOKUP(D3186,underlying!$D$40:$H$75,5,FALSE)</f>
        <v>-1.25</v>
      </c>
      <c r="P3186" s="4">
        <f t="shared" si="124"/>
        <v>43413</v>
      </c>
      <c r="Q3186" s="7">
        <f>IF(G3186="C",NormalCallSprd(O3186,H3186,M3186,(P3186-A3186)/365), NormalPutSprd(O3186,H3186,M3186,(P3186-A3186)/365))</f>
        <v>1.8151825018643961</v>
      </c>
      <c r="R3186" s="9">
        <f t="shared" si="126"/>
        <v>2.5182501864396079E-2</v>
      </c>
    </row>
    <row r="3187" spans="1:18" x14ac:dyDescent="0.2">
      <c r="A3187" s="2">
        <v>42622</v>
      </c>
      <c r="B3187" s="1" t="s">
        <v>56</v>
      </c>
      <c r="C3187" s="1" t="s">
        <v>57</v>
      </c>
      <c r="D3187" s="2">
        <v>43111</v>
      </c>
      <c r="E3187" s="2">
        <f t="shared" si="125"/>
        <v>43405</v>
      </c>
      <c r="F3187" s="1" t="s">
        <v>58</v>
      </c>
      <c r="G3187" s="1" t="s">
        <v>18</v>
      </c>
      <c r="H3187" s="1">
        <v>-0.75</v>
      </c>
      <c r="I3187" s="1">
        <v>2.2799999999999998</v>
      </c>
      <c r="J3187" s="1">
        <v>0</v>
      </c>
      <c r="K3187" s="2">
        <v>43354</v>
      </c>
      <c r="L3187" s="1">
        <v>3716</v>
      </c>
      <c r="M3187" s="1">
        <v>3.5</v>
      </c>
      <c r="N3187" s="1">
        <v>-0.43195</v>
      </c>
      <c r="O3187" s="3">
        <f>VLOOKUP(D3187,underlying!$D$40:$H$75,5,FALSE)</f>
        <v>-1.25</v>
      </c>
      <c r="P3187" s="4">
        <f t="shared" si="124"/>
        <v>43413</v>
      </c>
      <c r="Q3187" s="7">
        <f>IF(G3187="C",NormalCallSprd(O3187,H3187,M3187,(P3187-A3187)/365), NormalPutSprd(O3187,H3187,M3187,(P3187-A3187)/365))</f>
        <v>2.3151825018643963</v>
      </c>
      <c r="R3187" s="9">
        <f t="shared" si="126"/>
        <v>3.5182501864396531E-2</v>
      </c>
    </row>
    <row r="3188" spans="1:18" x14ac:dyDescent="0.2">
      <c r="A3188" s="2">
        <v>42622</v>
      </c>
      <c r="B3188" s="1" t="s">
        <v>56</v>
      </c>
      <c r="C3188" s="1" t="s">
        <v>57</v>
      </c>
      <c r="D3188" s="2">
        <v>43111</v>
      </c>
      <c r="E3188" s="2">
        <f t="shared" si="125"/>
        <v>43405</v>
      </c>
      <c r="F3188" s="1" t="s">
        <v>58</v>
      </c>
      <c r="G3188" s="1" t="s">
        <v>16</v>
      </c>
      <c r="H3188" s="1">
        <v>-0.5</v>
      </c>
      <c r="I3188" s="1">
        <v>1.68</v>
      </c>
      <c r="J3188" s="1">
        <v>0</v>
      </c>
      <c r="K3188" s="2">
        <v>43354</v>
      </c>
      <c r="L3188" s="1">
        <v>3716</v>
      </c>
      <c r="M3188" s="1">
        <v>3.5</v>
      </c>
      <c r="N3188" s="1">
        <v>-0.41127999999999998</v>
      </c>
      <c r="O3188" s="3">
        <f>VLOOKUP(D3188,underlying!$D$40:$H$75,5,FALSE)</f>
        <v>-1.25</v>
      </c>
      <c r="P3188" s="4">
        <f t="shared" si="124"/>
        <v>43413</v>
      </c>
      <c r="Q3188" s="7">
        <f>IF(G3188="C",NormalCallSprd(O3188,H3188,M3188,(P3188-A3188)/365), NormalPutSprd(O3188,H3188,M3188,(P3188-A3188)/365))</f>
        <v>1.7022499052877857</v>
      </c>
      <c r="R3188" s="9">
        <f t="shared" si="126"/>
        <v>2.2249905287785809E-2</v>
      </c>
    </row>
    <row r="3189" spans="1:18" x14ac:dyDescent="0.2">
      <c r="A3189" s="2">
        <v>42622</v>
      </c>
      <c r="B3189" s="1" t="s">
        <v>56</v>
      </c>
      <c r="C3189" s="1" t="s">
        <v>57</v>
      </c>
      <c r="D3189" s="2">
        <v>43111</v>
      </c>
      <c r="E3189" s="2">
        <f t="shared" si="125"/>
        <v>43405</v>
      </c>
      <c r="F3189" s="1" t="s">
        <v>58</v>
      </c>
      <c r="G3189" s="1" t="s">
        <v>18</v>
      </c>
      <c r="H3189" s="1">
        <v>-0.5</v>
      </c>
      <c r="I3189" s="1">
        <v>2.42</v>
      </c>
      <c r="J3189" s="1">
        <v>0</v>
      </c>
      <c r="K3189" s="2">
        <v>43354</v>
      </c>
      <c r="L3189" s="1">
        <v>3716</v>
      </c>
      <c r="M3189" s="1">
        <v>3.5</v>
      </c>
      <c r="N3189" s="1">
        <v>-0.3916</v>
      </c>
      <c r="O3189" s="3">
        <f>VLOOKUP(D3189,underlying!$D$40:$H$75,5,FALSE)</f>
        <v>-1.25</v>
      </c>
      <c r="P3189" s="4">
        <f t="shared" si="124"/>
        <v>43413</v>
      </c>
      <c r="Q3189" s="7">
        <f>IF(G3189="C",NormalCallSprd(O3189,H3189,M3189,(P3189-A3189)/365), NormalPutSprd(O3189,H3189,M3189,(P3189-A3189)/365))</f>
        <v>2.4522499052877857</v>
      </c>
      <c r="R3189" s="9">
        <f t="shared" si="126"/>
        <v>3.2249905287785818E-2</v>
      </c>
    </row>
    <row r="3190" spans="1:18" x14ac:dyDescent="0.2">
      <c r="A3190" s="2">
        <v>42622</v>
      </c>
      <c r="B3190" s="1" t="s">
        <v>56</v>
      </c>
      <c r="C3190" s="1" t="s">
        <v>57</v>
      </c>
      <c r="D3190" s="2">
        <v>43111</v>
      </c>
      <c r="E3190" s="2">
        <f t="shared" si="125"/>
        <v>43405</v>
      </c>
      <c r="F3190" s="1" t="s">
        <v>58</v>
      </c>
      <c r="G3190" s="1" t="s">
        <v>16</v>
      </c>
      <c r="H3190" s="1">
        <v>-0.25</v>
      </c>
      <c r="I3190" s="1">
        <v>1.57</v>
      </c>
      <c r="J3190" s="1">
        <v>0</v>
      </c>
      <c r="K3190" s="2">
        <v>43354</v>
      </c>
      <c r="L3190" s="1">
        <v>3716</v>
      </c>
      <c r="M3190" s="1">
        <v>3.49</v>
      </c>
      <c r="N3190" s="1">
        <v>-0.37104999999999999</v>
      </c>
      <c r="O3190" s="3">
        <f>VLOOKUP(D3190,underlying!$D$40:$H$75,5,FALSE)</f>
        <v>-1.25</v>
      </c>
      <c r="P3190" s="4">
        <f t="shared" si="124"/>
        <v>43413</v>
      </c>
      <c r="Q3190" s="7">
        <f>IF(G3190="C",NormalCallSprd(O3190,H3190,M3190,(P3190-A3190)/365), NormalPutSprd(O3190,H3190,M3190,(P3190-A3190)/365))</f>
        <v>1.5883416631661635</v>
      </c>
      <c r="R3190" s="9">
        <f t="shared" si="126"/>
        <v>1.834166316616348E-2</v>
      </c>
    </row>
    <row r="3191" spans="1:18" x14ac:dyDescent="0.2">
      <c r="A3191" s="2">
        <v>42622</v>
      </c>
      <c r="B3191" s="1" t="s">
        <v>56</v>
      </c>
      <c r="C3191" s="1" t="s">
        <v>57</v>
      </c>
      <c r="D3191" s="2">
        <v>43111</v>
      </c>
      <c r="E3191" s="2">
        <f t="shared" si="125"/>
        <v>43405</v>
      </c>
      <c r="F3191" s="1" t="s">
        <v>58</v>
      </c>
      <c r="G3191" s="1" t="s">
        <v>18</v>
      </c>
      <c r="H3191" s="1">
        <v>-0.25</v>
      </c>
      <c r="I3191" s="1">
        <v>2.5499999999999998</v>
      </c>
      <c r="J3191" s="1">
        <v>0</v>
      </c>
      <c r="K3191" s="2">
        <v>43354</v>
      </c>
      <c r="L3191" s="1">
        <v>3716</v>
      </c>
      <c r="M3191" s="1">
        <v>3.49</v>
      </c>
      <c r="N3191" s="1">
        <v>-0.35217999999999999</v>
      </c>
      <c r="O3191" s="3">
        <f>VLOOKUP(D3191,underlying!$D$40:$H$75,5,FALSE)</f>
        <v>-1.25</v>
      </c>
      <c r="P3191" s="4">
        <f t="shared" si="124"/>
        <v>43413</v>
      </c>
      <c r="Q3191" s="7">
        <f>IF(G3191="C",NormalCallSprd(O3191,H3191,M3191,(P3191-A3191)/365), NormalPutSprd(O3191,H3191,M3191,(P3191-A3191)/365))</f>
        <v>2.5883416631661635</v>
      </c>
      <c r="R3191" s="9">
        <f t="shared" si="126"/>
        <v>3.834166316616372E-2</v>
      </c>
    </row>
    <row r="3192" spans="1:18" x14ac:dyDescent="0.2">
      <c r="A3192" s="2">
        <v>42622</v>
      </c>
      <c r="B3192" s="1" t="s">
        <v>56</v>
      </c>
      <c r="C3192" s="1" t="s">
        <v>57</v>
      </c>
      <c r="D3192" s="2">
        <v>43112</v>
      </c>
      <c r="E3192" s="2">
        <f t="shared" si="125"/>
        <v>43435</v>
      </c>
      <c r="F3192" s="1" t="s">
        <v>58</v>
      </c>
      <c r="G3192" s="1" t="s">
        <v>16</v>
      </c>
      <c r="H3192" s="1">
        <v>-9</v>
      </c>
      <c r="I3192" s="1">
        <v>6.67</v>
      </c>
      <c r="J3192" s="1">
        <v>0</v>
      </c>
      <c r="K3192" s="2">
        <v>43416</v>
      </c>
      <c r="L3192" s="1">
        <v>3716</v>
      </c>
      <c r="M3192" s="1">
        <v>3.49</v>
      </c>
      <c r="N3192" s="1">
        <v>-0.33213999999999999</v>
      </c>
      <c r="O3192" s="3">
        <f>VLOOKUP(D3192,underlying!$D$40:$H$75,5,FALSE)</f>
        <v>-2.5</v>
      </c>
      <c r="P3192" s="4">
        <f t="shared" si="124"/>
        <v>43445</v>
      </c>
      <c r="Q3192" s="7">
        <f>IF(G3192="C",NormalCallSprd(O3192,H3192,M3192,(P3192-A3192)/365), NormalPutSprd(O3192,H3192,M3192,(P3192-A3192)/365))</f>
        <v>6.7705076470739645</v>
      </c>
      <c r="R3192" s="9">
        <f t="shared" si="126"/>
        <v>0.10050764707396453</v>
      </c>
    </row>
    <row r="3193" spans="1:18" x14ac:dyDescent="0.2">
      <c r="A3193" s="2">
        <v>42622</v>
      </c>
      <c r="B3193" s="1" t="s">
        <v>56</v>
      </c>
      <c r="C3193" s="1" t="s">
        <v>57</v>
      </c>
      <c r="D3193" s="2">
        <v>43112</v>
      </c>
      <c r="E3193" s="2">
        <f t="shared" si="125"/>
        <v>43435</v>
      </c>
      <c r="F3193" s="1" t="s">
        <v>58</v>
      </c>
      <c r="G3193" s="1" t="s">
        <v>18</v>
      </c>
      <c r="H3193" s="1">
        <v>-9</v>
      </c>
      <c r="I3193" s="1">
        <v>0.27</v>
      </c>
      <c r="J3193" s="1">
        <v>0</v>
      </c>
      <c r="K3193" s="2">
        <v>43416</v>
      </c>
      <c r="L3193" s="1">
        <v>3716</v>
      </c>
      <c r="M3193" s="1">
        <v>3.49</v>
      </c>
      <c r="N3193" s="1">
        <v>-0.31425999999999998</v>
      </c>
      <c r="O3193" s="3">
        <f>VLOOKUP(D3193,underlying!$D$40:$H$75,5,FALSE)</f>
        <v>-2.5</v>
      </c>
      <c r="P3193" s="4">
        <f t="shared" ref="P3193:P3256" si="127">DATE(YEAR(K3193),DAY(K3193),MONTH(K3193))</f>
        <v>43445</v>
      </c>
      <c r="Q3193" s="7">
        <f>IF(G3193="C",NormalCallSprd(O3193,H3193,M3193,(P3193-A3193)/365), NormalPutSprd(O3193,H3193,M3193,(P3193-A3193)/365))</f>
        <v>0.27050764707396469</v>
      </c>
      <c r="R3193" s="9">
        <f t="shared" si="126"/>
        <v>5.0764707396466768E-4</v>
      </c>
    </row>
    <row r="3194" spans="1:18" x14ac:dyDescent="0.2">
      <c r="A3194" s="2">
        <v>42622</v>
      </c>
      <c r="B3194" s="1" t="s">
        <v>56</v>
      </c>
      <c r="C3194" s="1" t="s">
        <v>57</v>
      </c>
      <c r="D3194" s="2">
        <v>43112</v>
      </c>
      <c r="E3194" s="2">
        <f t="shared" si="125"/>
        <v>43435</v>
      </c>
      <c r="F3194" s="1" t="s">
        <v>58</v>
      </c>
      <c r="G3194" s="1" t="s">
        <v>16</v>
      </c>
      <c r="H3194" s="1">
        <v>-8</v>
      </c>
      <c r="I3194" s="1">
        <v>5.81</v>
      </c>
      <c r="J3194" s="1">
        <v>0</v>
      </c>
      <c r="K3194" s="2">
        <v>43416</v>
      </c>
      <c r="L3194" s="1">
        <v>3716</v>
      </c>
      <c r="M3194" s="1">
        <v>3.49</v>
      </c>
      <c r="N3194" s="1">
        <v>-0.29597000000000001</v>
      </c>
      <c r="O3194" s="3">
        <f>VLOOKUP(D3194,underlying!$D$40:$H$75,5,FALSE)</f>
        <v>-2.5</v>
      </c>
      <c r="P3194" s="4">
        <f t="shared" si="127"/>
        <v>43445</v>
      </c>
      <c r="Q3194" s="7">
        <f>IF(G3194="C",NormalCallSprd(O3194,H3194,M3194,(P3194-A3194)/365), NormalPutSprd(O3194,H3194,M3194,(P3194-A3194)/365))</f>
        <v>5.8969898592692305</v>
      </c>
      <c r="R3194" s="9">
        <f t="shared" si="126"/>
        <v>8.6989859269230863E-2</v>
      </c>
    </row>
    <row r="3195" spans="1:18" x14ac:dyDescent="0.2">
      <c r="A3195" s="2">
        <v>42622</v>
      </c>
      <c r="B3195" s="1" t="s">
        <v>56</v>
      </c>
      <c r="C3195" s="1" t="s">
        <v>57</v>
      </c>
      <c r="D3195" s="2">
        <v>43112</v>
      </c>
      <c r="E3195" s="2">
        <f t="shared" si="125"/>
        <v>43435</v>
      </c>
      <c r="F3195" s="1" t="s">
        <v>58</v>
      </c>
      <c r="G3195" s="1" t="s">
        <v>18</v>
      </c>
      <c r="H3195" s="1">
        <v>-8</v>
      </c>
      <c r="I3195" s="1">
        <v>0.39</v>
      </c>
      <c r="J3195" s="1">
        <v>0</v>
      </c>
      <c r="K3195" s="2">
        <v>43416</v>
      </c>
      <c r="L3195" s="1">
        <v>3716</v>
      </c>
      <c r="M3195" s="1">
        <v>3.49</v>
      </c>
      <c r="N3195" s="1">
        <v>-0.27817999999999998</v>
      </c>
      <c r="O3195" s="3">
        <f>VLOOKUP(D3195,underlying!$D$40:$H$75,5,FALSE)</f>
        <v>-2.5</v>
      </c>
      <c r="P3195" s="4">
        <f t="shared" si="127"/>
        <v>43445</v>
      </c>
      <c r="Q3195" s="7">
        <f>IF(G3195="C",NormalCallSprd(O3195,H3195,M3195,(P3195-A3195)/365), NormalPutSprd(O3195,H3195,M3195,(P3195-A3195)/365))</f>
        <v>0.39698985926923058</v>
      </c>
      <c r="R3195" s="9">
        <f t="shared" si="126"/>
        <v>6.9898592692305694E-3</v>
      </c>
    </row>
    <row r="3196" spans="1:18" x14ac:dyDescent="0.2">
      <c r="A3196" s="2">
        <v>42622</v>
      </c>
      <c r="B3196" s="1" t="s">
        <v>56</v>
      </c>
      <c r="C3196" s="1" t="s">
        <v>57</v>
      </c>
      <c r="D3196" s="2">
        <v>43112</v>
      </c>
      <c r="E3196" s="2">
        <f t="shared" si="125"/>
        <v>43435</v>
      </c>
      <c r="F3196" s="1" t="s">
        <v>58</v>
      </c>
      <c r="G3196" s="1" t="s">
        <v>16</v>
      </c>
      <c r="H3196" s="1">
        <v>-7</v>
      </c>
      <c r="I3196" s="1">
        <v>4.99</v>
      </c>
      <c r="J3196" s="1">
        <v>-0.01</v>
      </c>
      <c r="K3196" s="2">
        <v>43416</v>
      </c>
      <c r="L3196" s="1">
        <v>3716</v>
      </c>
      <c r="M3196" s="1">
        <v>3.5</v>
      </c>
      <c r="N3196" s="1">
        <v>-0.26091999999999999</v>
      </c>
      <c r="O3196" s="3">
        <f>VLOOKUP(D3196,underlying!$D$40:$H$75,5,FALSE)</f>
        <v>-2.5</v>
      </c>
      <c r="P3196" s="4">
        <f t="shared" si="127"/>
        <v>43445</v>
      </c>
      <c r="Q3196" s="7">
        <f>IF(G3196="C",NormalCallSprd(O3196,H3196,M3196,(P3196-A3196)/365), NormalPutSprd(O3196,H3196,M3196,(P3196-A3196)/365))</f>
        <v>5.0715216309479398</v>
      </c>
      <c r="R3196" s="9">
        <f t="shared" si="126"/>
        <v>8.1521630947939627E-2</v>
      </c>
    </row>
    <row r="3197" spans="1:18" x14ac:dyDescent="0.2">
      <c r="A3197" s="2">
        <v>42622</v>
      </c>
      <c r="B3197" s="1" t="s">
        <v>56</v>
      </c>
      <c r="C3197" s="1" t="s">
        <v>57</v>
      </c>
      <c r="D3197" s="2">
        <v>43112</v>
      </c>
      <c r="E3197" s="2">
        <f t="shared" si="125"/>
        <v>43435</v>
      </c>
      <c r="F3197" s="1" t="s">
        <v>58</v>
      </c>
      <c r="G3197" s="1" t="s">
        <v>18</v>
      </c>
      <c r="H3197" s="1">
        <v>-7</v>
      </c>
      <c r="I3197" s="1">
        <v>0.56000000000000005</v>
      </c>
      <c r="J3197" s="1">
        <v>0</v>
      </c>
      <c r="K3197" s="2">
        <v>43416</v>
      </c>
      <c r="L3197" s="1">
        <v>3716</v>
      </c>
      <c r="M3197" s="1">
        <v>3.5</v>
      </c>
      <c r="N3197" s="1">
        <v>-0.24421999999999999</v>
      </c>
      <c r="O3197" s="3">
        <f>VLOOKUP(D3197,underlying!$D$40:$H$75,5,FALSE)</f>
        <v>-2.5</v>
      </c>
      <c r="P3197" s="4">
        <f t="shared" si="127"/>
        <v>43445</v>
      </c>
      <c r="Q3197" s="7">
        <f>IF(G3197="C",NormalCallSprd(O3197,H3197,M3197,(P3197-A3197)/365), NormalPutSprd(O3197,H3197,M3197,(P3197-A3197)/365))</f>
        <v>0.57152163094794017</v>
      </c>
      <c r="R3197" s="9">
        <f t="shared" si="126"/>
        <v>1.152163094794012E-2</v>
      </c>
    </row>
    <row r="3198" spans="1:18" x14ac:dyDescent="0.2">
      <c r="A3198" s="2">
        <v>42622</v>
      </c>
      <c r="B3198" s="1" t="s">
        <v>56</v>
      </c>
      <c r="C3198" s="1" t="s">
        <v>57</v>
      </c>
      <c r="D3198" s="2">
        <v>43112</v>
      </c>
      <c r="E3198" s="2">
        <f t="shared" si="125"/>
        <v>43435</v>
      </c>
      <c r="F3198" s="1" t="s">
        <v>58</v>
      </c>
      <c r="G3198" s="1" t="s">
        <v>16</v>
      </c>
      <c r="H3198" s="1">
        <v>-6</v>
      </c>
      <c r="I3198" s="1">
        <v>4.2300000000000004</v>
      </c>
      <c r="J3198" s="1">
        <v>-0.01</v>
      </c>
      <c r="K3198" s="2">
        <v>43416</v>
      </c>
      <c r="L3198" s="1">
        <v>3716</v>
      </c>
      <c r="M3198" s="1">
        <v>3.51</v>
      </c>
      <c r="N3198" s="1">
        <v>-0.18351999999999999</v>
      </c>
      <c r="O3198" s="3">
        <f>VLOOKUP(D3198,underlying!$D$40:$H$75,5,FALSE)</f>
        <v>-2.5</v>
      </c>
      <c r="P3198" s="4">
        <f t="shared" si="127"/>
        <v>43445</v>
      </c>
      <c r="Q3198" s="7">
        <f>IF(G3198="C",NormalCallSprd(O3198,H3198,M3198,(P3198-A3198)/365), NormalPutSprd(O3198,H3198,M3198,(P3198-A3198)/365))</f>
        <v>4.2999666086520865</v>
      </c>
      <c r="R3198" s="9">
        <f t="shared" si="126"/>
        <v>6.9966608652086038E-2</v>
      </c>
    </row>
    <row r="3199" spans="1:18" x14ac:dyDescent="0.2">
      <c r="A3199" s="2">
        <v>42622</v>
      </c>
      <c r="B3199" s="1" t="s">
        <v>56</v>
      </c>
      <c r="C3199" s="1" t="s">
        <v>57</v>
      </c>
      <c r="D3199" s="2">
        <v>43112</v>
      </c>
      <c r="E3199" s="2">
        <f t="shared" si="125"/>
        <v>43435</v>
      </c>
      <c r="F3199" s="1" t="s">
        <v>58</v>
      </c>
      <c r="G3199" s="1" t="s">
        <v>18</v>
      </c>
      <c r="H3199" s="1">
        <v>-6</v>
      </c>
      <c r="I3199" s="1">
        <v>0.79</v>
      </c>
      <c r="J3199" s="1">
        <v>0</v>
      </c>
      <c r="K3199" s="2">
        <v>43416</v>
      </c>
      <c r="L3199" s="1">
        <v>3716</v>
      </c>
      <c r="M3199" s="1">
        <v>3.51</v>
      </c>
      <c r="N3199" s="1">
        <v>-0.13319</v>
      </c>
      <c r="O3199" s="3">
        <f>VLOOKUP(D3199,underlying!$D$40:$H$75,5,FALSE)</f>
        <v>-2.5</v>
      </c>
      <c r="P3199" s="4">
        <f t="shared" si="127"/>
        <v>43445</v>
      </c>
      <c r="Q3199" s="7">
        <f>IF(G3199="C",NormalCallSprd(O3199,H3199,M3199,(P3199-A3199)/365), NormalPutSprd(O3199,H3199,M3199,(P3199-A3199)/365))</f>
        <v>0.79996660865208657</v>
      </c>
      <c r="R3199" s="9">
        <f t="shared" si="126"/>
        <v>9.9666086520865393E-3</v>
      </c>
    </row>
    <row r="3200" spans="1:18" x14ac:dyDescent="0.2">
      <c r="A3200" s="2">
        <v>42622</v>
      </c>
      <c r="B3200" s="1" t="s">
        <v>56</v>
      </c>
      <c r="C3200" s="1" t="s">
        <v>57</v>
      </c>
      <c r="D3200" s="2">
        <v>43112</v>
      </c>
      <c r="E3200" s="2">
        <f t="shared" si="125"/>
        <v>43435</v>
      </c>
      <c r="F3200" s="1" t="s">
        <v>58</v>
      </c>
      <c r="G3200" s="1" t="s">
        <v>16</v>
      </c>
      <c r="H3200" s="1">
        <v>-5.75</v>
      </c>
      <c r="I3200" s="1">
        <v>4.05</v>
      </c>
      <c r="J3200" s="1">
        <v>-0.01</v>
      </c>
      <c r="K3200" s="2">
        <v>43416</v>
      </c>
      <c r="L3200" s="1">
        <v>3716</v>
      </c>
      <c r="M3200" s="1">
        <v>3.51</v>
      </c>
      <c r="N3200" s="1">
        <v>0.40760999999999997</v>
      </c>
      <c r="O3200" s="3">
        <f>VLOOKUP(D3200,underlying!$D$40:$H$75,5,FALSE)</f>
        <v>-2.5</v>
      </c>
      <c r="P3200" s="4">
        <f t="shared" si="127"/>
        <v>43445</v>
      </c>
      <c r="Q3200" s="7">
        <f>IF(G3200="C",NormalCallSprd(O3200,H3200,M3200,(P3200-A3200)/365), NormalPutSprd(O3200,H3200,M3200,(P3200-A3200)/365))</f>
        <v>4.1152151284294085</v>
      </c>
      <c r="R3200" s="9">
        <f t="shared" si="126"/>
        <v>6.5215128429408686E-2</v>
      </c>
    </row>
    <row r="3201" spans="1:18" x14ac:dyDescent="0.2">
      <c r="A3201" s="2">
        <v>42622</v>
      </c>
      <c r="B3201" s="1" t="s">
        <v>56</v>
      </c>
      <c r="C3201" s="1" t="s">
        <v>57</v>
      </c>
      <c r="D3201" s="2">
        <v>43112</v>
      </c>
      <c r="E3201" s="2">
        <f t="shared" si="125"/>
        <v>43435</v>
      </c>
      <c r="F3201" s="1" t="s">
        <v>58</v>
      </c>
      <c r="G3201" s="1" t="s">
        <v>18</v>
      </c>
      <c r="H3201" s="1">
        <v>-5.75</v>
      </c>
      <c r="I3201" s="1">
        <v>0.85</v>
      </c>
      <c r="J3201" s="1">
        <v>0</v>
      </c>
      <c r="K3201" s="2">
        <v>43416</v>
      </c>
      <c r="L3201" s="1">
        <v>3716</v>
      </c>
      <c r="M3201" s="1">
        <v>3.51</v>
      </c>
      <c r="N3201" s="1">
        <v>0.42371999999999999</v>
      </c>
      <c r="O3201" s="3">
        <f>VLOOKUP(D3201,underlying!$D$40:$H$75,5,FALSE)</f>
        <v>-2.5</v>
      </c>
      <c r="P3201" s="4">
        <f t="shared" si="127"/>
        <v>43445</v>
      </c>
      <c r="Q3201" s="7">
        <f>IF(G3201="C",NormalCallSprd(O3201,H3201,M3201,(P3201-A3201)/365), NormalPutSprd(O3201,H3201,M3201,(P3201-A3201)/365))</f>
        <v>0.86521512842940862</v>
      </c>
      <c r="R3201" s="9">
        <f t="shared" si="126"/>
        <v>1.5215128429408642E-2</v>
      </c>
    </row>
    <row r="3202" spans="1:18" x14ac:dyDescent="0.2">
      <c r="A3202" s="2">
        <v>42622</v>
      </c>
      <c r="B3202" s="1" t="s">
        <v>56</v>
      </c>
      <c r="C3202" s="1" t="s">
        <v>57</v>
      </c>
      <c r="D3202" s="2">
        <v>43112</v>
      </c>
      <c r="E3202" s="2">
        <f t="shared" ref="E3202:E3265" si="128">DATE(YEAR(D3202),DAY(D3202),MONTH(D3202))</f>
        <v>43435</v>
      </c>
      <c r="F3202" s="1" t="s">
        <v>58</v>
      </c>
      <c r="G3202" s="1" t="s">
        <v>16</v>
      </c>
      <c r="H3202" s="1">
        <v>-5.5</v>
      </c>
      <c r="I3202" s="1">
        <v>3.87</v>
      </c>
      <c r="J3202" s="1">
        <v>-0.01</v>
      </c>
      <c r="K3202" s="2">
        <v>43416</v>
      </c>
      <c r="L3202" s="1">
        <v>3716</v>
      </c>
      <c r="M3202" s="1">
        <v>3.51</v>
      </c>
      <c r="N3202" s="1">
        <v>0.44030999999999998</v>
      </c>
      <c r="O3202" s="3">
        <f>VLOOKUP(D3202,underlying!$D$40:$H$75,5,FALSE)</f>
        <v>-2.5</v>
      </c>
      <c r="P3202" s="4">
        <f t="shared" si="127"/>
        <v>43445</v>
      </c>
      <c r="Q3202" s="7">
        <f>IF(G3202="C",NormalCallSprd(O3202,H3202,M3202,(P3202-A3202)/365), NormalPutSprd(O3202,H3202,M3202,(P3202-A3202)/365))</f>
        <v>3.9343748775876684</v>
      </c>
      <c r="R3202" s="9">
        <f t="shared" si="126"/>
        <v>6.4374877587668244E-2</v>
      </c>
    </row>
    <row r="3203" spans="1:18" x14ac:dyDescent="0.2">
      <c r="A3203" s="2">
        <v>42622</v>
      </c>
      <c r="B3203" s="1" t="s">
        <v>56</v>
      </c>
      <c r="C3203" s="1" t="s">
        <v>57</v>
      </c>
      <c r="D3203" s="2">
        <v>43112</v>
      </c>
      <c r="E3203" s="2">
        <f t="shared" si="128"/>
        <v>43435</v>
      </c>
      <c r="F3203" s="1" t="s">
        <v>58</v>
      </c>
      <c r="G3203" s="1" t="s">
        <v>18</v>
      </c>
      <c r="H3203" s="1">
        <v>-5.5</v>
      </c>
      <c r="I3203" s="1">
        <v>0.92</v>
      </c>
      <c r="J3203" s="1">
        <v>0</v>
      </c>
      <c r="K3203" s="2">
        <v>43416</v>
      </c>
      <c r="L3203" s="1">
        <v>3716</v>
      </c>
      <c r="M3203" s="1">
        <v>3.51</v>
      </c>
      <c r="N3203" s="1">
        <v>0.45680999999999999</v>
      </c>
      <c r="O3203" s="3">
        <f>VLOOKUP(D3203,underlying!$D$40:$H$75,5,FALSE)</f>
        <v>-2.5</v>
      </c>
      <c r="P3203" s="4">
        <f t="shared" si="127"/>
        <v>43445</v>
      </c>
      <c r="Q3203" s="7">
        <f>IF(G3203="C",NormalCallSprd(O3203,H3203,M3203,(P3203-A3203)/365), NormalPutSprd(O3203,H3203,M3203,(P3203-A3203)/365))</f>
        <v>0.93437487758766835</v>
      </c>
      <c r="R3203" s="9">
        <f t="shared" ref="R3203:R3266" si="129">ABS(Q3203-I3203)</f>
        <v>1.4374877587668311E-2</v>
      </c>
    </row>
    <row r="3204" spans="1:18" x14ac:dyDescent="0.2">
      <c r="A3204" s="2">
        <v>42622</v>
      </c>
      <c r="B3204" s="1" t="s">
        <v>56</v>
      </c>
      <c r="C3204" s="1" t="s">
        <v>57</v>
      </c>
      <c r="D3204" s="2">
        <v>43112</v>
      </c>
      <c r="E3204" s="2">
        <f t="shared" si="128"/>
        <v>43435</v>
      </c>
      <c r="F3204" s="1" t="s">
        <v>58</v>
      </c>
      <c r="G3204" s="1" t="s">
        <v>16</v>
      </c>
      <c r="H3204" s="1">
        <v>-5.25</v>
      </c>
      <c r="I3204" s="1">
        <v>3.7</v>
      </c>
      <c r="J3204" s="1">
        <v>0</v>
      </c>
      <c r="K3204" s="2">
        <v>43416</v>
      </c>
      <c r="L3204" s="1">
        <v>3716</v>
      </c>
      <c r="M3204" s="1">
        <v>3.51</v>
      </c>
      <c r="N3204" s="1">
        <v>0.47341</v>
      </c>
      <c r="O3204" s="3">
        <f>VLOOKUP(D3204,underlying!$D$40:$H$75,5,FALSE)</f>
        <v>-2.5</v>
      </c>
      <c r="P3204" s="4">
        <f t="shared" si="127"/>
        <v>43445</v>
      </c>
      <c r="Q3204" s="7">
        <f>IF(G3204="C",NormalCallSprd(O3204,H3204,M3204,(P3204-A3204)/365), NormalPutSprd(O3204,H3204,M3204,(P3204-A3204)/365))</f>
        <v>3.7575573723933844</v>
      </c>
      <c r="R3204" s="9">
        <f t="shared" si="129"/>
        <v>5.755737239338421E-2</v>
      </c>
    </row>
    <row r="3205" spans="1:18" x14ac:dyDescent="0.2">
      <c r="A3205" s="2">
        <v>42622</v>
      </c>
      <c r="B3205" s="1" t="s">
        <v>56</v>
      </c>
      <c r="C3205" s="1" t="s">
        <v>57</v>
      </c>
      <c r="D3205" s="2">
        <v>43112</v>
      </c>
      <c r="E3205" s="2">
        <f t="shared" si="128"/>
        <v>43435</v>
      </c>
      <c r="F3205" s="1" t="s">
        <v>58</v>
      </c>
      <c r="G3205" s="1" t="s">
        <v>18</v>
      </c>
      <c r="H3205" s="1">
        <v>-5.25</v>
      </c>
      <c r="I3205" s="1">
        <v>0.99</v>
      </c>
      <c r="J3205" s="1">
        <v>0</v>
      </c>
      <c r="K3205" s="2">
        <v>43416</v>
      </c>
      <c r="L3205" s="1">
        <v>3716</v>
      </c>
      <c r="M3205" s="1">
        <v>3.51</v>
      </c>
      <c r="N3205" s="1">
        <v>0.48995</v>
      </c>
      <c r="O3205" s="3">
        <f>VLOOKUP(D3205,underlying!$D$40:$H$75,5,FALSE)</f>
        <v>-2.5</v>
      </c>
      <c r="P3205" s="4">
        <f t="shared" si="127"/>
        <v>43445</v>
      </c>
      <c r="Q3205" s="7">
        <f>IF(G3205="C",NormalCallSprd(O3205,H3205,M3205,(P3205-A3205)/365), NormalPutSprd(O3205,H3205,M3205,(P3205-A3205)/365))</f>
        <v>1.0075573723933844</v>
      </c>
      <c r="R3205" s="9">
        <f t="shared" si="129"/>
        <v>1.7557372393384396E-2</v>
      </c>
    </row>
    <row r="3206" spans="1:18" x14ac:dyDescent="0.2">
      <c r="A3206" s="2">
        <v>42622</v>
      </c>
      <c r="B3206" s="1" t="s">
        <v>56</v>
      </c>
      <c r="C3206" s="1" t="s">
        <v>57</v>
      </c>
      <c r="D3206" s="2">
        <v>43112</v>
      </c>
      <c r="E3206" s="2">
        <f t="shared" si="128"/>
        <v>43435</v>
      </c>
      <c r="F3206" s="1" t="s">
        <v>58</v>
      </c>
      <c r="G3206" s="1" t="s">
        <v>16</v>
      </c>
      <c r="H3206" s="1">
        <v>-5</v>
      </c>
      <c r="I3206" s="1">
        <v>3.53</v>
      </c>
      <c r="J3206" s="1">
        <v>0</v>
      </c>
      <c r="K3206" s="2">
        <v>43416</v>
      </c>
      <c r="L3206" s="1">
        <v>3716</v>
      </c>
      <c r="M3206" s="1">
        <v>3.51</v>
      </c>
      <c r="N3206" s="1">
        <v>0.50648000000000004</v>
      </c>
      <c r="O3206" s="3">
        <f>VLOOKUP(D3206,underlying!$D$40:$H$75,5,FALSE)</f>
        <v>-2.5</v>
      </c>
      <c r="P3206" s="4">
        <f t="shared" si="127"/>
        <v>43445</v>
      </c>
      <c r="Q3206" s="7">
        <f>IF(G3206="C",NormalCallSprd(O3206,H3206,M3206,(P3206-A3206)/365), NormalPutSprd(O3206,H3206,M3206,(P3206-A3206)/365))</f>
        <v>3.5848680138552029</v>
      </c>
      <c r="R3206" s="9">
        <f t="shared" si="129"/>
        <v>5.4868013855203124E-2</v>
      </c>
    </row>
    <row r="3207" spans="1:18" x14ac:dyDescent="0.2">
      <c r="A3207" s="2">
        <v>42622</v>
      </c>
      <c r="B3207" s="1" t="s">
        <v>56</v>
      </c>
      <c r="C3207" s="1" t="s">
        <v>57</v>
      </c>
      <c r="D3207" s="2">
        <v>43112</v>
      </c>
      <c r="E3207" s="2">
        <f t="shared" si="128"/>
        <v>43435</v>
      </c>
      <c r="F3207" s="1" t="s">
        <v>58</v>
      </c>
      <c r="G3207" s="1" t="s">
        <v>18</v>
      </c>
      <c r="H3207" s="1">
        <v>-5</v>
      </c>
      <c r="I3207" s="1">
        <v>1.07</v>
      </c>
      <c r="J3207" s="1">
        <v>0</v>
      </c>
      <c r="K3207" s="2">
        <v>43416</v>
      </c>
      <c r="L3207" s="1">
        <v>3716</v>
      </c>
      <c r="M3207" s="1">
        <v>3.51</v>
      </c>
      <c r="N3207" s="1">
        <v>0.52309000000000005</v>
      </c>
      <c r="O3207" s="3">
        <f>VLOOKUP(D3207,underlying!$D$40:$H$75,5,FALSE)</f>
        <v>-2.5</v>
      </c>
      <c r="P3207" s="4">
        <f t="shared" si="127"/>
        <v>43445</v>
      </c>
      <c r="Q3207" s="7">
        <f>IF(G3207="C",NormalCallSprd(O3207,H3207,M3207,(P3207-A3207)/365), NormalPutSprd(O3207,H3207,M3207,(P3207-A3207)/365))</f>
        <v>1.0848680138552027</v>
      </c>
      <c r="R3207" s="9">
        <f t="shared" si="129"/>
        <v>1.4868013855202644E-2</v>
      </c>
    </row>
    <row r="3208" spans="1:18" x14ac:dyDescent="0.2">
      <c r="A3208" s="2">
        <v>42622</v>
      </c>
      <c r="B3208" s="1" t="s">
        <v>56</v>
      </c>
      <c r="C3208" s="1" t="s">
        <v>57</v>
      </c>
      <c r="D3208" s="2">
        <v>43112</v>
      </c>
      <c r="E3208" s="2">
        <f t="shared" si="128"/>
        <v>43435</v>
      </c>
      <c r="F3208" s="1" t="s">
        <v>58</v>
      </c>
      <c r="G3208" s="1" t="s">
        <v>16</v>
      </c>
      <c r="H3208" s="1">
        <v>-4.75</v>
      </c>
      <c r="I3208" s="1">
        <v>3.36</v>
      </c>
      <c r="J3208" s="1">
        <v>-0.01</v>
      </c>
      <c r="K3208" s="2">
        <v>43416</v>
      </c>
      <c r="L3208" s="1">
        <v>3716</v>
      </c>
      <c r="M3208" s="1">
        <v>3.51</v>
      </c>
      <c r="N3208" s="1">
        <v>0.53957999999999995</v>
      </c>
      <c r="O3208" s="3">
        <f>VLOOKUP(D3208,underlying!$D$40:$H$75,5,FALSE)</f>
        <v>-2.5</v>
      </c>
      <c r="P3208" s="4">
        <f t="shared" si="127"/>
        <v>43445</v>
      </c>
      <c r="Q3208" s="7">
        <f>IF(G3208="C",NormalCallSprd(O3208,H3208,M3208,(P3208-A3208)/365), NormalPutSprd(O3208,H3208,M3208,(P3208-A3208)/365))</f>
        <v>3.416405447724284</v>
      </c>
      <c r="R3208" s="9">
        <f t="shared" si="129"/>
        <v>5.640544772428413E-2</v>
      </c>
    </row>
    <row r="3209" spans="1:18" x14ac:dyDescent="0.2">
      <c r="A3209" s="2">
        <v>42622</v>
      </c>
      <c r="B3209" s="1" t="s">
        <v>56</v>
      </c>
      <c r="C3209" s="1" t="s">
        <v>57</v>
      </c>
      <c r="D3209" s="2">
        <v>43112</v>
      </c>
      <c r="E3209" s="2">
        <f t="shared" si="128"/>
        <v>43435</v>
      </c>
      <c r="F3209" s="1" t="s">
        <v>58</v>
      </c>
      <c r="G3209" s="1" t="s">
        <v>18</v>
      </c>
      <c r="H3209" s="1">
        <v>-4.75</v>
      </c>
      <c r="I3209" s="1">
        <v>1.1499999999999999</v>
      </c>
      <c r="J3209" s="1">
        <v>0</v>
      </c>
      <c r="K3209" s="2">
        <v>43416</v>
      </c>
      <c r="L3209" s="1">
        <v>3716</v>
      </c>
      <c r="M3209" s="1">
        <v>3.51</v>
      </c>
      <c r="N3209" s="1">
        <v>0.55618000000000001</v>
      </c>
      <c r="O3209" s="3">
        <f>VLOOKUP(D3209,underlying!$D$40:$H$75,5,FALSE)</f>
        <v>-2.5</v>
      </c>
      <c r="P3209" s="4">
        <f t="shared" si="127"/>
        <v>43445</v>
      </c>
      <c r="Q3209" s="7">
        <f>IF(G3209="C",NormalCallSprd(O3209,H3209,M3209,(P3209-A3209)/365), NormalPutSprd(O3209,H3209,M3209,(P3209-A3209)/365))</f>
        <v>1.166405447724284</v>
      </c>
      <c r="R3209" s="9">
        <f t="shared" si="129"/>
        <v>1.6405447724284095E-2</v>
      </c>
    </row>
    <row r="3210" spans="1:18" x14ac:dyDescent="0.2">
      <c r="A3210" s="2">
        <v>42622</v>
      </c>
      <c r="B3210" s="1" t="s">
        <v>56</v>
      </c>
      <c r="C3210" s="1" t="s">
        <v>57</v>
      </c>
      <c r="D3210" s="2">
        <v>43112</v>
      </c>
      <c r="E3210" s="2">
        <f t="shared" si="128"/>
        <v>43435</v>
      </c>
      <c r="F3210" s="1" t="s">
        <v>58</v>
      </c>
      <c r="G3210" s="1" t="s">
        <v>16</v>
      </c>
      <c r="H3210" s="1">
        <v>-4.5</v>
      </c>
      <c r="I3210" s="1">
        <v>3.19</v>
      </c>
      <c r="J3210" s="1">
        <v>-0.01</v>
      </c>
      <c r="K3210" s="2">
        <v>43416</v>
      </c>
      <c r="L3210" s="1">
        <v>3716</v>
      </c>
      <c r="M3210" s="1">
        <v>3.49</v>
      </c>
      <c r="N3210" s="1">
        <v>0.57204999999999995</v>
      </c>
      <c r="O3210" s="3">
        <f>VLOOKUP(D3210,underlying!$D$40:$H$75,5,FALSE)</f>
        <v>-2.5</v>
      </c>
      <c r="P3210" s="4">
        <f t="shared" si="127"/>
        <v>43445</v>
      </c>
      <c r="Q3210" s="7">
        <f>IF(G3210="C",NormalCallSprd(O3210,H3210,M3210,(P3210-A3210)/365), NormalPutSprd(O3210,H3210,M3210,(P3210-A3210)/365))</f>
        <v>3.2411168063342801</v>
      </c>
      <c r="R3210" s="9">
        <f t="shared" si="129"/>
        <v>5.1116806334280174E-2</v>
      </c>
    </row>
    <row r="3211" spans="1:18" x14ac:dyDescent="0.2">
      <c r="A3211" s="2">
        <v>42622</v>
      </c>
      <c r="B3211" s="1" t="s">
        <v>56</v>
      </c>
      <c r="C3211" s="1" t="s">
        <v>57</v>
      </c>
      <c r="D3211" s="2">
        <v>43112</v>
      </c>
      <c r="E3211" s="2">
        <f t="shared" si="128"/>
        <v>43435</v>
      </c>
      <c r="F3211" s="1" t="s">
        <v>58</v>
      </c>
      <c r="G3211" s="1" t="s">
        <v>18</v>
      </c>
      <c r="H3211" s="1">
        <v>-4.5</v>
      </c>
      <c r="I3211" s="1">
        <v>1.22</v>
      </c>
      <c r="J3211" s="1">
        <v>0</v>
      </c>
      <c r="K3211" s="2">
        <v>43416</v>
      </c>
      <c r="L3211" s="1">
        <v>3716</v>
      </c>
      <c r="M3211" s="1">
        <v>3.49</v>
      </c>
      <c r="N3211" s="1">
        <v>0.5887</v>
      </c>
      <c r="O3211" s="3">
        <f>VLOOKUP(D3211,underlying!$D$40:$H$75,5,FALSE)</f>
        <v>-2.5</v>
      </c>
      <c r="P3211" s="4">
        <f t="shared" si="127"/>
        <v>43445</v>
      </c>
      <c r="Q3211" s="7">
        <f>IF(G3211="C",NormalCallSprd(O3211,H3211,M3211,(P3211-A3211)/365), NormalPutSprd(O3211,H3211,M3211,(P3211-A3211)/365))</f>
        <v>1.2411168063342801</v>
      </c>
      <c r="R3211" s="9">
        <f t="shared" si="129"/>
        <v>2.1116806334280147E-2</v>
      </c>
    </row>
    <row r="3212" spans="1:18" x14ac:dyDescent="0.2">
      <c r="A3212" s="2">
        <v>42622</v>
      </c>
      <c r="B3212" s="1" t="s">
        <v>56</v>
      </c>
      <c r="C3212" s="1" t="s">
        <v>57</v>
      </c>
      <c r="D3212" s="2">
        <v>43112</v>
      </c>
      <c r="E3212" s="2">
        <f t="shared" si="128"/>
        <v>43435</v>
      </c>
      <c r="F3212" s="1" t="s">
        <v>58</v>
      </c>
      <c r="G3212" s="1" t="s">
        <v>16</v>
      </c>
      <c r="H3212" s="1">
        <v>-4.25</v>
      </c>
      <c r="I3212" s="1">
        <v>3.05</v>
      </c>
      <c r="J3212" s="1">
        <v>0</v>
      </c>
      <c r="K3212" s="2">
        <v>43416</v>
      </c>
      <c r="L3212" s="1">
        <v>3716</v>
      </c>
      <c r="M3212" s="1">
        <v>3.51</v>
      </c>
      <c r="N3212" s="1">
        <v>0.60407</v>
      </c>
      <c r="O3212" s="3">
        <f>VLOOKUP(D3212,underlying!$D$40:$H$75,5,FALSE)</f>
        <v>-2.5</v>
      </c>
      <c r="P3212" s="4">
        <f t="shared" si="127"/>
        <v>43445</v>
      </c>
      <c r="Q3212" s="7">
        <f>IF(G3212="C",NormalCallSprd(O3212,H3212,M3212,(P3212-A3212)/365), NormalPutSprd(O3212,H3212,M3212,(P3212-A3212)/365))</f>
        <v>3.0925178761163088</v>
      </c>
      <c r="R3212" s="9">
        <f t="shared" si="129"/>
        <v>4.2517876116308972E-2</v>
      </c>
    </row>
    <row r="3213" spans="1:18" x14ac:dyDescent="0.2">
      <c r="A3213" s="2">
        <v>42622</v>
      </c>
      <c r="B3213" s="1" t="s">
        <v>56</v>
      </c>
      <c r="C3213" s="1" t="s">
        <v>57</v>
      </c>
      <c r="D3213" s="2">
        <v>43112</v>
      </c>
      <c r="E3213" s="2">
        <f t="shared" si="128"/>
        <v>43435</v>
      </c>
      <c r="F3213" s="1" t="s">
        <v>58</v>
      </c>
      <c r="G3213" s="1" t="s">
        <v>18</v>
      </c>
      <c r="H3213" s="1">
        <v>-4.25</v>
      </c>
      <c r="I3213" s="1">
        <v>1.32</v>
      </c>
      <c r="J3213" s="1">
        <v>0</v>
      </c>
      <c r="K3213" s="2">
        <v>43416</v>
      </c>
      <c r="L3213" s="1">
        <v>3716</v>
      </c>
      <c r="M3213" s="1">
        <v>3.51</v>
      </c>
      <c r="N3213" s="1">
        <v>0.62051999999999996</v>
      </c>
      <c r="O3213" s="3">
        <f>VLOOKUP(D3213,underlying!$D$40:$H$75,5,FALSE)</f>
        <v>-2.5</v>
      </c>
      <c r="P3213" s="4">
        <f t="shared" si="127"/>
        <v>43445</v>
      </c>
      <c r="Q3213" s="7">
        <f>IF(G3213="C",NormalCallSprd(O3213,H3213,M3213,(P3213-A3213)/365), NormalPutSprd(O3213,H3213,M3213,(P3213-A3213)/365))</f>
        <v>1.342517876116309</v>
      </c>
      <c r="R3213" s="9">
        <f t="shared" si="129"/>
        <v>2.2517876116308955E-2</v>
      </c>
    </row>
    <row r="3214" spans="1:18" x14ac:dyDescent="0.2">
      <c r="A3214" s="2">
        <v>42622</v>
      </c>
      <c r="B3214" s="1" t="s">
        <v>56</v>
      </c>
      <c r="C3214" s="1" t="s">
        <v>57</v>
      </c>
      <c r="D3214" s="2">
        <v>43112</v>
      </c>
      <c r="E3214" s="2">
        <f t="shared" si="128"/>
        <v>43435</v>
      </c>
      <c r="F3214" s="1" t="s">
        <v>58</v>
      </c>
      <c r="G3214" s="1" t="s">
        <v>16</v>
      </c>
      <c r="H3214" s="1">
        <v>-4</v>
      </c>
      <c r="I3214" s="1">
        <v>2.88</v>
      </c>
      <c r="J3214" s="1">
        <v>0</v>
      </c>
      <c r="K3214" s="2">
        <v>43416</v>
      </c>
      <c r="L3214" s="1">
        <v>3716</v>
      </c>
      <c r="M3214" s="1">
        <v>3.49</v>
      </c>
      <c r="N3214" s="1">
        <v>0.63570000000000004</v>
      </c>
      <c r="O3214" s="3">
        <f>VLOOKUP(D3214,underlying!$D$40:$H$75,5,FALSE)</f>
        <v>-2.5</v>
      </c>
      <c r="P3214" s="4">
        <f t="shared" si="127"/>
        <v>43445</v>
      </c>
      <c r="Q3214" s="7">
        <f>IF(G3214="C",NormalCallSprd(O3214,H3214,M3214,(P3214-A3214)/365), NormalPutSprd(O3214,H3214,M3214,(P3214-A3214)/365))</f>
        <v>2.9257482516135052</v>
      </c>
      <c r="R3214" s="9">
        <f t="shared" si="129"/>
        <v>4.5748251613505264E-2</v>
      </c>
    </row>
    <row r="3215" spans="1:18" x14ac:dyDescent="0.2">
      <c r="A3215" s="2">
        <v>42622</v>
      </c>
      <c r="B3215" s="1" t="s">
        <v>56</v>
      </c>
      <c r="C3215" s="1" t="s">
        <v>57</v>
      </c>
      <c r="D3215" s="2">
        <v>43112</v>
      </c>
      <c r="E3215" s="2">
        <f t="shared" si="128"/>
        <v>43435</v>
      </c>
      <c r="F3215" s="1" t="s">
        <v>58</v>
      </c>
      <c r="G3215" s="1" t="s">
        <v>18</v>
      </c>
      <c r="H3215" s="1">
        <v>-4</v>
      </c>
      <c r="I3215" s="1">
        <v>1.4</v>
      </c>
      <c r="J3215" s="1">
        <v>-0.01</v>
      </c>
      <c r="K3215" s="2">
        <v>43416</v>
      </c>
      <c r="L3215" s="1">
        <v>3716</v>
      </c>
      <c r="M3215" s="1">
        <v>3.49</v>
      </c>
      <c r="N3215" s="1">
        <v>0.65100000000000002</v>
      </c>
      <c r="O3215" s="3">
        <f>VLOOKUP(D3215,underlying!$D$40:$H$75,5,FALSE)</f>
        <v>-2.5</v>
      </c>
      <c r="P3215" s="4">
        <f t="shared" si="127"/>
        <v>43445</v>
      </c>
      <c r="Q3215" s="7">
        <f>IF(G3215="C",NormalCallSprd(O3215,H3215,M3215,(P3215-A3215)/365), NormalPutSprd(O3215,H3215,M3215,(P3215-A3215)/365))</f>
        <v>1.4257482516135052</v>
      </c>
      <c r="R3215" s="9">
        <f t="shared" si="129"/>
        <v>2.5748251613505246E-2</v>
      </c>
    </row>
    <row r="3216" spans="1:18" x14ac:dyDescent="0.2">
      <c r="A3216" s="2">
        <v>42622</v>
      </c>
      <c r="B3216" s="1" t="s">
        <v>56</v>
      </c>
      <c r="C3216" s="1" t="s">
        <v>57</v>
      </c>
      <c r="D3216" s="2">
        <v>43112</v>
      </c>
      <c r="E3216" s="2">
        <f t="shared" si="128"/>
        <v>43435</v>
      </c>
      <c r="F3216" s="1" t="s">
        <v>58</v>
      </c>
      <c r="G3216" s="1" t="s">
        <v>16</v>
      </c>
      <c r="H3216" s="1">
        <v>-3.75</v>
      </c>
      <c r="I3216" s="1">
        <v>2.74</v>
      </c>
      <c r="J3216" s="1">
        <v>-0.01</v>
      </c>
      <c r="K3216" s="2">
        <v>43416</v>
      </c>
      <c r="L3216" s="1">
        <v>3716</v>
      </c>
      <c r="M3216" s="1">
        <v>3.51</v>
      </c>
      <c r="N3216" s="1">
        <v>0.66554999999999997</v>
      </c>
      <c r="O3216" s="3">
        <f>VLOOKUP(D3216,underlying!$D$40:$H$75,5,FALSE)</f>
        <v>-2.5</v>
      </c>
      <c r="P3216" s="4">
        <f t="shared" si="127"/>
        <v>43445</v>
      </c>
      <c r="Q3216" s="7">
        <f>IF(G3216="C",NormalCallSprd(O3216,H3216,M3216,(P3216-A3216)/365), NormalPutSprd(O3216,H3216,M3216,(P3216-A3216)/365))</f>
        <v>2.7865264965992727</v>
      </c>
      <c r="R3216" s="9">
        <f t="shared" si="129"/>
        <v>4.6526496599272438E-2</v>
      </c>
    </row>
    <row r="3217" spans="1:18" x14ac:dyDescent="0.2">
      <c r="A3217" s="2">
        <v>42622</v>
      </c>
      <c r="B3217" s="1" t="s">
        <v>56</v>
      </c>
      <c r="C3217" s="1" t="s">
        <v>57</v>
      </c>
      <c r="D3217" s="2">
        <v>43112</v>
      </c>
      <c r="E3217" s="2">
        <f t="shared" si="128"/>
        <v>43435</v>
      </c>
      <c r="F3217" s="1" t="s">
        <v>58</v>
      </c>
      <c r="G3217" s="1" t="s">
        <v>18</v>
      </c>
      <c r="H3217" s="1">
        <v>-3.75</v>
      </c>
      <c r="I3217" s="1">
        <v>1.51</v>
      </c>
      <c r="J3217" s="1">
        <v>-0.01</v>
      </c>
      <c r="K3217" s="2">
        <v>43416</v>
      </c>
      <c r="L3217" s="1">
        <v>3716</v>
      </c>
      <c r="M3217" s="1">
        <v>3.51</v>
      </c>
      <c r="N3217" s="1">
        <v>0.68025000000000002</v>
      </c>
      <c r="O3217" s="3">
        <f>VLOOKUP(D3217,underlying!$D$40:$H$75,5,FALSE)</f>
        <v>-2.5</v>
      </c>
      <c r="P3217" s="4">
        <f t="shared" si="127"/>
        <v>43445</v>
      </c>
      <c r="Q3217" s="7">
        <f>IF(G3217="C",NormalCallSprd(O3217,H3217,M3217,(P3217-A3217)/365), NormalPutSprd(O3217,H3217,M3217,(P3217-A3217)/365))</f>
        <v>1.5365264965992724</v>
      </c>
      <c r="R3217" s="9">
        <f t="shared" si="129"/>
        <v>2.652649659927242E-2</v>
      </c>
    </row>
    <row r="3218" spans="1:18" x14ac:dyDescent="0.2">
      <c r="A3218" s="2">
        <v>42622</v>
      </c>
      <c r="B3218" s="1" t="s">
        <v>56</v>
      </c>
      <c r="C3218" s="1" t="s">
        <v>57</v>
      </c>
      <c r="D3218" s="2">
        <v>43112</v>
      </c>
      <c r="E3218" s="2">
        <f t="shared" si="128"/>
        <v>43435</v>
      </c>
      <c r="F3218" s="1" t="s">
        <v>58</v>
      </c>
      <c r="G3218" s="1" t="s">
        <v>16</v>
      </c>
      <c r="H3218" s="1">
        <v>-3.5</v>
      </c>
      <c r="I3218" s="1">
        <v>2.59</v>
      </c>
      <c r="J3218" s="1">
        <v>0</v>
      </c>
      <c r="K3218" s="2">
        <v>43416</v>
      </c>
      <c r="L3218" s="1">
        <v>3716</v>
      </c>
      <c r="M3218" s="1">
        <v>3.49</v>
      </c>
      <c r="N3218" s="1">
        <v>0.70867999999999998</v>
      </c>
      <c r="O3218" s="3">
        <f>VLOOKUP(D3218,underlying!$D$40:$H$75,5,FALSE)</f>
        <v>-2.5</v>
      </c>
      <c r="P3218" s="4">
        <f t="shared" si="127"/>
        <v>43445</v>
      </c>
      <c r="Q3218" s="7">
        <f>IF(G3218="C",NormalCallSprd(O3218,H3218,M3218,(P3218-A3218)/365), NormalPutSprd(O3218,H3218,M3218,(P3218-A3218)/365))</f>
        <v>2.6286345661348571</v>
      </c>
      <c r="R3218" s="9">
        <f t="shared" si="129"/>
        <v>3.8634566134857273E-2</v>
      </c>
    </row>
    <row r="3219" spans="1:18" x14ac:dyDescent="0.2">
      <c r="A3219" s="2">
        <v>42622</v>
      </c>
      <c r="B3219" s="1" t="s">
        <v>56</v>
      </c>
      <c r="C3219" s="1" t="s">
        <v>57</v>
      </c>
      <c r="D3219" s="2">
        <v>43112</v>
      </c>
      <c r="E3219" s="2">
        <f t="shared" si="128"/>
        <v>43435</v>
      </c>
      <c r="F3219" s="1" t="s">
        <v>58</v>
      </c>
      <c r="G3219" s="1" t="s">
        <v>18</v>
      </c>
      <c r="H3219" s="1">
        <v>-3.5</v>
      </c>
      <c r="I3219" s="1">
        <v>1.6</v>
      </c>
      <c r="J3219" s="1">
        <v>-0.01</v>
      </c>
      <c r="K3219" s="2">
        <v>43416</v>
      </c>
      <c r="L3219" s="1">
        <v>3716</v>
      </c>
      <c r="M3219" s="1">
        <v>3.49</v>
      </c>
      <c r="N3219" s="1">
        <v>0.76126000000000005</v>
      </c>
      <c r="O3219" s="3">
        <f>VLOOKUP(D3219,underlying!$D$40:$H$75,5,FALSE)</f>
        <v>-2.5</v>
      </c>
      <c r="P3219" s="4">
        <f t="shared" si="127"/>
        <v>43445</v>
      </c>
      <c r="Q3219" s="7">
        <f>IF(G3219="C",NormalCallSprd(O3219,H3219,M3219,(P3219-A3219)/365), NormalPutSprd(O3219,H3219,M3219,(P3219-A3219)/365))</f>
        <v>1.6286345661348569</v>
      </c>
      <c r="R3219" s="9">
        <f t="shared" si="129"/>
        <v>2.863456613485682E-2</v>
      </c>
    </row>
    <row r="3220" spans="1:18" x14ac:dyDescent="0.2">
      <c r="A3220" s="2">
        <v>42622</v>
      </c>
      <c r="B3220" s="1" t="s">
        <v>56</v>
      </c>
      <c r="C3220" s="1" t="s">
        <v>57</v>
      </c>
      <c r="D3220" s="2">
        <v>43112</v>
      </c>
      <c r="E3220" s="2">
        <f t="shared" si="128"/>
        <v>43435</v>
      </c>
      <c r="F3220" s="1" t="s">
        <v>58</v>
      </c>
      <c r="G3220" s="1" t="s">
        <v>16</v>
      </c>
      <c r="H3220" s="1">
        <v>-3.25</v>
      </c>
      <c r="I3220" s="1">
        <v>2.46</v>
      </c>
      <c r="J3220" s="1">
        <v>0</v>
      </c>
      <c r="K3220" s="2">
        <v>43416</v>
      </c>
      <c r="L3220" s="1">
        <v>3716</v>
      </c>
      <c r="M3220" s="1">
        <v>3.5</v>
      </c>
      <c r="N3220" s="1">
        <v>0.80817000000000005</v>
      </c>
      <c r="O3220" s="3">
        <f>VLOOKUP(D3220,underlying!$D$40:$H$75,5,FALSE)</f>
        <v>-2.5</v>
      </c>
      <c r="P3220" s="4">
        <f t="shared" si="127"/>
        <v>43445</v>
      </c>
      <c r="Q3220" s="7">
        <f>IF(G3220="C",NormalCallSprd(O3220,H3220,M3220,(P3220-A3220)/365), NormalPutSprd(O3220,H3220,M3220,(P3220-A3220)/365))</f>
        <v>2.4929903273010483</v>
      </c>
      <c r="R3220" s="9">
        <f t="shared" si="129"/>
        <v>3.2990327301048339E-2</v>
      </c>
    </row>
    <row r="3221" spans="1:18" x14ac:dyDescent="0.2">
      <c r="A3221" s="2">
        <v>42622</v>
      </c>
      <c r="B3221" s="1" t="s">
        <v>56</v>
      </c>
      <c r="C3221" s="1" t="s">
        <v>57</v>
      </c>
      <c r="D3221" s="2">
        <v>43112</v>
      </c>
      <c r="E3221" s="2">
        <f t="shared" si="128"/>
        <v>43435</v>
      </c>
      <c r="F3221" s="1" t="s">
        <v>58</v>
      </c>
      <c r="G3221" s="1" t="s">
        <v>18</v>
      </c>
      <c r="H3221" s="1">
        <v>-3.25</v>
      </c>
      <c r="I3221" s="1">
        <v>1.72</v>
      </c>
      <c r="J3221" s="1">
        <v>0</v>
      </c>
      <c r="K3221" s="2">
        <v>43416</v>
      </c>
      <c r="L3221" s="1">
        <v>3716</v>
      </c>
      <c r="M3221" s="1">
        <v>3.5</v>
      </c>
      <c r="N3221" s="1">
        <v>-0.57228000000000001</v>
      </c>
      <c r="O3221" s="3">
        <f>VLOOKUP(D3221,underlying!$D$40:$H$75,5,FALSE)</f>
        <v>-2.5</v>
      </c>
      <c r="P3221" s="4">
        <f t="shared" si="127"/>
        <v>43445</v>
      </c>
      <c r="Q3221" s="7">
        <f>IF(G3221="C",NormalCallSprd(O3221,H3221,M3221,(P3221-A3221)/365), NormalPutSprd(O3221,H3221,M3221,(P3221-A3221)/365))</f>
        <v>1.7429903273010483</v>
      </c>
      <c r="R3221" s="9">
        <f t="shared" si="129"/>
        <v>2.299032730104833E-2</v>
      </c>
    </row>
    <row r="3222" spans="1:18" x14ac:dyDescent="0.2">
      <c r="A3222" s="2">
        <v>42622</v>
      </c>
      <c r="B3222" s="1" t="s">
        <v>56</v>
      </c>
      <c r="C3222" s="1" t="s">
        <v>57</v>
      </c>
      <c r="D3222" s="2">
        <v>43112</v>
      </c>
      <c r="E3222" s="2">
        <f t="shared" si="128"/>
        <v>43435</v>
      </c>
      <c r="F3222" s="1" t="s">
        <v>58</v>
      </c>
      <c r="G3222" s="1" t="s">
        <v>16</v>
      </c>
      <c r="H3222" s="1">
        <v>-3</v>
      </c>
      <c r="I3222" s="1">
        <v>2.3199999999999998</v>
      </c>
      <c r="J3222" s="1">
        <v>0</v>
      </c>
      <c r="K3222" s="2">
        <v>43416</v>
      </c>
      <c r="L3222" s="1">
        <v>3716</v>
      </c>
      <c r="M3222" s="1">
        <v>3.5</v>
      </c>
      <c r="N3222" s="1">
        <v>-0.55618000000000001</v>
      </c>
      <c r="O3222" s="3">
        <f>VLOOKUP(D3222,underlying!$D$40:$H$75,5,FALSE)</f>
        <v>-2.5</v>
      </c>
      <c r="P3222" s="4">
        <f t="shared" si="127"/>
        <v>43445</v>
      </c>
      <c r="Q3222" s="7">
        <f>IF(G3222="C",NormalCallSprd(O3222,H3222,M3222,(P3222-A3222)/365), NormalPutSprd(O3222,H3222,M3222,(P3222-A3222)/365))</f>
        <v>2.3561586823542986</v>
      </c>
      <c r="R3222" s="9">
        <f t="shared" si="129"/>
        <v>3.6158682354298755E-2</v>
      </c>
    </row>
    <row r="3223" spans="1:18" x14ac:dyDescent="0.2">
      <c r="A3223" s="2">
        <v>42622</v>
      </c>
      <c r="B3223" s="1" t="s">
        <v>56</v>
      </c>
      <c r="C3223" s="1" t="s">
        <v>57</v>
      </c>
      <c r="D3223" s="2">
        <v>43112</v>
      </c>
      <c r="E3223" s="2">
        <f t="shared" si="128"/>
        <v>43435</v>
      </c>
      <c r="F3223" s="1" t="s">
        <v>58</v>
      </c>
      <c r="G3223" s="1" t="s">
        <v>18</v>
      </c>
      <c r="H3223" s="1">
        <v>-3</v>
      </c>
      <c r="I3223" s="1">
        <v>1.83</v>
      </c>
      <c r="J3223" s="1">
        <v>0</v>
      </c>
      <c r="K3223" s="2">
        <v>43416</v>
      </c>
      <c r="L3223" s="1">
        <v>3716</v>
      </c>
      <c r="M3223" s="1">
        <v>3.5</v>
      </c>
      <c r="N3223" s="1">
        <v>-0.53957999999999995</v>
      </c>
      <c r="O3223" s="3">
        <f>VLOOKUP(D3223,underlying!$D$40:$H$75,5,FALSE)</f>
        <v>-2.5</v>
      </c>
      <c r="P3223" s="4">
        <f t="shared" si="127"/>
        <v>43445</v>
      </c>
      <c r="Q3223" s="7">
        <f>IF(G3223="C",NormalCallSprd(O3223,H3223,M3223,(P3223-A3223)/365), NormalPutSprd(O3223,H3223,M3223,(P3223-A3223)/365))</f>
        <v>1.8561586823542984</v>
      </c>
      <c r="R3223" s="9">
        <f t="shared" si="129"/>
        <v>2.6158682354298302E-2</v>
      </c>
    </row>
    <row r="3224" spans="1:18" x14ac:dyDescent="0.2">
      <c r="A3224" s="2">
        <v>42622</v>
      </c>
      <c r="B3224" s="1" t="s">
        <v>56</v>
      </c>
      <c r="C3224" s="1" t="s">
        <v>57</v>
      </c>
      <c r="D3224" s="2">
        <v>43112</v>
      </c>
      <c r="E3224" s="2">
        <f t="shared" si="128"/>
        <v>43435</v>
      </c>
      <c r="F3224" s="1" t="s">
        <v>58</v>
      </c>
      <c r="G3224" s="1" t="s">
        <v>16</v>
      </c>
      <c r="H3224" s="1">
        <v>-2.75</v>
      </c>
      <c r="I3224" s="1">
        <v>2.2000000000000002</v>
      </c>
      <c r="J3224" s="1">
        <v>0</v>
      </c>
      <c r="K3224" s="2">
        <v>43416</v>
      </c>
      <c r="L3224" s="1">
        <v>3716</v>
      </c>
      <c r="M3224" s="1">
        <v>3.51</v>
      </c>
      <c r="N3224" s="1">
        <v>-0.52309000000000005</v>
      </c>
      <c r="O3224" s="3">
        <f>VLOOKUP(D3224,underlying!$D$40:$H$75,5,FALSE)</f>
        <v>-2.5</v>
      </c>
      <c r="P3224" s="4">
        <f t="shared" si="127"/>
        <v>43445</v>
      </c>
      <c r="Q3224" s="7">
        <f>IF(G3224="C",NormalCallSprd(O3224,H3224,M3224,(P3224-A3224)/365), NormalPutSprd(O3224,H3224,M3224,(P3224-A3224)/365))</f>
        <v>2.2300327464432539</v>
      </c>
      <c r="R3224" s="9">
        <f t="shared" si="129"/>
        <v>3.0032746443253711E-2</v>
      </c>
    </row>
    <row r="3225" spans="1:18" x14ac:dyDescent="0.2">
      <c r="A3225" s="2">
        <v>42622</v>
      </c>
      <c r="B3225" s="1" t="s">
        <v>56</v>
      </c>
      <c r="C3225" s="1" t="s">
        <v>57</v>
      </c>
      <c r="D3225" s="2">
        <v>43112</v>
      </c>
      <c r="E3225" s="2">
        <f t="shared" si="128"/>
        <v>43435</v>
      </c>
      <c r="F3225" s="1" t="s">
        <v>58</v>
      </c>
      <c r="G3225" s="1" t="s">
        <v>18</v>
      </c>
      <c r="H3225" s="1">
        <v>-2.75</v>
      </c>
      <c r="I3225" s="1">
        <v>1.95</v>
      </c>
      <c r="J3225" s="1">
        <v>0</v>
      </c>
      <c r="K3225" s="2">
        <v>43416</v>
      </c>
      <c r="L3225" s="1">
        <v>3716</v>
      </c>
      <c r="M3225" s="1">
        <v>3.51</v>
      </c>
      <c r="N3225" s="1">
        <v>-0.50648000000000004</v>
      </c>
      <c r="O3225" s="3">
        <f>VLOOKUP(D3225,underlying!$D$40:$H$75,5,FALSE)</f>
        <v>-2.5</v>
      </c>
      <c r="P3225" s="4">
        <f t="shared" si="127"/>
        <v>43445</v>
      </c>
      <c r="Q3225" s="7">
        <f>IF(G3225="C",NormalCallSprd(O3225,H3225,M3225,(P3225-A3225)/365), NormalPutSprd(O3225,H3225,M3225,(P3225-A3225)/365))</f>
        <v>1.9800327464432539</v>
      </c>
      <c r="R3225" s="9">
        <f t="shared" si="129"/>
        <v>3.0032746443253933E-2</v>
      </c>
    </row>
    <row r="3226" spans="1:18" x14ac:dyDescent="0.2">
      <c r="A3226" s="2">
        <v>42622</v>
      </c>
      <c r="B3226" s="1" t="s">
        <v>56</v>
      </c>
      <c r="C3226" s="1" t="s">
        <v>57</v>
      </c>
      <c r="D3226" s="2">
        <v>43112</v>
      </c>
      <c r="E3226" s="2">
        <f t="shared" si="128"/>
        <v>43435</v>
      </c>
      <c r="F3226" s="1" t="s">
        <v>58</v>
      </c>
      <c r="G3226" s="1" t="s">
        <v>16</v>
      </c>
      <c r="H3226" s="1">
        <v>-2.5</v>
      </c>
      <c r="I3226" s="1">
        <v>2.06</v>
      </c>
      <c r="J3226" s="1">
        <v>-0.01</v>
      </c>
      <c r="K3226" s="2">
        <v>43416</v>
      </c>
      <c r="L3226" s="1">
        <v>3716</v>
      </c>
      <c r="M3226" s="1">
        <v>3.5</v>
      </c>
      <c r="N3226" s="1">
        <v>-0.48995</v>
      </c>
      <c r="O3226" s="3">
        <f>VLOOKUP(D3226,underlying!$D$40:$H$75,5,FALSE)</f>
        <v>-2.5</v>
      </c>
      <c r="P3226" s="4">
        <f t="shared" si="127"/>
        <v>43445</v>
      </c>
      <c r="Q3226" s="7">
        <f>IF(G3226="C",NormalCallSprd(O3226,H3226,M3226,(P3226-A3226)/365), NormalPutSprd(O3226,H3226,M3226,(P3226-A3226)/365))</f>
        <v>2.0966773110379049</v>
      </c>
      <c r="R3226" s="9">
        <f t="shared" si="129"/>
        <v>3.6677311037904836E-2</v>
      </c>
    </row>
    <row r="3227" spans="1:18" x14ac:dyDescent="0.2">
      <c r="A3227" s="2">
        <v>42622</v>
      </c>
      <c r="B3227" s="1" t="s">
        <v>56</v>
      </c>
      <c r="C3227" s="1" t="s">
        <v>57</v>
      </c>
      <c r="D3227" s="2">
        <v>43112</v>
      </c>
      <c r="E3227" s="2">
        <f t="shared" si="128"/>
        <v>43435</v>
      </c>
      <c r="F3227" s="1" t="s">
        <v>58</v>
      </c>
      <c r="G3227" s="1" t="s">
        <v>18</v>
      </c>
      <c r="H3227" s="1">
        <v>-2.5</v>
      </c>
      <c r="I3227" s="1">
        <v>2.06</v>
      </c>
      <c r="J3227" s="1">
        <v>-0.01</v>
      </c>
      <c r="K3227" s="2">
        <v>43416</v>
      </c>
      <c r="L3227" s="1">
        <v>3716</v>
      </c>
      <c r="M3227" s="1">
        <v>3.5</v>
      </c>
      <c r="N3227" s="1">
        <v>-0.47341</v>
      </c>
      <c r="O3227" s="3">
        <f>VLOOKUP(D3227,underlying!$D$40:$H$75,5,FALSE)</f>
        <v>-2.5</v>
      </c>
      <c r="P3227" s="4">
        <f t="shared" si="127"/>
        <v>43445</v>
      </c>
      <c r="Q3227" s="7">
        <f>IF(G3227="C",NormalCallSprd(O3227,H3227,M3227,(P3227-A3227)/365), NormalPutSprd(O3227,H3227,M3227,(P3227-A3227)/365))</f>
        <v>2.0966773110379049</v>
      </c>
      <c r="R3227" s="9">
        <f t="shared" si="129"/>
        <v>3.6677311037904836E-2</v>
      </c>
    </row>
    <row r="3228" spans="1:18" x14ac:dyDescent="0.2">
      <c r="A3228" s="2">
        <v>42622</v>
      </c>
      <c r="B3228" s="1" t="s">
        <v>56</v>
      </c>
      <c r="C3228" s="1" t="s">
        <v>57</v>
      </c>
      <c r="D3228" s="2">
        <v>43112</v>
      </c>
      <c r="E3228" s="2">
        <f t="shared" si="128"/>
        <v>43435</v>
      </c>
      <c r="F3228" s="1" t="s">
        <v>58</v>
      </c>
      <c r="G3228" s="1" t="s">
        <v>16</v>
      </c>
      <c r="H3228" s="1">
        <v>-2.25</v>
      </c>
      <c r="I3228" s="1">
        <v>1.95</v>
      </c>
      <c r="J3228" s="1">
        <v>0</v>
      </c>
      <c r="K3228" s="2">
        <v>43416</v>
      </c>
      <c r="L3228" s="1">
        <v>3716</v>
      </c>
      <c r="M3228" s="1">
        <v>3.51</v>
      </c>
      <c r="N3228" s="1">
        <v>-0.45680999999999999</v>
      </c>
      <c r="O3228" s="3">
        <f>VLOOKUP(D3228,underlying!$D$40:$H$75,5,FALSE)</f>
        <v>-2.5</v>
      </c>
      <c r="P3228" s="4">
        <f t="shared" si="127"/>
        <v>43445</v>
      </c>
      <c r="Q3228" s="7">
        <f>IF(G3228="C",NormalCallSprd(O3228,H3228,M3228,(P3228-A3228)/365), NormalPutSprd(O3228,H3228,M3228,(P3228-A3228)/365))</f>
        <v>1.9800327464432539</v>
      </c>
      <c r="R3228" s="9">
        <f t="shared" si="129"/>
        <v>3.0032746443253933E-2</v>
      </c>
    </row>
    <row r="3229" spans="1:18" x14ac:dyDescent="0.2">
      <c r="A3229" s="2">
        <v>42622</v>
      </c>
      <c r="B3229" s="1" t="s">
        <v>56</v>
      </c>
      <c r="C3229" s="1" t="s">
        <v>57</v>
      </c>
      <c r="D3229" s="2">
        <v>43112</v>
      </c>
      <c r="E3229" s="2">
        <f t="shared" si="128"/>
        <v>43435</v>
      </c>
      <c r="F3229" s="1" t="s">
        <v>58</v>
      </c>
      <c r="G3229" s="1" t="s">
        <v>18</v>
      </c>
      <c r="H3229" s="1">
        <v>-2.25</v>
      </c>
      <c r="I3229" s="1">
        <v>2.2000000000000002</v>
      </c>
      <c r="J3229" s="1">
        <v>0</v>
      </c>
      <c r="K3229" s="2">
        <v>43416</v>
      </c>
      <c r="L3229" s="1">
        <v>3716</v>
      </c>
      <c r="M3229" s="1">
        <v>3.51</v>
      </c>
      <c r="N3229" s="1">
        <v>-0.44030999999999998</v>
      </c>
      <c r="O3229" s="3">
        <f>VLOOKUP(D3229,underlying!$D$40:$H$75,5,FALSE)</f>
        <v>-2.5</v>
      </c>
      <c r="P3229" s="4">
        <f t="shared" si="127"/>
        <v>43445</v>
      </c>
      <c r="Q3229" s="7">
        <f>IF(G3229="C",NormalCallSprd(O3229,H3229,M3229,(P3229-A3229)/365), NormalPutSprd(O3229,H3229,M3229,(P3229-A3229)/365))</f>
        <v>2.2300327464432539</v>
      </c>
      <c r="R3229" s="9">
        <f t="shared" si="129"/>
        <v>3.0032746443253711E-2</v>
      </c>
    </row>
    <row r="3230" spans="1:18" x14ac:dyDescent="0.2">
      <c r="A3230" s="2">
        <v>42622</v>
      </c>
      <c r="B3230" s="1" t="s">
        <v>56</v>
      </c>
      <c r="C3230" s="1" t="s">
        <v>57</v>
      </c>
      <c r="D3230" s="2">
        <v>43112</v>
      </c>
      <c r="E3230" s="2">
        <f t="shared" si="128"/>
        <v>43435</v>
      </c>
      <c r="F3230" s="1" t="s">
        <v>58</v>
      </c>
      <c r="G3230" s="1" t="s">
        <v>16</v>
      </c>
      <c r="H3230" s="1">
        <v>-2</v>
      </c>
      <c r="I3230" s="1">
        <v>1.83</v>
      </c>
      <c r="J3230" s="1">
        <v>0</v>
      </c>
      <c r="K3230" s="2">
        <v>43416</v>
      </c>
      <c r="L3230" s="1">
        <v>3716</v>
      </c>
      <c r="M3230" s="1">
        <v>3.5</v>
      </c>
      <c r="N3230" s="1">
        <v>-0.42371999999999999</v>
      </c>
      <c r="O3230" s="3">
        <f>VLOOKUP(D3230,underlying!$D$40:$H$75,5,FALSE)</f>
        <v>-2.5</v>
      </c>
      <c r="P3230" s="4">
        <f t="shared" si="127"/>
        <v>43445</v>
      </c>
      <c r="Q3230" s="7">
        <f>IF(G3230="C",NormalCallSprd(O3230,H3230,M3230,(P3230-A3230)/365), NormalPutSprd(O3230,H3230,M3230,(P3230-A3230)/365))</f>
        <v>1.8561586823542984</v>
      </c>
      <c r="R3230" s="9">
        <f t="shared" si="129"/>
        <v>2.6158682354298302E-2</v>
      </c>
    </row>
    <row r="3231" spans="1:18" x14ac:dyDescent="0.2">
      <c r="A3231" s="2">
        <v>42622</v>
      </c>
      <c r="B3231" s="1" t="s">
        <v>56</v>
      </c>
      <c r="C3231" s="1" t="s">
        <v>57</v>
      </c>
      <c r="D3231" s="2">
        <v>43112</v>
      </c>
      <c r="E3231" s="2">
        <f t="shared" si="128"/>
        <v>43435</v>
      </c>
      <c r="F3231" s="1" t="s">
        <v>58</v>
      </c>
      <c r="G3231" s="1" t="s">
        <v>18</v>
      </c>
      <c r="H3231" s="1">
        <v>-2</v>
      </c>
      <c r="I3231" s="1">
        <v>2.3199999999999998</v>
      </c>
      <c r="J3231" s="1">
        <v>0</v>
      </c>
      <c r="K3231" s="2">
        <v>43416</v>
      </c>
      <c r="L3231" s="1">
        <v>3716</v>
      </c>
      <c r="M3231" s="1">
        <v>3.5</v>
      </c>
      <c r="N3231" s="1">
        <v>-0.40783999999999998</v>
      </c>
      <c r="O3231" s="3">
        <f>VLOOKUP(D3231,underlying!$D$40:$H$75,5,FALSE)</f>
        <v>-2.5</v>
      </c>
      <c r="P3231" s="4">
        <f t="shared" si="127"/>
        <v>43445</v>
      </c>
      <c r="Q3231" s="7">
        <f>IF(G3231="C",NormalCallSprd(O3231,H3231,M3231,(P3231-A3231)/365), NormalPutSprd(O3231,H3231,M3231,(P3231-A3231)/365))</f>
        <v>2.3561586823542986</v>
      </c>
      <c r="R3231" s="9">
        <f t="shared" si="129"/>
        <v>3.6158682354298755E-2</v>
      </c>
    </row>
    <row r="3232" spans="1:18" x14ac:dyDescent="0.2">
      <c r="A3232" s="2">
        <v>42622</v>
      </c>
      <c r="B3232" s="1" t="s">
        <v>56</v>
      </c>
      <c r="C3232" s="1" t="s">
        <v>57</v>
      </c>
      <c r="D3232" s="2">
        <v>43112</v>
      </c>
      <c r="E3232" s="2">
        <f t="shared" si="128"/>
        <v>43435</v>
      </c>
      <c r="F3232" s="1" t="s">
        <v>58</v>
      </c>
      <c r="G3232" s="1" t="s">
        <v>16</v>
      </c>
      <c r="H3232" s="1">
        <v>-1.75</v>
      </c>
      <c r="I3232" s="1">
        <v>1.72</v>
      </c>
      <c r="J3232" s="1">
        <v>0</v>
      </c>
      <c r="K3232" s="2">
        <v>43416</v>
      </c>
      <c r="L3232" s="1">
        <v>3716</v>
      </c>
      <c r="M3232" s="1">
        <v>3.5</v>
      </c>
      <c r="N3232" s="1">
        <v>-0.39118999999999998</v>
      </c>
      <c r="O3232" s="3">
        <f>VLOOKUP(D3232,underlying!$D$40:$H$75,5,FALSE)</f>
        <v>-2.5</v>
      </c>
      <c r="P3232" s="4">
        <f t="shared" si="127"/>
        <v>43445</v>
      </c>
      <c r="Q3232" s="7">
        <f>IF(G3232="C",NormalCallSprd(O3232,H3232,M3232,(P3232-A3232)/365), NormalPutSprd(O3232,H3232,M3232,(P3232-A3232)/365))</f>
        <v>1.7429903273010483</v>
      </c>
      <c r="R3232" s="9">
        <f t="shared" si="129"/>
        <v>2.299032730104833E-2</v>
      </c>
    </row>
    <row r="3233" spans="1:18" x14ac:dyDescent="0.2">
      <c r="A3233" s="2">
        <v>42622</v>
      </c>
      <c r="B3233" s="1" t="s">
        <v>56</v>
      </c>
      <c r="C3233" s="1" t="s">
        <v>57</v>
      </c>
      <c r="D3233" s="2">
        <v>43112</v>
      </c>
      <c r="E3233" s="2">
        <f t="shared" si="128"/>
        <v>43435</v>
      </c>
      <c r="F3233" s="1" t="s">
        <v>58</v>
      </c>
      <c r="G3233" s="1" t="s">
        <v>18</v>
      </c>
      <c r="H3233" s="1">
        <v>-1.75</v>
      </c>
      <c r="I3233" s="1">
        <v>2.46</v>
      </c>
      <c r="J3233" s="1">
        <v>0</v>
      </c>
      <c r="K3233" s="2">
        <v>43416</v>
      </c>
      <c r="L3233" s="1">
        <v>3716</v>
      </c>
      <c r="M3233" s="1">
        <v>3.5</v>
      </c>
      <c r="N3233" s="1">
        <v>-0.37581999999999999</v>
      </c>
      <c r="O3233" s="3">
        <f>VLOOKUP(D3233,underlying!$D$40:$H$75,5,FALSE)</f>
        <v>-2.5</v>
      </c>
      <c r="P3233" s="4">
        <f t="shared" si="127"/>
        <v>43445</v>
      </c>
      <c r="Q3233" s="7">
        <f>IF(G3233="C",NormalCallSprd(O3233,H3233,M3233,(P3233-A3233)/365), NormalPutSprd(O3233,H3233,M3233,(P3233-A3233)/365))</f>
        <v>2.4929903273010483</v>
      </c>
      <c r="R3233" s="9">
        <f t="shared" si="129"/>
        <v>3.2990327301048339E-2</v>
      </c>
    </row>
    <row r="3234" spans="1:18" x14ac:dyDescent="0.2">
      <c r="A3234" s="2">
        <v>42622</v>
      </c>
      <c r="B3234" s="1" t="s">
        <v>56</v>
      </c>
      <c r="C3234" s="1" t="s">
        <v>57</v>
      </c>
      <c r="D3234" s="2">
        <v>43112</v>
      </c>
      <c r="E3234" s="2">
        <f t="shared" si="128"/>
        <v>43435</v>
      </c>
      <c r="F3234" s="1" t="s">
        <v>58</v>
      </c>
      <c r="G3234" s="1" t="s">
        <v>16</v>
      </c>
      <c r="H3234" s="1">
        <v>-1.5</v>
      </c>
      <c r="I3234" s="1">
        <v>1.6</v>
      </c>
      <c r="J3234" s="1">
        <v>-0.01</v>
      </c>
      <c r="K3234" s="2">
        <v>43416</v>
      </c>
      <c r="L3234" s="1">
        <v>3716</v>
      </c>
      <c r="M3234" s="1">
        <v>3.49</v>
      </c>
      <c r="N3234" s="1">
        <v>-0.35937000000000002</v>
      </c>
      <c r="O3234" s="3">
        <f>VLOOKUP(D3234,underlying!$D$40:$H$75,5,FALSE)</f>
        <v>-2.5</v>
      </c>
      <c r="P3234" s="4">
        <f t="shared" si="127"/>
        <v>43445</v>
      </c>
      <c r="Q3234" s="7">
        <f>IF(G3234="C",NormalCallSprd(O3234,H3234,M3234,(P3234-A3234)/365), NormalPutSprd(O3234,H3234,M3234,(P3234-A3234)/365))</f>
        <v>1.6286345661348569</v>
      </c>
      <c r="R3234" s="9">
        <f t="shared" si="129"/>
        <v>2.863456613485682E-2</v>
      </c>
    </row>
    <row r="3235" spans="1:18" x14ac:dyDescent="0.2">
      <c r="A3235" s="2">
        <v>42622</v>
      </c>
      <c r="B3235" s="1" t="s">
        <v>56</v>
      </c>
      <c r="C3235" s="1" t="s">
        <v>57</v>
      </c>
      <c r="D3235" s="2">
        <v>43112</v>
      </c>
      <c r="E3235" s="2">
        <f t="shared" si="128"/>
        <v>43435</v>
      </c>
      <c r="F3235" s="1" t="s">
        <v>58</v>
      </c>
      <c r="G3235" s="1" t="s">
        <v>18</v>
      </c>
      <c r="H3235" s="1">
        <v>-1.5</v>
      </c>
      <c r="I3235" s="1">
        <v>2.59</v>
      </c>
      <c r="J3235" s="1">
        <v>0</v>
      </c>
      <c r="K3235" s="2">
        <v>43416</v>
      </c>
      <c r="L3235" s="1">
        <v>3716</v>
      </c>
      <c r="M3235" s="1">
        <v>3.49</v>
      </c>
      <c r="N3235" s="1">
        <v>-0.34419</v>
      </c>
      <c r="O3235" s="3">
        <f>VLOOKUP(D3235,underlying!$D$40:$H$75,5,FALSE)</f>
        <v>-2.5</v>
      </c>
      <c r="P3235" s="4">
        <f t="shared" si="127"/>
        <v>43445</v>
      </c>
      <c r="Q3235" s="7">
        <f>IF(G3235="C",NormalCallSprd(O3235,H3235,M3235,(P3235-A3235)/365), NormalPutSprd(O3235,H3235,M3235,(P3235-A3235)/365))</f>
        <v>2.6286345661348571</v>
      </c>
      <c r="R3235" s="9">
        <f t="shared" si="129"/>
        <v>3.8634566134857273E-2</v>
      </c>
    </row>
    <row r="3236" spans="1:18" x14ac:dyDescent="0.2">
      <c r="A3236" s="2">
        <v>42622</v>
      </c>
      <c r="B3236" s="1" t="s">
        <v>56</v>
      </c>
      <c r="C3236" s="1" t="s">
        <v>57</v>
      </c>
      <c r="D3236" s="2">
        <v>43112</v>
      </c>
      <c r="E3236" s="2">
        <f t="shared" si="128"/>
        <v>43435</v>
      </c>
      <c r="F3236" s="1" t="s">
        <v>58</v>
      </c>
      <c r="G3236" s="1" t="s">
        <v>16</v>
      </c>
      <c r="H3236" s="1">
        <v>-1.25</v>
      </c>
      <c r="I3236" s="1">
        <v>1.51</v>
      </c>
      <c r="J3236" s="1">
        <v>0</v>
      </c>
      <c r="K3236" s="2">
        <v>43416</v>
      </c>
      <c r="L3236" s="1">
        <v>3716</v>
      </c>
      <c r="M3236" s="1">
        <v>3.5</v>
      </c>
      <c r="N3236" s="1">
        <v>-0.32889000000000002</v>
      </c>
      <c r="O3236" s="3">
        <f>VLOOKUP(D3236,underlying!$D$40:$H$75,5,FALSE)</f>
        <v>-2.5</v>
      </c>
      <c r="P3236" s="4">
        <f t="shared" si="127"/>
        <v>43445</v>
      </c>
      <c r="Q3236" s="7">
        <f>IF(G3236="C",NormalCallSprd(O3236,H3236,M3236,(P3236-A3236)/365), NormalPutSprd(O3236,H3236,M3236,(P3236-A3236)/365))</f>
        <v>1.5307025847982627</v>
      </c>
      <c r="R3236" s="9">
        <f t="shared" si="129"/>
        <v>2.0702584798262702E-2</v>
      </c>
    </row>
    <row r="3237" spans="1:18" x14ac:dyDescent="0.2">
      <c r="A3237" s="2">
        <v>42622</v>
      </c>
      <c r="B3237" s="1" t="s">
        <v>56</v>
      </c>
      <c r="C3237" s="1" t="s">
        <v>57</v>
      </c>
      <c r="D3237" s="2">
        <v>43112</v>
      </c>
      <c r="E3237" s="2">
        <f t="shared" si="128"/>
        <v>43435</v>
      </c>
      <c r="F3237" s="1" t="s">
        <v>58</v>
      </c>
      <c r="G3237" s="1" t="s">
        <v>18</v>
      </c>
      <c r="H3237" s="1">
        <v>-1.25</v>
      </c>
      <c r="I3237" s="1">
        <v>2.74</v>
      </c>
      <c r="J3237" s="1">
        <v>0</v>
      </c>
      <c r="K3237" s="2">
        <v>43416</v>
      </c>
      <c r="L3237" s="1">
        <v>3716</v>
      </c>
      <c r="M3237" s="1">
        <v>3.5</v>
      </c>
      <c r="N3237" s="1">
        <v>-0.31434000000000001</v>
      </c>
      <c r="O3237" s="3">
        <f>VLOOKUP(D3237,underlying!$D$40:$H$75,5,FALSE)</f>
        <v>-2.5</v>
      </c>
      <c r="P3237" s="4">
        <f t="shared" si="127"/>
        <v>43445</v>
      </c>
      <c r="Q3237" s="7">
        <f>IF(G3237="C",NormalCallSprd(O3237,H3237,M3237,(P3237-A3237)/365), NormalPutSprd(O3237,H3237,M3237,(P3237-A3237)/365))</f>
        <v>2.7807025847982629</v>
      </c>
      <c r="R3237" s="9">
        <f t="shared" si="129"/>
        <v>4.070258479826272E-2</v>
      </c>
    </row>
    <row r="3238" spans="1:18" x14ac:dyDescent="0.2">
      <c r="A3238" s="2">
        <v>42622</v>
      </c>
      <c r="B3238" s="1" t="s">
        <v>56</v>
      </c>
      <c r="C3238" s="1" t="s">
        <v>57</v>
      </c>
      <c r="D3238" s="2">
        <v>43112</v>
      </c>
      <c r="E3238" s="2">
        <f t="shared" si="128"/>
        <v>43435</v>
      </c>
      <c r="F3238" s="1" t="s">
        <v>58</v>
      </c>
      <c r="G3238" s="1" t="s">
        <v>16</v>
      </c>
      <c r="H3238" s="1">
        <v>-1</v>
      </c>
      <c r="I3238" s="1">
        <v>1.41</v>
      </c>
      <c r="J3238" s="1">
        <v>0</v>
      </c>
      <c r="K3238" s="2">
        <v>43416</v>
      </c>
      <c r="L3238" s="1">
        <v>3716</v>
      </c>
      <c r="M3238" s="1">
        <v>3.5</v>
      </c>
      <c r="N3238" s="1">
        <v>-0.29964000000000002</v>
      </c>
      <c r="O3238" s="3">
        <f>VLOOKUP(D3238,underlying!$D$40:$H$75,5,FALSE)</f>
        <v>-2.5</v>
      </c>
      <c r="P3238" s="4">
        <f t="shared" si="127"/>
        <v>43445</v>
      </c>
      <c r="Q3238" s="7">
        <f>IF(G3238="C",NormalCallSprd(O3238,H3238,M3238,(P3238-A3238)/365), NormalPutSprd(O3238,H3238,M3238,(P3238-A3238)/365))</f>
        <v>1.4314989985365245</v>
      </c>
      <c r="R3238" s="9">
        <f t="shared" si="129"/>
        <v>2.1498998536524594E-2</v>
      </c>
    </row>
    <row r="3239" spans="1:18" x14ac:dyDescent="0.2">
      <c r="A3239" s="2">
        <v>42622</v>
      </c>
      <c r="B3239" s="1" t="s">
        <v>56</v>
      </c>
      <c r="C3239" s="1" t="s">
        <v>57</v>
      </c>
      <c r="D3239" s="2">
        <v>43112</v>
      </c>
      <c r="E3239" s="2">
        <f t="shared" si="128"/>
        <v>43435</v>
      </c>
      <c r="F3239" s="1" t="s">
        <v>58</v>
      </c>
      <c r="G3239" s="1" t="s">
        <v>18</v>
      </c>
      <c r="H3239" s="1">
        <v>-1</v>
      </c>
      <c r="I3239" s="1">
        <v>2.89</v>
      </c>
      <c r="J3239" s="1">
        <v>0</v>
      </c>
      <c r="K3239" s="2">
        <v>43416</v>
      </c>
      <c r="L3239" s="1">
        <v>3716</v>
      </c>
      <c r="M3239" s="1">
        <v>3.5</v>
      </c>
      <c r="N3239" s="1">
        <v>-0.27121000000000001</v>
      </c>
      <c r="O3239" s="3">
        <f>VLOOKUP(D3239,underlying!$D$40:$H$75,5,FALSE)</f>
        <v>-2.5</v>
      </c>
      <c r="P3239" s="4">
        <f t="shared" si="127"/>
        <v>43445</v>
      </c>
      <c r="Q3239" s="7">
        <f>IF(G3239="C",NormalCallSprd(O3239,H3239,M3239,(P3239-A3239)/365), NormalPutSprd(O3239,H3239,M3239,(P3239-A3239)/365))</f>
        <v>2.9314989985365245</v>
      </c>
      <c r="R3239" s="9">
        <f t="shared" si="129"/>
        <v>4.149899853652439E-2</v>
      </c>
    </row>
    <row r="3240" spans="1:18" x14ac:dyDescent="0.2">
      <c r="A3240" s="2">
        <v>42622</v>
      </c>
      <c r="B3240" s="1" t="s">
        <v>56</v>
      </c>
      <c r="C3240" s="1" t="s">
        <v>57</v>
      </c>
      <c r="D3240" s="2">
        <v>43112</v>
      </c>
      <c r="E3240" s="2">
        <f t="shared" si="128"/>
        <v>43435</v>
      </c>
      <c r="F3240" s="1" t="s">
        <v>58</v>
      </c>
      <c r="G3240" s="1" t="s">
        <v>16</v>
      </c>
      <c r="H3240" s="1">
        <v>-0.75</v>
      </c>
      <c r="I3240" s="1">
        <v>1.32</v>
      </c>
      <c r="J3240" s="1">
        <v>0</v>
      </c>
      <c r="K3240" s="2">
        <v>43416</v>
      </c>
      <c r="L3240" s="1">
        <v>3716</v>
      </c>
      <c r="M3240" s="1">
        <v>3.51</v>
      </c>
      <c r="N3240" s="1">
        <v>-0.21862999999999999</v>
      </c>
      <c r="O3240" s="3">
        <f>VLOOKUP(D3240,underlying!$D$40:$H$75,5,FALSE)</f>
        <v>-2.5</v>
      </c>
      <c r="P3240" s="4">
        <f t="shared" si="127"/>
        <v>43445</v>
      </c>
      <c r="Q3240" s="7">
        <f>IF(G3240="C",NormalCallSprd(O3240,H3240,M3240,(P3240-A3240)/365), NormalPutSprd(O3240,H3240,M3240,(P3240-A3240)/365))</f>
        <v>1.342517876116309</v>
      </c>
      <c r="R3240" s="9">
        <f t="shared" si="129"/>
        <v>2.2517876116308955E-2</v>
      </c>
    </row>
    <row r="3241" spans="1:18" x14ac:dyDescent="0.2">
      <c r="A3241" s="2">
        <v>42622</v>
      </c>
      <c r="B3241" s="1" t="s">
        <v>56</v>
      </c>
      <c r="C3241" s="1" t="s">
        <v>57</v>
      </c>
      <c r="D3241" s="2">
        <v>43112</v>
      </c>
      <c r="E3241" s="2">
        <f t="shared" si="128"/>
        <v>43435</v>
      </c>
      <c r="F3241" s="1" t="s">
        <v>58</v>
      </c>
      <c r="G3241" s="1" t="s">
        <v>18</v>
      </c>
      <c r="H3241" s="1">
        <v>-0.75</v>
      </c>
      <c r="I3241" s="1">
        <v>3.05</v>
      </c>
      <c r="J3241" s="1">
        <v>0</v>
      </c>
      <c r="K3241" s="2">
        <v>43416</v>
      </c>
      <c r="L3241" s="1">
        <v>3716</v>
      </c>
      <c r="M3241" s="1">
        <v>3.51</v>
      </c>
      <c r="N3241" s="1">
        <v>-0.17172000000000001</v>
      </c>
      <c r="O3241" s="3">
        <f>VLOOKUP(D3241,underlying!$D$40:$H$75,5,FALSE)</f>
        <v>-2.5</v>
      </c>
      <c r="P3241" s="4">
        <f t="shared" si="127"/>
        <v>43445</v>
      </c>
      <c r="Q3241" s="7">
        <f>IF(G3241="C",NormalCallSprd(O3241,H3241,M3241,(P3241-A3241)/365), NormalPutSprd(O3241,H3241,M3241,(P3241-A3241)/365))</f>
        <v>3.0925178761163088</v>
      </c>
      <c r="R3241" s="9">
        <f t="shared" si="129"/>
        <v>4.2517876116308972E-2</v>
      </c>
    </row>
    <row r="3242" spans="1:18" x14ac:dyDescent="0.2">
      <c r="A3242" s="2">
        <v>42622</v>
      </c>
      <c r="B3242" s="1" t="s">
        <v>56</v>
      </c>
      <c r="C3242" s="1" t="s">
        <v>57</v>
      </c>
      <c r="D3242" s="2">
        <v>43112</v>
      </c>
      <c r="E3242" s="2">
        <f t="shared" si="128"/>
        <v>43435</v>
      </c>
      <c r="F3242" s="1" t="s">
        <v>58</v>
      </c>
      <c r="G3242" s="1" t="s">
        <v>16</v>
      </c>
      <c r="H3242" s="1">
        <v>-0.5</v>
      </c>
      <c r="I3242" s="1">
        <v>1.23</v>
      </c>
      <c r="J3242" s="1">
        <v>-0.01</v>
      </c>
      <c r="K3242" s="2">
        <v>43416</v>
      </c>
      <c r="L3242" s="1">
        <v>3716</v>
      </c>
      <c r="M3242" s="1">
        <v>3.51</v>
      </c>
      <c r="N3242" s="1">
        <v>0.21929000000000001</v>
      </c>
      <c r="O3242" s="3">
        <f>VLOOKUP(D3242,underlying!$D$40:$H$75,5,FALSE)</f>
        <v>-2.5</v>
      </c>
      <c r="P3242" s="4">
        <f t="shared" si="127"/>
        <v>43445</v>
      </c>
      <c r="Q3242" s="7">
        <f>IF(G3242="C",NormalCallSprd(O3242,H3242,M3242,(P3242-A3242)/365), NormalPutSprd(O3242,H3242,M3242,(P3242-A3242)/365))</f>
        <v>1.2522609545592192</v>
      </c>
      <c r="R3242" s="9">
        <f t="shared" si="129"/>
        <v>2.226095455921917E-2</v>
      </c>
    </row>
    <row r="3243" spans="1:18" x14ac:dyDescent="0.2">
      <c r="A3243" s="2">
        <v>42622</v>
      </c>
      <c r="B3243" s="1" t="s">
        <v>56</v>
      </c>
      <c r="C3243" s="1" t="s">
        <v>57</v>
      </c>
      <c r="D3243" s="2">
        <v>43112</v>
      </c>
      <c r="E3243" s="2">
        <f t="shared" si="128"/>
        <v>43435</v>
      </c>
      <c r="F3243" s="1" t="s">
        <v>58</v>
      </c>
      <c r="G3243" s="1" t="s">
        <v>18</v>
      </c>
      <c r="H3243" s="1">
        <v>-0.5</v>
      </c>
      <c r="I3243" s="1">
        <v>3.2</v>
      </c>
      <c r="J3243" s="1">
        <v>-0.01</v>
      </c>
      <c r="K3243" s="2">
        <v>43416</v>
      </c>
      <c r="L3243" s="1">
        <v>3716</v>
      </c>
      <c r="M3243" s="1">
        <v>3.51</v>
      </c>
      <c r="N3243" s="1">
        <v>0.24049999999999999</v>
      </c>
      <c r="O3243" s="3">
        <f>VLOOKUP(D3243,underlying!$D$40:$H$75,5,FALSE)</f>
        <v>-2.5</v>
      </c>
      <c r="P3243" s="4">
        <f t="shared" si="127"/>
        <v>43445</v>
      </c>
      <c r="Q3243" s="7">
        <f>IF(G3243="C",NormalCallSprd(O3243,H3243,M3243,(P3243-A3243)/365), NormalPutSprd(O3243,H3243,M3243,(P3243-A3243)/365))</f>
        <v>3.2522609545592194</v>
      </c>
      <c r="R3243" s="9">
        <f t="shared" si="129"/>
        <v>5.2260954559219197E-2</v>
      </c>
    </row>
    <row r="3244" spans="1:18" x14ac:dyDescent="0.2">
      <c r="A3244" s="2">
        <v>42622</v>
      </c>
      <c r="B3244" s="1" t="s">
        <v>56</v>
      </c>
      <c r="C3244" s="1" t="s">
        <v>57</v>
      </c>
      <c r="D3244" s="2">
        <v>43112</v>
      </c>
      <c r="E3244" s="2">
        <f t="shared" si="128"/>
        <v>43435</v>
      </c>
      <c r="F3244" s="1" t="s">
        <v>58</v>
      </c>
      <c r="G3244" s="1" t="s">
        <v>16</v>
      </c>
      <c r="H3244" s="1">
        <v>-0.25</v>
      </c>
      <c r="I3244" s="1">
        <v>1.1499999999999999</v>
      </c>
      <c r="J3244" s="1">
        <v>0</v>
      </c>
      <c r="K3244" s="2">
        <v>43416</v>
      </c>
      <c r="L3244" s="1">
        <v>3716</v>
      </c>
      <c r="M3244" s="1">
        <v>3.51</v>
      </c>
      <c r="N3244" s="1">
        <v>0.26277</v>
      </c>
      <c r="O3244" s="3">
        <f>VLOOKUP(D3244,underlying!$D$40:$H$75,5,FALSE)</f>
        <v>-2.5</v>
      </c>
      <c r="P3244" s="4">
        <f t="shared" si="127"/>
        <v>43445</v>
      </c>
      <c r="Q3244" s="7">
        <f>IF(G3244="C",NormalCallSprd(O3244,H3244,M3244,(P3244-A3244)/365), NormalPutSprd(O3244,H3244,M3244,(P3244-A3244)/365))</f>
        <v>1.166405447724284</v>
      </c>
      <c r="R3244" s="9">
        <f t="shared" si="129"/>
        <v>1.6405447724284095E-2</v>
      </c>
    </row>
    <row r="3245" spans="1:18" x14ac:dyDescent="0.2">
      <c r="A3245" s="2">
        <v>42622</v>
      </c>
      <c r="B3245" s="1" t="s">
        <v>56</v>
      </c>
      <c r="C3245" s="1" t="s">
        <v>57</v>
      </c>
      <c r="D3245" s="2">
        <v>43112</v>
      </c>
      <c r="E3245" s="2">
        <f t="shared" si="128"/>
        <v>43435</v>
      </c>
      <c r="F3245" s="1" t="s">
        <v>58</v>
      </c>
      <c r="G3245" s="1" t="s">
        <v>18</v>
      </c>
      <c r="H3245" s="1">
        <v>-0.25</v>
      </c>
      <c r="I3245" s="1">
        <v>3.36</v>
      </c>
      <c r="J3245" s="1">
        <v>-0.01</v>
      </c>
      <c r="K3245" s="2">
        <v>43416</v>
      </c>
      <c r="L3245" s="1">
        <v>3716</v>
      </c>
      <c r="M3245" s="1">
        <v>3.51</v>
      </c>
      <c r="N3245" s="1">
        <v>0.28605999999999998</v>
      </c>
      <c r="O3245" s="3">
        <f>VLOOKUP(D3245,underlying!$D$40:$H$75,5,FALSE)</f>
        <v>-2.5</v>
      </c>
      <c r="P3245" s="4">
        <f t="shared" si="127"/>
        <v>43445</v>
      </c>
      <c r="Q3245" s="7">
        <f>IF(G3245="C",NormalCallSprd(O3245,H3245,M3245,(P3245-A3245)/365), NormalPutSprd(O3245,H3245,M3245,(P3245-A3245)/365))</f>
        <v>3.416405447724284</v>
      </c>
      <c r="R3245" s="9">
        <f t="shared" si="129"/>
        <v>5.640544772428413E-2</v>
      </c>
    </row>
    <row r="3246" spans="1:18" x14ac:dyDescent="0.2">
      <c r="A3246" s="2">
        <v>42622</v>
      </c>
      <c r="B3246" s="1" t="s">
        <v>56</v>
      </c>
      <c r="C3246" s="1" t="s">
        <v>57</v>
      </c>
      <c r="D3246" s="2">
        <v>43466</v>
      </c>
      <c r="E3246" s="2">
        <f t="shared" si="128"/>
        <v>43466</v>
      </c>
      <c r="F3246" s="1" t="s">
        <v>58</v>
      </c>
      <c r="G3246" s="1" t="s">
        <v>16</v>
      </c>
      <c r="H3246" s="1">
        <v>-8</v>
      </c>
      <c r="I3246" s="1">
        <v>5.82</v>
      </c>
      <c r="J3246" s="1">
        <v>-0.01</v>
      </c>
      <c r="K3246" s="2">
        <v>43709</v>
      </c>
      <c r="L3246" s="1">
        <v>3716</v>
      </c>
      <c r="M3246" s="1">
        <v>3.49</v>
      </c>
      <c r="N3246" s="1">
        <v>0.31119999999999998</v>
      </c>
      <c r="O3246" s="3">
        <f>VLOOKUP(D3246,underlying!$D$40:$H$75,5,FALSE)</f>
        <v>-2.5</v>
      </c>
      <c r="P3246" s="4">
        <f t="shared" si="127"/>
        <v>43474</v>
      </c>
      <c r="Q3246" s="7">
        <f>IF(G3246="C",NormalCallSprd(O3246,H3246,M3246,(P3246-A3246)/365), NormalPutSprd(O3246,H3246,M3246,(P3246-A3246)/365))</f>
        <v>5.9182425879851301</v>
      </c>
      <c r="R3246" s="9">
        <f t="shared" si="129"/>
        <v>9.8242587985129859E-2</v>
      </c>
    </row>
    <row r="3247" spans="1:18" x14ac:dyDescent="0.2">
      <c r="A3247" s="2">
        <v>42622</v>
      </c>
      <c r="B3247" s="1" t="s">
        <v>56</v>
      </c>
      <c r="C3247" s="1" t="s">
        <v>57</v>
      </c>
      <c r="D3247" s="2">
        <v>43466</v>
      </c>
      <c r="E3247" s="2">
        <f t="shared" si="128"/>
        <v>43466</v>
      </c>
      <c r="F3247" s="1" t="s">
        <v>58</v>
      </c>
      <c r="G3247" s="1" t="s">
        <v>18</v>
      </c>
      <c r="H3247" s="1">
        <v>-8</v>
      </c>
      <c r="I3247" s="1">
        <v>0.41</v>
      </c>
      <c r="J3247" s="1">
        <v>0</v>
      </c>
      <c r="K3247" s="2">
        <v>43709</v>
      </c>
      <c r="L3247" s="1">
        <v>3716</v>
      </c>
      <c r="M3247" s="1">
        <v>3.49</v>
      </c>
      <c r="N3247" s="1">
        <v>0.33534000000000003</v>
      </c>
      <c r="O3247" s="3">
        <f>VLOOKUP(D3247,underlying!$D$40:$H$75,5,FALSE)</f>
        <v>-2.5</v>
      </c>
      <c r="P3247" s="4">
        <f t="shared" si="127"/>
        <v>43474</v>
      </c>
      <c r="Q3247" s="7">
        <f>IF(G3247="C",NormalCallSprd(O3247,H3247,M3247,(P3247-A3247)/365), NormalPutSprd(O3247,H3247,M3247,(P3247-A3247)/365))</f>
        <v>0.41824258798513048</v>
      </c>
      <c r="R3247" s="9">
        <f t="shared" si="129"/>
        <v>8.2425879851305006E-3</v>
      </c>
    </row>
    <row r="3248" spans="1:18" x14ac:dyDescent="0.2">
      <c r="A3248" s="2">
        <v>42622</v>
      </c>
      <c r="B3248" s="1" t="s">
        <v>56</v>
      </c>
      <c r="C3248" s="1" t="s">
        <v>57</v>
      </c>
      <c r="D3248" s="2">
        <v>43466</v>
      </c>
      <c r="E3248" s="2">
        <f t="shared" si="128"/>
        <v>43466</v>
      </c>
      <c r="F3248" s="1" t="s">
        <v>58</v>
      </c>
      <c r="G3248" s="1" t="s">
        <v>16</v>
      </c>
      <c r="H3248" s="1">
        <v>-7</v>
      </c>
      <c r="I3248" s="1">
        <v>5.0199999999999996</v>
      </c>
      <c r="J3248" s="1">
        <v>0</v>
      </c>
      <c r="K3248" s="2">
        <v>43709</v>
      </c>
      <c r="L3248" s="1">
        <v>3716</v>
      </c>
      <c r="M3248" s="1">
        <v>3.5</v>
      </c>
      <c r="N3248" s="1">
        <v>0.36185</v>
      </c>
      <c r="O3248" s="3">
        <f>VLOOKUP(D3248,underlying!$D$40:$H$75,5,FALSE)</f>
        <v>-2.5</v>
      </c>
      <c r="P3248" s="4">
        <f t="shared" si="127"/>
        <v>43474</v>
      </c>
      <c r="Q3248" s="7">
        <f>IF(G3248="C",NormalCallSprd(O3248,H3248,M3248,(P3248-A3248)/365), NormalPutSprd(O3248,H3248,M3248,(P3248-A3248)/365))</f>
        <v>5.0970640280246693</v>
      </c>
      <c r="R3248" s="9">
        <f t="shared" si="129"/>
        <v>7.7064028024669717E-2</v>
      </c>
    </row>
    <row r="3249" spans="1:18" x14ac:dyDescent="0.2">
      <c r="A3249" s="2">
        <v>42622</v>
      </c>
      <c r="B3249" s="1" t="s">
        <v>56</v>
      </c>
      <c r="C3249" s="1" t="s">
        <v>57</v>
      </c>
      <c r="D3249" s="2">
        <v>43466</v>
      </c>
      <c r="E3249" s="2">
        <f t="shared" si="128"/>
        <v>43466</v>
      </c>
      <c r="F3249" s="1" t="s">
        <v>58</v>
      </c>
      <c r="G3249" s="1" t="s">
        <v>18</v>
      </c>
      <c r="H3249" s="1">
        <v>-7</v>
      </c>
      <c r="I3249" s="1">
        <v>0.59</v>
      </c>
      <c r="J3249" s="1">
        <v>0</v>
      </c>
      <c r="K3249" s="2">
        <v>43709</v>
      </c>
      <c r="L3249" s="1">
        <v>3716</v>
      </c>
      <c r="M3249" s="1">
        <v>3.5</v>
      </c>
      <c r="N3249" s="1">
        <v>0.3876</v>
      </c>
      <c r="O3249" s="3">
        <f>VLOOKUP(D3249,underlying!$D$40:$H$75,5,FALSE)</f>
        <v>-2.5</v>
      </c>
      <c r="P3249" s="4">
        <f t="shared" si="127"/>
        <v>43474</v>
      </c>
      <c r="Q3249" s="7">
        <f>IF(G3249="C",NormalCallSprd(O3249,H3249,M3249,(P3249-A3249)/365), NormalPutSprd(O3249,H3249,M3249,(P3249-A3249)/365))</f>
        <v>0.5970640280246694</v>
      </c>
      <c r="R3249" s="9">
        <f t="shared" si="129"/>
        <v>7.0640280246694331E-3</v>
      </c>
    </row>
    <row r="3250" spans="1:18" x14ac:dyDescent="0.2">
      <c r="A3250" s="2">
        <v>42622</v>
      </c>
      <c r="B3250" s="1" t="s">
        <v>56</v>
      </c>
      <c r="C3250" s="1" t="s">
        <v>57</v>
      </c>
      <c r="D3250" s="2">
        <v>43466</v>
      </c>
      <c r="E3250" s="2">
        <f t="shared" si="128"/>
        <v>43466</v>
      </c>
      <c r="F3250" s="1" t="s">
        <v>58</v>
      </c>
      <c r="G3250" s="1" t="s">
        <v>16</v>
      </c>
      <c r="H3250" s="1">
        <v>-6</v>
      </c>
      <c r="I3250" s="1">
        <v>4.26</v>
      </c>
      <c r="J3250" s="1">
        <v>-0.01</v>
      </c>
      <c r="K3250" s="2">
        <v>43709</v>
      </c>
      <c r="L3250" s="1">
        <v>3716</v>
      </c>
      <c r="M3250" s="1">
        <v>3.51</v>
      </c>
      <c r="N3250" s="1">
        <v>0.4148</v>
      </c>
      <c r="O3250" s="3">
        <f>VLOOKUP(D3250,underlying!$D$40:$H$75,5,FALSE)</f>
        <v>-2.5</v>
      </c>
      <c r="P3250" s="4">
        <f t="shared" si="127"/>
        <v>43474</v>
      </c>
      <c r="Q3250" s="7">
        <f>IF(G3250="C",NormalCallSprd(O3250,H3250,M3250,(P3250-A3250)/365), NormalPutSprd(O3250,H3250,M3250,(P3250-A3250)/365))</f>
        <v>4.3295365662924956</v>
      </c>
      <c r="R3250" s="9">
        <f t="shared" si="129"/>
        <v>6.9536566292495827E-2</v>
      </c>
    </row>
    <row r="3251" spans="1:18" x14ac:dyDescent="0.2">
      <c r="A3251" s="2">
        <v>42622</v>
      </c>
      <c r="B3251" s="1" t="s">
        <v>56</v>
      </c>
      <c r="C3251" s="1" t="s">
        <v>57</v>
      </c>
      <c r="D3251" s="2">
        <v>43466</v>
      </c>
      <c r="E3251" s="2">
        <f t="shared" si="128"/>
        <v>43466</v>
      </c>
      <c r="F3251" s="1" t="s">
        <v>58</v>
      </c>
      <c r="G3251" s="1" t="s">
        <v>18</v>
      </c>
      <c r="H3251" s="1">
        <v>-6</v>
      </c>
      <c r="I3251" s="1">
        <v>0.82</v>
      </c>
      <c r="J3251" s="1">
        <v>0</v>
      </c>
      <c r="K3251" s="2">
        <v>43709</v>
      </c>
      <c r="L3251" s="1">
        <v>3716</v>
      </c>
      <c r="M3251" s="1">
        <v>3.51</v>
      </c>
      <c r="N3251" s="1">
        <v>0.44209999999999999</v>
      </c>
      <c r="O3251" s="3">
        <f>VLOOKUP(D3251,underlying!$D$40:$H$75,5,FALSE)</f>
        <v>-2.5</v>
      </c>
      <c r="P3251" s="4">
        <f t="shared" si="127"/>
        <v>43474</v>
      </c>
      <c r="Q3251" s="7">
        <f>IF(G3251="C",NormalCallSprd(O3251,H3251,M3251,(P3251-A3251)/365), NormalPutSprd(O3251,H3251,M3251,(P3251-A3251)/365))</f>
        <v>0.8295365662924955</v>
      </c>
      <c r="R3251" s="9">
        <f t="shared" si="129"/>
        <v>9.5365662924955519E-3</v>
      </c>
    </row>
    <row r="3252" spans="1:18" x14ac:dyDescent="0.2">
      <c r="A3252" s="2">
        <v>42622</v>
      </c>
      <c r="B3252" s="1" t="s">
        <v>56</v>
      </c>
      <c r="C3252" s="1" t="s">
        <v>57</v>
      </c>
      <c r="D3252" s="2">
        <v>43466</v>
      </c>
      <c r="E3252" s="2">
        <f t="shared" si="128"/>
        <v>43466</v>
      </c>
      <c r="F3252" s="1" t="s">
        <v>58</v>
      </c>
      <c r="G3252" s="1" t="s">
        <v>16</v>
      </c>
      <c r="H3252" s="1">
        <v>-5.25</v>
      </c>
      <c r="I3252" s="1">
        <v>3.73</v>
      </c>
      <c r="J3252" s="1">
        <v>0</v>
      </c>
      <c r="K3252" s="2">
        <v>43709</v>
      </c>
      <c r="L3252" s="1">
        <v>3716</v>
      </c>
      <c r="M3252" s="1">
        <v>3.51</v>
      </c>
      <c r="N3252" s="1">
        <v>0.46975</v>
      </c>
      <c r="O3252" s="3">
        <f>VLOOKUP(D3252,underlying!$D$40:$H$75,5,FALSE)</f>
        <v>-2.5</v>
      </c>
      <c r="P3252" s="4">
        <f t="shared" si="127"/>
        <v>43474</v>
      </c>
      <c r="Q3252" s="7">
        <f>IF(G3252="C",NormalCallSprd(O3252,H3252,M3252,(P3252-A3252)/365), NormalPutSprd(O3252,H3252,M3252,(P3252-A3252)/365))</f>
        <v>3.789683817684677</v>
      </c>
      <c r="R3252" s="9">
        <f t="shared" si="129"/>
        <v>5.968381768467701E-2</v>
      </c>
    </row>
    <row r="3253" spans="1:18" x14ac:dyDescent="0.2">
      <c r="A3253" s="2">
        <v>42622</v>
      </c>
      <c r="B3253" s="1" t="s">
        <v>56</v>
      </c>
      <c r="C3253" s="1" t="s">
        <v>57</v>
      </c>
      <c r="D3253" s="2">
        <v>43466</v>
      </c>
      <c r="E3253" s="2">
        <f t="shared" si="128"/>
        <v>43466</v>
      </c>
      <c r="F3253" s="1" t="s">
        <v>58</v>
      </c>
      <c r="G3253" s="1" t="s">
        <v>18</v>
      </c>
      <c r="H3253" s="1">
        <v>-5.25</v>
      </c>
      <c r="I3253" s="1">
        <v>1.02</v>
      </c>
      <c r="J3253" s="1">
        <v>-0.01</v>
      </c>
      <c r="K3253" s="2">
        <v>43709</v>
      </c>
      <c r="L3253" s="1">
        <v>3716</v>
      </c>
      <c r="M3253" s="1">
        <v>3.51</v>
      </c>
      <c r="N3253" s="1">
        <v>0.49739</v>
      </c>
      <c r="O3253" s="3">
        <f>VLOOKUP(D3253,underlying!$D$40:$H$75,5,FALSE)</f>
        <v>-2.5</v>
      </c>
      <c r="P3253" s="4">
        <f t="shared" si="127"/>
        <v>43474</v>
      </c>
      <c r="Q3253" s="7">
        <f>IF(G3253="C",NormalCallSprd(O3253,H3253,M3253,(P3253-A3253)/365), NormalPutSprd(O3253,H3253,M3253,(P3253-A3253)/365))</f>
        <v>1.039683817684677</v>
      </c>
      <c r="R3253" s="9">
        <f t="shared" si="129"/>
        <v>1.9683817684676974E-2</v>
      </c>
    </row>
    <row r="3254" spans="1:18" x14ac:dyDescent="0.2">
      <c r="A3254" s="2">
        <v>42622</v>
      </c>
      <c r="B3254" s="1" t="s">
        <v>56</v>
      </c>
      <c r="C3254" s="1" t="s">
        <v>57</v>
      </c>
      <c r="D3254" s="2">
        <v>43466</v>
      </c>
      <c r="E3254" s="2">
        <f t="shared" si="128"/>
        <v>43466</v>
      </c>
      <c r="F3254" s="1" t="s">
        <v>58</v>
      </c>
      <c r="G3254" s="1" t="s">
        <v>16</v>
      </c>
      <c r="H3254" s="1">
        <v>-5</v>
      </c>
      <c r="I3254" s="1">
        <v>3.56</v>
      </c>
      <c r="J3254" s="1">
        <v>0</v>
      </c>
      <c r="K3254" s="2">
        <v>43709</v>
      </c>
      <c r="L3254" s="1">
        <v>3716</v>
      </c>
      <c r="M3254" s="1">
        <v>3.51</v>
      </c>
      <c r="N3254" s="1">
        <v>0.52502000000000004</v>
      </c>
      <c r="O3254" s="3">
        <f>VLOOKUP(D3254,underlying!$D$40:$H$75,5,FALSE)</f>
        <v>-2.5</v>
      </c>
      <c r="P3254" s="4">
        <f t="shared" si="127"/>
        <v>43474</v>
      </c>
      <c r="Q3254" s="7">
        <f>IF(G3254="C",NormalCallSprd(O3254,H3254,M3254,(P3254-A3254)/365), NormalPutSprd(O3254,H3254,M3254,(P3254-A3254)/365))</f>
        <v>3.617749094352575</v>
      </c>
      <c r="R3254" s="9">
        <f t="shared" si="129"/>
        <v>5.7749094352574915E-2</v>
      </c>
    </row>
    <row r="3255" spans="1:18" x14ac:dyDescent="0.2">
      <c r="A3255" s="2">
        <v>42622</v>
      </c>
      <c r="B3255" s="1" t="s">
        <v>56</v>
      </c>
      <c r="C3255" s="1" t="s">
        <v>57</v>
      </c>
      <c r="D3255" s="2">
        <v>43466</v>
      </c>
      <c r="E3255" s="2">
        <f t="shared" si="128"/>
        <v>43466</v>
      </c>
      <c r="F3255" s="1" t="s">
        <v>58</v>
      </c>
      <c r="G3255" s="1" t="s">
        <v>18</v>
      </c>
      <c r="H3255" s="1">
        <v>-5</v>
      </c>
      <c r="I3255" s="1">
        <v>1.1000000000000001</v>
      </c>
      <c r="J3255" s="1">
        <v>0</v>
      </c>
      <c r="K3255" s="2">
        <v>43709</v>
      </c>
      <c r="L3255" s="1">
        <v>3716</v>
      </c>
      <c r="M3255" s="1">
        <v>3.51</v>
      </c>
      <c r="N3255" s="1">
        <v>0.55266999999999999</v>
      </c>
      <c r="O3255" s="3">
        <f>VLOOKUP(D3255,underlying!$D$40:$H$75,5,FALSE)</f>
        <v>-2.5</v>
      </c>
      <c r="P3255" s="4">
        <f t="shared" si="127"/>
        <v>43474</v>
      </c>
      <c r="Q3255" s="7">
        <f>IF(G3255="C",NormalCallSprd(O3255,H3255,M3255,(P3255-A3255)/365), NormalPutSprd(O3255,H3255,M3255,(P3255-A3255)/365))</f>
        <v>1.1177490943525747</v>
      </c>
      <c r="R3255" s="9">
        <f t="shared" si="129"/>
        <v>1.7749094352574657E-2</v>
      </c>
    </row>
    <row r="3256" spans="1:18" x14ac:dyDescent="0.2">
      <c r="A3256" s="2">
        <v>42622</v>
      </c>
      <c r="B3256" s="1" t="s">
        <v>56</v>
      </c>
      <c r="C3256" s="1" t="s">
        <v>57</v>
      </c>
      <c r="D3256" s="2">
        <v>43466</v>
      </c>
      <c r="E3256" s="2">
        <f t="shared" si="128"/>
        <v>43466</v>
      </c>
      <c r="F3256" s="1" t="s">
        <v>58</v>
      </c>
      <c r="G3256" s="1" t="s">
        <v>16</v>
      </c>
      <c r="H3256" s="1">
        <v>-4.75</v>
      </c>
      <c r="I3256" s="1">
        <v>3.4</v>
      </c>
      <c r="J3256" s="1">
        <v>0</v>
      </c>
      <c r="K3256" s="2">
        <v>43709</v>
      </c>
      <c r="L3256" s="1">
        <v>3716</v>
      </c>
      <c r="M3256" s="1">
        <v>3.51</v>
      </c>
      <c r="N3256" s="1">
        <v>0.57998000000000005</v>
      </c>
      <c r="O3256" s="3">
        <f>VLOOKUP(D3256,underlying!$D$40:$H$75,5,FALSE)</f>
        <v>-2.5</v>
      </c>
      <c r="P3256" s="4">
        <f t="shared" si="127"/>
        <v>43474</v>
      </c>
      <c r="Q3256" s="7">
        <f>IF(G3256="C",NormalCallSprd(O3256,H3256,M3256,(P3256-A3256)/365), NormalPutSprd(O3256,H3256,M3256,(P3256-A3256)/365))</f>
        <v>3.4499845577787109</v>
      </c>
      <c r="R3256" s="9">
        <f t="shared" si="129"/>
        <v>4.9984557778711025E-2</v>
      </c>
    </row>
    <row r="3257" spans="1:18" x14ac:dyDescent="0.2">
      <c r="A3257" s="2">
        <v>42622</v>
      </c>
      <c r="B3257" s="1" t="s">
        <v>56</v>
      </c>
      <c r="C3257" s="1" t="s">
        <v>57</v>
      </c>
      <c r="D3257" s="2">
        <v>43466</v>
      </c>
      <c r="E3257" s="2">
        <f t="shared" si="128"/>
        <v>43466</v>
      </c>
      <c r="F3257" s="1" t="s">
        <v>58</v>
      </c>
      <c r="G3257" s="1" t="s">
        <v>18</v>
      </c>
      <c r="H3257" s="1">
        <v>-4.75</v>
      </c>
      <c r="I3257" s="1">
        <v>1.18</v>
      </c>
      <c r="J3257" s="1">
        <v>0</v>
      </c>
      <c r="K3257" s="2">
        <v>43709</v>
      </c>
      <c r="L3257" s="1">
        <v>3716</v>
      </c>
      <c r="M3257" s="1">
        <v>3.51</v>
      </c>
      <c r="N3257" s="1">
        <v>0.60716999999999999</v>
      </c>
      <c r="O3257" s="3">
        <f>VLOOKUP(D3257,underlying!$D$40:$H$75,5,FALSE)</f>
        <v>-2.5</v>
      </c>
      <c r="P3257" s="4">
        <f t="shared" ref="P3257:P3320" si="130">DATE(YEAR(K3257),DAY(K3257),MONTH(K3257))</f>
        <v>43474</v>
      </c>
      <c r="Q3257" s="7">
        <f>IF(G3257="C",NormalCallSprd(O3257,H3257,M3257,(P3257-A3257)/365), NormalPutSprd(O3257,H3257,M3257,(P3257-A3257)/365))</f>
        <v>1.1999845577787109</v>
      </c>
      <c r="R3257" s="9">
        <f t="shared" si="129"/>
        <v>1.9984557778710998E-2</v>
      </c>
    </row>
    <row r="3258" spans="1:18" x14ac:dyDescent="0.2">
      <c r="A3258" s="2">
        <v>42622</v>
      </c>
      <c r="B3258" s="1" t="s">
        <v>56</v>
      </c>
      <c r="C3258" s="1" t="s">
        <v>57</v>
      </c>
      <c r="D3258" s="2">
        <v>43466</v>
      </c>
      <c r="E3258" s="2">
        <f t="shared" si="128"/>
        <v>43466</v>
      </c>
      <c r="F3258" s="1" t="s">
        <v>58</v>
      </c>
      <c r="G3258" s="1" t="s">
        <v>16</v>
      </c>
      <c r="H3258" s="1">
        <v>-4.5</v>
      </c>
      <c r="I3258" s="1">
        <v>3.22</v>
      </c>
      <c r="J3258" s="1">
        <v>-0.01</v>
      </c>
      <c r="K3258" s="2">
        <v>43709</v>
      </c>
      <c r="L3258" s="1">
        <v>3716</v>
      </c>
      <c r="M3258" s="1">
        <v>3.49</v>
      </c>
      <c r="N3258" s="1">
        <v>0.63292999999999999</v>
      </c>
      <c r="O3258" s="3">
        <f>VLOOKUP(D3258,underlying!$D$40:$H$75,5,FALSE)</f>
        <v>-2.5</v>
      </c>
      <c r="P3258" s="4">
        <f t="shared" si="130"/>
        <v>43474</v>
      </c>
      <c r="Q3258" s="7">
        <f>IF(G3258="C",NormalCallSprd(O3258,H3258,M3258,(P3258-A3258)/365), NormalPutSprd(O3258,H3258,M3258,(P3258-A3258)/365))</f>
        <v>3.2751103986784309</v>
      </c>
      <c r="R3258" s="9">
        <f t="shared" si="129"/>
        <v>5.5110398678430705E-2</v>
      </c>
    </row>
    <row r="3259" spans="1:18" x14ac:dyDescent="0.2">
      <c r="A3259" s="2">
        <v>42622</v>
      </c>
      <c r="B3259" s="1" t="s">
        <v>56</v>
      </c>
      <c r="C3259" s="1" t="s">
        <v>57</v>
      </c>
      <c r="D3259" s="2">
        <v>43466</v>
      </c>
      <c r="E3259" s="2">
        <f t="shared" si="128"/>
        <v>43466</v>
      </c>
      <c r="F3259" s="1" t="s">
        <v>58</v>
      </c>
      <c r="G3259" s="1" t="s">
        <v>18</v>
      </c>
      <c r="H3259" s="1">
        <v>-4.5</v>
      </c>
      <c r="I3259" s="1">
        <v>1.25</v>
      </c>
      <c r="J3259" s="1">
        <v>-0.01</v>
      </c>
      <c r="K3259" s="2">
        <v>43709</v>
      </c>
      <c r="L3259" s="1">
        <v>3716</v>
      </c>
      <c r="M3259" s="1">
        <v>3.49</v>
      </c>
      <c r="N3259" s="1">
        <v>0.65944000000000003</v>
      </c>
      <c r="O3259" s="3">
        <f>VLOOKUP(D3259,underlying!$D$40:$H$75,5,FALSE)</f>
        <v>-2.5</v>
      </c>
      <c r="P3259" s="4">
        <f t="shared" si="130"/>
        <v>43474</v>
      </c>
      <c r="Q3259" s="7">
        <f>IF(G3259="C",NormalCallSprd(O3259,H3259,M3259,(P3259-A3259)/365), NormalPutSprd(O3259,H3259,M3259,(P3259-A3259)/365))</f>
        <v>1.2751103986784307</v>
      </c>
      <c r="R3259" s="9">
        <f t="shared" si="129"/>
        <v>2.5110398678430679E-2</v>
      </c>
    </row>
    <row r="3260" spans="1:18" x14ac:dyDescent="0.2">
      <c r="A3260" s="2">
        <v>42622</v>
      </c>
      <c r="B3260" s="1" t="s">
        <v>56</v>
      </c>
      <c r="C3260" s="1" t="s">
        <v>57</v>
      </c>
      <c r="D3260" s="2">
        <v>43466</v>
      </c>
      <c r="E3260" s="2">
        <f t="shared" si="128"/>
        <v>43466</v>
      </c>
      <c r="F3260" s="1" t="s">
        <v>58</v>
      </c>
      <c r="G3260" s="1" t="s">
        <v>16</v>
      </c>
      <c r="H3260" s="1">
        <v>-4.25</v>
      </c>
      <c r="I3260" s="1">
        <v>3.08</v>
      </c>
      <c r="J3260" s="1">
        <v>0</v>
      </c>
      <c r="K3260" s="2">
        <v>43709</v>
      </c>
      <c r="L3260" s="1">
        <v>3716</v>
      </c>
      <c r="M3260" s="1">
        <v>3.51</v>
      </c>
      <c r="N3260" s="1">
        <v>0.68357999999999997</v>
      </c>
      <c r="O3260" s="3">
        <f>VLOOKUP(D3260,underlying!$D$40:$H$75,5,FALSE)</f>
        <v>-2.5</v>
      </c>
      <c r="P3260" s="4">
        <f t="shared" si="130"/>
        <v>43474</v>
      </c>
      <c r="Q3260" s="7">
        <f>IF(G3260="C",NormalCallSprd(O3260,H3260,M3260,(P3260-A3260)/365), NormalPutSprd(O3260,H3260,M3260,(P3260-A3260)/365))</f>
        <v>3.1273062756184973</v>
      </c>
      <c r="R3260" s="9">
        <f t="shared" si="129"/>
        <v>4.7306275618497207E-2</v>
      </c>
    </row>
    <row r="3261" spans="1:18" x14ac:dyDescent="0.2">
      <c r="A3261" s="2">
        <v>42622</v>
      </c>
      <c r="B3261" s="1" t="s">
        <v>56</v>
      </c>
      <c r="C3261" s="1" t="s">
        <v>57</v>
      </c>
      <c r="D3261" s="2">
        <v>43466</v>
      </c>
      <c r="E3261" s="2">
        <f t="shared" si="128"/>
        <v>43466</v>
      </c>
      <c r="F3261" s="1" t="s">
        <v>58</v>
      </c>
      <c r="G3261" s="1" t="s">
        <v>18</v>
      </c>
      <c r="H3261" s="1">
        <v>-4.25</v>
      </c>
      <c r="I3261" s="1">
        <v>1.36</v>
      </c>
      <c r="J3261" s="1">
        <v>0</v>
      </c>
      <c r="K3261" s="2">
        <v>43709</v>
      </c>
      <c r="L3261" s="1">
        <v>3716</v>
      </c>
      <c r="M3261" s="1">
        <v>3.51</v>
      </c>
      <c r="N3261" s="1">
        <v>0.70872000000000002</v>
      </c>
      <c r="O3261" s="3">
        <f>VLOOKUP(D3261,underlying!$D$40:$H$75,5,FALSE)</f>
        <v>-2.5</v>
      </c>
      <c r="P3261" s="4">
        <f t="shared" si="130"/>
        <v>43474</v>
      </c>
      <c r="Q3261" s="7">
        <f>IF(G3261="C",NormalCallSprd(O3261,H3261,M3261,(P3261-A3261)/365), NormalPutSprd(O3261,H3261,M3261,(P3261-A3261)/365))</f>
        <v>1.3773062756184973</v>
      </c>
      <c r="R3261" s="9">
        <f t="shared" si="129"/>
        <v>1.730627561849718E-2</v>
      </c>
    </row>
    <row r="3262" spans="1:18" x14ac:dyDescent="0.2">
      <c r="A3262" s="2">
        <v>42622</v>
      </c>
      <c r="B3262" s="1" t="s">
        <v>56</v>
      </c>
      <c r="C3262" s="1" t="s">
        <v>57</v>
      </c>
      <c r="D3262" s="2">
        <v>43466</v>
      </c>
      <c r="E3262" s="2">
        <f t="shared" si="128"/>
        <v>43466</v>
      </c>
      <c r="F3262" s="1" t="s">
        <v>58</v>
      </c>
      <c r="G3262" s="1" t="s">
        <v>16</v>
      </c>
      <c r="H3262" s="1">
        <v>-4</v>
      </c>
      <c r="I3262" s="1">
        <v>2.91</v>
      </c>
      <c r="J3262" s="1">
        <v>-0.01</v>
      </c>
      <c r="K3262" s="2">
        <v>43709</v>
      </c>
      <c r="L3262" s="1">
        <v>3716</v>
      </c>
      <c r="M3262" s="1">
        <v>3.49</v>
      </c>
      <c r="N3262" s="1">
        <v>0.73090999999999995</v>
      </c>
      <c r="O3262" s="3">
        <f>VLOOKUP(D3262,underlying!$D$40:$H$75,5,FALSE)</f>
        <v>-2.5</v>
      </c>
      <c r="P3262" s="4">
        <f t="shared" si="130"/>
        <v>43474</v>
      </c>
      <c r="Q3262" s="7">
        <f>IF(G3262="C",NormalCallSprd(O3262,H3262,M3262,(P3262-A3262)/365), NormalPutSprd(O3262,H3262,M3262,(P3262-A3262)/365))</f>
        <v>2.9608231342620948</v>
      </c>
      <c r="R3262" s="9">
        <f t="shared" si="129"/>
        <v>5.0823134262094616E-2</v>
      </c>
    </row>
    <row r="3263" spans="1:18" x14ac:dyDescent="0.2">
      <c r="A3263" s="2">
        <v>42622</v>
      </c>
      <c r="B3263" s="1" t="s">
        <v>56</v>
      </c>
      <c r="C3263" s="1" t="s">
        <v>57</v>
      </c>
      <c r="D3263" s="2">
        <v>43466</v>
      </c>
      <c r="E3263" s="2">
        <f t="shared" si="128"/>
        <v>43466</v>
      </c>
      <c r="F3263" s="1" t="s">
        <v>58</v>
      </c>
      <c r="G3263" s="1" t="s">
        <v>18</v>
      </c>
      <c r="H3263" s="1">
        <v>-4</v>
      </c>
      <c r="I3263" s="1">
        <v>1.44</v>
      </c>
      <c r="J3263" s="1">
        <v>0</v>
      </c>
      <c r="K3263" s="2">
        <v>43709</v>
      </c>
      <c r="L3263" s="1">
        <v>3716</v>
      </c>
      <c r="M3263" s="1">
        <v>3.49</v>
      </c>
      <c r="N3263" s="1">
        <v>0.75312000000000001</v>
      </c>
      <c r="O3263" s="3">
        <f>VLOOKUP(D3263,underlying!$D$40:$H$75,5,FALSE)</f>
        <v>-2.5</v>
      </c>
      <c r="P3263" s="4">
        <f t="shared" si="130"/>
        <v>43474</v>
      </c>
      <c r="Q3263" s="7">
        <f>IF(G3263="C",NormalCallSprd(O3263,H3263,M3263,(P3263-A3263)/365), NormalPutSprd(O3263,H3263,M3263,(P3263-A3263)/365))</f>
        <v>1.4608231342620948</v>
      </c>
      <c r="R3263" s="9">
        <f t="shared" si="129"/>
        <v>2.0823134262094811E-2</v>
      </c>
    </row>
    <row r="3264" spans="1:18" x14ac:dyDescent="0.2">
      <c r="A3264" s="2">
        <v>42622</v>
      </c>
      <c r="B3264" s="1" t="s">
        <v>56</v>
      </c>
      <c r="C3264" s="1" t="s">
        <v>57</v>
      </c>
      <c r="D3264" s="2">
        <v>43466</v>
      </c>
      <c r="E3264" s="2">
        <f t="shared" si="128"/>
        <v>43466</v>
      </c>
      <c r="F3264" s="1" t="s">
        <v>58</v>
      </c>
      <c r="G3264" s="1" t="s">
        <v>16</v>
      </c>
      <c r="H3264" s="1">
        <v>-3.75</v>
      </c>
      <c r="I3264" s="1">
        <v>2.78</v>
      </c>
      <c r="J3264" s="1">
        <v>0</v>
      </c>
      <c r="K3264" s="2">
        <v>43709</v>
      </c>
      <c r="L3264" s="1">
        <v>3716</v>
      </c>
      <c r="M3264" s="1">
        <v>3.51</v>
      </c>
      <c r="N3264" s="1">
        <v>0.77427999999999997</v>
      </c>
      <c r="O3264" s="3">
        <f>VLOOKUP(D3264,underlying!$D$40:$H$75,5,FALSE)</f>
        <v>-2.5</v>
      </c>
      <c r="P3264" s="4">
        <f t="shared" si="130"/>
        <v>43474</v>
      </c>
      <c r="Q3264" s="7">
        <f>IF(G3264="C",NormalCallSprd(O3264,H3264,M3264,(P3264-A3264)/365), NormalPutSprd(O3264,H3264,M3264,(P3264-A3264)/365))</f>
        <v>2.822250361196132</v>
      </c>
      <c r="R3264" s="9">
        <f t="shared" si="129"/>
        <v>4.2250361196132236E-2</v>
      </c>
    </row>
    <row r="3265" spans="1:18" x14ac:dyDescent="0.2">
      <c r="A3265" s="2">
        <v>42622</v>
      </c>
      <c r="B3265" s="1" t="s">
        <v>56</v>
      </c>
      <c r="C3265" s="1" t="s">
        <v>57</v>
      </c>
      <c r="D3265" s="2">
        <v>43466</v>
      </c>
      <c r="E3265" s="2">
        <f t="shared" si="128"/>
        <v>43466</v>
      </c>
      <c r="F3265" s="1" t="s">
        <v>58</v>
      </c>
      <c r="G3265" s="1" t="s">
        <v>18</v>
      </c>
      <c r="H3265" s="1">
        <v>-3.75</v>
      </c>
      <c r="I3265" s="1">
        <v>1.55</v>
      </c>
      <c r="J3265" s="1">
        <v>0</v>
      </c>
      <c r="K3265" s="2">
        <v>43709</v>
      </c>
      <c r="L3265" s="1">
        <v>3716</v>
      </c>
      <c r="M3265" s="1">
        <v>3.51</v>
      </c>
      <c r="N3265" s="1">
        <v>0.79434000000000005</v>
      </c>
      <c r="O3265" s="3">
        <f>VLOOKUP(D3265,underlying!$D$40:$H$75,5,FALSE)</f>
        <v>-2.5</v>
      </c>
      <c r="P3265" s="4">
        <f t="shared" si="130"/>
        <v>43474</v>
      </c>
      <c r="Q3265" s="7">
        <f>IF(G3265="C",NormalCallSprd(O3265,H3265,M3265,(P3265-A3265)/365), NormalPutSprd(O3265,H3265,M3265,(P3265-A3265)/365))</f>
        <v>1.572250361196132</v>
      </c>
      <c r="R3265" s="9">
        <f t="shared" si="129"/>
        <v>2.2250361196131996E-2</v>
      </c>
    </row>
    <row r="3266" spans="1:18" x14ac:dyDescent="0.2">
      <c r="A3266" s="2">
        <v>42622</v>
      </c>
      <c r="B3266" s="1" t="s">
        <v>56</v>
      </c>
      <c r="C3266" s="1" t="s">
        <v>57</v>
      </c>
      <c r="D3266" s="2">
        <v>43466</v>
      </c>
      <c r="E3266" s="2">
        <f t="shared" ref="E3266:E3329" si="131">DATE(YEAR(D3266),DAY(D3266),MONTH(D3266))</f>
        <v>43466</v>
      </c>
      <c r="F3266" s="1" t="s">
        <v>58</v>
      </c>
      <c r="G3266" s="1" t="s">
        <v>16</v>
      </c>
      <c r="H3266" s="1">
        <v>-3.5</v>
      </c>
      <c r="I3266" s="1">
        <v>2.62</v>
      </c>
      <c r="J3266" s="1">
        <v>-0.01</v>
      </c>
      <c r="K3266" s="2">
        <v>43709</v>
      </c>
      <c r="L3266" s="1">
        <v>3716</v>
      </c>
      <c r="M3266" s="1">
        <v>3.49</v>
      </c>
      <c r="N3266" s="1">
        <v>0.81325999999999998</v>
      </c>
      <c r="O3266" s="3">
        <f>VLOOKUP(D3266,underlying!$D$40:$H$75,5,FALSE)</f>
        <v>-2.5</v>
      </c>
      <c r="P3266" s="4">
        <f t="shared" si="130"/>
        <v>43474</v>
      </c>
      <c r="Q3266" s="7">
        <f>IF(G3266="C",NormalCallSprd(O3266,H3266,M3266,(P3266-A3266)/365), NormalPutSprd(O3266,H3266,M3266,(P3266-A3266)/365))</f>
        <v>2.664502795790503</v>
      </c>
      <c r="R3266" s="9">
        <f t="shared" si="129"/>
        <v>4.4502795790502869E-2</v>
      </c>
    </row>
    <row r="3267" spans="1:18" x14ac:dyDescent="0.2">
      <c r="A3267" s="2">
        <v>42622</v>
      </c>
      <c r="B3267" s="1" t="s">
        <v>56</v>
      </c>
      <c r="C3267" s="1" t="s">
        <v>57</v>
      </c>
      <c r="D3267" s="2">
        <v>43466</v>
      </c>
      <c r="E3267" s="2">
        <f t="shared" si="131"/>
        <v>43466</v>
      </c>
      <c r="F3267" s="1" t="s">
        <v>58</v>
      </c>
      <c r="G3267" s="1" t="s">
        <v>18</v>
      </c>
      <c r="H3267" s="1">
        <v>-3.5</v>
      </c>
      <c r="I3267" s="1">
        <v>1.64</v>
      </c>
      <c r="J3267" s="1">
        <v>0</v>
      </c>
      <c r="K3267" s="2">
        <v>43709</v>
      </c>
      <c r="L3267" s="1">
        <v>3716</v>
      </c>
      <c r="M3267" s="1">
        <v>3.49</v>
      </c>
      <c r="N3267" s="1">
        <v>0.83103000000000005</v>
      </c>
      <c r="O3267" s="3">
        <f>VLOOKUP(D3267,underlying!$D$40:$H$75,5,FALSE)</f>
        <v>-2.5</v>
      </c>
      <c r="P3267" s="4">
        <f t="shared" si="130"/>
        <v>43474</v>
      </c>
      <c r="Q3267" s="7">
        <f>IF(G3267="C",NormalCallSprd(O3267,H3267,M3267,(P3267-A3267)/365), NormalPutSprd(O3267,H3267,M3267,(P3267-A3267)/365))</f>
        <v>1.6645027957905032</v>
      </c>
      <c r="R3267" s="9">
        <f t="shared" ref="R3267:R3330" si="132">ABS(Q3267-I3267)</f>
        <v>2.4502795790503296E-2</v>
      </c>
    </row>
    <row r="3268" spans="1:18" x14ac:dyDescent="0.2">
      <c r="A3268" s="2">
        <v>42622</v>
      </c>
      <c r="B3268" s="1" t="s">
        <v>56</v>
      </c>
      <c r="C3268" s="1" t="s">
        <v>57</v>
      </c>
      <c r="D3268" s="2">
        <v>43466</v>
      </c>
      <c r="E3268" s="2">
        <f t="shared" si="131"/>
        <v>43466</v>
      </c>
      <c r="F3268" s="1" t="s">
        <v>58</v>
      </c>
      <c r="G3268" s="1" t="s">
        <v>16</v>
      </c>
      <c r="H3268" s="1">
        <v>-3.25</v>
      </c>
      <c r="I3268" s="1">
        <v>2.4900000000000002</v>
      </c>
      <c r="J3268" s="1">
        <v>0</v>
      </c>
      <c r="K3268" s="2">
        <v>43709</v>
      </c>
      <c r="L3268" s="1">
        <v>3716</v>
      </c>
      <c r="M3268" s="1">
        <v>3.5</v>
      </c>
      <c r="N3268" s="1">
        <v>0.84762000000000004</v>
      </c>
      <c r="O3268" s="3">
        <f>VLOOKUP(D3268,underlying!$D$40:$H$75,5,FALSE)</f>
        <v>-2.5</v>
      </c>
      <c r="P3268" s="4">
        <f t="shared" si="130"/>
        <v>43474</v>
      </c>
      <c r="Q3268" s="7">
        <f>IF(G3268="C",NormalCallSprd(O3268,H3268,M3268,(P3268-A3268)/365), NormalPutSprd(O3268,H3268,M3268,(P3268-A3268)/365))</f>
        <v>2.5292461118245058</v>
      </c>
      <c r="R3268" s="9">
        <f t="shared" si="132"/>
        <v>3.9246111824505547E-2</v>
      </c>
    </row>
    <row r="3269" spans="1:18" x14ac:dyDescent="0.2">
      <c r="A3269" s="2">
        <v>42622</v>
      </c>
      <c r="B3269" s="1" t="s">
        <v>56</v>
      </c>
      <c r="C3269" s="1" t="s">
        <v>57</v>
      </c>
      <c r="D3269" s="2">
        <v>43466</v>
      </c>
      <c r="E3269" s="2">
        <f t="shared" si="131"/>
        <v>43466</v>
      </c>
      <c r="F3269" s="1" t="s">
        <v>58</v>
      </c>
      <c r="G3269" s="1" t="s">
        <v>18</v>
      </c>
      <c r="H3269" s="1">
        <v>-3.25</v>
      </c>
      <c r="I3269" s="1">
        <v>1.75</v>
      </c>
      <c r="J3269" s="1">
        <v>0</v>
      </c>
      <c r="K3269" s="2">
        <v>43709</v>
      </c>
      <c r="L3269" s="1">
        <v>3716</v>
      </c>
      <c r="M3269" s="1">
        <v>3.5</v>
      </c>
      <c r="N3269" s="1">
        <v>0.86306000000000005</v>
      </c>
      <c r="O3269" s="3">
        <f>VLOOKUP(D3269,underlying!$D$40:$H$75,5,FALSE)</f>
        <v>-2.5</v>
      </c>
      <c r="P3269" s="4">
        <f t="shared" si="130"/>
        <v>43474</v>
      </c>
      <c r="Q3269" s="7">
        <f>IF(G3269="C",NormalCallSprd(O3269,H3269,M3269,(P3269-A3269)/365), NormalPutSprd(O3269,H3269,M3269,(P3269-A3269)/365))</f>
        <v>1.7792461118245058</v>
      </c>
      <c r="R3269" s="9">
        <f t="shared" si="132"/>
        <v>2.9246111824505761E-2</v>
      </c>
    </row>
    <row r="3270" spans="1:18" x14ac:dyDescent="0.2">
      <c r="A3270" s="2">
        <v>42622</v>
      </c>
      <c r="B3270" s="1" t="s">
        <v>56</v>
      </c>
      <c r="C3270" s="1" t="s">
        <v>57</v>
      </c>
      <c r="D3270" s="2">
        <v>43466</v>
      </c>
      <c r="E3270" s="2">
        <f t="shared" si="131"/>
        <v>43466</v>
      </c>
      <c r="F3270" s="1" t="s">
        <v>58</v>
      </c>
      <c r="G3270" s="1" t="s">
        <v>16</v>
      </c>
      <c r="H3270" s="1">
        <v>-3</v>
      </c>
      <c r="I3270" s="1">
        <v>2.35</v>
      </c>
      <c r="J3270" s="1">
        <v>-0.01</v>
      </c>
      <c r="K3270" s="2">
        <v>43709</v>
      </c>
      <c r="L3270" s="1">
        <v>3716</v>
      </c>
      <c r="M3270" s="1">
        <v>3.5</v>
      </c>
      <c r="N3270" s="1">
        <v>0.91352</v>
      </c>
      <c r="O3270" s="3">
        <f>VLOOKUP(D3270,underlying!$D$40:$H$75,5,FALSE)</f>
        <v>-2.5</v>
      </c>
      <c r="P3270" s="4">
        <f t="shared" si="130"/>
        <v>43474</v>
      </c>
      <c r="Q3270" s="7">
        <f>IF(G3270="C",NormalCallSprd(O3270,H3270,M3270,(P3270-A3270)/365), NormalPutSprd(O3270,H3270,M3270,(P3270-A3270)/365))</f>
        <v>2.3926166020682396</v>
      </c>
      <c r="R3270" s="9">
        <f t="shared" si="132"/>
        <v>4.2616602068239473E-2</v>
      </c>
    </row>
    <row r="3271" spans="1:18" x14ac:dyDescent="0.2">
      <c r="A3271" s="2">
        <v>42622</v>
      </c>
      <c r="B3271" s="1" t="s">
        <v>56</v>
      </c>
      <c r="C3271" s="1" t="s">
        <v>57</v>
      </c>
      <c r="D3271" s="2">
        <v>43466</v>
      </c>
      <c r="E3271" s="2">
        <f t="shared" si="131"/>
        <v>43466</v>
      </c>
      <c r="F3271" s="1" t="s">
        <v>58</v>
      </c>
      <c r="G3271" s="1" t="s">
        <v>18</v>
      </c>
      <c r="H3271" s="1">
        <v>-3</v>
      </c>
      <c r="I3271" s="1">
        <v>1.86</v>
      </c>
      <c r="J3271" s="1">
        <v>-0.01</v>
      </c>
      <c r="K3271" s="2">
        <v>43709</v>
      </c>
      <c r="L3271" s="1">
        <v>3716</v>
      </c>
      <c r="M3271" s="1">
        <v>3.5</v>
      </c>
      <c r="N3271" s="1">
        <v>0.94782</v>
      </c>
      <c r="O3271" s="3">
        <f>VLOOKUP(D3271,underlying!$D$40:$H$75,5,FALSE)</f>
        <v>-2.5</v>
      </c>
      <c r="P3271" s="4">
        <f t="shared" si="130"/>
        <v>43474</v>
      </c>
      <c r="Q3271" s="7">
        <f>IF(G3271="C",NormalCallSprd(O3271,H3271,M3271,(P3271-A3271)/365), NormalPutSprd(O3271,H3271,M3271,(P3271-A3271)/365))</f>
        <v>1.8926166020682398</v>
      </c>
      <c r="R3271" s="9">
        <f t="shared" si="132"/>
        <v>3.2616602068239686E-2</v>
      </c>
    </row>
    <row r="3272" spans="1:18" x14ac:dyDescent="0.2">
      <c r="A3272" s="2">
        <v>42622</v>
      </c>
      <c r="B3272" s="1" t="s">
        <v>56</v>
      </c>
      <c r="C3272" s="1" t="s">
        <v>57</v>
      </c>
      <c r="D3272" s="2">
        <v>43466</v>
      </c>
      <c r="E3272" s="2">
        <f t="shared" si="131"/>
        <v>43466</v>
      </c>
      <c r="F3272" s="1" t="s">
        <v>58</v>
      </c>
      <c r="G3272" s="1" t="s">
        <v>16</v>
      </c>
      <c r="H3272" s="1">
        <v>-2.75</v>
      </c>
      <c r="I3272" s="1">
        <v>2.23</v>
      </c>
      <c r="J3272" s="1">
        <v>0</v>
      </c>
      <c r="K3272" s="2">
        <v>43709</v>
      </c>
      <c r="L3272" s="1">
        <v>3716</v>
      </c>
      <c r="M3272" s="1">
        <v>3.51</v>
      </c>
      <c r="N3272" s="1">
        <v>-0.77549000000000001</v>
      </c>
      <c r="O3272" s="3">
        <f>VLOOKUP(D3272,underlying!$D$40:$H$75,5,FALSE)</f>
        <v>-2.5</v>
      </c>
      <c r="P3272" s="4">
        <f t="shared" si="130"/>
        <v>43474</v>
      </c>
      <c r="Q3272" s="7">
        <f>IF(G3272="C",NormalCallSprd(O3272,H3272,M3272,(P3272-A3272)/365), NormalPutSprd(O3272,H3272,M3272,(P3272-A3272)/365))</f>
        <v>2.2667172335079417</v>
      </c>
      <c r="R3272" s="9">
        <f t="shared" si="132"/>
        <v>3.671723350794176E-2</v>
      </c>
    </row>
    <row r="3273" spans="1:18" x14ac:dyDescent="0.2">
      <c r="A3273" s="2">
        <v>42622</v>
      </c>
      <c r="B3273" s="1" t="s">
        <v>56</v>
      </c>
      <c r="C3273" s="1" t="s">
        <v>57</v>
      </c>
      <c r="D3273" s="2">
        <v>43466</v>
      </c>
      <c r="E3273" s="2">
        <f t="shared" si="131"/>
        <v>43466</v>
      </c>
      <c r="F3273" s="1" t="s">
        <v>58</v>
      </c>
      <c r="G3273" s="1" t="s">
        <v>18</v>
      </c>
      <c r="H3273" s="1">
        <v>-2.75</v>
      </c>
      <c r="I3273" s="1">
        <v>1.98</v>
      </c>
      <c r="J3273" s="1">
        <v>-0.01</v>
      </c>
      <c r="K3273" s="2">
        <v>43709</v>
      </c>
      <c r="L3273" s="1">
        <v>3716</v>
      </c>
      <c r="M3273" s="1">
        <v>3.51</v>
      </c>
      <c r="N3273" s="1">
        <v>-0.75427999999999995</v>
      </c>
      <c r="O3273" s="3">
        <f>VLOOKUP(D3273,underlying!$D$40:$H$75,5,FALSE)</f>
        <v>-2.5</v>
      </c>
      <c r="P3273" s="4">
        <f t="shared" si="130"/>
        <v>43474</v>
      </c>
      <c r="Q3273" s="7">
        <f>IF(G3273="C",NormalCallSprd(O3273,H3273,M3273,(P3273-A3273)/365), NormalPutSprd(O3273,H3273,M3273,(P3273-A3273)/365))</f>
        <v>2.0167172335079417</v>
      </c>
      <c r="R3273" s="9">
        <f t="shared" si="132"/>
        <v>3.671723350794176E-2</v>
      </c>
    </row>
    <row r="3274" spans="1:18" x14ac:dyDescent="0.2">
      <c r="A3274" s="2">
        <v>42622</v>
      </c>
      <c r="B3274" s="1" t="s">
        <v>56</v>
      </c>
      <c r="C3274" s="1" t="s">
        <v>57</v>
      </c>
      <c r="D3274" s="2">
        <v>43466</v>
      </c>
      <c r="E3274" s="2">
        <f t="shared" si="131"/>
        <v>43466</v>
      </c>
      <c r="F3274" s="1" t="s">
        <v>58</v>
      </c>
      <c r="G3274" s="1" t="s">
        <v>16</v>
      </c>
      <c r="H3274" s="1">
        <v>-2.5</v>
      </c>
      <c r="I3274" s="1">
        <v>2.1</v>
      </c>
      <c r="J3274" s="1">
        <v>0</v>
      </c>
      <c r="K3274" s="2">
        <v>43709</v>
      </c>
      <c r="L3274" s="1">
        <v>3716</v>
      </c>
      <c r="M3274" s="1">
        <v>3.5</v>
      </c>
      <c r="N3274" s="1">
        <v>-0.73199999999999998</v>
      </c>
      <c r="O3274" s="3">
        <f>VLOOKUP(D3274,underlying!$D$40:$H$75,5,FALSE)</f>
        <v>-2.5</v>
      </c>
      <c r="P3274" s="4">
        <f t="shared" si="130"/>
        <v>43474</v>
      </c>
      <c r="Q3274" s="7">
        <f>IF(G3274="C",NormalCallSprd(O3274,H3274,M3274,(P3274-A3274)/365), NormalPutSprd(O3274,H3274,M3274,(P3274-A3274)/365))</f>
        <v>2.1332977500921553</v>
      </c>
      <c r="R3274" s="9">
        <f t="shared" si="132"/>
        <v>3.3297750092155187E-2</v>
      </c>
    </row>
    <row r="3275" spans="1:18" x14ac:dyDescent="0.2">
      <c r="A3275" s="2">
        <v>42622</v>
      </c>
      <c r="B3275" s="1" t="s">
        <v>56</v>
      </c>
      <c r="C3275" s="1" t="s">
        <v>57</v>
      </c>
      <c r="D3275" s="2">
        <v>43466</v>
      </c>
      <c r="E3275" s="2">
        <f t="shared" si="131"/>
        <v>43466</v>
      </c>
      <c r="F3275" s="1" t="s">
        <v>58</v>
      </c>
      <c r="G3275" s="1" t="s">
        <v>18</v>
      </c>
      <c r="H3275" s="1">
        <v>-2.5</v>
      </c>
      <c r="I3275" s="1">
        <v>2.1</v>
      </c>
      <c r="J3275" s="1">
        <v>0</v>
      </c>
      <c r="K3275" s="2">
        <v>43709</v>
      </c>
      <c r="L3275" s="1">
        <v>3716</v>
      </c>
      <c r="M3275" s="1">
        <v>3.5</v>
      </c>
      <c r="N3275" s="1">
        <v>-0.70872000000000002</v>
      </c>
      <c r="O3275" s="3">
        <f>VLOOKUP(D3275,underlying!$D$40:$H$75,5,FALSE)</f>
        <v>-2.5</v>
      </c>
      <c r="P3275" s="4">
        <f t="shared" si="130"/>
        <v>43474</v>
      </c>
      <c r="Q3275" s="7">
        <f>IF(G3275="C",NormalCallSprd(O3275,H3275,M3275,(P3275-A3275)/365), NormalPutSprd(O3275,H3275,M3275,(P3275-A3275)/365))</f>
        <v>2.1332977500921553</v>
      </c>
      <c r="R3275" s="9">
        <f t="shared" si="132"/>
        <v>3.3297750092155187E-2</v>
      </c>
    </row>
    <row r="3276" spans="1:18" x14ac:dyDescent="0.2">
      <c r="A3276" s="2">
        <v>42622</v>
      </c>
      <c r="B3276" s="1" t="s">
        <v>56</v>
      </c>
      <c r="C3276" s="1" t="s">
        <v>57</v>
      </c>
      <c r="D3276" s="2">
        <v>43466</v>
      </c>
      <c r="E3276" s="2">
        <f t="shared" si="131"/>
        <v>43466</v>
      </c>
      <c r="F3276" s="1" t="s">
        <v>58</v>
      </c>
      <c r="G3276" s="1" t="s">
        <v>16</v>
      </c>
      <c r="H3276" s="1">
        <v>-2.25</v>
      </c>
      <c r="I3276" s="1">
        <v>1.98</v>
      </c>
      <c r="J3276" s="1">
        <v>-0.01</v>
      </c>
      <c r="K3276" s="2">
        <v>43709</v>
      </c>
      <c r="L3276" s="1">
        <v>3716</v>
      </c>
      <c r="M3276" s="1">
        <v>3.51</v>
      </c>
      <c r="N3276" s="1">
        <v>-0.68357999999999997</v>
      </c>
      <c r="O3276" s="3">
        <f>VLOOKUP(D3276,underlying!$D$40:$H$75,5,FALSE)</f>
        <v>-2.5</v>
      </c>
      <c r="P3276" s="4">
        <f t="shared" si="130"/>
        <v>43474</v>
      </c>
      <c r="Q3276" s="7">
        <f>IF(G3276="C",NormalCallSprd(O3276,H3276,M3276,(P3276-A3276)/365), NormalPutSprd(O3276,H3276,M3276,(P3276-A3276)/365))</f>
        <v>2.0167172335079417</v>
      </c>
      <c r="R3276" s="9">
        <f t="shared" si="132"/>
        <v>3.671723350794176E-2</v>
      </c>
    </row>
    <row r="3277" spans="1:18" x14ac:dyDescent="0.2">
      <c r="A3277" s="2">
        <v>42622</v>
      </c>
      <c r="B3277" s="1" t="s">
        <v>56</v>
      </c>
      <c r="C3277" s="1" t="s">
        <v>57</v>
      </c>
      <c r="D3277" s="2">
        <v>43466</v>
      </c>
      <c r="E3277" s="2">
        <f t="shared" si="131"/>
        <v>43466</v>
      </c>
      <c r="F3277" s="1" t="s">
        <v>58</v>
      </c>
      <c r="G3277" s="1" t="s">
        <v>18</v>
      </c>
      <c r="H3277" s="1">
        <v>-2.25</v>
      </c>
      <c r="I3277" s="1">
        <v>2.23</v>
      </c>
      <c r="J3277" s="1">
        <v>0</v>
      </c>
      <c r="K3277" s="2">
        <v>43709</v>
      </c>
      <c r="L3277" s="1">
        <v>3716</v>
      </c>
      <c r="M3277" s="1">
        <v>3.51</v>
      </c>
      <c r="N3277" s="1">
        <v>-0.65944000000000003</v>
      </c>
      <c r="O3277" s="3">
        <f>VLOOKUP(D3277,underlying!$D$40:$H$75,5,FALSE)</f>
        <v>-2.5</v>
      </c>
      <c r="P3277" s="4">
        <f t="shared" si="130"/>
        <v>43474</v>
      </c>
      <c r="Q3277" s="7">
        <f>IF(G3277="C",NormalCallSprd(O3277,H3277,M3277,(P3277-A3277)/365), NormalPutSprd(O3277,H3277,M3277,(P3277-A3277)/365))</f>
        <v>2.2667172335079417</v>
      </c>
      <c r="R3277" s="9">
        <f t="shared" si="132"/>
        <v>3.671723350794176E-2</v>
      </c>
    </row>
    <row r="3278" spans="1:18" x14ac:dyDescent="0.2">
      <c r="A3278" s="2">
        <v>42622</v>
      </c>
      <c r="B3278" s="1" t="s">
        <v>56</v>
      </c>
      <c r="C3278" s="1" t="s">
        <v>57</v>
      </c>
      <c r="D3278" s="2">
        <v>43466</v>
      </c>
      <c r="E3278" s="2">
        <f t="shared" si="131"/>
        <v>43466</v>
      </c>
      <c r="F3278" s="1" t="s">
        <v>58</v>
      </c>
      <c r="G3278" s="1" t="s">
        <v>16</v>
      </c>
      <c r="H3278" s="1">
        <v>-2</v>
      </c>
      <c r="I3278" s="1">
        <v>1.86</v>
      </c>
      <c r="J3278" s="1">
        <v>-0.01</v>
      </c>
      <c r="K3278" s="2">
        <v>43709</v>
      </c>
      <c r="L3278" s="1">
        <v>3716</v>
      </c>
      <c r="M3278" s="1">
        <v>3.5</v>
      </c>
      <c r="N3278" s="1">
        <v>-0.63292999999999999</v>
      </c>
      <c r="O3278" s="3">
        <f>VLOOKUP(D3278,underlying!$D$40:$H$75,5,FALSE)</f>
        <v>-2.5</v>
      </c>
      <c r="P3278" s="4">
        <f t="shared" si="130"/>
        <v>43474</v>
      </c>
      <c r="Q3278" s="7">
        <f>IF(G3278="C",NormalCallSprd(O3278,H3278,M3278,(P3278-A3278)/365), NormalPutSprd(O3278,H3278,M3278,(P3278-A3278)/365))</f>
        <v>1.8926166020682398</v>
      </c>
      <c r="R3278" s="9">
        <f t="shared" si="132"/>
        <v>3.2616602068239686E-2</v>
      </c>
    </row>
    <row r="3279" spans="1:18" x14ac:dyDescent="0.2">
      <c r="A3279" s="2">
        <v>42622</v>
      </c>
      <c r="B3279" s="1" t="s">
        <v>56</v>
      </c>
      <c r="C3279" s="1" t="s">
        <v>57</v>
      </c>
      <c r="D3279" s="2">
        <v>43466</v>
      </c>
      <c r="E3279" s="2">
        <f t="shared" si="131"/>
        <v>43466</v>
      </c>
      <c r="F3279" s="1" t="s">
        <v>58</v>
      </c>
      <c r="G3279" s="1" t="s">
        <v>18</v>
      </c>
      <c r="H3279" s="1">
        <v>-2</v>
      </c>
      <c r="I3279" s="1">
        <v>2.35</v>
      </c>
      <c r="J3279" s="1">
        <v>-0.01</v>
      </c>
      <c r="K3279" s="2">
        <v>43709</v>
      </c>
      <c r="L3279" s="1">
        <v>3716</v>
      </c>
      <c r="M3279" s="1">
        <v>3.5</v>
      </c>
      <c r="N3279" s="1">
        <v>-0.60716999999999999</v>
      </c>
      <c r="O3279" s="3">
        <f>VLOOKUP(D3279,underlying!$D$40:$H$75,5,FALSE)</f>
        <v>-2.5</v>
      </c>
      <c r="P3279" s="4">
        <f t="shared" si="130"/>
        <v>43474</v>
      </c>
      <c r="Q3279" s="7">
        <f>IF(G3279="C",NormalCallSprd(O3279,H3279,M3279,(P3279-A3279)/365), NormalPutSprd(O3279,H3279,M3279,(P3279-A3279)/365))</f>
        <v>2.3926166020682396</v>
      </c>
      <c r="R3279" s="9">
        <f t="shared" si="132"/>
        <v>4.2616602068239473E-2</v>
      </c>
    </row>
    <row r="3280" spans="1:18" x14ac:dyDescent="0.2">
      <c r="A3280" s="2">
        <v>42622</v>
      </c>
      <c r="B3280" s="1" t="s">
        <v>56</v>
      </c>
      <c r="C3280" s="1" t="s">
        <v>57</v>
      </c>
      <c r="D3280" s="2">
        <v>43466</v>
      </c>
      <c r="E3280" s="2">
        <f t="shared" si="131"/>
        <v>43466</v>
      </c>
      <c r="F3280" s="1" t="s">
        <v>58</v>
      </c>
      <c r="G3280" s="1" t="s">
        <v>16</v>
      </c>
      <c r="H3280" s="1">
        <v>-1.75</v>
      </c>
      <c r="I3280" s="1">
        <v>1.75</v>
      </c>
      <c r="J3280" s="1">
        <v>0</v>
      </c>
      <c r="K3280" s="2">
        <v>43709</v>
      </c>
      <c r="L3280" s="1">
        <v>3716</v>
      </c>
      <c r="M3280" s="1">
        <v>3.5</v>
      </c>
      <c r="N3280" s="1">
        <v>-0.57998000000000005</v>
      </c>
      <c r="O3280" s="3">
        <f>VLOOKUP(D3280,underlying!$D$40:$H$75,5,FALSE)</f>
        <v>-2.5</v>
      </c>
      <c r="P3280" s="4">
        <f t="shared" si="130"/>
        <v>43474</v>
      </c>
      <c r="Q3280" s="7">
        <f>IF(G3280="C",NormalCallSprd(O3280,H3280,M3280,(P3280-A3280)/365), NormalPutSprd(O3280,H3280,M3280,(P3280-A3280)/365))</f>
        <v>1.7792461118245058</v>
      </c>
      <c r="R3280" s="9">
        <f t="shared" si="132"/>
        <v>2.9246111824505761E-2</v>
      </c>
    </row>
    <row r="3281" spans="1:18" x14ac:dyDescent="0.2">
      <c r="A3281" s="2">
        <v>42622</v>
      </c>
      <c r="B3281" s="1" t="s">
        <v>56</v>
      </c>
      <c r="C3281" s="1" t="s">
        <v>57</v>
      </c>
      <c r="D3281" s="2">
        <v>43466</v>
      </c>
      <c r="E3281" s="2">
        <f t="shared" si="131"/>
        <v>43466</v>
      </c>
      <c r="F3281" s="1" t="s">
        <v>58</v>
      </c>
      <c r="G3281" s="1" t="s">
        <v>18</v>
      </c>
      <c r="H3281" s="1">
        <v>-1.75</v>
      </c>
      <c r="I3281" s="1">
        <v>2.4900000000000002</v>
      </c>
      <c r="J3281" s="1">
        <v>0</v>
      </c>
      <c r="K3281" s="2">
        <v>43709</v>
      </c>
      <c r="L3281" s="1">
        <v>3716</v>
      </c>
      <c r="M3281" s="1">
        <v>3.5</v>
      </c>
      <c r="N3281" s="1">
        <v>-0.55266999999999999</v>
      </c>
      <c r="O3281" s="3">
        <f>VLOOKUP(D3281,underlying!$D$40:$H$75,5,FALSE)</f>
        <v>-2.5</v>
      </c>
      <c r="P3281" s="4">
        <f t="shared" si="130"/>
        <v>43474</v>
      </c>
      <c r="Q3281" s="7">
        <f>IF(G3281="C",NormalCallSprd(O3281,H3281,M3281,(P3281-A3281)/365), NormalPutSprd(O3281,H3281,M3281,(P3281-A3281)/365))</f>
        <v>2.5292461118245058</v>
      </c>
      <c r="R3281" s="9">
        <f t="shared" si="132"/>
        <v>3.9246111824505547E-2</v>
      </c>
    </row>
    <row r="3282" spans="1:18" x14ac:dyDescent="0.2">
      <c r="A3282" s="2">
        <v>42622</v>
      </c>
      <c r="B3282" s="1" t="s">
        <v>56</v>
      </c>
      <c r="C3282" s="1" t="s">
        <v>57</v>
      </c>
      <c r="D3282" s="2">
        <v>43466</v>
      </c>
      <c r="E3282" s="2">
        <f t="shared" si="131"/>
        <v>43466</v>
      </c>
      <c r="F3282" s="1" t="s">
        <v>58</v>
      </c>
      <c r="G3282" s="1" t="s">
        <v>16</v>
      </c>
      <c r="H3282" s="1">
        <v>-1.5</v>
      </c>
      <c r="I3282" s="1">
        <v>1.64</v>
      </c>
      <c r="J3282" s="1">
        <v>0</v>
      </c>
      <c r="K3282" s="2">
        <v>43709</v>
      </c>
      <c r="L3282" s="1">
        <v>3716</v>
      </c>
      <c r="M3282" s="1">
        <v>3.49</v>
      </c>
      <c r="N3282" s="1">
        <v>-0.52502000000000004</v>
      </c>
      <c r="O3282" s="3">
        <f>VLOOKUP(D3282,underlying!$D$40:$H$75,5,FALSE)</f>
        <v>-2.5</v>
      </c>
      <c r="P3282" s="4">
        <f t="shared" si="130"/>
        <v>43474</v>
      </c>
      <c r="Q3282" s="7">
        <f>IF(G3282="C",NormalCallSprd(O3282,H3282,M3282,(P3282-A3282)/365), NormalPutSprd(O3282,H3282,M3282,(P3282-A3282)/365))</f>
        <v>1.6645027957905032</v>
      </c>
      <c r="R3282" s="9">
        <f t="shared" si="132"/>
        <v>2.4502795790503296E-2</v>
      </c>
    </row>
    <row r="3283" spans="1:18" x14ac:dyDescent="0.2">
      <c r="A3283" s="2">
        <v>42622</v>
      </c>
      <c r="B3283" s="1" t="s">
        <v>56</v>
      </c>
      <c r="C3283" s="1" t="s">
        <v>57</v>
      </c>
      <c r="D3283" s="2">
        <v>43466</v>
      </c>
      <c r="E3283" s="2">
        <f t="shared" si="131"/>
        <v>43466</v>
      </c>
      <c r="F3283" s="1" t="s">
        <v>58</v>
      </c>
      <c r="G3283" s="1" t="s">
        <v>18</v>
      </c>
      <c r="H3283" s="1">
        <v>-1.5</v>
      </c>
      <c r="I3283" s="1">
        <v>2.62</v>
      </c>
      <c r="J3283" s="1">
        <v>-0.01</v>
      </c>
      <c r="K3283" s="2">
        <v>43709</v>
      </c>
      <c r="L3283" s="1">
        <v>3716</v>
      </c>
      <c r="M3283" s="1">
        <v>3.49</v>
      </c>
      <c r="N3283" s="1">
        <v>-0.49739</v>
      </c>
      <c r="O3283" s="3">
        <f>VLOOKUP(D3283,underlying!$D$40:$H$75,5,FALSE)</f>
        <v>-2.5</v>
      </c>
      <c r="P3283" s="4">
        <f t="shared" si="130"/>
        <v>43474</v>
      </c>
      <c r="Q3283" s="7">
        <f>IF(G3283="C",NormalCallSprd(O3283,H3283,M3283,(P3283-A3283)/365), NormalPutSprd(O3283,H3283,M3283,(P3283-A3283)/365))</f>
        <v>2.664502795790503</v>
      </c>
      <c r="R3283" s="9">
        <f t="shared" si="132"/>
        <v>4.4502795790502869E-2</v>
      </c>
    </row>
    <row r="3284" spans="1:18" x14ac:dyDescent="0.2">
      <c r="A3284" s="2">
        <v>42622</v>
      </c>
      <c r="B3284" s="1" t="s">
        <v>56</v>
      </c>
      <c r="C3284" s="1" t="s">
        <v>57</v>
      </c>
      <c r="D3284" s="2">
        <v>43466</v>
      </c>
      <c r="E3284" s="2">
        <f t="shared" si="131"/>
        <v>43466</v>
      </c>
      <c r="F3284" s="1" t="s">
        <v>58</v>
      </c>
      <c r="G3284" s="1" t="s">
        <v>16</v>
      </c>
      <c r="H3284" s="1">
        <v>-1.25</v>
      </c>
      <c r="I3284" s="1">
        <v>1.54</v>
      </c>
      <c r="J3284" s="1">
        <v>0</v>
      </c>
      <c r="K3284" s="2">
        <v>43709</v>
      </c>
      <c r="L3284" s="1">
        <v>3716</v>
      </c>
      <c r="M3284" s="1">
        <v>3.5</v>
      </c>
      <c r="N3284" s="1">
        <v>-0.46975</v>
      </c>
      <c r="O3284" s="3">
        <f>VLOOKUP(D3284,underlying!$D$40:$H$75,5,FALSE)</f>
        <v>-2.5</v>
      </c>
      <c r="P3284" s="4">
        <f t="shared" si="130"/>
        <v>43474</v>
      </c>
      <c r="Q3284" s="7">
        <f>IF(G3284="C",NormalCallSprd(O3284,H3284,M3284,(P3284-A3284)/365), NormalPutSprd(O3284,H3284,M3284,(P3284-A3284)/365))</f>
        <v>1.566319038031043</v>
      </c>
      <c r="R3284" s="9">
        <f t="shared" si="132"/>
        <v>2.6319038031042963E-2</v>
      </c>
    </row>
    <row r="3285" spans="1:18" x14ac:dyDescent="0.2">
      <c r="A3285" s="2">
        <v>42622</v>
      </c>
      <c r="B3285" s="1" t="s">
        <v>56</v>
      </c>
      <c r="C3285" s="1" t="s">
        <v>57</v>
      </c>
      <c r="D3285" s="2">
        <v>43466</v>
      </c>
      <c r="E3285" s="2">
        <f t="shared" si="131"/>
        <v>43466</v>
      </c>
      <c r="F3285" s="1" t="s">
        <v>58</v>
      </c>
      <c r="G3285" s="1" t="s">
        <v>18</v>
      </c>
      <c r="H3285" s="1">
        <v>-1.25</v>
      </c>
      <c r="I3285" s="1">
        <v>2.77</v>
      </c>
      <c r="J3285" s="1">
        <v>-0.01</v>
      </c>
      <c r="K3285" s="2">
        <v>43709</v>
      </c>
      <c r="L3285" s="1">
        <v>3716</v>
      </c>
      <c r="M3285" s="1">
        <v>3.5</v>
      </c>
      <c r="N3285" s="1">
        <v>-0.44209999999999999</v>
      </c>
      <c r="O3285" s="3">
        <f>VLOOKUP(D3285,underlying!$D$40:$H$75,5,FALSE)</f>
        <v>-2.5</v>
      </c>
      <c r="P3285" s="4">
        <f t="shared" si="130"/>
        <v>43474</v>
      </c>
      <c r="Q3285" s="7">
        <f>IF(G3285="C",NormalCallSprd(O3285,H3285,M3285,(P3285-A3285)/365), NormalPutSprd(O3285,H3285,M3285,(P3285-A3285)/365))</f>
        <v>2.8163190380310428</v>
      </c>
      <c r="R3285" s="9">
        <f t="shared" si="132"/>
        <v>4.6319038031042759E-2</v>
      </c>
    </row>
    <row r="3286" spans="1:18" x14ac:dyDescent="0.2">
      <c r="A3286" s="2">
        <v>42622</v>
      </c>
      <c r="B3286" s="1" t="s">
        <v>56</v>
      </c>
      <c r="C3286" s="1" t="s">
        <v>57</v>
      </c>
      <c r="D3286" s="2">
        <v>43466</v>
      </c>
      <c r="E3286" s="2">
        <f t="shared" si="131"/>
        <v>43466</v>
      </c>
      <c r="F3286" s="1" t="s">
        <v>58</v>
      </c>
      <c r="G3286" s="1" t="s">
        <v>16</v>
      </c>
      <c r="H3286" s="1">
        <v>-1</v>
      </c>
      <c r="I3286" s="1">
        <v>1.44</v>
      </c>
      <c r="J3286" s="1">
        <v>-0.01</v>
      </c>
      <c r="K3286" s="2">
        <v>43709</v>
      </c>
      <c r="L3286" s="1">
        <v>3716</v>
      </c>
      <c r="M3286" s="1">
        <v>3.5</v>
      </c>
      <c r="N3286" s="1">
        <v>-0.4148</v>
      </c>
      <c r="O3286" s="3">
        <f>VLOOKUP(D3286,underlying!$D$40:$H$75,5,FALSE)</f>
        <v>-2.5</v>
      </c>
      <c r="P3286" s="4">
        <f t="shared" si="130"/>
        <v>43474</v>
      </c>
      <c r="Q3286" s="7">
        <f>IF(G3286="C",NormalCallSprd(O3286,H3286,M3286,(P3286-A3286)/365), NormalPutSprd(O3286,H3286,M3286,(P3286-A3286)/365))</f>
        <v>1.4666824639846443</v>
      </c>
      <c r="R3286" s="9">
        <f t="shared" si="132"/>
        <v>2.6682463984644356E-2</v>
      </c>
    </row>
    <row r="3287" spans="1:18" x14ac:dyDescent="0.2">
      <c r="A3287" s="2">
        <v>42622</v>
      </c>
      <c r="B3287" s="1" t="s">
        <v>56</v>
      </c>
      <c r="C3287" s="1" t="s">
        <v>57</v>
      </c>
      <c r="D3287" s="2">
        <v>43466</v>
      </c>
      <c r="E3287" s="2">
        <f t="shared" si="131"/>
        <v>43466</v>
      </c>
      <c r="F3287" s="1" t="s">
        <v>58</v>
      </c>
      <c r="G3287" s="1" t="s">
        <v>18</v>
      </c>
      <c r="H3287" s="1">
        <v>-1</v>
      </c>
      <c r="I3287" s="1">
        <v>2.92</v>
      </c>
      <c r="J3287" s="1">
        <v>0</v>
      </c>
      <c r="K3287" s="2">
        <v>43709</v>
      </c>
      <c r="L3287" s="1">
        <v>3716</v>
      </c>
      <c r="M3287" s="1">
        <v>3.5</v>
      </c>
      <c r="N3287" s="1">
        <v>-0.3876</v>
      </c>
      <c r="O3287" s="3">
        <f>VLOOKUP(D3287,underlying!$D$40:$H$75,5,FALSE)</f>
        <v>-2.5</v>
      </c>
      <c r="P3287" s="4">
        <f t="shared" si="130"/>
        <v>43474</v>
      </c>
      <c r="Q3287" s="7">
        <f>IF(G3287="C",NormalCallSprd(O3287,H3287,M3287,(P3287-A3287)/365), NormalPutSprd(O3287,H3287,M3287,(P3287-A3287)/365))</f>
        <v>2.9666824639846441</v>
      </c>
      <c r="R3287" s="9">
        <f t="shared" si="132"/>
        <v>4.6682463984644151E-2</v>
      </c>
    </row>
    <row r="3288" spans="1:18" x14ac:dyDescent="0.2">
      <c r="A3288" s="2">
        <v>42622</v>
      </c>
      <c r="B3288" s="1" t="s">
        <v>56</v>
      </c>
      <c r="C3288" s="1" t="s">
        <v>57</v>
      </c>
      <c r="D3288" s="2">
        <v>43466</v>
      </c>
      <c r="E3288" s="2">
        <f t="shared" si="131"/>
        <v>43466</v>
      </c>
      <c r="F3288" s="1" t="s">
        <v>58</v>
      </c>
      <c r="G3288" s="1" t="s">
        <v>16</v>
      </c>
      <c r="H3288" s="1">
        <v>-0.75</v>
      </c>
      <c r="I3288" s="1">
        <v>1.36</v>
      </c>
      <c r="J3288" s="1">
        <v>0</v>
      </c>
      <c r="K3288" s="2">
        <v>43709</v>
      </c>
      <c r="L3288" s="1">
        <v>3716</v>
      </c>
      <c r="M3288" s="1">
        <v>3.51</v>
      </c>
      <c r="N3288" s="1">
        <v>-0.36185</v>
      </c>
      <c r="O3288" s="3">
        <f>VLOOKUP(D3288,underlying!$D$40:$H$75,5,FALSE)</f>
        <v>-2.5</v>
      </c>
      <c r="P3288" s="4">
        <f t="shared" si="130"/>
        <v>43474</v>
      </c>
      <c r="Q3288" s="7">
        <f>IF(G3288="C",NormalCallSprd(O3288,H3288,M3288,(P3288-A3288)/365), NormalPutSprd(O3288,H3288,M3288,(P3288-A3288)/365))</f>
        <v>1.3773062756184973</v>
      </c>
      <c r="R3288" s="9">
        <f t="shared" si="132"/>
        <v>1.730627561849718E-2</v>
      </c>
    </row>
    <row r="3289" spans="1:18" x14ac:dyDescent="0.2">
      <c r="A3289" s="2">
        <v>42622</v>
      </c>
      <c r="B3289" s="1" t="s">
        <v>56</v>
      </c>
      <c r="C3289" s="1" t="s">
        <v>57</v>
      </c>
      <c r="D3289" s="2">
        <v>43466</v>
      </c>
      <c r="E3289" s="2">
        <f t="shared" si="131"/>
        <v>43466</v>
      </c>
      <c r="F3289" s="1" t="s">
        <v>58</v>
      </c>
      <c r="G3289" s="1" t="s">
        <v>18</v>
      </c>
      <c r="H3289" s="1">
        <v>-0.75</v>
      </c>
      <c r="I3289" s="1">
        <v>3.08</v>
      </c>
      <c r="J3289" s="1">
        <v>0</v>
      </c>
      <c r="K3289" s="2">
        <v>43709</v>
      </c>
      <c r="L3289" s="1">
        <v>3716</v>
      </c>
      <c r="M3289" s="1">
        <v>3.51</v>
      </c>
      <c r="N3289" s="1">
        <v>-0.33534000000000003</v>
      </c>
      <c r="O3289" s="3">
        <f>VLOOKUP(D3289,underlying!$D$40:$H$75,5,FALSE)</f>
        <v>-2.5</v>
      </c>
      <c r="P3289" s="4">
        <f t="shared" si="130"/>
        <v>43474</v>
      </c>
      <c r="Q3289" s="7">
        <f>IF(G3289="C",NormalCallSprd(O3289,H3289,M3289,(P3289-A3289)/365), NormalPutSprd(O3289,H3289,M3289,(P3289-A3289)/365))</f>
        <v>3.1273062756184973</v>
      </c>
      <c r="R3289" s="9">
        <f t="shared" si="132"/>
        <v>4.7306275618497207E-2</v>
      </c>
    </row>
    <row r="3290" spans="1:18" x14ac:dyDescent="0.2">
      <c r="A3290" s="2">
        <v>42622</v>
      </c>
      <c r="B3290" s="1" t="s">
        <v>56</v>
      </c>
      <c r="C3290" s="1" t="s">
        <v>57</v>
      </c>
      <c r="D3290" s="2">
        <v>43466</v>
      </c>
      <c r="E3290" s="2">
        <f t="shared" si="131"/>
        <v>43466</v>
      </c>
      <c r="F3290" s="1" t="s">
        <v>58</v>
      </c>
      <c r="G3290" s="1" t="s">
        <v>16</v>
      </c>
      <c r="H3290" s="1">
        <v>-0.5</v>
      </c>
      <c r="I3290" s="1">
        <v>1.27</v>
      </c>
      <c r="J3290" s="1">
        <v>0</v>
      </c>
      <c r="K3290" s="2">
        <v>43709</v>
      </c>
      <c r="L3290" s="1">
        <v>3716</v>
      </c>
      <c r="M3290" s="1">
        <v>3.51</v>
      </c>
      <c r="N3290" s="1">
        <v>-0.31119999999999998</v>
      </c>
      <c r="O3290" s="3">
        <f>VLOOKUP(D3290,underlying!$D$40:$H$75,5,FALSE)</f>
        <v>-2.5</v>
      </c>
      <c r="P3290" s="4">
        <f t="shared" si="130"/>
        <v>43474</v>
      </c>
      <c r="Q3290" s="7">
        <f>IF(G3290="C",NormalCallSprd(O3290,H3290,M3290,(P3290-A3290)/365), NormalPutSprd(O3290,H3290,M3290,(P3290-A3290)/365))</f>
        <v>1.2864771701082589</v>
      </c>
      <c r="R3290" s="9">
        <f t="shared" si="132"/>
        <v>1.6477170108258887E-2</v>
      </c>
    </row>
    <row r="3291" spans="1:18" x14ac:dyDescent="0.2">
      <c r="A3291" s="2">
        <v>42622</v>
      </c>
      <c r="B3291" s="1" t="s">
        <v>56</v>
      </c>
      <c r="C3291" s="1" t="s">
        <v>57</v>
      </c>
      <c r="D3291" s="2">
        <v>43466</v>
      </c>
      <c r="E3291" s="2">
        <f t="shared" si="131"/>
        <v>43466</v>
      </c>
      <c r="F3291" s="1" t="s">
        <v>58</v>
      </c>
      <c r="G3291" s="1" t="s">
        <v>18</v>
      </c>
      <c r="H3291" s="1">
        <v>-0.5</v>
      </c>
      <c r="I3291" s="1">
        <v>3.23</v>
      </c>
      <c r="J3291" s="1">
        <v>-0.01</v>
      </c>
      <c r="K3291" s="2">
        <v>43709</v>
      </c>
      <c r="L3291" s="1">
        <v>3716</v>
      </c>
      <c r="M3291" s="1">
        <v>3.51</v>
      </c>
      <c r="N3291" s="1">
        <v>-0.28605999999999998</v>
      </c>
      <c r="O3291" s="3">
        <f>VLOOKUP(D3291,underlying!$D$40:$H$75,5,FALSE)</f>
        <v>-2.5</v>
      </c>
      <c r="P3291" s="4">
        <f t="shared" si="130"/>
        <v>43474</v>
      </c>
      <c r="Q3291" s="7">
        <f>IF(G3291="C",NormalCallSprd(O3291,H3291,M3291,(P3291-A3291)/365), NormalPutSprd(O3291,H3291,M3291,(P3291-A3291)/365))</f>
        <v>3.2864771701082587</v>
      </c>
      <c r="R3291" s="9">
        <f t="shared" si="132"/>
        <v>5.6477170108258701E-2</v>
      </c>
    </row>
    <row r="3292" spans="1:18" x14ac:dyDescent="0.2">
      <c r="A3292" s="2">
        <v>42622</v>
      </c>
      <c r="B3292" s="1" t="s">
        <v>56</v>
      </c>
      <c r="C3292" s="1" t="s">
        <v>57</v>
      </c>
      <c r="D3292" s="2">
        <v>43466</v>
      </c>
      <c r="E3292" s="2">
        <f t="shared" si="131"/>
        <v>43466</v>
      </c>
      <c r="F3292" s="1" t="s">
        <v>58</v>
      </c>
      <c r="G3292" s="1" t="s">
        <v>16</v>
      </c>
      <c r="H3292" s="1">
        <v>-0.25</v>
      </c>
      <c r="I3292" s="1">
        <v>1.18</v>
      </c>
      <c r="J3292" s="1">
        <v>0</v>
      </c>
      <c r="K3292" s="2">
        <v>43709</v>
      </c>
      <c r="L3292" s="1">
        <v>3716</v>
      </c>
      <c r="M3292" s="1">
        <v>3.51</v>
      </c>
      <c r="N3292" s="1">
        <v>-0.26386999999999999</v>
      </c>
      <c r="O3292" s="3">
        <f>VLOOKUP(D3292,underlying!$D$40:$H$75,5,FALSE)</f>
        <v>-2.5</v>
      </c>
      <c r="P3292" s="4">
        <f t="shared" si="130"/>
        <v>43474</v>
      </c>
      <c r="Q3292" s="7">
        <f>IF(G3292="C",NormalCallSprd(O3292,H3292,M3292,(P3292-A3292)/365), NormalPutSprd(O3292,H3292,M3292,(P3292-A3292)/365))</f>
        <v>1.1999845577787109</v>
      </c>
      <c r="R3292" s="9">
        <f t="shared" si="132"/>
        <v>1.9984557778710998E-2</v>
      </c>
    </row>
    <row r="3293" spans="1:18" x14ac:dyDescent="0.2">
      <c r="A3293" s="2">
        <v>42622</v>
      </c>
      <c r="B3293" s="1" t="s">
        <v>56</v>
      </c>
      <c r="C3293" s="1" t="s">
        <v>57</v>
      </c>
      <c r="D3293" s="2">
        <v>43466</v>
      </c>
      <c r="E3293" s="2">
        <f t="shared" si="131"/>
        <v>43466</v>
      </c>
      <c r="F3293" s="1" t="s">
        <v>58</v>
      </c>
      <c r="G3293" s="1" t="s">
        <v>18</v>
      </c>
      <c r="H3293" s="1">
        <v>-0.25</v>
      </c>
      <c r="I3293" s="1">
        <v>3.4</v>
      </c>
      <c r="J3293" s="1">
        <v>0</v>
      </c>
      <c r="K3293" s="2">
        <v>43709</v>
      </c>
      <c r="L3293" s="1">
        <v>3716</v>
      </c>
      <c r="M3293" s="1">
        <v>3.51</v>
      </c>
      <c r="N3293" s="1">
        <v>-0.24166000000000001</v>
      </c>
      <c r="O3293" s="3">
        <f>VLOOKUP(D3293,underlying!$D$40:$H$75,5,FALSE)</f>
        <v>-2.5</v>
      </c>
      <c r="P3293" s="4">
        <f t="shared" si="130"/>
        <v>43474</v>
      </c>
      <c r="Q3293" s="7">
        <f>IF(G3293="C",NormalCallSprd(O3293,H3293,M3293,(P3293-A3293)/365), NormalPutSprd(O3293,H3293,M3293,(P3293-A3293)/365))</f>
        <v>3.4499845577787109</v>
      </c>
      <c r="R3293" s="9">
        <f t="shared" si="132"/>
        <v>4.9984557778711025E-2</v>
      </c>
    </row>
    <row r="3294" spans="1:18" x14ac:dyDescent="0.2">
      <c r="A3294" s="2">
        <v>42622</v>
      </c>
      <c r="B3294" s="1" t="s">
        <v>56</v>
      </c>
      <c r="C3294" s="1" t="s">
        <v>57</v>
      </c>
      <c r="D3294" s="2">
        <v>43467</v>
      </c>
      <c r="E3294" s="2">
        <f t="shared" si="131"/>
        <v>43497</v>
      </c>
      <c r="F3294" s="1" t="s">
        <v>58</v>
      </c>
      <c r="G3294" s="1" t="s">
        <v>16</v>
      </c>
      <c r="H3294" s="1">
        <v>-8</v>
      </c>
      <c r="I3294" s="1">
        <v>6.26</v>
      </c>
      <c r="J3294" s="1">
        <v>-0.01</v>
      </c>
      <c r="K3294" s="2">
        <v>43771</v>
      </c>
      <c r="L3294" s="1">
        <v>3716</v>
      </c>
      <c r="M3294" s="1">
        <v>3.49</v>
      </c>
      <c r="N3294" s="1">
        <v>-0.2205</v>
      </c>
      <c r="O3294" s="3">
        <f>VLOOKUP(D3294,underlying!$D$40:$H$75,5,FALSE)</f>
        <v>-2</v>
      </c>
      <c r="P3294" s="4">
        <f t="shared" si="130"/>
        <v>43507</v>
      </c>
      <c r="Q3294" s="7">
        <f>IF(G3294="C",NormalCallSprd(O3294,H3294,M3294,(P3294-A3294)/365), NormalPutSprd(O3294,H3294,M3294,(P3294-A3294)/365))</f>
        <v>6.369906696843791</v>
      </c>
      <c r="R3294" s="9">
        <f t="shared" si="132"/>
        <v>0.10990669684379117</v>
      </c>
    </row>
    <row r="3295" spans="1:18" x14ac:dyDescent="0.2">
      <c r="A3295" s="2">
        <v>42622</v>
      </c>
      <c r="B3295" s="1" t="s">
        <v>56</v>
      </c>
      <c r="C3295" s="1" t="s">
        <v>57</v>
      </c>
      <c r="D3295" s="2">
        <v>43467</v>
      </c>
      <c r="E3295" s="2">
        <f t="shared" si="131"/>
        <v>43497</v>
      </c>
      <c r="F3295" s="1" t="s">
        <v>58</v>
      </c>
      <c r="G3295" s="1" t="s">
        <v>18</v>
      </c>
      <c r="H3295" s="1">
        <v>-8</v>
      </c>
      <c r="I3295" s="1">
        <v>0.36</v>
      </c>
      <c r="J3295" s="1">
        <v>0</v>
      </c>
      <c r="K3295" s="2">
        <v>43771</v>
      </c>
      <c r="L3295" s="1">
        <v>3716</v>
      </c>
      <c r="M3295" s="1">
        <v>3.49</v>
      </c>
      <c r="N3295" s="1">
        <v>-0.20044000000000001</v>
      </c>
      <c r="O3295" s="3">
        <f>VLOOKUP(D3295,underlying!$D$40:$H$75,5,FALSE)</f>
        <v>-2</v>
      </c>
      <c r="P3295" s="4">
        <f t="shared" si="130"/>
        <v>43507</v>
      </c>
      <c r="Q3295" s="7">
        <f>IF(G3295="C",NormalCallSprd(O3295,H3295,M3295,(P3295-A3295)/365), NormalPutSprd(O3295,H3295,M3295,(P3295-A3295)/365))</f>
        <v>0.36990669684379096</v>
      </c>
      <c r="R3295" s="9">
        <f t="shared" si="132"/>
        <v>9.9066968437909741E-3</v>
      </c>
    </row>
    <row r="3296" spans="1:18" x14ac:dyDescent="0.2">
      <c r="A3296" s="2">
        <v>42622</v>
      </c>
      <c r="B3296" s="1" t="s">
        <v>56</v>
      </c>
      <c r="C3296" s="1" t="s">
        <v>57</v>
      </c>
      <c r="D3296" s="2">
        <v>43467</v>
      </c>
      <c r="E3296" s="2">
        <f t="shared" si="131"/>
        <v>43497</v>
      </c>
      <c r="F3296" s="1" t="s">
        <v>58</v>
      </c>
      <c r="G3296" s="1" t="s">
        <v>16</v>
      </c>
      <c r="H3296" s="1">
        <v>-7</v>
      </c>
      <c r="I3296" s="1">
        <v>5.43</v>
      </c>
      <c r="J3296" s="1">
        <v>-0.01</v>
      </c>
      <c r="K3296" s="2">
        <v>43771</v>
      </c>
      <c r="L3296" s="1">
        <v>3716</v>
      </c>
      <c r="M3296" s="1">
        <v>3.49</v>
      </c>
      <c r="N3296" s="1">
        <v>-0.18151999999999999</v>
      </c>
      <c r="O3296" s="3">
        <f>VLOOKUP(D3296,underlying!$D$40:$H$75,5,FALSE)</f>
        <v>-2</v>
      </c>
      <c r="P3296" s="4">
        <f t="shared" si="130"/>
        <v>43507</v>
      </c>
      <c r="Q3296" s="7">
        <f>IF(G3296="C",NormalCallSprd(O3296,H3296,M3296,(P3296-A3296)/365), NormalPutSprd(O3296,H3296,M3296,(P3296-A3296)/365))</f>
        <v>5.5259992042657569</v>
      </c>
      <c r="R3296" s="9">
        <f t="shared" si="132"/>
        <v>9.5999204265757143E-2</v>
      </c>
    </row>
    <row r="3297" spans="1:18" x14ac:dyDescent="0.2">
      <c r="A3297" s="2">
        <v>42622</v>
      </c>
      <c r="B3297" s="1" t="s">
        <v>56</v>
      </c>
      <c r="C3297" s="1" t="s">
        <v>57</v>
      </c>
      <c r="D3297" s="2">
        <v>43467</v>
      </c>
      <c r="E3297" s="2">
        <f t="shared" si="131"/>
        <v>43497</v>
      </c>
      <c r="F3297" s="1" t="s">
        <v>58</v>
      </c>
      <c r="G3297" s="1" t="s">
        <v>18</v>
      </c>
      <c r="H3297" s="1">
        <v>-7</v>
      </c>
      <c r="I3297" s="1">
        <v>0.52</v>
      </c>
      <c r="J3297" s="1">
        <v>0</v>
      </c>
      <c r="K3297" s="2">
        <v>43771</v>
      </c>
      <c r="L3297" s="1">
        <v>3716</v>
      </c>
      <c r="M3297" s="1">
        <v>3.49</v>
      </c>
      <c r="N3297" s="1">
        <v>-0.16375000000000001</v>
      </c>
      <c r="O3297" s="3">
        <f>VLOOKUP(D3297,underlying!$D$40:$H$75,5,FALSE)</f>
        <v>-2</v>
      </c>
      <c r="P3297" s="4">
        <f t="shared" si="130"/>
        <v>43507</v>
      </c>
      <c r="Q3297" s="7">
        <f>IF(G3297="C",NormalCallSprd(O3297,H3297,M3297,(P3297-A3297)/365), NormalPutSprd(O3297,H3297,M3297,(P3297-A3297)/365))</f>
        <v>0.52599920426575719</v>
      </c>
      <c r="R3297" s="9">
        <f t="shared" si="132"/>
        <v>5.9992042657571742E-3</v>
      </c>
    </row>
    <row r="3298" spans="1:18" x14ac:dyDescent="0.2">
      <c r="A3298" s="2">
        <v>42622</v>
      </c>
      <c r="B3298" s="1" t="s">
        <v>56</v>
      </c>
      <c r="C3298" s="1" t="s">
        <v>57</v>
      </c>
      <c r="D3298" s="2">
        <v>43467</v>
      </c>
      <c r="E3298" s="2">
        <f t="shared" si="131"/>
        <v>43497</v>
      </c>
      <c r="F3298" s="1" t="s">
        <v>58</v>
      </c>
      <c r="G3298" s="1" t="s">
        <v>16</v>
      </c>
      <c r="H3298" s="1">
        <v>-6</v>
      </c>
      <c r="I3298" s="1">
        <v>4.66</v>
      </c>
      <c r="J3298" s="1">
        <v>0</v>
      </c>
      <c r="K3298" s="2">
        <v>43771</v>
      </c>
      <c r="L3298" s="1">
        <v>3716</v>
      </c>
      <c r="M3298" s="1">
        <v>3.5</v>
      </c>
      <c r="N3298" s="1">
        <v>-0.14715</v>
      </c>
      <c r="O3298" s="3">
        <f>VLOOKUP(D3298,underlying!$D$40:$H$75,5,FALSE)</f>
        <v>-2</v>
      </c>
      <c r="P3298" s="4">
        <f t="shared" si="130"/>
        <v>43507</v>
      </c>
      <c r="Q3298" s="7">
        <f>IF(G3298="C",NormalCallSprd(O3298,H3298,M3298,(P3298-A3298)/365), NormalPutSprd(O3298,H3298,M3298,(P3298-A3298)/365))</f>
        <v>4.7348895168992442</v>
      </c>
      <c r="R3298" s="9">
        <f t="shared" si="132"/>
        <v>7.4889516899244057E-2</v>
      </c>
    </row>
    <row r="3299" spans="1:18" x14ac:dyDescent="0.2">
      <c r="A3299" s="2">
        <v>42622</v>
      </c>
      <c r="B3299" s="1" t="s">
        <v>56</v>
      </c>
      <c r="C3299" s="1" t="s">
        <v>57</v>
      </c>
      <c r="D3299" s="2">
        <v>43467</v>
      </c>
      <c r="E3299" s="2">
        <f t="shared" si="131"/>
        <v>43497</v>
      </c>
      <c r="F3299" s="1" t="s">
        <v>58</v>
      </c>
      <c r="G3299" s="1" t="s">
        <v>18</v>
      </c>
      <c r="H3299" s="1">
        <v>-6</v>
      </c>
      <c r="I3299" s="1">
        <v>0.72</v>
      </c>
      <c r="J3299" s="1">
        <v>0</v>
      </c>
      <c r="K3299" s="2">
        <v>43771</v>
      </c>
      <c r="L3299" s="1">
        <v>3716</v>
      </c>
      <c r="M3299" s="1">
        <v>3.5</v>
      </c>
      <c r="N3299" s="1">
        <v>-0.13172</v>
      </c>
      <c r="O3299" s="3">
        <f>VLOOKUP(D3299,underlying!$D$40:$H$75,5,FALSE)</f>
        <v>-2</v>
      </c>
      <c r="P3299" s="4">
        <f t="shared" si="130"/>
        <v>43507</v>
      </c>
      <c r="Q3299" s="7">
        <f>IF(G3299="C",NormalCallSprd(O3299,H3299,M3299,(P3299-A3299)/365), NormalPutSprd(O3299,H3299,M3299,(P3299-A3299)/365))</f>
        <v>0.73488951689924398</v>
      </c>
      <c r="R3299" s="9">
        <f t="shared" si="132"/>
        <v>1.4889516899244004E-2</v>
      </c>
    </row>
    <row r="3300" spans="1:18" x14ac:dyDescent="0.2">
      <c r="A3300" s="2">
        <v>42622</v>
      </c>
      <c r="B3300" s="1" t="s">
        <v>56</v>
      </c>
      <c r="C3300" s="1" t="s">
        <v>57</v>
      </c>
      <c r="D3300" s="2">
        <v>43467</v>
      </c>
      <c r="E3300" s="2">
        <f t="shared" si="131"/>
        <v>43497</v>
      </c>
      <c r="F3300" s="1" t="s">
        <v>58</v>
      </c>
      <c r="G3300" s="1" t="s">
        <v>16</v>
      </c>
      <c r="H3300" s="1">
        <v>-5.25</v>
      </c>
      <c r="I3300" s="1">
        <v>4.1100000000000003</v>
      </c>
      <c r="J3300" s="1">
        <v>0</v>
      </c>
      <c r="K3300" s="2">
        <v>43771</v>
      </c>
      <c r="L3300" s="1">
        <v>3716</v>
      </c>
      <c r="M3300" s="1">
        <v>3.51</v>
      </c>
      <c r="N3300" s="1">
        <v>-8.1259999999999999E-2</v>
      </c>
      <c r="O3300" s="3">
        <f>VLOOKUP(D3300,underlying!$D$40:$H$75,5,FALSE)</f>
        <v>-2</v>
      </c>
      <c r="P3300" s="4">
        <f t="shared" si="130"/>
        <v>43507</v>
      </c>
      <c r="Q3300" s="7">
        <f>IF(G3300="C",NormalCallSprd(O3300,H3300,M3300,(P3300-A3300)/365), NormalPutSprd(O3300,H3300,M3300,(P3300-A3300)/365))</f>
        <v>4.1799528179457193</v>
      </c>
      <c r="R3300" s="9">
        <f t="shared" si="132"/>
        <v>6.9952817945718948E-2</v>
      </c>
    </row>
    <row r="3301" spans="1:18" x14ac:dyDescent="0.2">
      <c r="A3301" s="2">
        <v>42622</v>
      </c>
      <c r="B3301" s="1" t="s">
        <v>56</v>
      </c>
      <c r="C3301" s="1" t="s">
        <v>57</v>
      </c>
      <c r="D3301" s="2">
        <v>43467</v>
      </c>
      <c r="E3301" s="2">
        <f t="shared" si="131"/>
        <v>43497</v>
      </c>
      <c r="F3301" s="1" t="s">
        <v>58</v>
      </c>
      <c r="G3301" s="1" t="s">
        <v>18</v>
      </c>
      <c r="H3301" s="1">
        <v>-5.25</v>
      </c>
      <c r="I3301" s="1">
        <v>0.91</v>
      </c>
      <c r="J3301" s="1">
        <v>-0.01</v>
      </c>
      <c r="K3301" s="2">
        <v>43771</v>
      </c>
      <c r="L3301" s="1">
        <v>3716</v>
      </c>
      <c r="M3301" s="1">
        <v>3.51</v>
      </c>
      <c r="N3301" s="1">
        <v>-4.6960000000000002E-2</v>
      </c>
      <c r="O3301" s="3">
        <f>VLOOKUP(D3301,underlying!$D$40:$H$75,5,FALSE)</f>
        <v>-2</v>
      </c>
      <c r="P3301" s="4">
        <f t="shared" si="130"/>
        <v>43507</v>
      </c>
      <c r="Q3301" s="7">
        <f>IF(G3301="C",NormalCallSprd(O3301,H3301,M3301,(P3301-A3301)/365), NormalPutSprd(O3301,H3301,M3301,(P3301-A3301)/365))</f>
        <v>0.92995281794571938</v>
      </c>
      <c r="R3301" s="9">
        <f t="shared" si="132"/>
        <v>1.9952817945719348E-2</v>
      </c>
    </row>
    <row r="3302" spans="1:18" x14ac:dyDescent="0.2">
      <c r="A3302" s="2">
        <v>42622</v>
      </c>
      <c r="B3302" s="1" t="s">
        <v>56</v>
      </c>
      <c r="C3302" s="1" t="s">
        <v>57</v>
      </c>
      <c r="D3302" s="2">
        <v>43467</v>
      </c>
      <c r="E3302" s="2">
        <f t="shared" si="131"/>
        <v>43497</v>
      </c>
      <c r="F3302" s="1" t="s">
        <v>58</v>
      </c>
      <c r="G3302" s="1" t="s">
        <v>16</v>
      </c>
      <c r="H3302" s="1">
        <v>-5</v>
      </c>
      <c r="I3302" s="1">
        <v>3.93</v>
      </c>
      <c r="J3302" s="1">
        <v>-0.01</v>
      </c>
      <c r="K3302" s="2">
        <v>43771</v>
      </c>
      <c r="L3302" s="1">
        <v>3716</v>
      </c>
      <c r="M3302" s="1">
        <v>3.51</v>
      </c>
      <c r="N3302" s="1">
        <v>0.35481000000000001</v>
      </c>
      <c r="O3302" s="3">
        <f>VLOOKUP(D3302,underlying!$D$40:$H$75,5,FALSE)</f>
        <v>-2</v>
      </c>
      <c r="P3302" s="4">
        <f t="shared" si="130"/>
        <v>43507</v>
      </c>
      <c r="Q3302" s="7">
        <f>IF(G3302="C",NormalCallSprd(O3302,H3302,M3302,(P3302-A3302)/365), NormalPutSprd(O3302,H3302,M3302,(P3302-A3302)/365))</f>
        <v>4.0008921732230069</v>
      </c>
      <c r="R3302" s="9">
        <f t="shared" si="132"/>
        <v>7.0892173223006782E-2</v>
      </c>
    </row>
    <row r="3303" spans="1:18" x14ac:dyDescent="0.2">
      <c r="A3303" s="2">
        <v>42622</v>
      </c>
      <c r="B3303" s="1" t="s">
        <v>56</v>
      </c>
      <c r="C3303" s="1" t="s">
        <v>57</v>
      </c>
      <c r="D3303" s="2">
        <v>43467</v>
      </c>
      <c r="E3303" s="2">
        <f t="shared" si="131"/>
        <v>43497</v>
      </c>
      <c r="F3303" s="1" t="s">
        <v>58</v>
      </c>
      <c r="G3303" s="1" t="s">
        <v>18</v>
      </c>
      <c r="H3303" s="1">
        <v>-5</v>
      </c>
      <c r="I3303" s="1">
        <v>0.98</v>
      </c>
      <c r="J3303" s="1">
        <v>-0.01</v>
      </c>
      <c r="K3303" s="2">
        <v>43771</v>
      </c>
      <c r="L3303" s="1">
        <v>3716</v>
      </c>
      <c r="M3303" s="1">
        <v>3.51</v>
      </c>
      <c r="N3303" s="1">
        <v>0.37364999999999998</v>
      </c>
      <c r="O3303" s="3">
        <f>VLOOKUP(D3303,underlying!$D$40:$H$75,5,FALSE)</f>
        <v>-2</v>
      </c>
      <c r="P3303" s="4">
        <f t="shared" si="130"/>
        <v>43507</v>
      </c>
      <c r="Q3303" s="7">
        <f>IF(G3303="C",NormalCallSprd(O3303,H3303,M3303,(P3303-A3303)/365), NormalPutSprd(O3303,H3303,M3303,(P3303-A3303)/365))</f>
        <v>1.0008921732230072</v>
      </c>
      <c r="R3303" s="9">
        <f t="shared" si="132"/>
        <v>2.0892173223007182E-2</v>
      </c>
    </row>
    <row r="3304" spans="1:18" x14ac:dyDescent="0.2">
      <c r="A3304" s="2">
        <v>42622</v>
      </c>
      <c r="B3304" s="1" t="s">
        <v>56</v>
      </c>
      <c r="C3304" s="1" t="s">
        <v>57</v>
      </c>
      <c r="D3304" s="2">
        <v>43467</v>
      </c>
      <c r="E3304" s="2">
        <f t="shared" si="131"/>
        <v>43497</v>
      </c>
      <c r="F3304" s="1" t="s">
        <v>58</v>
      </c>
      <c r="G3304" s="1" t="s">
        <v>16</v>
      </c>
      <c r="H3304" s="1">
        <v>-4.75</v>
      </c>
      <c r="I3304" s="1">
        <v>3.76</v>
      </c>
      <c r="J3304" s="1">
        <v>-0.01</v>
      </c>
      <c r="K3304" s="2">
        <v>43771</v>
      </c>
      <c r="L3304" s="1">
        <v>3716</v>
      </c>
      <c r="M3304" s="1">
        <v>3.51</v>
      </c>
      <c r="N3304" s="1">
        <v>0.39317999999999997</v>
      </c>
      <c r="O3304" s="3">
        <f>VLOOKUP(D3304,underlying!$D$40:$H$75,5,FALSE)</f>
        <v>-2</v>
      </c>
      <c r="P3304" s="4">
        <f t="shared" si="130"/>
        <v>43507</v>
      </c>
      <c r="Q3304" s="7">
        <f>IF(G3304="C",NormalCallSprd(O3304,H3304,M3304,(P3304-A3304)/365), NormalPutSprd(O3304,H3304,M3304,(P3304-A3304)/365))</f>
        <v>3.8257551002487418</v>
      </c>
      <c r="R3304" s="9">
        <f t="shared" si="132"/>
        <v>6.5755100248741982E-2</v>
      </c>
    </row>
    <row r="3305" spans="1:18" x14ac:dyDescent="0.2">
      <c r="A3305" s="2">
        <v>42622</v>
      </c>
      <c r="B3305" s="1" t="s">
        <v>56</v>
      </c>
      <c r="C3305" s="1" t="s">
        <v>57</v>
      </c>
      <c r="D3305" s="2">
        <v>43467</v>
      </c>
      <c r="E3305" s="2">
        <f t="shared" si="131"/>
        <v>43497</v>
      </c>
      <c r="F3305" s="1" t="s">
        <v>58</v>
      </c>
      <c r="G3305" s="1" t="s">
        <v>18</v>
      </c>
      <c r="H3305" s="1">
        <v>-4.75</v>
      </c>
      <c r="I3305" s="1">
        <v>1.06</v>
      </c>
      <c r="J3305" s="1">
        <v>0</v>
      </c>
      <c r="K3305" s="2">
        <v>43771</v>
      </c>
      <c r="L3305" s="1">
        <v>3716</v>
      </c>
      <c r="M3305" s="1">
        <v>3.51</v>
      </c>
      <c r="N3305" s="1">
        <v>0.41274</v>
      </c>
      <c r="O3305" s="3">
        <f>VLOOKUP(D3305,underlying!$D$40:$H$75,5,FALSE)</f>
        <v>-2</v>
      </c>
      <c r="P3305" s="4">
        <f t="shared" si="130"/>
        <v>43507</v>
      </c>
      <c r="Q3305" s="7">
        <f>IF(G3305="C",NormalCallSprd(O3305,H3305,M3305,(P3305-A3305)/365), NormalPutSprd(O3305,H3305,M3305,(P3305-A3305)/365))</f>
        <v>1.075755100248742</v>
      </c>
      <c r="R3305" s="9">
        <f t="shared" si="132"/>
        <v>1.5755100248741938E-2</v>
      </c>
    </row>
    <row r="3306" spans="1:18" x14ac:dyDescent="0.2">
      <c r="A3306" s="2">
        <v>42622</v>
      </c>
      <c r="B3306" s="1" t="s">
        <v>56</v>
      </c>
      <c r="C3306" s="1" t="s">
        <v>57</v>
      </c>
      <c r="D3306" s="2">
        <v>43467</v>
      </c>
      <c r="E3306" s="2">
        <f t="shared" si="131"/>
        <v>43497</v>
      </c>
      <c r="F3306" s="1" t="s">
        <v>58</v>
      </c>
      <c r="G3306" s="1" t="s">
        <v>16</v>
      </c>
      <c r="H3306" s="1">
        <v>-4.5</v>
      </c>
      <c r="I3306" s="1">
        <v>3.59</v>
      </c>
      <c r="J3306" s="1">
        <v>-0.01</v>
      </c>
      <c r="K3306" s="2">
        <v>43771</v>
      </c>
      <c r="L3306" s="1">
        <v>3716</v>
      </c>
      <c r="M3306" s="1">
        <v>3.51</v>
      </c>
      <c r="N3306" s="1">
        <v>0.43297000000000002</v>
      </c>
      <c r="O3306" s="3">
        <f>VLOOKUP(D3306,underlying!$D$40:$H$75,5,FALSE)</f>
        <v>-2</v>
      </c>
      <c r="P3306" s="4">
        <f t="shared" si="130"/>
        <v>43507</v>
      </c>
      <c r="Q3306" s="7">
        <f>IF(G3306="C",NormalCallSprd(O3306,H3306,M3306,(P3306-A3306)/365), NormalPutSprd(O3306,H3306,M3306,(P3306-A3306)/365))</f>
        <v>3.6546371151727586</v>
      </c>
      <c r="R3306" s="9">
        <f t="shared" si="132"/>
        <v>6.4637115172758719E-2</v>
      </c>
    </row>
    <row r="3307" spans="1:18" x14ac:dyDescent="0.2">
      <c r="A3307" s="2">
        <v>42622</v>
      </c>
      <c r="B3307" s="1" t="s">
        <v>56</v>
      </c>
      <c r="C3307" s="1" t="s">
        <v>57</v>
      </c>
      <c r="D3307" s="2">
        <v>43467</v>
      </c>
      <c r="E3307" s="2">
        <f t="shared" si="131"/>
        <v>43497</v>
      </c>
      <c r="F3307" s="1" t="s">
        <v>58</v>
      </c>
      <c r="G3307" s="1" t="s">
        <v>18</v>
      </c>
      <c r="H3307" s="1">
        <v>-4.5</v>
      </c>
      <c r="I3307" s="1">
        <v>1.1399999999999999</v>
      </c>
      <c r="J3307" s="1">
        <v>0</v>
      </c>
      <c r="K3307" s="2">
        <v>43771</v>
      </c>
      <c r="L3307" s="1">
        <v>3716</v>
      </c>
      <c r="M3307" s="1">
        <v>3.51</v>
      </c>
      <c r="N3307" s="1">
        <v>0.45312999999999998</v>
      </c>
      <c r="O3307" s="3">
        <f>VLOOKUP(D3307,underlying!$D$40:$H$75,5,FALSE)</f>
        <v>-2</v>
      </c>
      <c r="P3307" s="4">
        <f t="shared" si="130"/>
        <v>43507</v>
      </c>
      <c r="Q3307" s="7">
        <f>IF(G3307="C",NormalCallSprd(O3307,H3307,M3307,(P3307-A3307)/365), NormalPutSprd(O3307,H3307,M3307,(P3307-A3307)/365))</f>
        <v>1.1546371151727584</v>
      </c>
      <c r="R3307" s="9">
        <f t="shared" si="132"/>
        <v>1.4637115172758453E-2</v>
      </c>
    </row>
    <row r="3308" spans="1:18" x14ac:dyDescent="0.2">
      <c r="A3308" s="2">
        <v>42622</v>
      </c>
      <c r="B3308" s="1" t="s">
        <v>56</v>
      </c>
      <c r="C3308" s="1" t="s">
        <v>57</v>
      </c>
      <c r="D3308" s="2">
        <v>43467</v>
      </c>
      <c r="E3308" s="2">
        <f t="shared" si="131"/>
        <v>43497</v>
      </c>
      <c r="F3308" s="1" t="s">
        <v>58</v>
      </c>
      <c r="G3308" s="1" t="s">
        <v>16</v>
      </c>
      <c r="H3308" s="1">
        <v>-4.25</v>
      </c>
      <c r="I3308" s="1">
        <v>3.43</v>
      </c>
      <c r="J3308" s="1">
        <v>0</v>
      </c>
      <c r="K3308" s="2">
        <v>43771</v>
      </c>
      <c r="L3308" s="1">
        <v>3716</v>
      </c>
      <c r="M3308" s="1">
        <v>3.51</v>
      </c>
      <c r="N3308" s="1">
        <v>0.47345999999999999</v>
      </c>
      <c r="O3308" s="3">
        <f>VLOOKUP(D3308,underlying!$D$40:$H$75,5,FALSE)</f>
        <v>-2</v>
      </c>
      <c r="P3308" s="4">
        <f t="shared" si="130"/>
        <v>43507</v>
      </c>
      <c r="Q3308" s="7">
        <f>IF(G3308="C",NormalCallSprd(O3308,H3308,M3308,(P3308-A3308)/365), NormalPutSprd(O3308,H3308,M3308,(P3308-A3308)/365))</f>
        <v>3.4876274577277973</v>
      </c>
      <c r="R3308" s="9">
        <f t="shared" si="132"/>
        <v>5.7627457727797093E-2</v>
      </c>
    </row>
    <row r="3309" spans="1:18" x14ac:dyDescent="0.2">
      <c r="A3309" s="2">
        <v>42622</v>
      </c>
      <c r="B3309" s="1" t="s">
        <v>56</v>
      </c>
      <c r="C3309" s="1" t="s">
        <v>57</v>
      </c>
      <c r="D3309" s="2">
        <v>43467</v>
      </c>
      <c r="E3309" s="2">
        <f t="shared" si="131"/>
        <v>43497</v>
      </c>
      <c r="F3309" s="1" t="s">
        <v>58</v>
      </c>
      <c r="G3309" s="1" t="s">
        <v>18</v>
      </c>
      <c r="H3309" s="1">
        <v>-4.25</v>
      </c>
      <c r="I3309" s="1">
        <v>1.22</v>
      </c>
      <c r="J3309" s="1">
        <v>0</v>
      </c>
      <c r="K3309" s="2">
        <v>43771</v>
      </c>
      <c r="L3309" s="1">
        <v>3716</v>
      </c>
      <c r="M3309" s="1">
        <v>3.51</v>
      </c>
      <c r="N3309" s="1">
        <v>0.49371999999999999</v>
      </c>
      <c r="O3309" s="3">
        <f>VLOOKUP(D3309,underlying!$D$40:$H$75,5,FALSE)</f>
        <v>-2</v>
      </c>
      <c r="P3309" s="4">
        <f t="shared" si="130"/>
        <v>43507</v>
      </c>
      <c r="Q3309" s="7">
        <f>IF(G3309="C",NormalCallSprd(O3309,H3309,M3309,(P3309-A3309)/365), NormalPutSprd(O3309,H3309,M3309,(P3309-A3309)/365))</f>
        <v>1.237627457727797</v>
      </c>
      <c r="R3309" s="9">
        <f t="shared" si="132"/>
        <v>1.7627457727797058E-2</v>
      </c>
    </row>
    <row r="3310" spans="1:18" x14ac:dyDescent="0.2">
      <c r="A3310" s="2">
        <v>42622</v>
      </c>
      <c r="B3310" s="1" t="s">
        <v>56</v>
      </c>
      <c r="C3310" s="1" t="s">
        <v>57</v>
      </c>
      <c r="D3310" s="2">
        <v>43467</v>
      </c>
      <c r="E3310" s="2">
        <f t="shared" si="131"/>
        <v>43497</v>
      </c>
      <c r="F3310" s="1" t="s">
        <v>58</v>
      </c>
      <c r="G3310" s="1" t="s">
        <v>16</v>
      </c>
      <c r="H3310" s="1">
        <v>-4</v>
      </c>
      <c r="I3310" s="1">
        <v>3.26</v>
      </c>
      <c r="J3310" s="1">
        <v>0</v>
      </c>
      <c r="K3310" s="2">
        <v>43771</v>
      </c>
      <c r="L3310" s="1">
        <v>3716</v>
      </c>
      <c r="M3310" s="1">
        <v>3.49</v>
      </c>
      <c r="N3310" s="1">
        <v>0.51398999999999995</v>
      </c>
      <c r="O3310" s="3">
        <f>VLOOKUP(D3310,underlying!$D$40:$H$75,5,FALSE)</f>
        <v>-2</v>
      </c>
      <c r="P3310" s="4">
        <f t="shared" si="130"/>
        <v>43507</v>
      </c>
      <c r="Q3310" s="7">
        <f>IF(G3310="C",NormalCallSprd(O3310,H3310,M3310,(P3310-A3310)/365), NormalPutSprd(O3310,H3310,M3310,(P3310-A3310)/365))</f>
        <v>3.3131935099405276</v>
      </c>
      <c r="R3310" s="9">
        <f t="shared" si="132"/>
        <v>5.319350994052785E-2</v>
      </c>
    </row>
    <row r="3311" spans="1:18" x14ac:dyDescent="0.2">
      <c r="A3311" s="2">
        <v>42622</v>
      </c>
      <c r="B3311" s="1" t="s">
        <v>56</v>
      </c>
      <c r="C3311" s="1" t="s">
        <v>57</v>
      </c>
      <c r="D3311" s="2">
        <v>43467</v>
      </c>
      <c r="E3311" s="2">
        <f t="shared" si="131"/>
        <v>43497</v>
      </c>
      <c r="F3311" s="1" t="s">
        <v>58</v>
      </c>
      <c r="G3311" s="1" t="s">
        <v>18</v>
      </c>
      <c r="H3311" s="1">
        <v>-4</v>
      </c>
      <c r="I3311" s="1">
        <v>1.29</v>
      </c>
      <c r="J3311" s="1">
        <v>0</v>
      </c>
      <c r="K3311" s="2">
        <v>43771</v>
      </c>
      <c r="L3311" s="1">
        <v>3716</v>
      </c>
      <c r="M3311" s="1">
        <v>3.49</v>
      </c>
      <c r="N3311" s="1">
        <v>0.53432000000000002</v>
      </c>
      <c r="O3311" s="3">
        <f>VLOOKUP(D3311,underlying!$D$40:$H$75,5,FALSE)</f>
        <v>-2</v>
      </c>
      <c r="P3311" s="4">
        <f t="shared" si="130"/>
        <v>43507</v>
      </c>
      <c r="Q3311" s="7">
        <f>IF(G3311="C",NormalCallSprd(O3311,H3311,M3311,(P3311-A3311)/365), NormalPutSprd(O3311,H3311,M3311,(P3311-A3311)/365))</f>
        <v>1.3131935099405276</v>
      </c>
      <c r="R3311" s="9">
        <f t="shared" si="132"/>
        <v>2.3193509940527601E-2</v>
      </c>
    </row>
    <row r="3312" spans="1:18" x14ac:dyDescent="0.2">
      <c r="A3312" s="2">
        <v>42622</v>
      </c>
      <c r="B3312" s="1" t="s">
        <v>56</v>
      </c>
      <c r="C3312" s="1" t="s">
        <v>57</v>
      </c>
      <c r="D3312" s="2">
        <v>43467</v>
      </c>
      <c r="E3312" s="2">
        <f t="shared" si="131"/>
        <v>43497</v>
      </c>
      <c r="F3312" s="1" t="s">
        <v>58</v>
      </c>
      <c r="G3312" s="1" t="s">
        <v>16</v>
      </c>
      <c r="H3312" s="1">
        <v>-3.75</v>
      </c>
      <c r="I3312" s="1">
        <v>3.11</v>
      </c>
      <c r="J3312" s="1">
        <v>-0.01</v>
      </c>
      <c r="K3312" s="2">
        <v>43771</v>
      </c>
      <c r="L3312" s="1">
        <v>3716</v>
      </c>
      <c r="M3312" s="1">
        <v>3.51</v>
      </c>
      <c r="N3312" s="1">
        <v>0.55447999999999997</v>
      </c>
      <c r="O3312" s="3">
        <f>VLOOKUP(D3312,underlying!$D$40:$H$75,5,FALSE)</f>
        <v>-2</v>
      </c>
      <c r="P3312" s="4">
        <f t="shared" si="130"/>
        <v>43507</v>
      </c>
      <c r="Q3312" s="7">
        <f>IF(G3312="C",NormalCallSprd(O3312,H3312,M3312,(P3312-A3312)/365), NormalPutSprd(O3312,H3312,M3312,(P3312-A3312)/365))</f>
        <v>3.1662556362480854</v>
      </c>
      <c r="R3312" s="9">
        <f t="shared" si="132"/>
        <v>5.6255636248085494E-2</v>
      </c>
    </row>
    <row r="3313" spans="1:18" x14ac:dyDescent="0.2">
      <c r="A3313" s="2">
        <v>42622</v>
      </c>
      <c r="B3313" s="1" t="s">
        <v>56</v>
      </c>
      <c r="C3313" s="1" t="s">
        <v>57</v>
      </c>
      <c r="D3313" s="2">
        <v>43467</v>
      </c>
      <c r="E3313" s="2">
        <f t="shared" si="131"/>
        <v>43497</v>
      </c>
      <c r="F3313" s="1" t="s">
        <v>58</v>
      </c>
      <c r="G3313" s="1" t="s">
        <v>18</v>
      </c>
      <c r="H3313" s="1">
        <v>-3.75</v>
      </c>
      <c r="I3313" s="1">
        <v>1.39</v>
      </c>
      <c r="J3313" s="1">
        <v>-0.01</v>
      </c>
      <c r="K3313" s="2">
        <v>43771</v>
      </c>
      <c r="L3313" s="1">
        <v>3716</v>
      </c>
      <c r="M3313" s="1">
        <v>3.51</v>
      </c>
      <c r="N3313" s="1">
        <v>0.57471000000000005</v>
      </c>
      <c r="O3313" s="3">
        <f>VLOOKUP(D3313,underlying!$D$40:$H$75,5,FALSE)</f>
        <v>-2</v>
      </c>
      <c r="P3313" s="4">
        <f t="shared" si="130"/>
        <v>43507</v>
      </c>
      <c r="Q3313" s="7">
        <f>IF(G3313="C",NormalCallSprd(O3313,H3313,M3313,(P3313-A3313)/365), NormalPutSprd(O3313,H3313,M3313,(P3313-A3313)/365))</f>
        <v>1.4162556362480851</v>
      </c>
      <c r="R3313" s="9">
        <f t="shared" si="132"/>
        <v>2.6255636248085246E-2</v>
      </c>
    </row>
    <row r="3314" spans="1:18" x14ac:dyDescent="0.2">
      <c r="A3314" s="2">
        <v>42622</v>
      </c>
      <c r="B3314" s="1" t="s">
        <v>56</v>
      </c>
      <c r="C3314" s="1" t="s">
        <v>57</v>
      </c>
      <c r="D3314" s="2">
        <v>43467</v>
      </c>
      <c r="E3314" s="2">
        <f t="shared" si="131"/>
        <v>43497</v>
      </c>
      <c r="F3314" s="1" t="s">
        <v>58</v>
      </c>
      <c r="G3314" s="1" t="s">
        <v>16</v>
      </c>
      <c r="H3314" s="1">
        <v>-3.5</v>
      </c>
      <c r="I3314" s="1">
        <v>2.95</v>
      </c>
      <c r="J3314" s="1">
        <v>0</v>
      </c>
      <c r="K3314" s="2">
        <v>43771</v>
      </c>
      <c r="L3314" s="1">
        <v>3716</v>
      </c>
      <c r="M3314" s="1">
        <v>3.49</v>
      </c>
      <c r="N3314" s="1">
        <v>0.59399000000000002</v>
      </c>
      <c r="O3314" s="3">
        <f>VLOOKUP(D3314,underlying!$D$40:$H$75,5,FALSE)</f>
        <v>-2</v>
      </c>
      <c r="P3314" s="4">
        <f t="shared" si="130"/>
        <v>43507</v>
      </c>
      <c r="Q3314" s="7">
        <f>IF(G3314="C",NormalCallSprd(O3314,H3314,M3314,(P3314-A3314)/365), NormalPutSprd(O3314,H3314,M3314,(P3314-A3314)/365))</f>
        <v>3.0000737587491075</v>
      </c>
      <c r="R3314" s="9">
        <f t="shared" si="132"/>
        <v>5.0073758749107355E-2</v>
      </c>
    </row>
    <row r="3315" spans="1:18" x14ac:dyDescent="0.2">
      <c r="A3315" s="2">
        <v>42622</v>
      </c>
      <c r="B3315" s="1" t="s">
        <v>56</v>
      </c>
      <c r="C3315" s="1" t="s">
        <v>57</v>
      </c>
      <c r="D3315" s="2">
        <v>43467</v>
      </c>
      <c r="E3315" s="2">
        <f t="shared" si="131"/>
        <v>43497</v>
      </c>
      <c r="F3315" s="1" t="s">
        <v>58</v>
      </c>
      <c r="G3315" s="1" t="s">
        <v>18</v>
      </c>
      <c r="H3315" s="1">
        <v>-3.5</v>
      </c>
      <c r="I3315" s="1">
        <v>1.48</v>
      </c>
      <c r="J3315" s="1">
        <v>0</v>
      </c>
      <c r="K3315" s="2">
        <v>43771</v>
      </c>
      <c r="L3315" s="1">
        <v>3716</v>
      </c>
      <c r="M3315" s="1">
        <v>3.49</v>
      </c>
      <c r="N3315" s="1">
        <v>0.61412999999999995</v>
      </c>
      <c r="O3315" s="3">
        <f>VLOOKUP(D3315,underlying!$D$40:$H$75,5,FALSE)</f>
        <v>-2</v>
      </c>
      <c r="P3315" s="4">
        <f t="shared" si="130"/>
        <v>43507</v>
      </c>
      <c r="Q3315" s="7">
        <f>IF(G3315="C",NormalCallSprd(O3315,H3315,M3315,(P3315-A3315)/365), NormalPutSprd(O3315,H3315,M3315,(P3315-A3315)/365))</f>
        <v>1.5000737587491075</v>
      </c>
      <c r="R3315" s="9">
        <f t="shared" si="132"/>
        <v>2.0073758749107551E-2</v>
      </c>
    </row>
    <row r="3316" spans="1:18" x14ac:dyDescent="0.2">
      <c r="A3316" s="2">
        <v>42622</v>
      </c>
      <c r="B3316" s="1" t="s">
        <v>56</v>
      </c>
      <c r="C3316" s="1" t="s">
        <v>57</v>
      </c>
      <c r="D3316" s="2">
        <v>43467</v>
      </c>
      <c r="E3316" s="2">
        <f t="shared" si="131"/>
        <v>43497</v>
      </c>
      <c r="F3316" s="1" t="s">
        <v>58</v>
      </c>
      <c r="G3316" s="1" t="s">
        <v>16</v>
      </c>
      <c r="H3316" s="1">
        <v>-3.25</v>
      </c>
      <c r="I3316" s="1">
        <v>2.81</v>
      </c>
      <c r="J3316" s="1">
        <v>-0.01</v>
      </c>
      <c r="K3316" s="2">
        <v>43771</v>
      </c>
      <c r="L3316" s="1">
        <v>3716</v>
      </c>
      <c r="M3316" s="1">
        <v>3.51</v>
      </c>
      <c r="N3316" s="1">
        <v>0.63263999999999998</v>
      </c>
      <c r="O3316" s="3">
        <f>VLOOKUP(D3316,underlying!$D$40:$H$75,5,FALSE)</f>
        <v>-2</v>
      </c>
      <c r="P3316" s="4">
        <f t="shared" si="130"/>
        <v>43507</v>
      </c>
      <c r="Q3316" s="7">
        <f>IF(G3316="C",NormalCallSprd(O3316,H3316,M3316,(P3316-A3316)/365), NormalPutSprd(O3316,H3316,M3316,(P3316-A3316)/365))</f>
        <v>2.8622092421668834</v>
      </c>
      <c r="R3316" s="9">
        <f t="shared" si="132"/>
        <v>5.2209242166883385E-2</v>
      </c>
    </row>
    <row r="3317" spans="1:18" x14ac:dyDescent="0.2">
      <c r="A3317" s="2">
        <v>42622</v>
      </c>
      <c r="B3317" s="1" t="s">
        <v>56</v>
      </c>
      <c r="C3317" s="1" t="s">
        <v>57</v>
      </c>
      <c r="D3317" s="2">
        <v>43467</v>
      </c>
      <c r="E3317" s="2">
        <f t="shared" si="131"/>
        <v>43497</v>
      </c>
      <c r="F3317" s="1" t="s">
        <v>58</v>
      </c>
      <c r="G3317" s="1" t="s">
        <v>18</v>
      </c>
      <c r="H3317" s="1">
        <v>-3.25</v>
      </c>
      <c r="I3317" s="1">
        <v>1.59</v>
      </c>
      <c r="J3317" s="1">
        <v>0</v>
      </c>
      <c r="K3317" s="2">
        <v>43771</v>
      </c>
      <c r="L3317" s="1">
        <v>3716</v>
      </c>
      <c r="M3317" s="1">
        <v>3.51</v>
      </c>
      <c r="N3317" s="1">
        <v>0.65230999999999995</v>
      </c>
      <c r="O3317" s="3">
        <f>VLOOKUP(D3317,underlying!$D$40:$H$75,5,FALSE)</f>
        <v>-2</v>
      </c>
      <c r="P3317" s="4">
        <f t="shared" si="130"/>
        <v>43507</v>
      </c>
      <c r="Q3317" s="7">
        <f>IF(G3317="C",NormalCallSprd(O3317,H3317,M3317,(P3317-A3317)/365), NormalPutSprd(O3317,H3317,M3317,(P3317-A3317)/365))</f>
        <v>1.6122092421668834</v>
      </c>
      <c r="R3317" s="9">
        <f t="shared" si="132"/>
        <v>2.2209242166883358E-2</v>
      </c>
    </row>
    <row r="3318" spans="1:18" x14ac:dyDescent="0.2">
      <c r="A3318" s="2">
        <v>42622</v>
      </c>
      <c r="B3318" s="1" t="s">
        <v>56</v>
      </c>
      <c r="C3318" s="1" t="s">
        <v>57</v>
      </c>
      <c r="D3318" s="2">
        <v>43467</v>
      </c>
      <c r="E3318" s="2">
        <f t="shared" si="131"/>
        <v>43497</v>
      </c>
      <c r="F3318" s="1" t="s">
        <v>58</v>
      </c>
      <c r="G3318" s="1" t="s">
        <v>16</v>
      </c>
      <c r="H3318" s="1">
        <v>-3</v>
      </c>
      <c r="I3318" s="1">
        <v>2.66</v>
      </c>
      <c r="J3318" s="1">
        <v>0</v>
      </c>
      <c r="K3318" s="2">
        <v>43771</v>
      </c>
      <c r="L3318" s="1">
        <v>3716</v>
      </c>
      <c r="M3318" s="1">
        <v>3.49</v>
      </c>
      <c r="N3318" s="1">
        <v>0.66988000000000003</v>
      </c>
      <c r="O3318" s="3">
        <f>VLOOKUP(D3318,underlying!$D$40:$H$75,5,FALSE)</f>
        <v>-2</v>
      </c>
      <c r="P3318" s="4">
        <f t="shared" si="130"/>
        <v>43507</v>
      </c>
      <c r="Q3318" s="7">
        <f>IF(G3318="C",NormalCallSprd(O3318,H3318,M3318,(P3318-A3318)/365), NormalPutSprd(O3318,H3318,M3318,(P3318-A3318)/365))</f>
        <v>2.7046092113630298</v>
      </c>
      <c r="R3318" s="9">
        <f t="shared" si="132"/>
        <v>4.4609211363029644E-2</v>
      </c>
    </row>
    <row r="3319" spans="1:18" x14ac:dyDescent="0.2">
      <c r="A3319" s="2">
        <v>42622</v>
      </c>
      <c r="B3319" s="1" t="s">
        <v>56</v>
      </c>
      <c r="C3319" s="1" t="s">
        <v>57</v>
      </c>
      <c r="D3319" s="2">
        <v>43467</v>
      </c>
      <c r="E3319" s="2">
        <f t="shared" si="131"/>
        <v>43497</v>
      </c>
      <c r="F3319" s="1" t="s">
        <v>58</v>
      </c>
      <c r="G3319" s="1" t="s">
        <v>18</v>
      </c>
      <c r="H3319" s="1">
        <v>-3</v>
      </c>
      <c r="I3319" s="1">
        <v>1.68</v>
      </c>
      <c r="J3319" s="1">
        <v>0</v>
      </c>
      <c r="K3319" s="2">
        <v>43771</v>
      </c>
      <c r="L3319" s="1">
        <v>3716</v>
      </c>
      <c r="M3319" s="1">
        <v>3.49</v>
      </c>
      <c r="N3319" s="1">
        <v>0.68786999999999998</v>
      </c>
      <c r="O3319" s="3">
        <f>VLOOKUP(D3319,underlying!$D$40:$H$75,5,FALSE)</f>
        <v>-2</v>
      </c>
      <c r="P3319" s="4">
        <f t="shared" si="130"/>
        <v>43507</v>
      </c>
      <c r="Q3319" s="7">
        <f>IF(G3319="C",NormalCallSprd(O3319,H3319,M3319,(P3319-A3319)/365), NormalPutSprd(O3319,H3319,M3319,(P3319-A3319)/365))</f>
        <v>1.7046092113630296</v>
      </c>
      <c r="R3319" s="9">
        <f t="shared" si="132"/>
        <v>2.4609211363029626E-2</v>
      </c>
    </row>
    <row r="3320" spans="1:18" x14ac:dyDescent="0.2">
      <c r="A3320" s="2">
        <v>42622</v>
      </c>
      <c r="B3320" s="1" t="s">
        <v>56</v>
      </c>
      <c r="C3320" s="1" t="s">
        <v>57</v>
      </c>
      <c r="D3320" s="2">
        <v>43467</v>
      </c>
      <c r="E3320" s="2">
        <f t="shared" si="131"/>
        <v>43497</v>
      </c>
      <c r="F3320" s="1" t="s">
        <v>58</v>
      </c>
      <c r="G3320" s="1" t="s">
        <v>16</v>
      </c>
      <c r="H3320" s="1">
        <v>-2.75</v>
      </c>
      <c r="I3320" s="1">
        <v>2.5299999999999998</v>
      </c>
      <c r="J3320" s="1">
        <v>0</v>
      </c>
      <c r="K3320" s="2">
        <v>43771</v>
      </c>
      <c r="L3320" s="1">
        <v>3716</v>
      </c>
      <c r="M3320" s="1">
        <v>3.5</v>
      </c>
      <c r="N3320" s="1">
        <v>0.70538999999999996</v>
      </c>
      <c r="O3320" s="3">
        <f>VLOOKUP(D3320,underlying!$D$40:$H$75,5,FALSE)</f>
        <v>-2</v>
      </c>
      <c r="P3320" s="4">
        <f t="shared" si="130"/>
        <v>43507</v>
      </c>
      <c r="Q3320" s="7">
        <f>IF(G3320="C",NormalCallSprd(O3320,H3320,M3320,(P3320-A3320)/365), NormalPutSprd(O3320,H3320,M3320,(P3320-A3320)/365))</f>
        <v>2.5697744758370269</v>
      </c>
      <c r="R3320" s="9">
        <f t="shared" si="132"/>
        <v>3.977447583702709E-2</v>
      </c>
    </row>
    <row r="3321" spans="1:18" x14ac:dyDescent="0.2">
      <c r="A3321" s="2">
        <v>42622</v>
      </c>
      <c r="B3321" s="1" t="s">
        <v>56</v>
      </c>
      <c r="C3321" s="1" t="s">
        <v>57</v>
      </c>
      <c r="D3321" s="2">
        <v>43467</v>
      </c>
      <c r="E3321" s="2">
        <f t="shared" si="131"/>
        <v>43497</v>
      </c>
      <c r="F3321" s="1" t="s">
        <v>58</v>
      </c>
      <c r="G3321" s="1" t="s">
        <v>18</v>
      </c>
      <c r="H3321" s="1">
        <v>-2.75</v>
      </c>
      <c r="I3321" s="1">
        <v>1.79</v>
      </c>
      <c r="J3321" s="1">
        <v>0</v>
      </c>
      <c r="K3321" s="2">
        <v>43771</v>
      </c>
      <c r="L3321" s="1">
        <v>3716</v>
      </c>
      <c r="M3321" s="1">
        <v>3.5</v>
      </c>
      <c r="N3321" s="1">
        <v>0.72240000000000004</v>
      </c>
      <c r="O3321" s="3">
        <f>VLOOKUP(D3321,underlying!$D$40:$H$75,5,FALSE)</f>
        <v>-2</v>
      </c>
      <c r="P3321" s="4">
        <f t="shared" ref="P3321:P3384" si="133">DATE(YEAR(K3321),DAY(K3321),MONTH(K3321))</f>
        <v>43507</v>
      </c>
      <c r="Q3321" s="7">
        <f>IF(G3321="C",NormalCallSprd(O3321,H3321,M3321,(P3321-A3321)/365), NormalPutSprd(O3321,H3321,M3321,(P3321-A3321)/365))</f>
        <v>1.8197744758370269</v>
      </c>
      <c r="R3321" s="9">
        <f t="shared" si="132"/>
        <v>2.9774475837026859E-2</v>
      </c>
    </row>
    <row r="3322" spans="1:18" x14ac:dyDescent="0.2">
      <c r="A3322" s="2">
        <v>42622</v>
      </c>
      <c r="B3322" s="1" t="s">
        <v>56</v>
      </c>
      <c r="C3322" s="1" t="s">
        <v>57</v>
      </c>
      <c r="D3322" s="2">
        <v>43467</v>
      </c>
      <c r="E3322" s="2">
        <f t="shared" si="131"/>
        <v>43497</v>
      </c>
      <c r="F3322" s="1" t="s">
        <v>58</v>
      </c>
      <c r="G3322" s="1" t="s">
        <v>16</v>
      </c>
      <c r="H3322" s="1">
        <v>-2.5</v>
      </c>
      <c r="I3322" s="1">
        <v>2.39</v>
      </c>
      <c r="J3322" s="1">
        <v>-0.01</v>
      </c>
      <c r="K3322" s="2">
        <v>43771</v>
      </c>
      <c r="L3322" s="1">
        <v>3716</v>
      </c>
      <c r="M3322" s="1">
        <v>3.5</v>
      </c>
      <c r="N3322" s="1">
        <v>0.73889000000000005</v>
      </c>
      <c r="O3322" s="3">
        <f>VLOOKUP(D3322,underlying!$D$40:$H$75,5,FALSE)</f>
        <v>-2</v>
      </c>
      <c r="P3322" s="4">
        <f t="shared" si="133"/>
        <v>43507</v>
      </c>
      <c r="Q3322" s="7">
        <f>IF(G3322="C",NormalCallSprd(O3322,H3322,M3322,(P3322-A3322)/365), NormalPutSprd(O3322,H3322,M3322,(P3322-A3322)/365))</f>
        <v>2.4333628417978548</v>
      </c>
      <c r="R3322" s="9">
        <f t="shared" si="132"/>
        <v>4.3362841797854657E-2</v>
      </c>
    </row>
    <row r="3323" spans="1:18" x14ac:dyDescent="0.2">
      <c r="A3323" s="2">
        <v>42622</v>
      </c>
      <c r="B3323" s="1" t="s">
        <v>56</v>
      </c>
      <c r="C3323" s="1" t="s">
        <v>57</v>
      </c>
      <c r="D3323" s="2">
        <v>43467</v>
      </c>
      <c r="E3323" s="2">
        <f t="shared" si="131"/>
        <v>43497</v>
      </c>
      <c r="F3323" s="1" t="s">
        <v>58</v>
      </c>
      <c r="G3323" s="1" t="s">
        <v>18</v>
      </c>
      <c r="H3323" s="1">
        <v>-2.5</v>
      </c>
      <c r="I3323" s="1">
        <v>1.9</v>
      </c>
      <c r="J3323" s="1">
        <v>0</v>
      </c>
      <c r="K3323" s="2">
        <v>43771</v>
      </c>
      <c r="L3323" s="1">
        <v>3716</v>
      </c>
      <c r="M3323" s="1">
        <v>3.5</v>
      </c>
      <c r="N3323" s="1">
        <v>0.75480999999999998</v>
      </c>
      <c r="O3323" s="3">
        <f>VLOOKUP(D3323,underlying!$D$40:$H$75,5,FALSE)</f>
        <v>-2</v>
      </c>
      <c r="P3323" s="4">
        <f t="shared" si="133"/>
        <v>43507</v>
      </c>
      <c r="Q3323" s="7">
        <f>IF(G3323="C",NormalCallSprd(O3323,H3323,M3323,(P3323-A3323)/365), NormalPutSprd(O3323,H3323,M3323,(P3323-A3323)/365))</f>
        <v>1.9333628417978546</v>
      </c>
      <c r="R3323" s="9">
        <f t="shared" si="132"/>
        <v>3.3362841797854648E-2</v>
      </c>
    </row>
    <row r="3324" spans="1:18" x14ac:dyDescent="0.2">
      <c r="A3324" s="2">
        <v>42622</v>
      </c>
      <c r="B3324" s="1" t="s">
        <v>56</v>
      </c>
      <c r="C3324" s="1" t="s">
        <v>57</v>
      </c>
      <c r="D3324" s="2">
        <v>43467</v>
      </c>
      <c r="E3324" s="2">
        <f t="shared" si="131"/>
        <v>43497</v>
      </c>
      <c r="F3324" s="1" t="s">
        <v>58</v>
      </c>
      <c r="G3324" s="1" t="s">
        <v>16</v>
      </c>
      <c r="H3324" s="1">
        <v>-2.25</v>
      </c>
      <c r="I3324" s="1">
        <v>2.27</v>
      </c>
      <c r="J3324" s="1">
        <v>0</v>
      </c>
      <c r="K3324" s="2">
        <v>43771</v>
      </c>
      <c r="L3324" s="1">
        <v>3716</v>
      </c>
      <c r="M3324" s="1">
        <v>3.51</v>
      </c>
      <c r="N3324" s="1">
        <v>0.77015999999999996</v>
      </c>
      <c r="O3324" s="3">
        <f>VLOOKUP(D3324,underlying!$D$40:$H$75,5,FALSE)</f>
        <v>-2</v>
      </c>
      <c r="P3324" s="4">
        <f t="shared" si="133"/>
        <v>43507</v>
      </c>
      <c r="Q3324" s="7">
        <f>IF(G3324="C",NormalCallSprd(O3324,H3324,M3324,(P3324-A3324)/365), NormalPutSprd(O3324,H3324,M3324,(P3324-A3324)/365))</f>
        <v>2.3077118035969955</v>
      </c>
      <c r="R3324" s="9">
        <f t="shared" si="132"/>
        <v>3.7711803596995441E-2</v>
      </c>
    </row>
    <row r="3325" spans="1:18" x14ac:dyDescent="0.2">
      <c r="A3325" s="2">
        <v>42622</v>
      </c>
      <c r="B3325" s="1" t="s">
        <v>56</v>
      </c>
      <c r="C3325" s="1" t="s">
        <v>57</v>
      </c>
      <c r="D3325" s="2">
        <v>43467</v>
      </c>
      <c r="E3325" s="2">
        <f t="shared" si="131"/>
        <v>43497</v>
      </c>
      <c r="F3325" s="1" t="s">
        <v>58</v>
      </c>
      <c r="G3325" s="1" t="s">
        <v>18</v>
      </c>
      <c r="H3325" s="1">
        <v>-2.25</v>
      </c>
      <c r="I3325" s="1">
        <v>2.02</v>
      </c>
      <c r="J3325" s="1">
        <v>-0.01</v>
      </c>
      <c r="K3325" s="2">
        <v>43771</v>
      </c>
      <c r="L3325" s="1">
        <v>3716</v>
      </c>
      <c r="M3325" s="1">
        <v>3.51</v>
      </c>
      <c r="N3325" s="1">
        <v>0.78491</v>
      </c>
      <c r="O3325" s="3">
        <f>VLOOKUP(D3325,underlying!$D$40:$H$75,5,FALSE)</f>
        <v>-2</v>
      </c>
      <c r="P3325" s="4">
        <f t="shared" si="133"/>
        <v>43507</v>
      </c>
      <c r="Q3325" s="7">
        <f>IF(G3325="C",NormalCallSprd(O3325,H3325,M3325,(P3325-A3325)/365), NormalPutSprd(O3325,H3325,M3325,(P3325-A3325)/365))</f>
        <v>2.0577118035969955</v>
      </c>
      <c r="R3325" s="9">
        <f t="shared" si="132"/>
        <v>3.7711803596995441E-2</v>
      </c>
    </row>
    <row r="3326" spans="1:18" x14ac:dyDescent="0.2">
      <c r="A3326" s="2">
        <v>42622</v>
      </c>
      <c r="B3326" s="1" t="s">
        <v>56</v>
      </c>
      <c r="C3326" s="1" t="s">
        <v>57</v>
      </c>
      <c r="D3326" s="2">
        <v>43467</v>
      </c>
      <c r="E3326" s="2">
        <f t="shared" si="131"/>
        <v>43497</v>
      </c>
      <c r="F3326" s="1" t="s">
        <v>58</v>
      </c>
      <c r="G3326" s="1" t="s">
        <v>16</v>
      </c>
      <c r="H3326" s="1">
        <v>-2</v>
      </c>
      <c r="I3326" s="1">
        <v>2.14</v>
      </c>
      <c r="J3326" s="1">
        <v>0</v>
      </c>
      <c r="K3326" s="2">
        <v>43771</v>
      </c>
      <c r="L3326" s="1">
        <v>3716</v>
      </c>
      <c r="M3326" s="1">
        <v>3.5</v>
      </c>
      <c r="N3326" s="1">
        <v>0.8377</v>
      </c>
      <c r="O3326" s="3">
        <f>VLOOKUP(D3326,underlying!$D$40:$H$75,5,FALSE)</f>
        <v>-2</v>
      </c>
      <c r="P3326" s="4">
        <f t="shared" si="133"/>
        <v>43507</v>
      </c>
      <c r="Q3326" s="7">
        <f>IF(G3326="C",NormalCallSprd(O3326,H3326,M3326,(P3326-A3326)/365), NormalPutSprd(O3326,H3326,M3326,(P3326-A3326)/365))</f>
        <v>2.1742191335130587</v>
      </c>
      <c r="R3326" s="9">
        <f t="shared" si="132"/>
        <v>3.4219133513058608E-2</v>
      </c>
    </row>
    <row r="3327" spans="1:18" x14ac:dyDescent="0.2">
      <c r="A3327" s="2">
        <v>42622</v>
      </c>
      <c r="B3327" s="1" t="s">
        <v>56</v>
      </c>
      <c r="C3327" s="1" t="s">
        <v>57</v>
      </c>
      <c r="D3327" s="2">
        <v>43467</v>
      </c>
      <c r="E3327" s="2">
        <f t="shared" si="131"/>
        <v>43497</v>
      </c>
      <c r="F3327" s="1" t="s">
        <v>58</v>
      </c>
      <c r="G3327" s="1" t="s">
        <v>18</v>
      </c>
      <c r="H3327" s="1">
        <v>-2</v>
      </c>
      <c r="I3327" s="1">
        <v>2.14</v>
      </c>
      <c r="J3327" s="1">
        <v>0</v>
      </c>
      <c r="K3327" s="2">
        <v>43771</v>
      </c>
      <c r="L3327" s="1">
        <v>3716</v>
      </c>
      <c r="M3327" s="1">
        <v>3.5</v>
      </c>
      <c r="N3327" s="1">
        <v>0.88044</v>
      </c>
      <c r="O3327" s="3">
        <f>VLOOKUP(D3327,underlying!$D$40:$H$75,5,FALSE)</f>
        <v>-2</v>
      </c>
      <c r="P3327" s="4">
        <f t="shared" si="133"/>
        <v>43507</v>
      </c>
      <c r="Q3327" s="7">
        <f>IF(G3327="C",NormalCallSprd(O3327,H3327,M3327,(P3327-A3327)/365), NormalPutSprd(O3327,H3327,M3327,(P3327-A3327)/365))</f>
        <v>2.1742191335130587</v>
      </c>
      <c r="R3327" s="9">
        <f t="shared" si="132"/>
        <v>3.4219133513058608E-2</v>
      </c>
    </row>
    <row r="3328" spans="1:18" x14ac:dyDescent="0.2">
      <c r="A3328" s="2">
        <v>42622</v>
      </c>
      <c r="B3328" s="1" t="s">
        <v>56</v>
      </c>
      <c r="C3328" s="1" t="s">
        <v>57</v>
      </c>
      <c r="D3328" s="2">
        <v>43467</v>
      </c>
      <c r="E3328" s="2">
        <f t="shared" si="131"/>
        <v>43497</v>
      </c>
      <c r="F3328" s="1" t="s">
        <v>58</v>
      </c>
      <c r="G3328" s="1" t="s">
        <v>16</v>
      </c>
      <c r="H3328" s="1">
        <v>-1.75</v>
      </c>
      <c r="I3328" s="1">
        <v>2.02</v>
      </c>
      <c r="J3328" s="1">
        <v>-0.01</v>
      </c>
      <c r="K3328" s="2">
        <v>43771</v>
      </c>
      <c r="L3328" s="1">
        <v>3716</v>
      </c>
      <c r="M3328" s="1">
        <v>3.51</v>
      </c>
      <c r="N3328" s="1">
        <v>-0.63263999999999998</v>
      </c>
      <c r="O3328" s="3">
        <f>VLOOKUP(D3328,underlying!$D$40:$H$75,5,FALSE)</f>
        <v>-2</v>
      </c>
      <c r="P3328" s="4">
        <f t="shared" si="133"/>
        <v>43507</v>
      </c>
      <c r="Q3328" s="7">
        <f>IF(G3328="C",NormalCallSprd(O3328,H3328,M3328,(P3328-A3328)/365), NormalPutSprd(O3328,H3328,M3328,(P3328-A3328)/365))</f>
        <v>2.0577118035969955</v>
      </c>
      <c r="R3328" s="9">
        <f t="shared" si="132"/>
        <v>3.7711803596995441E-2</v>
      </c>
    </row>
    <row r="3329" spans="1:18" x14ac:dyDescent="0.2">
      <c r="A3329" s="2">
        <v>42622</v>
      </c>
      <c r="B3329" s="1" t="s">
        <v>56</v>
      </c>
      <c r="C3329" s="1" t="s">
        <v>57</v>
      </c>
      <c r="D3329" s="2">
        <v>43467</v>
      </c>
      <c r="E3329" s="2">
        <f t="shared" si="131"/>
        <v>43497</v>
      </c>
      <c r="F3329" s="1" t="s">
        <v>58</v>
      </c>
      <c r="G3329" s="1" t="s">
        <v>18</v>
      </c>
      <c r="H3329" s="1">
        <v>-1.75</v>
      </c>
      <c r="I3329" s="1">
        <v>2.27</v>
      </c>
      <c r="J3329" s="1">
        <v>0</v>
      </c>
      <c r="K3329" s="2">
        <v>43771</v>
      </c>
      <c r="L3329" s="1">
        <v>3716</v>
      </c>
      <c r="M3329" s="1">
        <v>3.51</v>
      </c>
      <c r="N3329" s="1">
        <v>-0.61380000000000001</v>
      </c>
      <c r="O3329" s="3">
        <f>VLOOKUP(D3329,underlying!$D$40:$H$75,5,FALSE)</f>
        <v>-2</v>
      </c>
      <c r="P3329" s="4">
        <f t="shared" si="133"/>
        <v>43507</v>
      </c>
      <c r="Q3329" s="7">
        <f>IF(G3329="C",NormalCallSprd(O3329,H3329,M3329,(P3329-A3329)/365), NormalPutSprd(O3329,H3329,M3329,(P3329-A3329)/365))</f>
        <v>2.3077118035969955</v>
      </c>
      <c r="R3329" s="9">
        <f t="shared" si="132"/>
        <v>3.7711803596995441E-2</v>
      </c>
    </row>
    <row r="3330" spans="1:18" x14ac:dyDescent="0.2">
      <c r="A3330" s="2">
        <v>42622</v>
      </c>
      <c r="B3330" s="1" t="s">
        <v>56</v>
      </c>
      <c r="C3330" s="1" t="s">
        <v>57</v>
      </c>
      <c r="D3330" s="2">
        <v>43467</v>
      </c>
      <c r="E3330" s="2">
        <f t="shared" ref="E3330:E3393" si="134">DATE(YEAR(D3330),DAY(D3330),MONTH(D3330))</f>
        <v>43497</v>
      </c>
      <c r="F3330" s="1" t="s">
        <v>58</v>
      </c>
      <c r="G3330" s="1" t="s">
        <v>16</v>
      </c>
      <c r="H3330" s="1">
        <v>-1.5</v>
      </c>
      <c r="I3330" s="1">
        <v>1.9</v>
      </c>
      <c r="J3330" s="1">
        <v>0</v>
      </c>
      <c r="K3330" s="2">
        <v>43771</v>
      </c>
      <c r="L3330" s="1">
        <v>3716</v>
      </c>
      <c r="M3330" s="1">
        <v>3.5</v>
      </c>
      <c r="N3330" s="1">
        <v>-0.59426999999999996</v>
      </c>
      <c r="O3330" s="3">
        <f>VLOOKUP(D3330,underlying!$D$40:$H$75,5,FALSE)</f>
        <v>-2</v>
      </c>
      <c r="P3330" s="4">
        <f t="shared" si="133"/>
        <v>43507</v>
      </c>
      <c r="Q3330" s="7">
        <f>IF(G3330="C",NormalCallSprd(O3330,H3330,M3330,(P3330-A3330)/365), NormalPutSprd(O3330,H3330,M3330,(P3330-A3330)/365))</f>
        <v>1.9333628417978546</v>
      </c>
      <c r="R3330" s="9">
        <f t="shared" si="132"/>
        <v>3.3362841797854648E-2</v>
      </c>
    </row>
    <row r="3331" spans="1:18" x14ac:dyDescent="0.2">
      <c r="A3331" s="2">
        <v>42622</v>
      </c>
      <c r="B3331" s="1" t="s">
        <v>56</v>
      </c>
      <c r="C3331" s="1" t="s">
        <v>57</v>
      </c>
      <c r="D3331" s="2">
        <v>43467</v>
      </c>
      <c r="E3331" s="2">
        <f t="shared" si="134"/>
        <v>43497</v>
      </c>
      <c r="F3331" s="1" t="s">
        <v>58</v>
      </c>
      <c r="G3331" s="1" t="s">
        <v>18</v>
      </c>
      <c r="H3331" s="1">
        <v>-1.5</v>
      </c>
      <c r="I3331" s="1">
        <v>2.39</v>
      </c>
      <c r="J3331" s="1">
        <v>-0.01</v>
      </c>
      <c r="K3331" s="2">
        <v>43771</v>
      </c>
      <c r="L3331" s="1">
        <v>3716</v>
      </c>
      <c r="M3331" s="1">
        <v>3.5</v>
      </c>
      <c r="N3331" s="1">
        <v>-0.57471000000000005</v>
      </c>
      <c r="O3331" s="3">
        <f>VLOOKUP(D3331,underlying!$D$40:$H$75,5,FALSE)</f>
        <v>-2</v>
      </c>
      <c r="P3331" s="4">
        <f t="shared" si="133"/>
        <v>43507</v>
      </c>
      <c r="Q3331" s="7">
        <f>IF(G3331="C",NormalCallSprd(O3331,H3331,M3331,(P3331-A3331)/365), NormalPutSprd(O3331,H3331,M3331,(P3331-A3331)/365))</f>
        <v>2.4333628417978548</v>
      </c>
      <c r="R3331" s="9">
        <f t="shared" ref="R3331:R3394" si="135">ABS(Q3331-I3331)</f>
        <v>4.3362841797854657E-2</v>
      </c>
    </row>
    <row r="3332" spans="1:18" x14ac:dyDescent="0.2">
      <c r="A3332" s="2">
        <v>42622</v>
      </c>
      <c r="B3332" s="1" t="s">
        <v>56</v>
      </c>
      <c r="C3332" s="1" t="s">
        <v>57</v>
      </c>
      <c r="D3332" s="2">
        <v>43467</v>
      </c>
      <c r="E3332" s="2">
        <f t="shared" si="134"/>
        <v>43497</v>
      </c>
      <c r="F3332" s="1" t="s">
        <v>58</v>
      </c>
      <c r="G3332" s="1" t="s">
        <v>16</v>
      </c>
      <c r="H3332" s="1">
        <v>-1.25</v>
      </c>
      <c r="I3332" s="1">
        <v>1.79</v>
      </c>
      <c r="J3332" s="1">
        <v>0</v>
      </c>
      <c r="K3332" s="2">
        <v>43771</v>
      </c>
      <c r="L3332" s="1">
        <v>3716</v>
      </c>
      <c r="M3332" s="1">
        <v>3.5</v>
      </c>
      <c r="N3332" s="1">
        <v>-0.55447999999999997</v>
      </c>
      <c r="O3332" s="3">
        <f>VLOOKUP(D3332,underlying!$D$40:$H$75,5,FALSE)</f>
        <v>-2</v>
      </c>
      <c r="P3332" s="4">
        <f t="shared" si="133"/>
        <v>43507</v>
      </c>
      <c r="Q3332" s="7">
        <f>IF(G3332="C",NormalCallSprd(O3332,H3332,M3332,(P3332-A3332)/365), NormalPutSprd(O3332,H3332,M3332,(P3332-A3332)/365))</f>
        <v>1.8197744758370269</v>
      </c>
      <c r="R3332" s="9">
        <f t="shared" si="135"/>
        <v>2.9774475837026859E-2</v>
      </c>
    </row>
    <row r="3333" spans="1:18" x14ac:dyDescent="0.2">
      <c r="A3333" s="2">
        <v>42622</v>
      </c>
      <c r="B3333" s="1" t="s">
        <v>56</v>
      </c>
      <c r="C3333" s="1" t="s">
        <v>57</v>
      </c>
      <c r="D3333" s="2">
        <v>43467</v>
      </c>
      <c r="E3333" s="2">
        <f t="shared" si="134"/>
        <v>43497</v>
      </c>
      <c r="F3333" s="1" t="s">
        <v>58</v>
      </c>
      <c r="G3333" s="1" t="s">
        <v>18</v>
      </c>
      <c r="H3333" s="1">
        <v>-1.25</v>
      </c>
      <c r="I3333" s="1">
        <v>2.5299999999999998</v>
      </c>
      <c r="J3333" s="1">
        <v>0</v>
      </c>
      <c r="K3333" s="2">
        <v>43771</v>
      </c>
      <c r="L3333" s="1">
        <v>3716</v>
      </c>
      <c r="M3333" s="1">
        <v>3.5</v>
      </c>
      <c r="N3333" s="1">
        <v>-0.53432000000000002</v>
      </c>
      <c r="O3333" s="3">
        <f>VLOOKUP(D3333,underlying!$D$40:$H$75,5,FALSE)</f>
        <v>-2</v>
      </c>
      <c r="P3333" s="4">
        <f t="shared" si="133"/>
        <v>43507</v>
      </c>
      <c r="Q3333" s="7">
        <f>IF(G3333="C",NormalCallSprd(O3333,H3333,M3333,(P3333-A3333)/365), NormalPutSprd(O3333,H3333,M3333,(P3333-A3333)/365))</f>
        <v>2.5697744758370269</v>
      </c>
      <c r="R3333" s="9">
        <f t="shared" si="135"/>
        <v>3.977447583702709E-2</v>
      </c>
    </row>
    <row r="3334" spans="1:18" x14ac:dyDescent="0.2">
      <c r="A3334" s="2">
        <v>42622</v>
      </c>
      <c r="B3334" s="1" t="s">
        <v>56</v>
      </c>
      <c r="C3334" s="1" t="s">
        <v>57</v>
      </c>
      <c r="D3334" s="2">
        <v>43467</v>
      </c>
      <c r="E3334" s="2">
        <f t="shared" si="134"/>
        <v>43497</v>
      </c>
      <c r="F3334" s="1" t="s">
        <v>58</v>
      </c>
      <c r="G3334" s="1" t="s">
        <v>16</v>
      </c>
      <c r="H3334" s="1">
        <v>-1</v>
      </c>
      <c r="I3334" s="1">
        <v>1.68</v>
      </c>
      <c r="J3334" s="1">
        <v>0</v>
      </c>
      <c r="K3334" s="2">
        <v>43771</v>
      </c>
      <c r="L3334" s="1">
        <v>3716</v>
      </c>
      <c r="M3334" s="1">
        <v>3.49</v>
      </c>
      <c r="N3334" s="1">
        <v>-0.51398999999999995</v>
      </c>
      <c r="O3334" s="3">
        <f>VLOOKUP(D3334,underlying!$D$40:$H$75,5,FALSE)</f>
        <v>-2</v>
      </c>
      <c r="P3334" s="4">
        <f t="shared" si="133"/>
        <v>43507</v>
      </c>
      <c r="Q3334" s="7">
        <f>IF(G3334="C",NormalCallSprd(O3334,H3334,M3334,(P3334-A3334)/365), NormalPutSprd(O3334,H3334,M3334,(P3334-A3334)/365))</f>
        <v>1.7046092113630296</v>
      </c>
      <c r="R3334" s="9">
        <f t="shared" si="135"/>
        <v>2.4609211363029626E-2</v>
      </c>
    </row>
    <row r="3335" spans="1:18" x14ac:dyDescent="0.2">
      <c r="A3335" s="2">
        <v>42622</v>
      </c>
      <c r="B3335" s="1" t="s">
        <v>56</v>
      </c>
      <c r="C3335" s="1" t="s">
        <v>57</v>
      </c>
      <c r="D3335" s="2">
        <v>43467</v>
      </c>
      <c r="E3335" s="2">
        <f t="shared" si="134"/>
        <v>43497</v>
      </c>
      <c r="F3335" s="1" t="s">
        <v>58</v>
      </c>
      <c r="G3335" s="1" t="s">
        <v>18</v>
      </c>
      <c r="H3335" s="1">
        <v>-1</v>
      </c>
      <c r="I3335" s="1">
        <v>2.66</v>
      </c>
      <c r="J3335" s="1">
        <v>0</v>
      </c>
      <c r="K3335" s="2">
        <v>43771</v>
      </c>
      <c r="L3335" s="1">
        <v>3716</v>
      </c>
      <c r="M3335" s="1">
        <v>3.49</v>
      </c>
      <c r="N3335" s="1">
        <v>-0.49371999999999999</v>
      </c>
      <c r="O3335" s="3">
        <f>VLOOKUP(D3335,underlying!$D$40:$H$75,5,FALSE)</f>
        <v>-2</v>
      </c>
      <c r="P3335" s="4">
        <f t="shared" si="133"/>
        <v>43507</v>
      </c>
      <c r="Q3335" s="7">
        <f>IF(G3335="C",NormalCallSprd(O3335,H3335,M3335,(P3335-A3335)/365), NormalPutSprd(O3335,H3335,M3335,(P3335-A3335)/365))</f>
        <v>2.7046092113630298</v>
      </c>
      <c r="R3335" s="9">
        <f t="shared" si="135"/>
        <v>4.4609211363029644E-2</v>
      </c>
    </row>
    <row r="3336" spans="1:18" x14ac:dyDescent="0.2">
      <c r="A3336" s="2">
        <v>42622</v>
      </c>
      <c r="B3336" s="1" t="s">
        <v>56</v>
      </c>
      <c r="C3336" s="1" t="s">
        <v>57</v>
      </c>
      <c r="D3336" s="2">
        <v>43467</v>
      </c>
      <c r="E3336" s="2">
        <f t="shared" si="134"/>
        <v>43497</v>
      </c>
      <c r="F3336" s="1" t="s">
        <v>58</v>
      </c>
      <c r="G3336" s="1" t="s">
        <v>16</v>
      </c>
      <c r="H3336" s="1">
        <v>-0.75</v>
      </c>
      <c r="I3336" s="1">
        <v>1.58</v>
      </c>
      <c r="J3336" s="1">
        <v>0</v>
      </c>
      <c r="K3336" s="2">
        <v>43771</v>
      </c>
      <c r="L3336" s="1">
        <v>3716</v>
      </c>
      <c r="M3336" s="1">
        <v>3.5</v>
      </c>
      <c r="N3336" s="1">
        <v>-0.47345999999999999</v>
      </c>
      <c r="O3336" s="3">
        <f>VLOOKUP(D3336,underlying!$D$40:$H$75,5,FALSE)</f>
        <v>-2</v>
      </c>
      <c r="P3336" s="4">
        <f t="shared" si="133"/>
        <v>43507</v>
      </c>
      <c r="Q3336" s="7">
        <f>IF(G3336="C",NormalCallSprd(O3336,H3336,M3336,(P3336-A3336)/365), NormalPutSprd(O3336,H3336,M3336,(P3336-A3336)/365))</f>
        <v>1.6061579989010457</v>
      </c>
      <c r="R3336" s="9">
        <f t="shared" si="135"/>
        <v>2.6157998901045643E-2</v>
      </c>
    </row>
    <row r="3337" spans="1:18" x14ac:dyDescent="0.2">
      <c r="A3337" s="2">
        <v>42622</v>
      </c>
      <c r="B3337" s="1" t="s">
        <v>56</v>
      </c>
      <c r="C3337" s="1" t="s">
        <v>57</v>
      </c>
      <c r="D3337" s="2">
        <v>43467</v>
      </c>
      <c r="E3337" s="2">
        <f t="shared" si="134"/>
        <v>43497</v>
      </c>
      <c r="F3337" s="1" t="s">
        <v>58</v>
      </c>
      <c r="G3337" s="1" t="s">
        <v>18</v>
      </c>
      <c r="H3337" s="1">
        <v>-0.75</v>
      </c>
      <c r="I3337" s="1">
        <v>2.81</v>
      </c>
      <c r="J3337" s="1">
        <v>0</v>
      </c>
      <c r="K3337" s="2">
        <v>43771</v>
      </c>
      <c r="L3337" s="1">
        <v>3716</v>
      </c>
      <c r="M3337" s="1">
        <v>3.5</v>
      </c>
      <c r="N3337" s="1">
        <v>-0.45312999999999998</v>
      </c>
      <c r="O3337" s="3">
        <f>VLOOKUP(D3337,underlying!$D$40:$H$75,5,FALSE)</f>
        <v>-2</v>
      </c>
      <c r="P3337" s="4">
        <f t="shared" si="133"/>
        <v>43507</v>
      </c>
      <c r="Q3337" s="7">
        <f>IF(G3337="C",NormalCallSprd(O3337,H3337,M3337,(P3337-A3337)/365), NormalPutSprd(O3337,H3337,M3337,(P3337-A3337)/365))</f>
        <v>2.8561579989010455</v>
      </c>
      <c r="R3337" s="9">
        <f t="shared" si="135"/>
        <v>4.6157998901045438E-2</v>
      </c>
    </row>
    <row r="3338" spans="1:18" x14ac:dyDescent="0.2">
      <c r="A3338" s="2">
        <v>42622</v>
      </c>
      <c r="B3338" s="1" t="s">
        <v>56</v>
      </c>
      <c r="C3338" s="1" t="s">
        <v>57</v>
      </c>
      <c r="D3338" s="2">
        <v>43467</v>
      </c>
      <c r="E3338" s="2">
        <f t="shared" si="134"/>
        <v>43497</v>
      </c>
      <c r="F3338" s="1" t="s">
        <v>58</v>
      </c>
      <c r="G3338" s="1" t="s">
        <v>16</v>
      </c>
      <c r="H3338" s="1">
        <v>-0.5</v>
      </c>
      <c r="I3338" s="1">
        <v>1.48</v>
      </c>
      <c r="J3338" s="1">
        <v>0</v>
      </c>
      <c r="K3338" s="2">
        <v>43771</v>
      </c>
      <c r="L3338" s="1">
        <v>3716</v>
      </c>
      <c r="M3338" s="1">
        <v>3.5</v>
      </c>
      <c r="N3338" s="1">
        <v>-0.43297000000000002</v>
      </c>
      <c r="O3338" s="3">
        <f>VLOOKUP(D3338,underlying!$D$40:$H$75,5,FALSE)</f>
        <v>-2</v>
      </c>
      <c r="P3338" s="4">
        <f t="shared" si="133"/>
        <v>43507</v>
      </c>
      <c r="Q3338" s="7">
        <f>IF(G3338="C",NormalCallSprd(O3338,H3338,M3338,(P3338-A3338)/365), NormalPutSprd(O3338,H3338,M3338,(P3338-A3338)/365))</f>
        <v>1.5060542757089139</v>
      </c>
      <c r="R3338" s="9">
        <f t="shared" si="135"/>
        <v>2.6054275708913943E-2</v>
      </c>
    </row>
    <row r="3339" spans="1:18" x14ac:dyDescent="0.2">
      <c r="A3339" s="2">
        <v>42622</v>
      </c>
      <c r="B3339" s="1" t="s">
        <v>56</v>
      </c>
      <c r="C3339" s="1" t="s">
        <v>57</v>
      </c>
      <c r="D3339" s="2">
        <v>43467</v>
      </c>
      <c r="E3339" s="2">
        <f t="shared" si="134"/>
        <v>43497</v>
      </c>
      <c r="F3339" s="1" t="s">
        <v>58</v>
      </c>
      <c r="G3339" s="1" t="s">
        <v>18</v>
      </c>
      <c r="H3339" s="1">
        <v>-0.5</v>
      </c>
      <c r="I3339" s="1">
        <v>2.96</v>
      </c>
      <c r="J3339" s="1">
        <v>0</v>
      </c>
      <c r="K3339" s="2">
        <v>43771</v>
      </c>
      <c r="L3339" s="1">
        <v>3716</v>
      </c>
      <c r="M3339" s="1">
        <v>3.5</v>
      </c>
      <c r="N3339" s="1">
        <v>-0.41274</v>
      </c>
      <c r="O3339" s="3">
        <f>VLOOKUP(D3339,underlying!$D$40:$H$75,5,FALSE)</f>
        <v>-2</v>
      </c>
      <c r="P3339" s="4">
        <f t="shared" si="133"/>
        <v>43507</v>
      </c>
      <c r="Q3339" s="7">
        <f>IF(G3339="C",NormalCallSprd(O3339,H3339,M3339,(P3339-A3339)/365), NormalPutSprd(O3339,H3339,M3339,(P3339-A3339)/365))</f>
        <v>3.0060542757089137</v>
      </c>
      <c r="R3339" s="9">
        <f t="shared" si="135"/>
        <v>4.6054275708913739E-2</v>
      </c>
    </row>
    <row r="3340" spans="1:18" x14ac:dyDescent="0.2">
      <c r="A3340" s="2">
        <v>42622</v>
      </c>
      <c r="B3340" s="1" t="s">
        <v>56</v>
      </c>
      <c r="C3340" s="1" t="s">
        <v>57</v>
      </c>
      <c r="D3340" s="2">
        <v>43467</v>
      </c>
      <c r="E3340" s="2">
        <f t="shared" si="134"/>
        <v>43497</v>
      </c>
      <c r="F3340" s="1" t="s">
        <v>58</v>
      </c>
      <c r="G3340" s="1" t="s">
        <v>16</v>
      </c>
      <c r="H3340" s="1">
        <v>-0.25</v>
      </c>
      <c r="I3340" s="1">
        <v>1.39</v>
      </c>
      <c r="J3340" s="1">
        <v>-0.01</v>
      </c>
      <c r="K3340" s="2">
        <v>43771</v>
      </c>
      <c r="L3340" s="1">
        <v>3716</v>
      </c>
      <c r="M3340" s="1">
        <v>3.51</v>
      </c>
      <c r="N3340" s="1">
        <v>-0.39345999999999998</v>
      </c>
      <c r="O3340" s="3">
        <f>VLOOKUP(D3340,underlying!$D$40:$H$75,5,FALSE)</f>
        <v>-2</v>
      </c>
      <c r="P3340" s="4">
        <f t="shared" si="133"/>
        <v>43507</v>
      </c>
      <c r="Q3340" s="7">
        <f>IF(G3340="C",NormalCallSprd(O3340,H3340,M3340,(P3340-A3340)/365), NormalPutSprd(O3340,H3340,M3340,(P3340-A3340)/365))</f>
        <v>1.4162556362480851</v>
      </c>
      <c r="R3340" s="9">
        <f t="shared" si="135"/>
        <v>2.6255636248085246E-2</v>
      </c>
    </row>
    <row r="3341" spans="1:18" x14ac:dyDescent="0.2">
      <c r="A3341" s="2">
        <v>42622</v>
      </c>
      <c r="B3341" s="1" t="s">
        <v>56</v>
      </c>
      <c r="C3341" s="1" t="s">
        <v>57</v>
      </c>
      <c r="D3341" s="2">
        <v>43467</v>
      </c>
      <c r="E3341" s="2">
        <f t="shared" si="134"/>
        <v>43497</v>
      </c>
      <c r="F3341" s="1" t="s">
        <v>58</v>
      </c>
      <c r="G3341" s="1" t="s">
        <v>18</v>
      </c>
      <c r="H3341" s="1">
        <v>-0.25</v>
      </c>
      <c r="I3341" s="1">
        <v>3.11</v>
      </c>
      <c r="J3341" s="1">
        <v>-0.01</v>
      </c>
      <c r="K3341" s="2">
        <v>43771</v>
      </c>
      <c r="L3341" s="1">
        <v>3716</v>
      </c>
      <c r="M3341" s="1">
        <v>3.51</v>
      </c>
      <c r="N3341" s="1">
        <v>-0.37330999999999998</v>
      </c>
      <c r="O3341" s="3">
        <f>VLOOKUP(D3341,underlying!$D$40:$H$75,5,FALSE)</f>
        <v>-2</v>
      </c>
      <c r="P3341" s="4">
        <f t="shared" si="133"/>
        <v>43507</v>
      </c>
      <c r="Q3341" s="7">
        <f>IF(G3341="C",NormalCallSprd(O3341,H3341,M3341,(P3341-A3341)/365), NormalPutSprd(O3341,H3341,M3341,(P3341-A3341)/365))</f>
        <v>3.1662556362480854</v>
      </c>
      <c r="R3341" s="9">
        <f t="shared" si="135"/>
        <v>5.6255636248085494E-2</v>
      </c>
    </row>
    <row r="3342" spans="1:18" x14ac:dyDescent="0.2">
      <c r="A3342" s="2">
        <v>42622</v>
      </c>
      <c r="B3342" s="1" t="s">
        <v>56</v>
      </c>
      <c r="C3342" s="1" t="s">
        <v>57</v>
      </c>
      <c r="D3342" s="2">
        <v>43468</v>
      </c>
      <c r="E3342" s="2">
        <f t="shared" si="134"/>
        <v>43525</v>
      </c>
      <c r="F3342" s="1" t="s">
        <v>58</v>
      </c>
      <c r="G3342" s="1" t="s">
        <v>16</v>
      </c>
      <c r="H3342" s="1">
        <v>-8</v>
      </c>
      <c r="I3342" s="1">
        <v>6.49</v>
      </c>
      <c r="J3342" s="1">
        <v>-0.01</v>
      </c>
      <c r="K3342" s="2">
        <v>43772</v>
      </c>
      <c r="L3342" s="1">
        <v>3716</v>
      </c>
      <c r="M3342" s="1">
        <v>3.49</v>
      </c>
      <c r="N3342" s="1">
        <v>-0.35481000000000001</v>
      </c>
      <c r="O3342" s="3">
        <f>VLOOKUP(D3342,underlying!$D$40:$H$75,5,FALSE)</f>
        <v>-1.75</v>
      </c>
      <c r="P3342" s="4">
        <f t="shared" si="133"/>
        <v>43535</v>
      </c>
      <c r="Q3342" s="7">
        <f>IF(G3342="C",NormalCallSprd(O3342,H3342,M3342,(P3342-A3342)/365), NormalPutSprd(O3342,H3342,M3342,(P3342-A3342)/365))</f>
        <v>6.6051830200779165</v>
      </c>
      <c r="R3342" s="9">
        <f t="shared" si="135"/>
        <v>0.11518302007791625</v>
      </c>
    </row>
    <row r="3343" spans="1:18" x14ac:dyDescent="0.2">
      <c r="A3343" s="2">
        <v>42622</v>
      </c>
      <c r="B3343" s="1" t="s">
        <v>56</v>
      </c>
      <c r="C3343" s="1" t="s">
        <v>57</v>
      </c>
      <c r="D3343" s="2">
        <v>43468</v>
      </c>
      <c r="E3343" s="2">
        <f t="shared" si="134"/>
        <v>43525</v>
      </c>
      <c r="F3343" s="1" t="s">
        <v>58</v>
      </c>
      <c r="G3343" s="1" t="s">
        <v>18</v>
      </c>
      <c r="H3343" s="1">
        <v>-8</v>
      </c>
      <c r="I3343" s="1">
        <v>0.35</v>
      </c>
      <c r="J3343" s="1">
        <v>0</v>
      </c>
      <c r="K3343" s="2">
        <v>43772</v>
      </c>
      <c r="L3343" s="1">
        <v>3716</v>
      </c>
      <c r="M3343" s="1">
        <v>3.49</v>
      </c>
      <c r="N3343" s="1">
        <v>-0.33513999999999999</v>
      </c>
      <c r="O3343" s="3">
        <f>VLOOKUP(D3343,underlying!$D$40:$H$75,5,FALSE)</f>
        <v>-1.75</v>
      </c>
      <c r="P3343" s="4">
        <f t="shared" si="133"/>
        <v>43535</v>
      </c>
      <c r="Q3343" s="7">
        <f>IF(G3343="C",NormalCallSprd(O3343,H3343,M3343,(P3343-A3343)/365), NormalPutSprd(O3343,H3343,M3343,(P3343-A3343)/365))</f>
        <v>0.35518302007791608</v>
      </c>
      <c r="R3343" s="9">
        <f t="shared" si="135"/>
        <v>5.1830200779161006E-3</v>
      </c>
    </row>
    <row r="3344" spans="1:18" x14ac:dyDescent="0.2">
      <c r="A3344" s="2">
        <v>42622</v>
      </c>
      <c r="B3344" s="1" t="s">
        <v>56</v>
      </c>
      <c r="C3344" s="1" t="s">
        <v>57</v>
      </c>
      <c r="D3344" s="2">
        <v>43468</v>
      </c>
      <c r="E3344" s="2">
        <f t="shared" si="134"/>
        <v>43525</v>
      </c>
      <c r="F3344" s="1" t="s">
        <v>58</v>
      </c>
      <c r="G3344" s="1" t="s">
        <v>16</v>
      </c>
      <c r="H3344" s="1">
        <v>-7</v>
      </c>
      <c r="I3344" s="1">
        <v>5.65</v>
      </c>
      <c r="J3344" s="1">
        <v>-0.01</v>
      </c>
      <c r="K3344" s="2">
        <v>43772</v>
      </c>
      <c r="L3344" s="1">
        <v>3716</v>
      </c>
      <c r="M3344" s="1">
        <v>3.49</v>
      </c>
      <c r="N3344" s="1">
        <v>-0.31757000000000002</v>
      </c>
      <c r="O3344" s="3">
        <f>VLOOKUP(D3344,underlying!$D$40:$H$75,5,FALSE)</f>
        <v>-1.75</v>
      </c>
      <c r="P3344" s="4">
        <f t="shared" si="133"/>
        <v>43535</v>
      </c>
      <c r="Q3344" s="7">
        <f>IF(G3344="C",NormalCallSprd(O3344,H3344,M3344,(P3344-A3344)/365), NormalPutSprd(O3344,H3344,M3344,(P3344-A3344)/365))</f>
        <v>5.7542825018165082</v>
      </c>
      <c r="R3344" s="9">
        <f t="shared" si="135"/>
        <v>0.10428250181650789</v>
      </c>
    </row>
    <row r="3345" spans="1:18" x14ac:dyDescent="0.2">
      <c r="A3345" s="2">
        <v>42622</v>
      </c>
      <c r="B3345" s="1" t="s">
        <v>56</v>
      </c>
      <c r="C3345" s="1" t="s">
        <v>57</v>
      </c>
      <c r="D3345" s="2">
        <v>43468</v>
      </c>
      <c r="E3345" s="2">
        <f t="shared" si="134"/>
        <v>43525</v>
      </c>
      <c r="F3345" s="1" t="s">
        <v>58</v>
      </c>
      <c r="G3345" s="1" t="s">
        <v>18</v>
      </c>
      <c r="H3345" s="1">
        <v>-7</v>
      </c>
      <c r="I3345" s="1">
        <v>0.5</v>
      </c>
      <c r="J3345" s="1">
        <v>0</v>
      </c>
      <c r="K3345" s="2">
        <v>43772</v>
      </c>
      <c r="L3345" s="1">
        <v>3716</v>
      </c>
      <c r="M3345" s="1">
        <v>3.49</v>
      </c>
      <c r="N3345" s="1">
        <v>-0.29958000000000001</v>
      </c>
      <c r="O3345" s="3">
        <f>VLOOKUP(D3345,underlying!$D$40:$H$75,5,FALSE)</f>
        <v>-1.75</v>
      </c>
      <c r="P3345" s="4">
        <f t="shared" si="133"/>
        <v>43535</v>
      </c>
      <c r="Q3345" s="7">
        <f>IF(G3345="C",NormalCallSprd(O3345,H3345,M3345,(P3345-A3345)/365), NormalPutSprd(O3345,H3345,M3345,(P3345-A3345)/365))</f>
        <v>0.50428250181650824</v>
      </c>
      <c r="R3345" s="9">
        <f t="shared" si="135"/>
        <v>4.282501816508244E-3</v>
      </c>
    </row>
    <row r="3346" spans="1:18" x14ac:dyDescent="0.2">
      <c r="A3346" s="2">
        <v>42622</v>
      </c>
      <c r="B3346" s="1" t="s">
        <v>56</v>
      </c>
      <c r="C3346" s="1" t="s">
        <v>57</v>
      </c>
      <c r="D3346" s="2">
        <v>43468</v>
      </c>
      <c r="E3346" s="2">
        <f t="shared" si="134"/>
        <v>43525</v>
      </c>
      <c r="F3346" s="1" t="s">
        <v>58</v>
      </c>
      <c r="G3346" s="1" t="s">
        <v>16</v>
      </c>
      <c r="H3346" s="1">
        <v>-6</v>
      </c>
      <c r="I3346" s="1">
        <v>4.87</v>
      </c>
      <c r="J3346" s="1">
        <v>0</v>
      </c>
      <c r="K3346" s="2">
        <v>43772</v>
      </c>
      <c r="L3346" s="1">
        <v>3716</v>
      </c>
      <c r="M3346" s="1">
        <v>3.5</v>
      </c>
      <c r="N3346" s="1">
        <v>-0.28205999999999998</v>
      </c>
      <c r="O3346" s="3">
        <f>VLOOKUP(D3346,underlying!$D$40:$H$75,5,FALSE)</f>
        <v>-1.75</v>
      </c>
      <c r="P3346" s="4">
        <f t="shared" si="133"/>
        <v>43535</v>
      </c>
      <c r="Q3346" s="7">
        <f>IF(G3346="C",NormalCallSprd(O3346,H3346,M3346,(P3346-A3346)/365), NormalPutSprd(O3346,H3346,M3346,(P3346-A3346)/365))</f>
        <v>4.9540426249090679</v>
      </c>
      <c r="R3346" s="9">
        <f t="shared" si="135"/>
        <v>8.4042624909067776E-2</v>
      </c>
    </row>
    <row r="3347" spans="1:18" x14ac:dyDescent="0.2">
      <c r="A3347" s="2">
        <v>42622</v>
      </c>
      <c r="B3347" s="1" t="s">
        <v>56</v>
      </c>
      <c r="C3347" s="1" t="s">
        <v>57</v>
      </c>
      <c r="D3347" s="2">
        <v>43468</v>
      </c>
      <c r="E3347" s="2">
        <f t="shared" si="134"/>
        <v>43525</v>
      </c>
      <c r="F3347" s="1" t="s">
        <v>58</v>
      </c>
      <c r="G3347" s="1" t="s">
        <v>18</v>
      </c>
      <c r="H3347" s="1">
        <v>-6</v>
      </c>
      <c r="I3347" s="1">
        <v>0.69</v>
      </c>
      <c r="J3347" s="1">
        <v>0</v>
      </c>
      <c r="K3347" s="2">
        <v>43772</v>
      </c>
      <c r="L3347" s="1">
        <v>3716</v>
      </c>
      <c r="M3347" s="1">
        <v>3.5</v>
      </c>
      <c r="N3347" s="1">
        <v>-0.26504</v>
      </c>
      <c r="O3347" s="3">
        <f>VLOOKUP(D3347,underlying!$D$40:$H$75,5,FALSE)</f>
        <v>-1.75</v>
      </c>
      <c r="P3347" s="4">
        <f t="shared" si="133"/>
        <v>43535</v>
      </c>
      <c r="Q3347" s="7">
        <f>IF(G3347="C",NormalCallSprd(O3347,H3347,M3347,(P3347-A3347)/365), NormalPutSprd(O3347,H3347,M3347,(P3347-A3347)/365))</f>
        <v>0.70404262490906777</v>
      </c>
      <c r="R3347" s="9">
        <f t="shared" si="135"/>
        <v>1.4042624909067825E-2</v>
      </c>
    </row>
    <row r="3348" spans="1:18" x14ac:dyDescent="0.2">
      <c r="A3348" s="2">
        <v>42622</v>
      </c>
      <c r="B3348" s="1" t="s">
        <v>56</v>
      </c>
      <c r="C3348" s="1" t="s">
        <v>57</v>
      </c>
      <c r="D3348" s="2">
        <v>43468</v>
      </c>
      <c r="E3348" s="2">
        <f t="shared" si="134"/>
        <v>43525</v>
      </c>
      <c r="F3348" s="1" t="s">
        <v>58</v>
      </c>
      <c r="G3348" s="1" t="s">
        <v>16</v>
      </c>
      <c r="H3348" s="1">
        <v>-5</v>
      </c>
      <c r="I3348" s="1">
        <v>4.1399999999999997</v>
      </c>
      <c r="J3348" s="1">
        <v>0</v>
      </c>
      <c r="K3348" s="2">
        <v>43772</v>
      </c>
      <c r="L3348" s="1">
        <v>3716</v>
      </c>
      <c r="M3348" s="1">
        <v>3.51</v>
      </c>
      <c r="N3348" s="1">
        <v>-0.24856</v>
      </c>
      <c r="O3348" s="3">
        <f>VLOOKUP(D3348,underlying!$D$40:$H$75,5,FALSE)</f>
        <v>-1.75</v>
      </c>
      <c r="P3348" s="4">
        <f t="shared" si="133"/>
        <v>43535</v>
      </c>
      <c r="Q3348" s="7">
        <f>IF(G3348="C",NormalCallSprd(O3348,H3348,M3348,(P3348-A3348)/365), NormalPutSprd(O3348,H3348,M3348,(P3348-A3348)/365))</f>
        <v>4.208709429602024</v>
      </c>
      <c r="R3348" s="9">
        <f t="shared" si="135"/>
        <v>6.8709429602024308E-2</v>
      </c>
    </row>
    <row r="3349" spans="1:18" x14ac:dyDescent="0.2">
      <c r="A3349" s="2">
        <v>42622</v>
      </c>
      <c r="B3349" s="1" t="s">
        <v>56</v>
      </c>
      <c r="C3349" s="1" t="s">
        <v>57</v>
      </c>
      <c r="D3349" s="2">
        <v>43468</v>
      </c>
      <c r="E3349" s="2">
        <f t="shared" si="134"/>
        <v>43525</v>
      </c>
      <c r="F3349" s="1" t="s">
        <v>58</v>
      </c>
      <c r="G3349" s="1" t="s">
        <v>18</v>
      </c>
      <c r="H3349" s="1">
        <v>-5</v>
      </c>
      <c r="I3349" s="1">
        <v>0.94</v>
      </c>
      <c r="J3349" s="1">
        <v>0</v>
      </c>
      <c r="K3349" s="2">
        <v>43772</v>
      </c>
      <c r="L3349" s="1">
        <v>3716</v>
      </c>
      <c r="M3349" s="1">
        <v>3.51</v>
      </c>
      <c r="N3349" s="1">
        <v>-0.23263</v>
      </c>
      <c r="O3349" s="3">
        <f>VLOOKUP(D3349,underlying!$D$40:$H$75,5,FALSE)</f>
        <v>-1.75</v>
      </c>
      <c r="P3349" s="4">
        <f t="shared" si="133"/>
        <v>43535</v>
      </c>
      <c r="Q3349" s="7">
        <f>IF(G3349="C",NormalCallSprd(O3349,H3349,M3349,(P3349-A3349)/365), NormalPutSprd(O3349,H3349,M3349,(P3349-A3349)/365))</f>
        <v>0.95870942960202366</v>
      </c>
      <c r="R3349" s="9">
        <f t="shared" si="135"/>
        <v>1.8709429602023708E-2</v>
      </c>
    </row>
    <row r="3350" spans="1:18" x14ac:dyDescent="0.2">
      <c r="A3350" s="2">
        <v>42622</v>
      </c>
      <c r="B3350" s="1" t="s">
        <v>56</v>
      </c>
      <c r="C3350" s="1" t="s">
        <v>57</v>
      </c>
      <c r="D3350" s="2">
        <v>43468</v>
      </c>
      <c r="E3350" s="2">
        <f t="shared" si="134"/>
        <v>43525</v>
      </c>
      <c r="F3350" s="1" t="s">
        <v>58</v>
      </c>
      <c r="G3350" s="1" t="s">
        <v>16</v>
      </c>
      <c r="H3350" s="1">
        <v>-4.75</v>
      </c>
      <c r="I3350" s="1">
        <v>3.96</v>
      </c>
      <c r="J3350" s="1">
        <v>-0.01</v>
      </c>
      <c r="K3350" s="2">
        <v>43772</v>
      </c>
      <c r="L3350" s="1">
        <v>3716</v>
      </c>
      <c r="M3350" s="1">
        <v>3.51</v>
      </c>
      <c r="N3350" s="1">
        <v>-0.21729000000000001</v>
      </c>
      <c r="O3350" s="3">
        <f>VLOOKUP(D3350,underlying!$D$40:$H$75,5,FALSE)</f>
        <v>-1.75</v>
      </c>
      <c r="P3350" s="4">
        <f t="shared" si="133"/>
        <v>43535</v>
      </c>
      <c r="Q3350" s="7">
        <f>IF(G3350="C",NormalCallSprd(O3350,H3350,M3350,(P3350-A3350)/365), NormalPutSprd(O3350,H3350,M3350,(P3350-A3350)/365))</f>
        <v>4.0303988465197866</v>
      </c>
      <c r="R3350" s="9">
        <f t="shared" si="135"/>
        <v>7.0398846519786673E-2</v>
      </c>
    </row>
    <row r="3351" spans="1:18" x14ac:dyDescent="0.2">
      <c r="A3351" s="2">
        <v>42622</v>
      </c>
      <c r="B3351" s="1" t="s">
        <v>56</v>
      </c>
      <c r="C3351" s="1" t="s">
        <v>57</v>
      </c>
      <c r="D3351" s="2">
        <v>43468</v>
      </c>
      <c r="E3351" s="2">
        <f t="shared" si="134"/>
        <v>43525</v>
      </c>
      <c r="F3351" s="1" t="s">
        <v>58</v>
      </c>
      <c r="G3351" s="1" t="s">
        <v>18</v>
      </c>
      <c r="H3351" s="1">
        <v>-4.75</v>
      </c>
      <c r="I3351" s="1">
        <v>1.01</v>
      </c>
      <c r="J3351" s="1">
        <v>0</v>
      </c>
      <c r="K3351" s="2">
        <v>43772</v>
      </c>
      <c r="L3351" s="1">
        <v>3716</v>
      </c>
      <c r="M3351" s="1">
        <v>3.51</v>
      </c>
      <c r="N3351" s="1">
        <v>-0.20254</v>
      </c>
      <c r="O3351" s="3">
        <f>VLOOKUP(D3351,underlying!$D$40:$H$75,5,FALSE)</f>
        <v>-1.75</v>
      </c>
      <c r="P3351" s="4">
        <f t="shared" si="133"/>
        <v>43535</v>
      </c>
      <c r="Q3351" s="7">
        <f>IF(G3351="C",NormalCallSprd(O3351,H3351,M3351,(P3351-A3351)/365), NormalPutSprd(O3351,H3351,M3351,(P3351-A3351)/365))</f>
        <v>1.0303988465197862</v>
      </c>
      <c r="R3351" s="9">
        <f t="shared" si="135"/>
        <v>2.0398846519786185E-2</v>
      </c>
    </row>
    <row r="3352" spans="1:18" x14ac:dyDescent="0.2">
      <c r="A3352" s="2">
        <v>42622</v>
      </c>
      <c r="B3352" s="1" t="s">
        <v>56</v>
      </c>
      <c r="C3352" s="1" t="s">
        <v>57</v>
      </c>
      <c r="D3352" s="2">
        <v>43468</v>
      </c>
      <c r="E3352" s="2">
        <f t="shared" si="134"/>
        <v>43525</v>
      </c>
      <c r="F3352" s="1" t="s">
        <v>58</v>
      </c>
      <c r="G3352" s="1" t="s">
        <v>16</v>
      </c>
      <c r="H3352" s="1">
        <v>-4.5</v>
      </c>
      <c r="I3352" s="1">
        <v>3.79</v>
      </c>
      <c r="J3352" s="1">
        <v>0</v>
      </c>
      <c r="K3352" s="2">
        <v>43772</v>
      </c>
      <c r="L3352" s="1">
        <v>3716</v>
      </c>
      <c r="M3352" s="1">
        <v>3.51</v>
      </c>
      <c r="N3352" s="1">
        <v>-0.14974999999999999</v>
      </c>
      <c r="O3352" s="3">
        <f>VLOOKUP(D3352,underlying!$D$40:$H$75,5,FALSE)</f>
        <v>-1.75</v>
      </c>
      <c r="P3352" s="4">
        <f t="shared" si="133"/>
        <v>43535</v>
      </c>
      <c r="Q3352" s="7">
        <f>IF(G3352="C",NormalCallSprd(O3352,H3352,M3352,(P3352-A3352)/365), NormalPutSprd(O3352,H3352,M3352,(P3352-A3352)/365))</f>
        <v>3.8559690986175199</v>
      </c>
      <c r="R3352" s="9">
        <f t="shared" si="135"/>
        <v>6.5969098617519872E-2</v>
      </c>
    </row>
    <row r="3353" spans="1:18" x14ac:dyDescent="0.2">
      <c r="A3353" s="2">
        <v>42622</v>
      </c>
      <c r="B3353" s="1" t="s">
        <v>56</v>
      </c>
      <c r="C3353" s="1" t="s">
        <v>57</v>
      </c>
      <c r="D3353" s="2">
        <v>43468</v>
      </c>
      <c r="E3353" s="2">
        <f t="shared" si="134"/>
        <v>43525</v>
      </c>
      <c r="F3353" s="1" t="s">
        <v>58</v>
      </c>
      <c r="G3353" s="1" t="s">
        <v>18</v>
      </c>
      <c r="H3353" s="1">
        <v>-4.5</v>
      </c>
      <c r="I3353" s="1">
        <v>1.0900000000000001</v>
      </c>
      <c r="J3353" s="1">
        <v>0</v>
      </c>
      <c r="K3353" s="2">
        <v>43772</v>
      </c>
      <c r="L3353" s="1">
        <v>3716</v>
      </c>
      <c r="M3353" s="1">
        <v>3.51</v>
      </c>
      <c r="N3353" s="1">
        <v>-0.10700999999999999</v>
      </c>
      <c r="O3353" s="3">
        <f>VLOOKUP(D3353,underlying!$D$40:$H$75,5,FALSE)</f>
        <v>-1.75</v>
      </c>
      <c r="P3353" s="4">
        <f t="shared" si="133"/>
        <v>43535</v>
      </c>
      <c r="Q3353" s="7">
        <f>IF(G3353="C",NormalCallSprd(O3353,H3353,M3353,(P3353-A3353)/365), NormalPutSprd(O3353,H3353,M3353,(P3353-A3353)/365))</f>
        <v>1.1059690986175199</v>
      </c>
      <c r="R3353" s="9">
        <f t="shared" si="135"/>
        <v>1.5969098617519828E-2</v>
      </c>
    </row>
    <row r="3354" spans="1:18" x14ac:dyDescent="0.2">
      <c r="A3354" s="2">
        <v>42622</v>
      </c>
      <c r="B3354" s="1" t="s">
        <v>56</v>
      </c>
      <c r="C3354" s="1" t="s">
        <v>57</v>
      </c>
      <c r="D3354" s="2">
        <v>43468</v>
      </c>
      <c r="E3354" s="2">
        <f t="shared" si="134"/>
        <v>43525</v>
      </c>
      <c r="F3354" s="1" t="s">
        <v>58</v>
      </c>
      <c r="G3354" s="1" t="s">
        <v>16</v>
      </c>
      <c r="H3354" s="1">
        <v>-4.25</v>
      </c>
      <c r="I3354" s="1">
        <v>3.62</v>
      </c>
      <c r="J3354" s="1">
        <v>-0.01</v>
      </c>
      <c r="K3354" s="2">
        <v>43772</v>
      </c>
      <c r="L3354" s="1">
        <v>3716</v>
      </c>
      <c r="M3354" s="1">
        <v>3.51</v>
      </c>
      <c r="N3354" s="1">
        <v>0.40845999999999999</v>
      </c>
      <c r="O3354" s="3">
        <f>VLOOKUP(D3354,underlying!$D$40:$H$75,5,FALSE)</f>
        <v>-1.75</v>
      </c>
      <c r="P3354" s="4">
        <f t="shared" si="133"/>
        <v>43535</v>
      </c>
      <c r="Q3354" s="7">
        <f>IF(G3354="C",NormalCallSprd(O3354,H3354,M3354,(P3354-A3354)/365), NormalPutSprd(O3354,H3354,M3354,(P3354-A3354)/365))</f>
        <v>3.6855117313504637</v>
      </c>
      <c r="R3354" s="9">
        <f t="shared" si="135"/>
        <v>6.551173135046362E-2</v>
      </c>
    </row>
    <row r="3355" spans="1:18" x14ac:dyDescent="0.2">
      <c r="A3355" s="2">
        <v>42622</v>
      </c>
      <c r="B3355" s="1" t="s">
        <v>56</v>
      </c>
      <c r="C3355" s="1" t="s">
        <v>57</v>
      </c>
      <c r="D3355" s="2">
        <v>43468</v>
      </c>
      <c r="E3355" s="2">
        <f t="shared" si="134"/>
        <v>43525</v>
      </c>
      <c r="F3355" s="1" t="s">
        <v>58</v>
      </c>
      <c r="G3355" s="1" t="s">
        <v>18</v>
      </c>
      <c r="H3355" s="1">
        <v>-4.25</v>
      </c>
      <c r="I3355" s="1">
        <v>1.17</v>
      </c>
      <c r="J3355" s="1">
        <v>0</v>
      </c>
      <c r="K3355" s="2">
        <v>43772</v>
      </c>
      <c r="L3355" s="1">
        <v>3716</v>
      </c>
      <c r="M3355" s="1">
        <v>3.51</v>
      </c>
      <c r="N3355" s="1">
        <v>0.42432999999999998</v>
      </c>
      <c r="O3355" s="3">
        <f>VLOOKUP(D3355,underlying!$D$40:$H$75,5,FALSE)</f>
        <v>-1.75</v>
      </c>
      <c r="P3355" s="4">
        <f t="shared" si="133"/>
        <v>43535</v>
      </c>
      <c r="Q3355" s="7">
        <f>IF(G3355="C",NormalCallSprd(O3355,H3355,M3355,(P3355-A3355)/365), NormalPutSprd(O3355,H3355,M3355,(P3355-A3355)/365))</f>
        <v>1.1855117313504635</v>
      </c>
      <c r="R3355" s="9">
        <f t="shared" si="135"/>
        <v>1.5511731350463576E-2</v>
      </c>
    </row>
    <row r="3356" spans="1:18" x14ac:dyDescent="0.2">
      <c r="A3356" s="2">
        <v>42622</v>
      </c>
      <c r="B3356" s="1" t="s">
        <v>56</v>
      </c>
      <c r="C3356" s="1" t="s">
        <v>57</v>
      </c>
      <c r="D3356" s="2">
        <v>43468</v>
      </c>
      <c r="E3356" s="2">
        <f t="shared" si="134"/>
        <v>43525</v>
      </c>
      <c r="F3356" s="1" t="s">
        <v>58</v>
      </c>
      <c r="G3356" s="1" t="s">
        <v>16</v>
      </c>
      <c r="H3356" s="1">
        <v>-4</v>
      </c>
      <c r="I3356" s="1">
        <v>3.46</v>
      </c>
      <c r="J3356" s="1">
        <v>0</v>
      </c>
      <c r="K3356" s="2">
        <v>43772</v>
      </c>
      <c r="L3356" s="1">
        <v>3716</v>
      </c>
      <c r="M3356" s="1">
        <v>3.51</v>
      </c>
      <c r="N3356" s="1">
        <v>0.44068000000000002</v>
      </c>
      <c r="O3356" s="3">
        <f>VLOOKUP(D3356,underlying!$D$40:$H$75,5,FALSE)</f>
        <v>-1.75</v>
      </c>
      <c r="P3356" s="4">
        <f t="shared" si="133"/>
        <v>43535</v>
      </c>
      <c r="Q3356" s="7">
        <f>IF(G3356="C",NormalCallSprd(O3356,H3356,M3356,(P3356-A3356)/365), NormalPutSprd(O3356,H3356,M3356,(P3356-A3356)/365))</f>
        <v>3.5191122143876874</v>
      </c>
      <c r="R3356" s="9">
        <f t="shared" si="135"/>
        <v>5.9112214387687434E-2</v>
      </c>
    </row>
    <row r="3357" spans="1:18" x14ac:dyDescent="0.2">
      <c r="A3357" s="2">
        <v>42622</v>
      </c>
      <c r="B3357" s="1" t="s">
        <v>56</v>
      </c>
      <c r="C3357" s="1" t="s">
        <v>57</v>
      </c>
      <c r="D3357" s="2">
        <v>43468</v>
      </c>
      <c r="E3357" s="2">
        <f t="shared" si="134"/>
        <v>43525</v>
      </c>
      <c r="F3357" s="1" t="s">
        <v>58</v>
      </c>
      <c r="G3357" s="1" t="s">
        <v>18</v>
      </c>
      <c r="H3357" s="1">
        <v>-4</v>
      </c>
      <c r="I3357" s="1">
        <v>1.25</v>
      </c>
      <c r="J3357" s="1">
        <v>0</v>
      </c>
      <c r="K3357" s="2">
        <v>43772</v>
      </c>
      <c r="L3357" s="1">
        <v>3716</v>
      </c>
      <c r="M3357" s="1">
        <v>3.51</v>
      </c>
      <c r="N3357" s="1">
        <v>0.45693</v>
      </c>
      <c r="O3357" s="3">
        <f>VLOOKUP(D3357,underlying!$D$40:$H$75,5,FALSE)</f>
        <v>-1.75</v>
      </c>
      <c r="P3357" s="4">
        <f t="shared" si="133"/>
        <v>43535</v>
      </c>
      <c r="Q3357" s="7">
        <f>IF(G3357="C",NormalCallSprd(O3357,H3357,M3357,(P3357-A3357)/365), NormalPutSprd(O3357,H3357,M3357,(P3357-A3357)/365))</f>
        <v>1.2691122143876872</v>
      </c>
      <c r="R3357" s="9">
        <f t="shared" si="135"/>
        <v>1.9112214387687176E-2</v>
      </c>
    </row>
    <row r="3358" spans="1:18" x14ac:dyDescent="0.2">
      <c r="A3358" s="2">
        <v>42622</v>
      </c>
      <c r="B3358" s="1" t="s">
        <v>56</v>
      </c>
      <c r="C3358" s="1" t="s">
        <v>57</v>
      </c>
      <c r="D3358" s="2">
        <v>43468</v>
      </c>
      <c r="E3358" s="2">
        <f t="shared" si="134"/>
        <v>43525</v>
      </c>
      <c r="F3358" s="1" t="s">
        <v>58</v>
      </c>
      <c r="G3358" s="1" t="s">
        <v>16</v>
      </c>
      <c r="H3358" s="1">
        <v>-3.75</v>
      </c>
      <c r="I3358" s="1">
        <v>3.29</v>
      </c>
      <c r="J3358" s="1">
        <v>0</v>
      </c>
      <c r="K3358" s="2">
        <v>43772</v>
      </c>
      <c r="L3358" s="1">
        <v>3716</v>
      </c>
      <c r="M3358" s="1">
        <v>3.49</v>
      </c>
      <c r="N3358" s="1">
        <v>0.47328999999999999</v>
      </c>
      <c r="O3358" s="3">
        <f>VLOOKUP(D3358,underlying!$D$40:$H$75,5,FALSE)</f>
        <v>-1.75</v>
      </c>
      <c r="P3358" s="4">
        <f t="shared" si="133"/>
        <v>43535</v>
      </c>
      <c r="Q3358" s="7">
        <f>IF(G3358="C",NormalCallSprd(O3358,H3358,M3358,(P3358-A3358)/365), NormalPutSprd(O3358,H3358,M3358,(P3358-A3358)/365))</f>
        <v>3.3450276981669083</v>
      </c>
      <c r="R3358" s="9">
        <f t="shared" si="135"/>
        <v>5.5027698166908223E-2</v>
      </c>
    </row>
    <row r="3359" spans="1:18" x14ac:dyDescent="0.2">
      <c r="A3359" s="2">
        <v>42622</v>
      </c>
      <c r="B3359" s="1" t="s">
        <v>56</v>
      </c>
      <c r="C3359" s="1" t="s">
        <v>57</v>
      </c>
      <c r="D3359" s="2">
        <v>43468</v>
      </c>
      <c r="E3359" s="2">
        <f t="shared" si="134"/>
        <v>43525</v>
      </c>
      <c r="F3359" s="1" t="s">
        <v>58</v>
      </c>
      <c r="G3359" s="1" t="s">
        <v>18</v>
      </c>
      <c r="H3359" s="1">
        <v>-3.75</v>
      </c>
      <c r="I3359" s="1">
        <v>1.32</v>
      </c>
      <c r="J3359" s="1">
        <v>0</v>
      </c>
      <c r="K3359" s="2">
        <v>43772</v>
      </c>
      <c r="L3359" s="1">
        <v>3716</v>
      </c>
      <c r="M3359" s="1">
        <v>3.49</v>
      </c>
      <c r="N3359" s="1">
        <v>0.48958000000000002</v>
      </c>
      <c r="O3359" s="3">
        <f>VLOOKUP(D3359,underlying!$D$40:$H$75,5,FALSE)</f>
        <v>-1.75</v>
      </c>
      <c r="P3359" s="4">
        <f t="shared" si="133"/>
        <v>43535</v>
      </c>
      <c r="Q3359" s="7">
        <f>IF(G3359="C",NormalCallSprd(O3359,H3359,M3359,(P3359-A3359)/365), NormalPutSprd(O3359,H3359,M3359,(P3359-A3359)/365))</f>
        <v>1.3450276981669083</v>
      </c>
      <c r="R3359" s="9">
        <f t="shared" si="135"/>
        <v>2.5027698166908197E-2</v>
      </c>
    </row>
    <row r="3360" spans="1:18" x14ac:dyDescent="0.2">
      <c r="A3360" s="2">
        <v>42622</v>
      </c>
      <c r="B3360" s="1" t="s">
        <v>56</v>
      </c>
      <c r="C3360" s="1" t="s">
        <v>57</v>
      </c>
      <c r="D3360" s="2">
        <v>43468</v>
      </c>
      <c r="E3360" s="2">
        <f t="shared" si="134"/>
        <v>43525</v>
      </c>
      <c r="F3360" s="1" t="s">
        <v>58</v>
      </c>
      <c r="G3360" s="1" t="s">
        <v>16</v>
      </c>
      <c r="H3360" s="1">
        <v>-3.5</v>
      </c>
      <c r="I3360" s="1">
        <v>3.14</v>
      </c>
      <c r="J3360" s="1">
        <v>-0.01</v>
      </c>
      <c r="K3360" s="2">
        <v>43772</v>
      </c>
      <c r="L3360" s="1">
        <v>3716</v>
      </c>
      <c r="M3360" s="1">
        <v>3.51</v>
      </c>
      <c r="N3360" s="1">
        <v>0.50587000000000004</v>
      </c>
      <c r="O3360" s="3">
        <f>VLOOKUP(D3360,underlying!$D$40:$H$75,5,FALSE)</f>
        <v>-1.75</v>
      </c>
      <c r="P3360" s="4">
        <f t="shared" si="133"/>
        <v>43535</v>
      </c>
      <c r="Q3360" s="7">
        <f>IF(G3360="C",NormalCallSprd(O3360,H3360,M3360,(P3360-A3360)/365), NormalPutSprd(O3360,H3360,M3360,(P3360-A3360)/365))</f>
        <v>3.1987953775357774</v>
      </c>
      <c r="R3360" s="9">
        <f t="shared" si="135"/>
        <v>5.8795377535777238E-2</v>
      </c>
    </row>
    <row r="3361" spans="1:18" x14ac:dyDescent="0.2">
      <c r="A3361" s="2">
        <v>42622</v>
      </c>
      <c r="B3361" s="1" t="s">
        <v>56</v>
      </c>
      <c r="C3361" s="1" t="s">
        <v>57</v>
      </c>
      <c r="D3361" s="2">
        <v>43468</v>
      </c>
      <c r="E3361" s="2">
        <f t="shared" si="134"/>
        <v>43525</v>
      </c>
      <c r="F3361" s="1" t="s">
        <v>58</v>
      </c>
      <c r="G3361" s="1" t="s">
        <v>18</v>
      </c>
      <c r="H3361" s="1">
        <v>-3.5</v>
      </c>
      <c r="I3361" s="1">
        <v>1.42</v>
      </c>
      <c r="J3361" s="1">
        <v>-0.01</v>
      </c>
      <c r="K3361" s="2">
        <v>43772</v>
      </c>
      <c r="L3361" s="1">
        <v>3716</v>
      </c>
      <c r="M3361" s="1">
        <v>3.51</v>
      </c>
      <c r="N3361" s="1">
        <v>0.52222999999999997</v>
      </c>
      <c r="O3361" s="3">
        <f>VLOOKUP(D3361,underlying!$D$40:$H$75,5,FALSE)</f>
        <v>-1.75</v>
      </c>
      <c r="P3361" s="4">
        <f t="shared" si="133"/>
        <v>43535</v>
      </c>
      <c r="Q3361" s="7">
        <f>IF(G3361="C",NormalCallSprd(O3361,H3361,M3361,(P3361-A3361)/365), NormalPutSprd(O3361,H3361,M3361,(P3361-A3361)/365))</f>
        <v>1.4487953775357774</v>
      </c>
      <c r="R3361" s="9">
        <f t="shared" si="135"/>
        <v>2.8795377535777433E-2</v>
      </c>
    </row>
    <row r="3362" spans="1:18" x14ac:dyDescent="0.2">
      <c r="A3362" s="2">
        <v>42622</v>
      </c>
      <c r="B3362" s="1" t="s">
        <v>56</v>
      </c>
      <c r="C3362" s="1" t="s">
        <v>57</v>
      </c>
      <c r="D3362" s="2">
        <v>43468</v>
      </c>
      <c r="E3362" s="2">
        <f t="shared" si="134"/>
        <v>43525</v>
      </c>
      <c r="F3362" s="1" t="s">
        <v>58</v>
      </c>
      <c r="G3362" s="1" t="s">
        <v>16</v>
      </c>
      <c r="H3362" s="1">
        <v>-3.25</v>
      </c>
      <c r="I3362" s="1">
        <v>2.98</v>
      </c>
      <c r="J3362" s="1">
        <v>0</v>
      </c>
      <c r="K3362" s="2">
        <v>43772</v>
      </c>
      <c r="L3362" s="1">
        <v>3716</v>
      </c>
      <c r="M3362" s="1">
        <v>3.49</v>
      </c>
      <c r="N3362" s="1">
        <v>0.53847999999999996</v>
      </c>
      <c r="O3362" s="3">
        <f>VLOOKUP(D3362,underlying!$D$40:$H$75,5,FALSE)</f>
        <v>-1.75</v>
      </c>
      <c r="P3362" s="4">
        <f t="shared" si="133"/>
        <v>43535</v>
      </c>
      <c r="Q3362" s="7">
        <f>IF(G3362="C",NormalCallSprd(O3362,H3362,M3362,(P3362-A3362)/365), NormalPutSprd(O3362,H3362,M3362,(P3362-A3362)/365))</f>
        <v>3.0328502371062882</v>
      </c>
      <c r="R3362" s="9">
        <f t="shared" si="135"/>
        <v>5.2850237106288223E-2</v>
      </c>
    </row>
    <row r="3363" spans="1:18" x14ac:dyDescent="0.2">
      <c r="A3363" s="2">
        <v>42622</v>
      </c>
      <c r="B3363" s="1" t="s">
        <v>56</v>
      </c>
      <c r="C3363" s="1" t="s">
        <v>57</v>
      </c>
      <c r="D3363" s="2">
        <v>43468</v>
      </c>
      <c r="E3363" s="2">
        <f t="shared" si="134"/>
        <v>43525</v>
      </c>
      <c r="F3363" s="1" t="s">
        <v>58</v>
      </c>
      <c r="G3363" s="1" t="s">
        <v>18</v>
      </c>
      <c r="H3363" s="1">
        <v>-3.25</v>
      </c>
      <c r="I3363" s="1">
        <v>1.51</v>
      </c>
      <c r="J3363" s="1">
        <v>0</v>
      </c>
      <c r="K3363" s="2">
        <v>43772</v>
      </c>
      <c r="L3363" s="1">
        <v>3716</v>
      </c>
      <c r="M3363" s="1">
        <v>3.49</v>
      </c>
      <c r="N3363" s="1">
        <v>0.55483000000000005</v>
      </c>
      <c r="O3363" s="3">
        <f>VLOOKUP(D3363,underlying!$D$40:$H$75,5,FALSE)</f>
        <v>-1.75</v>
      </c>
      <c r="P3363" s="4">
        <f t="shared" si="133"/>
        <v>43535</v>
      </c>
      <c r="Q3363" s="7">
        <f>IF(G3363="C",NormalCallSprd(O3363,H3363,M3363,(P3363-A3363)/365), NormalPutSprd(O3363,H3363,M3363,(P3363-A3363)/365))</f>
        <v>1.5328502371062884</v>
      </c>
      <c r="R3363" s="9">
        <f t="shared" si="135"/>
        <v>2.2850237106288418E-2</v>
      </c>
    </row>
    <row r="3364" spans="1:18" x14ac:dyDescent="0.2">
      <c r="A3364" s="2">
        <v>42622</v>
      </c>
      <c r="B3364" s="1" t="s">
        <v>56</v>
      </c>
      <c r="C3364" s="1" t="s">
        <v>57</v>
      </c>
      <c r="D3364" s="2">
        <v>43468</v>
      </c>
      <c r="E3364" s="2">
        <f t="shared" si="134"/>
        <v>43525</v>
      </c>
      <c r="F3364" s="1" t="s">
        <v>58</v>
      </c>
      <c r="G3364" s="1" t="s">
        <v>16</v>
      </c>
      <c r="H3364" s="1">
        <v>-3</v>
      </c>
      <c r="I3364" s="1">
        <v>2.85</v>
      </c>
      <c r="J3364" s="1">
        <v>0</v>
      </c>
      <c r="K3364" s="2">
        <v>43772</v>
      </c>
      <c r="L3364" s="1">
        <v>3716</v>
      </c>
      <c r="M3364" s="1">
        <v>3.51</v>
      </c>
      <c r="N3364" s="1">
        <v>0.57047000000000003</v>
      </c>
      <c r="O3364" s="3">
        <f>VLOOKUP(D3364,underlying!$D$40:$H$75,5,FALSE)</f>
        <v>-1.75</v>
      </c>
      <c r="P3364" s="4">
        <f t="shared" si="133"/>
        <v>43535</v>
      </c>
      <c r="Q3364" s="7">
        <f>IF(G3364="C",NormalCallSprd(O3364,H3364,M3364,(P3364-A3364)/365), NormalPutSprd(O3364,H3364,M3364,(P3364-A3364)/365))</f>
        <v>2.895563358309635</v>
      </c>
      <c r="R3364" s="9">
        <f t="shared" si="135"/>
        <v>4.5563358309634872E-2</v>
      </c>
    </row>
    <row r="3365" spans="1:18" x14ac:dyDescent="0.2">
      <c r="A3365" s="2">
        <v>42622</v>
      </c>
      <c r="B3365" s="1" t="s">
        <v>56</v>
      </c>
      <c r="C3365" s="1" t="s">
        <v>57</v>
      </c>
      <c r="D3365" s="2">
        <v>43468</v>
      </c>
      <c r="E3365" s="2">
        <f t="shared" si="134"/>
        <v>43525</v>
      </c>
      <c r="F3365" s="1" t="s">
        <v>58</v>
      </c>
      <c r="G3365" s="1" t="s">
        <v>18</v>
      </c>
      <c r="H3365" s="1">
        <v>-3</v>
      </c>
      <c r="I3365" s="1">
        <v>1.62</v>
      </c>
      <c r="J3365" s="1">
        <v>0</v>
      </c>
      <c r="K3365" s="2">
        <v>43772</v>
      </c>
      <c r="L3365" s="1">
        <v>3716</v>
      </c>
      <c r="M3365" s="1">
        <v>3.51</v>
      </c>
      <c r="N3365" s="1">
        <v>0.58689000000000002</v>
      </c>
      <c r="O3365" s="3">
        <f>VLOOKUP(D3365,underlying!$D$40:$H$75,5,FALSE)</f>
        <v>-1.75</v>
      </c>
      <c r="P3365" s="4">
        <f t="shared" si="133"/>
        <v>43535</v>
      </c>
      <c r="Q3365" s="7">
        <f>IF(G3365="C",NormalCallSprd(O3365,H3365,M3365,(P3365-A3365)/365), NormalPutSprd(O3365,H3365,M3365,(P3365-A3365)/365))</f>
        <v>1.6455633583096352</v>
      </c>
      <c r="R3365" s="9">
        <f t="shared" si="135"/>
        <v>2.5563358309635076E-2</v>
      </c>
    </row>
    <row r="3366" spans="1:18" x14ac:dyDescent="0.2">
      <c r="A3366" s="2">
        <v>42622</v>
      </c>
      <c r="B3366" s="1" t="s">
        <v>56</v>
      </c>
      <c r="C3366" s="1" t="s">
        <v>57</v>
      </c>
      <c r="D3366" s="2">
        <v>43468</v>
      </c>
      <c r="E3366" s="2">
        <f t="shared" si="134"/>
        <v>43525</v>
      </c>
      <c r="F3366" s="1" t="s">
        <v>58</v>
      </c>
      <c r="G3366" s="1" t="s">
        <v>16</v>
      </c>
      <c r="H3366" s="1">
        <v>-2.75</v>
      </c>
      <c r="I3366" s="1">
        <v>2.69</v>
      </c>
      <c r="J3366" s="1">
        <v>0</v>
      </c>
      <c r="K3366" s="2">
        <v>43772</v>
      </c>
      <c r="L3366" s="1">
        <v>3716</v>
      </c>
      <c r="M3366" s="1">
        <v>3.49</v>
      </c>
      <c r="N3366" s="1">
        <v>0.60204999999999997</v>
      </c>
      <c r="O3366" s="3">
        <f>VLOOKUP(D3366,underlying!$D$40:$H$75,5,FALSE)</f>
        <v>-1.75</v>
      </c>
      <c r="P3366" s="4">
        <f t="shared" si="133"/>
        <v>43535</v>
      </c>
      <c r="Q3366" s="7">
        <f>IF(G3366="C",NormalCallSprd(O3366,H3366,M3366,(P3366-A3366)/365), NormalPutSprd(O3366,H3366,M3366,(P3366-A3366)/365))</f>
        <v>2.7380757843928145</v>
      </c>
      <c r="R3366" s="9">
        <f t="shared" si="135"/>
        <v>4.8075784392814569E-2</v>
      </c>
    </row>
    <row r="3367" spans="1:18" x14ac:dyDescent="0.2">
      <c r="A3367" s="2">
        <v>42622</v>
      </c>
      <c r="B3367" s="1" t="s">
        <v>56</v>
      </c>
      <c r="C3367" s="1" t="s">
        <v>57</v>
      </c>
      <c r="D3367" s="2">
        <v>43468</v>
      </c>
      <c r="E3367" s="2">
        <f t="shared" si="134"/>
        <v>43525</v>
      </c>
      <c r="F3367" s="1" t="s">
        <v>58</v>
      </c>
      <c r="G3367" s="1" t="s">
        <v>18</v>
      </c>
      <c r="H3367" s="1">
        <v>-2.75</v>
      </c>
      <c r="I3367" s="1">
        <v>1.71</v>
      </c>
      <c r="J3367" s="1">
        <v>0</v>
      </c>
      <c r="K3367" s="2">
        <v>43772</v>
      </c>
      <c r="L3367" s="1">
        <v>3716</v>
      </c>
      <c r="M3367" s="1">
        <v>3.49</v>
      </c>
      <c r="N3367" s="1">
        <v>0.61826999999999999</v>
      </c>
      <c r="O3367" s="3">
        <f>VLOOKUP(D3367,underlying!$D$40:$H$75,5,FALSE)</f>
        <v>-1.75</v>
      </c>
      <c r="P3367" s="4">
        <f t="shared" si="133"/>
        <v>43535</v>
      </c>
      <c r="Q3367" s="7">
        <f>IF(G3367="C",NormalCallSprd(O3367,H3367,M3367,(P3367-A3367)/365), NormalPutSprd(O3367,H3367,M3367,(P3367-A3367)/365))</f>
        <v>1.7380757843928145</v>
      </c>
      <c r="R3367" s="9">
        <f t="shared" si="135"/>
        <v>2.8075784392814551E-2</v>
      </c>
    </row>
    <row r="3368" spans="1:18" x14ac:dyDescent="0.2">
      <c r="A3368" s="2">
        <v>42622</v>
      </c>
      <c r="B3368" s="1" t="s">
        <v>56</v>
      </c>
      <c r="C3368" s="1" t="s">
        <v>57</v>
      </c>
      <c r="D3368" s="2">
        <v>43468</v>
      </c>
      <c r="E3368" s="2">
        <f t="shared" si="134"/>
        <v>43525</v>
      </c>
      <c r="F3368" s="1" t="s">
        <v>58</v>
      </c>
      <c r="G3368" s="1" t="s">
        <v>16</v>
      </c>
      <c r="H3368" s="1">
        <v>-2.5</v>
      </c>
      <c r="I3368" s="1">
        <v>2.56</v>
      </c>
      <c r="J3368" s="1">
        <v>0</v>
      </c>
      <c r="K3368" s="2">
        <v>43772</v>
      </c>
      <c r="L3368" s="1">
        <v>3716</v>
      </c>
      <c r="M3368" s="1">
        <v>3.5</v>
      </c>
      <c r="N3368" s="1">
        <v>0.63326000000000005</v>
      </c>
      <c r="O3368" s="3">
        <f>VLOOKUP(D3368,underlying!$D$40:$H$75,5,FALSE)</f>
        <v>-1.75</v>
      </c>
      <c r="P3368" s="4">
        <f t="shared" si="133"/>
        <v>43535</v>
      </c>
      <c r="Q3368" s="7">
        <f>IF(G3368="C",NormalCallSprd(O3368,H3368,M3368,(P3368-A3368)/365), NormalPutSprd(O3368,H3368,M3368,(P3368-A3368)/365))</f>
        <v>2.6035844028527411</v>
      </c>
      <c r="R3368" s="9">
        <f t="shared" si="135"/>
        <v>4.3584402852741011E-2</v>
      </c>
    </row>
    <row r="3369" spans="1:18" x14ac:dyDescent="0.2">
      <c r="A3369" s="2">
        <v>42622</v>
      </c>
      <c r="B3369" s="1" t="s">
        <v>56</v>
      </c>
      <c r="C3369" s="1" t="s">
        <v>57</v>
      </c>
      <c r="D3369" s="2">
        <v>43468</v>
      </c>
      <c r="E3369" s="2">
        <f t="shared" si="134"/>
        <v>43525</v>
      </c>
      <c r="F3369" s="1" t="s">
        <v>58</v>
      </c>
      <c r="G3369" s="1" t="s">
        <v>18</v>
      </c>
      <c r="H3369" s="1">
        <v>-2.5</v>
      </c>
      <c r="I3369" s="1">
        <v>1.82</v>
      </c>
      <c r="J3369" s="1">
        <v>0</v>
      </c>
      <c r="K3369" s="2">
        <v>43772</v>
      </c>
      <c r="L3369" s="1">
        <v>3716</v>
      </c>
      <c r="M3369" s="1">
        <v>3.5</v>
      </c>
      <c r="N3369" s="1">
        <v>0.64836000000000005</v>
      </c>
      <c r="O3369" s="3">
        <f>VLOOKUP(D3369,underlying!$D$40:$H$75,5,FALSE)</f>
        <v>-1.75</v>
      </c>
      <c r="P3369" s="4">
        <f t="shared" si="133"/>
        <v>43535</v>
      </c>
      <c r="Q3369" s="7">
        <f>IF(G3369="C",NormalCallSprd(O3369,H3369,M3369,(P3369-A3369)/365), NormalPutSprd(O3369,H3369,M3369,(P3369-A3369)/365))</f>
        <v>1.8535844028527411</v>
      </c>
      <c r="R3369" s="9">
        <f t="shared" si="135"/>
        <v>3.3584402852741002E-2</v>
      </c>
    </row>
    <row r="3370" spans="1:18" x14ac:dyDescent="0.2">
      <c r="A3370" s="2">
        <v>42622</v>
      </c>
      <c r="B3370" s="1" t="s">
        <v>56</v>
      </c>
      <c r="C3370" s="1" t="s">
        <v>57</v>
      </c>
      <c r="D3370" s="2">
        <v>43468</v>
      </c>
      <c r="E3370" s="2">
        <f t="shared" si="134"/>
        <v>43525</v>
      </c>
      <c r="F3370" s="1" t="s">
        <v>58</v>
      </c>
      <c r="G3370" s="1" t="s">
        <v>16</v>
      </c>
      <c r="H3370" s="1">
        <v>-2.25</v>
      </c>
      <c r="I3370" s="1">
        <v>2.42</v>
      </c>
      <c r="J3370" s="1">
        <v>-0.01</v>
      </c>
      <c r="K3370" s="2">
        <v>43772</v>
      </c>
      <c r="L3370" s="1">
        <v>3716</v>
      </c>
      <c r="M3370" s="1">
        <v>3.5</v>
      </c>
      <c r="N3370" s="1">
        <v>0.70538999999999996</v>
      </c>
      <c r="O3370" s="3">
        <f>VLOOKUP(D3370,underlying!$D$40:$H$75,5,FALSE)</f>
        <v>-1.75</v>
      </c>
      <c r="P3370" s="4">
        <f t="shared" si="133"/>
        <v>43535</v>
      </c>
      <c r="Q3370" s="7">
        <f>IF(G3370="C",NormalCallSprd(O3370,H3370,M3370,(P3370-A3370)/365), NormalPutSprd(O3370,H3370,M3370,(P3370-A3370)/365))</f>
        <v>2.4673483342120979</v>
      </c>
      <c r="R3370" s="9">
        <f t="shared" si="135"/>
        <v>4.7348334212097942E-2</v>
      </c>
    </row>
    <row r="3371" spans="1:18" x14ac:dyDescent="0.2">
      <c r="A3371" s="2">
        <v>42622</v>
      </c>
      <c r="B3371" s="1" t="s">
        <v>56</v>
      </c>
      <c r="C3371" s="1" t="s">
        <v>57</v>
      </c>
      <c r="D3371" s="2">
        <v>43468</v>
      </c>
      <c r="E3371" s="2">
        <f t="shared" si="134"/>
        <v>43525</v>
      </c>
      <c r="F3371" s="1" t="s">
        <v>58</v>
      </c>
      <c r="G3371" s="1" t="s">
        <v>18</v>
      </c>
      <c r="H3371" s="1">
        <v>-2.25</v>
      </c>
      <c r="I3371" s="1">
        <v>1.93</v>
      </c>
      <c r="J3371" s="1">
        <v>-0.01</v>
      </c>
      <c r="K3371" s="2">
        <v>43772</v>
      </c>
      <c r="L3371" s="1">
        <v>3716</v>
      </c>
      <c r="M3371" s="1">
        <v>3.5</v>
      </c>
      <c r="N3371" s="1">
        <v>0.75751999999999997</v>
      </c>
      <c r="O3371" s="3">
        <f>VLOOKUP(D3371,underlying!$D$40:$H$75,5,FALSE)</f>
        <v>-1.75</v>
      </c>
      <c r="P3371" s="4">
        <f t="shared" si="133"/>
        <v>43535</v>
      </c>
      <c r="Q3371" s="7">
        <f>IF(G3371="C",NormalCallSprd(O3371,H3371,M3371,(P3371-A3371)/365), NormalPutSprd(O3371,H3371,M3371,(P3371-A3371)/365))</f>
        <v>1.9673483342120979</v>
      </c>
      <c r="R3371" s="9">
        <f t="shared" si="135"/>
        <v>3.7348334212097933E-2</v>
      </c>
    </row>
    <row r="3372" spans="1:18" x14ac:dyDescent="0.2">
      <c r="A3372" s="2">
        <v>42622</v>
      </c>
      <c r="B3372" s="1" t="s">
        <v>56</v>
      </c>
      <c r="C3372" s="1" t="s">
        <v>57</v>
      </c>
      <c r="D3372" s="2">
        <v>43468</v>
      </c>
      <c r="E3372" s="2">
        <f t="shared" si="134"/>
        <v>43525</v>
      </c>
      <c r="F3372" s="1" t="s">
        <v>58</v>
      </c>
      <c r="G3372" s="1" t="s">
        <v>16</v>
      </c>
      <c r="H3372" s="1">
        <v>-2</v>
      </c>
      <c r="I3372" s="1">
        <v>2.2999999999999998</v>
      </c>
      <c r="J3372" s="1">
        <v>0</v>
      </c>
      <c r="K3372" s="2">
        <v>43772</v>
      </c>
      <c r="L3372" s="1">
        <v>3716</v>
      </c>
      <c r="M3372" s="1">
        <v>3.51</v>
      </c>
      <c r="N3372" s="1">
        <v>0.80420000000000003</v>
      </c>
      <c r="O3372" s="3">
        <f>VLOOKUP(D3372,underlying!$D$40:$H$75,5,FALSE)</f>
        <v>-1.75</v>
      </c>
      <c r="P3372" s="4">
        <f t="shared" si="133"/>
        <v>43535</v>
      </c>
      <c r="Q3372" s="7">
        <f>IF(G3372="C",NormalCallSprd(O3372,H3372,M3372,(P3372-A3372)/365), NormalPutSprd(O3372,H3372,M3372,(P3372-A3372)/365))</f>
        <v>2.3419006777121778</v>
      </c>
      <c r="R3372" s="9">
        <f t="shared" si="135"/>
        <v>4.1900677712177981E-2</v>
      </c>
    </row>
    <row r="3373" spans="1:18" x14ac:dyDescent="0.2">
      <c r="A3373" s="2">
        <v>42622</v>
      </c>
      <c r="B3373" s="1" t="s">
        <v>56</v>
      </c>
      <c r="C3373" s="1" t="s">
        <v>57</v>
      </c>
      <c r="D3373" s="2">
        <v>43468</v>
      </c>
      <c r="E3373" s="2">
        <f t="shared" si="134"/>
        <v>43525</v>
      </c>
      <c r="F3373" s="1" t="s">
        <v>58</v>
      </c>
      <c r="G3373" s="1" t="s">
        <v>18</v>
      </c>
      <c r="H3373" s="1">
        <v>-2</v>
      </c>
      <c r="I3373" s="1">
        <v>2.06</v>
      </c>
      <c r="J3373" s="1">
        <v>0</v>
      </c>
      <c r="K3373" s="2">
        <v>43772</v>
      </c>
      <c r="L3373" s="1">
        <v>3716</v>
      </c>
      <c r="M3373" s="1">
        <v>3.51</v>
      </c>
      <c r="N3373" s="1">
        <v>-0.57069999999999999</v>
      </c>
      <c r="O3373" s="3">
        <f>VLOOKUP(D3373,underlying!$D$40:$H$75,5,FALSE)</f>
        <v>-1.75</v>
      </c>
      <c r="P3373" s="4">
        <f t="shared" si="133"/>
        <v>43535</v>
      </c>
      <c r="Q3373" s="7">
        <f>IF(G3373="C",NormalCallSprd(O3373,H3373,M3373,(P3373-A3373)/365), NormalPutSprd(O3373,H3373,M3373,(P3373-A3373)/365))</f>
        <v>2.0919006777121778</v>
      </c>
      <c r="R3373" s="9">
        <f t="shared" si="135"/>
        <v>3.190067771217775E-2</v>
      </c>
    </row>
    <row r="3374" spans="1:18" x14ac:dyDescent="0.2">
      <c r="A3374" s="2">
        <v>42622</v>
      </c>
      <c r="B3374" s="1" t="s">
        <v>56</v>
      </c>
      <c r="C3374" s="1" t="s">
        <v>57</v>
      </c>
      <c r="D3374" s="2">
        <v>43468</v>
      </c>
      <c r="E3374" s="2">
        <f t="shared" si="134"/>
        <v>43525</v>
      </c>
      <c r="F3374" s="1" t="s">
        <v>58</v>
      </c>
      <c r="G3374" s="1" t="s">
        <v>16</v>
      </c>
      <c r="H3374" s="1">
        <v>-1.75</v>
      </c>
      <c r="I3374" s="1">
        <v>2.17</v>
      </c>
      <c r="J3374" s="1">
        <v>0</v>
      </c>
      <c r="K3374" s="2">
        <v>43772</v>
      </c>
      <c r="L3374" s="1">
        <v>3716</v>
      </c>
      <c r="M3374" s="1">
        <v>3.5</v>
      </c>
      <c r="N3374" s="1">
        <v>-0.55483000000000005</v>
      </c>
      <c r="O3374" s="3">
        <f>VLOOKUP(D3374,underlying!$D$40:$H$75,5,FALSE)</f>
        <v>-1.75</v>
      </c>
      <c r="P3374" s="4">
        <f t="shared" si="133"/>
        <v>43535</v>
      </c>
      <c r="Q3374" s="7">
        <f>IF(G3374="C",NormalCallSprd(O3374,H3374,M3374,(P3374-A3374)/365), NormalPutSprd(O3374,H3374,M3374,(P3374-A3374)/365))</f>
        <v>2.2083457344688262</v>
      </c>
      <c r="R3374" s="9">
        <f t="shared" si="135"/>
        <v>3.8345734468826276E-2</v>
      </c>
    </row>
    <row r="3375" spans="1:18" x14ac:dyDescent="0.2">
      <c r="A3375" s="2">
        <v>42622</v>
      </c>
      <c r="B3375" s="1" t="s">
        <v>56</v>
      </c>
      <c r="C3375" s="1" t="s">
        <v>57</v>
      </c>
      <c r="D3375" s="2">
        <v>43468</v>
      </c>
      <c r="E3375" s="2">
        <f t="shared" si="134"/>
        <v>43525</v>
      </c>
      <c r="F3375" s="1" t="s">
        <v>58</v>
      </c>
      <c r="G3375" s="1" t="s">
        <v>18</v>
      </c>
      <c r="H3375" s="1">
        <v>-1.75</v>
      </c>
      <c r="I3375" s="1">
        <v>2.17</v>
      </c>
      <c r="J3375" s="1">
        <v>0</v>
      </c>
      <c r="K3375" s="2">
        <v>43772</v>
      </c>
      <c r="L3375" s="1">
        <v>3716</v>
      </c>
      <c r="M3375" s="1">
        <v>3.5</v>
      </c>
      <c r="N3375" s="1">
        <v>-0.53847999999999996</v>
      </c>
      <c r="O3375" s="3">
        <f>VLOOKUP(D3375,underlying!$D$40:$H$75,5,FALSE)</f>
        <v>-1.75</v>
      </c>
      <c r="P3375" s="4">
        <f t="shared" si="133"/>
        <v>43535</v>
      </c>
      <c r="Q3375" s="7">
        <f>IF(G3375="C",NormalCallSprd(O3375,H3375,M3375,(P3375-A3375)/365), NormalPutSprd(O3375,H3375,M3375,(P3375-A3375)/365))</f>
        <v>2.2083457344688262</v>
      </c>
      <c r="R3375" s="9">
        <f t="shared" si="135"/>
        <v>3.8345734468826276E-2</v>
      </c>
    </row>
    <row r="3376" spans="1:18" x14ac:dyDescent="0.2">
      <c r="A3376" s="2">
        <v>42622</v>
      </c>
      <c r="B3376" s="1" t="s">
        <v>56</v>
      </c>
      <c r="C3376" s="1" t="s">
        <v>57</v>
      </c>
      <c r="D3376" s="2">
        <v>43468</v>
      </c>
      <c r="E3376" s="2">
        <f t="shared" si="134"/>
        <v>43525</v>
      </c>
      <c r="F3376" s="1" t="s">
        <v>58</v>
      </c>
      <c r="G3376" s="1" t="s">
        <v>16</v>
      </c>
      <c r="H3376" s="1">
        <v>-1.5</v>
      </c>
      <c r="I3376" s="1">
        <v>2.06</v>
      </c>
      <c r="J3376" s="1">
        <v>0</v>
      </c>
      <c r="K3376" s="2">
        <v>43772</v>
      </c>
      <c r="L3376" s="1">
        <v>3716</v>
      </c>
      <c r="M3376" s="1">
        <v>3.51</v>
      </c>
      <c r="N3376" s="1">
        <v>-0.52222999999999997</v>
      </c>
      <c r="O3376" s="3">
        <f>VLOOKUP(D3376,underlying!$D$40:$H$75,5,FALSE)</f>
        <v>-1.75</v>
      </c>
      <c r="P3376" s="4">
        <f t="shared" si="133"/>
        <v>43535</v>
      </c>
      <c r="Q3376" s="7">
        <f>IF(G3376="C",NormalCallSprd(O3376,H3376,M3376,(P3376-A3376)/365), NormalPutSprd(O3376,H3376,M3376,(P3376-A3376)/365))</f>
        <v>2.0919006777121778</v>
      </c>
      <c r="R3376" s="9">
        <f t="shared" si="135"/>
        <v>3.190067771217775E-2</v>
      </c>
    </row>
    <row r="3377" spans="1:18" x14ac:dyDescent="0.2">
      <c r="A3377" s="2">
        <v>42622</v>
      </c>
      <c r="B3377" s="1" t="s">
        <v>56</v>
      </c>
      <c r="C3377" s="1" t="s">
        <v>57</v>
      </c>
      <c r="D3377" s="2">
        <v>43468</v>
      </c>
      <c r="E3377" s="2">
        <f t="shared" si="134"/>
        <v>43525</v>
      </c>
      <c r="F3377" s="1" t="s">
        <v>58</v>
      </c>
      <c r="G3377" s="1" t="s">
        <v>18</v>
      </c>
      <c r="H3377" s="1">
        <v>-1.5</v>
      </c>
      <c r="I3377" s="1">
        <v>2.2999999999999998</v>
      </c>
      <c r="J3377" s="1">
        <v>0</v>
      </c>
      <c r="K3377" s="2">
        <v>43772</v>
      </c>
      <c r="L3377" s="1">
        <v>3716</v>
      </c>
      <c r="M3377" s="1">
        <v>3.51</v>
      </c>
      <c r="N3377" s="1">
        <v>-0.50587000000000004</v>
      </c>
      <c r="O3377" s="3">
        <f>VLOOKUP(D3377,underlying!$D$40:$H$75,5,FALSE)</f>
        <v>-1.75</v>
      </c>
      <c r="P3377" s="4">
        <f t="shared" si="133"/>
        <v>43535</v>
      </c>
      <c r="Q3377" s="7">
        <f>IF(G3377="C",NormalCallSprd(O3377,H3377,M3377,(P3377-A3377)/365), NormalPutSprd(O3377,H3377,M3377,(P3377-A3377)/365))</f>
        <v>2.3419006777121778</v>
      </c>
      <c r="R3377" s="9">
        <f t="shared" si="135"/>
        <v>4.1900677712177981E-2</v>
      </c>
    </row>
    <row r="3378" spans="1:18" x14ac:dyDescent="0.2">
      <c r="A3378" s="2">
        <v>42622</v>
      </c>
      <c r="B3378" s="1" t="s">
        <v>56</v>
      </c>
      <c r="C3378" s="1" t="s">
        <v>57</v>
      </c>
      <c r="D3378" s="2">
        <v>43468</v>
      </c>
      <c r="E3378" s="2">
        <f t="shared" si="134"/>
        <v>43525</v>
      </c>
      <c r="F3378" s="1" t="s">
        <v>58</v>
      </c>
      <c r="G3378" s="1" t="s">
        <v>16</v>
      </c>
      <c r="H3378" s="1">
        <v>-1.25</v>
      </c>
      <c r="I3378" s="1">
        <v>1.93</v>
      </c>
      <c r="J3378" s="1">
        <v>-0.01</v>
      </c>
      <c r="K3378" s="2">
        <v>43772</v>
      </c>
      <c r="L3378" s="1">
        <v>3716</v>
      </c>
      <c r="M3378" s="1">
        <v>3.5</v>
      </c>
      <c r="N3378" s="1">
        <v>-0.48958000000000002</v>
      </c>
      <c r="O3378" s="3">
        <f>VLOOKUP(D3378,underlying!$D$40:$H$75,5,FALSE)</f>
        <v>-1.75</v>
      </c>
      <c r="P3378" s="4">
        <f t="shared" si="133"/>
        <v>43535</v>
      </c>
      <c r="Q3378" s="7">
        <f>IF(G3378="C",NormalCallSprd(O3378,H3378,M3378,(P3378-A3378)/365), NormalPutSprd(O3378,H3378,M3378,(P3378-A3378)/365))</f>
        <v>1.9673483342120979</v>
      </c>
      <c r="R3378" s="9">
        <f t="shared" si="135"/>
        <v>3.7348334212097933E-2</v>
      </c>
    </row>
    <row r="3379" spans="1:18" x14ac:dyDescent="0.2">
      <c r="A3379" s="2">
        <v>42622</v>
      </c>
      <c r="B3379" s="1" t="s">
        <v>56</v>
      </c>
      <c r="C3379" s="1" t="s">
        <v>57</v>
      </c>
      <c r="D3379" s="2">
        <v>43468</v>
      </c>
      <c r="E3379" s="2">
        <f t="shared" si="134"/>
        <v>43525</v>
      </c>
      <c r="F3379" s="1" t="s">
        <v>58</v>
      </c>
      <c r="G3379" s="1" t="s">
        <v>18</v>
      </c>
      <c r="H3379" s="1">
        <v>-1.25</v>
      </c>
      <c r="I3379" s="1">
        <v>2.42</v>
      </c>
      <c r="J3379" s="1">
        <v>-0.01</v>
      </c>
      <c r="K3379" s="2">
        <v>43772</v>
      </c>
      <c r="L3379" s="1">
        <v>3716</v>
      </c>
      <c r="M3379" s="1">
        <v>3.5</v>
      </c>
      <c r="N3379" s="1">
        <v>-0.47328999999999999</v>
      </c>
      <c r="O3379" s="3">
        <f>VLOOKUP(D3379,underlying!$D$40:$H$75,5,FALSE)</f>
        <v>-1.75</v>
      </c>
      <c r="P3379" s="4">
        <f t="shared" si="133"/>
        <v>43535</v>
      </c>
      <c r="Q3379" s="7">
        <f>IF(G3379="C",NormalCallSprd(O3379,H3379,M3379,(P3379-A3379)/365), NormalPutSprd(O3379,H3379,M3379,(P3379-A3379)/365))</f>
        <v>2.4673483342120979</v>
      </c>
      <c r="R3379" s="9">
        <f t="shared" si="135"/>
        <v>4.7348334212097942E-2</v>
      </c>
    </row>
    <row r="3380" spans="1:18" x14ac:dyDescent="0.2">
      <c r="A3380" s="2">
        <v>42622</v>
      </c>
      <c r="B3380" s="1" t="s">
        <v>56</v>
      </c>
      <c r="C3380" s="1" t="s">
        <v>57</v>
      </c>
      <c r="D3380" s="2">
        <v>43468</v>
      </c>
      <c r="E3380" s="2">
        <f t="shared" si="134"/>
        <v>43525</v>
      </c>
      <c r="F3380" s="1" t="s">
        <v>58</v>
      </c>
      <c r="G3380" s="1" t="s">
        <v>16</v>
      </c>
      <c r="H3380" s="1">
        <v>-1</v>
      </c>
      <c r="I3380" s="1">
        <v>1.82</v>
      </c>
      <c r="J3380" s="1">
        <v>0</v>
      </c>
      <c r="K3380" s="2">
        <v>43772</v>
      </c>
      <c r="L3380" s="1">
        <v>3716</v>
      </c>
      <c r="M3380" s="1">
        <v>3.5</v>
      </c>
      <c r="N3380" s="1">
        <v>-0.45693</v>
      </c>
      <c r="O3380" s="3">
        <f>VLOOKUP(D3380,underlying!$D$40:$H$75,5,FALSE)</f>
        <v>-1.75</v>
      </c>
      <c r="P3380" s="4">
        <f t="shared" si="133"/>
        <v>43535</v>
      </c>
      <c r="Q3380" s="7">
        <f>IF(G3380="C",NormalCallSprd(O3380,H3380,M3380,(P3380-A3380)/365), NormalPutSprd(O3380,H3380,M3380,(P3380-A3380)/365))</f>
        <v>1.8535844028527411</v>
      </c>
      <c r="R3380" s="9">
        <f t="shared" si="135"/>
        <v>3.3584402852741002E-2</v>
      </c>
    </row>
    <row r="3381" spans="1:18" x14ac:dyDescent="0.2">
      <c r="A3381" s="2">
        <v>42622</v>
      </c>
      <c r="B3381" s="1" t="s">
        <v>56</v>
      </c>
      <c r="C3381" s="1" t="s">
        <v>57</v>
      </c>
      <c r="D3381" s="2">
        <v>43468</v>
      </c>
      <c r="E3381" s="2">
        <f t="shared" si="134"/>
        <v>43525</v>
      </c>
      <c r="F3381" s="1" t="s">
        <v>58</v>
      </c>
      <c r="G3381" s="1" t="s">
        <v>18</v>
      </c>
      <c r="H3381" s="1">
        <v>-1</v>
      </c>
      <c r="I3381" s="1">
        <v>2.56</v>
      </c>
      <c r="J3381" s="1">
        <v>0</v>
      </c>
      <c r="K3381" s="2">
        <v>43772</v>
      </c>
      <c r="L3381" s="1">
        <v>3716</v>
      </c>
      <c r="M3381" s="1">
        <v>3.5</v>
      </c>
      <c r="N3381" s="1">
        <v>-0.44068000000000002</v>
      </c>
      <c r="O3381" s="3">
        <f>VLOOKUP(D3381,underlying!$D$40:$H$75,5,FALSE)</f>
        <v>-1.75</v>
      </c>
      <c r="P3381" s="4">
        <f t="shared" si="133"/>
        <v>43535</v>
      </c>
      <c r="Q3381" s="7">
        <f>IF(G3381="C",NormalCallSprd(O3381,H3381,M3381,(P3381-A3381)/365), NormalPutSprd(O3381,H3381,M3381,(P3381-A3381)/365))</f>
        <v>2.6035844028527411</v>
      </c>
      <c r="R3381" s="9">
        <f t="shared" si="135"/>
        <v>4.3584402852741011E-2</v>
      </c>
    </row>
    <row r="3382" spans="1:18" x14ac:dyDescent="0.2">
      <c r="A3382" s="2">
        <v>42622</v>
      </c>
      <c r="B3382" s="1" t="s">
        <v>56</v>
      </c>
      <c r="C3382" s="1" t="s">
        <v>57</v>
      </c>
      <c r="D3382" s="2">
        <v>43468</v>
      </c>
      <c r="E3382" s="2">
        <f t="shared" si="134"/>
        <v>43525</v>
      </c>
      <c r="F3382" s="1" t="s">
        <v>58</v>
      </c>
      <c r="G3382" s="1" t="s">
        <v>16</v>
      </c>
      <c r="H3382" s="1">
        <v>-0.75</v>
      </c>
      <c r="I3382" s="1">
        <v>1.71</v>
      </c>
      <c r="J3382" s="1">
        <v>0</v>
      </c>
      <c r="K3382" s="2">
        <v>43772</v>
      </c>
      <c r="L3382" s="1">
        <v>3716</v>
      </c>
      <c r="M3382" s="1">
        <v>3.49</v>
      </c>
      <c r="N3382" s="1">
        <v>-0.42432999999999998</v>
      </c>
      <c r="O3382" s="3">
        <f>VLOOKUP(D3382,underlying!$D$40:$H$75,5,FALSE)</f>
        <v>-1.75</v>
      </c>
      <c r="P3382" s="4">
        <f t="shared" si="133"/>
        <v>43535</v>
      </c>
      <c r="Q3382" s="7">
        <f>IF(G3382="C",NormalCallSprd(O3382,H3382,M3382,(P3382-A3382)/365), NormalPutSprd(O3382,H3382,M3382,(P3382-A3382)/365))</f>
        <v>1.7380757843928145</v>
      </c>
      <c r="R3382" s="9">
        <f t="shared" si="135"/>
        <v>2.8075784392814551E-2</v>
      </c>
    </row>
    <row r="3383" spans="1:18" x14ac:dyDescent="0.2">
      <c r="A3383" s="2">
        <v>42622</v>
      </c>
      <c r="B3383" s="1" t="s">
        <v>56</v>
      </c>
      <c r="C3383" s="1" t="s">
        <v>57</v>
      </c>
      <c r="D3383" s="2">
        <v>43468</v>
      </c>
      <c r="E3383" s="2">
        <f t="shared" si="134"/>
        <v>43525</v>
      </c>
      <c r="F3383" s="1" t="s">
        <v>58</v>
      </c>
      <c r="G3383" s="1" t="s">
        <v>18</v>
      </c>
      <c r="H3383" s="1">
        <v>-0.75</v>
      </c>
      <c r="I3383" s="1">
        <v>2.69</v>
      </c>
      <c r="J3383" s="1">
        <v>0</v>
      </c>
      <c r="K3383" s="2">
        <v>43772</v>
      </c>
      <c r="L3383" s="1">
        <v>3716</v>
      </c>
      <c r="M3383" s="1">
        <v>3.49</v>
      </c>
      <c r="N3383" s="1">
        <v>-0.40869</v>
      </c>
      <c r="O3383" s="3">
        <f>VLOOKUP(D3383,underlying!$D$40:$H$75,5,FALSE)</f>
        <v>-1.75</v>
      </c>
      <c r="P3383" s="4">
        <f t="shared" si="133"/>
        <v>43535</v>
      </c>
      <c r="Q3383" s="7">
        <f>IF(G3383="C",NormalCallSprd(O3383,H3383,M3383,(P3383-A3383)/365), NormalPutSprd(O3383,H3383,M3383,(P3383-A3383)/365))</f>
        <v>2.7380757843928145</v>
      </c>
      <c r="R3383" s="9">
        <f t="shared" si="135"/>
        <v>4.8075784392814569E-2</v>
      </c>
    </row>
    <row r="3384" spans="1:18" x14ac:dyDescent="0.2">
      <c r="A3384" s="2">
        <v>42622</v>
      </c>
      <c r="B3384" s="1" t="s">
        <v>56</v>
      </c>
      <c r="C3384" s="1" t="s">
        <v>57</v>
      </c>
      <c r="D3384" s="2">
        <v>43468</v>
      </c>
      <c r="E3384" s="2">
        <f t="shared" si="134"/>
        <v>43525</v>
      </c>
      <c r="F3384" s="1" t="s">
        <v>58</v>
      </c>
      <c r="G3384" s="1" t="s">
        <v>16</v>
      </c>
      <c r="H3384" s="1">
        <v>-0.5</v>
      </c>
      <c r="I3384" s="1">
        <v>1.61</v>
      </c>
      <c r="J3384" s="1">
        <v>0</v>
      </c>
      <c r="K3384" s="2">
        <v>43772</v>
      </c>
      <c r="L3384" s="1">
        <v>3716</v>
      </c>
      <c r="M3384" s="1">
        <v>3.5</v>
      </c>
      <c r="N3384" s="1">
        <v>-0.39227000000000001</v>
      </c>
      <c r="O3384" s="3">
        <f>VLOOKUP(D3384,underlying!$D$40:$H$75,5,FALSE)</f>
        <v>-1.75</v>
      </c>
      <c r="P3384" s="4">
        <f t="shared" si="133"/>
        <v>43535</v>
      </c>
      <c r="Q3384" s="7">
        <f>IF(G3384="C",NormalCallSprd(O3384,H3384,M3384,(P3384-A3384)/365), NormalPutSprd(O3384,H3384,M3384,(P3384-A3384)/365))</f>
        <v>1.6394121887903799</v>
      </c>
      <c r="R3384" s="9">
        <f t="shared" si="135"/>
        <v>2.9412188790379767E-2</v>
      </c>
    </row>
    <row r="3385" spans="1:18" x14ac:dyDescent="0.2">
      <c r="A3385" s="2">
        <v>42622</v>
      </c>
      <c r="B3385" s="1" t="s">
        <v>56</v>
      </c>
      <c r="C3385" s="1" t="s">
        <v>57</v>
      </c>
      <c r="D3385" s="2">
        <v>43468</v>
      </c>
      <c r="E3385" s="2">
        <f t="shared" si="134"/>
        <v>43525</v>
      </c>
      <c r="F3385" s="1" t="s">
        <v>58</v>
      </c>
      <c r="G3385" s="1" t="s">
        <v>18</v>
      </c>
      <c r="H3385" s="1">
        <v>-0.5</v>
      </c>
      <c r="I3385" s="1">
        <v>2.84</v>
      </c>
      <c r="J3385" s="1">
        <v>0</v>
      </c>
      <c r="K3385" s="2">
        <v>43772</v>
      </c>
      <c r="L3385" s="1">
        <v>3716</v>
      </c>
      <c r="M3385" s="1">
        <v>3.5</v>
      </c>
      <c r="N3385" s="1">
        <v>-0.37711</v>
      </c>
      <c r="O3385" s="3">
        <f>VLOOKUP(D3385,underlying!$D$40:$H$75,5,FALSE)</f>
        <v>-1.75</v>
      </c>
      <c r="P3385" s="4">
        <f t="shared" ref="P3385:P3448" si="136">DATE(YEAR(K3385),DAY(K3385),MONTH(K3385))</f>
        <v>43535</v>
      </c>
      <c r="Q3385" s="7">
        <f>IF(G3385="C",NormalCallSprd(O3385,H3385,M3385,(P3385-A3385)/365), NormalPutSprd(O3385,H3385,M3385,(P3385-A3385)/365))</f>
        <v>2.8894121887903799</v>
      </c>
      <c r="R3385" s="9">
        <f t="shared" si="135"/>
        <v>4.9412188790380007E-2</v>
      </c>
    </row>
    <row r="3386" spans="1:18" x14ac:dyDescent="0.2">
      <c r="A3386" s="2">
        <v>42622</v>
      </c>
      <c r="B3386" s="1" t="s">
        <v>56</v>
      </c>
      <c r="C3386" s="1" t="s">
        <v>57</v>
      </c>
      <c r="D3386" s="2">
        <v>43468</v>
      </c>
      <c r="E3386" s="2">
        <f t="shared" si="134"/>
        <v>43525</v>
      </c>
      <c r="F3386" s="1" t="s">
        <v>58</v>
      </c>
      <c r="G3386" s="1" t="s">
        <v>16</v>
      </c>
      <c r="H3386" s="1">
        <v>-0.25</v>
      </c>
      <c r="I3386" s="1">
        <v>1.51</v>
      </c>
      <c r="J3386" s="1">
        <v>0</v>
      </c>
      <c r="K3386" s="2">
        <v>43772</v>
      </c>
      <c r="L3386" s="1">
        <v>3716</v>
      </c>
      <c r="M3386" s="1">
        <v>3.5</v>
      </c>
      <c r="N3386" s="1">
        <v>-0.36088999999999999</v>
      </c>
      <c r="O3386" s="3">
        <f>VLOOKUP(D3386,underlying!$D$40:$H$75,5,FALSE)</f>
        <v>-1.75</v>
      </c>
      <c r="P3386" s="4">
        <f t="shared" si="136"/>
        <v>43535</v>
      </c>
      <c r="Q3386" s="7">
        <f>IF(G3386="C",NormalCallSprd(O3386,H3386,M3386,(P3386-A3386)/365), NormalPutSprd(O3386,H3386,M3386,(P3386-A3386)/365))</f>
        <v>1.5389317047127085</v>
      </c>
      <c r="R3386" s="9">
        <f t="shared" si="135"/>
        <v>2.893170471270845E-2</v>
      </c>
    </row>
    <row r="3387" spans="1:18" x14ac:dyDescent="0.2">
      <c r="A3387" s="2">
        <v>42622</v>
      </c>
      <c r="B3387" s="1" t="s">
        <v>56</v>
      </c>
      <c r="C3387" s="1" t="s">
        <v>57</v>
      </c>
      <c r="D3387" s="2">
        <v>43468</v>
      </c>
      <c r="E3387" s="2">
        <f t="shared" si="134"/>
        <v>43525</v>
      </c>
      <c r="F3387" s="1" t="s">
        <v>58</v>
      </c>
      <c r="G3387" s="1" t="s">
        <v>18</v>
      </c>
      <c r="H3387" s="1">
        <v>-0.25</v>
      </c>
      <c r="I3387" s="1">
        <v>2.99</v>
      </c>
      <c r="J3387" s="1">
        <v>0</v>
      </c>
      <c r="K3387" s="2">
        <v>43772</v>
      </c>
      <c r="L3387" s="1">
        <v>3716</v>
      </c>
      <c r="M3387" s="1">
        <v>3.5</v>
      </c>
      <c r="N3387" s="1">
        <v>-0.34589999999999999</v>
      </c>
      <c r="O3387" s="3">
        <f>VLOOKUP(D3387,underlying!$D$40:$H$75,5,FALSE)</f>
        <v>-1.75</v>
      </c>
      <c r="P3387" s="4">
        <f t="shared" si="136"/>
        <v>43535</v>
      </c>
      <c r="Q3387" s="7">
        <f>IF(G3387="C",NormalCallSprd(O3387,H3387,M3387,(P3387-A3387)/365), NormalPutSprd(O3387,H3387,M3387,(P3387-A3387)/365))</f>
        <v>3.0389317047127085</v>
      </c>
      <c r="R3387" s="9">
        <f t="shared" si="135"/>
        <v>4.8931704712708246E-2</v>
      </c>
    </row>
    <row r="3388" spans="1:18" x14ac:dyDescent="0.2">
      <c r="A3388" s="2">
        <v>42622</v>
      </c>
      <c r="B3388" s="1" t="s">
        <v>56</v>
      </c>
      <c r="C3388" s="1" t="s">
        <v>57</v>
      </c>
      <c r="D3388" s="2">
        <v>43469</v>
      </c>
      <c r="E3388" s="2">
        <f t="shared" si="134"/>
        <v>43556</v>
      </c>
      <c r="F3388" s="1" t="s">
        <v>58</v>
      </c>
      <c r="G3388" s="1" t="s">
        <v>16</v>
      </c>
      <c r="H3388" s="1">
        <v>-7</v>
      </c>
      <c r="I3388" s="1">
        <v>5.67</v>
      </c>
      <c r="J3388" s="1">
        <v>-0.01</v>
      </c>
      <c r="K3388" s="2">
        <v>43742</v>
      </c>
      <c r="L3388" s="1">
        <v>3716</v>
      </c>
      <c r="M3388" s="1">
        <v>3.49</v>
      </c>
      <c r="N3388" s="1">
        <v>-0.33079999999999998</v>
      </c>
      <c r="O3388" s="3">
        <f>VLOOKUP(D3388,underlying!$D$40:$H$75,5,FALSE)</f>
        <v>-1.75</v>
      </c>
      <c r="P3388" s="4">
        <f t="shared" si="136"/>
        <v>43565</v>
      </c>
      <c r="Q3388" s="7">
        <f>IF(G3388="C",NormalCallSprd(O3388,H3388,M3388,(P3388-A3388)/365), NormalPutSprd(O3388,H3388,M3388,(P3388-A3388)/365))</f>
        <v>5.7772772095190774</v>
      </c>
      <c r="R3388" s="9">
        <f t="shared" si="135"/>
        <v>0.10727720951907749</v>
      </c>
    </row>
    <row r="3389" spans="1:18" x14ac:dyDescent="0.2">
      <c r="A3389" s="2">
        <v>42622</v>
      </c>
      <c r="B3389" s="1" t="s">
        <v>56</v>
      </c>
      <c r="C3389" s="1" t="s">
        <v>57</v>
      </c>
      <c r="D3389" s="2">
        <v>43469</v>
      </c>
      <c r="E3389" s="2">
        <f t="shared" si="134"/>
        <v>43556</v>
      </c>
      <c r="F3389" s="1" t="s">
        <v>58</v>
      </c>
      <c r="G3389" s="1" t="s">
        <v>18</v>
      </c>
      <c r="H3389" s="1">
        <v>-7</v>
      </c>
      <c r="I3389" s="1">
        <v>0.52</v>
      </c>
      <c r="J3389" s="1">
        <v>0</v>
      </c>
      <c r="K3389" s="2">
        <v>43742</v>
      </c>
      <c r="L3389" s="1">
        <v>3716</v>
      </c>
      <c r="M3389" s="1">
        <v>3.49</v>
      </c>
      <c r="N3389" s="1">
        <v>-0.27377000000000001</v>
      </c>
      <c r="O3389" s="3">
        <f>VLOOKUP(D3389,underlying!$D$40:$H$75,5,FALSE)</f>
        <v>-1.75</v>
      </c>
      <c r="P3389" s="4">
        <f t="shared" si="136"/>
        <v>43565</v>
      </c>
      <c r="Q3389" s="7">
        <f>IF(G3389="C",NormalCallSprd(O3389,H3389,M3389,(P3389-A3389)/365), NormalPutSprd(O3389,H3389,M3389,(P3389-A3389)/365))</f>
        <v>0.52727720951907742</v>
      </c>
      <c r="R3389" s="9">
        <f t="shared" si="135"/>
        <v>7.2772095190773989E-3</v>
      </c>
    </row>
    <row r="3390" spans="1:18" x14ac:dyDescent="0.2">
      <c r="A3390" s="2">
        <v>42622</v>
      </c>
      <c r="B3390" s="1" t="s">
        <v>56</v>
      </c>
      <c r="C3390" s="1" t="s">
        <v>57</v>
      </c>
      <c r="D3390" s="2">
        <v>43469</v>
      </c>
      <c r="E3390" s="2">
        <f t="shared" si="134"/>
        <v>43556</v>
      </c>
      <c r="F3390" s="1" t="s">
        <v>58</v>
      </c>
      <c r="G3390" s="1" t="s">
        <v>16</v>
      </c>
      <c r="H3390" s="1">
        <v>-6</v>
      </c>
      <c r="I3390" s="1">
        <v>4.8899999999999997</v>
      </c>
      <c r="J3390" s="1">
        <v>-0.01</v>
      </c>
      <c r="K3390" s="2">
        <v>43742</v>
      </c>
      <c r="L3390" s="1">
        <v>3716</v>
      </c>
      <c r="M3390" s="1">
        <v>3.5</v>
      </c>
      <c r="N3390" s="1">
        <v>-0.22164</v>
      </c>
      <c r="O3390" s="3">
        <f>VLOOKUP(D3390,underlying!$D$40:$H$75,5,FALSE)</f>
        <v>-1.75</v>
      </c>
      <c r="P3390" s="4">
        <f t="shared" si="136"/>
        <v>43565</v>
      </c>
      <c r="Q3390" s="7">
        <f>IF(G3390="C",NormalCallSprd(O3390,H3390,M3390,(P3390-A3390)/365), NormalPutSprd(O3390,H3390,M3390,(P3390-A3390)/365))</f>
        <v>4.9809712919559352</v>
      </c>
      <c r="R3390" s="9">
        <f t="shared" si="135"/>
        <v>9.0971291955935563E-2</v>
      </c>
    </row>
    <row r="3391" spans="1:18" x14ac:dyDescent="0.2">
      <c r="A3391" s="2">
        <v>42622</v>
      </c>
      <c r="B3391" s="1" t="s">
        <v>56</v>
      </c>
      <c r="C3391" s="1" t="s">
        <v>57</v>
      </c>
      <c r="D3391" s="2">
        <v>43469</v>
      </c>
      <c r="E3391" s="2">
        <f t="shared" si="134"/>
        <v>43556</v>
      </c>
      <c r="F3391" s="1" t="s">
        <v>58</v>
      </c>
      <c r="G3391" s="1" t="s">
        <v>18</v>
      </c>
      <c r="H3391" s="1">
        <v>-6</v>
      </c>
      <c r="I3391" s="1">
        <v>0.72</v>
      </c>
      <c r="J3391" s="1">
        <v>0</v>
      </c>
      <c r="K3391" s="2">
        <v>43742</v>
      </c>
      <c r="L3391" s="1">
        <v>3716</v>
      </c>
      <c r="M3391" s="1">
        <v>3.5</v>
      </c>
      <c r="N3391" s="1">
        <v>-0.17496</v>
      </c>
      <c r="O3391" s="3">
        <f>VLOOKUP(D3391,underlying!$D$40:$H$75,5,FALSE)</f>
        <v>-1.75</v>
      </c>
      <c r="P3391" s="4">
        <f t="shared" si="136"/>
        <v>43565</v>
      </c>
      <c r="Q3391" s="7">
        <f>IF(G3391="C",NormalCallSprd(O3391,H3391,M3391,(P3391-A3391)/365), NormalPutSprd(O3391,H3391,M3391,(P3391-A3391)/365))</f>
        <v>0.73097129195593558</v>
      </c>
      <c r="R3391" s="9">
        <f t="shared" si="135"/>
        <v>1.0971291955935603E-2</v>
      </c>
    </row>
    <row r="3392" spans="1:18" x14ac:dyDescent="0.2">
      <c r="A3392" s="2">
        <v>42622</v>
      </c>
      <c r="B3392" s="1" t="s">
        <v>56</v>
      </c>
      <c r="C3392" s="1" t="s">
        <v>57</v>
      </c>
      <c r="D3392" s="2">
        <v>43469</v>
      </c>
      <c r="E3392" s="2">
        <f t="shared" si="134"/>
        <v>43556</v>
      </c>
      <c r="F3392" s="1" t="s">
        <v>58</v>
      </c>
      <c r="G3392" s="1" t="s">
        <v>16</v>
      </c>
      <c r="H3392" s="1">
        <v>-5</v>
      </c>
      <c r="I3392" s="1">
        <v>4.16</v>
      </c>
      <c r="J3392" s="1">
        <v>-0.01</v>
      </c>
      <c r="K3392" s="2">
        <v>43742</v>
      </c>
      <c r="L3392" s="1">
        <v>3716</v>
      </c>
      <c r="M3392" s="1">
        <v>3.51</v>
      </c>
      <c r="N3392" s="1">
        <v>0</v>
      </c>
      <c r="O3392" s="3">
        <f>VLOOKUP(D3392,underlying!$D$40:$H$75,5,FALSE)</f>
        <v>-1.75</v>
      </c>
      <c r="P3392" s="4">
        <f t="shared" si="136"/>
        <v>43565</v>
      </c>
      <c r="Q3392" s="7">
        <f>IF(G3392="C",NormalCallSprd(O3392,H3392,M3392,(P3392-A3392)/365), NormalPutSprd(O3392,H3392,M3392,(P3392-A3392)/365))</f>
        <v>4.2392002754562421</v>
      </c>
      <c r="R3392" s="9">
        <f t="shared" si="135"/>
        <v>7.9200275456241975E-2</v>
      </c>
    </row>
    <row r="3393" spans="1:18" x14ac:dyDescent="0.2">
      <c r="A3393" s="2">
        <v>42622</v>
      </c>
      <c r="B3393" s="1" t="s">
        <v>56</v>
      </c>
      <c r="C3393" s="1" t="s">
        <v>57</v>
      </c>
      <c r="D3393" s="2">
        <v>43469</v>
      </c>
      <c r="E3393" s="2">
        <f t="shared" si="134"/>
        <v>43556</v>
      </c>
      <c r="F3393" s="1" t="s">
        <v>58</v>
      </c>
      <c r="G3393" s="1" t="s">
        <v>18</v>
      </c>
      <c r="H3393" s="1">
        <v>-5</v>
      </c>
      <c r="I3393" s="1">
        <v>0.97</v>
      </c>
      <c r="J3393" s="1">
        <v>0</v>
      </c>
      <c r="K3393" s="2">
        <v>43742</v>
      </c>
      <c r="L3393" s="1">
        <v>3716</v>
      </c>
      <c r="M3393" s="1">
        <v>3.51</v>
      </c>
      <c r="N3393" s="1">
        <v>0</v>
      </c>
      <c r="O3393" s="3">
        <f>VLOOKUP(D3393,underlying!$D$40:$H$75,5,FALSE)</f>
        <v>-1.75</v>
      </c>
      <c r="P3393" s="4">
        <f t="shared" si="136"/>
        <v>43565</v>
      </c>
      <c r="Q3393" s="7">
        <f>IF(G3393="C",NormalCallSprd(O3393,H3393,M3393,(P3393-A3393)/365), NormalPutSprd(O3393,H3393,M3393,(P3393-A3393)/365))</f>
        <v>0.98920027545624212</v>
      </c>
      <c r="R3393" s="9">
        <f t="shared" si="135"/>
        <v>1.9200275456242144E-2</v>
      </c>
    </row>
    <row r="3394" spans="1:18" x14ac:dyDescent="0.2">
      <c r="A3394" s="2">
        <v>42622</v>
      </c>
      <c r="B3394" s="1" t="s">
        <v>56</v>
      </c>
      <c r="C3394" s="1" t="s">
        <v>57</v>
      </c>
      <c r="D3394" s="2">
        <v>43469</v>
      </c>
      <c r="E3394" s="2">
        <f t="shared" ref="E3394:E3457" si="137">DATE(YEAR(D3394),DAY(D3394),MONTH(D3394))</f>
        <v>43556</v>
      </c>
      <c r="F3394" s="1" t="s">
        <v>58</v>
      </c>
      <c r="G3394" s="1" t="s">
        <v>16</v>
      </c>
      <c r="H3394" s="1">
        <v>-4.75</v>
      </c>
      <c r="I3394" s="1">
        <v>3.99</v>
      </c>
      <c r="J3394" s="1">
        <v>0</v>
      </c>
      <c r="K3394" s="2">
        <v>43742</v>
      </c>
      <c r="L3394" s="1">
        <v>3716</v>
      </c>
      <c r="M3394" s="1">
        <v>3.51</v>
      </c>
      <c r="N3394" s="1">
        <v>0</v>
      </c>
      <c r="O3394" s="3">
        <f>VLOOKUP(D3394,underlying!$D$40:$H$75,5,FALSE)</f>
        <v>-1.75</v>
      </c>
      <c r="P3394" s="4">
        <f t="shared" si="136"/>
        <v>43565</v>
      </c>
      <c r="Q3394" s="7">
        <f>IF(G3394="C",NormalCallSprd(O3394,H3394,M3394,(P3394-A3394)/365), NormalPutSprd(O3394,H3394,M3394,(P3394-A3394)/365))</f>
        <v>4.0616598308827374</v>
      </c>
      <c r="R3394" s="9">
        <f t="shared" si="135"/>
        <v>7.1659830882737197E-2</v>
      </c>
    </row>
    <row r="3395" spans="1:18" x14ac:dyDescent="0.2">
      <c r="A3395" s="2">
        <v>42622</v>
      </c>
      <c r="B3395" s="1" t="s">
        <v>56</v>
      </c>
      <c r="C3395" s="1" t="s">
        <v>57</v>
      </c>
      <c r="D3395" s="2">
        <v>43469</v>
      </c>
      <c r="E3395" s="2">
        <f t="shared" si="137"/>
        <v>43556</v>
      </c>
      <c r="F3395" s="1" t="s">
        <v>58</v>
      </c>
      <c r="G3395" s="1" t="s">
        <v>18</v>
      </c>
      <c r="H3395" s="1">
        <v>-4.75</v>
      </c>
      <c r="I3395" s="1">
        <v>1.04</v>
      </c>
      <c r="J3395" s="1">
        <v>0</v>
      </c>
      <c r="K3395" s="2">
        <v>43742</v>
      </c>
      <c r="L3395" s="1">
        <v>3716</v>
      </c>
      <c r="M3395" s="1">
        <v>3.51</v>
      </c>
      <c r="N3395" s="1">
        <v>0</v>
      </c>
      <c r="O3395" s="3">
        <f>VLOOKUP(D3395,underlying!$D$40:$H$75,5,FALSE)</f>
        <v>-1.75</v>
      </c>
      <c r="P3395" s="4">
        <f t="shared" si="136"/>
        <v>43565</v>
      </c>
      <c r="Q3395" s="7">
        <f>IF(G3395="C",NormalCallSprd(O3395,H3395,M3395,(P3395-A3395)/365), NormalPutSprd(O3395,H3395,M3395,(P3395-A3395)/365))</f>
        <v>1.0616598308827372</v>
      </c>
      <c r="R3395" s="9">
        <f t="shared" ref="R3395:R3458" si="138">ABS(Q3395-I3395)</f>
        <v>2.1659830882737152E-2</v>
      </c>
    </row>
    <row r="3396" spans="1:18" x14ac:dyDescent="0.2">
      <c r="A3396" s="2">
        <v>42622</v>
      </c>
      <c r="B3396" s="1" t="s">
        <v>56</v>
      </c>
      <c r="C3396" s="1" t="s">
        <v>57</v>
      </c>
      <c r="D3396" s="2">
        <v>43469</v>
      </c>
      <c r="E3396" s="2">
        <f t="shared" si="137"/>
        <v>43556</v>
      </c>
      <c r="F3396" s="1" t="s">
        <v>58</v>
      </c>
      <c r="G3396" s="1" t="s">
        <v>16</v>
      </c>
      <c r="H3396" s="1">
        <v>-4.5</v>
      </c>
      <c r="I3396" s="1">
        <v>3.82</v>
      </c>
      <c r="J3396" s="1">
        <v>0</v>
      </c>
      <c r="K3396" s="2">
        <v>43742</v>
      </c>
      <c r="L3396" s="1">
        <v>3716</v>
      </c>
      <c r="M3396" s="1">
        <v>3.51</v>
      </c>
      <c r="N3396" s="1">
        <v>0</v>
      </c>
      <c r="O3396" s="3">
        <f>VLOOKUP(D3396,underlying!$D$40:$H$75,5,FALSE)</f>
        <v>-1.75</v>
      </c>
      <c r="P3396" s="4">
        <f t="shared" si="136"/>
        <v>43565</v>
      </c>
      <c r="Q3396" s="7">
        <f>IF(G3396="C",NormalCallSprd(O3396,H3396,M3396,(P3396-A3396)/365), NormalPutSprd(O3396,H3396,M3396,(P3396-A3396)/365))</f>
        <v>3.887955780608618</v>
      </c>
      <c r="R3396" s="9">
        <f t="shared" si="138"/>
        <v>6.7955780608618177E-2</v>
      </c>
    </row>
    <row r="3397" spans="1:18" x14ac:dyDescent="0.2">
      <c r="A3397" s="2">
        <v>42622</v>
      </c>
      <c r="B3397" s="1" t="s">
        <v>56</v>
      </c>
      <c r="C3397" s="1" t="s">
        <v>57</v>
      </c>
      <c r="D3397" s="2">
        <v>43469</v>
      </c>
      <c r="E3397" s="2">
        <f t="shared" si="137"/>
        <v>43556</v>
      </c>
      <c r="F3397" s="1" t="s">
        <v>58</v>
      </c>
      <c r="G3397" s="1" t="s">
        <v>18</v>
      </c>
      <c r="H3397" s="1">
        <v>-4.5</v>
      </c>
      <c r="I3397" s="1">
        <v>1.1200000000000001</v>
      </c>
      <c r="J3397" s="1">
        <v>0</v>
      </c>
      <c r="K3397" s="2">
        <v>43742</v>
      </c>
      <c r="L3397" s="1">
        <v>3716</v>
      </c>
      <c r="M3397" s="1">
        <v>3.51</v>
      </c>
      <c r="N3397" s="1">
        <v>0</v>
      </c>
      <c r="O3397" s="3">
        <f>VLOOKUP(D3397,underlying!$D$40:$H$75,5,FALSE)</f>
        <v>-1.75</v>
      </c>
      <c r="P3397" s="4">
        <f t="shared" si="136"/>
        <v>43565</v>
      </c>
      <c r="Q3397" s="7">
        <f>IF(G3397="C",NormalCallSprd(O3397,H3397,M3397,(P3397-A3397)/365), NormalPutSprd(O3397,H3397,M3397,(P3397-A3397)/365))</f>
        <v>1.1379557806086178</v>
      </c>
      <c r="R3397" s="9">
        <f t="shared" si="138"/>
        <v>1.7955780608617689E-2</v>
      </c>
    </row>
    <row r="3398" spans="1:18" x14ac:dyDescent="0.2">
      <c r="A3398" s="2">
        <v>42622</v>
      </c>
      <c r="B3398" s="1" t="s">
        <v>56</v>
      </c>
      <c r="C3398" s="1" t="s">
        <v>57</v>
      </c>
      <c r="D3398" s="2">
        <v>43469</v>
      </c>
      <c r="E3398" s="2">
        <f t="shared" si="137"/>
        <v>43556</v>
      </c>
      <c r="F3398" s="1" t="s">
        <v>58</v>
      </c>
      <c r="G3398" s="1" t="s">
        <v>16</v>
      </c>
      <c r="H3398" s="1">
        <v>-4.25</v>
      </c>
      <c r="I3398" s="1">
        <v>3.65</v>
      </c>
      <c r="J3398" s="1">
        <v>-0.01</v>
      </c>
      <c r="K3398" s="2">
        <v>43742</v>
      </c>
      <c r="L3398" s="1">
        <v>3716</v>
      </c>
      <c r="M3398" s="1">
        <v>3.51</v>
      </c>
      <c r="N3398" s="1">
        <v>0</v>
      </c>
      <c r="O3398" s="3">
        <f>VLOOKUP(D3398,underlying!$D$40:$H$75,5,FALSE)</f>
        <v>-1.75</v>
      </c>
      <c r="P3398" s="4">
        <f t="shared" si="136"/>
        <v>43565</v>
      </c>
      <c r="Q3398" s="7">
        <f>IF(G3398="C",NormalCallSprd(O3398,H3398,M3398,(P3398-A3398)/365), NormalPutSprd(O3398,H3398,M3398,(P3398-A3398)/365))</f>
        <v>3.7181757110896476</v>
      </c>
      <c r="R3398" s="9">
        <f t="shared" si="138"/>
        <v>6.8175711089647706E-2</v>
      </c>
    </row>
    <row r="3399" spans="1:18" x14ac:dyDescent="0.2">
      <c r="A3399" s="2">
        <v>42622</v>
      </c>
      <c r="B3399" s="1" t="s">
        <v>56</v>
      </c>
      <c r="C3399" s="1" t="s">
        <v>57</v>
      </c>
      <c r="D3399" s="2">
        <v>43469</v>
      </c>
      <c r="E3399" s="2">
        <f t="shared" si="137"/>
        <v>43556</v>
      </c>
      <c r="F3399" s="1" t="s">
        <v>58</v>
      </c>
      <c r="G3399" s="1" t="s">
        <v>18</v>
      </c>
      <c r="H3399" s="1">
        <v>-4.25</v>
      </c>
      <c r="I3399" s="1">
        <v>1.2</v>
      </c>
      <c r="J3399" s="1">
        <v>0</v>
      </c>
      <c r="K3399" s="2">
        <v>43742</v>
      </c>
      <c r="L3399" s="1">
        <v>3716</v>
      </c>
      <c r="M3399" s="1">
        <v>3.51</v>
      </c>
      <c r="N3399" s="1">
        <v>0</v>
      </c>
      <c r="O3399" s="3">
        <f>VLOOKUP(D3399,underlying!$D$40:$H$75,5,FALSE)</f>
        <v>-1.75</v>
      </c>
      <c r="P3399" s="4">
        <f t="shared" si="136"/>
        <v>43565</v>
      </c>
      <c r="Q3399" s="7">
        <f>IF(G3399="C",NormalCallSprd(O3399,H3399,M3399,(P3399-A3399)/365), NormalPutSprd(O3399,H3399,M3399,(P3399-A3399)/365))</f>
        <v>1.2181757110896476</v>
      </c>
      <c r="R3399" s="9">
        <f t="shared" si="138"/>
        <v>1.8175711089647661E-2</v>
      </c>
    </row>
    <row r="3400" spans="1:18" x14ac:dyDescent="0.2">
      <c r="A3400" s="2">
        <v>42622</v>
      </c>
      <c r="B3400" s="1" t="s">
        <v>56</v>
      </c>
      <c r="C3400" s="1" t="s">
        <v>57</v>
      </c>
      <c r="D3400" s="2">
        <v>43469</v>
      </c>
      <c r="E3400" s="2">
        <f t="shared" si="137"/>
        <v>43556</v>
      </c>
      <c r="F3400" s="1" t="s">
        <v>58</v>
      </c>
      <c r="G3400" s="1" t="s">
        <v>16</v>
      </c>
      <c r="H3400" s="1">
        <v>-4</v>
      </c>
      <c r="I3400" s="1">
        <v>3.49</v>
      </c>
      <c r="J3400" s="1">
        <v>0</v>
      </c>
      <c r="K3400" s="2">
        <v>43742</v>
      </c>
      <c r="L3400" s="1">
        <v>3716</v>
      </c>
      <c r="M3400" s="1">
        <v>3.51</v>
      </c>
      <c r="N3400" s="1">
        <v>0</v>
      </c>
      <c r="O3400" s="3">
        <f>VLOOKUP(D3400,underlying!$D$40:$H$75,5,FALSE)</f>
        <v>-1.75</v>
      </c>
      <c r="P3400" s="4">
        <f t="shared" si="136"/>
        <v>43565</v>
      </c>
      <c r="Q3400" s="7">
        <f>IF(G3400="C",NormalCallSprd(O3400,H3400,M3400,(P3400-A3400)/365), NormalPutSprd(O3400,H3400,M3400,(P3400-A3400)/365))</f>
        <v>3.5524013377922974</v>
      </c>
      <c r="R3400" s="9">
        <f t="shared" si="138"/>
        <v>6.2401337792297173E-2</v>
      </c>
    </row>
    <row r="3401" spans="1:18" x14ac:dyDescent="0.2">
      <c r="A3401" s="2">
        <v>42622</v>
      </c>
      <c r="B3401" s="1" t="s">
        <v>56</v>
      </c>
      <c r="C3401" s="1" t="s">
        <v>57</v>
      </c>
      <c r="D3401" s="2">
        <v>43469</v>
      </c>
      <c r="E3401" s="2">
        <f t="shared" si="137"/>
        <v>43556</v>
      </c>
      <c r="F3401" s="1" t="s">
        <v>58</v>
      </c>
      <c r="G3401" s="1" t="s">
        <v>18</v>
      </c>
      <c r="H3401" s="1">
        <v>-4</v>
      </c>
      <c r="I3401" s="1">
        <v>1.28</v>
      </c>
      <c r="J3401" s="1">
        <v>0</v>
      </c>
      <c r="K3401" s="2">
        <v>43742</v>
      </c>
      <c r="L3401" s="1">
        <v>3716</v>
      </c>
      <c r="M3401" s="1">
        <v>3.51</v>
      </c>
      <c r="N3401" s="1">
        <v>0</v>
      </c>
      <c r="O3401" s="3">
        <f>VLOOKUP(D3401,underlying!$D$40:$H$75,5,FALSE)</f>
        <v>-1.75</v>
      </c>
      <c r="P3401" s="4">
        <f t="shared" si="136"/>
        <v>43565</v>
      </c>
      <c r="Q3401" s="7">
        <f>IF(G3401="C",NormalCallSprd(O3401,H3401,M3401,(P3401-A3401)/365), NormalPutSprd(O3401,H3401,M3401,(P3401-A3401)/365))</f>
        <v>1.3024013377922976</v>
      </c>
      <c r="R3401" s="9">
        <f t="shared" si="138"/>
        <v>2.2401337792297582E-2</v>
      </c>
    </row>
    <row r="3402" spans="1:18" x14ac:dyDescent="0.2">
      <c r="A3402" s="2">
        <v>42622</v>
      </c>
      <c r="B3402" s="1" t="s">
        <v>56</v>
      </c>
      <c r="C3402" s="1" t="s">
        <v>57</v>
      </c>
      <c r="D3402" s="2">
        <v>43469</v>
      </c>
      <c r="E3402" s="2">
        <f t="shared" si="137"/>
        <v>43556</v>
      </c>
      <c r="F3402" s="1" t="s">
        <v>58</v>
      </c>
      <c r="G3402" s="1" t="s">
        <v>16</v>
      </c>
      <c r="H3402" s="1">
        <v>-3.75</v>
      </c>
      <c r="I3402" s="1">
        <v>3.32</v>
      </c>
      <c r="J3402" s="1">
        <v>0</v>
      </c>
      <c r="K3402" s="2">
        <v>43742</v>
      </c>
      <c r="L3402" s="1">
        <v>3716</v>
      </c>
      <c r="M3402" s="1">
        <v>3.49</v>
      </c>
      <c r="N3402" s="1">
        <v>0</v>
      </c>
      <c r="O3402" s="3">
        <f>VLOOKUP(D3402,underlying!$D$40:$H$75,5,FALSE)</f>
        <v>-1.75</v>
      </c>
      <c r="P3402" s="4">
        <f t="shared" si="136"/>
        <v>43565</v>
      </c>
      <c r="Q3402" s="7">
        <f>IF(G3402="C",NormalCallSprd(O3402,H3402,M3402,(P3402-A3402)/365), NormalPutSprd(O3402,H3402,M3402,(P3402-A3402)/365))</f>
        <v>3.3786686685261467</v>
      </c>
      <c r="R3402" s="9">
        <f t="shared" si="138"/>
        <v>5.8668668526146828E-2</v>
      </c>
    </row>
    <row r="3403" spans="1:18" x14ac:dyDescent="0.2">
      <c r="A3403" s="2">
        <v>42622</v>
      </c>
      <c r="B3403" s="1" t="s">
        <v>56</v>
      </c>
      <c r="C3403" s="1" t="s">
        <v>57</v>
      </c>
      <c r="D3403" s="2">
        <v>43469</v>
      </c>
      <c r="E3403" s="2">
        <f t="shared" si="137"/>
        <v>43556</v>
      </c>
      <c r="F3403" s="1" t="s">
        <v>58</v>
      </c>
      <c r="G3403" s="1" t="s">
        <v>18</v>
      </c>
      <c r="H3403" s="1">
        <v>-3.75</v>
      </c>
      <c r="I3403" s="1">
        <v>1.35</v>
      </c>
      <c r="J3403" s="1">
        <v>-0.01</v>
      </c>
      <c r="K3403" s="2">
        <v>43742</v>
      </c>
      <c r="L3403" s="1">
        <v>3716</v>
      </c>
      <c r="M3403" s="1">
        <v>3.49</v>
      </c>
      <c r="N3403" s="1">
        <v>0</v>
      </c>
      <c r="O3403" s="3">
        <f>VLOOKUP(D3403,underlying!$D$40:$H$75,5,FALSE)</f>
        <v>-1.75</v>
      </c>
      <c r="P3403" s="4">
        <f t="shared" si="136"/>
        <v>43565</v>
      </c>
      <c r="Q3403" s="7">
        <f>IF(G3403="C",NormalCallSprd(O3403,H3403,M3403,(P3403-A3403)/365), NormalPutSprd(O3403,H3403,M3403,(P3403-A3403)/365))</f>
        <v>1.3786686685261467</v>
      </c>
      <c r="R3403" s="9">
        <f t="shared" si="138"/>
        <v>2.8668668526146579E-2</v>
      </c>
    </row>
    <row r="3404" spans="1:18" x14ac:dyDescent="0.2">
      <c r="A3404" s="2">
        <v>42622</v>
      </c>
      <c r="B3404" s="1" t="s">
        <v>56</v>
      </c>
      <c r="C3404" s="1" t="s">
        <v>57</v>
      </c>
      <c r="D3404" s="2">
        <v>43469</v>
      </c>
      <c r="E3404" s="2">
        <f t="shared" si="137"/>
        <v>43556</v>
      </c>
      <c r="F3404" s="1" t="s">
        <v>58</v>
      </c>
      <c r="G3404" s="1" t="s">
        <v>16</v>
      </c>
      <c r="H3404" s="1">
        <v>-3.5</v>
      </c>
      <c r="I3404" s="1">
        <v>3.18</v>
      </c>
      <c r="J3404" s="1">
        <v>0</v>
      </c>
      <c r="K3404" s="2">
        <v>43742</v>
      </c>
      <c r="L3404" s="1">
        <v>3716</v>
      </c>
      <c r="M3404" s="1">
        <v>3.51</v>
      </c>
      <c r="N3404" s="1">
        <v>0</v>
      </c>
      <c r="O3404" s="3">
        <f>VLOOKUP(D3404,underlying!$D$40:$H$75,5,FALSE)</f>
        <v>-1.75</v>
      </c>
      <c r="P3404" s="4">
        <f t="shared" si="136"/>
        <v>43565</v>
      </c>
      <c r="Q3404" s="7">
        <f>IF(G3404="C",NormalCallSprd(O3404,H3404,M3404,(P3404-A3404)/365), NormalPutSprd(O3404,H3404,M3404,(P3404-A3404)/365))</f>
        <v>3.233164538945192</v>
      </c>
      <c r="R3404" s="9">
        <f t="shared" si="138"/>
        <v>5.3164538945191797E-2</v>
      </c>
    </row>
    <row r="3405" spans="1:18" x14ac:dyDescent="0.2">
      <c r="A3405" s="2">
        <v>42622</v>
      </c>
      <c r="B3405" s="1" t="s">
        <v>56</v>
      </c>
      <c r="C3405" s="1" t="s">
        <v>57</v>
      </c>
      <c r="D3405" s="2">
        <v>43469</v>
      </c>
      <c r="E3405" s="2">
        <f t="shared" si="137"/>
        <v>43556</v>
      </c>
      <c r="F3405" s="1" t="s">
        <v>58</v>
      </c>
      <c r="G3405" s="1" t="s">
        <v>18</v>
      </c>
      <c r="H3405" s="1">
        <v>-3.5</v>
      </c>
      <c r="I3405" s="1">
        <v>1.46</v>
      </c>
      <c r="J3405" s="1">
        <v>0</v>
      </c>
      <c r="K3405" s="2">
        <v>43742</v>
      </c>
      <c r="L3405" s="1">
        <v>3716</v>
      </c>
      <c r="M3405" s="1">
        <v>3.51</v>
      </c>
      <c r="N3405" s="1">
        <v>0</v>
      </c>
      <c r="O3405" s="3">
        <f>VLOOKUP(D3405,underlying!$D$40:$H$75,5,FALSE)</f>
        <v>-1.75</v>
      </c>
      <c r="P3405" s="4">
        <f t="shared" si="136"/>
        <v>43565</v>
      </c>
      <c r="Q3405" s="7">
        <f>IF(G3405="C",NormalCallSprd(O3405,H3405,M3405,(P3405-A3405)/365), NormalPutSprd(O3405,H3405,M3405,(P3405-A3405)/365))</f>
        <v>1.4831645389451917</v>
      </c>
      <c r="R3405" s="9">
        <f t="shared" si="138"/>
        <v>2.316453894519177E-2</v>
      </c>
    </row>
    <row r="3406" spans="1:18" x14ac:dyDescent="0.2">
      <c r="A3406" s="2">
        <v>42622</v>
      </c>
      <c r="B3406" s="1" t="s">
        <v>56</v>
      </c>
      <c r="C3406" s="1" t="s">
        <v>57</v>
      </c>
      <c r="D3406" s="2">
        <v>43469</v>
      </c>
      <c r="E3406" s="2">
        <f t="shared" si="137"/>
        <v>43556</v>
      </c>
      <c r="F3406" s="1" t="s">
        <v>58</v>
      </c>
      <c r="G3406" s="1" t="s">
        <v>16</v>
      </c>
      <c r="H3406" s="1">
        <v>-3.25</v>
      </c>
      <c r="I3406" s="1">
        <v>3.01</v>
      </c>
      <c r="J3406" s="1">
        <v>-0.01</v>
      </c>
      <c r="K3406" s="2">
        <v>43742</v>
      </c>
      <c r="L3406" s="1">
        <v>3716</v>
      </c>
      <c r="M3406" s="1">
        <v>3.49</v>
      </c>
      <c r="N3406" s="1">
        <v>0</v>
      </c>
      <c r="O3406" s="3">
        <f>VLOOKUP(D3406,underlying!$D$40:$H$75,5,FALSE)</f>
        <v>-1.75</v>
      </c>
      <c r="P3406" s="4">
        <f t="shared" si="136"/>
        <v>43565</v>
      </c>
      <c r="Q3406" s="7">
        <f>IF(G3406="C",NormalCallSprd(O3406,H3406,M3406,(P3406-A3406)/365), NormalPutSprd(O3406,H3406,M3406,(P3406-A3406)/365))</f>
        <v>3.0674554277199317</v>
      </c>
      <c r="R3406" s="9">
        <f t="shared" si="138"/>
        <v>5.7455427719931951E-2</v>
      </c>
    </row>
    <row r="3407" spans="1:18" x14ac:dyDescent="0.2">
      <c r="A3407" s="2">
        <v>42622</v>
      </c>
      <c r="B3407" s="1" t="s">
        <v>56</v>
      </c>
      <c r="C3407" s="1" t="s">
        <v>57</v>
      </c>
      <c r="D3407" s="2">
        <v>43469</v>
      </c>
      <c r="E3407" s="2">
        <f t="shared" si="137"/>
        <v>43556</v>
      </c>
      <c r="F3407" s="1" t="s">
        <v>58</v>
      </c>
      <c r="G3407" s="1" t="s">
        <v>18</v>
      </c>
      <c r="H3407" s="1">
        <v>-3.25</v>
      </c>
      <c r="I3407" s="1">
        <v>1.54</v>
      </c>
      <c r="J3407" s="1">
        <v>0</v>
      </c>
      <c r="K3407" s="2">
        <v>43742</v>
      </c>
      <c r="L3407" s="1">
        <v>3716</v>
      </c>
      <c r="M3407" s="1">
        <v>3.49</v>
      </c>
      <c r="N3407" s="1">
        <v>0</v>
      </c>
      <c r="O3407" s="3">
        <f>VLOOKUP(D3407,underlying!$D$40:$H$75,5,FALSE)</f>
        <v>-1.75</v>
      </c>
      <c r="P3407" s="4">
        <f t="shared" si="136"/>
        <v>43565</v>
      </c>
      <c r="Q3407" s="7">
        <f>IF(G3407="C",NormalCallSprd(O3407,H3407,M3407,(P3407-A3407)/365), NormalPutSprd(O3407,H3407,M3407,(P3407-A3407)/365))</f>
        <v>1.5674554277199317</v>
      </c>
      <c r="R3407" s="9">
        <f t="shared" si="138"/>
        <v>2.7455427719931702E-2</v>
      </c>
    </row>
    <row r="3408" spans="1:18" x14ac:dyDescent="0.2">
      <c r="A3408" s="2">
        <v>42622</v>
      </c>
      <c r="B3408" s="1" t="s">
        <v>56</v>
      </c>
      <c r="C3408" s="1" t="s">
        <v>57</v>
      </c>
      <c r="D3408" s="2">
        <v>43469</v>
      </c>
      <c r="E3408" s="2">
        <f t="shared" si="137"/>
        <v>43556</v>
      </c>
      <c r="F3408" s="1" t="s">
        <v>58</v>
      </c>
      <c r="G3408" s="1" t="s">
        <v>16</v>
      </c>
      <c r="H3408" s="1">
        <v>-3</v>
      </c>
      <c r="I3408" s="1">
        <v>2.88</v>
      </c>
      <c r="J3408" s="1">
        <v>0</v>
      </c>
      <c r="K3408" s="2">
        <v>43742</v>
      </c>
      <c r="L3408" s="1">
        <v>3716</v>
      </c>
      <c r="M3408" s="1">
        <v>3.51</v>
      </c>
      <c r="N3408" s="1">
        <v>0</v>
      </c>
      <c r="O3408" s="3">
        <f>VLOOKUP(D3408,underlying!$D$40:$H$75,5,FALSE)</f>
        <v>-1.75</v>
      </c>
      <c r="P3408" s="4">
        <f t="shared" si="136"/>
        <v>43565</v>
      </c>
      <c r="Q3408" s="7">
        <f>IF(G3408="C",NormalCallSprd(O3408,H3408,M3408,(P3408-A3408)/365), NormalPutSprd(O3408,H3408,M3408,(P3408-A3408)/365))</f>
        <v>2.9307654843378228</v>
      </c>
      <c r="R3408" s="9">
        <f t="shared" si="138"/>
        <v>5.0765484337822908E-2</v>
      </c>
    </row>
    <row r="3409" spans="1:18" x14ac:dyDescent="0.2">
      <c r="A3409" s="2">
        <v>42622</v>
      </c>
      <c r="B3409" s="1" t="s">
        <v>56</v>
      </c>
      <c r="C3409" s="1" t="s">
        <v>57</v>
      </c>
      <c r="D3409" s="2">
        <v>43469</v>
      </c>
      <c r="E3409" s="2">
        <f t="shared" si="137"/>
        <v>43556</v>
      </c>
      <c r="F3409" s="1" t="s">
        <v>58</v>
      </c>
      <c r="G3409" s="1" t="s">
        <v>18</v>
      </c>
      <c r="H3409" s="1">
        <v>-3</v>
      </c>
      <c r="I3409" s="1">
        <v>1.65</v>
      </c>
      <c r="J3409" s="1">
        <v>0</v>
      </c>
      <c r="K3409" s="2">
        <v>43742</v>
      </c>
      <c r="L3409" s="1">
        <v>3716</v>
      </c>
      <c r="M3409" s="1">
        <v>3.51</v>
      </c>
      <c r="N3409" s="1">
        <v>0</v>
      </c>
      <c r="O3409" s="3">
        <f>VLOOKUP(D3409,underlying!$D$40:$H$75,5,FALSE)</f>
        <v>-1.75</v>
      </c>
      <c r="P3409" s="4">
        <f t="shared" si="136"/>
        <v>43565</v>
      </c>
      <c r="Q3409" s="7">
        <f>IF(G3409="C",NormalCallSprd(O3409,H3409,M3409,(P3409-A3409)/365), NormalPutSprd(O3409,H3409,M3409,(P3409-A3409)/365))</f>
        <v>1.6807654843378228</v>
      </c>
      <c r="R3409" s="9">
        <f t="shared" si="138"/>
        <v>3.076548433782289E-2</v>
      </c>
    </row>
    <row r="3410" spans="1:18" x14ac:dyDescent="0.2">
      <c r="A3410" s="2">
        <v>42622</v>
      </c>
      <c r="B3410" s="1" t="s">
        <v>56</v>
      </c>
      <c r="C3410" s="1" t="s">
        <v>57</v>
      </c>
      <c r="D3410" s="2">
        <v>43469</v>
      </c>
      <c r="E3410" s="2">
        <f t="shared" si="137"/>
        <v>43556</v>
      </c>
      <c r="F3410" s="1" t="s">
        <v>58</v>
      </c>
      <c r="G3410" s="1" t="s">
        <v>16</v>
      </c>
      <c r="H3410" s="1">
        <v>-2.75</v>
      </c>
      <c r="I3410" s="1">
        <v>2.72</v>
      </c>
      <c r="J3410" s="1">
        <v>-0.01</v>
      </c>
      <c r="K3410" s="2">
        <v>43742</v>
      </c>
      <c r="L3410" s="1">
        <v>3716</v>
      </c>
      <c r="M3410" s="1">
        <v>3.49</v>
      </c>
      <c r="N3410" s="1">
        <v>0</v>
      </c>
      <c r="O3410" s="3">
        <f>VLOOKUP(D3410,underlying!$D$40:$H$75,5,FALSE)</f>
        <v>-1.75</v>
      </c>
      <c r="P3410" s="4">
        <f t="shared" si="136"/>
        <v>43565</v>
      </c>
      <c r="Q3410" s="7">
        <f>IF(G3410="C",NormalCallSprd(O3410,H3410,M3410,(P3410-A3410)/365), NormalPutSprd(O3410,H3410,M3410,(P3410-A3410)/365))</f>
        <v>2.7733865798385433</v>
      </c>
      <c r="R3410" s="9">
        <f t="shared" si="138"/>
        <v>5.3386579838543113E-2</v>
      </c>
    </row>
    <row r="3411" spans="1:18" x14ac:dyDescent="0.2">
      <c r="A3411" s="2">
        <v>42622</v>
      </c>
      <c r="B3411" s="1" t="s">
        <v>56</v>
      </c>
      <c r="C3411" s="1" t="s">
        <v>57</v>
      </c>
      <c r="D3411" s="2">
        <v>43469</v>
      </c>
      <c r="E3411" s="2">
        <f t="shared" si="137"/>
        <v>43556</v>
      </c>
      <c r="F3411" s="1" t="s">
        <v>58</v>
      </c>
      <c r="G3411" s="1" t="s">
        <v>18</v>
      </c>
      <c r="H3411" s="1">
        <v>-2.75</v>
      </c>
      <c r="I3411" s="1">
        <v>1.74</v>
      </c>
      <c r="J3411" s="1">
        <v>0</v>
      </c>
      <c r="K3411" s="2">
        <v>43742</v>
      </c>
      <c r="L3411" s="1">
        <v>3716</v>
      </c>
      <c r="M3411" s="1">
        <v>3.49</v>
      </c>
      <c r="N3411" s="1">
        <v>0</v>
      </c>
      <c r="O3411" s="3">
        <f>VLOOKUP(D3411,underlying!$D$40:$H$75,5,FALSE)</f>
        <v>-1.75</v>
      </c>
      <c r="P3411" s="4">
        <f t="shared" si="136"/>
        <v>43565</v>
      </c>
      <c r="Q3411" s="7">
        <f>IF(G3411="C",NormalCallSprd(O3411,H3411,M3411,(P3411-A3411)/365), NormalPutSprd(O3411,H3411,M3411,(P3411-A3411)/365))</f>
        <v>1.7733865798385435</v>
      </c>
      <c r="R3411" s="9">
        <f t="shared" si="138"/>
        <v>3.338657983854354E-2</v>
      </c>
    </row>
    <row r="3412" spans="1:18" x14ac:dyDescent="0.2">
      <c r="A3412" s="2">
        <v>42622</v>
      </c>
      <c r="B3412" s="1" t="s">
        <v>56</v>
      </c>
      <c r="C3412" s="1" t="s">
        <v>57</v>
      </c>
      <c r="D3412" s="2">
        <v>43469</v>
      </c>
      <c r="E3412" s="2">
        <f t="shared" si="137"/>
        <v>43556</v>
      </c>
      <c r="F3412" s="1" t="s">
        <v>58</v>
      </c>
      <c r="G3412" s="1" t="s">
        <v>16</v>
      </c>
      <c r="H3412" s="1">
        <v>-2.5</v>
      </c>
      <c r="I3412" s="1">
        <v>2.59</v>
      </c>
      <c r="J3412" s="1">
        <v>-0.01</v>
      </c>
      <c r="K3412" s="2">
        <v>43742</v>
      </c>
      <c r="L3412" s="1">
        <v>3716</v>
      </c>
      <c r="M3412" s="1">
        <v>3.5</v>
      </c>
      <c r="N3412" s="1">
        <v>0</v>
      </c>
      <c r="O3412" s="3">
        <f>VLOOKUP(D3412,underlying!$D$40:$H$75,5,FALSE)</f>
        <v>-1.75</v>
      </c>
      <c r="P3412" s="4">
        <f t="shared" si="136"/>
        <v>43565</v>
      </c>
      <c r="Q3412" s="7">
        <f>IF(G3412="C",NormalCallSprd(O3412,H3412,M3412,(P3412-A3412)/365), NormalPutSprd(O3412,H3412,M3412,(P3412-A3412)/365))</f>
        <v>2.6392492872795588</v>
      </c>
      <c r="R3412" s="9">
        <f t="shared" si="138"/>
        <v>4.9249287279558907E-2</v>
      </c>
    </row>
    <row r="3413" spans="1:18" x14ac:dyDescent="0.2">
      <c r="A3413" s="2">
        <v>42622</v>
      </c>
      <c r="B3413" s="1" t="s">
        <v>56</v>
      </c>
      <c r="C3413" s="1" t="s">
        <v>57</v>
      </c>
      <c r="D3413" s="2">
        <v>43469</v>
      </c>
      <c r="E3413" s="2">
        <f t="shared" si="137"/>
        <v>43556</v>
      </c>
      <c r="F3413" s="1" t="s">
        <v>58</v>
      </c>
      <c r="G3413" s="1" t="s">
        <v>18</v>
      </c>
      <c r="H3413" s="1">
        <v>-2.5</v>
      </c>
      <c r="I3413" s="1">
        <v>1.86</v>
      </c>
      <c r="J3413" s="1">
        <v>0</v>
      </c>
      <c r="K3413" s="2">
        <v>43742</v>
      </c>
      <c r="L3413" s="1">
        <v>3716</v>
      </c>
      <c r="M3413" s="1">
        <v>3.5</v>
      </c>
      <c r="N3413" s="1">
        <v>0</v>
      </c>
      <c r="O3413" s="3">
        <f>VLOOKUP(D3413,underlying!$D$40:$H$75,5,FALSE)</f>
        <v>-1.75</v>
      </c>
      <c r="P3413" s="4">
        <f t="shared" si="136"/>
        <v>43565</v>
      </c>
      <c r="Q3413" s="7">
        <f>IF(G3413="C",NormalCallSprd(O3413,H3413,M3413,(P3413-A3413)/365), NormalPutSprd(O3413,H3413,M3413,(P3413-A3413)/365))</f>
        <v>1.8892492872795588</v>
      </c>
      <c r="R3413" s="9">
        <f t="shared" si="138"/>
        <v>2.9249287279558667E-2</v>
      </c>
    </row>
    <row r="3414" spans="1:18" x14ac:dyDescent="0.2">
      <c r="A3414" s="2">
        <v>42622</v>
      </c>
      <c r="B3414" s="1" t="s">
        <v>56</v>
      </c>
      <c r="C3414" s="1" t="s">
        <v>57</v>
      </c>
      <c r="D3414" s="2">
        <v>43469</v>
      </c>
      <c r="E3414" s="2">
        <f t="shared" si="137"/>
        <v>43556</v>
      </c>
      <c r="F3414" s="1" t="s">
        <v>58</v>
      </c>
      <c r="G3414" s="1" t="s">
        <v>16</v>
      </c>
      <c r="H3414" s="1">
        <v>-2.25</v>
      </c>
      <c r="I3414" s="1">
        <v>2.46</v>
      </c>
      <c r="J3414" s="1">
        <v>0</v>
      </c>
      <c r="K3414" s="2">
        <v>43742</v>
      </c>
      <c r="L3414" s="1">
        <v>3716</v>
      </c>
      <c r="M3414" s="1">
        <v>3.5</v>
      </c>
      <c r="N3414" s="1">
        <v>0</v>
      </c>
      <c r="O3414" s="3">
        <f>VLOOKUP(D3414,underlying!$D$40:$H$75,5,FALSE)</f>
        <v>-1.75</v>
      </c>
      <c r="P3414" s="4">
        <f t="shared" si="136"/>
        <v>43565</v>
      </c>
      <c r="Q3414" s="7">
        <f>IF(G3414="C",NormalCallSprd(O3414,H3414,M3414,(P3414-A3414)/365), NormalPutSprd(O3414,H3414,M3414,(P3414-A3414)/365))</f>
        <v>2.5031926160319036</v>
      </c>
      <c r="R3414" s="9">
        <f t="shared" si="138"/>
        <v>4.3192616031903608E-2</v>
      </c>
    </row>
    <row r="3415" spans="1:18" x14ac:dyDescent="0.2">
      <c r="A3415" s="2">
        <v>42622</v>
      </c>
      <c r="B3415" s="1" t="s">
        <v>56</v>
      </c>
      <c r="C3415" s="1" t="s">
        <v>57</v>
      </c>
      <c r="D3415" s="2">
        <v>43469</v>
      </c>
      <c r="E3415" s="2">
        <f t="shared" si="137"/>
        <v>43556</v>
      </c>
      <c r="F3415" s="1" t="s">
        <v>58</v>
      </c>
      <c r="G3415" s="1" t="s">
        <v>18</v>
      </c>
      <c r="H3415" s="1">
        <v>-2.25</v>
      </c>
      <c r="I3415" s="1">
        <v>1.97</v>
      </c>
      <c r="J3415" s="1">
        <v>0</v>
      </c>
      <c r="K3415" s="2">
        <v>43742</v>
      </c>
      <c r="L3415" s="1">
        <v>3716</v>
      </c>
      <c r="M3415" s="1">
        <v>3.5</v>
      </c>
      <c r="N3415" s="1">
        <v>0</v>
      </c>
      <c r="O3415" s="3">
        <f>VLOOKUP(D3415,underlying!$D$40:$H$75,5,FALSE)</f>
        <v>-1.75</v>
      </c>
      <c r="P3415" s="4">
        <f t="shared" si="136"/>
        <v>43565</v>
      </c>
      <c r="Q3415" s="7">
        <f>IF(G3415="C",NormalCallSprd(O3415,H3415,M3415,(P3415-A3415)/365), NormalPutSprd(O3415,H3415,M3415,(P3415-A3415)/365))</f>
        <v>2.0031926160319036</v>
      </c>
      <c r="R3415" s="9">
        <f t="shared" si="138"/>
        <v>3.3192616031903599E-2</v>
      </c>
    </row>
    <row r="3416" spans="1:18" x14ac:dyDescent="0.2">
      <c r="A3416" s="2">
        <v>42622</v>
      </c>
      <c r="B3416" s="1" t="s">
        <v>56</v>
      </c>
      <c r="C3416" s="1" t="s">
        <v>57</v>
      </c>
      <c r="D3416" s="2">
        <v>43469</v>
      </c>
      <c r="E3416" s="2">
        <f t="shared" si="137"/>
        <v>43556</v>
      </c>
      <c r="F3416" s="1" t="s">
        <v>58</v>
      </c>
      <c r="G3416" s="1" t="s">
        <v>16</v>
      </c>
      <c r="H3416" s="1">
        <v>-2</v>
      </c>
      <c r="I3416" s="1">
        <v>2.34</v>
      </c>
      <c r="J3416" s="1">
        <v>0</v>
      </c>
      <c r="K3416" s="2">
        <v>43742</v>
      </c>
      <c r="L3416" s="1">
        <v>3716</v>
      </c>
      <c r="M3416" s="1">
        <v>3.51</v>
      </c>
      <c r="N3416" s="1">
        <v>0</v>
      </c>
      <c r="O3416" s="3">
        <f>VLOOKUP(D3416,underlying!$D$40:$H$75,5,FALSE)</f>
        <v>-1.75</v>
      </c>
      <c r="P3416" s="4">
        <f t="shared" si="136"/>
        <v>43565</v>
      </c>
      <c r="Q3416" s="7">
        <f>IF(G3416="C",NormalCallSprd(O3416,H3416,M3416,(P3416-A3416)/365), NormalPutSprd(O3416,H3416,M3416,(P3416-A3416)/365))</f>
        <v>2.3779559577360896</v>
      </c>
      <c r="R3416" s="9">
        <f t="shared" si="138"/>
        <v>3.7955957736089729E-2</v>
      </c>
    </row>
    <row r="3417" spans="1:18" x14ac:dyDescent="0.2">
      <c r="A3417" s="2">
        <v>42622</v>
      </c>
      <c r="B3417" s="1" t="s">
        <v>56</v>
      </c>
      <c r="C3417" s="1" t="s">
        <v>57</v>
      </c>
      <c r="D3417" s="2">
        <v>43469</v>
      </c>
      <c r="E3417" s="2">
        <f t="shared" si="137"/>
        <v>43556</v>
      </c>
      <c r="F3417" s="1" t="s">
        <v>58</v>
      </c>
      <c r="G3417" s="1" t="s">
        <v>18</v>
      </c>
      <c r="H3417" s="1">
        <v>-2</v>
      </c>
      <c r="I3417" s="1">
        <v>2.09</v>
      </c>
      <c r="J3417" s="1">
        <v>0</v>
      </c>
      <c r="K3417" s="2">
        <v>43742</v>
      </c>
      <c r="L3417" s="1">
        <v>3716</v>
      </c>
      <c r="M3417" s="1">
        <v>3.51</v>
      </c>
      <c r="N3417" s="1">
        <v>0</v>
      </c>
      <c r="O3417" s="3">
        <f>VLOOKUP(D3417,underlying!$D$40:$H$75,5,FALSE)</f>
        <v>-1.75</v>
      </c>
      <c r="P3417" s="4">
        <f t="shared" si="136"/>
        <v>43565</v>
      </c>
      <c r="Q3417" s="7">
        <f>IF(G3417="C",NormalCallSprd(O3417,H3417,M3417,(P3417-A3417)/365), NormalPutSprd(O3417,H3417,M3417,(P3417-A3417)/365))</f>
        <v>2.1279559577360896</v>
      </c>
      <c r="R3417" s="9">
        <f t="shared" si="138"/>
        <v>3.7955957736089729E-2</v>
      </c>
    </row>
    <row r="3418" spans="1:18" x14ac:dyDescent="0.2">
      <c r="A3418" s="2">
        <v>42622</v>
      </c>
      <c r="B3418" s="1" t="s">
        <v>56</v>
      </c>
      <c r="C3418" s="1" t="s">
        <v>57</v>
      </c>
      <c r="D3418" s="2">
        <v>43469</v>
      </c>
      <c r="E3418" s="2">
        <f t="shared" si="137"/>
        <v>43556</v>
      </c>
      <c r="F3418" s="1" t="s">
        <v>58</v>
      </c>
      <c r="G3418" s="1" t="s">
        <v>16</v>
      </c>
      <c r="H3418" s="1">
        <v>-1.75</v>
      </c>
      <c r="I3418" s="1">
        <v>2.2000000000000002</v>
      </c>
      <c r="J3418" s="1">
        <v>-0.01</v>
      </c>
      <c r="K3418" s="2">
        <v>43742</v>
      </c>
      <c r="L3418" s="1">
        <v>3716</v>
      </c>
      <c r="M3418" s="1">
        <v>3.5</v>
      </c>
      <c r="N3418" s="1">
        <v>0</v>
      </c>
      <c r="O3418" s="3">
        <f>VLOOKUP(D3418,underlying!$D$40:$H$75,5,FALSE)</f>
        <v>-1.75</v>
      </c>
      <c r="P3418" s="4">
        <f t="shared" si="136"/>
        <v>43565</v>
      </c>
      <c r="Q3418" s="7">
        <f>IF(G3418="C",NormalCallSprd(O3418,H3418,M3418,(P3418-A3418)/365), NormalPutSprd(O3418,H3418,M3418,(P3418-A3418)/365))</f>
        <v>2.2443341837588489</v>
      </c>
      <c r="R3418" s="9">
        <f t="shared" si="138"/>
        <v>4.4334183758848678E-2</v>
      </c>
    </row>
    <row r="3419" spans="1:18" x14ac:dyDescent="0.2">
      <c r="A3419" s="2">
        <v>42622</v>
      </c>
      <c r="B3419" s="1" t="s">
        <v>56</v>
      </c>
      <c r="C3419" s="1" t="s">
        <v>57</v>
      </c>
      <c r="D3419" s="2">
        <v>43469</v>
      </c>
      <c r="E3419" s="2">
        <f t="shared" si="137"/>
        <v>43556</v>
      </c>
      <c r="F3419" s="1" t="s">
        <v>58</v>
      </c>
      <c r="G3419" s="1" t="s">
        <v>18</v>
      </c>
      <c r="H3419" s="1">
        <v>-1.75</v>
      </c>
      <c r="I3419" s="1">
        <v>2.2000000000000002</v>
      </c>
      <c r="J3419" s="1">
        <v>-0.01</v>
      </c>
      <c r="K3419" s="2">
        <v>43742</v>
      </c>
      <c r="L3419" s="1">
        <v>3716</v>
      </c>
      <c r="M3419" s="1">
        <v>3.5</v>
      </c>
      <c r="N3419" s="1">
        <v>0</v>
      </c>
      <c r="O3419" s="3">
        <f>VLOOKUP(D3419,underlying!$D$40:$H$75,5,FALSE)</f>
        <v>-1.75</v>
      </c>
      <c r="P3419" s="4">
        <f t="shared" si="136"/>
        <v>43565</v>
      </c>
      <c r="Q3419" s="7">
        <f>IF(G3419="C",NormalCallSprd(O3419,H3419,M3419,(P3419-A3419)/365), NormalPutSprd(O3419,H3419,M3419,(P3419-A3419)/365))</f>
        <v>2.2443341837588489</v>
      </c>
      <c r="R3419" s="9">
        <f t="shared" si="138"/>
        <v>4.4334183758848678E-2</v>
      </c>
    </row>
    <row r="3420" spans="1:18" x14ac:dyDescent="0.2">
      <c r="A3420" s="2">
        <v>42622</v>
      </c>
      <c r="B3420" s="1" t="s">
        <v>56</v>
      </c>
      <c r="C3420" s="1" t="s">
        <v>57</v>
      </c>
      <c r="D3420" s="2">
        <v>43469</v>
      </c>
      <c r="E3420" s="2">
        <f t="shared" si="137"/>
        <v>43556</v>
      </c>
      <c r="F3420" s="1" t="s">
        <v>58</v>
      </c>
      <c r="G3420" s="1" t="s">
        <v>16</v>
      </c>
      <c r="H3420" s="1">
        <v>-1.5</v>
      </c>
      <c r="I3420" s="1">
        <v>2.09</v>
      </c>
      <c r="J3420" s="1">
        <v>0</v>
      </c>
      <c r="K3420" s="2">
        <v>43742</v>
      </c>
      <c r="L3420" s="1">
        <v>3716</v>
      </c>
      <c r="M3420" s="1">
        <v>3.51</v>
      </c>
      <c r="N3420" s="1">
        <v>0</v>
      </c>
      <c r="O3420" s="3">
        <f>VLOOKUP(D3420,underlying!$D$40:$H$75,5,FALSE)</f>
        <v>-1.75</v>
      </c>
      <c r="P3420" s="4">
        <f t="shared" si="136"/>
        <v>43565</v>
      </c>
      <c r="Q3420" s="7">
        <f>IF(G3420="C",NormalCallSprd(O3420,H3420,M3420,(P3420-A3420)/365), NormalPutSprd(O3420,H3420,M3420,(P3420-A3420)/365))</f>
        <v>2.1279559577360896</v>
      </c>
      <c r="R3420" s="9">
        <f t="shared" si="138"/>
        <v>3.7955957736089729E-2</v>
      </c>
    </row>
    <row r="3421" spans="1:18" x14ac:dyDescent="0.2">
      <c r="A3421" s="2">
        <v>42622</v>
      </c>
      <c r="B3421" s="1" t="s">
        <v>56</v>
      </c>
      <c r="C3421" s="1" t="s">
        <v>57</v>
      </c>
      <c r="D3421" s="2">
        <v>43469</v>
      </c>
      <c r="E3421" s="2">
        <f t="shared" si="137"/>
        <v>43556</v>
      </c>
      <c r="F3421" s="1" t="s">
        <v>58</v>
      </c>
      <c r="G3421" s="1" t="s">
        <v>18</v>
      </c>
      <c r="H3421" s="1">
        <v>-1.5</v>
      </c>
      <c r="I3421" s="1">
        <v>2.34</v>
      </c>
      <c r="J3421" s="1">
        <v>0</v>
      </c>
      <c r="K3421" s="2">
        <v>43742</v>
      </c>
      <c r="L3421" s="1">
        <v>3716</v>
      </c>
      <c r="M3421" s="1">
        <v>3.51</v>
      </c>
      <c r="N3421" s="1">
        <v>0</v>
      </c>
      <c r="O3421" s="3">
        <f>VLOOKUP(D3421,underlying!$D$40:$H$75,5,FALSE)</f>
        <v>-1.75</v>
      </c>
      <c r="P3421" s="4">
        <f t="shared" si="136"/>
        <v>43565</v>
      </c>
      <c r="Q3421" s="7">
        <f>IF(G3421="C",NormalCallSprd(O3421,H3421,M3421,(P3421-A3421)/365), NormalPutSprd(O3421,H3421,M3421,(P3421-A3421)/365))</f>
        <v>2.3779559577360896</v>
      </c>
      <c r="R3421" s="9">
        <f t="shared" si="138"/>
        <v>3.7955957736089729E-2</v>
      </c>
    </row>
    <row r="3422" spans="1:18" x14ac:dyDescent="0.2">
      <c r="A3422" s="2">
        <v>42622</v>
      </c>
      <c r="B3422" s="1" t="s">
        <v>56</v>
      </c>
      <c r="C3422" s="1" t="s">
        <v>57</v>
      </c>
      <c r="D3422" s="2">
        <v>43469</v>
      </c>
      <c r="E3422" s="2">
        <f t="shared" si="137"/>
        <v>43556</v>
      </c>
      <c r="F3422" s="1" t="s">
        <v>58</v>
      </c>
      <c r="G3422" s="1" t="s">
        <v>16</v>
      </c>
      <c r="H3422" s="1">
        <v>-1.25</v>
      </c>
      <c r="I3422" s="1">
        <v>1.97</v>
      </c>
      <c r="J3422" s="1">
        <v>0</v>
      </c>
      <c r="K3422" s="2">
        <v>43742</v>
      </c>
      <c r="L3422" s="1">
        <v>3716</v>
      </c>
      <c r="M3422" s="1">
        <v>3.5</v>
      </c>
      <c r="N3422" s="1">
        <v>0</v>
      </c>
      <c r="O3422" s="3">
        <f>VLOOKUP(D3422,underlying!$D$40:$H$75,5,FALSE)</f>
        <v>-1.75</v>
      </c>
      <c r="P3422" s="4">
        <f t="shared" si="136"/>
        <v>43565</v>
      </c>
      <c r="Q3422" s="7">
        <f>IF(G3422="C",NormalCallSprd(O3422,H3422,M3422,(P3422-A3422)/365), NormalPutSprd(O3422,H3422,M3422,(P3422-A3422)/365))</f>
        <v>2.0031926160319036</v>
      </c>
      <c r="R3422" s="9">
        <f t="shared" si="138"/>
        <v>3.3192616031903599E-2</v>
      </c>
    </row>
    <row r="3423" spans="1:18" x14ac:dyDescent="0.2">
      <c r="A3423" s="2">
        <v>42622</v>
      </c>
      <c r="B3423" s="1" t="s">
        <v>56</v>
      </c>
      <c r="C3423" s="1" t="s">
        <v>57</v>
      </c>
      <c r="D3423" s="2">
        <v>43469</v>
      </c>
      <c r="E3423" s="2">
        <f t="shared" si="137"/>
        <v>43556</v>
      </c>
      <c r="F3423" s="1" t="s">
        <v>58</v>
      </c>
      <c r="G3423" s="1" t="s">
        <v>18</v>
      </c>
      <c r="H3423" s="1">
        <v>-1.25</v>
      </c>
      <c r="I3423" s="1">
        <v>2.46</v>
      </c>
      <c r="J3423" s="1">
        <v>0</v>
      </c>
      <c r="K3423" s="2">
        <v>43742</v>
      </c>
      <c r="L3423" s="1">
        <v>3716</v>
      </c>
      <c r="M3423" s="1">
        <v>3.5</v>
      </c>
      <c r="N3423" s="1">
        <v>0</v>
      </c>
      <c r="O3423" s="3">
        <f>VLOOKUP(D3423,underlying!$D$40:$H$75,5,FALSE)</f>
        <v>-1.75</v>
      </c>
      <c r="P3423" s="4">
        <f t="shared" si="136"/>
        <v>43565</v>
      </c>
      <c r="Q3423" s="7">
        <f>IF(G3423="C",NormalCallSprd(O3423,H3423,M3423,(P3423-A3423)/365), NormalPutSprd(O3423,H3423,M3423,(P3423-A3423)/365))</f>
        <v>2.5031926160319036</v>
      </c>
      <c r="R3423" s="9">
        <f t="shared" si="138"/>
        <v>4.3192616031903608E-2</v>
      </c>
    </row>
    <row r="3424" spans="1:18" x14ac:dyDescent="0.2">
      <c r="A3424" s="2">
        <v>42622</v>
      </c>
      <c r="B3424" s="1" t="s">
        <v>56</v>
      </c>
      <c r="C3424" s="1" t="s">
        <v>57</v>
      </c>
      <c r="D3424" s="2">
        <v>43469</v>
      </c>
      <c r="E3424" s="2">
        <f t="shared" si="137"/>
        <v>43556</v>
      </c>
      <c r="F3424" s="1" t="s">
        <v>58</v>
      </c>
      <c r="G3424" s="1" t="s">
        <v>16</v>
      </c>
      <c r="H3424" s="1">
        <v>-1</v>
      </c>
      <c r="I3424" s="1">
        <v>1.86</v>
      </c>
      <c r="J3424" s="1">
        <v>0</v>
      </c>
      <c r="K3424" s="2">
        <v>43742</v>
      </c>
      <c r="L3424" s="1">
        <v>3716</v>
      </c>
      <c r="M3424" s="1">
        <v>3.5</v>
      </c>
      <c r="N3424" s="1">
        <v>0</v>
      </c>
      <c r="O3424" s="3">
        <f>VLOOKUP(D3424,underlying!$D$40:$H$75,5,FALSE)</f>
        <v>-1.75</v>
      </c>
      <c r="P3424" s="4">
        <f t="shared" si="136"/>
        <v>43565</v>
      </c>
      <c r="Q3424" s="7">
        <f>IF(G3424="C",NormalCallSprd(O3424,H3424,M3424,(P3424-A3424)/365), NormalPutSprd(O3424,H3424,M3424,(P3424-A3424)/365))</f>
        <v>1.8892492872795588</v>
      </c>
      <c r="R3424" s="9">
        <f t="shared" si="138"/>
        <v>2.9249287279558667E-2</v>
      </c>
    </row>
    <row r="3425" spans="1:18" x14ac:dyDescent="0.2">
      <c r="A3425" s="2">
        <v>42622</v>
      </c>
      <c r="B3425" s="1" t="s">
        <v>56</v>
      </c>
      <c r="C3425" s="1" t="s">
        <v>57</v>
      </c>
      <c r="D3425" s="2">
        <v>43469</v>
      </c>
      <c r="E3425" s="2">
        <f t="shared" si="137"/>
        <v>43556</v>
      </c>
      <c r="F3425" s="1" t="s">
        <v>58</v>
      </c>
      <c r="G3425" s="1" t="s">
        <v>18</v>
      </c>
      <c r="H3425" s="1">
        <v>-1</v>
      </c>
      <c r="I3425" s="1">
        <v>2.59</v>
      </c>
      <c r="J3425" s="1">
        <v>-0.01</v>
      </c>
      <c r="K3425" s="2">
        <v>43742</v>
      </c>
      <c r="L3425" s="1">
        <v>3716</v>
      </c>
      <c r="M3425" s="1">
        <v>3.5</v>
      </c>
      <c r="N3425" s="1">
        <v>0</v>
      </c>
      <c r="O3425" s="3">
        <f>VLOOKUP(D3425,underlying!$D$40:$H$75,5,FALSE)</f>
        <v>-1.75</v>
      </c>
      <c r="P3425" s="4">
        <f t="shared" si="136"/>
        <v>43565</v>
      </c>
      <c r="Q3425" s="7">
        <f>IF(G3425="C",NormalCallSprd(O3425,H3425,M3425,(P3425-A3425)/365), NormalPutSprd(O3425,H3425,M3425,(P3425-A3425)/365))</f>
        <v>2.6392492872795588</v>
      </c>
      <c r="R3425" s="9">
        <f t="shared" si="138"/>
        <v>4.9249287279558907E-2</v>
      </c>
    </row>
    <row r="3426" spans="1:18" x14ac:dyDescent="0.2">
      <c r="A3426" s="2">
        <v>42622</v>
      </c>
      <c r="B3426" s="1" t="s">
        <v>56</v>
      </c>
      <c r="C3426" s="1" t="s">
        <v>57</v>
      </c>
      <c r="D3426" s="2">
        <v>43469</v>
      </c>
      <c r="E3426" s="2">
        <f t="shared" si="137"/>
        <v>43556</v>
      </c>
      <c r="F3426" s="1" t="s">
        <v>58</v>
      </c>
      <c r="G3426" s="1" t="s">
        <v>16</v>
      </c>
      <c r="H3426" s="1">
        <v>-0.75</v>
      </c>
      <c r="I3426" s="1">
        <v>1.74</v>
      </c>
      <c r="J3426" s="1">
        <v>0</v>
      </c>
      <c r="K3426" s="2">
        <v>43742</v>
      </c>
      <c r="L3426" s="1">
        <v>3716</v>
      </c>
      <c r="M3426" s="1">
        <v>3.49</v>
      </c>
      <c r="N3426" s="1">
        <v>0</v>
      </c>
      <c r="O3426" s="3">
        <f>VLOOKUP(D3426,underlying!$D$40:$H$75,5,FALSE)</f>
        <v>-1.75</v>
      </c>
      <c r="P3426" s="4">
        <f t="shared" si="136"/>
        <v>43565</v>
      </c>
      <c r="Q3426" s="7">
        <f>IF(G3426="C",NormalCallSprd(O3426,H3426,M3426,(P3426-A3426)/365), NormalPutSprd(O3426,H3426,M3426,(P3426-A3426)/365))</f>
        <v>1.7733865798385435</v>
      </c>
      <c r="R3426" s="9">
        <f t="shared" si="138"/>
        <v>3.338657983854354E-2</v>
      </c>
    </row>
    <row r="3427" spans="1:18" x14ac:dyDescent="0.2">
      <c r="A3427" s="2">
        <v>42622</v>
      </c>
      <c r="B3427" s="1" t="s">
        <v>56</v>
      </c>
      <c r="C3427" s="1" t="s">
        <v>57</v>
      </c>
      <c r="D3427" s="2">
        <v>43469</v>
      </c>
      <c r="E3427" s="2">
        <f t="shared" si="137"/>
        <v>43556</v>
      </c>
      <c r="F3427" s="1" t="s">
        <v>58</v>
      </c>
      <c r="G3427" s="1" t="s">
        <v>18</v>
      </c>
      <c r="H3427" s="1">
        <v>-0.75</v>
      </c>
      <c r="I3427" s="1">
        <v>2.72</v>
      </c>
      <c r="J3427" s="1">
        <v>-0.01</v>
      </c>
      <c r="K3427" s="2">
        <v>43742</v>
      </c>
      <c r="L3427" s="1">
        <v>3716</v>
      </c>
      <c r="M3427" s="1">
        <v>3.49</v>
      </c>
      <c r="N3427" s="1">
        <v>0</v>
      </c>
      <c r="O3427" s="3">
        <f>VLOOKUP(D3427,underlying!$D$40:$H$75,5,FALSE)</f>
        <v>-1.75</v>
      </c>
      <c r="P3427" s="4">
        <f t="shared" si="136"/>
        <v>43565</v>
      </c>
      <c r="Q3427" s="7">
        <f>IF(G3427="C",NormalCallSprd(O3427,H3427,M3427,(P3427-A3427)/365), NormalPutSprd(O3427,H3427,M3427,(P3427-A3427)/365))</f>
        <v>2.7733865798385433</v>
      </c>
      <c r="R3427" s="9">
        <f t="shared" si="138"/>
        <v>5.3386579838543113E-2</v>
      </c>
    </row>
    <row r="3428" spans="1:18" x14ac:dyDescent="0.2">
      <c r="A3428" s="2">
        <v>42622</v>
      </c>
      <c r="B3428" s="1" t="s">
        <v>56</v>
      </c>
      <c r="C3428" s="1" t="s">
        <v>57</v>
      </c>
      <c r="D3428" s="2">
        <v>43469</v>
      </c>
      <c r="E3428" s="2">
        <f t="shared" si="137"/>
        <v>43556</v>
      </c>
      <c r="F3428" s="1" t="s">
        <v>58</v>
      </c>
      <c r="G3428" s="1" t="s">
        <v>16</v>
      </c>
      <c r="H3428" s="1">
        <v>-0.5</v>
      </c>
      <c r="I3428" s="1">
        <v>1.64</v>
      </c>
      <c r="J3428" s="1">
        <v>-0.01</v>
      </c>
      <c r="K3428" s="2">
        <v>43742</v>
      </c>
      <c r="L3428" s="1">
        <v>3716</v>
      </c>
      <c r="M3428" s="1">
        <v>3.5</v>
      </c>
      <c r="N3428" s="1">
        <v>0</v>
      </c>
      <c r="O3428" s="3">
        <f>VLOOKUP(D3428,underlying!$D$40:$H$75,5,FALSE)</f>
        <v>-1.75</v>
      </c>
      <c r="P3428" s="4">
        <f t="shared" si="136"/>
        <v>43565</v>
      </c>
      <c r="Q3428" s="7">
        <f>IF(G3428="C",NormalCallSprd(O3428,H3428,M3428,(P3428-A3428)/365), NormalPutSprd(O3428,H3428,M3428,(P3428-A3428)/365))</f>
        <v>1.6745090136361624</v>
      </c>
      <c r="R3428" s="9">
        <f t="shared" si="138"/>
        <v>3.4509013636162544E-2</v>
      </c>
    </row>
    <row r="3429" spans="1:18" x14ac:dyDescent="0.2">
      <c r="A3429" s="2">
        <v>42622</v>
      </c>
      <c r="B3429" s="1" t="s">
        <v>56</v>
      </c>
      <c r="C3429" s="1" t="s">
        <v>57</v>
      </c>
      <c r="D3429" s="2">
        <v>43469</v>
      </c>
      <c r="E3429" s="2">
        <f t="shared" si="137"/>
        <v>43556</v>
      </c>
      <c r="F3429" s="1" t="s">
        <v>58</v>
      </c>
      <c r="G3429" s="1" t="s">
        <v>18</v>
      </c>
      <c r="H3429" s="1">
        <v>-0.5</v>
      </c>
      <c r="I3429" s="1">
        <v>2.87</v>
      </c>
      <c r="J3429" s="1">
        <v>-0.01</v>
      </c>
      <c r="K3429" s="2">
        <v>43742</v>
      </c>
      <c r="L3429" s="1">
        <v>3716</v>
      </c>
      <c r="M3429" s="1">
        <v>3.5</v>
      </c>
      <c r="N3429" s="1">
        <v>0</v>
      </c>
      <c r="O3429" s="3">
        <f>VLOOKUP(D3429,underlying!$D$40:$H$75,5,FALSE)</f>
        <v>-1.75</v>
      </c>
      <c r="P3429" s="4">
        <f t="shared" si="136"/>
        <v>43565</v>
      </c>
      <c r="Q3429" s="7">
        <f>IF(G3429="C",NormalCallSprd(O3429,H3429,M3429,(P3429-A3429)/365), NormalPutSprd(O3429,H3429,M3429,(P3429-A3429)/365))</f>
        <v>2.9245090136361624</v>
      </c>
      <c r="R3429" s="9">
        <f t="shared" si="138"/>
        <v>5.450901363616234E-2</v>
      </c>
    </row>
    <row r="3430" spans="1:18" x14ac:dyDescent="0.2">
      <c r="A3430" s="2">
        <v>42622</v>
      </c>
      <c r="B3430" s="1" t="s">
        <v>56</v>
      </c>
      <c r="C3430" s="1" t="s">
        <v>57</v>
      </c>
      <c r="D3430" s="2">
        <v>43469</v>
      </c>
      <c r="E3430" s="2">
        <f t="shared" si="137"/>
        <v>43556</v>
      </c>
      <c r="F3430" s="1" t="s">
        <v>58</v>
      </c>
      <c r="G3430" s="1" t="s">
        <v>16</v>
      </c>
      <c r="H3430" s="1">
        <v>-0.25</v>
      </c>
      <c r="I3430" s="1">
        <v>1.55</v>
      </c>
      <c r="J3430" s="1">
        <v>0</v>
      </c>
      <c r="K3430" s="2">
        <v>43742</v>
      </c>
      <c r="L3430" s="1">
        <v>3716</v>
      </c>
      <c r="M3430" s="1">
        <v>3.5</v>
      </c>
      <c r="N3430" s="1">
        <v>0</v>
      </c>
      <c r="O3430" s="3">
        <f>VLOOKUP(D3430,underlying!$D$40:$H$75,5,FALSE)</f>
        <v>-1.75</v>
      </c>
      <c r="P3430" s="4">
        <f t="shared" si="136"/>
        <v>43565</v>
      </c>
      <c r="Q3430" s="7">
        <f>IF(G3430="C",NormalCallSprd(O3430,H3430,M3430,(P3430-A3430)/365), NormalPutSprd(O3430,H3430,M3430,(P3430-A3430)/365))</f>
        <v>1.5736432462812426</v>
      </c>
      <c r="R3430" s="9">
        <f t="shared" si="138"/>
        <v>2.3643246281242591E-2</v>
      </c>
    </row>
    <row r="3431" spans="1:18" x14ac:dyDescent="0.2">
      <c r="A3431" s="2">
        <v>42622</v>
      </c>
      <c r="B3431" s="1" t="s">
        <v>56</v>
      </c>
      <c r="C3431" s="1" t="s">
        <v>57</v>
      </c>
      <c r="D3431" s="2">
        <v>43469</v>
      </c>
      <c r="E3431" s="2">
        <f t="shared" si="137"/>
        <v>43556</v>
      </c>
      <c r="F3431" s="1" t="s">
        <v>58</v>
      </c>
      <c r="G3431" s="1" t="s">
        <v>18</v>
      </c>
      <c r="H3431" s="1">
        <v>-0.25</v>
      </c>
      <c r="I3431" s="1">
        <v>3.02</v>
      </c>
      <c r="J3431" s="1">
        <v>0</v>
      </c>
      <c r="K3431" s="2">
        <v>43742</v>
      </c>
      <c r="L3431" s="1">
        <v>3716</v>
      </c>
      <c r="M3431" s="1">
        <v>3.5</v>
      </c>
      <c r="N3431" s="1">
        <v>0</v>
      </c>
      <c r="O3431" s="3">
        <f>VLOOKUP(D3431,underlying!$D$40:$H$75,5,FALSE)</f>
        <v>-1.75</v>
      </c>
      <c r="P3431" s="4">
        <f t="shared" si="136"/>
        <v>43565</v>
      </c>
      <c r="Q3431" s="7">
        <f>IF(G3431="C",NormalCallSprd(O3431,H3431,M3431,(P3431-A3431)/365), NormalPutSprd(O3431,H3431,M3431,(P3431-A3431)/365))</f>
        <v>3.0736432462812426</v>
      </c>
      <c r="R3431" s="9">
        <f t="shared" si="138"/>
        <v>5.3643246281242618E-2</v>
      </c>
    </row>
    <row r="3432" spans="1:18" x14ac:dyDescent="0.2">
      <c r="A3432" s="2">
        <v>42622</v>
      </c>
      <c r="B3432" s="1" t="s">
        <v>56</v>
      </c>
      <c r="C3432" s="1" t="s">
        <v>57</v>
      </c>
      <c r="D3432" s="2">
        <v>43470</v>
      </c>
      <c r="E3432" s="2">
        <f t="shared" si="137"/>
        <v>43586</v>
      </c>
      <c r="F3432" s="1" t="s">
        <v>58</v>
      </c>
      <c r="G3432" s="1" t="s">
        <v>16</v>
      </c>
      <c r="H3432" s="1">
        <v>-7</v>
      </c>
      <c r="I3432" s="1">
        <v>5.89</v>
      </c>
      <c r="J3432" s="1">
        <v>-0.01</v>
      </c>
      <c r="K3432" s="2">
        <v>43713</v>
      </c>
      <c r="L3432" s="1">
        <v>3716</v>
      </c>
      <c r="M3432" s="1">
        <v>3.49</v>
      </c>
      <c r="N3432" s="1">
        <v>0</v>
      </c>
      <c r="O3432" s="3">
        <f>VLOOKUP(D3432,underlying!$D$40:$H$75,5,FALSE)</f>
        <v>-1.5</v>
      </c>
      <c r="P3432" s="4">
        <f t="shared" si="136"/>
        <v>43594</v>
      </c>
      <c r="Q3432" s="7">
        <f>IF(G3432="C",NormalCallSprd(O3432,H3432,M3432,(P3432-A3432)/365), NormalPutSprd(O3432,H3432,M3432,(P3432-A3432)/365))</f>
        <v>6.0062967869388268</v>
      </c>
      <c r="R3432" s="9">
        <f t="shared" si="138"/>
        <v>0.11629678693882717</v>
      </c>
    </row>
    <row r="3433" spans="1:18" x14ac:dyDescent="0.2">
      <c r="A3433" s="2">
        <v>42622</v>
      </c>
      <c r="B3433" s="1" t="s">
        <v>56</v>
      </c>
      <c r="C3433" s="1" t="s">
        <v>57</v>
      </c>
      <c r="D3433" s="2">
        <v>43470</v>
      </c>
      <c r="E3433" s="2">
        <f t="shared" si="137"/>
        <v>43586</v>
      </c>
      <c r="F3433" s="1" t="s">
        <v>58</v>
      </c>
      <c r="G3433" s="1" t="s">
        <v>18</v>
      </c>
      <c r="H3433" s="1">
        <v>-7</v>
      </c>
      <c r="I3433" s="1">
        <v>0.5</v>
      </c>
      <c r="J3433" s="1">
        <v>0</v>
      </c>
      <c r="K3433" s="2">
        <v>43713</v>
      </c>
      <c r="L3433" s="1">
        <v>3716</v>
      </c>
      <c r="M3433" s="1">
        <v>3.49</v>
      </c>
      <c r="N3433" s="1">
        <v>0</v>
      </c>
      <c r="O3433" s="3">
        <f>VLOOKUP(D3433,underlying!$D$40:$H$75,5,FALSE)</f>
        <v>-1.5</v>
      </c>
      <c r="P3433" s="4">
        <f t="shared" si="136"/>
        <v>43594</v>
      </c>
      <c r="Q3433" s="7">
        <f>IF(G3433="C",NormalCallSprd(O3433,H3433,M3433,(P3433-A3433)/365), NormalPutSprd(O3433,H3433,M3433,(P3433-A3433)/365))</f>
        <v>0.50629678693882652</v>
      </c>
      <c r="R3433" s="9">
        <f t="shared" si="138"/>
        <v>6.2967869388265152E-3</v>
      </c>
    </row>
    <row r="3434" spans="1:18" x14ac:dyDescent="0.2">
      <c r="A3434" s="2">
        <v>42622</v>
      </c>
      <c r="B3434" s="1" t="s">
        <v>56</v>
      </c>
      <c r="C3434" s="1" t="s">
        <v>57</v>
      </c>
      <c r="D3434" s="2">
        <v>43470</v>
      </c>
      <c r="E3434" s="2">
        <f t="shared" si="137"/>
        <v>43586</v>
      </c>
      <c r="F3434" s="1" t="s">
        <v>58</v>
      </c>
      <c r="G3434" s="1" t="s">
        <v>16</v>
      </c>
      <c r="H3434" s="1">
        <v>-6</v>
      </c>
      <c r="I3434" s="1">
        <v>5.0999999999999996</v>
      </c>
      <c r="J3434" s="1">
        <v>-0.01</v>
      </c>
      <c r="K3434" s="2">
        <v>43713</v>
      </c>
      <c r="L3434" s="1">
        <v>3716</v>
      </c>
      <c r="M3434" s="1">
        <v>3.5</v>
      </c>
      <c r="N3434" s="1">
        <v>0</v>
      </c>
      <c r="O3434" s="3">
        <f>VLOOKUP(D3434,underlying!$D$40:$H$75,5,FALSE)</f>
        <v>-1.5</v>
      </c>
      <c r="P3434" s="4">
        <f t="shared" si="136"/>
        <v>43594</v>
      </c>
      <c r="Q3434" s="7">
        <f>IF(G3434="C",NormalCallSprd(O3434,H3434,M3434,(P3434-A3434)/365), NormalPutSprd(O3434,H3434,M3434,(P3434-A3434)/365))</f>
        <v>5.2013633975255225</v>
      </c>
      <c r="R3434" s="9">
        <f t="shared" si="138"/>
        <v>0.10136339752552281</v>
      </c>
    </row>
    <row r="3435" spans="1:18" x14ac:dyDescent="0.2">
      <c r="A3435" s="2">
        <v>42622</v>
      </c>
      <c r="B3435" s="1" t="s">
        <v>56</v>
      </c>
      <c r="C3435" s="1" t="s">
        <v>57</v>
      </c>
      <c r="D3435" s="2">
        <v>43470</v>
      </c>
      <c r="E3435" s="2">
        <f t="shared" si="137"/>
        <v>43586</v>
      </c>
      <c r="F3435" s="1" t="s">
        <v>58</v>
      </c>
      <c r="G3435" s="1" t="s">
        <v>18</v>
      </c>
      <c r="H3435" s="1">
        <v>-6</v>
      </c>
      <c r="I3435" s="1">
        <v>0.69</v>
      </c>
      <c r="J3435" s="1">
        <v>0</v>
      </c>
      <c r="K3435" s="2">
        <v>43713</v>
      </c>
      <c r="L3435" s="1">
        <v>3716</v>
      </c>
      <c r="M3435" s="1">
        <v>3.5</v>
      </c>
      <c r="N3435" s="1">
        <v>0</v>
      </c>
      <c r="O3435" s="3">
        <f>VLOOKUP(D3435,underlying!$D$40:$H$75,5,FALSE)</f>
        <v>-1.5</v>
      </c>
      <c r="P3435" s="4">
        <f t="shared" si="136"/>
        <v>43594</v>
      </c>
      <c r="Q3435" s="7">
        <f>IF(G3435="C",NormalCallSprd(O3435,H3435,M3435,(P3435-A3435)/365), NormalPutSprd(O3435,H3435,M3435,(P3435-A3435)/365))</f>
        <v>0.70136339752552224</v>
      </c>
      <c r="R3435" s="9">
        <f t="shared" si="138"/>
        <v>1.136339752552229E-2</v>
      </c>
    </row>
    <row r="3436" spans="1:18" x14ac:dyDescent="0.2">
      <c r="A3436" s="2">
        <v>42622</v>
      </c>
      <c r="B3436" s="1" t="s">
        <v>56</v>
      </c>
      <c r="C3436" s="1" t="s">
        <v>57</v>
      </c>
      <c r="D3436" s="2">
        <v>43470</v>
      </c>
      <c r="E3436" s="2">
        <f t="shared" si="137"/>
        <v>43586</v>
      </c>
      <c r="F3436" s="1" t="s">
        <v>58</v>
      </c>
      <c r="G3436" s="1" t="s">
        <v>16</v>
      </c>
      <c r="H3436" s="1">
        <v>-5</v>
      </c>
      <c r="I3436" s="1">
        <v>4.37</v>
      </c>
      <c r="J3436" s="1">
        <v>0</v>
      </c>
      <c r="K3436" s="2">
        <v>43713</v>
      </c>
      <c r="L3436" s="1">
        <v>3716</v>
      </c>
      <c r="M3436" s="1">
        <v>3.51</v>
      </c>
      <c r="N3436" s="1">
        <v>0</v>
      </c>
      <c r="O3436" s="3">
        <f>VLOOKUP(D3436,underlying!$D$40:$H$75,5,FALSE)</f>
        <v>-1.5</v>
      </c>
      <c r="P3436" s="4">
        <f t="shared" si="136"/>
        <v>43594</v>
      </c>
      <c r="Q3436" s="7">
        <f>IF(G3436="C",NormalCallSprd(O3436,H3436,M3436,(P3436-A3436)/365), NormalPutSprd(O3436,H3436,M3436,(P3436-A3436)/365))</f>
        <v>4.4489004063599946</v>
      </c>
      <c r="R3436" s="9">
        <f t="shared" si="138"/>
        <v>7.8900406359994513E-2</v>
      </c>
    </row>
    <row r="3437" spans="1:18" x14ac:dyDescent="0.2">
      <c r="A3437" s="2">
        <v>42622</v>
      </c>
      <c r="B3437" s="1" t="s">
        <v>56</v>
      </c>
      <c r="C3437" s="1" t="s">
        <v>57</v>
      </c>
      <c r="D3437" s="2">
        <v>43470</v>
      </c>
      <c r="E3437" s="2">
        <f t="shared" si="137"/>
        <v>43586</v>
      </c>
      <c r="F3437" s="1" t="s">
        <v>58</v>
      </c>
      <c r="G3437" s="1" t="s">
        <v>18</v>
      </c>
      <c r="H3437" s="1">
        <v>-5</v>
      </c>
      <c r="I3437" s="1">
        <v>0.93</v>
      </c>
      <c r="J3437" s="1">
        <v>0</v>
      </c>
      <c r="K3437" s="2">
        <v>43713</v>
      </c>
      <c r="L3437" s="1">
        <v>3716</v>
      </c>
      <c r="M3437" s="1">
        <v>3.51</v>
      </c>
      <c r="N3437" s="1">
        <v>0</v>
      </c>
      <c r="O3437" s="3">
        <f>VLOOKUP(D3437,underlying!$D$40:$H$75,5,FALSE)</f>
        <v>-1.5</v>
      </c>
      <c r="P3437" s="4">
        <f t="shared" si="136"/>
        <v>43594</v>
      </c>
      <c r="Q3437" s="7">
        <f>IF(G3437="C",NormalCallSprd(O3437,H3437,M3437,(P3437-A3437)/365), NormalPutSprd(O3437,H3437,M3437,(P3437-A3437)/365))</f>
        <v>0.94890040635999462</v>
      </c>
      <c r="R3437" s="9">
        <f t="shared" si="138"/>
        <v>1.890040635999457E-2</v>
      </c>
    </row>
    <row r="3438" spans="1:18" x14ac:dyDescent="0.2">
      <c r="A3438" s="2">
        <v>42622</v>
      </c>
      <c r="B3438" s="1" t="s">
        <v>56</v>
      </c>
      <c r="C3438" s="1" t="s">
        <v>57</v>
      </c>
      <c r="D3438" s="2">
        <v>43470</v>
      </c>
      <c r="E3438" s="2">
        <f t="shared" si="137"/>
        <v>43586</v>
      </c>
      <c r="F3438" s="1" t="s">
        <v>58</v>
      </c>
      <c r="G3438" s="1" t="s">
        <v>16</v>
      </c>
      <c r="H3438" s="1">
        <v>-4.5</v>
      </c>
      <c r="I3438" s="1">
        <v>4.0199999999999996</v>
      </c>
      <c r="J3438" s="1">
        <v>0</v>
      </c>
      <c r="K3438" s="2">
        <v>43713</v>
      </c>
      <c r="L3438" s="1">
        <v>3716</v>
      </c>
      <c r="M3438" s="1">
        <v>3.51</v>
      </c>
      <c r="N3438" s="1">
        <v>0</v>
      </c>
      <c r="O3438" s="3">
        <f>VLOOKUP(D3438,underlying!$D$40:$H$75,5,FALSE)</f>
        <v>-1.5</v>
      </c>
      <c r="P3438" s="4">
        <f t="shared" si="136"/>
        <v>43594</v>
      </c>
      <c r="Q3438" s="7">
        <f>IF(G3438="C",NormalCallSprd(O3438,H3438,M3438,(P3438-A3438)/365), NormalPutSprd(O3438,H3438,M3438,(P3438-A3438)/365))</f>
        <v>4.0915415553807204</v>
      </c>
      <c r="R3438" s="9">
        <f t="shared" si="138"/>
        <v>7.1541555380720823E-2</v>
      </c>
    </row>
    <row r="3439" spans="1:18" x14ac:dyDescent="0.2">
      <c r="A3439" s="2">
        <v>42622</v>
      </c>
      <c r="B3439" s="1" t="s">
        <v>56</v>
      </c>
      <c r="C3439" s="1" t="s">
        <v>57</v>
      </c>
      <c r="D3439" s="2">
        <v>43470</v>
      </c>
      <c r="E3439" s="2">
        <f t="shared" si="137"/>
        <v>43586</v>
      </c>
      <c r="F3439" s="1" t="s">
        <v>58</v>
      </c>
      <c r="G3439" s="1" t="s">
        <v>18</v>
      </c>
      <c r="H3439" s="1">
        <v>-4.5</v>
      </c>
      <c r="I3439" s="1">
        <v>1.07</v>
      </c>
      <c r="J3439" s="1">
        <v>0</v>
      </c>
      <c r="K3439" s="2">
        <v>43713</v>
      </c>
      <c r="L3439" s="1">
        <v>3716</v>
      </c>
      <c r="M3439" s="1">
        <v>3.51</v>
      </c>
      <c r="N3439" s="1">
        <v>0</v>
      </c>
      <c r="O3439" s="3">
        <f>VLOOKUP(D3439,underlying!$D$40:$H$75,5,FALSE)</f>
        <v>-1.5</v>
      </c>
      <c r="P3439" s="4">
        <f t="shared" si="136"/>
        <v>43594</v>
      </c>
      <c r="Q3439" s="7">
        <f>IF(G3439="C",NormalCallSprd(O3439,H3439,M3439,(P3439-A3439)/365), NormalPutSprd(O3439,H3439,M3439,(P3439-A3439)/365))</f>
        <v>1.0915415553807204</v>
      </c>
      <c r="R3439" s="9">
        <f t="shared" si="138"/>
        <v>2.1541555380720334E-2</v>
      </c>
    </row>
    <row r="3440" spans="1:18" x14ac:dyDescent="0.2">
      <c r="A3440" s="2">
        <v>42622</v>
      </c>
      <c r="B3440" s="1" t="s">
        <v>56</v>
      </c>
      <c r="C3440" s="1" t="s">
        <v>57</v>
      </c>
      <c r="D3440" s="2">
        <v>43470</v>
      </c>
      <c r="E3440" s="2">
        <f t="shared" si="137"/>
        <v>43586</v>
      </c>
      <c r="F3440" s="1" t="s">
        <v>58</v>
      </c>
      <c r="G3440" s="1" t="s">
        <v>16</v>
      </c>
      <c r="H3440" s="1">
        <v>-4.25</v>
      </c>
      <c r="I3440" s="1">
        <v>3.85</v>
      </c>
      <c r="J3440" s="1">
        <v>0</v>
      </c>
      <c r="K3440" s="2">
        <v>43713</v>
      </c>
      <c r="L3440" s="1">
        <v>3716</v>
      </c>
      <c r="M3440" s="1">
        <v>3.51</v>
      </c>
      <c r="N3440" s="1">
        <v>0</v>
      </c>
      <c r="O3440" s="3">
        <f>VLOOKUP(D3440,underlying!$D$40:$H$75,5,FALSE)</f>
        <v>-1.5</v>
      </c>
      <c r="P3440" s="4">
        <f t="shared" si="136"/>
        <v>43594</v>
      </c>
      <c r="Q3440" s="7">
        <f>IF(G3440="C",NormalCallSprd(O3440,H3440,M3440,(P3440-A3440)/365), NormalPutSprd(O3440,H3440,M3440,(P3440-A3440)/365))</f>
        <v>3.9185095643149377</v>
      </c>
      <c r="R3440" s="9">
        <f t="shared" si="138"/>
        <v>6.8509564314937599E-2</v>
      </c>
    </row>
    <row r="3441" spans="1:18" x14ac:dyDescent="0.2">
      <c r="A3441" s="2">
        <v>42622</v>
      </c>
      <c r="B3441" s="1" t="s">
        <v>56</v>
      </c>
      <c r="C3441" s="1" t="s">
        <v>57</v>
      </c>
      <c r="D3441" s="2">
        <v>43470</v>
      </c>
      <c r="E3441" s="2">
        <f t="shared" si="137"/>
        <v>43586</v>
      </c>
      <c r="F3441" s="1" t="s">
        <v>58</v>
      </c>
      <c r="G3441" s="1" t="s">
        <v>18</v>
      </c>
      <c r="H3441" s="1">
        <v>-4.25</v>
      </c>
      <c r="I3441" s="1">
        <v>1.1499999999999999</v>
      </c>
      <c r="J3441" s="1">
        <v>0</v>
      </c>
      <c r="K3441" s="2">
        <v>43713</v>
      </c>
      <c r="L3441" s="1">
        <v>3716</v>
      </c>
      <c r="M3441" s="1">
        <v>3.51</v>
      </c>
      <c r="N3441" s="1">
        <v>0</v>
      </c>
      <c r="O3441" s="3">
        <f>VLOOKUP(D3441,underlying!$D$40:$H$75,5,FALSE)</f>
        <v>-1.5</v>
      </c>
      <c r="P3441" s="4">
        <f t="shared" si="136"/>
        <v>43594</v>
      </c>
      <c r="Q3441" s="7">
        <f>IF(G3441="C",NormalCallSprd(O3441,H3441,M3441,(P3441-A3441)/365), NormalPutSprd(O3441,H3441,M3441,(P3441-A3441)/365))</f>
        <v>1.1685095643149375</v>
      </c>
      <c r="R3441" s="9">
        <f t="shared" si="138"/>
        <v>1.8509564314937554E-2</v>
      </c>
    </row>
    <row r="3442" spans="1:18" x14ac:dyDescent="0.2">
      <c r="A3442" s="2">
        <v>42622</v>
      </c>
      <c r="B3442" s="1" t="s">
        <v>56</v>
      </c>
      <c r="C3442" s="1" t="s">
        <v>57</v>
      </c>
      <c r="D3442" s="2">
        <v>43470</v>
      </c>
      <c r="E3442" s="2">
        <f t="shared" si="137"/>
        <v>43586</v>
      </c>
      <c r="F3442" s="1" t="s">
        <v>58</v>
      </c>
      <c r="G3442" s="1" t="s">
        <v>16</v>
      </c>
      <c r="H3442" s="1">
        <v>-4</v>
      </c>
      <c r="I3442" s="1">
        <v>3.68</v>
      </c>
      <c r="J3442" s="1">
        <v>0</v>
      </c>
      <c r="K3442" s="2">
        <v>43713</v>
      </c>
      <c r="L3442" s="1">
        <v>3716</v>
      </c>
      <c r="M3442" s="1">
        <v>3.51</v>
      </c>
      <c r="N3442" s="1">
        <v>0</v>
      </c>
      <c r="O3442" s="3">
        <f>VLOOKUP(D3442,underlying!$D$40:$H$75,5,FALSE)</f>
        <v>-1.5</v>
      </c>
      <c r="P3442" s="4">
        <f t="shared" si="136"/>
        <v>43594</v>
      </c>
      <c r="Q3442" s="7">
        <f>IF(G3442="C",NormalCallSprd(O3442,H3442,M3442,(P3442-A3442)/365), NormalPutSprd(O3442,H3442,M3442,(P3442-A3442)/365))</f>
        <v>3.7493563072118521</v>
      </c>
      <c r="R3442" s="9">
        <f t="shared" si="138"/>
        <v>6.9356307211851931E-2</v>
      </c>
    </row>
    <row r="3443" spans="1:18" x14ac:dyDescent="0.2">
      <c r="A3443" s="2">
        <v>42622</v>
      </c>
      <c r="B3443" s="1" t="s">
        <v>56</v>
      </c>
      <c r="C3443" s="1" t="s">
        <v>57</v>
      </c>
      <c r="D3443" s="2">
        <v>43470</v>
      </c>
      <c r="E3443" s="2">
        <f t="shared" si="137"/>
        <v>43586</v>
      </c>
      <c r="F3443" s="1" t="s">
        <v>58</v>
      </c>
      <c r="G3443" s="1" t="s">
        <v>18</v>
      </c>
      <c r="H3443" s="1">
        <v>-4</v>
      </c>
      <c r="I3443" s="1">
        <v>1.23</v>
      </c>
      <c r="J3443" s="1">
        <v>0</v>
      </c>
      <c r="K3443" s="2">
        <v>43713</v>
      </c>
      <c r="L3443" s="1">
        <v>3716</v>
      </c>
      <c r="M3443" s="1">
        <v>3.51</v>
      </c>
      <c r="N3443" s="1">
        <v>0</v>
      </c>
      <c r="O3443" s="3">
        <f>VLOOKUP(D3443,underlying!$D$40:$H$75,5,FALSE)</f>
        <v>-1.5</v>
      </c>
      <c r="P3443" s="4">
        <f t="shared" si="136"/>
        <v>43594</v>
      </c>
      <c r="Q3443" s="7">
        <f>IF(G3443="C",NormalCallSprd(O3443,H3443,M3443,(P3443-A3443)/365), NormalPutSprd(O3443,H3443,M3443,(P3443-A3443)/365))</f>
        <v>1.2493563072118521</v>
      </c>
      <c r="R3443" s="9">
        <f t="shared" si="138"/>
        <v>1.9356307211852108E-2</v>
      </c>
    </row>
    <row r="3444" spans="1:18" x14ac:dyDescent="0.2">
      <c r="A3444" s="2">
        <v>42622</v>
      </c>
      <c r="B3444" s="1" t="s">
        <v>56</v>
      </c>
      <c r="C3444" s="1" t="s">
        <v>57</v>
      </c>
      <c r="D3444" s="2">
        <v>43470</v>
      </c>
      <c r="E3444" s="2">
        <f t="shared" si="137"/>
        <v>43586</v>
      </c>
      <c r="F3444" s="1" t="s">
        <v>58</v>
      </c>
      <c r="G3444" s="1" t="s">
        <v>16</v>
      </c>
      <c r="H3444" s="1">
        <v>-3.75</v>
      </c>
      <c r="I3444" s="1">
        <v>3.52</v>
      </c>
      <c r="J3444" s="1">
        <v>0</v>
      </c>
      <c r="K3444" s="2">
        <v>43713</v>
      </c>
      <c r="L3444" s="1">
        <v>3716</v>
      </c>
      <c r="M3444" s="1">
        <v>3.51</v>
      </c>
      <c r="N3444" s="1">
        <v>0</v>
      </c>
      <c r="O3444" s="3">
        <f>VLOOKUP(D3444,underlying!$D$40:$H$75,5,FALSE)</f>
        <v>-1.5</v>
      </c>
      <c r="P3444" s="4">
        <f t="shared" si="136"/>
        <v>43594</v>
      </c>
      <c r="Q3444" s="7">
        <f>IF(G3444="C",NormalCallSprd(O3444,H3444,M3444,(P3444-A3444)/365), NormalPutSprd(O3444,H3444,M3444,(P3444-A3444)/365))</f>
        <v>3.5841601239901246</v>
      </c>
      <c r="R3444" s="9">
        <f t="shared" si="138"/>
        <v>6.4160123990124607E-2</v>
      </c>
    </row>
    <row r="3445" spans="1:18" x14ac:dyDescent="0.2">
      <c r="A3445" s="2">
        <v>42622</v>
      </c>
      <c r="B3445" s="1" t="s">
        <v>56</v>
      </c>
      <c r="C3445" s="1" t="s">
        <v>57</v>
      </c>
      <c r="D3445" s="2">
        <v>43470</v>
      </c>
      <c r="E3445" s="2">
        <f t="shared" si="137"/>
        <v>43586</v>
      </c>
      <c r="F3445" s="1" t="s">
        <v>58</v>
      </c>
      <c r="G3445" s="1" t="s">
        <v>18</v>
      </c>
      <c r="H3445" s="1">
        <v>-3.75</v>
      </c>
      <c r="I3445" s="1">
        <v>1.31</v>
      </c>
      <c r="J3445" s="1">
        <v>0</v>
      </c>
      <c r="K3445" s="2">
        <v>43713</v>
      </c>
      <c r="L3445" s="1">
        <v>3716</v>
      </c>
      <c r="M3445" s="1">
        <v>3.51</v>
      </c>
      <c r="N3445" s="1">
        <v>0</v>
      </c>
      <c r="O3445" s="3">
        <f>VLOOKUP(D3445,underlying!$D$40:$H$75,5,FALSE)</f>
        <v>-1.5</v>
      </c>
      <c r="P3445" s="4">
        <f t="shared" si="136"/>
        <v>43594</v>
      </c>
      <c r="Q3445" s="7">
        <f>IF(G3445="C",NormalCallSprd(O3445,H3445,M3445,(P3445-A3445)/365), NormalPutSprd(O3445,H3445,M3445,(P3445-A3445)/365))</f>
        <v>1.3341601239901244</v>
      </c>
      <c r="R3445" s="9">
        <f t="shared" si="138"/>
        <v>2.4160123990124349E-2</v>
      </c>
    </row>
    <row r="3446" spans="1:18" x14ac:dyDescent="0.2">
      <c r="A3446" s="2">
        <v>42622</v>
      </c>
      <c r="B3446" s="1" t="s">
        <v>56</v>
      </c>
      <c r="C3446" s="1" t="s">
        <v>57</v>
      </c>
      <c r="D3446" s="2">
        <v>43470</v>
      </c>
      <c r="E3446" s="2">
        <f t="shared" si="137"/>
        <v>43586</v>
      </c>
      <c r="F3446" s="1" t="s">
        <v>58</v>
      </c>
      <c r="G3446" s="1" t="s">
        <v>16</v>
      </c>
      <c r="H3446" s="1">
        <v>-3.5</v>
      </c>
      <c r="I3446" s="1">
        <v>3.35</v>
      </c>
      <c r="J3446" s="1">
        <v>0</v>
      </c>
      <c r="K3446" s="2">
        <v>43713</v>
      </c>
      <c r="L3446" s="1">
        <v>3716</v>
      </c>
      <c r="M3446" s="1">
        <v>3.49</v>
      </c>
      <c r="N3446" s="1">
        <v>0</v>
      </c>
      <c r="O3446" s="3">
        <f>VLOOKUP(D3446,underlying!$D$40:$H$75,5,FALSE)</f>
        <v>-1.5</v>
      </c>
      <c r="P3446" s="4">
        <f t="shared" si="136"/>
        <v>43594</v>
      </c>
      <c r="Q3446" s="7">
        <f>IF(G3446="C",NormalCallSprd(O3446,H3446,M3446,(P3446-A3446)/365), NormalPutSprd(O3446,H3446,M3446,(P3446-A3446)/365))</f>
        <v>3.4107470766361878</v>
      </c>
      <c r="R3446" s="9">
        <f t="shared" si="138"/>
        <v>6.0747076636187725E-2</v>
      </c>
    </row>
    <row r="3447" spans="1:18" x14ac:dyDescent="0.2">
      <c r="A3447" s="2">
        <v>42622</v>
      </c>
      <c r="B3447" s="1" t="s">
        <v>56</v>
      </c>
      <c r="C3447" s="1" t="s">
        <v>57</v>
      </c>
      <c r="D3447" s="2">
        <v>43470</v>
      </c>
      <c r="E3447" s="2">
        <f t="shared" si="137"/>
        <v>43586</v>
      </c>
      <c r="F3447" s="1" t="s">
        <v>58</v>
      </c>
      <c r="G3447" s="1" t="s">
        <v>18</v>
      </c>
      <c r="H3447" s="1">
        <v>-3.5</v>
      </c>
      <c r="I3447" s="1">
        <v>1.38</v>
      </c>
      <c r="J3447" s="1">
        <v>-0.01</v>
      </c>
      <c r="K3447" s="2">
        <v>43713</v>
      </c>
      <c r="L3447" s="1">
        <v>3716</v>
      </c>
      <c r="M3447" s="1">
        <v>3.49</v>
      </c>
      <c r="N3447" s="1">
        <v>0</v>
      </c>
      <c r="O3447" s="3">
        <f>VLOOKUP(D3447,underlying!$D$40:$H$75,5,FALSE)</f>
        <v>-1.5</v>
      </c>
      <c r="P3447" s="4">
        <f t="shared" si="136"/>
        <v>43594</v>
      </c>
      <c r="Q3447" s="7">
        <f>IF(G3447="C",NormalCallSprd(O3447,H3447,M3447,(P3447-A3447)/365), NormalPutSprd(O3447,H3447,M3447,(P3447-A3447)/365))</f>
        <v>1.4107470766361876</v>
      </c>
      <c r="R3447" s="9">
        <f t="shared" si="138"/>
        <v>3.0747076636187698E-2</v>
      </c>
    </row>
    <row r="3448" spans="1:18" x14ac:dyDescent="0.2">
      <c r="A3448" s="2">
        <v>42622</v>
      </c>
      <c r="B3448" s="1" t="s">
        <v>56</v>
      </c>
      <c r="C3448" s="1" t="s">
        <v>57</v>
      </c>
      <c r="D3448" s="2">
        <v>43470</v>
      </c>
      <c r="E3448" s="2">
        <f t="shared" si="137"/>
        <v>43586</v>
      </c>
      <c r="F3448" s="1" t="s">
        <v>58</v>
      </c>
      <c r="G3448" s="1" t="s">
        <v>16</v>
      </c>
      <c r="H3448" s="1">
        <v>-3.25</v>
      </c>
      <c r="I3448" s="1">
        <v>3.21</v>
      </c>
      <c r="J3448" s="1">
        <v>0</v>
      </c>
      <c r="K3448" s="2">
        <v>43713</v>
      </c>
      <c r="L3448" s="1">
        <v>3716</v>
      </c>
      <c r="M3448" s="1">
        <v>3.51</v>
      </c>
      <c r="N3448" s="1">
        <v>0</v>
      </c>
      <c r="O3448" s="3">
        <f>VLOOKUP(D3448,underlying!$D$40:$H$75,5,FALSE)</f>
        <v>-1.5</v>
      </c>
      <c r="P3448" s="4">
        <f t="shared" si="136"/>
        <v>43594</v>
      </c>
      <c r="Q3448" s="7">
        <f>IF(G3448="C",NormalCallSprd(O3448,H3448,M3448,(P3448-A3448)/365), NormalPutSprd(O3448,H3448,M3448,(P3448-A3448)/365))</f>
        <v>3.265921458030014</v>
      </c>
      <c r="R3448" s="9">
        <f t="shared" si="138"/>
        <v>5.5921458030014026E-2</v>
      </c>
    </row>
    <row r="3449" spans="1:18" x14ac:dyDescent="0.2">
      <c r="A3449" s="2">
        <v>42622</v>
      </c>
      <c r="B3449" s="1" t="s">
        <v>56</v>
      </c>
      <c r="C3449" s="1" t="s">
        <v>57</v>
      </c>
      <c r="D3449" s="2">
        <v>43470</v>
      </c>
      <c r="E3449" s="2">
        <f t="shared" si="137"/>
        <v>43586</v>
      </c>
      <c r="F3449" s="1" t="s">
        <v>58</v>
      </c>
      <c r="G3449" s="1" t="s">
        <v>18</v>
      </c>
      <c r="H3449" s="1">
        <v>-3.25</v>
      </c>
      <c r="I3449" s="1">
        <v>1.49</v>
      </c>
      <c r="J3449" s="1">
        <v>0</v>
      </c>
      <c r="K3449" s="2">
        <v>43713</v>
      </c>
      <c r="L3449" s="1">
        <v>3716</v>
      </c>
      <c r="M3449" s="1">
        <v>3.51</v>
      </c>
      <c r="N3449" s="1">
        <v>0</v>
      </c>
      <c r="O3449" s="3">
        <f>VLOOKUP(D3449,underlying!$D$40:$H$75,5,FALSE)</f>
        <v>-1.5</v>
      </c>
      <c r="P3449" s="4">
        <f t="shared" ref="P3449:P3512" si="139">DATE(YEAR(K3449),DAY(K3449),MONTH(K3449))</f>
        <v>43594</v>
      </c>
      <c r="Q3449" s="7">
        <f>IF(G3449="C",NormalCallSprd(O3449,H3449,M3449,(P3449-A3449)/365), NormalPutSprd(O3449,H3449,M3449,(P3449-A3449)/365))</f>
        <v>1.515921458030014</v>
      </c>
      <c r="R3449" s="9">
        <f t="shared" si="138"/>
        <v>2.5921458030014E-2</v>
      </c>
    </row>
    <row r="3450" spans="1:18" x14ac:dyDescent="0.2">
      <c r="A3450" s="2">
        <v>42622</v>
      </c>
      <c r="B3450" s="1" t="s">
        <v>56</v>
      </c>
      <c r="C3450" s="1" t="s">
        <v>57</v>
      </c>
      <c r="D3450" s="2">
        <v>43470</v>
      </c>
      <c r="E3450" s="2">
        <f t="shared" si="137"/>
        <v>43586</v>
      </c>
      <c r="F3450" s="1" t="s">
        <v>58</v>
      </c>
      <c r="G3450" s="1" t="s">
        <v>16</v>
      </c>
      <c r="H3450" s="1">
        <v>-3</v>
      </c>
      <c r="I3450" s="1">
        <v>3.04</v>
      </c>
      <c r="J3450" s="1">
        <v>-0.01</v>
      </c>
      <c r="K3450" s="2">
        <v>43713</v>
      </c>
      <c r="L3450" s="1">
        <v>3716</v>
      </c>
      <c r="M3450" s="1">
        <v>3.49</v>
      </c>
      <c r="N3450" s="1">
        <v>0</v>
      </c>
      <c r="O3450" s="3">
        <f>VLOOKUP(D3450,underlying!$D$40:$H$75,5,FALSE)</f>
        <v>-1.5</v>
      </c>
      <c r="P3450" s="4">
        <f t="shared" si="139"/>
        <v>43594</v>
      </c>
      <c r="Q3450" s="7">
        <f>IF(G3450="C",NormalCallSprd(O3450,H3450,M3450,(P3450-A3450)/365), NormalPutSprd(O3450,H3450,M3450,(P3450-A3450)/365))</f>
        <v>3.10042453912595</v>
      </c>
      <c r="R3450" s="9">
        <f t="shared" si="138"/>
        <v>6.0424539125949916E-2</v>
      </c>
    </row>
    <row r="3451" spans="1:18" x14ac:dyDescent="0.2">
      <c r="A3451" s="2">
        <v>42622</v>
      </c>
      <c r="B3451" s="1" t="s">
        <v>56</v>
      </c>
      <c r="C3451" s="1" t="s">
        <v>57</v>
      </c>
      <c r="D3451" s="2">
        <v>43470</v>
      </c>
      <c r="E3451" s="2">
        <f t="shared" si="137"/>
        <v>43586</v>
      </c>
      <c r="F3451" s="1" t="s">
        <v>58</v>
      </c>
      <c r="G3451" s="1" t="s">
        <v>18</v>
      </c>
      <c r="H3451" s="1">
        <v>-3</v>
      </c>
      <c r="I3451" s="1">
        <v>1.57</v>
      </c>
      <c r="J3451" s="1">
        <v>0</v>
      </c>
      <c r="K3451" s="2">
        <v>43713</v>
      </c>
      <c r="L3451" s="1">
        <v>3716</v>
      </c>
      <c r="M3451" s="1">
        <v>3.49</v>
      </c>
      <c r="N3451" s="1">
        <v>0</v>
      </c>
      <c r="O3451" s="3">
        <f>VLOOKUP(D3451,underlying!$D$40:$H$75,5,FALSE)</f>
        <v>-1.5</v>
      </c>
      <c r="P3451" s="4">
        <f t="shared" si="139"/>
        <v>43594</v>
      </c>
      <c r="Q3451" s="7">
        <f>IF(G3451="C",NormalCallSprd(O3451,H3451,M3451,(P3451-A3451)/365), NormalPutSprd(O3451,H3451,M3451,(P3451-A3451)/365))</f>
        <v>1.60042453912595</v>
      </c>
      <c r="R3451" s="9">
        <f t="shared" si="138"/>
        <v>3.042453912594989E-2</v>
      </c>
    </row>
    <row r="3452" spans="1:18" x14ac:dyDescent="0.2">
      <c r="A3452" s="2">
        <v>42622</v>
      </c>
      <c r="B3452" s="1" t="s">
        <v>56</v>
      </c>
      <c r="C3452" s="1" t="s">
        <v>57</v>
      </c>
      <c r="D3452" s="2">
        <v>43470</v>
      </c>
      <c r="E3452" s="2">
        <f t="shared" si="137"/>
        <v>43586</v>
      </c>
      <c r="F3452" s="1" t="s">
        <v>58</v>
      </c>
      <c r="G3452" s="1" t="s">
        <v>16</v>
      </c>
      <c r="H3452" s="1">
        <v>-2.75</v>
      </c>
      <c r="I3452" s="1">
        <v>2.91</v>
      </c>
      <c r="J3452" s="1">
        <v>0</v>
      </c>
      <c r="K3452" s="2">
        <v>43713</v>
      </c>
      <c r="L3452" s="1">
        <v>3716</v>
      </c>
      <c r="M3452" s="1">
        <v>3.51</v>
      </c>
      <c r="N3452" s="1">
        <v>0</v>
      </c>
      <c r="O3452" s="3">
        <f>VLOOKUP(D3452,underlying!$D$40:$H$75,5,FALSE)</f>
        <v>-1.5</v>
      </c>
      <c r="P3452" s="4">
        <f t="shared" si="139"/>
        <v>43594</v>
      </c>
      <c r="Q3452" s="7">
        <f>IF(G3452="C",NormalCallSprd(O3452,H3452,M3452,(P3452-A3452)/365), NormalPutSprd(O3452,H3452,M3452,(P3452-A3452)/365))</f>
        <v>2.9642915377865831</v>
      </c>
      <c r="R3452" s="9">
        <f t="shared" si="138"/>
        <v>5.4291537786582911E-2</v>
      </c>
    </row>
    <row r="3453" spans="1:18" x14ac:dyDescent="0.2">
      <c r="A3453" s="2">
        <v>42622</v>
      </c>
      <c r="B3453" s="1" t="s">
        <v>56</v>
      </c>
      <c r="C3453" s="1" t="s">
        <v>57</v>
      </c>
      <c r="D3453" s="2">
        <v>43470</v>
      </c>
      <c r="E3453" s="2">
        <f t="shared" si="137"/>
        <v>43586</v>
      </c>
      <c r="F3453" s="1" t="s">
        <v>58</v>
      </c>
      <c r="G3453" s="1" t="s">
        <v>18</v>
      </c>
      <c r="H3453" s="1">
        <v>-2.75</v>
      </c>
      <c r="I3453" s="1">
        <v>1.68</v>
      </c>
      <c r="J3453" s="1">
        <v>-0.01</v>
      </c>
      <c r="K3453" s="2">
        <v>43713</v>
      </c>
      <c r="L3453" s="1">
        <v>3716</v>
      </c>
      <c r="M3453" s="1">
        <v>3.51</v>
      </c>
      <c r="N3453" s="1">
        <v>0</v>
      </c>
      <c r="O3453" s="3">
        <f>VLOOKUP(D3453,underlying!$D$40:$H$75,5,FALSE)</f>
        <v>-1.5</v>
      </c>
      <c r="P3453" s="4">
        <f t="shared" si="139"/>
        <v>43594</v>
      </c>
      <c r="Q3453" s="7">
        <f>IF(G3453="C",NormalCallSprd(O3453,H3453,M3453,(P3453-A3453)/365), NormalPutSprd(O3453,H3453,M3453,(P3453-A3453)/365))</f>
        <v>1.7142915377865831</v>
      </c>
      <c r="R3453" s="9">
        <f t="shared" si="138"/>
        <v>3.4291537786583115E-2</v>
      </c>
    </row>
    <row r="3454" spans="1:18" x14ac:dyDescent="0.2">
      <c r="A3454" s="2">
        <v>42622</v>
      </c>
      <c r="B3454" s="1" t="s">
        <v>56</v>
      </c>
      <c r="C3454" s="1" t="s">
        <v>57</v>
      </c>
      <c r="D3454" s="2">
        <v>43470</v>
      </c>
      <c r="E3454" s="2">
        <f t="shared" si="137"/>
        <v>43586</v>
      </c>
      <c r="F3454" s="1" t="s">
        <v>58</v>
      </c>
      <c r="G3454" s="1" t="s">
        <v>16</v>
      </c>
      <c r="H3454" s="1">
        <v>-2.5</v>
      </c>
      <c r="I3454" s="1">
        <v>2.75</v>
      </c>
      <c r="J3454" s="1">
        <v>-0.01</v>
      </c>
      <c r="K3454" s="2">
        <v>43713</v>
      </c>
      <c r="L3454" s="1">
        <v>3716</v>
      </c>
      <c r="M3454" s="1">
        <v>3.49</v>
      </c>
      <c r="N3454" s="1">
        <v>0</v>
      </c>
      <c r="O3454" s="3">
        <f>VLOOKUP(D3454,underlying!$D$40:$H$75,5,FALSE)</f>
        <v>-1.5</v>
      </c>
      <c r="P3454" s="4">
        <f t="shared" si="139"/>
        <v>43594</v>
      </c>
      <c r="Q3454" s="7">
        <f>IF(G3454="C",NormalCallSprd(O3454,H3454,M3454,(P3454-A3454)/365), NormalPutSprd(O3454,H3454,M3454,(P3454-A3454)/365))</f>
        <v>2.8070070112106675</v>
      </c>
      <c r="R3454" s="9">
        <f t="shared" si="138"/>
        <v>5.7007011210667535E-2</v>
      </c>
    </row>
    <row r="3455" spans="1:18" x14ac:dyDescent="0.2">
      <c r="A3455" s="2">
        <v>42622</v>
      </c>
      <c r="B3455" s="1" t="s">
        <v>56</v>
      </c>
      <c r="C3455" s="1" t="s">
        <v>57</v>
      </c>
      <c r="D3455" s="2">
        <v>43470</v>
      </c>
      <c r="E3455" s="2">
        <f t="shared" si="137"/>
        <v>43586</v>
      </c>
      <c r="F3455" s="1" t="s">
        <v>58</v>
      </c>
      <c r="G3455" s="1" t="s">
        <v>18</v>
      </c>
      <c r="H3455" s="1">
        <v>-2.5</v>
      </c>
      <c r="I3455" s="1">
        <v>1.77</v>
      </c>
      <c r="J3455" s="1">
        <v>-0.01</v>
      </c>
      <c r="K3455" s="2">
        <v>43713</v>
      </c>
      <c r="L3455" s="1">
        <v>3716</v>
      </c>
      <c r="M3455" s="1">
        <v>3.49</v>
      </c>
      <c r="N3455" s="1">
        <v>0</v>
      </c>
      <c r="O3455" s="3">
        <f>VLOOKUP(D3455,underlying!$D$40:$H$75,5,FALSE)</f>
        <v>-1.5</v>
      </c>
      <c r="P3455" s="4">
        <f t="shared" si="139"/>
        <v>43594</v>
      </c>
      <c r="Q3455" s="7">
        <f>IF(G3455="C",NormalCallSprd(O3455,H3455,M3455,(P3455-A3455)/365), NormalPutSprd(O3455,H3455,M3455,(P3455-A3455)/365))</f>
        <v>1.8070070112106675</v>
      </c>
      <c r="R3455" s="9">
        <f t="shared" si="138"/>
        <v>3.7007011210667518E-2</v>
      </c>
    </row>
    <row r="3456" spans="1:18" x14ac:dyDescent="0.2">
      <c r="A3456" s="2">
        <v>42622</v>
      </c>
      <c r="B3456" s="1" t="s">
        <v>56</v>
      </c>
      <c r="C3456" s="1" t="s">
        <v>57</v>
      </c>
      <c r="D3456" s="2">
        <v>43470</v>
      </c>
      <c r="E3456" s="2">
        <f t="shared" si="137"/>
        <v>43586</v>
      </c>
      <c r="F3456" s="1" t="s">
        <v>58</v>
      </c>
      <c r="G3456" s="1" t="s">
        <v>16</v>
      </c>
      <c r="H3456" s="1">
        <v>-2.25</v>
      </c>
      <c r="I3456" s="1">
        <v>2.62</v>
      </c>
      <c r="J3456" s="1">
        <v>-0.01</v>
      </c>
      <c r="K3456" s="2">
        <v>43713</v>
      </c>
      <c r="L3456" s="1">
        <v>3716</v>
      </c>
      <c r="M3456" s="1">
        <v>3.5</v>
      </c>
      <c r="N3456" s="1">
        <v>0</v>
      </c>
      <c r="O3456" s="3">
        <f>VLOOKUP(D3456,underlying!$D$40:$H$75,5,FALSE)</f>
        <v>-1.5</v>
      </c>
      <c r="P3456" s="4">
        <f t="shared" si="139"/>
        <v>43594</v>
      </c>
      <c r="Q3456" s="7">
        <f>IF(G3456="C",NormalCallSprd(O3456,H3456,M3456,(P3456-A3456)/365), NormalPutSprd(O3456,H3456,M3456,(P3456-A3456)/365))</f>
        <v>2.6731994086626645</v>
      </c>
      <c r="R3456" s="9">
        <f t="shared" si="138"/>
        <v>5.3199408662664371E-2</v>
      </c>
    </row>
    <row r="3457" spans="1:18" x14ac:dyDescent="0.2">
      <c r="A3457" s="2">
        <v>42622</v>
      </c>
      <c r="B3457" s="1" t="s">
        <v>56</v>
      </c>
      <c r="C3457" s="1" t="s">
        <v>57</v>
      </c>
      <c r="D3457" s="2">
        <v>43470</v>
      </c>
      <c r="E3457" s="2">
        <f t="shared" si="137"/>
        <v>43586</v>
      </c>
      <c r="F3457" s="1" t="s">
        <v>58</v>
      </c>
      <c r="G3457" s="1" t="s">
        <v>18</v>
      </c>
      <c r="H3457" s="1">
        <v>-2.25</v>
      </c>
      <c r="I3457" s="1">
        <v>1.89</v>
      </c>
      <c r="J3457" s="1">
        <v>0</v>
      </c>
      <c r="K3457" s="2">
        <v>43713</v>
      </c>
      <c r="L3457" s="1">
        <v>3716</v>
      </c>
      <c r="M3457" s="1">
        <v>3.5</v>
      </c>
      <c r="N3457" s="1">
        <v>0</v>
      </c>
      <c r="O3457" s="3">
        <f>VLOOKUP(D3457,underlying!$D$40:$H$75,5,FALSE)</f>
        <v>-1.5</v>
      </c>
      <c r="P3457" s="4">
        <f t="shared" si="139"/>
        <v>43594</v>
      </c>
      <c r="Q3457" s="7">
        <f>IF(G3457="C",NormalCallSprd(O3457,H3457,M3457,(P3457-A3457)/365), NormalPutSprd(O3457,H3457,M3457,(P3457-A3457)/365))</f>
        <v>1.9231994086626645</v>
      </c>
      <c r="R3457" s="9">
        <f t="shared" si="138"/>
        <v>3.3199408662664576E-2</v>
      </c>
    </row>
    <row r="3458" spans="1:18" x14ac:dyDescent="0.2">
      <c r="A3458" s="2">
        <v>42622</v>
      </c>
      <c r="B3458" s="1" t="s">
        <v>56</v>
      </c>
      <c r="C3458" s="1" t="s">
        <v>57</v>
      </c>
      <c r="D3458" s="2">
        <v>43470</v>
      </c>
      <c r="E3458" s="2">
        <f t="shared" ref="E3458:E3521" si="140">DATE(YEAR(D3458),DAY(D3458),MONTH(D3458))</f>
        <v>43586</v>
      </c>
      <c r="F3458" s="1" t="s">
        <v>58</v>
      </c>
      <c r="G3458" s="1" t="s">
        <v>16</v>
      </c>
      <c r="H3458" s="1">
        <v>-2</v>
      </c>
      <c r="I3458" s="1">
        <v>2.4900000000000002</v>
      </c>
      <c r="J3458" s="1">
        <v>0</v>
      </c>
      <c r="K3458" s="2">
        <v>43713</v>
      </c>
      <c r="L3458" s="1">
        <v>3716</v>
      </c>
      <c r="M3458" s="1">
        <v>3.5</v>
      </c>
      <c r="N3458" s="1">
        <v>0</v>
      </c>
      <c r="O3458" s="3">
        <f>VLOOKUP(D3458,underlying!$D$40:$H$75,5,FALSE)</f>
        <v>-1.5</v>
      </c>
      <c r="P3458" s="4">
        <f t="shared" si="139"/>
        <v>43594</v>
      </c>
      <c r="Q3458" s="7">
        <f>IF(G3458="C",NormalCallSprd(O3458,H3458,M3458,(P3458-A3458)/365), NormalPutSprd(O3458,H3458,M3458,(P3458-A3458)/365))</f>
        <v>2.5373082325832903</v>
      </c>
      <c r="R3458" s="9">
        <f t="shared" si="138"/>
        <v>4.7308232583290089E-2</v>
      </c>
    </row>
    <row r="3459" spans="1:18" x14ac:dyDescent="0.2">
      <c r="A3459" s="2">
        <v>42622</v>
      </c>
      <c r="B3459" s="1" t="s">
        <v>56</v>
      </c>
      <c r="C3459" s="1" t="s">
        <v>57</v>
      </c>
      <c r="D3459" s="2">
        <v>43470</v>
      </c>
      <c r="E3459" s="2">
        <f t="shared" si="140"/>
        <v>43586</v>
      </c>
      <c r="F3459" s="1" t="s">
        <v>58</v>
      </c>
      <c r="G3459" s="1" t="s">
        <v>18</v>
      </c>
      <c r="H3459" s="1">
        <v>-2</v>
      </c>
      <c r="I3459" s="1">
        <v>2</v>
      </c>
      <c r="J3459" s="1">
        <v>0</v>
      </c>
      <c r="K3459" s="2">
        <v>43713</v>
      </c>
      <c r="L3459" s="1">
        <v>3716</v>
      </c>
      <c r="M3459" s="1">
        <v>3.5</v>
      </c>
      <c r="N3459" s="1">
        <v>0</v>
      </c>
      <c r="O3459" s="3">
        <f>VLOOKUP(D3459,underlying!$D$40:$H$75,5,FALSE)</f>
        <v>-1.5</v>
      </c>
      <c r="P3459" s="4">
        <f t="shared" si="139"/>
        <v>43594</v>
      </c>
      <c r="Q3459" s="7">
        <f>IF(G3459="C",NormalCallSprd(O3459,H3459,M3459,(P3459-A3459)/365), NormalPutSprd(O3459,H3459,M3459,(P3459-A3459)/365))</f>
        <v>2.0373082325832903</v>
      </c>
      <c r="R3459" s="9">
        <f t="shared" ref="R3459:R3522" si="141">ABS(Q3459-I3459)</f>
        <v>3.7308232583290302E-2</v>
      </c>
    </row>
    <row r="3460" spans="1:18" x14ac:dyDescent="0.2">
      <c r="A3460" s="2">
        <v>42622</v>
      </c>
      <c r="B3460" s="1" t="s">
        <v>56</v>
      </c>
      <c r="C3460" s="1" t="s">
        <v>57</v>
      </c>
      <c r="D3460" s="2">
        <v>43470</v>
      </c>
      <c r="E3460" s="2">
        <f t="shared" si="140"/>
        <v>43586</v>
      </c>
      <c r="F3460" s="1" t="s">
        <v>58</v>
      </c>
      <c r="G3460" s="1" t="s">
        <v>16</v>
      </c>
      <c r="H3460" s="1">
        <v>-1.75</v>
      </c>
      <c r="I3460" s="1">
        <v>2.37</v>
      </c>
      <c r="J3460" s="1">
        <v>0</v>
      </c>
      <c r="K3460" s="2">
        <v>43713</v>
      </c>
      <c r="L3460" s="1">
        <v>3716</v>
      </c>
      <c r="M3460" s="1">
        <v>3.51</v>
      </c>
      <c r="N3460" s="1">
        <v>0</v>
      </c>
      <c r="O3460" s="3">
        <f>VLOOKUP(D3460,underlying!$D$40:$H$75,5,FALSE)</f>
        <v>-1.5</v>
      </c>
      <c r="P3460" s="4">
        <f t="shared" si="139"/>
        <v>43594</v>
      </c>
      <c r="Q3460" s="7">
        <f>IF(G3460="C",NormalCallSprd(O3460,H3460,M3460,(P3460-A3460)/365), NormalPutSprd(O3460,H3460,M3460,(P3460-A3460)/365))</f>
        <v>2.4122692062814592</v>
      </c>
      <c r="R3460" s="9">
        <f t="shared" si="141"/>
        <v>4.2269206281459137E-2</v>
      </c>
    </row>
    <row r="3461" spans="1:18" x14ac:dyDescent="0.2">
      <c r="A3461" s="2">
        <v>42622</v>
      </c>
      <c r="B3461" s="1" t="s">
        <v>56</v>
      </c>
      <c r="C3461" s="1" t="s">
        <v>57</v>
      </c>
      <c r="D3461" s="2">
        <v>43470</v>
      </c>
      <c r="E3461" s="2">
        <f t="shared" si="140"/>
        <v>43586</v>
      </c>
      <c r="F3461" s="1" t="s">
        <v>58</v>
      </c>
      <c r="G3461" s="1" t="s">
        <v>18</v>
      </c>
      <c r="H3461" s="1">
        <v>-1.75</v>
      </c>
      <c r="I3461" s="1">
        <v>2.12</v>
      </c>
      <c r="J3461" s="1">
        <v>-0.01</v>
      </c>
      <c r="K3461" s="2">
        <v>43713</v>
      </c>
      <c r="L3461" s="1">
        <v>3716</v>
      </c>
      <c r="M3461" s="1">
        <v>3.51</v>
      </c>
      <c r="N3461" s="1">
        <v>0</v>
      </c>
      <c r="O3461" s="3">
        <f>VLOOKUP(D3461,underlying!$D$40:$H$75,5,FALSE)</f>
        <v>-1.5</v>
      </c>
      <c r="P3461" s="4">
        <f t="shared" si="139"/>
        <v>43594</v>
      </c>
      <c r="Q3461" s="7">
        <f>IF(G3461="C",NormalCallSprd(O3461,H3461,M3461,(P3461-A3461)/365), NormalPutSprd(O3461,H3461,M3461,(P3461-A3461)/365))</f>
        <v>2.1622692062814592</v>
      </c>
      <c r="R3461" s="9">
        <f t="shared" si="141"/>
        <v>4.2269206281459137E-2</v>
      </c>
    </row>
    <row r="3462" spans="1:18" x14ac:dyDescent="0.2">
      <c r="A3462" s="2">
        <v>42622</v>
      </c>
      <c r="B3462" s="1" t="s">
        <v>56</v>
      </c>
      <c r="C3462" s="1" t="s">
        <v>57</v>
      </c>
      <c r="D3462" s="2">
        <v>43470</v>
      </c>
      <c r="E3462" s="2">
        <f t="shared" si="140"/>
        <v>43586</v>
      </c>
      <c r="F3462" s="1" t="s">
        <v>58</v>
      </c>
      <c r="G3462" s="1" t="s">
        <v>16</v>
      </c>
      <c r="H3462" s="1">
        <v>-1.5</v>
      </c>
      <c r="I3462" s="1">
        <v>2.2400000000000002</v>
      </c>
      <c r="J3462" s="1">
        <v>0</v>
      </c>
      <c r="K3462" s="2">
        <v>43713</v>
      </c>
      <c r="L3462" s="1">
        <v>3716</v>
      </c>
      <c r="M3462" s="1">
        <v>3.5</v>
      </c>
      <c r="N3462" s="1">
        <v>0</v>
      </c>
      <c r="O3462" s="3">
        <f>VLOOKUP(D3462,underlying!$D$40:$H$75,5,FALSE)</f>
        <v>-1.5</v>
      </c>
      <c r="P3462" s="4">
        <f t="shared" si="139"/>
        <v>43594</v>
      </c>
      <c r="Q3462" s="7">
        <f>IF(G3462="C",NormalCallSprd(O3462,H3462,M3462,(P3462-A3462)/365), NormalPutSprd(O3462,H3462,M3462,(P3462-A3462)/365))</f>
        <v>2.2785827771480265</v>
      </c>
      <c r="R3462" s="9">
        <f t="shared" si="141"/>
        <v>3.858277714802627E-2</v>
      </c>
    </row>
    <row r="3463" spans="1:18" x14ac:dyDescent="0.2">
      <c r="A3463" s="2">
        <v>42622</v>
      </c>
      <c r="B3463" s="1" t="s">
        <v>56</v>
      </c>
      <c r="C3463" s="1" t="s">
        <v>57</v>
      </c>
      <c r="D3463" s="2">
        <v>43470</v>
      </c>
      <c r="E3463" s="2">
        <f t="shared" si="140"/>
        <v>43586</v>
      </c>
      <c r="F3463" s="1" t="s">
        <v>58</v>
      </c>
      <c r="G3463" s="1" t="s">
        <v>18</v>
      </c>
      <c r="H3463" s="1">
        <v>-1.5</v>
      </c>
      <c r="I3463" s="1">
        <v>2.2400000000000002</v>
      </c>
      <c r="J3463" s="1">
        <v>0</v>
      </c>
      <c r="K3463" s="2">
        <v>43713</v>
      </c>
      <c r="L3463" s="1">
        <v>3716</v>
      </c>
      <c r="M3463" s="1">
        <v>3.5</v>
      </c>
      <c r="N3463" s="1">
        <v>0</v>
      </c>
      <c r="O3463" s="3">
        <f>VLOOKUP(D3463,underlying!$D$40:$H$75,5,FALSE)</f>
        <v>-1.5</v>
      </c>
      <c r="P3463" s="4">
        <f t="shared" si="139"/>
        <v>43594</v>
      </c>
      <c r="Q3463" s="7">
        <f>IF(G3463="C",NormalCallSprd(O3463,H3463,M3463,(P3463-A3463)/365), NormalPutSprd(O3463,H3463,M3463,(P3463-A3463)/365))</f>
        <v>2.2785827771480265</v>
      </c>
      <c r="R3463" s="9">
        <f t="shared" si="141"/>
        <v>3.858277714802627E-2</v>
      </c>
    </row>
    <row r="3464" spans="1:18" x14ac:dyDescent="0.2">
      <c r="A3464" s="2">
        <v>42622</v>
      </c>
      <c r="B3464" s="1" t="s">
        <v>56</v>
      </c>
      <c r="C3464" s="1" t="s">
        <v>57</v>
      </c>
      <c r="D3464" s="2">
        <v>43470</v>
      </c>
      <c r="E3464" s="2">
        <f t="shared" si="140"/>
        <v>43586</v>
      </c>
      <c r="F3464" s="1" t="s">
        <v>58</v>
      </c>
      <c r="G3464" s="1" t="s">
        <v>16</v>
      </c>
      <c r="H3464" s="1">
        <v>-1.25</v>
      </c>
      <c r="I3464" s="1">
        <v>2.12</v>
      </c>
      <c r="J3464" s="1">
        <v>-0.01</v>
      </c>
      <c r="K3464" s="2">
        <v>43713</v>
      </c>
      <c r="L3464" s="1">
        <v>3716</v>
      </c>
      <c r="M3464" s="1">
        <v>3.51</v>
      </c>
      <c r="N3464" s="1">
        <v>0</v>
      </c>
      <c r="O3464" s="3">
        <f>VLOOKUP(D3464,underlying!$D$40:$H$75,5,FALSE)</f>
        <v>-1.5</v>
      </c>
      <c r="P3464" s="4">
        <f t="shared" si="139"/>
        <v>43594</v>
      </c>
      <c r="Q3464" s="7">
        <f>IF(G3464="C",NormalCallSprd(O3464,H3464,M3464,(P3464-A3464)/365), NormalPutSprd(O3464,H3464,M3464,(P3464-A3464)/365))</f>
        <v>2.1622692062814592</v>
      </c>
      <c r="R3464" s="9">
        <f t="shared" si="141"/>
        <v>4.2269206281459137E-2</v>
      </c>
    </row>
    <row r="3465" spans="1:18" x14ac:dyDescent="0.2">
      <c r="A3465" s="2">
        <v>42622</v>
      </c>
      <c r="B3465" s="1" t="s">
        <v>56</v>
      </c>
      <c r="C3465" s="1" t="s">
        <v>57</v>
      </c>
      <c r="D3465" s="2">
        <v>43470</v>
      </c>
      <c r="E3465" s="2">
        <f t="shared" si="140"/>
        <v>43586</v>
      </c>
      <c r="F3465" s="1" t="s">
        <v>58</v>
      </c>
      <c r="G3465" s="1" t="s">
        <v>18</v>
      </c>
      <c r="H3465" s="1">
        <v>-1.25</v>
      </c>
      <c r="I3465" s="1">
        <v>2.37</v>
      </c>
      <c r="J3465" s="1">
        <v>0</v>
      </c>
      <c r="K3465" s="2">
        <v>43713</v>
      </c>
      <c r="L3465" s="1">
        <v>3716</v>
      </c>
      <c r="M3465" s="1">
        <v>3.51</v>
      </c>
      <c r="N3465" s="1">
        <v>0</v>
      </c>
      <c r="O3465" s="3">
        <f>VLOOKUP(D3465,underlying!$D$40:$H$75,5,FALSE)</f>
        <v>-1.5</v>
      </c>
      <c r="P3465" s="4">
        <f t="shared" si="139"/>
        <v>43594</v>
      </c>
      <c r="Q3465" s="7">
        <f>IF(G3465="C",NormalCallSprd(O3465,H3465,M3465,(P3465-A3465)/365), NormalPutSprd(O3465,H3465,M3465,(P3465-A3465)/365))</f>
        <v>2.4122692062814592</v>
      </c>
      <c r="R3465" s="9">
        <f t="shared" si="141"/>
        <v>4.2269206281459137E-2</v>
      </c>
    </row>
    <row r="3466" spans="1:18" x14ac:dyDescent="0.2">
      <c r="A3466" s="2">
        <v>42622</v>
      </c>
      <c r="B3466" s="1" t="s">
        <v>56</v>
      </c>
      <c r="C3466" s="1" t="s">
        <v>57</v>
      </c>
      <c r="D3466" s="2">
        <v>43470</v>
      </c>
      <c r="E3466" s="2">
        <f t="shared" si="140"/>
        <v>43586</v>
      </c>
      <c r="F3466" s="1" t="s">
        <v>58</v>
      </c>
      <c r="G3466" s="1" t="s">
        <v>16</v>
      </c>
      <c r="H3466" s="1">
        <v>-1</v>
      </c>
      <c r="I3466" s="1">
        <v>2</v>
      </c>
      <c r="J3466" s="1">
        <v>0</v>
      </c>
      <c r="K3466" s="2">
        <v>43713</v>
      </c>
      <c r="L3466" s="1">
        <v>3716</v>
      </c>
      <c r="M3466" s="1">
        <v>3.5</v>
      </c>
      <c r="N3466" s="1">
        <v>0</v>
      </c>
      <c r="O3466" s="3">
        <f>VLOOKUP(D3466,underlying!$D$40:$H$75,5,FALSE)</f>
        <v>-1.5</v>
      </c>
      <c r="P3466" s="4">
        <f t="shared" si="139"/>
        <v>43594</v>
      </c>
      <c r="Q3466" s="7">
        <f>IF(G3466="C",NormalCallSprd(O3466,H3466,M3466,(P3466-A3466)/365), NormalPutSprd(O3466,H3466,M3466,(P3466-A3466)/365))</f>
        <v>2.0373082325832903</v>
      </c>
      <c r="R3466" s="9">
        <f t="shared" si="141"/>
        <v>3.7308232583290302E-2</v>
      </c>
    </row>
    <row r="3467" spans="1:18" x14ac:dyDescent="0.2">
      <c r="A3467" s="2">
        <v>42622</v>
      </c>
      <c r="B3467" s="1" t="s">
        <v>56</v>
      </c>
      <c r="C3467" s="1" t="s">
        <v>57</v>
      </c>
      <c r="D3467" s="2">
        <v>43470</v>
      </c>
      <c r="E3467" s="2">
        <f t="shared" si="140"/>
        <v>43586</v>
      </c>
      <c r="F3467" s="1" t="s">
        <v>58</v>
      </c>
      <c r="G3467" s="1" t="s">
        <v>18</v>
      </c>
      <c r="H3467" s="1">
        <v>-1</v>
      </c>
      <c r="I3467" s="1">
        <v>2.4900000000000002</v>
      </c>
      <c r="J3467" s="1">
        <v>0</v>
      </c>
      <c r="K3467" s="2">
        <v>43713</v>
      </c>
      <c r="L3467" s="1">
        <v>3716</v>
      </c>
      <c r="M3467" s="1">
        <v>3.5</v>
      </c>
      <c r="N3467" s="1">
        <v>0</v>
      </c>
      <c r="O3467" s="3">
        <f>VLOOKUP(D3467,underlying!$D$40:$H$75,5,FALSE)</f>
        <v>-1.5</v>
      </c>
      <c r="P3467" s="4">
        <f t="shared" si="139"/>
        <v>43594</v>
      </c>
      <c r="Q3467" s="7">
        <f>IF(G3467="C",NormalCallSprd(O3467,H3467,M3467,(P3467-A3467)/365), NormalPutSprd(O3467,H3467,M3467,(P3467-A3467)/365))</f>
        <v>2.5373082325832903</v>
      </c>
      <c r="R3467" s="9">
        <f t="shared" si="141"/>
        <v>4.7308232583290089E-2</v>
      </c>
    </row>
    <row r="3468" spans="1:18" x14ac:dyDescent="0.2">
      <c r="A3468" s="2">
        <v>42622</v>
      </c>
      <c r="B3468" s="1" t="s">
        <v>56</v>
      </c>
      <c r="C3468" s="1" t="s">
        <v>57</v>
      </c>
      <c r="D3468" s="2">
        <v>43470</v>
      </c>
      <c r="E3468" s="2">
        <f t="shared" si="140"/>
        <v>43586</v>
      </c>
      <c r="F3468" s="1" t="s">
        <v>58</v>
      </c>
      <c r="G3468" s="1" t="s">
        <v>16</v>
      </c>
      <c r="H3468" s="1">
        <v>-0.75</v>
      </c>
      <c r="I3468" s="1">
        <v>1.89</v>
      </c>
      <c r="J3468" s="1">
        <v>0</v>
      </c>
      <c r="K3468" s="2">
        <v>43713</v>
      </c>
      <c r="L3468" s="1">
        <v>3716</v>
      </c>
      <c r="M3468" s="1">
        <v>3.5</v>
      </c>
      <c r="N3468" s="1">
        <v>0</v>
      </c>
      <c r="O3468" s="3">
        <f>VLOOKUP(D3468,underlying!$D$40:$H$75,5,FALSE)</f>
        <v>-1.5</v>
      </c>
      <c r="P3468" s="4">
        <f t="shared" si="139"/>
        <v>43594</v>
      </c>
      <c r="Q3468" s="7">
        <f>IF(G3468="C",NormalCallSprd(O3468,H3468,M3468,(P3468-A3468)/365), NormalPutSprd(O3468,H3468,M3468,(P3468-A3468)/365))</f>
        <v>1.9231994086626645</v>
      </c>
      <c r="R3468" s="9">
        <f t="shared" si="141"/>
        <v>3.3199408662664576E-2</v>
      </c>
    </row>
    <row r="3469" spans="1:18" x14ac:dyDescent="0.2">
      <c r="A3469" s="2">
        <v>42622</v>
      </c>
      <c r="B3469" s="1" t="s">
        <v>56</v>
      </c>
      <c r="C3469" s="1" t="s">
        <v>57</v>
      </c>
      <c r="D3469" s="2">
        <v>43470</v>
      </c>
      <c r="E3469" s="2">
        <f t="shared" si="140"/>
        <v>43586</v>
      </c>
      <c r="F3469" s="1" t="s">
        <v>58</v>
      </c>
      <c r="G3469" s="1" t="s">
        <v>18</v>
      </c>
      <c r="H3469" s="1">
        <v>-0.75</v>
      </c>
      <c r="I3469" s="1">
        <v>2.62</v>
      </c>
      <c r="J3469" s="1">
        <v>-0.01</v>
      </c>
      <c r="K3469" s="2">
        <v>43713</v>
      </c>
      <c r="L3469" s="1">
        <v>3716</v>
      </c>
      <c r="M3469" s="1">
        <v>3.5</v>
      </c>
      <c r="N3469" s="1">
        <v>0</v>
      </c>
      <c r="O3469" s="3">
        <f>VLOOKUP(D3469,underlying!$D$40:$H$75,5,FALSE)</f>
        <v>-1.5</v>
      </c>
      <c r="P3469" s="4">
        <f t="shared" si="139"/>
        <v>43594</v>
      </c>
      <c r="Q3469" s="7">
        <f>IF(G3469="C",NormalCallSprd(O3469,H3469,M3469,(P3469-A3469)/365), NormalPutSprd(O3469,H3469,M3469,(P3469-A3469)/365))</f>
        <v>2.6731994086626645</v>
      </c>
      <c r="R3469" s="9">
        <f t="shared" si="141"/>
        <v>5.3199408662664371E-2</v>
      </c>
    </row>
    <row r="3470" spans="1:18" x14ac:dyDescent="0.2">
      <c r="A3470" s="2">
        <v>42622</v>
      </c>
      <c r="B3470" s="1" t="s">
        <v>56</v>
      </c>
      <c r="C3470" s="1" t="s">
        <v>57</v>
      </c>
      <c r="D3470" s="2">
        <v>43470</v>
      </c>
      <c r="E3470" s="2">
        <f t="shared" si="140"/>
        <v>43586</v>
      </c>
      <c r="F3470" s="1" t="s">
        <v>58</v>
      </c>
      <c r="G3470" s="1" t="s">
        <v>16</v>
      </c>
      <c r="H3470" s="1">
        <v>-0.5</v>
      </c>
      <c r="I3470" s="1">
        <v>1.77</v>
      </c>
      <c r="J3470" s="1">
        <v>-0.01</v>
      </c>
      <c r="K3470" s="2">
        <v>43713</v>
      </c>
      <c r="L3470" s="1">
        <v>3716</v>
      </c>
      <c r="M3470" s="1">
        <v>3.49</v>
      </c>
      <c r="N3470" s="1">
        <v>0</v>
      </c>
      <c r="O3470" s="3">
        <f>VLOOKUP(D3470,underlying!$D$40:$H$75,5,FALSE)</f>
        <v>-1.5</v>
      </c>
      <c r="P3470" s="4">
        <f t="shared" si="139"/>
        <v>43594</v>
      </c>
      <c r="Q3470" s="7">
        <f>IF(G3470="C",NormalCallSprd(O3470,H3470,M3470,(P3470-A3470)/365), NormalPutSprd(O3470,H3470,M3470,(P3470-A3470)/365))</f>
        <v>1.8070070112106675</v>
      </c>
      <c r="R3470" s="9">
        <f t="shared" si="141"/>
        <v>3.7007011210667518E-2</v>
      </c>
    </row>
    <row r="3471" spans="1:18" x14ac:dyDescent="0.2">
      <c r="A3471" s="2">
        <v>42622</v>
      </c>
      <c r="B3471" s="1" t="s">
        <v>56</v>
      </c>
      <c r="C3471" s="1" t="s">
        <v>57</v>
      </c>
      <c r="D3471" s="2">
        <v>43470</v>
      </c>
      <c r="E3471" s="2">
        <f t="shared" si="140"/>
        <v>43586</v>
      </c>
      <c r="F3471" s="1" t="s">
        <v>58</v>
      </c>
      <c r="G3471" s="1" t="s">
        <v>18</v>
      </c>
      <c r="H3471" s="1">
        <v>-0.5</v>
      </c>
      <c r="I3471" s="1">
        <v>2.75</v>
      </c>
      <c r="J3471" s="1">
        <v>-0.01</v>
      </c>
      <c r="K3471" s="2">
        <v>43713</v>
      </c>
      <c r="L3471" s="1">
        <v>3716</v>
      </c>
      <c r="M3471" s="1">
        <v>3.49</v>
      </c>
      <c r="N3471" s="1">
        <v>0</v>
      </c>
      <c r="O3471" s="3">
        <f>VLOOKUP(D3471,underlying!$D$40:$H$75,5,FALSE)</f>
        <v>-1.5</v>
      </c>
      <c r="P3471" s="4">
        <f t="shared" si="139"/>
        <v>43594</v>
      </c>
      <c r="Q3471" s="7">
        <f>IF(G3471="C",NormalCallSprd(O3471,H3471,M3471,(P3471-A3471)/365), NormalPutSprd(O3471,H3471,M3471,(P3471-A3471)/365))</f>
        <v>2.8070070112106675</v>
      </c>
      <c r="R3471" s="9">
        <f t="shared" si="141"/>
        <v>5.7007011210667535E-2</v>
      </c>
    </row>
    <row r="3472" spans="1:18" x14ac:dyDescent="0.2">
      <c r="A3472" s="2">
        <v>42622</v>
      </c>
      <c r="B3472" s="1" t="s">
        <v>56</v>
      </c>
      <c r="C3472" s="1" t="s">
        <v>57</v>
      </c>
      <c r="D3472" s="2">
        <v>43470</v>
      </c>
      <c r="E3472" s="2">
        <f t="shared" si="140"/>
        <v>43586</v>
      </c>
      <c r="F3472" s="1" t="s">
        <v>58</v>
      </c>
      <c r="G3472" s="1" t="s">
        <v>16</v>
      </c>
      <c r="H3472" s="1">
        <v>-0.25</v>
      </c>
      <c r="I3472" s="1">
        <v>1.68</v>
      </c>
      <c r="J3472" s="1">
        <v>0</v>
      </c>
      <c r="K3472" s="2">
        <v>43713</v>
      </c>
      <c r="L3472" s="1">
        <v>3716</v>
      </c>
      <c r="M3472" s="1">
        <v>3.5</v>
      </c>
      <c r="N3472" s="1">
        <v>0</v>
      </c>
      <c r="O3472" s="3">
        <f>VLOOKUP(D3472,underlying!$D$40:$H$75,5,FALSE)</f>
        <v>-1.5</v>
      </c>
      <c r="P3472" s="4">
        <f t="shared" si="139"/>
        <v>43594</v>
      </c>
      <c r="Q3472" s="7">
        <f>IF(G3472="C",NormalCallSprd(O3472,H3472,M3472,(P3472-A3472)/365), NormalPutSprd(O3472,H3472,M3472,(P3472-A3472)/365))</f>
        <v>1.7079349266636359</v>
      </c>
      <c r="R3472" s="9">
        <f t="shared" si="141"/>
        <v>2.7934926663635951E-2</v>
      </c>
    </row>
    <row r="3473" spans="1:18" x14ac:dyDescent="0.2">
      <c r="A3473" s="2">
        <v>42622</v>
      </c>
      <c r="B3473" s="1" t="s">
        <v>56</v>
      </c>
      <c r="C3473" s="1" t="s">
        <v>57</v>
      </c>
      <c r="D3473" s="2">
        <v>43470</v>
      </c>
      <c r="E3473" s="2">
        <f t="shared" si="140"/>
        <v>43586</v>
      </c>
      <c r="F3473" s="1" t="s">
        <v>58</v>
      </c>
      <c r="G3473" s="1" t="s">
        <v>18</v>
      </c>
      <c r="H3473" s="1">
        <v>-0.25</v>
      </c>
      <c r="I3473" s="1">
        <v>2.9</v>
      </c>
      <c r="J3473" s="1">
        <v>-0.01</v>
      </c>
      <c r="K3473" s="2">
        <v>43713</v>
      </c>
      <c r="L3473" s="1">
        <v>3716</v>
      </c>
      <c r="M3473" s="1">
        <v>3.5</v>
      </c>
      <c r="N3473" s="1">
        <v>0</v>
      </c>
      <c r="O3473" s="3">
        <f>VLOOKUP(D3473,underlying!$D$40:$H$75,5,FALSE)</f>
        <v>-1.5</v>
      </c>
      <c r="P3473" s="4">
        <f t="shared" si="139"/>
        <v>43594</v>
      </c>
      <c r="Q3473" s="7">
        <f>IF(G3473="C",NormalCallSprd(O3473,H3473,M3473,(P3473-A3473)/365), NormalPutSprd(O3473,H3473,M3473,(P3473-A3473)/365))</f>
        <v>2.9579349266636359</v>
      </c>
      <c r="R3473" s="9">
        <f t="shared" si="141"/>
        <v>5.7934926663635977E-2</v>
      </c>
    </row>
    <row r="3474" spans="1:18" x14ac:dyDescent="0.2">
      <c r="A3474" s="2">
        <v>42622</v>
      </c>
      <c r="B3474" s="1" t="s">
        <v>56</v>
      </c>
      <c r="C3474" s="1" t="s">
        <v>57</v>
      </c>
      <c r="D3474" s="2">
        <v>43471</v>
      </c>
      <c r="E3474" s="2">
        <f t="shared" si="140"/>
        <v>43617</v>
      </c>
      <c r="F3474" s="1" t="s">
        <v>58</v>
      </c>
      <c r="G3474" s="1" t="s">
        <v>16</v>
      </c>
      <c r="H3474" s="1">
        <v>-7</v>
      </c>
      <c r="I3474" s="1">
        <v>5.92</v>
      </c>
      <c r="J3474" s="1">
        <v>0</v>
      </c>
      <c r="K3474" s="2">
        <v>43775</v>
      </c>
      <c r="L3474" s="1">
        <v>3716</v>
      </c>
      <c r="M3474" s="1">
        <v>3.5</v>
      </c>
      <c r="N3474" s="1">
        <v>0</v>
      </c>
      <c r="O3474" s="3">
        <f>VLOOKUP(D3474,underlying!$D$40:$H$75,5,FALSE)</f>
        <v>-1.5</v>
      </c>
      <c r="P3474" s="4">
        <f t="shared" si="139"/>
        <v>43627</v>
      </c>
      <c r="Q3474" s="7">
        <f>IF(G3474="C",NormalCallSprd(O3474,H3474,M3474,(P3474-A3474)/365), NormalPutSprd(O3474,H3474,M3474,(P3474-A3474)/365))</f>
        <v>6.0346982474214288</v>
      </c>
      <c r="R3474" s="9">
        <f t="shared" si="141"/>
        <v>0.11469824742142887</v>
      </c>
    </row>
    <row r="3475" spans="1:18" x14ac:dyDescent="0.2">
      <c r="A3475" s="2">
        <v>42622</v>
      </c>
      <c r="B3475" s="1" t="s">
        <v>56</v>
      </c>
      <c r="C3475" s="1" t="s">
        <v>57</v>
      </c>
      <c r="D3475" s="2">
        <v>43471</v>
      </c>
      <c r="E3475" s="2">
        <f t="shared" si="140"/>
        <v>43617</v>
      </c>
      <c r="F3475" s="1" t="s">
        <v>58</v>
      </c>
      <c r="G3475" s="1" t="s">
        <v>18</v>
      </c>
      <c r="H3475" s="1">
        <v>-7</v>
      </c>
      <c r="I3475" s="1">
        <v>0.52</v>
      </c>
      <c r="J3475" s="1">
        <v>-0.01</v>
      </c>
      <c r="K3475" s="2">
        <v>43775</v>
      </c>
      <c r="L3475" s="1">
        <v>3716</v>
      </c>
      <c r="M3475" s="1">
        <v>3.5</v>
      </c>
      <c r="N3475" s="1">
        <v>0</v>
      </c>
      <c r="O3475" s="3">
        <f>VLOOKUP(D3475,underlying!$D$40:$H$75,5,FALSE)</f>
        <v>-1.5</v>
      </c>
      <c r="P3475" s="4">
        <f t="shared" si="139"/>
        <v>43627</v>
      </c>
      <c r="Q3475" s="7">
        <f>IF(G3475="C",NormalCallSprd(O3475,H3475,M3475,(P3475-A3475)/365), NormalPutSprd(O3475,H3475,M3475,(P3475-A3475)/365))</f>
        <v>0.53469824742142846</v>
      </c>
      <c r="R3475" s="9">
        <f t="shared" si="141"/>
        <v>1.4698247421428445E-2</v>
      </c>
    </row>
    <row r="3476" spans="1:18" x14ac:dyDescent="0.2">
      <c r="A3476" s="2">
        <v>42622</v>
      </c>
      <c r="B3476" s="1" t="s">
        <v>56</v>
      </c>
      <c r="C3476" s="1" t="s">
        <v>57</v>
      </c>
      <c r="D3476" s="2">
        <v>43471</v>
      </c>
      <c r="E3476" s="2">
        <f t="shared" si="140"/>
        <v>43617</v>
      </c>
      <c r="F3476" s="1" t="s">
        <v>58</v>
      </c>
      <c r="G3476" s="1" t="s">
        <v>16</v>
      </c>
      <c r="H3476" s="1">
        <v>-6</v>
      </c>
      <c r="I3476" s="1">
        <v>5.13</v>
      </c>
      <c r="J3476" s="1">
        <v>-0.01</v>
      </c>
      <c r="K3476" s="2">
        <v>43775</v>
      </c>
      <c r="L3476" s="1">
        <v>3716</v>
      </c>
      <c r="M3476" s="1">
        <v>3.51</v>
      </c>
      <c r="N3476" s="1">
        <v>0</v>
      </c>
      <c r="O3476" s="3">
        <f>VLOOKUP(D3476,underlying!$D$40:$H$75,5,FALSE)</f>
        <v>-1.5</v>
      </c>
      <c r="P3476" s="4">
        <f t="shared" si="139"/>
        <v>43627</v>
      </c>
      <c r="Q3476" s="7">
        <f>IF(G3476="C",NormalCallSprd(O3476,H3476,M3476,(P3476-A3476)/365), NormalPutSprd(O3476,H3476,M3476,(P3476-A3476)/365))</f>
        <v>5.2345379352018604</v>
      </c>
      <c r="R3476" s="9">
        <f t="shared" si="141"/>
        <v>0.1045379352018605</v>
      </c>
    </row>
    <row r="3477" spans="1:18" x14ac:dyDescent="0.2">
      <c r="A3477" s="2">
        <v>42622</v>
      </c>
      <c r="B3477" s="1" t="s">
        <v>56</v>
      </c>
      <c r="C3477" s="1" t="s">
        <v>57</v>
      </c>
      <c r="D3477" s="2">
        <v>43471</v>
      </c>
      <c r="E3477" s="2">
        <f t="shared" si="140"/>
        <v>43617</v>
      </c>
      <c r="F3477" s="1" t="s">
        <v>58</v>
      </c>
      <c r="G3477" s="1" t="s">
        <v>18</v>
      </c>
      <c r="H3477" s="1">
        <v>-6</v>
      </c>
      <c r="I3477" s="1">
        <v>0.72</v>
      </c>
      <c r="J3477" s="1">
        <v>0</v>
      </c>
      <c r="K3477" s="2">
        <v>43775</v>
      </c>
      <c r="L3477" s="1">
        <v>3716</v>
      </c>
      <c r="M3477" s="1">
        <v>3.51</v>
      </c>
      <c r="N3477" s="1">
        <v>0</v>
      </c>
      <c r="O3477" s="3">
        <f>VLOOKUP(D3477,underlying!$D$40:$H$75,5,FALSE)</f>
        <v>-1.5</v>
      </c>
      <c r="P3477" s="4">
        <f t="shared" si="139"/>
        <v>43627</v>
      </c>
      <c r="Q3477" s="7">
        <f>IF(G3477="C",NormalCallSprd(O3477,H3477,M3477,(P3477-A3477)/365), NormalPutSprd(O3477,H3477,M3477,(P3477-A3477)/365))</f>
        <v>0.7345379352018605</v>
      </c>
      <c r="R3477" s="9">
        <f t="shared" si="141"/>
        <v>1.453793520186053E-2</v>
      </c>
    </row>
    <row r="3478" spans="1:18" x14ac:dyDescent="0.2">
      <c r="A3478" s="2">
        <v>42622</v>
      </c>
      <c r="B3478" s="1" t="s">
        <v>56</v>
      </c>
      <c r="C3478" s="1" t="s">
        <v>57</v>
      </c>
      <c r="D3478" s="2">
        <v>43471</v>
      </c>
      <c r="E3478" s="2">
        <f t="shared" si="140"/>
        <v>43617</v>
      </c>
      <c r="F3478" s="1" t="s">
        <v>58</v>
      </c>
      <c r="G3478" s="1" t="s">
        <v>16</v>
      </c>
      <c r="H3478" s="1">
        <v>-5</v>
      </c>
      <c r="I3478" s="1">
        <v>4.3899999999999997</v>
      </c>
      <c r="J3478" s="1">
        <v>-0.01</v>
      </c>
      <c r="K3478" s="2">
        <v>43775</v>
      </c>
      <c r="L3478" s="1">
        <v>3716</v>
      </c>
      <c r="M3478" s="1">
        <v>3.51</v>
      </c>
      <c r="N3478" s="1">
        <v>0</v>
      </c>
      <c r="O3478" s="3">
        <f>VLOOKUP(D3478,underlying!$D$40:$H$75,5,FALSE)</f>
        <v>-1.5</v>
      </c>
      <c r="P3478" s="4">
        <f t="shared" si="139"/>
        <v>43627</v>
      </c>
      <c r="Q3478" s="7">
        <f>IF(G3478="C",NormalCallSprd(O3478,H3478,M3478,(P3478-A3478)/365), NormalPutSprd(O3478,H3478,M3478,(P3478-A3478)/365))</f>
        <v>4.4809148864385424</v>
      </c>
      <c r="R3478" s="9">
        <f t="shared" si="141"/>
        <v>9.091488643854273E-2</v>
      </c>
    </row>
    <row r="3479" spans="1:18" x14ac:dyDescent="0.2">
      <c r="A3479" s="2">
        <v>42622</v>
      </c>
      <c r="B3479" s="1" t="s">
        <v>56</v>
      </c>
      <c r="C3479" s="1" t="s">
        <v>57</v>
      </c>
      <c r="D3479" s="2">
        <v>43471</v>
      </c>
      <c r="E3479" s="2">
        <f t="shared" si="140"/>
        <v>43617</v>
      </c>
      <c r="F3479" s="1" t="s">
        <v>58</v>
      </c>
      <c r="G3479" s="1" t="s">
        <v>18</v>
      </c>
      <c r="H3479" s="1">
        <v>-5</v>
      </c>
      <c r="I3479" s="1">
        <v>0.96</v>
      </c>
      <c r="J3479" s="1">
        <v>0</v>
      </c>
      <c r="K3479" s="2">
        <v>43775</v>
      </c>
      <c r="L3479" s="1">
        <v>3716</v>
      </c>
      <c r="M3479" s="1">
        <v>3.51</v>
      </c>
      <c r="N3479" s="1">
        <v>0</v>
      </c>
      <c r="O3479" s="3">
        <f>VLOOKUP(D3479,underlying!$D$40:$H$75,5,FALSE)</f>
        <v>-1.5</v>
      </c>
      <c r="P3479" s="4">
        <f t="shared" si="139"/>
        <v>43627</v>
      </c>
      <c r="Q3479" s="7">
        <f>IF(G3479="C",NormalCallSprd(O3479,H3479,M3479,(P3479-A3479)/365), NormalPutSprd(O3479,H3479,M3479,(P3479-A3479)/365))</f>
        <v>0.98091488643854252</v>
      </c>
      <c r="R3479" s="9">
        <f t="shared" si="141"/>
        <v>2.0914886438542557E-2</v>
      </c>
    </row>
    <row r="3480" spans="1:18" x14ac:dyDescent="0.2">
      <c r="A3480" s="2">
        <v>42622</v>
      </c>
      <c r="B3480" s="1" t="s">
        <v>56</v>
      </c>
      <c r="C3480" s="1" t="s">
        <v>57</v>
      </c>
      <c r="D3480" s="2">
        <v>43471</v>
      </c>
      <c r="E3480" s="2">
        <f t="shared" si="140"/>
        <v>43617</v>
      </c>
      <c r="F3480" s="1" t="s">
        <v>58</v>
      </c>
      <c r="G3480" s="1" t="s">
        <v>16</v>
      </c>
      <c r="H3480" s="1">
        <v>-4.5</v>
      </c>
      <c r="I3480" s="1">
        <v>4.05</v>
      </c>
      <c r="J3480" s="1">
        <v>0</v>
      </c>
      <c r="K3480" s="2">
        <v>43775</v>
      </c>
      <c r="L3480" s="1">
        <v>3716</v>
      </c>
      <c r="M3480" s="1">
        <v>3.51</v>
      </c>
      <c r="N3480" s="1">
        <v>0</v>
      </c>
      <c r="O3480" s="3">
        <f>VLOOKUP(D3480,underlying!$D$40:$H$75,5,FALSE)</f>
        <v>-1.5</v>
      </c>
      <c r="P3480" s="4">
        <f t="shared" si="139"/>
        <v>43627</v>
      </c>
      <c r="Q3480" s="7">
        <f>IF(G3480="C",NormalCallSprd(O3480,H3480,M3480,(P3480-A3480)/365), NormalPutSprd(O3480,H3480,M3480,(P3480-A3480)/365))</f>
        <v>4.1251540319612623</v>
      </c>
      <c r="R3480" s="9">
        <f t="shared" si="141"/>
        <v>7.5154031961262469E-2</v>
      </c>
    </row>
    <row r="3481" spans="1:18" x14ac:dyDescent="0.2">
      <c r="A3481" s="2">
        <v>42622</v>
      </c>
      <c r="B3481" s="1" t="s">
        <v>56</v>
      </c>
      <c r="C3481" s="1" t="s">
        <v>57</v>
      </c>
      <c r="D3481" s="2">
        <v>43471</v>
      </c>
      <c r="E3481" s="2">
        <f t="shared" si="140"/>
        <v>43617</v>
      </c>
      <c r="F3481" s="1" t="s">
        <v>58</v>
      </c>
      <c r="G3481" s="1" t="s">
        <v>18</v>
      </c>
      <c r="H3481" s="1">
        <v>-4.5</v>
      </c>
      <c r="I3481" s="1">
        <v>1.1000000000000001</v>
      </c>
      <c r="J3481" s="1">
        <v>-0.01</v>
      </c>
      <c r="K3481" s="2">
        <v>43775</v>
      </c>
      <c r="L3481" s="1">
        <v>3716</v>
      </c>
      <c r="M3481" s="1">
        <v>3.51</v>
      </c>
      <c r="N3481" s="1">
        <v>0</v>
      </c>
      <c r="O3481" s="3">
        <f>VLOOKUP(D3481,underlying!$D$40:$H$75,5,FALSE)</f>
        <v>-1.5</v>
      </c>
      <c r="P3481" s="4">
        <f t="shared" si="139"/>
        <v>43627</v>
      </c>
      <c r="Q3481" s="7">
        <f>IF(G3481="C",NormalCallSprd(O3481,H3481,M3481,(P3481-A3481)/365), NormalPutSprd(O3481,H3481,M3481,(P3481-A3481)/365))</f>
        <v>1.1251540319612623</v>
      </c>
      <c r="R3481" s="9">
        <f t="shared" si="141"/>
        <v>2.5154031961262202E-2</v>
      </c>
    </row>
    <row r="3482" spans="1:18" x14ac:dyDescent="0.2">
      <c r="A3482" s="2">
        <v>42622</v>
      </c>
      <c r="B3482" s="1" t="s">
        <v>56</v>
      </c>
      <c r="C3482" s="1" t="s">
        <v>57</v>
      </c>
      <c r="D3482" s="2">
        <v>43471</v>
      </c>
      <c r="E3482" s="2">
        <f t="shared" si="140"/>
        <v>43617</v>
      </c>
      <c r="F3482" s="1" t="s">
        <v>58</v>
      </c>
      <c r="G3482" s="1" t="s">
        <v>16</v>
      </c>
      <c r="H3482" s="1">
        <v>-4.25</v>
      </c>
      <c r="I3482" s="1">
        <v>3.88</v>
      </c>
      <c r="J3482" s="1">
        <v>0</v>
      </c>
      <c r="K3482" s="2">
        <v>43775</v>
      </c>
      <c r="L3482" s="1">
        <v>3716</v>
      </c>
      <c r="M3482" s="1">
        <v>3.51</v>
      </c>
      <c r="N3482" s="1">
        <v>0</v>
      </c>
      <c r="O3482" s="3">
        <f>VLOOKUP(D3482,underlying!$D$40:$H$75,5,FALSE)</f>
        <v>-1.5</v>
      </c>
      <c r="P3482" s="4">
        <f t="shared" si="139"/>
        <v>43627</v>
      </c>
      <c r="Q3482" s="7">
        <f>IF(G3482="C",NormalCallSprd(O3482,H3482,M3482,(P3482-A3482)/365), NormalPutSprd(O3482,H3482,M3482,(P3482-A3482)/365))</f>
        <v>3.9528540602222924</v>
      </c>
      <c r="R3482" s="9">
        <f t="shared" si="141"/>
        <v>7.285406022229246E-2</v>
      </c>
    </row>
    <row r="3483" spans="1:18" x14ac:dyDescent="0.2">
      <c r="A3483" s="2">
        <v>42622</v>
      </c>
      <c r="B3483" s="1" t="s">
        <v>56</v>
      </c>
      <c r="C3483" s="1" t="s">
        <v>57</v>
      </c>
      <c r="D3483" s="2">
        <v>43471</v>
      </c>
      <c r="E3483" s="2">
        <f t="shared" si="140"/>
        <v>43617</v>
      </c>
      <c r="F3483" s="1" t="s">
        <v>58</v>
      </c>
      <c r="G3483" s="1" t="s">
        <v>18</v>
      </c>
      <c r="H3483" s="1">
        <v>-4.25</v>
      </c>
      <c r="I3483" s="1">
        <v>1.18</v>
      </c>
      <c r="J3483" s="1">
        <v>0</v>
      </c>
      <c r="K3483" s="2">
        <v>43775</v>
      </c>
      <c r="L3483" s="1">
        <v>3716</v>
      </c>
      <c r="M3483" s="1">
        <v>3.51</v>
      </c>
      <c r="N3483" s="1">
        <v>0</v>
      </c>
      <c r="O3483" s="3">
        <f>VLOOKUP(D3483,underlying!$D$40:$H$75,5,FALSE)</f>
        <v>-1.5</v>
      </c>
      <c r="P3483" s="4">
        <f t="shared" si="139"/>
        <v>43627</v>
      </c>
      <c r="Q3483" s="7">
        <f>IF(G3483="C",NormalCallSprd(O3483,H3483,M3483,(P3483-A3483)/365), NormalPutSprd(O3483,H3483,M3483,(P3483-A3483)/365))</f>
        <v>1.2028540602222924</v>
      </c>
      <c r="R3483" s="9">
        <f t="shared" si="141"/>
        <v>2.2854060222292416E-2</v>
      </c>
    </row>
    <row r="3484" spans="1:18" x14ac:dyDescent="0.2">
      <c r="A3484" s="2">
        <v>42622</v>
      </c>
      <c r="B3484" s="1" t="s">
        <v>56</v>
      </c>
      <c r="C3484" s="1" t="s">
        <v>57</v>
      </c>
      <c r="D3484" s="2">
        <v>43471</v>
      </c>
      <c r="E3484" s="2">
        <f t="shared" si="140"/>
        <v>43617</v>
      </c>
      <c r="F3484" s="1" t="s">
        <v>58</v>
      </c>
      <c r="G3484" s="1" t="s">
        <v>16</v>
      </c>
      <c r="H3484" s="1">
        <v>-4</v>
      </c>
      <c r="I3484" s="1">
        <v>3.7</v>
      </c>
      <c r="J3484" s="1">
        <v>-0.01</v>
      </c>
      <c r="K3484" s="2">
        <v>43775</v>
      </c>
      <c r="L3484" s="1">
        <v>3716</v>
      </c>
      <c r="M3484" s="1">
        <v>3.5</v>
      </c>
      <c r="N3484" s="1">
        <v>0.22733999999999999</v>
      </c>
      <c r="O3484" s="3">
        <f>VLOOKUP(D3484,underlying!$D$40:$H$75,5,FALSE)</f>
        <v>-1.5</v>
      </c>
      <c r="P3484" s="4">
        <f t="shared" si="139"/>
        <v>43627</v>
      </c>
      <c r="Q3484" s="7">
        <f>IF(G3484="C",NormalCallSprd(O3484,H3484,M3484,(P3484-A3484)/365), NormalPutSprd(O3484,H3484,M3484,(P3484-A3484)/365))</f>
        <v>3.7783474298354851</v>
      </c>
      <c r="R3484" s="9">
        <f t="shared" si="141"/>
        <v>7.8347429835484927E-2</v>
      </c>
    </row>
    <row r="3485" spans="1:18" x14ac:dyDescent="0.2">
      <c r="A3485" s="2">
        <v>42622</v>
      </c>
      <c r="B3485" s="1" t="s">
        <v>56</v>
      </c>
      <c r="C3485" s="1" t="s">
        <v>57</v>
      </c>
      <c r="D3485" s="2">
        <v>43471</v>
      </c>
      <c r="E3485" s="2">
        <f t="shared" si="140"/>
        <v>43617</v>
      </c>
      <c r="F3485" s="1" t="s">
        <v>58</v>
      </c>
      <c r="G3485" s="1" t="s">
        <v>18</v>
      </c>
      <c r="H3485" s="1">
        <v>-4</v>
      </c>
      <c r="I3485" s="1">
        <v>1.25</v>
      </c>
      <c r="J3485" s="1">
        <v>-0.01</v>
      </c>
      <c r="K3485" s="2">
        <v>43775</v>
      </c>
      <c r="L3485" s="1">
        <v>3716</v>
      </c>
      <c r="M3485" s="1">
        <v>3.5</v>
      </c>
      <c r="N3485" s="1">
        <v>0.24818000000000001</v>
      </c>
      <c r="O3485" s="3">
        <f>VLOOKUP(D3485,underlying!$D$40:$H$75,5,FALSE)</f>
        <v>-1.5</v>
      </c>
      <c r="P3485" s="4">
        <f t="shared" si="139"/>
        <v>43627</v>
      </c>
      <c r="Q3485" s="7">
        <f>IF(G3485="C",NormalCallSprd(O3485,H3485,M3485,(P3485-A3485)/365), NormalPutSprd(O3485,H3485,M3485,(P3485-A3485)/365))</f>
        <v>1.2783474298354851</v>
      </c>
      <c r="R3485" s="9">
        <f t="shared" si="141"/>
        <v>2.8347429835485105E-2</v>
      </c>
    </row>
    <row r="3486" spans="1:18" x14ac:dyDescent="0.2">
      <c r="A3486" s="2">
        <v>42622</v>
      </c>
      <c r="B3486" s="1" t="s">
        <v>56</v>
      </c>
      <c r="C3486" s="1" t="s">
        <v>57</v>
      </c>
      <c r="D3486" s="2">
        <v>43471</v>
      </c>
      <c r="E3486" s="2">
        <f t="shared" si="140"/>
        <v>43617</v>
      </c>
      <c r="F3486" s="1" t="s">
        <v>58</v>
      </c>
      <c r="G3486" s="1" t="s">
        <v>16</v>
      </c>
      <c r="H3486" s="1">
        <v>-3.75</v>
      </c>
      <c r="I3486" s="1">
        <v>3.54</v>
      </c>
      <c r="J3486" s="1">
        <v>-0.01</v>
      </c>
      <c r="K3486" s="2">
        <v>43775</v>
      </c>
      <c r="L3486" s="1">
        <v>3716</v>
      </c>
      <c r="M3486" s="1">
        <v>3.5</v>
      </c>
      <c r="N3486" s="1">
        <v>0.26998</v>
      </c>
      <c r="O3486" s="3">
        <f>VLOOKUP(D3486,underlying!$D$40:$H$75,5,FALSE)</f>
        <v>-1.5</v>
      </c>
      <c r="P3486" s="4">
        <f t="shared" si="139"/>
        <v>43627</v>
      </c>
      <c r="Q3486" s="7">
        <f>IF(G3486="C",NormalCallSprd(O3486,H3486,M3486,(P3486-A3486)/365), NormalPutSprd(O3486,H3486,M3486,(P3486-A3486)/365))</f>
        <v>3.6136733414106232</v>
      </c>
      <c r="R3486" s="9">
        <f t="shared" si="141"/>
        <v>7.3673341410623205E-2</v>
      </c>
    </row>
    <row r="3487" spans="1:18" x14ac:dyDescent="0.2">
      <c r="A3487" s="2">
        <v>42622</v>
      </c>
      <c r="B3487" s="1" t="s">
        <v>56</v>
      </c>
      <c r="C3487" s="1" t="s">
        <v>57</v>
      </c>
      <c r="D3487" s="2">
        <v>43471</v>
      </c>
      <c r="E3487" s="2">
        <f t="shared" si="140"/>
        <v>43617</v>
      </c>
      <c r="F3487" s="1" t="s">
        <v>58</v>
      </c>
      <c r="G3487" s="1" t="s">
        <v>18</v>
      </c>
      <c r="H3487" s="1">
        <v>-3.75</v>
      </c>
      <c r="I3487" s="1">
        <v>1.34</v>
      </c>
      <c r="J3487" s="1">
        <v>0</v>
      </c>
      <c r="K3487" s="2">
        <v>43775</v>
      </c>
      <c r="L3487" s="1">
        <v>3716</v>
      </c>
      <c r="M3487" s="1">
        <v>3.5</v>
      </c>
      <c r="N3487" s="1">
        <v>0.29220000000000002</v>
      </c>
      <c r="O3487" s="3">
        <f>VLOOKUP(D3487,underlying!$D$40:$H$75,5,FALSE)</f>
        <v>-1.5</v>
      </c>
      <c r="P3487" s="4">
        <f t="shared" si="139"/>
        <v>43627</v>
      </c>
      <c r="Q3487" s="7">
        <f>IF(G3487="C",NormalCallSprd(O3487,H3487,M3487,(P3487-A3487)/365), NormalPutSprd(O3487,H3487,M3487,(P3487-A3487)/365))</f>
        <v>1.3636733414106235</v>
      </c>
      <c r="R3487" s="9">
        <f t="shared" si="141"/>
        <v>2.3673341410623383E-2</v>
      </c>
    </row>
    <row r="3488" spans="1:18" x14ac:dyDescent="0.2">
      <c r="A3488" s="2">
        <v>42622</v>
      </c>
      <c r="B3488" s="1" t="s">
        <v>56</v>
      </c>
      <c r="C3488" s="1" t="s">
        <v>57</v>
      </c>
      <c r="D3488" s="2">
        <v>43471</v>
      </c>
      <c r="E3488" s="2">
        <f t="shared" si="140"/>
        <v>43617</v>
      </c>
      <c r="F3488" s="1" t="s">
        <v>58</v>
      </c>
      <c r="G3488" s="1" t="s">
        <v>16</v>
      </c>
      <c r="H3488" s="1">
        <v>-3.5</v>
      </c>
      <c r="I3488" s="1">
        <v>3.38</v>
      </c>
      <c r="J3488" s="1">
        <v>0</v>
      </c>
      <c r="K3488" s="2">
        <v>43775</v>
      </c>
      <c r="L3488" s="1">
        <v>3716</v>
      </c>
      <c r="M3488" s="1">
        <v>3.49</v>
      </c>
      <c r="N3488" s="1">
        <v>0.31672</v>
      </c>
      <c r="O3488" s="3">
        <f>VLOOKUP(D3488,underlying!$D$40:$H$75,5,FALSE)</f>
        <v>-1.5</v>
      </c>
      <c r="P3488" s="4">
        <f t="shared" si="139"/>
        <v>43627</v>
      </c>
      <c r="Q3488" s="7">
        <f>IF(G3488="C",NormalCallSprd(O3488,H3488,M3488,(P3488-A3488)/365), NormalPutSprd(O3488,H3488,M3488,(P3488-A3488)/365))</f>
        <v>3.4467439230367316</v>
      </c>
      <c r="R3488" s="9">
        <f t="shared" si="141"/>
        <v>6.6743923036731712E-2</v>
      </c>
    </row>
    <row r="3489" spans="1:18" x14ac:dyDescent="0.2">
      <c r="A3489" s="2">
        <v>42622</v>
      </c>
      <c r="B3489" s="1" t="s">
        <v>56</v>
      </c>
      <c r="C3489" s="1" t="s">
        <v>57</v>
      </c>
      <c r="D3489" s="2">
        <v>43471</v>
      </c>
      <c r="E3489" s="2">
        <f t="shared" si="140"/>
        <v>43617</v>
      </c>
      <c r="F3489" s="1" t="s">
        <v>58</v>
      </c>
      <c r="G3489" s="1" t="s">
        <v>18</v>
      </c>
      <c r="H3489" s="1">
        <v>-3.5</v>
      </c>
      <c r="I3489" s="1">
        <v>1.42</v>
      </c>
      <c r="J3489" s="1">
        <v>0</v>
      </c>
      <c r="K3489" s="2">
        <v>43775</v>
      </c>
      <c r="L3489" s="1">
        <v>3716</v>
      </c>
      <c r="M3489" s="1">
        <v>3.49</v>
      </c>
      <c r="N3489" s="1">
        <v>0.3402</v>
      </c>
      <c r="O3489" s="3">
        <f>VLOOKUP(D3489,underlying!$D$40:$H$75,5,FALSE)</f>
        <v>-1.5</v>
      </c>
      <c r="P3489" s="4">
        <f t="shared" si="139"/>
        <v>43627</v>
      </c>
      <c r="Q3489" s="7">
        <f>IF(G3489="C",NormalCallSprd(O3489,H3489,M3489,(P3489-A3489)/365), NormalPutSprd(O3489,H3489,M3489,(P3489-A3489)/365))</f>
        <v>1.4467439230367316</v>
      </c>
      <c r="R3489" s="9">
        <f t="shared" si="141"/>
        <v>2.6743923036731676E-2</v>
      </c>
    </row>
    <row r="3490" spans="1:18" x14ac:dyDescent="0.2">
      <c r="A3490" s="2">
        <v>42622</v>
      </c>
      <c r="B3490" s="1" t="s">
        <v>56</v>
      </c>
      <c r="C3490" s="1" t="s">
        <v>57</v>
      </c>
      <c r="D3490" s="2">
        <v>43471</v>
      </c>
      <c r="E3490" s="2">
        <f t="shared" si="140"/>
        <v>43617</v>
      </c>
      <c r="F3490" s="1" t="s">
        <v>58</v>
      </c>
      <c r="G3490" s="1" t="s">
        <v>16</v>
      </c>
      <c r="H3490" s="1">
        <v>-3.25</v>
      </c>
      <c r="I3490" s="1">
        <v>3.24</v>
      </c>
      <c r="J3490" s="1">
        <v>0</v>
      </c>
      <c r="K3490" s="2">
        <v>43775</v>
      </c>
      <c r="L3490" s="1">
        <v>3716</v>
      </c>
      <c r="M3490" s="1">
        <v>3.51</v>
      </c>
      <c r="N3490" s="1">
        <v>0.36595</v>
      </c>
      <c r="O3490" s="3">
        <f>VLOOKUP(D3490,underlying!$D$40:$H$75,5,FALSE)</f>
        <v>-1.5</v>
      </c>
      <c r="P3490" s="4">
        <f t="shared" si="139"/>
        <v>43627</v>
      </c>
      <c r="Q3490" s="7">
        <f>IF(G3490="C",NormalCallSprd(O3490,H3490,M3490,(P3490-A3490)/365), NormalPutSprd(O3490,H3490,M3490,(P3490-A3490)/365))</f>
        <v>3.3026621726455927</v>
      </c>
      <c r="R3490" s="9">
        <f t="shared" si="141"/>
        <v>6.2662172645592484E-2</v>
      </c>
    </row>
    <row r="3491" spans="1:18" x14ac:dyDescent="0.2">
      <c r="A3491" s="2">
        <v>42622</v>
      </c>
      <c r="B3491" s="1" t="s">
        <v>56</v>
      </c>
      <c r="C3491" s="1" t="s">
        <v>57</v>
      </c>
      <c r="D3491" s="2">
        <v>43471</v>
      </c>
      <c r="E3491" s="2">
        <f t="shared" si="140"/>
        <v>43617</v>
      </c>
      <c r="F3491" s="1" t="s">
        <v>58</v>
      </c>
      <c r="G3491" s="1" t="s">
        <v>18</v>
      </c>
      <c r="H3491" s="1">
        <v>-3.25</v>
      </c>
      <c r="I3491" s="1">
        <v>1.52</v>
      </c>
      <c r="J3491" s="1">
        <v>-0.01</v>
      </c>
      <c r="K3491" s="2">
        <v>43775</v>
      </c>
      <c r="L3491" s="1">
        <v>3716</v>
      </c>
      <c r="M3491" s="1">
        <v>3.51</v>
      </c>
      <c r="N3491" s="1">
        <v>0.39090999999999998</v>
      </c>
      <c r="O3491" s="3">
        <f>VLOOKUP(D3491,underlying!$D$40:$H$75,5,FALSE)</f>
        <v>-1.5</v>
      </c>
      <c r="P3491" s="4">
        <f t="shared" si="139"/>
        <v>43627</v>
      </c>
      <c r="Q3491" s="7">
        <f>IF(G3491="C",NormalCallSprd(O3491,H3491,M3491,(P3491-A3491)/365), NormalPutSprd(O3491,H3491,M3491,(P3491-A3491)/365))</f>
        <v>1.5526621726455927</v>
      </c>
      <c r="R3491" s="9">
        <f t="shared" si="141"/>
        <v>3.266217264559268E-2</v>
      </c>
    </row>
    <row r="3492" spans="1:18" x14ac:dyDescent="0.2">
      <c r="A3492" s="2">
        <v>42622</v>
      </c>
      <c r="B3492" s="1" t="s">
        <v>56</v>
      </c>
      <c r="C3492" s="1" t="s">
        <v>57</v>
      </c>
      <c r="D3492" s="2">
        <v>43471</v>
      </c>
      <c r="E3492" s="2">
        <f t="shared" si="140"/>
        <v>43617</v>
      </c>
      <c r="F3492" s="1" t="s">
        <v>58</v>
      </c>
      <c r="G3492" s="1" t="s">
        <v>16</v>
      </c>
      <c r="H3492" s="1">
        <v>-3</v>
      </c>
      <c r="I3492" s="1">
        <v>3.08</v>
      </c>
      <c r="J3492" s="1">
        <v>0</v>
      </c>
      <c r="K3492" s="2">
        <v>43775</v>
      </c>
      <c r="L3492" s="1">
        <v>3716</v>
      </c>
      <c r="M3492" s="1">
        <v>3.49</v>
      </c>
      <c r="N3492" s="1">
        <v>0.41724</v>
      </c>
      <c r="O3492" s="3">
        <f>VLOOKUP(D3492,underlying!$D$40:$H$75,5,FALSE)</f>
        <v>-1.5</v>
      </c>
      <c r="P3492" s="4">
        <f t="shared" si="139"/>
        <v>43627</v>
      </c>
      <c r="Q3492" s="7">
        <f>IF(G3492="C",NormalCallSprd(O3492,H3492,M3492,(P3492-A3492)/365), NormalPutSprd(O3492,H3492,M3492,(P3492-A3492)/365))</f>
        <v>3.1373891507827754</v>
      </c>
      <c r="R3492" s="9">
        <f t="shared" si="141"/>
        <v>5.7389150782775289E-2</v>
      </c>
    </row>
    <row r="3493" spans="1:18" x14ac:dyDescent="0.2">
      <c r="A3493" s="2">
        <v>42622</v>
      </c>
      <c r="B3493" s="1" t="s">
        <v>56</v>
      </c>
      <c r="C3493" s="1" t="s">
        <v>57</v>
      </c>
      <c r="D3493" s="2">
        <v>43471</v>
      </c>
      <c r="E3493" s="2">
        <f t="shared" si="140"/>
        <v>43617</v>
      </c>
      <c r="F3493" s="1" t="s">
        <v>58</v>
      </c>
      <c r="G3493" s="1" t="s">
        <v>18</v>
      </c>
      <c r="H3493" s="1">
        <v>-3</v>
      </c>
      <c r="I3493" s="1">
        <v>1.61</v>
      </c>
      <c r="J3493" s="1">
        <v>0</v>
      </c>
      <c r="K3493" s="2">
        <v>43775</v>
      </c>
      <c r="L3493" s="1">
        <v>3716</v>
      </c>
      <c r="M3493" s="1">
        <v>3.49</v>
      </c>
      <c r="N3493" s="1">
        <v>0.44366</v>
      </c>
      <c r="O3493" s="3">
        <f>VLOOKUP(D3493,underlying!$D$40:$H$75,5,FALSE)</f>
        <v>-1.5</v>
      </c>
      <c r="P3493" s="4">
        <f t="shared" si="139"/>
        <v>43627</v>
      </c>
      <c r="Q3493" s="7">
        <f>IF(G3493="C",NormalCallSprd(O3493,H3493,M3493,(P3493-A3493)/365), NormalPutSprd(O3493,H3493,M3493,(P3493-A3493)/365))</f>
        <v>1.6373891507827754</v>
      </c>
      <c r="R3493" s="9">
        <f t="shared" si="141"/>
        <v>2.7389150782775262E-2</v>
      </c>
    </row>
    <row r="3494" spans="1:18" x14ac:dyDescent="0.2">
      <c r="A3494" s="2">
        <v>42622</v>
      </c>
      <c r="B3494" s="1" t="s">
        <v>56</v>
      </c>
      <c r="C3494" s="1" t="s">
        <v>57</v>
      </c>
      <c r="D3494" s="2">
        <v>43471</v>
      </c>
      <c r="E3494" s="2">
        <f t="shared" si="140"/>
        <v>43617</v>
      </c>
      <c r="F3494" s="1" t="s">
        <v>58</v>
      </c>
      <c r="G3494" s="1" t="s">
        <v>16</v>
      </c>
      <c r="H3494" s="1">
        <v>-2.75</v>
      </c>
      <c r="I3494" s="1">
        <v>2.94</v>
      </c>
      <c r="J3494" s="1">
        <v>-0.01</v>
      </c>
      <c r="K3494" s="2">
        <v>43775</v>
      </c>
      <c r="L3494" s="1">
        <v>3716</v>
      </c>
      <c r="M3494" s="1">
        <v>3.51</v>
      </c>
      <c r="N3494" s="1">
        <v>0.47038999999999997</v>
      </c>
      <c r="O3494" s="3">
        <f>VLOOKUP(D3494,underlying!$D$40:$H$75,5,FALSE)</f>
        <v>-1.5</v>
      </c>
      <c r="P3494" s="4">
        <f t="shared" si="139"/>
        <v>43627</v>
      </c>
      <c r="Q3494" s="7">
        <f>IF(G3494="C",NormalCallSprd(O3494,H3494,M3494,(P3494-A3494)/365), NormalPutSprd(O3494,H3494,M3494,(P3494-A3494)/365))</f>
        <v>3.0018675877142775</v>
      </c>
      <c r="R3494" s="9">
        <f t="shared" si="141"/>
        <v>6.1867587714277583E-2</v>
      </c>
    </row>
    <row r="3495" spans="1:18" x14ac:dyDescent="0.2">
      <c r="A3495" s="2">
        <v>42622</v>
      </c>
      <c r="B3495" s="1" t="s">
        <v>56</v>
      </c>
      <c r="C3495" s="1" t="s">
        <v>57</v>
      </c>
      <c r="D3495" s="2">
        <v>43471</v>
      </c>
      <c r="E3495" s="2">
        <f t="shared" si="140"/>
        <v>43617</v>
      </c>
      <c r="F3495" s="1" t="s">
        <v>58</v>
      </c>
      <c r="G3495" s="1" t="s">
        <v>18</v>
      </c>
      <c r="H3495" s="1">
        <v>-2.75</v>
      </c>
      <c r="I3495" s="1">
        <v>1.72</v>
      </c>
      <c r="J3495" s="1">
        <v>0</v>
      </c>
      <c r="K3495" s="2">
        <v>43775</v>
      </c>
      <c r="L3495" s="1">
        <v>3716</v>
      </c>
      <c r="M3495" s="1">
        <v>3.51</v>
      </c>
      <c r="N3495" s="1">
        <v>0.49708999999999998</v>
      </c>
      <c r="O3495" s="3">
        <f>VLOOKUP(D3495,underlying!$D$40:$H$75,5,FALSE)</f>
        <v>-1.5</v>
      </c>
      <c r="P3495" s="4">
        <f t="shared" si="139"/>
        <v>43627</v>
      </c>
      <c r="Q3495" s="7">
        <f>IF(G3495="C",NormalCallSprd(O3495,H3495,M3495,(P3495-A3495)/365), NormalPutSprd(O3495,H3495,M3495,(P3495-A3495)/365))</f>
        <v>1.7518675877142773</v>
      </c>
      <c r="R3495" s="9">
        <f t="shared" si="141"/>
        <v>3.1867587714277334E-2</v>
      </c>
    </row>
    <row r="3496" spans="1:18" x14ac:dyDescent="0.2">
      <c r="A3496" s="2">
        <v>42622</v>
      </c>
      <c r="B3496" s="1" t="s">
        <v>56</v>
      </c>
      <c r="C3496" s="1" t="s">
        <v>57</v>
      </c>
      <c r="D3496" s="2">
        <v>43471</v>
      </c>
      <c r="E3496" s="2">
        <f t="shared" si="140"/>
        <v>43617</v>
      </c>
      <c r="F3496" s="1" t="s">
        <v>58</v>
      </c>
      <c r="G3496" s="1" t="s">
        <v>16</v>
      </c>
      <c r="H3496" s="1">
        <v>-2.5</v>
      </c>
      <c r="I3496" s="1">
        <v>2.79</v>
      </c>
      <c r="J3496" s="1">
        <v>0</v>
      </c>
      <c r="K3496" s="2">
        <v>43775</v>
      </c>
      <c r="L3496" s="1">
        <v>3716</v>
      </c>
      <c r="M3496" s="1">
        <v>3.49</v>
      </c>
      <c r="N3496" s="1">
        <v>0.52380000000000004</v>
      </c>
      <c r="O3496" s="3">
        <f>VLOOKUP(D3496,underlying!$D$40:$H$75,5,FALSE)</f>
        <v>-1.5</v>
      </c>
      <c r="P3496" s="4">
        <f t="shared" si="139"/>
        <v>43627</v>
      </c>
      <c r="Q3496" s="7">
        <f>IF(G3496="C",NormalCallSprd(O3496,H3496,M3496,(P3496-A3496)/365), NormalPutSprd(O3496,H3496,M3496,(P3496-A3496)/365))</f>
        <v>2.8446787742841231</v>
      </c>
      <c r="R3496" s="9">
        <f t="shared" si="141"/>
        <v>5.4678774284123044E-2</v>
      </c>
    </row>
    <row r="3497" spans="1:18" x14ac:dyDescent="0.2">
      <c r="A3497" s="2">
        <v>42622</v>
      </c>
      <c r="B3497" s="1" t="s">
        <v>56</v>
      </c>
      <c r="C3497" s="1" t="s">
        <v>57</v>
      </c>
      <c r="D3497" s="2">
        <v>43471</v>
      </c>
      <c r="E3497" s="2">
        <f t="shared" si="140"/>
        <v>43617</v>
      </c>
      <c r="F3497" s="1" t="s">
        <v>58</v>
      </c>
      <c r="G3497" s="1" t="s">
        <v>18</v>
      </c>
      <c r="H3497" s="1">
        <v>-2.5</v>
      </c>
      <c r="I3497" s="1">
        <v>1.81</v>
      </c>
      <c r="J3497" s="1">
        <v>0</v>
      </c>
      <c r="K3497" s="2">
        <v>43775</v>
      </c>
      <c r="L3497" s="1">
        <v>3716</v>
      </c>
      <c r="M3497" s="1">
        <v>3.49</v>
      </c>
      <c r="N3497" s="1">
        <v>0.55052000000000001</v>
      </c>
      <c r="O3497" s="3">
        <f>VLOOKUP(D3497,underlying!$D$40:$H$75,5,FALSE)</f>
        <v>-1.5</v>
      </c>
      <c r="P3497" s="4">
        <f t="shared" si="139"/>
        <v>43627</v>
      </c>
      <c r="Q3497" s="7">
        <f>IF(G3497="C",NormalCallSprd(O3497,H3497,M3497,(P3497-A3497)/365), NormalPutSprd(O3497,H3497,M3497,(P3497-A3497)/365))</f>
        <v>1.8446787742841229</v>
      </c>
      <c r="R3497" s="9">
        <f t="shared" si="141"/>
        <v>3.4678774284122804E-2</v>
      </c>
    </row>
    <row r="3498" spans="1:18" x14ac:dyDescent="0.2">
      <c r="A3498" s="2">
        <v>42622</v>
      </c>
      <c r="B3498" s="1" t="s">
        <v>56</v>
      </c>
      <c r="C3498" s="1" t="s">
        <v>57</v>
      </c>
      <c r="D3498" s="2">
        <v>43471</v>
      </c>
      <c r="E3498" s="2">
        <f t="shared" si="140"/>
        <v>43617</v>
      </c>
      <c r="F3498" s="1" t="s">
        <v>58</v>
      </c>
      <c r="G3498" s="1" t="s">
        <v>16</v>
      </c>
      <c r="H3498" s="1">
        <v>-2.25</v>
      </c>
      <c r="I3498" s="1">
        <v>2.66</v>
      </c>
      <c r="J3498" s="1">
        <v>0</v>
      </c>
      <c r="K3498" s="2">
        <v>43775</v>
      </c>
      <c r="L3498" s="1">
        <v>3716</v>
      </c>
      <c r="M3498" s="1">
        <v>3.5</v>
      </c>
      <c r="N3498" s="1">
        <v>0.57694000000000001</v>
      </c>
      <c r="O3498" s="3">
        <f>VLOOKUP(D3498,underlying!$D$40:$H$75,5,FALSE)</f>
        <v>-1.5</v>
      </c>
      <c r="P3498" s="4">
        <f t="shared" si="139"/>
        <v>43627</v>
      </c>
      <c r="Q3498" s="7">
        <f>IF(G3498="C",NormalCallSprd(O3498,H3498,M3498,(P3498-A3498)/365), NormalPutSprd(O3498,H3498,M3498,(P3498-A3498)/365))</f>
        <v>2.7112323688109305</v>
      </c>
      <c r="R3498" s="9">
        <f t="shared" si="141"/>
        <v>5.1232368810930407E-2</v>
      </c>
    </row>
    <row r="3499" spans="1:18" x14ac:dyDescent="0.2">
      <c r="A3499" s="2">
        <v>42622</v>
      </c>
      <c r="B3499" s="1" t="s">
        <v>56</v>
      </c>
      <c r="C3499" s="1" t="s">
        <v>57</v>
      </c>
      <c r="D3499" s="2">
        <v>43471</v>
      </c>
      <c r="E3499" s="2">
        <f t="shared" si="140"/>
        <v>43617</v>
      </c>
      <c r="F3499" s="1" t="s">
        <v>58</v>
      </c>
      <c r="G3499" s="1" t="s">
        <v>18</v>
      </c>
      <c r="H3499" s="1">
        <v>-2.25</v>
      </c>
      <c r="I3499" s="1">
        <v>1.92</v>
      </c>
      <c r="J3499" s="1">
        <v>-0.01</v>
      </c>
      <c r="K3499" s="2">
        <v>43775</v>
      </c>
      <c r="L3499" s="1">
        <v>3716</v>
      </c>
      <c r="M3499" s="1">
        <v>3.5</v>
      </c>
      <c r="N3499" s="1">
        <v>0.60326999999999997</v>
      </c>
      <c r="O3499" s="3">
        <f>VLOOKUP(D3499,underlying!$D$40:$H$75,5,FALSE)</f>
        <v>-1.5</v>
      </c>
      <c r="P3499" s="4">
        <f t="shared" si="139"/>
        <v>43627</v>
      </c>
      <c r="Q3499" s="7">
        <f>IF(G3499="C",NormalCallSprd(O3499,H3499,M3499,(P3499-A3499)/365), NormalPutSprd(O3499,H3499,M3499,(P3499-A3499)/365))</f>
        <v>1.9612323688109303</v>
      </c>
      <c r="R3499" s="9">
        <f t="shared" si="141"/>
        <v>4.1232368810930398E-2</v>
      </c>
    </row>
    <row r="3500" spans="1:18" x14ac:dyDescent="0.2">
      <c r="A3500" s="2">
        <v>42622</v>
      </c>
      <c r="B3500" s="1" t="s">
        <v>56</v>
      </c>
      <c r="C3500" s="1" t="s">
        <v>57</v>
      </c>
      <c r="D3500" s="2">
        <v>43471</v>
      </c>
      <c r="E3500" s="2">
        <f t="shared" si="140"/>
        <v>43617</v>
      </c>
      <c r="F3500" s="1" t="s">
        <v>58</v>
      </c>
      <c r="G3500" s="1" t="s">
        <v>16</v>
      </c>
      <c r="H3500" s="1">
        <v>-2</v>
      </c>
      <c r="I3500" s="1">
        <v>2.5299999999999998</v>
      </c>
      <c r="J3500" s="1">
        <v>0</v>
      </c>
      <c r="K3500" s="2">
        <v>43775</v>
      </c>
      <c r="L3500" s="1">
        <v>3716</v>
      </c>
      <c r="M3500" s="1">
        <v>3.5</v>
      </c>
      <c r="N3500" s="1">
        <v>0.62822999999999996</v>
      </c>
      <c r="O3500" s="3">
        <f>VLOOKUP(D3500,underlying!$D$40:$H$75,5,FALSE)</f>
        <v>-1.5</v>
      </c>
      <c r="P3500" s="4">
        <f t="shared" si="139"/>
        <v>43627</v>
      </c>
      <c r="Q3500" s="7">
        <f>IF(G3500="C",NormalCallSprd(O3500,H3500,M3500,(P3500-A3500)/365), NormalPutSprd(O3500,H3500,M3500,(P3500-A3500)/365))</f>
        <v>2.575520766864329</v>
      </c>
      <c r="R3500" s="9">
        <f t="shared" si="141"/>
        <v>4.5520766864329154E-2</v>
      </c>
    </row>
    <row r="3501" spans="1:18" x14ac:dyDescent="0.2">
      <c r="A3501" s="2">
        <v>42622</v>
      </c>
      <c r="B3501" s="1" t="s">
        <v>56</v>
      </c>
      <c r="C3501" s="1" t="s">
        <v>57</v>
      </c>
      <c r="D3501" s="2">
        <v>43471</v>
      </c>
      <c r="E3501" s="2">
        <f t="shared" si="140"/>
        <v>43617</v>
      </c>
      <c r="F3501" s="1" t="s">
        <v>58</v>
      </c>
      <c r="G3501" s="1" t="s">
        <v>18</v>
      </c>
      <c r="H3501" s="1">
        <v>-2</v>
      </c>
      <c r="I3501" s="1">
        <v>2.04</v>
      </c>
      <c r="J3501" s="1">
        <v>0</v>
      </c>
      <c r="K3501" s="2">
        <v>43775</v>
      </c>
      <c r="L3501" s="1">
        <v>3716</v>
      </c>
      <c r="M3501" s="1">
        <v>3.5</v>
      </c>
      <c r="N3501" s="1">
        <v>0.65398000000000001</v>
      </c>
      <c r="O3501" s="3">
        <f>VLOOKUP(D3501,underlying!$D$40:$H$75,5,FALSE)</f>
        <v>-1.5</v>
      </c>
      <c r="P3501" s="4">
        <f t="shared" si="139"/>
        <v>43627</v>
      </c>
      <c r="Q3501" s="7">
        <f>IF(G3501="C",NormalCallSprd(O3501,H3501,M3501,(P3501-A3501)/365), NormalPutSprd(O3501,H3501,M3501,(P3501-A3501)/365))</f>
        <v>2.075520766864329</v>
      </c>
      <c r="R3501" s="9">
        <f t="shared" si="141"/>
        <v>3.5520766864328923E-2</v>
      </c>
    </row>
    <row r="3502" spans="1:18" x14ac:dyDescent="0.2">
      <c r="A3502" s="2">
        <v>42622</v>
      </c>
      <c r="B3502" s="1" t="s">
        <v>56</v>
      </c>
      <c r="C3502" s="1" t="s">
        <v>57</v>
      </c>
      <c r="D3502" s="2">
        <v>43471</v>
      </c>
      <c r="E3502" s="2">
        <f t="shared" si="140"/>
        <v>43617</v>
      </c>
      <c r="F3502" s="1" t="s">
        <v>58</v>
      </c>
      <c r="G3502" s="1" t="s">
        <v>16</v>
      </c>
      <c r="H3502" s="1">
        <v>-1.75</v>
      </c>
      <c r="I3502" s="1">
        <v>2.4</v>
      </c>
      <c r="J3502" s="1">
        <v>-0.01</v>
      </c>
      <c r="K3502" s="2">
        <v>43775</v>
      </c>
      <c r="L3502" s="1">
        <v>3716</v>
      </c>
      <c r="M3502" s="1">
        <v>3.51</v>
      </c>
      <c r="N3502" s="1">
        <v>0.67745999999999995</v>
      </c>
      <c r="O3502" s="3">
        <f>VLOOKUP(D3502,underlying!$D$40:$H$75,5,FALSE)</f>
        <v>-1.5</v>
      </c>
      <c r="P3502" s="4">
        <f t="shared" si="139"/>
        <v>43627</v>
      </c>
      <c r="Q3502" s="7">
        <f>IF(G3502="C",NormalCallSprd(O3502,H3502,M3502,(P3502-A3502)/365), NormalPutSprd(O3502,H3502,M3502,(P3502-A3502)/365))</f>
        <v>2.4506995854733891</v>
      </c>
      <c r="R3502" s="9">
        <f t="shared" si="141"/>
        <v>5.0699585473389153E-2</v>
      </c>
    </row>
    <row r="3503" spans="1:18" x14ac:dyDescent="0.2">
      <c r="A3503" s="2">
        <v>42622</v>
      </c>
      <c r="B3503" s="1" t="s">
        <v>56</v>
      </c>
      <c r="C3503" s="1" t="s">
        <v>57</v>
      </c>
      <c r="D3503" s="2">
        <v>43471</v>
      </c>
      <c r="E3503" s="2">
        <f t="shared" si="140"/>
        <v>43617</v>
      </c>
      <c r="F3503" s="1" t="s">
        <v>58</v>
      </c>
      <c r="G3503" s="1" t="s">
        <v>18</v>
      </c>
      <c r="H3503" s="1">
        <v>-1.75</v>
      </c>
      <c r="I3503" s="1">
        <v>2.16</v>
      </c>
      <c r="J3503" s="1">
        <v>0</v>
      </c>
      <c r="K3503" s="2">
        <v>43775</v>
      </c>
      <c r="L3503" s="1">
        <v>3716</v>
      </c>
      <c r="M3503" s="1">
        <v>3.51</v>
      </c>
      <c r="N3503" s="1">
        <v>0.70198000000000005</v>
      </c>
      <c r="O3503" s="3">
        <f>VLOOKUP(D3503,underlying!$D$40:$H$75,5,FALSE)</f>
        <v>-1.5</v>
      </c>
      <c r="P3503" s="4">
        <f t="shared" si="139"/>
        <v>43627</v>
      </c>
      <c r="Q3503" s="7">
        <f>IF(G3503="C",NormalCallSprd(O3503,H3503,M3503,(P3503-A3503)/365), NormalPutSprd(O3503,H3503,M3503,(P3503-A3503)/365))</f>
        <v>2.2006995854733891</v>
      </c>
      <c r="R3503" s="9">
        <f t="shared" si="141"/>
        <v>4.0699585473388922E-2</v>
      </c>
    </row>
    <row r="3504" spans="1:18" x14ac:dyDescent="0.2">
      <c r="A3504" s="2">
        <v>42622</v>
      </c>
      <c r="B3504" s="1" t="s">
        <v>56</v>
      </c>
      <c r="C3504" s="1" t="s">
        <v>57</v>
      </c>
      <c r="D3504" s="2">
        <v>43471</v>
      </c>
      <c r="E3504" s="2">
        <f t="shared" si="140"/>
        <v>43617</v>
      </c>
      <c r="F3504" s="1" t="s">
        <v>58</v>
      </c>
      <c r="G3504" s="1" t="s">
        <v>16</v>
      </c>
      <c r="H3504" s="1">
        <v>-1.5</v>
      </c>
      <c r="I3504" s="1">
        <v>2.27</v>
      </c>
      <c r="J3504" s="1">
        <v>-0.01</v>
      </c>
      <c r="K3504" s="2">
        <v>43775</v>
      </c>
      <c r="L3504" s="1">
        <v>3716</v>
      </c>
      <c r="M3504" s="1">
        <v>3.5</v>
      </c>
      <c r="N3504" s="1">
        <v>0.72365999999999997</v>
      </c>
      <c r="O3504" s="3">
        <f>VLOOKUP(D3504,underlying!$D$40:$H$75,5,FALSE)</f>
        <v>-1.5</v>
      </c>
      <c r="P3504" s="4">
        <f t="shared" si="139"/>
        <v>43627</v>
      </c>
      <c r="Q3504" s="7">
        <f>IF(G3504="C",NormalCallSprd(O3504,H3504,M3504,(P3504-A3504)/365), NormalPutSprd(O3504,H3504,M3504,(P3504-A3504)/365))</f>
        <v>2.316939581064132</v>
      </c>
      <c r="R3504" s="9">
        <f t="shared" si="141"/>
        <v>4.6939581064131985E-2</v>
      </c>
    </row>
    <row r="3505" spans="1:18" x14ac:dyDescent="0.2">
      <c r="A3505" s="2">
        <v>42622</v>
      </c>
      <c r="B3505" s="1" t="s">
        <v>56</v>
      </c>
      <c r="C3505" s="1" t="s">
        <v>57</v>
      </c>
      <c r="D3505" s="2">
        <v>43471</v>
      </c>
      <c r="E3505" s="2">
        <f t="shared" si="140"/>
        <v>43617</v>
      </c>
      <c r="F3505" s="1" t="s">
        <v>58</v>
      </c>
      <c r="G3505" s="1" t="s">
        <v>18</v>
      </c>
      <c r="H3505" s="1">
        <v>-1.5</v>
      </c>
      <c r="I3505" s="1">
        <v>2.27</v>
      </c>
      <c r="J3505" s="1">
        <v>-0.01</v>
      </c>
      <c r="K3505" s="2">
        <v>43775</v>
      </c>
      <c r="L3505" s="1">
        <v>3716</v>
      </c>
      <c r="M3505" s="1">
        <v>3.5</v>
      </c>
      <c r="N3505" s="1">
        <v>0.74543000000000004</v>
      </c>
      <c r="O3505" s="3">
        <f>VLOOKUP(D3505,underlying!$D$40:$H$75,5,FALSE)</f>
        <v>-1.5</v>
      </c>
      <c r="P3505" s="4">
        <f t="shared" si="139"/>
        <v>43627</v>
      </c>
      <c r="Q3505" s="7">
        <f>IF(G3505="C",NormalCallSprd(O3505,H3505,M3505,(P3505-A3505)/365), NormalPutSprd(O3505,H3505,M3505,(P3505-A3505)/365))</f>
        <v>2.316939581064132</v>
      </c>
      <c r="R3505" s="9">
        <f t="shared" si="141"/>
        <v>4.6939581064131985E-2</v>
      </c>
    </row>
    <row r="3506" spans="1:18" x14ac:dyDescent="0.2">
      <c r="A3506" s="2">
        <v>42622</v>
      </c>
      <c r="B3506" s="1" t="s">
        <v>56</v>
      </c>
      <c r="C3506" s="1" t="s">
        <v>57</v>
      </c>
      <c r="D3506" s="2">
        <v>43471</v>
      </c>
      <c r="E3506" s="2">
        <f t="shared" si="140"/>
        <v>43617</v>
      </c>
      <c r="F3506" s="1" t="s">
        <v>58</v>
      </c>
      <c r="G3506" s="1" t="s">
        <v>16</v>
      </c>
      <c r="H3506" s="1">
        <v>-1.25</v>
      </c>
      <c r="I3506" s="1">
        <v>2.16</v>
      </c>
      <c r="J3506" s="1">
        <v>0</v>
      </c>
      <c r="K3506" s="2">
        <v>43775</v>
      </c>
      <c r="L3506" s="1">
        <v>3716</v>
      </c>
      <c r="M3506" s="1">
        <v>3.51</v>
      </c>
      <c r="N3506" s="1">
        <v>0.76622999999999997</v>
      </c>
      <c r="O3506" s="3">
        <f>VLOOKUP(D3506,underlying!$D$40:$H$75,5,FALSE)</f>
        <v>-1.5</v>
      </c>
      <c r="P3506" s="4">
        <f t="shared" si="139"/>
        <v>43627</v>
      </c>
      <c r="Q3506" s="7">
        <f>IF(G3506="C",NormalCallSprd(O3506,H3506,M3506,(P3506-A3506)/365), NormalPutSprd(O3506,H3506,M3506,(P3506-A3506)/365))</f>
        <v>2.2006995854733891</v>
      </c>
      <c r="R3506" s="9">
        <f t="shared" si="141"/>
        <v>4.0699585473388922E-2</v>
      </c>
    </row>
    <row r="3507" spans="1:18" x14ac:dyDescent="0.2">
      <c r="A3507" s="2">
        <v>42622</v>
      </c>
      <c r="B3507" s="1" t="s">
        <v>56</v>
      </c>
      <c r="C3507" s="1" t="s">
        <v>57</v>
      </c>
      <c r="D3507" s="2">
        <v>43471</v>
      </c>
      <c r="E3507" s="2">
        <f t="shared" si="140"/>
        <v>43617</v>
      </c>
      <c r="F3507" s="1" t="s">
        <v>58</v>
      </c>
      <c r="G3507" s="1" t="s">
        <v>18</v>
      </c>
      <c r="H3507" s="1">
        <v>-1.25</v>
      </c>
      <c r="I3507" s="1">
        <v>2.4</v>
      </c>
      <c r="J3507" s="1">
        <v>-0.01</v>
      </c>
      <c r="K3507" s="2">
        <v>43775</v>
      </c>
      <c r="L3507" s="1">
        <v>3716</v>
      </c>
      <c r="M3507" s="1">
        <v>3.51</v>
      </c>
      <c r="N3507" s="1">
        <v>0.78603000000000001</v>
      </c>
      <c r="O3507" s="3">
        <f>VLOOKUP(D3507,underlying!$D$40:$H$75,5,FALSE)</f>
        <v>-1.5</v>
      </c>
      <c r="P3507" s="4">
        <f t="shared" si="139"/>
        <v>43627</v>
      </c>
      <c r="Q3507" s="7">
        <f>IF(G3507="C",NormalCallSprd(O3507,H3507,M3507,(P3507-A3507)/365), NormalPutSprd(O3507,H3507,M3507,(P3507-A3507)/365))</f>
        <v>2.4506995854733891</v>
      </c>
      <c r="R3507" s="9">
        <f t="shared" si="141"/>
        <v>5.0699585473389153E-2</v>
      </c>
    </row>
    <row r="3508" spans="1:18" x14ac:dyDescent="0.2">
      <c r="A3508" s="2">
        <v>42622</v>
      </c>
      <c r="B3508" s="1" t="s">
        <v>56</v>
      </c>
      <c r="C3508" s="1" t="s">
        <v>57</v>
      </c>
      <c r="D3508" s="2">
        <v>43471</v>
      </c>
      <c r="E3508" s="2">
        <f t="shared" si="140"/>
        <v>43617</v>
      </c>
      <c r="F3508" s="1" t="s">
        <v>58</v>
      </c>
      <c r="G3508" s="1" t="s">
        <v>16</v>
      </c>
      <c r="H3508" s="1">
        <v>-1</v>
      </c>
      <c r="I3508" s="1">
        <v>2.04</v>
      </c>
      <c r="J3508" s="1">
        <v>0</v>
      </c>
      <c r="K3508" s="2">
        <v>43775</v>
      </c>
      <c r="L3508" s="1">
        <v>3716</v>
      </c>
      <c r="M3508" s="1">
        <v>3.5</v>
      </c>
      <c r="N3508" s="1">
        <v>0.80476999999999999</v>
      </c>
      <c r="O3508" s="3">
        <f>VLOOKUP(D3508,underlying!$D$40:$H$75,5,FALSE)</f>
        <v>-1.5</v>
      </c>
      <c r="P3508" s="4">
        <f t="shared" si="139"/>
        <v>43627</v>
      </c>
      <c r="Q3508" s="7">
        <f>IF(G3508="C",NormalCallSprd(O3508,H3508,M3508,(P3508-A3508)/365), NormalPutSprd(O3508,H3508,M3508,(P3508-A3508)/365))</f>
        <v>2.075520766864329</v>
      </c>
      <c r="R3508" s="9">
        <f t="shared" si="141"/>
        <v>3.5520766864328923E-2</v>
      </c>
    </row>
    <row r="3509" spans="1:18" x14ac:dyDescent="0.2">
      <c r="A3509" s="2">
        <v>42622</v>
      </c>
      <c r="B3509" s="1" t="s">
        <v>56</v>
      </c>
      <c r="C3509" s="1" t="s">
        <v>57</v>
      </c>
      <c r="D3509" s="2">
        <v>43471</v>
      </c>
      <c r="E3509" s="2">
        <f t="shared" si="140"/>
        <v>43617</v>
      </c>
      <c r="F3509" s="1" t="s">
        <v>58</v>
      </c>
      <c r="G3509" s="1" t="s">
        <v>18</v>
      </c>
      <c r="H3509" s="1">
        <v>-1</v>
      </c>
      <c r="I3509" s="1">
        <v>2.5299999999999998</v>
      </c>
      <c r="J3509" s="1">
        <v>0</v>
      </c>
      <c r="K3509" s="2">
        <v>43775</v>
      </c>
      <c r="L3509" s="1">
        <v>3716</v>
      </c>
      <c r="M3509" s="1">
        <v>3.5</v>
      </c>
      <c r="N3509" s="1">
        <v>0.82243999999999995</v>
      </c>
      <c r="O3509" s="3">
        <f>VLOOKUP(D3509,underlying!$D$40:$H$75,5,FALSE)</f>
        <v>-1.5</v>
      </c>
      <c r="P3509" s="4">
        <f t="shared" si="139"/>
        <v>43627</v>
      </c>
      <c r="Q3509" s="7">
        <f>IF(G3509="C",NormalCallSprd(O3509,H3509,M3509,(P3509-A3509)/365), NormalPutSprd(O3509,H3509,M3509,(P3509-A3509)/365))</f>
        <v>2.575520766864329</v>
      </c>
      <c r="R3509" s="9">
        <f t="shared" si="141"/>
        <v>4.5520766864329154E-2</v>
      </c>
    </row>
    <row r="3510" spans="1:18" x14ac:dyDescent="0.2">
      <c r="A3510" s="2">
        <v>42622</v>
      </c>
      <c r="B3510" s="1" t="s">
        <v>56</v>
      </c>
      <c r="C3510" s="1" t="s">
        <v>57</v>
      </c>
      <c r="D3510" s="2">
        <v>43471</v>
      </c>
      <c r="E3510" s="2">
        <f t="shared" si="140"/>
        <v>43617</v>
      </c>
      <c r="F3510" s="1" t="s">
        <v>58</v>
      </c>
      <c r="G3510" s="1" t="s">
        <v>16</v>
      </c>
      <c r="H3510" s="1">
        <v>-0.75</v>
      </c>
      <c r="I3510" s="1">
        <v>1.92</v>
      </c>
      <c r="J3510" s="1">
        <v>-0.01</v>
      </c>
      <c r="K3510" s="2">
        <v>43775</v>
      </c>
      <c r="L3510" s="1">
        <v>3716</v>
      </c>
      <c r="M3510" s="1">
        <v>3.5</v>
      </c>
      <c r="N3510" s="1">
        <v>0.83901999999999999</v>
      </c>
      <c r="O3510" s="3">
        <f>VLOOKUP(D3510,underlying!$D$40:$H$75,5,FALSE)</f>
        <v>-1.5</v>
      </c>
      <c r="P3510" s="4">
        <f t="shared" si="139"/>
        <v>43627</v>
      </c>
      <c r="Q3510" s="7">
        <f>IF(G3510="C",NormalCallSprd(O3510,H3510,M3510,(P3510-A3510)/365), NormalPutSprd(O3510,H3510,M3510,(P3510-A3510)/365))</f>
        <v>1.9612323688109303</v>
      </c>
      <c r="R3510" s="9">
        <f t="shared" si="141"/>
        <v>4.1232368810930398E-2</v>
      </c>
    </row>
    <row r="3511" spans="1:18" x14ac:dyDescent="0.2">
      <c r="A3511" s="2">
        <v>42622</v>
      </c>
      <c r="B3511" s="1" t="s">
        <v>56</v>
      </c>
      <c r="C3511" s="1" t="s">
        <v>57</v>
      </c>
      <c r="D3511" s="2">
        <v>43471</v>
      </c>
      <c r="E3511" s="2">
        <f t="shared" si="140"/>
        <v>43617</v>
      </c>
      <c r="F3511" s="1" t="s">
        <v>58</v>
      </c>
      <c r="G3511" s="1" t="s">
        <v>18</v>
      </c>
      <c r="H3511" s="1">
        <v>-0.75</v>
      </c>
      <c r="I3511" s="1">
        <v>2.66</v>
      </c>
      <c r="J3511" s="1">
        <v>0</v>
      </c>
      <c r="K3511" s="2">
        <v>43775</v>
      </c>
      <c r="L3511" s="1">
        <v>3716</v>
      </c>
      <c r="M3511" s="1">
        <v>3.5</v>
      </c>
      <c r="N3511" s="1">
        <v>0.85450999999999999</v>
      </c>
      <c r="O3511" s="3">
        <f>VLOOKUP(D3511,underlying!$D$40:$H$75,5,FALSE)</f>
        <v>-1.5</v>
      </c>
      <c r="P3511" s="4">
        <f t="shared" si="139"/>
        <v>43627</v>
      </c>
      <c r="Q3511" s="7">
        <f>IF(G3511="C",NormalCallSprd(O3511,H3511,M3511,(P3511-A3511)/365), NormalPutSprd(O3511,H3511,M3511,(P3511-A3511)/365))</f>
        <v>2.7112323688109305</v>
      </c>
      <c r="R3511" s="9">
        <f t="shared" si="141"/>
        <v>5.1232368810930407E-2</v>
      </c>
    </row>
    <row r="3512" spans="1:18" x14ac:dyDescent="0.2">
      <c r="A3512" s="2">
        <v>42622</v>
      </c>
      <c r="B3512" s="1" t="s">
        <v>56</v>
      </c>
      <c r="C3512" s="1" t="s">
        <v>57</v>
      </c>
      <c r="D3512" s="2">
        <v>43471</v>
      </c>
      <c r="E3512" s="2">
        <f t="shared" si="140"/>
        <v>43617</v>
      </c>
      <c r="F3512" s="1" t="s">
        <v>58</v>
      </c>
      <c r="G3512" s="1" t="s">
        <v>16</v>
      </c>
      <c r="H3512" s="1">
        <v>-0.5</v>
      </c>
      <c r="I3512" s="1">
        <v>1.81</v>
      </c>
      <c r="J3512" s="1">
        <v>0</v>
      </c>
      <c r="K3512" s="2">
        <v>43775</v>
      </c>
      <c r="L3512" s="1">
        <v>3716</v>
      </c>
      <c r="M3512" s="1">
        <v>3.49</v>
      </c>
      <c r="N3512" s="1">
        <v>0.90581999999999996</v>
      </c>
      <c r="O3512" s="3">
        <f>VLOOKUP(D3512,underlying!$D$40:$H$75,5,FALSE)</f>
        <v>-1.5</v>
      </c>
      <c r="P3512" s="4">
        <f t="shared" si="139"/>
        <v>43627</v>
      </c>
      <c r="Q3512" s="7">
        <f>IF(G3512="C",NormalCallSprd(O3512,H3512,M3512,(P3512-A3512)/365), NormalPutSprd(O3512,H3512,M3512,(P3512-A3512)/365))</f>
        <v>1.8446787742841229</v>
      </c>
      <c r="R3512" s="9">
        <f t="shared" si="141"/>
        <v>3.4678774284122804E-2</v>
      </c>
    </row>
    <row r="3513" spans="1:18" x14ac:dyDescent="0.2">
      <c r="A3513" s="2">
        <v>42622</v>
      </c>
      <c r="B3513" s="1" t="s">
        <v>56</v>
      </c>
      <c r="C3513" s="1" t="s">
        <v>57</v>
      </c>
      <c r="D3513" s="2">
        <v>43471</v>
      </c>
      <c r="E3513" s="2">
        <f t="shared" si="140"/>
        <v>43617</v>
      </c>
      <c r="F3513" s="1" t="s">
        <v>58</v>
      </c>
      <c r="G3513" s="1" t="s">
        <v>18</v>
      </c>
      <c r="H3513" s="1">
        <v>-0.5</v>
      </c>
      <c r="I3513" s="1">
        <v>2.79</v>
      </c>
      <c r="J3513" s="1">
        <v>0</v>
      </c>
      <c r="K3513" s="2">
        <v>43775</v>
      </c>
      <c r="L3513" s="1">
        <v>3716</v>
      </c>
      <c r="M3513" s="1">
        <v>3.49</v>
      </c>
      <c r="N3513" s="1">
        <v>0.94157000000000002</v>
      </c>
      <c r="O3513" s="3">
        <f>VLOOKUP(D3513,underlying!$D$40:$H$75,5,FALSE)</f>
        <v>-1.5</v>
      </c>
      <c r="P3513" s="4">
        <f t="shared" ref="P3513:P3576" si="142">DATE(YEAR(K3513),DAY(K3513),MONTH(K3513))</f>
        <v>43627</v>
      </c>
      <c r="Q3513" s="7">
        <f>IF(G3513="C",NormalCallSprd(O3513,H3513,M3513,(P3513-A3513)/365), NormalPutSprd(O3513,H3513,M3513,(P3513-A3513)/365))</f>
        <v>2.8446787742841231</v>
      </c>
      <c r="R3513" s="9">
        <f t="shared" si="141"/>
        <v>5.4678774284123044E-2</v>
      </c>
    </row>
    <row r="3514" spans="1:18" x14ac:dyDescent="0.2">
      <c r="A3514" s="2">
        <v>42622</v>
      </c>
      <c r="B3514" s="1" t="s">
        <v>56</v>
      </c>
      <c r="C3514" s="1" t="s">
        <v>57</v>
      </c>
      <c r="D3514" s="2">
        <v>43471</v>
      </c>
      <c r="E3514" s="2">
        <f t="shared" si="140"/>
        <v>43617</v>
      </c>
      <c r="F3514" s="1" t="s">
        <v>58</v>
      </c>
      <c r="G3514" s="1" t="s">
        <v>16</v>
      </c>
      <c r="H3514" s="1">
        <v>-0.25</v>
      </c>
      <c r="I3514" s="1">
        <v>1.71</v>
      </c>
      <c r="J3514" s="1">
        <v>0</v>
      </c>
      <c r="K3514" s="2">
        <v>43775</v>
      </c>
      <c r="L3514" s="1">
        <v>3716</v>
      </c>
      <c r="M3514" s="1">
        <v>3.5</v>
      </c>
      <c r="N3514" s="1">
        <v>-0.76683999999999997</v>
      </c>
      <c r="O3514" s="3">
        <f>VLOOKUP(D3514,underlying!$D$40:$H$75,5,FALSE)</f>
        <v>-1.5</v>
      </c>
      <c r="P3514" s="4">
        <f t="shared" si="142"/>
        <v>43627</v>
      </c>
      <c r="Q3514" s="7">
        <f>IF(G3514="C",NormalCallSprd(O3514,H3514,M3514,(P3514-A3514)/365), NormalPutSprd(O3514,H3514,M3514,(P3514-A3514)/365))</f>
        <v>1.7453989014774391</v>
      </c>
      <c r="R3514" s="9">
        <f t="shared" si="141"/>
        <v>3.5398901477439182E-2</v>
      </c>
    </row>
    <row r="3515" spans="1:18" x14ac:dyDescent="0.2">
      <c r="A3515" s="2">
        <v>42622</v>
      </c>
      <c r="B3515" s="1" t="s">
        <v>56</v>
      </c>
      <c r="C3515" s="1" t="s">
        <v>57</v>
      </c>
      <c r="D3515" s="2">
        <v>43471</v>
      </c>
      <c r="E3515" s="2">
        <f t="shared" si="140"/>
        <v>43617</v>
      </c>
      <c r="F3515" s="1" t="s">
        <v>58</v>
      </c>
      <c r="G3515" s="1" t="s">
        <v>18</v>
      </c>
      <c r="H3515" s="1">
        <v>-0.25</v>
      </c>
      <c r="I3515" s="1">
        <v>2.94</v>
      </c>
      <c r="J3515" s="1">
        <v>0</v>
      </c>
      <c r="K3515" s="2">
        <v>43775</v>
      </c>
      <c r="L3515" s="1">
        <v>3716</v>
      </c>
      <c r="M3515" s="1">
        <v>3.5</v>
      </c>
      <c r="N3515" s="1">
        <v>-0.74600999999999995</v>
      </c>
      <c r="O3515" s="3">
        <f>VLOOKUP(D3515,underlying!$D$40:$H$75,5,FALSE)</f>
        <v>-1.5</v>
      </c>
      <c r="P3515" s="4">
        <f t="shared" si="142"/>
        <v>43627</v>
      </c>
      <c r="Q3515" s="7">
        <f>IF(G3515="C",NormalCallSprd(O3515,H3515,M3515,(P3515-A3515)/365), NormalPutSprd(O3515,H3515,M3515,(P3515-A3515)/365))</f>
        <v>2.9953989014774391</v>
      </c>
      <c r="R3515" s="9">
        <f t="shared" si="141"/>
        <v>5.53989014774392E-2</v>
      </c>
    </row>
    <row r="3516" spans="1:18" x14ac:dyDescent="0.2">
      <c r="A3516" s="2">
        <v>42622</v>
      </c>
      <c r="B3516" s="1" t="s">
        <v>56</v>
      </c>
      <c r="C3516" s="1" t="s">
        <v>57</v>
      </c>
      <c r="D3516" s="2">
        <v>43472</v>
      </c>
      <c r="E3516" s="2">
        <f t="shared" si="140"/>
        <v>43647</v>
      </c>
      <c r="F3516" s="1" t="s">
        <v>58</v>
      </c>
      <c r="G3516" s="1" t="s">
        <v>16</v>
      </c>
      <c r="H3516" s="1">
        <v>-7</v>
      </c>
      <c r="I3516" s="1">
        <v>5.93</v>
      </c>
      <c r="J3516" s="1">
        <v>-0.01</v>
      </c>
      <c r="K3516" s="2">
        <v>43745</v>
      </c>
      <c r="L3516" s="1">
        <v>3716</v>
      </c>
      <c r="M3516" s="1">
        <v>3.5</v>
      </c>
      <c r="N3516" s="1">
        <v>-0.72419999999999995</v>
      </c>
      <c r="O3516" s="3">
        <f>VLOOKUP(D3516,underlying!$D$40:$H$75,5,FALSE)</f>
        <v>-1.5</v>
      </c>
      <c r="P3516" s="4">
        <f t="shared" si="142"/>
        <v>43656</v>
      </c>
      <c r="Q3516" s="7">
        <f>IF(G3516="C",NormalCallSprd(O3516,H3516,M3516,(P3516-A3516)/365), NormalPutSprd(O3516,H3516,M3516,(P3516-A3516)/365))</f>
        <v>6.0560298494126945</v>
      </c>
      <c r="R3516" s="9">
        <f t="shared" si="141"/>
        <v>0.12602984941269479</v>
      </c>
    </row>
    <row r="3517" spans="1:18" x14ac:dyDescent="0.2">
      <c r="A3517" s="2">
        <v>42622</v>
      </c>
      <c r="B3517" s="1" t="s">
        <v>56</v>
      </c>
      <c r="C3517" s="1" t="s">
        <v>57</v>
      </c>
      <c r="D3517" s="2">
        <v>43472</v>
      </c>
      <c r="E3517" s="2">
        <f t="shared" si="140"/>
        <v>43647</v>
      </c>
      <c r="F3517" s="1" t="s">
        <v>58</v>
      </c>
      <c r="G3517" s="1" t="s">
        <v>18</v>
      </c>
      <c r="H3517" s="1">
        <v>-7</v>
      </c>
      <c r="I3517" s="1">
        <v>0.54</v>
      </c>
      <c r="J3517" s="1">
        <v>-0.01</v>
      </c>
      <c r="K3517" s="2">
        <v>43745</v>
      </c>
      <c r="L3517" s="1">
        <v>3716</v>
      </c>
      <c r="M3517" s="1">
        <v>3.5</v>
      </c>
      <c r="N3517" s="1">
        <v>-0.70198000000000005</v>
      </c>
      <c r="O3517" s="3">
        <f>VLOOKUP(D3517,underlying!$D$40:$H$75,5,FALSE)</f>
        <v>-1.5</v>
      </c>
      <c r="P3517" s="4">
        <f t="shared" si="142"/>
        <v>43656</v>
      </c>
      <c r="Q3517" s="7">
        <f>IF(G3517="C",NormalCallSprd(O3517,H3517,M3517,(P3517-A3517)/365), NormalPutSprd(O3517,H3517,M3517,(P3517-A3517)/365))</f>
        <v>0.5560298494126944</v>
      </c>
      <c r="R3517" s="9">
        <f t="shared" si="141"/>
        <v>1.6029849412694364E-2</v>
      </c>
    </row>
    <row r="3518" spans="1:18" x14ac:dyDescent="0.2">
      <c r="A3518" s="2">
        <v>42622</v>
      </c>
      <c r="B3518" s="1" t="s">
        <v>56</v>
      </c>
      <c r="C3518" s="1" t="s">
        <v>57</v>
      </c>
      <c r="D3518" s="2">
        <v>43472</v>
      </c>
      <c r="E3518" s="2">
        <f t="shared" si="140"/>
        <v>43647</v>
      </c>
      <c r="F3518" s="1" t="s">
        <v>58</v>
      </c>
      <c r="G3518" s="1" t="s">
        <v>16</v>
      </c>
      <c r="H3518" s="1">
        <v>-6</v>
      </c>
      <c r="I3518" s="1">
        <v>5.15</v>
      </c>
      <c r="J3518" s="1">
        <v>-0.01</v>
      </c>
      <c r="K3518" s="2">
        <v>43745</v>
      </c>
      <c r="L3518" s="1">
        <v>3716</v>
      </c>
      <c r="M3518" s="1">
        <v>3.51</v>
      </c>
      <c r="N3518" s="1">
        <v>-0.67745999999999995</v>
      </c>
      <c r="O3518" s="3">
        <f>VLOOKUP(D3518,underlying!$D$40:$H$75,5,FALSE)</f>
        <v>-1.5</v>
      </c>
      <c r="P3518" s="4">
        <f t="shared" si="142"/>
        <v>43656</v>
      </c>
      <c r="Q3518" s="7">
        <f>IF(G3518="C",NormalCallSprd(O3518,H3518,M3518,(P3518-A3518)/365), NormalPutSprd(O3518,H3518,M3518,(P3518-A3518)/365))</f>
        <v>5.2593385329524205</v>
      </c>
      <c r="R3518" s="9">
        <f t="shared" si="141"/>
        <v>0.10933853295242013</v>
      </c>
    </row>
    <row r="3519" spans="1:18" x14ac:dyDescent="0.2">
      <c r="A3519" s="2">
        <v>42622</v>
      </c>
      <c r="B3519" s="1" t="s">
        <v>56</v>
      </c>
      <c r="C3519" s="1" t="s">
        <v>57</v>
      </c>
      <c r="D3519" s="2">
        <v>43472</v>
      </c>
      <c r="E3519" s="2">
        <f t="shared" si="140"/>
        <v>43647</v>
      </c>
      <c r="F3519" s="1" t="s">
        <v>58</v>
      </c>
      <c r="G3519" s="1" t="s">
        <v>18</v>
      </c>
      <c r="H3519" s="1">
        <v>-6</v>
      </c>
      <c r="I3519" s="1">
        <v>0.74</v>
      </c>
      <c r="J3519" s="1">
        <v>-0.01</v>
      </c>
      <c r="K3519" s="2">
        <v>43745</v>
      </c>
      <c r="L3519" s="1">
        <v>3716</v>
      </c>
      <c r="M3519" s="1">
        <v>3.51</v>
      </c>
      <c r="N3519" s="1">
        <v>-0.65398000000000001</v>
      </c>
      <c r="O3519" s="3">
        <f>VLOOKUP(D3519,underlying!$D$40:$H$75,5,FALSE)</f>
        <v>-1.5</v>
      </c>
      <c r="P3519" s="4">
        <f t="shared" si="142"/>
        <v>43656</v>
      </c>
      <c r="Q3519" s="7">
        <f>IF(G3519="C",NormalCallSprd(O3519,H3519,M3519,(P3519-A3519)/365), NormalPutSprd(O3519,H3519,M3519,(P3519-A3519)/365))</f>
        <v>0.75933853295242082</v>
      </c>
      <c r="R3519" s="9">
        <f t="shared" si="141"/>
        <v>1.9338532952420828E-2</v>
      </c>
    </row>
    <row r="3520" spans="1:18" x14ac:dyDescent="0.2">
      <c r="A3520" s="2">
        <v>42622</v>
      </c>
      <c r="B3520" s="1" t="s">
        <v>56</v>
      </c>
      <c r="C3520" s="1" t="s">
        <v>57</v>
      </c>
      <c r="D3520" s="2">
        <v>43472</v>
      </c>
      <c r="E3520" s="2">
        <f t="shared" si="140"/>
        <v>43647</v>
      </c>
      <c r="F3520" s="1" t="s">
        <v>58</v>
      </c>
      <c r="G3520" s="1" t="s">
        <v>16</v>
      </c>
      <c r="H3520" s="1">
        <v>-5</v>
      </c>
      <c r="I3520" s="1">
        <v>4.42</v>
      </c>
      <c r="J3520" s="1">
        <v>0</v>
      </c>
      <c r="K3520" s="2">
        <v>43745</v>
      </c>
      <c r="L3520" s="1">
        <v>3716</v>
      </c>
      <c r="M3520" s="1">
        <v>3.51</v>
      </c>
      <c r="N3520" s="1">
        <v>-0.62822999999999996</v>
      </c>
      <c r="O3520" s="3">
        <f>VLOOKUP(D3520,underlying!$D$40:$H$75,5,FALSE)</f>
        <v>-1.5</v>
      </c>
      <c r="P3520" s="4">
        <f t="shared" si="142"/>
        <v>43656</v>
      </c>
      <c r="Q3520" s="7">
        <f>IF(G3520="C",NormalCallSprd(O3520,H3520,M3520,(P3520-A3520)/365), NormalPutSprd(O3520,H3520,M3520,(P3520-A3520)/365))</f>
        <v>4.5087727849869026</v>
      </c>
      <c r="R3520" s="9">
        <f t="shared" si="141"/>
        <v>8.8772784986902664E-2</v>
      </c>
    </row>
    <row r="3521" spans="1:18" x14ac:dyDescent="0.2">
      <c r="A3521" s="2">
        <v>42622</v>
      </c>
      <c r="B3521" s="1" t="s">
        <v>56</v>
      </c>
      <c r="C3521" s="1" t="s">
        <v>57</v>
      </c>
      <c r="D3521" s="2">
        <v>43472</v>
      </c>
      <c r="E3521" s="2">
        <f t="shared" si="140"/>
        <v>43647</v>
      </c>
      <c r="F3521" s="1" t="s">
        <v>58</v>
      </c>
      <c r="G3521" s="1" t="s">
        <v>18</v>
      </c>
      <c r="H3521" s="1">
        <v>-5</v>
      </c>
      <c r="I3521" s="1">
        <v>0.99</v>
      </c>
      <c r="J3521" s="1">
        <v>0</v>
      </c>
      <c r="K3521" s="2">
        <v>43745</v>
      </c>
      <c r="L3521" s="1">
        <v>3716</v>
      </c>
      <c r="M3521" s="1">
        <v>3.51</v>
      </c>
      <c r="N3521" s="1">
        <v>-0.60326999999999997</v>
      </c>
      <c r="O3521" s="3">
        <f>VLOOKUP(D3521,underlying!$D$40:$H$75,5,FALSE)</f>
        <v>-1.5</v>
      </c>
      <c r="P3521" s="4">
        <f t="shared" si="142"/>
        <v>43656</v>
      </c>
      <c r="Q3521" s="7">
        <f>IF(G3521="C",NormalCallSprd(O3521,H3521,M3521,(P3521-A3521)/365), NormalPutSprd(O3521,H3521,M3521,(P3521-A3521)/365))</f>
        <v>1.0087727849869028</v>
      </c>
      <c r="R3521" s="9">
        <f t="shared" si="141"/>
        <v>1.8772784986902824E-2</v>
      </c>
    </row>
    <row r="3522" spans="1:18" x14ac:dyDescent="0.2">
      <c r="A3522" s="2">
        <v>42622</v>
      </c>
      <c r="B3522" s="1" t="s">
        <v>56</v>
      </c>
      <c r="C3522" s="1" t="s">
        <v>57</v>
      </c>
      <c r="D3522" s="2">
        <v>43472</v>
      </c>
      <c r="E3522" s="2">
        <f t="shared" ref="E3522:E3585" si="143">DATE(YEAR(D3522),DAY(D3522),MONTH(D3522))</f>
        <v>43647</v>
      </c>
      <c r="F3522" s="1" t="s">
        <v>58</v>
      </c>
      <c r="G3522" s="1" t="s">
        <v>16</v>
      </c>
      <c r="H3522" s="1">
        <v>-4.5</v>
      </c>
      <c r="I3522" s="1">
        <v>4.07</v>
      </c>
      <c r="J3522" s="1">
        <v>-0.01</v>
      </c>
      <c r="K3522" s="2">
        <v>43745</v>
      </c>
      <c r="L3522" s="1">
        <v>3716</v>
      </c>
      <c r="M3522" s="1">
        <v>3.51</v>
      </c>
      <c r="N3522" s="1">
        <v>-0.57694000000000001</v>
      </c>
      <c r="O3522" s="3">
        <f>VLOOKUP(D3522,underlying!$D$40:$H$75,5,FALSE)</f>
        <v>-1.5</v>
      </c>
      <c r="P3522" s="4">
        <f t="shared" si="142"/>
        <v>43656</v>
      </c>
      <c r="Q3522" s="7">
        <f>IF(G3522="C",NormalCallSprd(O3522,H3522,M3522,(P3522-A3522)/365), NormalPutSprd(O3522,H3522,M3522,(P3522-A3522)/365))</f>
        <v>4.154359117723164</v>
      </c>
      <c r="R3522" s="9">
        <f t="shared" si="141"/>
        <v>8.4359117723163735E-2</v>
      </c>
    </row>
    <row r="3523" spans="1:18" x14ac:dyDescent="0.2">
      <c r="A3523" s="2">
        <v>42622</v>
      </c>
      <c r="B3523" s="1" t="s">
        <v>56</v>
      </c>
      <c r="C3523" s="1" t="s">
        <v>57</v>
      </c>
      <c r="D3523" s="2">
        <v>43472</v>
      </c>
      <c r="E3523" s="2">
        <f t="shared" si="143"/>
        <v>43647</v>
      </c>
      <c r="F3523" s="1" t="s">
        <v>58</v>
      </c>
      <c r="G3523" s="1" t="s">
        <v>18</v>
      </c>
      <c r="H3523" s="1">
        <v>-4.5</v>
      </c>
      <c r="I3523" s="1">
        <v>1.1299999999999999</v>
      </c>
      <c r="J3523" s="1">
        <v>0</v>
      </c>
      <c r="K3523" s="2">
        <v>43745</v>
      </c>
      <c r="L3523" s="1">
        <v>3716</v>
      </c>
      <c r="M3523" s="1">
        <v>3.51</v>
      </c>
      <c r="N3523" s="1">
        <v>-0.55052000000000001</v>
      </c>
      <c r="O3523" s="3">
        <f>VLOOKUP(D3523,underlying!$D$40:$H$75,5,FALSE)</f>
        <v>-1.5</v>
      </c>
      <c r="P3523" s="4">
        <f t="shared" si="142"/>
        <v>43656</v>
      </c>
      <c r="Q3523" s="7">
        <f>IF(G3523="C",NormalCallSprd(O3523,H3523,M3523,(P3523-A3523)/365), NormalPutSprd(O3523,H3523,M3523,(P3523-A3523)/365))</f>
        <v>1.1543591177231638</v>
      </c>
      <c r="R3523" s="9">
        <f t="shared" ref="R3523:R3586" si="144">ABS(Q3523-I3523)</f>
        <v>2.4359117723163903E-2</v>
      </c>
    </row>
    <row r="3524" spans="1:18" x14ac:dyDescent="0.2">
      <c r="A3524" s="2">
        <v>42622</v>
      </c>
      <c r="B3524" s="1" t="s">
        <v>56</v>
      </c>
      <c r="C3524" s="1" t="s">
        <v>57</v>
      </c>
      <c r="D3524" s="2">
        <v>43472</v>
      </c>
      <c r="E3524" s="2">
        <f t="shared" si="143"/>
        <v>43647</v>
      </c>
      <c r="F3524" s="1" t="s">
        <v>58</v>
      </c>
      <c r="G3524" s="1" t="s">
        <v>16</v>
      </c>
      <c r="H3524" s="1">
        <v>-4.25</v>
      </c>
      <c r="I3524" s="1">
        <v>3.9</v>
      </c>
      <c r="J3524" s="1">
        <v>-0.01</v>
      </c>
      <c r="K3524" s="2">
        <v>43745</v>
      </c>
      <c r="L3524" s="1">
        <v>3716</v>
      </c>
      <c r="M3524" s="1">
        <v>3.51</v>
      </c>
      <c r="N3524" s="1">
        <v>-0.52380000000000004</v>
      </c>
      <c r="O3524" s="3">
        <f>VLOOKUP(D3524,underlying!$D$40:$H$75,5,FALSE)</f>
        <v>-1.5</v>
      </c>
      <c r="P3524" s="4">
        <f t="shared" si="142"/>
        <v>43656</v>
      </c>
      <c r="Q3524" s="7">
        <f>IF(G3524="C",NormalCallSprd(O3524,H3524,M3524,(P3524-A3524)/365), NormalPutSprd(O3524,H3524,M3524,(P3524-A3524)/365))</f>
        <v>3.98267561599069</v>
      </c>
      <c r="R3524" s="9">
        <f t="shared" si="144"/>
        <v>8.2675615990690066E-2</v>
      </c>
    </row>
    <row r="3525" spans="1:18" x14ac:dyDescent="0.2">
      <c r="A3525" s="2">
        <v>42622</v>
      </c>
      <c r="B3525" s="1" t="s">
        <v>56</v>
      </c>
      <c r="C3525" s="1" t="s">
        <v>57</v>
      </c>
      <c r="D3525" s="2">
        <v>43472</v>
      </c>
      <c r="E3525" s="2">
        <f t="shared" si="143"/>
        <v>43647</v>
      </c>
      <c r="F3525" s="1" t="s">
        <v>58</v>
      </c>
      <c r="G3525" s="1" t="s">
        <v>18</v>
      </c>
      <c r="H3525" s="1">
        <v>-4.25</v>
      </c>
      <c r="I3525" s="1">
        <v>1.21</v>
      </c>
      <c r="J3525" s="1">
        <v>0</v>
      </c>
      <c r="K3525" s="2">
        <v>43745</v>
      </c>
      <c r="L3525" s="1">
        <v>3716</v>
      </c>
      <c r="M3525" s="1">
        <v>3.51</v>
      </c>
      <c r="N3525" s="1">
        <v>-0.49708999999999998</v>
      </c>
      <c r="O3525" s="3">
        <f>VLOOKUP(D3525,underlying!$D$40:$H$75,5,FALSE)</f>
        <v>-1.5</v>
      </c>
      <c r="P3525" s="4">
        <f t="shared" si="142"/>
        <v>43656</v>
      </c>
      <c r="Q3525" s="7">
        <f>IF(G3525="C",NormalCallSprd(O3525,H3525,M3525,(P3525-A3525)/365), NormalPutSprd(O3525,H3525,M3525,(P3525-A3525)/365))</f>
        <v>1.2326756159906898</v>
      </c>
      <c r="R3525" s="9">
        <f t="shared" si="144"/>
        <v>2.267561599068979E-2</v>
      </c>
    </row>
    <row r="3526" spans="1:18" x14ac:dyDescent="0.2">
      <c r="A3526" s="2">
        <v>42622</v>
      </c>
      <c r="B3526" s="1" t="s">
        <v>56</v>
      </c>
      <c r="C3526" s="1" t="s">
        <v>57</v>
      </c>
      <c r="D3526" s="2">
        <v>43472</v>
      </c>
      <c r="E3526" s="2">
        <f t="shared" si="143"/>
        <v>43647</v>
      </c>
      <c r="F3526" s="1" t="s">
        <v>58</v>
      </c>
      <c r="G3526" s="1" t="s">
        <v>16</v>
      </c>
      <c r="H3526" s="1">
        <v>-4</v>
      </c>
      <c r="I3526" s="1">
        <v>3.73</v>
      </c>
      <c r="J3526" s="1">
        <v>-0.01</v>
      </c>
      <c r="K3526" s="2">
        <v>43745</v>
      </c>
      <c r="L3526" s="1">
        <v>3716</v>
      </c>
      <c r="M3526" s="1">
        <v>3.5</v>
      </c>
      <c r="N3526" s="1">
        <v>-0.47038999999999997</v>
      </c>
      <c r="O3526" s="3">
        <f>VLOOKUP(D3526,underlying!$D$40:$H$75,5,FALSE)</f>
        <v>-1.5</v>
      </c>
      <c r="P3526" s="4">
        <f t="shared" si="142"/>
        <v>43656</v>
      </c>
      <c r="Q3526" s="7">
        <f>IF(G3526="C",NormalCallSprd(O3526,H3526,M3526,(P3526-A3526)/365), NormalPutSprd(O3526,H3526,M3526,(P3526-A3526)/365))</f>
        <v>3.8086408622482186</v>
      </c>
      <c r="R3526" s="9">
        <f t="shared" si="144"/>
        <v>7.8640862248218646E-2</v>
      </c>
    </row>
    <row r="3527" spans="1:18" x14ac:dyDescent="0.2">
      <c r="A3527" s="2">
        <v>42622</v>
      </c>
      <c r="B3527" s="1" t="s">
        <v>56</v>
      </c>
      <c r="C3527" s="1" t="s">
        <v>57</v>
      </c>
      <c r="D3527" s="2">
        <v>43472</v>
      </c>
      <c r="E3527" s="2">
        <f t="shared" si="143"/>
        <v>43647</v>
      </c>
      <c r="F3527" s="1" t="s">
        <v>58</v>
      </c>
      <c r="G3527" s="1" t="s">
        <v>18</v>
      </c>
      <c r="H3527" s="1">
        <v>-4</v>
      </c>
      <c r="I3527" s="1">
        <v>1.28</v>
      </c>
      <c r="J3527" s="1">
        <v>0</v>
      </c>
      <c r="K3527" s="2">
        <v>43745</v>
      </c>
      <c r="L3527" s="1">
        <v>3716</v>
      </c>
      <c r="M3527" s="1">
        <v>3.5</v>
      </c>
      <c r="N3527" s="1">
        <v>-0.44366</v>
      </c>
      <c r="O3527" s="3">
        <f>VLOOKUP(D3527,underlying!$D$40:$H$75,5,FALSE)</f>
        <v>-1.5</v>
      </c>
      <c r="P3527" s="4">
        <f t="shared" si="142"/>
        <v>43656</v>
      </c>
      <c r="Q3527" s="7">
        <f>IF(G3527="C",NormalCallSprd(O3527,H3527,M3527,(P3527-A3527)/365), NormalPutSprd(O3527,H3527,M3527,(P3527-A3527)/365))</f>
        <v>1.3086408622482186</v>
      </c>
      <c r="R3527" s="9">
        <f t="shared" si="144"/>
        <v>2.8640862248218601E-2</v>
      </c>
    </row>
    <row r="3528" spans="1:18" x14ac:dyDescent="0.2">
      <c r="A3528" s="2">
        <v>42622</v>
      </c>
      <c r="B3528" s="1" t="s">
        <v>56</v>
      </c>
      <c r="C3528" s="1" t="s">
        <v>57</v>
      </c>
      <c r="D3528" s="2">
        <v>43472</v>
      </c>
      <c r="E3528" s="2">
        <f t="shared" si="143"/>
        <v>43647</v>
      </c>
      <c r="F3528" s="1" t="s">
        <v>58</v>
      </c>
      <c r="G3528" s="1" t="s">
        <v>16</v>
      </c>
      <c r="H3528" s="1">
        <v>-3.75</v>
      </c>
      <c r="I3528" s="1">
        <v>3.57</v>
      </c>
      <c r="J3528" s="1">
        <v>-0.01</v>
      </c>
      <c r="K3528" s="2">
        <v>43745</v>
      </c>
      <c r="L3528" s="1">
        <v>3716</v>
      </c>
      <c r="M3528" s="1">
        <v>3.5</v>
      </c>
      <c r="N3528" s="1">
        <v>-0.41724</v>
      </c>
      <c r="O3528" s="3">
        <f>VLOOKUP(D3528,underlying!$D$40:$H$75,5,FALSE)</f>
        <v>-1.5</v>
      </c>
      <c r="P3528" s="4">
        <f t="shared" si="142"/>
        <v>43656</v>
      </c>
      <c r="Q3528" s="7">
        <f>IF(G3528="C",NormalCallSprd(O3528,H3528,M3528,(P3528-A3528)/365), NormalPutSprd(O3528,H3528,M3528,(P3528-A3528)/365))</f>
        <v>3.6444970927357518</v>
      </c>
      <c r="R3528" s="9">
        <f t="shared" si="144"/>
        <v>7.4497092735752002E-2</v>
      </c>
    </row>
    <row r="3529" spans="1:18" x14ac:dyDescent="0.2">
      <c r="A3529" s="2">
        <v>42622</v>
      </c>
      <c r="B3529" s="1" t="s">
        <v>56</v>
      </c>
      <c r="C3529" s="1" t="s">
        <v>57</v>
      </c>
      <c r="D3529" s="2">
        <v>43472</v>
      </c>
      <c r="E3529" s="2">
        <f t="shared" si="143"/>
        <v>43647</v>
      </c>
      <c r="F3529" s="1" t="s">
        <v>58</v>
      </c>
      <c r="G3529" s="1" t="s">
        <v>18</v>
      </c>
      <c r="H3529" s="1">
        <v>-3.75</v>
      </c>
      <c r="I3529" s="1">
        <v>1.37</v>
      </c>
      <c r="J3529" s="1">
        <v>0</v>
      </c>
      <c r="K3529" s="2">
        <v>43745</v>
      </c>
      <c r="L3529" s="1">
        <v>3716</v>
      </c>
      <c r="M3529" s="1">
        <v>3.5</v>
      </c>
      <c r="N3529" s="1">
        <v>-0.39090999999999998</v>
      </c>
      <c r="O3529" s="3">
        <f>VLOOKUP(D3529,underlying!$D$40:$H$75,5,FALSE)</f>
        <v>-1.5</v>
      </c>
      <c r="P3529" s="4">
        <f t="shared" si="142"/>
        <v>43656</v>
      </c>
      <c r="Q3529" s="7">
        <f>IF(G3529="C",NormalCallSprd(O3529,H3529,M3529,(P3529-A3529)/365), NormalPutSprd(O3529,H3529,M3529,(P3529-A3529)/365))</f>
        <v>1.3944970927357521</v>
      </c>
      <c r="R3529" s="9">
        <f t="shared" si="144"/>
        <v>2.4497092735751957E-2</v>
      </c>
    </row>
    <row r="3530" spans="1:18" x14ac:dyDescent="0.2">
      <c r="A3530" s="2">
        <v>42622</v>
      </c>
      <c r="B3530" s="1" t="s">
        <v>56</v>
      </c>
      <c r="C3530" s="1" t="s">
        <v>57</v>
      </c>
      <c r="D3530" s="2">
        <v>43472</v>
      </c>
      <c r="E3530" s="2">
        <f t="shared" si="143"/>
        <v>43647</v>
      </c>
      <c r="F3530" s="1" t="s">
        <v>58</v>
      </c>
      <c r="G3530" s="1" t="s">
        <v>16</v>
      </c>
      <c r="H3530" s="1">
        <v>-3.5</v>
      </c>
      <c r="I3530" s="1">
        <v>3.41</v>
      </c>
      <c r="J3530" s="1">
        <v>0</v>
      </c>
      <c r="K3530" s="2">
        <v>43745</v>
      </c>
      <c r="L3530" s="1">
        <v>3716</v>
      </c>
      <c r="M3530" s="1">
        <v>3.49</v>
      </c>
      <c r="N3530" s="1">
        <v>-0.36595</v>
      </c>
      <c r="O3530" s="3">
        <f>VLOOKUP(D3530,underlying!$D$40:$H$75,5,FALSE)</f>
        <v>-1.5</v>
      </c>
      <c r="P3530" s="4">
        <f t="shared" si="142"/>
        <v>43656</v>
      </c>
      <c r="Q3530" s="7">
        <f>IF(G3530="C",NormalCallSprd(O3530,H3530,M3530,(P3530-A3530)/365), NormalPutSprd(O3530,H3530,M3530,(P3530-A3530)/365))</f>
        <v>3.4779501184488089</v>
      </c>
      <c r="R3530" s="9">
        <f t="shared" si="144"/>
        <v>6.7950118448808716E-2</v>
      </c>
    </row>
    <row r="3531" spans="1:18" x14ac:dyDescent="0.2">
      <c r="A3531" s="2">
        <v>42622</v>
      </c>
      <c r="B3531" s="1" t="s">
        <v>56</v>
      </c>
      <c r="C3531" s="1" t="s">
        <v>57</v>
      </c>
      <c r="D3531" s="2">
        <v>43472</v>
      </c>
      <c r="E3531" s="2">
        <f t="shared" si="143"/>
        <v>43647</v>
      </c>
      <c r="F3531" s="1" t="s">
        <v>58</v>
      </c>
      <c r="G3531" s="1" t="s">
        <v>18</v>
      </c>
      <c r="H3531" s="1">
        <v>-3.5</v>
      </c>
      <c r="I3531" s="1">
        <v>1.45</v>
      </c>
      <c r="J3531" s="1">
        <v>0</v>
      </c>
      <c r="K3531" s="2">
        <v>43745</v>
      </c>
      <c r="L3531" s="1">
        <v>3716</v>
      </c>
      <c r="M3531" s="1">
        <v>3.49</v>
      </c>
      <c r="N3531" s="1">
        <v>-0.3402</v>
      </c>
      <c r="O3531" s="3">
        <f>VLOOKUP(D3531,underlying!$D$40:$H$75,5,FALSE)</f>
        <v>-1.5</v>
      </c>
      <c r="P3531" s="4">
        <f t="shared" si="142"/>
        <v>43656</v>
      </c>
      <c r="Q3531" s="7">
        <f>IF(G3531="C",NormalCallSprd(O3531,H3531,M3531,(P3531-A3531)/365), NormalPutSprd(O3531,H3531,M3531,(P3531-A3531)/365))</f>
        <v>1.4779501184488086</v>
      </c>
      <c r="R3531" s="9">
        <f t="shared" si="144"/>
        <v>2.7950118448808681E-2</v>
      </c>
    </row>
    <row r="3532" spans="1:18" x14ac:dyDescent="0.2">
      <c r="A3532" s="2">
        <v>42622</v>
      </c>
      <c r="B3532" s="1" t="s">
        <v>56</v>
      </c>
      <c r="C3532" s="1" t="s">
        <v>57</v>
      </c>
      <c r="D3532" s="2">
        <v>43472</v>
      </c>
      <c r="E3532" s="2">
        <f t="shared" si="143"/>
        <v>43647</v>
      </c>
      <c r="F3532" s="1" t="s">
        <v>58</v>
      </c>
      <c r="G3532" s="1" t="s">
        <v>16</v>
      </c>
      <c r="H3532" s="1">
        <v>-3.25</v>
      </c>
      <c r="I3532" s="1">
        <v>3.27</v>
      </c>
      <c r="J3532" s="1">
        <v>0</v>
      </c>
      <c r="K3532" s="2">
        <v>43745</v>
      </c>
      <c r="L3532" s="1">
        <v>3716</v>
      </c>
      <c r="M3532" s="1">
        <v>3.51</v>
      </c>
      <c r="N3532" s="1">
        <v>-0.31672</v>
      </c>
      <c r="O3532" s="3">
        <f>VLOOKUP(D3532,underlying!$D$40:$H$75,5,FALSE)</f>
        <v>-1.5</v>
      </c>
      <c r="P3532" s="4">
        <f t="shared" si="142"/>
        <v>43656</v>
      </c>
      <c r="Q3532" s="7">
        <f>IF(G3532="C",NormalCallSprd(O3532,H3532,M3532,(P3532-A3532)/365), NormalPutSprd(O3532,H3532,M3532,(P3532-A3532)/365))</f>
        <v>3.3344989492967594</v>
      </c>
      <c r="R3532" s="9">
        <f t="shared" si="144"/>
        <v>6.4498949296759367E-2</v>
      </c>
    </row>
    <row r="3533" spans="1:18" x14ac:dyDescent="0.2">
      <c r="A3533" s="2">
        <v>42622</v>
      </c>
      <c r="B3533" s="1" t="s">
        <v>56</v>
      </c>
      <c r="C3533" s="1" t="s">
        <v>57</v>
      </c>
      <c r="D3533" s="2">
        <v>43472</v>
      </c>
      <c r="E3533" s="2">
        <f t="shared" si="143"/>
        <v>43647</v>
      </c>
      <c r="F3533" s="1" t="s">
        <v>58</v>
      </c>
      <c r="G3533" s="1" t="s">
        <v>18</v>
      </c>
      <c r="H3533" s="1">
        <v>-3.25</v>
      </c>
      <c r="I3533" s="1">
        <v>1.55</v>
      </c>
      <c r="J3533" s="1">
        <v>-0.01</v>
      </c>
      <c r="K3533" s="2">
        <v>43745</v>
      </c>
      <c r="L3533" s="1">
        <v>3716</v>
      </c>
      <c r="M3533" s="1">
        <v>3.51</v>
      </c>
      <c r="N3533" s="1">
        <v>-0.29220000000000002</v>
      </c>
      <c r="O3533" s="3">
        <f>VLOOKUP(D3533,underlying!$D$40:$H$75,5,FALSE)</f>
        <v>-1.5</v>
      </c>
      <c r="P3533" s="4">
        <f t="shared" si="142"/>
        <v>43656</v>
      </c>
      <c r="Q3533" s="7">
        <f>IF(G3533="C",NormalCallSprd(O3533,H3533,M3533,(P3533-A3533)/365), NormalPutSprd(O3533,H3533,M3533,(P3533-A3533)/365))</f>
        <v>1.5844989492967594</v>
      </c>
      <c r="R3533" s="9">
        <f t="shared" si="144"/>
        <v>3.449894929675934E-2</v>
      </c>
    </row>
    <row r="3534" spans="1:18" x14ac:dyDescent="0.2">
      <c r="A3534" s="2">
        <v>42622</v>
      </c>
      <c r="B3534" s="1" t="s">
        <v>56</v>
      </c>
      <c r="C3534" s="1" t="s">
        <v>57</v>
      </c>
      <c r="D3534" s="2">
        <v>43472</v>
      </c>
      <c r="E3534" s="2">
        <f t="shared" si="143"/>
        <v>43647</v>
      </c>
      <c r="F3534" s="1" t="s">
        <v>58</v>
      </c>
      <c r="G3534" s="1" t="s">
        <v>16</v>
      </c>
      <c r="H3534" s="1">
        <v>-3</v>
      </c>
      <c r="I3534" s="1">
        <v>3.11</v>
      </c>
      <c r="J3534" s="1">
        <v>0</v>
      </c>
      <c r="K3534" s="2">
        <v>43745</v>
      </c>
      <c r="L3534" s="1">
        <v>3716</v>
      </c>
      <c r="M3534" s="1">
        <v>3.49</v>
      </c>
      <c r="N3534" s="1">
        <v>-0.27052999999999999</v>
      </c>
      <c r="O3534" s="3">
        <f>VLOOKUP(D3534,underlying!$D$40:$H$75,5,FALSE)</f>
        <v>-1.5</v>
      </c>
      <c r="P3534" s="4">
        <f t="shared" si="142"/>
        <v>43656</v>
      </c>
      <c r="Q3534" s="7">
        <f>IF(G3534="C",NormalCallSprd(O3534,H3534,M3534,(P3534-A3534)/365), NormalPutSprd(O3534,H3534,M3534,(P3534-A3534)/365))</f>
        <v>3.1694084456766434</v>
      </c>
      <c r="R3534" s="9">
        <f t="shared" si="144"/>
        <v>5.9408445676643495E-2</v>
      </c>
    </row>
    <row r="3535" spans="1:18" x14ac:dyDescent="0.2">
      <c r="A3535" s="2">
        <v>42622</v>
      </c>
      <c r="B3535" s="1" t="s">
        <v>56</v>
      </c>
      <c r="C3535" s="1" t="s">
        <v>57</v>
      </c>
      <c r="D3535" s="2">
        <v>43472</v>
      </c>
      <c r="E3535" s="2">
        <f t="shared" si="143"/>
        <v>43647</v>
      </c>
      <c r="F3535" s="1" t="s">
        <v>58</v>
      </c>
      <c r="G3535" s="1" t="s">
        <v>18</v>
      </c>
      <c r="H3535" s="1">
        <v>-3</v>
      </c>
      <c r="I3535" s="1">
        <v>1.64</v>
      </c>
      <c r="J3535" s="1">
        <v>0</v>
      </c>
      <c r="K3535" s="2">
        <v>43745</v>
      </c>
      <c r="L3535" s="1">
        <v>3716</v>
      </c>
      <c r="M3535" s="1">
        <v>3.49</v>
      </c>
      <c r="N3535" s="1">
        <v>-0.24875</v>
      </c>
      <c r="O3535" s="3">
        <f>VLOOKUP(D3535,underlying!$D$40:$H$75,5,FALSE)</f>
        <v>-1.5</v>
      </c>
      <c r="P3535" s="4">
        <f t="shared" si="142"/>
        <v>43656</v>
      </c>
      <c r="Q3535" s="7">
        <f>IF(G3535="C",NormalCallSprd(O3535,H3535,M3535,(P3535-A3535)/365), NormalPutSprd(O3535,H3535,M3535,(P3535-A3535)/365))</f>
        <v>1.6694084456766434</v>
      </c>
      <c r="R3535" s="9">
        <f t="shared" si="144"/>
        <v>2.9408445676643469E-2</v>
      </c>
    </row>
    <row r="3536" spans="1:18" x14ac:dyDescent="0.2">
      <c r="A3536" s="2">
        <v>42622</v>
      </c>
      <c r="B3536" s="1" t="s">
        <v>56</v>
      </c>
      <c r="C3536" s="1" t="s">
        <v>57</v>
      </c>
      <c r="D3536" s="2">
        <v>43472</v>
      </c>
      <c r="E3536" s="2">
        <f t="shared" si="143"/>
        <v>43647</v>
      </c>
      <c r="F3536" s="1" t="s">
        <v>58</v>
      </c>
      <c r="G3536" s="1" t="s">
        <v>16</v>
      </c>
      <c r="H3536" s="1">
        <v>-2.75</v>
      </c>
      <c r="I3536" s="1">
        <v>2.97</v>
      </c>
      <c r="J3536" s="1">
        <v>-0.01</v>
      </c>
      <c r="K3536" s="2">
        <v>43745</v>
      </c>
      <c r="L3536" s="1">
        <v>3716</v>
      </c>
      <c r="M3536" s="1">
        <v>3.51</v>
      </c>
      <c r="N3536" s="1">
        <v>-0.22795000000000001</v>
      </c>
      <c r="O3536" s="3">
        <f>VLOOKUP(D3536,underlying!$D$40:$H$75,5,FALSE)</f>
        <v>-1.5</v>
      </c>
      <c r="P3536" s="4">
        <f t="shared" si="142"/>
        <v>43656</v>
      </c>
      <c r="Q3536" s="7">
        <f>IF(G3536="C",NormalCallSprd(O3536,H3536,M3536,(P3536-A3536)/365), NormalPutSprd(O3536,H3536,M3536,(P3536-A3536)/365))</f>
        <v>3.0344059269909844</v>
      </c>
      <c r="R3536" s="9">
        <f t="shared" si="144"/>
        <v>6.4405926990984241E-2</v>
      </c>
    </row>
    <row r="3537" spans="1:18" x14ac:dyDescent="0.2">
      <c r="A3537" s="2">
        <v>42622</v>
      </c>
      <c r="B3537" s="1" t="s">
        <v>56</v>
      </c>
      <c r="C3537" s="1" t="s">
        <v>57</v>
      </c>
      <c r="D3537" s="2">
        <v>43472</v>
      </c>
      <c r="E3537" s="2">
        <f t="shared" si="143"/>
        <v>43647</v>
      </c>
      <c r="F3537" s="1" t="s">
        <v>58</v>
      </c>
      <c r="G3537" s="1" t="s">
        <v>18</v>
      </c>
      <c r="H3537" s="1">
        <v>-2.75</v>
      </c>
      <c r="I3537" s="1">
        <v>1.75</v>
      </c>
      <c r="J3537" s="1">
        <v>0</v>
      </c>
      <c r="K3537" s="2">
        <v>43745</v>
      </c>
      <c r="L3537" s="1">
        <v>3716</v>
      </c>
      <c r="M3537" s="1">
        <v>3.51</v>
      </c>
      <c r="N3537" s="1">
        <v>-0.20816000000000001</v>
      </c>
      <c r="O3537" s="3">
        <f>VLOOKUP(D3537,underlying!$D$40:$H$75,5,FALSE)</f>
        <v>-1.5</v>
      </c>
      <c r="P3537" s="4">
        <f t="shared" si="142"/>
        <v>43656</v>
      </c>
      <c r="Q3537" s="7">
        <f>IF(G3537="C",NormalCallSprd(O3537,H3537,M3537,(P3537-A3537)/365), NormalPutSprd(O3537,H3537,M3537,(P3537-A3537)/365))</f>
        <v>1.7844059269909847</v>
      </c>
      <c r="R3537" s="9">
        <f t="shared" si="144"/>
        <v>3.4405926990984659E-2</v>
      </c>
    </row>
    <row r="3538" spans="1:18" x14ac:dyDescent="0.2">
      <c r="A3538" s="2">
        <v>42622</v>
      </c>
      <c r="B3538" s="1" t="s">
        <v>56</v>
      </c>
      <c r="C3538" s="1" t="s">
        <v>57</v>
      </c>
      <c r="D3538" s="2">
        <v>43472</v>
      </c>
      <c r="E3538" s="2">
        <f t="shared" si="143"/>
        <v>43647</v>
      </c>
      <c r="F3538" s="1" t="s">
        <v>58</v>
      </c>
      <c r="G3538" s="1" t="s">
        <v>16</v>
      </c>
      <c r="H3538" s="1">
        <v>-2.5</v>
      </c>
      <c r="I3538" s="1">
        <v>2.82</v>
      </c>
      <c r="J3538" s="1">
        <v>0</v>
      </c>
      <c r="K3538" s="2">
        <v>43745</v>
      </c>
      <c r="L3538" s="1">
        <v>3716</v>
      </c>
      <c r="M3538" s="1">
        <v>3.49</v>
      </c>
      <c r="N3538" s="1">
        <v>-0.18941</v>
      </c>
      <c r="O3538" s="3">
        <f>VLOOKUP(D3538,underlying!$D$40:$H$75,5,FALSE)</f>
        <v>-1.5</v>
      </c>
      <c r="P3538" s="4">
        <f t="shared" si="142"/>
        <v>43656</v>
      </c>
      <c r="Q3538" s="7">
        <f>IF(G3538="C",NormalCallSprd(O3538,H3538,M3538,(P3538-A3538)/365), NormalPutSprd(O3538,H3538,M3538,(P3538-A3538)/365))</f>
        <v>2.8772917944401266</v>
      </c>
      <c r="R3538" s="9">
        <f t="shared" si="144"/>
        <v>5.7291794440126775E-2</v>
      </c>
    </row>
    <row r="3539" spans="1:18" x14ac:dyDescent="0.2">
      <c r="A3539" s="2">
        <v>42622</v>
      </c>
      <c r="B3539" s="1" t="s">
        <v>56</v>
      </c>
      <c r="C3539" s="1" t="s">
        <v>57</v>
      </c>
      <c r="D3539" s="2">
        <v>43472</v>
      </c>
      <c r="E3539" s="2">
        <f t="shared" si="143"/>
        <v>43647</v>
      </c>
      <c r="F3539" s="1" t="s">
        <v>58</v>
      </c>
      <c r="G3539" s="1" t="s">
        <v>18</v>
      </c>
      <c r="H3539" s="1">
        <v>-2.5</v>
      </c>
      <c r="I3539" s="1">
        <v>1.84</v>
      </c>
      <c r="J3539" s="1">
        <v>0</v>
      </c>
      <c r="K3539" s="2">
        <v>43745</v>
      </c>
      <c r="L3539" s="1">
        <v>3716</v>
      </c>
      <c r="M3539" s="1">
        <v>3.49</v>
      </c>
      <c r="N3539" s="1">
        <v>-0.17174</v>
      </c>
      <c r="O3539" s="3">
        <f>VLOOKUP(D3539,underlying!$D$40:$H$75,5,FALSE)</f>
        <v>-1.5</v>
      </c>
      <c r="P3539" s="4">
        <f t="shared" si="142"/>
        <v>43656</v>
      </c>
      <c r="Q3539" s="7">
        <f>IF(G3539="C",NormalCallSprd(O3539,H3539,M3539,(P3539-A3539)/365), NormalPutSprd(O3539,H3539,M3539,(P3539-A3539)/365))</f>
        <v>1.8772917944401266</v>
      </c>
      <c r="R3539" s="9">
        <f t="shared" si="144"/>
        <v>3.7291794440126536E-2</v>
      </c>
    </row>
    <row r="3540" spans="1:18" x14ac:dyDescent="0.2">
      <c r="A3540" s="2">
        <v>42622</v>
      </c>
      <c r="B3540" s="1" t="s">
        <v>56</v>
      </c>
      <c r="C3540" s="1" t="s">
        <v>57</v>
      </c>
      <c r="D3540" s="2">
        <v>43472</v>
      </c>
      <c r="E3540" s="2">
        <f t="shared" si="143"/>
        <v>43647</v>
      </c>
      <c r="F3540" s="1" t="s">
        <v>58</v>
      </c>
      <c r="G3540" s="1" t="s">
        <v>16</v>
      </c>
      <c r="H3540" s="1">
        <v>-2.25</v>
      </c>
      <c r="I3540" s="1">
        <v>2.69</v>
      </c>
      <c r="J3540" s="1">
        <v>0</v>
      </c>
      <c r="K3540" s="2">
        <v>43745</v>
      </c>
      <c r="L3540" s="1">
        <v>3716</v>
      </c>
      <c r="M3540" s="1">
        <v>3.5</v>
      </c>
      <c r="N3540" s="1">
        <v>-0.15515999999999999</v>
      </c>
      <c r="O3540" s="3">
        <f>VLOOKUP(D3540,underlying!$D$40:$H$75,5,FALSE)</f>
        <v>-1.5</v>
      </c>
      <c r="P3540" s="4">
        <f t="shared" si="142"/>
        <v>43656</v>
      </c>
      <c r="Q3540" s="7">
        <f>IF(G3540="C",NormalCallSprd(O3540,H3540,M3540,(P3540-A3540)/365), NormalPutSprd(O3540,H3540,M3540,(P3540-A3540)/365))</f>
        <v>2.7441513864486415</v>
      </c>
      <c r="R3540" s="9">
        <f t="shared" si="144"/>
        <v>5.4151386448641592E-2</v>
      </c>
    </row>
    <row r="3541" spans="1:18" x14ac:dyDescent="0.2">
      <c r="A3541" s="2">
        <v>42622</v>
      </c>
      <c r="B3541" s="1" t="s">
        <v>56</v>
      </c>
      <c r="C3541" s="1" t="s">
        <v>57</v>
      </c>
      <c r="D3541" s="2">
        <v>43472</v>
      </c>
      <c r="E3541" s="2">
        <f t="shared" si="143"/>
        <v>43647</v>
      </c>
      <c r="F3541" s="1" t="s">
        <v>58</v>
      </c>
      <c r="G3541" s="1" t="s">
        <v>18</v>
      </c>
      <c r="H3541" s="1">
        <v>-2.25</v>
      </c>
      <c r="I3541" s="1">
        <v>1.95</v>
      </c>
      <c r="J3541" s="1">
        <v>-0.01</v>
      </c>
      <c r="K3541" s="2">
        <v>43745</v>
      </c>
      <c r="L3541" s="1">
        <v>3716</v>
      </c>
      <c r="M3541" s="1">
        <v>3.5</v>
      </c>
      <c r="N3541" s="1">
        <v>-0.13966999999999999</v>
      </c>
      <c r="O3541" s="3">
        <f>VLOOKUP(D3541,underlying!$D$40:$H$75,5,FALSE)</f>
        <v>-1.5</v>
      </c>
      <c r="P3541" s="4">
        <f t="shared" si="142"/>
        <v>43656</v>
      </c>
      <c r="Q3541" s="7">
        <f>IF(G3541="C",NormalCallSprd(O3541,H3541,M3541,(P3541-A3541)/365), NormalPutSprd(O3541,H3541,M3541,(P3541-A3541)/365))</f>
        <v>1.9941513864486413</v>
      </c>
      <c r="R3541" s="9">
        <f t="shared" si="144"/>
        <v>4.4151386448641361E-2</v>
      </c>
    </row>
    <row r="3542" spans="1:18" x14ac:dyDescent="0.2">
      <c r="A3542" s="2">
        <v>42622</v>
      </c>
      <c r="B3542" s="1" t="s">
        <v>56</v>
      </c>
      <c r="C3542" s="1" t="s">
        <v>57</v>
      </c>
      <c r="D3542" s="2">
        <v>43472</v>
      </c>
      <c r="E3542" s="2">
        <f t="shared" si="143"/>
        <v>43647</v>
      </c>
      <c r="F3542" s="1" t="s">
        <v>58</v>
      </c>
      <c r="G3542" s="1" t="s">
        <v>16</v>
      </c>
      <c r="H3542" s="1">
        <v>-2</v>
      </c>
      <c r="I3542" s="1">
        <v>2.56</v>
      </c>
      <c r="J3542" s="1">
        <v>0</v>
      </c>
      <c r="K3542" s="2">
        <v>43745</v>
      </c>
      <c r="L3542" s="1">
        <v>3716</v>
      </c>
      <c r="M3542" s="1">
        <v>3.5</v>
      </c>
      <c r="N3542" s="1">
        <v>-8.8370000000000004E-2</v>
      </c>
      <c r="O3542" s="3">
        <f>VLOOKUP(D3542,underlying!$D$40:$H$75,5,FALSE)</f>
        <v>-1.5</v>
      </c>
      <c r="P3542" s="4">
        <f t="shared" si="142"/>
        <v>43656</v>
      </c>
      <c r="Q3542" s="7">
        <f>IF(G3542="C",NormalCallSprd(O3542,H3542,M3542,(P3542-A3542)/365), NormalPutSprd(O3542,H3542,M3542,(P3542-A3542)/365))</f>
        <v>2.6085904702882523</v>
      </c>
      <c r="R3542" s="9">
        <f t="shared" si="144"/>
        <v>4.8590470288252252E-2</v>
      </c>
    </row>
    <row r="3543" spans="1:18" x14ac:dyDescent="0.2">
      <c r="A3543" s="2">
        <v>42622</v>
      </c>
      <c r="B3543" s="1" t="s">
        <v>56</v>
      </c>
      <c r="C3543" s="1" t="s">
        <v>57</v>
      </c>
      <c r="D3543" s="2">
        <v>43472</v>
      </c>
      <c r="E3543" s="2">
        <f t="shared" si="143"/>
        <v>43647</v>
      </c>
      <c r="F3543" s="1" t="s">
        <v>58</v>
      </c>
      <c r="G3543" s="1" t="s">
        <v>18</v>
      </c>
      <c r="H3543" s="1">
        <v>-2</v>
      </c>
      <c r="I3543" s="1">
        <v>2.0699999999999998</v>
      </c>
      <c r="J3543" s="1">
        <v>0</v>
      </c>
      <c r="K3543" s="2">
        <v>43745</v>
      </c>
      <c r="L3543" s="1">
        <v>3716</v>
      </c>
      <c r="M3543" s="1">
        <v>3.5</v>
      </c>
      <c r="N3543" s="1">
        <v>-5.2609999999999997E-2</v>
      </c>
      <c r="O3543" s="3">
        <f>VLOOKUP(D3543,underlying!$D$40:$H$75,5,FALSE)</f>
        <v>-1.5</v>
      </c>
      <c r="P3543" s="4">
        <f t="shared" si="142"/>
        <v>43656</v>
      </c>
      <c r="Q3543" s="7">
        <f>IF(G3543="C",NormalCallSprd(O3543,H3543,M3543,(P3543-A3543)/365), NormalPutSprd(O3543,H3543,M3543,(P3543-A3543)/365))</f>
        <v>2.1085904702882523</v>
      </c>
      <c r="R3543" s="9">
        <f t="shared" si="144"/>
        <v>3.8590470288252465E-2</v>
      </c>
    </row>
    <row r="3544" spans="1:18" x14ac:dyDescent="0.2">
      <c r="A3544" s="2">
        <v>42622</v>
      </c>
      <c r="B3544" s="1" t="s">
        <v>56</v>
      </c>
      <c r="C3544" s="1" t="s">
        <v>57</v>
      </c>
      <c r="D3544" s="2">
        <v>43472</v>
      </c>
      <c r="E3544" s="2">
        <f t="shared" si="143"/>
        <v>43647</v>
      </c>
      <c r="F3544" s="1" t="s">
        <v>58</v>
      </c>
      <c r="G3544" s="1" t="s">
        <v>16</v>
      </c>
      <c r="H3544" s="1">
        <v>-1.75</v>
      </c>
      <c r="I3544" s="1">
        <v>2.4300000000000002</v>
      </c>
      <c r="J3544" s="1">
        <v>-0.01</v>
      </c>
      <c r="K3544" s="2">
        <v>43745</v>
      </c>
      <c r="L3544" s="1">
        <v>3716</v>
      </c>
      <c r="M3544" s="1">
        <v>3.51</v>
      </c>
      <c r="N3544" s="1">
        <v>0.39513999999999999</v>
      </c>
      <c r="O3544" s="3">
        <f>VLOOKUP(D3544,underlying!$D$40:$H$75,5,FALSE)</f>
        <v>-1.5</v>
      </c>
      <c r="P3544" s="4">
        <f t="shared" si="142"/>
        <v>43656</v>
      </c>
      <c r="Q3544" s="7">
        <f>IF(G3544="C",NormalCallSprd(O3544,H3544,M3544,(P3544-A3544)/365), NormalPutSprd(O3544,H3544,M3544,(P3544-A3544)/365))</f>
        <v>2.4839549482385732</v>
      </c>
      <c r="R3544" s="9">
        <f t="shared" si="144"/>
        <v>5.3954948238573053E-2</v>
      </c>
    </row>
    <row r="3545" spans="1:18" x14ac:dyDescent="0.2">
      <c r="A3545" s="2">
        <v>42622</v>
      </c>
      <c r="B3545" s="1" t="s">
        <v>56</v>
      </c>
      <c r="C3545" s="1" t="s">
        <v>57</v>
      </c>
      <c r="D3545" s="2">
        <v>43472</v>
      </c>
      <c r="E3545" s="2">
        <f t="shared" si="143"/>
        <v>43647</v>
      </c>
      <c r="F3545" s="1" t="s">
        <v>58</v>
      </c>
      <c r="G3545" s="1" t="s">
        <v>18</v>
      </c>
      <c r="H3545" s="1">
        <v>-1.75</v>
      </c>
      <c r="I3545" s="1">
        <v>2.19</v>
      </c>
      <c r="J3545" s="1">
        <v>0</v>
      </c>
      <c r="K3545" s="2">
        <v>43745</v>
      </c>
      <c r="L3545" s="1">
        <v>3716</v>
      </c>
      <c r="M3545" s="1">
        <v>3.51</v>
      </c>
      <c r="N3545" s="1">
        <v>0.41427000000000003</v>
      </c>
      <c r="O3545" s="3">
        <f>VLOOKUP(D3545,underlying!$D$40:$H$75,5,FALSE)</f>
        <v>-1.5</v>
      </c>
      <c r="P3545" s="4">
        <f t="shared" si="142"/>
        <v>43656</v>
      </c>
      <c r="Q3545" s="7">
        <f>IF(G3545="C",NormalCallSprd(O3545,H3545,M3545,(P3545-A3545)/365), NormalPutSprd(O3545,H3545,M3545,(P3545-A3545)/365))</f>
        <v>2.2339549482385732</v>
      </c>
      <c r="R3545" s="9">
        <f t="shared" si="144"/>
        <v>4.3954948238573266E-2</v>
      </c>
    </row>
    <row r="3546" spans="1:18" x14ac:dyDescent="0.2">
      <c r="A3546" s="2">
        <v>42622</v>
      </c>
      <c r="B3546" s="1" t="s">
        <v>56</v>
      </c>
      <c r="C3546" s="1" t="s">
        <v>57</v>
      </c>
      <c r="D3546" s="2">
        <v>43472</v>
      </c>
      <c r="E3546" s="2">
        <f t="shared" si="143"/>
        <v>43647</v>
      </c>
      <c r="F3546" s="1" t="s">
        <v>58</v>
      </c>
      <c r="G3546" s="1" t="s">
        <v>16</v>
      </c>
      <c r="H3546" s="1">
        <v>-1.5</v>
      </c>
      <c r="I3546" s="1">
        <v>2.2999999999999998</v>
      </c>
      <c r="J3546" s="1">
        <v>-0.01</v>
      </c>
      <c r="K3546" s="2">
        <v>43745</v>
      </c>
      <c r="L3546" s="1">
        <v>3716</v>
      </c>
      <c r="M3546" s="1">
        <v>3.5</v>
      </c>
      <c r="N3546" s="1">
        <v>0.43403000000000003</v>
      </c>
      <c r="O3546" s="3">
        <f>VLOOKUP(D3546,underlying!$D$40:$H$75,5,FALSE)</f>
        <v>-1.5</v>
      </c>
      <c r="P3546" s="4">
        <f t="shared" si="142"/>
        <v>43656</v>
      </c>
      <c r="Q3546" s="7">
        <f>IF(G3546="C",NormalCallSprd(O3546,H3546,M3546,(P3546-A3546)/365), NormalPutSprd(O3546,H3546,M3546,(P3546-A3546)/365))</f>
        <v>2.3501303296261566</v>
      </c>
      <c r="R3546" s="9">
        <f t="shared" si="144"/>
        <v>5.0130329626156822E-2</v>
      </c>
    </row>
    <row r="3547" spans="1:18" x14ac:dyDescent="0.2">
      <c r="A3547" s="2">
        <v>42622</v>
      </c>
      <c r="B3547" s="1" t="s">
        <v>56</v>
      </c>
      <c r="C3547" s="1" t="s">
        <v>57</v>
      </c>
      <c r="D3547" s="2">
        <v>43472</v>
      </c>
      <c r="E3547" s="2">
        <f t="shared" si="143"/>
        <v>43647</v>
      </c>
      <c r="F3547" s="1" t="s">
        <v>58</v>
      </c>
      <c r="G3547" s="1" t="s">
        <v>18</v>
      </c>
      <c r="H3547" s="1">
        <v>-1.5</v>
      </c>
      <c r="I3547" s="1">
        <v>2.2999999999999998</v>
      </c>
      <c r="J3547" s="1">
        <v>-0.01</v>
      </c>
      <c r="K3547" s="2">
        <v>43745</v>
      </c>
      <c r="L3547" s="1">
        <v>3716</v>
      </c>
      <c r="M3547" s="1">
        <v>3.5</v>
      </c>
      <c r="N3547" s="1">
        <v>0.45373000000000002</v>
      </c>
      <c r="O3547" s="3">
        <f>VLOOKUP(D3547,underlying!$D$40:$H$75,5,FALSE)</f>
        <v>-1.5</v>
      </c>
      <c r="P3547" s="4">
        <f t="shared" si="142"/>
        <v>43656</v>
      </c>
      <c r="Q3547" s="7">
        <f>IF(G3547="C",NormalCallSprd(O3547,H3547,M3547,(P3547-A3547)/365), NormalPutSprd(O3547,H3547,M3547,(P3547-A3547)/365))</f>
        <v>2.3501303296261566</v>
      </c>
      <c r="R3547" s="9">
        <f t="shared" si="144"/>
        <v>5.0130329626156822E-2</v>
      </c>
    </row>
    <row r="3548" spans="1:18" x14ac:dyDescent="0.2">
      <c r="A3548" s="2">
        <v>42622</v>
      </c>
      <c r="B3548" s="1" t="s">
        <v>56</v>
      </c>
      <c r="C3548" s="1" t="s">
        <v>57</v>
      </c>
      <c r="D3548" s="2">
        <v>43472</v>
      </c>
      <c r="E3548" s="2">
        <f t="shared" si="143"/>
        <v>43647</v>
      </c>
      <c r="F3548" s="1" t="s">
        <v>58</v>
      </c>
      <c r="G3548" s="1" t="s">
        <v>16</v>
      </c>
      <c r="H3548" s="1">
        <v>-1.25</v>
      </c>
      <c r="I3548" s="1">
        <v>2.19</v>
      </c>
      <c r="J3548" s="1">
        <v>0</v>
      </c>
      <c r="K3548" s="2">
        <v>43745</v>
      </c>
      <c r="L3548" s="1">
        <v>3716</v>
      </c>
      <c r="M3548" s="1">
        <v>3.51</v>
      </c>
      <c r="N3548" s="1">
        <v>0.47358</v>
      </c>
      <c r="O3548" s="3">
        <f>VLOOKUP(D3548,underlying!$D$40:$H$75,5,FALSE)</f>
        <v>-1.5</v>
      </c>
      <c r="P3548" s="4">
        <f t="shared" si="142"/>
        <v>43656</v>
      </c>
      <c r="Q3548" s="7">
        <f>IF(G3548="C",NormalCallSprd(O3548,H3548,M3548,(P3548-A3548)/365), NormalPutSprd(O3548,H3548,M3548,(P3548-A3548)/365))</f>
        <v>2.2339549482385732</v>
      </c>
      <c r="R3548" s="9">
        <f t="shared" si="144"/>
        <v>4.3954948238573266E-2</v>
      </c>
    </row>
    <row r="3549" spans="1:18" x14ac:dyDescent="0.2">
      <c r="A3549" s="2">
        <v>42622</v>
      </c>
      <c r="B3549" s="1" t="s">
        <v>56</v>
      </c>
      <c r="C3549" s="1" t="s">
        <v>57</v>
      </c>
      <c r="D3549" s="2">
        <v>43472</v>
      </c>
      <c r="E3549" s="2">
        <f t="shared" si="143"/>
        <v>43647</v>
      </c>
      <c r="F3549" s="1" t="s">
        <v>58</v>
      </c>
      <c r="G3549" s="1" t="s">
        <v>18</v>
      </c>
      <c r="H3549" s="1">
        <v>-1.25</v>
      </c>
      <c r="I3549" s="1">
        <v>2.4300000000000002</v>
      </c>
      <c r="J3549" s="1">
        <v>-0.01</v>
      </c>
      <c r="K3549" s="2">
        <v>43745</v>
      </c>
      <c r="L3549" s="1">
        <v>3716</v>
      </c>
      <c r="M3549" s="1">
        <v>3.51</v>
      </c>
      <c r="N3549" s="1">
        <v>0.49336999999999998</v>
      </c>
      <c r="O3549" s="3">
        <f>VLOOKUP(D3549,underlying!$D$40:$H$75,5,FALSE)</f>
        <v>-1.5</v>
      </c>
      <c r="P3549" s="4">
        <f t="shared" si="142"/>
        <v>43656</v>
      </c>
      <c r="Q3549" s="7">
        <f>IF(G3549="C",NormalCallSprd(O3549,H3549,M3549,(P3549-A3549)/365), NormalPutSprd(O3549,H3549,M3549,(P3549-A3549)/365))</f>
        <v>2.4839549482385732</v>
      </c>
      <c r="R3549" s="9">
        <f t="shared" si="144"/>
        <v>5.3954948238573053E-2</v>
      </c>
    </row>
    <row r="3550" spans="1:18" x14ac:dyDescent="0.2">
      <c r="A3550" s="2">
        <v>42622</v>
      </c>
      <c r="B3550" s="1" t="s">
        <v>56</v>
      </c>
      <c r="C3550" s="1" t="s">
        <v>57</v>
      </c>
      <c r="D3550" s="2">
        <v>43472</v>
      </c>
      <c r="E3550" s="2">
        <f t="shared" si="143"/>
        <v>43647</v>
      </c>
      <c r="F3550" s="1" t="s">
        <v>58</v>
      </c>
      <c r="G3550" s="1" t="s">
        <v>16</v>
      </c>
      <c r="H3550" s="1">
        <v>-1</v>
      </c>
      <c r="I3550" s="1">
        <v>2.0699999999999998</v>
      </c>
      <c r="J3550" s="1">
        <v>0</v>
      </c>
      <c r="K3550" s="2">
        <v>43745</v>
      </c>
      <c r="L3550" s="1">
        <v>3716</v>
      </c>
      <c r="M3550" s="1">
        <v>3.5</v>
      </c>
      <c r="N3550" s="1">
        <v>0.51317000000000002</v>
      </c>
      <c r="O3550" s="3">
        <f>VLOOKUP(D3550,underlying!$D$40:$H$75,5,FALSE)</f>
        <v>-1.5</v>
      </c>
      <c r="P3550" s="4">
        <f t="shared" si="142"/>
        <v>43656</v>
      </c>
      <c r="Q3550" s="7">
        <f>IF(G3550="C",NormalCallSprd(O3550,H3550,M3550,(P3550-A3550)/365), NormalPutSprd(O3550,H3550,M3550,(P3550-A3550)/365))</f>
        <v>2.1085904702882523</v>
      </c>
      <c r="R3550" s="9">
        <f t="shared" si="144"/>
        <v>3.8590470288252465E-2</v>
      </c>
    </row>
    <row r="3551" spans="1:18" x14ac:dyDescent="0.2">
      <c r="A3551" s="2">
        <v>42622</v>
      </c>
      <c r="B3551" s="1" t="s">
        <v>56</v>
      </c>
      <c r="C3551" s="1" t="s">
        <v>57</v>
      </c>
      <c r="D3551" s="2">
        <v>43472</v>
      </c>
      <c r="E3551" s="2">
        <f t="shared" si="143"/>
        <v>43647</v>
      </c>
      <c r="F3551" s="1" t="s">
        <v>58</v>
      </c>
      <c r="G3551" s="1" t="s">
        <v>18</v>
      </c>
      <c r="H3551" s="1">
        <v>-1</v>
      </c>
      <c r="I3551" s="1">
        <v>2.56</v>
      </c>
      <c r="J3551" s="1">
        <v>0</v>
      </c>
      <c r="K3551" s="2">
        <v>43745</v>
      </c>
      <c r="L3551" s="1">
        <v>3716</v>
      </c>
      <c r="M3551" s="1">
        <v>3.5</v>
      </c>
      <c r="N3551" s="1">
        <v>0.53302000000000005</v>
      </c>
      <c r="O3551" s="3">
        <f>VLOOKUP(D3551,underlying!$D$40:$H$75,5,FALSE)</f>
        <v>-1.5</v>
      </c>
      <c r="P3551" s="4">
        <f t="shared" si="142"/>
        <v>43656</v>
      </c>
      <c r="Q3551" s="7">
        <f>IF(G3551="C",NormalCallSprd(O3551,H3551,M3551,(P3551-A3551)/365), NormalPutSprd(O3551,H3551,M3551,(P3551-A3551)/365))</f>
        <v>2.6085904702882523</v>
      </c>
      <c r="R3551" s="9">
        <f t="shared" si="144"/>
        <v>4.8590470288252252E-2</v>
      </c>
    </row>
    <row r="3552" spans="1:18" x14ac:dyDescent="0.2">
      <c r="A3552" s="2">
        <v>42622</v>
      </c>
      <c r="B3552" s="1" t="s">
        <v>56</v>
      </c>
      <c r="C3552" s="1" t="s">
        <v>57</v>
      </c>
      <c r="D3552" s="2">
        <v>43472</v>
      </c>
      <c r="E3552" s="2">
        <f t="shared" si="143"/>
        <v>43647</v>
      </c>
      <c r="F3552" s="1" t="s">
        <v>58</v>
      </c>
      <c r="G3552" s="1" t="s">
        <v>16</v>
      </c>
      <c r="H3552" s="1">
        <v>-0.75</v>
      </c>
      <c r="I3552" s="1">
        <v>1.95</v>
      </c>
      <c r="J3552" s="1">
        <v>-0.01</v>
      </c>
      <c r="K3552" s="2">
        <v>43745</v>
      </c>
      <c r="L3552" s="1">
        <v>3716</v>
      </c>
      <c r="M3552" s="1">
        <v>3.5</v>
      </c>
      <c r="N3552" s="1">
        <v>0.55271000000000003</v>
      </c>
      <c r="O3552" s="3">
        <f>VLOOKUP(D3552,underlying!$D$40:$H$75,5,FALSE)</f>
        <v>-1.5</v>
      </c>
      <c r="P3552" s="4">
        <f t="shared" si="142"/>
        <v>43656</v>
      </c>
      <c r="Q3552" s="7">
        <f>IF(G3552="C",NormalCallSprd(O3552,H3552,M3552,(P3552-A3552)/365), NormalPutSprd(O3552,H3552,M3552,(P3552-A3552)/365))</f>
        <v>1.9941513864486413</v>
      </c>
      <c r="R3552" s="9">
        <f t="shared" si="144"/>
        <v>4.4151386448641361E-2</v>
      </c>
    </row>
    <row r="3553" spans="1:18" x14ac:dyDescent="0.2">
      <c r="A3553" s="2">
        <v>42622</v>
      </c>
      <c r="B3553" s="1" t="s">
        <v>56</v>
      </c>
      <c r="C3553" s="1" t="s">
        <v>57</v>
      </c>
      <c r="D3553" s="2">
        <v>43472</v>
      </c>
      <c r="E3553" s="2">
        <f t="shared" si="143"/>
        <v>43647</v>
      </c>
      <c r="F3553" s="1" t="s">
        <v>58</v>
      </c>
      <c r="G3553" s="1" t="s">
        <v>18</v>
      </c>
      <c r="H3553" s="1">
        <v>-0.75</v>
      </c>
      <c r="I3553" s="1">
        <v>2.69</v>
      </c>
      <c r="J3553" s="1">
        <v>0</v>
      </c>
      <c r="K3553" s="2">
        <v>43745</v>
      </c>
      <c r="L3553" s="1">
        <v>3716</v>
      </c>
      <c r="M3553" s="1">
        <v>3.5</v>
      </c>
      <c r="N3553" s="1">
        <v>0.57247999999999999</v>
      </c>
      <c r="O3553" s="3">
        <f>VLOOKUP(D3553,underlying!$D$40:$H$75,5,FALSE)</f>
        <v>-1.5</v>
      </c>
      <c r="P3553" s="4">
        <f t="shared" si="142"/>
        <v>43656</v>
      </c>
      <c r="Q3553" s="7">
        <f>IF(G3553="C",NormalCallSprd(O3553,H3553,M3553,(P3553-A3553)/365), NormalPutSprd(O3553,H3553,M3553,(P3553-A3553)/365))</f>
        <v>2.7441513864486415</v>
      </c>
      <c r="R3553" s="9">
        <f t="shared" si="144"/>
        <v>5.4151386448641592E-2</v>
      </c>
    </row>
    <row r="3554" spans="1:18" x14ac:dyDescent="0.2">
      <c r="A3554" s="2">
        <v>42622</v>
      </c>
      <c r="B3554" s="1" t="s">
        <v>56</v>
      </c>
      <c r="C3554" s="1" t="s">
        <v>57</v>
      </c>
      <c r="D3554" s="2">
        <v>43472</v>
      </c>
      <c r="E3554" s="2">
        <f t="shared" si="143"/>
        <v>43647</v>
      </c>
      <c r="F3554" s="1" t="s">
        <v>58</v>
      </c>
      <c r="G3554" s="1" t="s">
        <v>16</v>
      </c>
      <c r="H3554" s="1">
        <v>-0.5</v>
      </c>
      <c r="I3554" s="1">
        <v>1.84</v>
      </c>
      <c r="J3554" s="1">
        <v>0</v>
      </c>
      <c r="K3554" s="2">
        <v>43745</v>
      </c>
      <c r="L3554" s="1">
        <v>3716</v>
      </c>
      <c r="M3554" s="1">
        <v>3.49</v>
      </c>
      <c r="N3554" s="1">
        <v>0.59133999999999998</v>
      </c>
      <c r="O3554" s="3">
        <f>VLOOKUP(D3554,underlying!$D$40:$H$75,5,FALSE)</f>
        <v>-1.5</v>
      </c>
      <c r="P3554" s="4">
        <f t="shared" si="142"/>
        <v>43656</v>
      </c>
      <c r="Q3554" s="7">
        <f>IF(G3554="C",NormalCallSprd(O3554,H3554,M3554,(P3554-A3554)/365), NormalPutSprd(O3554,H3554,M3554,(P3554-A3554)/365))</f>
        <v>1.8772917944401266</v>
      </c>
      <c r="R3554" s="9">
        <f t="shared" si="144"/>
        <v>3.7291794440126536E-2</v>
      </c>
    </row>
    <row r="3555" spans="1:18" x14ac:dyDescent="0.2">
      <c r="A3555" s="2">
        <v>42622</v>
      </c>
      <c r="B3555" s="1" t="s">
        <v>56</v>
      </c>
      <c r="C3555" s="1" t="s">
        <v>57</v>
      </c>
      <c r="D3555" s="2">
        <v>43472</v>
      </c>
      <c r="E3555" s="2">
        <f t="shared" si="143"/>
        <v>43647</v>
      </c>
      <c r="F3555" s="1" t="s">
        <v>58</v>
      </c>
      <c r="G3555" s="1" t="s">
        <v>18</v>
      </c>
      <c r="H3555" s="1">
        <v>-0.5</v>
      </c>
      <c r="I3555" s="1">
        <v>2.82</v>
      </c>
      <c r="J3555" s="1">
        <v>0</v>
      </c>
      <c r="K3555" s="2">
        <v>43745</v>
      </c>
      <c r="L3555" s="1">
        <v>3716</v>
      </c>
      <c r="M3555" s="1">
        <v>3.49</v>
      </c>
      <c r="N3555" s="1">
        <v>0.61104000000000003</v>
      </c>
      <c r="O3555" s="3">
        <f>VLOOKUP(D3555,underlying!$D$40:$H$75,5,FALSE)</f>
        <v>-1.5</v>
      </c>
      <c r="P3555" s="4">
        <f t="shared" si="142"/>
        <v>43656</v>
      </c>
      <c r="Q3555" s="7">
        <f>IF(G3555="C",NormalCallSprd(O3555,H3555,M3555,(P3555-A3555)/365), NormalPutSprd(O3555,H3555,M3555,(P3555-A3555)/365))</f>
        <v>2.8772917944401266</v>
      </c>
      <c r="R3555" s="9">
        <f t="shared" si="144"/>
        <v>5.7291794440126775E-2</v>
      </c>
    </row>
    <row r="3556" spans="1:18" x14ac:dyDescent="0.2">
      <c r="A3556" s="2">
        <v>42622</v>
      </c>
      <c r="B3556" s="1" t="s">
        <v>56</v>
      </c>
      <c r="C3556" s="1" t="s">
        <v>57</v>
      </c>
      <c r="D3556" s="2">
        <v>43472</v>
      </c>
      <c r="E3556" s="2">
        <f t="shared" si="143"/>
        <v>43647</v>
      </c>
      <c r="F3556" s="1" t="s">
        <v>58</v>
      </c>
      <c r="G3556" s="1" t="s">
        <v>16</v>
      </c>
      <c r="H3556" s="1">
        <v>-0.25</v>
      </c>
      <c r="I3556" s="1">
        <v>1.74</v>
      </c>
      <c r="J3556" s="1">
        <v>-0.01</v>
      </c>
      <c r="K3556" s="2">
        <v>43745</v>
      </c>
      <c r="L3556" s="1">
        <v>3716</v>
      </c>
      <c r="M3556" s="1">
        <v>3.5</v>
      </c>
      <c r="N3556" s="1">
        <v>0.62916000000000005</v>
      </c>
      <c r="O3556" s="3">
        <f>VLOOKUP(D3556,underlying!$D$40:$H$75,5,FALSE)</f>
        <v>-1.5</v>
      </c>
      <c r="P3556" s="4">
        <f t="shared" si="142"/>
        <v>43656</v>
      </c>
      <c r="Q3556" s="7">
        <f>IF(G3556="C",NormalCallSprd(O3556,H3556,M3556,(P3556-A3556)/365), NormalPutSprd(O3556,H3556,M3556,(P3556-A3556)/365))</f>
        <v>1.7778403235723452</v>
      </c>
      <c r="R3556" s="9">
        <f t="shared" si="144"/>
        <v>3.7840323572345236E-2</v>
      </c>
    </row>
    <row r="3557" spans="1:18" x14ac:dyDescent="0.2">
      <c r="A3557" s="2">
        <v>42622</v>
      </c>
      <c r="B3557" s="1" t="s">
        <v>56</v>
      </c>
      <c r="C3557" s="1" t="s">
        <v>57</v>
      </c>
      <c r="D3557" s="2">
        <v>43472</v>
      </c>
      <c r="E3557" s="2">
        <f t="shared" si="143"/>
        <v>43647</v>
      </c>
      <c r="F3557" s="1" t="s">
        <v>58</v>
      </c>
      <c r="G3557" s="1" t="s">
        <v>18</v>
      </c>
      <c r="H3557" s="1">
        <v>-0.25</v>
      </c>
      <c r="I3557" s="1">
        <v>2.97</v>
      </c>
      <c r="J3557" s="1">
        <v>0</v>
      </c>
      <c r="K3557" s="2">
        <v>43745</v>
      </c>
      <c r="L3557" s="1">
        <v>3716</v>
      </c>
      <c r="M3557" s="1">
        <v>3.5</v>
      </c>
      <c r="N3557" s="1">
        <v>0.64842999999999995</v>
      </c>
      <c r="O3557" s="3">
        <f>VLOOKUP(D3557,underlying!$D$40:$H$75,5,FALSE)</f>
        <v>-1.5</v>
      </c>
      <c r="P3557" s="4">
        <f t="shared" si="142"/>
        <v>43656</v>
      </c>
      <c r="Q3557" s="7">
        <f>IF(G3557="C",NormalCallSprd(O3557,H3557,M3557,(P3557-A3557)/365), NormalPutSprd(O3557,H3557,M3557,(P3557-A3557)/365))</f>
        <v>3.0278403235723452</v>
      </c>
      <c r="R3557" s="9">
        <f t="shared" si="144"/>
        <v>5.7840323572345032E-2</v>
      </c>
    </row>
    <row r="3558" spans="1:18" x14ac:dyDescent="0.2">
      <c r="A3558" s="2">
        <v>42622</v>
      </c>
      <c r="B3558" s="1" t="s">
        <v>56</v>
      </c>
      <c r="C3558" s="1" t="s">
        <v>57</v>
      </c>
      <c r="D3558" s="2">
        <v>43473</v>
      </c>
      <c r="E3558" s="2">
        <f t="shared" si="143"/>
        <v>43678</v>
      </c>
      <c r="F3558" s="1" t="s">
        <v>58</v>
      </c>
      <c r="G3558" s="1" t="s">
        <v>16</v>
      </c>
      <c r="H3558" s="1">
        <v>-7</v>
      </c>
      <c r="I3558" s="1">
        <v>5.95</v>
      </c>
      <c r="J3558" s="1">
        <v>-0.01</v>
      </c>
      <c r="K3558" s="2">
        <v>43716</v>
      </c>
      <c r="L3558" s="1">
        <v>3716</v>
      </c>
      <c r="M3558" s="1">
        <v>3.5</v>
      </c>
      <c r="N3558" s="1">
        <v>0.66566000000000003</v>
      </c>
      <c r="O3558" s="3">
        <f>VLOOKUP(D3558,underlying!$D$40:$H$75,5,FALSE)</f>
        <v>-1.5</v>
      </c>
      <c r="P3558" s="4">
        <f t="shared" si="142"/>
        <v>43686</v>
      </c>
      <c r="Q3558" s="7">
        <f>IF(G3558="C",NormalCallSprd(O3558,H3558,M3558,(P3558-A3558)/365), NormalPutSprd(O3558,H3558,M3558,(P3558-A3558)/365))</f>
        <v>6.0780566648447945</v>
      </c>
      <c r="R3558" s="9">
        <f t="shared" si="144"/>
        <v>0.12805666484479428</v>
      </c>
    </row>
    <row r="3559" spans="1:18" x14ac:dyDescent="0.2">
      <c r="A3559" s="2">
        <v>42622</v>
      </c>
      <c r="B3559" s="1" t="s">
        <v>56</v>
      </c>
      <c r="C3559" s="1" t="s">
        <v>57</v>
      </c>
      <c r="D3559" s="2">
        <v>43473</v>
      </c>
      <c r="E3559" s="2">
        <f t="shared" si="143"/>
        <v>43678</v>
      </c>
      <c r="F3559" s="1" t="s">
        <v>58</v>
      </c>
      <c r="G3559" s="1" t="s">
        <v>18</v>
      </c>
      <c r="H3559" s="1">
        <v>-7</v>
      </c>
      <c r="I3559" s="1">
        <v>0.56999999999999995</v>
      </c>
      <c r="J3559" s="1">
        <v>0</v>
      </c>
      <c r="K3559" s="2">
        <v>43716</v>
      </c>
      <c r="L3559" s="1">
        <v>3716</v>
      </c>
      <c r="M3559" s="1">
        <v>3.5</v>
      </c>
      <c r="N3559" s="1">
        <v>0.68332000000000004</v>
      </c>
      <c r="O3559" s="3">
        <f>VLOOKUP(D3559,underlying!$D$40:$H$75,5,FALSE)</f>
        <v>-1.5</v>
      </c>
      <c r="P3559" s="4">
        <f t="shared" si="142"/>
        <v>43686</v>
      </c>
      <c r="Q3559" s="7">
        <f>IF(G3559="C",NormalCallSprd(O3559,H3559,M3559,(P3559-A3559)/365), NormalPutSprd(O3559,H3559,M3559,(P3559-A3559)/365))</f>
        <v>0.57805666484479412</v>
      </c>
      <c r="R3559" s="9">
        <f t="shared" si="144"/>
        <v>8.0566648447941702E-3</v>
      </c>
    </row>
    <row r="3560" spans="1:18" x14ac:dyDescent="0.2">
      <c r="A3560" s="2">
        <v>42622</v>
      </c>
      <c r="B3560" s="1" t="s">
        <v>56</v>
      </c>
      <c r="C3560" s="1" t="s">
        <v>57</v>
      </c>
      <c r="D3560" s="2">
        <v>43473</v>
      </c>
      <c r="E3560" s="2">
        <f t="shared" si="143"/>
        <v>43678</v>
      </c>
      <c r="F3560" s="1" t="s">
        <v>58</v>
      </c>
      <c r="G3560" s="1" t="s">
        <v>16</v>
      </c>
      <c r="H3560" s="1">
        <v>-6</v>
      </c>
      <c r="I3560" s="1">
        <v>5.17</v>
      </c>
      <c r="J3560" s="1">
        <v>-0.01</v>
      </c>
      <c r="K3560" s="2">
        <v>43716</v>
      </c>
      <c r="L3560" s="1">
        <v>3716</v>
      </c>
      <c r="M3560" s="1">
        <v>3.51</v>
      </c>
      <c r="N3560" s="1">
        <v>0.70054000000000005</v>
      </c>
      <c r="O3560" s="3">
        <f>VLOOKUP(D3560,underlying!$D$40:$H$75,5,FALSE)</f>
        <v>-1.5</v>
      </c>
      <c r="P3560" s="4">
        <f t="shared" si="142"/>
        <v>43686</v>
      </c>
      <c r="Q3560" s="7">
        <f>IF(G3560="C",NormalCallSprd(O3560,H3560,M3560,(P3560-A3560)/365), NormalPutSprd(O3560,H3560,M3560,(P3560-A3560)/365))</f>
        <v>5.2848411683595833</v>
      </c>
      <c r="R3560" s="9">
        <f t="shared" si="144"/>
        <v>0.11484116835958336</v>
      </c>
    </row>
    <row r="3561" spans="1:18" x14ac:dyDescent="0.2">
      <c r="A3561" s="2">
        <v>42622</v>
      </c>
      <c r="B3561" s="1" t="s">
        <v>56</v>
      </c>
      <c r="C3561" s="1" t="s">
        <v>57</v>
      </c>
      <c r="D3561" s="2">
        <v>43473</v>
      </c>
      <c r="E3561" s="2">
        <f t="shared" si="143"/>
        <v>43678</v>
      </c>
      <c r="F3561" s="1" t="s">
        <v>58</v>
      </c>
      <c r="G3561" s="1" t="s">
        <v>18</v>
      </c>
      <c r="H3561" s="1">
        <v>-6</v>
      </c>
      <c r="I3561" s="1">
        <v>0.77</v>
      </c>
      <c r="J3561" s="1">
        <v>0</v>
      </c>
      <c r="K3561" s="2">
        <v>43716</v>
      </c>
      <c r="L3561" s="1">
        <v>3716</v>
      </c>
      <c r="M3561" s="1">
        <v>3.51</v>
      </c>
      <c r="N3561" s="1">
        <v>0.71728999999999998</v>
      </c>
      <c r="O3561" s="3">
        <f>VLOOKUP(D3561,underlying!$D$40:$H$75,5,FALSE)</f>
        <v>-1.5</v>
      </c>
      <c r="P3561" s="4">
        <f t="shared" si="142"/>
        <v>43686</v>
      </c>
      <c r="Q3561" s="7">
        <f>IF(G3561="C",NormalCallSprd(O3561,H3561,M3561,(P3561-A3561)/365), NormalPutSprd(O3561,H3561,M3561,(P3561-A3561)/365))</f>
        <v>0.78484116835958284</v>
      </c>
      <c r="R3561" s="9">
        <f t="shared" si="144"/>
        <v>1.4841168359582824E-2</v>
      </c>
    </row>
    <row r="3562" spans="1:18" x14ac:dyDescent="0.2">
      <c r="A3562" s="2">
        <v>42622</v>
      </c>
      <c r="B3562" s="1" t="s">
        <v>56</v>
      </c>
      <c r="C3562" s="1" t="s">
        <v>57</v>
      </c>
      <c r="D3562" s="2">
        <v>43473</v>
      </c>
      <c r="E3562" s="2">
        <f t="shared" si="143"/>
        <v>43678</v>
      </c>
      <c r="F3562" s="1" t="s">
        <v>58</v>
      </c>
      <c r="G3562" s="1" t="s">
        <v>16</v>
      </c>
      <c r="H3562" s="1">
        <v>-5</v>
      </c>
      <c r="I3562" s="1">
        <v>4.4400000000000004</v>
      </c>
      <c r="J3562" s="1">
        <v>-0.01</v>
      </c>
      <c r="K3562" s="2">
        <v>43716</v>
      </c>
      <c r="L3562" s="1">
        <v>3716</v>
      </c>
      <c r="M3562" s="1">
        <v>3.51</v>
      </c>
      <c r="N3562" s="1">
        <v>0.73353999999999997</v>
      </c>
      <c r="O3562" s="3">
        <f>VLOOKUP(D3562,underlying!$D$40:$H$75,5,FALSE)</f>
        <v>-1.5</v>
      </c>
      <c r="P3562" s="4">
        <f t="shared" si="142"/>
        <v>43686</v>
      </c>
      <c r="Q3562" s="7">
        <f>IF(G3562="C",NormalCallSprd(O3562,H3562,M3562,(P3562-A3562)/365), NormalPutSprd(O3562,H3562,M3562,(P3562-A3562)/365))</f>
        <v>4.5373257727697691</v>
      </c>
      <c r="R3562" s="9">
        <f t="shared" si="144"/>
        <v>9.7325772769768726E-2</v>
      </c>
    </row>
    <row r="3563" spans="1:18" x14ac:dyDescent="0.2">
      <c r="A3563" s="2">
        <v>42622</v>
      </c>
      <c r="B3563" s="1" t="s">
        <v>56</v>
      </c>
      <c r="C3563" s="1" t="s">
        <v>57</v>
      </c>
      <c r="D3563" s="2">
        <v>43473</v>
      </c>
      <c r="E3563" s="2">
        <f t="shared" si="143"/>
        <v>43678</v>
      </c>
      <c r="F3563" s="1" t="s">
        <v>58</v>
      </c>
      <c r="G3563" s="1" t="s">
        <v>18</v>
      </c>
      <c r="H3563" s="1">
        <v>-5</v>
      </c>
      <c r="I3563" s="1">
        <v>1.02</v>
      </c>
      <c r="J3563" s="1">
        <v>0</v>
      </c>
      <c r="K3563" s="2">
        <v>43716</v>
      </c>
      <c r="L3563" s="1">
        <v>3716</v>
      </c>
      <c r="M3563" s="1">
        <v>3.51</v>
      </c>
      <c r="N3563" s="1">
        <v>0.74926000000000004</v>
      </c>
      <c r="O3563" s="3">
        <f>VLOOKUP(D3563,underlying!$D$40:$H$75,5,FALSE)</f>
        <v>-1.5</v>
      </c>
      <c r="P3563" s="4">
        <f t="shared" si="142"/>
        <v>43686</v>
      </c>
      <c r="Q3563" s="7">
        <f>IF(G3563="C",NormalCallSprd(O3563,H3563,M3563,(P3563-A3563)/365), NormalPutSprd(O3563,H3563,M3563,(P3563-A3563)/365))</f>
        <v>1.0373257727697687</v>
      </c>
      <c r="R3563" s="9">
        <f t="shared" si="144"/>
        <v>1.7325772769768655E-2</v>
      </c>
    </row>
    <row r="3564" spans="1:18" x14ac:dyDescent="0.2">
      <c r="A3564" s="2">
        <v>42622</v>
      </c>
      <c r="B3564" s="1" t="s">
        <v>56</v>
      </c>
      <c r="C3564" s="1" t="s">
        <v>57</v>
      </c>
      <c r="D3564" s="2">
        <v>43473</v>
      </c>
      <c r="E3564" s="2">
        <f t="shared" si="143"/>
        <v>43678</v>
      </c>
      <c r="F3564" s="1" t="s">
        <v>58</v>
      </c>
      <c r="G3564" s="1" t="s">
        <v>16</v>
      </c>
      <c r="H3564" s="1">
        <v>-4</v>
      </c>
      <c r="I3564" s="1">
        <v>3.76</v>
      </c>
      <c r="J3564" s="1">
        <v>-0.01</v>
      </c>
      <c r="K3564" s="2">
        <v>43716</v>
      </c>
      <c r="L3564" s="1">
        <v>3716</v>
      </c>
      <c r="M3564" s="1">
        <v>3.5</v>
      </c>
      <c r="N3564" s="1">
        <v>0.76444000000000001</v>
      </c>
      <c r="O3564" s="3">
        <f>VLOOKUP(D3564,underlying!$D$40:$H$75,5,FALSE)</f>
        <v>-1.5</v>
      </c>
      <c r="P3564" s="4">
        <f t="shared" si="142"/>
        <v>43686</v>
      </c>
      <c r="Q3564" s="7">
        <f>IF(G3564="C",NormalCallSprd(O3564,H3564,M3564,(P3564-A3564)/365), NormalPutSprd(O3564,H3564,M3564,(P3564-A3564)/365))</f>
        <v>3.8396145735802674</v>
      </c>
      <c r="R3564" s="9">
        <f t="shared" si="144"/>
        <v>7.9614573580267578E-2</v>
      </c>
    </row>
    <row r="3565" spans="1:18" x14ac:dyDescent="0.2">
      <c r="A3565" s="2">
        <v>42622</v>
      </c>
      <c r="B3565" s="1" t="s">
        <v>56</v>
      </c>
      <c r="C3565" s="1" t="s">
        <v>57</v>
      </c>
      <c r="D3565" s="2">
        <v>43473</v>
      </c>
      <c r="E3565" s="2">
        <f t="shared" si="143"/>
        <v>43678</v>
      </c>
      <c r="F3565" s="1" t="s">
        <v>58</v>
      </c>
      <c r="G3565" s="1" t="s">
        <v>18</v>
      </c>
      <c r="H3565" s="1">
        <v>-4</v>
      </c>
      <c r="I3565" s="1">
        <v>1.31</v>
      </c>
      <c r="J3565" s="1">
        <v>0</v>
      </c>
      <c r="K3565" s="2">
        <v>43716</v>
      </c>
      <c r="L3565" s="1">
        <v>3716</v>
      </c>
      <c r="M3565" s="1">
        <v>3.5</v>
      </c>
      <c r="N3565" s="1">
        <v>0.77905000000000002</v>
      </c>
      <c r="O3565" s="3">
        <f>VLOOKUP(D3565,underlying!$D$40:$H$75,5,FALSE)</f>
        <v>-1.5</v>
      </c>
      <c r="P3565" s="4">
        <f t="shared" si="142"/>
        <v>43686</v>
      </c>
      <c r="Q3565" s="7">
        <f>IF(G3565="C",NormalCallSprd(O3565,H3565,M3565,(P3565-A3565)/365), NormalPutSprd(O3565,H3565,M3565,(P3565-A3565)/365))</f>
        <v>1.3396145735802676</v>
      </c>
      <c r="R3565" s="9">
        <f t="shared" si="144"/>
        <v>2.9614573580267534E-2</v>
      </c>
    </row>
    <row r="3566" spans="1:18" x14ac:dyDescent="0.2">
      <c r="A3566" s="2">
        <v>42622</v>
      </c>
      <c r="B3566" s="1" t="s">
        <v>56</v>
      </c>
      <c r="C3566" s="1" t="s">
        <v>57</v>
      </c>
      <c r="D3566" s="2">
        <v>43473</v>
      </c>
      <c r="E3566" s="2">
        <f t="shared" si="143"/>
        <v>43678</v>
      </c>
      <c r="F3566" s="1" t="s">
        <v>58</v>
      </c>
      <c r="G3566" s="1" t="s">
        <v>16</v>
      </c>
      <c r="H3566" s="1">
        <v>-3.75</v>
      </c>
      <c r="I3566" s="1">
        <v>3.6</v>
      </c>
      <c r="J3566" s="1">
        <v>0</v>
      </c>
      <c r="K3566" s="2">
        <v>43716</v>
      </c>
      <c r="L3566" s="1">
        <v>3716</v>
      </c>
      <c r="M3566" s="1">
        <v>3.5</v>
      </c>
      <c r="N3566" s="1">
        <v>0.79308000000000001</v>
      </c>
      <c r="O3566" s="3">
        <f>VLOOKUP(D3566,underlying!$D$40:$H$75,5,FALSE)</f>
        <v>-1.5</v>
      </c>
      <c r="P3566" s="4">
        <f t="shared" si="142"/>
        <v>43686</v>
      </c>
      <c r="Q3566" s="7">
        <f>IF(G3566="C",NormalCallSprd(O3566,H3566,M3566,(P3566-A3566)/365), NormalPutSprd(O3566,H3566,M3566,(P3566-A3566)/365))</f>
        <v>3.6759976551318552</v>
      </c>
      <c r="R3566" s="9">
        <f t="shared" si="144"/>
        <v>7.599765513185508E-2</v>
      </c>
    </row>
    <row r="3567" spans="1:18" x14ac:dyDescent="0.2">
      <c r="A3567" s="2">
        <v>42622</v>
      </c>
      <c r="B3567" s="1" t="s">
        <v>56</v>
      </c>
      <c r="C3567" s="1" t="s">
        <v>57</v>
      </c>
      <c r="D3567" s="2">
        <v>43473</v>
      </c>
      <c r="E3567" s="2">
        <f t="shared" si="143"/>
        <v>43678</v>
      </c>
      <c r="F3567" s="1" t="s">
        <v>58</v>
      </c>
      <c r="G3567" s="1" t="s">
        <v>18</v>
      </c>
      <c r="H3567" s="1">
        <v>-3.75</v>
      </c>
      <c r="I3567" s="1">
        <v>1.4</v>
      </c>
      <c r="J3567" s="1">
        <v>0</v>
      </c>
      <c r="K3567" s="2">
        <v>43716</v>
      </c>
      <c r="L3567" s="1">
        <v>3716</v>
      </c>
      <c r="M3567" s="1">
        <v>3.5</v>
      </c>
      <c r="N3567" s="1">
        <v>0.80652000000000001</v>
      </c>
      <c r="O3567" s="3">
        <f>VLOOKUP(D3567,underlying!$D$40:$H$75,5,FALSE)</f>
        <v>-1.5</v>
      </c>
      <c r="P3567" s="4">
        <f t="shared" si="142"/>
        <v>43686</v>
      </c>
      <c r="Q3567" s="7">
        <f>IF(G3567="C",NormalCallSprd(O3567,H3567,M3567,(P3567-A3567)/365), NormalPutSprd(O3567,H3567,M3567,(P3567-A3567)/365))</f>
        <v>1.4259976551318554</v>
      </c>
      <c r="R3567" s="9">
        <f t="shared" si="144"/>
        <v>2.5997655131855479E-2</v>
      </c>
    </row>
    <row r="3568" spans="1:18" x14ac:dyDescent="0.2">
      <c r="A3568" s="2">
        <v>42622</v>
      </c>
      <c r="B3568" s="1" t="s">
        <v>56</v>
      </c>
      <c r="C3568" s="1" t="s">
        <v>57</v>
      </c>
      <c r="D3568" s="2">
        <v>43473</v>
      </c>
      <c r="E3568" s="2">
        <f t="shared" si="143"/>
        <v>43678</v>
      </c>
      <c r="F3568" s="1" t="s">
        <v>58</v>
      </c>
      <c r="G3568" s="1" t="s">
        <v>16</v>
      </c>
      <c r="H3568" s="1">
        <v>-3.5</v>
      </c>
      <c r="I3568" s="1">
        <v>3.44</v>
      </c>
      <c r="J3568" s="1">
        <v>0</v>
      </c>
      <c r="K3568" s="2">
        <v>43716</v>
      </c>
      <c r="L3568" s="1">
        <v>3716</v>
      </c>
      <c r="M3568" s="1">
        <v>3.49</v>
      </c>
      <c r="N3568" s="1">
        <v>0.85426999999999997</v>
      </c>
      <c r="O3568" s="3">
        <f>VLOOKUP(D3568,underlying!$D$40:$H$75,5,FALSE)</f>
        <v>-1.5</v>
      </c>
      <c r="P3568" s="4">
        <f t="shared" si="142"/>
        <v>43686</v>
      </c>
      <c r="Q3568" s="7">
        <f>IF(G3568="C",NormalCallSprd(O3568,H3568,M3568,(P3568-A3568)/365), NormalPutSprd(O3568,H3568,M3568,(P3568-A3568)/365))</f>
        <v>3.509827900632061</v>
      </c>
      <c r="R3568" s="9">
        <f t="shared" si="144"/>
        <v>6.9827900632061013E-2</v>
      </c>
    </row>
    <row r="3569" spans="1:18" x14ac:dyDescent="0.2">
      <c r="A3569" s="2">
        <v>42622</v>
      </c>
      <c r="B3569" s="1" t="s">
        <v>56</v>
      </c>
      <c r="C3569" s="1" t="s">
        <v>57</v>
      </c>
      <c r="D3569" s="2">
        <v>43473</v>
      </c>
      <c r="E3569" s="2">
        <f t="shared" si="143"/>
        <v>43678</v>
      </c>
      <c r="F3569" s="1" t="s">
        <v>58</v>
      </c>
      <c r="G3569" s="1" t="s">
        <v>18</v>
      </c>
      <c r="H3569" s="1">
        <v>-3.5</v>
      </c>
      <c r="I3569" s="1">
        <v>1.48</v>
      </c>
      <c r="J3569" s="1">
        <v>0</v>
      </c>
      <c r="K3569" s="2">
        <v>43716</v>
      </c>
      <c r="L3569" s="1">
        <v>3716</v>
      </c>
      <c r="M3569" s="1">
        <v>3.49</v>
      </c>
      <c r="N3569" s="1">
        <v>0.89315</v>
      </c>
      <c r="O3569" s="3">
        <f>VLOOKUP(D3569,underlying!$D$40:$H$75,5,FALSE)</f>
        <v>-1.5</v>
      </c>
      <c r="P3569" s="4">
        <f t="shared" si="142"/>
        <v>43686</v>
      </c>
      <c r="Q3569" s="7">
        <f>IF(G3569="C",NormalCallSprd(O3569,H3569,M3569,(P3569-A3569)/365), NormalPutSprd(O3569,H3569,M3569,(P3569-A3569)/365))</f>
        <v>1.509827900632061</v>
      </c>
      <c r="R3569" s="9">
        <f t="shared" si="144"/>
        <v>2.9827900632060977E-2</v>
      </c>
    </row>
    <row r="3570" spans="1:18" x14ac:dyDescent="0.2">
      <c r="A3570" s="2">
        <v>42622</v>
      </c>
      <c r="B3570" s="1" t="s">
        <v>56</v>
      </c>
      <c r="C3570" s="1" t="s">
        <v>57</v>
      </c>
      <c r="D3570" s="2">
        <v>43473</v>
      </c>
      <c r="E3570" s="2">
        <f t="shared" si="143"/>
        <v>43678</v>
      </c>
      <c r="F3570" s="1" t="s">
        <v>58</v>
      </c>
      <c r="G3570" s="1" t="s">
        <v>16</v>
      </c>
      <c r="H3570" s="1">
        <v>-3.25</v>
      </c>
      <c r="I3570" s="1">
        <v>3.3</v>
      </c>
      <c r="J3570" s="1">
        <v>0</v>
      </c>
      <c r="K3570" s="2">
        <v>43716</v>
      </c>
      <c r="L3570" s="1">
        <v>3716</v>
      </c>
      <c r="M3570" s="1">
        <v>3.51</v>
      </c>
      <c r="N3570" s="1">
        <v>-0.59160999999999997</v>
      </c>
      <c r="O3570" s="3">
        <f>VLOOKUP(D3570,underlying!$D$40:$H$75,5,FALSE)</f>
        <v>-1.5</v>
      </c>
      <c r="P3570" s="4">
        <f t="shared" si="142"/>
        <v>43686</v>
      </c>
      <c r="Q3570" s="7">
        <f>IF(G3570="C",NormalCallSprd(O3570,H3570,M3570,(P3570-A3570)/365), NormalPutSprd(O3570,H3570,M3570,(P3570-A3570)/365))</f>
        <v>3.3670078161133343</v>
      </c>
      <c r="R3570" s="9">
        <f t="shared" si="144"/>
        <v>6.7007816113334506E-2</v>
      </c>
    </row>
    <row r="3571" spans="1:18" x14ac:dyDescent="0.2">
      <c r="A3571" s="2">
        <v>42622</v>
      </c>
      <c r="B3571" s="1" t="s">
        <v>56</v>
      </c>
      <c r="C3571" s="1" t="s">
        <v>57</v>
      </c>
      <c r="D3571" s="2">
        <v>43473</v>
      </c>
      <c r="E3571" s="2">
        <f t="shared" si="143"/>
        <v>43678</v>
      </c>
      <c r="F3571" s="1" t="s">
        <v>58</v>
      </c>
      <c r="G3571" s="1" t="s">
        <v>18</v>
      </c>
      <c r="H3571" s="1">
        <v>-3.25</v>
      </c>
      <c r="I3571" s="1">
        <v>1.58</v>
      </c>
      <c r="J3571" s="1">
        <v>-0.01</v>
      </c>
      <c r="K3571" s="2">
        <v>43716</v>
      </c>
      <c r="L3571" s="1">
        <v>3716</v>
      </c>
      <c r="M3571" s="1">
        <v>3.51</v>
      </c>
      <c r="N3571" s="1">
        <v>-0.57247999999999999</v>
      </c>
      <c r="O3571" s="3">
        <f>VLOOKUP(D3571,underlying!$D$40:$H$75,5,FALSE)</f>
        <v>-1.5</v>
      </c>
      <c r="P3571" s="4">
        <f t="shared" si="142"/>
        <v>43686</v>
      </c>
      <c r="Q3571" s="7">
        <f>IF(G3571="C",NormalCallSprd(O3571,H3571,M3571,(P3571-A3571)/365), NormalPutSprd(O3571,H3571,M3571,(P3571-A3571)/365))</f>
        <v>1.6170078161133346</v>
      </c>
      <c r="R3571" s="9">
        <f t="shared" si="144"/>
        <v>3.700781611333448E-2</v>
      </c>
    </row>
    <row r="3572" spans="1:18" x14ac:dyDescent="0.2">
      <c r="A3572" s="2">
        <v>42622</v>
      </c>
      <c r="B3572" s="1" t="s">
        <v>56</v>
      </c>
      <c r="C3572" s="1" t="s">
        <v>57</v>
      </c>
      <c r="D3572" s="2">
        <v>43473</v>
      </c>
      <c r="E3572" s="2">
        <f t="shared" si="143"/>
        <v>43678</v>
      </c>
      <c r="F3572" s="1" t="s">
        <v>58</v>
      </c>
      <c r="G3572" s="1" t="s">
        <v>16</v>
      </c>
      <c r="H3572" s="1">
        <v>-3</v>
      </c>
      <c r="I3572" s="1">
        <v>3.14</v>
      </c>
      <c r="J3572" s="1">
        <v>0</v>
      </c>
      <c r="K3572" s="2">
        <v>43716</v>
      </c>
      <c r="L3572" s="1">
        <v>3716</v>
      </c>
      <c r="M3572" s="1">
        <v>3.49</v>
      </c>
      <c r="N3572" s="1">
        <v>-0.55271000000000003</v>
      </c>
      <c r="O3572" s="3">
        <f>VLOOKUP(D3572,underlying!$D$40:$H$75,5,FALSE)</f>
        <v>-1.5</v>
      </c>
      <c r="P3572" s="4">
        <f t="shared" si="142"/>
        <v>43686</v>
      </c>
      <c r="Q3572" s="7">
        <f>IF(G3572="C",NormalCallSprd(O3572,H3572,M3572,(P3572-A3572)/365), NormalPutSprd(O3572,H3572,M3572,(P3572-A3572)/365))</f>
        <v>3.2020931757077138</v>
      </c>
      <c r="R3572" s="9">
        <f t="shared" si="144"/>
        <v>6.2093175707713666E-2</v>
      </c>
    </row>
    <row r="3573" spans="1:18" x14ac:dyDescent="0.2">
      <c r="A3573" s="2">
        <v>42622</v>
      </c>
      <c r="B3573" s="1" t="s">
        <v>56</v>
      </c>
      <c r="C3573" s="1" t="s">
        <v>57</v>
      </c>
      <c r="D3573" s="2">
        <v>43473</v>
      </c>
      <c r="E3573" s="2">
        <f t="shared" si="143"/>
        <v>43678</v>
      </c>
      <c r="F3573" s="1" t="s">
        <v>58</v>
      </c>
      <c r="G3573" s="1" t="s">
        <v>18</v>
      </c>
      <c r="H3573" s="1">
        <v>-3</v>
      </c>
      <c r="I3573" s="1">
        <v>1.67</v>
      </c>
      <c r="J3573" s="1">
        <v>0</v>
      </c>
      <c r="K3573" s="2">
        <v>43716</v>
      </c>
      <c r="L3573" s="1">
        <v>3716</v>
      </c>
      <c r="M3573" s="1">
        <v>3.49</v>
      </c>
      <c r="N3573" s="1">
        <v>-0.53302000000000005</v>
      </c>
      <c r="O3573" s="3">
        <f>VLOOKUP(D3573,underlying!$D$40:$H$75,5,FALSE)</f>
        <v>-1.5</v>
      </c>
      <c r="P3573" s="4">
        <f t="shared" si="142"/>
        <v>43686</v>
      </c>
      <c r="Q3573" s="7">
        <f>IF(G3573="C",NormalCallSprd(O3573,H3573,M3573,(P3573-A3573)/365), NormalPutSprd(O3573,H3573,M3573,(P3573-A3573)/365))</f>
        <v>1.7020931757077138</v>
      </c>
      <c r="R3573" s="9">
        <f t="shared" si="144"/>
        <v>3.2093175707713861E-2</v>
      </c>
    </row>
    <row r="3574" spans="1:18" x14ac:dyDescent="0.2">
      <c r="A3574" s="2">
        <v>42622</v>
      </c>
      <c r="B3574" s="1" t="s">
        <v>56</v>
      </c>
      <c r="C3574" s="1" t="s">
        <v>57</v>
      </c>
      <c r="D3574" s="2">
        <v>43473</v>
      </c>
      <c r="E3574" s="2">
        <f t="shared" si="143"/>
        <v>43678</v>
      </c>
      <c r="F3574" s="1" t="s">
        <v>58</v>
      </c>
      <c r="G3574" s="1" t="s">
        <v>16</v>
      </c>
      <c r="H3574" s="1">
        <v>-2.75</v>
      </c>
      <c r="I3574" s="1">
        <v>3</v>
      </c>
      <c r="J3574" s="1">
        <v>-0.01</v>
      </c>
      <c r="K3574" s="2">
        <v>43716</v>
      </c>
      <c r="L3574" s="1">
        <v>3716</v>
      </c>
      <c r="M3574" s="1">
        <v>3.51</v>
      </c>
      <c r="N3574" s="1">
        <v>-0.51317000000000002</v>
      </c>
      <c r="O3574" s="3">
        <f>VLOOKUP(D3574,underlying!$D$40:$H$75,5,FALSE)</f>
        <v>-1.5</v>
      </c>
      <c r="P3574" s="4">
        <f t="shared" si="142"/>
        <v>43686</v>
      </c>
      <c r="Q3574" s="7">
        <f>IF(G3574="C",NormalCallSprd(O3574,H3574,M3574,(P3574-A3574)/365), NormalPutSprd(O3574,H3574,M3574,(P3574-A3574)/365))</f>
        <v>3.0676108075945221</v>
      </c>
      <c r="R3574" s="9">
        <f t="shared" si="144"/>
        <v>6.7610807594522093E-2</v>
      </c>
    </row>
    <row r="3575" spans="1:18" x14ac:dyDescent="0.2">
      <c r="A3575" s="2">
        <v>42622</v>
      </c>
      <c r="B3575" s="1" t="s">
        <v>56</v>
      </c>
      <c r="C3575" s="1" t="s">
        <v>57</v>
      </c>
      <c r="D3575" s="2">
        <v>43473</v>
      </c>
      <c r="E3575" s="2">
        <f t="shared" si="143"/>
        <v>43678</v>
      </c>
      <c r="F3575" s="1" t="s">
        <v>58</v>
      </c>
      <c r="G3575" s="1" t="s">
        <v>18</v>
      </c>
      <c r="H3575" s="1">
        <v>-2.75</v>
      </c>
      <c r="I3575" s="1">
        <v>1.78</v>
      </c>
      <c r="J3575" s="1">
        <v>0</v>
      </c>
      <c r="K3575" s="2">
        <v>43716</v>
      </c>
      <c r="L3575" s="1">
        <v>3716</v>
      </c>
      <c r="M3575" s="1">
        <v>3.51</v>
      </c>
      <c r="N3575" s="1">
        <v>-0.49336999999999998</v>
      </c>
      <c r="O3575" s="3">
        <f>VLOOKUP(D3575,underlying!$D$40:$H$75,5,FALSE)</f>
        <v>-1.5</v>
      </c>
      <c r="P3575" s="4">
        <f t="shared" si="142"/>
        <v>43686</v>
      </c>
      <c r="Q3575" s="7">
        <f>IF(G3575="C",NormalCallSprd(O3575,H3575,M3575,(P3575-A3575)/365), NormalPutSprd(O3575,H3575,M3575,(P3575-A3575)/365))</f>
        <v>1.8176108075945223</v>
      </c>
      <c r="R3575" s="9">
        <f t="shared" si="144"/>
        <v>3.7610807594522289E-2</v>
      </c>
    </row>
    <row r="3576" spans="1:18" x14ac:dyDescent="0.2">
      <c r="A3576" s="2">
        <v>42622</v>
      </c>
      <c r="B3576" s="1" t="s">
        <v>56</v>
      </c>
      <c r="C3576" s="1" t="s">
        <v>57</v>
      </c>
      <c r="D3576" s="2">
        <v>43473</v>
      </c>
      <c r="E3576" s="2">
        <f t="shared" si="143"/>
        <v>43678</v>
      </c>
      <c r="F3576" s="1" t="s">
        <v>58</v>
      </c>
      <c r="G3576" s="1" t="s">
        <v>16</v>
      </c>
      <c r="H3576" s="1">
        <v>-2.5</v>
      </c>
      <c r="I3576" s="1">
        <v>2.85</v>
      </c>
      <c r="J3576" s="1">
        <v>0</v>
      </c>
      <c r="K3576" s="2">
        <v>43716</v>
      </c>
      <c r="L3576" s="1">
        <v>3716</v>
      </c>
      <c r="M3576" s="1">
        <v>3.49</v>
      </c>
      <c r="N3576" s="1">
        <v>-0.47358</v>
      </c>
      <c r="O3576" s="3">
        <f>VLOOKUP(D3576,underlying!$D$40:$H$75,5,FALSE)</f>
        <v>-1.5</v>
      </c>
      <c r="P3576" s="4">
        <f t="shared" si="142"/>
        <v>43686</v>
      </c>
      <c r="Q3576" s="7">
        <f>IF(G3576="C",NormalCallSprd(O3576,H3576,M3576,(P3576-A3576)/365), NormalPutSprd(O3576,H3576,M3576,(P3576-A3576)/365))</f>
        <v>2.9105653930268831</v>
      </c>
      <c r="R3576" s="9">
        <f t="shared" si="144"/>
        <v>6.0565393026883019E-2</v>
      </c>
    </row>
    <row r="3577" spans="1:18" x14ac:dyDescent="0.2">
      <c r="A3577" s="2">
        <v>42622</v>
      </c>
      <c r="B3577" s="1" t="s">
        <v>56</v>
      </c>
      <c r="C3577" s="1" t="s">
        <v>57</v>
      </c>
      <c r="D3577" s="2">
        <v>43473</v>
      </c>
      <c r="E3577" s="2">
        <f t="shared" si="143"/>
        <v>43678</v>
      </c>
      <c r="F3577" s="1" t="s">
        <v>58</v>
      </c>
      <c r="G3577" s="1" t="s">
        <v>18</v>
      </c>
      <c r="H3577" s="1">
        <v>-2.5</v>
      </c>
      <c r="I3577" s="1">
        <v>1.87</v>
      </c>
      <c r="J3577" s="1">
        <v>0</v>
      </c>
      <c r="K3577" s="2">
        <v>43716</v>
      </c>
      <c r="L3577" s="1">
        <v>3716</v>
      </c>
      <c r="M3577" s="1">
        <v>3.49</v>
      </c>
      <c r="N3577" s="1">
        <v>-0.45373000000000002</v>
      </c>
      <c r="O3577" s="3">
        <f>VLOOKUP(D3577,underlying!$D$40:$H$75,5,FALSE)</f>
        <v>-1.5</v>
      </c>
      <c r="P3577" s="4">
        <f t="shared" ref="P3577:P3595" si="145">DATE(YEAR(K3577),DAY(K3577),MONTH(K3577))</f>
        <v>43686</v>
      </c>
      <c r="Q3577" s="7">
        <f>IF(G3577="C",NormalCallSprd(O3577,H3577,M3577,(P3577-A3577)/365), NormalPutSprd(O3577,H3577,M3577,(P3577-A3577)/365))</f>
        <v>1.9105653930268831</v>
      </c>
      <c r="R3577" s="9">
        <f t="shared" si="144"/>
        <v>4.0565393026883001E-2</v>
      </c>
    </row>
    <row r="3578" spans="1:18" x14ac:dyDescent="0.2">
      <c r="A3578" s="2">
        <v>42622</v>
      </c>
      <c r="B3578" s="1" t="s">
        <v>56</v>
      </c>
      <c r="C3578" s="1" t="s">
        <v>57</v>
      </c>
      <c r="D3578" s="2">
        <v>43473</v>
      </c>
      <c r="E3578" s="2">
        <f t="shared" si="143"/>
        <v>43678</v>
      </c>
      <c r="F3578" s="1" t="s">
        <v>58</v>
      </c>
      <c r="G3578" s="1" t="s">
        <v>16</v>
      </c>
      <c r="H3578" s="1">
        <v>-2.25</v>
      </c>
      <c r="I3578" s="1">
        <v>2.72</v>
      </c>
      <c r="J3578" s="1">
        <v>0</v>
      </c>
      <c r="K3578" s="2">
        <v>43716</v>
      </c>
      <c r="L3578" s="1">
        <v>3716</v>
      </c>
      <c r="M3578" s="1">
        <v>3.5</v>
      </c>
      <c r="N3578" s="1">
        <v>-0.43403000000000003</v>
      </c>
      <c r="O3578" s="3">
        <f>VLOOKUP(D3578,underlying!$D$40:$H$75,5,FALSE)</f>
        <v>-1.5</v>
      </c>
      <c r="P3578" s="4">
        <f t="shared" si="145"/>
        <v>43686</v>
      </c>
      <c r="Q3578" s="7">
        <f>IF(G3578="C",NormalCallSprd(O3578,H3578,M3578,(P3578-A3578)/365), NormalPutSprd(O3578,H3578,M3578,(P3578-A3578)/365))</f>
        <v>2.7777310631110219</v>
      </c>
      <c r="R3578" s="9">
        <f t="shared" si="144"/>
        <v>5.7731063111021719E-2</v>
      </c>
    </row>
    <row r="3579" spans="1:18" x14ac:dyDescent="0.2">
      <c r="A3579" s="2">
        <v>42622</v>
      </c>
      <c r="B3579" s="1" t="s">
        <v>56</v>
      </c>
      <c r="C3579" s="1" t="s">
        <v>57</v>
      </c>
      <c r="D3579" s="2">
        <v>43473</v>
      </c>
      <c r="E3579" s="2">
        <f t="shared" si="143"/>
        <v>43678</v>
      </c>
      <c r="F3579" s="1" t="s">
        <v>58</v>
      </c>
      <c r="G3579" s="1" t="s">
        <v>18</v>
      </c>
      <c r="H3579" s="1">
        <v>-2.25</v>
      </c>
      <c r="I3579" s="1">
        <v>1.99</v>
      </c>
      <c r="J3579" s="1">
        <v>0</v>
      </c>
      <c r="K3579" s="2">
        <v>43716</v>
      </c>
      <c r="L3579" s="1">
        <v>3716</v>
      </c>
      <c r="M3579" s="1">
        <v>3.5</v>
      </c>
      <c r="N3579" s="1">
        <v>-0.41427000000000003</v>
      </c>
      <c r="O3579" s="3">
        <f>VLOOKUP(D3579,underlying!$D$40:$H$75,5,FALSE)</f>
        <v>-1.5</v>
      </c>
      <c r="P3579" s="4">
        <f t="shared" si="145"/>
        <v>43686</v>
      </c>
      <c r="Q3579" s="7">
        <f>IF(G3579="C",NormalCallSprd(O3579,H3579,M3579,(P3579-A3579)/365), NormalPutSprd(O3579,H3579,M3579,(P3579-A3579)/365))</f>
        <v>2.0277310631110219</v>
      </c>
      <c r="R3579" s="9">
        <f t="shared" si="144"/>
        <v>3.7731063111021923E-2</v>
      </c>
    </row>
    <row r="3580" spans="1:18" x14ac:dyDescent="0.2">
      <c r="A3580" s="2">
        <v>42622</v>
      </c>
      <c r="B3580" s="1" t="s">
        <v>56</v>
      </c>
      <c r="C3580" s="1" t="s">
        <v>57</v>
      </c>
      <c r="D3580" s="2">
        <v>43473</v>
      </c>
      <c r="E3580" s="2">
        <f t="shared" si="143"/>
        <v>43678</v>
      </c>
      <c r="F3580" s="1" t="s">
        <v>58</v>
      </c>
      <c r="G3580" s="1" t="s">
        <v>16</v>
      </c>
      <c r="H3580" s="1">
        <v>-2</v>
      </c>
      <c r="I3580" s="1">
        <v>2.59</v>
      </c>
      <c r="J3580" s="1">
        <v>0</v>
      </c>
      <c r="K3580" s="2">
        <v>43716</v>
      </c>
      <c r="L3580" s="1">
        <v>3716</v>
      </c>
      <c r="M3580" s="1">
        <v>3.5</v>
      </c>
      <c r="N3580" s="1">
        <v>-0.39540999999999998</v>
      </c>
      <c r="O3580" s="3">
        <f>VLOOKUP(D3580,underlying!$D$40:$H$75,5,FALSE)</f>
        <v>-1.5</v>
      </c>
      <c r="P3580" s="4">
        <f t="shared" si="145"/>
        <v>43686</v>
      </c>
      <c r="Q3580" s="7">
        <f>IF(G3580="C",NormalCallSprd(O3580,H3580,M3580,(P3580-A3580)/365), NormalPutSprd(O3580,H3580,M3580,(P3580-A3580)/365))</f>
        <v>2.6423195248138733</v>
      </c>
      <c r="R3580" s="9">
        <f t="shared" si="144"/>
        <v>5.2319524813873475E-2</v>
      </c>
    </row>
    <row r="3581" spans="1:18" x14ac:dyDescent="0.2">
      <c r="A3581" s="2">
        <v>42622</v>
      </c>
      <c r="B3581" s="1" t="s">
        <v>56</v>
      </c>
      <c r="C3581" s="1" t="s">
        <v>57</v>
      </c>
      <c r="D3581" s="2">
        <v>43473</v>
      </c>
      <c r="E3581" s="2">
        <f t="shared" si="143"/>
        <v>43678</v>
      </c>
      <c r="F3581" s="1" t="s">
        <v>58</v>
      </c>
      <c r="G3581" s="1" t="s">
        <v>18</v>
      </c>
      <c r="H3581" s="1">
        <v>-2</v>
      </c>
      <c r="I3581" s="1">
        <v>2.1</v>
      </c>
      <c r="J3581" s="1">
        <v>0</v>
      </c>
      <c r="K3581" s="2">
        <v>43716</v>
      </c>
      <c r="L3581" s="1">
        <v>3716</v>
      </c>
      <c r="M3581" s="1">
        <v>3.5</v>
      </c>
      <c r="N3581" s="1">
        <v>-0.37570999999999999</v>
      </c>
      <c r="O3581" s="3">
        <f>VLOOKUP(D3581,underlying!$D$40:$H$75,5,FALSE)</f>
        <v>-1.5</v>
      </c>
      <c r="P3581" s="4">
        <f t="shared" si="145"/>
        <v>43686</v>
      </c>
      <c r="Q3581" s="7">
        <f>IF(G3581="C",NormalCallSprd(O3581,H3581,M3581,(P3581-A3581)/365), NormalPutSprd(O3581,H3581,M3581,(P3581-A3581)/365))</f>
        <v>2.1423195248138733</v>
      </c>
      <c r="R3581" s="9">
        <f t="shared" si="144"/>
        <v>4.2319524813873244E-2</v>
      </c>
    </row>
    <row r="3582" spans="1:18" x14ac:dyDescent="0.2">
      <c r="A3582" s="2">
        <v>42622</v>
      </c>
      <c r="B3582" s="1" t="s">
        <v>56</v>
      </c>
      <c r="C3582" s="1" t="s">
        <v>57</v>
      </c>
      <c r="D3582" s="2">
        <v>43473</v>
      </c>
      <c r="E3582" s="2">
        <f t="shared" si="143"/>
        <v>43678</v>
      </c>
      <c r="F3582" s="1" t="s">
        <v>58</v>
      </c>
      <c r="G3582" s="1" t="s">
        <v>16</v>
      </c>
      <c r="H3582" s="1">
        <v>-1.75</v>
      </c>
      <c r="I3582" s="1">
        <v>2.4700000000000002</v>
      </c>
      <c r="J3582" s="1">
        <v>0</v>
      </c>
      <c r="K3582" s="2">
        <v>43716</v>
      </c>
      <c r="L3582" s="1">
        <v>3716</v>
      </c>
      <c r="M3582" s="1">
        <v>3.51</v>
      </c>
      <c r="N3582" s="1">
        <v>-0.35759000000000002</v>
      </c>
      <c r="O3582" s="3">
        <f>VLOOKUP(D3582,underlying!$D$40:$H$75,5,FALSE)</f>
        <v>-1.5</v>
      </c>
      <c r="P3582" s="4">
        <f t="shared" si="145"/>
        <v>43686</v>
      </c>
      <c r="Q3582" s="7">
        <f>IF(G3582="C",NormalCallSprd(O3582,H3582,M3582,(P3582-A3582)/365), NormalPutSprd(O3582,H3582,M3582,(P3582-A3582)/365))</f>
        <v>2.5178707452992559</v>
      </c>
      <c r="R3582" s="9">
        <f t="shared" si="144"/>
        <v>4.7870745299255724E-2</v>
      </c>
    </row>
    <row r="3583" spans="1:18" x14ac:dyDescent="0.2">
      <c r="A3583" s="2">
        <v>42622</v>
      </c>
      <c r="B3583" s="1" t="s">
        <v>56</v>
      </c>
      <c r="C3583" s="1" t="s">
        <v>57</v>
      </c>
      <c r="D3583" s="2">
        <v>43473</v>
      </c>
      <c r="E3583" s="2">
        <f t="shared" si="143"/>
        <v>43678</v>
      </c>
      <c r="F3583" s="1" t="s">
        <v>58</v>
      </c>
      <c r="G3583" s="1" t="s">
        <v>18</v>
      </c>
      <c r="H3583" s="1">
        <v>-1.75</v>
      </c>
      <c r="I3583" s="1">
        <v>2.2200000000000002</v>
      </c>
      <c r="J3583" s="1">
        <v>0</v>
      </c>
      <c r="K3583" s="2">
        <v>43716</v>
      </c>
      <c r="L3583" s="1">
        <v>3716</v>
      </c>
      <c r="M3583" s="1">
        <v>3.51</v>
      </c>
      <c r="N3583" s="1">
        <v>-0.33832000000000001</v>
      </c>
      <c r="O3583" s="3">
        <f>VLOOKUP(D3583,underlying!$D$40:$H$75,5,FALSE)</f>
        <v>-1.5</v>
      </c>
      <c r="P3583" s="4">
        <f t="shared" si="145"/>
        <v>43686</v>
      </c>
      <c r="Q3583" s="7">
        <f>IF(G3583="C",NormalCallSprd(O3583,H3583,M3583,(P3583-A3583)/365), NormalPutSprd(O3583,H3583,M3583,(P3583-A3583)/365))</f>
        <v>2.2678707452992559</v>
      </c>
      <c r="R3583" s="9">
        <f t="shared" si="144"/>
        <v>4.7870745299255724E-2</v>
      </c>
    </row>
    <row r="3584" spans="1:18" x14ac:dyDescent="0.2">
      <c r="A3584" s="2">
        <v>42622</v>
      </c>
      <c r="B3584" s="1" t="s">
        <v>56</v>
      </c>
      <c r="C3584" s="1" t="s">
        <v>57</v>
      </c>
      <c r="D3584" s="2">
        <v>43473</v>
      </c>
      <c r="E3584" s="2">
        <f t="shared" si="143"/>
        <v>43678</v>
      </c>
      <c r="F3584" s="1" t="s">
        <v>58</v>
      </c>
      <c r="G3584" s="1" t="s">
        <v>16</v>
      </c>
      <c r="H3584" s="1">
        <v>-1.5</v>
      </c>
      <c r="I3584" s="1">
        <v>2.33</v>
      </c>
      <c r="J3584" s="1">
        <v>-0.01</v>
      </c>
      <c r="K3584" s="2">
        <v>43716</v>
      </c>
      <c r="L3584" s="1">
        <v>3716</v>
      </c>
      <c r="M3584" s="1">
        <v>3.5</v>
      </c>
      <c r="N3584" s="1">
        <v>-0.32108999999999999</v>
      </c>
      <c r="O3584" s="3">
        <f>VLOOKUP(D3584,underlying!$D$40:$H$75,5,FALSE)</f>
        <v>-1.5</v>
      </c>
      <c r="P3584" s="4">
        <f t="shared" si="145"/>
        <v>43686</v>
      </c>
      <c r="Q3584" s="7">
        <f>IF(G3584="C",NormalCallSprd(O3584,H3584,M3584,(P3584-A3584)/365), NormalPutSprd(O3584,H3584,M3584,(P3584-A3584)/365))</f>
        <v>2.3839793647744911</v>
      </c>
      <c r="R3584" s="9">
        <f t="shared" si="144"/>
        <v>5.3979364774491057E-2</v>
      </c>
    </row>
    <row r="3585" spans="1:18" x14ac:dyDescent="0.2">
      <c r="A3585" s="2">
        <v>42622</v>
      </c>
      <c r="B3585" s="1" t="s">
        <v>56</v>
      </c>
      <c r="C3585" s="1" t="s">
        <v>57</v>
      </c>
      <c r="D3585" s="2">
        <v>43473</v>
      </c>
      <c r="E3585" s="2">
        <f t="shared" si="143"/>
        <v>43678</v>
      </c>
      <c r="F3585" s="1" t="s">
        <v>58</v>
      </c>
      <c r="G3585" s="1" t="s">
        <v>18</v>
      </c>
      <c r="H3585" s="1">
        <v>-1.5</v>
      </c>
      <c r="I3585" s="1">
        <v>2.33</v>
      </c>
      <c r="J3585" s="1">
        <v>-0.01</v>
      </c>
      <c r="K3585" s="2">
        <v>43716</v>
      </c>
      <c r="L3585" s="1">
        <v>3716</v>
      </c>
      <c r="M3585" s="1">
        <v>3.5</v>
      </c>
      <c r="N3585" s="1">
        <v>-0.30342999999999998</v>
      </c>
      <c r="O3585" s="3">
        <f>VLOOKUP(D3585,underlying!$D$40:$H$75,5,FALSE)</f>
        <v>-1.5</v>
      </c>
      <c r="P3585" s="4">
        <f t="shared" si="145"/>
        <v>43686</v>
      </c>
      <c r="Q3585" s="7">
        <f>IF(G3585="C",NormalCallSprd(O3585,H3585,M3585,(P3585-A3585)/365), NormalPutSprd(O3585,H3585,M3585,(P3585-A3585)/365))</f>
        <v>2.3839793647744911</v>
      </c>
      <c r="R3585" s="9">
        <f t="shared" si="144"/>
        <v>5.3979364774491057E-2</v>
      </c>
    </row>
    <row r="3586" spans="1:18" x14ac:dyDescent="0.2">
      <c r="A3586" s="2">
        <v>42622</v>
      </c>
      <c r="B3586" s="1" t="s">
        <v>56</v>
      </c>
      <c r="C3586" s="1" t="s">
        <v>57</v>
      </c>
      <c r="D3586" s="2">
        <v>43473</v>
      </c>
      <c r="E3586" s="2">
        <f t="shared" ref="E3586:E3649" si="146">DATE(YEAR(D3586),DAY(D3586),MONTH(D3586))</f>
        <v>43678</v>
      </c>
      <c r="F3586" s="1" t="s">
        <v>58</v>
      </c>
      <c r="G3586" s="1" t="s">
        <v>16</v>
      </c>
      <c r="H3586" s="1">
        <v>-1.25</v>
      </c>
      <c r="I3586" s="1">
        <v>2.2200000000000002</v>
      </c>
      <c r="J3586" s="1">
        <v>0</v>
      </c>
      <c r="K3586" s="2">
        <v>43716</v>
      </c>
      <c r="L3586" s="1">
        <v>3716</v>
      </c>
      <c r="M3586" s="1">
        <v>3.51</v>
      </c>
      <c r="N3586" s="1">
        <v>-0.28621000000000002</v>
      </c>
      <c r="O3586" s="3">
        <f>VLOOKUP(D3586,underlying!$D$40:$H$75,5,FALSE)</f>
        <v>-1.5</v>
      </c>
      <c r="P3586" s="4">
        <f t="shared" si="145"/>
        <v>43686</v>
      </c>
      <c r="Q3586" s="7">
        <f>IF(G3586="C",NormalCallSprd(O3586,H3586,M3586,(P3586-A3586)/365), NormalPutSprd(O3586,H3586,M3586,(P3586-A3586)/365))</f>
        <v>2.2678707452992559</v>
      </c>
      <c r="R3586" s="9">
        <f t="shared" si="144"/>
        <v>4.7870745299255724E-2</v>
      </c>
    </row>
    <row r="3587" spans="1:18" x14ac:dyDescent="0.2">
      <c r="A3587" s="2">
        <v>42622</v>
      </c>
      <c r="B3587" s="1" t="s">
        <v>56</v>
      </c>
      <c r="C3587" s="1" t="s">
        <v>57</v>
      </c>
      <c r="D3587" s="2">
        <v>43473</v>
      </c>
      <c r="E3587" s="2">
        <f t="shared" si="146"/>
        <v>43678</v>
      </c>
      <c r="F3587" s="1" t="s">
        <v>58</v>
      </c>
      <c r="G3587" s="1" t="s">
        <v>18</v>
      </c>
      <c r="H3587" s="1">
        <v>-1.25</v>
      </c>
      <c r="I3587" s="1">
        <v>2.4700000000000002</v>
      </c>
      <c r="J3587" s="1">
        <v>0</v>
      </c>
      <c r="K3587" s="2">
        <v>43716</v>
      </c>
      <c r="L3587" s="1">
        <v>3716</v>
      </c>
      <c r="M3587" s="1">
        <v>3.51</v>
      </c>
      <c r="N3587" s="1">
        <v>-0.26945999999999998</v>
      </c>
      <c r="O3587" s="3">
        <f>VLOOKUP(D3587,underlying!$D$40:$H$75,5,FALSE)</f>
        <v>-1.5</v>
      </c>
      <c r="P3587" s="4">
        <f t="shared" si="145"/>
        <v>43686</v>
      </c>
      <c r="Q3587" s="7">
        <f>IF(G3587="C",NormalCallSprd(O3587,H3587,M3587,(P3587-A3587)/365), NormalPutSprd(O3587,H3587,M3587,(P3587-A3587)/365))</f>
        <v>2.5178707452992559</v>
      </c>
      <c r="R3587" s="9">
        <f t="shared" ref="R3587:R3650" si="147">ABS(Q3587-I3587)</f>
        <v>4.7870745299255724E-2</v>
      </c>
    </row>
    <row r="3588" spans="1:18" x14ac:dyDescent="0.2">
      <c r="A3588" s="2">
        <v>42622</v>
      </c>
      <c r="B3588" s="1" t="s">
        <v>56</v>
      </c>
      <c r="C3588" s="1" t="s">
        <v>57</v>
      </c>
      <c r="D3588" s="2">
        <v>43473</v>
      </c>
      <c r="E3588" s="2">
        <f t="shared" si="146"/>
        <v>43678</v>
      </c>
      <c r="F3588" s="1" t="s">
        <v>58</v>
      </c>
      <c r="G3588" s="1" t="s">
        <v>16</v>
      </c>
      <c r="H3588" s="1">
        <v>-1</v>
      </c>
      <c r="I3588" s="1">
        <v>2.1</v>
      </c>
      <c r="J3588" s="1">
        <v>0</v>
      </c>
      <c r="K3588" s="2">
        <v>43716</v>
      </c>
      <c r="L3588" s="1">
        <v>3716</v>
      </c>
      <c r="M3588" s="1">
        <v>3.5</v>
      </c>
      <c r="N3588" s="1">
        <v>-0.25320999999999999</v>
      </c>
      <c r="O3588" s="3">
        <f>VLOOKUP(D3588,underlying!$D$40:$H$75,5,FALSE)</f>
        <v>-1.5</v>
      </c>
      <c r="P3588" s="4">
        <f t="shared" si="145"/>
        <v>43686</v>
      </c>
      <c r="Q3588" s="7">
        <f>IF(G3588="C",NormalCallSprd(O3588,H3588,M3588,(P3588-A3588)/365), NormalPutSprd(O3588,H3588,M3588,(P3588-A3588)/365))</f>
        <v>2.1423195248138733</v>
      </c>
      <c r="R3588" s="9">
        <f t="shared" si="147"/>
        <v>4.2319524813873244E-2</v>
      </c>
    </row>
    <row r="3589" spans="1:18" x14ac:dyDescent="0.2">
      <c r="A3589" s="2">
        <v>42622</v>
      </c>
      <c r="B3589" s="1" t="s">
        <v>56</v>
      </c>
      <c r="C3589" s="1" t="s">
        <v>57</v>
      </c>
      <c r="D3589" s="2">
        <v>43473</v>
      </c>
      <c r="E3589" s="2">
        <f t="shared" si="146"/>
        <v>43678</v>
      </c>
      <c r="F3589" s="1" t="s">
        <v>58</v>
      </c>
      <c r="G3589" s="1" t="s">
        <v>18</v>
      </c>
      <c r="H3589" s="1">
        <v>-1</v>
      </c>
      <c r="I3589" s="1">
        <v>2.59</v>
      </c>
      <c r="J3589" s="1">
        <v>0</v>
      </c>
      <c r="K3589" s="2">
        <v>43716</v>
      </c>
      <c r="L3589" s="1">
        <v>3716</v>
      </c>
      <c r="M3589" s="1">
        <v>3.5</v>
      </c>
      <c r="N3589" s="1">
        <v>-0.23749000000000001</v>
      </c>
      <c r="O3589" s="3">
        <f>VLOOKUP(D3589,underlying!$D$40:$H$75,5,FALSE)</f>
        <v>-1.5</v>
      </c>
      <c r="P3589" s="4">
        <f t="shared" si="145"/>
        <v>43686</v>
      </c>
      <c r="Q3589" s="7">
        <f>IF(G3589="C",NormalCallSprd(O3589,H3589,M3589,(P3589-A3589)/365), NormalPutSprd(O3589,H3589,M3589,(P3589-A3589)/365))</f>
        <v>2.6423195248138733</v>
      </c>
      <c r="R3589" s="9">
        <f t="shared" si="147"/>
        <v>5.2319524813873475E-2</v>
      </c>
    </row>
    <row r="3590" spans="1:18" x14ac:dyDescent="0.2">
      <c r="A3590" s="2">
        <v>42622</v>
      </c>
      <c r="B3590" s="1" t="s">
        <v>56</v>
      </c>
      <c r="C3590" s="1" t="s">
        <v>57</v>
      </c>
      <c r="D3590" s="2">
        <v>43473</v>
      </c>
      <c r="E3590" s="2">
        <f t="shared" si="146"/>
        <v>43678</v>
      </c>
      <c r="F3590" s="1" t="s">
        <v>58</v>
      </c>
      <c r="G3590" s="1" t="s">
        <v>16</v>
      </c>
      <c r="H3590" s="1">
        <v>-0.75</v>
      </c>
      <c r="I3590" s="1">
        <v>1.99</v>
      </c>
      <c r="J3590" s="1">
        <v>0</v>
      </c>
      <c r="K3590" s="2">
        <v>43716</v>
      </c>
      <c r="L3590" s="1">
        <v>3716</v>
      </c>
      <c r="M3590" s="1">
        <v>3.5</v>
      </c>
      <c r="N3590" s="1">
        <v>-0.22231000000000001</v>
      </c>
      <c r="O3590" s="3">
        <f>VLOOKUP(D3590,underlying!$D$40:$H$75,5,FALSE)</f>
        <v>-1.5</v>
      </c>
      <c r="P3590" s="4">
        <f t="shared" si="145"/>
        <v>43686</v>
      </c>
      <c r="Q3590" s="7">
        <f>IF(G3590="C",NormalCallSprd(O3590,H3590,M3590,(P3590-A3590)/365), NormalPutSprd(O3590,H3590,M3590,(P3590-A3590)/365))</f>
        <v>2.0277310631110219</v>
      </c>
      <c r="R3590" s="9">
        <f t="shared" si="147"/>
        <v>3.7731063111021923E-2</v>
      </c>
    </row>
    <row r="3591" spans="1:18" x14ac:dyDescent="0.2">
      <c r="A3591" s="2">
        <v>42622</v>
      </c>
      <c r="B3591" s="1" t="s">
        <v>56</v>
      </c>
      <c r="C3591" s="1" t="s">
        <v>57</v>
      </c>
      <c r="D3591" s="2">
        <v>43473</v>
      </c>
      <c r="E3591" s="2">
        <f t="shared" si="146"/>
        <v>43678</v>
      </c>
      <c r="F3591" s="1" t="s">
        <v>58</v>
      </c>
      <c r="G3591" s="1" t="s">
        <v>18</v>
      </c>
      <c r="H3591" s="1">
        <v>-0.75</v>
      </c>
      <c r="I3591" s="1">
        <v>2.72</v>
      </c>
      <c r="J3591" s="1">
        <v>0</v>
      </c>
      <c r="K3591" s="2">
        <v>43716</v>
      </c>
      <c r="L3591" s="1">
        <v>3716</v>
      </c>
      <c r="M3591" s="1">
        <v>3.5</v>
      </c>
      <c r="N3591" s="1">
        <v>-0.2077</v>
      </c>
      <c r="O3591" s="3">
        <f>VLOOKUP(D3591,underlying!$D$40:$H$75,5,FALSE)</f>
        <v>-1.5</v>
      </c>
      <c r="P3591" s="4">
        <f t="shared" si="145"/>
        <v>43686</v>
      </c>
      <c r="Q3591" s="7">
        <f>IF(G3591="C",NormalCallSprd(O3591,H3591,M3591,(P3591-A3591)/365), NormalPutSprd(O3591,H3591,M3591,(P3591-A3591)/365))</f>
        <v>2.7777310631110219</v>
      </c>
      <c r="R3591" s="9">
        <f t="shared" si="147"/>
        <v>5.7731063111021719E-2</v>
      </c>
    </row>
    <row r="3592" spans="1:18" x14ac:dyDescent="0.2">
      <c r="A3592" s="2">
        <v>42622</v>
      </c>
      <c r="B3592" s="1" t="s">
        <v>56</v>
      </c>
      <c r="C3592" s="1" t="s">
        <v>57</v>
      </c>
      <c r="D3592" s="2">
        <v>43473</v>
      </c>
      <c r="E3592" s="2">
        <f t="shared" si="146"/>
        <v>43678</v>
      </c>
      <c r="F3592" s="1" t="s">
        <v>58</v>
      </c>
      <c r="G3592" s="1" t="s">
        <v>16</v>
      </c>
      <c r="H3592" s="1">
        <v>-0.5</v>
      </c>
      <c r="I3592" s="1">
        <v>1.87</v>
      </c>
      <c r="J3592" s="1">
        <v>0</v>
      </c>
      <c r="K3592" s="2">
        <v>43716</v>
      </c>
      <c r="L3592" s="1">
        <v>3716</v>
      </c>
      <c r="M3592" s="1">
        <v>3.49</v>
      </c>
      <c r="N3592" s="1">
        <v>-0.19367000000000001</v>
      </c>
      <c r="O3592" s="3">
        <f>VLOOKUP(D3592,underlying!$D$40:$H$75,5,FALSE)</f>
        <v>-1.5</v>
      </c>
      <c r="P3592" s="4">
        <f t="shared" si="145"/>
        <v>43686</v>
      </c>
      <c r="Q3592" s="7">
        <f>IF(G3592="C",NormalCallSprd(O3592,H3592,M3592,(P3592-A3592)/365), NormalPutSprd(O3592,H3592,M3592,(P3592-A3592)/365))</f>
        <v>1.9105653930268831</v>
      </c>
      <c r="R3592" s="9">
        <f t="shared" si="147"/>
        <v>4.0565393026883001E-2</v>
      </c>
    </row>
    <row r="3593" spans="1:18" x14ac:dyDescent="0.2">
      <c r="A3593" s="2">
        <v>42622</v>
      </c>
      <c r="B3593" s="1" t="s">
        <v>56</v>
      </c>
      <c r="C3593" s="1" t="s">
        <v>57</v>
      </c>
      <c r="D3593" s="2">
        <v>43473</v>
      </c>
      <c r="E3593" s="2">
        <f t="shared" si="146"/>
        <v>43678</v>
      </c>
      <c r="F3593" s="1" t="s">
        <v>58</v>
      </c>
      <c r="G3593" s="1" t="s">
        <v>18</v>
      </c>
      <c r="H3593" s="1">
        <v>-0.5</v>
      </c>
      <c r="I3593" s="1">
        <v>2.85</v>
      </c>
      <c r="J3593" s="1">
        <v>0</v>
      </c>
      <c r="K3593" s="2">
        <v>43716</v>
      </c>
      <c r="L3593" s="1">
        <v>3716</v>
      </c>
      <c r="M3593" s="1">
        <v>3.49</v>
      </c>
      <c r="N3593" s="1">
        <v>-0.18023</v>
      </c>
      <c r="O3593" s="3">
        <f>VLOOKUP(D3593,underlying!$D$40:$H$75,5,FALSE)</f>
        <v>-1.5</v>
      </c>
      <c r="P3593" s="4">
        <f t="shared" si="145"/>
        <v>43686</v>
      </c>
      <c r="Q3593" s="7">
        <f>IF(G3593="C",NormalCallSprd(O3593,H3593,M3593,(P3593-A3593)/365), NormalPutSprd(O3593,H3593,M3593,(P3593-A3593)/365))</f>
        <v>2.9105653930268831</v>
      </c>
      <c r="R3593" s="9">
        <f t="shared" si="147"/>
        <v>6.0565393026883019E-2</v>
      </c>
    </row>
    <row r="3594" spans="1:18" x14ac:dyDescent="0.2">
      <c r="A3594" s="2">
        <v>42622</v>
      </c>
      <c r="B3594" s="1" t="s">
        <v>56</v>
      </c>
      <c r="C3594" s="1" t="s">
        <v>57</v>
      </c>
      <c r="D3594" s="2">
        <v>43473</v>
      </c>
      <c r="E3594" s="2">
        <f t="shared" si="146"/>
        <v>43678</v>
      </c>
      <c r="F3594" s="1" t="s">
        <v>58</v>
      </c>
      <c r="G3594" s="1" t="s">
        <v>16</v>
      </c>
      <c r="H3594" s="1">
        <v>-0.25</v>
      </c>
      <c r="I3594" s="1">
        <v>1.77</v>
      </c>
      <c r="J3594" s="1">
        <v>-0.01</v>
      </c>
      <c r="K3594" s="2">
        <v>43716</v>
      </c>
      <c r="L3594" s="1">
        <v>3716</v>
      </c>
      <c r="M3594" s="1">
        <v>3.5</v>
      </c>
      <c r="N3594" s="1">
        <v>-0.13247999999999999</v>
      </c>
      <c r="O3594" s="3">
        <f>VLOOKUP(D3594,underlying!$D$40:$H$75,5,FALSE)</f>
        <v>-1.5</v>
      </c>
      <c r="P3594" s="4">
        <f t="shared" si="145"/>
        <v>43686</v>
      </c>
      <c r="Q3594" s="7">
        <f>IF(G3594="C",NormalCallSprd(O3594,H3594,M3594,(P3594-A3594)/365), NormalPutSprd(O3594,H3594,M3594,(P3594-A3594)/365))</f>
        <v>1.8109464226256249</v>
      </c>
      <c r="R3594" s="9">
        <f t="shared" si="147"/>
        <v>4.0946422625624868E-2</v>
      </c>
    </row>
    <row r="3595" spans="1:18" x14ac:dyDescent="0.2">
      <c r="A3595" s="2">
        <v>42622</v>
      </c>
      <c r="B3595" s="1" t="s">
        <v>56</v>
      </c>
      <c r="C3595" s="1" t="s">
        <v>57</v>
      </c>
      <c r="D3595" s="2">
        <v>43473</v>
      </c>
      <c r="E3595" s="2">
        <f t="shared" si="146"/>
        <v>43678</v>
      </c>
      <c r="F3595" s="1" t="s">
        <v>58</v>
      </c>
      <c r="G3595" s="1" t="s">
        <v>18</v>
      </c>
      <c r="H3595" s="1">
        <v>-0.25</v>
      </c>
      <c r="I3595" s="1">
        <v>3</v>
      </c>
      <c r="J3595" s="1">
        <v>0</v>
      </c>
      <c r="K3595" s="2">
        <v>43716</v>
      </c>
      <c r="L3595" s="1">
        <v>3716</v>
      </c>
      <c r="M3595" s="1">
        <v>3.5</v>
      </c>
      <c r="N3595" s="1">
        <v>-9.3600000000000003E-2</v>
      </c>
      <c r="O3595" s="3">
        <f>VLOOKUP(D3595,underlying!$D$40:$H$75,5,FALSE)</f>
        <v>-1.5</v>
      </c>
      <c r="P3595" s="4">
        <f t="shared" si="145"/>
        <v>43686</v>
      </c>
      <c r="Q3595" s="7">
        <f>IF(G3595="C",NormalCallSprd(O3595,H3595,M3595,(P3595-A3595)/365), NormalPutSprd(O3595,H3595,M3595,(P3595-A3595)/365))</f>
        <v>3.0609464226256247</v>
      </c>
      <c r="R3595" s="9">
        <f t="shared" si="147"/>
        <v>6.0946422625624663E-2</v>
      </c>
    </row>
    <row r="3596" spans="1:18" x14ac:dyDescent="0.2">
      <c r="A3596" s="2">
        <v>42622</v>
      </c>
      <c r="B3596" s="5" t="s">
        <v>59</v>
      </c>
      <c r="C3596" s="5" t="s">
        <v>14</v>
      </c>
      <c r="D3596" s="6">
        <v>42379</v>
      </c>
      <c r="E3596" s="6">
        <f t="shared" si="146"/>
        <v>42644</v>
      </c>
      <c r="F3596" s="5" t="s">
        <v>60</v>
      </c>
      <c r="G3596" s="5" t="s">
        <v>16</v>
      </c>
      <c r="H3596" s="5">
        <v>-4</v>
      </c>
      <c r="I3596" s="5">
        <v>3.42</v>
      </c>
      <c r="J3596" s="5">
        <v>0.06</v>
      </c>
      <c r="K3596" s="5" t="s">
        <v>61</v>
      </c>
      <c r="L3596" s="5">
        <v>2387</v>
      </c>
      <c r="M3596" s="5">
        <v>2.36</v>
      </c>
      <c r="N3596" s="5">
        <v>4.8230000000000002E-2</v>
      </c>
      <c r="O3596" s="5">
        <f>VLOOKUP(D3596,underlying!$D$76:$H$90,5,FALSE)</f>
        <v>-0.57999999999999996</v>
      </c>
      <c r="P3596" s="2">
        <f>VLOOKUP(D3596,underlying!$D$76:$L$90,9,FALSE)</f>
        <v>42632</v>
      </c>
      <c r="Q3596" s="7">
        <f>IF(G3596="C",NormalCallSprd(O3596,H3596,M3596,(P3596-A3596)/365), NormalPutSprd(O3596,H3596,M3596,(P3596-A3596)/365))</f>
        <v>3.42</v>
      </c>
      <c r="R3596" s="9">
        <f t="shared" si="147"/>
        <v>0</v>
      </c>
    </row>
    <row r="3597" spans="1:18" x14ac:dyDescent="0.2">
      <c r="A3597" s="2">
        <v>42622</v>
      </c>
      <c r="B3597" s="5" t="s">
        <v>59</v>
      </c>
      <c r="C3597" s="5" t="s">
        <v>14</v>
      </c>
      <c r="D3597" s="6">
        <v>42379</v>
      </c>
      <c r="E3597" s="6">
        <f t="shared" si="146"/>
        <v>42644</v>
      </c>
      <c r="F3597" s="5" t="s">
        <v>60</v>
      </c>
      <c r="G3597" s="5" t="s">
        <v>18</v>
      </c>
      <c r="H3597" s="5">
        <v>-4</v>
      </c>
      <c r="I3597" s="5">
        <v>0.01</v>
      </c>
      <c r="J3597" s="5">
        <v>0</v>
      </c>
      <c r="K3597" s="5" t="s">
        <v>61</v>
      </c>
      <c r="L3597" s="5">
        <v>2387</v>
      </c>
      <c r="M3597" s="5">
        <v>2.36</v>
      </c>
      <c r="N3597" s="5">
        <v>5.892E-2</v>
      </c>
      <c r="O3597" s="5">
        <f>VLOOKUP(D3597,underlying!$D$76:$H$90,5,FALSE)</f>
        <v>-0.57999999999999996</v>
      </c>
      <c r="P3597" s="2">
        <f>VLOOKUP(D3597,underlying!$D$76:$L$90,9,FALSE)</f>
        <v>42632</v>
      </c>
      <c r="Q3597" s="7">
        <f>IF(G3597="C",NormalCallSprd(O3597,H3597,M3597,(P3597-A3597)/365), NormalPutSprd(O3597,H3597,M3597,(P3597-A3597)/365))</f>
        <v>4.4380895517207071E-20</v>
      </c>
      <c r="R3597" s="9">
        <f t="shared" si="147"/>
        <v>0.01</v>
      </c>
    </row>
    <row r="3598" spans="1:18" x14ac:dyDescent="0.2">
      <c r="A3598" s="2">
        <v>42622</v>
      </c>
      <c r="B3598" s="1" t="s">
        <v>59</v>
      </c>
      <c r="C3598" s="1" t="s">
        <v>14</v>
      </c>
      <c r="D3598" s="2">
        <v>42379</v>
      </c>
      <c r="E3598" s="2">
        <f t="shared" si="146"/>
        <v>42644</v>
      </c>
      <c r="F3598" s="1" t="s">
        <v>60</v>
      </c>
      <c r="G3598" s="1" t="s">
        <v>16</v>
      </c>
      <c r="H3598" s="1">
        <v>-3</v>
      </c>
      <c r="I3598" s="1">
        <v>2.42</v>
      </c>
      <c r="J3598" s="1">
        <v>0.06</v>
      </c>
      <c r="K3598" s="1" t="s">
        <v>61</v>
      </c>
      <c r="L3598" s="1">
        <v>2387</v>
      </c>
      <c r="M3598" s="1">
        <v>2.2400000000000002</v>
      </c>
      <c r="N3598" s="1">
        <v>7.0669999999999997E-2</v>
      </c>
      <c r="O3598" s="5">
        <f>VLOOKUP(D3598,underlying!$D$76:$H$90,5,FALSE)</f>
        <v>-0.57999999999999996</v>
      </c>
      <c r="P3598" s="2">
        <f>VLOOKUP(D3598,underlying!$D$76:$L$90,9,FALSE)</f>
        <v>42632</v>
      </c>
      <c r="Q3598" s="7">
        <f>IF(G3598="C",NormalCallSprd(O3598,H3598,M3598,(P3598-A3598)/365), NormalPutSprd(O3598,H3598,M3598,(P3598-A3598)/365))</f>
        <v>2.4200000000018251</v>
      </c>
      <c r="R3598" s="9">
        <f t="shared" si="147"/>
        <v>1.8252066524837574E-12</v>
      </c>
    </row>
    <row r="3599" spans="1:18" x14ac:dyDescent="0.2">
      <c r="A3599" s="2">
        <v>42622</v>
      </c>
      <c r="B3599" s="1" t="s">
        <v>59</v>
      </c>
      <c r="C3599" s="1" t="s">
        <v>14</v>
      </c>
      <c r="D3599" s="2">
        <v>42379</v>
      </c>
      <c r="E3599" s="2">
        <f t="shared" si="146"/>
        <v>42644</v>
      </c>
      <c r="F3599" s="1" t="s">
        <v>60</v>
      </c>
      <c r="G3599" s="1" t="s">
        <v>18</v>
      </c>
      <c r="H3599" s="1">
        <v>-3</v>
      </c>
      <c r="I3599" s="1">
        <v>0.01</v>
      </c>
      <c r="J3599" s="1">
        <v>0</v>
      </c>
      <c r="K3599" s="1" t="s">
        <v>61</v>
      </c>
      <c r="L3599" s="1">
        <v>2387</v>
      </c>
      <c r="M3599" s="1">
        <v>2.2400000000000002</v>
      </c>
      <c r="N3599" s="1">
        <v>8.0560000000000007E-2</v>
      </c>
      <c r="O3599" s="5">
        <f>VLOOKUP(D3599,underlying!$D$76:$H$90,5,FALSE)</f>
        <v>-0.57999999999999996</v>
      </c>
      <c r="P3599" s="2">
        <f>VLOOKUP(D3599,underlying!$D$76:$L$90,9,FALSE)</f>
        <v>42632</v>
      </c>
      <c r="Q3599" s="7">
        <f>IF(G3599="C",NormalCallSprd(O3599,H3599,M3599,(P3599-A3599)/365), NormalPutSprd(O3599,H3599,M3599,(P3599-A3599)/365))</f>
        <v>1.825313295997493E-12</v>
      </c>
      <c r="R3599" s="9">
        <f t="shared" si="147"/>
        <v>9.9999999981746877E-3</v>
      </c>
    </row>
    <row r="3600" spans="1:18" x14ac:dyDescent="0.2">
      <c r="A3600" s="2">
        <v>42622</v>
      </c>
      <c r="B3600" s="1" t="s">
        <v>59</v>
      </c>
      <c r="C3600" s="1" t="s">
        <v>14</v>
      </c>
      <c r="D3600" s="2">
        <v>42379</v>
      </c>
      <c r="E3600" s="2">
        <f t="shared" si="146"/>
        <v>42644</v>
      </c>
      <c r="F3600" s="1" t="s">
        <v>60</v>
      </c>
      <c r="G3600" s="1" t="s">
        <v>16</v>
      </c>
      <c r="H3600" s="1">
        <v>-2</v>
      </c>
      <c r="I3600" s="1">
        <v>1.42</v>
      </c>
      <c r="J3600" s="1">
        <v>0.06</v>
      </c>
      <c r="K3600" s="1" t="s">
        <v>61</v>
      </c>
      <c r="L3600" s="1">
        <v>2387</v>
      </c>
      <c r="M3600" s="1">
        <v>2.02</v>
      </c>
      <c r="N3600" s="1">
        <v>8.8719999999999993E-2</v>
      </c>
      <c r="O3600" s="5">
        <f>VLOOKUP(D3600,underlying!$D$76:$H$90,5,FALSE)</f>
        <v>-0.57999999999999996</v>
      </c>
      <c r="P3600" s="2">
        <f>VLOOKUP(D3600,underlying!$D$76:$L$90,9,FALSE)</f>
        <v>42632</v>
      </c>
      <c r="Q3600" s="7">
        <f>IF(G3600="C",NormalCallSprd(O3600,H3600,M3600,(P3600-A3600)/365), NormalPutSprd(O3600,H3600,M3600,(P3600-A3600)/365))</f>
        <v>1.4200007772237011</v>
      </c>
      <c r="R3600" s="9">
        <f t="shared" si="147"/>
        <v>7.7722370117605522E-7</v>
      </c>
    </row>
    <row r="3601" spans="1:18" x14ac:dyDescent="0.2">
      <c r="A3601" s="2">
        <v>42622</v>
      </c>
      <c r="B3601" s="1" t="s">
        <v>59</v>
      </c>
      <c r="C3601" s="1" t="s">
        <v>14</v>
      </c>
      <c r="D3601" s="2">
        <v>42379</v>
      </c>
      <c r="E3601" s="2">
        <f t="shared" si="146"/>
        <v>42644</v>
      </c>
      <c r="F3601" s="1" t="s">
        <v>60</v>
      </c>
      <c r="G3601" s="1" t="s">
        <v>18</v>
      </c>
      <c r="H3601" s="1">
        <v>-2</v>
      </c>
      <c r="I3601" s="1">
        <v>0.01</v>
      </c>
      <c r="J3601" s="1">
        <v>0</v>
      </c>
      <c r="K3601" s="1" t="s">
        <v>61</v>
      </c>
      <c r="L3601" s="1">
        <v>2387</v>
      </c>
      <c r="M3601" s="1">
        <v>2.02</v>
      </c>
      <c r="N3601" s="1">
        <v>9.8150000000000001E-2</v>
      </c>
      <c r="O3601" s="5">
        <f>VLOOKUP(D3601,underlying!$D$76:$H$90,5,FALSE)</f>
        <v>-0.57999999999999996</v>
      </c>
      <c r="P3601" s="2">
        <f>VLOOKUP(D3601,underlying!$D$76:$L$90,9,FALSE)</f>
        <v>42632</v>
      </c>
      <c r="Q3601" s="7">
        <f>IF(G3601="C",NormalCallSprd(O3601,H3601,M3601,(P3601-A3601)/365), NormalPutSprd(O3601,H3601,M3601,(P3601-A3601)/365))</f>
        <v>7.7722370102533661E-7</v>
      </c>
      <c r="R3601" s="9">
        <f t="shared" si="147"/>
        <v>9.9992227762989751E-3</v>
      </c>
    </row>
    <row r="3602" spans="1:18" x14ac:dyDescent="0.2">
      <c r="A3602" s="2">
        <v>42622</v>
      </c>
      <c r="B3602" s="1" t="s">
        <v>59</v>
      </c>
      <c r="C3602" s="1" t="s">
        <v>14</v>
      </c>
      <c r="D3602" s="2">
        <v>42379</v>
      </c>
      <c r="E3602" s="2">
        <f t="shared" si="146"/>
        <v>42644</v>
      </c>
      <c r="F3602" s="1" t="s">
        <v>60</v>
      </c>
      <c r="G3602" s="1" t="s">
        <v>16</v>
      </c>
      <c r="H3602" s="1">
        <v>-1.25</v>
      </c>
      <c r="I3602" s="1">
        <v>0.67</v>
      </c>
      <c r="J3602" s="1">
        <v>0.06</v>
      </c>
      <c r="K3602" s="1" t="s">
        <v>61</v>
      </c>
      <c r="L3602" s="1">
        <v>2387</v>
      </c>
      <c r="M3602" s="1">
        <v>1.84</v>
      </c>
      <c r="N3602" s="1">
        <v>0.11042</v>
      </c>
      <c r="O3602" s="5">
        <f>VLOOKUP(D3602,underlying!$D$76:$H$90,5,FALSE)</f>
        <v>-0.57999999999999996</v>
      </c>
      <c r="P3602" s="2">
        <f>VLOOKUP(D3602,underlying!$D$76:$L$90,9,FALSE)</f>
        <v>42632</v>
      </c>
      <c r="Q3602" s="7">
        <f>IF(G3602="C",NormalCallSprd(O3602,H3602,M3602,(P3602-A3602)/365), NormalPutSprd(O3602,H3602,M3602,(P3602-A3602)/365))</f>
        <v>0.67148879556962182</v>
      </c>
      <c r="R3602" s="9">
        <f t="shared" si="147"/>
        <v>1.4887955696217814E-3</v>
      </c>
    </row>
    <row r="3603" spans="1:18" x14ac:dyDescent="0.2">
      <c r="A3603" s="2">
        <v>42622</v>
      </c>
      <c r="B3603" s="1" t="s">
        <v>59</v>
      </c>
      <c r="C3603" s="1" t="s">
        <v>14</v>
      </c>
      <c r="D3603" s="2">
        <v>42379</v>
      </c>
      <c r="E3603" s="2">
        <f t="shared" si="146"/>
        <v>42644</v>
      </c>
      <c r="F3603" s="1" t="s">
        <v>60</v>
      </c>
      <c r="G3603" s="1" t="s">
        <v>18</v>
      </c>
      <c r="H3603" s="1">
        <v>-1.25</v>
      </c>
      <c r="I3603" s="1">
        <v>0.01</v>
      </c>
      <c r="J3603" s="1">
        <v>0</v>
      </c>
      <c r="K3603" s="1" t="s">
        <v>61</v>
      </c>
      <c r="L3603" s="1">
        <v>2387</v>
      </c>
      <c r="M3603" s="1">
        <v>1.84</v>
      </c>
      <c r="N3603" s="1">
        <v>0.18375</v>
      </c>
      <c r="O3603" s="5">
        <f>VLOOKUP(D3603,underlying!$D$76:$H$90,5,FALSE)</f>
        <v>-0.57999999999999996</v>
      </c>
      <c r="P3603" s="2">
        <f>VLOOKUP(D3603,underlying!$D$76:$L$90,9,FALSE)</f>
        <v>42632</v>
      </c>
      <c r="Q3603" s="7">
        <f>IF(G3603="C",NormalCallSprd(O3603,H3603,M3603,(P3603-A3603)/365), NormalPutSprd(O3603,H3603,M3603,(P3603-A3603)/365))</f>
        <v>1.488795569621807E-3</v>
      </c>
      <c r="R3603" s="9">
        <f t="shared" si="147"/>
        <v>8.5112044303781928E-3</v>
      </c>
    </row>
    <row r="3604" spans="1:18" x14ac:dyDescent="0.2">
      <c r="A3604" s="2">
        <v>42622</v>
      </c>
      <c r="B3604" s="1" t="s">
        <v>59</v>
      </c>
      <c r="C3604" s="1" t="s">
        <v>14</v>
      </c>
      <c r="D3604" s="2">
        <v>42379</v>
      </c>
      <c r="E3604" s="2">
        <f t="shared" si="146"/>
        <v>42644</v>
      </c>
      <c r="F3604" s="1" t="s">
        <v>60</v>
      </c>
      <c r="G3604" s="1" t="s">
        <v>16</v>
      </c>
      <c r="H3604" s="1">
        <v>-1.2</v>
      </c>
      <c r="I3604" s="1">
        <v>0.62</v>
      </c>
      <c r="J3604" s="1">
        <v>0.05</v>
      </c>
      <c r="K3604" s="1" t="s">
        <v>61</v>
      </c>
      <c r="L3604" s="1">
        <v>2387</v>
      </c>
      <c r="M3604" s="1">
        <v>1.82</v>
      </c>
      <c r="N3604" s="1">
        <v>0.25433</v>
      </c>
      <c r="O3604" s="5">
        <f>VLOOKUP(D3604,underlying!$D$76:$H$90,5,FALSE)</f>
        <v>-0.57999999999999996</v>
      </c>
      <c r="P3604" s="2">
        <f>VLOOKUP(D3604,underlying!$D$76:$L$90,9,FALSE)</f>
        <v>42632</v>
      </c>
      <c r="Q3604" s="7">
        <f>IF(G3604="C",NormalCallSprd(O3604,H3604,M3604,(P3604-A3604)/365), NormalPutSprd(O3604,H3604,M3604,(P3604-A3604)/365))</f>
        <v>0.62218603064822298</v>
      </c>
      <c r="R3604" s="9">
        <f t="shared" si="147"/>
        <v>2.1860306482229808E-3</v>
      </c>
    </row>
    <row r="3605" spans="1:18" x14ac:dyDescent="0.2">
      <c r="A3605" s="2">
        <v>42622</v>
      </c>
      <c r="B3605" s="1" t="s">
        <v>59</v>
      </c>
      <c r="C3605" s="1" t="s">
        <v>14</v>
      </c>
      <c r="D3605" s="2">
        <v>42379</v>
      </c>
      <c r="E3605" s="2">
        <f t="shared" si="146"/>
        <v>42644</v>
      </c>
      <c r="F3605" s="1" t="s">
        <v>60</v>
      </c>
      <c r="G3605" s="1" t="s">
        <v>18</v>
      </c>
      <c r="H3605" s="1">
        <v>-1.2</v>
      </c>
      <c r="I3605" s="1">
        <v>0.01</v>
      </c>
      <c r="J3605" s="1">
        <v>0</v>
      </c>
      <c r="K3605" s="1" t="s">
        <v>61</v>
      </c>
      <c r="L3605" s="1">
        <v>2387</v>
      </c>
      <c r="M3605" s="1">
        <v>1.82</v>
      </c>
      <c r="N3605" s="1">
        <v>0.33129999999999998</v>
      </c>
      <c r="O3605" s="5">
        <f>VLOOKUP(D3605,underlying!$D$76:$H$90,5,FALSE)</f>
        <v>-0.57999999999999996</v>
      </c>
      <c r="P3605" s="2">
        <f>VLOOKUP(D3605,underlying!$D$76:$L$90,9,FALSE)</f>
        <v>42632</v>
      </c>
      <c r="Q3605" s="7">
        <f>IF(G3605="C",NormalCallSprd(O3605,H3605,M3605,(P3605-A3605)/365), NormalPutSprd(O3605,H3605,M3605,(P3605-A3605)/365))</f>
        <v>2.1860306482230389E-3</v>
      </c>
      <c r="R3605" s="9">
        <f t="shared" si="147"/>
        <v>7.8139693517769622E-3</v>
      </c>
    </row>
    <row r="3606" spans="1:18" x14ac:dyDescent="0.2">
      <c r="A3606" s="2">
        <v>42622</v>
      </c>
      <c r="B3606" s="1" t="s">
        <v>59</v>
      </c>
      <c r="C3606" s="1" t="s">
        <v>14</v>
      </c>
      <c r="D3606" s="2">
        <v>42379</v>
      </c>
      <c r="E3606" s="2">
        <f t="shared" si="146"/>
        <v>42644</v>
      </c>
      <c r="F3606" s="1" t="s">
        <v>60</v>
      </c>
      <c r="G3606" s="1" t="s">
        <v>16</v>
      </c>
      <c r="H3606" s="1">
        <v>-1.1499999999999999</v>
      </c>
      <c r="I3606" s="1">
        <v>0.56999999999999995</v>
      </c>
      <c r="J3606" s="1">
        <v>0.05</v>
      </c>
      <c r="K3606" s="1" t="s">
        <v>61</v>
      </c>
      <c r="L3606" s="1">
        <v>2387</v>
      </c>
      <c r="M3606" s="1">
        <v>1.81</v>
      </c>
      <c r="N3606" s="1">
        <v>0.44943</v>
      </c>
      <c r="O3606" s="5">
        <f>VLOOKUP(D3606,underlying!$D$76:$H$90,5,FALSE)</f>
        <v>-0.57999999999999996</v>
      </c>
      <c r="P3606" s="2">
        <f>VLOOKUP(D3606,underlying!$D$76:$L$90,9,FALSE)</f>
        <v>42632</v>
      </c>
      <c r="Q3606" s="7">
        <f>IF(G3606="C",NormalCallSprd(O3606,H3606,M3606,(P3606-A3606)/365), NormalPutSprd(O3606,H3606,M3606,(P3606-A3606)/365))</f>
        <v>0.5732896867354369</v>
      </c>
      <c r="R3606" s="9">
        <f t="shared" si="147"/>
        <v>3.2896867354369475E-3</v>
      </c>
    </row>
    <row r="3607" spans="1:18" x14ac:dyDescent="0.2">
      <c r="A3607" s="2">
        <v>42622</v>
      </c>
      <c r="B3607" s="1" t="s">
        <v>59</v>
      </c>
      <c r="C3607" s="1" t="s">
        <v>14</v>
      </c>
      <c r="D3607" s="2">
        <v>42379</v>
      </c>
      <c r="E3607" s="2">
        <f t="shared" si="146"/>
        <v>42644</v>
      </c>
      <c r="F3607" s="1" t="s">
        <v>60</v>
      </c>
      <c r="G3607" s="1" t="s">
        <v>18</v>
      </c>
      <c r="H3607" s="1">
        <v>-1.1499999999999999</v>
      </c>
      <c r="I3607" s="1">
        <v>0.01</v>
      </c>
      <c r="J3607" s="1">
        <v>0</v>
      </c>
      <c r="K3607" s="1" t="s">
        <v>61</v>
      </c>
      <c r="L3607" s="1">
        <v>2387</v>
      </c>
      <c r="M3607" s="1">
        <v>1.81</v>
      </c>
      <c r="N3607" s="1">
        <v>0.53335999999999995</v>
      </c>
      <c r="O3607" s="5">
        <f>VLOOKUP(D3607,underlying!$D$76:$H$90,5,FALSE)</f>
        <v>-0.57999999999999996</v>
      </c>
      <c r="P3607" s="2">
        <f>VLOOKUP(D3607,underlying!$D$76:$L$90,9,FALSE)</f>
        <v>42632</v>
      </c>
      <c r="Q3607" s="7">
        <f>IF(G3607="C",NormalCallSprd(O3607,H3607,M3607,(P3607-A3607)/365), NormalPutSprd(O3607,H3607,M3607,(P3607-A3607)/365))</f>
        <v>3.2896867354368941E-3</v>
      </c>
      <c r="R3607" s="9">
        <f t="shared" si="147"/>
        <v>6.7103132645631065E-3</v>
      </c>
    </row>
    <row r="3608" spans="1:18" x14ac:dyDescent="0.2">
      <c r="A3608" s="2">
        <v>42622</v>
      </c>
      <c r="B3608" s="1" t="s">
        <v>59</v>
      </c>
      <c r="C3608" s="1" t="s">
        <v>14</v>
      </c>
      <c r="D3608" s="2">
        <v>42379</v>
      </c>
      <c r="E3608" s="2">
        <f t="shared" si="146"/>
        <v>42644</v>
      </c>
      <c r="F3608" s="1" t="s">
        <v>60</v>
      </c>
      <c r="G3608" s="1" t="s">
        <v>16</v>
      </c>
      <c r="H3608" s="1">
        <v>-1.1000000000000001</v>
      </c>
      <c r="I3608" s="1">
        <v>0.52</v>
      </c>
      <c r="J3608" s="1">
        <v>0.05</v>
      </c>
      <c r="K3608" s="1" t="s">
        <v>61</v>
      </c>
      <c r="L3608" s="1">
        <v>2387</v>
      </c>
      <c r="M3608" s="1">
        <v>1.8</v>
      </c>
      <c r="N3608" s="1">
        <v>0.61329</v>
      </c>
      <c r="O3608" s="5">
        <f>VLOOKUP(D3608,underlying!$D$76:$H$90,5,FALSE)</f>
        <v>-0.57999999999999996</v>
      </c>
      <c r="P3608" s="2">
        <f>VLOOKUP(D3608,underlying!$D$76:$L$90,9,FALSE)</f>
        <v>42632</v>
      </c>
      <c r="Q3608" s="7">
        <f>IF(G3608="C",NormalCallSprd(O3608,H3608,M3608,(P3608-A3608)/365), NormalPutSprd(O3608,H3608,M3608,(P3608-A3608)/365))</f>
        <v>0.52487482179563316</v>
      </c>
      <c r="R3608" s="9">
        <f t="shared" si="147"/>
        <v>4.8748217956331441E-3</v>
      </c>
    </row>
    <row r="3609" spans="1:18" x14ac:dyDescent="0.2">
      <c r="A3609" s="2">
        <v>42622</v>
      </c>
      <c r="B3609" s="1" t="s">
        <v>59</v>
      </c>
      <c r="C3609" s="1" t="s">
        <v>14</v>
      </c>
      <c r="D3609" s="2">
        <v>42379</v>
      </c>
      <c r="E3609" s="2">
        <f t="shared" si="146"/>
        <v>42644</v>
      </c>
      <c r="F3609" s="1" t="s">
        <v>60</v>
      </c>
      <c r="G3609" s="1" t="s">
        <v>18</v>
      </c>
      <c r="H3609" s="1">
        <v>-1.1000000000000001</v>
      </c>
      <c r="I3609" s="1">
        <v>0.01</v>
      </c>
      <c r="J3609" s="1">
        <v>0</v>
      </c>
      <c r="K3609" s="1" t="s">
        <v>61</v>
      </c>
      <c r="L3609" s="1">
        <v>2387</v>
      </c>
      <c r="M3609" s="1">
        <v>1.8</v>
      </c>
      <c r="N3609" s="1">
        <v>0.68579999999999997</v>
      </c>
      <c r="O3609" s="5">
        <f>VLOOKUP(D3609,underlying!$D$76:$H$90,5,FALSE)</f>
        <v>-0.57999999999999996</v>
      </c>
      <c r="P3609" s="2">
        <f>VLOOKUP(D3609,underlying!$D$76:$L$90,9,FALSE)</f>
        <v>42632</v>
      </c>
      <c r="Q3609" s="7">
        <f>IF(G3609="C",NormalCallSprd(O3609,H3609,M3609,(P3609-A3609)/365), NormalPutSprd(O3609,H3609,M3609,(P3609-A3609)/365))</f>
        <v>4.8748217956330522E-3</v>
      </c>
      <c r="R3609" s="9">
        <f t="shared" si="147"/>
        <v>5.125178204366948E-3</v>
      </c>
    </row>
    <row r="3610" spans="1:18" x14ac:dyDescent="0.2">
      <c r="A3610" s="2">
        <v>42622</v>
      </c>
      <c r="B3610" s="1" t="s">
        <v>59</v>
      </c>
      <c r="C3610" s="1" t="s">
        <v>14</v>
      </c>
      <c r="D3610" s="2">
        <v>42379</v>
      </c>
      <c r="E3610" s="2">
        <f t="shared" si="146"/>
        <v>42644</v>
      </c>
      <c r="F3610" s="1" t="s">
        <v>60</v>
      </c>
      <c r="G3610" s="1" t="s">
        <v>16</v>
      </c>
      <c r="H3610" s="1">
        <v>-1.05</v>
      </c>
      <c r="I3610" s="1">
        <v>0.48</v>
      </c>
      <c r="J3610" s="1">
        <v>0.05</v>
      </c>
      <c r="K3610" s="1" t="s">
        <v>61</v>
      </c>
      <c r="L3610" s="1">
        <v>2387</v>
      </c>
      <c r="M3610" s="1">
        <v>1.78</v>
      </c>
      <c r="N3610" s="1">
        <v>0.74360000000000004</v>
      </c>
      <c r="O3610" s="5">
        <f>VLOOKUP(D3610,underlying!$D$76:$H$90,5,FALSE)</f>
        <v>-0.57999999999999996</v>
      </c>
      <c r="P3610" s="2">
        <f>VLOOKUP(D3610,underlying!$D$76:$L$90,9,FALSE)</f>
        <v>42632</v>
      </c>
      <c r="Q3610" s="7">
        <f>IF(G3610="C",NormalCallSprd(O3610,H3610,M3610,(P3610-A3610)/365), NormalPutSprd(O3610,H3610,M3610,(P3610-A3610)/365))</f>
        <v>0.47692505506973926</v>
      </c>
      <c r="R3610" s="9">
        <f t="shared" si="147"/>
        <v>3.0749449302607257E-3</v>
      </c>
    </row>
    <row r="3611" spans="1:18" x14ac:dyDescent="0.2">
      <c r="A3611" s="2">
        <v>42622</v>
      </c>
      <c r="B3611" s="1" t="s">
        <v>59</v>
      </c>
      <c r="C3611" s="1" t="s">
        <v>14</v>
      </c>
      <c r="D3611" s="2">
        <v>42379</v>
      </c>
      <c r="E3611" s="2">
        <f t="shared" si="146"/>
        <v>42644</v>
      </c>
      <c r="F3611" s="1" t="s">
        <v>60</v>
      </c>
      <c r="G3611" s="1" t="s">
        <v>18</v>
      </c>
      <c r="H3611" s="1">
        <v>-1.05</v>
      </c>
      <c r="I3611" s="1">
        <v>0.01</v>
      </c>
      <c r="J3611" s="1">
        <v>-0.01</v>
      </c>
      <c r="K3611" s="1" t="s">
        <v>61</v>
      </c>
      <c r="L3611" s="1">
        <v>2387</v>
      </c>
      <c r="M3611" s="1">
        <v>1.78</v>
      </c>
      <c r="N3611" s="1">
        <v>0.79325000000000001</v>
      </c>
      <c r="O3611" s="5">
        <f>VLOOKUP(D3611,underlying!$D$76:$H$90,5,FALSE)</f>
        <v>-0.57999999999999996</v>
      </c>
      <c r="P3611" s="2">
        <f>VLOOKUP(D3611,underlying!$D$76:$L$90,9,FALSE)</f>
        <v>42632</v>
      </c>
      <c r="Q3611" s="7">
        <f>IF(G3611="C",NormalCallSprd(O3611,H3611,M3611,(P3611-A3611)/365), NormalPutSprd(O3611,H3611,M3611,(P3611-A3611)/365))</f>
        <v>6.9250550697392017E-3</v>
      </c>
      <c r="R3611" s="9">
        <f t="shared" si="147"/>
        <v>3.0749449302607985E-3</v>
      </c>
    </row>
    <row r="3612" spans="1:18" x14ac:dyDescent="0.2">
      <c r="A3612" s="2">
        <v>42622</v>
      </c>
      <c r="B3612" s="1" t="s">
        <v>59</v>
      </c>
      <c r="C3612" s="1" t="s">
        <v>14</v>
      </c>
      <c r="D3612" s="2">
        <v>42379</v>
      </c>
      <c r="E3612" s="2">
        <f t="shared" si="146"/>
        <v>42644</v>
      </c>
      <c r="F3612" s="1" t="s">
        <v>60</v>
      </c>
      <c r="G3612" s="1" t="s">
        <v>16</v>
      </c>
      <c r="H3612" s="1">
        <v>-1</v>
      </c>
      <c r="I3612" s="1">
        <v>0.43</v>
      </c>
      <c r="J3612" s="1">
        <v>0.05</v>
      </c>
      <c r="K3612" s="1" t="s">
        <v>61</v>
      </c>
      <c r="L3612" s="1">
        <v>2387</v>
      </c>
      <c r="M3612" s="1">
        <v>1.77</v>
      </c>
      <c r="N3612" s="1">
        <v>0.83284999999999998</v>
      </c>
      <c r="O3612" s="5">
        <f>VLOOKUP(D3612,underlying!$D$76:$H$90,5,FALSE)</f>
        <v>-0.57999999999999996</v>
      </c>
      <c r="P3612" s="2">
        <f>VLOOKUP(D3612,underlying!$D$76:$L$90,9,FALSE)</f>
        <v>42632</v>
      </c>
      <c r="Q3612" s="7">
        <f>IF(G3612="C",NormalCallSprd(O3612,H3612,M3612,(P3612-A3612)/365), NormalPutSprd(O3612,H3612,M3612,(P3612-A3612)/365))</f>
        <v>0.4299725799316057</v>
      </c>
      <c r="R3612" s="9">
        <f t="shared" si="147"/>
        <v>2.7420068394290453E-5</v>
      </c>
    </row>
    <row r="3613" spans="1:18" x14ac:dyDescent="0.2">
      <c r="A3613" s="2">
        <v>42622</v>
      </c>
      <c r="B3613" s="1" t="s">
        <v>59</v>
      </c>
      <c r="C3613" s="1" t="s">
        <v>14</v>
      </c>
      <c r="D3613" s="2">
        <v>42379</v>
      </c>
      <c r="E3613" s="2">
        <f t="shared" si="146"/>
        <v>42644</v>
      </c>
      <c r="F3613" s="1" t="s">
        <v>60</v>
      </c>
      <c r="G3613" s="1" t="s">
        <v>18</v>
      </c>
      <c r="H3613" s="1">
        <v>-1</v>
      </c>
      <c r="I3613" s="1">
        <v>0.01</v>
      </c>
      <c r="J3613" s="1">
        <v>-0.01</v>
      </c>
      <c r="K3613" s="1" t="s">
        <v>61</v>
      </c>
      <c r="L3613" s="1">
        <v>2387</v>
      </c>
      <c r="M3613" s="1">
        <v>1.77</v>
      </c>
      <c r="N3613" s="1">
        <v>0.86541000000000001</v>
      </c>
      <c r="O3613" s="5">
        <f>VLOOKUP(D3613,underlying!$D$76:$H$90,5,FALSE)</f>
        <v>-0.57999999999999996</v>
      </c>
      <c r="P3613" s="2">
        <f>VLOOKUP(D3613,underlying!$D$76:$L$90,9,FALSE)</f>
        <v>42632</v>
      </c>
      <c r="Q3613" s="7">
        <f>IF(G3613="C",NormalCallSprd(O3613,H3613,M3613,(P3613-A3613)/365), NormalPutSprd(O3613,H3613,M3613,(P3613-A3613)/365))</f>
        <v>9.9725799316056594E-3</v>
      </c>
      <c r="R3613" s="9">
        <f t="shared" si="147"/>
        <v>2.742006839434076E-5</v>
      </c>
    </row>
    <row r="3614" spans="1:18" x14ac:dyDescent="0.2">
      <c r="A3614" s="2">
        <v>42622</v>
      </c>
      <c r="B3614" s="1" t="s">
        <v>59</v>
      </c>
      <c r="C3614" s="1" t="s">
        <v>14</v>
      </c>
      <c r="D3614" s="2">
        <v>42379</v>
      </c>
      <c r="E3614" s="2">
        <f t="shared" si="146"/>
        <v>42644</v>
      </c>
      <c r="F3614" s="1" t="s">
        <v>60</v>
      </c>
      <c r="G3614" s="1" t="s">
        <v>16</v>
      </c>
      <c r="H3614" s="1">
        <v>-0.95</v>
      </c>
      <c r="I3614" s="1">
        <v>0.38</v>
      </c>
      <c r="J3614" s="1">
        <v>0.05</v>
      </c>
      <c r="K3614" s="1" t="s">
        <v>61</v>
      </c>
      <c r="L3614" s="1">
        <v>2387</v>
      </c>
      <c r="M3614" s="1">
        <v>1.78</v>
      </c>
      <c r="N3614" s="1">
        <v>0.89492000000000005</v>
      </c>
      <c r="O3614" s="5">
        <f>VLOOKUP(D3614,underlying!$D$76:$H$90,5,FALSE)</f>
        <v>-0.57999999999999996</v>
      </c>
      <c r="P3614" s="2">
        <f>VLOOKUP(D3614,underlying!$D$76:$L$90,9,FALSE)</f>
        <v>42632</v>
      </c>
      <c r="Q3614" s="7">
        <f>IF(G3614="C",NormalCallSprd(O3614,H3614,M3614,(P3614-A3614)/365), NormalPutSprd(O3614,H3614,M3614,(P3614-A3614)/365))</f>
        <v>0.38472397288239424</v>
      </c>
      <c r="R3614" s="9">
        <f t="shared" si="147"/>
        <v>4.723972882394234E-3</v>
      </c>
    </row>
    <row r="3615" spans="1:18" x14ac:dyDescent="0.2">
      <c r="A3615" s="2">
        <v>42622</v>
      </c>
      <c r="B3615" s="1" t="s">
        <v>59</v>
      </c>
      <c r="C3615" s="1" t="s">
        <v>14</v>
      </c>
      <c r="D3615" s="2">
        <v>42379</v>
      </c>
      <c r="E3615" s="2">
        <f t="shared" si="146"/>
        <v>42644</v>
      </c>
      <c r="F3615" s="1" t="s">
        <v>60</v>
      </c>
      <c r="G3615" s="1" t="s">
        <v>18</v>
      </c>
      <c r="H3615" s="1">
        <v>-0.95</v>
      </c>
      <c r="I3615" s="1">
        <v>0.01</v>
      </c>
      <c r="J3615" s="1">
        <v>-0.01</v>
      </c>
      <c r="K3615" s="1" t="s">
        <v>61</v>
      </c>
      <c r="L3615" s="1">
        <v>2387</v>
      </c>
      <c r="M3615" s="1">
        <v>1.78</v>
      </c>
      <c r="N3615" s="1">
        <v>0.92367999999999995</v>
      </c>
      <c r="O3615" s="5">
        <f>VLOOKUP(D3615,underlying!$D$76:$H$90,5,FALSE)</f>
        <v>-0.57999999999999996</v>
      </c>
      <c r="P3615" s="2">
        <f>VLOOKUP(D3615,underlying!$D$76:$L$90,9,FALSE)</f>
        <v>42632</v>
      </c>
      <c r="Q3615" s="7">
        <f>IF(G3615="C",NormalCallSprd(O3615,H3615,M3615,(P3615-A3615)/365), NormalPutSprd(O3615,H3615,M3615,(P3615-A3615)/365))</f>
        <v>1.4723972882394284E-2</v>
      </c>
      <c r="R3615" s="9">
        <f t="shared" si="147"/>
        <v>4.7239728823942843E-3</v>
      </c>
    </row>
    <row r="3616" spans="1:18" x14ac:dyDescent="0.2">
      <c r="A3616" s="2">
        <v>42622</v>
      </c>
      <c r="B3616" s="1" t="s">
        <v>59</v>
      </c>
      <c r="C3616" s="1" t="s">
        <v>14</v>
      </c>
      <c r="D3616" s="2">
        <v>42379</v>
      </c>
      <c r="E3616" s="2">
        <f t="shared" si="146"/>
        <v>42644</v>
      </c>
      <c r="F3616" s="1" t="s">
        <v>60</v>
      </c>
      <c r="G3616" s="1" t="s">
        <v>16</v>
      </c>
      <c r="H3616" s="1">
        <v>-0.9</v>
      </c>
      <c r="I3616" s="1">
        <v>0.34</v>
      </c>
      <c r="J3616" s="1">
        <v>0.05</v>
      </c>
      <c r="K3616" s="1" t="s">
        <v>61</v>
      </c>
      <c r="L3616" s="1">
        <v>2387</v>
      </c>
      <c r="M3616" s="1">
        <v>1.75</v>
      </c>
      <c r="N3616" s="1">
        <v>0.94425000000000003</v>
      </c>
      <c r="O3616" s="5">
        <f>VLOOKUP(D3616,underlying!$D$76:$H$90,5,FALSE)</f>
        <v>-0.57999999999999996</v>
      </c>
      <c r="P3616" s="2">
        <f>VLOOKUP(D3616,underlying!$D$76:$L$90,9,FALSE)</f>
        <v>42632</v>
      </c>
      <c r="Q3616" s="7">
        <f>IF(G3616="C",NormalCallSprd(O3616,H3616,M3616,(P3616-A3616)/365), NormalPutSprd(O3616,H3616,M3616,(P3616-A3616)/365))</f>
        <v>0.33969107744999633</v>
      </c>
      <c r="R3616" s="9">
        <f t="shared" si="147"/>
        <v>3.089225500036985E-4</v>
      </c>
    </row>
    <row r="3617" spans="1:18" x14ac:dyDescent="0.2">
      <c r="A3617" s="2">
        <v>42622</v>
      </c>
      <c r="B3617" s="1" t="s">
        <v>59</v>
      </c>
      <c r="C3617" s="1" t="s">
        <v>14</v>
      </c>
      <c r="D3617" s="2">
        <v>42379</v>
      </c>
      <c r="E3617" s="2">
        <f t="shared" si="146"/>
        <v>42644</v>
      </c>
      <c r="F3617" s="1" t="s">
        <v>60</v>
      </c>
      <c r="G3617" s="1" t="s">
        <v>18</v>
      </c>
      <c r="H3617" s="1">
        <v>-0.9</v>
      </c>
      <c r="I3617" s="1">
        <v>0.02</v>
      </c>
      <c r="J3617" s="1">
        <v>-0.01</v>
      </c>
      <c r="K3617" s="1" t="s">
        <v>61</v>
      </c>
      <c r="L3617" s="1">
        <v>2387</v>
      </c>
      <c r="M3617" s="1">
        <v>1.75</v>
      </c>
      <c r="N3617" s="1">
        <v>0.95984000000000003</v>
      </c>
      <c r="O3617" s="5">
        <f>VLOOKUP(D3617,underlying!$D$76:$H$90,5,FALSE)</f>
        <v>-0.57999999999999996</v>
      </c>
      <c r="P3617" s="2">
        <f>VLOOKUP(D3617,underlying!$D$76:$L$90,9,FALSE)</f>
        <v>42632</v>
      </c>
      <c r="Q3617" s="7">
        <f>IF(G3617="C",NormalCallSprd(O3617,H3617,M3617,(P3617-A3617)/365), NormalPutSprd(O3617,H3617,M3617,(P3617-A3617)/365))</f>
        <v>1.9691077449996246E-2</v>
      </c>
      <c r="R3617" s="9">
        <f t="shared" si="147"/>
        <v>3.0892255000375402E-4</v>
      </c>
    </row>
    <row r="3618" spans="1:18" x14ac:dyDescent="0.2">
      <c r="A3618" s="2">
        <v>42622</v>
      </c>
      <c r="B3618" s="1" t="s">
        <v>59</v>
      </c>
      <c r="C3618" s="1" t="s">
        <v>14</v>
      </c>
      <c r="D3618" s="2">
        <v>42379</v>
      </c>
      <c r="E3618" s="2">
        <f t="shared" si="146"/>
        <v>42644</v>
      </c>
      <c r="F3618" s="1" t="s">
        <v>60</v>
      </c>
      <c r="G3618" s="1" t="s">
        <v>16</v>
      </c>
      <c r="H3618" s="1">
        <v>-0.85</v>
      </c>
      <c r="I3618" s="1">
        <v>0.28999999999999998</v>
      </c>
      <c r="J3618" s="1">
        <v>0.05</v>
      </c>
      <c r="K3618" s="1" t="s">
        <v>61</v>
      </c>
      <c r="L3618" s="1">
        <v>2387</v>
      </c>
      <c r="M3618" s="1">
        <v>1.69</v>
      </c>
      <c r="N3618" s="1">
        <v>0.97113000000000005</v>
      </c>
      <c r="O3618" s="5">
        <f>VLOOKUP(D3618,underlying!$D$76:$H$90,5,FALSE)</f>
        <v>-0.57999999999999996</v>
      </c>
      <c r="P3618" s="2">
        <f>VLOOKUP(D3618,underlying!$D$76:$L$90,9,FALSE)</f>
        <v>42632</v>
      </c>
      <c r="Q3618" s="7">
        <f>IF(G3618="C",NormalCallSprd(O3618,H3618,M3618,(P3618-A3618)/365), NormalPutSprd(O3618,H3618,M3618,(P3618-A3618)/365))</f>
        <v>0.29489117155133149</v>
      </c>
      <c r="R3618" s="9">
        <f t="shared" si="147"/>
        <v>4.8911715513315079E-3</v>
      </c>
    </row>
    <row r="3619" spans="1:18" x14ac:dyDescent="0.2">
      <c r="A3619" s="2">
        <v>42622</v>
      </c>
      <c r="B3619" s="1" t="s">
        <v>59</v>
      </c>
      <c r="C3619" s="1" t="s">
        <v>14</v>
      </c>
      <c r="D3619" s="2">
        <v>42379</v>
      </c>
      <c r="E3619" s="2">
        <f t="shared" si="146"/>
        <v>42644</v>
      </c>
      <c r="F3619" s="1" t="s">
        <v>60</v>
      </c>
      <c r="G3619" s="1" t="s">
        <v>18</v>
      </c>
      <c r="H3619" s="1">
        <v>-0.85</v>
      </c>
      <c r="I3619" s="1">
        <v>0.02</v>
      </c>
      <c r="J3619" s="1">
        <v>-0.01</v>
      </c>
      <c r="K3619" s="1" t="s">
        <v>61</v>
      </c>
      <c r="L3619" s="1">
        <v>2387</v>
      </c>
      <c r="M3619" s="1">
        <v>1.69</v>
      </c>
      <c r="N3619" s="1">
        <v>0.97989999999999999</v>
      </c>
      <c r="O3619" s="5">
        <f>VLOOKUP(D3619,underlying!$D$76:$H$90,5,FALSE)</f>
        <v>-0.57999999999999996</v>
      </c>
      <c r="P3619" s="2">
        <f>VLOOKUP(D3619,underlying!$D$76:$L$90,9,FALSE)</f>
        <v>42632</v>
      </c>
      <c r="Q3619" s="7">
        <f>IF(G3619="C",NormalCallSprd(O3619,H3619,M3619,(P3619-A3619)/365), NormalPutSprd(O3619,H3619,M3619,(P3619-A3619)/365))</f>
        <v>2.4891171551331449E-2</v>
      </c>
      <c r="R3619" s="9">
        <f t="shared" si="147"/>
        <v>4.891171551331449E-3</v>
      </c>
    </row>
    <row r="3620" spans="1:18" x14ac:dyDescent="0.2">
      <c r="A3620" s="2">
        <v>42622</v>
      </c>
      <c r="B3620" s="1" t="s">
        <v>59</v>
      </c>
      <c r="C3620" s="1" t="s">
        <v>14</v>
      </c>
      <c r="D3620" s="2">
        <v>42379</v>
      </c>
      <c r="E3620" s="2">
        <f t="shared" si="146"/>
        <v>42644</v>
      </c>
      <c r="F3620" s="1" t="s">
        <v>60</v>
      </c>
      <c r="G3620" s="1" t="s">
        <v>16</v>
      </c>
      <c r="H3620" s="1">
        <v>-0.8</v>
      </c>
      <c r="I3620" s="1">
        <v>0.25</v>
      </c>
      <c r="J3620" s="1">
        <v>0.05</v>
      </c>
      <c r="K3620" s="1" t="s">
        <v>61</v>
      </c>
      <c r="L3620" s="1">
        <v>2387</v>
      </c>
      <c r="M3620" s="1">
        <v>1.62</v>
      </c>
      <c r="N3620" s="1">
        <v>0.98614000000000002</v>
      </c>
      <c r="O3620" s="5">
        <f>VLOOKUP(D3620,underlying!$D$76:$H$90,5,FALSE)</f>
        <v>-0.57999999999999996</v>
      </c>
      <c r="P3620" s="2">
        <f>VLOOKUP(D3620,underlying!$D$76:$L$90,9,FALSE)</f>
        <v>42632</v>
      </c>
      <c r="Q3620" s="7">
        <f>IF(G3620="C",NormalCallSprd(O3620,H3620,M3620,(P3620-A3620)/365), NormalPutSprd(O3620,H3620,M3620,(P3620-A3620)/365))</f>
        <v>0.25108711315331694</v>
      </c>
      <c r="R3620" s="9">
        <f t="shared" si="147"/>
        <v>1.0871131533169431E-3</v>
      </c>
    </row>
    <row r="3621" spans="1:18" x14ac:dyDescent="0.2">
      <c r="A3621" s="2">
        <v>42622</v>
      </c>
      <c r="B3621" s="1" t="s">
        <v>59</v>
      </c>
      <c r="C3621" s="1" t="s">
        <v>14</v>
      </c>
      <c r="D3621" s="2">
        <v>42379</v>
      </c>
      <c r="E3621" s="2">
        <f t="shared" si="146"/>
        <v>42644</v>
      </c>
      <c r="F3621" s="1" t="s">
        <v>60</v>
      </c>
      <c r="G3621" s="1" t="s">
        <v>18</v>
      </c>
      <c r="H3621" s="1">
        <v>-0.8</v>
      </c>
      <c r="I3621" s="1">
        <v>0.03</v>
      </c>
      <c r="J3621" s="1">
        <v>-0.01</v>
      </c>
      <c r="K3621" s="1" t="s">
        <v>61</v>
      </c>
      <c r="L3621" s="1">
        <v>2387</v>
      </c>
      <c r="M3621" s="1">
        <v>1.62</v>
      </c>
      <c r="N3621" s="1">
        <v>0.99987999999999999</v>
      </c>
      <c r="O3621" s="5">
        <f>VLOOKUP(D3621,underlying!$D$76:$H$90,5,FALSE)</f>
        <v>-0.57999999999999996</v>
      </c>
      <c r="P3621" s="2">
        <f>VLOOKUP(D3621,underlying!$D$76:$L$90,9,FALSE)</f>
        <v>42632</v>
      </c>
      <c r="Q3621" s="7">
        <f>IF(G3621="C",NormalCallSprd(O3621,H3621,M3621,(P3621-A3621)/365), NormalPutSprd(O3621,H3621,M3621,(P3621-A3621)/365))</f>
        <v>3.1087113153316866E-2</v>
      </c>
      <c r="R3621" s="9">
        <f t="shared" si="147"/>
        <v>1.0871131533168668E-3</v>
      </c>
    </row>
    <row r="3622" spans="1:18" x14ac:dyDescent="0.2">
      <c r="A3622" s="2">
        <v>42622</v>
      </c>
      <c r="B3622" s="1" t="s">
        <v>59</v>
      </c>
      <c r="C3622" s="1" t="s">
        <v>14</v>
      </c>
      <c r="D3622" s="2">
        <v>42379</v>
      </c>
      <c r="E3622" s="2">
        <f t="shared" si="146"/>
        <v>42644</v>
      </c>
      <c r="F3622" s="1" t="s">
        <v>60</v>
      </c>
      <c r="G3622" s="1" t="s">
        <v>16</v>
      </c>
      <c r="H3622" s="1">
        <v>-0.75</v>
      </c>
      <c r="I3622" s="1">
        <v>0.21</v>
      </c>
      <c r="J3622" s="1">
        <v>0.05</v>
      </c>
      <c r="K3622" s="1" t="s">
        <v>61</v>
      </c>
      <c r="L3622" s="1">
        <v>2387</v>
      </c>
      <c r="M3622" s="1">
        <v>1.57</v>
      </c>
      <c r="N3622" s="1">
        <v>0.99988999999999995</v>
      </c>
      <c r="O3622" s="5">
        <f>VLOOKUP(D3622,underlying!$D$76:$H$90,5,FALSE)</f>
        <v>-0.57999999999999996</v>
      </c>
      <c r="P3622" s="2">
        <f>VLOOKUP(D3622,underlying!$D$76:$L$90,9,FALSE)</f>
        <v>42632</v>
      </c>
      <c r="Q3622" s="7">
        <f>IF(G3622="C",NormalCallSprd(O3622,H3622,M3622,(P3622-A3622)/365), NormalPutSprd(O3622,H3622,M3622,(P3622-A3622)/365))</f>
        <v>0.21009715449529726</v>
      </c>
      <c r="R3622" s="9">
        <f t="shared" si="147"/>
        <v>9.715449529726361E-5</v>
      </c>
    </row>
    <row r="3623" spans="1:18" x14ac:dyDescent="0.2">
      <c r="A3623" s="2">
        <v>42622</v>
      </c>
      <c r="B3623" s="1" t="s">
        <v>59</v>
      </c>
      <c r="C3623" s="1" t="s">
        <v>14</v>
      </c>
      <c r="D3623" s="2">
        <v>42379</v>
      </c>
      <c r="E3623" s="2">
        <f t="shared" si="146"/>
        <v>42644</v>
      </c>
      <c r="F3623" s="1" t="s">
        <v>60</v>
      </c>
      <c r="G3623" s="1" t="s">
        <v>18</v>
      </c>
      <c r="H3623" s="1">
        <v>-0.75</v>
      </c>
      <c r="I3623" s="1">
        <v>0.04</v>
      </c>
      <c r="J3623" s="1">
        <v>-0.01</v>
      </c>
      <c r="K3623" s="1" t="s">
        <v>61</v>
      </c>
      <c r="L3623" s="1">
        <v>2387</v>
      </c>
      <c r="M3623" s="1">
        <v>1.57</v>
      </c>
      <c r="N3623" s="1">
        <v>0.99988999999999995</v>
      </c>
      <c r="O3623" s="5">
        <f>VLOOKUP(D3623,underlying!$D$76:$H$90,5,FALSE)</f>
        <v>-0.57999999999999996</v>
      </c>
      <c r="P3623" s="2">
        <f>VLOOKUP(D3623,underlying!$D$76:$L$90,9,FALSE)</f>
        <v>42632</v>
      </c>
      <c r="Q3623" s="7">
        <f>IF(G3623="C",NormalCallSprd(O3623,H3623,M3623,(P3623-A3623)/365), NormalPutSprd(O3623,H3623,M3623,(P3623-A3623)/365))</f>
        <v>4.0097154495297216E-2</v>
      </c>
      <c r="R3623" s="9">
        <f t="shared" si="147"/>
        <v>9.7154495297215038E-5</v>
      </c>
    </row>
    <row r="3624" spans="1:18" x14ac:dyDescent="0.2">
      <c r="A3624" s="2">
        <v>42622</v>
      </c>
      <c r="B3624" s="1" t="s">
        <v>59</v>
      </c>
      <c r="C3624" s="1" t="s">
        <v>14</v>
      </c>
      <c r="D3624" s="2">
        <v>42379</v>
      </c>
      <c r="E3624" s="2">
        <f t="shared" si="146"/>
        <v>42644</v>
      </c>
      <c r="F3624" s="1" t="s">
        <v>60</v>
      </c>
      <c r="G3624" s="1" t="s">
        <v>16</v>
      </c>
      <c r="H3624" s="1">
        <v>-0.7</v>
      </c>
      <c r="I3624" s="1">
        <v>0.17</v>
      </c>
      <c r="J3624" s="1">
        <v>0.04</v>
      </c>
      <c r="K3624" s="1" t="s">
        <v>61</v>
      </c>
      <c r="L3624" s="1">
        <v>2387</v>
      </c>
      <c r="M3624" s="1">
        <v>1.5</v>
      </c>
      <c r="N3624" s="1">
        <v>-0.95165999999999995</v>
      </c>
      <c r="O3624" s="5">
        <f>VLOOKUP(D3624,underlying!$D$76:$H$90,5,FALSE)</f>
        <v>-0.57999999999999996</v>
      </c>
      <c r="P3624" s="2">
        <f>VLOOKUP(D3624,underlying!$D$76:$L$90,9,FALSE)</f>
        <v>42632</v>
      </c>
      <c r="Q3624" s="7">
        <f>IF(G3624="C",NormalCallSprd(O3624,H3624,M3624,(P3624-A3624)/365), NormalPutSprd(O3624,H3624,M3624,(P3624-A3624)/365))</f>
        <v>0.17039908743830348</v>
      </c>
      <c r="R3624" s="9">
        <f t="shared" si="147"/>
        <v>3.9908743830346927E-4</v>
      </c>
    </row>
    <row r="3625" spans="1:18" x14ac:dyDescent="0.2">
      <c r="A3625" s="2">
        <v>42622</v>
      </c>
      <c r="B3625" s="1" t="s">
        <v>59</v>
      </c>
      <c r="C3625" s="1" t="s">
        <v>14</v>
      </c>
      <c r="D3625" s="2">
        <v>42379</v>
      </c>
      <c r="E3625" s="2">
        <f t="shared" si="146"/>
        <v>42644</v>
      </c>
      <c r="F3625" s="1" t="s">
        <v>60</v>
      </c>
      <c r="G3625" s="1" t="s">
        <v>18</v>
      </c>
      <c r="H3625" s="1">
        <v>-0.7</v>
      </c>
      <c r="I3625" s="1">
        <v>0.05</v>
      </c>
      <c r="J3625" s="1">
        <v>-0.02</v>
      </c>
      <c r="K3625" s="1" t="s">
        <v>61</v>
      </c>
      <c r="L3625" s="1">
        <v>2387</v>
      </c>
      <c r="M3625" s="1">
        <v>1.5</v>
      </c>
      <c r="N3625" s="1">
        <v>-0.94096999999999997</v>
      </c>
      <c r="O3625" s="5">
        <f>VLOOKUP(D3625,underlying!$D$76:$H$90,5,FALSE)</f>
        <v>-0.57999999999999996</v>
      </c>
      <c r="P3625" s="2">
        <f>VLOOKUP(D3625,underlying!$D$76:$L$90,9,FALSE)</f>
        <v>42632</v>
      </c>
      <c r="Q3625" s="7">
        <f>IF(G3625="C",NormalCallSprd(O3625,H3625,M3625,(P3625-A3625)/365), NormalPutSprd(O3625,H3625,M3625,(P3625-A3625)/365))</f>
        <v>5.0399087438303493E-2</v>
      </c>
      <c r="R3625" s="9">
        <f t="shared" si="147"/>
        <v>3.9908743830349008E-4</v>
      </c>
    </row>
    <row r="3626" spans="1:18" x14ac:dyDescent="0.2">
      <c r="A3626" s="2">
        <v>42622</v>
      </c>
      <c r="B3626" s="1" t="s">
        <v>59</v>
      </c>
      <c r="C3626" s="1" t="s">
        <v>14</v>
      </c>
      <c r="D3626" s="2">
        <v>42379</v>
      </c>
      <c r="E3626" s="2">
        <f t="shared" si="146"/>
        <v>42644</v>
      </c>
      <c r="F3626" s="1" t="s">
        <v>60</v>
      </c>
      <c r="G3626" s="1" t="s">
        <v>16</v>
      </c>
      <c r="H3626" s="1">
        <v>-0.65</v>
      </c>
      <c r="I3626" s="1">
        <v>0.14000000000000001</v>
      </c>
      <c r="J3626" s="1">
        <v>0.04</v>
      </c>
      <c r="K3626" s="1" t="s">
        <v>61</v>
      </c>
      <c r="L3626" s="1">
        <v>2387</v>
      </c>
      <c r="M3626" s="1">
        <v>1.47</v>
      </c>
      <c r="N3626" s="1">
        <v>-0.92922000000000005</v>
      </c>
      <c r="O3626" s="5">
        <f>VLOOKUP(D3626,underlying!$D$76:$H$90,5,FALSE)</f>
        <v>-0.57999999999999996</v>
      </c>
      <c r="P3626" s="2">
        <f>VLOOKUP(D3626,underlying!$D$76:$L$90,9,FALSE)</f>
        <v>42632</v>
      </c>
      <c r="Q3626" s="7">
        <f>IF(G3626="C",NormalCallSprd(O3626,H3626,M3626,(P3626-A3626)/365), NormalPutSprd(O3626,H3626,M3626,(P3626-A3626)/365))</f>
        <v>0.13605864520232547</v>
      </c>
      <c r="R3626" s="9">
        <f t="shared" si="147"/>
        <v>3.9413547976745456E-3</v>
      </c>
    </row>
    <row r="3627" spans="1:18" x14ac:dyDescent="0.2">
      <c r="A3627" s="2">
        <v>42622</v>
      </c>
      <c r="B3627" s="1" t="s">
        <v>59</v>
      </c>
      <c r="C3627" s="1" t="s">
        <v>14</v>
      </c>
      <c r="D3627" s="2">
        <v>42379</v>
      </c>
      <c r="E3627" s="2">
        <f t="shared" si="146"/>
        <v>42644</v>
      </c>
      <c r="F3627" s="1" t="s">
        <v>60</v>
      </c>
      <c r="G3627" s="1" t="s">
        <v>18</v>
      </c>
      <c r="H3627" s="1">
        <v>-0.65</v>
      </c>
      <c r="I3627" s="1">
        <v>7.0000000000000007E-2</v>
      </c>
      <c r="J3627" s="1">
        <v>-0.02</v>
      </c>
      <c r="K3627" s="1" t="s">
        <v>61</v>
      </c>
      <c r="L3627" s="1">
        <v>2387</v>
      </c>
      <c r="M3627" s="1">
        <v>1.47</v>
      </c>
      <c r="N3627" s="1">
        <v>-0.91932999999999998</v>
      </c>
      <c r="O3627" s="5">
        <f>VLOOKUP(D3627,underlying!$D$76:$H$90,5,FALSE)</f>
        <v>-0.57999999999999996</v>
      </c>
      <c r="P3627" s="2">
        <f>VLOOKUP(D3627,underlying!$D$76:$L$90,9,FALSE)</f>
        <v>42632</v>
      </c>
      <c r="Q3627" s="7">
        <f>IF(G3627="C",NormalCallSprd(O3627,H3627,M3627,(P3627-A3627)/365), NormalPutSprd(O3627,H3627,M3627,(P3627-A3627)/365))</f>
        <v>6.6058645202325406E-2</v>
      </c>
      <c r="R3627" s="9">
        <f t="shared" si="147"/>
        <v>3.9413547976746011E-3</v>
      </c>
    </row>
    <row r="3628" spans="1:18" x14ac:dyDescent="0.2">
      <c r="A3628" s="2">
        <v>42622</v>
      </c>
      <c r="B3628" s="1" t="s">
        <v>59</v>
      </c>
      <c r="C3628" s="1" t="s">
        <v>14</v>
      </c>
      <c r="D3628" s="2">
        <v>42379</v>
      </c>
      <c r="E3628" s="2">
        <f t="shared" si="146"/>
        <v>42644</v>
      </c>
      <c r="F3628" s="1" t="s">
        <v>60</v>
      </c>
      <c r="G3628" s="1" t="s">
        <v>16</v>
      </c>
      <c r="H3628" s="1">
        <v>-0.6</v>
      </c>
      <c r="I3628" s="1">
        <v>0.11</v>
      </c>
      <c r="J3628" s="1">
        <v>0.04</v>
      </c>
      <c r="K3628" s="1" t="s">
        <v>61</v>
      </c>
      <c r="L3628" s="1">
        <v>2387</v>
      </c>
      <c r="M3628" s="1">
        <v>1.44</v>
      </c>
      <c r="N3628" s="1">
        <v>-0.91117000000000004</v>
      </c>
      <c r="O3628" s="5">
        <f>VLOOKUP(D3628,underlying!$D$76:$H$90,5,FALSE)</f>
        <v>-0.57999999999999996</v>
      </c>
      <c r="P3628" s="2">
        <f>VLOOKUP(D3628,underlying!$D$76:$L$90,9,FALSE)</f>
        <v>42632</v>
      </c>
      <c r="Q3628" s="7">
        <f>IF(G3628="C",NormalCallSprd(O3628,H3628,M3628,(P3628-A3628)/365), NormalPutSprd(O3628,H3628,M3628,(P3628-A3628)/365))</f>
        <v>0.10542264673413743</v>
      </c>
      <c r="R3628" s="9">
        <f t="shared" si="147"/>
        <v>4.5773532658625743E-3</v>
      </c>
    </row>
    <row r="3629" spans="1:18" x14ac:dyDescent="0.2">
      <c r="A3629" s="2">
        <v>42622</v>
      </c>
      <c r="B3629" s="1" t="s">
        <v>59</v>
      </c>
      <c r="C3629" s="1" t="s">
        <v>14</v>
      </c>
      <c r="D3629" s="2">
        <v>42379</v>
      </c>
      <c r="E3629" s="2">
        <f t="shared" si="146"/>
        <v>42644</v>
      </c>
      <c r="F3629" s="1" t="s">
        <v>60</v>
      </c>
      <c r="G3629" s="1" t="s">
        <v>18</v>
      </c>
      <c r="H3629" s="1">
        <v>-0.6</v>
      </c>
      <c r="I3629" s="1">
        <v>0.08</v>
      </c>
      <c r="J3629" s="1">
        <v>-0.03</v>
      </c>
      <c r="K3629" s="1" t="s">
        <v>61</v>
      </c>
      <c r="L3629" s="1">
        <v>2387</v>
      </c>
      <c r="M3629" s="1">
        <v>1.44</v>
      </c>
      <c r="N3629" s="1">
        <v>-0.90173999999999999</v>
      </c>
      <c r="O3629" s="5">
        <f>VLOOKUP(D3629,underlying!$D$76:$H$90,5,FALSE)</f>
        <v>-0.57999999999999996</v>
      </c>
      <c r="P3629" s="2">
        <f>VLOOKUP(D3629,underlying!$D$76:$L$90,9,FALSE)</f>
        <v>42632</v>
      </c>
      <c r="Q3629" s="7">
        <f>IF(G3629="C",NormalCallSprd(O3629,H3629,M3629,(P3629-A3629)/365), NormalPutSprd(O3629,H3629,M3629,(P3629-A3629)/365))</f>
        <v>8.5422646734137408E-2</v>
      </c>
      <c r="R3629" s="9">
        <f t="shared" si="147"/>
        <v>5.4226467341374068E-3</v>
      </c>
    </row>
    <row r="3630" spans="1:18" x14ac:dyDescent="0.2">
      <c r="A3630" s="2">
        <v>42622</v>
      </c>
      <c r="B3630" s="1" t="s">
        <v>59</v>
      </c>
      <c r="C3630" s="1" t="s">
        <v>14</v>
      </c>
      <c r="D3630" s="2">
        <v>42379</v>
      </c>
      <c r="E3630" s="2">
        <f t="shared" si="146"/>
        <v>42644</v>
      </c>
      <c r="F3630" s="1" t="s">
        <v>60</v>
      </c>
      <c r="G3630" s="1" t="s">
        <v>16</v>
      </c>
      <c r="H3630" s="1">
        <v>-0.55000000000000004</v>
      </c>
      <c r="I3630" s="1">
        <v>0.08</v>
      </c>
      <c r="J3630" s="1">
        <v>0.02</v>
      </c>
      <c r="K3630" s="1" t="s">
        <v>61</v>
      </c>
      <c r="L3630" s="1">
        <v>2387</v>
      </c>
      <c r="M3630" s="1">
        <v>1.43</v>
      </c>
      <c r="N3630" s="1">
        <v>-0.88946999999999998</v>
      </c>
      <c r="O3630" s="5">
        <f>VLOOKUP(D3630,underlying!$D$76:$H$90,5,FALSE)</f>
        <v>-0.57999999999999996</v>
      </c>
      <c r="P3630" s="2">
        <f>VLOOKUP(D3630,underlying!$D$76:$L$90,9,FALSE)</f>
        <v>42632</v>
      </c>
      <c r="Q3630" s="7">
        <f>IF(G3630="C",NormalCallSprd(O3630,H3630,M3630,(P3630-A3630)/365), NormalPutSprd(O3630,H3630,M3630,(P3630-A3630)/365))</f>
        <v>8.0185203206771874E-2</v>
      </c>
      <c r="R3630" s="9">
        <f t="shared" si="147"/>
        <v>1.852032067718723E-4</v>
      </c>
    </row>
    <row r="3631" spans="1:18" x14ac:dyDescent="0.2">
      <c r="A3631" s="2">
        <v>42622</v>
      </c>
      <c r="B3631" s="1" t="s">
        <v>59</v>
      </c>
      <c r="C3631" s="1" t="s">
        <v>14</v>
      </c>
      <c r="D3631" s="2">
        <v>42379</v>
      </c>
      <c r="E3631" s="2">
        <f t="shared" si="146"/>
        <v>42644</v>
      </c>
      <c r="F3631" s="1" t="s">
        <v>60</v>
      </c>
      <c r="G3631" s="1" t="s">
        <v>18</v>
      </c>
      <c r="H3631" s="1">
        <v>-0.55000000000000004</v>
      </c>
      <c r="I3631" s="1">
        <v>0.11</v>
      </c>
      <c r="J3631" s="1">
        <v>-0.04</v>
      </c>
      <c r="K3631" s="1" t="s">
        <v>61</v>
      </c>
      <c r="L3631" s="1">
        <v>2387</v>
      </c>
      <c r="M3631" s="1">
        <v>1.43</v>
      </c>
      <c r="N3631" s="1">
        <v>-0.81613999999999998</v>
      </c>
      <c r="O3631" s="5">
        <f>VLOOKUP(D3631,underlying!$D$76:$H$90,5,FALSE)</f>
        <v>-0.57999999999999996</v>
      </c>
      <c r="P3631" s="2">
        <f>VLOOKUP(D3631,underlying!$D$76:$L$90,9,FALSE)</f>
        <v>42632</v>
      </c>
      <c r="Q3631" s="7">
        <f>IF(G3631="C",NormalCallSprd(O3631,H3631,M3631,(P3631-A3631)/365), NormalPutSprd(O3631,H3631,M3631,(P3631-A3631)/365))</f>
        <v>0.11018520320677179</v>
      </c>
      <c r="R3631" s="9">
        <f t="shared" si="147"/>
        <v>1.8520320677178903E-4</v>
      </c>
    </row>
    <row r="3632" spans="1:18" x14ac:dyDescent="0.2">
      <c r="A3632" s="2">
        <v>42622</v>
      </c>
      <c r="B3632" s="1" t="s">
        <v>59</v>
      </c>
      <c r="C3632" s="1" t="s">
        <v>14</v>
      </c>
      <c r="D3632" s="2">
        <v>42379</v>
      </c>
      <c r="E3632" s="2">
        <f t="shared" si="146"/>
        <v>42644</v>
      </c>
      <c r="F3632" s="1" t="s">
        <v>60</v>
      </c>
      <c r="G3632" s="1" t="s">
        <v>16</v>
      </c>
      <c r="H3632" s="1">
        <v>-0.5</v>
      </c>
      <c r="I3632" s="1">
        <v>0.04</v>
      </c>
      <c r="J3632" s="1">
        <v>0.01</v>
      </c>
      <c r="K3632" s="1" t="s">
        <v>61</v>
      </c>
      <c r="L3632" s="1">
        <v>2387</v>
      </c>
      <c r="M3632" s="1">
        <v>1.1100000000000001</v>
      </c>
      <c r="N3632" s="1">
        <v>-0.74556</v>
      </c>
      <c r="O3632" s="5">
        <f>VLOOKUP(D3632,underlying!$D$76:$H$90,5,FALSE)</f>
        <v>-0.57999999999999996</v>
      </c>
      <c r="P3632" s="2">
        <f>VLOOKUP(D3632,underlying!$D$76:$L$90,9,FALSE)</f>
        <v>42632</v>
      </c>
      <c r="Q3632" s="7">
        <f>IF(G3632="C",NormalCallSprd(O3632,H3632,M3632,(P3632-A3632)/365), NormalPutSprd(O3632,H3632,M3632,(P3632-A3632)/365))</f>
        <v>4.0137713829380681E-2</v>
      </c>
      <c r="R3632" s="9">
        <f t="shared" si="147"/>
        <v>1.3771382938067983E-4</v>
      </c>
    </row>
    <row r="3633" spans="1:18" x14ac:dyDescent="0.2">
      <c r="A3633" s="2">
        <v>42622</v>
      </c>
      <c r="B3633" s="1" t="s">
        <v>59</v>
      </c>
      <c r="C3633" s="1" t="s">
        <v>14</v>
      </c>
      <c r="D3633" s="2">
        <v>42379</v>
      </c>
      <c r="E3633" s="2">
        <f t="shared" si="146"/>
        <v>42644</v>
      </c>
      <c r="F3633" s="1" t="s">
        <v>60</v>
      </c>
      <c r="G3633" s="1" t="s">
        <v>18</v>
      </c>
      <c r="H3633" s="1">
        <v>-0.5</v>
      </c>
      <c r="I3633" s="1">
        <v>0.12</v>
      </c>
      <c r="J3633" s="1">
        <v>-0.05</v>
      </c>
      <c r="K3633" s="1" t="s">
        <v>61</v>
      </c>
      <c r="L3633" s="1">
        <v>2387</v>
      </c>
      <c r="M3633" s="1">
        <v>1.1100000000000001</v>
      </c>
      <c r="N3633" s="1">
        <v>-0.66859000000000002</v>
      </c>
      <c r="O3633" s="5">
        <f>VLOOKUP(D3633,underlying!$D$76:$H$90,5,FALSE)</f>
        <v>-0.57999999999999996</v>
      </c>
      <c r="P3633" s="2">
        <f>VLOOKUP(D3633,underlying!$D$76:$L$90,9,FALSE)</f>
        <v>42632</v>
      </c>
      <c r="Q3633" s="7">
        <f>IF(G3633="C",NormalCallSprd(O3633,H3633,M3633,(P3633-A3633)/365), NormalPutSprd(O3633,H3633,M3633,(P3633-A3633)/365))</f>
        <v>0.12013771382938064</v>
      </c>
      <c r="R3633" s="9">
        <f t="shared" si="147"/>
        <v>1.3771382938064514E-4</v>
      </c>
    </row>
    <row r="3634" spans="1:18" x14ac:dyDescent="0.2">
      <c r="A3634" s="2">
        <v>42622</v>
      </c>
      <c r="B3634" s="1" t="s">
        <v>59</v>
      </c>
      <c r="C3634" s="1" t="s">
        <v>14</v>
      </c>
      <c r="D3634" s="2">
        <v>42379</v>
      </c>
      <c r="E3634" s="2">
        <f t="shared" si="146"/>
        <v>42644</v>
      </c>
      <c r="F3634" s="1" t="s">
        <v>60</v>
      </c>
      <c r="G3634" s="1" t="s">
        <v>16</v>
      </c>
      <c r="H3634" s="1">
        <v>-0.45</v>
      </c>
      <c r="I3634" s="1">
        <v>0.03</v>
      </c>
      <c r="J3634" s="1">
        <v>0.01</v>
      </c>
      <c r="K3634" s="1" t="s">
        <v>61</v>
      </c>
      <c r="L3634" s="1">
        <v>2387</v>
      </c>
      <c r="M3634" s="1">
        <v>1.19</v>
      </c>
      <c r="N3634" s="1">
        <v>-0.55045999999999995</v>
      </c>
      <c r="O3634" s="5">
        <f>VLOOKUP(D3634,underlying!$D$76:$H$90,5,FALSE)</f>
        <v>-0.57999999999999996</v>
      </c>
      <c r="P3634" s="2">
        <f>VLOOKUP(D3634,underlying!$D$76:$L$90,9,FALSE)</f>
        <v>42632</v>
      </c>
      <c r="Q3634" s="7">
        <f>IF(G3634="C",NormalCallSprd(O3634,H3634,M3634,(P3634-A3634)/365), NormalPutSprd(O3634,H3634,M3634,(P3634-A3634)/365))</f>
        <v>3.0099109171626375E-2</v>
      </c>
      <c r="R3634" s="9">
        <f t="shared" si="147"/>
        <v>9.9109171626376308E-5</v>
      </c>
    </row>
    <row r="3635" spans="1:18" x14ac:dyDescent="0.2">
      <c r="A3635" s="2">
        <v>42622</v>
      </c>
      <c r="B3635" s="1" t="s">
        <v>59</v>
      </c>
      <c r="C3635" s="1" t="s">
        <v>14</v>
      </c>
      <c r="D3635" s="2">
        <v>42379</v>
      </c>
      <c r="E3635" s="2">
        <f t="shared" si="146"/>
        <v>42644</v>
      </c>
      <c r="F3635" s="1" t="s">
        <v>60</v>
      </c>
      <c r="G3635" s="1" t="s">
        <v>18</v>
      </c>
      <c r="H3635" s="1">
        <v>-0.45</v>
      </c>
      <c r="I3635" s="1">
        <v>0.16</v>
      </c>
      <c r="J3635" s="1">
        <v>-0.05</v>
      </c>
      <c r="K3635" s="1" t="s">
        <v>61</v>
      </c>
      <c r="L3635" s="1">
        <v>2387</v>
      </c>
      <c r="M3635" s="1">
        <v>1.19</v>
      </c>
      <c r="N3635" s="1">
        <v>-0.46653</v>
      </c>
      <c r="O3635" s="5">
        <f>VLOOKUP(D3635,underlying!$D$76:$H$90,5,FALSE)</f>
        <v>-0.57999999999999996</v>
      </c>
      <c r="P3635" s="2">
        <f>VLOOKUP(D3635,underlying!$D$76:$L$90,9,FALSE)</f>
        <v>42632</v>
      </c>
      <c r="Q3635" s="7">
        <f>IF(G3635="C",NormalCallSprd(O3635,H3635,M3635,(P3635-A3635)/365), NormalPutSprd(O3635,H3635,M3635,(P3635-A3635)/365))</f>
        <v>0.16009910917162631</v>
      </c>
      <c r="R3635" s="9">
        <f t="shared" si="147"/>
        <v>9.9109171626310388E-5</v>
      </c>
    </row>
    <row r="3636" spans="1:18" x14ac:dyDescent="0.2">
      <c r="A3636" s="2">
        <v>42622</v>
      </c>
      <c r="B3636" s="1" t="s">
        <v>59</v>
      </c>
      <c r="C3636" s="1" t="s">
        <v>14</v>
      </c>
      <c r="D3636" s="2">
        <v>42379</v>
      </c>
      <c r="E3636" s="2">
        <f t="shared" si="146"/>
        <v>42644</v>
      </c>
      <c r="F3636" s="1" t="s">
        <v>60</v>
      </c>
      <c r="G3636" s="1" t="s">
        <v>16</v>
      </c>
      <c r="H3636" s="1">
        <v>-0.4</v>
      </c>
      <c r="I3636" s="1">
        <v>0.02</v>
      </c>
      <c r="J3636" s="1">
        <v>0.01</v>
      </c>
      <c r="K3636" s="1" t="s">
        <v>61</v>
      </c>
      <c r="L3636" s="1">
        <v>2387</v>
      </c>
      <c r="M3636" s="1">
        <v>1.21</v>
      </c>
      <c r="N3636" s="1">
        <v>-0.3866</v>
      </c>
      <c r="O3636" s="5">
        <f>VLOOKUP(D3636,underlying!$D$76:$H$90,5,FALSE)</f>
        <v>-0.57999999999999996</v>
      </c>
      <c r="P3636" s="2">
        <f>VLOOKUP(D3636,underlying!$D$76:$L$90,9,FALSE)</f>
        <v>42632</v>
      </c>
      <c r="Q3636" s="7">
        <f>IF(G3636="C",NormalCallSprd(O3636,H3636,M3636,(P3636-A3636)/365), NormalPutSprd(O3636,H3636,M3636,(P3636-A3636)/365))</f>
        <v>2.0160939990782115E-2</v>
      </c>
      <c r="R3636" s="9">
        <f t="shared" si="147"/>
        <v>1.6093999078211491E-4</v>
      </c>
    </row>
    <row r="3637" spans="1:18" x14ac:dyDescent="0.2">
      <c r="A3637" s="2">
        <v>42622</v>
      </c>
      <c r="B3637" s="1" t="s">
        <v>59</v>
      </c>
      <c r="C3637" s="1" t="s">
        <v>14</v>
      </c>
      <c r="D3637" s="2">
        <v>42379</v>
      </c>
      <c r="E3637" s="2">
        <f t="shared" si="146"/>
        <v>42644</v>
      </c>
      <c r="F3637" s="1" t="s">
        <v>60</v>
      </c>
      <c r="G3637" s="1" t="s">
        <v>18</v>
      </c>
      <c r="H3637" s="1">
        <v>-0.4</v>
      </c>
      <c r="I3637" s="1">
        <v>0.2</v>
      </c>
      <c r="J3637" s="1">
        <v>-0.05</v>
      </c>
      <c r="K3637" s="1" t="s">
        <v>61</v>
      </c>
      <c r="L3637" s="1">
        <v>2387</v>
      </c>
      <c r="M3637" s="1">
        <v>1.21</v>
      </c>
      <c r="N3637" s="1">
        <v>-0.31408999999999998</v>
      </c>
      <c r="O3637" s="5">
        <f>VLOOKUP(D3637,underlying!$D$76:$H$90,5,FALSE)</f>
        <v>-0.57999999999999996</v>
      </c>
      <c r="P3637" s="2">
        <f>VLOOKUP(D3637,underlying!$D$76:$L$90,9,FALSE)</f>
        <v>42632</v>
      </c>
      <c r="Q3637" s="7">
        <f>IF(G3637="C",NormalCallSprd(O3637,H3637,M3637,(P3637-A3637)/365), NormalPutSprd(O3637,H3637,M3637,(P3637-A3637)/365))</f>
        <v>0.20016093999078205</v>
      </c>
      <c r="R3637" s="9">
        <f t="shared" si="147"/>
        <v>1.6093999078203858E-4</v>
      </c>
    </row>
    <row r="3638" spans="1:18" x14ac:dyDescent="0.2">
      <c r="A3638" s="2">
        <v>42622</v>
      </c>
      <c r="B3638" s="1" t="s">
        <v>59</v>
      </c>
      <c r="C3638" s="1" t="s">
        <v>14</v>
      </c>
      <c r="D3638" s="2">
        <v>42379</v>
      </c>
      <c r="E3638" s="2">
        <f t="shared" si="146"/>
        <v>42644</v>
      </c>
      <c r="F3638" s="1" t="s">
        <v>60</v>
      </c>
      <c r="G3638" s="1" t="s">
        <v>16</v>
      </c>
      <c r="H3638" s="1">
        <v>-0.35</v>
      </c>
      <c r="I3638" s="1">
        <v>0.01</v>
      </c>
      <c r="J3638" s="1">
        <v>0</v>
      </c>
      <c r="K3638" s="1" t="s">
        <v>61</v>
      </c>
      <c r="L3638" s="1">
        <v>2387</v>
      </c>
      <c r="M3638" s="1">
        <v>1.1399999999999999</v>
      </c>
      <c r="N3638" s="1">
        <v>-0.25628000000000001</v>
      </c>
      <c r="O3638" s="5">
        <f>VLOOKUP(D3638,underlying!$D$76:$H$90,5,FALSE)</f>
        <v>-0.57999999999999996</v>
      </c>
      <c r="P3638" s="2">
        <f>VLOOKUP(D3638,underlying!$D$76:$L$90,9,FALSE)</f>
        <v>42632</v>
      </c>
      <c r="Q3638" s="7">
        <f>IF(G3638="C",NormalCallSprd(O3638,H3638,M3638,(P3638-A3638)/365), NormalPutSprd(O3638,H3638,M3638,(P3638-A3638)/365))</f>
        <v>1.018224458917716E-2</v>
      </c>
      <c r="R3638" s="9">
        <f t="shared" si="147"/>
        <v>1.8224458917715999E-4</v>
      </c>
    </row>
    <row r="3639" spans="1:18" x14ac:dyDescent="0.2">
      <c r="A3639" s="2">
        <v>42622</v>
      </c>
      <c r="B3639" s="1" t="s">
        <v>59</v>
      </c>
      <c r="C3639" s="1" t="s">
        <v>14</v>
      </c>
      <c r="D3639" s="2">
        <v>42379</v>
      </c>
      <c r="E3639" s="2">
        <f t="shared" si="146"/>
        <v>42644</v>
      </c>
      <c r="F3639" s="1" t="s">
        <v>60</v>
      </c>
      <c r="G3639" s="1" t="s">
        <v>18</v>
      </c>
      <c r="H3639" s="1">
        <v>-0.35</v>
      </c>
      <c r="I3639" s="1">
        <v>0.24</v>
      </c>
      <c r="J3639" s="1">
        <v>-0.06</v>
      </c>
      <c r="K3639" s="1" t="s">
        <v>61</v>
      </c>
      <c r="L3639" s="1">
        <v>2387</v>
      </c>
      <c r="M3639" s="1">
        <v>1.1399999999999999</v>
      </c>
      <c r="N3639" s="1">
        <v>-0.20663999999999999</v>
      </c>
      <c r="O3639" s="5">
        <f>VLOOKUP(D3639,underlying!$D$76:$H$90,5,FALSE)</f>
        <v>-0.57999999999999996</v>
      </c>
      <c r="P3639" s="2">
        <f>VLOOKUP(D3639,underlying!$D$76:$L$90,9,FALSE)</f>
        <v>42632</v>
      </c>
      <c r="Q3639" s="7">
        <f>IF(G3639="C",NormalCallSprd(O3639,H3639,M3639,(P3639-A3639)/365), NormalPutSprd(O3639,H3639,M3639,(P3639-A3639)/365))</f>
        <v>0.24018224458917714</v>
      </c>
      <c r="R3639" s="9">
        <f t="shared" si="147"/>
        <v>1.8224458917714959E-4</v>
      </c>
    </row>
    <row r="3640" spans="1:18" x14ac:dyDescent="0.2">
      <c r="A3640" s="2">
        <v>42622</v>
      </c>
      <c r="B3640" s="1" t="s">
        <v>59</v>
      </c>
      <c r="C3640" s="1" t="s">
        <v>14</v>
      </c>
      <c r="D3640" s="2">
        <v>42379</v>
      </c>
      <c r="E3640" s="2">
        <f t="shared" si="146"/>
        <v>42644</v>
      </c>
      <c r="F3640" s="1" t="s">
        <v>60</v>
      </c>
      <c r="G3640" s="1" t="s">
        <v>16</v>
      </c>
      <c r="H3640" s="1">
        <v>-0.3</v>
      </c>
      <c r="I3640" s="1">
        <v>0.01</v>
      </c>
      <c r="J3640" s="1">
        <v>0</v>
      </c>
      <c r="K3640" s="1" t="s">
        <v>61</v>
      </c>
      <c r="L3640" s="1">
        <v>2387</v>
      </c>
      <c r="M3640" s="1">
        <v>1.31</v>
      </c>
      <c r="N3640" s="1">
        <v>-0.16703999999999999</v>
      </c>
      <c r="O3640" s="5">
        <f>VLOOKUP(D3640,underlying!$D$76:$H$90,5,FALSE)</f>
        <v>-0.57999999999999996</v>
      </c>
      <c r="P3640" s="2">
        <f>VLOOKUP(D3640,underlying!$D$76:$L$90,9,FALSE)</f>
        <v>42632</v>
      </c>
      <c r="Q3640" s="7">
        <f>IF(G3640="C",NormalCallSprd(O3640,H3640,M3640,(P3640-A3640)/365), NormalPutSprd(O3640,H3640,M3640,(P3640-A3640)/365))</f>
        <v>1.0055591915995442E-2</v>
      </c>
      <c r="R3640" s="9">
        <f t="shared" si="147"/>
        <v>5.5591915995441624E-5</v>
      </c>
    </row>
    <row r="3641" spans="1:18" x14ac:dyDescent="0.2">
      <c r="A3641" s="2">
        <v>42622</v>
      </c>
      <c r="B3641" s="1" t="s">
        <v>59</v>
      </c>
      <c r="C3641" s="1" t="s">
        <v>14</v>
      </c>
      <c r="D3641" s="2">
        <v>42379</v>
      </c>
      <c r="E3641" s="2">
        <f t="shared" si="146"/>
        <v>42644</v>
      </c>
      <c r="F3641" s="1" t="s">
        <v>60</v>
      </c>
      <c r="G3641" s="1" t="s">
        <v>18</v>
      </c>
      <c r="H3641" s="1">
        <v>-0.3</v>
      </c>
      <c r="I3641" s="1">
        <v>0.28999999999999998</v>
      </c>
      <c r="J3641" s="1">
        <v>-0.06</v>
      </c>
      <c r="K3641" s="1" t="s">
        <v>61</v>
      </c>
      <c r="L3641" s="1">
        <v>2387</v>
      </c>
      <c r="M3641" s="1">
        <v>1.31</v>
      </c>
      <c r="N3641" s="1">
        <v>-0.13447999999999999</v>
      </c>
      <c r="O3641" s="5">
        <f>VLOOKUP(D3641,underlying!$D$76:$H$90,5,FALSE)</f>
        <v>-0.57999999999999996</v>
      </c>
      <c r="P3641" s="2">
        <f>VLOOKUP(D3641,underlying!$D$76:$L$90,9,FALSE)</f>
        <v>42632</v>
      </c>
      <c r="Q3641" s="7">
        <f>IF(G3641="C",NormalCallSprd(O3641,H3641,M3641,(P3641-A3641)/365), NormalPutSprd(O3641,H3641,M3641,(P3641-A3641)/365))</f>
        <v>0.29005559191599539</v>
      </c>
      <c r="R3641" s="9">
        <f t="shared" si="147"/>
        <v>5.5591915995412133E-5</v>
      </c>
    </row>
    <row r="3642" spans="1:18" x14ac:dyDescent="0.2">
      <c r="A3642" s="2">
        <v>42622</v>
      </c>
      <c r="B3642" s="1" t="s">
        <v>59</v>
      </c>
      <c r="C3642" s="1" t="s">
        <v>14</v>
      </c>
      <c r="D3642" s="2">
        <v>42379</v>
      </c>
      <c r="E3642" s="2">
        <f t="shared" si="146"/>
        <v>42644</v>
      </c>
      <c r="F3642" s="1" t="s">
        <v>60</v>
      </c>
      <c r="G3642" s="1" t="s">
        <v>16</v>
      </c>
      <c r="H3642" s="1">
        <v>-0.25</v>
      </c>
      <c r="I3642" s="1">
        <v>0.01</v>
      </c>
      <c r="J3642" s="1">
        <v>0</v>
      </c>
      <c r="K3642" s="1" t="s">
        <v>61</v>
      </c>
      <c r="L3642" s="1">
        <v>2387</v>
      </c>
      <c r="M3642" s="1">
        <v>1.48</v>
      </c>
      <c r="N3642" s="1">
        <v>-0.10496999999999999</v>
      </c>
      <c r="O3642" s="5">
        <f>VLOOKUP(D3642,underlying!$D$76:$H$90,5,FALSE)</f>
        <v>-0.57999999999999996</v>
      </c>
      <c r="P3642" s="2">
        <f>VLOOKUP(D3642,underlying!$D$76:$L$90,9,FALSE)</f>
        <v>42632</v>
      </c>
      <c r="Q3642" s="7">
        <f>IF(G3642="C",NormalCallSprd(O3642,H3642,M3642,(P3642-A3642)/365), NormalPutSprd(O3642,H3642,M3642,(P3642-A3642)/365))</f>
        <v>1.0081847768826405E-2</v>
      </c>
      <c r="R3642" s="9">
        <f t="shared" si="147"/>
        <v>8.1847768826404793E-5</v>
      </c>
    </row>
    <row r="3643" spans="1:18" x14ac:dyDescent="0.2">
      <c r="A3643" s="2">
        <v>42622</v>
      </c>
      <c r="B3643" s="1" t="s">
        <v>59</v>
      </c>
      <c r="C3643" s="1" t="s">
        <v>14</v>
      </c>
      <c r="D3643" s="2">
        <v>42379</v>
      </c>
      <c r="E3643" s="2">
        <f t="shared" si="146"/>
        <v>42644</v>
      </c>
      <c r="F3643" s="1" t="s">
        <v>60</v>
      </c>
      <c r="G3643" s="1" t="s">
        <v>18</v>
      </c>
      <c r="H3643" s="1">
        <v>-0.25</v>
      </c>
      <c r="I3643" s="1">
        <v>0.34</v>
      </c>
      <c r="J3643" s="1">
        <v>-0.06</v>
      </c>
      <c r="K3643" s="1" t="s">
        <v>61</v>
      </c>
      <c r="L3643" s="1">
        <v>2387</v>
      </c>
      <c r="M3643" s="1">
        <v>1.48</v>
      </c>
      <c r="N3643" s="1">
        <v>-7.621E-2</v>
      </c>
      <c r="O3643" s="5">
        <f>VLOOKUP(D3643,underlying!$D$76:$H$90,5,FALSE)</f>
        <v>-0.57999999999999996</v>
      </c>
      <c r="P3643" s="2">
        <f>VLOOKUP(D3643,underlying!$D$76:$L$90,9,FALSE)</f>
        <v>42632</v>
      </c>
      <c r="Q3643" s="7">
        <f>IF(G3643="C",NormalCallSprd(O3643,H3643,M3643,(P3643-A3643)/365), NormalPutSprd(O3643,H3643,M3643,(P3643-A3643)/365))</f>
        <v>0.34008184776882638</v>
      </c>
      <c r="R3643" s="9">
        <f t="shared" si="147"/>
        <v>8.184776882635969E-5</v>
      </c>
    </row>
    <row r="3644" spans="1:18" x14ac:dyDescent="0.2">
      <c r="A3644" s="2">
        <v>42622</v>
      </c>
      <c r="B3644" s="1" t="s">
        <v>59</v>
      </c>
      <c r="C3644" s="1" t="s">
        <v>14</v>
      </c>
      <c r="D3644" s="2">
        <v>42379</v>
      </c>
      <c r="E3644" s="2">
        <f t="shared" si="146"/>
        <v>42644</v>
      </c>
      <c r="F3644" s="1" t="s">
        <v>60</v>
      </c>
      <c r="G3644" s="1" t="s">
        <v>16</v>
      </c>
      <c r="H3644" s="1">
        <v>-0.2</v>
      </c>
      <c r="I3644" s="1">
        <v>0.01</v>
      </c>
      <c r="J3644" s="1">
        <v>0</v>
      </c>
      <c r="K3644" s="1" t="s">
        <v>61</v>
      </c>
      <c r="L3644" s="1">
        <v>2387</v>
      </c>
      <c r="M3644" s="1">
        <v>1.64</v>
      </c>
      <c r="N3644" s="1">
        <v>-5.5640000000000002E-2</v>
      </c>
      <c r="O3644" s="5">
        <f>VLOOKUP(D3644,underlying!$D$76:$H$90,5,FALSE)</f>
        <v>-0.57999999999999996</v>
      </c>
      <c r="P3644" s="2">
        <f>VLOOKUP(D3644,underlying!$D$76:$L$90,9,FALSE)</f>
        <v>42632</v>
      </c>
      <c r="Q3644" s="7">
        <f>IF(G3644="C",NormalCallSprd(O3644,H3644,M3644,(P3644-A3644)/365), NormalPutSprd(O3644,H3644,M3644,(P3644-A3644)/365))</f>
        <v>9.9566988376829247E-3</v>
      </c>
      <c r="R3644" s="9">
        <f t="shared" si="147"/>
        <v>4.3301162317075509E-5</v>
      </c>
    </row>
    <row r="3645" spans="1:18" x14ac:dyDescent="0.2">
      <c r="A3645" s="2">
        <v>42622</v>
      </c>
      <c r="B3645" s="1" t="s">
        <v>59</v>
      </c>
      <c r="C3645" s="1" t="s">
        <v>14</v>
      </c>
      <c r="D3645" s="2">
        <v>42379</v>
      </c>
      <c r="E3645" s="2">
        <f t="shared" si="146"/>
        <v>42644</v>
      </c>
      <c r="F3645" s="1" t="s">
        <v>60</v>
      </c>
      <c r="G3645" s="1" t="s">
        <v>18</v>
      </c>
      <c r="H3645" s="1">
        <v>-0.2</v>
      </c>
      <c r="I3645" s="1">
        <v>0.39</v>
      </c>
      <c r="J3645" s="1">
        <v>-0.06</v>
      </c>
      <c r="K3645" s="1" t="s">
        <v>61</v>
      </c>
      <c r="L3645" s="1">
        <v>2387</v>
      </c>
      <c r="M3645" s="1">
        <v>1.64</v>
      </c>
      <c r="N3645" s="1">
        <v>-4.0050000000000002E-2</v>
      </c>
      <c r="O3645" s="5">
        <f>VLOOKUP(D3645,underlying!$D$76:$H$90,5,FALSE)</f>
        <v>-0.57999999999999996</v>
      </c>
      <c r="P3645" s="2">
        <f>VLOOKUP(D3645,underlying!$D$76:$L$90,9,FALSE)</f>
        <v>42632</v>
      </c>
      <c r="Q3645" s="7">
        <f>IF(G3645="C",NormalCallSprd(O3645,H3645,M3645,(P3645-A3645)/365), NormalPutSprd(O3645,H3645,M3645,(P3645-A3645)/365))</f>
        <v>0.38995669883768286</v>
      </c>
      <c r="R3645" s="9">
        <f t="shared" si="147"/>
        <v>4.3301162317155306E-5</v>
      </c>
    </row>
    <row r="3646" spans="1:18" x14ac:dyDescent="0.2">
      <c r="A3646" s="2">
        <v>42622</v>
      </c>
      <c r="B3646" s="1" t="s">
        <v>59</v>
      </c>
      <c r="C3646" s="1" t="s">
        <v>14</v>
      </c>
      <c r="D3646" s="2">
        <v>42379</v>
      </c>
      <c r="E3646" s="2">
        <f t="shared" si="146"/>
        <v>42644</v>
      </c>
      <c r="F3646" s="1" t="s">
        <v>60</v>
      </c>
      <c r="G3646" s="1" t="s">
        <v>16</v>
      </c>
      <c r="H3646" s="1">
        <v>-0.15</v>
      </c>
      <c r="I3646" s="1">
        <v>0.01</v>
      </c>
      <c r="J3646" s="1">
        <v>0</v>
      </c>
      <c r="K3646" s="1" t="s">
        <v>61</v>
      </c>
      <c r="L3646" s="1">
        <v>2387</v>
      </c>
      <c r="M3646" s="1">
        <v>1.77</v>
      </c>
      <c r="N3646" s="1">
        <v>-2.8760000000000001E-2</v>
      </c>
      <c r="O3646" s="5">
        <f>VLOOKUP(D3646,underlying!$D$76:$H$90,5,FALSE)</f>
        <v>-0.57999999999999996</v>
      </c>
      <c r="P3646" s="2">
        <f>VLOOKUP(D3646,underlying!$D$76:$L$90,9,FALSE)</f>
        <v>42632</v>
      </c>
      <c r="Q3646" s="7">
        <f>IF(G3646="C",NormalCallSprd(O3646,H3646,M3646,(P3646-A3646)/365), NormalPutSprd(O3646,H3646,M3646,(P3646-A3646)/365))</f>
        <v>9.2380925709405239E-3</v>
      </c>
      <c r="R3646" s="9">
        <f t="shared" si="147"/>
        <v>7.6190742905947635E-4</v>
      </c>
    </row>
    <row r="3647" spans="1:18" x14ac:dyDescent="0.2">
      <c r="A3647" s="2">
        <v>42622</v>
      </c>
      <c r="B3647" s="1" t="s">
        <v>59</v>
      </c>
      <c r="C3647" s="1" t="s">
        <v>14</v>
      </c>
      <c r="D3647" s="2">
        <v>42379</v>
      </c>
      <c r="E3647" s="2">
        <f t="shared" si="146"/>
        <v>42644</v>
      </c>
      <c r="F3647" s="1" t="s">
        <v>60</v>
      </c>
      <c r="G3647" s="1" t="s">
        <v>18</v>
      </c>
      <c r="H3647" s="1">
        <v>-0.15</v>
      </c>
      <c r="I3647" s="1">
        <v>0.44</v>
      </c>
      <c r="J3647" s="1">
        <v>-0.06</v>
      </c>
      <c r="K3647" s="1" t="s">
        <v>61</v>
      </c>
      <c r="L3647" s="1">
        <v>2387</v>
      </c>
      <c r="M3647" s="1">
        <v>1.77</v>
      </c>
      <c r="N3647" s="1">
        <v>-1.9990000000000001E-2</v>
      </c>
      <c r="O3647" s="5">
        <f>VLOOKUP(D3647,underlying!$D$76:$H$90,5,FALSE)</f>
        <v>-0.57999999999999996</v>
      </c>
      <c r="P3647" s="2">
        <f>VLOOKUP(D3647,underlying!$D$76:$L$90,9,FALSE)</f>
        <v>42632</v>
      </c>
      <c r="Q3647" s="7">
        <f>IF(G3647="C",NormalCallSprd(O3647,H3647,M3647,(P3647-A3647)/365), NormalPutSprd(O3647,H3647,M3647,(P3647-A3647)/365))</f>
        <v>0.43923809257094049</v>
      </c>
      <c r="R3647" s="9">
        <f t="shared" si="147"/>
        <v>7.6190742905951625E-4</v>
      </c>
    </row>
    <row r="3648" spans="1:18" x14ac:dyDescent="0.2">
      <c r="A3648" s="2">
        <v>42622</v>
      </c>
      <c r="B3648" s="1" t="s">
        <v>59</v>
      </c>
      <c r="C3648" s="1" t="s">
        <v>14</v>
      </c>
      <c r="D3648" s="2">
        <v>42379</v>
      </c>
      <c r="E3648" s="2">
        <f t="shared" si="146"/>
        <v>42644</v>
      </c>
      <c r="F3648" s="1" t="s">
        <v>60</v>
      </c>
      <c r="G3648" s="1" t="s">
        <v>16</v>
      </c>
      <c r="H3648" s="1">
        <v>-0.1</v>
      </c>
      <c r="I3648" s="1">
        <v>0.01</v>
      </c>
      <c r="J3648" s="1">
        <v>0</v>
      </c>
      <c r="K3648" s="1" t="s">
        <v>61</v>
      </c>
      <c r="L3648" s="1">
        <v>2387</v>
      </c>
      <c r="M3648" s="1">
        <v>1.85</v>
      </c>
      <c r="N3648" s="1">
        <v>-1.375E-2</v>
      </c>
      <c r="O3648" s="5">
        <f>VLOOKUP(D3648,underlying!$D$76:$H$90,5,FALSE)</f>
        <v>-0.57999999999999996</v>
      </c>
      <c r="P3648" s="2">
        <f>VLOOKUP(D3648,underlying!$D$76:$L$90,9,FALSE)</f>
        <v>42632</v>
      </c>
      <c r="Q3648" s="7">
        <f>IF(G3648="C",NormalCallSprd(O3648,H3648,M3648,(P3648-A3648)/365), NormalPutSprd(O3648,H3648,M3648,(P3648-A3648)/365))</f>
        <v>7.6800894170758376E-3</v>
      </c>
      <c r="R3648" s="9">
        <f t="shared" si="147"/>
        <v>2.3199105829241626E-3</v>
      </c>
    </row>
    <row r="3649" spans="1:18" x14ac:dyDescent="0.2">
      <c r="A3649" s="2">
        <v>42622</v>
      </c>
      <c r="B3649" s="1" t="s">
        <v>59</v>
      </c>
      <c r="C3649" s="1" t="s">
        <v>14</v>
      </c>
      <c r="D3649" s="2">
        <v>42379</v>
      </c>
      <c r="E3649" s="2">
        <f t="shared" si="146"/>
        <v>42644</v>
      </c>
      <c r="F3649" s="1" t="s">
        <v>60</v>
      </c>
      <c r="G3649" s="1" t="s">
        <v>18</v>
      </c>
      <c r="H3649" s="1">
        <v>-0.1</v>
      </c>
      <c r="I3649" s="1">
        <v>0.49</v>
      </c>
      <c r="J3649" s="1">
        <v>-0.06</v>
      </c>
      <c r="K3649" s="1" t="s">
        <v>61</v>
      </c>
      <c r="L3649" s="1">
        <v>2387</v>
      </c>
      <c r="M3649" s="1">
        <v>1.85</v>
      </c>
      <c r="N3649" s="1">
        <v>-1.0000000000000001E-5</v>
      </c>
      <c r="O3649" s="5">
        <f>VLOOKUP(D3649,underlying!$D$76:$H$90,5,FALSE)</f>
        <v>-0.57999999999999996</v>
      </c>
      <c r="P3649" s="2">
        <f>VLOOKUP(D3649,underlying!$D$76:$L$90,9,FALSE)</f>
        <v>42632</v>
      </c>
      <c r="Q3649" s="7">
        <f>IF(G3649="C",NormalCallSprd(O3649,H3649,M3649,(P3649-A3649)/365), NormalPutSprd(O3649,H3649,M3649,(P3649-A3649)/365))</f>
        <v>0.48768008941707575</v>
      </c>
      <c r="R3649" s="9">
        <f t="shared" si="147"/>
        <v>2.319910582924245E-3</v>
      </c>
    </row>
    <row r="3650" spans="1:18" x14ac:dyDescent="0.2">
      <c r="A3650" s="2">
        <v>42622</v>
      </c>
      <c r="B3650" s="1" t="s">
        <v>59</v>
      </c>
      <c r="C3650" s="1" t="s">
        <v>14</v>
      </c>
      <c r="D3650" s="2">
        <v>42379</v>
      </c>
      <c r="E3650" s="2">
        <f t="shared" ref="E3650:E3713" si="148">DATE(YEAR(D3650),DAY(D3650),MONTH(D3650))</f>
        <v>42644</v>
      </c>
      <c r="F3650" s="1" t="s">
        <v>60</v>
      </c>
      <c r="G3650" s="1" t="s">
        <v>16</v>
      </c>
      <c r="H3650" s="1">
        <v>-0.05</v>
      </c>
      <c r="I3650" s="1">
        <v>0.01</v>
      </c>
      <c r="J3650" s="1">
        <v>0</v>
      </c>
      <c r="K3650" s="1" t="s">
        <v>61</v>
      </c>
      <c r="L3650" s="1">
        <v>2387</v>
      </c>
      <c r="M3650" s="1">
        <v>1.93</v>
      </c>
      <c r="N3650" s="1">
        <v>0</v>
      </c>
      <c r="O3650" s="5">
        <f>VLOOKUP(D3650,underlying!$D$76:$H$90,5,FALSE)</f>
        <v>-0.57999999999999996</v>
      </c>
      <c r="P3650" s="2">
        <f>VLOOKUP(D3650,underlying!$D$76:$L$90,9,FALSE)</f>
        <v>42632</v>
      </c>
      <c r="Q3650" s="7">
        <f>IF(G3650="C",NormalCallSprd(O3650,H3650,M3650,(P3650-A3650)/365), NormalPutSprd(O3650,H3650,M3650,(P3650-A3650)/365))</f>
        <v>6.4505900874251608E-3</v>
      </c>
      <c r="R3650" s="9">
        <f t="shared" si="147"/>
        <v>3.5494099125748394E-3</v>
      </c>
    </row>
    <row r="3651" spans="1:18" x14ac:dyDescent="0.2">
      <c r="A3651" s="2">
        <v>42622</v>
      </c>
      <c r="B3651" s="1" t="s">
        <v>59</v>
      </c>
      <c r="C3651" s="1" t="s">
        <v>14</v>
      </c>
      <c r="D3651" s="2">
        <v>42379</v>
      </c>
      <c r="E3651" s="2">
        <f t="shared" si="148"/>
        <v>42644</v>
      </c>
      <c r="F3651" s="1" t="s">
        <v>60</v>
      </c>
      <c r="G3651" s="1" t="s">
        <v>18</v>
      </c>
      <c r="H3651" s="1">
        <v>-0.05</v>
      </c>
      <c r="I3651" s="1">
        <v>0.54</v>
      </c>
      <c r="J3651" s="1">
        <v>-0.06</v>
      </c>
      <c r="K3651" s="1" t="s">
        <v>61</v>
      </c>
      <c r="L3651" s="1">
        <v>2387</v>
      </c>
      <c r="M3651" s="1">
        <v>1.93</v>
      </c>
      <c r="N3651" s="1">
        <v>0</v>
      </c>
      <c r="O3651" s="5">
        <f>VLOOKUP(D3651,underlying!$D$76:$H$90,5,FALSE)</f>
        <v>-0.57999999999999996</v>
      </c>
      <c r="P3651" s="2">
        <f>VLOOKUP(D3651,underlying!$D$76:$L$90,9,FALSE)</f>
        <v>42632</v>
      </c>
      <c r="Q3651" s="7">
        <f>IF(G3651="C",NormalCallSprd(O3651,H3651,M3651,(P3651-A3651)/365), NormalPutSprd(O3651,H3651,M3651,(P3651-A3651)/365))</f>
        <v>0.53645059008742513</v>
      </c>
      <c r="R3651" s="9">
        <f t="shared" ref="R3651:R3714" si="149">ABS(Q3651-I3651)</f>
        <v>3.5494099125749079E-3</v>
      </c>
    </row>
    <row r="3652" spans="1:18" x14ac:dyDescent="0.2">
      <c r="A3652" s="2">
        <v>42622</v>
      </c>
      <c r="B3652" s="1" t="s">
        <v>59</v>
      </c>
      <c r="C3652" s="1" t="s">
        <v>14</v>
      </c>
      <c r="D3652" s="2">
        <v>42380</v>
      </c>
      <c r="E3652" s="2">
        <f t="shared" si="148"/>
        <v>42675</v>
      </c>
      <c r="F3652" s="1" t="s">
        <v>60</v>
      </c>
      <c r="G3652" s="1" t="s">
        <v>16</v>
      </c>
      <c r="H3652" s="1">
        <v>-4</v>
      </c>
      <c r="I3652" s="1">
        <v>3.39</v>
      </c>
      <c r="J3652" s="1">
        <v>0.04</v>
      </c>
      <c r="K3652" s="1" t="s">
        <v>63</v>
      </c>
      <c r="L3652" s="1">
        <v>2387</v>
      </c>
      <c r="M3652" s="1">
        <v>1.99</v>
      </c>
      <c r="N3652" s="1">
        <v>0.41399000000000002</v>
      </c>
      <c r="O3652" s="5">
        <f>VLOOKUP(D3652,underlying!$D$76:$H$90,5,FALSE)</f>
        <v>-0.61</v>
      </c>
      <c r="P3652" s="2">
        <f>VLOOKUP(D3652,underlying!$D$76:$L$90,9,FALSE)</f>
        <v>42662</v>
      </c>
      <c r="Q3652" s="7">
        <f>IF(G3652="C",NormalCallSprd(O3652,H3652,M3652,(P3652-A3652)/365), NormalPutSprd(O3652,H3652,M3652,(P3652-A3652)/365))</f>
        <v>3.3900000159454815</v>
      </c>
      <c r="R3652" s="9">
        <f t="shared" si="149"/>
        <v>1.5945481379731063E-8</v>
      </c>
    </row>
    <row r="3653" spans="1:18" x14ac:dyDescent="0.2">
      <c r="A3653" s="2">
        <v>42622</v>
      </c>
      <c r="B3653" s="1" t="s">
        <v>59</v>
      </c>
      <c r="C3653" s="1" t="s">
        <v>14</v>
      </c>
      <c r="D3653" s="2">
        <v>42380</v>
      </c>
      <c r="E3653" s="2">
        <f t="shared" si="148"/>
        <v>42675</v>
      </c>
      <c r="F3653" s="1" t="s">
        <v>60</v>
      </c>
      <c r="G3653" s="1" t="s">
        <v>18</v>
      </c>
      <c r="H3653" s="1">
        <v>-4</v>
      </c>
      <c r="I3653" s="1">
        <v>0.01</v>
      </c>
      <c r="J3653" s="1">
        <v>0</v>
      </c>
      <c r="K3653" s="1" t="s">
        <v>63</v>
      </c>
      <c r="L3653" s="1">
        <v>2387</v>
      </c>
      <c r="M3653" s="1">
        <v>1.99</v>
      </c>
      <c r="N3653" s="1">
        <v>0.44674999999999998</v>
      </c>
      <c r="O3653" s="5">
        <f>VLOOKUP(D3653,underlying!$D$76:$H$90,5,FALSE)</f>
        <v>-0.61</v>
      </c>
      <c r="P3653" s="2">
        <f>VLOOKUP(D3653,underlying!$D$76:$L$90,9,FALSE)</f>
        <v>42662</v>
      </c>
      <c r="Q3653" s="7">
        <f>IF(G3653="C",NormalCallSprd(O3653,H3653,M3653,(P3653-A3653)/365), NormalPutSprd(O3653,H3653,M3653,(P3653-A3653)/365))</f>
        <v>1.5945481312583073E-8</v>
      </c>
      <c r="R3653" s="9">
        <f t="shared" si="149"/>
        <v>9.9999840545186881E-3</v>
      </c>
    </row>
    <row r="3654" spans="1:18" x14ac:dyDescent="0.2">
      <c r="A3654" s="2">
        <v>42622</v>
      </c>
      <c r="B3654" s="1" t="s">
        <v>59</v>
      </c>
      <c r="C3654" s="1" t="s">
        <v>14</v>
      </c>
      <c r="D3654" s="2">
        <v>42380</v>
      </c>
      <c r="E3654" s="2">
        <f t="shared" si="148"/>
        <v>42675</v>
      </c>
      <c r="F3654" s="1" t="s">
        <v>60</v>
      </c>
      <c r="G3654" s="1" t="s">
        <v>16</v>
      </c>
      <c r="H3654" s="1">
        <v>-3</v>
      </c>
      <c r="I3654" s="1">
        <v>2.39</v>
      </c>
      <c r="J3654" s="1">
        <v>0.04</v>
      </c>
      <c r="K3654" s="1" t="s">
        <v>63</v>
      </c>
      <c r="L3654" s="1">
        <v>2387</v>
      </c>
      <c r="M3654" s="1">
        <v>1.85</v>
      </c>
      <c r="N3654" s="1">
        <v>0.47850999999999999</v>
      </c>
      <c r="O3654" s="5">
        <f>VLOOKUP(D3654,underlying!$D$76:$H$90,5,FALSE)</f>
        <v>-0.61</v>
      </c>
      <c r="P3654" s="2">
        <f>VLOOKUP(D3654,underlying!$D$76:$L$90,9,FALSE)</f>
        <v>42662</v>
      </c>
      <c r="Q3654" s="7">
        <f>IF(G3654="C",NormalCallSprd(O3654,H3654,M3654,(P3654-A3654)/365), NormalPutSprd(O3654,H3654,M3654,(P3654-A3654)/365))</f>
        <v>2.3900067123600035</v>
      </c>
      <c r="R3654" s="9">
        <f t="shared" si="149"/>
        <v>6.7123600033802688E-6</v>
      </c>
    </row>
    <row r="3655" spans="1:18" x14ac:dyDescent="0.2">
      <c r="A3655" s="2">
        <v>42622</v>
      </c>
      <c r="B3655" s="1" t="s">
        <v>59</v>
      </c>
      <c r="C3655" s="1" t="s">
        <v>14</v>
      </c>
      <c r="D3655" s="2">
        <v>42380</v>
      </c>
      <c r="E3655" s="2">
        <f t="shared" si="148"/>
        <v>42675</v>
      </c>
      <c r="F3655" s="1" t="s">
        <v>60</v>
      </c>
      <c r="G3655" s="1" t="s">
        <v>18</v>
      </c>
      <c r="H3655" s="1">
        <v>-3</v>
      </c>
      <c r="I3655" s="1">
        <v>0.01</v>
      </c>
      <c r="J3655" s="1">
        <v>0</v>
      </c>
      <c r="K3655" s="1" t="s">
        <v>63</v>
      </c>
      <c r="L3655" s="1">
        <v>2387</v>
      </c>
      <c r="M3655" s="1">
        <v>1.85</v>
      </c>
      <c r="N3655" s="1">
        <v>0.50917000000000001</v>
      </c>
      <c r="O3655" s="5">
        <f>VLOOKUP(D3655,underlying!$D$76:$H$90,5,FALSE)</f>
        <v>-0.61</v>
      </c>
      <c r="P3655" s="2">
        <f>VLOOKUP(D3655,underlying!$D$76:$L$90,9,FALSE)</f>
        <v>42662</v>
      </c>
      <c r="Q3655" s="7">
        <f>IF(G3655="C",NormalCallSprd(O3655,H3655,M3655,(P3655-A3655)/365), NormalPutSprd(O3655,H3655,M3655,(P3655-A3655)/365))</f>
        <v>6.7123600035083614E-6</v>
      </c>
      <c r="R3655" s="9">
        <f t="shared" si="149"/>
        <v>9.9932876399964916E-3</v>
      </c>
    </row>
    <row r="3656" spans="1:18" x14ac:dyDescent="0.2">
      <c r="A3656" s="2">
        <v>42622</v>
      </c>
      <c r="B3656" s="1" t="s">
        <v>59</v>
      </c>
      <c r="C3656" s="1" t="s">
        <v>14</v>
      </c>
      <c r="D3656" s="2">
        <v>42380</v>
      </c>
      <c r="E3656" s="2">
        <f t="shared" si="148"/>
        <v>42675</v>
      </c>
      <c r="F3656" s="1" t="s">
        <v>60</v>
      </c>
      <c r="G3656" s="1" t="s">
        <v>16</v>
      </c>
      <c r="H3656" s="1">
        <v>-2</v>
      </c>
      <c r="I3656" s="1">
        <v>1.39</v>
      </c>
      <c r="J3656" s="1">
        <v>0.04</v>
      </c>
      <c r="K3656" s="1" t="s">
        <v>63</v>
      </c>
      <c r="L3656" s="1">
        <v>2387</v>
      </c>
      <c r="M3656" s="1">
        <v>1.59</v>
      </c>
      <c r="N3656" s="1">
        <v>0.53881999999999997</v>
      </c>
      <c r="O3656" s="5">
        <f>VLOOKUP(D3656,underlying!$D$76:$H$90,5,FALSE)</f>
        <v>-0.61</v>
      </c>
      <c r="P3656" s="2">
        <f>VLOOKUP(D3656,underlying!$D$76:$L$90,9,FALSE)</f>
        <v>42662</v>
      </c>
      <c r="Q3656" s="7">
        <f>IF(G3656="C",NormalCallSprd(O3656,H3656,M3656,(P3656-A3656)/365), NormalPutSprd(O3656,H3656,M3656,(P3656-A3656)/365))</f>
        <v>1.3906761868607933</v>
      </c>
      <c r="R3656" s="9">
        <f t="shared" si="149"/>
        <v>6.7618686079340407E-4</v>
      </c>
    </row>
    <row r="3657" spans="1:18" x14ac:dyDescent="0.2">
      <c r="A3657" s="2">
        <v>42622</v>
      </c>
      <c r="B3657" s="1" t="s">
        <v>59</v>
      </c>
      <c r="C3657" s="1" t="s">
        <v>14</v>
      </c>
      <c r="D3657" s="2">
        <v>42380</v>
      </c>
      <c r="E3657" s="2">
        <f t="shared" si="148"/>
        <v>42675</v>
      </c>
      <c r="F3657" s="1" t="s">
        <v>60</v>
      </c>
      <c r="G3657" s="1" t="s">
        <v>18</v>
      </c>
      <c r="H3657" s="1">
        <v>-2</v>
      </c>
      <c r="I3657" s="1">
        <v>0.01</v>
      </c>
      <c r="J3657" s="1">
        <v>0</v>
      </c>
      <c r="K3657" s="1" t="s">
        <v>63</v>
      </c>
      <c r="L3657" s="1">
        <v>2387</v>
      </c>
      <c r="M3657" s="1">
        <v>1.59</v>
      </c>
      <c r="N3657" s="1">
        <v>0.56735999999999998</v>
      </c>
      <c r="O3657" s="5">
        <f>VLOOKUP(D3657,underlying!$D$76:$H$90,5,FALSE)</f>
        <v>-0.61</v>
      </c>
      <c r="P3657" s="2">
        <f>VLOOKUP(D3657,underlying!$D$76:$L$90,9,FALSE)</f>
        <v>42662</v>
      </c>
      <c r="Q3657" s="7">
        <f>IF(G3657="C",NormalCallSprd(O3657,H3657,M3657,(P3657-A3657)/365), NormalPutSprd(O3657,H3657,M3657,(P3657-A3657)/365))</f>
        <v>6.7618686079330931E-4</v>
      </c>
      <c r="R3657" s="9">
        <f t="shared" si="149"/>
        <v>9.3238131392066916E-3</v>
      </c>
    </row>
    <row r="3658" spans="1:18" x14ac:dyDescent="0.2">
      <c r="A3658" s="2">
        <v>42622</v>
      </c>
      <c r="B3658" s="1" t="s">
        <v>59</v>
      </c>
      <c r="C3658" s="1" t="s">
        <v>14</v>
      </c>
      <c r="D3658" s="2">
        <v>42380</v>
      </c>
      <c r="E3658" s="2">
        <f t="shared" si="148"/>
        <v>42675</v>
      </c>
      <c r="F3658" s="1" t="s">
        <v>60</v>
      </c>
      <c r="G3658" s="1" t="s">
        <v>16</v>
      </c>
      <c r="H3658" s="1">
        <v>-1.25</v>
      </c>
      <c r="I3658" s="1">
        <v>0.66</v>
      </c>
      <c r="J3658" s="1">
        <v>0.04</v>
      </c>
      <c r="K3658" s="1" t="s">
        <v>63</v>
      </c>
      <c r="L3658" s="1">
        <v>2387</v>
      </c>
      <c r="M3658" s="1">
        <v>1.38</v>
      </c>
      <c r="N3658" s="1">
        <v>0.59470000000000001</v>
      </c>
      <c r="O3658" s="5">
        <f>VLOOKUP(D3658,underlying!$D$76:$H$90,5,FALSE)</f>
        <v>-0.61</v>
      </c>
      <c r="P3658" s="2">
        <f>VLOOKUP(D3658,underlying!$D$76:$L$90,9,FALSE)</f>
        <v>42662</v>
      </c>
      <c r="Q3658" s="7">
        <f>IF(G3658="C",NormalCallSprd(O3658,H3658,M3658,(P3658-A3658)/365), NormalPutSprd(O3658,H3658,M3658,(P3658-A3658)/365))</f>
        <v>0.65671703123978598</v>
      </c>
      <c r="R3658" s="9">
        <f t="shared" si="149"/>
        <v>3.2829687602140556E-3</v>
      </c>
    </row>
    <row r="3659" spans="1:18" x14ac:dyDescent="0.2">
      <c r="A3659" s="2">
        <v>42622</v>
      </c>
      <c r="B3659" s="1" t="s">
        <v>59</v>
      </c>
      <c r="C3659" s="1" t="s">
        <v>14</v>
      </c>
      <c r="D3659" s="2">
        <v>42380</v>
      </c>
      <c r="E3659" s="2">
        <f t="shared" si="148"/>
        <v>42675</v>
      </c>
      <c r="F3659" s="1" t="s">
        <v>60</v>
      </c>
      <c r="G3659" s="1" t="s">
        <v>18</v>
      </c>
      <c r="H3659" s="1">
        <v>-1.25</v>
      </c>
      <c r="I3659" s="1">
        <v>0.02</v>
      </c>
      <c r="J3659" s="1">
        <v>-0.01</v>
      </c>
      <c r="K3659" s="1" t="s">
        <v>63</v>
      </c>
      <c r="L3659" s="1">
        <v>2387</v>
      </c>
      <c r="M3659" s="1">
        <v>1.38</v>
      </c>
      <c r="N3659" s="1">
        <v>0.62078999999999995</v>
      </c>
      <c r="O3659" s="5">
        <f>VLOOKUP(D3659,underlying!$D$76:$H$90,5,FALSE)</f>
        <v>-0.61</v>
      </c>
      <c r="P3659" s="2">
        <f>VLOOKUP(D3659,underlying!$D$76:$L$90,9,FALSE)</f>
        <v>42662</v>
      </c>
      <c r="Q3659" s="7">
        <f>IF(G3659="C",NormalCallSprd(O3659,H3659,M3659,(P3659-A3659)/365), NormalPutSprd(O3659,H3659,M3659,(P3659-A3659)/365))</f>
        <v>1.6717031239785976E-2</v>
      </c>
      <c r="R3659" s="9">
        <f t="shared" si="149"/>
        <v>3.2829687602140244E-3</v>
      </c>
    </row>
    <row r="3660" spans="1:18" x14ac:dyDescent="0.2">
      <c r="A3660" s="2">
        <v>42622</v>
      </c>
      <c r="B3660" s="1" t="s">
        <v>59</v>
      </c>
      <c r="C3660" s="1" t="s">
        <v>14</v>
      </c>
      <c r="D3660" s="2">
        <v>42380</v>
      </c>
      <c r="E3660" s="2">
        <f t="shared" si="148"/>
        <v>42675</v>
      </c>
      <c r="F3660" s="1" t="s">
        <v>60</v>
      </c>
      <c r="G3660" s="1" t="s">
        <v>16</v>
      </c>
      <c r="H3660" s="1">
        <v>-1.2</v>
      </c>
      <c r="I3660" s="1">
        <v>0.61</v>
      </c>
      <c r="J3660" s="1">
        <v>0.04</v>
      </c>
      <c r="K3660" s="1" t="s">
        <v>63</v>
      </c>
      <c r="L3660" s="1">
        <v>2387</v>
      </c>
      <c r="M3660" s="1">
        <v>1.36</v>
      </c>
      <c r="N3660" s="1">
        <v>0.64559</v>
      </c>
      <c r="O3660" s="5">
        <f>VLOOKUP(D3660,underlying!$D$76:$H$90,5,FALSE)</f>
        <v>-0.61</v>
      </c>
      <c r="P3660" s="2">
        <f>VLOOKUP(D3660,underlying!$D$76:$L$90,9,FALSE)</f>
        <v>42662</v>
      </c>
      <c r="Q3660" s="7">
        <f>IF(G3660="C",NormalCallSprd(O3660,H3660,M3660,(P3660-A3660)/365), NormalPutSprd(O3660,H3660,M3660,(P3660-A3660)/365))</f>
        <v>0.61004508649345501</v>
      </c>
      <c r="R3660" s="9">
        <f t="shared" si="149"/>
        <v>4.5086493455026577E-5</v>
      </c>
    </row>
    <row r="3661" spans="1:18" x14ac:dyDescent="0.2">
      <c r="A3661" s="2">
        <v>42622</v>
      </c>
      <c r="B3661" s="1" t="s">
        <v>59</v>
      </c>
      <c r="C3661" s="1" t="s">
        <v>14</v>
      </c>
      <c r="D3661" s="2">
        <v>42380</v>
      </c>
      <c r="E3661" s="2">
        <f t="shared" si="148"/>
        <v>42675</v>
      </c>
      <c r="F3661" s="1" t="s">
        <v>60</v>
      </c>
      <c r="G3661" s="1" t="s">
        <v>18</v>
      </c>
      <c r="H3661" s="1">
        <v>-1.2</v>
      </c>
      <c r="I3661" s="1">
        <v>0.02</v>
      </c>
      <c r="J3661" s="1">
        <v>0</v>
      </c>
      <c r="K3661" s="1" t="s">
        <v>63</v>
      </c>
      <c r="L3661" s="1">
        <v>2387</v>
      </c>
      <c r="M3661" s="1">
        <v>1.36</v>
      </c>
      <c r="N3661" s="1">
        <v>0.66908999999999996</v>
      </c>
      <c r="O3661" s="5">
        <f>VLOOKUP(D3661,underlying!$D$76:$H$90,5,FALSE)</f>
        <v>-0.61</v>
      </c>
      <c r="P3661" s="2">
        <f>VLOOKUP(D3661,underlying!$D$76:$L$90,9,FALSE)</f>
        <v>42662</v>
      </c>
      <c r="Q3661" s="7">
        <f>IF(G3661="C",NormalCallSprd(O3661,H3661,M3661,(P3661-A3661)/365), NormalPutSprd(O3661,H3661,M3661,(P3661-A3661)/365))</f>
        <v>2.0045086493455089E-2</v>
      </c>
      <c r="R3661" s="9">
        <f t="shared" si="149"/>
        <v>4.5086493455089027E-5</v>
      </c>
    </row>
    <row r="3662" spans="1:18" x14ac:dyDescent="0.2">
      <c r="A3662" s="2">
        <v>42622</v>
      </c>
      <c r="B3662" s="1" t="s">
        <v>59</v>
      </c>
      <c r="C3662" s="1" t="s">
        <v>14</v>
      </c>
      <c r="D3662" s="2">
        <v>42380</v>
      </c>
      <c r="E3662" s="2">
        <f t="shared" si="148"/>
        <v>42675</v>
      </c>
      <c r="F3662" s="1" t="s">
        <v>60</v>
      </c>
      <c r="G3662" s="1" t="s">
        <v>16</v>
      </c>
      <c r="H3662" s="1">
        <v>-1.1499999999999999</v>
      </c>
      <c r="I3662" s="1">
        <v>0.56000000000000005</v>
      </c>
      <c r="J3662" s="1">
        <v>0.03</v>
      </c>
      <c r="K3662" s="1" t="s">
        <v>63</v>
      </c>
      <c r="L3662" s="1">
        <v>2387</v>
      </c>
      <c r="M3662" s="1">
        <v>1.35</v>
      </c>
      <c r="N3662" s="1">
        <v>0.69128999999999996</v>
      </c>
      <c r="O3662" s="5">
        <f>VLOOKUP(D3662,underlying!$D$76:$H$90,5,FALSE)</f>
        <v>-0.61</v>
      </c>
      <c r="P3662" s="2">
        <f>VLOOKUP(D3662,underlying!$D$76:$L$90,9,FALSE)</f>
        <v>42662</v>
      </c>
      <c r="Q3662" s="7">
        <f>IF(G3662="C",NormalCallSprd(O3662,H3662,M3662,(P3662-A3662)/365), NormalPutSprd(O3662,H3662,M3662,(P3662-A3662)/365))</f>
        <v>0.56464850290265989</v>
      </c>
      <c r="R3662" s="9">
        <f t="shared" si="149"/>
        <v>4.6485029026598346E-3</v>
      </c>
    </row>
    <row r="3663" spans="1:18" x14ac:dyDescent="0.2">
      <c r="A3663" s="2">
        <v>42622</v>
      </c>
      <c r="B3663" s="1" t="s">
        <v>59</v>
      </c>
      <c r="C3663" s="1" t="s">
        <v>14</v>
      </c>
      <c r="D3663" s="2">
        <v>42380</v>
      </c>
      <c r="E3663" s="2">
        <f t="shared" si="148"/>
        <v>42675</v>
      </c>
      <c r="F3663" s="1" t="s">
        <v>60</v>
      </c>
      <c r="G3663" s="1" t="s">
        <v>18</v>
      </c>
      <c r="H3663" s="1">
        <v>-1.1499999999999999</v>
      </c>
      <c r="I3663" s="1">
        <v>0.02</v>
      </c>
      <c r="J3663" s="1">
        <v>-0.01</v>
      </c>
      <c r="K3663" s="1" t="s">
        <v>63</v>
      </c>
      <c r="L3663" s="1">
        <v>2387</v>
      </c>
      <c r="M3663" s="1">
        <v>1.35</v>
      </c>
      <c r="N3663" s="1">
        <v>0.71220000000000006</v>
      </c>
      <c r="O3663" s="5">
        <f>VLOOKUP(D3663,underlying!$D$76:$H$90,5,FALSE)</f>
        <v>-0.61</v>
      </c>
      <c r="P3663" s="2">
        <f>VLOOKUP(D3663,underlying!$D$76:$L$90,9,FALSE)</f>
        <v>42662</v>
      </c>
      <c r="Q3663" s="7">
        <f>IF(G3663="C",NormalCallSprd(O3663,H3663,M3663,(P3663-A3663)/365), NormalPutSprd(O3663,H3663,M3663,(P3663-A3663)/365))</f>
        <v>2.4648502902659998E-2</v>
      </c>
      <c r="R3663" s="9">
        <f t="shared" si="149"/>
        <v>4.6485029026599976E-3</v>
      </c>
    </row>
    <row r="3664" spans="1:18" x14ac:dyDescent="0.2">
      <c r="A3664" s="2">
        <v>42622</v>
      </c>
      <c r="B3664" s="1" t="s">
        <v>59</v>
      </c>
      <c r="C3664" s="1" t="s">
        <v>14</v>
      </c>
      <c r="D3664" s="2">
        <v>42380</v>
      </c>
      <c r="E3664" s="2">
        <f t="shared" si="148"/>
        <v>42675</v>
      </c>
      <c r="F3664" s="1" t="s">
        <v>60</v>
      </c>
      <c r="G3664" s="1" t="s">
        <v>16</v>
      </c>
      <c r="H3664" s="1">
        <v>-1.1000000000000001</v>
      </c>
      <c r="I3664" s="1">
        <v>0.52</v>
      </c>
      <c r="J3664" s="1">
        <v>0.04</v>
      </c>
      <c r="K3664" s="1" t="s">
        <v>63</v>
      </c>
      <c r="L3664" s="1">
        <v>2387</v>
      </c>
      <c r="M3664" s="1">
        <v>1.34</v>
      </c>
      <c r="N3664" s="1">
        <v>0.73185999999999996</v>
      </c>
      <c r="O3664" s="5">
        <f>VLOOKUP(D3664,underlying!$D$76:$H$90,5,FALSE)</f>
        <v>-0.61</v>
      </c>
      <c r="P3664" s="2">
        <f>VLOOKUP(D3664,underlying!$D$76:$L$90,9,FALSE)</f>
        <v>42662</v>
      </c>
      <c r="Q3664" s="7">
        <f>IF(G3664="C",NormalCallSprd(O3664,H3664,M3664,(P3664-A3664)/365), NormalPutSprd(O3664,H3664,M3664,(P3664-A3664)/365))</f>
        <v>0.52016317295420245</v>
      </c>
      <c r="R3664" s="9">
        <f t="shared" si="149"/>
        <v>1.631729542024285E-4</v>
      </c>
    </row>
    <row r="3665" spans="1:18" x14ac:dyDescent="0.2">
      <c r="A3665" s="2">
        <v>42622</v>
      </c>
      <c r="B3665" s="1" t="s">
        <v>59</v>
      </c>
      <c r="C3665" s="1" t="s">
        <v>14</v>
      </c>
      <c r="D3665" s="2">
        <v>42380</v>
      </c>
      <c r="E3665" s="2">
        <f t="shared" si="148"/>
        <v>42675</v>
      </c>
      <c r="F3665" s="1" t="s">
        <v>60</v>
      </c>
      <c r="G3665" s="1" t="s">
        <v>18</v>
      </c>
      <c r="H3665" s="1">
        <v>-1.1000000000000001</v>
      </c>
      <c r="I3665" s="1">
        <v>0.03</v>
      </c>
      <c r="J3665" s="1">
        <v>0</v>
      </c>
      <c r="K3665" s="1" t="s">
        <v>63</v>
      </c>
      <c r="L3665" s="1">
        <v>2387</v>
      </c>
      <c r="M3665" s="1">
        <v>1.34</v>
      </c>
      <c r="N3665" s="1">
        <v>0.75029000000000001</v>
      </c>
      <c r="O3665" s="5">
        <f>VLOOKUP(D3665,underlying!$D$76:$H$90,5,FALSE)</f>
        <v>-0.61</v>
      </c>
      <c r="P3665" s="2">
        <f>VLOOKUP(D3665,underlying!$D$76:$L$90,9,FALSE)</f>
        <v>42662</v>
      </c>
      <c r="Q3665" s="7">
        <f>IF(G3665="C",NormalCallSprd(O3665,H3665,M3665,(P3665-A3665)/365), NormalPutSprd(O3665,H3665,M3665,(P3665-A3665)/365))</f>
        <v>3.0163172954202344E-2</v>
      </c>
      <c r="R3665" s="9">
        <f t="shared" si="149"/>
        <v>1.6317295420234523E-4</v>
      </c>
    </row>
    <row r="3666" spans="1:18" x14ac:dyDescent="0.2">
      <c r="A3666" s="2">
        <v>42622</v>
      </c>
      <c r="B3666" s="1" t="s">
        <v>59</v>
      </c>
      <c r="C3666" s="1" t="s">
        <v>14</v>
      </c>
      <c r="D3666" s="2">
        <v>42380</v>
      </c>
      <c r="E3666" s="2">
        <f t="shared" si="148"/>
        <v>42675</v>
      </c>
      <c r="F3666" s="1" t="s">
        <v>60</v>
      </c>
      <c r="G3666" s="1" t="s">
        <v>16</v>
      </c>
      <c r="H3666" s="1">
        <v>-1.05</v>
      </c>
      <c r="I3666" s="1">
        <v>0.48</v>
      </c>
      <c r="J3666" s="1">
        <v>0.04</v>
      </c>
      <c r="K3666" s="1" t="s">
        <v>63</v>
      </c>
      <c r="L3666" s="1">
        <v>2387</v>
      </c>
      <c r="M3666" s="1">
        <v>1.32</v>
      </c>
      <c r="N3666" s="1">
        <v>0.76754</v>
      </c>
      <c r="O3666" s="5">
        <f>VLOOKUP(D3666,underlying!$D$76:$H$90,5,FALSE)</f>
        <v>-0.61</v>
      </c>
      <c r="P3666" s="2">
        <f>VLOOKUP(D3666,underlying!$D$76:$L$90,9,FALSE)</f>
        <v>42662</v>
      </c>
      <c r="Q3666" s="7">
        <f>IF(G3666="C",NormalCallSprd(O3666,H3666,M3666,(P3666-A3666)/365), NormalPutSprd(O3666,H3666,M3666,(P3666-A3666)/365))</f>
        <v>0.47592959177899569</v>
      </c>
      <c r="R3666" s="9">
        <f t="shared" si="149"/>
        <v>4.0704082210042958E-3</v>
      </c>
    </row>
    <row r="3667" spans="1:18" x14ac:dyDescent="0.2">
      <c r="A3667" s="2">
        <v>42622</v>
      </c>
      <c r="B3667" s="1" t="s">
        <v>59</v>
      </c>
      <c r="C3667" s="1" t="s">
        <v>14</v>
      </c>
      <c r="D3667" s="2">
        <v>42380</v>
      </c>
      <c r="E3667" s="2">
        <f t="shared" si="148"/>
        <v>42675</v>
      </c>
      <c r="F3667" s="1" t="s">
        <v>60</v>
      </c>
      <c r="G3667" s="1" t="s">
        <v>18</v>
      </c>
      <c r="H3667" s="1">
        <v>-1.05</v>
      </c>
      <c r="I3667" s="1">
        <v>0.04</v>
      </c>
      <c r="J3667" s="1">
        <v>0</v>
      </c>
      <c r="K3667" s="1" t="s">
        <v>63</v>
      </c>
      <c r="L3667" s="1">
        <v>2387</v>
      </c>
      <c r="M3667" s="1">
        <v>1.32</v>
      </c>
      <c r="N3667" s="1">
        <v>0.78366000000000002</v>
      </c>
      <c r="O3667" s="5">
        <f>VLOOKUP(D3667,underlying!$D$76:$H$90,5,FALSE)</f>
        <v>-0.61</v>
      </c>
      <c r="P3667" s="2">
        <f>VLOOKUP(D3667,underlying!$D$76:$L$90,9,FALSE)</f>
        <v>42662</v>
      </c>
      <c r="Q3667" s="7">
        <f>IF(G3667="C",NormalCallSprd(O3667,H3667,M3667,(P3667-A3667)/365), NormalPutSprd(O3667,H3667,M3667,(P3667-A3667)/365))</f>
        <v>3.592959177899567E-2</v>
      </c>
      <c r="R3667" s="9">
        <f t="shared" si="149"/>
        <v>4.0704082210043305E-3</v>
      </c>
    </row>
    <row r="3668" spans="1:18" x14ac:dyDescent="0.2">
      <c r="A3668" s="2">
        <v>42622</v>
      </c>
      <c r="B3668" s="1" t="s">
        <v>59</v>
      </c>
      <c r="C3668" s="1" t="s">
        <v>14</v>
      </c>
      <c r="D3668" s="2">
        <v>42380</v>
      </c>
      <c r="E3668" s="2">
        <f t="shared" si="148"/>
        <v>42675</v>
      </c>
      <c r="F3668" s="1" t="s">
        <v>60</v>
      </c>
      <c r="G3668" s="1" t="s">
        <v>16</v>
      </c>
      <c r="H3668" s="1">
        <v>-1</v>
      </c>
      <c r="I3668" s="1">
        <v>0.43</v>
      </c>
      <c r="J3668" s="1">
        <v>0.03</v>
      </c>
      <c r="K3668" s="1" t="s">
        <v>63</v>
      </c>
      <c r="L3668" s="1">
        <v>2387</v>
      </c>
      <c r="M3668" s="1">
        <v>1.3</v>
      </c>
      <c r="N3668" s="1">
        <v>0.80113999999999996</v>
      </c>
      <c r="O3668" s="5">
        <f>VLOOKUP(D3668,underlying!$D$76:$H$90,5,FALSE)</f>
        <v>-0.61</v>
      </c>
      <c r="P3668" s="2">
        <f>VLOOKUP(D3668,underlying!$D$76:$L$90,9,FALSE)</f>
        <v>42662</v>
      </c>
      <c r="Q3668" s="7">
        <f>IF(G3668="C",NormalCallSprd(O3668,H3668,M3668,(P3668-A3668)/365), NormalPutSprd(O3668,H3668,M3668,(P3668-A3668)/365))</f>
        <v>0.43272990234762576</v>
      </c>
      <c r="R3668" s="9">
        <f t="shared" si="149"/>
        <v>2.7299023476257678E-3</v>
      </c>
    </row>
    <row r="3669" spans="1:18" x14ac:dyDescent="0.2">
      <c r="A3669" s="2">
        <v>42622</v>
      </c>
      <c r="B3669" s="1" t="s">
        <v>59</v>
      </c>
      <c r="C3669" s="1" t="s">
        <v>14</v>
      </c>
      <c r="D3669" s="2">
        <v>42380</v>
      </c>
      <c r="E3669" s="2">
        <f t="shared" si="148"/>
        <v>42675</v>
      </c>
      <c r="F3669" s="1" t="s">
        <v>60</v>
      </c>
      <c r="G3669" s="1" t="s">
        <v>18</v>
      </c>
      <c r="H3669" s="1">
        <v>-1</v>
      </c>
      <c r="I3669" s="1">
        <v>0.05</v>
      </c>
      <c r="J3669" s="1">
        <v>-0.01</v>
      </c>
      <c r="K3669" s="1" t="s">
        <v>63</v>
      </c>
      <c r="L3669" s="1">
        <v>2387</v>
      </c>
      <c r="M3669" s="1">
        <v>1.3</v>
      </c>
      <c r="N3669" s="1">
        <v>0.84658999999999995</v>
      </c>
      <c r="O3669" s="5">
        <f>VLOOKUP(D3669,underlying!$D$76:$H$90,5,FALSE)</f>
        <v>-0.61</v>
      </c>
      <c r="P3669" s="2">
        <f>VLOOKUP(D3669,underlying!$D$76:$L$90,9,FALSE)</f>
        <v>42662</v>
      </c>
      <c r="Q3669" s="7">
        <f>IF(G3669="C",NormalCallSprd(O3669,H3669,M3669,(P3669-A3669)/365), NormalPutSprd(O3669,H3669,M3669,(P3669-A3669)/365))</f>
        <v>4.2729902347625741E-2</v>
      </c>
      <c r="R3669" s="9">
        <f t="shared" si="149"/>
        <v>7.2700976523742619E-3</v>
      </c>
    </row>
    <row r="3670" spans="1:18" x14ac:dyDescent="0.2">
      <c r="A3670" s="2">
        <v>42622</v>
      </c>
      <c r="B3670" s="1" t="s">
        <v>59</v>
      </c>
      <c r="C3670" s="1" t="s">
        <v>14</v>
      </c>
      <c r="D3670" s="2">
        <v>42380</v>
      </c>
      <c r="E3670" s="2">
        <f t="shared" si="148"/>
        <v>42675</v>
      </c>
      <c r="F3670" s="1" t="s">
        <v>60</v>
      </c>
      <c r="G3670" s="1" t="s">
        <v>16</v>
      </c>
      <c r="H3670" s="1">
        <v>-0.95</v>
      </c>
      <c r="I3670" s="1">
        <v>0.39</v>
      </c>
      <c r="J3670" s="1">
        <v>0.04</v>
      </c>
      <c r="K3670" s="1" t="s">
        <v>63</v>
      </c>
      <c r="L3670" s="1">
        <v>2387</v>
      </c>
      <c r="M3670" s="1">
        <v>1.28</v>
      </c>
      <c r="N3670" s="1">
        <v>0.97629999999999995</v>
      </c>
      <c r="O3670" s="5">
        <f>VLOOKUP(D3670,underlying!$D$76:$H$90,5,FALSE)</f>
        <v>-0.61</v>
      </c>
      <c r="P3670" s="2">
        <f>VLOOKUP(D3670,underlying!$D$76:$L$90,9,FALSE)</f>
        <v>42662</v>
      </c>
      <c r="Q3670" s="7">
        <f>IF(G3670="C",NormalCallSprd(O3670,H3670,M3670,(P3670-A3670)/365), NormalPutSprd(O3670,H3670,M3670,(P3670-A3670)/365))</f>
        <v>0.3907217374689233</v>
      </c>
      <c r="R3670" s="9">
        <f t="shared" si="149"/>
        <v>7.2173746892328916E-4</v>
      </c>
    </row>
    <row r="3671" spans="1:18" x14ac:dyDescent="0.2">
      <c r="A3671" s="2">
        <v>42622</v>
      </c>
      <c r="B3671" s="1" t="s">
        <v>59</v>
      </c>
      <c r="C3671" s="1" t="s">
        <v>14</v>
      </c>
      <c r="D3671" s="2">
        <v>42380</v>
      </c>
      <c r="E3671" s="2">
        <f t="shared" si="148"/>
        <v>42675</v>
      </c>
      <c r="F3671" s="1" t="s">
        <v>60</v>
      </c>
      <c r="G3671" s="1" t="s">
        <v>18</v>
      </c>
      <c r="H3671" s="1">
        <v>-0.95</v>
      </c>
      <c r="I3671" s="1">
        <v>0.05</v>
      </c>
      <c r="J3671" s="1">
        <v>0</v>
      </c>
      <c r="K3671" s="1" t="s">
        <v>63</v>
      </c>
      <c r="L3671" s="1">
        <v>2387</v>
      </c>
      <c r="M3671" s="1">
        <v>1.28</v>
      </c>
      <c r="N3671" s="1">
        <v>0.99226999999999999</v>
      </c>
      <c r="O3671" s="5">
        <f>VLOOKUP(D3671,underlying!$D$76:$H$90,5,FALSE)</f>
        <v>-0.61</v>
      </c>
      <c r="P3671" s="2">
        <f>VLOOKUP(D3671,underlying!$D$76:$L$90,9,FALSE)</f>
        <v>42662</v>
      </c>
      <c r="Q3671" s="7">
        <f>IF(G3671="C",NormalCallSprd(O3671,H3671,M3671,(P3671-A3671)/365), NormalPutSprd(O3671,H3671,M3671,(P3671-A3671)/365))</f>
        <v>5.0721737468923341E-2</v>
      </c>
      <c r="R3671" s="9">
        <f t="shared" si="149"/>
        <v>7.2173746892333773E-4</v>
      </c>
    </row>
    <row r="3672" spans="1:18" x14ac:dyDescent="0.2">
      <c r="A3672" s="2">
        <v>42622</v>
      </c>
      <c r="B3672" s="1" t="s">
        <v>59</v>
      </c>
      <c r="C3672" s="1" t="s">
        <v>14</v>
      </c>
      <c r="D3672" s="2">
        <v>42380</v>
      </c>
      <c r="E3672" s="2">
        <f t="shared" si="148"/>
        <v>42675</v>
      </c>
      <c r="F3672" s="1" t="s">
        <v>60</v>
      </c>
      <c r="G3672" s="1" t="s">
        <v>16</v>
      </c>
      <c r="H3672" s="1">
        <v>-0.9</v>
      </c>
      <c r="I3672" s="1">
        <v>0.35</v>
      </c>
      <c r="J3672" s="1">
        <v>0.04</v>
      </c>
      <c r="K3672" s="1" t="s">
        <v>63</v>
      </c>
      <c r="L3672" s="1">
        <v>2387</v>
      </c>
      <c r="M3672" s="1">
        <v>1.26</v>
      </c>
      <c r="N3672" s="1">
        <v>-0.58004999999999995</v>
      </c>
      <c r="O3672" s="5">
        <f>VLOOKUP(D3672,underlying!$D$76:$H$90,5,FALSE)</f>
        <v>-0.61</v>
      </c>
      <c r="P3672" s="2">
        <f>VLOOKUP(D3672,underlying!$D$76:$L$90,9,FALSE)</f>
        <v>42662</v>
      </c>
      <c r="Q3672" s="7">
        <f>IF(G3672="C",NormalCallSprd(O3672,H3672,M3672,(P3672-A3672)/365), NormalPutSprd(O3672,H3672,M3672,(P3672-A3672)/365))</f>
        <v>0.35007729871741905</v>
      </c>
      <c r="R3672" s="9">
        <f t="shared" si="149"/>
        <v>7.7298717419072016E-5</v>
      </c>
    </row>
    <row r="3673" spans="1:18" x14ac:dyDescent="0.2">
      <c r="A3673" s="2">
        <v>42622</v>
      </c>
      <c r="B3673" s="1" t="s">
        <v>59</v>
      </c>
      <c r="C3673" s="1" t="s">
        <v>14</v>
      </c>
      <c r="D3673" s="2">
        <v>42380</v>
      </c>
      <c r="E3673" s="2">
        <f t="shared" si="148"/>
        <v>42675</v>
      </c>
      <c r="F3673" s="1" t="s">
        <v>60</v>
      </c>
      <c r="G3673" s="1" t="s">
        <v>18</v>
      </c>
      <c r="H3673" s="1">
        <v>-0.9</v>
      </c>
      <c r="I3673" s="1">
        <v>7.0000000000000007E-2</v>
      </c>
      <c r="J3673" s="1">
        <v>-0.01</v>
      </c>
      <c r="K3673" s="1" t="s">
        <v>63</v>
      </c>
      <c r="L3673" s="1">
        <v>2387</v>
      </c>
      <c r="M3673" s="1">
        <v>1.26</v>
      </c>
      <c r="N3673" s="1">
        <v>-0.54729000000000005</v>
      </c>
      <c r="O3673" s="5">
        <f>VLOOKUP(D3673,underlying!$D$76:$H$90,5,FALSE)</f>
        <v>-0.61</v>
      </c>
      <c r="P3673" s="2">
        <f>VLOOKUP(D3673,underlying!$D$76:$L$90,9,FALSE)</f>
        <v>42662</v>
      </c>
      <c r="Q3673" s="7">
        <f>IF(G3673="C",NormalCallSprd(O3673,H3673,M3673,(P3673-A3673)/365), NormalPutSprd(O3673,H3673,M3673,(P3673-A3673)/365))</f>
        <v>6.0077298717419007E-2</v>
      </c>
      <c r="R3673" s="9">
        <f t="shared" si="149"/>
        <v>9.9227012825809993E-3</v>
      </c>
    </row>
    <row r="3674" spans="1:18" x14ac:dyDescent="0.2">
      <c r="A3674" s="2">
        <v>42622</v>
      </c>
      <c r="B3674" s="1" t="s">
        <v>59</v>
      </c>
      <c r="C3674" s="1" t="s">
        <v>14</v>
      </c>
      <c r="D3674" s="2">
        <v>42380</v>
      </c>
      <c r="E3674" s="2">
        <f t="shared" si="148"/>
        <v>42675</v>
      </c>
      <c r="F3674" s="1" t="s">
        <v>60</v>
      </c>
      <c r="G3674" s="1" t="s">
        <v>16</v>
      </c>
      <c r="H3674" s="1">
        <v>-0.85</v>
      </c>
      <c r="I3674" s="1">
        <v>0.31</v>
      </c>
      <c r="J3674" s="1">
        <v>0.03</v>
      </c>
      <c r="K3674" s="1" t="s">
        <v>63</v>
      </c>
      <c r="L3674" s="1">
        <v>2387</v>
      </c>
      <c r="M3674" s="1">
        <v>1.24</v>
      </c>
      <c r="N3674" s="1">
        <v>-0.51553000000000004</v>
      </c>
      <c r="O3674" s="5">
        <f>VLOOKUP(D3674,underlying!$D$76:$H$90,5,FALSE)</f>
        <v>-0.61</v>
      </c>
      <c r="P3674" s="2">
        <f>VLOOKUP(D3674,underlying!$D$76:$L$90,9,FALSE)</f>
        <v>42662</v>
      </c>
      <c r="Q3674" s="7">
        <f>IF(G3674="C",NormalCallSprd(O3674,H3674,M3674,(P3674-A3674)/365), NormalPutSprd(O3674,H3674,M3674,(P3674-A3674)/365))</f>
        <v>0.31098159468474523</v>
      </c>
      <c r="R3674" s="9">
        <f t="shared" si="149"/>
        <v>9.8159468474523504E-4</v>
      </c>
    </row>
    <row r="3675" spans="1:18" x14ac:dyDescent="0.2">
      <c r="A3675" s="2">
        <v>42622</v>
      </c>
      <c r="B3675" s="1" t="s">
        <v>59</v>
      </c>
      <c r="C3675" s="1" t="s">
        <v>14</v>
      </c>
      <c r="D3675" s="2">
        <v>42380</v>
      </c>
      <c r="E3675" s="2">
        <f t="shared" si="148"/>
        <v>42675</v>
      </c>
      <c r="F3675" s="1" t="s">
        <v>60</v>
      </c>
      <c r="G3675" s="1" t="s">
        <v>18</v>
      </c>
      <c r="H3675" s="1">
        <v>-0.85</v>
      </c>
      <c r="I3675" s="1">
        <v>7.0000000000000007E-2</v>
      </c>
      <c r="J3675" s="1">
        <v>-0.01</v>
      </c>
      <c r="K3675" s="1" t="s">
        <v>63</v>
      </c>
      <c r="L3675" s="1">
        <v>2387</v>
      </c>
      <c r="M3675" s="1">
        <v>1.24</v>
      </c>
      <c r="N3675" s="1">
        <v>-0.48487000000000002</v>
      </c>
      <c r="O3675" s="5">
        <f>VLOOKUP(D3675,underlying!$D$76:$H$90,5,FALSE)</f>
        <v>-0.61</v>
      </c>
      <c r="P3675" s="2">
        <f>VLOOKUP(D3675,underlying!$D$76:$L$90,9,FALSE)</f>
        <v>42662</v>
      </c>
      <c r="Q3675" s="7">
        <f>IF(G3675="C",NormalCallSprd(O3675,H3675,M3675,(P3675-A3675)/365), NormalPutSprd(O3675,H3675,M3675,(P3675-A3675)/365))</f>
        <v>7.0981594684745228E-2</v>
      </c>
      <c r="R3675" s="9">
        <f t="shared" si="149"/>
        <v>9.8159468474522116E-4</v>
      </c>
    </row>
    <row r="3676" spans="1:18" x14ac:dyDescent="0.2">
      <c r="A3676" s="2">
        <v>42622</v>
      </c>
      <c r="B3676" s="1" t="s">
        <v>59</v>
      </c>
      <c r="C3676" s="1" t="s">
        <v>14</v>
      </c>
      <c r="D3676" s="2">
        <v>42380</v>
      </c>
      <c r="E3676" s="2">
        <f t="shared" si="148"/>
        <v>42675</v>
      </c>
      <c r="F3676" s="1" t="s">
        <v>60</v>
      </c>
      <c r="G3676" s="1" t="s">
        <v>16</v>
      </c>
      <c r="H3676" s="1">
        <v>-0.8</v>
      </c>
      <c r="I3676" s="1">
        <v>0.27</v>
      </c>
      <c r="J3676" s="1">
        <v>0.03</v>
      </c>
      <c r="K3676" s="1" t="s">
        <v>63</v>
      </c>
      <c r="L3676" s="1">
        <v>2387</v>
      </c>
      <c r="M3676" s="1">
        <v>1.22</v>
      </c>
      <c r="N3676" s="1">
        <v>-0.45522000000000001</v>
      </c>
      <c r="O3676" s="5">
        <f>VLOOKUP(D3676,underlying!$D$76:$H$90,5,FALSE)</f>
        <v>-0.61</v>
      </c>
      <c r="P3676" s="2">
        <f>VLOOKUP(D3676,underlying!$D$76:$L$90,9,FALSE)</f>
        <v>42662</v>
      </c>
      <c r="Q3676" s="7">
        <f>IF(G3676="C",NormalCallSprd(O3676,H3676,M3676,(P3676-A3676)/365), NormalPutSprd(O3676,H3676,M3676,(P3676-A3676)/365))</f>
        <v>0.27362947767398738</v>
      </c>
      <c r="R3676" s="9">
        <f t="shared" si="149"/>
        <v>3.629477673987358E-3</v>
      </c>
    </row>
    <row r="3677" spans="1:18" x14ac:dyDescent="0.2">
      <c r="A3677" s="2">
        <v>42622</v>
      </c>
      <c r="B3677" s="1" t="s">
        <v>59</v>
      </c>
      <c r="C3677" s="1" t="s">
        <v>14</v>
      </c>
      <c r="D3677" s="2">
        <v>42380</v>
      </c>
      <c r="E3677" s="2">
        <f t="shared" si="148"/>
        <v>42675</v>
      </c>
      <c r="F3677" s="1" t="s">
        <v>60</v>
      </c>
      <c r="G3677" s="1" t="s">
        <v>18</v>
      </c>
      <c r="H3677" s="1">
        <v>-0.8</v>
      </c>
      <c r="I3677" s="1">
        <v>0.08</v>
      </c>
      <c r="J3677" s="1">
        <v>-0.01</v>
      </c>
      <c r="K3677" s="1" t="s">
        <v>63</v>
      </c>
      <c r="L3677" s="1">
        <v>2387</v>
      </c>
      <c r="M3677" s="1">
        <v>1.22</v>
      </c>
      <c r="N3677" s="1">
        <v>-0.42668</v>
      </c>
      <c r="O3677" s="5">
        <f>VLOOKUP(D3677,underlying!$D$76:$H$90,5,FALSE)</f>
        <v>-0.61</v>
      </c>
      <c r="P3677" s="2">
        <f>VLOOKUP(D3677,underlying!$D$76:$L$90,9,FALSE)</f>
        <v>42662</v>
      </c>
      <c r="Q3677" s="7">
        <f>IF(G3677="C",NormalCallSprd(O3677,H3677,M3677,(P3677-A3677)/365), NormalPutSprd(O3677,H3677,M3677,(P3677-A3677)/365))</f>
        <v>8.3629477673987304E-2</v>
      </c>
      <c r="R3677" s="9">
        <f t="shared" si="149"/>
        <v>3.6294776739873025E-3</v>
      </c>
    </row>
    <row r="3678" spans="1:18" x14ac:dyDescent="0.2">
      <c r="A3678" s="2">
        <v>42622</v>
      </c>
      <c r="B3678" s="1" t="s">
        <v>59</v>
      </c>
      <c r="C3678" s="1" t="s">
        <v>14</v>
      </c>
      <c r="D3678" s="2">
        <v>42380</v>
      </c>
      <c r="E3678" s="2">
        <f t="shared" si="148"/>
        <v>42675</v>
      </c>
      <c r="F3678" s="1" t="s">
        <v>60</v>
      </c>
      <c r="G3678" s="1" t="s">
        <v>16</v>
      </c>
      <c r="H3678" s="1">
        <v>-0.75</v>
      </c>
      <c r="I3678" s="1">
        <v>0.24</v>
      </c>
      <c r="J3678" s="1">
        <v>0.03</v>
      </c>
      <c r="K3678" s="1" t="s">
        <v>63</v>
      </c>
      <c r="L3678" s="1">
        <v>2387</v>
      </c>
      <c r="M3678" s="1">
        <v>1.22</v>
      </c>
      <c r="N3678" s="1">
        <v>-0.39933999999999997</v>
      </c>
      <c r="O3678" s="5">
        <f>VLOOKUP(D3678,underlying!$D$76:$H$90,5,FALSE)</f>
        <v>-0.61</v>
      </c>
      <c r="P3678" s="2">
        <f>VLOOKUP(D3678,underlying!$D$76:$L$90,9,FALSE)</f>
        <v>42662</v>
      </c>
      <c r="Q3678" s="7">
        <f>IF(G3678="C",NormalCallSprd(O3678,H3678,M3678,(P3678-A3678)/365), NormalPutSprd(O3678,H3678,M3678,(P3678-A3678)/365))</f>
        <v>0.24070609146425015</v>
      </c>
      <c r="R3678" s="9">
        <f t="shared" si="149"/>
        <v>7.0609146425015812E-4</v>
      </c>
    </row>
    <row r="3679" spans="1:18" x14ac:dyDescent="0.2">
      <c r="A3679" s="2">
        <v>42622</v>
      </c>
      <c r="B3679" s="1" t="s">
        <v>59</v>
      </c>
      <c r="C3679" s="1" t="s">
        <v>14</v>
      </c>
      <c r="D3679" s="2">
        <v>42380</v>
      </c>
      <c r="E3679" s="2">
        <f t="shared" si="148"/>
        <v>42675</v>
      </c>
      <c r="F3679" s="1" t="s">
        <v>60</v>
      </c>
      <c r="G3679" s="1" t="s">
        <v>18</v>
      </c>
      <c r="H3679" s="1">
        <v>-0.75</v>
      </c>
      <c r="I3679" s="1">
        <v>0.1</v>
      </c>
      <c r="J3679" s="1">
        <v>-0.01</v>
      </c>
      <c r="K3679" s="1" t="s">
        <v>63</v>
      </c>
      <c r="L3679" s="1">
        <v>2387</v>
      </c>
      <c r="M3679" s="1">
        <v>1.22</v>
      </c>
      <c r="N3679" s="1">
        <v>-0.37325000000000003</v>
      </c>
      <c r="O3679" s="5">
        <f>VLOOKUP(D3679,underlying!$D$76:$H$90,5,FALSE)</f>
        <v>-0.61</v>
      </c>
      <c r="P3679" s="2">
        <f>VLOOKUP(D3679,underlying!$D$76:$L$90,9,FALSE)</f>
        <v>42662</v>
      </c>
      <c r="Q3679" s="7">
        <f>IF(G3679="C",NormalCallSprd(O3679,H3679,M3679,(P3679-A3679)/365), NormalPutSprd(O3679,H3679,M3679,(P3679-A3679)/365))</f>
        <v>0.10070609146425012</v>
      </c>
      <c r="R3679" s="9">
        <f t="shared" si="149"/>
        <v>7.0609146425011649E-4</v>
      </c>
    </row>
    <row r="3680" spans="1:18" x14ac:dyDescent="0.2">
      <c r="A3680" s="2">
        <v>42622</v>
      </c>
      <c r="B3680" s="1" t="s">
        <v>59</v>
      </c>
      <c r="C3680" s="1" t="s">
        <v>14</v>
      </c>
      <c r="D3680" s="2">
        <v>42380</v>
      </c>
      <c r="E3680" s="2">
        <f t="shared" si="148"/>
        <v>42675</v>
      </c>
      <c r="F3680" s="1" t="s">
        <v>60</v>
      </c>
      <c r="G3680" s="1" t="s">
        <v>16</v>
      </c>
      <c r="H3680" s="1">
        <v>-0.7</v>
      </c>
      <c r="I3680" s="1">
        <v>0.21</v>
      </c>
      <c r="J3680" s="1">
        <v>0.03</v>
      </c>
      <c r="K3680" s="1" t="s">
        <v>63</v>
      </c>
      <c r="L3680" s="1">
        <v>2387</v>
      </c>
      <c r="M3680" s="1">
        <v>1.23</v>
      </c>
      <c r="N3680" s="1">
        <v>-0.34844999999999998</v>
      </c>
      <c r="O3680" s="5">
        <f>VLOOKUP(D3680,underlying!$D$76:$H$90,5,FALSE)</f>
        <v>-0.61</v>
      </c>
      <c r="P3680" s="2">
        <f>VLOOKUP(D3680,underlying!$D$76:$L$90,9,FALSE)</f>
        <v>42662</v>
      </c>
      <c r="Q3680" s="7">
        <f>IF(G3680="C",NormalCallSprd(O3680,H3680,M3680,(P3680-A3680)/365), NormalPutSprd(O3680,H3680,M3680,(P3680-A3680)/365))</f>
        <v>0.21139412153285589</v>
      </c>
      <c r="R3680" s="9">
        <f t="shared" si="149"/>
        <v>1.3941215328558965E-3</v>
      </c>
    </row>
    <row r="3681" spans="1:18" x14ac:dyDescent="0.2">
      <c r="A3681" s="2">
        <v>42622</v>
      </c>
      <c r="B3681" s="1" t="s">
        <v>59</v>
      </c>
      <c r="C3681" s="1" t="s">
        <v>14</v>
      </c>
      <c r="D3681" s="2">
        <v>42380</v>
      </c>
      <c r="E3681" s="2">
        <f t="shared" si="148"/>
        <v>42675</v>
      </c>
      <c r="F3681" s="1" t="s">
        <v>60</v>
      </c>
      <c r="G3681" s="1" t="s">
        <v>18</v>
      </c>
      <c r="H3681" s="1">
        <v>-0.7</v>
      </c>
      <c r="I3681" s="1">
        <v>0.12</v>
      </c>
      <c r="J3681" s="1">
        <v>-0.01</v>
      </c>
      <c r="K3681" s="1" t="s">
        <v>63</v>
      </c>
      <c r="L3681" s="1">
        <v>2387</v>
      </c>
      <c r="M3681" s="1">
        <v>1.23</v>
      </c>
      <c r="N3681" s="1">
        <v>-0.32495000000000002</v>
      </c>
      <c r="O3681" s="5">
        <f>VLOOKUP(D3681,underlying!$D$76:$H$90,5,FALSE)</f>
        <v>-0.61</v>
      </c>
      <c r="P3681" s="2">
        <f>VLOOKUP(D3681,underlying!$D$76:$L$90,9,FALSE)</f>
        <v>42662</v>
      </c>
      <c r="Q3681" s="7">
        <f>IF(G3681="C",NormalCallSprd(O3681,H3681,M3681,(P3681-A3681)/365), NormalPutSprd(O3681,H3681,M3681,(P3681-A3681)/365))</f>
        <v>0.12139412153285592</v>
      </c>
      <c r="R3681" s="9">
        <f t="shared" si="149"/>
        <v>1.3941215328559242E-3</v>
      </c>
    </row>
    <row r="3682" spans="1:18" x14ac:dyDescent="0.2">
      <c r="A3682" s="2">
        <v>42622</v>
      </c>
      <c r="B3682" s="1" t="s">
        <v>59</v>
      </c>
      <c r="C3682" s="1" t="s">
        <v>14</v>
      </c>
      <c r="D3682" s="2">
        <v>42380</v>
      </c>
      <c r="E3682" s="2">
        <f t="shared" si="148"/>
        <v>42675</v>
      </c>
      <c r="F3682" s="1" t="s">
        <v>60</v>
      </c>
      <c r="G3682" s="1" t="s">
        <v>16</v>
      </c>
      <c r="H3682" s="1">
        <v>-0.65</v>
      </c>
      <c r="I3682" s="1">
        <v>0.18</v>
      </c>
      <c r="J3682" s="1">
        <v>0.02</v>
      </c>
      <c r="K3682" s="1" t="s">
        <v>63</v>
      </c>
      <c r="L3682" s="1">
        <v>2387</v>
      </c>
      <c r="M3682" s="1">
        <v>1.24</v>
      </c>
      <c r="N3682" s="1">
        <v>-0.30275000000000002</v>
      </c>
      <c r="O3682" s="5">
        <f>VLOOKUP(D3682,underlying!$D$76:$H$90,5,FALSE)</f>
        <v>-0.61</v>
      </c>
      <c r="P3682" s="2">
        <f>VLOOKUP(D3682,underlying!$D$76:$L$90,9,FALSE)</f>
        <v>42662</v>
      </c>
      <c r="Q3682" s="7">
        <f>IF(G3682="C",NormalCallSprd(O3682,H3682,M3682,(P3682-A3682)/365), NormalPutSprd(O3682,H3682,M3682,(P3682-A3682)/365))</f>
        <v>0.18453969767487632</v>
      </c>
      <c r="R3682" s="9">
        <f t="shared" si="149"/>
        <v>4.5396976748763307E-3</v>
      </c>
    </row>
    <row r="3683" spans="1:18" x14ac:dyDescent="0.2">
      <c r="A3683" s="2">
        <v>42622</v>
      </c>
      <c r="B3683" s="1" t="s">
        <v>59</v>
      </c>
      <c r="C3683" s="1" t="s">
        <v>14</v>
      </c>
      <c r="D3683" s="2">
        <v>42380</v>
      </c>
      <c r="E3683" s="2">
        <f t="shared" si="148"/>
        <v>42675</v>
      </c>
      <c r="F3683" s="1" t="s">
        <v>60</v>
      </c>
      <c r="G3683" s="1" t="s">
        <v>18</v>
      </c>
      <c r="H3683" s="1">
        <v>-0.65</v>
      </c>
      <c r="I3683" s="1">
        <v>0.15</v>
      </c>
      <c r="J3683" s="1">
        <v>-0.01</v>
      </c>
      <c r="K3683" s="1" t="s">
        <v>63</v>
      </c>
      <c r="L3683" s="1">
        <v>2387</v>
      </c>
      <c r="M3683" s="1">
        <v>1.24</v>
      </c>
      <c r="N3683" s="1">
        <v>-0.28183999999999998</v>
      </c>
      <c r="O3683" s="5">
        <f>VLOOKUP(D3683,underlying!$D$76:$H$90,5,FALSE)</f>
        <v>-0.61</v>
      </c>
      <c r="P3683" s="2">
        <f>VLOOKUP(D3683,underlying!$D$76:$L$90,9,FALSE)</f>
        <v>42662</v>
      </c>
      <c r="Q3683" s="7">
        <f>IF(G3683="C",NormalCallSprd(O3683,H3683,M3683,(P3683-A3683)/365), NormalPutSprd(O3683,H3683,M3683,(P3683-A3683)/365))</f>
        <v>0.14453969767487629</v>
      </c>
      <c r="R3683" s="9">
        <f t="shared" si="149"/>
        <v>5.4603023251237059E-3</v>
      </c>
    </row>
    <row r="3684" spans="1:18" x14ac:dyDescent="0.2">
      <c r="A3684" s="2">
        <v>42622</v>
      </c>
      <c r="B3684" s="1" t="s">
        <v>59</v>
      </c>
      <c r="C3684" s="1" t="s">
        <v>14</v>
      </c>
      <c r="D3684" s="2">
        <v>42380</v>
      </c>
      <c r="E3684" s="2">
        <f t="shared" si="148"/>
        <v>42675</v>
      </c>
      <c r="F3684" s="1" t="s">
        <v>60</v>
      </c>
      <c r="G3684" s="1" t="s">
        <v>16</v>
      </c>
      <c r="H3684" s="1">
        <v>-0.6</v>
      </c>
      <c r="I3684" s="1">
        <v>0.16</v>
      </c>
      <c r="J3684" s="1">
        <v>0.03</v>
      </c>
      <c r="K3684" s="1" t="s">
        <v>63</v>
      </c>
      <c r="L3684" s="1">
        <v>2387</v>
      </c>
      <c r="M3684" s="1">
        <v>1.25</v>
      </c>
      <c r="N3684" s="1">
        <v>-0.26218000000000002</v>
      </c>
      <c r="O3684" s="5">
        <f>VLOOKUP(D3684,underlying!$D$76:$H$90,5,FALSE)</f>
        <v>-0.61</v>
      </c>
      <c r="P3684" s="2">
        <f>VLOOKUP(D3684,underlying!$D$76:$L$90,9,FALSE)</f>
        <v>42662</v>
      </c>
      <c r="Q3684" s="7">
        <f>IF(G3684="C",NormalCallSprd(O3684,H3684,M3684,(P3684-A3684)/365), NormalPutSprd(O3684,H3684,M3684,(P3684-A3684)/365))</f>
        <v>0.16013169226968094</v>
      </c>
      <c r="R3684" s="9">
        <f t="shared" si="149"/>
        <v>1.3169226968093306E-4</v>
      </c>
    </row>
    <row r="3685" spans="1:18" x14ac:dyDescent="0.2">
      <c r="A3685" s="2">
        <v>42622</v>
      </c>
      <c r="B3685" s="1" t="s">
        <v>59</v>
      </c>
      <c r="C3685" s="1" t="s">
        <v>14</v>
      </c>
      <c r="D3685" s="2">
        <v>42380</v>
      </c>
      <c r="E3685" s="2">
        <f t="shared" si="148"/>
        <v>42675</v>
      </c>
      <c r="F3685" s="1" t="s">
        <v>60</v>
      </c>
      <c r="G3685" s="1" t="s">
        <v>18</v>
      </c>
      <c r="H3685" s="1">
        <v>-0.6</v>
      </c>
      <c r="I3685" s="1">
        <v>0.17</v>
      </c>
      <c r="J3685" s="1">
        <v>-0.01</v>
      </c>
      <c r="K3685" s="1" t="s">
        <v>63</v>
      </c>
      <c r="L3685" s="1">
        <v>2387</v>
      </c>
      <c r="M3685" s="1">
        <v>1.25</v>
      </c>
      <c r="N3685" s="1">
        <v>-0.24374999999999999</v>
      </c>
      <c r="O3685" s="5">
        <f>VLOOKUP(D3685,underlying!$D$76:$H$90,5,FALSE)</f>
        <v>-0.61</v>
      </c>
      <c r="P3685" s="2">
        <f>VLOOKUP(D3685,underlying!$D$76:$L$90,9,FALSE)</f>
        <v>42662</v>
      </c>
      <c r="Q3685" s="7">
        <f>IF(G3685="C",NormalCallSprd(O3685,H3685,M3685,(P3685-A3685)/365), NormalPutSprd(O3685,H3685,M3685,(P3685-A3685)/365))</f>
        <v>0.17013169226968095</v>
      </c>
      <c r="R3685" s="9">
        <f t="shared" si="149"/>
        <v>1.3169226968093306E-4</v>
      </c>
    </row>
    <row r="3686" spans="1:18" x14ac:dyDescent="0.2">
      <c r="A3686" s="2">
        <v>42622</v>
      </c>
      <c r="B3686" s="1" t="s">
        <v>59</v>
      </c>
      <c r="C3686" s="1" t="s">
        <v>14</v>
      </c>
      <c r="D3686" s="2">
        <v>42380</v>
      </c>
      <c r="E3686" s="2">
        <f t="shared" si="148"/>
        <v>42675</v>
      </c>
      <c r="F3686" s="1" t="s">
        <v>60</v>
      </c>
      <c r="G3686" s="1" t="s">
        <v>16</v>
      </c>
      <c r="H3686" s="1">
        <v>-0.55000000000000004</v>
      </c>
      <c r="I3686" s="1">
        <v>0.13</v>
      </c>
      <c r="J3686" s="1">
        <v>0.02</v>
      </c>
      <c r="K3686" s="1" t="s">
        <v>63</v>
      </c>
      <c r="L3686" s="1">
        <v>2387</v>
      </c>
      <c r="M3686" s="1">
        <v>1.2</v>
      </c>
      <c r="N3686" s="1">
        <v>-0.22650000000000001</v>
      </c>
      <c r="O3686" s="5">
        <f>VLOOKUP(D3686,underlying!$D$76:$H$90,5,FALSE)</f>
        <v>-0.61</v>
      </c>
      <c r="P3686" s="2">
        <f>VLOOKUP(D3686,underlying!$D$76:$L$90,9,FALSE)</f>
        <v>42662</v>
      </c>
      <c r="Q3686" s="7">
        <f>IF(G3686="C",NormalCallSprd(O3686,H3686,M3686,(P3686-A3686)/365), NormalPutSprd(O3686,H3686,M3686,(P3686-A3686)/365))</f>
        <v>0.13028438622342869</v>
      </c>
      <c r="R3686" s="9">
        <f t="shared" si="149"/>
        <v>2.843862234286898E-4</v>
      </c>
    </row>
    <row r="3687" spans="1:18" x14ac:dyDescent="0.2">
      <c r="A3687" s="2">
        <v>42622</v>
      </c>
      <c r="B3687" s="1" t="s">
        <v>59</v>
      </c>
      <c r="C3687" s="1" t="s">
        <v>14</v>
      </c>
      <c r="D3687" s="2">
        <v>42380</v>
      </c>
      <c r="E3687" s="2">
        <f t="shared" si="148"/>
        <v>42675</v>
      </c>
      <c r="F3687" s="1" t="s">
        <v>60</v>
      </c>
      <c r="G3687" s="1" t="s">
        <v>18</v>
      </c>
      <c r="H3687" s="1">
        <v>-0.55000000000000004</v>
      </c>
      <c r="I3687" s="1">
        <v>0.19</v>
      </c>
      <c r="J3687" s="1">
        <v>-0.02</v>
      </c>
      <c r="K3687" s="1" t="s">
        <v>63</v>
      </c>
      <c r="L3687" s="1">
        <v>2387</v>
      </c>
      <c r="M3687" s="1">
        <v>1.2</v>
      </c>
      <c r="N3687" s="1">
        <v>-0.21038000000000001</v>
      </c>
      <c r="O3687" s="5">
        <f>VLOOKUP(D3687,underlying!$D$76:$H$90,5,FALSE)</f>
        <v>-0.61</v>
      </c>
      <c r="P3687" s="2">
        <f>VLOOKUP(D3687,underlying!$D$76:$L$90,9,FALSE)</f>
        <v>42662</v>
      </c>
      <c r="Q3687" s="7">
        <f>IF(G3687="C",NormalCallSprd(O3687,H3687,M3687,(P3687-A3687)/365), NormalPutSprd(O3687,H3687,M3687,(P3687-A3687)/365))</f>
        <v>0.19028438622342864</v>
      </c>
      <c r="R3687" s="9">
        <f t="shared" si="149"/>
        <v>2.8438622342863429E-4</v>
      </c>
    </row>
    <row r="3688" spans="1:18" x14ac:dyDescent="0.2">
      <c r="A3688" s="2">
        <v>42622</v>
      </c>
      <c r="B3688" s="1" t="s">
        <v>59</v>
      </c>
      <c r="C3688" s="1" t="s">
        <v>14</v>
      </c>
      <c r="D3688" s="2">
        <v>42380</v>
      </c>
      <c r="E3688" s="2">
        <f t="shared" si="148"/>
        <v>42675</v>
      </c>
      <c r="F3688" s="1" t="s">
        <v>60</v>
      </c>
      <c r="G3688" s="1" t="s">
        <v>16</v>
      </c>
      <c r="H3688" s="1">
        <v>-0.5</v>
      </c>
      <c r="I3688" s="1">
        <v>0.1</v>
      </c>
      <c r="J3688" s="1">
        <v>0.02</v>
      </c>
      <c r="K3688" s="1" t="s">
        <v>63</v>
      </c>
      <c r="L3688" s="1">
        <v>2387</v>
      </c>
      <c r="M3688" s="1">
        <v>1.1299999999999999</v>
      </c>
      <c r="N3688" s="1">
        <v>-0.19289000000000001</v>
      </c>
      <c r="O3688" s="5">
        <f>VLOOKUP(D3688,underlying!$D$76:$H$90,5,FALSE)</f>
        <v>-0.61</v>
      </c>
      <c r="P3688" s="2">
        <f>VLOOKUP(D3688,underlying!$D$76:$L$90,9,FALSE)</f>
        <v>42662</v>
      </c>
      <c r="Q3688" s="7">
        <f>IF(G3688="C",NormalCallSprd(O3688,H3688,M3688,(P3688-A3688)/365), NormalPutSprd(O3688,H3688,M3688,(P3688-A3688)/365))</f>
        <v>0.10064151635884558</v>
      </c>
      <c r="R3688" s="9">
        <f t="shared" si="149"/>
        <v>6.4151635884557301E-4</v>
      </c>
    </row>
    <row r="3689" spans="1:18" x14ac:dyDescent="0.2">
      <c r="A3689" s="2">
        <v>42622</v>
      </c>
      <c r="B3689" s="1" t="s">
        <v>59</v>
      </c>
      <c r="C3689" s="1" t="s">
        <v>14</v>
      </c>
      <c r="D3689" s="2">
        <v>42380</v>
      </c>
      <c r="E3689" s="2">
        <f t="shared" si="148"/>
        <v>42675</v>
      </c>
      <c r="F3689" s="1" t="s">
        <v>60</v>
      </c>
      <c r="G3689" s="1" t="s">
        <v>18</v>
      </c>
      <c r="H3689" s="1">
        <v>-0.5</v>
      </c>
      <c r="I3689" s="1">
        <v>0.21</v>
      </c>
      <c r="J3689" s="1">
        <v>-0.02</v>
      </c>
      <c r="K3689" s="1" t="s">
        <v>63</v>
      </c>
      <c r="L3689" s="1">
        <v>2387</v>
      </c>
      <c r="M3689" s="1">
        <v>1.1299999999999999</v>
      </c>
      <c r="N3689" s="1">
        <v>-0.14745</v>
      </c>
      <c r="O3689" s="5">
        <f>VLOOKUP(D3689,underlying!$D$76:$H$90,5,FALSE)</f>
        <v>-0.61</v>
      </c>
      <c r="P3689" s="2">
        <f>VLOOKUP(D3689,underlying!$D$76:$L$90,9,FALSE)</f>
        <v>42662</v>
      </c>
      <c r="Q3689" s="7">
        <f>IF(G3689="C",NormalCallSprd(O3689,H3689,M3689,(P3689-A3689)/365), NormalPutSprd(O3689,H3689,M3689,(P3689-A3689)/365))</f>
        <v>0.21064151635884557</v>
      </c>
      <c r="R3689" s="9">
        <f t="shared" si="149"/>
        <v>6.4151635884557301E-4</v>
      </c>
    </row>
    <row r="3690" spans="1:18" x14ac:dyDescent="0.2">
      <c r="A3690" s="2">
        <v>42622</v>
      </c>
      <c r="B3690" s="1" t="s">
        <v>59</v>
      </c>
      <c r="C3690" s="1" t="s">
        <v>14</v>
      </c>
      <c r="D3690" s="2">
        <v>42380</v>
      </c>
      <c r="E3690" s="2">
        <f t="shared" si="148"/>
        <v>42675</v>
      </c>
      <c r="F3690" s="1" t="s">
        <v>60</v>
      </c>
      <c r="G3690" s="1" t="s">
        <v>16</v>
      </c>
      <c r="H3690" s="1">
        <v>-0.45</v>
      </c>
      <c r="I3690" s="1">
        <v>7.0000000000000007E-2</v>
      </c>
      <c r="J3690" s="1">
        <v>0</v>
      </c>
      <c r="K3690" s="1" t="s">
        <v>63</v>
      </c>
      <c r="L3690" s="1">
        <v>2387</v>
      </c>
      <c r="M3690" s="1">
        <v>1.02</v>
      </c>
      <c r="N3690" s="1">
        <v>-1.7739999999999999E-2</v>
      </c>
      <c r="O3690" s="5">
        <f>VLOOKUP(D3690,underlying!$D$76:$H$90,5,FALSE)</f>
        <v>-0.61</v>
      </c>
      <c r="P3690" s="2">
        <f>VLOOKUP(D3690,underlying!$D$76:$L$90,9,FALSE)</f>
        <v>42662</v>
      </c>
      <c r="Q3690" s="7">
        <f>IF(G3690="C",NormalCallSprd(O3690,H3690,M3690,(P3690-A3690)/365), NormalPutSprd(O3690,H3690,M3690,(P3690-A3690)/365))</f>
        <v>6.9554337014920656E-2</v>
      </c>
      <c r="R3690" s="9">
        <f t="shared" si="149"/>
        <v>4.4566298507935087E-4</v>
      </c>
    </row>
    <row r="3691" spans="1:18" x14ac:dyDescent="0.2">
      <c r="A3691" s="2">
        <v>42622</v>
      </c>
      <c r="B3691" s="1" t="s">
        <v>59</v>
      </c>
      <c r="C3691" s="1" t="s">
        <v>14</v>
      </c>
      <c r="D3691" s="2">
        <v>42380</v>
      </c>
      <c r="E3691" s="2">
        <f t="shared" si="148"/>
        <v>42675</v>
      </c>
      <c r="F3691" s="1" t="s">
        <v>60</v>
      </c>
      <c r="G3691" s="1" t="s">
        <v>18</v>
      </c>
      <c r="H3691" s="1">
        <v>-0.45</v>
      </c>
      <c r="I3691" s="1">
        <v>0.23</v>
      </c>
      <c r="J3691" s="1">
        <v>-0.04</v>
      </c>
      <c r="K3691" s="1" t="s">
        <v>63</v>
      </c>
      <c r="L3691" s="1">
        <v>2387</v>
      </c>
      <c r="M3691" s="1">
        <v>1.02</v>
      </c>
      <c r="N3691" s="1">
        <v>-1.7600000000000001E-3</v>
      </c>
      <c r="O3691" s="5">
        <f>VLOOKUP(D3691,underlying!$D$76:$H$90,5,FALSE)</f>
        <v>-0.61</v>
      </c>
      <c r="P3691" s="2">
        <f>VLOOKUP(D3691,underlying!$D$76:$L$90,9,FALSE)</f>
        <v>42662</v>
      </c>
      <c r="Q3691" s="7">
        <f>IF(G3691="C",NormalCallSprd(O3691,H3691,M3691,(P3691-A3691)/365), NormalPutSprd(O3691,H3691,M3691,(P3691-A3691)/365))</f>
        <v>0.22955433701492065</v>
      </c>
      <c r="R3691" s="9">
        <f t="shared" si="149"/>
        <v>4.4566298507936475E-4</v>
      </c>
    </row>
    <row r="3692" spans="1:18" x14ac:dyDescent="0.2">
      <c r="A3692" s="2">
        <v>42622</v>
      </c>
      <c r="B3692" s="1" t="s">
        <v>59</v>
      </c>
      <c r="C3692" s="1" t="s">
        <v>14</v>
      </c>
      <c r="D3692" s="2">
        <v>42380</v>
      </c>
      <c r="E3692" s="2">
        <f t="shared" si="148"/>
        <v>42675</v>
      </c>
      <c r="F3692" s="1" t="s">
        <v>60</v>
      </c>
      <c r="G3692" s="1" t="s">
        <v>16</v>
      </c>
      <c r="H3692" s="1">
        <v>-0.4</v>
      </c>
      <c r="I3692" s="1">
        <v>7.0000000000000007E-2</v>
      </c>
      <c r="J3692" s="1">
        <v>0.01</v>
      </c>
      <c r="K3692" s="1" t="s">
        <v>63</v>
      </c>
      <c r="L3692" s="1">
        <v>2387</v>
      </c>
      <c r="M3692" s="1">
        <v>1.1599999999999999</v>
      </c>
      <c r="N3692" s="1">
        <v>4.9669999999999999E-2</v>
      </c>
      <c r="O3692" s="5">
        <f>VLOOKUP(D3692,underlying!$D$76:$H$90,5,FALSE)</f>
        <v>-0.61</v>
      </c>
      <c r="P3692" s="2">
        <f>VLOOKUP(D3692,underlying!$D$76:$L$90,9,FALSE)</f>
        <v>42662</v>
      </c>
      <c r="Q3692" s="7">
        <f>IF(G3692="C",NormalCallSprd(O3692,H3692,M3692,(P3692-A3692)/365), NormalPutSprd(O3692,H3692,M3692,(P3692-A3692)/365))</f>
        <v>7.0550686743129101E-2</v>
      </c>
      <c r="R3692" s="9">
        <f t="shared" si="149"/>
        <v>5.506867431290946E-4</v>
      </c>
    </row>
    <row r="3693" spans="1:18" x14ac:dyDescent="0.2">
      <c r="A3693" s="2">
        <v>42622</v>
      </c>
      <c r="B3693" s="1" t="s">
        <v>59</v>
      </c>
      <c r="C3693" s="1" t="s">
        <v>14</v>
      </c>
      <c r="D3693" s="2">
        <v>42380</v>
      </c>
      <c r="E3693" s="2">
        <f t="shared" si="148"/>
        <v>42675</v>
      </c>
      <c r="F3693" s="1" t="s">
        <v>60</v>
      </c>
      <c r="G3693" s="1" t="s">
        <v>18</v>
      </c>
      <c r="H3693" s="1">
        <v>-0.4</v>
      </c>
      <c r="I3693" s="1">
        <v>0.28000000000000003</v>
      </c>
      <c r="J3693" s="1">
        <v>-0.03</v>
      </c>
      <c r="K3693" s="1" t="s">
        <v>63</v>
      </c>
      <c r="L3693" s="1">
        <v>2387</v>
      </c>
      <c r="M3693" s="1">
        <v>1.1599999999999999</v>
      </c>
      <c r="N3693" s="1">
        <v>7.6939999999999995E-2</v>
      </c>
      <c r="O3693" s="5">
        <f>VLOOKUP(D3693,underlying!$D$76:$H$90,5,FALSE)</f>
        <v>-0.61</v>
      </c>
      <c r="P3693" s="2">
        <f>VLOOKUP(D3693,underlying!$D$76:$L$90,9,FALSE)</f>
        <v>42662</v>
      </c>
      <c r="Q3693" s="7">
        <f>IF(G3693="C",NormalCallSprd(O3693,H3693,M3693,(P3693-A3693)/365), NormalPutSprd(O3693,H3693,M3693,(P3693-A3693)/365))</f>
        <v>0.28055068674312905</v>
      </c>
      <c r="R3693" s="9">
        <f t="shared" si="149"/>
        <v>5.5068674312902521E-4</v>
      </c>
    </row>
    <row r="3694" spans="1:18" x14ac:dyDescent="0.2">
      <c r="A3694" s="2">
        <v>42622</v>
      </c>
      <c r="B3694" s="1" t="s">
        <v>59</v>
      </c>
      <c r="C3694" s="1" t="s">
        <v>14</v>
      </c>
      <c r="D3694" s="2">
        <v>42380</v>
      </c>
      <c r="E3694" s="2">
        <f t="shared" si="148"/>
        <v>42675</v>
      </c>
      <c r="F3694" s="1" t="s">
        <v>60</v>
      </c>
      <c r="G3694" s="1" t="s">
        <v>16</v>
      </c>
      <c r="H3694" s="1">
        <v>-0.35</v>
      </c>
      <c r="I3694" s="1">
        <v>0.05</v>
      </c>
      <c r="J3694" s="1">
        <v>0</v>
      </c>
      <c r="K3694" s="1" t="s">
        <v>63</v>
      </c>
      <c r="L3694" s="1">
        <v>2387</v>
      </c>
      <c r="M3694" s="1">
        <v>1.1399999999999999</v>
      </c>
      <c r="N3694" s="1">
        <v>0.11312999999999999</v>
      </c>
      <c r="O3694" s="5">
        <f>VLOOKUP(D3694,underlying!$D$76:$H$90,5,FALSE)</f>
        <v>-0.61</v>
      </c>
      <c r="P3694" s="2">
        <f>VLOOKUP(D3694,underlying!$D$76:$L$90,9,FALSE)</f>
        <v>42662</v>
      </c>
      <c r="Q3694" s="7">
        <f>IF(G3694="C",NormalCallSprd(O3694,H3694,M3694,(P3694-A3694)/365), NormalPutSprd(O3694,H3694,M3694,(P3694-A3694)/365))</f>
        <v>5.4937645481537303E-2</v>
      </c>
      <c r="R3694" s="9">
        <f t="shared" si="149"/>
        <v>4.9376454815373005E-3</v>
      </c>
    </row>
    <row r="3695" spans="1:18" x14ac:dyDescent="0.2">
      <c r="A3695" s="2">
        <v>42622</v>
      </c>
      <c r="B3695" s="1" t="s">
        <v>59</v>
      </c>
      <c r="C3695" s="1" t="s">
        <v>14</v>
      </c>
      <c r="D3695" s="2">
        <v>42380</v>
      </c>
      <c r="E3695" s="2">
        <f t="shared" si="148"/>
        <v>42675</v>
      </c>
      <c r="F3695" s="1" t="s">
        <v>60</v>
      </c>
      <c r="G3695" s="1" t="s">
        <v>18</v>
      </c>
      <c r="H3695" s="1">
        <v>-0.35</v>
      </c>
      <c r="I3695" s="1">
        <v>0.31</v>
      </c>
      <c r="J3695" s="1">
        <v>-0.04</v>
      </c>
      <c r="K3695" s="1" t="s">
        <v>63</v>
      </c>
      <c r="L3695" s="1">
        <v>2387</v>
      </c>
      <c r="M3695" s="1">
        <v>1.1399999999999999</v>
      </c>
      <c r="N3695" s="1">
        <v>0.14823</v>
      </c>
      <c r="O3695" s="5">
        <f>VLOOKUP(D3695,underlying!$D$76:$H$90,5,FALSE)</f>
        <v>-0.61</v>
      </c>
      <c r="P3695" s="2">
        <f>VLOOKUP(D3695,underlying!$D$76:$L$90,9,FALSE)</f>
        <v>42662</v>
      </c>
      <c r="Q3695" s="7">
        <f>IF(G3695="C",NormalCallSprd(O3695,H3695,M3695,(P3695-A3695)/365), NormalPutSprd(O3695,H3695,M3695,(P3695-A3695)/365))</f>
        <v>0.3149376454815373</v>
      </c>
      <c r="R3695" s="9">
        <f t="shared" si="149"/>
        <v>4.9376454815373005E-3</v>
      </c>
    </row>
    <row r="3696" spans="1:18" x14ac:dyDescent="0.2">
      <c r="A3696" s="2">
        <v>42622</v>
      </c>
      <c r="B3696" s="1" t="s">
        <v>59</v>
      </c>
      <c r="C3696" s="1" t="s">
        <v>14</v>
      </c>
      <c r="D3696" s="2">
        <v>42380</v>
      </c>
      <c r="E3696" s="2">
        <f t="shared" si="148"/>
        <v>42675</v>
      </c>
      <c r="F3696" s="1" t="s">
        <v>60</v>
      </c>
      <c r="G3696" s="1" t="s">
        <v>16</v>
      </c>
      <c r="H3696" s="1">
        <v>-0.3</v>
      </c>
      <c r="I3696" s="1">
        <v>0.04</v>
      </c>
      <c r="J3696" s="1">
        <v>0</v>
      </c>
      <c r="K3696" s="1" t="s">
        <v>63</v>
      </c>
      <c r="L3696" s="1">
        <v>2387</v>
      </c>
      <c r="M3696" s="1">
        <v>1.1000000000000001</v>
      </c>
      <c r="N3696" s="1">
        <v>0.18403</v>
      </c>
      <c r="O3696" s="5">
        <f>VLOOKUP(D3696,underlying!$D$76:$H$90,5,FALSE)</f>
        <v>-0.61</v>
      </c>
      <c r="P3696" s="2">
        <f>VLOOKUP(D3696,underlying!$D$76:$L$90,9,FALSE)</f>
        <v>42662</v>
      </c>
      <c r="Q3696" s="7">
        <f>IF(G3696="C",NormalCallSprd(O3696,H3696,M3696,(P3696-A3696)/365), NormalPutSprd(O3696,H3696,M3696,(P3696-A3696)/365))</f>
        <v>3.9951946493908035E-2</v>
      </c>
      <c r="R3696" s="9">
        <f t="shared" si="149"/>
        <v>4.8053506091966236E-5</v>
      </c>
    </row>
    <row r="3697" spans="1:18" x14ac:dyDescent="0.2">
      <c r="A3697" s="2">
        <v>42622</v>
      </c>
      <c r="B3697" s="1" t="s">
        <v>59</v>
      </c>
      <c r="C3697" s="1" t="s">
        <v>14</v>
      </c>
      <c r="D3697" s="2">
        <v>42380</v>
      </c>
      <c r="E3697" s="2">
        <f t="shared" si="148"/>
        <v>42675</v>
      </c>
      <c r="F3697" s="1" t="s">
        <v>60</v>
      </c>
      <c r="G3697" s="1" t="s">
        <v>18</v>
      </c>
      <c r="H3697" s="1">
        <v>-0.3</v>
      </c>
      <c r="I3697" s="1">
        <v>0.35</v>
      </c>
      <c r="J3697" s="1">
        <v>-0.04</v>
      </c>
      <c r="K3697" s="1" t="s">
        <v>63</v>
      </c>
      <c r="L3697" s="1">
        <v>2387</v>
      </c>
      <c r="M3697" s="1">
        <v>1.1000000000000001</v>
      </c>
      <c r="N3697" s="1">
        <v>0.19772000000000001</v>
      </c>
      <c r="O3697" s="5">
        <f>VLOOKUP(D3697,underlying!$D$76:$H$90,5,FALSE)</f>
        <v>-0.61</v>
      </c>
      <c r="P3697" s="2">
        <f>VLOOKUP(D3697,underlying!$D$76:$L$90,9,FALSE)</f>
        <v>42662</v>
      </c>
      <c r="Q3697" s="7">
        <f>IF(G3697="C",NormalCallSprd(O3697,H3697,M3697,(P3697-A3697)/365), NormalPutSprd(O3697,H3697,M3697,(P3697-A3697)/365))</f>
        <v>0.34995194649390804</v>
      </c>
      <c r="R3697" s="9">
        <f t="shared" si="149"/>
        <v>4.805350609193848E-5</v>
      </c>
    </row>
    <row r="3698" spans="1:18" x14ac:dyDescent="0.2">
      <c r="A3698" s="2">
        <v>42622</v>
      </c>
      <c r="B3698" s="1" t="s">
        <v>59</v>
      </c>
      <c r="C3698" s="1" t="s">
        <v>14</v>
      </c>
      <c r="D3698" s="2">
        <v>42380</v>
      </c>
      <c r="E3698" s="2">
        <f t="shared" si="148"/>
        <v>42675</v>
      </c>
      <c r="F3698" s="1" t="s">
        <v>60</v>
      </c>
      <c r="G3698" s="1" t="s">
        <v>16</v>
      </c>
      <c r="H3698" s="1">
        <v>-0.25</v>
      </c>
      <c r="I3698" s="1">
        <v>0.04</v>
      </c>
      <c r="J3698" s="1">
        <v>0.01</v>
      </c>
      <c r="K3698" s="1" t="s">
        <v>63</v>
      </c>
      <c r="L3698" s="1">
        <v>2387</v>
      </c>
      <c r="M3698" s="1">
        <v>1.21</v>
      </c>
      <c r="N3698" s="1">
        <v>0.24443000000000001</v>
      </c>
      <c r="O3698" s="5">
        <f>VLOOKUP(D3698,underlying!$D$76:$H$90,5,FALSE)</f>
        <v>-0.61</v>
      </c>
      <c r="P3698" s="2">
        <f>VLOOKUP(D3698,underlying!$D$76:$L$90,9,FALSE)</f>
        <v>42662</v>
      </c>
      <c r="Q3698" s="7">
        <f>IF(G3698="C",NormalCallSprd(O3698,H3698,M3698,(P3698-A3698)/365), NormalPutSprd(O3698,H3698,M3698,(P3698-A3698)/365))</f>
        <v>4.0321879981564231E-2</v>
      </c>
      <c r="R3698" s="9">
        <f t="shared" si="149"/>
        <v>3.2187998156422981E-4</v>
      </c>
    </row>
    <row r="3699" spans="1:18" x14ac:dyDescent="0.2">
      <c r="A3699" s="2">
        <v>42622</v>
      </c>
      <c r="B3699" s="1" t="s">
        <v>59</v>
      </c>
      <c r="C3699" s="1" t="s">
        <v>14</v>
      </c>
      <c r="D3699" s="2">
        <v>42380</v>
      </c>
      <c r="E3699" s="2">
        <f t="shared" si="148"/>
        <v>42675</v>
      </c>
      <c r="F3699" s="1" t="s">
        <v>60</v>
      </c>
      <c r="G3699" s="1" t="s">
        <v>18</v>
      </c>
      <c r="H3699" s="1">
        <v>-0.25</v>
      </c>
      <c r="I3699" s="1">
        <v>0.4</v>
      </c>
      <c r="J3699" s="1">
        <v>-0.03</v>
      </c>
      <c r="K3699" s="1" t="s">
        <v>63</v>
      </c>
      <c r="L3699" s="1">
        <v>2387</v>
      </c>
      <c r="M3699" s="1">
        <v>1.21</v>
      </c>
      <c r="N3699" s="1">
        <v>0.29149999999999998</v>
      </c>
      <c r="O3699" s="5">
        <f>VLOOKUP(D3699,underlying!$D$76:$H$90,5,FALSE)</f>
        <v>-0.61</v>
      </c>
      <c r="P3699" s="2">
        <f>VLOOKUP(D3699,underlying!$D$76:$L$90,9,FALSE)</f>
        <v>42662</v>
      </c>
      <c r="Q3699" s="7">
        <f>IF(G3699="C",NormalCallSprd(O3699,H3699,M3699,(P3699-A3699)/365), NormalPutSprd(O3699,H3699,M3699,(P3699-A3699)/365))</f>
        <v>0.40032187998156421</v>
      </c>
      <c r="R3699" s="9">
        <f t="shared" si="149"/>
        <v>3.2187998156418818E-4</v>
      </c>
    </row>
    <row r="3700" spans="1:18" x14ac:dyDescent="0.2">
      <c r="A3700" s="2">
        <v>42622</v>
      </c>
      <c r="B3700" s="1" t="s">
        <v>59</v>
      </c>
      <c r="C3700" s="1" t="s">
        <v>14</v>
      </c>
      <c r="D3700" s="2">
        <v>42380</v>
      </c>
      <c r="E3700" s="2">
        <f t="shared" si="148"/>
        <v>42675</v>
      </c>
      <c r="F3700" s="1" t="s">
        <v>60</v>
      </c>
      <c r="G3700" s="1" t="s">
        <v>16</v>
      </c>
      <c r="H3700" s="1">
        <v>-0.2</v>
      </c>
      <c r="I3700" s="1">
        <v>0.03</v>
      </c>
      <c r="J3700" s="1">
        <v>0.01</v>
      </c>
      <c r="K3700" s="1" t="s">
        <v>63</v>
      </c>
      <c r="L3700" s="1">
        <v>2387</v>
      </c>
      <c r="M3700" s="1">
        <v>1.19</v>
      </c>
      <c r="N3700" s="1">
        <v>0.31842999999999999</v>
      </c>
      <c r="O3700" s="5">
        <f>VLOOKUP(D3700,underlying!$D$76:$H$90,5,FALSE)</f>
        <v>-0.61</v>
      </c>
      <c r="P3700" s="2">
        <f>VLOOKUP(D3700,underlying!$D$76:$L$90,9,FALSE)</f>
        <v>42662</v>
      </c>
      <c r="Q3700" s="7">
        <f>IF(G3700="C",NormalCallSprd(O3700,H3700,M3700,(P3700-A3700)/365), NormalPutSprd(O3700,H3700,M3700,(P3700-A3700)/365))</f>
        <v>3.03515229025586E-2</v>
      </c>
      <c r="R3700" s="9">
        <f t="shared" si="149"/>
        <v>3.5152290255860072E-4</v>
      </c>
    </row>
    <row r="3701" spans="1:18" x14ac:dyDescent="0.2">
      <c r="A3701" s="2">
        <v>42622</v>
      </c>
      <c r="B3701" s="1" t="s">
        <v>59</v>
      </c>
      <c r="C3701" s="1" t="s">
        <v>14</v>
      </c>
      <c r="D3701" s="2">
        <v>42380</v>
      </c>
      <c r="E3701" s="2">
        <f t="shared" si="148"/>
        <v>42675</v>
      </c>
      <c r="F3701" s="1" t="s">
        <v>60</v>
      </c>
      <c r="G3701" s="1" t="s">
        <v>18</v>
      </c>
      <c r="H3701" s="1">
        <v>-0.2</v>
      </c>
      <c r="I3701" s="1">
        <v>0.44</v>
      </c>
      <c r="J3701" s="1">
        <v>-0.03</v>
      </c>
      <c r="K3701" s="1" t="s">
        <v>63</v>
      </c>
      <c r="L3701" s="1">
        <v>2387</v>
      </c>
      <c r="M3701" s="1">
        <v>1.19</v>
      </c>
      <c r="N3701" s="1">
        <v>0.38374000000000003</v>
      </c>
      <c r="O3701" s="5">
        <f>VLOOKUP(D3701,underlying!$D$76:$H$90,5,FALSE)</f>
        <v>-0.61</v>
      </c>
      <c r="P3701" s="2">
        <f>VLOOKUP(D3701,underlying!$D$76:$L$90,9,FALSE)</f>
        <v>42662</v>
      </c>
      <c r="Q3701" s="7">
        <f>IF(G3701="C",NormalCallSprd(O3701,H3701,M3701,(P3701-A3701)/365), NormalPutSprd(O3701,H3701,M3701,(P3701-A3701)/365))</f>
        <v>0.44035152290255858</v>
      </c>
      <c r="R3701" s="9">
        <f t="shared" si="149"/>
        <v>3.5152290255857643E-4</v>
      </c>
    </row>
    <row r="3702" spans="1:18" x14ac:dyDescent="0.2">
      <c r="A3702" s="2">
        <v>42622</v>
      </c>
      <c r="B3702" s="1" t="s">
        <v>59</v>
      </c>
      <c r="C3702" s="1" t="s">
        <v>14</v>
      </c>
      <c r="D3702" s="2">
        <v>42380</v>
      </c>
      <c r="E3702" s="2">
        <f t="shared" si="148"/>
        <v>42675</v>
      </c>
      <c r="F3702" s="1" t="s">
        <v>60</v>
      </c>
      <c r="G3702" s="1" t="s">
        <v>16</v>
      </c>
      <c r="H3702" s="1">
        <v>-0.15</v>
      </c>
      <c r="I3702" s="1">
        <v>0.02</v>
      </c>
      <c r="J3702" s="1">
        <v>0.01</v>
      </c>
      <c r="K3702" s="1" t="s">
        <v>63</v>
      </c>
      <c r="L3702" s="1">
        <v>2387</v>
      </c>
      <c r="M3702" s="1">
        <v>1.1499999999999999</v>
      </c>
      <c r="N3702" s="1">
        <v>0.43968000000000002</v>
      </c>
      <c r="O3702" s="5">
        <f>VLOOKUP(D3702,underlying!$D$76:$H$90,5,FALSE)</f>
        <v>-0.61</v>
      </c>
      <c r="P3702" s="2">
        <f>VLOOKUP(D3702,underlying!$D$76:$L$90,9,FALSE)</f>
        <v>42662</v>
      </c>
      <c r="Q3702" s="7">
        <f>IF(G3702="C",NormalCallSprd(O3702,H3702,M3702,(P3702-A3702)/365), NormalPutSprd(O3702,H3702,M3702,(P3702-A3702)/365))</f>
        <v>2.0996872843006657E-2</v>
      </c>
      <c r="R3702" s="9">
        <f t="shared" si="149"/>
        <v>9.9687284300665688E-4</v>
      </c>
    </row>
    <row r="3703" spans="1:18" x14ac:dyDescent="0.2">
      <c r="A3703" s="2">
        <v>42622</v>
      </c>
      <c r="B3703" s="1" t="s">
        <v>59</v>
      </c>
      <c r="C3703" s="1" t="s">
        <v>14</v>
      </c>
      <c r="D3703" s="2">
        <v>42380</v>
      </c>
      <c r="E3703" s="2">
        <f t="shared" si="148"/>
        <v>42675</v>
      </c>
      <c r="F3703" s="1" t="s">
        <v>60</v>
      </c>
      <c r="G3703" s="1" t="s">
        <v>18</v>
      </c>
      <c r="H3703" s="1">
        <v>-0.15</v>
      </c>
      <c r="I3703" s="1">
        <v>0.48</v>
      </c>
      <c r="J3703" s="1">
        <v>-0.03</v>
      </c>
      <c r="K3703" s="1" t="s">
        <v>63</v>
      </c>
      <c r="L3703" s="1">
        <v>2387</v>
      </c>
      <c r="M3703" s="1">
        <v>1.1499999999999999</v>
      </c>
      <c r="N3703" s="1">
        <v>0.49010999999999999</v>
      </c>
      <c r="O3703" s="5">
        <f>VLOOKUP(D3703,underlying!$D$76:$H$90,5,FALSE)</f>
        <v>-0.61</v>
      </c>
      <c r="P3703" s="2">
        <f>VLOOKUP(D3703,underlying!$D$76:$L$90,9,FALSE)</f>
        <v>42662</v>
      </c>
      <c r="Q3703" s="7">
        <f>IF(G3703="C",NormalCallSprd(O3703,H3703,M3703,(P3703-A3703)/365), NormalPutSprd(O3703,H3703,M3703,(P3703-A3703)/365))</f>
        <v>0.48099687284300668</v>
      </c>
      <c r="R3703" s="9">
        <f t="shared" si="149"/>
        <v>9.9687284300670198E-4</v>
      </c>
    </row>
    <row r="3704" spans="1:18" x14ac:dyDescent="0.2">
      <c r="A3704" s="2">
        <v>42622</v>
      </c>
      <c r="B3704" s="1" t="s">
        <v>59</v>
      </c>
      <c r="C3704" s="1" t="s">
        <v>14</v>
      </c>
      <c r="D3704" s="2">
        <v>42380</v>
      </c>
      <c r="E3704" s="2">
        <f t="shared" si="148"/>
        <v>42675</v>
      </c>
      <c r="F3704" s="1" t="s">
        <v>60</v>
      </c>
      <c r="G3704" s="1" t="s">
        <v>16</v>
      </c>
      <c r="H3704" s="1">
        <v>-0.1</v>
      </c>
      <c r="I3704" s="1">
        <v>0.02</v>
      </c>
      <c r="J3704" s="1">
        <v>0.01</v>
      </c>
      <c r="K3704" s="1" t="s">
        <v>63</v>
      </c>
      <c r="L3704" s="1">
        <v>2387</v>
      </c>
      <c r="M3704" s="1">
        <v>1.08</v>
      </c>
      <c r="N3704" s="1">
        <v>0.53841000000000006</v>
      </c>
      <c r="O3704" s="5">
        <f>VLOOKUP(D3704,underlying!$D$76:$H$90,5,FALSE)</f>
        <v>-0.61</v>
      </c>
      <c r="P3704" s="2">
        <f>VLOOKUP(D3704,underlying!$D$76:$L$90,9,FALSE)</f>
        <v>42662</v>
      </c>
      <c r="Q3704" s="7">
        <f>IF(G3704="C",NormalCallSprd(O3704,H3704,M3704,(P3704-A3704)/365), NormalPutSprd(O3704,H3704,M3704,(P3704-A3704)/365))</f>
        <v>1.2364051390937481E-2</v>
      </c>
      <c r="R3704" s="9">
        <f t="shared" si="149"/>
        <v>7.6359486090625192E-3</v>
      </c>
    </row>
    <row r="3705" spans="1:18" x14ac:dyDescent="0.2">
      <c r="A3705" s="2">
        <v>42622</v>
      </c>
      <c r="B3705" s="1" t="s">
        <v>59</v>
      </c>
      <c r="C3705" s="1" t="s">
        <v>14</v>
      </c>
      <c r="D3705" s="2">
        <v>42380</v>
      </c>
      <c r="E3705" s="2">
        <f t="shared" si="148"/>
        <v>42675</v>
      </c>
      <c r="F3705" s="1" t="s">
        <v>60</v>
      </c>
      <c r="G3705" s="1" t="s">
        <v>18</v>
      </c>
      <c r="H3705" s="1">
        <v>-0.1</v>
      </c>
      <c r="I3705" s="1">
        <v>0.52</v>
      </c>
      <c r="J3705" s="1">
        <v>-0.04</v>
      </c>
      <c r="K3705" s="1" t="s">
        <v>63</v>
      </c>
      <c r="L3705" s="1">
        <v>2387</v>
      </c>
      <c r="M3705" s="1">
        <v>1.08</v>
      </c>
      <c r="N3705" s="1">
        <v>0.58740000000000003</v>
      </c>
      <c r="O3705" s="5">
        <f>VLOOKUP(D3705,underlying!$D$76:$H$90,5,FALSE)</f>
        <v>-0.61</v>
      </c>
      <c r="P3705" s="2">
        <f>VLOOKUP(D3705,underlying!$D$76:$L$90,9,FALSE)</f>
        <v>42662</v>
      </c>
      <c r="Q3705" s="7">
        <f>IF(G3705="C",NormalCallSprd(O3705,H3705,M3705,(P3705-A3705)/365), NormalPutSprd(O3705,H3705,M3705,(P3705-A3705)/365))</f>
        <v>0.52236405139093744</v>
      </c>
      <c r="R3705" s="9">
        <f t="shared" si="149"/>
        <v>2.3640513909374272E-3</v>
      </c>
    </row>
    <row r="3706" spans="1:18" x14ac:dyDescent="0.2">
      <c r="A3706" s="2">
        <v>42622</v>
      </c>
      <c r="B3706" s="1" t="s">
        <v>59</v>
      </c>
      <c r="C3706" s="1" t="s">
        <v>14</v>
      </c>
      <c r="D3706" s="2">
        <v>42380</v>
      </c>
      <c r="E3706" s="2">
        <f t="shared" si="148"/>
        <v>42675</v>
      </c>
      <c r="F3706" s="1" t="s">
        <v>60</v>
      </c>
      <c r="G3706" s="1" t="s">
        <v>16</v>
      </c>
      <c r="H3706" s="1">
        <v>-0.05</v>
      </c>
      <c r="I3706" s="1">
        <v>0.01</v>
      </c>
      <c r="J3706" s="1">
        <v>0</v>
      </c>
      <c r="K3706" s="1" t="s">
        <v>63</v>
      </c>
      <c r="L3706" s="1">
        <v>2387</v>
      </c>
      <c r="M3706" s="1">
        <v>1.03</v>
      </c>
      <c r="N3706" s="1">
        <v>0.63575999999999999</v>
      </c>
      <c r="O3706" s="5">
        <f>VLOOKUP(D3706,underlying!$D$76:$H$90,5,FALSE)</f>
        <v>-0.61</v>
      </c>
      <c r="P3706" s="2">
        <f>VLOOKUP(D3706,underlying!$D$76:$L$90,9,FALSE)</f>
        <v>42662</v>
      </c>
      <c r="Q3706" s="7">
        <f>IF(G3706="C",NormalCallSprd(O3706,H3706,M3706,(P3706-A3706)/365), NormalPutSprd(O3706,H3706,M3706,(P3706-A3706)/365))</f>
        <v>7.166643137380811E-3</v>
      </c>
      <c r="R3706" s="9">
        <f t="shared" si="149"/>
        <v>2.8333568626191892E-3</v>
      </c>
    </row>
    <row r="3707" spans="1:18" x14ac:dyDescent="0.2">
      <c r="A3707" s="2">
        <v>42622</v>
      </c>
      <c r="B3707" s="1" t="s">
        <v>59</v>
      </c>
      <c r="C3707" s="1" t="s">
        <v>14</v>
      </c>
      <c r="D3707" s="2">
        <v>42380</v>
      </c>
      <c r="E3707" s="2">
        <f t="shared" si="148"/>
        <v>42675</v>
      </c>
      <c r="F3707" s="1" t="s">
        <v>60</v>
      </c>
      <c r="G3707" s="1" t="s">
        <v>18</v>
      </c>
      <c r="H3707" s="1">
        <v>-0.05</v>
      </c>
      <c r="I3707" s="1">
        <v>0.56999999999999995</v>
      </c>
      <c r="J3707" s="1">
        <v>-0.03</v>
      </c>
      <c r="K3707" s="1" t="s">
        <v>63</v>
      </c>
      <c r="L3707" s="1">
        <v>2387</v>
      </c>
      <c r="M3707" s="1">
        <v>1.03</v>
      </c>
      <c r="N3707" s="1">
        <v>0.68018999999999996</v>
      </c>
      <c r="O3707" s="5">
        <f>VLOOKUP(D3707,underlying!$D$76:$H$90,5,FALSE)</f>
        <v>-0.61</v>
      </c>
      <c r="P3707" s="2">
        <f>VLOOKUP(D3707,underlying!$D$76:$L$90,9,FALSE)</f>
        <v>42662</v>
      </c>
      <c r="Q3707" s="7">
        <f>IF(G3707="C",NormalCallSprd(O3707,H3707,M3707,(P3707-A3707)/365), NormalPutSprd(O3707,H3707,M3707,(P3707-A3707)/365))</f>
        <v>0.56716664313738085</v>
      </c>
      <c r="R3707" s="9">
        <f t="shared" si="149"/>
        <v>2.8333568626190964E-3</v>
      </c>
    </row>
    <row r="3708" spans="1:18" x14ac:dyDescent="0.2">
      <c r="A3708" s="2">
        <v>42622</v>
      </c>
      <c r="B3708" s="1" t="s">
        <v>59</v>
      </c>
      <c r="C3708" s="1" t="s">
        <v>14</v>
      </c>
      <c r="D3708" s="2">
        <v>42381</v>
      </c>
      <c r="E3708" s="2">
        <f t="shared" si="148"/>
        <v>42705</v>
      </c>
      <c r="F3708" s="1" t="s">
        <v>60</v>
      </c>
      <c r="G3708" s="1" t="s">
        <v>16</v>
      </c>
      <c r="H3708" s="1">
        <v>-4</v>
      </c>
      <c r="I3708" s="1">
        <v>3.38</v>
      </c>
      <c r="J3708" s="1">
        <v>0.04</v>
      </c>
      <c r="K3708" s="1" t="s">
        <v>66</v>
      </c>
      <c r="L3708" s="1">
        <v>2387</v>
      </c>
      <c r="M3708" s="1">
        <v>1.77</v>
      </c>
      <c r="N3708" s="1">
        <v>0.72004999999999997</v>
      </c>
      <c r="O3708" s="5">
        <f>VLOOKUP(D3708,underlying!$D$76:$H$90,5,FALSE)</f>
        <v>-0.62</v>
      </c>
      <c r="P3708" s="2">
        <f>VLOOKUP(D3708,underlying!$D$76:$L$90,9,FALSE)</f>
        <v>42692</v>
      </c>
      <c r="Q3708" s="7">
        <f>IF(G3708="C",NormalCallSprd(O3708,H3708,M3708,(P3708-A3708)/365), NormalPutSprd(O3708,H3708,M3708,(P3708-A3708)/365))</f>
        <v>3.3800010552731483</v>
      </c>
      <c r="R3708" s="9">
        <f t="shared" si="149"/>
        <v>1.0552731484203548E-6</v>
      </c>
    </row>
    <row r="3709" spans="1:18" x14ac:dyDescent="0.2">
      <c r="A3709" s="2">
        <v>42622</v>
      </c>
      <c r="B3709" s="1" t="s">
        <v>59</v>
      </c>
      <c r="C3709" s="1" t="s">
        <v>14</v>
      </c>
      <c r="D3709" s="2">
        <v>42381</v>
      </c>
      <c r="E3709" s="2">
        <f t="shared" si="148"/>
        <v>42705</v>
      </c>
      <c r="F3709" s="1" t="s">
        <v>60</v>
      </c>
      <c r="G3709" s="1" t="s">
        <v>18</v>
      </c>
      <c r="H3709" s="1">
        <v>-4</v>
      </c>
      <c r="I3709" s="1">
        <v>0.01</v>
      </c>
      <c r="J3709" s="1">
        <v>0</v>
      </c>
      <c r="K3709" s="1" t="s">
        <v>66</v>
      </c>
      <c r="L3709" s="1">
        <v>2387</v>
      </c>
      <c r="M3709" s="1">
        <v>1.77</v>
      </c>
      <c r="N3709" s="1">
        <v>0.75595000000000001</v>
      </c>
      <c r="O3709" s="5">
        <f>VLOOKUP(D3709,underlying!$D$76:$H$90,5,FALSE)</f>
        <v>-0.62</v>
      </c>
      <c r="P3709" s="2">
        <f>VLOOKUP(D3709,underlying!$D$76:$L$90,9,FALSE)</f>
        <v>42692</v>
      </c>
      <c r="Q3709" s="7">
        <f>IF(G3709="C",NormalCallSprd(O3709,H3709,M3709,(P3709-A3709)/365), NormalPutSprd(O3709,H3709,M3709,(P3709-A3709)/365))</f>
        <v>1.055273148483225E-6</v>
      </c>
      <c r="R3709" s="9">
        <f t="shared" si="149"/>
        <v>9.9989447268515174E-3</v>
      </c>
    </row>
    <row r="3710" spans="1:18" x14ac:dyDescent="0.2">
      <c r="A3710" s="2">
        <v>42622</v>
      </c>
      <c r="B3710" s="1" t="s">
        <v>59</v>
      </c>
      <c r="C3710" s="1" t="s">
        <v>14</v>
      </c>
      <c r="D3710" s="2">
        <v>42381</v>
      </c>
      <c r="E3710" s="2">
        <f t="shared" si="148"/>
        <v>42705</v>
      </c>
      <c r="F3710" s="1" t="s">
        <v>60</v>
      </c>
      <c r="G3710" s="1" t="s">
        <v>16</v>
      </c>
      <c r="H3710" s="1">
        <v>-3</v>
      </c>
      <c r="I3710" s="1">
        <v>2.38</v>
      </c>
      <c r="J3710" s="1">
        <v>0.04</v>
      </c>
      <c r="K3710" s="1" t="s">
        <v>66</v>
      </c>
      <c r="L3710" s="1">
        <v>2387</v>
      </c>
      <c r="M3710" s="1">
        <v>1.73</v>
      </c>
      <c r="N3710" s="1">
        <v>0.78820999999999997</v>
      </c>
      <c r="O3710" s="5">
        <f>VLOOKUP(D3710,underlying!$D$76:$H$90,5,FALSE)</f>
        <v>-0.62</v>
      </c>
      <c r="P3710" s="2">
        <f>VLOOKUP(D3710,underlying!$D$76:$L$90,9,FALSE)</f>
        <v>42692</v>
      </c>
      <c r="Q3710" s="7">
        <f>IF(G3710="C",NormalCallSprd(O3710,H3710,M3710,(P3710-A3710)/365), NormalPutSprd(O3710,H3710,M3710,(P3710-A3710)/365))</f>
        <v>2.3801741325271402</v>
      </c>
      <c r="R3710" s="9">
        <f t="shared" si="149"/>
        <v>1.7413252714026939E-4</v>
      </c>
    </row>
    <row r="3711" spans="1:18" x14ac:dyDescent="0.2">
      <c r="A3711" s="2">
        <v>42622</v>
      </c>
      <c r="B3711" s="1" t="s">
        <v>59</v>
      </c>
      <c r="C3711" s="1" t="s">
        <v>14</v>
      </c>
      <c r="D3711" s="2">
        <v>42381</v>
      </c>
      <c r="E3711" s="2">
        <f t="shared" si="148"/>
        <v>42705</v>
      </c>
      <c r="F3711" s="1" t="s">
        <v>60</v>
      </c>
      <c r="G3711" s="1" t="s">
        <v>18</v>
      </c>
      <c r="H3711" s="1">
        <v>-3</v>
      </c>
      <c r="I3711" s="1">
        <v>0.01</v>
      </c>
      <c r="J3711" s="1">
        <v>0</v>
      </c>
      <c r="K3711" s="1" t="s">
        <v>66</v>
      </c>
      <c r="L3711" s="1">
        <v>2387</v>
      </c>
      <c r="M3711" s="1">
        <v>1.73</v>
      </c>
      <c r="N3711" s="1">
        <v>0.81694999999999995</v>
      </c>
      <c r="O3711" s="5">
        <f>VLOOKUP(D3711,underlying!$D$76:$H$90,5,FALSE)</f>
        <v>-0.62</v>
      </c>
      <c r="P3711" s="2">
        <f>VLOOKUP(D3711,underlying!$D$76:$L$90,9,FALSE)</f>
        <v>42692</v>
      </c>
      <c r="Q3711" s="7">
        <f>IF(G3711="C",NormalCallSprd(O3711,H3711,M3711,(P3711-A3711)/365), NormalPutSprd(O3711,H3711,M3711,(P3711-A3711)/365))</f>
        <v>1.7413252714016029E-4</v>
      </c>
      <c r="R3711" s="9">
        <f t="shared" si="149"/>
        <v>9.8258674728598401E-3</v>
      </c>
    </row>
    <row r="3712" spans="1:18" x14ac:dyDescent="0.2">
      <c r="A3712" s="2">
        <v>42622</v>
      </c>
      <c r="B3712" s="1" t="s">
        <v>59</v>
      </c>
      <c r="C3712" s="1" t="s">
        <v>14</v>
      </c>
      <c r="D3712" s="2">
        <v>42381</v>
      </c>
      <c r="E3712" s="2">
        <f t="shared" si="148"/>
        <v>42705</v>
      </c>
      <c r="F3712" s="1" t="s">
        <v>60</v>
      </c>
      <c r="G3712" s="1" t="s">
        <v>16</v>
      </c>
      <c r="H3712" s="1">
        <v>-2</v>
      </c>
      <c r="I3712" s="1">
        <v>1.38</v>
      </c>
      <c r="J3712" s="1">
        <v>0.04</v>
      </c>
      <c r="K3712" s="1" t="s">
        <v>66</v>
      </c>
      <c r="L3712" s="1">
        <v>2387</v>
      </c>
      <c r="M3712" s="1">
        <v>1.58</v>
      </c>
      <c r="N3712" s="1">
        <v>0.84236</v>
      </c>
      <c r="O3712" s="5">
        <f>VLOOKUP(D3712,underlying!$D$76:$H$90,5,FALSE)</f>
        <v>-0.62</v>
      </c>
      <c r="P3712" s="2">
        <f>VLOOKUP(D3712,underlying!$D$76:$L$90,9,FALSE)</f>
        <v>42692</v>
      </c>
      <c r="Q3712" s="7">
        <f>IF(G3712="C",NormalCallSprd(O3712,H3712,M3712,(P3712-A3712)/365), NormalPutSprd(O3712,H3712,M3712,(P3712-A3712)/365))</f>
        <v>1.3859631546052957</v>
      </c>
      <c r="R3712" s="9">
        <f t="shared" si="149"/>
        <v>5.9631546052958395E-3</v>
      </c>
    </row>
    <row r="3713" spans="1:18" x14ac:dyDescent="0.2">
      <c r="A3713" s="2">
        <v>42622</v>
      </c>
      <c r="B3713" s="1" t="s">
        <v>59</v>
      </c>
      <c r="C3713" s="1" t="s">
        <v>14</v>
      </c>
      <c r="D3713" s="2">
        <v>42381</v>
      </c>
      <c r="E3713" s="2">
        <f t="shared" si="148"/>
        <v>42705</v>
      </c>
      <c r="F3713" s="1" t="s">
        <v>60</v>
      </c>
      <c r="G3713" s="1" t="s">
        <v>18</v>
      </c>
      <c r="H3713" s="1">
        <v>-2</v>
      </c>
      <c r="I3713" s="1">
        <v>0.02</v>
      </c>
      <c r="J3713" s="1">
        <v>0</v>
      </c>
      <c r="K3713" s="1" t="s">
        <v>66</v>
      </c>
      <c r="L3713" s="1">
        <v>2387</v>
      </c>
      <c r="M3713" s="1">
        <v>1.58</v>
      </c>
      <c r="N3713" s="1">
        <v>0.86468</v>
      </c>
      <c r="O3713" s="5">
        <f>VLOOKUP(D3713,underlying!$D$76:$H$90,5,FALSE)</f>
        <v>-0.62</v>
      </c>
      <c r="P3713" s="2">
        <f>VLOOKUP(D3713,underlying!$D$76:$L$90,9,FALSE)</f>
        <v>42692</v>
      </c>
      <c r="Q3713" s="7">
        <f>IF(G3713="C",NormalCallSprd(O3713,H3713,M3713,(P3713-A3713)/365), NormalPutSprd(O3713,H3713,M3713,(P3713-A3713)/365))</f>
        <v>5.9631546052957268E-3</v>
      </c>
      <c r="R3713" s="9">
        <f t="shared" si="149"/>
        <v>1.4036845394704274E-2</v>
      </c>
    </row>
    <row r="3714" spans="1:18" x14ac:dyDescent="0.2">
      <c r="A3714" s="2">
        <v>42622</v>
      </c>
      <c r="B3714" s="1" t="s">
        <v>59</v>
      </c>
      <c r="C3714" s="1" t="s">
        <v>14</v>
      </c>
      <c r="D3714" s="2">
        <v>42381</v>
      </c>
      <c r="E3714" s="2">
        <f t="shared" ref="E3714:E3777" si="150">DATE(YEAR(D3714),DAY(D3714),MONTH(D3714))</f>
        <v>42705</v>
      </c>
      <c r="F3714" s="1" t="s">
        <v>60</v>
      </c>
      <c r="G3714" s="1" t="s">
        <v>16</v>
      </c>
      <c r="H3714" s="1">
        <v>-1.1499999999999999</v>
      </c>
      <c r="I3714" s="1">
        <v>0.59</v>
      </c>
      <c r="J3714" s="1">
        <v>0.04</v>
      </c>
      <c r="K3714" s="1" t="s">
        <v>66</v>
      </c>
      <c r="L3714" s="1">
        <v>2387</v>
      </c>
      <c r="M3714" s="1">
        <v>1.37</v>
      </c>
      <c r="N3714" s="1">
        <v>0.88553000000000004</v>
      </c>
      <c r="O3714" s="5">
        <f>VLOOKUP(D3714,underlying!$D$76:$H$90,5,FALSE)</f>
        <v>-0.62</v>
      </c>
      <c r="P3714" s="2">
        <f>VLOOKUP(D3714,underlying!$D$76:$L$90,9,FALSE)</f>
        <v>42692</v>
      </c>
      <c r="Q3714" s="7">
        <f>IF(G3714="C",NormalCallSprd(O3714,H3714,M3714,(P3714-A3714)/365), NormalPutSprd(O3714,H3714,M3714,(P3714-A3714)/365))</f>
        <v>0.59211108583569483</v>
      </c>
      <c r="R3714" s="9">
        <f t="shared" si="149"/>
        <v>2.1110858356948592E-3</v>
      </c>
    </row>
    <row r="3715" spans="1:18" x14ac:dyDescent="0.2">
      <c r="A3715" s="2">
        <v>42622</v>
      </c>
      <c r="B3715" s="1" t="s">
        <v>59</v>
      </c>
      <c r="C3715" s="1" t="s">
        <v>14</v>
      </c>
      <c r="D3715" s="2">
        <v>42381</v>
      </c>
      <c r="E3715" s="2">
        <f t="shared" si="150"/>
        <v>42705</v>
      </c>
      <c r="F3715" s="1" t="s">
        <v>60</v>
      </c>
      <c r="G3715" s="1" t="s">
        <v>18</v>
      </c>
      <c r="H3715" s="1">
        <v>-1.1499999999999999</v>
      </c>
      <c r="I3715" s="1">
        <v>0.06</v>
      </c>
      <c r="J3715" s="1">
        <v>0</v>
      </c>
      <c r="K3715" s="1" t="s">
        <v>66</v>
      </c>
      <c r="L3715" s="1">
        <v>2387</v>
      </c>
      <c r="M3715" s="1">
        <v>1.37</v>
      </c>
      <c r="N3715" s="1">
        <v>0.90400000000000003</v>
      </c>
      <c r="O3715" s="5">
        <f>VLOOKUP(D3715,underlying!$D$76:$H$90,5,FALSE)</f>
        <v>-0.62</v>
      </c>
      <c r="P3715" s="2">
        <f>VLOOKUP(D3715,underlying!$D$76:$L$90,9,FALSE)</f>
        <v>42692</v>
      </c>
      <c r="Q3715" s="7">
        <f>IF(G3715="C",NormalCallSprd(O3715,H3715,M3715,(P3715-A3715)/365), NormalPutSprd(O3715,H3715,M3715,(P3715-A3715)/365))</f>
        <v>6.2111085835694919E-2</v>
      </c>
      <c r="R3715" s="9">
        <f t="shared" ref="R3715:R3778" si="151">ABS(Q3715-I3715)</f>
        <v>2.1110858356949216E-3</v>
      </c>
    </row>
    <row r="3716" spans="1:18" x14ac:dyDescent="0.2">
      <c r="A3716" s="2">
        <v>42622</v>
      </c>
      <c r="B3716" s="1" t="s">
        <v>59</v>
      </c>
      <c r="C3716" s="1" t="s">
        <v>14</v>
      </c>
      <c r="D3716" s="2">
        <v>42381</v>
      </c>
      <c r="E3716" s="2">
        <f t="shared" si="150"/>
        <v>42705</v>
      </c>
      <c r="F3716" s="1" t="s">
        <v>60</v>
      </c>
      <c r="G3716" s="1" t="s">
        <v>16</v>
      </c>
      <c r="H3716" s="1">
        <v>-1.1000000000000001</v>
      </c>
      <c r="I3716" s="1">
        <v>0.55000000000000004</v>
      </c>
      <c r="J3716" s="1">
        <v>0.04</v>
      </c>
      <c r="K3716" s="1" t="s">
        <v>66</v>
      </c>
      <c r="L3716" s="1">
        <v>2387</v>
      </c>
      <c r="M3716" s="1">
        <v>1.35</v>
      </c>
      <c r="N3716" s="1">
        <v>0.91947000000000001</v>
      </c>
      <c r="O3716" s="5">
        <f>VLOOKUP(D3716,underlying!$D$76:$H$90,5,FALSE)</f>
        <v>-0.62</v>
      </c>
      <c r="P3716" s="2">
        <f>VLOOKUP(D3716,underlying!$D$76:$L$90,9,FALSE)</f>
        <v>42692</v>
      </c>
      <c r="Q3716" s="7">
        <f>IF(G3716="C",NormalCallSprd(O3716,H3716,M3716,(P3716-A3716)/365), NormalPutSprd(O3716,H3716,M3716,(P3716-A3716)/365))</f>
        <v>0.54958791298603693</v>
      </c>
      <c r="R3716" s="9">
        <f t="shared" si="151"/>
        <v>4.1208701396311387E-4</v>
      </c>
    </row>
    <row r="3717" spans="1:18" x14ac:dyDescent="0.2">
      <c r="A3717" s="2">
        <v>42622</v>
      </c>
      <c r="B3717" s="1" t="s">
        <v>59</v>
      </c>
      <c r="C3717" s="1" t="s">
        <v>14</v>
      </c>
      <c r="D3717" s="2">
        <v>42381</v>
      </c>
      <c r="E3717" s="2">
        <f t="shared" si="150"/>
        <v>42705</v>
      </c>
      <c r="F3717" s="1" t="s">
        <v>60</v>
      </c>
      <c r="G3717" s="1" t="s">
        <v>18</v>
      </c>
      <c r="H3717" s="1">
        <v>-1.1000000000000001</v>
      </c>
      <c r="I3717" s="1">
        <v>7.0000000000000007E-2</v>
      </c>
      <c r="J3717" s="1">
        <v>0</v>
      </c>
      <c r="K3717" s="1" t="s">
        <v>66</v>
      </c>
      <c r="L3717" s="1">
        <v>2387</v>
      </c>
      <c r="M3717" s="1">
        <v>1.35</v>
      </c>
      <c r="N3717" s="1">
        <v>0.99544999999999995</v>
      </c>
      <c r="O3717" s="5">
        <f>VLOOKUP(D3717,underlying!$D$76:$H$90,5,FALSE)</f>
        <v>-0.62</v>
      </c>
      <c r="P3717" s="2">
        <f>VLOOKUP(D3717,underlying!$D$76:$L$90,9,FALSE)</f>
        <v>42692</v>
      </c>
      <c r="Q3717" s="7">
        <f>IF(G3717="C",NormalCallSprd(O3717,H3717,M3717,(P3717-A3717)/365), NormalPutSprd(O3717,H3717,M3717,(P3717-A3717)/365))</f>
        <v>6.9587912986036865E-2</v>
      </c>
      <c r="R3717" s="9">
        <f t="shared" si="151"/>
        <v>4.1208701396314162E-4</v>
      </c>
    </row>
    <row r="3718" spans="1:18" x14ac:dyDescent="0.2">
      <c r="A3718" s="2">
        <v>42622</v>
      </c>
      <c r="B3718" s="1" t="s">
        <v>59</v>
      </c>
      <c r="C3718" s="1" t="s">
        <v>14</v>
      </c>
      <c r="D3718" s="2">
        <v>42381</v>
      </c>
      <c r="E3718" s="2">
        <f t="shared" si="150"/>
        <v>42705</v>
      </c>
      <c r="F3718" s="1" t="s">
        <v>60</v>
      </c>
      <c r="G3718" s="1" t="s">
        <v>16</v>
      </c>
      <c r="H3718" s="1">
        <v>-1.05</v>
      </c>
      <c r="I3718" s="1">
        <v>0.51</v>
      </c>
      <c r="J3718" s="1">
        <v>0.04</v>
      </c>
      <c r="K3718" s="1" t="s">
        <v>66</v>
      </c>
      <c r="L3718" s="1">
        <v>2387</v>
      </c>
      <c r="M3718" s="1">
        <v>1.34</v>
      </c>
      <c r="N3718" s="1">
        <v>0.99944999999999995</v>
      </c>
      <c r="O3718" s="5">
        <f>VLOOKUP(D3718,underlying!$D$76:$H$90,5,FALSE)</f>
        <v>-0.62</v>
      </c>
      <c r="P3718" s="2">
        <f>VLOOKUP(D3718,underlying!$D$76:$L$90,9,FALSE)</f>
        <v>42692</v>
      </c>
      <c r="Q3718" s="7">
        <f>IF(G3718="C",NormalCallSprd(O3718,H3718,M3718,(P3718-A3718)/365), NormalPutSprd(O3718,H3718,M3718,(P3718-A3718)/365))</f>
        <v>0.50929109292176666</v>
      </c>
      <c r="R3718" s="9">
        <f t="shared" si="151"/>
        <v>7.0890707823334509E-4</v>
      </c>
    </row>
    <row r="3719" spans="1:18" x14ac:dyDescent="0.2">
      <c r="A3719" s="2">
        <v>42622</v>
      </c>
      <c r="B3719" s="1" t="s">
        <v>59</v>
      </c>
      <c r="C3719" s="1" t="s">
        <v>14</v>
      </c>
      <c r="D3719" s="2">
        <v>42381</v>
      </c>
      <c r="E3719" s="2">
        <f t="shared" si="150"/>
        <v>42705</v>
      </c>
      <c r="F3719" s="1" t="s">
        <v>60</v>
      </c>
      <c r="G3719" s="1" t="s">
        <v>18</v>
      </c>
      <c r="H3719" s="1">
        <v>-1.05</v>
      </c>
      <c r="I3719" s="1">
        <v>0.08</v>
      </c>
      <c r="J3719" s="1">
        <v>0</v>
      </c>
      <c r="K3719" s="1" t="s">
        <v>66</v>
      </c>
      <c r="L3719" s="1">
        <v>2387</v>
      </c>
      <c r="M3719" s="1">
        <v>1.34</v>
      </c>
      <c r="N3719" s="1">
        <v>0.99950000000000006</v>
      </c>
      <c r="O3719" s="5">
        <f>VLOOKUP(D3719,underlying!$D$76:$H$90,5,FALSE)</f>
        <v>-0.62</v>
      </c>
      <c r="P3719" s="2">
        <f>VLOOKUP(D3719,underlying!$D$76:$L$90,9,FALSE)</f>
        <v>42692</v>
      </c>
      <c r="Q3719" s="7">
        <f>IF(G3719="C",NormalCallSprd(O3719,H3719,M3719,(P3719-A3719)/365), NormalPutSprd(O3719,H3719,M3719,(P3719-A3719)/365))</f>
        <v>7.9291092921766615E-2</v>
      </c>
      <c r="R3719" s="9">
        <f t="shared" si="151"/>
        <v>7.0890707823338672E-4</v>
      </c>
    </row>
    <row r="3720" spans="1:18" x14ac:dyDescent="0.2">
      <c r="A3720" s="2">
        <v>42622</v>
      </c>
      <c r="B3720" s="1" t="s">
        <v>59</v>
      </c>
      <c r="C3720" s="1" t="s">
        <v>14</v>
      </c>
      <c r="D3720" s="2">
        <v>42381</v>
      </c>
      <c r="E3720" s="2">
        <f t="shared" si="150"/>
        <v>42705</v>
      </c>
      <c r="F3720" s="1" t="s">
        <v>60</v>
      </c>
      <c r="G3720" s="1" t="s">
        <v>16</v>
      </c>
      <c r="H3720" s="1">
        <v>-1</v>
      </c>
      <c r="I3720" s="1">
        <v>0.47</v>
      </c>
      <c r="J3720" s="1">
        <v>0.04</v>
      </c>
      <c r="K3720" s="1" t="s">
        <v>66</v>
      </c>
      <c r="L3720" s="1">
        <v>2387</v>
      </c>
      <c r="M3720" s="1">
        <v>1.33</v>
      </c>
      <c r="N3720" s="1">
        <v>-0.94982999999999995</v>
      </c>
      <c r="O3720" s="5">
        <f>VLOOKUP(D3720,underlying!$D$76:$H$90,5,FALSE)</f>
        <v>-0.62</v>
      </c>
      <c r="P3720" s="2">
        <f>VLOOKUP(D3720,underlying!$D$76:$L$90,9,FALSE)</f>
        <v>42692</v>
      </c>
      <c r="Q3720" s="7">
        <f>IF(G3720="C",NormalCallSprd(O3720,H3720,M3720,(P3720-A3720)/365), NormalPutSprd(O3720,H3720,M3720,(P3720-A3720)/365))</f>
        <v>0.47013236587414192</v>
      </c>
      <c r="R3720" s="9">
        <f t="shared" si="151"/>
        <v>1.3236587414194867E-4</v>
      </c>
    </row>
    <row r="3721" spans="1:18" x14ac:dyDescent="0.2">
      <c r="A3721" s="2">
        <v>42622</v>
      </c>
      <c r="B3721" s="1" t="s">
        <v>59</v>
      </c>
      <c r="C3721" s="1" t="s">
        <v>14</v>
      </c>
      <c r="D3721" s="2">
        <v>42381</v>
      </c>
      <c r="E3721" s="2">
        <f t="shared" si="150"/>
        <v>42705</v>
      </c>
      <c r="F3721" s="1" t="s">
        <v>60</v>
      </c>
      <c r="G3721" s="1" t="s">
        <v>18</v>
      </c>
      <c r="H3721" s="1">
        <v>-1</v>
      </c>
      <c r="I3721" s="1">
        <v>0.09</v>
      </c>
      <c r="J3721" s="1">
        <v>0</v>
      </c>
      <c r="K3721" s="1" t="s">
        <v>66</v>
      </c>
      <c r="L3721" s="1">
        <v>2387</v>
      </c>
      <c r="M3721" s="1">
        <v>1.33</v>
      </c>
      <c r="N3721" s="1">
        <v>-0.92256000000000005</v>
      </c>
      <c r="O3721" s="5">
        <f>VLOOKUP(D3721,underlying!$D$76:$H$90,5,FALSE)</f>
        <v>-0.62</v>
      </c>
      <c r="P3721" s="2">
        <f>VLOOKUP(D3721,underlying!$D$76:$L$90,9,FALSE)</f>
        <v>42692</v>
      </c>
      <c r="Q3721" s="7">
        <f>IF(G3721="C",NormalCallSprd(O3721,H3721,M3721,(P3721-A3721)/365), NormalPutSprd(O3721,H3721,M3721,(P3721-A3721)/365))</f>
        <v>9.0132365874141904E-2</v>
      </c>
      <c r="R3721" s="9">
        <f t="shared" si="151"/>
        <v>1.3236587414190704E-4</v>
      </c>
    </row>
    <row r="3722" spans="1:18" x14ac:dyDescent="0.2">
      <c r="A3722" s="2">
        <v>42622</v>
      </c>
      <c r="B3722" s="1" t="s">
        <v>59</v>
      </c>
      <c r="C3722" s="1" t="s">
        <v>14</v>
      </c>
      <c r="D3722" s="2">
        <v>42381</v>
      </c>
      <c r="E3722" s="2">
        <f t="shared" si="150"/>
        <v>42705</v>
      </c>
      <c r="F3722" s="1" t="s">
        <v>60</v>
      </c>
      <c r="G3722" s="1" t="s">
        <v>16</v>
      </c>
      <c r="H3722" s="1">
        <v>-0.95</v>
      </c>
      <c r="I3722" s="1">
        <v>0.43</v>
      </c>
      <c r="J3722" s="1">
        <v>0.04</v>
      </c>
      <c r="K3722" s="1" t="s">
        <v>66</v>
      </c>
      <c r="L3722" s="1">
        <v>2387</v>
      </c>
      <c r="M3722" s="1">
        <v>1.31</v>
      </c>
      <c r="N3722" s="1">
        <v>-0.88636999999999999</v>
      </c>
      <c r="O3722" s="5">
        <f>VLOOKUP(D3722,underlying!$D$76:$H$90,5,FALSE)</f>
        <v>-0.62</v>
      </c>
      <c r="P3722" s="2">
        <f>VLOOKUP(D3722,underlying!$D$76:$L$90,9,FALSE)</f>
        <v>42692</v>
      </c>
      <c r="Q3722" s="7">
        <f>IF(G3722="C",NormalCallSprd(O3722,H3722,M3722,(P3722-A3722)/365), NormalPutSprd(O3722,H3722,M3722,(P3722-A3722)/365))</f>
        <v>0.43072154173857624</v>
      </c>
      <c r="R3722" s="9">
        <f t="shared" si="151"/>
        <v>7.2154173857624793E-4</v>
      </c>
    </row>
    <row r="3723" spans="1:18" x14ac:dyDescent="0.2">
      <c r="A3723" s="2">
        <v>42622</v>
      </c>
      <c r="B3723" s="1" t="s">
        <v>59</v>
      </c>
      <c r="C3723" s="1" t="s">
        <v>14</v>
      </c>
      <c r="D3723" s="2">
        <v>42381</v>
      </c>
      <c r="E3723" s="2">
        <f t="shared" si="150"/>
        <v>42705</v>
      </c>
      <c r="F3723" s="1" t="s">
        <v>60</v>
      </c>
      <c r="G3723" s="1" t="s">
        <v>18</v>
      </c>
      <c r="H3723" s="1">
        <v>-0.95</v>
      </c>
      <c r="I3723" s="1">
        <v>0.1</v>
      </c>
      <c r="J3723" s="1">
        <v>0</v>
      </c>
      <c r="K3723" s="1" t="s">
        <v>66</v>
      </c>
      <c r="L3723" s="1">
        <v>2387</v>
      </c>
      <c r="M3723" s="1">
        <v>1.31</v>
      </c>
      <c r="N3723" s="1">
        <v>-0.85126999999999997</v>
      </c>
      <c r="O3723" s="5">
        <f>VLOOKUP(D3723,underlying!$D$76:$H$90,5,FALSE)</f>
        <v>-0.62</v>
      </c>
      <c r="P3723" s="2">
        <f>VLOOKUP(D3723,underlying!$D$76:$L$90,9,FALSE)</f>
        <v>42692</v>
      </c>
      <c r="Q3723" s="7">
        <f>IF(G3723="C",NormalCallSprd(O3723,H3723,M3723,(P3723-A3723)/365), NormalPutSprd(O3723,H3723,M3723,(P3723-A3723)/365))</f>
        <v>0.10072154173857628</v>
      </c>
      <c r="R3723" s="9">
        <f t="shared" si="151"/>
        <v>7.2154173857627568E-4</v>
      </c>
    </row>
    <row r="3724" spans="1:18" x14ac:dyDescent="0.2">
      <c r="A3724" s="2">
        <v>42622</v>
      </c>
      <c r="B3724" s="1" t="s">
        <v>59</v>
      </c>
      <c r="C3724" s="1" t="s">
        <v>14</v>
      </c>
      <c r="D3724" s="2">
        <v>42381</v>
      </c>
      <c r="E3724" s="2">
        <f t="shared" si="150"/>
        <v>42705</v>
      </c>
      <c r="F3724" s="1" t="s">
        <v>60</v>
      </c>
      <c r="G3724" s="1" t="s">
        <v>16</v>
      </c>
      <c r="H3724" s="1">
        <v>-0.9</v>
      </c>
      <c r="I3724" s="1">
        <v>0.39</v>
      </c>
      <c r="J3724" s="1">
        <v>0.04</v>
      </c>
      <c r="K3724" s="1" t="s">
        <v>66</v>
      </c>
      <c r="L3724" s="1">
        <v>2387</v>
      </c>
      <c r="M3724" s="1">
        <v>1.28</v>
      </c>
      <c r="N3724" s="1">
        <v>-0.81547000000000003</v>
      </c>
      <c r="O3724" s="5">
        <f>VLOOKUP(D3724,underlying!$D$76:$H$90,5,FALSE)</f>
        <v>-0.62</v>
      </c>
      <c r="P3724" s="2">
        <f>VLOOKUP(D3724,underlying!$D$76:$L$90,9,FALSE)</f>
        <v>42692</v>
      </c>
      <c r="Q3724" s="7">
        <f>IF(G3724="C",NormalCallSprd(O3724,H3724,M3724,(P3724-A3724)/365), NormalPutSprd(O3724,H3724,M3724,(P3724-A3724)/365))</f>
        <v>0.39095891391568827</v>
      </c>
      <c r="R3724" s="9">
        <f t="shared" si="151"/>
        <v>9.5891391568825313E-4</v>
      </c>
    </row>
    <row r="3725" spans="1:18" x14ac:dyDescent="0.2">
      <c r="A3725" s="2">
        <v>42622</v>
      </c>
      <c r="B3725" s="1" t="s">
        <v>59</v>
      </c>
      <c r="C3725" s="1" t="s">
        <v>14</v>
      </c>
      <c r="D3725" s="2">
        <v>42381</v>
      </c>
      <c r="E3725" s="2">
        <f t="shared" si="150"/>
        <v>42705</v>
      </c>
      <c r="F3725" s="1" t="s">
        <v>60</v>
      </c>
      <c r="G3725" s="1" t="s">
        <v>18</v>
      </c>
      <c r="H3725" s="1">
        <v>-0.9</v>
      </c>
      <c r="I3725" s="1">
        <v>0.1</v>
      </c>
      <c r="J3725" s="1">
        <v>-0.01</v>
      </c>
      <c r="K3725" s="1" t="s">
        <v>66</v>
      </c>
      <c r="L3725" s="1">
        <v>2387</v>
      </c>
      <c r="M3725" s="1">
        <v>1.28</v>
      </c>
      <c r="N3725" s="1">
        <v>-0.80178000000000005</v>
      </c>
      <c r="O3725" s="5">
        <f>VLOOKUP(D3725,underlying!$D$76:$H$90,5,FALSE)</f>
        <v>-0.62</v>
      </c>
      <c r="P3725" s="2">
        <f>VLOOKUP(D3725,underlying!$D$76:$L$90,9,FALSE)</f>
        <v>42692</v>
      </c>
      <c r="Q3725" s="7">
        <f>IF(G3725="C",NormalCallSprd(O3725,H3725,M3725,(P3725-A3725)/365), NormalPutSprd(O3725,H3725,M3725,(P3725-A3725)/365))</f>
        <v>0.1109589139156882</v>
      </c>
      <c r="R3725" s="9">
        <f t="shared" si="151"/>
        <v>1.0958913915688193E-2</v>
      </c>
    </row>
    <row r="3726" spans="1:18" x14ac:dyDescent="0.2">
      <c r="A3726" s="2">
        <v>42622</v>
      </c>
      <c r="B3726" s="1" t="s">
        <v>59</v>
      </c>
      <c r="C3726" s="1" t="s">
        <v>14</v>
      </c>
      <c r="D3726" s="2">
        <v>42381</v>
      </c>
      <c r="E3726" s="2">
        <f t="shared" si="150"/>
        <v>42705</v>
      </c>
      <c r="F3726" s="1" t="s">
        <v>60</v>
      </c>
      <c r="G3726" s="1" t="s">
        <v>16</v>
      </c>
      <c r="H3726" s="1">
        <v>-0.85</v>
      </c>
      <c r="I3726" s="1">
        <v>0.35</v>
      </c>
      <c r="J3726" s="1">
        <v>0.03</v>
      </c>
      <c r="K3726" s="1" t="s">
        <v>66</v>
      </c>
      <c r="L3726" s="1">
        <v>2387</v>
      </c>
      <c r="M3726" s="1">
        <v>1.24</v>
      </c>
      <c r="N3726" s="1">
        <v>-0.75507000000000002</v>
      </c>
      <c r="O3726" s="5">
        <f>VLOOKUP(D3726,underlying!$D$76:$H$90,5,FALSE)</f>
        <v>-0.62</v>
      </c>
      <c r="P3726" s="2">
        <f>VLOOKUP(D3726,underlying!$D$76:$L$90,9,FALSE)</f>
        <v>42692</v>
      </c>
      <c r="Q3726" s="7">
        <f>IF(G3726="C",NormalCallSprd(O3726,H3726,M3726,(P3726-A3726)/365), NormalPutSprd(O3726,H3726,M3726,(P3726-A3726)/365))</f>
        <v>0.35078421584226516</v>
      </c>
      <c r="R3726" s="9">
        <f t="shared" si="151"/>
        <v>7.8421584226517904E-4</v>
      </c>
    </row>
    <row r="3727" spans="1:18" x14ac:dyDescent="0.2">
      <c r="A3727" s="2">
        <v>42622</v>
      </c>
      <c r="B3727" s="1" t="s">
        <v>59</v>
      </c>
      <c r="C3727" s="1" t="s">
        <v>14</v>
      </c>
      <c r="D3727" s="2">
        <v>42381</v>
      </c>
      <c r="E3727" s="2">
        <f t="shared" si="150"/>
        <v>42705</v>
      </c>
      <c r="F3727" s="1" t="s">
        <v>60</v>
      </c>
      <c r="G3727" s="1" t="s">
        <v>18</v>
      </c>
      <c r="H3727" s="1">
        <v>-0.85</v>
      </c>
      <c r="I3727" s="1">
        <v>0.12</v>
      </c>
      <c r="J3727" s="1">
        <v>-0.01</v>
      </c>
      <c r="K3727" s="1" t="s">
        <v>66</v>
      </c>
      <c r="L3727" s="1">
        <v>2387</v>
      </c>
      <c r="M3727" s="1">
        <v>1.24</v>
      </c>
      <c r="N3727" s="1">
        <v>-0.70799999999999996</v>
      </c>
      <c r="O3727" s="5">
        <f>VLOOKUP(D3727,underlying!$D$76:$H$90,5,FALSE)</f>
        <v>-0.62</v>
      </c>
      <c r="P3727" s="2">
        <f>VLOOKUP(D3727,underlying!$D$76:$L$90,9,FALSE)</f>
        <v>42692</v>
      </c>
      <c r="Q3727" s="7">
        <f>IF(G3727="C",NormalCallSprd(O3727,H3727,M3727,(P3727-A3727)/365), NormalPutSprd(O3727,H3727,M3727,(P3727-A3727)/365))</f>
        <v>0.12078421584226517</v>
      </c>
      <c r="R3727" s="9">
        <f t="shared" si="151"/>
        <v>7.8421584226517904E-4</v>
      </c>
    </row>
    <row r="3728" spans="1:18" x14ac:dyDescent="0.2">
      <c r="A3728" s="2">
        <v>42622</v>
      </c>
      <c r="B3728" s="1" t="s">
        <v>59</v>
      </c>
      <c r="C3728" s="1" t="s">
        <v>14</v>
      </c>
      <c r="D3728" s="2">
        <v>42381</v>
      </c>
      <c r="E3728" s="2">
        <f t="shared" si="150"/>
        <v>42705</v>
      </c>
      <c r="F3728" s="1" t="s">
        <v>60</v>
      </c>
      <c r="G3728" s="1" t="s">
        <v>16</v>
      </c>
      <c r="H3728" s="1">
        <v>-0.8</v>
      </c>
      <c r="I3728" s="1">
        <v>0.31</v>
      </c>
      <c r="J3728" s="1">
        <v>0.03</v>
      </c>
      <c r="K3728" s="1" t="s">
        <v>66</v>
      </c>
      <c r="L3728" s="1">
        <v>2387</v>
      </c>
      <c r="M3728" s="1">
        <v>1.22</v>
      </c>
      <c r="N3728" s="1">
        <v>-0.68106999999999995</v>
      </c>
      <c r="O3728" s="5">
        <f>VLOOKUP(D3728,underlying!$D$76:$H$90,5,FALSE)</f>
        <v>-0.62</v>
      </c>
      <c r="P3728" s="2">
        <f>VLOOKUP(D3728,underlying!$D$76:$L$90,9,FALSE)</f>
        <v>42692</v>
      </c>
      <c r="Q3728" s="7">
        <f>IF(G3728="C",NormalCallSprd(O3728,H3728,M3728,(P3728-A3728)/365), NormalPutSprd(O3728,H3728,M3728,(P3728-A3728)/365))</f>
        <v>0.31512713949016113</v>
      </c>
      <c r="R3728" s="9">
        <f t="shared" si="151"/>
        <v>5.1271394901611367E-3</v>
      </c>
    </row>
    <row r="3729" spans="1:18" x14ac:dyDescent="0.2">
      <c r="A3729" s="2">
        <v>42622</v>
      </c>
      <c r="B3729" s="1" t="s">
        <v>59</v>
      </c>
      <c r="C3729" s="1" t="s">
        <v>14</v>
      </c>
      <c r="D3729" s="2">
        <v>42381</v>
      </c>
      <c r="E3729" s="2">
        <f t="shared" si="150"/>
        <v>42705</v>
      </c>
      <c r="F3729" s="1" t="s">
        <v>60</v>
      </c>
      <c r="G3729" s="1" t="s">
        <v>18</v>
      </c>
      <c r="H3729" s="1">
        <v>-0.8</v>
      </c>
      <c r="I3729" s="1">
        <v>0.13</v>
      </c>
      <c r="J3729" s="1">
        <v>-0.01</v>
      </c>
      <c r="K3729" s="1" t="s">
        <v>66</v>
      </c>
      <c r="L3729" s="1">
        <v>2387</v>
      </c>
      <c r="M3729" s="1">
        <v>1.22</v>
      </c>
      <c r="N3729" s="1">
        <v>-0.61575999999999997</v>
      </c>
      <c r="O3729" s="5">
        <f>VLOOKUP(D3729,underlying!$D$76:$H$90,5,FALSE)</f>
        <v>-0.62</v>
      </c>
      <c r="P3729" s="2">
        <f>VLOOKUP(D3729,underlying!$D$76:$L$90,9,FALSE)</f>
        <v>42692</v>
      </c>
      <c r="Q3729" s="7">
        <f>IF(G3729="C",NormalCallSprd(O3729,H3729,M3729,(P3729-A3729)/365), NormalPutSprd(O3729,H3729,M3729,(P3729-A3729)/365))</f>
        <v>0.13512713949016111</v>
      </c>
      <c r="R3729" s="9">
        <f t="shared" si="151"/>
        <v>5.1271394901611089E-3</v>
      </c>
    </row>
    <row r="3730" spans="1:18" x14ac:dyDescent="0.2">
      <c r="A3730" s="2">
        <v>42622</v>
      </c>
      <c r="B3730" s="1" t="s">
        <v>59</v>
      </c>
      <c r="C3730" s="1" t="s">
        <v>14</v>
      </c>
      <c r="D3730" s="2">
        <v>42381</v>
      </c>
      <c r="E3730" s="2">
        <f t="shared" si="150"/>
        <v>42705</v>
      </c>
      <c r="F3730" s="1" t="s">
        <v>60</v>
      </c>
      <c r="G3730" s="1" t="s">
        <v>16</v>
      </c>
      <c r="H3730" s="1">
        <v>-0.75</v>
      </c>
      <c r="I3730" s="1">
        <v>0.28000000000000003</v>
      </c>
      <c r="J3730" s="1">
        <v>0.03</v>
      </c>
      <c r="K3730" s="1" t="s">
        <v>66</v>
      </c>
      <c r="L3730" s="1">
        <v>2387</v>
      </c>
      <c r="M3730" s="1">
        <v>1.2</v>
      </c>
      <c r="N3730" s="1">
        <v>-0.55981999999999998</v>
      </c>
      <c r="O3730" s="5">
        <f>VLOOKUP(D3730,underlying!$D$76:$H$90,5,FALSE)</f>
        <v>-0.62</v>
      </c>
      <c r="P3730" s="2">
        <f>VLOOKUP(D3730,underlying!$D$76:$L$90,9,FALSE)</f>
        <v>42692</v>
      </c>
      <c r="Q3730" s="7">
        <f>IF(G3730="C",NormalCallSprd(O3730,H3730,M3730,(P3730-A3730)/365), NormalPutSprd(O3730,H3730,M3730,(P3730-A3730)/365))</f>
        <v>0.28103181656997428</v>
      </c>
      <c r="R3730" s="9">
        <f t="shared" si="151"/>
        <v>1.0318165699742532E-3</v>
      </c>
    </row>
    <row r="3731" spans="1:18" x14ac:dyDescent="0.2">
      <c r="A3731" s="2">
        <v>42622</v>
      </c>
      <c r="B3731" s="1" t="s">
        <v>59</v>
      </c>
      <c r="C3731" s="1" t="s">
        <v>14</v>
      </c>
      <c r="D3731" s="2">
        <v>42381</v>
      </c>
      <c r="E3731" s="2">
        <f t="shared" si="150"/>
        <v>42705</v>
      </c>
      <c r="F3731" s="1" t="s">
        <v>60</v>
      </c>
      <c r="G3731" s="1" t="s">
        <v>18</v>
      </c>
      <c r="H3731" s="1">
        <v>-0.75</v>
      </c>
      <c r="I3731" s="1">
        <v>0.15</v>
      </c>
      <c r="J3731" s="1">
        <v>-0.01</v>
      </c>
      <c r="K3731" s="1" t="s">
        <v>66</v>
      </c>
      <c r="L3731" s="1">
        <v>2387</v>
      </c>
      <c r="M3731" s="1">
        <v>1.2</v>
      </c>
      <c r="N3731" s="1">
        <v>-0.50939000000000001</v>
      </c>
      <c r="O3731" s="5">
        <f>VLOOKUP(D3731,underlying!$D$76:$H$90,5,FALSE)</f>
        <v>-0.62</v>
      </c>
      <c r="P3731" s="2">
        <f>VLOOKUP(D3731,underlying!$D$76:$L$90,9,FALSE)</f>
        <v>42692</v>
      </c>
      <c r="Q3731" s="7">
        <f>IF(G3731="C",NormalCallSprd(O3731,H3731,M3731,(P3731-A3731)/365), NormalPutSprd(O3731,H3731,M3731,(P3731-A3731)/365))</f>
        <v>0.15103181656997425</v>
      </c>
      <c r="R3731" s="9">
        <f t="shared" si="151"/>
        <v>1.0318165699742532E-3</v>
      </c>
    </row>
    <row r="3732" spans="1:18" x14ac:dyDescent="0.2">
      <c r="A3732" s="2">
        <v>42622</v>
      </c>
      <c r="B3732" s="1" t="s">
        <v>59</v>
      </c>
      <c r="C3732" s="1" t="s">
        <v>14</v>
      </c>
      <c r="D3732" s="2">
        <v>42381</v>
      </c>
      <c r="E3732" s="2">
        <f t="shared" si="150"/>
        <v>42705</v>
      </c>
      <c r="F3732" s="1" t="s">
        <v>60</v>
      </c>
      <c r="G3732" s="1" t="s">
        <v>16</v>
      </c>
      <c r="H3732" s="1">
        <v>-0.7</v>
      </c>
      <c r="I3732" s="1">
        <v>0.25</v>
      </c>
      <c r="J3732" s="1">
        <v>0.03</v>
      </c>
      <c r="K3732" s="1" t="s">
        <v>66</v>
      </c>
      <c r="L3732" s="1">
        <v>2387</v>
      </c>
      <c r="M3732" s="1">
        <v>1.2</v>
      </c>
      <c r="N3732" s="1">
        <v>-0.46109</v>
      </c>
      <c r="O3732" s="5">
        <f>VLOOKUP(D3732,underlying!$D$76:$H$90,5,FALSE)</f>
        <v>-0.62</v>
      </c>
      <c r="P3732" s="2">
        <f>VLOOKUP(D3732,underlying!$D$76:$L$90,9,FALSE)</f>
        <v>42692</v>
      </c>
      <c r="Q3732" s="7">
        <f>IF(G3732="C",NormalCallSprd(O3732,H3732,M3732,(P3732-A3732)/365), NormalPutSprd(O3732,H3732,M3732,(P3732-A3732)/365))</f>
        <v>0.25207412491550968</v>
      </c>
      <c r="R3732" s="9">
        <f t="shared" si="151"/>
        <v>2.0741249155096786E-3</v>
      </c>
    </row>
    <row r="3733" spans="1:18" x14ac:dyDescent="0.2">
      <c r="A3733" s="2">
        <v>42622</v>
      </c>
      <c r="B3733" s="1" t="s">
        <v>59</v>
      </c>
      <c r="C3733" s="1" t="s">
        <v>14</v>
      </c>
      <c r="D3733" s="2">
        <v>42381</v>
      </c>
      <c r="E3733" s="2">
        <f t="shared" si="150"/>
        <v>42705</v>
      </c>
      <c r="F3733" s="1" t="s">
        <v>60</v>
      </c>
      <c r="G3733" s="1" t="s">
        <v>18</v>
      </c>
      <c r="H3733" s="1">
        <v>-0.7</v>
      </c>
      <c r="I3733" s="1">
        <v>0.17</v>
      </c>
      <c r="J3733" s="1">
        <v>-0.01</v>
      </c>
      <c r="K3733" s="1" t="s">
        <v>66</v>
      </c>
      <c r="L3733" s="1">
        <v>2387</v>
      </c>
      <c r="M3733" s="1">
        <v>1.2</v>
      </c>
      <c r="N3733" s="1">
        <v>-0.41210000000000002</v>
      </c>
      <c r="O3733" s="5">
        <f>VLOOKUP(D3733,underlying!$D$76:$H$90,5,FALSE)</f>
        <v>-0.62</v>
      </c>
      <c r="P3733" s="2">
        <f>VLOOKUP(D3733,underlying!$D$76:$L$90,9,FALSE)</f>
        <v>42692</v>
      </c>
      <c r="Q3733" s="7">
        <f>IF(G3733="C",NormalCallSprd(O3733,H3733,M3733,(P3733-A3733)/365), NormalPutSprd(O3733,H3733,M3733,(P3733-A3733)/365))</f>
        <v>0.17207412491550975</v>
      </c>
      <c r="R3733" s="9">
        <f t="shared" si="151"/>
        <v>2.0741249155097341E-3</v>
      </c>
    </row>
    <row r="3734" spans="1:18" x14ac:dyDescent="0.2">
      <c r="A3734" s="2">
        <v>42622</v>
      </c>
      <c r="B3734" s="1" t="s">
        <v>59</v>
      </c>
      <c r="C3734" s="1" t="s">
        <v>14</v>
      </c>
      <c r="D3734" s="2">
        <v>42381</v>
      </c>
      <c r="E3734" s="2">
        <f t="shared" si="150"/>
        <v>42705</v>
      </c>
      <c r="F3734" s="1" t="s">
        <v>60</v>
      </c>
      <c r="G3734" s="1" t="s">
        <v>16</v>
      </c>
      <c r="H3734" s="1">
        <v>-0.65</v>
      </c>
      <c r="I3734" s="1">
        <v>0.22</v>
      </c>
      <c r="J3734" s="1">
        <v>0.03</v>
      </c>
      <c r="K3734" s="1" t="s">
        <v>66</v>
      </c>
      <c r="L3734" s="1">
        <v>2387</v>
      </c>
      <c r="M3734" s="1">
        <v>1.2</v>
      </c>
      <c r="N3734" s="1">
        <v>-0.36374000000000001</v>
      </c>
      <c r="O3734" s="5">
        <f>VLOOKUP(D3734,underlying!$D$76:$H$90,5,FALSE)</f>
        <v>-0.62</v>
      </c>
      <c r="P3734" s="2">
        <f>VLOOKUP(D3734,underlying!$D$76:$L$90,9,FALSE)</f>
        <v>42692</v>
      </c>
      <c r="Q3734" s="7">
        <f>IF(G3734="C",NormalCallSprd(O3734,H3734,M3734,(P3734-A3734)/365), NormalPutSprd(O3734,H3734,M3734,(P3734-A3734)/365))</f>
        <v>0.22499105683111617</v>
      </c>
      <c r="R3734" s="9">
        <f t="shared" si="151"/>
        <v>4.9910568311161696E-3</v>
      </c>
    </row>
    <row r="3735" spans="1:18" x14ac:dyDescent="0.2">
      <c r="A3735" s="2">
        <v>42622</v>
      </c>
      <c r="B3735" s="1" t="s">
        <v>59</v>
      </c>
      <c r="C3735" s="1" t="s">
        <v>14</v>
      </c>
      <c r="D3735" s="2">
        <v>42381</v>
      </c>
      <c r="E3735" s="2">
        <f t="shared" si="150"/>
        <v>42705</v>
      </c>
      <c r="F3735" s="1" t="s">
        <v>60</v>
      </c>
      <c r="G3735" s="1" t="s">
        <v>18</v>
      </c>
      <c r="H3735" s="1">
        <v>-0.65</v>
      </c>
      <c r="I3735" s="1">
        <v>0.19</v>
      </c>
      <c r="J3735" s="1">
        <v>-0.01</v>
      </c>
      <c r="K3735" s="1" t="s">
        <v>66</v>
      </c>
      <c r="L3735" s="1">
        <v>2387</v>
      </c>
      <c r="M3735" s="1">
        <v>1.2</v>
      </c>
      <c r="N3735" s="1">
        <v>-0.31930999999999998</v>
      </c>
      <c r="O3735" s="5">
        <f>VLOOKUP(D3735,underlying!$D$76:$H$90,5,FALSE)</f>
        <v>-0.62</v>
      </c>
      <c r="P3735" s="2">
        <f>VLOOKUP(D3735,underlying!$D$76:$L$90,9,FALSE)</f>
        <v>42692</v>
      </c>
      <c r="Q3735" s="7">
        <f>IF(G3735="C",NormalCallSprd(O3735,H3735,M3735,(P3735-A3735)/365), NormalPutSprd(O3735,H3735,M3735,(P3735-A3735)/365))</f>
        <v>0.19499105683111614</v>
      </c>
      <c r="R3735" s="9">
        <f t="shared" si="151"/>
        <v>4.9910568311161418E-3</v>
      </c>
    </row>
    <row r="3736" spans="1:18" x14ac:dyDescent="0.2">
      <c r="A3736" s="2">
        <v>42622</v>
      </c>
      <c r="B3736" s="1" t="s">
        <v>59</v>
      </c>
      <c r="C3736" s="1" t="s">
        <v>14</v>
      </c>
      <c r="D3736" s="2">
        <v>42381</v>
      </c>
      <c r="E3736" s="2">
        <f t="shared" si="150"/>
        <v>42705</v>
      </c>
      <c r="F3736" s="1" t="s">
        <v>60</v>
      </c>
      <c r="G3736" s="1" t="s">
        <v>16</v>
      </c>
      <c r="H3736" s="1">
        <v>-0.6</v>
      </c>
      <c r="I3736" s="1">
        <v>0.2</v>
      </c>
      <c r="J3736" s="1">
        <v>0.03</v>
      </c>
      <c r="K3736" s="1" t="s">
        <v>66</v>
      </c>
      <c r="L3736" s="1">
        <v>2387</v>
      </c>
      <c r="M3736" s="1">
        <v>1.2</v>
      </c>
      <c r="N3736" s="1">
        <v>-0.27944999999999998</v>
      </c>
      <c r="O3736" s="5">
        <f>VLOOKUP(D3736,underlying!$D$76:$H$90,5,FALSE)</f>
        <v>-0.62</v>
      </c>
      <c r="P3736" s="2">
        <f>VLOOKUP(D3736,underlying!$D$76:$L$90,9,FALSE)</f>
        <v>42692</v>
      </c>
      <c r="Q3736" s="7">
        <f>IF(G3736="C",NormalCallSprd(O3736,H3736,M3736,(P3736-A3736)/365), NormalPutSprd(O3736,H3736,M3736,(P3736-A3736)/365))</f>
        <v>0.19980134434908584</v>
      </c>
      <c r="R3736" s="9">
        <f t="shared" si="151"/>
        <v>1.986556509141757E-4</v>
      </c>
    </row>
    <row r="3737" spans="1:18" x14ac:dyDescent="0.2">
      <c r="A3737" s="2">
        <v>42622</v>
      </c>
      <c r="B3737" s="1" t="s">
        <v>59</v>
      </c>
      <c r="C3737" s="1" t="s">
        <v>14</v>
      </c>
      <c r="D3737" s="2">
        <v>42381</v>
      </c>
      <c r="E3737" s="2">
        <f t="shared" si="150"/>
        <v>42705</v>
      </c>
      <c r="F3737" s="1" t="s">
        <v>60</v>
      </c>
      <c r="G3737" s="1" t="s">
        <v>18</v>
      </c>
      <c r="H3737" s="1">
        <v>-0.6</v>
      </c>
      <c r="I3737" s="1">
        <v>0.22</v>
      </c>
      <c r="J3737" s="1">
        <v>-0.01</v>
      </c>
      <c r="K3737" s="1" t="s">
        <v>66</v>
      </c>
      <c r="L3737" s="1">
        <v>2387</v>
      </c>
      <c r="M3737" s="1">
        <v>1.2</v>
      </c>
      <c r="N3737" s="1">
        <v>-0.24354999999999999</v>
      </c>
      <c r="O3737" s="5">
        <f>VLOOKUP(D3737,underlying!$D$76:$H$90,5,FALSE)</f>
        <v>-0.62</v>
      </c>
      <c r="P3737" s="2">
        <f>VLOOKUP(D3737,underlying!$D$76:$L$90,9,FALSE)</f>
        <v>42692</v>
      </c>
      <c r="Q3737" s="7">
        <f>IF(G3737="C",NormalCallSprd(O3737,H3737,M3737,(P3737-A3737)/365), NormalPutSprd(O3737,H3737,M3737,(P3737-A3737)/365))</f>
        <v>0.21980134434908585</v>
      </c>
      <c r="R3737" s="9">
        <f t="shared" si="151"/>
        <v>1.9865565091414794E-4</v>
      </c>
    </row>
    <row r="3738" spans="1:18" x14ac:dyDescent="0.2">
      <c r="A3738" s="2">
        <v>42622</v>
      </c>
      <c r="B3738" s="1" t="s">
        <v>59</v>
      </c>
      <c r="C3738" s="1" t="s">
        <v>14</v>
      </c>
      <c r="D3738" s="2">
        <v>42381</v>
      </c>
      <c r="E3738" s="2">
        <f t="shared" si="150"/>
        <v>42705</v>
      </c>
      <c r="F3738" s="1" t="s">
        <v>60</v>
      </c>
      <c r="G3738" s="1" t="s">
        <v>16</v>
      </c>
      <c r="H3738" s="1">
        <v>-0.55000000000000004</v>
      </c>
      <c r="I3738" s="1">
        <v>0.17</v>
      </c>
      <c r="J3738" s="1">
        <v>0.02</v>
      </c>
      <c r="K3738" s="1" t="s">
        <v>66</v>
      </c>
      <c r="L3738" s="1">
        <v>2387</v>
      </c>
      <c r="M3738" s="1">
        <v>1.1599999999999999</v>
      </c>
      <c r="N3738" s="1">
        <v>-0.21129000000000001</v>
      </c>
      <c r="O3738" s="5">
        <f>VLOOKUP(D3738,underlying!$D$76:$H$90,5,FALSE)</f>
        <v>-0.62</v>
      </c>
      <c r="P3738" s="2">
        <f>VLOOKUP(D3738,underlying!$D$76:$L$90,9,FALSE)</f>
        <v>42692</v>
      </c>
      <c r="Q3738" s="7">
        <f>IF(G3738="C",NormalCallSprd(O3738,H3738,M3738,(P3738-A3738)/365), NormalPutSprd(O3738,H3738,M3738,(P3738-A3738)/365))</f>
        <v>0.16958222323751823</v>
      </c>
      <c r="R3738" s="9">
        <f t="shared" si="151"/>
        <v>4.1777676248178075E-4</v>
      </c>
    </row>
    <row r="3739" spans="1:18" x14ac:dyDescent="0.2">
      <c r="A3739" s="2">
        <v>42622</v>
      </c>
      <c r="B3739" s="1" t="s">
        <v>59</v>
      </c>
      <c r="C3739" s="1" t="s">
        <v>14</v>
      </c>
      <c r="D3739" s="2">
        <v>42381</v>
      </c>
      <c r="E3739" s="2">
        <f t="shared" si="150"/>
        <v>42705</v>
      </c>
      <c r="F3739" s="1" t="s">
        <v>60</v>
      </c>
      <c r="G3739" s="1" t="s">
        <v>18</v>
      </c>
      <c r="H3739" s="1">
        <v>-0.55000000000000004</v>
      </c>
      <c r="I3739" s="1">
        <v>0.24</v>
      </c>
      <c r="J3739" s="1">
        <v>-0.02</v>
      </c>
      <c r="K3739" s="1" t="s">
        <v>66</v>
      </c>
      <c r="L3739" s="1">
        <v>2387</v>
      </c>
      <c r="M3739" s="1">
        <v>1.1599999999999999</v>
      </c>
      <c r="N3739" s="1">
        <v>-0.18254999999999999</v>
      </c>
      <c r="O3739" s="5">
        <f>VLOOKUP(D3739,underlying!$D$76:$H$90,5,FALSE)</f>
        <v>-0.62</v>
      </c>
      <c r="P3739" s="2">
        <f>VLOOKUP(D3739,underlying!$D$76:$L$90,9,FALSE)</f>
        <v>42692</v>
      </c>
      <c r="Q3739" s="7">
        <f>IF(G3739="C",NormalCallSprd(O3739,H3739,M3739,(P3739-A3739)/365), NormalPutSprd(O3739,H3739,M3739,(P3739-A3739)/365))</f>
        <v>0.23958222323751818</v>
      </c>
      <c r="R3739" s="9">
        <f t="shared" si="151"/>
        <v>4.1777676248180851E-4</v>
      </c>
    </row>
    <row r="3740" spans="1:18" x14ac:dyDescent="0.2">
      <c r="A3740" s="2">
        <v>42622</v>
      </c>
      <c r="B3740" s="1" t="s">
        <v>59</v>
      </c>
      <c r="C3740" s="1" t="s">
        <v>14</v>
      </c>
      <c r="D3740" s="2">
        <v>42381</v>
      </c>
      <c r="E3740" s="2">
        <f t="shared" si="150"/>
        <v>42705</v>
      </c>
      <c r="F3740" s="1" t="s">
        <v>60</v>
      </c>
      <c r="G3740" s="1" t="s">
        <v>16</v>
      </c>
      <c r="H3740" s="1">
        <v>-0.5</v>
      </c>
      <c r="I3740" s="1">
        <v>0.14000000000000001</v>
      </c>
      <c r="J3740" s="1">
        <v>0.01</v>
      </c>
      <c r="K3740" s="1" t="s">
        <v>66</v>
      </c>
      <c r="L3740" s="1">
        <v>2387</v>
      </c>
      <c r="M3740" s="1">
        <v>1.1100000000000001</v>
      </c>
      <c r="N3740" s="1">
        <v>-0.15714</v>
      </c>
      <c r="O3740" s="5">
        <f>VLOOKUP(D3740,underlying!$D$76:$H$90,5,FALSE)</f>
        <v>-0.62</v>
      </c>
      <c r="P3740" s="2">
        <f>VLOOKUP(D3740,underlying!$D$76:$L$90,9,FALSE)</f>
        <v>42692</v>
      </c>
      <c r="Q3740" s="7">
        <f>IF(G3740="C",NormalCallSprd(O3740,H3740,M3740,(P3740-A3740)/365), NormalPutSprd(O3740,H3740,M3740,(P3740-A3740)/365))</f>
        <v>0.13980503225034416</v>
      </c>
      <c r="R3740" s="9">
        <f t="shared" si="151"/>
        <v>1.949677496558555E-4</v>
      </c>
    </row>
    <row r="3741" spans="1:18" x14ac:dyDescent="0.2">
      <c r="A3741" s="2">
        <v>42622</v>
      </c>
      <c r="B3741" s="1" t="s">
        <v>59</v>
      </c>
      <c r="C3741" s="1" t="s">
        <v>14</v>
      </c>
      <c r="D3741" s="2">
        <v>42381</v>
      </c>
      <c r="E3741" s="2">
        <f t="shared" si="150"/>
        <v>42705</v>
      </c>
      <c r="F3741" s="1" t="s">
        <v>60</v>
      </c>
      <c r="G3741" s="1" t="s">
        <v>18</v>
      </c>
      <c r="H3741" s="1">
        <v>-0.5</v>
      </c>
      <c r="I3741" s="1">
        <v>0.26</v>
      </c>
      <c r="J3741" s="1">
        <v>-0.03</v>
      </c>
      <c r="K3741" s="1" t="s">
        <v>66</v>
      </c>
      <c r="L3741" s="1">
        <v>2387</v>
      </c>
      <c r="M3741" s="1">
        <v>1.1100000000000001</v>
      </c>
      <c r="N3741" s="1">
        <v>-0.13482</v>
      </c>
      <c r="O3741" s="5">
        <f>VLOOKUP(D3741,underlying!$D$76:$H$90,5,FALSE)</f>
        <v>-0.62</v>
      </c>
      <c r="P3741" s="2">
        <f>VLOOKUP(D3741,underlying!$D$76:$L$90,9,FALSE)</f>
        <v>42692</v>
      </c>
      <c r="Q3741" s="7">
        <f>IF(G3741="C",NormalCallSprd(O3741,H3741,M3741,(P3741-A3741)/365), NormalPutSprd(O3741,H3741,M3741,(P3741-A3741)/365))</f>
        <v>0.25980503225034418</v>
      </c>
      <c r="R3741" s="9">
        <f t="shared" si="151"/>
        <v>1.9496774965582775E-4</v>
      </c>
    </row>
    <row r="3742" spans="1:18" x14ac:dyDescent="0.2">
      <c r="A3742" s="2">
        <v>42622</v>
      </c>
      <c r="B3742" s="1" t="s">
        <v>59</v>
      </c>
      <c r="C3742" s="1" t="s">
        <v>14</v>
      </c>
      <c r="D3742" s="2">
        <v>42381</v>
      </c>
      <c r="E3742" s="2">
        <f t="shared" si="150"/>
        <v>42705</v>
      </c>
      <c r="F3742" s="1" t="s">
        <v>60</v>
      </c>
      <c r="G3742" s="1" t="s">
        <v>16</v>
      </c>
      <c r="H3742" s="1">
        <v>-0.45</v>
      </c>
      <c r="I3742" s="1">
        <v>0.11</v>
      </c>
      <c r="J3742" s="1">
        <v>0</v>
      </c>
      <c r="K3742" s="1" t="s">
        <v>66</v>
      </c>
      <c r="L3742" s="1">
        <v>2387</v>
      </c>
      <c r="M3742" s="1">
        <v>1.05</v>
      </c>
      <c r="N3742" s="1">
        <v>-0.11397</v>
      </c>
      <c r="O3742" s="5">
        <f>VLOOKUP(D3742,underlying!$D$76:$H$90,5,FALSE)</f>
        <v>-0.62</v>
      </c>
      <c r="P3742" s="2">
        <f>VLOOKUP(D3742,underlying!$D$76:$L$90,9,FALSE)</f>
        <v>42692</v>
      </c>
      <c r="Q3742" s="7">
        <f>IF(G3742="C",NormalCallSprd(O3742,H3742,M3742,(P3742-A3742)/365), NormalPutSprd(O3742,H3742,M3742,(P3742-A3742)/365))</f>
        <v>0.11083925341828653</v>
      </c>
      <c r="R3742" s="9">
        <f t="shared" si="151"/>
        <v>8.3925341828652855E-4</v>
      </c>
    </row>
    <row r="3743" spans="1:18" x14ac:dyDescent="0.2">
      <c r="A3743" s="2">
        <v>42622</v>
      </c>
      <c r="B3743" s="1" t="s">
        <v>59</v>
      </c>
      <c r="C3743" s="1" t="s">
        <v>14</v>
      </c>
      <c r="D3743" s="2">
        <v>42381</v>
      </c>
      <c r="E3743" s="2">
        <f t="shared" si="150"/>
        <v>42705</v>
      </c>
      <c r="F3743" s="1" t="s">
        <v>60</v>
      </c>
      <c r="G3743" s="1" t="s">
        <v>18</v>
      </c>
      <c r="H3743" s="1">
        <v>-0.45</v>
      </c>
      <c r="I3743" s="1">
        <v>0.28000000000000003</v>
      </c>
      <c r="J3743" s="1">
        <v>-0.04</v>
      </c>
      <c r="K3743" s="1" t="s">
        <v>66</v>
      </c>
      <c r="L3743" s="1">
        <v>2387</v>
      </c>
      <c r="M3743" s="1">
        <v>1.05</v>
      </c>
      <c r="N3743" s="1">
        <v>-9.5500000000000002E-2</v>
      </c>
      <c r="O3743" s="5">
        <f>VLOOKUP(D3743,underlying!$D$76:$H$90,5,FALSE)</f>
        <v>-0.62</v>
      </c>
      <c r="P3743" s="2">
        <f>VLOOKUP(D3743,underlying!$D$76:$L$90,9,FALSE)</f>
        <v>42692</v>
      </c>
      <c r="Q3743" s="7">
        <f>IF(G3743="C",NormalCallSprd(O3743,H3743,M3743,(P3743-A3743)/365), NormalPutSprd(O3743,H3743,M3743,(P3743-A3743)/365))</f>
        <v>0.28083925341828653</v>
      </c>
      <c r="R3743" s="9">
        <f t="shared" si="151"/>
        <v>8.392534182865008E-4</v>
      </c>
    </row>
    <row r="3744" spans="1:18" x14ac:dyDescent="0.2">
      <c r="A3744" s="2">
        <v>42622</v>
      </c>
      <c r="B3744" s="1" t="s">
        <v>59</v>
      </c>
      <c r="C3744" s="1" t="s">
        <v>14</v>
      </c>
      <c r="D3744" s="2">
        <v>42381</v>
      </c>
      <c r="E3744" s="2">
        <f t="shared" si="150"/>
        <v>42705</v>
      </c>
      <c r="F3744" s="1" t="s">
        <v>60</v>
      </c>
      <c r="G3744" s="1" t="s">
        <v>16</v>
      </c>
      <c r="H3744" s="1">
        <v>-0.4</v>
      </c>
      <c r="I3744" s="1">
        <v>0.09</v>
      </c>
      <c r="J3744" s="1">
        <v>0</v>
      </c>
      <c r="K3744" s="1" t="s">
        <v>66</v>
      </c>
      <c r="L3744" s="1">
        <v>2387</v>
      </c>
      <c r="M3744" s="1">
        <v>1.03</v>
      </c>
      <c r="N3744" s="1">
        <v>-8.004E-2</v>
      </c>
      <c r="O3744" s="5">
        <f>VLOOKUP(D3744,underlying!$D$76:$H$90,5,FALSE)</f>
        <v>-0.62</v>
      </c>
      <c r="P3744" s="2">
        <f>VLOOKUP(D3744,underlying!$D$76:$L$90,9,FALSE)</f>
        <v>42692</v>
      </c>
      <c r="Q3744" s="7">
        <f>IF(G3744="C",NormalCallSprd(O3744,H3744,M3744,(P3744-A3744)/365), NormalPutSprd(O3744,H3744,M3744,(P3744-A3744)/365))</f>
        <v>9.0938308885798666E-2</v>
      </c>
      <c r="R3744" s="9">
        <f t="shared" si="151"/>
        <v>9.3830888579866933E-4</v>
      </c>
    </row>
    <row r="3745" spans="1:18" x14ac:dyDescent="0.2">
      <c r="A3745" s="2">
        <v>42622</v>
      </c>
      <c r="B3745" s="1" t="s">
        <v>59</v>
      </c>
      <c r="C3745" s="1" t="s">
        <v>14</v>
      </c>
      <c r="D3745" s="2">
        <v>42381</v>
      </c>
      <c r="E3745" s="2">
        <f t="shared" si="150"/>
        <v>42705</v>
      </c>
      <c r="F3745" s="1" t="s">
        <v>60</v>
      </c>
      <c r="G3745" s="1" t="s">
        <v>18</v>
      </c>
      <c r="H3745" s="1">
        <v>-0.4</v>
      </c>
      <c r="I3745" s="1">
        <v>0.31</v>
      </c>
      <c r="J3745" s="1">
        <v>-0.04</v>
      </c>
      <c r="K3745" s="1" t="s">
        <v>66</v>
      </c>
      <c r="L3745" s="1">
        <v>2387</v>
      </c>
      <c r="M3745" s="1">
        <v>1.03</v>
      </c>
      <c r="N3745" s="1">
        <v>-4.0499999999999998E-3</v>
      </c>
      <c r="O3745" s="5">
        <f>VLOOKUP(D3745,underlying!$D$76:$H$90,5,FALSE)</f>
        <v>-0.62</v>
      </c>
      <c r="P3745" s="2">
        <f>VLOOKUP(D3745,underlying!$D$76:$L$90,9,FALSE)</f>
        <v>42692</v>
      </c>
      <c r="Q3745" s="7">
        <f>IF(G3745="C",NormalCallSprd(O3745,H3745,M3745,(P3745-A3745)/365), NormalPutSprd(O3745,H3745,M3745,(P3745-A3745)/365))</f>
        <v>0.31093830888579865</v>
      </c>
      <c r="R3745" s="9">
        <f t="shared" si="151"/>
        <v>9.3830888579865546E-4</v>
      </c>
    </row>
    <row r="3746" spans="1:18" x14ac:dyDescent="0.2">
      <c r="A3746" s="2">
        <v>42622</v>
      </c>
      <c r="B3746" s="1" t="s">
        <v>59</v>
      </c>
      <c r="C3746" s="1" t="s">
        <v>14</v>
      </c>
      <c r="D3746" s="2">
        <v>42381</v>
      </c>
      <c r="E3746" s="2">
        <f t="shared" si="150"/>
        <v>42705</v>
      </c>
      <c r="F3746" s="1" t="s">
        <v>60</v>
      </c>
      <c r="G3746" s="1" t="s">
        <v>16</v>
      </c>
      <c r="H3746" s="1">
        <v>-0.35</v>
      </c>
      <c r="I3746" s="1">
        <v>0.08</v>
      </c>
      <c r="J3746" s="1">
        <v>0.01</v>
      </c>
      <c r="K3746" s="1" t="s">
        <v>66</v>
      </c>
      <c r="L3746" s="1">
        <v>2387</v>
      </c>
      <c r="M3746" s="1">
        <v>1.03</v>
      </c>
      <c r="N3746" s="1">
        <v>-5.0000000000000002E-5</v>
      </c>
      <c r="O3746" s="5">
        <f>VLOOKUP(D3746,underlying!$D$76:$H$90,5,FALSE)</f>
        <v>-0.62</v>
      </c>
      <c r="P3746" s="2">
        <f>VLOOKUP(D3746,underlying!$D$76:$L$90,9,FALSE)</f>
        <v>42692</v>
      </c>
      <c r="Q3746" s="7">
        <f>IF(G3746="C",NormalCallSprd(O3746,H3746,M3746,(P3746-A3746)/365), NormalPutSprd(O3746,H3746,M3746,(P3746-A3746)/365))</f>
        <v>7.6258001084901703E-2</v>
      </c>
      <c r="R3746" s="9">
        <f t="shared" si="151"/>
        <v>3.7419989150982991E-3</v>
      </c>
    </row>
    <row r="3747" spans="1:18" x14ac:dyDescent="0.2">
      <c r="A3747" s="2">
        <v>42622</v>
      </c>
      <c r="B3747" s="1" t="s">
        <v>59</v>
      </c>
      <c r="C3747" s="1" t="s">
        <v>14</v>
      </c>
      <c r="D3747" s="2">
        <v>42381</v>
      </c>
      <c r="E3747" s="2">
        <f t="shared" si="150"/>
        <v>42705</v>
      </c>
      <c r="F3747" s="1" t="s">
        <v>60</v>
      </c>
      <c r="G3747" s="1" t="s">
        <v>18</v>
      </c>
      <c r="H3747" s="1">
        <v>-0.35</v>
      </c>
      <c r="I3747" s="1">
        <v>0.35</v>
      </c>
      <c r="J3747" s="1">
        <v>-0.03</v>
      </c>
      <c r="K3747" s="1" t="s">
        <v>66</v>
      </c>
      <c r="L3747" s="1">
        <v>2387</v>
      </c>
      <c r="M3747" s="1">
        <v>1.03</v>
      </c>
      <c r="N3747" s="1">
        <v>0</v>
      </c>
      <c r="O3747" s="5">
        <f>VLOOKUP(D3747,underlying!$D$76:$H$90,5,FALSE)</f>
        <v>-0.62</v>
      </c>
      <c r="P3747" s="2">
        <f>VLOOKUP(D3747,underlying!$D$76:$L$90,9,FALSE)</f>
        <v>42692</v>
      </c>
      <c r="Q3747" s="7">
        <f>IF(G3747="C",NormalCallSprd(O3747,H3747,M3747,(P3747-A3747)/365), NormalPutSprd(O3747,H3747,M3747,(P3747-A3747)/365))</f>
        <v>0.34625800108490173</v>
      </c>
      <c r="R3747" s="9">
        <f t="shared" si="151"/>
        <v>3.7419989150982436E-3</v>
      </c>
    </row>
    <row r="3748" spans="1:18" x14ac:dyDescent="0.2">
      <c r="A3748" s="2">
        <v>42622</v>
      </c>
      <c r="B3748" s="1" t="s">
        <v>59</v>
      </c>
      <c r="C3748" s="1" t="s">
        <v>14</v>
      </c>
      <c r="D3748" s="2">
        <v>42381</v>
      </c>
      <c r="E3748" s="2">
        <f t="shared" si="150"/>
        <v>42705</v>
      </c>
      <c r="F3748" s="1" t="s">
        <v>60</v>
      </c>
      <c r="G3748" s="1" t="s">
        <v>16</v>
      </c>
      <c r="H3748" s="1">
        <v>-0.3</v>
      </c>
      <c r="I3748" s="1">
        <v>0.06</v>
      </c>
      <c r="J3748" s="1">
        <v>0.01</v>
      </c>
      <c r="K3748" s="1" t="s">
        <v>66</v>
      </c>
      <c r="L3748" s="1">
        <v>2387</v>
      </c>
      <c r="M3748" s="1">
        <v>1.01</v>
      </c>
      <c r="N3748" s="1">
        <v>0.40534999999999999</v>
      </c>
      <c r="O3748" s="5">
        <f>VLOOKUP(D3748,underlying!$D$76:$H$90,5,FALSE)</f>
        <v>-0.62</v>
      </c>
      <c r="P3748" s="2">
        <f>VLOOKUP(D3748,underlying!$D$76:$L$90,9,FALSE)</f>
        <v>42692</v>
      </c>
      <c r="Q3748" s="7">
        <f>IF(G3748="C",NormalCallSprd(O3748,H3748,M3748,(P3748-A3748)/365), NormalPutSprd(O3748,H3748,M3748,(P3748-A3748)/365))</f>
        <v>6.0721638285654377E-2</v>
      </c>
      <c r="R3748" s="9">
        <f t="shared" si="151"/>
        <v>7.2163828565437876E-4</v>
      </c>
    </row>
    <row r="3749" spans="1:18" x14ac:dyDescent="0.2">
      <c r="A3749" s="2">
        <v>42622</v>
      </c>
      <c r="B3749" s="1" t="s">
        <v>59</v>
      </c>
      <c r="C3749" s="1" t="s">
        <v>14</v>
      </c>
      <c r="D3749" s="2">
        <v>42381</v>
      </c>
      <c r="E3749" s="2">
        <f t="shared" si="150"/>
        <v>42705</v>
      </c>
      <c r="F3749" s="1" t="s">
        <v>60</v>
      </c>
      <c r="G3749" s="1" t="s">
        <v>18</v>
      </c>
      <c r="H3749" s="1">
        <v>-0.3</v>
      </c>
      <c r="I3749" s="1">
        <v>0.38</v>
      </c>
      <c r="J3749" s="1">
        <v>-0.03</v>
      </c>
      <c r="K3749" s="1" t="s">
        <v>66</v>
      </c>
      <c r="L3749" s="1">
        <v>2387</v>
      </c>
      <c r="M3749" s="1">
        <v>1.01</v>
      </c>
      <c r="N3749" s="1">
        <v>0.43497000000000002</v>
      </c>
      <c r="O3749" s="5">
        <f>VLOOKUP(D3749,underlying!$D$76:$H$90,5,FALSE)</f>
        <v>-0.62</v>
      </c>
      <c r="P3749" s="2">
        <f>VLOOKUP(D3749,underlying!$D$76:$L$90,9,FALSE)</f>
        <v>42692</v>
      </c>
      <c r="Q3749" s="7">
        <f>IF(G3749="C",NormalCallSprd(O3749,H3749,M3749,(P3749-A3749)/365), NormalPutSprd(O3749,H3749,M3749,(P3749-A3749)/365))</f>
        <v>0.38072163828565436</v>
      </c>
      <c r="R3749" s="9">
        <f t="shared" si="151"/>
        <v>7.2163828565435795E-4</v>
      </c>
    </row>
    <row r="3750" spans="1:18" x14ac:dyDescent="0.2">
      <c r="A3750" s="2">
        <v>42622</v>
      </c>
      <c r="B3750" s="1" t="s">
        <v>59</v>
      </c>
      <c r="C3750" s="1" t="s">
        <v>14</v>
      </c>
      <c r="D3750" s="2">
        <v>42381</v>
      </c>
      <c r="E3750" s="2">
        <f t="shared" si="150"/>
        <v>42705</v>
      </c>
      <c r="F3750" s="1" t="s">
        <v>60</v>
      </c>
      <c r="G3750" s="1" t="s">
        <v>16</v>
      </c>
      <c r="H3750" s="1">
        <v>-0.25</v>
      </c>
      <c r="I3750" s="1">
        <v>0.06</v>
      </c>
      <c r="J3750" s="1">
        <v>0.01</v>
      </c>
      <c r="K3750" s="1" t="s">
        <v>66</v>
      </c>
      <c r="L3750" s="1">
        <v>2387</v>
      </c>
      <c r="M3750" s="1">
        <v>1.0900000000000001</v>
      </c>
      <c r="N3750" s="1">
        <v>0.46589999999999998</v>
      </c>
      <c r="O3750" s="5">
        <f>VLOOKUP(D3750,underlying!$D$76:$H$90,5,FALSE)</f>
        <v>-0.62</v>
      </c>
      <c r="P3750" s="2">
        <f>VLOOKUP(D3750,underlying!$D$76:$L$90,9,FALSE)</f>
        <v>42692</v>
      </c>
      <c r="Q3750" s="7">
        <f>IF(G3750="C",NormalCallSprd(O3750,H3750,M3750,(P3750-A3750)/365), NormalPutSprd(O3750,H3750,M3750,(P3750-A3750)/365))</f>
        <v>5.9938327968146306E-2</v>
      </c>
      <c r="R3750" s="9">
        <f t="shared" si="151"/>
        <v>6.1672031853692022E-5</v>
      </c>
    </row>
    <row r="3751" spans="1:18" x14ac:dyDescent="0.2">
      <c r="A3751" s="2">
        <v>42622</v>
      </c>
      <c r="B3751" s="1" t="s">
        <v>59</v>
      </c>
      <c r="C3751" s="1" t="s">
        <v>14</v>
      </c>
      <c r="D3751" s="2">
        <v>42381</v>
      </c>
      <c r="E3751" s="2">
        <f t="shared" si="150"/>
        <v>42705</v>
      </c>
      <c r="F3751" s="1" t="s">
        <v>60</v>
      </c>
      <c r="G3751" s="1" t="s">
        <v>18</v>
      </c>
      <c r="H3751" s="1">
        <v>-0.25</v>
      </c>
      <c r="I3751" s="1">
        <v>0.43</v>
      </c>
      <c r="J3751" s="1">
        <v>-0.03</v>
      </c>
      <c r="K3751" s="1" t="s">
        <v>66</v>
      </c>
      <c r="L3751" s="1">
        <v>2387</v>
      </c>
      <c r="M3751" s="1">
        <v>1.0900000000000001</v>
      </c>
      <c r="N3751" s="1">
        <v>0.49674000000000001</v>
      </c>
      <c r="O3751" s="5">
        <f>VLOOKUP(D3751,underlying!$D$76:$H$90,5,FALSE)</f>
        <v>-0.62</v>
      </c>
      <c r="P3751" s="2">
        <f>VLOOKUP(D3751,underlying!$D$76:$L$90,9,FALSE)</f>
        <v>42692</v>
      </c>
      <c r="Q3751" s="7">
        <f>IF(G3751="C",NormalCallSprd(O3751,H3751,M3751,(P3751-A3751)/365), NormalPutSprd(O3751,H3751,M3751,(P3751-A3751)/365))</f>
        <v>0.42993832796814629</v>
      </c>
      <c r="R3751" s="9">
        <f t="shared" si="151"/>
        <v>6.1672031853698961E-5</v>
      </c>
    </row>
    <row r="3752" spans="1:18" x14ac:dyDescent="0.2">
      <c r="A3752" s="2">
        <v>42622</v>
      </c>
      <c r="B3752" s="1" t="s">
        <v>59</v>
      </c>
      <c r="C3752" s="1" t="s">
        <v>14</v>
      </c>
      <c r="D3752" s="2">
        <v>42381</v>
      </c>
      <c r="E3752" s="2">
        <f t="shared" si="150"/>
        <v>42705</v>
      </c>
      <c r="F3752" s="1" t="s">
        <v>60</v>
      </c>
      <c r="G3752" s="1" t="s">
        <v>16</v>
      </c>
      <c r="H3752" s="1">
        <v>-0.2</v>
      </c>
      <c r="I3752" s="1">
        <v>0.05</v>
      </c>
      <c r="J3752" s="1">
        <v>0.01</v>
      </c>
      <c r="K3752" s="1" t="s">
        <v>66</v>
      </c>
      <c r="L3752" s="1">
        <v>2387</v>
      </c>
      <c r="M3752" s="1">
        <v>1.1299999999999999</v>
      </c>
      <c r="N3752" s="1">
        <v>0.52605000000000002</v>
      </c>
      <c r="O3752" s="5">
        <f>VLOOKUP(D3752,underlying!$D$76:$H$90,5,FALSE)</f>
        <v>-0.62</v>
      </c>
      <c r="P3752" s="2">
        <f>VLOOKUP(D3752,underlying!$D$76:$L$90,9,FALSE)</f>
        <v>42692</v>
      </c>
      <c r="Q3752" s="7">
        <f>IF(G3752="C",NormalCallSprd(O3752,H3752,M3752,(P3752-A3752)/365), NormalPutSprd(O3752,H3752,M3752,(P3752-A3752)/365))</f>
        <v>5.4545026094863933E-2</v>
      </c>
      <c r="R3752" s="9">
        <f t="shared" si="151"/>
        <v>4.5450260948639298E-3</v>
      </c>
    </row>
    <row r="3753" spans="1:18" x14ac:dyDescent="0.2">
      <c r="A3753" s="2">
        <v>42622</v>
      </c>
      <c r="B3753" s="1" t="s">
        <v>59</v>
      </c>
      <c r="C3753" s="1" t="s">
        <v>14</v>
      </c>
      <c r="D3753" s="2">
        <v>42381</v>
      </c>
      <c r="E3753" s="2">
        <f t="shared" si="150"/>
        <v>42705</v>
      </c>
      <c r="F3753" s="1" t="s">
        <v>60</v>
      </c>
      <c r="G3753" s="1" t="s">
        <v>18</v>
      </c>
      <c r="H3753" s="1">
        <v>-0.2</v>
      </c>
      <c r="I3753" s="1">
        <v>0.47</v>
      </c>
      <c r="J3753" s="1">
        <v>-0.03</v>
      </c>
      <c r="K3753" s="1" t="s">
        <v>66</v>
      </c>
      <c r="L3753" s="1">
        <v>2387</v>
      </c>
      <c r="M3753" s="1">
        <v>1.1299999999999999</v>
      </c>
      <c r="N3753" s="1">
        <v>0.55430000000000001</v>
      </c>
      <c r="O3753" s="5">
        <f>VLOOKUP(D3753,underlying!$D$76:$H$90,5,FALSE)</f>
        <v>-0.62</v>
      </c>
      <c r="P3753" s="2">
        <f>VLOOKUP(D3753,underlying!$D$76:$L$90,9,FALSE)</f>
        <v>42692</v>
      </c>
      <c r="Q3753" s="7">
        <f>IF(G3753="C",NormalCallSprd(O3753,H3753,M3753,(P3753-A3753)/365), NormalPutSprd(O3753,H3753,M3753,(P3753-A3753)/365))</f>
        <v>0.47454502609486393</v>
      </c>
      <c r="R3753" s="9">
        <f t="shared" si="151"/>
        <v>4.5450260948639576E-3</v>
      </c>
    </row>
    <row r="3754" spans="1:18" x14ac:dyDescent="0.2">
      <c r="A3754" s="2">
        <v>42622</v>
      </c>
      <c r="B3754" s="1" t="s">
        <v>59</v>
      </c>
      <c r="C3754" s="1" t="s">
        <v>14</v>
      </c>
      <c r="D3754" s="2">
        <v>42381</v>
      </c>
      <c r="E3754" s="2">
        <f t="shared" si="150"/>
        <v>42705</v>
      </c>
      <c r="F3754" s="1" t="s">
        <v>60</v>
      </c>
      <c r="G3754" s="1" t="s">
        <v>16</v>
      </c>
      <c r="H3754" s="1">
        <v>-0.15</v>
      </c>
      <c r="I3754" s="1">
        <v>0.04</v>
      </c>
      <c r="J3754" s="1">
        <v>0.01</v>
      </c>
      <c r="K3754" s="1" t="s">
        <v>66</v>
      </c>
      <c r="L3754" s="1">
        <v>2387</v>
      </c>
      <c r="M3754" s="1">
        <v>1.0900000000000001</v>
      </c>
      <c r="N3754" s="1">
        <v>0.58143</v>
      </c>
      <c r="O3754" s="5">
        <f>VLOOKUP(D3754,underlying!$D$76:$H$90,5,FALSE)</f>
        <v>-0.62</v>
      </c>
      <c r="P3754" s="2">
        <f>VLOOKUP(D3754,underlying!$D$76:$L$90,9,FALSE)</f>
        <v>42692</v>
      </c>
      <c r="Q3754" s="7">
        <f>IF(G3754="C",NormalCallSprd(O3754,H3754,M3754,(P3754-A3754)/365), NormalPutSprd(O3754,H3754,M3754,(P3754-A3754)/365))</f>
        <v>4.0948400884223655E-2</v>
      </c>
      <c r="R3754" s="9">
        <f t="shared" si="151"/>
        <v>9.4840088422365465E-4</v>
      </c>
    </row>
    <row r="3755" spans="1:18" x14ac:dyDescent="0.2">
      <c r="A3755" s="2">
        <v>42622</v>
      </c>
      <c r="B3755" s="1" t="s">
        <v>59</v>
      </c>
      <c r="C3755" s="1" t="s">
        <v>14</v>
      </c>
      <c r="D3755" s="2">
        <v>42381</v>
      </c>
      <c r="E3755" s="2">
        <f t="shared" si="150"/>
        <v>42705</v>
      </c>
      <c r="F3755" s="1" t="s">
        <v>60</v>
      </c>
      <c r="G3755" s="1" t="s">
        <v>18</v>
      </c>
      <c r="H3755" s="1">
        <v>-0.15</v>
      </c>
      <c r="I3755" s="1">
        <v>0.51</v>
      </c>
      <c r="J3755" s="1">
        <v>-0.03</v>
      </c>
      <c r="K3755" s="1" t="s">
        <v>66</v>
      </c>
      <c r="L3755" s="1">
        <v>2387</v>
      </c>
      <c r="M3755" s="1">
        <v>1.0900000000000001</v>
      </c>
      <c r="N3755" s="1">
        <v>0.60736000000000001</v>
      </c>
      <c r="O3755" s="5">
        <f>VLOOKUP(D3755,underlying!$D$76:$H$90,5,FALSE)</f>
        <v>-0.62</v>
      </c>
      <c r="P3755" s="2">
        <f>VLOOKUP(D3755,underlying!$D$76:$L$90,9,FALSE)</f>
        <v>42692</v>
      </c>
      <c r="Q3755" s="7">
        <f>IF(G3755="C",NormalCallSprd(O3755,H3755,M3755,(P3755-A3755)/365), NormalPutSprd(O3755,H3755,M3755,(P3755-A3755)/365))</f>
        <v>0.51094840088422366</v>
      </c>
      <c r="R3755" s="9">
        <f t="shared" si="151"/>
        <v>9.4840088422365465E-4</v>
      </c>
    </row>
    <row r="3756" spans="1:18" x14ac:dyDescent="0.2">
      <c r="A3756" s="2">
        <v>42622</v>
      </c>
      <c r="B3756" s="1" t="s">
        <v>59</v>
      </c>
      <c r="C3756" s="1" t="s">
        <v>14</v>
      </c>
      <c r="D3756" s="2">
        <v>42381</v>
      </c>
      <c r="E3756" s="2">
        <f t="shared" si="150"/>
        <v>42705</v>
      </c>
      <c r="F3756" s="1" t="s">
        <v>60</v>
      </c>
      <c r="G3756" s="1" t="s">
        <v>16</v>
      </c>
      <c r="H3756" s="1">
        <v>-0.1</v>
      </c>
      <c r="I3756" s="1">
        <v>0.03</v>
      </c>
      <c r="J3756" s="1">
        <v>0</v>
      </c>
      <c r="K3756" s="1" t="s">
        <v>66</v>
      </c>
      <c r="L3756" s="1">
        <v>2387</v>
      </c>
      <c r="M3756" s="1">
        <v>1.08</v>
      </c>
      <c r="N3756" s="1">
        <v>0.63205999999999996</v>
      </c>
      <c r="O3756" s="5">
        <f>VLOOKUP(D3756,underlying!$D$76:$H$90,5,FALSE)</f>
        <v>-0.62</v>
      </c>
      <c r="P3756" s="2">
        <f>VLOOKUP(D3756,underlying!$D$76:$L$90,9,FALSE)</f>
        <v>42692</v>
      </c>
      <c r="Q3756" s="7">
        <f>IF(G3756="C",NormalCallSprd(O3756,H3756,M3756,(P3756-A3756)/365), NormalPutSprd(O3756,H3756,M3756,(P3756-A3756)/365))</f>
        <v>3.2489487427144234E-2</v>
      </c>
      <c r="R3756" s="9">
        <f t="shared" si="151"/>
        <v>2.4894874271442352E-3</v>
      </c>
    </row>
    <row r="3757" spans="1:18" x14ac:dyDescent="0.2">
      <c r="A3757" s="2">
        <v>42622</v>
      </c>
      <c r="B3757" s="1" t="s">
        <v>59</v>
      </c>
      <c r="C3757" s="1" t="s">
        <v>14</v>
      </c>
      <c r="D3757" s="2">
        <v>42381</v>
      </c>
      <c r="E3757" s="2">
        <f t="shared" si="150"/>
        <v>42705</v>
      </c>
      <c r="F3757" s="1" t="s">
        <v>60</v>
      </c>
      <c r="G3757" s="1" t="s">
        <v>18</v>
      </c>
      <c r="H3757" s="1">
        <v>-0.1</v>
      </c>
      <c r="I3757" s="1">
        <v>0.55000000000000004</v>
      </c>
      <c r="J3757" s="1">
        <v>-0.04</v>
      </c>
      <c r="K3757" s="1" t="s">
        <v>66</v>
      </c>
      <c r="L3757" s="1">
        <v>2387</v>
      </c>
      <c r="M3757" s="1">
        <v>1.08</v>
      </c>
      <c r="N3757" s="1">
        <v>0.65551000000000004</v>
      </c>
      <c r="O3757" s="5">
        <f>VLOOKUP(D3757,underlying!$D$76:$H$90,5,FALSE)</f>
        <v>-0.62</v>
      </c>
      <c r="P3757" s="2">
        <f>VLOOKUP(D3757,underlying!$D$76:$L$90,9,FALSE)</f>
        <v>42692</v>
      </c>
      <c r="Q3757" s="7">
        <f>IF(G3757="C",NormalCallSprd(O3757,H3757,M3757,(P3757-A3757)/365), NormalPutSprd(O3757,H3757,M3757,(P3757-A3757)/365))</f>
        <v>0.55248948742714421</v>
      </c>
      <c r="R3757" s="9">
        <f t="shared" si="151"/>
        <v>2.4894874271441658E-3</v>
      </c>
    </row>
    <row r="3758" spans="1:18" x14ac:dyDescent="0.2">
      <c r="A3758" s="2">
        <v>42622</v>
      </c>
      <c r="B3758" s="1" t="s">
        <v>59</v>
      </c>
      <c r="C3758" s="1" t="s">
        <v>14</v>
      </c>
      <c r="D3758" s="2">
        <v>42381</v>
      </c>
      <c r="E3758" s="2">
        <f t="shared" si="150"/>
        <v>42705</v>
      </c>
      <c r="F3758" s="1" t="s">
        <v>60</v>
      </c>
      <c r="G3758" s="1" t="s">
        <v>16</v>
      </c>
      <c r="H3758" s="1">
        <v>-0.05</v>
      </c>
      <c r="I3758" s="1">
        <v>0.03</v>
      </c>
      <c r="J3758" s="1">
        <v>0.01</v>
      </c>
      <c r="K3758" s="1" t="s">
        <v>66</v>
      </c>
      <c r="L3758" s="1">
        <v>2387</v>
      </c>
      <c r="M3758" s="1">
        <v>1.08</v>
      </c>
      <c r="N3758" s="1">
        <v>0.67771999999999999</v>
      </c>
      <c r="O3758" s="5">
        <f>VLOOKUP(D3758,underlying!$D$76:$H$90,5,FALSE)</f>
        <v>-0.62</v>
      </c>
      <c r="P3758" s="2">
        <f>VLOOKUP(D3758,underlying!$D$76:$L$90,9,FALSE)</f>
        <v>42692</v>
      </c>
      <c r="Q3758" s="7">
        <f>IF(G3758="C",NormalCallSprd(O3758,H3758,M3758,(P3758-A3758)/365), NormalPutSprd(O3758,H3758,M3758,(P3758-A3758)/365))</f>
        <v>2.6254158025036022E-2</v>
      </c>
      <c r="R3758" s="9">
        <f t="shared" si="151"/>
        <v>3.7458419749639774E-3</v>
      </c>
    </row>
    <row r="3759" spans="1:18" x14ac:dyDescent="0.2">
      <c r="A3759" s="2">
        <v>42622</v>
      </c>
      <c r="B3759" s="1" t="s">
        <v>59</v>
      </c>
      <c r="C3759" s="1" t="s">
        <v>14</v>
      </c>
      <c r="D3759" s="2">
        <v>42381</v>
      </c>
      <c r="E3759" s="2">
        <f t="shared" si="150"/>
        <v>42705</v>
      </c>
      <c r="F3759" s="1" t="s">
        <v>60</v>
      </c>
      <c r="G3759" s="1" t="s">
        <v>18</v>
      </c>
      <c r="H3759" s="1">
        <v>-0.05</v>
      </c>
      <c r="I3759" s="1">
        <v>0.6</v>
      </c>
      <c r="J3759" s="1">
        <v>-0.03</v>
      </c>
      <c r="K3759" s="1" t="s">
        <v>66</v>
      </c>
      <c r="L3759" s="1">
        <v>2387</v>
      </c>
      <c r="M3759" s="1">
        <v>1.08</v>
      </c>
      <c r="N3759" s="1">
        <v>0.69867999999999997</v>
      </c>
      <c r="O3759" s="5">
        <f>VLOOKUP(D3759,underlying!$D$76:$H$90,5,FALSE)</f>
        <v>-0.62</v>
      </c>
      <c r="P3759" s="2">
        <f>VLOOKUP(D3759,underlying!$D$76:$L$90,9,FALSE)</f>
        <v>42692</v>
      </c>
      <c r="Q3759" s="7">
        <f>IF(G3759="C",NormalCallSprd(O3759,H3759,M3759,(P3759-A3759)/365), NormalPutSprd(O3759,H3759,M3759,(P3759-A3759)/365))</f>
        <v>0.59625415802503601</v>
      </c>
      <c r="R3759" s="9">
        <f t="shared" si="151"/>
        <v>3.7458419749639704E-3</v>
      </c>
    </row>
    <row r="3760" spans="1:18" x14ac:dyDescent="0.2">
      <c r="A3760" s="2">
        <v>42622</v>
      </c>
      <c r="B3760" s="1" t="s">
        <v>59</v>
      </c>
      <c r="C3760" s="1" t="s">
        <v>14</v>
      </c>
      <c r="D3760" s="2">
        <v>42736</v>
      </c>
      <c r="E3760" s="2">
        <f t="shared" si="150"/>
        <v>42736</v>
      </c>
      <c r="F3760" s="1" t="s">
        <v>60</v>
      </c>
      <c r="G3760" s="1" t="s">
        <v>16</v>
      </c>
      <c r="H3760" s="1">
        <v>-4</v>
      </c>
      <c r="I3760" s="1">
        <v>3.4</v>
      </c>
      <c r="J3760" s="1">
        <v>0.01</v>
      </c>
      <c r="K3760" s="1" t="s">
        <v>65</v>
      </c>
      <c r="L3760" s="1">
        <v>2387</v>
      </c>
      <c r="M3760" s="1">
        <v>1.58</v>
      </c>
      <c r="N3760" s="1">
        <v>0.71843999999999997</v>
      </c>
      <c r="O3760" s="5">
        <f>VLOOKUP(D3760,underlying!$D$76:$H$90,5,FALSE)</f>
        <v>-0.6</v>
      </c>
      <c r="P3760" s="2">
        <f>VLOOKUP(D3760,underlying!$D$76:$L$90,9,FALSE)</f>
        <v>42723</v>
      </c>
      <c r="Q3760" s="7">
        <f>IF(G3760="C",NormalCallSprd(O3760,H3760,M3760,(P3760-A3760)/365), NormalPutSprd(O3760,H3760,M3760,(P3760-A3760)/365))</f>
        <v>3.4000039561085851</v>
      </c>
      <c r="R3760" s="9">
        <f t="shared" si="151"/>
        <v>3.9561085851680389E-6</v>
      </c>
    </row>
    <row r="3761" spans="1:18" x14ac:dyDescent="0.2">
      <c r="A3761" s="2">
        <v>42622</v>
      </c>
      <c r="B3761" s="1" t="s">
        <v>59</v>
      </c>
      <c r="C3761" s="1" t="s">
        <v>14</v>
      </c>
      <c r="D3761" s="2">
        <v>42736</v>
      </c>
      <c r="E3761" s="2">
        <f t="shared" si="150"/>
        <v>42736</v>
      </c>
      <c r="F3761" s="1" t="s">
        <v>60</v>
      </c>
      <c r="G3761" s="1" t="s">
        <v>18</v>
      </c>
      <c r="H3761" s="1">
        <v>-4</v>
      </c>
      <c r="I3761" s="1">
        <v>0.01</v>
      </c>
      <c r="J3761" s="1">
        <v>0</v>
      </c>
      <c r="K3761" s="1" t="s">
        <v>65</v>
      </c>
      <c r="L3761" s="1">
        <v>2387</v>
      </c>
      <c r="M3761" s="1">
        <v>1.58</v>
      </c>
      <c r="N3761" s="1">
        <v>0.73929999999999996</v>
      </c>
      <c r="O3761" s="5">
        <f>VLOOKUP(D3761,underlying!$D$76:$H$90,5,FALSE)</f>
        <v>-0.6</v>
      </c>
      <c r="P3761" s="2">
        <f>VLOOKUP(D3761,underlying!$D$76:$L$90,9,FALSE)</f>
        <v>42723</v>
      </c>
      <c r="Q3761" s="7">
        <f>IF(G3761="C",NormalCallSprd(O3761,H3761,M3761,(P3761-A3761)/365), NormalPutSprd(O3761,H3761,M3761,(P3761-A3761)/365))</f>
        <v>3.9561085849844174E-6</v>
      </c>
      <c r="R3761" s="9">
        <f t="shared" si="151"/>
        <v>9.996043891415016E-3</v>
      </c>
    </row>
    <row r="3762" spans="1:18" x14ac:dyDescent="0.2">
      <c r="A3762" s="2">
        <v>42622</v>
      </c>
      <c r="B3762" s="1" t="s">
        <v>59</v>
      </c>
      <c r="C3762" s="1" t="s">
        <v>14</v>
      </c>
      <c r="D3762" s="2">
        <v>42736</v>
      </c>
      <c r="E3762" s="2">
        <f t="shared" si="150"/>
        <v>42736</v>
      </c>
      <c r="F3762" s="1" t="s">
        <v>60</v>
      </c>
      <c r="G3762" s="1" t="s">
        <v>16</v>
      </c>
      <c r="H3762" s="1">
        <v>-3</v>
      </c>
      <c r="I3762" s="1">
        <v>2.4</v>
      </c>
      <c r="J3762" s="1">
        <v>0.01</v>
      </c>
      <c r="K3762" s="1" t="s">
        <v>65</v>
      </c>
      <c r="L3762" s="1">
        <v>2387</v>
      </c>
      <c r="M3762" s="1">
        <v>1.57</v>
      </c>
      <c r="N3762" s="1">
        <v>0.75980999999999999</v>
      </c>
      <c r="O3762" s="5">
        <f>VLOOKUP(D3762,underlying!$D$76:$H$90,5,FALSE)</f>
        <v>-0.6</v>
      </c>
      <c r="P3762" s="2">
        <f>VLOOKUP(D3762,underlying!$D$76:$L$90,9,FALSE)</f>
        <v>42723</v>
      </c>
      <c r="Q3762" s="7">
        <f>IF(G3762="C",NormalCallSprd(O3762,H3762,M3762,(P3762-A3762)/365), NormalPutSprd(O3762,H3762,M3762,(P3762-A3762)/365))</f>
        <v>2.4004381794344329</v>
      </c>
      <c r="R3762" s="9">
        <f t="shared" si="151"/>
        <v>4.3817943443302809E-4</v>
      </c>
    </row>
    <row r="3763" spans="1:18" x14ac:dyDescent="0.2">
      <c r="A3763" s="2">
        <v>42622</v>
      </c>
      <c r="B3763" s="1" t="s">
        <v>59</v>
      </c>
      <c r="C3763" s="1" t="s">
        <v>14</v>
      </c>
      <c r="D3763" s="2">
        <v>42736</v>
      </c>
      <c r="E3763" s="2">
        <f t="shared" si="150"/>
        <v>42736</v>
      </c>
      <c r="F3763" s="1" t="s">
        <v>60</v>
      </c>
      <c r="G3763" s="1" t="s">
        <v>18</v>
      </c>
      <c r="H3763" s="1">
        <v>-3</v>
      </c>
      <c r="I3763" s="1">
        <v>0.01</v>
      </c>
      <c r="J3763" s="1">
        <v>0</v>
      </c>
      <c r="K3763" s="1" t="s">
        <v>65</v>
      </c>
      <c r="L3763" s="1">
        <v>2387</v>
      </c>
      <c r="M3763" s="1">
        <v>1.57</v>
      </c>
      <c r="N3763" s="1">
        <v>0.77685999999999999</v>
      </c>
      <c r="O3763" s="5">
        <f>VLOOKUP(D3763,underlying!$D$76:$H$90,5,FALSE)</f>
        <v>-0.6</v>
      </c>
      <c r="P3763" s="2">
        <f>VLOOKUP(D3763,underlying!$D$76:$L$90,9,FALSE)</f>
        <v>42723</v>
      </c>
      <c r="Q3763" s="7">
        <f>IF(G3763="C",NormalCallSprd(O3763,H3763,M3763,(P3763-A3763)/365), NormalPutSprd(O3763,H3763,M3763,(P3763-A3763)/365))</f>
        <v>4.3817943443300435E-4</v>
      </c>
      <c r="R3763" s="9">
        <f t="shared" si="151"/>
        <v>9.5618205655669964E-3</v>
      </c>
    </row>
    <row r="3764" spans="1:18" x14ac:dyDescent="0.2">
      <c r="A3764" s="2">
        <v>42622</v>
      </c>
      <c r="B3764" s="1" t="s">
        <v>59</v>
      </c>
      <c r="C3764" s="1" t="s">
        <v>14</v>
      </c>
      <c r="D3764" s="2">
        <v>42736</v>
      </c>
      <c r="E3764" s="2">
        <f t="shared" si="150"/>
        <v>42736</v>
      </c>
      <c r="F3764" s="1" t="s">
        <v>60</v>
      </c>
      <c r="G3764" s="1" t="s">
        <v>16</v>
      </c>
      <c r="H3764" s="1">
        <v>-2</v>
      </c>
      <c r="I3764" s="1">
        <v>1.41</v>
      </c>
      <c r="J3764" s="1">
        <v>0.02</v>
      </c>
      <c r="K3764" s="1" t="s">
        <v>65</v>
      </c>
      <c r="L3764" s="1">
        <v>2387</v>
      </c>
      <c r="M3764" s="1">
        <v>1.44</v>
      </c>
      <c r="N3764" s="1">
        <v>0.79473000000000005</v>
      </c>
      <c r="O3764" s="5">
        <f>VLOOKUP(D3764,underlying!$D$76:$H$90,5,FALSE)</f>
        <v>-0.6</v>
      </c>
      <c r="P3764" s="2">
        <f>VLOOKUP(D3764,underlying!$D$76:$L$90,9,FALSE)</f>
        <v>42723</v>
      </c>
      <c r="Q3764" s="7">
        <f>IF(G3764="C",NormalCallSprd(O3764,H3764,M3764,(P3764-A3764)/365), NormalPutSprd(O3764,H3764,M3764,(P3764-A3764)/365))</f>
        <v>1.4095690047593659</v>
      </c>
      <c r="R3764" s="9">
        <f t="shared" si="151"/>
        <v>4.3099524063405781E-4</v>
      </c>
    </row>
    <row r="3765" spans="1:18" x14ac:dyDescent="0.2">
      <c r="A3765" s="2">
        <v>42622</v>
      </c>
      <c r="B3765" s="1" t="s">
        <v>59</v>
      </c>
      <c r="C3765" s="1" t="s">
        <v>14</v>
      </c>
      <c r="D3765" s="2">
        <v>42736</v>
      </c>
      <c r="E3765" s="2">
        <f t="shared" si="150"/>
        <v>42736</v>
      </c>
      <c r="F3765" s="1" t="s">
        <v>60</v>
      </c>
      <c r="G3765" s="1" t="s">
        <v>18</v>
      </c>
      <c r="H3765" s="1">
        <v>-2</v>
      </c>
      <c r="I3765" s="1">
        <v>0.01</v>
      </c>
      <c r="J3765" s="1">
        <v>0</v>
      </c>
      <c r="K3765" s="1" t="s">
        <v>65</v>
      </c>
      <c r="L3765" s="1">
        <v>2387</v>
      </c>
      <c r="M3765" s="1">
        <v>1.44</v>
      </c>
      <c r="N3765" s="1">
        <v>0.84123000000000003</v>
      </c>
      <c r="O3765" s="5">
        <f>VLOOKUP(D3765,underlying!$D$76:$H$90,5,FALSE)</f>
        <v>-0.6</v>
      </c>
      <c r="P3765" s="2">
        <f>VLOOKUP(D3765,underlying!$D$76:$L$90,9,FALSE)</f>
        <v>42723</v>
      </c>
      <c r="Q3765" s="7">
        <f>IF(G3765="C",NormalCallSprd(O3765,H3765,M3765,(P3765-A3765)/365), NormalPutSprd(O3765,H3765,M3765,(P3765-A3765)/365))</f>
        <v>9.5690047593658002E-3</v>
      </c>
      <c r="R3765" s="9">
        <f t="shared" si="151"/>
        <v>4.3099524063420006E-4</v>
      </c>
    </row>
    <row r="3766" spans="1:18" x14ac:dyDescent="0.2">
      <c r="A3766" s="2">
        <v>42622</v>
      </c>
      <c r="B3766" s="1" t="s">
        <v>59</v>
      </c>
      <c r="C3766" s="1" t="s">
        <v>14</v>
      </c>
      <c r="D3766" s="2">
        <v>42736</v>
      </c>
      <c r="E3766" s="2">
        <f t="shared" si="150"/>
        <v>42736</v>
      </c>
      <c r="F3766" s="1" t="s">
        <v>60</v>
      </c>
      <c r="G3766" s="1" t="s">
        <v>16</v>
      </c>
      <c r="H3766" s="1">
        <v>-1.05</v>
      </c>
      <c r="I3766" s="1">
        <v>0.53</v>
      </c>
      <c r="J3766" s="1">
        <v>0.02</v>
      </c>
      <c r="K3766" s="1" t="s">
        <v>65</v>
      </c>
      <c r="L3766" s="1">
        <v>2387</v>
      </c>
      <c r="M3766" s="1">
        <v>1.18</v>
      </c>
      <c r="N3766" s="1">
        <v>0.97584000000000004</v>
      </c>
      <c r="O3766" s="5">
        <f>VLOOKUP(D3766,underlying!$D$76:$H$90,5,FALSE)</f>
        <v>-0.6</v>
      </c>
      <c r="P3766" s="2">
        <f>VLOOKUP(D3766,underlying!$D$76:$L$90,9,FALSE)</f>
        <v>42723</v>
      </c>
      <c r="Q3766" s="7">
        <f>IF(G3766="C",NormalCallSprd(O3766,H3766,M3766,(P3766-A3766)/365), NormalPutSprd(O3766,H3766,M3766,(P3766-A3766)/365))</f>
        <v>0.53499889180835447</v>
      </c>
      <c r="R3766" s="9">
        <f t="shared" si="151"/>
        <v>4.9988918083544442E-3</v>
      </c>
    </row>
    <row r="3767" spans="1:18" x14ac:dyDescent="0.2">
      <c r="A3767" s="2">
        <v>42622</v>
      </c>
      <c r="B3767" s="1" t="s">
        <v>59</v>
      </c>
      <c r="C3767" s="1" t="s">
        <v>14</v>
      </c>
      <c r="D3767" s="2">
        <v>42736</v>
      </c>
      <c r="E3767" s="2">
        <f t="shared" si="150"/>
        <v>42736</v>
      </c>
      <c r="F3767" s="1" t="s">
        <v>60</v>
      </c>
      <c r="G3767" s="1" t="s">
        <v>18</v>
      </c>
      <c r="H3767" s="1">
        <v>-1.05</v>
      </c>
      <c r="I3767" s="1">
        <v>0.09</v>
      </c>
      <c r="J3767" s="1">
        <v>0.02</v>
      </c>
      <c r="K3767" s="1" t="s">
        <v>65</v>
      </c>
      <c r="L3767" s="1">
        <v>2387</v>
      </c>
      <c r="M3767" s="1">
        <v>1.18</v>
      </c>
      <c r="N3767" s="1">
        <v>0.99267000000000005</v>
      </c>
      <c r="O3767" s="5">
        <f>VLOOKUP(D3767,underlying!$D$76:$H$90,5,FALSE)</f>
        <v>-0.6</v>
      </c>
      <c r="P3767" s="2">
        <f>VLOOKUP(D3767,underlying!$D$76:$L$90,9,FALSE)</f>
        <v>42723</v>
      </c>
      <c r="Q3767" s="7">
        <f>IF(G3767="C",NormalCallSprd(O3767,H3767,M3767,(P3767-A3767)/365), NormalPutSprd(O3767,H3767,M3767,(P3767-A3767)/365))</f>
        <v>8.4998891808354418E-2</v>
      </c>
      <c r="R3767" s="9">
        <f t="shared" si="151"/>
        <v>5.0011081916455785E-3</v>
      </c>
    </row>
    <row r="3768" spans="1:18" x14ac:dyDescent="0.2">
      <c r="A3768" s="2">
        <v>42622</v>
      </c>
      <c r="B3768" s="1" t="s">
        <v>59</v>
      </c>
      <c r="C3768" s="1" t="s">
        <v>14</v>
      </c>
      <c r="D3768" s="2">
        <v>42736</v>
      </c>
      <c r="E3768" s="2">
        <f t="shared" si="150"/>
        <v>42736</v>
      </c>
      <c r="F3768" s="1" t="s">
        <v>60</v>
      </c>
      <c r="G3768" s="1" t="s">
        <v>16</v>
      </c>
      <c r="H3768" s="1">
        <v>-1</v>
      </c>
      <c r="I3768" s="1">
        <v>0.49</v>
      </c>
      <c r="J3768" s="1">
        <v>0.03</v>
      </c>
      <c r="K3768" s="1" t="s">
        <v>65</v>
      </c>
      <c r="L3768" s="1">
        <v>2387</v>
      </c>
      <c r="M3768" s="1">
        <v>1.1399999999999999</v>
      </c>
      <c r="N3768" s="1">
        <v>-0.58813000000000004</v>
      </c>
      <c r="O3768" s="5">
        <f>VLOOKUP(D3768,underlying!$D$76:$H$90,5,FALSE)</f>
        <v>-0.6</v>
      </c>
      <c r="P3768" s="2">
        <f>VLOOKUP(D3768,underlying!$D$76:$L$90,9,FALSE)</f>
        <v>42723</v>
      </c>
      <c r="Q3768" s="7">
        <f>IF(G3768="C",NormalCallSprd(O3768,H3768,M3768,(P3768-A3768)/365), NormalPutSprd(O3768,H3768,M3768,(P3768-A3768)/365))</f>
        <v>0.49056937469417766</v>
      </c>
      <c r="R3768" s="9">
        <f t="shared" si="151"/>
        <v>5.6937469417767117E-4</v>
      </c>
    </row>
    <row r="3769" spans="1:18" x14ac:dyDescent="0.2">
      <c r="A3769" s="2">
        <v>42622</v>
      </c>
      <c r="B3769" s="1" t="s">
        <v>59</v>
      </c>
      <c r="C3769" s="1" t="s">
        <v>14</v>
      </c>
      <c r="D3769" s="2">
        <v>42736</v>
      </c>
      <c r="E3769" s="2">
        <f t="shared" si="150"/>
        <v>42736</v>
      </c>
      <c r="F3769" s="1" t="s">
        <v>60</v>
      </c>
      <c r="G3769" s="1" t="s">
        <v>18</v>
      </c>
      <c r="H3769" s="1">
        <v>-1</v>
      </c>
      <c r="I3769" s="1">
        <v>0.09</v>
      </c>
      <c r="J3769" s="1">
        <v>0.02</v>
      </c>
      <c r="K3769" s="1" t="s">
        <v>65</v>
      </c>
      <c r="L3769" s="1">
        <v>2387</v>
      </c>
      <c r="M3769" s="1">
        <v>1.1399999999999999</v>
      </c>
      <c r="N3769" s="1">
        <v>-0.55850999999999995</v>
      </c>
      <c r="O3769" s="5">
        <f>VLOOKUP(D3769,underlying!$D$76:$H$90,5,FALSE)</f>
        <v>-0.6</v>
      </c>
      <c r="P3769" s="2">
        <f>VLOOKUP(D3769,underlying!$D$76:$L$90,9,FALSE)</f>
        <v>42723</v>
      </c>
      <c r="Q3769" s="7">
        <f>IF(G3769="C",NormalCallSprd(O3769,H3769,M3769,(P3769-A3769)/365), NormalPutSprd(O3769,H3769,M3769,(P3769-A3769)/365))</f>
        <v>9.0569374694177654E-2</v>
      </c>
      <c r="R3769" s="9">
        <f t="shared" si="151"/>
        <v>5.6937469417765729E-4</v>
      </c>
    </row>
    <row r="3770" spans="1:18" x14ac:dyDescent="0.2">
      <c r="A3770" s="2">
        <v>42622</v>
      </c>
      <c r="B3770" s="1" t="s">
        <v>59</v>
      </c>
      <c r="C3770" s="1" t="s">
        <v>14</v>
      </c>
      <c r="D3770" s="2">
        <v>42736</v>
      </c>
      <c r="E3770" s="2">
        <f t="shared" si="150"/>
        <v>42736</v>
      </c>
      <c r="F3770" s="1" t="s">
        <v>60</v>
      </c>
      <c r="G3770" s="1" t="s">
        <v>16</v>
      </c>
      <c r="H3770" s="1">
        <v>-0.95</v>
      </c>
      <c r="I3770" s="1">
        <v>0.45</v>
      </c>
      <c r="J3770" s="1">
        <v>0.03</v>
      </c>
      <c r="K3770" s="1" t="s">
        <v>65</v>
      </c>
      <c r="L3770" s="1">
        <v>2387</v>
      </c>
      <c r="M3770" s="1">
        <v>1.0900000000000001</v>
      </c>
      <c r="N3770" s="1">
        <v>-0.52758000000000005</v>
      </c>
      <c r="O3770" s="5">
        <f>VLOOKUP(D3770,underlying!$D$76:$H$90,5,FALSE)</f>
        <v>-0.6</v>
      </c>
      <c r="P3770" s="2">
        <f>VLOOKUP(D3770,underlying!$D$76:$L$90,9,FALSE)</f>
        <v>42723</v>
      </c>
      <c r="Q3770" s="7">
        <f>IF(G3770="C",NormalCallSprd(O3770,H3770,M3770,(P3770-A3770)/365), NormalPutSprd(O3770,H3770,M3770,(P3770-A3770)/365))</f>
        <v>0.44508529185206008</v>
      </c>
      <c r="R3770" s="9">
        <f t="shared" si="151"/>
        <v>4.9147081479399279E-3</v>
      </c>
    </row>
    <row r="3771" spans="1:18" x14ac:dyDescent="0.2">
      <c r="A3771" s="2">
        <v>42622</v>
      </c>
      <c r="B3771" s="1" t="s">
        <v>59</v>
      </c>
      <c r="C3771" s="1" t="s">
        <v>14</v>
      </c>
      <c r="D3771" s="2">
        <v>42736</v>
      </c>
      <c r="E3771" s="2">
        <f t="shared" si="150"/>
        <v>42736</v>
      </c>
      <c r="F3771" s="1" t="s">
        <v>60</v>
      </c>
      <c r="G3771" s="1" t="s">
        <v>18</v>
      </c>
      <c r="H3771" s="1">
        <v>-0.95</v>
      </c>
      <c r="I3771" s="1">
        <v>0.1</v>
      </c>
      <c r="J3771" s="1">
        <v>0.02</v>
      </c>
      <c r="K3771" s="1" t="s">
        <v>65</v>
      </c>
      <c r="L3771" s="1">
        <v>2387</v>
      </c>
      <c r="M3771" s="1">
        <v>1.0900000000000001</v>
      </c>
      <c r="N3771" s="1">
        <v>-0.49674000000000001</v>
      </c>
      <c r="O3771" s="5">
        <f>VLOOKUP(D3771,underlying!$D$76:$H$90,5,FALSE)</f>
        <v>-0.6</v>
      </c>
      <c r="P3771" s="2">
        <f>VLOOKUP(D3771,underlying!$D$76:$L$90,9,FALSE)</f>
        <v>42723</v>
      </c>
      <c r="Q3771" s="7">
        <f>IF(G3771="C",NormalCallSprd(O3771,H3771,M3771,(P3771-A3771)/365), NormalPutSprd(O3771,H3771,M3771,(P3771-A3771)/365))</f>
        <v>9.5085291852060078E-2</v>
      </c>
      <c r="R3771" s="9">
        <f t="shared" si="151"/>
        <v>4.9147081479399279E-3</v>
      </c>
    </row>
    <row r="3772" spans="1:18" x14ac:dyDescent="0.2">
      <c r="A3772" s="2">
        <v>42622</v>
      </c>
      <c r="B3772" s="1" t="s">
        <v>59</v>
      </c>
      <c r="C3772" s="1" t="s">
        <v>14</v>
      </c>
      <c r="D3772" s="2">
        <v>42736</v>
      </c>
      <c r="E3772" s="2">
        <f t="shared" si="150"/>
        <v>42736</v>
      </c>
      <c r="F3772" s="1" t="s">
        <v>60</v>
      </c>
      <c r="G3772" s="1" t="s">
        <v>16</v>
      </c>
      <c r="H3772" s="1">
        <v>-0.9</v>
      </c>
      <c r="I3772" s="1">
        <v>0.41</v>
      </c>
      <c r="J3772" s="1">
        <v>0.03</v>
      </c>
      <c r="K3772" s="1" t="s">
        <v>65</v>
      </c>
      <c r="L3772" s="1">
        <v>2387</v>
      </c>
      <c r="M3772" s="1">
        <v>1.07</v>
      </c>
      <c r="N3772" s="1">
        <v>-0.46743000000000001</v>
      </c>
      <c r="O3772" s="5">
        <f>VLOOKUP(D3772,underlying!$D$76:$H$90,5,FALSE)</f>
        <v>-0.6</v>
      </c>
      <c r="P3772" s="2">
        <f>VLOOKUP(D3772,underlying!$D$76:$L$90,9,FALSE)</f>
        <v>42723</v>
      </c>
      <c r="Q3772" s="7">
        <f>IF(G3772="C",NormalCallSprd(O3772,H3772,M3772,(P3772-A3772)/365), NormalPutSprd(O3772,H3772,M3772,(P3772-A3772)/365))</f>
        <v>0.40570842111530381</v>
      </c>
      <c r="R3772" s="9">
        <f t="shared" si="151"/>
        <v>4.2915788846961678E-3</v>
      </c>
    </row>
    <row r="3773" spans="1:18" x14ac:dyDescent="0.2">
      <c r="A3773" s="2">
        <v>42622</v>
      </c>
      <c r="B3773" s="1" t="s">
        <v>59</v>
      </c>
      <c r="C3773" s="1" t="s">
        <v>14</v>
      </c>
      <c r="D3773" s="2">
        <v>42736</v>
      </c>
      <c r="E3773" s="2">
        <f t="shared" si="150"/>
        <v>42736</v>
      </c>
      <c r="F3773" s="1" t="s">
        <v>60</v>
      </c>
      <c r="G3773" s="1" t="s">
        <v>18</v>
      </c>
      <c r="H3773" s="1">
        <v>-0.9</v>
      </c>
      <c r="I3773" s="1">
        <v>0.11</v>
      </c>
      <c r="J3773" s="1">
        <v>0.02</v>
      </c>
      <c r="K3773" s="1" t="s">
        <v>65</v>
      </c>
      <c r="L3773" s="1">
        <v>2387</v>
      </c>
      <c r="M3773" s="1">
        <v>1.07</v>
      </c>
      <c r="N3773" s="1">
        <v>-0.43918000000000001</v>
      </c>
      <c r="O3773" s="5">
        <f>VLOOKUP(D3773,underlying!$D$76:$H$90,5,FALSE)</f>
        <v>-0.6</v>
      </c>
      <c r="P3773" s="2">
        <f>VLOOKUP(D3773,underlying!$D$76:$L$90,9,FALSE)</f>
        <v>42723</v>
      </c>
      <c r="Q3773" s="7">
        <f>IF(G3773="C",NormalCallSprd(O3773,H3773,M3773,(P3773-A3773)/365), NormalPutSprd(O3773,H3773,M3773,(P3773-A3773)/365))</f>
        <v>0.10570842111530376</v>
      </c>
      <c r="R3773" s="9">
        <f t="shared" si="151"/>
        <v>4.2915788846962372E-3</v>
      </c>
    </row>
    <row r="3774" spans="1:18" x14ac:dyDescent="0.2">
      <c r="A3774" s="2">
        <v>42622</v>
      </c>
      <c r="B3774" s="1" t="s">
        <v>59</v>
      </c>
      <c r="C3774" s="1" t="s">
        <v>14</v>
      </c>
      <c r="D3774" s="2">
        <v>42736</v>
      </c>
      <c r="E3774" s="2">
        <f t="shared" si="150"/>
        <v>42736</v>
      </c>
      <c r="F3774" s="1" t="s">
        <v>60</v>
      </c>
      <c r="G3774" s="1" t="s">
        <v>16</v>
      </c>
      <c r="H3774" s="1">
        <v>-0.85</v>
      </c>
      <c r="I3774" s="1">
        <v>0.37</v>
      </c>
      <c r="J3774" s="1">
        <v>0.02</v>
      </c>
      <c r="K3774" s="1" t="s">
        <v>65</v>
      </c>
      <c r="L3774" s="1">
        <v>2387</v>
      </c>
      <c r="M3774" s="1">
        <v>1.04</v>
      </c>
      <c r="N3774" s="1">
        <v>-0.41205000000000003</v>
      </c>
      <c r="O3774" s="5">
        <f>VLOOKUP(D3774,underlying!$D$76:$H$90,5,FALSE)</f>
        <v>-0.6</v>
      </c>
      <c r="P3774" s="2">
        <f>VLOOKUP(D3774,underlying!$D$76:$L$90,9,FALSE)</f>
        <v>42723</v>
      </c>
      <c r="Q3774" s="7">
        <f>IF(G3774="C",NormalCallSprd(O3774,H3774,M3774,(P3774-A3774)/365), NormalPutSprd(O3774,H3774,M3774,(P3774-A3774)/365))</f>
        <v>0.36565160489103932</v>
      </c>
      <c r="R3774" s="9">
        <f t="shared" si="151"/>
        <v>4.3483951089606787E-3</v>
      </c>
    </row>
    <row r="3775" spans="1:18" x14ac:dyDescent="0.2">
      <c r="A3775" s="2">
        <v>42622</v>
      </c>
      <c r="B3775" s="1" t="s">
        <v>59</v>
      </c>
      <c r="C3775" s="1" t="s">
        <v>14</v>
      </c>
      <c r="D3775" s="2">
        <v>42736</v>
      </c>
      <c r="E3775" s="2">
        <f t="shared" si="150"/>
        <v>42736</v>
      </c>
      <c r="F3775" s="1" t="s">
        <v>60</v>
      </c>
      <c r="G3775" s="1" t="s">
        <v>18</v>
      </c>
      <c r="H3775" s="1">
        <v>-0.85</v>
      </c>
      <c r="I3775" s="1">
        <v>0.12</v>
      </c>
      <c r="J3775" s="1">
        <v>0.01</v>
      </c>
      <c r="K3775" s="1" t="s">
        <v>65</v>
      </c>
      <c r="L3775" s="1">
        <v>2387</v>
      </c>
      <c r="M3775" s="1">
        <v>1.04</v>
      </c>
      <c r="N3775" s="1">
        <v>-0.38612000000000002</v>
      </c>
      <c r="O3775" s="5">
        <f>VLOOKUP(D3775,underlying!$D$76:$H$90,5,FALSE)</f>
        <v>-0.6</v>
      </c>
      <c r="P3775" s="2">
        <f>VLOOKUP(D3775,underlying!$D$76:$L$90,9,FALSE)</f>
        <v>42723</v>
      </c>
      <c r="Q3775" s="7">
        <f>IF(G3775="C",NormalCallSprd(O3775,H3775,M3775,(P3775-A3775)/365), NormalPutSprd(O3775,H3775,M3775,(P3775-A3775)/365))</f>
        <v>0.11565160489103932</v>
      </c>
      <c r="R3775" s="9">
        <f t="shared" si="151"/>
        <v>4.3483951089606787E-3</v>
      </c>
    </row>
    <row r="3776" spans="1:18" x14ac:dyDescent="0.2">
      <c r="A3776" s="2">
        <v>42622</v>
      </c>
      <c r="B3776" s="1" t="s">
        <v>59</v>
      </c>
      <c r="C3776" s="1" t="s">
        <v>14</v>
      </c>
      <c r="D3776" s="2">
        <v>42736</v>
      </c>
      <c r="E3776" s="2">
        <f t="shared" si="150"/>
        <v>42736</v>
      </c>
      <c r="F3776" s="1" t="s">
        <v>60</v>
      </c>
      <c r="G3776" s="1" t="s">
        <v>16</v>
      </c>
      <c r="H3776" s="1">
        <v>-0.8</v>
      </c>
      <c r="I3776" s="1">
        <v>0.33</v>
      </c>
      <c r="J3776" s="1">
        <v>0.01</v>
      </c>
      <c r="K3776" s="1" t="s">
        <v>65</v>
      </c>
      <c r="L3776" s="1">
        <v>2387</v>
      </c>
      <c r="M3776" s="1">
        <v>1.04</v>
      </c>
      <c r="N3776" s="1">
        <v>-0.36142000000000002</v>
      </c>
      <c r="O3776" s="5">
        <f>VLOOKUP(D3776,underlying!$D$76:$H$90,5,FALSE)</f>
        <v>-0.6</v>
      </c>
      <c r="P3776" s="2">
        <f>VLOOKUP(D3776,underlying!$D$76:$L$90,9,FALSE)</f>
        <v>42723</v>
      </c>
      <c r="Q3776" s="7">
        <f>IF(G3776="C",NormalCallSprd(O3776,H3776,M3776,(P3776-A3776)/365), NormalPutSprd(O3776,H3776,M3776,(P3776-A3776)/365))</f>
        <v>0.33267595495669622</v>
      </c>
      <c r="R3776" s="9">
        <f t="shared" si="151"/>
        <v>2.6759549566962026E-3</v>
      </c>
    </row>
    <row r="3777" spans="1:18" x14ac:dyDescent="0.2">
      <c r="A3777" s="2">
        <v>42622</v>
      </c>
      <c r="B3777" s="1" t="s">
        <v>59</v>
      </c>
      <c r="C3777" s="1" t="s">
        <v>14</v>
      </c>
      <c r="D3777" s="2">
        <v>42736</v>
      </c>
      <c r="E3777" s="2">
        <f t="shared" si="150"/>
        <v>42736</v>
      </c>
      <c r="F3777" s="1" t="s">
        <v>60</v>
      </c>
      <c r="G3777" s="1" t="s">
        <v>18</v>
      </c>
      <c r="H3777" s="1">
        <v>-0.8</v>
      </c>
      <c r="I3777" s="1">
        <v>0.13</v>
      </c>
      <c r="J3777" s="1">
        <v>0</v>
      </c>
      <c r="K3777" s="1" t="s">
        <v>65</v>
      </c>
      <c r="L3777" s="1">
        <v>2387</v>
      </c>
      <c r="M3777" s="1">
        <v>1.04</v>
      </c>
      <c r="N3777" s="1">
        <v>-0.33796999999999999</v>
      </c>
      <c r="O3777" s="5">
        <f>VLOOKUP(D3777,underlying!$D$76:$H$90,5,FALSE)</f>
        <v>-0.6</v>
      </c>
      <c r="P3777" s="2">
        <f>VLOOKUP(D3777,underlying!$D$76:$L$90,9,FALSE)</f>
        <v>42723</v>
      </c>
      <c r="Q3777" s="7">
        <f>IF(G3777="C",NormalCallSprd(O3777,H3777,M3777,(P3777-A3777)/365), NormalPutSprd(O3777,H3777,M3777,(P3777-A3777)/365))</f>
        <v>0.13267595495669618</v>
      </c>
      <c r="R3777" s="9">
        <f t="shared" si="151"/>
        <v>2.6759549566961749E-3</v>
      </c>
    </row>
    <row r="3778" spans="1:18" x14ac:dyDescent="0.2">
      <c r="A3778" s="2">
        <v>42622</v>
      </c>
      <c r="B3778" s="1" t="s">
        <v>59</v>
      </c>
      <c r="C3778" s="1" t="s">
        <v>14</v>
      </c>
      <c r="D3778" s="2">
        <v>42736</v>
      </c>
      <c r="E3778" s="2">
        <f t="shared" ref="E3778:E3841" si="152">DATE(YEAR(D3778),DAY(D3778),MONTH(D3778))</f>
        <v>42736</v>
      </c>
      <c r="F3778" s="1" t="s">
        <v>60</v>
      </c>
      <c r="G3778" s="1" t="s">
        <v>16</v>
      </c>
      <c r="H3778" s="1">
        <v>-0.75</v>
      </c>
      <c r="I3778" s="1">
        <v>0.3</v>
      </c>
      <c r="J3778" s="1">
        <v>0.01</v>
      </c>
      <c r="K3778" s="1" t="s">
        <v>65</v>
      </c>
      <c r="L3778" s="1">
        <v>2387</v>
      </c>
      <c r="M3778" s="1">
        <v>1.04</v>
      </c>
      <c r="N3778" s="1">
        <v>-0.31575999999999999</v>
      </c>
      <c r="O3778" s="5">
        <f>VLOOKUP(D3778,underlying!$D$76:$H$90,5,FALSE)</f>
        <v>-0.6</v>
      </c>
      <c r="P3778" s="2">
        <f>VLOOKUP(D3778,underlying!$D$76:$L$90,9,FALSE)</f>
        <v>42723</v>
      </c>
      <c r="Q3778" s="7">
        <f>IF(G3778="C",NormalCallSprd(O3778,H3778,M3778,(P3778-A3778)/365), NormalPutSprd(O3778,H3778,M3778,(P3778-A3778)/365))</f>
        <v>0.30140449981288953</v>
      </c>
      <c r="R3778" s="9">
        <f t="shared" si="151"/>
        <v>1.404499812889537E-3</v>
      </c>
    </row>
    <row r="3779" spans="1:18" x14ac:dyDescent="0.2">
      <c r="A3779" s="2">
        <v>42622</v>
      </c>
      <c r="B3779" s="1" t="s">
        <v>59</v>
      </c>
      <c r="C3779" s="1" t="s">
        <v>14</v>
      </c>
      <c r="D3779" s="2">
        <v>42736</v>
      </c>
      <c r="E3779" s="2">
        <f t="shared" si="152"/>
        <v>42736</v>
      </c>
      <c r="F3779" s="1" t="s">
        <v>60</v>
      </c>
      <c r="G3779" s="1" t="s">
        <v>18</v>
      </c>
      <c r="H3779" s="1">
        <v>-0.75</v>
      </c>
      <c r="I3779" s="1">
        <v>0.15</v>
      </c>
      <c r="J3779" s="1">
        <v>0</v>
      </c>
      <c r="K3779" s="1" t="s">
        <v>65</v>
      </c>
      <c r="L3779" s="1">
        <v>2387</v>
      </c>
      <c r="M3779" s="1">
        <v>1.04</v>
      </c>
      <c r="N3779" s="1">
        <v>-0.29479</v>
      </c>
      <c r="O3779" s="5">
        <f>VLOOKUP(D3779,underlying!$D$76:$H$90,5,FALSE)</f>
        <v>-0.6</v>
      </c>
      <c r="P3779" s="2">
        <f>VLOOKUP(D3779,underlying!$D$76:$L$90,9,FALSE)</f>
        <v>42723</v>
      </c>
      <c r="Q3779" s="7">
        <f>IF(G3779="C",NormalCallSprd(O3779,H3779,M3779,(P3779-A3779)/365), NormalPutSprd(O3779,H3779,M3779,(P3779-A3779)/365))</f>
        <v>0.1514044998128895</v>
      </c>
      <c r="R3779" s="9">
        <f t="shared" ref="R3779:R3842" si="153">ABS(Q3779-I3779)</f>
        <v>1.4044998128895092E-3</v>
      </c>
    </row>
    <row r="3780" spans="1:18" x14ac:dyDescent="0.2">
      <c r="A3780" s="2">
        <v>42622</v>
      </c>
      <c r="B3780" s="1" t="s">
        <v>59</v>
      </c>
      <c r="C3780" s="1" t="s">
        <v>14</v>
      </c>
      <c r="D3780" s="2">
        <v>42736</v>
      </c>
      <c r="E3780" s="2">
        <f t="shared" si="152"/>
        <v>42736</v>
      </c>
      <c r="F3780" s="1" t="s">
        <v>60</v>
      </c>
      <c r="G3780" s="1" t="s">
        <v>16</v>
      </c>
      <c r="H3780" s="1">
        <v>-0.7</v>
      </c>
      <c r="I3780" s="1">
        <v>0.27</v>
      </c>
      <c r="J3780" s="1">
        <v>0.01</v>
      </c>
      <c r="K3780" s="1" t="s">
        <v>65</v>
      </c>
      <c r="L3780" s="1">
        <v>2387</v>
      </c>
      <c r="M3780" s="1">
        <v>1.04</v>
      </c>
      <c r="N3780" s="1">
        <v>-0.27504000000000001</v>
      </c>
      <c r="O3780" s="5">
        <f>VLOOKUP(D3780,underlying!$D$76:$H$90,5,FALSE)</f>
        <v>-0.6</v>
      </c>
      <c r="P3780" s="2">
        <f>VLOOKUP(D3780,underlying!$D$76:$L$90,9,FALSE)</f>
        <v>42723</v>
      </c>
      <c r="Q3780" s="7">
        <f>IF(G3780="C",NormalCallSprd(O3780,H3780,M3780,(P3780-A3780)/365), NormalPutSprd(O3780,H3780,M3780,(P3780-A3780)/365))</f>
        <v>0.27188772682389956</v>
      </c>
      <c r="R3780" s="9">
        <f t="shared" si="153"/>
        <v>1.8877268238995382E-3</v>
      </c>
    </row>
    <row r="3781" spans="1:18" x14ac:dyDescent="0.2">
      <c r="A3781" s="2">
        <v>42622</v>
      </c>
      <c r="B3781" s="1" t="s">
        <v>59</v>
      </c>
      <c r="C3781" s="1" t="s">
        <v>14</v>
      </c>
      <c r="D3781" s="2">
        <v>42736</v>
      </c>
      <c r="E3781" s="2">
        <f t="shared" si="152"/>
        <v>42736</v>
      </c>
      <c r="F3781" s="1" t="s">
        <v>60</v>
      </c>
      <c r="G3781" s="1" t="s">
        <v>18</v>
      </c>
      <c r="H3781" s="1">
        <v>-0.7</v>
      </c>
      <c r="I3781" s="1">
        <v>0.17</v>
      </c>
      <c r="J3781" s="1">
        <v>0</v>
      </c>
      <c r="K3781" s="1" t="s">
        <v>65</v>
      </c>
      <c r="L3781" s="1">
        <v>2387</v>
      </c>
      <c r="M3781" s="1">
        <v>1.04</v>
      </c>
      <c r="N3781" s="1">
        <v>-0.25417000000000001</v>
      </c>
      <c r="O3781" s="5">
        <f>VLOOKUP(D3781,underlying!$D$76:$H$90,5,FALSE)</f>
        <v>-0.6</v>
      </c>
      <c r="P3781" s="2">
        <f>VLOOKUP(D3781,underlying!$D$76:$L$90,9,FALSE)</f>
        <v>42723</v>
      </c>
      <c r="Q3781" s="7">
        <f>IF(G3781="C",NormalCallSprd(O3781,H3781,M3781,(P3781-A3781)/365), NormalPutSprd(O3781,H3781,M3781,(P3781-A3781)/365))</f>
        <v>0.17188772682389955</v>
      </c>
      <c r="R3781" s="9">
        <f t="shared" si="153"/>
        <v>1.8877268238995382E-3</v>
      </c>
    </row>
    <row r="3782" spans="1:18" x14ac:dyDescent="0.2">
      <c r="A3782" s="2">
        <v>42622</v>
      </c>
      <c r="B3782" s="1" t="s">
        <v>59</v>
      </c>
      <c r="C3782" s="1" t="s">
        <v>14</v>
      </c>
      <c r="D3782" s="2">
        <v>42736</v>
      </c>
      <c r="E3782" s="2">
        <f t="shared" si="152"/>
        <v>42736</v>
      </c>
      <c r="F3782" s="1" t="s">
        <v>60</v>
      </c>
      <c r="G3782" s="1" t="s">
        <v>16</v>
      </c>
      <c r="H3782" s="1">
        <v>-0.65</v>
      </c>
      <c r="I3782" s="1">
        <v>0.24</v>
      </c>
      <c r="J3782" s="1">
        <v>0.01</v>
      </c>
      <c r="K3782" s="1" t="s">
        <v>65</v>
      </c>
      <c r="L3782" s="1">
        <v>2387</v>
      </c>
      <c r="M3782" s="1">
        <v>1.04</v>
      </c>
      <c r="N3782" s="1">
        <v>-0.23366000000000001</v>
      </c>
      <c r="O3782" s="5">
        <f>VLOOKUP(D3782,underlying!$D$76:$H$90,5,FALSE)</f>
        <v>-0.6</v>
      </c>
      <c r="P3782" s="2">
        <f>VLOOKUP(D3782,underlying!$D$76:$L$90,9,FALSE)</f>
        <v>42723</v>
      </c>
      <c r="Q3782" s="7">
        <f>IF(G3782="C",NormalCallSprd(O3782,H3782,M3782,(P3782-A3782)/365), NormalPutSprd(O3782,H3782,M3782,(P3782-A3782)/365))</f>
        <v>0.24416261157119259</v>
      </c>
      <c r="R3782" s="9">
        <f t="shared" si="153"/>
        <v>4.1626115711926037E-3</v>
      </c>
    </row>
    <row r="3783" spans="1:18" x14ac:dyDescent="0.2">
      <c r="A3783" s="2">
        <v>42622</v>
      </c>
      <c r="B3783" s="1" t="s">
        <v>59</v>
      </c>
      <c r="C3783" s="1" t="s">
        <v>14</v>
      </c>
      <c r="D3783" s="2">
        <v>42736</v>
      </c>
      <c r="E3783" s="2">
        <f t="shared" si="152"/>
        <v>42736</v>
      </c>
      <c r="F3783" s="1" t="s">
        <v>60</v>
      </c>
      <c r="G3783" s="1" t="s">
        <v>18</v>
      </c>
      <c r="H3783" s="1">
        <v>-0.65</v>
      </c>
      <c r="I3783" s="1">
        <v>0.19</v>
      </c>
      <c r="J3783" s="1">
        <v>0</v>
      </c>
      <c r="K3783" s="1" t="s">
        <v>65</v>
      </c>
      <c r="L3783" s="1">
        <v>2387</v>
      </c>
      <c r="M3783" s="1">
        <v>1.04</v>
      </c>
      <c r="N3783" s="1">
        <v>-0.21662000000000001</v>
      </c>
      <c r="O3783" s="5">
        <f>VLOOKUP(D3783,underlying!$D$76:$H$90,5,FALSE)</f>
        <v>-0.6</v>
      </c>
      <c r="P3783" s="2">
        <f>VLOOKUP(D3783,underlying!$D$76:$L$90,9,FALSE)</f>
        <v>42723</v>
      </c>
      <c r="Q3783" s="7">
        <f>IF(G3783="C",NormalCallSprd(O3783,H3783,M3783,(P3783-A3783)/365), NormalPutSprd(O3783,H3783,M3783,(P3783-A3783)/365))</f>
        <v>0.19416261157119255</v>
      </c>
      <c r="R3783" s="9">
        <f t="shared" si="153"/>
        <v>4.1626115711925482E-3</v>
      </c>
    </row>
    <row r="3784" spans="1:18" x14ac:dyDescent="0.2">
      <c r="A3784" s="2">
        <v>42622</v>
      </c>
      <c r="B3784" s="1" t="s">
        <v>59</v>
      </c>
      <c r="C3784" s="1" t="s">
        <v>14</v>
      </c>
      <c r="D3784" s="2">
        <v>42736</v>
      </c>
      <c r="E3784" s="2">
        <f t="shared" si="152"/>
        <v>42736</v>
      </c>
      <c r="F3784" s="1" t="s">
        <v>60</v>
      </c>
      <c r="G3784" s="1" t="s">
        <v>16</v>
      </c>
      <c r="H3784" s="1">
        <v>-0.6</v>
      </c>
      <c r="I3784" s="1">
        <v>0.22</v>
      </c>
      <c r="J3784" s="1">
        <v>0.01</v>
      </c>
      <c r="K3784" s="1" t="s">
        <v>65</v>
      </c>
      <c r="L3784" s="1">
        <v>2387</v>
      </c>
      <c r="M3784" s="1">
        <v>1.05</v>
      </c>
      <c r="N3784" s="1">
        <v>-0.19875000000000001</v>
      </c>
      <c r="O3784" s="5">
        <f>VLOOKUP(D3784,underlying!$D$76:$H$90,5,FALSE)</f>
        <v>-0.6</v>
      </c>
      <c r="P3784" s="2">
        <f>VLOOKUP(D3784,underlying!$D$76:$L$90,9,FALSE)</f>
        <v>42723</v>
      </c>
      <c r="Q3784" s="7">
        <f>IF(G3784="C",NormalCallSprd(O3784,H3784,M3784,(P3784-A3784)/365), NormalPutSprd(O3784,H3784,M3784,(P3784-A3784)/365))</f>
        <v>0.22035028651870975</v>
      </c>
      <c r="R3784" s="9">
        <f t="shared" si="153"/>
        <v>3.5028651870974703E-4</v>
      </c>
    </row>
    <row r="3785" spans="1:18" x14ac:dyDescent="0.2">
      <c r="A3785" s="2">
        <v>42622</v>
      </c>
      <c r="B3785" s="1" t="s">
        <v>59</v>
      </c>
      <c r="C3785" s="1" t="s">
        <v>14</v>
      </c>
      <c r="D3785" s="2">
        <v>42736</v>
      </c>
      <c r="E3785" s="2">
        <f t="shared" si="152"/>
        <v>42736</v>
      </c>
      <c r="F3785" s="1" t="s">
        <v>60</v>
      </c>
      <c r="G3785" s="1" t="s">
        <v>18</v>
      </c>
      <c r="H3785" s="1">
        <v>-0.6</v>
      </c>
      <c r="I3785" s="1">
        <v>0.22</v>
      </c>
      <c r="J3785" s="1">
        <v>0</v>
      </c>
      <c r="K3785" s="1" t="s">
        <v>65</v>
      </c>
      <c r="L3785" s="1">
        <v>2387</v>
      </c>
      <c r="M3785" s="1">
        <v>1.05</v>
      </c>
      <c r="N3785" s="1">
        <v>-0.15225</v>
      </c>
      <c r="O3785" s="5">
        <f>VLOOKUP(D3785,underlying!$D$76:$H$90,5,FALSE)</f>
        <v>-0.6</v>
      </c>
      <c r="P3785" s="2">
        <f>VLOOKUP(D3785,underlying!$D$76:$L$90,9,FALSE)</f>
        <v>42723</v>
      </c>
      <c r="Q3785" s="7">
        <f>IF(G3785="C",NormalCallSprd(O3785,H3785,M3785,(P3785-A3785)/365), NormalPutSprd(O3785,H3785,M3785,(P3785-A3785)/365))</f>
        <v>0.22035028651870975</v>
      </c>
      <c r="R3785" s="9">
        <f t="shared" si="153"/>
        <v>3.5028651870974703E-4</v>
      </c>
    </row>
    <row r="3786" spans="1:18" x14ac:dyDescent="0.2">
      <c r="A3786" s="2">
        <v>42622</v>
      </c>
      <c r="B3786" s="1" t="s">
        <v>59</v>
      </c>
      <c r="C3786" s="1" t="s">
        <v>14</v>
      </c>
      <c r="D3786" s="2">
        <v>42736</v>
      </c>
      <c r="E3786" s="2">
        <f t="shared" si="152"/>
        <v>42736</v>
      </c>
      <c r="F3786" s="1" t="s">
        <v>60</v>
      </c>
      <c r="G3786" s="1" t="s">
        <v>16</v>
      </c>
      <c r="H3786" s="1">
        <v>-0.55000000000000004</v>
      </c>
      <c r="I3786" s="1">
        <v>0.19</v>
      </c>
      <c r="J3786" s="1">
        <v>0.01</v>
      </c>
      <c r="K3786" s="1" t="s">
        <v>65</v>
      </c>
      <c r="L3786" s="1">
        <v>2387</v>
      </c>
      <c r="M3786" s="1">
        <v>1</v>
      </c>
      <c r="N3786" s="1">
        <v>-1.7639999999999999E-2</v>
      </c>
      <c r="O3786" s="5">
        <f>VLOOKUP(D3786,underlying!$D$76:$H$90,5,FALSE)</f>
        <v>-0.6</v>
      </c>
      <c r="P3786" s="2">
        <f>VLOOKUP(D3786,underlying!$D$76:$L$90,9,FALSE)</f>
        <v>42723</v>
      </c>
      <c r="Q3786" s="7">
        <f>IF(G3786="C",NormalCallSprd(O3786,H3786,M3786,(P3786-A3786)/365), NormalPutSprd(O3786,H3786,M3786,(P3786-A3786)/365))</f>
        <v>0.18580469715706108</v>
      </c>
      <c r="R3786" s="9">
        <f t="shared" si="153"/>
        <v>4.195302842938925E-3</v>
      </c>
    </row>
    <row r="3787" spans="1:18" x14ac:dyDescent="0.2">
      <c r="A3787" s="2">
        <v>42622</v>
      </c>
      <c r="B3787" s="1" t="s">
        <v>59</v>
      </c>
      <c r="C3787" s="1" t="s">
        <v>14</v>
      </c>
      <c r="D3787" s="2">
        <v>42736</v>
      </c>
      <c r="E3787" s="2">
        <f t="shared" si="152"/>
        <v>42736</v>
      </c>
      <c r="F3787" s="1" t="s">
        <v>60</v>
      </c>
      <c r="G3787" s="1" t="s">
        <v>18</v>
      </c>
      <c r="H3787" s="1">
        <v>-0.55000000000000004</v>
      </c>
      <c r="I3787" s="1">
        <v>0.24</v>
      </c>
      <c r="J3787" s="1">
        <v>0</v>
      </c>
      <c r="K3787" s="1" t="s">
        <v>65</v>
      </c>
      <c r="L3787" s="1">
        <v>2387</v>
      </c>
      <c r="M3787" s="1">
        <v>1</v>
      </c>
      <c r="N3787" s="1">
        <v>-8.0999999999999996E-4</v>
      </c>
      <c r="O3787" s="5">
        <f>VLOOKUP(D3787,underlying!$D$76:$H$90,5,FALSE)</f>
        <v>-0.6</v>
      </c>
      <c r="P3787" s="2">
        <f>VLOOKUP(D3787,underlying!$D$76:$L$90,9,FALSE)</f>
        <v>42723</v>
      </c>
      <c r="Q3787" s="7">
        <f>IF(G3787="C",NormalCallSprd(O3787,H3787,M3787,(P3787-A3787)/365), NormalPutSprd(O3787,H3787,M3787,(P3787-A3787)/365))</f>
        <v>0.23580469715706098</v>
      </c>
      <c r="R3787" s="9">
        <f t="shared" si="153"/>
        <v>4.1953028429390082E-3</v>
      </c>
    </row>
    <row r="3788" spans="1:18" x14ac:dyDescent="0.2">
      <c r="A3788" s="2">
        <v>42622</v>
      </c>
      <c r="B3788" s="1" t="s">
        <v>59</v>
      </c>
      <c r="C3788" s="1" t="s">
        <v>14</v>
      </c>
      <c r="D3788" s="2">
        <v>42736</v>
      </c>
      <c r="E3788" s="2">
        <f t="shared" si="152"/>
        <v>42736</v>
      </c>
      <c r="F3788" s="1" t="s">
        <v>60</v>
      </c>
      <c r="G3788" s="1" t="s">
        <v>16</v>
      </c>
      <c r="H3788" s="1">
        <v>-0.5</v>
      </c>
      <c r="I3788" s="1">
        <v>0.15</v>
      </c>
      <c r="J3788" s="1">
        <v>0</v>
      </c>
      <c r="K3788" s="1" t="s">
        <v>65</v>
      </c>
      <c r="L3788" s="1">
        <v>2387</v>
      </c>
      <c r="M3788" s="1">
        <v>0.94</v>
      </c>
      <c r="N3788" s="1">
        <v>0.16653000000000001</v>
      </c>
      <c r="O3788" s="5">
        <f>VLOOKUP(D3788,underlying!$D$76:$H$90,5,FALSE)</f>
        <v>-0.6</v>
      </c>
      <c r="P3788" s="2">
        <f>VLOOKUP(D3788,underlying!$D$76:$L$90,9,FALSE)</f>
        <v>42723</v>
      </c>
      <c r="Q3788" s="7">
        <f>IF(G3788="C",NormalCallSprd(O3788,H3788,M3788,(P3788-A3788)/365), NormalPutSprd(O3788,H3788,M3788,(P3788-A3788)/365))</f>
        <v>0.15128629698126866</v>
      </c>
      <c r="R3788" s="9">
        <f t="shared" si="153"/>
        <v>1.2862969812686698E-3</v>
      </c>
    </row>
    <row r="3789" spans="1:18" x14ac:dyDescent="0.2">
      <c r="A3789" s="2">
        <v>42622</v>
      </c>
      <c r="B3789" s="1" t="s">
        <v>59</v>
      </c>
      <c r="C3789" s="1" t="s">
        <v>14</v>
      </c>
      <c r="D3789" s="2">
        <v>42736</v>
      </c>
      <c r="E3789" s="2">
        <f t="shared" si="152"/>
        <v>42736</v>
      </c>
      <c r="F3789" s="1" t="s">
        <v>60</v>
      </c>
      <c r="G3789" s="1" t="s">
        <v>18</v>
      </c>
      <c r="H3789" s="1">
        <v>-0.5</v>
      </c>
      <c r="I3789" s="1">
        <v>0.25</v>
      </c>
      <c r="J3789" s="1">
        <v>-0.01</v>
      </c>
      <c r="K3789" s="1" t="s">
        <v>65</v>
      </c>
      <c r="L3789" s="1">
        <v>2387</v>
      </c>
      <c r="M3789" s="1">
        <v>0.94</v>
      </c>
      <c r="N3789" s="1">
        <v>0.19095000000000001</v>
      </c>
      <c r="O3789" s="5">
        <f>VLOOKUP(D3789,underlying!$D$76:$H$90,5,FALSE)</f>
        <v>-0.6</v>
      </c>
      <c r="P3789" s="2">
        <f>VLOOKUP(D3789,underlying!$D$76:$L$90,9,FALSE)</f>
        <v>42723</v>
      </c>
      <c r="Q3789" s="7">
        <f>IF(G3789="C",NormalCallSprd(O3789,H3789,M3789,(P3789-A3789)/365), NormalPutSprd(O3789,H3789,M3789,(P3789-A3789)/365))</f>
        <v>0.25128629698126864</v>
      </c>
      <c r="R3789" s="9">
        <f t="shared" si="153"/>
        <v>1.286296981268642E-3</v>
      </c>
    </row>
    <row r="3790" spans="1:18" x14ac:dyDescent="0.2">
      <c r="A3790" s="2">
        <v>42622</v>
      </c>
      <c r="B3790" s="1" t="s">
        <v>59</v>
      </c>
      <c r="C3790" s="1" t="s">
        <v>14</v>
      </c>
      <c r="D3790" s="2">
        <v>42736</v>
      </c>
      <c r="E3790" s="2">
        <f t="shared" si="152"/>
        <v>42736</v>
      </c>
      <c r="F3790" s="1" t="s">
        <v>60</v>
      </c>
      <c r="G3790" s="1" t="s">
        <v>16</v>
      </c>
      <c r="H3790" s="1">
        <v>-0.45</v>
      </c>
      <c r="I3790" s="1">
        <v>0.13</v>
      </c>
      <c r="J3790" s="1">
        <v>0</v>
      </c>
      <c r="K3790" s="1" t="s">
        <v>65</v>
      </c>
      <c r="L3790" s="1">
        <v>2387</v>
      </c>
      <c r="M3790" s="1">
        <v>0.93</v>
      </c>
      <c r="N3790" s="1">
        <v>0.21584</v>
      </c>
      <c r="O3790" s="5">
        <f>VLOOKUP(D3790,underlying!$D$76:$H$90,5,FALSE)</f>
        <v>-0.6</v>
      </c>
      <c r="P3790" s="2">
        <f>VLOOKUP(D3790,underlying!$D$76:$L$90,9,FALSE)</f>
        <v>42723</v>
      </c>
      <c r="Q3790" s="7">
        <f>IF(G3790="C",NormalCallSprd(O3790,H3790,M3790,(P3790-A3790)/365), NormalPutSprd(O3790,H3790,M3790,(P3790-A3790)/365))</f>
        <v>0.12927033309749711</v>
      </c>
      <c r="R3790" s="9">
        <f t="shared" si="153"/>
        <v>7.2966690250289568E-4</v>
      </c>
    </row>
    <row r="3791" spans="1:18" x14ac:dyDescent="0.2">
      <c r="A3791" s="2">
        <v>42622</v>
      </c>
      <c r="B3791" s="1" t="s">
        <v>59</v>
      </c>
      <c r="C3791" s="1" t="s">
        <v>14</v>
      </c>
      <c r="D3791" s="2">
        <v>42736</v>
      </c>
      <c r="E3791" s="2">
        <f t="shared" si="152"/>
        <v>42736</v>
      </c>
      <c r="F3791" s="1" t="s">
        <v>60</v>
      </c>
      <c r="G3791" s="1" t="s">
        <v>18</v>
      </c>
      <c r="H3791" s="1">
        <v>-0.45</v>
      </c>
      <c r="I3791" s="1">
        <v>0.28000000000000003</v>
      </c>
      <c r="J3791" s="1">
        <v>-0.01</v>
      </c>
      <c r="K3791" s="1" t="s">
        <v>65</v>
      </c>
      <c r="L3791" s="1">
        <v>2387</v>
      </c>
      <c r="M3791" s="1">
        <v>0.93</v>
      </c>
      <c r="N3791" s="1">
        <v>0.22505</v>
      </c>
      <c r="O3791" s="5">
        <f>VLOOKUP(D3791,underlying!$D$76:$H$90,5,FALSE)</f>
        <v>-0.6</v>
      </c>
      <c r="P3791" s="2">
        <f>VLOOKUP(D3791,underlying!$D$76:$L$90,9,FALSE)</f>
        <v>42723</v>
      </c>
      <c r="Q3791" s="7">
        <f>IF(G3791="C",NormalCallSprd(O3791,H3791,M3791,(P3791-A3791)/365), NormalPutSprd(O3791,H3791,M3791,(P3791-A3791)/365))</f>
        <v>0.27927033309749705</v>
      </c>
      <c r="R3791" s="9">
        <f t="shared" si="153"/>
        <v>7.2966690250297894E-4</v>
      </c>
    </row>
    <row r="3792" spans="1:18" x14ac:dyDescent="0.2">
      <c r="A3792" s="2">
        <v>42622</v>
      </c>
      <c r="B3792" s="1" t="s">
        <v>59</v>
      </c>
      <c r="C3792" s="1" t="s">
        <v>14</v>
      </c>
      <c r="D3792" s="2">
        <v>42736</v>
      </c>
      <c r="E3792" s="2">
        <f t="shared" si="152"/>
        <v>42736</v>
      </c>
      <c r="F3792" s="1" t="s">
        <v>60</v>
      </c>
      <c r="G3792" s="1" t="s">
        <v>16</v>
      </c>
      <c r="H3792" s="1">
        <v>-0.4</v>
      </c>
      <c r="I3792" s="1">
        <v>0.11</v>
      </c>
      <c r="J3792" s="1">
        <v>0</v>
      </c>
      <c r="K3792" s="1" t="s">
        <v>65</v>
      </c>
      <c r="L3792" s="1">
        <v>2387</v>
      </c>
      <c r="M3792" s="1">
        <v>0.92</v>
      </c>
      <c r="N3792" s="1">
        <v>0.24038999999999999</v>
      </c>
      <c r="O3792" s="5">
        <f>VLOOKUP(D3792,underlying!$D$76:$H$90,5,FALSE)</f>
        <v>-0.6</v>
      </c>
      <c r="P3792" s="2">
        <f>VLOOKUP(D3792,underlying!$D$76:$L$90,9,FALSE)</f>
        <v>42723</v>
      </c>
      <c r="Q3792" s="7">
        <f>IF(G3792="C",NormalCallSprd(O3792,H3792,M3792,(P3792-A3792)/365), NormalPutSprd(O3792,H3792,M3792,(P3792-A3792)/365))</f>
        <v>0.10932498505592579</v>
      </c>
      <c r="R3792" s="9">
        <f t="shared" si="153"/>
        <v>6.7501494407420926E-4</v>
      </c>
    </row>
    <row r="3793" spans="1:18" x14ac:dyDescent="0.2">
      <c r="A3793" s="2">
        <v>42622</v>
      </c>
      <c r="B3793" s="1" t="s">
        <v>59</v>
      </c>
      <c r="C3793" s="1" t="s">
        <v>14</v>
      </c>
      <c r="D3793" s="2">
        <v>42736</v>
      </c>
      <c r="E3793" s="2">
        <f t="shared" si="152"/>
        <v>42736</v>
      </c>
      <c r="F3793" s="1" t="s">
        <v>60</v>
      </c>
      <c r="G3793" s="1" t="s">
        <v>18</v>
      </c>
      <c r="H3793" s="1">
        <v>-0.4</v>
      </c>
      <c r="I3793" s="1">
        <v>0.31</v>
      </c>
      <c r="J3793" s="1">
        <v>-0.01</v>
      </c>
      <c r="K3793" s="1" t="s">
        <v>65</v>
      </c>
      <c r="L3793" s="1">
        <v>2387</v>
      </c>
      <c r="M3793" s="1">
        <v>0.92</v>
      </c>
      <c r="N3793" s="1">
        <v>0.26917999999999997</v>
      </c>
      <c r="O3793" s="5">
        <f>VLOOKUP(D3793,underlying!$D$76:$H$90,5,FALSE)</f>
        <v>-0.6</v>
      </c>
      <c r="P3793" s="2">
        <f>VLOOKUP(D3793,underlying!$D$76:$L$90,9,FALSE)</f>
        <v>42723</v>
      </c>
      <c r="Q3793" s="7">
        <f>IF(G3793="C",NormalCallSprd(O3793,H3793,M3793,(P3793-A3793)/365), NormalPutSprd(O3793,H3793,M3793,(P3793-A3793)/365))</f>
        <v>0.30932498505592576</v>
      </c>
      <c r="R3793" s="9">
        <f t="shared" si="153"/>
        <v>6.7501494407423701E-4</v>
      </c>
    </row>
    <row r="3794" spans="1:18" x14ac:dyDescent="0.2">
      <c r="A3794" s="2">
        <v>42622</v>
      </c>
      <c r="B3794" s="1" t="s">
        <v>59</v>
      </c>
      <c r="C3794" s="1" t="s">
        <v>14</v>
      </c>
      <c r="D3794" s="2">
        <v>42736</v>
      </c>
      <c r="E3794" s="2">
        <f t="shared" si="152"/>
        <v>42736</v>
      </c>
      <c r="F3794" s="1" t="s">
        <v>60</v>
      </c>
      <c r="G3794" s="1" t="s">
        <v>16</v>
      </c>
      <c r="H3794" s="1">
        <v>-0.35</v>
      </c>
      <c r="I3794" s="1">
        <v>0.09</v>
      </c>
      <c r="J3794" s="1">
        <v>-0.01</v>
      </c>
      <c r="K3794" s="1" t="s">
        <v>65</v>
      </c>
      <c r="L3794" s="1">
        <v>2387</v>
      </c>
      <c r="M3794" s="1">
        <v>0.91</v>
      </c>
      <c r="N3794" s="1">
        <v>0.29969000000000001</v>
      </c>
      <c r="O3794" s="5">
        <f>VLOOKUP(D3794,underlying!$D$76:$H$90,5,FALSE)</f>
        <v>-0.6</v>
      </c>
      <c r="P3794" s="2">
        <f>VLOOKUP(D3794,underlying!$D$76:$L$90,9,FALSE)</f>
        <v>42723</v>
      </c>
      <c r="Q3794" s="7">
        <f>IF(G3794="C",NormalCallSprd(O3794,H3794,M3794,(P3794-A3794)/365), NormalPutSprd(O3794,H3794,M3794,(P3794-A3794)/365))</f>
        <v>9.1437855084939207E-2</v>
      </c>
      <c r="R3794" s="9">
        <f t="shared" si="153"/>
        <v>1.4378550849392102E-3</v>
      </c>
    </row>
    <row r="3795" spans="1:18" x14ac:dyDescent="0.2">
      <c r="A3795" s="2">
        <v>42622</v>
      </c>
      <c r="B3795" s="1" t="s">
        <v>59</v>
      </c>
      <c r="C3795" s="1" t="s">
        <v>14</v>
      </c>
      <c r="D3795" s="2">
        <v>42736</v>
      </c>
      <c r="E3795" s="2">
        <f t="shared" si="152"/>
        <v>42736</v>
      </c>
      <c r="F3795" s="1" t="s">
        <v>60</v>
      </c>
      <c r="G3795" s="1" t="s">
        <v>18</v>
      </c>
      <c r="H3795" s="1">
        <v>-0.35</v>
      </c>
      <c r="I3795" s="1">
        <v>0.34</v>
      </c>
      <c r="J3795" s="1">
        <v>-0.02</v>
      </c>
      <c r="K3795" s="1" t="s">
        <v>65</v>
      </c>
      <c r="L3795" s="1">
        <v>2387</v>
      </c>
      <c r="M3795" s="1">
        <v>0.91</v>
      </c>
      <c r="N3795" s="1">
        <v>0.33876000000000001</v>
      </c>
      <c r="O3795" s="5">
        <f>VLOOKUP(D3795,underlying!$D$76:$H$90,5,FALSE)</f>
        <v>-0.6</v>
      </c>
      <c r="P3795" s="2">
        <f>VLOOKUP(D3795,underlying!$D$76:$L$90,9,FALSE)</f>
        <v>42723</v>
      </c>
      <c r="Q3795" s="7">
        <f>IF(G3795="C",NormalCallSprd(O3795,H3795,M3795,(P3795-A3795)/365), NormalPutSprd(O3795,H3795,M3795,(P3795-A3795)/365))</f>
        <v>0.34143785508493918</v>
      </c>
      <c r="R3795" s="9">
        <f t="shared" si="153"/>
        <v>1.4378550849391547E-3</v>
      </c>
    </row>
    <row r="3796" spans="1:18" x14ac:dyDescent="0.2">
      <c r="A3796" s="2">
        <v>42622</v>
      </c>
      <c r="B3796" s="1" t="s">
        <v>59</v>
      </c>
      <c r="C3796" s="1" t="s">
        <v>14</v>
      </c>
      <c r="D3796" s="2">
        <v>42736</v>
      </c>
      <c r="E3796" s="2">
        <f t="shared" si="152"/>
        <v>42736</v>
      </c>
      <c r="F3796" s="1" t="s">
        <v>60</v>
      </c>
      <c r="G3796" s="1" t="s">
        <v>16</v>
      </c>
      <c r="H3796" s="1">
        <v>-0.3</v>
      </c>
      <c r="I3796" s="1">
        <v>0.08</v>
      </c>
      <c r="J3796" s="1">
        <v>-0.01</v>
      </c>
      <c r="K3796" s="1" t="s">
        <v>65</v>
      </c>
      <c r="L3796" s="1">
        <v>2387</v>
      </c>
      <c r="M3796" s="1">
        <v>0.93</v>
      </c>
      <c r="N3796" s="1">
        <v>0.37846000000000002</v>
      </c>
      <c r="O3796" s="5">
        <f>VLOOKUP(D3796,underlying!$D$76:$H$90,5,FALSE)</f>
        <v>-0.6</v>
      </c>
      <c r="P3796" s="2">
        <f>VLOOKUP(D3796,underlying!$D$76:$L$90,9,FALSE)</f>
        <v>42723</v>
      </c>
      <c r="Q3796" s="7">
        <f>IF(G3796="C",NormalCallSprd(O3796,H3796,M3796,(P3796-A3796)/365), NormalPutSprd(O3796,H3796,M3796,(P3796-A3796)/365))</f>
        <v>8.0755808148973068E-2</v>
      </c>
      <c r="R3796" s="9">
        <f t="shared" si="153"/>
        <v>7.558081489730667E-4</v>
      </c>
    </row>
    <row r="3797" spans="1:18" x14ac:dyDescent="0.2">
      <c r="A3797" s="2">
        <v>42622</v>
      </c>
      <c r="B3797" s="1" t="s">
        <v>59</v>
      </c>
      <c r="C3797" s="1" t="s">
        <v>14</v>
      </c>
      <c r="D3797" s="2">
        <v>42736</v>
      </c>
      <c r="E3797" s="2">
        <f t="shared" si="152"/>
        <v>42736</v>
      </c>
      <c r="F3797" s="1" t="s">
        <v>60</v>
      </c>
      <c r="G3797" s="1" t="s">
        <v>18</v>
      </c>
      <c r="H3797" s="1">
        <v>-0.3</v>
      </c>
      <c r="I3797" s="1">
        <v>0.38</v>
      </c>
      <c r="J3797" s="1">
        <v>-0.02</v>
      </c>
      <c r="K3797" s="1" t="s">
        <v>65</v>
      </c>
      <c r="L3797" s="1">
        <v>2387</v>
      </c>
      <c r="M3797" s="1">
        <v>0.93</v>
      </c>
      <c r="N3797" s="1">
        <v>0.41893000000000002</v>
      </c>
      <c r="O3797" s="5">
        <f>VLOOKUP(D3797,underlying!$D$76:$H$90,5,FALSE)</f>
        <v>-0.6</v>
      </c>
      <c r="P3797" s="2">
        <f>VLOOKUP(D3797,underlying!$D$76:$L$90,9,FALSE)</f>
        <v>42723</v>
      </c>
      <c r="Q3797" s="7">
        <f>IF(G3797="C",NormalCallSprd(O3797,H3797,M3797,(P3797-A3797)/365), NormalPutSprd(O3797,H3797,M3797,(P3797-A3797)/365))</f>
        <v>0.38075580814897303</v>
      </c>
      <c r="R3797" s="9">
        <f t="shared" si="153"/>
        <v>7.5580814897302506E-4</v>
      </c>
    </row>
    <row r="3798" spans="1:18" x14ac:dyDescent="0.2">
      <c r="A3798" s="2">
        <v>42622</v>
      </c>
      <c r="B3798" s="1" t="s">
        <v>59</v>
      </c>
      <c r="C3798" s="1" t="s">
        <v>14</v>
      </c>
      <c r="D3798" s="2">
        <v>42736</v>
      </c>
      <c r="E3798" s="2">
        <f t="shared" si="152"/>
        <v>42736</v>
      </c>
      <c r="F3798" s="1" t="s">
        <v>60</v>
      </c>
      <c r="G3798" s="1" t="s">
        <v>16</v>
      </c>
      <c r="H3798" s="1">
        <v>-0.25</v>
      </c>
      <c r="I3798" s="1">
        <v>7.0000000000000007E-2</v>
      </c>
      <c r="J3798" s="1">
        <v>-0.01</v>
      </c>
      <c r="K3798" s="1" t="s">
        <v>65</v>
      </c>
      <c r="L3798" s="1">
        <v>2387</v>
      </c>
      <c r="M3798" s="1">
        <v>0.95</v>
      </c>
      <c r="N3798" s="1">
        <v>0.46156000000000003</v>
      </c>
      <c r="O3798" s="5">
        <f>VLOOKUP(D3798,underlying!$D$76:$H$90,5,FALSE)</f>
        <v>-0.6</v>
      </c>
      <c r="P3798" s="2">
        <f>VLOOKUP(D3798,underlying!$D$76:$L$90,9,FALSE)</f>
        <v>42723</v>
      </c>
      <c r="Q3798" s="7">
        <f>IF(G3798="C",NormalCallSprd(O3798,H3798,M3798,(P3798-A3798)/365), NormalPutSprd(O3798,H3798,M3798,(P3798-A3798)/365))</f>
        <v>7.1356266743622304E-2</v>
      </c>
      <c r="R3798" s="9">
        <f t="shared" si="153"/>
        <v>1.3562667436222975E-3</v>
      </c>
    </row>
    <row r="3799" spans="1:18" x14ac:dyDescent="0.2">
      <c r="A3799" s="2">
        <v>42622</v>
      </c>
      <c r="B3799" s="1" t="s">
        <v>59</v>
      </c>
      <c r="C3799" s="1" t="s">
        <v>14</v>
      </c>
      <c r="D3799" s="2">
        <v>42736</v>
      </c>
      <c r="E3799" s="2">
        <f t="shared" si="152"/>
        <v>42736</v>
      </c>
      <c r="F3799" s="1" t="s">
        <v>60</v>
      </c>
      <c r="G3799" s="1" t="s">
        <v>18</v>
      </c>
      <c r="H3799" s="1">
        <v>-0.25</v>
      </c>
      <c r="I3799" s="1">
        <v>0.42</v>
      </c>
      <c r="J3799" s="1">
        <v>-0.02</v>
      </c>
      <c r="K3799" s="1" t="s">
        <v>65</v>
      </c>
      <c r="L3799" s="1">
        <v>2387</v>
      </c>
      <c r="M3799" s="1">
        <v>0.95</v>
      </c>
      <c r="N3799" s="1">
        <v>0.49936000000000003</v>
      </c>
      <c r="O3799" s="5">
        <f>VLOOKUP(D3799,underlying!$D$76:$H$90,5,FALSE)</f>
        <v>-0.6</v>
      </c>
      <c r="P3799" s="2">
        <f>VLOOKUP(D3799,underlying!$D$76:$L$90,9,FALSE)</f>
        <v>42723</v>
      </c>
      <c r="Q3799" s="7">
        <f>IF(G3799="C",NormalCallSprd(O3799,H3799,M3799,(P3799-A3799)/365), NormalPutSprd(O3799,H3799,M3799,(P3799-A3799)/365))</f>
        <v>0.42135626674362225</v>
      </c>
      <c r="R3799" s="9">
        <f t="shared" si="153"/>
        <v>1.3562667436222697E-3</v>
      </c>
    </row>
    <row r="3800" spans="1:18" x14ac:dyDescent="0.2">
      <c r="A3800" s="2">
        <v>42622</v>
      </c>
      <c r="B3800" s="1" t="s">
        <v>59</v>
      </c>
      <c r="C3800" s="1" t="s">
        <v>14</v>
      </c>
      <c r="D3800" s="2">
        <v>42736</v>
      </c>
      <c r="E3800" s="2">
        <f t="shared" si="152"/>
        <v>42736</v>
      </c>
      <c r="F3800" s="1" t="s">
        <v>60</v>
      </c>
      <c r="G3800" s="1" t="s">
        <v>16</v>
      </c>
      <c r="H3800" s="1">
        <v>-0.2</v>
      </c>
      <c r="I3800" s="1">
        <v>7.0000000000000007E-2</v>
      </c>
      <c r="J3800" s="1">
        <v>0</v>
      </c>
      <c r="K3800" s="1" t="s">
        <v>65</v>
      </c>
      <c r="L3800" s="1">
        <v>2387</v>
      </c>
      <c r="M3800" s="1">
        <v>1.01</v>
      </c>
      <c r="N3800" s="1">
        <v>0.53569999999999995</v>
      </c>
      <c r="O3800" s="5">
        <f>VLOOKUP(D3800,underlying!$D$76:$H$90,5,FALSE)</f>
        <v>-0.6</v>
      </c>
      <c r="P3800" s="2">
        <f>VLOOKUP(D3800,underlying!$D$76:$L$90,9,FALSE)</f>
        <v>42723</v>
      </c>
      <c r="Q3800" s="7">
        <f>IF(G3800="C",NormalCallSprd(O3800,H3800,M3800,(P3800-A3800)/365), NormalPutSprd(O3800,H3800,M3800,(P3800-A3800)/365))</f>
        <v>6.9342496026015027E-2</v>
      </c>
      <c r="R3800" s="9">
        <f t="shared" si="153"/>
        <v>6.5750397398497973E-4</v>
      </c>
    </row>
    <row r="3801" spans="1:18" x14ac:dyDescent="0.2">
      <c r="A3801" s="2">
        <v>42622</v>
      </c>
      <c r="B3801" s="1" t="s">
        <v>59</v>
      </c>
      <c r="C3801" s="1" t="s">
        <v>14</v>
      </c>
      <c r="D3801" s="2">
        <v>42736</v>
      </c>
      <c r="E3801" s="2">
        <f t="shared" si="152"/>
        <v>42736</v>
      </c>
      <c r="F3801" s="1" t="s">
        <v>60</v>
      </c>
      <c r="G3801" s="1" t="s">
        <v>18</v>
      </c>
      <c r="H3801" s="1">
        <v>-0.2</v>
      </c>
      <c r="I3801" s="1">
        <v>0.47</v>
      </c>
      <c r="J3801" s="1">
        <v>-0.01</v>
      </c>
      <c r="K3801" s="1" t="s">
        <v>65</v>
      </c>
      <c r="L3801" s="1">
        <v>2387</v>
      </c>
      <c r="M3801" s="1">
        <v>1.01</v>
      </c>
      <c r="N3801" s="1">
        <v>0.57179000000000002</v>
      </c>
      <c r="O3801" s="5">
        <f>VLOOKUP(D3801,underlying!$D$76:$H$90,5,FALSE)</f>
        <v>-0.6</v>
      </c>
      <c r="P3801" s="2">
        <f>VLOOKUP(D3801,underlying!$D$76:$L$90,9,FALSE)</f>
        <v>42723</v>
      </c>
      <c r="Q3801" s="7">
        <f>IF(G3801="C",NormalCallSprd(O3801,H3801,M3801,(P3801-A3801)/365), NormalPutSprd(O3801,H3801,M3801,(P3801-A3801)/365))</f>
        <v>0.46934249602601497</v>
      </c>
      <c r="R3801" s="9">
        <f t="shared" si="153"/>
        <v>6.5750397398500748E-4</v>
      </c>
    </row>
    <row r="3802" spans="1:18" x14ac:dyDescent="0.2">
      <c r="A3802" s="2">
        <v>42622</v>
      </c>
      <c r="B3802" s="1" t="s">
        <v>59</v>
      </c>
      <c r="C3802" s="1" t="s">
        <v>14</v>
      </c>
      <c r="D3802" s="2">
        <v>42736</v>
      </c>
      <c r="E3802" s="2">
        <f t="shared" si="152"/>
        <v>42736</v>
      </c>
      <c r="F3802" s="1" t="s">
        <v>60</v>
      </c>
      <c r="G3802" s="1" t="s">
        <v>16</v>
      </c>
      <c r="H3802" s="1">
        <v>-0.15</v>
      </c>
      <c r="I3802" s="1">
        <v>7.0000000000000007E-2</v>
      </c>
      <c r="J3802" s="1">
        <v>0</v>
      </c>
      <c r="K3802" s="1" t="s">
        <v>65</v>
      </c>
      <c r="L3802" s="1">
        <v>2387</v>
      </c>
      <c r="M3802" s="1">
        <v>1.0900000000000001</v>
      </c>
      <c r="N3802" s="1">
        <v>0.60775999999999997</v>
      </c>
      <c r="O3802" s="5">
        <f>VLOOKUP(D3802,underlying!$D$76:$H$90,5,FALSE)</f>
        <v>-0.6</v>
      </c>
      <c r="P3802" s="2">
        <f>VLOOKUP(D3802,underlying!$D$76:$L$90,9,FALSE)</f>
        <v>42723</v>
      </c>
      <c r="Q3802" s="7">
        <f>IF(G3802="C",NormalCallSprd(O3802,H3802,M3802,(P3802-A3802)/365), NormalPutSprd(O3802,H3802,M3802,(P3802-A3802)/365))</f>
        <v>7.0786936689431215E-2</v>
      </c>
      <c r="R3802" s="9">
        <f t="shared" si="153"/>
        <v>7.8693668943120854E-4</v>
      </c>
    </row>
    <row r="3803" spans="1:18" x14ac:dyDescent="0.2">
      <c r="A3803" s="2">
        <v>42622</v>
      </c>
      <c r="B3803" s="1" t="s">
        <v>59</v>
      </c>
      <c r="C3803" s="1" t="s">
        <v>14</v>
      </c>
      <c r="D3803" s="2">
        <v>42736</v>
      </c>
      <c r="E3803" s="2">
        <f t="shared" si="152"/>
        <v>42736</v>
      </c>
      <c r="F3803" s="1" t="s">
        <v>60</v>
      </c>
      <c r="G3803" s="1" t="s">
        <v>18</v>
      </c>
      <c r="H3803" s="1">
        <v>-0.15</v>
      </c>
      <c r="I3803" s="1">
        <v>0.52</v>
      </c>
      <c r="J3803" s="1">
        <v>-0.01</v>
      </c>
      <c r="K3803" s="1" t="s">
        <v>65</v>
      </c>
      <c r="L3803" s="1">
        <v>2387</v>
      </c>
      <c r="M3803" s="1">
        <v>1.0900000000000001</v>
      </c>
      <c r="N3803" s="1">
        <v>0.64246000000000003</v>
      </c>
      <c r="O3803" s="5">
        <f>VLOOKUP(D3803,underlying!$D$76:$H$90,5,FALSE)</f>
        <v>-0.6</v>
      </c>
      <c r="P3803" s="2">
        <f>VLOOKUP(D3803,underlying!$D$76:$L$90,9,FALSE)</f>
        <v>42723</v>
      </c>
      <c r="Q3803" s="7">
        <f>IF(G3803="C",NormalCallSprd(O3803,H3803,M3803,(P3803-A3803)/365), NormalPutSprd(O3803,H3803,M3803,(P3803-A3803)/365))</f>
        <v>0.52078693668943121</v>
      </c>
      <c r="R3803" s="9">
        <f t="shared" si="153"/>
        <v>7.8693668943119466E-4</v>
      </c>
    </row>
    <row r="3804" spans="1:18" x14ac:dyDescent="0.2">
      <c r="A3804" s="2">
        <v>42622</v>
      </c>
      <c r="B3804" s="1" t="s">
        <v>59</v>
      </c>
      <c r="C3804" s="1" t="s">
        <v>14</v>
      </c>
      <c r="D3804" s="2">
        <v>42736</v>
      </c>
      <c r="E3804" s="2">
        <f t="shared" si="152"/>
        <v>42736</v>
      </c>
      <c r="F3804" s="1" t="s">
        <v>60</v>
      </c>
      <c r="G3804" s="1" t="s">
        <v>16</v>
      </c>
      <c r="H3804" s="1">
        <v>-0.1</v>
      </c>
      <c r="I3804" s="1">
        <v>0.06</v>
      </c>
      <c r="J3804" s="1">
        <v>0</v>
      </c>
      <c r="K3804" s="1" t="s">
        <v>65</v>
      </c>
      <c r="L3804" s="1">
        <v>2387</v>
      </c>
      <c r="M3804" s="1">
        <v>1.0900000000000001</v>
      </c>
      <c r="N3804" s="1">
        <v>0.67505000000000004</v>
      </c>
      <c r="O3804" s="5">
        <f>VLOOKUP(D3804,underlying!$D$76:$H$90,5,FALSE)</f>
        <v>-0.6</v>
      </c>
      <c r="P3804" s="2">
        <f>VLOOKUP(D3804,underlying!$D$76:$L$90,9,FALSE)</f>
        <v>42723</v>
      </c>
      <c r="Q3804" s="7">
        <f>IF(G3804="C",NormalCallSprd(O3804,H3804,M3804,(P3804-A3804)/365), NormalPutSprd(O3804,H3804,M3804,(P3804-A3804)/365))</f>
        <v>6.0597467046202405E-2</v>
      </c>
      <c r="R3804" s="9">
        <f t="shared" si="153"/>
        <v>5.9746704620240731E-4</v>
      </c>
    </row>
    <row r="3805" spans="1:18" x14ac:dyDescent="0.2">
      <c r="A3805" s="2">
        <v>42622</v>
      </c>
      <c r="B3805" s="1" t="s">
        <v>59</v>
      </c>
      <c r="C3805" s="1" t="s">
        <v>14</v>
      </c>
      <c r="D3805" s="2">
        <v>42736</v>
      </c>
      <c r="E3805" s="2">
        <f t="shared" si="152"/>
        <v>42736</v>
      </c>
      <c r="F3805" s="1" t="s">
        <v>60</v>
      </c>
      <c r="G3805" s="1" t="s">
        <v>18</v>
      </c>
      <c r="H3805" s="1">
        <v>-0.1</v>
      </c>
      <c r="I3805" s="1">
        <v>0.56000000000000005</v>
      </c>
      <c r="J3805" s="1">
        <v>-0.01</v>
      </c>
      <c r="K3805" s="1" t="s">
        <v>65</v>
      </c>
      <c r="L3805" s="1">
        <v>2387</v>
      </c>
      <c r="M3805" s="1">
        <v>1.0900000000000001</v>
      </c>
      <c r="N3805" s="1">
        <v>0.70211000000000001</v>
      </c>
      <c r="O3805" s="5">
        <f>VLOOKUP(D3805,underlying!$D$76:$H$90,5,FALSE)</f>
        <v>-0.6</v>
      </c>
      <c r="P3805" s="2">
        <f>VLOOKUP(D3805,underlying!$D$76:$L$90,9,FALSE)</f>
        <v>42723</v>
      </c>
      <c r="Q3805" s="7">
        <f>IF(G3805="C",NormalCallSprd(O3805,H3805,M3805,(P3805-A3805)/365), NormalPutSprd(O3805,H3805,M3805,(P3805-A3805)/365))</f>
        <v>0.56059746704620239</v>
      </c>
      <c r="R3805" s="9">
        <f t="shared" si="153"/>
        <v>5.9746704620233793E-4</v>
      </c>
    </row>
    <row r="3806" spans="1:18" x14ac:dyDescent="0.2">
      <c r="A3806" s="2">
        <v>42622</v>
      </c>
      <c r="B3806" s="1" t="s">
        <v>59</v>
      </c>
      <c r="C3806" s="1" t="s">
        <v>14</v>
      </c>
      <c r="D3806" s="2">
        <v>42736</v>
      </c>
      <c r="E3806" s="2">
        <f t="shared" si="152"/>
        <v>42736</v>
      </c>
      <c r="F3806" s="1" t="s">
        <v>60</v>
      </c>
      <c r="G3806" s="1" t="s">
        <v>16</v>
      </c>
      <c r="H3806" s="1">
        <v>-0.05</v>
      </c>
      <c r="I3806" s="1">
        <v>0.05</v>
      </c>
      <c r="J3806" s="1">
        <v>-0.01</v>
      </c>
      <c r="K3806" s="1" t="s">
        <v>65</v>
      </c>
      <c r="L3806" s="1">
        <v>2387</v>
      </c>
      <c r="M3806" s="1">
        <v>1.08</v>
      </c>
      <c r="N3806" s="1">
        <v>0.72751999999999994</v>
      </c>
      <c r="O3806" s="5">
        <f>VLOOKUP(D3806,underlying!$D$76:$H$90,5,FALSE)</f>
        <v>-0.6</v>
      </c>
      <c r="P3806" s="2">
        <f>VLOOKUP(D3806,underlying!$D$76:$L$90,9,FALSE)</f>
        <v>42723</v>
      </c>
      <c r="Q3806" s="7">
        <f>IF(G3806="C",NormalCallSprd(O3806,H3806,M3806,(P3806-A3806)/365), NormalPutSprd(O3806,H3806,M3806,(P3806-A3806)/365))</f>
        <v>5.0278007358746185E-2</v>
      </c>
      <c r="R3806" s="9">
        <f t="shared" si="153"/>
        <v>2.7800735874618232E-4</v>
      </c>
    </row>
    <row r="3807" spans="1:18" x14ac:dyDescent="0.2">
      <c r="A3807" s="2">
        <v>42622</v>
      </c>
      <c r="B3807" s="1" t="s">
        <v>59</v>
      </c>
      <c r="C3807" s="1" t="s">
        <v>14</v>
      </c>
      <c r="D3807" s="2">
        <v>42736</v>
      </c>
      <c r="E3807" s="2">
        <f t="shared" si="152"/>
        <v>42736</v>
      </c>
      <c r="F3807" s="1" t="s">
        <v>60</v>
      </c>
      <c r="G3807" s="1" t="s">
        <v>18</v>
      </c>
      <c r="H3807" s="1">
        <v>-0.05</v>
      </c>
      <c r="I3807" s="1">
        <v>0.6</v>
      </c>
      <c r="J3807" s="1">
        <v>-0.02</v>
      </c>
      <c r="K3807" s="1" t="s">
        <v>65</v>
      </c>
      <c r="L3807" s="1">
        <v>2387</v>
      </c>
      <c r="M3807" s="1">
        <v>1.08</v>
      </c>
      <c r="N3807" s="1">
        <v>0.74658999999999998</v>
      </c>
      <c r="O3807" s="5">
        <f>VLOOKUP(D3807,underlying!$D$76:$H$90,5,FALSE)</f>
        <v>-0.6</v>
      </c>
      <c r="P3807" s="2">
        <f>VLOOKUP(D3807,underlying!$D$76:$L$90,9,FALSE)</f>
        <v>42723</v>
      </c>
      <c r="Q3807" s="7">
        <f>IF(G3807="C",NormalCallSprd(O3807,H3807,M3807,(P3807-A3807)/365), NormalPutSprd(O3807,H3807,M3807,(P3807-A3807)/365))</f>
        <v>0.60027800735874615</v>
      </c>
      <c r="R3807" s="9">
        <f t="shared" si="153"/>
        <v>2.7800735874616844E-4</v>
      </c>
    </row>
    <row r="3808" spans="1:18" x14ac:dyDescent="0.2">
      <c r="A3808" s="2">
        <v>42622</v>
      </c>
      <c r="B3808" s="1" t="s">
        <v>59</v>
      </c>
      <c r="C3808" s="1" t="s">
        <v>14</v>
      </c>
      <c r="D3808" s="2">
        <v>42737</v>
      </c>
      <c r="E3808" s="2">
        <f t="shared" si="152"/>
        <v>42767</v>
      </c>
      <c r="F3808" s="1" t="s">
        <v>60</v>
      </c>
      <c r="G3808" s="1" t="s">
        <v>16</v>
      </c>
      <c r="H3808" s="1">
        <v>-4</v>
      </c>
      <c r="I3808" s="1">
        <v>3.45</v>
      </c>
      <c r="J3808" s="1">
        <v>-0.01</v>
      </c>
      <c r="K3808" s="1" t="s">
        <v>68</v>
      </c>
      <c r="L3808" s="1">
        <v>2387</v>
      </c>
      <c r="M3808" s="1">
        <v>1.0900000000000001</v>
      </c>
      <c r="N3808" s="1">
        <v>0.76419999999999999</v>
      </c>
      <c r="O3808" s="5">
        <f>VLOOKUP(D3808,underlying!$D$76:$H$90,5,FALSE)</f>
        <v>-0.54</v>
      </c>
      <c r="P3808" s="2">
        <f>VLOOKUP(D3808,underlying!$D$76:$L$90,9,FALSE)</f>
        <v>42754</v>
      </c>
      <c r="Q3808" s="7">
        <f>IF(G3808="C",NormalCallSprd(O3808,H3808,M3808,(P3808-A3808)/365), NormalPutSprd(O3808,H3808,M3808,(P3808-A3808)/365))</f>
        <v>3.4600000075905979</v>
      </c>
      <c r="R3808" s="9">
        <f t="shared" si="153"/>
        <v>1.0000007590597715E-2</v>
      </c>
    </row>
    <row r="3809" spans="1:18" x14ac:dyDescent="0.2">
      <c r="A3809" s="2">
        <v>42622</v>
      </c>
      <c r="B3809" s="1" t="s">
        <v>59</v>
      </c>
      <c r="C3809" s="1" t="s">
        <v>14</v>
      </c>
      <c r="D3809" s="2">
        <v>42737</v>
      </c>
      <c r="E3809" s="2">
        <f t="shared" si="152"/>
        <v>42767</v>
      </c>
      <c r="F3809" s="1" t="s">
        <v>60</v>
      </c>
      <c r="G3809" s="1" t="s">
        <v>18</v>
      </c>
      <c r="H3809" s="1">
        <v>-4</v>
      </c>
      <c r="I3809" s="1">
        <v>0.01</v>
      </c>
      <c r="J3809" s="1">
        <v>0</v>
      </c>
      <c r="K3809" s="1" t="s">
        <v>68</v>
      </c>
      <c r="L3809" s="1">
        <v>2387</v>
      </c>
      <c r="M3809" s="1">
        <v>1.0900000000000001</v>
      </c>
      <c r="N3809" s="1">
        <v>0.96636999999999995</v>
      </c>
      <c r="O3809" s="5">
        <f>VLOOKUP(D3809,underlying!$D$76:$H$90,5,FALSE)</f>
        <v>-0.54</v>
      </c>
      <c r="P3809" s="2">
        <f>VLOOKUP(D3809,underlying!$D$76:$L$90,9,FALSE)</f>
        <v>42754</v>
      </c>
      <c r="Q3809" s="7">
        <f>IF(G3809="C",NormalCallSprd(O3809,H3809,M3809,(P3809-A3809)/365), NormalPutSprd(O3809,H3809,M3809,(P3809-A3809)/365))</f>
        <v>7.5905980822532511E-9</v>
      </c>
      <c r="R3809" s="9">
        <f t="shared" si="153"/>
        <v>9.9999924094019178E-3</v>
      </c>
    </row>
    <row r="3810" spans="1:18" x14ac:dyDescent="0.2">
      <c r="A3810" s="2">
        <v>42622</v>
      </c>
      <c r="B3810" s="1" t="s">
        <v>59</v>
      </c>
      <c r="C3810" s="1" t="s">
        <v>14</v>
      </c>
      <c r="D3810" s="2">
        <v>42737</v>
      </c>
      <c r="E3810" s="2">
        <f t="shared" si="152"/>
        <v>42767</v>
      </c>
      <c r="F3810" s="1" t="s">
        <v>60</v>
      </c>
      <c r="G3810" s="1" t="s">
        <v>16</v>
      </c>
      <c r="H3810" s="1">
        <v>-3</v>
      </c>
      <c r="I3810" s="1">
        <v>2.46</v>
      </c>
      <c r="J3810" s="1">
        <v>-0.01</v>
      </c>
      <c r="K3810" s="1" t="s">
        <v>68</v>
      </c>
      <c r="L3810" s="1">
        <v>2387</v>
      </c>
      <c r="M3810" s="1">
        <v>1.05</v>
      </c>
      <c r="N3810" s="1">
        <v>0.99690999999999996</v>
      </c>
      <c r="O3810" s="5">
        <f>VLOOKUP(D3810,underlying!$D$76:$H$90,5,FALSE)</f>
        <v>-0.54</v>
      </c>
      <c r="P3810" s="2">
        <f>VLOOKUP(D3810,underlying!$D$76:$L$90,9,FALSE)</f>
        <v>42754</v>
      </c>
      <c r="Q3810" s="7">
        <f>IF(G3810="C",NormalCallSprd(O3810,H3810,M3810,(P3810-A3810)/365), NormalPutSprd(O3810,H3810,M3810,(P3810-A3810)/365))</f>
        <v>2.4600071224243054</v>
      </c>
      <c r="R3810" s="9">
        <f t="shared" si="153"/>
        <v>7.1224243054501812E-6</v>
      </c>
    </row>
    <row r="3811" spans="1:18" x14ac:dyDescent="0.2">
      <c r="A3811" s="2">
        <v>42622</v>
      </c>
      <c r="B3811" s="1" t="s">
        <v>59</v>
      </c>
      <c r="C3811" s="1" t="s">
        <v>14</v>
      </c>
      <c r="D3811" s="2">
        <v>42737</v>
      </c>
      <c r="E3811" s="2">
        <f t="shared" si="152"/>
        <v>42767</v>
      </c>
      <c r="F3811" s="1" t="s">
        <v>60</v>
      </c>
      <c r="G3811" s="1" t="s">
        <v>18</v>
      </c>
      <c r="H3811" s="1">
        <v>-3</v>
      </c>
      <c r="I3811" s="1">
        <v>0.01</v>
      </c>
      <c r="J3811" s="1">
        <v>0</v>
      </c>
      <c r="K3811" s="1" t="s">
        <v>68</v>
      </c>
      <c r="L3811" s="1">
        <v>2387</v>
      </c>
      <c r="M3811" s="1">
        <v>1.05</v>
      </c>
      <c r="N3811" s="1">
        <v>0.99870000000000003</v>
      </c>
      <c r="O3811" s="5">
        <f>VLOOKUP(D3811,underlying!$D$76:$H$90,5,FALSE)</f>
        <v>-0.54</v>
      </c>
      <c r="P3811" s="2">
        <f>VLOOKUP(D3811,underlying!$D$76:$L$90,9,FALSE)</f>
        <v>42754</v>
      </c>
      <c r="Q3811" s="7">
        <f>IF(G3811="C",NormalCallSprd(O3811,H3811,M3811,(P3811-A3811)/365), NormalPutSprd(O3811,H3811,M3811,(P3811-A3811)/365))</f>
        <v>7.1224243055984654E-6</v>
      </c>
      <c r="R3811" s="9">
        <f t="shared" si="153"/>
        <v>9.9928775756944026E-3</v>
      </c>
    </row>
    <row r="3812" spans="1:18" x14ac:dyDescent="0.2">
      <c r="A3812" s="2">
        <v>42622</v>
      </c>
      <c r="B3812" s="1" t="s">
        <v>59</v>
      </c>
      <c r="C3812" s="1" t="s">
        <v>14</v>
      </c>
      <c r="D3812" s="2">
        <v>42737</v>
      </c>
      <c r="E3812" s="2">
        <f t="shared" si="152"/>
        <v>42767</v>
      </c>
      <c r="F3812" s="1" t="s">
        <v>60</v>
      </c>
      <c r="G3812" s="1" t="s">
        <v>16</v>
      </c>
      <c r="H3812" s="1">
        <v>-2</v>
      </c>
      <c r="I3812" s="1">
        <v>1.46</v>
      </c>
      <c r="J3812" s="1">
        <v>-0.01</v>
      </c>
      <c r="K3812" s="1" t="s">
        <v>68</v>
      </c>
      <c r="L3812" s="1">
        <v>2387</v>
      </c>
      <c r="M3812" s="1">
        <v>0.99</v>
      </c>
      <c r="N3812" s="1">
        <v>-0.83218999999999999</v>
      </c>
      <c r="O3812" s="5">
        <f>VLOOKUP(D3812,underlying!$D$76:$H$90,5,FALSE)</f>
        <v>-0.54</v>
      </c>
      <c r="P3812" s="2">
        <f>VLOOKUP(D3812,underlying!$D$76:$L$90,9,FALSE)</f>
        <v>42754</v>
      </c>
      <c r="Q3812" s="7">
        <f>IF(G3812="C",NormalCallSprd(O3812,H3812,M3812,(P3812-A3812)/365), NormalPutSprd(O3812,H3812,M3812,(P3812-A3812)/365))</f>
        <v>1.4613817886295126</v>
      </c>
      <c r="R3812" s="9">
        <f t="shared" si="153"/>
        <v>1.3817886295126591E-3</v>
      </c>
    </row>
    <row r="3813" spans="1:18" x14ac:dyDescent="0.2">
      <c r="A3813" s="2">
        <v>42622</v>
      </c>
      <c r="B3813" s="1" t="s">
        <v>59</v>
      </c>
      <c r="C3813" s="1" t="s">
        <v>14</v>
      </c>
      <c r="D3813" s="2">
        <v>42737</v>
      </c>
      <c r="E3813" s="2">
        <f t="shared" si="152"/>
        <v>42767</v>
      </c>
      <c r="F3813" s="1" t="s">
        <v>60</v>
      </c>
      <c r="G3813" s="1" t="s">
        <v>18</v>
      </c>
      <c r="H3813" s="1">
        <v>-2</v>
      </c>
      <c r="I3813" s="1">
        <v>0.01</v>
      </c>
      <c r="J3813" s="1">
        <v>0</v>
      </c>
      <c r="K3813" s="1" t="s">
        <v>68</v>
      </c>
      <c r="L3813" s="1">
        <v>2387</v>
      </c>
      <c r="M3813" s="1">
        <v>0.99</v>
      </c>
      <c r="N3813" s="1">
        <v>-0.80776000000000003</v>
      </c>
      <c r="O3813" s="5">
        <f>VLOOKUP(D3813,underlying!$D$76:$H$90,5,FALSE)</f>
        <v>-0.54</v>
      </c>
      <c r="P3813" s="2">
        <f>VLOOKUP(D3813,underlying!$D$76:$L$90,9,FALSE)</f>
        <v>42754</v>
      </c>
      <c r="Q3813" s="7">
        <f>IF(G3813="C",NormalCallSprd(O3813,H3813,M3813,(P3813-A3813)/365), NormalPutSprd(O3813,H3813,M3813,(P3813-A3813)/365))</f>
        <v>1.3817886295125769E-3</v>
      </c>
      <c r="R3813" s="9">
        <f t="shared" si="153"/>
        <v>8.6182113704874226E-3</v>
      </c>
    </row>
    <row r="3814" spans="1:18" x14ac:dyDescent="0.2">
      <c r="A3814" s="2">
        <v>42622</v>
      </c>
      <c r="B3814" s="1" t="s">
        <v>59</v>
      </c>
      <c r="C3814" s="1" t="s">
        <v>14</v>
      </c>
      <c r="D3814" s="2">
        <v>42737</v>
      </c>
      <c r="E3814" s="2">
        <f t="shared" si="152"/>
        <v>42767</v>
      </c>
      <c r="F3814" s="1" t="s">
        <v>60</v>
      </c>
      <c r="G3814" s="1" t="s">
        <v>16</v>
      </c>
      <c r="H3814" s="1">
        <v>-1</v>
      </c>
      <c r="I3814" s="1">
        <v>0.52</v>
      </c>
      <c r="J3814" s="1">
        <v>-0.01</v>
      </c>
      <c r="K3814" s="1" t="s">
        <v>68</v>
      </c>
      <c r="L3814" s="1">
        <v>2387</v>
      </c>
      <c r="M3814" s="1">
        <v>0.88</v>
      </c>
      <c r="N3814" s="1">
        <v>-0.78288000000000002</v>
      </c>
      <c r="O3814" s="5">
        <f>VLOOKUP(D3814,underlying!$D$76:$H$90,5,FALSE)</f>
        <v>-0.54</v>
      </c>
      <c r="P3814" s="2">
        <f>VLOOKUP(D3814,underlying!$D$76:$L$90,9,FALSE)</f>
        <v>42754</v>
      </c>
      <c r="Q3814" s="7">
        <f>IF(G3814="C",NormalCallSprd(O3814,H3814,M3814,(P3814-A3814)/365), NormalPutSprd(O3814,H3814,M3814,(P3814-A3814)/365))</f>
        <v>0.51621302481391829</v>
      </c>
      <c r="R3814" s="9">
        <f t="shared" si="153"/>
        <v>3.7869751860817313E-3</v>
      </c>
    </row>
    <row r="3815" spans="1:18" x14ac:dyDescent="0.2">
      <c r="A3815" s="2">
        <v>42622</v>
      </c>
      <c r="B3815" s="1" t="s">
        <v>59</v>
      </c>
      <c r="C3815" s="1" t="s">
        <v>14</v>
      </c>
      <c r="D3815" s="2">
        <v>42737</v>
      </c>
      <c r="E3815" s="2">
        <f t="shared" si="152"/>
        <v>42767</v>
      </c>
      <c r="F3815" s="1" t="s">
        <v>60</v>
      </c>
      <c r="G3815" s="1" t="s">
        <v>18</v>
      </c>
      <c r="H3815" s="1">
        <v>-1</v>
      </c>
      <c r="I3815" s="1">
        <v>7.0000000000000007E-2</v>
      </c>
      <c r="J3815" s="1">
        <v>0</v>
      </c>
      <c r="K3815" s="1" t="s">
        <v>68</v>
      </c>
      <c r="L3815" s="1">
        <v>2387</v>
      </c>
      <c r="M3815" s="1">
        <v>0.88</v>
      </c>
      <c r="N3815" s="1">
        <v>-0.77366000000000001</v>
      </c>
      <c r="O3815" s="5">
        <f>VLOOKUP(D3815,underlying!$D$76:$H$90,5,FALSE)</f>
        <v>-0.54</v>
      </c>
      <c r="P3815" s="2">
        <f>VLOOKUP(D3815,underlying!$D$76:$L$90,9,FALSE)</f>
        <v>42754</v>
      </c>
      <c r="Q3815" s="7">
        <f>IF(G3815="C",NormalCallSprd(O3815,H3815,M3815,(P3815-A3815)/365), NormalPutSprd(O3815,H3815,M3815,(P3815-A3815)/365))</f>
        <v>5.6213024813918343E-2</v>
      </c>
      <c r="R3815" s="9">
        <f t="shared" si="153"/>
        <v>1.3786975186081664E-2</v>
      </c>
    </row>
    <row r="3816" spans="1:18" x14ac:dyDescent="0.2">
      <c r="A3816" s="2">
        <v>42622</v>
      </c>
      <c r="B3816" s="1" t="s">
        <v>59</v>
      </c>
      <c r="C3816" s="1" t="s">
        <v>14</v>
      </c>
      <c r="D3816" s="2">
        <v>42737</v>
      </c>
      <c r="E3816" s="2">
        <f t="shared" si="152"/>
        <v>42767</v>
      </c>
      <c r="F3816" s="1" t="s">
        <v>60</v>
      </c>
      <c r="G3816" s="1" t="s">
        <v>16</v>
      </c>
      <c r="H3816" s="1">
        <v>-0.95</v>
      </c>
      <c r="I3816" s="1">
        <v>0.48</v>
      </c>
      <c r="J3816" s="1">
        <v>-0.01</v>
      </c>
      <c r="K3816" s="1" t="s">
        <v>68</v>
      </c>
      <c r="L3816" s="1">
        <v>2387</v>
      </c>
      <c r="M3816" s="1">
        <v>0.88</v>
      </c>
      <c r="N3816" s="1">
        <v>-0.75832999999999995</v>
      </c>
      <c r="O3816" s="5">
        <f>VLOOKUP(D3816,underlying!$D$76:$H$90,5,FALSE)</f>
        <v>-0.54</v>
      </c>
      <c r="P3816" s="2">
        <f>VLOOKUP(D3816,underlying!$D$76:$L$90,9,FALSE)</f>
        <v>42754</v>
      </c>
      <c r="Q3816" s="7">
        <f>IF(G3816="C",NormalCallSprd(O3816,H3816,M3816,(P3816-A3816)/365), NormalPutSprd(O3816,H3816,M3816,(P3816-A3816)/365))</f>
        <v>0.47649445159482678</v>
      </c>
      <c r="R3816" s="9">
        <f t="shared" si="153"/>
        <v>3.5055484051731978E-3</v>
      </c>
    </row>
    <row r="3817" spans="1:18" x14ac:dyDescent="0.2">
      <c r="A3817" s="2">
        <v>42622</v>
      </c>
      <c r="B3817" s="1" t="s">
        <v>59</v>
      </c>
      <c r="C3817" s="1" t="s">
        <v>14</v>
      </c>
      <c r="D3817" s="2">
        <v>42737</v>
      </c>
      <c r="E3817" s="2">
        <f t="shared" si="152"/>
        <v>42767</v>
      </c>
      <c r="F3817" s="1" t="s">
        <v>60</v>
      </c>
      <c r="G3817" s="1" t="s">
        <v>18</v>
      </c>
      <c r="H3817" s="1">
        <v>-0.95</v>
      </c>
      <c r="I3817" s="1">
        <v>7.0000000000000007E-2</v>
      </c>
      <c r="J3817" s="1">
        <v>0</v>
      </c>
      <c r="K3817" s="1" t="s">
        <v>68</v>
      </c>
      <c r="L3817" s="1">
        <v>2387</v>
      </c>
      <c r="M3817" s="1">
        <v>0.88</v>
      </c>
      <c r="N3817" s="1">
        <v>-0.72953999999999997</v>
      </c>
      <c r="O3817" s="5">
        <f>VLOOKUP(D3817,underlying!$D$76:$H$90,5,FALSE)</f>
        <v>-0.54</v>
      </c>
      <c r="P3817" s="2">
        <f>VLOOKUP(D3817,underlying!$D$76:$L$90,9,FALSE)</f>
        <v>42754</v>
      </c>
      <c r="Q3817" s="7">
        <f>IF(G3817="C",NormalCallSprd(O3817,H3817,M3817,(P3817-A3817)/365), NormalPutSprd(O3817,H3817,M3817,(P3817-A3817)/365))</f>
        <v>6.6494451594826851E-2</v>
      </c>
      <c r="R3817" s="9">
        <f t="shared" si="153"/>
        <v>3.5055484051731561E-3</v>
      </c>
    </row>
    <row r="3818" spans="1:18" x14ac:dyDescent="0.2">
      <c r="A3818" s="2">
        <v>42622</v>
      </c>
      <c r="B3818" s="1" t="s">
        <v>59</v>
      </c>
      <c r="C3818" s="1" t="s">
        <v>14</v>
      </c>
      <c r="D3818" s="2">
        <v>42737</v>
      </c>
      <c r="E3818" s="2">
        <f t="shared" si="152"/>
        <v>42767</v>
      </c>
      <c r="F3818" s="1" t="s">
        <v>60</v>
      </c>
      <c r="G3818" s="1" t="s">
        <v>16</v>
      </c>
      <c r="H3818" s="1">
        <v>-0.9</v>
      </c>
      <c r="I3818" s="1">
        <v>0.44</v>
      </c>
      <c r="J3818" s="1">
        <v>-0.01</v>
      </c>
      <c r="K3818" s="1" t="s">
        <v>68</v>
      </c>
      <c r="L3818" s="1">
        <v>2387</v>
      </c>
      <c r="M3818" s="1">
        <v>0.88</v>
      </c>
      <c r="N3818" s="1">
        <v>-0.69901999999999997</v>
      </c>
      <c r="O3818" s="5">
        <f>VLOOKUP(D3818,underlying!$D$76:$H$90,5,FALSE)</f>
        <v>-0.54</v>
      </c>
      <c r="P3818" s="2">
        <f>VLOOKUP(D3818,underlying!$D$76:$L$90,9,FALSE)</f>
        <v>42754</v>
      </c>
      <c r="Q3818" s="7">
        <f>IF(G3818="C",NormalCallSprd(O3818,H3818,M3818,(P3818-A3818)/365), NormalPutSprd(O3818,H3818,M3818,(P3818-A3818)/365))</f>
        <v>0.43817146983960059</v>
      </c>
      <c r="R3818" s="9">
        <f t="shared" si="153"/>
        <v>1.8285301603994109E-3</v>
      </c>
    </row>
    <row r="3819" spans="1:18" x14ac:dyDescent="0.2">
      <c r="A3819" s="2">
        <v>42622</v>
      </c>
      <c r="B3819" s="1" t="s">
        <v>59</v>
      </c>
      <c r="C3819" s="1" t="s">
        <v>14</v>
      </c>
      <c r="D3819" s="2">
        <v>42737</v>
      </c>
      <c r="E3819" s="2">
        <f t="shared" si="152"/>
        <v>42767</v>
      </c>
      <c r="F3819" s="1" t="s">
        <v>60</v>
      </c>
      <c r="G3819" s="1" t="s">
        <v>18</v>
      </c>
      <c r="H3819" s="1">
        <v>-0.9</v>
      </c>
      <c r="I3819" s="1">
        <v>0.08</v>
      </c>
      <c r="J3819" s="1">
        <v>0</v>
      </c>
      <c r="K3819" s="1" t="s">
        <v>68</v>
      </c>
      <c r="L3819" s="1">
        <v>2387</v>
      </c>
      <c r="M3819" s="1">
        <v>0.88</v>
      </c>
      <c r="N3819" s="1">
        <v>-0.65995999999999999</v>
      </c>
      <c r="O3819" s="5">
        <f>VLOOKUP(D3819,underlying!$D$76:$H$90,5,FALSE)</f>
        <v>-0.54</v>
      </c>
      <c r="P3819" s="2">
        <f>VLOOKUP(D3819,underlying!$D$76:$L$90,9,FALSE)</f>
        <v>42754</v>
      </c>
      <c r="Q3819" s="7">
        <f>IF(G3819="C",NormalCallSprd(O3819,H3819,M3819,(P3819-A3819)/365), NormalPutSprd(O3819,H3819,M3819,(P3819-A3819)/365))</f>
        <v>7.8171469839600605E-2</v>
      </c>
      <c r="R3819" s="9">
        <f t="shared" si="153"/>
        <v>1.828530160399397E-3</v>
      </c>
    </row>
    <row r="3820" spans="1:18" x14ac:dyDescent="0.2">
      <c r="A3820" s="2">
        <v>42622</v>
      </c>
      <c r="B3820" s="1" t="s">
        <v>59</v>
      </c>
      <c r="C3820" s="1" t="s">
        <v>14</v>
      </c>
      <c r="D3820" s="2">
        <v>42737</v>
      </c>
      <c r="E3820" s="2">
        <f t="shared" si="152"/>
        <v>42767</v>
      </c>
      <c r="F3820" s="1" t="s">
        <v>60</v>
      </c>
      <c r="G3820" s="1" t="s">
        <v>16</v>
      </c>
      <c r="H3820" s="1">
        <v>-0.85</v>
      </c>
      <c r="I3820" s="1">
        <v>0.4</v>
      </c>
      <c r="J3820" s="1">
        <v>-0.01</v>
      </c>
      <c r="K3820" s="1" t="s">
        <v>68</v>
      </c>
      <c r="L3820" s="1">
        <v>2387</v>
      </c>
      <c r="M3820" s="1">
        <v>0.88</v>
      </c>
      <c r="N3820" s="1">
        <v>-0.62024999999999997</v>
      </c>
      <c r="O3820" s="5">
        <f>VLOOKUP(D3820,underlying!$D$76:$H$90,5,FALSE)</f>
        <v>-0.54</v>
      </c>
      <c r="P3820" s="2">
        <f>VLOOKUP(D3820,underlying!$D$76:$L$90,9,FALSE)</f>
        <v>42754</v>
      </c>
      <c r="Q3820" s="7">
        <f>IF(G3820="C",NormalCallSprd(O3820,H3820,M3820,(P3820-A3820)/365), NormalPutSprd(O3820,H3820,M3820,(P3820-A3820)/365))</f>
        <v>0.40134322792805593</v>
      </c>
      <c r="R3820" s="9">
        <f t="shared" si="153"/>
        <v>1.3432279280559123E-3</v>
      </c>
    </row>
    <row r="3821" spans="1:18" x14ac:dyDescent="0.2">
      <c r="A3821" s="2">
        <v>42622</v>
      </c>
      <c r="B3821" s="1" t="s">
        <v>59</v>
      </c>
      <c r="C3821" s="1" t="s">
        <v>14</v>
      </c>
      <c r="D3821" s="2">
        <v>42737</v>
      </c>
      <c r="E3821" s="2">
        <f t="shared" si="152"/>
        <v>42767</v>
      </c>
      <c r="F3821" s="1" t="s">
        <v>60</v>
      </c>
      <c r="G3821" s="1" t="s">
        <v>18</v>
      </c>
      <c r="H3821" s="1">
        <v>-0.85</v>
      </c>
      <c r="I3821" s="1">
        <v>0.09</v>
      </c>
      <c r="J3821" s="1">
        <v>0</v>
      </c>
      <c r="K3821" s="1" t="s">
        <v>68</v>
      </c>
      <c r="L3821" s="1">
        <v>2387</v>
      </c>
      <c r="M3821" s="1">
        <v>0.88</v>
      </c>
      <c r="N3821" s="1">
        <v>-0.57979000000000003</v>
      </c>
      <c r="O3821" s="5">
        <f>VLOOKUP(D3821,underlying!$D$76:$H$90,5,FALSE)</f>
        <v>-0.54</v>
      </c>
      <c r="P3821" s="2">
        <f>VLOOKUP(D3821,underlying!$D$76:$L$90,9,FALSE)</f>
        <v>42754</v>
      </c>
      <c r="Q3821" s="7">
        <f>IF(G3821="C",NormalCallSprd(O3821,H3821,M3821,(P3821-A3821)/365), NormalPutSprd(O3821,H3821,M3821,(P3821-A3821)/365))</f>
        <v>9.1343227928056006E-2</v>
      </c>
      <c r="R3821" s="9">
        <f t="shared" si="153"/>
        <v>1.3432279280560094E-3</v>
      </c>
    </row>
    <row r="3822" spans="1:18" x14ac:dyDescent="0.2">
      <c r="A3822" s="2">
        <v>42622</v>
      </c>
      <c r="B3822" s="1" t="s">
        <v>59</v>
      </c>
      <c r="C3822" s="1" t="s">
        <v>14</v>
      </c>
      <c r="D3822" s="2">
        <v>42737</v>
      </c>
      <c r="E3822" s="2">
        <f t="shared" si="152"/>
        <v>42767</v>
      </c>
      <c r="F3822" s="1" t="s">
        <v>60</v>
      </c>
      <c r="G3822" s="1" t="s">
        <v>16</v>
      </c>
      <c r="H3822" s="1">
        <v>-0.8</v>
      </c>
      <c r="I3822" s="1">
        <v>0.37</v>
      </c>
      <c r="J3822" s="1">
        <v>-0.01</v>
      </c>
      <c r="K3822" s="1" t="s">
        <v>68</v>
      </c>
      <c r="L3822" s="1">
        <v>2387</v>
      </c>
      <c r="M3822" s="1">
        <v>0.88</v>
      </c>
      <c r="N3822" s="1">
        <v>-0.53715000000000002</v>
      </c>
      <c r="O3822" s="5">
        <f>VLOOKUP(D3822,underlying!$D$76:$H$90,5,FALSE)</f>
        <v>-0.54</v>
      </c>
      <c r="P3822" s="2">
        <f>VLOOKUP(D3822,underlying!$D$76:$L$90,9,FALSE)</f>
        <v>42754</v>
      </c>
      <c r="Q3822" s="7">
        <f>IF(G3822="C",NormalCallSprd(O3822,H3822,M3822,(P3822-A3822)/365), NormalPutSprd(O3822,H3822,M3822,(P3822-A3822)/365))</f>
        <v>0.36610171165230859</v>
      </c>
      <c r="R3822" s="9">
        <f t="shared" si="153"/>
        <v>3.8982883476914032E-3</v>
      </c>
    </row>
    <row r="3823" spans="1:18" x14ac:dyDescent="0.2">
      <c r="A3823" s="2">
        <v>42622</v>
      </c>
      <c r="B3823" s="1" t="s">
        <v>59</v>
      </c>
      <c r="C3823" s="1" t="s">
        <v>14</v>
      </c>
      <c r="D3823" s="2">
        <v>42737</v>
      </c>
      <c r="E3823" s="2">
        <f t="shared" si="152"/>
        <v>42767</v>
      </c>
      <c r="F3823" s="1" t="s">
        <v>60</v>
      </c>
      <c r="G3823" s="1" t="s">
        <v>18</v>
      </c>
      <c r="H3823" s="1">
        <v>-0.8</v>
      </c>
      <c r="I3823" s="1">
        <v>0.11</v>
      </c>
      <c r="J3823" s="1">
        <v>0</v>
      </c>
      <c r="K3823" s="1" t="s">
        <v>68</v>
      </c>
      <c r="L3823" s="1">
        <v>2387</v>
      </c>
      <c r="M3823" s="1">
        <v>0.88</v>
      </c>
      <c r="N3823" s="1">
        <v>-0.49936000000000003</v>
      </c>
      <c r="O3823" s="5">
        <f>VLOOKUP(D3823,underlying!$D$76:$H$90,5,FALSE)</f>
        <v>-0.54</v>
      </c>
      <c r="P3823" s="2">
        <f>VLOOKUP(D3823,underlying!$D$76:$L$90,9,FALSE)</f>
        <v>42754</v>
      </c>
      <c r="Q3823" s="7">
        <f>IF(G3823="C",NormalCallSprd(O3823,H3823,M3823,(P3823-A3823)/365), NormalPutSprd(O3823,H3823,M3823,(P3823-A3823)/365))</f>
        <v>0.10610171165230857</v>
      </c>
      <c r="R3823" s="9">
        <f t="shared" si="153"/>
        <v>3.898288347691431E-3</v>
      </c>
    </row>
    <row r="3824" spans="1:18" x14ac:dyDescent="0.2">
      <c r="A3824" s="2">
        <v>42622</v>
      </c>
      <c r="B3824" s="1" t="s">
        <v>59</v>
      </c>
      <c r="C3824" s="1" t="s">
        <v>14</v>
      </c>
      <c r="D3824" s="2">
        <v>42737</v>
      </c>
      <c r="E3824" s="2">
        <f t="shared" si="152"/>
        <v>42767</v>
      </c>
      <c r="F3824" s="1" t="s">
        <v>60</v>
      </c>
      <c r="G3824" s="1" t="s">
        <v>16</v>
      </c>
      <c r="H3824" s="1">
        <v>-0.75</v>
      </c>
      <c r="I3824" s="1">
        <v>0.33</v>
      </c>
      <c r="J3824" s="1">
        <v>-0.01</v>
      </c>
      <c r="K3824" s="1" t="s">
        <v>68</v>
      </c>
      <c r="L3824" s="1">
        <v>2387</v>
      </c>
      <c r="M3824" s="1">
        <v>0.88</v>
      </c>
      <c r="N3824" s="1">
        <v>-0.46301999999999999</v>
      </c>
      <c r="O3824" s="5">
        <f>VLOOKUP(D3824,underlying!$D$76:$H$90,5,FALSE)</f>
        <v>-0.54</v>
      </c>
      <c r="P3824" s="2">
        <f>VLOOKUP(D3824,underlying!$D$76:$L$90,9,FALSE)</f>
        <v>42754</v>
      </c>
      <c r="Q3824" s="7">
        <f>IF(G3824="C",NormalCallSprd(O3824,H3824,M3824,(P3824-A3824)/365), NormalPutSprd(O3824,H3824,M3824,(P3824-A3824)/365))</f>
        <v>0.33252962065938735</v>
      </c>
      <c r="R3824" s="9">
        <f t="shared" si="153"/>
        <v>2.5296206593873327E-3</v>
      </c>
    </row>
    <row r="3825" spans="1:18" x14ac:dyDescent="0.2">
      <c r="A3825" s="2">
        <v>42622</v>
      </c>
      <c r="B3825" s="1" t="s">
        <v>59</v>
      </c>
      <c r="C3825" s="1" t="s">
        <v>14</v>
      </c>
      <c r="D3825" s="2">
        <v>42737</v>
      </c>
      <c r="E3825" s="2">
        <f t="shared" si="152"/>
        <v>42767</v>
      </c>
      <c r="F3825" s="1" t="s">
        <v>60</v>
      </c>
      <c r="G3825" s="1" t="s">
        <v>18</v>
      </c>
      <c r="H3825" s="1">
        <v>-0.75</v>
      </c>
      <c r="I3825" s="1">
        <v>0.15</v>
      </c>
      <c r="J3825" s="1">
        <v>0.01</v>
      </c>
      <c r="K3825" s="1" t="s">
        <v>68</v>
      </c>
      <c r="L3825" s="1">
        <v>2387</v>
      </c>
      <c r="M3825" s="1">
        <v>0.88</v>
      </c>
      <c r="N3825" s="1">
        <v>-0.42692000000000002</v>
      </c>
      <c r="O3825" s="5">
        <f>VLOOKUP(D3825,underlying!$D$76:$H$90,5,FALSE)</f>
        <v>-0.54</v>
      </c>
      <c r="P3825" s="2">
        <f>VLOOKUP(D3825,underlying!$D$76:$L$90,9,FALSE)</f>
        <v>42754</v>
      </c>
      <c r="Q3825" s="7">
        <f>IF(G3825="C",NormalCallSprd(O3825,H3825,M3825,(P3825-A3825)/365), NormalPutSprd(O3825,H3825,M3825,(P3825-A3825)/365))</f>
        <v>0.12252962065938736</v>
      </c>
      <c r="R3825" s="9">
        <f t="shared" si="153"/>
        <v>2.7470379340612638E-2</v>
      </c>
    </row>
    <row r="3826" spans="1:18" x14ac:dyDescent="0.2">
      <c r="A3826" s="2">
        <v>42622</v>
      </c>
      <c r="B3826" s="1" t="s">
        <v>59</v>
      </c>
      <c r="C3826" s="1" t="s">
        <v>14</v>
      </c>
      <c r="D3826" s="2">
        <v>42737</v>
      </c>
      <c r="E3826" s="2">
        <f t="shared" si="152"/>
        <v>42767</v>
      </c>
      <c r="F3826" s="1" t="s">
        <v>60</v>
      </c>
      <c r="G3826" s="1" t="s">
        <v>16</v>
      </c>
      <c r="H3826" s="1">
        <v>-0.7</v>
      </c>
      <c r="I3826" s="1">
        <v>0.3</v>
      </c>
      <c r="J3826" s="1">
        <v>-0.01</v>
      </c>
      <c r="K3826" s="1" t="s">
        <v>68</v>
      </c>
      <c r="L3826" s="1">
        <v>2387</v>
      </c>
      <c r="M3826" s="1">
        <v>0.88</v>
      </c>
      <c r="N3826" s="1">
        <v>-0.39095999999999997</v>
      </c>
      <c r="O3826" s="5">
        <f>VLOOKUP(D3826,underlying!$D$76:$H$90,5,FALSE)</f>
        <v>-0.54</v>
      </c>
      <c r="P3826" s="2">
        <f>VLOOKUP(D3826,underlying!$D$76:$L$90,9,FALSE)</f>
        <v>42754</v>
      </c>
      <c r="Q3826" s="7">
        <f>IF(G3826="C",NormalCallSprd(O3826,H3826,M3826,(P3826-A3826)/365), NormalPutSprd(O3826,H3826,M3826,(P3826-A3826)/365))</f>
        <v>0.30069837847855896</v>
      </c>
      <c r="R3826" s="9">
        <f t="shared" si="153"/>
        <v>6.9837847855896973E-4</v>
      </c>
    </row>
    <row r="3827" spans="1:18" x14ac:dyDescent="0.2">
      <c r="A3827" s="2">
        <v>42622</v>
      </c>
      <c r="B3827" s="1" t="s">
        <v>59</v>
      </c>
      <c r="C3827" s="1" t="s">
        <v>14</v>
      </c>
      <c r="D3827" s="2">
        <v>42737</v>
      </c>
      <c r="E3827" s="2">
        <f t="shared" si="152"/>
        <v>42767</v>
      </c>
      <c r="F3827" s="1" t="s">
        <v>60</v>
      </c>
      <c r="G3827" s="1" t="s">
        <v>18</v>
      </c>
      <c r="H3827" s="1">
        <v>-0.7</v>
      </c>
      <c r="I3827" s="1">
        <v>0.14000000000000001</v>
      </c>
      <c r="J3827" s="1">
        <v>0</v>
      </c>
      <c r="K3827" s="1" t="s">
        <v>68</v>
      </c>
      <c r="L3827" s="1">
        <v>2387</v>
      </c>
      <c r="M3827" s="1">
        <v>0.88</v>
      </c>
      <c r="N3827" s="1">
        <v>-0.35625000000000001</v>
      </c>
      <c r="O3827" s="5">
        <f>VLOOKUP(D3827,underlying!$D$76:$H$90,5,FALSE)</f>
        <v>-0.54</v>
      </c>
      <c r="P3827" s="2">
        <f>VLOOKUP(D3827,underlying!$D$76:$L$90,9,FALSE)</f>
        <v>42754</v>
      </c>
      <c r="Q3827" s="7">
        <f>IF(G3827="C",NormalCallSprd(O3827,H3827,M3827,(P3827-A3827)/365), NormalPutSprd(O3827,H3827,M3827,(P3827-A3827)/365))</f>
        <v>0.14069837847855907</v>
      </c>
      <c r="R3827" s="9">
        <f t="shared" si="153"/>
        <v>6.98378478559053E-4</v>
      </c>
    </row>
    <row r="3828" spans="1:18" x14ac:dyDescent="0.2">
      <c r="A3828" s="2">
        <v>42622</v>
      </c>
      <c r="B3828" s="1" t="s">
        <v>59</v>
      </c>
      <c r="C3828" s="1" t="s">
        <v>14</v>
      </c>
      <c r="D3828" s="2">
        <v>42737</v>
      </c>
      <c r="E3828" s="2">
        <f t="shared" si="152"/>
        <v>42767</v>
      </c>
      <c r="F3828" s="1" t="s">
        <v>60</v>
      </c>
      <c r="G3828" s="1" t="s">
        <v>16</v>
      </c>
      <c r="H3828" s="1">
        <v>-0.65</v>
      </c>
      <c r="I3828" s="1">
        <v>0.27</v>
      </c>
      <c r="J3828" s="1">
        <v>-0.01</v>
      </c>
      <c r="K3828" s="1" t="s">
        <v>68</v>
      </c>
      <c r="L3828" s="1">
        <v>2387</v>
      </c>
      <c r="M3828" s="1">
        <v>0.88</v>
      </c>
      <c r="N3828" s="1">
        <v>-0.32367000000000001</v>
      </c>
      <c r="O3828" s="5">
        <f>VLOOKUP(D3828,underlying!$D$76:$H$90,5,FALSE)</f>
        <v>-0.54</v>
      </c>
      <c r="P3828" s="2">
        <f>VLOOKUP(D3828,underlying!$D$76:$L$90,9,FALSE)</f>
        <v>42754</v>
      </c>
      <c r="Q3828" s="7">
        <f>IF(G3828="C",NormalCallSprd(O3828,H3828,M3828,(P3828-A3828)/365), NormalPutSprd(O3828,H3828,M3828,(P3828-A3828)/365))</f>
        <v>0.2706663553685702</v>
      </c>
      <c r="R3828" s="9">
        <f t="shared" si="153"/>
        <v>6.6635536857018174E-4</v>
      </c>
    </row>
    <row r="3829" spans="1:18" x14ac:dyDescent="0.2">
      <c r="A3829" s="2">
        <v>42622</v>
      </c>
      <c r="B3829" s="1" t="s">
        <v>59</v>
      </c>
      <c r="C3829" s="1" t="s">
        <v>14</v>
      </c>
      <c r="D3829" s="2">
        <v>42737</v>
      </c>
      <c r="E3829" s="2">
        <f t="shared" si="152"/>
        <v>42767</v>
      </c>
      <c r="F3829" s="1" t="s">
        <v>60</v>
      </c>
      <c r="G3829" s="1" t="s">
        <v>18</v>
      </c>
      <c r="H3829" s="1">
        <v>-0.65</v>
      </c>
      <c r="I3829" s="1">
        <v>0.16</v>
      </c>
      <c r="J3829" s="1">
        <v>0</v>
      </c>
      <c r="K3829" s="1" t="s">
        <v>68</v>
      </c>
      <c r="L3829" s="1">
        <v>2387</v>
      </c>
      <c r="M3829" s="1">
        <v>0.88</v>
      </c>
      <c r="N3829" s="1">
        <v>-0.29659999999999997</v>
      </c>
      <c r="O3829" s="5">
        <f>VLOOKUP(D3829,underlying!$D$76:$H$90,5,FALSE)</f>
        <v>-0.54</v>
      </c>
      <c r="P3829" s="2">
        <f>VLOOKUP(D3829,underlying!$D$76:$L$90,9,FALSE)</f>
        <v>42754</v>
      </c>
      <c r="Q3829" s="7">
        <f>IF(G3829="C",NormalCallSprd(O3829,H3829,M3829,(P3829-A3829)/365), NormalPutSprd(O3829,H3829,M3829,(P3829-A3829)/365))</f>
        <v>0.16066635536857021</v>
      </c>
      <c r="R3829" s="9">
        <f t="shared" si="153"/>
        <v>6.6635536857020949E-4</v>
      </c>
    </row>
    <row r="3830" spans="1:18" x14ac:dyDescent="0.2">
      <c r="A3830" s="2">
        <v>42622</v>
      </c>
      <c r="B3830" s="1" t="s">
        <v>59</v>
      </c>
      <c r="C3830" s="1" t="s">
        <v>14</v>
      </c>
      <c r="D3830" s="2">
        <v>42737</v>
      </c>
      <c r="E3830" s="2">
        <f t="shared" si="152"/>
        <v>42767</v>
      </c>
      <c r="F3830" s="1" t="s">
        <v>60</v>
      </c>
      <c r="G3830" s="1" t="s">
        <v>16</v>
      </c>
      <c r="H3830" s="1">
        <v>-0.6</v>
      </c>
      <c r="I3830" s="1">
        <v>0.24</v>
      </c>
      <c r="J3830" s="1">
        <v>-0.01</v>
      </c>
      <c r="K3830" s="1" t="s">
        <v>68</v>
      </c>
      <c r="L3830" s="1">
        <v>2387</v>
      </c>
      <c r="M3830" s="1">
        <v>0.87</v>
      </c>
      <c r="N3830" s="1">
        <v>-0.2712</v>
      </c>
      <c r="O3830" s="5">
        <f>VLOOKUP(D3830,underlying!$D$76:$H$90,5,FALSE)</f>
        <v>-0.54</v>
      </c>
      <c r="P3830" s="2">
        <f>VLOOKUP(D3830,underlying!$D$76:$L$90,9,FALSE)</f>
        <v>42754</v>
      </c>
      <c r="Q3830" s="7">
        <f>IF(G3830="C",NormalCallSprd(O3830,H3830,M3830,(P3830-A3830)/365), NormalPutSprd(O3830,H3830,M3830,(P3830-A3830)/365))</f>
        <v>0.24009381128953522</v>
      </c>
      <c r="R3830" s="9">
        <f t="shared" si="153"/>
        <v>9.3811289535228326E-5</v>
      </c>
    </row>
    <row r="3831" spans="1:18" x14ac:dyDescent="0.2">
      <c r="A3831" s="2">
        <v>42622</v>
      </c>
      <c r="B3831" s="1" t="s">
        <v>59</v>
      </c>
      <c r="C3831" s="1" t="s">
        <v>14</v>
      </c>
      <c r="D3831" s="2">
        <v>42737</v>
      </c>
      <c r="E3831" s="2">
        <f t="shared" si="152"/>
        <v>42767</v>
      </c>
      <c r="F3831" s="1" t="s">
        <v>60</v>
      </c>
      <c r="G3831" s="1" t="s">
        <v>18</v>
      </c>
      <c r="H3831" s="1">
        <v>-0.6</v>
      </c>
      <c r="I3831" s="1">
        <v>0.21</v>
      </c>
      <c r="J3831" s="1">
        <v>0.01</v>
      </c>
      <c r="K3831" s="1" t="s">
        <v>68</v>
      </c>
      <c r="L3831" s="1">
        <v>2387</v>
      </c>
      <c r="M3831" s="1">
        <v>0.87</v>
      </c>
      <c r="N3831" s="1">
        <v>-0.25212000000000001</v>
      </c>
      <c r="O3831" s="5">
        <f>VLOOKUP(D3831,underlying!$D$76:$H$90,5,FALSE)</f>
        <v>-0.54</v>
      </c>
      <c r="P3831" s="2">
        <f>VLOOKUP(D3831,underlying!$D$76:$L$90,9,FALSE)</f>
        <v>42754</v>
      </c>
      <c r="Q3831" s="7">
        <f>IF(G3831="C",NormalCallSprd(O3831,H3831,M3831,(P3831-A3831)/365), NormalPutSprd(O3831,H3831,M3831,(P3831-A3831)/365))</f>
        <v>0.18009381128953528</v>
      </c>
      <c r="R3831" s="9">
        <f t="shared" si="153"/>
        <v>2.9906188710464715E-2</v>
      </c>
    </row>
    <row r="3832" spans="1:18" x14ac:dyDescent="0.2">
      <c r="A3832" s="2">
        <v>42622</v>
      </c>
      <c r="B3832" s="1" t="s">
        <v>59</v>
      </c>
      <c r="C3832" s="1" t="s">
        <v>14</v>
      </c>
      <c r="D3832" s="2">
        <v>42737</v>
      </c>
      <c r="E3832" s="2">
        <f t="shared" si="152"/>
        <v>42767</v>
      </c>
      <c r="F3832" s="1" t="s">
        <v>60</v>
      </c>
      <c r="G3832" s="1" t="s">
        <v>16</v>
      </c>
      <c r="H3832" s="1">
        <v>-0.55000000000000004</v>
      </c>
      <c r="I3832" s="1">
        <v>0.21</v>
      </c>
      <c r="J3832" s="1">
        <v>-0.01</v>
      </c>
      <c r="K3832" s="1" t="s">
        <v>68</v>
      </c>
      <c r="L3832" s="1">
        <v>2387</v>
      </c>
      <c r="M3832" s="1">
        <v>0.87</v>
      </c>
      <c r="N3832" s="1">
        <v>-0.23452000000000001</v>
      </c>
      <c r="O3832" s="5">
        <f>VLOOKUP(D3832,underlying!$D$76:$H$90,5,FALSE)</f>
        <v>-0.54</v>
      </c>
      <c r="P3832" s="2">
        <f>VLOOKUP(D3832,underlying!$D$76:$L$90,9,FALSE)</f>
        <v>42754</v>
      </c>
      <c r="Q3832" s="7">
        <f>IF(G3832="C",NormalCallSprd(O3832,H3832,M3832,(P3832-A3832)/365), NormalPutSprd(O3832,H3832,M3832,(P3832-A3832)/365))</f>
        <v>0.21376090536599254</v>
      </c>
      <c r="R3832" s="9">
        <f t="shared" si="153"/>
        <v>3.7609053659925507E-3</v>
      </c>
    </row>
    <row r="3833" spans="1:18" x14ac:dyDescent="0.2">
      <c r="A3833" s="2">
        <v>42622</v>
      </c>
      <c r="B3833" s="1" t="s">
        <v>59</v>
      </c>
      <c r="C3833" s="1" t="s">
        <v>14</v>
      </c>
      <c r="D3833" s="2">
        <v>42737</v>
      </c>
      <c r="E3833" s="2">
        <f t="shared" si="152"/>
        <v>42767</v>
      </c>
      <c r="F3833" s="1" t="s">
        <v>60</v>
      </c>
      <c r="G3833" s="1" t="s">
        <v>18</v>
      </c>
      <c r="H3833" s="1">
        <v>-0.55000000000000004</v>
      </c>
      <c r="I3833" s="1">
        <v>0.2</v>
      </c>
      <c r="J3833" s="1">
        <v>0</v>
      </c>
      <c r="K3833" s="1" t="s">
        <v>68</v>
      </c>
      <c r="L3833" s="1">
        <v>2387</v>
      </c>
      <c r="M3833" s="1">
        <v>0.87</v>
      </c>
      <c r="N3833" s="1">
        <v>-3.2349999999999997E-2</v>
      </c>
      <c r="O3833" s="5">
        <f>VLOOKUP(D3833,underlying!$D$76:$H$90,5,FALSE)</f>
        <v>-0.54</v>
      </c>
      <c r="P3833" s="2">
        <f>VLOOKUP(D3833,underlying!$D$76:$L$90,9,FALSE)</f>
        <v>42754</v>
      </c>
      <c r="Q3833" s="7">
        <f>IF(G3833="C",NormalCallSprd(O3833,H3833,M3833,(P3833-A3833)/365), NormalPutSprd(O3833,H3833,M3833,(P3833-A3833)/365))</f>
        <v>0.20376090536599253</v>
      </c>
      <c r="R3833" s="9">
        <f t="shared" si="153"/>
        <v>3.7609053659925229E-3</v>
      </c>
    </row>
    <row r="3834" spans="1:18" x14ac:dyDescent="0.2">
      <c r="A3834" s="2">
        <v>42622</v>
      </c>
      <c r="B3834" s="1" t="s">
        <v>59</v>
      </c>
      <c r="C3834" s="1" t="s">
        <v>14</v>
      </c>
      <c r="D3834" s="2">
        <v>42737</v>
      </c>
      <c r="E3834" s="2">
        <f t="shared" si="152"/>
        <v>42767</v>
      </c>
      <c r="F3834" s="1" t="s">
        <v>60</v>
      </c>
      <c r="G3834" s="1" t="s">
        <v>16</v>
      </c>
      <c r="H3834" s="1">
        <v>-0.5</v>
      </c>
      <c r="I3834" s="1">
        <v>0.19</v>
      </c>
      <c r="J3834" s="1">
        <v>-0.01</v>
      </c>
      <c r="K3834" s="1" t="s">
        <v>68</v>
      </c>
      <c r="L3834" s="1">
        <v>2387</v>
      </c>
      <c r="M3834" s="1">
        <v>0.87</v>
      </c>
      <c r="N3834" s="1">
        <v>-1.81E-3</v>
      </c>
      <c r="O3834" s="5">
        <f>VLOOKUP(D3834,underlying!$D$76:$H$90,5,FALSE)</f>
        <v>-0.54</v>
      </c>
      <c r="P3834" s="2">
        <f>VLOOKUP(D3834,underlying!$D$76:$L$90,9,FALSE)</f>
        <v>42754</v>
      </c>
      <c r="Q3834" s="7">
        <f>IF(G3834="C",NormalCallSprd(O3834,H3834,M3834,(P3834-A3834)/365), NormalPutSprd(O3834,H3834,M3834,(P3834-A3834)/365))</f>
        <v>0.18933249829807211</v>
      </c>
      <c r="R3834" s="9">
        <f t="shared" si="153"/>
        <v>6.6750170192789171E-4</v>
      </c>
    </row>
    <row r="3835" spans="1:18" x14ac:dyDescent="0.2">
      <c r="A3835" s="2">
        <v>42622</v>
      </c>
      <c r="B3835" s="1" t="s">
        <v>59</v>
      </c>
      <c r="C3835" s="1" t="s">
        <v>14</v>
      </c>
      <c r="D3835" s="2">
        <v>42737</v>
      </c>
      <c r="E3835" s="2">
        <f t="shared" si="152"/>
        <v>42767</v>
      </c>
      <c r="F3835" s="1" t="s">
        <v>60</v>
      </c>
      <c r="G3835" s="1" t="s">
        <v>18</v>
      </c>
      <c r="H3835" s="1">
        <v>-0.5</v>
      </c>
      <c r="I3835" s="1">
        <v>0.23</v>
      </c>
      <c r="J3835" s="1">
        <v>0</v>
      </c>
      <c r="K3835" s="1" t="s">
        <v>68</v>
      </c>
      <c r="L3835" s="1">
        <v>2387</v>
      </c>
      <c r="M3835" s="1">
        <v>0.87</v>
      </c>
      <c r="N3835" s="1">
        <v>-2.0000000000000002E-5</v>
      </c>
      <c r="O3835" s="5">
        <f>VLOOKUP(D3835,underlying!$D$76:$H$90,5,FALSE)</f>
        <v>-0.54</v>
      </c>
      <c r="P3835" s="2">
        <f>VLOOKUP(D3835,underlying!$D$76:$L$90,9,FALSE)</f>
        <v>42754</v>
      </c>
      <c r="Q3835" s="7">
        <f>IF(G3835="C",NormalCallSprd(O3835,H3835,M3835,(P3835-A3835)/365), NormalPutSprd(O3835,H3835,M3835,(P3835-A3835)/365))</f>
        <v>0.22933249829807217</v>
      </c>
      <c r="R3835" s="9">
        <f t="shared" si="153"/>
        <v>6.675017019278362E-4</v>
      </c>
    </row>
    <row r="3836" spans="1:18" x14ac:dyDescent="0.2">
      <c r="A3836" s="2">
        <v>42622</v>
      </c>
      <c r="B3836" s="1" t="s">
        <v>59</v>
      </c>
      <c r="C3836" s="1" t="s">
        <v>14</v>
      </c>
      <c r="D3836" s="2">
        <v>42737</v>
      </c>
      <c r="E3836" s="2">
        <f t="shared" si="152"/>
        <v>42767</v>
      </c>
      <c r="F3836" s="1" t="s">
        <v>60</v>
      </c>
      <c r="G3836" s="1" t="s">
        <v>16</v>
      </c>
      <c r="H3836" s="1">
        <v>-0.45</v>
      </c>
      <c r="I3836" s="1">
        <v>0.17</v>
      </c>
      <c r="J3836" s="1">
        <v>-0.01</v>
      </c>
      <c r="K3836" s="1" t="s">
        <v>68</v>
      </c>
      <c r="L3836" s="1">
        <v>2387</v>
      </c>
      <c r="M3836" s="1">
        <v>0.88</v>
      </c>
      <c r="N3836" s="1">
        <v>0.1133</v>
      </c>
      <c r="O3836" s="5">
        <f>VLOOKUP(D3836,underlying!$D$76:$H$90,5,FALSE)</f>
        <v>-0.54</v>
      </c>
      <c r="P3836" s="2">
        <f>VLOOKUP(D3836,underlying!$D$76:$L$90,9,FALSE)</f>
        <v>42754</v>
      </c>
      <c r="Q3836" s="7">
        <f>IF(G3836="C",NormalCallSprd(O3836,H3836,M3836,(P3836-A3836)/365), NormalPutSprd(O3836,H3836,M3836,(P3836-A3836)/365))</f>
        <v>0.16916766159705277</v>
      </c>
      <c r="R3836" s="9">
        <f t="shared" si="153"/>
        <v>8.3233840294724692E-4</v>
      </c>
    </row>
    <row r="3837" spans="1:18" x14ac:dyDescent="0.2">
      <c r="A3837" s="2">
        <v>42622</v>
      </c>
      <c r="B3837" s="1" t="s">
        <v>59</v>
      </c>
      <c r="C3837" s="1" t="s">
        <v>14</v>
      </c>
      <c r="D3837" s="2">
        <v>42737</v>
      </c>
      <c r="E3837" s="2">
        <f t="shared" si="152"/>
        <v>42767</v>
      </c>
      <c r="F3837" s="1" t="s">
        <v>60</v>
      </c>
      <c r="G3837" s="1" t="s">
        <v>18</v>
      </c>
      <c r="H3837" s="1">
        <v>-0.45</v>
      </c>
      <c r="I3837" s="1">
        <v>0.26</v>
      </c>
      <c r="J3837" s="1">
        <v>0</v>
      </c>
      <c r="K3837" s="1" t="s">
        <v>68</v>
      </c>
      <c r="L3837" s="1">
        <v>2387</v>
      </c>
      <c r="M3837" s="1">
        <v>0.88</v>
      </c>
      <c r="N3837" s="1">
        <v>0.13578000000000001</v>
      </c>
      <c r="O3837" s="5">
        <f>VLOOKUP(D3837,underlying!$D$76:$H$90,5,FALSE)</f>
        <v>-0.54</v>
      </c>
      <c r="P3837" s="2">
        <f>VLOOKUP(D3837,underlying!$D$76:$L$90,9,FALSE)</f>
        <v>42754</v>
      </c>
      <c r="Q3837" s="7">
        <f>IF(G3837="C",NormalCallSprd(O3837,H3837,M3837,(P3837-A3837)/365), NormalPutSprd(O3837,H3837,M3837,(P3837-A3837)/365))</f>
        <v>0.25916766159705279</v>
      </c>
      <c r="R3837" s="9">
        <f t="shared" si="153"/>
        <v>8.3233840294721917E-4</v>
      </c>
    </row>
    <row r="3838" spans="1:18" x14ac:dyDescent="0.2">
      <c r="A3838" s="2">
        <v>42622</v>
      </c>
      <c r="B3838" s="1" t="s">
        <v>59</v>
      </c>
      <c r="C3838" s="1" t="s">
        <v>14</v>
      </c>
      <c r="D3838" s="2">
        <v>42737</v>
      </c>
      <c r="E3838" s="2">
        <f t="shared" si="152"/>
        <v>42767</v>
      </c>
      <c r="F3838" s="1" t="s">
        <v>60</v>
      </c>
      <c r="G3838" s="1" t="s">
        <v>16</v>
      </c>
      <c r="H3838" s="1">
        <v>-0.4</v>
      </c>
      <c r="I3838" s="1">
        <v>0.15</v>
      </c>
      <c r="J3838" s="1">
        <v>-0.01</v>
      </c>
      <c r="K3838" s="1" t="s">
        <v>68</v>
      </c>
      <c r="L3838" s="1">
        <v>2387</v>
      </c>
      <c r="M3838" s="1">
        <v>0.88</v>
      </c>
      <c r="N3838" s="1">
        <v>0.16273000000000001</v>
      </c>
      <c r="O3838" s="5">
        <f>VLOOKUP(D3838,underlying!$D$76:$H$90,5,FALSE)</f>
        <v>-0.54</v>
      </c>
      <c r="P3838" s="2">
        <f>VLOOKUP(D3838,underlying!$D$76:$L$90,9,FALSE)</f>
        <v>42754</v>
      </c>
      <c r="Q3838" s="7">
        <f>IF(G3838="C",NormalCallSprd(O3838,H3838,M3838,(P3838-A3838)/365), NormalPutSprd(O3838,H3838,M3838,(P3838-A3838)/365))</f>
        <v>0.14846686886876362</v>
      </c>
      <c r="R3838" s="9">
        <f t="shared" si="153"/>
        <v>1.533131131236376E-3</v>
      </c>
    </row>
    <row r="3839" spans="1:18" x14ac:dyDescent="0.2">
      <c r="A3839" s="2">
        <v>42622</v>
      </c>
      <c r="B3839" s="1" t="s">
        <v>59</v>
      </c>
      <c r="C3839" s="1" t="s">
        <v>14</v>
      </c>
      <c r="D3839" s="2">
        <v>42737</v>
      </c>
      <c r="E3839" s="2">
        <f t="shared" si="152"/>
        <v>42767</v>
      </c>
      <c r="F3839" s="1" t="s">
        <v>60</v>
      </c>
      <c r="G3839" s="1" t="s">
        <v>18</v>
      </c>
      <c r="H3839" s="1">
        <v>-0.4</v>
      </c>
      <c r="I3839" s="1">
        <v>0.28999999999999998</v>
      </c>
      <c r="J3839" s="1">
        <v>0</v>
      </c>
      <c r="K3839" s="1" t="s">
        <v>68</v>
      </c>
      <c r="L3839" s="1">
        <v>2387</v>
      </c>
      <c r="M3839" s="1">
        <v>0.88</v>
      </c>
      <c r="N3839" s="1">
        <v>0.19778999999999999</v>
      </c>
      <c r="O3839" s="5">
        <f>VLOOKUP(D3839,underlying!$D$76:$H$90,5,FALSE)</f>
        <v>-0.54</v>
      </c>
      <c r="P3839" s="2">
        <f>VLOOKUP(D3839,underlying!$D$76:$L$90,9,FALSE)</f>
        <v>42754</v>
      </c>
      <c r="Q3839" s="7">
        <f>IF(G3839="C",NormalCallSprd(O3839,H3839,M3839,(P3839-A3839)/365), NormalPutSprd(O3839,H3839,M3839,(P3839-A3839)/365))</f>
        <v>0.28846686886876366</v>
      </c>
      <c r="R3839" s="9">
        <f t="shared" si="153"/>
        <v>1.5331311312363205E-3</v>
      </c>
    </row>
    <row r="3840" spans="1:18" x14ac:dyDescent="0.2">
      <c r="A3840" s="2">
        <v>42622</v>
      </c>
      <c r="B3840" s="1" t="s">
        <v>59</v>
      </c>
      <c r="C3840" s="1" t="s">
        <v>14</v>
      </c>
      <c r="D3840" s="2">
        <v>42737</v>
      </c>
      <c r="E3840" s="2">
        <f t="shared" si="152"/>
        <v>42767</v>
      </c>
      <c r="F3840" s="1" t="s">
        <v>60</v>
      </c>
      <c r="G3840" s="1" t="s">
        <v>16</v>
      </c>
      <c r="H3840" s="1">
        <v>-0.35</v>
      </c>
      <c r="I3840" s="1">
        <v>0.13</v>
      </c>
      <c r="J3840" s="1">
        <v>0</v>
      </c>
      <c r="K3840" s="1" t="s">
        <v>68</v>
      </c>
      <c r="L3840" s="1">
        <v>2387</v>
      </c>
      <c r="M3840" s="1">
        <v>0.86</v>
      </c>
      <c r="N3840" s="1">
        <v>0.21964</v>
      </c>
      <c r="O3840" s="5">
        <f>VLOOKUP(D3840,underlying!$D$76:$H$90,5,FALSE)</f>
        <v>-0.54</v>
      </c>
      <c r="P3840" s="2">
        <f>VLOOKUP(D3840,underlying!$D$76:$L$90,9,FALSE)</f>
        <v>42754</v>
      </c>
      <c r="Q3840" s="7">
        <f>IF(G3840="C",NormalCallSprd(O3840,H3840,M3840,(P3840-A3840)/365), NormalPutSprd(O3840,H3840,M3840,(P3840-A3840)/365))</f>
        <v>0.12509265074650897</v>
      </c>
      <c r="R3840" s="9">
        <f t="shared" si="153"/>
        <v>4.907349253491039E-3</v>
      </c>
    </row>
    <row r="3841" spans="1:18" x14ac:dyDescent="0.2">
      <c r="A3841" s="2">
        <v>42622</v>
      </c>
      <c r="B3841" s="1" t="s">
        <v>59</v>
      </c>
      <c r="C3841" s="1" t="s">
        <v>14</v>
      </c>
      <c r="D3841" s="2">
        <v>42737</v>
      </c>
      <c r="E3841" s="2">
        <f t="shared" si="152"/>
        <v>42767</v>
      </c>
      <c r="F3841" s="1" t="s">
        <v>60</v>
      </c>
      <c r="G3841" s="1" t="s">
        <v>18</v>
      </c>
      <c r="H3841" s="1">
        <v>-0.35</v>
      </c>
      <c r="I3841" s="1">
        <v>0.31</v>
      </c>
      <c r="J3841" s="1">
        <v>0</v>
      </c>
      <c r="K3841" s="1" t="s">
        <v>68</v>
      </c>
      <c r="L3841" s="1">
        <v>2387</v>
      </c>
      <c r="M3841" s="1">
        <v>0.86</v>
      </c>
      <c r="N3841" s="1">
        <v>0.23383999999999999</v>
      </c>
      <c r="O3841" s="5">
        <f>VLOOKUP(D3841,underlying!$D$76:$H$90,5,FALSE)</f>
        <v>-0.54</v>
      </c>
      <c r="P3841" s="2">
        <f>VLOOKUP(D3841,underlying!$D$76:$L$90,9,FALSE)</f>
        <v>42754</v>
      </c>
      <c r="Q3841" s="7">
        <f>IF(G3841="C",NormalCallSprd(O3841,H3841,M3841,(P3841-A3841)/365), NormalPutSprd(O3841,H3841,M3841,(P3841-A3841)/365))</f>
        <v>0.31509265074650905</v>
      </c>
      <c r="R3841" s="9">
        <f t="shared" si="153"/>
        <v>5.0926507465090531E-3</v>
      </c>
    </row>
    <row r="3842" spans="1:18" x14ac:dyDescent="0.2">
      <c r="A3842" s="2">
        <v>42622</v>
      </c>
      <c r="B3842" s="1" t="s">
        <v>59</v>
      </c>
      <c r="C3842" s="1" t="s">
        <v>14</v>
      </c>
      <c r="D3842" s="2">
        <v>42737</v>
      </c>
      <c r="E3842" s="2">
        <f t="shared" ref="E3842:E3905" si="154">DATE(YEAR(D3842),DAY(D3842),MONTH(D3842))</f>
        <v>42767</v>
      </c>
      <c r="F3842" s="1" t="s">
        <v>60</v>
      </c>
      <c r="G3842" s="1" t="s">
        <v>16</v>
      </c>
      <c r="H3842" s="1">
        <v>-0.3</v>
      </c>
      <c r="I3842" s="1">
        <v>0.11</v>
      </c>
      <c r="J3842" s="1">
        <v>-0.01</v>
      </c>
      <c r="K3842" s="1" t="s">
        <v>68</v>
      </c>
      <c r="L3842" s="1">
        <v>2387</v>
      </c>
      <c r="M3842" s="1">
        <v>0.87</v>
      </c>
      <c r="N3842" s="1">
        <v>0.27474999999999999</v>
      </c>
      <c r="O3842" s="5">
        <f>VLOOKUP(D3842,underlying!$D$76:$H$90,5,FALSE)</f>
        <v>-0.54</v>
      </c>
      <c r="P3842" s="2">
        <f>VLOOKUP(D3842,underlying!$D$76:$L$90,9,FALSE)</f>
        <v>42754</v>
      </c>
      <c r="Q3842" s="7">
        <f>IF(G3842="C",NormalCallSprd(O3842,H3842,M3842,(P3842-A3842)/365), NormalPutSprd(O3842,H3842,M3842,(P3842-A3842)/365))</f>
        <v>0.11030616976511309</v>
      </c>
      <c r="R3842" s="9">
        <f t="shared" si="153"/>
        <v>3.0616976511309291E-4</v>
      </c>
    </row>
    <row r="3843" spans="1:18" x14ac:dyDescent="0.2">
      <c r="A3843" s="2">
        <v>42622</v>
      </c>
      <c r="B3843" s="1" t="s">
        <v>59</v>
      </c>
      <c r="C3843" s="1" t="s">
        <v>14</v>
      </c>
      <c r="D3843" s="2">
        <v>42737</v>
      </c>
      <c r="E3843" s="2">
        <f t="shared" si="154"/>
        <v>42767</v>
      </c>
      <c r="F3843" s="1" t="s">
        <v>60</v>
      </c>
      <c r="G3843" s="1" t="s">
        <v>18</v>
      </c>
      <c r="H3843" s="1">
        <v>-0.3</v>
      </c>
      <c r="I3843" s="1">
        <v>0.35</v>
      </c>
      <c r="J3843" s="1">
        <v>0</v>
      </c>
      <c r="K3843" s="1" t="s">
        <v>68</v>
      </c>
      <c r="L3843" s="1">
        <v>2387</v>
      </c>
      <c r="M3843" s="1">
        <v>0.87</v>
      </c>
      <c r="N3843" s="1">
        <v>0.31186999999999998</v>
      </c>
      <c r="O3843" s="5">
        <f>VLOOKUP(D3843,underlying!$D$76:$H$90,5,FALSE)</f>
        <v>-0.54</v>
      </c>
      <c r="P3843" s="2">
        <f>VLOOKUP(D3843,underlying!$D$76:$L$90,9,FALSE)</f>
        <v>42754</v>
      </c>
      <c r="Q3843" s="7">
        <f>IF(G3843="C",NormalCallSprd(O3843,H3843,M3843,(P3843-A3843)/365), NormalPutSprd(O3843,H3843,M3843,(P3843-A3843)/365))</f>
        <v>0.35030616976511314</v>
      </c>
      <c r="R3843" s="9">
        <f t="shared" ref="R3843:R3906" si="155">ABS(Q3843-I3843)</f>
        <v>3.061697651131623E-4</v>
      </c>
    </row>
    <row r="3844" spans="1:18" x14ac:dyDescent="0.2">
      <c r="A3844" s="2">
        <v>42622</v>
      </c>
      <c r="B3844" s="1" t="s">
        <v>59</v>
      </c>
      <c r="C3844" s="1" t="s">
        <v>14</v>
      </c>
      <c r="D3844" s="2">
        <v>42737</v>
      </c>
      <c r="E3844" s="2">
        <f t="shared" si="154"/>
        <v>42767</v>
      </c>
      <c r="F3844" s="1" t="s">
        <v>60</v>
      </c>
      <c r="G3844" s="1" t="s">
        <v>16</v>
      </c>
      <c r="H3844" s="1">
        <v>-0.25</v>
      </c>
      <c r="I3844" s="1">
        <v>0.09</v>
      </c>
      <c r="J3844" s="1">
        <v>-0.01</v>
      </c>
      <c r="K3844" s="1" t="s">
        <v>68</v>
      </c>
      <c r="L3844" s="1">
        <v>2387</v>
      </c>
      <c r="M3844" s="1">
        <v>0.85</v>
      </c>
      <c r="N3844" s="1">
        <v>0.35500999999999999</v>
      </c>
      <c r="O3844" s="5">
        <f>VLOOKUP(D3844,underlying!$D$76:$H$90,5,FALSE)</f>
        <v>-0.54</v>
      </c>
      <c r="P3844" s="2">
        <f>VLOOKUP(D3844,underlying!$D$76:$L$90,9,FALSE)</f>
        <v>42754</v>
      </c>
      <c r="Q3844" s="7">
        <f>IF(G3844="C",NormalCallSprd(O3844,H3844,M3844,(P3844-A3844)/365), NormalPutSprd(O3844,H3844,M3844,(P3844-A3844)/365))</f>
        <v>9.0890171062999334E-2</v>
      </c>
      <c r="R3844" s="9">
        <f t="shared" si="155"/>
        <v>8.9017106299933701E-4</v>
      </c>
    </row>
    <row r="3845" spans="1:18" x14ac:dyDescent="0.2">
      <c r="A3845" s="2">
        <v>42622</v>
      </c>
      <c r="B3845" s="1" t="s">
        <v>59</v>
      </c>
      <c r="C3845" s="1" t="s">
        <v>14</v>
      </c>
      <c r="D3845" s="2">
        <v>42737</v>
      </c>
      <c r="E3845" s="2">
        <f t="shared" si="154"/>
        <v>42767</v>
      </c>
      <c r="F3845" s="1" t="s">
        <v>60</v>
      </c>
      <c r="G3845" s="1" t="s">
        <v>18</v>
      </c>
      <c r="H3845" s="1">
        <v>-0.25</v>
      </c>
      <c r="I3845" s="1">
        <v>0.38</v>
      </c>
      <c r="J3845" s="1">
        <v>0</v>
      </c>
      <c r="K3845" s="1" t="s">
        <v>68</v>
      </c>
      <c r="L3845" s="1">
        <v>2387</v>
      </c>
      <c r="M3845" s="1">
        <v>0.85</v>
      </c>
      <c r="N3845" s="1">
        <v>0.40238000000000002</v>
      </c>
      <c r="O3845" s="5">
        <f>VLOOKUP(D3845,underlying!$D$76:$H$90,5,FALSE)</f>
        <v>-0.54</v>
      </c>
      <c r="P3845" s="2">
        <f>VLOOKUP(D3845,underlying!$D$76:$L$90,9,FALSE)</f>
        <v>42754</v>
      </c>
      <c r="Q3845" s="7">
        <f>IF(G3845="C",NormalCallSprd(O3845,H3845,M3845,(P3845-A3845)/365), NormalPutSprd(O3845,H3845,M3845,(P3845-A3845)/365))</f>
        <v>0.38089017106299938</v>
      </c>
      <c r="R3845" s="9">
        <f t="shared" si="155"/>
        <v>8.9017106299937865E-4</v>
      </c>
    </row>
    <row r="3846" spans="1:18" x14ac:dyDescent="0.2">
      <c r="A3846" s="2">
        <v>42622</v>
      </c>
      <c r="B3846" s="1" t="s">
        <v>59</v>
      </c>
      <c r="C3846" s="1" t="s">
        <v>14</v>
      </c>
      <c r="D3846" s="2">
        <v>42737</v>
      </c>
      <c r="E3846" s="2">
        <f t="shared" si="154"/>
        <v>42767</v>
      </c>
      <c r="F3846" s="1" t="s">
        <v>60</v>
      </c>
      <c r="G3846" s="1" t="s">
        <v>16</v>
      </c>
      <c r="H3846" s="1">
        <v>-0.2</v>
      </c>
      <c r="I3846" s="1">
        <v>0.09</v>
      </c>
      <c r="J3846" s="1">
        <v>-0.01</v>
      </c>
      <c r="K3846" s="1" t="s">
        <v>68</v>
      </c>
      <c r="L3846" s="1">
        <v>2387</v>
      </c>
      <c r="M3846" s="1">
        <v>0.92</v>
      </c>
      <c r="N3846" s="1">
        <v>0.44499</v>
      </c>
      <c r="O3846" s="5">
        <f>VLOOKUP(D3846,underlying!$D$76:$H$90,5,FALSE)</f>
        <v>-0.54</v>
      </c>
      <c r="P3846" s="2">
        <f>VLOOKUP(D3846,underlying!$D$76:$L$90,9,FALSE)</f>
        <v>42754</v>
      </c>
      <c r="Q3846" s="7">
        <f>IF(G3846="C",NormalCallSprd(O3846,H3846,M3846,(P3846-A3846)/365), NormalPutSprd(O3846,H3846,M3846,(P3846-A3846)/365))</f>
        <v>9.1132829233373264E-2</v>
      </c>
      <c r="R3846" s="9">
        <f t="shared" si="155"/>
        <v>1.132829233373267E-3</v>
      </c>
    </row>
    <row r="3847" spans="1:18" x14ac:dyDescent="0.2">
      <c r="A3847" s="2">
        <v>42622</v>
      </c>
      <c r="B3847" s="1" t="s">
        <v>59</v>
      </c>
      <c r="C3847" s="1" t="s">
        <v>14</v>
      </c>
      <c r="D3847" s="2">
        <v>42737</v>
      </c>
      <c r="E3847" s="2">
        <f t="shared" si="154"/>
        <v>42767</v>
      </c>
      <c r="F3847" s="1" t="s">
        <v>60</v>
      </c>
      <c r="G3847" s="1" t="s">
        <v>18</v>
      </c>
      <c r="H3847" s="1">
        <v>-0.2</v>
      </c>
      <c r="I3847" s="1">
        <v>0.43</v>
      </c>
      <c r="J3847" s="1">
        <v>0</v>
      </c>
      <c r="K3847" s="1" t="s">
        <v>68</v>
      </c>
      <c r="L3847" s="1">
        <v>2387</v>
      </c>
      <c r="M3847" s="1">
        <v>0.92</v>
      </c>
      <c r="N3847" s="1">
        <v>0.48443999999999998</v>
      </c>
      <c r="O3847" s="5">
        <f>VLOOKUP(D3847,underlying!$D$76:$H$90,5,FALSE)</f>
        <v>-0.54</v>
      </c>
      <c r="P3847" s="2">
        <f>VLOOKUP(D3847,underlying!$D$76:$L$90,9,FALSE)</f>
        <v>42754</v>
      </c>
      <c r="Q3847" s="7">
        <f>IF(G3847="C",NormalCallSprd(O3847,H3847,M3847,(P3847-A3847)/365), NormalPutSprd(O3847,H3847,M3847,(P3847-A3847)/365))</f>
        <v>0.43113282923337332</v>
      </c>
      <c r="R3847" s="9">
        <f t="shared" si="155"/>
        <v>1.1328292333733225E-3</v>
      </c>
    </row>
    <row r="3848" spans="1:18" x14ac:dyDescent="0.2">
      <c r="A3848" s="2">
        <v>42622</v>
      </c>
      <c r="B3848" s="1" t="s">
        <v>59</v>
      </c>
      <c r="C3848" s="1" t="s">
        <v>14</v>
      </c>
      <c r="D3848" s="2">
        <v>42737</v>
      </c>
      <c r="E3848" s="2">
        <f t="shared" si="154"/>
        <v>42767</v>
      </c>
      <c r="F3848" s="1" t="s">
        <v>60</v>
      </c>
      <c r="G3848" s="1" t="s">
        <v>16</v>
      </c>
      <c r="H3848" s="1">
        <v>-0.15</v>
      </c>
      <c r="I3848" s="1">
        <v>0.09</v>
      </c>
      <c r="J3848" s="1">
        <v>-0.01</v>
      </c>
      <c r="K3848" s="1" t="s">
        <v>68</v>
      </c>
      <c r="L3848" s="1">
        <v>2387</v>
      </c>
      <c r="M3848" s="1">
        <v>0.99</v>
      </c>
      <c r="N3848" s="1">
        <v>0.52234000000000003</v>
      </c>
      <c r="O3848" s="5">
        <f>VLOOKUP(D3848,underlying!$D$76:$H$90,5,FALSE)</f>
        <v>-0.54</v>
      </c>
      <c r="P3848" s="2">
        <f>VLOOKUP(D3848,underlying!$D$76:$L$90,9,FALSE)</f>
        <v>42754</v>
      </c>
      <c r="Q3848" s="7">
        <f>IF(G3848="C",NormalCallSprd(O3848,H3848,M3848,(P3848-A3848)/365), NormalPutSprd(O3848,H3848,M3848,(P3848-A3848)/365))</f>
        <v>9.1725573480210265E-2</v>
      </c>
      <c r="R3848" s="9">
        <f t="shared" si="155"/>
        <v>1.7255734802102685E-3</v>
      </c>
    </row>
    <row r="3849" spans="1:18" x14ac:dyDescent="0.2">
      <c r="A3849" s="2">
        <v>42622</v>
      </c>
      <c r="B3849" s="1" t="s">
        <v>59</v>
      </c>
      <c r="C3849" s="1" t="s">
        <v>14</v>
      </c>
      <c r="D3849" s="2">
        <v>42737</v>
      </c>
      <c r="E3849" s="2">
        <f t="shared" si="154"/>
        <v>42767</v>
      </c>
      <c r="F3849" s="1" t="s">
        <v>60</v>
      </c>
      <c r="G3849" s="1" t="s">
        <v>18</v>
      </c>
      <c r="H3849" s="1">
        <v>-0.15</v>
      </c>
      <c r="I3849" s="1">
        <v>0.48</v>
      </c>
      <c r="J3849" s="1">
        <v>0</v>
      </c>
      <c r="K3849" s="1" t="s">
        <v>68</v>
      </c>
      <c r="L3849" s="1">
        <v>2387</v>
      </c>
      <c r="M3849" s="1">
        <v>0.99</v>
      </c>
      <c r="N3849" s="1">
        <v>0.56016999999999995</v>
      </c>
      <c r="O3849" s="5">
        <f>VLOOKUP(D3849,underlying!$D$76:$H$90,5,FALSE)</f>
        <v>-0.54</v>
      </c>
      <c r="P3849" s="2">
        <f>VLOOKUP(D3849,underlying!$D$76:$L$90,9,FALSE)</f>
        <v>42754</v>
      </c>
      <c r="Q3849" s="7">
        <f>IF(G3849="C",NormalCallSprd(O3849,H3849,M3849,(P3849-A3849)/365), NormalPutSprd(O3849,H3849,M3849,(P3849-A3849)/365))</f>
        <v>0.48172557348021033</v>
      </c>
      <c r="R3849" s="9">
        <f t="shared" si="155"/>
        <v>1.7255734802103517E-3</v>
      </c>
    </row>
    <row r="3850" spans="1:18" x14ac:dyDescent="0.2">
      <c r="A3850" s="2">
        <v>42622</v>
      </c>
      <c r="B3850" s="1" t="s">
        <v>59</v>
      </c>
      <c r="C3850" s="1" t="s">
        <v>14</v>
      </c>
      <c r="D3850" s="2">
        <v>42737</v>
      </c>
      <c r="E3850" s="2">
        <f t="shared" si="154"/>
        <v>42767</v>
      </c>
      <c r="F3850" s="1" t="s">
        <v>60</v>
      </c>
      <c r="G3850" s="1" t="s">
        <v>16</v>
      </c>
      <c r="H3850" s="1">
        <v>-0.1</v>
      </c>
      <c r="I3850" s="1">
        <v>0.08</v>
      </c>
      <c r="J3850" s="1">
        <v>-0.01</v>
      </c>
      <c r="K3850" s="1" t="s">
        <v>68</v>
      </c>
      <c r="L3850" s="1">
        <v>2387</v>
      </c>
      <c r="M3850" s="1">
        <v>0.98</v>
      </c>
      <c r="N3850" s="1">
        <v>0.59755999999999998</v>
      </c>
      <c r="O3850" s="5">
        <f>VLOOKUP(D3850,underlying!$D$76:$H$90,5,FALSE)</f>
        <v>-0.54</v>
      </c>
      <c r="P3850" s="2">
        <f>VLOOKUP(D3850,underlying!$D$76:$L$90,9,FALSE)</f>
        <v>42754</v>
      </c>
      <c r="Q3850" s="7">
        <f>IF(G3850="C",NormalCallSprd(O3850,H3850,M3850,(P3850-A3850)/365), NormalPutSprd(O3850,H3850,M3850,(P3850-A3850)/365))</f>
        <v>7.7757609966399729E-2</v>
      </c>
      <c r="R3850" s="9">
        <f t="shared" si="155"/>
        <v>2.2423900336002722E-3</v>
      </c>
    </row>
    <row r="3851" spans="1:18" x14ac:dyDescent="0.2">
      <c r="A3851" s="2">
        <v>42622</v>
      </c>
      <c r="B3851" s="1" t="s">
        <v>59</v>
      </c>
      <c r="C3851" s="1" t="s">
        <v>14</v>
      </c>
      <c r="D3851" s="2">
        <v>42737</v>
      </c>
      <c r="E3851" s="2">
        <f t="shared" si="154"/>
        <v>42767</v>
      </c>
      <c r="F3851" s="1" t="s">
        <v>60</v>
      </c>
      <c r="G3851" s="1" t="s">
        <v>18</v>
      </c>
      <c r="H3851" s="1">
        <v>-0.1</v>
      </c>
      <c r="I3851" s="1">
        <v>0.52</v>
      </c>
      <c r="J3851" s="1">
        <v>0</v>
      </c>
      <c r="K3851" s="1" t="s">
        <v>68</v>
      </c>
      <c r="L3851" s="1">
        <v>2387</v>
      </c>
      <c r="M3851" s="1">
        <v>0.98</v>
      </c>
      <c r="N3851" s="1">
        <v>0.63146999999999998</v>
      </c>
      <c r="O3851" s="5">
        <f>VLOOKUP(D3851,underlying!$D$76:$H$90,5,FALSE)</f>
        <v>-0.54</v>
      </c>
      <c r="P3851" s="2">
        <f>VLOOKUP(D3851,underlying!$D$76:$L$90,9,FALSE)</f>
        <v>42754</v>
      </c>
      <c r="Q3851" s="7">
        <f>IF(G3851="C",NormalCallSprd(O3851,H3851,M3851,(P3851-A3851)/365), NormalPutSprd(O3851,H3851,M3851,(P3851-A3851)/365))</f>
        <v>0.51775760996639975</v>
      </c>
      <c r="R3851" s="9">
        <f t="shared" si="155"/>
        <v>2.2423900336002722E-3</v>
      </c>
    </row>
    <row r="3852" spans="1:18" x14ac:dyDescent="0.2">
      <c r="A3852" s="2">
        <v>42622</v>
      </c>
      <c r="B3852" s="1" t="s">
        <v>59</v>
      </c>
      <c r="C3852" s="1" t="s">
        <v>14</v>
      </c>
      <c r="D3852" s="2">
        <v>42737</v>
      </c>
      <c r="E3852" s="2">
        <f t="shared" si="154"/>
        <v>42767</v>
      </c>
      <c r="F3852" s="1" t="s">
        <v>60</v>
      </c>
      <c r="G3852" s="1" t="s">
        <v>16</v>
      </c>
      <c r="H3852" s="1">
        <v>-0.05</v>
      </c>
      <c r="I3852" s="1">
        <v>7.0000000000000007E-2</v>
      </c>
      <c r="J3852" s="1">
        <v>-0.01</v>
      </c>
      <c r="K3852" s="1" t="s">
        <v>68</v>
      </c>
      <c r="L3852" s="1">
        <v>2387</v>
      </c>
      <c r="M3852" s="1">
        <v>0.99</v>
      </c>
      <c r="N3852" s="1">
        <v>0.66290000000000004</v>
      </c>
      <c r="O3852" s="5">
        <f>VLOOKUP(D3852,underlying!$D$76:$H$90,5,FALSE)</f>
        <v>-0.54</v>
      </c>
      <c r="P3852" s="2">
        <f>VLOOKUP(D3852,underlying!$D$76:$L$90,9,FALSE)</f>
        <v>42754</v>
      </c>
      <c r="Q3852" s="7">
        <f>IF(G3852="C",NormalCallSprd(O3852,H3852,M3852,(P3852-A3852)/365), NormalPutSprd(O3852,H3852,M3852,(P3852-A3852)/365))</f>
        <v>6.8705549484213327E-2</v>
      </c>
      <c r="R3852" s="9">
        <f t="shared" si="155"/>
        <v>1.2944505157866798E-3</v>
      </c>
    </row>
    <row r="3853" spans="1:18" x14ac:dyDescent="0.2">
      <c r="A3853" s="2">
        <v>42622</v>
      </c>
      <c r="B3853" s="1" t="s">
        <v>59</v>
      </c>
      <c r="C3853" s="1" t="s">
        <v>14</v>
      </c>
      <c r="D3853" s="2">
        <v>42737</v>
      </c>
      <c r="E3853" s="2">
        <f t="shared" si="154"/>
        <v>42767</v>
      </c>
      <c r="F3853" s="1" t="s">
        <v>60</v>
      </c>
      <c r="G3853" s="1" t="s">
        <v>18</v>
      </c>
      <c r="H3853" s="1">
        <v>-0.05</v>
      </c>
      <c r="I3853" s="1">
        <v>0.56000000000000005</v>
      </c>
      <c r="J3853" s="1">
        <v>0</v>
      </c>
      <c r="K3853" s="1" t="s">
        <v>68</v>
      </c>
      <c r="L3853" s="1">
        <v>2387</v>
      </c>
      <c r="M3853" s="1">
        <v>0.99</v>
      </c>
      <c r="N3853" s="1">
        <v>0.69091000000000002</v>
      </c>
      <c r="O3853" s="5">
        <f>VLOOKUP(D3853,underlying!$D$76:$H$90,5,FALSE)</f>
        <v>-0.54</v>
      </c>
      <c r="P3853" s="2">
        <f>VLOOKUP(D3853,underlying!$D$76:$L$90,9,FALSE)</f>
        <v>42754</v>
      </c>
      <c r="Q3853" s="7">
        <f>IF(G3853="C",NormalCallSprd(O3853,H3853,M3853,(P3853-A3853)/365), NormalPutSprd(O3853,H3853,M3853,(P3853-A3853)/365))</f>
        <v>0.55870554948421336</v>
      </c>
      <c r="R3853" s="9">
        <f t="shared" si="155"/>
        <v>1.2944505157866937E-3</v>
      </c>
    </row>
    <row r="3854" spans="1:18" x14ac:dyDescent="0.2">
      <c r="A3854" s="2">
        <v>42622</v>
      </c>
      <c r="B3854" s="1" t="s">
        <v>59</v>
      </c>
      <c r="C3854" s="1" t="s">
        <v>14</v>
      </c>
      <c r="D3854" s="2">
        <v>42738</v>
      </c>
      <c r="E3854" s="2">
        <f t="shared" si="154"/>
        <v>42795</v>
      </c>
      <c r="F3854" s="1" t="s">
        <v>60</v>
      </c>
      <c r="G3854" s="1" t="s">
        <v>16</v>
      </c>
      <c r="H3854" s="1">
        <v>-4</v>
      </c>
      <c r="I3854" s="1">
        <v>3.54</v>
      </c>
      <c r="J3854" s="1">
        <v>-0.02</v>
      </c>
      <c r="K3854" s="1" t="s">
        <v>69</v>
      </c>
      <c r="L3854" s="1">
        <v>2387</v>
      </c>
      <c r="M3854" s="1">
        <v>1.04</v>
      </c>
      <c r="N3854" s="1">
        <v>0.71738999999999997</v>
      </c>
      <c r="O3854" s="5">
        <f>VLOOKUP(D3854,underlying!$D$76:$H$90,5,FALSE)</f>
        <v>-0.45</v>
      </c>
      <c r="P3854" s="2">
        <f>VLOOKUP(D3854,underlying!$D$76:$L$90,9,FALSE)</f>
        <v>42783</v>
      </c>
      <c r="Q3854" s="7">
        <f>IF(G3854="C",NormalCallSprd(O3854,H3854,M3854,(P3854-A3854)/365), NormalPutSprd(O3854,H3854,M3854,(P3854-A3854)/365))</f>
        <v>3.5500000173105235</v>
      </c>
      <c r="R3854" s="9">
        <f t="shared" si="155"/>
        <v>1.0000017310523468E-2</v>
      </c>
    </row>
    <row r="3855" spans="1:18" x14ac:dyDescent="0.2">
      <c r="A3855" s="2">
        <v>42622</v>
      </c>
      <c r="B3855" s="1" t="s">
        <v>59</v>
      </c>
      <c r="C3855" s="1" t="s">
        <v>14</v>
      </c>
      <c r="D3855" s="2">
        <v>42738</v>
      </c>
      <c r="E3855" s="2">
        <f t="shared" si="154"/>
        <v>42795</v>
      </c>
      <c r="F3855" s="1" t="s">
        <v>60</v>
      </c>
      <c r="G3855" s="1" t="s">
        <v>18</v>
      </c>
      <c r="H3855" s="1">
        <v>-4</v>
      </c>
      <c r="I3855" s="1">
        <v>0.01</v>
      </c>
      <c r="J3855" s="1">
        <v>0</v>
      </c>
      <c r="K3855" s="1" t="s">
        <v>69</v>
      </c>
      <c r="L3855" s="1">
        <v>2387</v>
      </c>
      <c r="M3855" s="1">
        <v>1.04</v>
      </c>
      <c r="N3855" s="1">
        <v>0.74199999999999999</v>
      </c>
      <c r="O3855" s="5">
        <f>VLOOKUP(D3855,underlying!$D$76:$H$90,5,FALSE)</f>
        <v>-0.45</v>
      </c>
      <c r="P3855" s="2">
        <f>VLOOKUP(D3855,underlying!$D$76:$L$90,9,FALSE)</f>
        <v>42783</v>
      </c>
      <c r="Q3855" s="7">
        <f>IF(G3855="C",NormalCallSprd(O3855,H3855,M3855,(P3855-A3855)/365), NormalPutSprd(O3855,H3855,M3855,(P3855-A3855)/365))</f>
        <v>1.7310523367196322E-8</v>
      </c>
      <c r="R3855" s="9">
        <f t="shared" si="155"/>
        <v>9.999982689476633E-3</v>
      </c>
    </row>
    <row r="3856" spans="1:18" x14ac:dyDescent="0.2">
      <c r="A3856" s="2">
        <v>42622</v>
      </c>
      <c r="B3856" s="1" t="s">
        <v>59</v>
      </c>
      <c r="C3856" s="1" t="s">
        <v>14</v>
      </c>
      <c r="D3856" s="2">
        <v>42738</v>
      </c>
      <c r="E3856" s="2">
        <f t="shared" si="154"/>
        <v>42795</v>
      </c>
      <c r="F3856" s="1" t="s">
        <v>60</v>
      </c>
      <c r="G3856" s="1" t="s">
        <v>16</v>
      </c>
      <c r="H3856" s="1">
        <v>-3</v>
      </c>
      <c r="I3856" s="1">
        <v>2.54</v>
      </c>
      <c r="J3856" s="1">
        <v>-0.02</v>
      </c>
      <c r="K3856" s="1" t="s">
        <v>69</v>
      </c>
      <c r="L3856" s="1">
        <v>2387</v>
      </c>
      <c r="M3856" s="1">
        <v>1.04</v>
      </c>
      <c r="N3856" s="1">
        <v>0.76683999999999997</v>
      </c>
      <c r="O3856" s="5">
        <f>VLOOKUP(D3856,underlying!$D$76:$H$90,5,FALSE)</f>
        <v>-0.45</v>
      </c>
      <c r="P3856" s="2">
        <f>VLOOKUP(D3856,underlying!$D$76:$L$90,9,FALSE)</f>
        <v>42783</v>
      </c>
      <c r="Q3856" s="7">
        <f>IF(G3856="C",NormalCallSprd(O3856,H3856,M3856,(P3856-A3856)/365), NormalPutSprd(O3856,H3856,M3856,(P3856-A3856)/365))</f>
        <v>2.5500185233507819</v>
      </c>
      <c r="R3856" s="9">
        <f t="shared" si="155"/>
        <v>1.0018523350781905E-2</v>
      </c>
    </row>
    <row r="3857" spans="1:18" x14ac:dyDescent="0.2">
      <c r="A3857" s="2">
        <v>42622</v>
      </c>
      <c r="B3857" s="1" t="s">
        <v>59</v>
      </c>
      <c r="C3857" s="1" t="s">
        <v>14</v>
      </c>
      <c r="D3857" s="2">
        <v>42738</v>
      </c>
      <c r="E3857" s="2">
        <f t="shared" si="154"/>
        <v>42795</v>
      </c>
      <c r="F3857" s="1" t="s">
        <v>60</v>
      </c>
      <c r="G3857" s="1" t="s">
        <v>18</v>
      </c>
      <c r="H3857" s="1">
        <v>-3</v>
      </c>
      <c r="I3857" s="1">
        <v>0.01</v>
      </c>
      <c r="J3857" s="1">
        <v>0</v>
      </c>
      <c r="K3857" s="1" t="s">
        <v>69</v>
      </c>
      <c r="L3857" s="1">
        <v>2387</v>
      </c>
      <c r="M3857" s="1">
        <v>1.04</v>
      </c>
      <c r="N3857" s="1">
        <v>0.79022999999999999</v>
      </c>
      <c r="O3857" s="5">
        <f>VLOOKUP(D3857,underlying!$D$76:$H$90,5,FALSE)</f>
        <v>-0.45</v>
      </c>
      <c r="P3857" s="2">
        <f>VLOOKUP(D3857,underlying!$D$76:$L$90,9,FALSE)</f>
        <v>42783</v>
      </c>
      <c r="Q3857" s="7">
        <f>IF(G3857="C",NormalCallSprd(O3857,H3857,M3857,(P3857-A3857)/365), NormalPutSprd(O3857,H3857,M3857,(P3857-A3857)/365))</f>
        <v>1.8523350782211741E-5</v>
      </c>
      <c r="R3857" s="9">
        <f t="shared" si="155"/>
        <v>9.9814766492177884E-3</v>
      </c>
    </row>
    <row r="3858" spans="1:18" x14ac:dyDescent="0.2">
      <c r="A3858" s="2">
        <v>42622</v>
      </c>
      <c r="B3858" s="1" t="s">
        <v>59</v>
      </c>
      <c r="C3858" s="1" t="s">
        <v>14</v>
      </c>
      <c r="D3858" s="2">
        <v>42738</v>
      </c>
      <c r="E3858" s="2">
        <f t="shared" si="154"/>
        <v>42795</v>
      </c>
      <c r="F3858" s="1" t="s">
        <v>60</v>
      </c>
      <c r="G3858" s="1" t="s">
        <v>16</v>
      </c>
      <c r="H3858" s="1">
        <v>-2</v>
      </c>
      <c r="I3858" s="1">
        <v>1.55</v>
      </c>
      <c r="J3858" s="1">
        <v>-0.02</v>
      </c>
      <c r="K3858" s="1" t="s">
        <v>69</v>
      </c>
      <c r="L3858" s="1">
        <v>2387</v>
      </c>
      <c r="M3858" s="1">
        <v>0.99</v>
      </c>
      <c r="N3858" s="1">
        <v>0.81145</v>
      </c>
      <c r="O3858" s="5">
        <f>VLOOKUP(D3858,underlying!$D$76:$H$90,5,FALSE)</f>
        <v>-0.45</v>
      </c>
      <c r="P3858" s="2">
        <f>VLOOKUP(D3858,underlying!$D$76:$L$90,9,FALSE)</f>
        <v>42783</v>
      </c>
      <c r="Q3858" s="7">
        <f>IF(G3858="C",NormalCallSprd(O3858,H3858,M3858,(P3858-A3858)/365), NormalPutSprd(O3858,H3858,M3858,(P3858-A3858)/365))</f>
        <v>1.5520322621309228</v>
      </c>
      <c r="R3858" s="9">
        <f t="shared" si="155"/>
        <v>2.0322621309227795E-3</v>
      </c>
    </row>
    <row r="3859" spans="1:18" x14ac:dyDescent="0.2">
      <c r="A3859" s="2">
        <v>42622</v>
      </c>
      <c r="B3859" s="1" t="s">
        <v>59</v>
      </c>
      <c r="C3859" s="1" t="s">
        <v>14</v>
      </c>
      <c r="D3859" s="2">
        <v>42738</v>
      </c>
      <c r="E3859" s="2">
        <f t="shared" si="154"/>
        <v>42795</v>
      </c>
      <c r="F3859" s="1" t="s">
        <v>60</v>
      </c>
      <c r="G3859" s="1" t="s">
        <v>18</v>
      </c>
      <c r="H3859" s="1">
        <v>-2</v>
      </c>
      <c r="I3859" s="1">
        <v>0.01</v>
      </c>
      <c r="J3859" s="1">
        <v>0</v>
      </c>
      <c r="K3859" s="1" t="s">
        <v>69</v>
      </c>
      <c r="L3859" s="1">
        <v>2387</v>
      </c>
      <c r="M3859" s="1">
        <v>0.99</v>
      </c>
      <c r="N3859" s="1">
        <v>0.97599999999999998</v>
      </c>
      <c r="O3859" s="5">
        <f>VLOOKUP(D3859,underlying!$D$76:$H$90,5,FALSE)</f>
        <v>-0.45</v>
      </c>
      <c r="P3859" s="2">
        <f>VLOOKUP(D3859,underlying!$D$76:$L$90,9,FALSE)</f>
        <v>42783</v>
      </c>
      <c r="Q3859" s="7">
        <f>IF(G3859="C",NormalCallSprd(O3859,H3859,M3859,(P3859-A3859)/365), NormalPutSprd(O3859,H3859,M3859,(P3859-A3859)/365))</f>
        <v>2.0322621309229036E-3</v>
      </c>
      <c r="R3859" s="9">
        <f t="shared" si="155"/>
        <v>7.9677378690770975E-3</v>
      </c>
    </row>
    <row r="3860" spans="1:18" x14ac:dyDescent="0.2">
      <c r="A3860" s="2">
        <v>42622</v>
      </c>
      <c r="B3860" s="1" t="s">
        <v>59</v>
      </c>
      <c r="C3860" s="1" t="s">
        <v>14</v>
      </c>
      <c r="D3860" s="2">
        <v>42738</v>
      </c>
      <c r="E3860" s="2">
        <f t="shared" si="154"/>
        <v>42795</v>
      </c>
      <c r="F3860" s="1" t="s">
        <v>60</v>
      </c>
      <c r="G3860" s="1" t="s">
        <v>16</v>
      </c>
      <c r="H3860" s="1">
        <v>-1</v>
      </c>
      <c r="I3860" s="1">
        <v>0.61</v>
      </c>
      <c r="J3860" s="1">
        <v>-0.02</v>
      </c>
      <c r="K3860" s="1" t="s">
        <v>69</v>
      </c>
      <c r="L3860" s="1">
        <v>2387</v>
      </c>
      <c r="M3860" s="1">
        <v>0.94</v>
      </c>
      <c r="N3860" s="1">
        <v>0.99831999999999999</v>
      </c>
      <c r="O3860" s="5">
        <f>VLOOKUP(D3860,underlying!$D$76:$H$90,5,FALSE)</f>
        <v>-0.45</v>
      </c>
      <c r="P3860" s="2">
        <f>VLOOKUP(D3860,underlying!$D$76:$L$90,9,FALSE)</f>
        <v>42783</v>
      </c>
      <c r="Q3860" s="7">
        <f>IF(G3860="C",NormalCallSprd(O3860,H3860,M3860,(P3860-A3860)/365), NormalPutSprd(O3860,H3860,M3860,(P3860-A3860)/365))</f>
        <v>0.6149145483045112</v>
      </c>
      <c r="R3860" s="9">
        <f t="shared" si="155"/>
        <v>4.9145483045112126E-3</v>
      </c>
    </row>
    <row r="3861" spans="1:18" x14ac:dyDescent="0.2">
      <c r="A3861" s="2">
        <v>42622</v>
      </c>
      <c r="B3861" s="1" t="s">
        <v>59</v>
      </c>
      <c r="C3861" s="1" t="s">
        <v>14</v>
      </c>
      <c r="D3861" s="2">
        <v>42738</v>
      </c>
      <c r="E3861" s="2">
        <f t="shared" si="154"/>
        <v>42795</v>
      </c>
      <c r="F3861" s="1" t="s">
        <v>60</v>
      </c>
      <c r="G3861" s="1" t="s">
        <v>18</v>
      </c>
      <c r="H3861" s="1">
        <v>-1</v>
      </c>
      <c r="I3861" s="1">
        <v>7.0000000000000007E-2</v>
      </c>
      <c r="J3861" s="1">
        <v>0.01</v>
      </c>
      <c r="K3861" s="1" t="s">
        <v>69</v>
      </c>
      <c r="L3861" s="1">
        <v>2387</v>
      </c>
      <c r="M3861" s="1">
        <v>0.94</v>
      </c>
      <c r="N3861" s="1">
        <v>0.99914000000000003</v>
      </c>
      <c r="O3861" s="5">
        <f>VLOOKUP(D3861,underlying!$D$76:$H$90,5,FALSE)</f>
        <v>-0.45</v>
      </c>
      <c r="P3861" s="2">
        <f>VLOOKUP(D3861,underlying!$D$76:$L$90,9,FALSE)</f>
        <v>42783</v>
      </c>
      <c r="Q3861" s="7">
        <f>IF(G3861="C",NormalCallSprd(O3861,H3861,M3861,(P3861-A3861)/365), NormalPutSprd(O3861,H3861,M3861,(P3861-A3861)/365))</f>
        <v>6.491454830451121E-2</v>
      </c>
      <c r="R3861" s="9">
        <f t="shared" si="155"/>
        <v>5.0854516954887963E-3</v>
      </c>
    </row>
    <row r="3862" spans="1:18" x14ac:dyDescent="0.2">
      <c r="A3862" s="2">
        <v>42622</v>
      </c>
      <c r="B3862" s="1" t="s">
        <v>59</v>
      </c>
      <c r="C3862" s="1" t="s">
        <v>14</v>
      </c>
      <c r="D3862" s="2">
        <v>42738</v>
      </c>
      <c r="E3862" s="2">
        <f t="shared" si="154"/>
        <v>42795</v>
      </c>
      <c r="F3862" s="1" t="s">
        <v>60</v>
      </c>
      <c r="G3862" s="1" t="s">
        <v>16</v>
      </c>
      <c r="H3862" s="1">
        <v>-0.95</v>
      </c>
      <c r="I3862" s="1">
        <v>0.56999999999999995</v>
      </c>
      <c r="J3862" s="1">
        <v>-0.02</v>
      </c>
      <c r="K3862" s="1" t="s">
        <v>69</v>
      </c>
      <c r="L3862" s="1">
        <v>2387</v>
      </c>
      <c r="M3862" s="1">
        <v>0.93</v>
      </c>
      <c r="N3862" s="1">
        <v>-0.88583999999999996</v>
      </c>
      <c r="O3862" s="5">
        <f>VLOOKUP(D3862,underlying!$D$76:$H$90,5,FALSE)</f>
        <v>-0.45</v>
      </c>
      <c r="P3862" s="2">
        <f>VLOOKUP(D3862,underlying!$D$76:$L$90,9,FALSE)</f>
        <v>42783</v>
      </c>
      <c r="Q3862" s="7">
        <f>IF(G3862="C",NormalCallSprd(O3862,H3862,M3862,(P3862-A3862)/365), NormalPutSprd(O3862,H3862,M3862,(P3862-A3862)/365))</f>
        <v>0.57301124126284098</v>
      </c>
      <c r="R3862" s="9">
        <f t="shared" si="155"/>
        <v>3.0112412628410246E-3</v>
      </c>
    </row>
    <row r="3863" spans="1:18" x14ac:dyDescent="0.2">
      <c r="A3863" s="2">
        <v>42622</v>
      </c>
      <c r="B3863" s="1" t="s">
        <v>59</v>
      </c>
      <c r="C3863" s="1" t="s">
        <v>14</v>
      </c>
      <c r="D3863" s="2">
        <v>42738</v>
      </c>
      <c r="E3863" s="2">
        <f t="shared" si="154"/>
        <v>42795</v>
      </c>
      <c r="F3863" s="1" t="s">
        <v>60</v>
      </c>
      <c r="G3863" s="1" t="s">
        <v>18</v>
      </c>
      <c r="H3863" s="1">
        <v>-0.95</v>
      </c>
      <c r="I3863" s="1">
        <v>7.0000000000000007E-2</v>
      </c>
      <c r="J3863" s="1">
        <v>0</v>
      </c>
      <c r="K3863" s="1" t="s">
        <v>69</v>
      </c>
      <c r="L3863" s="1">
        <v>2387</v>
      </c>
      <c r="M3863" s="1">
        <v>0.93</v>
      </c>
      <c r="N3863" s="1">
        <v>-0.86336999999999997</v>
      </c>
      <c r="O3863" s="5">
        <f>VLOOKUP(D3863,underlying!$D$76:$H$90,5,FALSE)</f>
        <v>-0.45</v>
      </c>
      <c r="P3863" s="2">
        <f>VLOOKUP(D3863,underlying!$D$76:$L$90,9,FALSE)</f>
        <v>42783</v>
      </c>
      <c r="Q3863" s="7">
        <f>IF(G3863="C",NormalCallSprd(O3863,H3863,M3863,(P3863-A3863)/365), NormalPutSprd(O3863,H3863,M3863,(P3863-A3863)/365))</f>
        <v>7.3011241262841059E-2</v>
      </c>
      <c r="R3863" s="9">
        <f t="shared" si="155"/>
        <v>3.0112412628410523E-3</v>
      </c>
    </row>
    <row r="3864" spans="1:18" x14ac:dyDescent="0.2">
      <c r="A3864" s="2">
        <v>42622</v>
      </c>
      <c r="B3864" s="1" t="s">
        <v>59</v>
      </c>
      <c r="C3864" s="1" t="s">
        <v>14</v>
      </c>
      <c r="D3864" s="2">
        <v>42738</v>
      </c>
      <c r="E3864" s="2">
        <f t="shared" si="154"/>
        <v>42795</v>
      </c>
      <c r="F3864" s="1" t="s">
        <v>60</v>
      </c>
      <c r="G3864" s="1" t="s">
        <v>16</v>
      </c>
      <c r="H3864" s="1">
        <v>-0.9</v>
      </c>
      <c r="I3864" s="1">
        <v>0.53</v>
      </c>
      <c r="J3864" s="1">
        <v>-0.02</v>
      </c>
      <c r="K3864" s="1" t="s">
        <v>69</v>
      </c>
      <c r="L3864" s="1">
        <v>2387</v>
      </c>
      <c r="M3864" s="1">
        <v>0.93</v>
      </c>
      <c r="N3864" s="1">
        <v>-0.83640999999999999</v>
      </c>
      <c r="O3864" s="5">
        <f>VLOOKUP(D3864,underlying!$D$76:$H$90,5,FALSE)</f>
        <v>-0.45</v>
      </c>
      <c r="P3864" s="2">
        <f>VLOOKUP(D3864,underlying!$D$76:$L$90,9,FALSE)</f>
        <v>42783</v>
      </c>
      <c r="Q3864" s="7">
        <f>IF(G3864="C",NormalCallSprd(O3864,H3864,M3864,(P3864-A3864)/365), NormalPutSprd(O3864,H3864,M3864,(P3864-A3864)/365))</f>
        <v>0.53406122147527701</v>
      </c>
      <c r="R3864" s="9">
        <f t="shared" si="155"/>
        <v>4.0612214752769882E-3</v>
      </c>
    </row>
    <row r="3865" spans="1:18" x14ac:dyDescent="0.2">
      <c r="A3865" s="2">
        <v>42622</v>
      </c>
      <c r="B3865" s="1" t="s">
        <v>59</v>
      </c>
      <c r="C3865" s="1" t="s">
        <v>14</v>
      </c>
      <c r="D3865" s="2">
        <v>42738</v>
      </c>
      <c r="E3865" s="2">
        <f t="shared" si="154"/>
        <v>42795</v>
      </c>
      <c r="F3865" s="1" t="s">
        <v>60</v>
      </c>
      <c r="G3865" s="1" t="s">
        <v>18</v>
      </c>
      <c r="H3865" s="1">
        <v>-0.9</v>
      </c>
      <c r="I3865" s="1">
        <v>0.08</v>
      </c>
      <c r="J3865" s="1">
        <v>0</v>
      </c>
      <c r="K3865" s="1" t="s">
        <v>69</v>
      </c>
      <c r="L3865" s="1">
        <v>2387</v>
      </c>
      <c r="M3865" s="1">
        <v>0.93</v>
      </c>
      <c r="N3865" s="1">
        <v>-0.80135999999999996</v>
      </c>
      <c r="O3865" s="5">
        <f>VLOOKUP(D3865,underlying!$D$76:$H$90,5,FALSE)</f>
        <v>-0.45</v>
      </c>
      <c r="P3865" s="2">
        <f>VLOOKUP(D3865,underlying!$D$76:$L$90,9,FALSE)</f>
        <v>42783</v>
      </c>
      <c r="Q3865" s="7">
        <f>IF(G3865="C",NormalCallSprd(O3865,H3865,M3865,(P3865-A3865)/365), NormalPutSprd(O3865,H3865,M3865,(P3865-A3865)/365))</f>
        <v>8.4061221475277031E-2</v>
      </c>
      <c r="R3865" s="9">
        <f t="shared" si="155"/>
        <v>4.0612214752770298E-3</v>
      </c>
    </row>
    <row r="3866" spans="1:18" x14ac:dyDescent="0.2">
      <c r="A3866" s="2">
        <v>42622</v>
      </c>
      <c r="B3866" s="1" t="s">
        <v>59</v>
      </c>
      <c r="C3866" s="1" t="s">
        <v>14</v>
      </c>
      <c r="D3866" s="2">
        <v>42738</v>
      </c>
      <c r="E3866" s="2">
        <f t="shared" si="154"/>
        <v>42795</v>
      </c>
      <c r="F3866" s="1" t="s">
        <v>60</v>
      </c>
      <c r="G3866" s="1" t="s">
        <v>16</v>
      </c>
      <c r="H3866" s="1">
        <v>-0.85</v>
      </c>
      <c r="I3866" s="1">
        <v>0.49</v>
      </c>
      <c r="J3866" s="1">
        <v>-0.02</v>
      </c>
      <c r="K3866" s="1" t="s">
        <v>69</v>
      </c>
      <c r="L3866" s="1">
        <v>2387</v>
      </c>
      <c r="M3866" s="1">
        <v>0.93</v>
      </c>
      <c r="N3866" s="1">
        <v>-0.77951000000000004</v>
      </c>
      <c r="O3866" s="5">
        <f>VLOOKUP(D3866,underlying!$D$76:$H$90,5,FALSE)</f>
        <v>-0.45</v>
      </c>
      <c r="P3866" s="2">
        <f>VLOOKUP(D3866,underlying!$D$76:$L$90,9,FALSE)</f>
        <v>42783</v>
      </c>
      <c r="Q3866" s="7">
        <f>IF(G3866="C",NormalCallSprd(O3866,H3866,M3866,(P3866-A3866)/365), NormalPutSprd(O3866,H3866,M3866,(P3866-A3866)/365))</f>
        <v>0.49634922507961343</v>
      </c>
      <c r="R3866" s="9">
        <f t="shared" si="155"/>
        <v>6.3492250796134408E-3</v>
      </c>
    </row>
    <row r="3867" spans="1:18" x14ac:dyDescent="0.2">
      <c r="A3867" s="2">
        <v>42622</v>
      </c>
      <c r="B3867" s="1" t="s">
        <v>59</v>
      </c>
      <c r="C3867" s="1" t="s">
        <v>14</v>
      </c>
      <c r="D3867" s="2">
        <v>42738</v>
      </c>
      <c r="E3867" s="2">
        <f t="shared" si="154"/>
        <v>42795</v>
      </c>
      <c r="F3867" s="1" t="s">
        <v>60</v>
      </c>
      <c r="G3867" s="1" t="s">
        <v>18</v>
      </c>
      <c r="H3867" s="1">
        <v>-0.85</v>
      </c>
      <c r="I3867" s="1">
        <v>0.1</v>
      </c>
      <c r="J3867" s="1">
        <v>0.01</v>
      </c>
      <c r="K3867" s="1" t="s">
        <v>69</v>
      </c>
      <c r="L3867" s="1">
        <v>2387</v>
      </c>
      <c r="M3867" s="1">
        <v>0.93</v>
      </c>
      <c r="N3867" s="1">
        <v>-0.76531000000000005</v>
      </c>
      <c r="O3867" s="5">
        <f>VLOOKUP(D3867,underlying!$D$76:$H$90,5,FALSE)</f>
        <v>-0.45</v>
      </c>
      <c r="P3867" s="2">
        <f>VLOOKUP(D3867,underlying!$D$76:$L$90,9,FALSE)</f>
        <v>42783</v>
      </c>
      <c r="Q3867" s="7">
        <f>IF(G3867="C",NormalCallSprd(O3867,H3867,M3867,(P3867-A3867)/365), NormalPutSprd(O3867,H3867,M3867,(P3867-A3867)/365))</f>
        <v>9.6349225079613465E-2</v>
      </c>
      <c r="R3867" s="9">
        <f t="shared" si="155"/>
        <v>3.6507749203865403E-3</v>
      </c>
    </row>
    <row r="3868" spans="1:18" x14ac:dyDescent="0.2">
      <c r="A3868" s="2">
        <v>42622</v>
      </c>
      <c r="B3868" s="1" t="s">
        <v>59</v>
      </c>
      <c r="C3868" s="1" t="s">
        <v>14</v>
      </c>
      <c r="D3868" s="2">
        <v>42738</v>
      </c>
      <c r="E3868" s="2">
        <f t="shared" si="154"/>
        <v>42795</v>
      </c>
      <c r="F3868" s="1" t="s">
        <v>60</v>
      </c>
      <c r="G3868" s="1" t="s">
        <v>16</v>
      </c>
      <c r="H3868" s="1">
        <v>-0.8</v>
      </c>
      <c r="I3868" s="1">
        <v>0.46</v>
      </c>
      <c r="J3868" s="1">
        <v>-0.01</v>
      </c>
      <c r="K3868" s="1" t="s">
        <v>69</v>
      </c>
      <c r="L3868" s="1">
        <v>2387</v>
      </c>
      <c r="M3868" s="1">
        <v>0.92</v>
      </c>
      <c r="N3868" s="1">
        <v>-0.72438999999999998</v>
      </c>
      <c r="O3868" s="5">
        <f>VLOOKUP(D3868,underlying!$D$76:$H$90,5,FALSE)</f>
        <v>-0.45</v>
      </c>
      <c r="P3868" s="2">
        <f>VLOOKUP(D3868,underlying!$D$76:$L$90,9,FALSE)</f>
        <v>42783</v>
      </c>
      <c r="Q3868" s="7">
        <f>IF(G3868="C",NormalCallSprd(O3868,H3868,M3868,(P3868-A3868)/365), NormalPutSprd(O3868,H3868,M3868,(P3868-A3868)/365))</f>
        <v>0.45769343935873591</v>
      </c>
      <c r="R3868" s="9">
        <f t="shared" si="155"/>
        <v>2.3065606412641104E-3</v>
      </c>
    </row>
    <row r="3869" spans="1:18" x14ac:dyDescent="0.2">
      <c r="A3869" s="2">
        <v>42622</v>
      </c>
      <c r="B3869" s="1" t="s">
        <v>59</v>
      </c>
      <c r="C3869" s="1" t="s">
        <v>14</v>
      </c>
      <c r="D3869" s="2">
        <v>42738</v>
      </c>
      <c r="E3869" s="2">
        <f t="shared" si="154"/>
        <v>42795</v>
      </c>
      <c r="F3869" s="1" t="s">
        <v>60</v>
      </c>
      <c r="G3869" s="1" t="s">
        <v>18</v>
      </c>
      <c r="H3869" s="1">
        <v>-0.8</v>
      </c>
      <c r="I3869" s="1">
        <v>0.11</v>
      </c>
      <c r="J3869" s="1">
        <v>0.01</v>
      </c>
      <c r="K3869" s="1" t="s">
        <v>69</v>
      </c>
      <c r="L3869" s="1">
        <v>2387</v>
      </c>
      <c r="M3869" s="1">
        <v>0.92</v>
      </c>
      <c r="N3869" s="1">
        <v>-0.68728</v>
      </c>
      <c r="O3869" s="5">
        <f>VLOOKUP(D3869,underlying!$D$76:$H$90,5,FALSE)</f>
        <v>-0.45</v>
      </c>
      <c r="P3869" s="2">
        <f>VLOOKUP(D3869,underlying!$D$76:$L$90,9,FALSE)</f>
        <v>42783</v>
      </c>
      <c r="Q3869" s="7">
        <f>IF(G3869="C",NormalCallSprd(O3869,H3869,M3869,(P3869-A3869)/365), NormalPutSprd(O3869,H3869,M3869,(P3869-A3869)/365))</f>
        <v>0.1076934393587359</v>
      </c>
      <c r="R3869" s="9">
        <f t="shared" si="155"/>
        <v>2.3065606412640965E-3</v>
      </c>
    </row>
    <row r="3870" spans="1:18" x14ac:dyDescent="0.2">
      <c r="A3870" s="2">
        <v>42622</v>
      </c>
      <c r="B3870" s="1" t="s">
        <v>59</v>
      </c>
      <c r="C3870" s="1" t="s">
        <v>14</v>
      </c>
      <c r="D3870" s="2">
        <v>42738</v>
      </c>
      <c r="E3870" s="2">
        <f t="shared" si="154"/>
        <v>42795</v>
      </c>
      <c r="F3870" s="1" t="s">
        <v>60</v>
      </c>
      <c r="G3870" s="1" t="s">
        <v>16</v>
      </c>
      <c r="H3870" s="1">
        <v>-0.75</v>
      </c>
      <c r="I3870" s="1">
        <v>0.42</v>
      </c>
      <c r="J3870" s="1">
        <v>-0.01</v>
      </c>
      <c r="K3870" s="1" t="s">
        <v>69</v>
      </c>
      <c r="L3870" s="1">
        <v>2387</v>
      </c>
      <c r="M3870" s="1">
        <v>0.91</v>
      </c>
      <c r="N3870" s="1">
        <v>-0.64412999999999998</v>
      </c>
      <c r="O3870" s="5">
        <f>VLOOKUP(D3870,underlying!$D$76:$H$90,5,FALSE)</f>
        <v>-0.45</v>
      </c>
      <c r="P3870" s="2">
        <f>VLOOKUP(D3870,underlying!$D$76:$L$90,9,FALSE)</f>
        <v>42783</v>
      </c>
      <c r="Q3870" s="7">
        <f>IF(G3870="C",NormalCallSprd(O3870,H3870,M3870,(P3870-A3870)/365), NormalPutSprd(O3870,H3870,M3870,(P3870-A3870)/365))</f>
        <v>0.42022030526752552</v>
      </c>
      <c r="R3870" s="9">
        <f t="shared" si="155"/>
        <v>2.2030526752553348E-4</v>
      </c>
    </row>
    <row r="3871" spans="1:18" x14ac:dyDescent="0.2">
      <c r="A3871" s="2">
        <v>42622</v>
      </c>
      <c r="B3871" s="1" t="s">
        <v>59</v>
      </c>
      <c r="C3871" s="1" t="s">
        <v>14</v>
      </c>
      <c r="D3871" s="2">
        <v>42738</v>
      </c>
      <c r="E3871" s="2">
        <f t="shared" si="154"/>
        <v>42795</v>
      </c>
      <c r="F3871" s="1" t="s">
        <v>60</v>
      </c>
      <c r="G3871" s="1" t="s">
        <v>18</v>
      </c>
      <c r="H3871" s="1">
        <v>-0.75</v>
      </c>
      <c r="I3871" s="1">
        <v>0.13</v>
      </c>
      <c r="J3871" s="1">
        <v>0.01</v>
      </c>
      <c r="K3871" s="1" t="s">
        <v>69</v>
      </c>
      <c r="L3871" s="1">
        <v>2387</v>
      </c>
      <c r="M3871" s="1">
        <v>0.91</v>
      </c>
      <c r="N3871" s="1">
        <v>-0.59677000000000002</v>
      </c>
      <c r="O3871" s="5">
        <f>VLOOKUP(D3871,underlying!$D$76:$H$90,5,FALSE)</f>
        <v>-0.45</v>
      </c>
      <c r="P3871" s="2">
        <f>VLOOKUP(D3871,underlying!$D$76:$L$90,9,FALSE)</f>
        <v>42783</v>
      </c>
      <c r="Q3871" s="7">
        <f>IF(G3871="C",NormalCallSprd(O3871,H3871,M3871,(P3871-A3871)/365), NormalPutSprd(O3871,H3871,M3871,(P3871-A3871)/365))</f>
        <v>0.12022030526752556</v>
      </c>
      <c r="R3871" s="9">
        <f t="shared" si="155"/>
        <v>9.7796947324744476E-3</v>
      </c>
    </row>
    <row r="3872" spans="1:18" x14ac:dyDescent="0.2">
      <c r="A3872" s="2">
        <v>42622</v>
      </c>
      <c r="B3872" s="1" t="s">
        <v>59</v>
      </c>
      <c r="C3872" s="1" t="s">
        <v>14</v>
      </c>
      <c r="D3872" s="2">
        <v>42738</v>
      </c>
      <c r="E3872" s="2">
        <f t="shared" si="154"/>
        <v>42795</v>
      </c>
      <c r="F3872" s="1" t="s">
        <v>60</v>
      </c>
      <c r="G3872" s="1" t="s">
        <v>16</v>
      </c>
      <c r="H3872" s="1">
        <v>-0.7</v>
      </c>
      <c r="I3872" s="1">
        <v>0.38</v>
      </c>
      <c r="J3872" s="1">
        <v>-0.01</v>
      </c>
      <c r="K3872" s="1" t="s">
        <v>69</v>
      </c>
      <c r="L3872" s="1">
        <v>2387</v>
      </c>
      <c r="M3872" s="1">
        <v>0.9</v>
      </c>
      <c r="N3872" s="1">
        <v>-0.55415999999999999</v>
      </c>
      <c r="O3872" s="5">
        <f>VLOOKUP(D3872,underlying!$D$76:$H$90,5,FALSE)</f>
        <v>-0.45</v>
      </c>
      <c r="P3872" s="2">
        <f>VLOOKUP(D3872,underlying!$D$76:$L$90,9,FALSE)</f>
        <v>42783</v>
      </c>
      <c r="Q3872" s="7">
        <f>IF(G3872="C",NormalCallSprd(O3872,H3872,M3872,(P3872-A3872)/365), NormalPutSprd(O3872,H3872,M3872,(P3872-A3872)/365))</f>
        <v>0.3840201034338469</v>
      </c>
      <c r="R3872" s="9">
        <f t="shared" si="155"/>
        <v>4.0201034338468999E-3</v>
      </c>
    </row>
    <row r="3873" spans="1:18" x14ac:dyDescent="0.2">
      <c r="A3873" s="2">
        <v>42622</v>
      </c>
      <c r="B3873" s="1" t="s">
        <v>59</v>
      </c>
      <c r="C3873" s="1" t="s">
        <v>14</v>
      </c>
      <c r="D3873" s="2">
        <v>42738</v>
      </c>
      <c r="E3873" s="2">
        <f t="shared" si="154"/>
        <v>42795</v>
      </c>
      <c r="F3873" s="1" t="s">
        <v>60</v>
      </c>
      <c r="G3873" s="1" t="s">
        <v>18</v>
      </c>
      <c r="H3873" s="1">
        <v>-0.7</v>
      </c>
      <c r="I3873" s="1">
        <v>0.13</v>
      </c>
      <c r="J3873" s="1">
        <v>0.01</v>
      </c>
      <c r="K3873" s="1" t="s">
        <v>69</v>
      </c>
      <c r="L3873" s="1">
        <v>2387</v>
      </c>
      <c r="M3873" s="1">
        <v>0.9</v>
      </c>
      <c r="N3873" s="1">
        <v>-0.51471</v>
      </c>
      <c r="O3873" s="5">
        <f>VLOOKUP(D3873,underlying!$D$76:$H$90,5,FALSE)</f>
        <v>-0.45</v>
      </c>
      <c r="P3873" s="2">
        <f>VLOOKUP(D3873,underlying!$D$76:$L$90,9,FALSE)</f>
        <v>42783</v>
      </c>
      <c r="Q3873" s="7">
        <f>IF(G3873="C",NormalCallSprd(O3873,H3873,M3873,(P3873-A3873)/365), NormalPutSprd(O3873,H3873,M3873,(P3873-A3873)/365))</f>
        <v>0.13402010343384693</v>
      </c>
      <c r="R3873" s="9">
        <f t="shared" si="155"/>
        <v>4.0201034338469277E-3</v>
      </c>
    </row>
    <row r="3874" spans="1:18" x14ac:dyDescent="0.2">
      <c r="A3874" s="2">
        <v>42622</v>
      </c>
      <c r="B3874" s="1" t="s">
        <v>59</v>
      </c>
      <c r="C3874" s="1" t="s">
        <v>14</v>
      </c>
      <c r="D3874" s="2">
        <v>42738</v>
      </c>
      <c r="E3874" s="2">
        <f t="shared" si="154"/>
        <v>42795</v>
      </c>
      <c r="F3874" s="1" t="s">
        <v>60</v>
      </c>
      <c r="G3874" s="1" t="s">
        <v>16</v>
      </c>
      <c r="H3874" s="1">
        <v>-0.65</v>
      </c>
      <c r="I3874" s="1">
        <v>0.35</v>
      </c>
      <c r="J3874" s="1">
        <v>-0.01</v>
      </c>
      <c r="K3874" s="1" t="s">
        <v>69</v>
      </c>
      <c r="L3874" s="1">
        <v>2387</v>
      </c>
      <c r="M3874" s="1">
        <v>0.89</v>
      </c>
      <c r="N3874" s="1">
        <v>-0.4768</v>
      </c>
      <c r="O3874" s="5">
        <f>VLOOKUP(D3874,underlying!$D$76:$H$90,5,FALSE)</f>
        <v>-0.45</v>
      </c>
      <c r="P3874" s="2">
        <f>VLOOKUP(D3874,underlying!$D$76:$L$90,9,FALSE)</f>
        <v>42783</v>
      </c>
      <c r="Q3874" s="7">
        <f>IF(G3874="C",NormalCallSprd(O3874,H3874,M3874,(P3874-A3874)/365), NormalPutSprd(O3874,H3874,M3874,(P3874-A3874)/365))</f>
        <v>0.34918348552526601</v>
      </c>
      <c r="R3874" s="9">
        <f t="shared" si="155"/>
        <v>8.1651447473396477E-4</v>
      </c>
    </row>
    <row r="3875" spans="1:18" x14ac:dyDescent="0.2">
      <c r="A3875" s="2">
        <v>42622</v>
      </c>
      <c r="B3875" s="1" t="s">
        <v>59</v>
      </c>
      <c r="C3875" s="1" t="s">
        <v>14</v>
      </c>
      <c r="D3875" s="2">
        <v>42738</v>
      </c>
      <c r="E3875" s="2">
        <f t="shared" si="154"/>
        <v>42795</v>
      </c>
      <c r="F3875" s="1" t="s">
        <v>60</v>
      </c>
      <c r="G3875" s="1" t="s">
        <v>18</v>
      </c>
      <c r="H3875" s="1">
        <v>-0.65</v>
      </c>
      <c r="I3875" s="1">
        <v>0.15</v>
      </c>
      <c r="J3875" s="1">
        <v>0.01</v>
      </c>
      <c r="K3875" s="1" t="s">
        <v>69</v>
      </c>
      <c r="L3875" s="1">
        <v>2387</v>
      </c>
      <c r="M3875" s="1">
        <v>0.89</v>
      </c>
      <c r="N3875" s="1">
        <v>-0.43897000000000003</v>
      </c>
      <c r="O3875" s="5">
        <f>VLOOKUP(D3875,underlying!$D$76:$H$90,5,FALSE)</f>
        <v>-0.45</v>
      </c>
      <c r="P3875" s="2">
        <f>VLOOKUP(D3875,underlying!$D$76:$L$90,9,FALSE)</f>
        <v>42783</v>
      </c>
      <c r="Q3875" s="7">
        <f>IF(G3875="C",NormalCallSprd(O3875,H3875,M3875,(P3875-A3875)/365), NormalPutSprd(O3875,H3875,M3875,(P3875-A3875)/365))</f>
        <v>0.149183485525266</v>
      </c>
      <c r="R3875" s="9">
        <f t="shared" si="155"/>
        <v>8.1651447473399252E-4</v>
      </c>
    </row>
    <row r="3876" spans="1:18" x14ac:dyDescent="0.2">
      <c r="A3876" s="2">
        <v>42622</v>
      </c>
      <c r="B3876" s="1" t="s">
        <v>59</v>
      </c>
      <c r="C3876" s="1" t="s">
        <v>14</v>
      </c>
      <c r="D3876" s="2">
        <v>42738</v>
      </c>
      <c r="E3876" s="2">
        <f t="shared" si="154"/>
        <v>42795</v>
      </c>
      <c r="F3876" s="1" t="s">
        <v>60</v>
      </c>
      <c r="G3876" s="1" t="s">
        <v>16</v>
      </c>
      <c r="H3876" s="1">
        <v>-0.6</v>
      </c>
      <c r="I3876" s="1">
        <v>0.32</v>
      </c>
      <c r="J3876" s="1">
        <v>0</v>
      </c>
      <c r="K3876" s="1" t="s">
        <v>69</v>
      </c>
      <c r="L3876" s="1">
        <v>2387</v>
      </c>
      <c r="M3876" s="1">
        <v>0.88</v>
      </c>
      <c r="N3876" s="1">
        <v>-0.40159</v>
      </c>
      <c r="O3876" s="5">
        <f>VLOOKUP(D3876,underlying!$D$76:$H$90,5,FALSE)</f>
        <v>-0.45</v>
      </c>
      <c r="P3876" s="2">
        <f>VLOOKUP(D3876,underlying!$D$76:$L$90,9,FALSE)</f>
        <v>42783</v>
      </c>
      <c r="Q3876" s="7">
        <f>IF(G3876="C",NormalCallSprd(O3876,H3876,M3876,(P3876-A3876)/365), NormalPutSprd(O3876,H3876,M3876,(P3876-A3876)/365))</f>
        <v>0.31580006898815477</v>
      </c>
      <c r="R3876" s="9">
        <f t="shared" si="155"/>
        <v>4.1999310118452371E-3</v>
      </c>
    </row>
    <row r="3877" spans="1:18" x14ac:dyDescent="0.2">
      <c r="A3877" s="2">
        <v>42622</v>
      </c>
      <c r="B3877" s="1" t="s">
        <v>59</v>
      </c>
      <c r="C3877" s="1" t="s">
        <v>14</v>
      </c>
      <c r="D3877" s="2">
        <v>42738</v>
      </c>
      <c r="E3877" s="2">
        <f t="shared" si="154"/>
        <v>42795</v>
      </c>
      <c r="F3877" s="1" t="s">
        <v>60</v>
      </c>
      <c r="G3877" s="1" t="s">
        <v>18</v>
      </c>
      <c r="H3877" s="1">
        <v>-0.6</v>
      </c>
      <c r="I3877" s="1">
        <v>0.19</v>
      </c>
      <c r="J3877" s="1">
        <v>0.02</v>
      </c>
      <c r="K3877" s="1" t="s">
        <v>69</v>
      </c>
      <c r="L3877" s="1">
        <v>2387</v>
      </c>
      <c r="M3877" s="1">
        <v>0.88</v>
      </c>
      <c r="N3877" s="1">
        <v>-0.36768000000000001</v>
      </c>
      <c r="O3877" s="5">
        <f>VLOOKUP(D3877,underlying!$D$76:$H$90,5,FALSE)</f>
        <v>-0.45</v>
      </c>
      <c r="P3877" s="2">
        <f>VLOOKUP(D3877,underlying!$D$76:$L$90,9,FALSE)</f>
        <v>42783</v>
      </c>
      <c r="Q3877" s="7">
        <f>IF(G3877="C",NormalCallSprd(O3877,H3877,M3877,(P3877-A3877)/365), NormalPutSprd(O3877,H3877,M3877,(P3877-A3877)/365))</f>
        <v>0.16580006898815483</v>
      </c>
      <c r="R3877" s="9">
        <f t="shared" si="155"/>
        <v>2.4199931011845172E-2</v>
      </c>
    </row>
    <row r="3878" spans="1:18" x14ac:dyDescent="0.2">
      <c r="A3878" s="2">
        <v>42622</v>
      </c>
      <c r="B3878" s="1" t="s">
        <v>59</v>
      </c>
      <c r="C3878" s="1" t="s">
        <v>14</v>
      </c>
      <c r="D3878" s="2">
        <v>42738</v>
      </c>
      <c r="E3878" s="2">
        <f t="shared" si="154"/>
        <v>42795</v>
      </c>
      <c r="F3878" s="1" t="s">
        <v>60</v>
      </c>
      <c r="G3878" s="1" t="s">
        <v>16</v>
      </c>
      <c r="H3878" s="1">
        <v>-0.55000000000000004</v>
      </c>
      <c r="I3878" s="1">
        <v>0.28999999999999998</v>
      </c>
      <c r="J3878" s="1">
        <v>0</v>
      </c>
      <c r="K3878" s="1" t="s">
        <v>69</v>
      </c>
      <c r="L3878" s="1">
        <v>2387</v>
      </c>
      <c r="M3878" s="1">
        <v>0.88</v>
      </c>
      <c r="N3878" s="1">
        <v>-0.33624999999999999</v>
      </c>
      <c r="O3878" s="5">
        <f>VLOOKUP(D3878,underlying!$D$76:$H$90,5,FALSE)</f>
        <v>-0.45</v>
      </c>
      <c r="P3878" s="2">
        <f>VLOOKUP(D3878,underlying!$D$76:$L$90,9,FALSE)</f>
        <v>42783</v>
      </c>
      <c r="Q3878" s="7">
        <f>IF(G3878="C",NormalCallSprd(O3878,H3878,M3878,(P3878-A3878)/365), NormalPutSprd(O3878,H3878,M3878,(P3878-A3878)/365))</f>
        <v>0.28656744581441246</v>
      </c>
      <c r="R3878" s="9">
        <f t="shared" si="155"/>
        <v>3.4325541855875219E-3</v>
      </c>
    </row>
    <row r="3879" spans="1:18" x14ac:dyDescent="0.2">
      <c r="A3879" s="2">
        <v>42622</v>
      </c>
      <c r="B3879" s="1" t="s">
        <v>59</v>
      </c>
      <c r="C3879" s="1" t="s">
        <v>14</v>
      </c>
      <c r="D3879" s="2">
        <v>42738</v>
      </c>
      <c r="E3879" s="2">
        <f t="shared" si="154"/>
        <v>42795</v>
      </c>
      <c r="F3879" s="1" t="s">
        <v>60</v>
      </c>
      <c r="G3879" s="1" t="s">
        <v>18</v>
      </c>
      <c r="H3879" s="1">
        <v>-0.55000000000000004</v>
      </c>
      <c r="I3879" s="1">
        <v>0.19</v>
      </c>
      <c r="J3879" s="1">
        <v>0.02</v>
      </c>
      <c r="K3879" s="1" t="s">
        <v>69</v>
      </c>
      <c r="L3879" s="1">
        <v>2387</v>
      </c>
      <c r="M3879" s="1">
        <v>0.88</v>
      </c>
      <c r="N3879" s="1">
        <v>-0.30824000000000001</v>
      </c>
      <c r="O3879" s="5">
        <f>VLOOKUP(D3879,underlying!$D$76:$H$90,5,FALSE)</f>
        <v>-0.45</v>
      </c>
      <c r="P3879" s="2">
        <f>VLOOKUP(D3879,underlying!$D$76:$L$90,9,FALSE)</f>
        <v>42783</v>
      </c>
      <c r="Q3879" s="7">
        <f>IF(G3879="C",NormalCallSprd(O3879,H3879,M3879,(P3879-A3879)/365), NormalPutSprd(O3879,H3879,M3879,(P3879-A3879)/365))</f>
        <v>0.18656744581441245</v>
      </c>
      <c r="R3879" s="9">
        <f t="shared" si="155"/>
        <v>3.4325541855875497E-3</v>
      </c>
    </row>
    <row r="3880" spans="1:18" x14ac:dyDescent="0.2">
      <c r="A3880" s="2">
        <v>42622</v>
      </c>
      <c r="B3880" s="1" t="s">
        <v>59</v>
      </c>
      <c r="C3880" s="1" t="s">
        <v>14</v>
      </c>
      <c r="D3880" s="2">
        <v>42738</v>
      </c>
      <c r="E3880" s="2">
        <f t="shared" si="154"/>
        <v>42795</v>
      </c>
      <c r="F3880" s="1" t="s">
        <v>60</v>
      </c>
      <c r="G3880" s="1" t="s">
        <v>16</v>
      </c>
      <c r="H3880" s="1">
        <v>-0.5</v>
      </c>
      <c r="I3880" s="1">
        <v>0.26</v>
      </c>
      <c r="J3880" s="1">
        <v>-0.01</v>
      </c>
      <c r="K3880" s="1" t="s">
        <v>69</v>
      </c>
      <c r="L3880" s="1">
        <v>2387</v>
      </c>
      <c r="M3880" s="1">
        <v>0.89</v>
      </c>
      <c r="N3880" s="1">
        <v>-0.28176000000000001</v>
      </c>
      <c r="O3880" s="5">
        <f>VLOOKUP(D3880,underlying!$D$76:$H$90,5,FALSE)</f>
        <v>-0.45</v>
      </c>
      <c r="P3880" s="2">
        <f>VLOOKUP(D3880,underlying!$D$76:$L$90,9,FALSE)</f>
        <v>42783</v>
      </c>
      <c r="Q3880" s="7">
        <f>IF(G3880="C",NormalCallSprd(O3880,H3880,M3880,(P3880-A3880)/365), NormalPutSprd(O3880,H3880,M3880,(P3880-A3880)/365))</f>
        <v>0.26165551710588209</v>
      </c>
      <c r="R3880" s="9">
        <f t="shared" si="155"/>
        <v>1.6555171058820761E-3</v>
      </c>
    </row>
    <row r="3881" spans="1:18" x14ac:dyDescent="0.2">
      <c r="A3881" s="2">
        <v>42622</v>
      </c>
      <c r="B3881" s="1" t="s">
        <v>59</v>
      </c>
      <c r="C3881" s="1" t="s">
        <v>14</v>
      </c>
      <c r="D3881" s="2">
        <v>42738</v>
      </c>
      <c r="E3881" s="2">
        <f t="shared" si="154"/>
        <v>42795</v>
      </c>
      <c r="F3881" s="1" t="s">
        <v>60</v>
      </c>
      <c r="G3881" s="1" t="s">
        <v>18</v>
      </c>
      <c r="H3881" s="1">
        <v>-0.5</v>
      </c>
      <c r="I3881" s="1">
        <v>0.21</v>
      </c>
      <c r="J3881" s="1">
        <v>0.01</v>
      </c>
      <c r="K3881" s="1" t="s">
        <v>69</v>
      </c>
      <c r="L3881" s="1">
        <v>2387</v>
      </c>
      <c r="M3881" s="1">
        <v>0.89</v>
      </c>
      <c r="N3881" s="1">
        <v>-0.25714999999999999</v>
      </c>
      <c r="O3881" s="5">
        <f>VLOOKUP(D3881,underlying!$D$76:$H$90,5,FALSE)</f>
        <v>-0.45</v>
      </c>
      <c r="P3881" s="2">
        <f>VLOOKUP(D3881,underlying!$D$76:$L$90,9,FALSE)</f>
        <v>42783</v>
      </c>
      <c r="Q3881" s="7">
        <f>IF(G3881="C",NormalCallSprd(O3881,H3881,M3881,(P3881-A3881)/365), NormalPutSprd(O3881,H3881,M3881,(P3881-A3881)/365))</f>
        <v>0.2116555171058821</v>
      </c>
      <c r="R3881" s="9">
        <f t="shared" si="155"/>
        <v>1.6555171058821039E-3</v>
      </c>
    </row>
    <row r="3882" spans="1:18" x14ac:dyDescent="0.2">
      <c r="A3882" s="2">
        <v>42622</v>
      </c>
      <c r="B3882" s="1" t="s">
        <v>59</v>
      </c>
      <c r="C3882" s="1" t="s">
        <v>14</v>
      </c>
      <c r="D3882" s="2">
        <v>42738</v>
      </c>
      <c r="E3882" s="2">
        <f t="shared" si="154"/>
        <v>42795</v>
      </c>
      <c r="F3882" s="1" t="s">
        <v>60</v>
      </c>
      <c r="G3882" s="1" t="s">
        <v>16</v>
      </c>
      <c r="H3882" s="1">
        <v>-0.45</v>
      </c>
      <c r="I3882" s="1">
        <v>0.24</v>
      </c>
      <c r="J3882" s="1">
        <v>0</v>
      </c>
      <c r="K3882" s="1" t="s">
        <v>69</v>
      </c>
      <c r="L3882" s="1">
        <v>2387</v>
      </c>
      <c r="M3882" s="1">
        <v>0.89</v>
      </c>
      <c r="N3882" s="1">
        <v>-0.23230000000000001</v>
      </c>
      <c r="O3882" s="5">
        <f>VLOOKUP(D3882,underlying!$D$76:$H$90,5,FALSE)</f>
        <v>-0.45</v>
      </c>
      <c r="P3882" s="2">
        <f>VLOOKUP(D3882,underlying!$D$76:$L$90,9,FALSE)</f>
        <v>42783</v>
      </c>
      <c r="Q3882" s="7">
        <f>IF(G3882="C",NormalCallSprd(O3882,H3882,M3882,(P3882-A3882)/365), NormalPutSprd(O3882,H3882,M3882,(P3882-A3882)/365))</f>
        <v>0.23581236735502725</v>
      </c>
      <c r="R3882" s="9">
        <f t="shared" si="155"/>
        <v>4.1876326449727386E-3</v>
      </c>
    </row>
    <row r="3883" spans="1:18" x14ac:dyDescent="0.2">
      <c r="A3883" s="2">
        <v>42622</v>
      </c>
      <c r="B3883" s="1" t="s">
        <v>59</v>
      </c>
      <c r="C3883" s="1" t="s">
        <v>14</v>
      </c>
      <c r="D3883" s="2">
        <v>42738</v>
      </c>
      <c r="E3883" s="2">
        <f t="shared" si="154"/>
        <v>42795</v>
      </c>
      <c r="F3883" s="1" t="s">
        <v>60</v>
      </c>
      <c r="G3883" s="1" t="s">
        <v>18</v>
      </c>
      <c r="H3883" s="1">
        <v>-0.45</v>
      </c>
      <c r="I3883" s="1">
        <v>0.24</v>
      </c>
      <c r="J3883" s="1">
        <v>0.02</v>
      </c>
      <c r="K3883" s="1" t="s">
        <v>69</v>
      </c>
      <c r="L3883" s="1">
        <v>2387</v>
      </c>
      <c r="M3883" s="1">
        <v>0.89</v>
      </c>
      <c r="N3883" s="1">
        <v>-0.20891999999999999</v>
      </c>
      <c r="O3883" s="5">
        <f>VLOOKUP(D3883,underlying!$D$76:$H$90,5,FALSE)</f>
        <v>-0.45</v>
      </c>
      <c r="P3883" s="2">
        <f>VLOOKUP(D3883,underlying!$D$76:$L$90,9,FALSE)</f>
        <v>42783</v>
      </c>
      <c r="Q3883" s="7">
        <f>IF(G3883="C",NormalCallSprd(O3883,H3883,M3883,(P3883-A3883)/365), NormalPutSprd(O3883,H3883,M3883,(P3883-A3883)/365))</f>
        <v>0.23581236735502725</v>
      </c>
      <c r="R3883" s="9">
        <f t="shared" si="155"/>
        <v>4.1876326449727386E-3</v>
      </c>
    </row>
    <row r="3884" spans="1:18" x14ac:dyDescent="0.2">
      <c r="A3884" s="2">
        <v>42622</v>
      </c>
      <c r="B3884" s="1" t="s">
        <v>59</v>
      </c>
      <c r="C3884" s="1" t="s">
        <v>14</v>
      </c>
      <c r="D3884" s="2">
        <v>42738</v>
      </c>
      <c r="E3884" s="2">
        <f t="shared" si="154"/>
        <v>42795</v>
      </c>
      <c r="F3884" s="1" t="s">
        <v>60</v>
      </c>
      <c r="G3884" s="1" t="s">
        <v>16</v>
      </c>
      <c r="H3884" s="1">
        <v>-0.4</v>
      </c>
      <c r="I3884" s="1">
        <v>0.21</v>
      </c>
      <c r="J3884" s="1">
        <v>-0.01</v>
      </c>
      <c r="K3884" s="1" t="s">
        <v>69</v>
      </c>
      <c r="L3884" s="1">
        <v>2387</v>
      </c>
      <c r="M3884" s="1">
        <v>0.89</v>
      </c>
      <c r="N3884" s="1">
        <v>-0.18770000000000001</v>
      </c>
      <c r="O3884" s="5">
        <f>VLOOKUP(D3884,underlying!$D$76:$H$90,5,FALSE)</f>
        <v>-0.45</v>
      </c>
      <c r="P3884" s="2">
        <f>VLOOKUP(D3884,underlying!$D$76:$L$90,9,FALSE)</f>
        <v>42783</v>
      </c>
      <c r="Q3884" s="7">
        <f>IF(G3884="C",NormalCallSprd(O3884,H3884,M3884,(P3884-A3884)/365), NormalPutSprd(O3884,H3884,M3884,(P3884-A3884)/365))</f>
        <v>0.2116555171058821</v>
      </c>
      <c r="R3884" s="9">
        <f t="shared" si="155"/>
        <v>1.6555171058821039E-3</v>
      </c>
    </row>
    <row r="3885" spans="1:18" x14ac:dyDescent="0.2">
      <c r="A3885" s="2">
        <v>42622</v>
      </c>
      <c r="B3885" s="1" t="s">
        <v>59</v>
      </c>
      <c r="C3885" s="1" t="s">
        <v>14</v>
      </c>
      <c r="D3885" s="2">
        <v>42738</v>
      </c>
      <c r="E3885" s="2">
        <f t="shared" si="154"/>
        <v>42795</v>
      </c>
      <c r="F3885" s="1" t="s">
        <v>60</v>
      </c>
      <c r="G3885" s="1" t="s">
        <v>18</v>
      </c>
      <c r="H3885" s="1">
        <v>-0.4</v>
      </c>
      <c r="I3885" s="1">
        <v>0.26</v>
      </c>
      <c r="J3885" s="1">
        <v>0.01</v>
      </c>
      <c r="K3885" s="1" t="s">
        <v>69</v>
      </c>
      <c r="L3885" s="1">
        <v>2387</v>
      </c>
      <c r="M3885" s="1">
        <v>0.89</v>
      </c>
      <c r="N3885" s="1">
        <v>-2.3140000000000001E-2</v>
      </c>
      <c r="O3885" s="5">
        <f>VLOOKUP(D3885,underlying!$D$76:$H$90,5,FALSE)</f>
        <v>-0.45</v>
      </c>
      <c r="P3885" s="2">
        <f>VLOOKUP(D3885,underlying!$D$76:$L$90,9,FALSE)</f>
        <v>42783</v>
      </c>
      <c r="Q3885" s="7">
        <f>IF(G3885="C",NormalCallSprd(O3885,H3885,M3885,(P3885-A3885)/365), NormalPutSprd(O3885,H3885,M3885,(P3885-A3885)/365))</f>
        <v>0.26165551710588209</v>
      </c>
      <c r="R3885" s="9">
        <f t="shared" si="155"/>
        <v>1.6555171058820761E-3</v>
      </c>
    </row>
    <row r="3886" spans="1:18" x14ac:dyDescent="0.2">
      <c r="A3886" s="2">
        <v>42622</v>
      </c>
      <c r="B3886" s="1" t="s">
        <v>59</v>
      </c>
      <c r="C3886" s="1" t="s">
        <v>14</v>
      </c>
      <c r="D3886" s="2">
        <v>42738</v>
      </c>
      <c r="E3886" s="2">
        <f t="shared" si="154"/>
        <v>42795</v>
      </c>
      <c r="F3886" s="1" t="s">
        <v>60</v>
      </c>
      <c r="G3886" s="1" t="s">
        <v>16</v>
      </c>
      <c r="H3886" s="1">
        <v>-0.35</v>
      </c>
      <c r="I3886" s="1">
        <v>0.19</v>
      </c>
      <c r="J3886" s="1">
        <v>0</v>
      </c>
      <c r="K3886" s="1" t="s">
        <v>69</v>
      </c>
      <c r="L3886" s="1">
        <v>2387</v>
      </c>
      <c r="M3886" s="1">
        <v>0.88</v>
      </c>
      <c r="N3886" s="1">
        <v>-8.1999999999999998E-4</v>
      </c>
      <c r="O3886" s="5">
        <f>VLOOKUP(D3886,underlying!$D$76:$H$90,5,FALSE)</f>
        <v>-0.45</v>
      </c>
      <c r="P3886" s="2">
        <f>VLOOKUP(D3886,underlying!$D$76:$L$90,9,FALSE)</f>
        <v>42783</v>
      </c>
      <c r="Q3886" s="7">
        <f>IF(G3886="C",NormalCallSprd(O3886,H3886,M3886,(P3886-A3886)/365), NormalPutSprd(O3886,H3886,M3886,(P3886-A3886)/365))</f>
        <v>0.18656744581441245</v>
      </c>
      <c r="R3886" s="9">
        <f t="shared" si="155"/>
        <v>3.4325541855875497E-3</v>
      </c>
    </row>
    <row r="3887" spans="1:18" x14ac:dyDescent="0.2">
      <c r="A3887" s="2">
        <v>42622</v>
      </c>
      <c r="B3887" s="1" t="s">
        <v>59</v>
      </c>
      <c r="C3887" s="1" t="s">
        <v>14</v>
      </c>
      <c r="D3887" s="2">
        <v>42738</v>
      </c>
      <c r="E3887" s="2">
        <f t="shared" si="154"/>
        <v>42795</v>
      </c>
      <c r="F3887" s="1" t="s">
        <v>60</v>
      </c>
      <c r="G3887" s="1" t="s">
        <v>18</v>
      </c>
      <c r="H3887" s="1">
        <v>-0.35</v>
      </c>
      <c r="I3887" s="1">
        <v>0.28999999999999998</v>
      </c>
      <c r="J3887" s="1">
        <v>0.02</v>
      </c>
      <c r="K3887" s="1" t="s">
        <v>69</v>
      </c>
      <c r="L3887" s="1">
        <v>2387</v>
      </c>
      <c r="M3887" s="1">
        <v>0.88</v>
      </c>
      <c r="N3887" s="1">
        <v>-1.0000000000000001E-5</v>
      </c>
      <c r="O3887" s="5">
        <f>VLOOKUP(D3887,underlying!$D$76:$H$90,5,FALSE)</f>
        <v>-0.45</v>
      </c>
      <c r="P3887" s="2">
        <f>VLOOKUP(D3887,underlying!$D$76:$L$90,9,FALSE)</f>
        <v>42783</v>
      </c>
      <c r="Q3887" s="7">
        <f>IF(G3887="C",NormalCallSprd(O3887,H3887,M3887,(P3887-A3887)/365), NormalPutSprd(O3887,H3887,M3887,(P3887-A3887)/365))</f>
        <v>0.28656744581441246</v>
      </c>
      <c r="R3887" s="9">
        <f t="shared" si="155"/>
        <v>3.4325541855875219E-3</v>
      </c>
    </row>
    <row r="3888" spans="1:18" x14ac:dyDescent="0.2">
      <c r="A3888" s="2">
        <v>42622</v>
      </c>
      <c r="B3888" s="1" t="s">
        <v>59</v>
      </c>
      <c r="C3888" s="1" t="s">
        <v>14</v>
      </c>
      <c r="D3888" s="2">
        <v>42738</v>
      </c>
      <c r="E3888" s="2">
        <f t="shared" si="154"/>
        <v>42795</v>
      </c>
      <c r="F3888" s="1" t="s">
        <v>60</v>
      </c>
      <c r="G3888" s="1" t="s">
        <v>16</v>
      </c>
      <c r="H3888" s="1">
        <v>-0.3</v>
      </c>
      <c r="I3888" s="1">
        <v>0.16</v>
      </c>
      <c r="J3888" s="1">
        <v>-0.01</v>
      </c>
      <c r="K3888" s="1" t="s">
        <v>69</v>
      </c>
      <c r="L3888" s="1">
        <v>2387</v>
      </c>
      <c r="M3888" s="1">
        <v>0.86</v>
      </c>
      <c r="N3888" s="1">
        <v>0.44008000000000003</v>
      </c>
      <c r="O3888" s="5">
        <f>VLOOKUP(D3888,underlying!$D$76:$H$90,5,FALSE)</f>
        <v>-0.45</v>
      </c>
      <c r="P3888" s="2">
        <f>VLOOKUP(D3888,underlying!$D$76:$L$90,9,FALSE)</f>
        <v>42783</v>
      </c>
      <c r="Q3888" s="7">
        <f>IF(G3888="C",NormalCallSprd(O3888,H3888,M3888,(P3888-A3888)/365), NormalPutSprd(O3888,H3888,M3888,(P3888-A3888)/365))</f>
        <v>0.16067652344876421</v>
      </c>
      <c r="R3888" s="9">
        <f t="shared" si="155"/>
        <v>6.7652344876420467E-4</v>
      </c>
    </row>
    <row r="3889" spans="1:18" x14ac:dyDescent="0.2">
      <c r="A3889" s="2">
        <v>42622</v>
      </c>
      <c r="B3889" s="1" t="s">
        <v>59</v>
      </c>
      <c r="C3889" s="1" t="s">
        <v>14</v>
      </c>
      <c r="D3889" s="2">
        <v>42738</v>
      </c>
      <c r="E3889" s="2">
        <f t="shared" si="154"/>
        <v>42795</v>
      </c>
      <c r="F3889" s="1" t="s">
        <v>60</v>
      </c>
      <c r="G3889" s="1" t="s">
        <v>18</v>
      </c>
      <c r="H3889" s="1">
        <v>-0.3</v>
      </c>
      <c r="I3889" s="1">
        <v>0.31</v>
      </c>
      <c r="J3889" s="1">
        <v>0.01</v>
      </c>
      <c r="K3889" s="1" t="s">
        <v>69</v>
      </c>
      <c r="L3889" s="1">
        <v>2387</v>
      </c>
      <c r="M3889" s="1">
        <v>0.86</v>
      </c>
      <c r="N3889" s="1">
        <v>0.47203000000000001</v>
      </c>
      <c r="O3889" s="5">
        <f>VLOOKUP(D3889,underlying!$D$76:$H$90,5,FALSE)</f>
        <v>-0.45</v>
      </c>
      <c r="P3889" s="2">
        <f>VLOOKUP(D3889,underlying!$D$76:$L$90,9,FALSE)</f>
        <v>42783</v>
      </c>
      <c r="Q3889" s="7">
        <f>IF(G3889="C",NormalCallSprd(O3889,H3889,M3889,(P3889-A3889)/365), NormalPutSprd(O3889,H3889,M3889,(P3889-A3889)/365))</f>
        <v>0.31067652344876423</v>
      </c>
      <c r="R3889" s="9">
        <f t="shared" si="155"/>
        <v>6.7652344876423243E-4</v>
      </c>
    </row>
    <row r="3890" spans="1:18" x14ac:dyDescent="0.2">
      <c r="A3890" s="2">
        <v>42622</v>
      </c>
      <c r="B3890" s="1" t="s">
        <v>59</v>
      </c>
      <c r="C3890" s="1" t="s">
        <v>14</v>
      </c>
      <c r="D3890" s="2">
        <v>42738</v>
      </c>
      <c r="E3890" s="2">
        <f t="shared" si="154"/>
        <v>42795</v>
      </c>
      <c r="F3890" s="1" t="s">
        <v>60</v>
      </c>
      <c r="G3890" s="1" t="s">
        <v>16</v>
      </c>
      <c r="H3890" s="1">
        <v>-0.25</v>
      </c>
      <c r="I3890" s="1">
        <v>0.13</v>
      </c>
      <c r="J3890" s="1">
        <v>-0.01</v>
      </c>
      <c r="K3890" s="1" t="s">
        <v>69</v>
      </c>
      <c r="L3890" s="1">
        <v>2387</v>
      </c>
      <c r="M3890" s="1">
        <v>0.82</v>
      </c>
      <c r="N3890" s="1">
        <v>0.50248000000000004</v>
      </c>
      <c r="O3890" s="5">
        <f>VLOOKUP(D3890,underlying!$D$76:$H$90,5,FALSE)</f>
        <v>-0.45</v>
      </c>
      <c r="P3890" s="2">
        <f>VLOOKUP(D3890,underlying!$D$76:$L$90,9,FALSE)</f>
        <v>42783</v>
      </c>
      <c r="Q3890" s="7">
        <f>IF(G3890="C",NormalCallSprd(O3890,H3890,M3890,(P3890-A3890)/365), NormalPutSprd(O3890,H3890,M3890,(P3890-A3890)/365))</f>
        <v>0.13175361012753478</v>
      </c>
      <c r="R3890" s="9">
        <f t="shared" si="155"/>
        <v>1.7536101275347771E-3</v>
      </c>
    </row>
    <row r="3891" spans="1:18" x14ac:dyDescent="0.2">
      <c r="A3891" s="2">
        <v>42622</v>
      </c>
      <c r="B3891" s="1" t="s">
        <v>59</v>
      </c>
      <c r="C3891" s="1" t="s">
        <v>14</v>
      </c>
      <c r="D3891" s="2">
        <v>42738</v>
      </c>
      <c r="E3891" s="2">
        <f t="shared" si="154"/>
        <v>42795</v>
      </c>
      <c r="F3891" s="1" t="s">
        <v>60</v>
      </c>
      <c r="G3891" s="1" t="s">
        <v>18</v>
      </c>
      <c r="H3891" s="1">
        <v>-0.25</v>
      </c>
      <c r="I3891" s="1">
        <v>0.33</v>
      </c>
      <c r="J3891" s="1">
        <v>0.01</v>
      </c>
      <c r="K3891" s="1" t="s">
        <v>69</v>
      </c>
      <c r="L3891" s="1">
        <v>2387</v>
      </c>
      <c r="M3891" s="1">
        <v>0.82</v>
      </c>
      <c r="N3891" s="1">
        <v>0.53264</v>
      </c>
      <c r="O3891" s="5">
        <f>VLOOKUP(D3891,underlying!$D$76:$H$90,5,FALSE)</f>
        <v>-0.45</v>
      </c>
      <c r="P3891" s="2">
        <f>VLOOKUP(D3891,underlying!$D$76:$L$90,9,FALSE)</f>
        <v>42783</v>
      </c>
      <c r="Q3891" s="7">
        <f>IF(G3891="C",NormalCallSprd(O3891,H3891,M3891,(P3891-A3891)/365), NormalPutSprd(O3891,H3891,M3891,(P3891-A3891)/365))</f>
        <v>0.33175361012753479</v>
      </c>
      <c r="R3891" s="9">
        <f t="shared" si="155"/>
        <v>1.7536101275347771E-3</v>
      </c>
    </row>
    <row r="3892" spans="1:18" x14ac:dyDescent="0.2">
      <c r="A3892" s="2">
        <v>42622</v>
      </c>
      <c r="B3892" s="1" t="s">
        <v>59</v>
      </c>
      <c r="C3892" s="1" t="s">
        <v>14</v>
      </c>
      <c r="D3892" s="2">
        <v>42738</v>
      </c>
      <c r="E3892" s="2">
        <f t="shared" si="154"/>
        <v>42795</v>
      </c>
      <c r="F3892" s="1" t="s">
        <v>60</v>
      </c>
      <c r="G3892" s="1" t="s">
        <v>16</v>
      </c>
      <c r="H3892" s="1">
        <v>-0.2</v>
      </c>
      <c r="I3892" s="1">
        <v>0.12</v>
      </c>
      <c r="J3892" s="1">
        <v>-0.01</v>
      </c>
      <c r="K3892" s="1" t="s">
        <v>69</v>
      </c>
      <c r="L3892" s="1">
        <v>2387</v>
      </c>
      <c r="M3892" s="1">
        <v>0.85</v>
      </c>
      <c r="N3892" s="1">
        <v>0.56208999999999998</v>
      </c>
      <c r="O3892" s="5">
        <f>VLOOKUP(D3892,underlying!$D$76:$H$90,5,FALSE)</f>
        <v>-0.45</v>
      </c>
      <c r="P3892" s="2">
        <f>VLOOKUP(D3892,underlying!$D$76:$L$90,9,FALSE)</f>
        <v>42783</v>
      </c>
      <c r="Q3892" s="7">
        <f>IF(G3892="C",NormalCallSprd(O3892,H3892,M3892,(P3892-A3892)/365), NormalPutSprd(O3892,H3892,M3892,(P3892-A3892)/365))</f>
        <v>0.12194394488061021</v>
      </c>
      <c r="R3892" s="9">
        <f t="shared" si="155"/>
        <v>1.9439448806102128E-3</v>
      </c>
    </row>
    <row r="3893" spans="1:18" x14ac:dyDescent="0.2">
      <c r="A3893" s="2">
        <v>42622</v>
      </c>
      <c r="B3893" s="1" t="s">
        <v>59</v>
      </c>
      <c r="C3893" s="1" t="s">
        <v>14</v>
      </c>
      <c r="D3893" s="2">
        <v>42738</v>
      </c>
      <c r="E3893" s="2">
        <f t="shared" si="154"/>
        <v>42795</v>
      </c>
      <c r="F3893" s="1" t="s">
        <v>60</v>
      </c>
      <c r="G3893" s="1" t="s">
        <v>18</v>
      </c>
      <c r="H3893" s="1">
        <v>-0.2</v>
      </c>
      <c r="I3893" s="1">
        <v>0.37</v>
      </c>
      <c r="J3893" s="1">
        <v>0.01</v>
      </c>
      <c r="K3893" s="1" t="s">
        <v>69</v>
      </c>
      <c r="L3893" s="1">
        <v>2387</v>
      </c>
      <c r="M3893" s="1">
        <v>0.85</v>
      </c>
      <c r="N3893" s="1">
        <v>0.59113000000000004</v>
      </c>
      <c r="O3893" s="5">
        <f>VLOOKUP(D3893,underlying!$D$76:$H$90,5,FALSE)</f>
        <v>-0.45</v>
      </c>
      <c r="P3893" s="2">
        <f>VLOOKUP(D3893,underlying!$D$76:$L$90,9,FALSE)</f>
        <v>42783</v>
      </c>
      <c r="Q3893" s="7">
        <f>IF(G3893="C",NormalCallSprd(O3893,H3893,M3893,(P3893-A3893)/365), NormalPutSprd(O3893,H3893,M3893,(P3893-A3893)/365))</f>
        <v>0.37194394488061022</v>
      </c>
      <c r="R3893" s="9">
        <f t="shared" si="155"/>
        <v>1.9439448806102266E-3</v>
      </c>
    </row>
    <row r="3894" spans="1:18" x14ac:dyDescent="0.2">
      <c r="A3894" s="2">
        <v>42622</v>
      </c>
      <c r="B3894" s="1" t="s">
        <v>59</v>
      </c>
      <c r="C3894" s="1" t="s">
        <v>14</v>
      </c>
      <c r="D3894" s="2">
        <v>42738</v>
      </c>
      <c r="E3894" s="2">
        <f t="shared" si="154"/>
        <v>42795</v>
      </c>
      <c r="F3894" s="1" t="s">
        <v>60</v>
      </c>
      <c r="G3894" s="1" t="s">
        <v>16</v>
      </c>
      <c r="H3894" s="1">
        <v>-0.15</v>
      </c>
      <c r="I3894" s="1">
        <v>0.11</v>
      </c>
      <c r="J3894" s="1">
        <v>-0.01</v>
      </c>
      <c r="K3894" s="1" t="s">
        <v>69</v>
      </c>
      <c r="L3894" s="1">
        <v>2387</v>
      </c>
      <c r="M3894" s="1">
        <v>0.87</v>
      </c>
      <c r="N3894" s="1">
        <v>0.61985000000000001</v>
      </c>
      <c r="O3894" s="5">
        <f>VLOOKUP(D3894,underlying!$D$76:$H$90,5,FALSE)</f>
        <v>-0.45</v>
      </c>
      <c r="P3894" s="2">
        <f>VLOOKUP(D3894,underlying!$D$76:$L$90,9,FALSE)</f>
        <v>42783</v>
      </c>
      <c r="Q3894" s="7">
        <f>IF(G3894="C",NormalCallSprd(O3894,H3894,M3894,(P3894-A3894)/365), NormalPutSprd(O3894,H3894,M3894,(P3894-A3894)/365))</f>
        <v>0.11090331352067319</v>
      </c>
      <c r="R3894" s="9">
        <f t="shared" si="155"/>
        <v>9.0331352067318793E-4</v>
      </c>
    </row>
    <row r="3895" spans="1:18" x14ac:dyDescent="0.2">
      <c r="A3895" s="2">
        <v>42622</v>
      </c>
      <c r="B3895" s="1" t="s">
        <v>59</v>
      </c>
      <c r="C3895" s="1" t="s">
        <v>14</v>
      </c>
      <c r="D3895" s="2">
        <v>42738</v>
      </c>
      <c r="E3895" s="2">
        <f t="shared" si="154"/>
        <v>42795</v>
      </c>
      <c r="F3895" s="1" t="s">
        <v>60</v>
      </c>
      <c r="G3895" s="1" t="s">
        <v>18</v>
      </c>
      <c r="H3895" s="1">
        <v>-0.15</v>
      </c>
      <c r="I3895" s="1">
        <v>0.41</v>
      </c>
      <c r="J3895" s="1">
        <v>0.01</v>
      </c>
      <c r="K3895" s="1" t="s">
        <v>69</v>
      </c>
      <c r="L3895" s="1">
        <v>2387</v>
      </c>
      <c r="M3895" s="1">
        <v>0.87</v>
      </c>
      <c r="N3895" s="1">
        <v>0.64602999999999999</v>
      </c>
      <c r="O3895" s="5">
        <f>VLOOKUP(D3895,underlying!$D$76:$H$90,5,FALSE)</f>
        <v>-0.45</v>
      </c>
      <c r="P3895" s="2">
        <f>VLOOKUP(D3895,underlying!$D$76:$L$90,9,FALSE)</f>
        <v>42783</v>
      </c>
      <c r="Q3895" s="7">
        <f>IF(G3895="C",NormalCallSprd(O3895,H3895,M3895,(P3895-A3895)/365), NormalPutSprd(O3895,H3895,M3895,(P3895-A3895)/365))</f>
        <v>0.41090331352067322</v>
      </c>
      <c r="R3895" s="9">
        <f t="shared" si="155"/>
        <v>9.0331352067324344E-4</v>
      </c>
    </row>
    <row r="3896" spans="1:18" x14ac:dyDescent="0.2">
      <c r="A3896" s="2">
        <v>42622</v>
      </c>
      <c r="B3896" s="1" t="s">
        <v>59</v>
      </c>
      <c r="C3896" s="1" t="s">
        <v>14</v>
      </c>
      <c r="D3896" s="2">
        <v>42738</v>
      </c>
      <c r="E3896" s="2">
        <f t="shared" si="154"/>
        <v>42795</v>
      </c>
      <c r="F3896" s="1" t="s">
        <v>60</v>
      </c>
      <c r="G3896" s="1" t="s">
        <v>16</v>
      </c>
      <c r="H3896" s="1">
        <v>-0.1</v>
      </c>
      <c r="I3896" s="1">
        <v>0.1</v>
      </c>
      <c r="J3896" s="1">
        <v>-0.01</v>
      </c>
      <c r="K3896" s="1" t="s">
        <v>69</v>
      </c>
      <c r="L3896" s="1">
        <v>2387</v>
      </c>
      <c r="M3896" s="1">
        <v>0.88</v>
      </c>
      <c r="N3896" s="1">
        <v>0.67034000000000005</v>
      </c>
      <c r="O3896" s="5">
        <f>VLOOKUP(D3896,underlying!$D$76:$H$90,5,FALSE)</f>
        <v>-0.45</v>
      </c>
      <c r="P3896" s="2">
        <f>VLOOKUP(D3896,underlying!$D$76:$L$90,9,FALSE)</f>
        <v>42783</v>
      </c>
      <c r="Q3896" s="7">
        <f>IF(G3896="C",NormalCallSprd(O3896,H3896,M3896,(P3896-A3896)/365), NormalPutSprd(O3896,H3896,M3896,(P3896-A3896)/365))</f>
        <v>9.8765470405591596E-2</v>
      </c>
      <c r="R3896" s="9">
        <f t="shared" si="155"/>
        <v>1.2345295944084095E-3</v>
      </c>
    </row>
    <row r="3897" spans="1:18" x14ac:dyDescent="0.2">
      <c r="A3897" s="2">
        <v>42622</v>
      </c>
      <c r="B3897" s="1" t="s">
        <v>59</v>
      </c>
      <c r="C3897" s="1" t="s">
        <v>14</v>
      </c>
      <c r="D3897" s="2">
        <v>42738</v>
      </c>
      <c r="E3897" s="2">
        <f t="shared" si="154"/>
        <v>42795</v>
      </c>
      <c r="F3897" s="1" t="s">
        <v>60</v>
      </c>
      <c r="G3897" s="1" t="s">
        <v>18</v>
      </c>
      <c r="H3897" s="1">
        <v>-0.1</v>
      </c>
      <c r="I3897" s="1">
        <v>0.45</v>
      </c>
      <c r="J3897" s="1">
        <v>0.01</v>
      </c>
      <c r="K3897" s="1" t="s">
        <v>69</v>
      </c>
      <c r="L3897" s="1">
        <v>2387</v>
      </c>
      <c r="M3897" s="1">
        <v>0.88</v>
      </c>
      <c r="N3897" s="1">
        <v>0.69318999999999997</v>
      </c>
      <c r="O3897" s="5">
        <f>VLOOKUP(D3897,underlying!$D$76:$H$90,5,FALSE)</f>
        <v>-0.45</v>
      </c>
      <c r="P3897" s="2">
        <f>VLOOKUP(D3897,underlying!$D$76:$L$90,9,FALSE)</f>
        <v>42783</v>
      </c>
      <c r="Q3897" s="7">
        <f>IF(G3897="C",NormalCallSprd(O3897,H3897,M3897,(P3897-A3897)/365), NormalPutSprd(O3897,H3897,M3897,(P3897-A3897)/365))</f>
        <v>0.44876547040559162</v>
      </c>
      <c r="R3897" s="9">
        <f t="shared" si="155"/>
        <v>1.2345295944083956E-3</v>
      </c>
    </row>
    <row r="3898" spans="1:18" x14ac:dyDescent="0.2">
      <c r="A3898" s="2">
        <v>42622</v>
      </c>
      <c r="B3898" s="1" t="s">
        <v>59</v>
      </c>
      <c r="C3898" s="1" t="s">
        <v>14</v>
      </c>
      <c r="D3898" s="2">
        <v>42738</v>
      </c>
      <c r="E3898" s="2">
        <f t="shared" si="154"/>
        <v>42795</v>
      </c>
      <c r="F3898" s="1" t="s">
        <v>60</v>
      </c>
      <c r="G3898" s="1" t="s">
        <v>16</v>
      </c>
      <c r="H3898" s="1">
        <v>-0.05</v>
      </c>
      <c r="I3898" s="1">
        <v>0.09</v>
      </c>
      <c r="J3898" s="1">
        <v>-0.01</v>
      </c>
      <c r="K3898" s="1" t="s">
        <v>69</v>
      </c>
      <c r="L3898" s="1">
        <v>2387</v>
      </c>
      <c r="M3898" s="1">
        <v>0.9</v>
      </c>
      <c r="N3898" s="1">
        <v>0.71704999999999997</v>
      </c>
      <c r="O3898" s="5">
        <f>VLOOKUP(D3898,underlying!$D$76:$H$90,5,FALSE)</f>
        <v>-0.45</v>
      </c>
      <c r="P3898" s="2">
        <f>VLOOKUP(D3898,underlying!$D$76:$L$90,9,FALSE)</f>
        <v>42783</v>
      </c>
      <c r="Q3898" s="7">
        <f>IF(G3898="C",NormalCallSprd(O3898,H3898,M3898,(P3898-A3898)/365), NormalPutSprd(O3898,H3898,M3898,(P3898-A3898)/365))</f>
        <v>8.9948991819661331E-2</v>
      </c>
      <c r="R3898" s="9">
        <f t="shared" si="155"/>
        <v>5.1008180338665832E-5</v>
      </c>
    </row>
    <row r="3899" spans="1:18" x14ac:dyDescent="0.2">
      <c r="A3899" s="2">
        <v>42622</v>
      </c>
      <c r="B3899" s="1" t="s">
        <v>59</v>
      </c>
      <c r="C3899" s="1" t="s">
        <v>14</v>
      </c>
      <c r="D3899" s="2">
        <v>42738</v>
      </c>
      <c r="E3899" s="2">
        <f t="shared" si="154"/>
        <v>42795</v>
      </c>
      <c r="F3899" s="1" t="s">
        <v>60</v>
      </c>
      <c r="G3899" s="1" t="s">
        <v>18</v>
      </c>
      <c r="H3899" s="1">
        <v>-0.05</v>
      </c>
      <c r="I3899" s="1">
        <v>0.49</v>
      </c>
      <c r="J3899" s="1">
        <v>0.01</v>
      </c>
      <c r="K3899" s="1" t="s">
        <v>69</v>
      </c>
      <c r="L3899" s="1">
        <v>2387</v>
      </c>
      <c r="M3899" s="1">
        <v>0.9</v>
      </c>
      <c r="N3899" s="1">
        <v>0.74046999999999996</v>
      </c>
      <c r="O3899" s="5">
        <f>VLOOKUP(D3899,underlying!$D$76:$H$90,5,FALSE)</f>
        <v>-0.45</v>
      </c>
      <c r="P3899" s="2">
        <f>VLOOKUP(D3899,underlying!$D$76:$L$90,9,FALSE)</f>
        <v>42783</v>
      </c>
      <c r="Q3899" s="7">
        <f>IF(G3899="C",NormalCallSprd(O3899,H3899,M3899,(P3899-A3899)/365), NormalPutSprd(O3899,H3899,M3899,(P3899-A3899)/365))</f>
        <v>0.48994899181966134</v>
      </c>
      <c r="R3899" s="9">
        <f t="shared" si="155"/>
        <v>5.1008180338651954E-5</v>
      </c>
    </row>
    <row r="3900" spans="1:18" x14ac:dyDescent="0.2">
      <c r="A3900" s="2">
        <v>42622</v>
      </c>
      <c r="B3900" s="1" t="s">
        <v>59</v>
      </c>
      <c r="C3900" s="1" t="s">
        <v>14</v>
      </c>
      <c r="D3900" s="2">
        <v>42739</v>
      </c>
      <c r="E3900" s="2">
        <f t="shared" si="154"/>
        <v>42826</v>
      </c>
      <c r="F3900" s="1" t="s">
        <v>60</v>
      </c>
      <c r="G3900" s="1" t="s">
        <v>16</v>
      </c>
      <c r="H3900" s="1">
        <v>-3</v>
      </c>
      <c r="I3900" s="1">
        <v>2.63</v>
      </c>
      <c r="J3900" s="1">
        <v>-0.02</v>
      </c>
      <c r="K3900" s="1" t="s">
        <v>70</v>
      </c>
      <c r="L3900" s="1">
        <v>2387</v>
      </c>
      <c r="M3900" s="1">
        <v>1.0900000000000001</v>
      </c>
      <c r="N3900" s="1">
        <v>0.76278999999999997</v>
      </c>
      <c r="O3900" s="5">
        <f>VLOOKUP(D3900,underlying!$D$76:$H$90,5,FALSE)</f>
        <v>-0.36</v>
      </c>
      <c r="P3900" s="2">
        <f>VLOOKUP(D3900,underlying!$D$76:$L$90,9,FALSE)</f>
        <v>42814</v>
      </c>
      <c r="Q3900" s="7">
        <f>IF(G3900="C",NormalCallSprd(O3900,H3900,M3900,(P3900-A3900)/365), NormalPutSprd(O3900,H3900,M3900,(P3900-A3900)/365))</f>
        <v>2.640086555692279</v>
      </c>
      <c r="R3900" s="9">
        <f t="shared" si="155"/>
        <v>1.008655569227912E-2</v>
      </c>
    </row>
    <row r="3901" spans="1:18" x14ac:dyDescent="0.2">
      <c r="A3901" s="2">
        <v>42622</v>
      </c>
      <c r="B3901" s="1" t="s">
        <v>59</v>
      </c>
      <c r="C3901" s="1" t="s">
        <v>14</v>
      </c>
      <c r="D3901" s="2">
        <v>42739</v>
      </c>
      <c r="E3901" s="2">
        <f t="shared" si="154"/>
        <v>42826</v>
      </c>
      <c r="F3901" s="1" t="s">
        <v>60</v>
      </c>
      <c r="G3901" s="1" t="s">
        <v>18</v>
      </c>
      <c r="H3901" s="1">
        <v>-3</v>
      </c>
      <c r="I3901" s="1">
        <v>0.01</v>
      </c>
      <c r="J3901" s="1">
        <v>0</v>
      </c>
      <c r="K3901" s="1" t="s">
        <v>70</v>
      </c>
      <c r="L3901" s="1">
        <v>2387</v>
      </c>
      <c r="M3901" s="1">
        <v>1.0900000000000001</v>
      </c>
      <c r="N3901" s="1">
        <v>0.78396999999999994</v>
      </c>
      <c r="O3901" s="5">
        <f>VLOOKUP(D3901,underlying!$D$76:$H$90,5,FALSE)</f>
        <v>-0.36</v>
      </c>
      <c r="P3901" s="2">
        <f>VLOOKUP(D3901,underlying!$D$76:$L$90,9,FALSE)</f>
        <v>42814</v>
      </c>
      <c r="Q3901" s="7">
        <f>IF(G3901="C",NormalCallSprd(O3901,H3901,M3901,(P3901-A3901)/365), NormalPutSprd(O3901,H3901,M3901,(P3901-A3901)/365))</f>
        <v>8.6555692279075157E-5</v>
      </c>
      <c r="R3901" s="9">
        <f t="shared" si="155"/>
        <v>9.9134443077209256E-3</v>
      </c>
    </row>
    <row r="3902" spans="1:18" x14ac:dyDescent="0.2">
      <c r="A3902" s="2">
        <v>42622</v>
      </c>
      <c r="B3902" s="1" t="s">
        <v>59</v>
      </c>
      <c r="C3902" s="1" t="s">
        <v>14</v>
      </c>
      <c r="D3902" s="2">
        <v>42739</v>
      </c>
      <c r="E3902" s="2">
        <f t="shared" si="154"/>
        <v>42826</v>
      </c>
      <c r="F3902" s="1" t="s">
        <v>60</v>
      </c>
      <c r="G3902" s="1" t="s">
        <v>16</v>
      </c>
      <c r="H3902" s="1">
        <v>-2</v>
      </c>
      <c r="I3902" s="1">
        <v>1.64</v>
      </c>
      <c r="J3902" s="1">
        <v>-0.02</v>
      </c>
      <c r="K3902" s="1" t="s">
        <v>70</v>
      </c>
      <c r="L3902" s="1">
        <v>2387</v>
      </c>
      <c r="M3902" s="1">
        <v>1</v>
      </c>
      <c r="N3902" s="1">
        <v>0.80396000000000001</v>
      </c>
      <c r="O3902" s="5">
        <f>VLOOKUP(D3902,underlying!$D$76:$H$90,5,FALSE)</f>
        <v>-0.36</v>
      </c>
      <c r="P3902" s="2">
        <f>VLOOKUP(D3902,underlying!$D$76:$L$90,9,FALSE)</f>
        <v>42814</v>
      </c>
      <c r="Q3902" s="7">
        <f>IF(G3902="C",NormalCallSprd(O3902,H3902,M3902,(P3902-A3902)/365), NormalPutSprd(O3902,H3902,M3902,(P3902-A3902)/365))</f>
        <v>1.6429733516466116</v>
      </c>
      <c r="R3902" s="9">
        <f t="shared" si="155"/>
        <v>2.9733516466117216E-3</v>
      </c>
    </row>
    <row r="3903" spans="1:18" x14ac:dyDescent="0.2">
      <c r="A3903" s="2">
        <v>42622</v>
      </c>
      <c r="B3903" s="1" t="s">
        <v>59</v>
      </c>
      <c r="C3903" s="1" t="s">
        <v>14</v>
      </c>
      <c r="D3903" s="2">
        <v>42739</v>
      </c>
      <c r="E3903" s="2">
        <f t="shared" si="154"/>
        <v>42826</v>
      </c>
      <c r="F3903" s="1" t="s">
        <v>60</v>
      </c>
      <c r="G3903" s="1" t="s">
        <v>18</v>
      </c>
      <c r="H3903" s="1">
        <v>-2</v>
      </c>
      <c r="I3903" s="1">
        <v>0.01</v>
      </c>
      <c r="J3903" s="1">
        <v>0</v>
      </c>
      <c r="K3903" s="1" t="s">
        <v>70</v>
      </c>
      <c r="L3903" s="1">
        <v>2387</v>
      </c>
      <c r="M3903" s="1">
        <v>1</v>
      </c>
      <c r="N3903" s="1">
        <v>0.82272999999999996</v>
      </c>
      <c r="O3903" s="5">
        <f>VLOOKUP(D3903,underlying!$D$76:$H$90,5,FALSE)</f>
        <v>-0.36</v>
      </c>
      <c r="P3903" s="2">
        <f>VLOOKUP(D3903,underlying!$D$76:$L$90,9,FALSE)</f>
        <v>42814</v>
      </c>
      <c r="Q3903" s="7">
        <f>IF(G3903="C",NormalCallSprd(O3903,H3903,M3903,(P3903-A3903)/365), NormalPutSprd(O3903,H3903,M3903,(P3903-A3903)/365))</f>
        <v>2.973351646611591E-3</v>
      </c>
      <c r="R3903" s="9">
        <f t="shared" si="155"/>
        <v>7.0266483533884087E-3</v>
      </c>
    </row>
    <row r="3904" spans="1:18" x14ac:dyDescent="0.2">
      <c r="A3904" s="2">
        <v>42622</v>
      </c>
      <c r="B3904" s="1" t="s">
        <v>59</v>
      </c>
      <c r="C3904" s="1" t="s">
        <v>14</v>
      </c>
      <c r="D3904" s="2">
        <v>42739</v>
      </c>
      <c r="E3904" s="2">
        <f t="shared" si="154"/>
        <v>42826</v>
      </c>
      <c r="F3904" s="1" t="s">
        <v>60</v>
      </c>
      <c r="G3904" s="1" t="s">
        <v>16</v>
      </c>
      <c r="H3904" s="1">
        <v>-1</v>
      </c>
      <c r="I3904" s="1">
        <v>0.7</v>
      </c>
      <c r="J3904" s="1">
        <v>0</v>
      </c>
      <c r="K3904" s="1" t="s">
        <v>70</v>
      </c>
      <c r="L3904" s="1">
        <v>2387</v>
      </c>
      <c r="M3904" s="1">
        <v>0.91</v>
      </c>
      <c r="N3904" s="1">
        <v>0.83728000000000002</v>
      </c>
      <c r="O3904" s="5">
        <f>VLOOKUP(D3904,underlying!$D$76:$H$90,5,FALSE)</f>
        <v>-0.36</v>
      </c>
      <c r="P3904" s="2">
        <f>VLOOKUP(D3904,underlying!$D$76:$L$90,9,FALSE)</f>
        <v>42814</v>
      </c>
      <c r="Q3904" s="7">
        <f>IF(G3904="C",NormalCallSprd(O3904,H3904,M3904,(P3904-A3904)/365), NormalPutSprd(O3904,H3904,M3904,(P3904-A3904)/365))</f>
        <v>0.69823600163499755</v>
      </c>
      <c r="R3904" s="9">
        <f t="shared" si="155"/>
        <v>1.763998365002406E-3</v>
      </c>
    </row>
    <row r="3905" spans="1:18" x14ac:dyDescent="0.2">
      <c r="A3905" s="2">
        <v>42622</v>
      </c>
      <c r="B3905" s="1" t="s">
        <v>59</v>
      </c>
      <c r="C3905" s="1" t="s">
        <v>14</v>
      </c>
      <c r="D3905" s="2">
        <v>42739</v>
      </c>
      <c r="E3905" s="2">
        <f t="shared" si="154"/>
        <v>42826</v>
      </c>
      <c r="F3905" s="1" t="s">
        <v>60</v>
      </c>
      <c r="G3905" s="1" t="s">
        <v>18</v>
      </c>
      <c r="H3905" s="1">
        <v>-1</v>
      </c>
      <c r="I3905" s="1">
        <v>0.06</v>
      </c>
      <c r="J3905" s="1">
        <v>0</v>
      </c>
      <c r="K3905" s="1" t="s">
        <v>70</v>
      </c>
      <c r="L3905" s="1">
        <v>2387</v>
      </c>
      <c r="M3905" s="1">
        <v>0.91</v>
      </c>
      <c r="N3905" s="1">
        <v>0.87536000000000003</v>
      </c>
      <c r="O3905" s="5">
        <f>VLOOKUP(D3905,underlying!$D$76:$H$90,5,FALSE)</f>
        <v>-0.36</v>
      </c>
      <c r="P3905" s="2">
        <f>VLOOKUP(D3905,underlying!$D$76:$L$90,9,FALSE)</f>
        <v>42814</v>
      </c>
      <c r="Q3905" s="7">
        <f>IF(G3905="C",NormalCallSprd(O3905,H3905,M3905,(P3905-A3905)/365), NormalPutSprd(O3905,H3905,M3905,(P3905-A3905)/365))</f>
        <v>5.8236001634997515E-2</v>
      </c>
      <c r="R3905" s="9">
        <f t="shared" si="155"/>
        <v>1.7639983650024824E-3</v>
      </c>
    </row>
    <row r="3906" spans="1:18" x14ac:dyDescent="0.2">
      <c r="A3906" s="2">
        <v>42622</v>
      </c>
      <c r="B3906" s="1" t="s">
        <v>59</v>
      </c>
      <c r="C3906" s="1" t="s">
        <v>14</v>
      </c>
      <c r="D3906" s="2">
        <v>42739</v>
      </c>
      <c r="E3906" s="2">
        <f t="shared" ref="E3906:E3969" si="156">DATE(YEAR(D3906),DAY(D3906),MONTH(D3906))</f>
        <v>42826</v>
      </c>
      <c r="F3906" s="1" t="s">
        <v>60</v>
      </c>
      <c r="G3906" s="1" t="s">
        <v>16</v>
      </c>
      <c r="H3906" s="1">
        <v>-0.85</v>
      </c>
      <c r="I3906" s="1">
        <v>0.56999999999999995</v>
      </c>
      <c r="J3906" s="1">
        <v>-0.01</v>
      </c>
      <c r="K3906" s="1" t="s">
        <v>70</v>
      </c>
      <c r="L3906" s="1">
        <v>2387</v>
      </c>
      <c r="M3906" s="1">
        <v>0.9</v>
      </c>
      <c r="N3906" s="1">
        <v>0.97797000000000001</v>
      </c>
      <c r="O3906" s="5">
        <f>VLOOKUP(D3906,underlying!$D$76:$H$90,5,FALSE)</f>
        <v>-0.36</v>
      </c>
      <c r="P3906" s="2">
        <f>VLOOKUP(D3906,underlying!$D$76:$L$90,9,FALSE)</f>
        <v>42814</v>
      </c>
      <c r="Q3906" s="7">
        <f>IF(G3906="C",NormalCallSprd(O3906,H3906,M3906,(P3906-A3906)/365), NormalPutSprd(O3906,H3906,M3906,(P3906-A3906)/365))</f>
        <v>0.57552001484816684</v>
      </c>
      <c r="R3906" s="9">
        <f t="shared" si="155"/>
        <v>5.5200148481668876E-3</v>
      </c>
    </row>
    <row r="3907" spans="1:18" x14ac:dyDescent="0.2">
      <c r="A3907" s="2">
        <v>42622</v>
      </c>
      <c r="B3907" s="1" t="s">
        <v>59</v>
      </c>
      <c r="C3907" s="1" t="s">
        <v>14</v>
      </c>
      <c r="D3907" s="2">
        <v>42739</v>
      </c>
      <c r="E3907" s="2">
        <f t="shared" si="156"/>
        <v>42826</v>
      </c>
      <c r="F3907" s="1" t="s">
        <v>60</v>
      </c>
      <c r="G3907" s="1" t="s">
        <v>18</v>
      </c>
      <c r="H3907" s="1">
        <v>-0.85</v>
      </c>
      <c r="I3907" s="1">
        <v>0.09</v>
      </c>
      <c r="J3907" s="1">
        <v>0.02</v>
      </c>
      <c r="K3907" s="1" t="s">
        <v>70</v>
      </c>
      <c r="L3907" s="1">
        <v>2387</v>
      </c>
      <c r="M3907" s="1">
        <v>0.9</v>
      </c>
      <c r="N3907" s="1">
        <v>0.99138000000000004</v>
      </c>
      <c r="O3907" s="5">
        <f>VLOOKUP(D3907,underlying!$D$76:$H$90,5,FALSE)</f>
        <v>-0.36</v>
      </c>
      <c r="P3907" s="2">
        <f>VLOOKUP(D3907,underlying!$D$76:$L$90,9,FALSE)</f>
        <v>42814</v>
      </c>
      <c r="Q3907" s="7">
        <f>IF(G3907="C",NormalCallSprd(O3907,H3907,M3907,(P3907-A3907)/365), NormalPutSprd(O3907,H3907,M3907,(P3907-A3907)/365))</f>
        <v>8.5520014848166875E-2</v>
      </c>
      <c r="R3907" s="9">
        <f t="shared" ref="R3907:R3970" si="157">ABS(Q3907-I3907)</f>
        <v>4.4799851518331213E-3</v>
      </c>
    </row>
    <row r="3908" spans="1:18" x14ac:dyDescent="0.2">
      <c r="A3908" s="2">
        <v>42622</v>
      </c>
      <c r="B3908" s="1" t="s">
        <v>59</v>
      </c>
      <c r="C3908" s="1" t="s">
        <v>14</v>
      </c>
      <c r="D3908" s="2">
        <v>42739</v>
      </c>
      <c r="E3908" s="2">
        <f t="shared" si="156"/>
        <v>42826</v>
      </c>
      <c r="F3908" s="1" t="s">
        <v>60</v>
      </c>
      <c r="G3908" s="1" t="s">
        <v>16</v>
      </c>
      <c r="H3908" s="1">
        <v>-0.8</v>
      </c>
      <c r="I3908" s="1">
        <v>0.54</v>
      </c>
      <c r="J3908" s="1">
        <v>0</v>
      </c>
      <c r="K3908" s="1" t="s">
        <v>70</v>
      </c>
      <c r="L3908" s="1">
        <v>2387</v>
      </c>
      <c r="M3908" s="1">
        <v>0.9</v>
      </c>
      <c r="N3908" s="1">
        <v>-0.55283000000000004</v>
      </c>
      <c r="O3908" s="5">
        <f>VLOOKUP(D3908,underlying!$D$76:$H$90,5,FALSE)</f>
        <v>-0.36</v>
      </c>
      <c r="P3908" s="2">
        <f>VLOOKUP(D3908,underlying!$D$76:$L$90,9,FALSE)</f>
        <v>42814</v>
      </c>
      <c r="Q3908" s="7">
        <f>IF(G3908="C",NormalCallSprd(O3908,H3908,M3908,(P3908-A3908)/365), NormalPutSprd(O3908,H3908,M3908,(P3908-A3908)/365))</f>
        <v>0.53742858572355789</v>
      </c>
      <c r="R3908" s="9">
        <f t="shared" si="157"/>
        <v>2.571414276442141E-3</v>
      </c>
    </row>
    <row r="3909" spans="1:18" x14ac:dyDescent="0.2">
      <c r="A3909" s="2">
        <v>42622</v>
      </c>
      <c r="B3909" s="1" t="s">
        <v>59</v>
      </c>
      <c r="C3909" s="1" t="s">
        <v>14</v>
      </c>
      <c r="D3909" s="2">
        <v>42739</v>
      </c>
      <c r="E3909" s="2">
        <f t="shared" si="156"/>
        <v>42826</v>
      </c>
      <c r="F3909" s="1" t="s">
        <v>60</v>
      </c>
      <c r="G3909" s="1" t="s">
        <v>18</v>
      </c>
      <c r="H3909" s="1">
        <v>-0.8</v>
      </c>
      <c r="I3909" s="1">
        <v>0.1</v>
      </c>
      <c r="J3909" s="1">
        <v>0.02</v>
      </c>
      <c r="K3909" s="1" t="s">
        <v>70</v>
      </c>
      <c r="L3909" s="1">
        <v>2387</v>
      </c>
      <c r="M3909" s="1">
        <v>0.9</v>
      </c>
      <c r="N3909" s="1">
        <v>-0.52088000000000001</v>
      </c>
      <c r="O3909" s="5">
        <f>VLOOKUP(D3909,underlying!$D$76:$H$90,5,FALSE)</f>
        <v>-0.36</v>
      </c>
      <c r="P3909" s="2">
        <f>VLOOKUP(D3909,underlying!$D$76:$L$90,9,FALSE)</f>
        <v>42814</v>
      </c>
      <c r="Q3909" s="7">
        <f>IF(G3909="C",NormalCallSprd(O3909,H3909,M3909,(P3909-A3909)/365), NormalPutSprd(O3909,H3909,M3909,(P3909-A3909)/365))</f>
        <v>9.7428585723557795E-2</v>
      </c>
      <c r="R3909" s="9">
        <f t="shared" si="157"/>
        <v>2.5714142764422104E-3</v>
      </c>
    </row>
    <row r="3910" spans="1:18" x14ac:dyDescent="0.2">
      <c r="A3910" s="2">
        <v>42622</v>
      </c>
      <c r="B3910" s="1" t="s">
        <v>59</v>
      </c>
      <c r="C3910" s="1" t="s">
        <v>14</v>
      </c>
      <c r="D3910" s="2">
        <v>42739</v>
      </c>
      <c r="E3910" s="2">
        <f t="shared" si="156"/>
        <v>42826</v>
      </c>
      <c r="F3910" s="1" t="s">
        <v>60</v>
      </c>
      <c r="G3910" s="1" t="s">
        <v>16</v>
      </c>
      <c r="H3910" s="1">
        <v>-0.75</v>
      </c>
      <c r="I3910" s="1">
        <v>0.5</v>
      </c>
      <c r="J3910" s="1">
        <v>0</v>
      </c>
      <c r="K3910" s="1" t="s">
        <v>70</v>
      </c>
      <c r="L3910" s="1">
        <v>2387</v>
      </c>
      <c r="M3910" s="1">
        <v>0.9</v>
      </c>
      <c r="N3910" s="1">
        <v>-0.49042999999999998</v>
      </c>
      <c r="O3910" s="5">
        <f>VLOOKUP(D3910,underlying!$D$76:$H$90,5,FALSE)</f>
        <v>-0.36</v>
      </c>
      <c r="P3910" s="2">
        <f>VLOOKUP(D3910,underlying!$D$76:$L$90,9,FALSE)</f>
        <v>42814</v>
      </c>
      <c r="Q3910" s="7">
        <f>IF(G3910="C",NormalCallSprd(O3910,H3910,M3910,(P3910-A3910)/365), NormalPutSprd(O3910,H3910,M3910,(P3910-A3910)/365))</f>
        <v>0.50055424410719596</v>
      </c>
      <c r="R3910" s="9">
        <f t="shared" si="157"/>
        <v>5.5424410719595585E-4</v>
      </c>
    </row>
    <row r="3911" spans="1:18" x14ac:dyDescent="0.2">
      <c r="A3911" s="2">
        <v>42622</v>
      </c>
      <c r="B3911" s="1" t="s">
        <v>59</v>
      </c>
      <c r="C3911" s="1" t="s">
        <v>14</v>
      </c>
      <c r="D3911" s="2">
        <v>42739</v>
      </c>
      <c r="E3911" s="2">
        <f t="shared" si="156"/>
        <v>42826</v>
      </c>
      <c r="F3911" s="1" t="s">
        <v>60</v>
      </c>
      <c r="G3911" s="1" t="s">
        <v>18</v>
      </c>
      <c r="H3911" s="1">
        <v>-0.75</v>
      </c>
      <c r="I3911" s="1">
        <v>0.11</v>
      </c>
      <c r="J3911" s="1">
        <v>0.01</v>
      </c>
      <c r="K3911" s="1" t="s">
        <v>70</v>
      </c>
      <c r="L3911" s="1">
        <v>2387</v>
      </c>
      <c r="M3911" s="1">
        <v>0.9</v>
      </c>
      <c r="N3911" s="1">
        <v>-0.46027000000000001</v>
      </c>
      <c r="O3911" s="5">
        <f>VLOOKUP(D3911,underlying!$D$76:$H$90,5,FALSE)</f>
        <v>-0.36</v>
      </c>
      <c r="P3911" s="2">
        <f>VLOOKUP(D3911,underlying!$D$76:$L$90,9,FALSE)</f>
        <v>42814</v>
      </c>
      <c r="Q3911" s="7">
        <f>IF(G3911="C",NormalCallSprd(O3911,H3911,M3911,(P3911-A3911)/365), NormalPutSprd(O3911,H3911,M3911,(P3911-A3911)/365))</f>
        <v>0.11055424410719589</v>
      </c>
      <c r="R3911" s="9">
        <f t="shared" si="157"/>
        <v>5.5424410719588646E-4</v>
      </c>
    </row>
    <row r="3912" spans="1:18" x14ac:dyDescent="0.2">
      <c r="A3912" s="2">
        <v>42622</v>
      </c>
      <c r="B3912" s="1" t="s">
        <v>59</v>
      </c>
      <c r="C3912" s="1" t="s">
        <v>14</v>
      </c>
      <c r="D3912" s="2">
        <v>42739</v>
      </c>
      <c r="E3912" s="2">
        <f t="shared" si="156"/>
        <v>42826</v>
      </c>
      <c r="F3912" s="1" t="s">
        <v>60</v>
      </c>
      <c r="G3912" s="1" t="s">
        <v>16</v>
      </c>
      <c r="H3912" s="1">
        <v>-0.7</v>
      </c>
      <c r="I3912" s="1">
        <v>0.46</v>
      </c>
      <c r="J3912" s="1">
        <v>0</v>
      </c>
      <c r="K3912" s="1" t="s">
        <v>70</v>
      </c>
      <c r="L3912" s="1">
        <v>2387</v>
      </c>
      <c r="M3912" s="1">
        <v>0.9</v>
      </c>
      <c r="N3912" s="1">
        <v>-0.43082999999999999</v>
      </c>
      <c r="O3912" s="5">
        <f>VLOOKUP(D3912,underlying!$D$76:$H$90,5,FALSE)</f>
        <v>-0.36</v>
      </c>
      <c r="P3912" s="2">
        <f>VLOOKUP(D3912,underlying!$D$76:$L$90,9,FALSE)</f>
        <v>42814</v>
      </c>
      <c r="Q3912" s="7">
        <f>IF(G3912="C",NormalCallSprd(O3912,H3912,M3912,(P3912-A3912)/365), NormalPutSprd(O3912,H3912,M3912,(P3912-A3912)/365))</f>
        <v>0.46495766773821484</v>
      </c>
      <c r="R3912" s="9">
        <f t="shared" si="157"/>
        <v>4.9576677382148215E-3</v>
      </c>
    </row>
    <row r="3913" spans="1:18" x14ac:dyDescent="0.2">
      <c r="A3913" s="2">
        <v>42622</v>
      </c>
      <c r="B3913" s="1" t="s">
        <v>59</v>
      </c>
      <c r="C3913" s="1" t="s">
        <v>14</v>
      </c>
      <c r="D3913" s="2">
        <v>42739</v>
      </c>
      <c r="E3913" s="2">
        <f t="shared" si="156"/>
        <v>42826</v>
      </c>
      <c r="F3913" s="1" t="s">
        <v>60</v>
      </c>
      <c r="G3913" s="1" t="s">
        <v>18</v>
      </c>
      <c r="H3913" s="1">
        <v>-0.7</v>
      </c>
      <c r="I3913" s="1">
        <v>0.13</v>
      </c>
      <c r="J3913" s="1">
        <v>0.03</v>
      </c>
      <c r="K3913" s="1" t="s">
        <v>70</v>
      </c>
      <c r="L3913" s="1">
        <v>2387</v>
      </c>
      <c r="M3913" s="1">
        <v>0.9</v>
      </c>
      <c r="N3913" s="1">
        <v>-0.40178999999999998</v>
      </c>
      <c r="O3913" s="5">
        <f>VLOOKUP(D3913,underlying!$D$76:$H$90,5,FALSE)</f>
        <v>-0.36</v>
      </c>
      <c r="P3913" s="2">
        <f>VLOOKUP(D3913,underlying!$D$76:$L$90,9,FALSE)</f>
        <v>42814</v>
      </c>
      <c r="Q3913" s="7">
        <f>IF(G3913="C",NormalCallSprd(O3913,H3913,M3913,(P3913-A3913)/365), NormalPutSprd(O3913,H3913,M3913,(P3913-A3913)/365))</f>
        <v>0.12495766773821484</v>
      </c>
      <c r="R3913" s="9">
        <f t="shared" si="157"/>
        <v>5.0423322617851596E-3</v>
      </c>
    </row>
    <row r="3914" spans="1:18" x14ac:dyDescent="0.2">
      <c r="A3914" s="2">
        <v>42622</v>
      </c>
      <c r="B3914" s="1" t="s">
        <v>59</v>
      </c>
      <c r="C3914" s="1" t="s">
        <v>14</v>
      </c>
      <c r="D3914" s="2">
        <v>42739</v>
      </c>
      <c r="E3914" s="2">
        <f t="shared" si="156"/>
        <v>42826</v>
      </c>
      <c r="F3914" s="1" t="s">
        <v>60</v>
      </c>
      <c r="G3914" s="1" t="s">
        <v>16</v>
      </c>
      <c r="H3914" s="1">
        <v>-0.65</v>
      </c>
      <c r="I3914" s="1">
        <v>0.43</v>
      </c>
      <c r="J3914" s="1">
        <v>0</v>
      </c>
      <c r="K3914" s="1" t="s">
        <v>70</v>
      </c>
      <c r="L3914" s="1">
        <v>2387</v>
      </c>
      <c r="M3914" s="1">
        <v>0.9</v>
      </c>
      <c r="N3914" s="1">
        <v>-0.37306</v>
      </c>
      <c r="O3914" s="5">
        <f>VLOOKUP(D3914,underlying!$D$76:$H$90,5,FALSE)</f>
        <v>-0.36</v>
      </c>
      <c r="P3914" s="2">
        <f>VLOOKUP(D3914,underlying!$D$76:$L$90,9,FALSE)</f>
        <v>42814</v>
      </c>
      <c r="Q3914" s="7">
        <f>IF(G3914="C",NormalCallSprd(O3914,H3914,M3914,(P3914-A3914)/365), NormalPutSprd(O3914,H3914,M3914,(P3914-A3914)/365))</f>
        <v>0.43069471918187141</v>
      </c>
      <c r="R3914" s="9">
        <f t="shared" si="157"/>
        <v>6.9471918187141712E-4</v>
      </c>
    </row>
    <row r="3915" spans="1:18" x14ac:dyDescent="0.2">
      <c r="A3915" s="2">
        <v>42622</v>
      </c>
      <c r="B3915" s="1" t="s">
        <v>59</v>
      </c>
      <c r="C3915" s="1" t="s">
        <v>14</v>
      </c>
      <c r="D3915" s="2">
        <v>42739</v>
      </c>
      <c r="E3915" s="2">
        <f t="shared" si="156"/>
        <v>42826</v>
      </c>
      <c r="F3915" s="1" t="s">
        <v>60</v>
      </c>
      <c r="G3915" s="1" t="s">
        <v>18</v>
      </c>
      <c r="H3915" s="1">
        <v>-0.65</v>
      </c>
      <c r="I3915" s="1">
        <v>0.14000000000000001</v>
      </c>
      <c r="J3915" s="1">
        <v>0.02</v>
      </c>
      <c r="K3915" s="1" t="s">
        <v>70</v>
      </c>
      <c r="L3915" s="1">
        <v>2387</v>
      </c>
      <c r="M3915" s="1">
        <v>0.9</v>
      </c>
      <c r="N3915" s="1">
        <v>-0.34688000000000002</v>
      </c>
      <c r="O3915" s="5">
        <f>VLOOKUP(D3915,underlying!$D$76:$H$90,5,FALSE)</f>
        <v>-0.36</v>
      </c>
      <c r="P3915" s="2">
        <f>VLOOKUP(D3915,underlying!$D$76:$L$90,9,FALSE)</f>
        <v>42814</v>
      </c>
      <c r="Q3915" s="7">
        <f>IF(G3915="C",NormalCallSprd(O3915,H3915,M3915,(P3915-A3915)/365), NormalPutSprd(O3915,H3915,M3915,(P3915-A3915)/365))</f>
        <v>0.1406947191818714</v>
      </c>
      <c r="R3915" s="9">
        <f t="shared" si="157"/>
        <v>6.9471918187138937E-4</v>
      </c>
    </row>
    <row r="3916" spans="1:18" x14ac:dyDescent="0.2">
      <c r="A3916" s="2">
        <v>42622</v>
      </c>
      <c r="B3916" s="1" t="s">
        <v>59</v>
      </c>
      <c r="C3916" s="1" t="s">
        <v>14</v>
      </c>
      <c r="D3916" s="2">
        <v>42739</v>
      </c>
      <c r="E3916" s="2">
        <f t="shared" si="156"/>
        <v>42826</v>
      </c>
      <c r="F3916" s="1" t="s">
        <v>60</v>
      </c>
      <c r="G3916" s="1" t="s">
        <v>16</v>
      </c>
      <c r="H3916" s="1">
        <v>-0.6</v>
      </c>
      <c r="I3916" s="1">
        <v>0.4</v>
      </c>
      <c r="J3916" s="1">
        <v>0.01</v>
      </c>
      <c r="K3916" s="1" t="s">
        <v>70</v>
      </c>
      <c r="L3916" s="1">
        <v>2387</v>
      </c>
      <c r="M3916" s="1">
        <v>0.9</v>
      </c>
      <c r="N3916" s="1">
        <v>-0.32257000000000002</v>
      </c>
      <c r="O3916" s="5">
        <f>VLOOKUP(D3916,underlying!$D$76:$H$90,5,FALSE)</f>
        <v>-0.36</v>
      </c>
      <c r="P3916" s="2">
        <f>VLOOKUP(D3916,underlying!$D$76:$L$90,9,FALSE)</f>
        <v>42814</v>
      </c>
      <c r="Q3916" s="7">
        <f>IF(G3916="C",NormalCallSprd(O3916,H3916,M3916,(P3916-A3916)/365), NormalPutSprd(O3916,H3916,M3916,(P3916-A3916)/365))</f>
        <v>0.39781556806029567</v>
      </c>
      <c r="R3916" s="9">
        <f t="shared" si="157"/>
        <v>2.1844319397043566E-3</v>
      </c>
    </row>
    <row r="3917" spans="1:18" x14ac:dyDescent="0.2">
      <c r="A3917" s="2">
        <v>42622</v>
      </c>
      <c r="B3917" s="1" t="s">
        <v>59</v>
      </c>
      <c r="C3917" s="1" t="s">
        <v>14</v>
      </c>
      <c r="D3917" s="2">
        <v>42739</v>
      </c>
      <c r="E3917" s="2">
        <f t="shared" si="156"/>
        <v>42826</v>
      </c>
      <c r="F3917" s="1" t="s">
        <v>60</v>
      </c>
      <c r="G3917" s="1" t="s">
        <v>18</v>
      </c>
      <c r="H3917" s="1">
        <v>-0.6</v>
      </c>
      <c r="I3917" s="1">
        <v>0.16</v>
      </c>
      <c r="J3917" s="1">
        <v>0.02</v>
      </c>
      <c r="K3917" s="1" t="s">
        <v>70</v>
      </c>
      <c r="L3917" s="1">
        <v>2387</v>
      </c>
      <c r="M3917" s="1">
        <v>0.9</v>
      </c>
      <c r="N3917" s="1">
        <v>-0.29971999999999999</v>
      </c>
      <c r="O3917" s="5">
        <f>VLOOKUP(D3917,underlying!$D$76:$H$90,5,FALSE)</f>
        <v>-0.36</v>
      </c>
      <c r="P3917" s="2">
        <f>VLOOKUP(D3917,underlying!$D$76:$L$90,9,FALSE)</f>
        <v>42814</v>
      </c>
      <c r="Q3917" s="7">
        <f>IF(G3917="C",NormalCallSprd(O3917,H3917,M3917,(P3917-A3917)/365), NormalPutSprd(O3917,H3917,M3917,(P3917-A3917)/365))</f>
        <v>0.15781556806029567</v>
      </c>
      <c r="R3917" s="9">
        <f t="shared" si="157"/>
        <v>2.1844319397043288E-3</v>
      </c>
    </row>
    <row r="3918" spans="1:18" x14ac:dyDescent="0.2">
      <c r="A3918" s="2">
        <v>42622</v>
      </c>
      <c r="B3918" s="1" t="s">
        <v>59</v>
      </c>
      <c r="C3918" s="1" t="s">
        <v>14</v>
      </c>
      <c r="D3918" s="2">
        <v>42739</v>
      </c>
      <c r="E3918" s="2">
        <f t="shared" si="156"/>
        <v>42826</v>
      </c>
      <c r="F3918" s="1" t="s">
        <v>60</v>
      </c>
      <c r="G3918" s="1" t="s">
        <v>16</v>
      </c>
      <c r="H3918" s="1">
        <v>-0.55000000000000004</v>
      </c>
      <c r="I3918" s="1">
        <v>0.36</v>
      </c>
      <c r="J3918" s="1">
        <v>0</v>
      </c>
      <c r="K3918" s="1" t="s">
        <v>70</v>
      </c>
      <c r="L3918" s="1">
        <v>2387</v>
      </c>
      <c r="M3918" s="1">
        <v>0.89</v>
      </c>
      <c r="N3918" s="1">
        <v>-0.27585999999999999</v>
      </c>
      <c r="O3918" s="5">
        <f>VLOOKUP(D3918,underlying!$D$76:$H$90,5,FALSE)</f>
        <v>-0.36</v>
      </c>
      <c r="P3918" s="2">
        <f>VLOOKUP(D3918,underlying!$D$76:$L$90,9,FALSE)</f>
        <v>42814</v>
      </c>
      <c r="Q3918" s="7">
        <f>IF(G3918="C",NormalCallSprd(O3918,H3918,M3918,(P3918-A3918)/365), NormalPutSprd(O3918,H3918,M3918,(P3918-A3918)/365))</f>
        <v>0.36359177458020953</v>
      </c>
      <c r="R3918" s="9">
        <f t="shared" si="157"/>
        <v>3.5917745802095391E-3</v>
      </c>
    </row>
    <row r="3919" spans="1:18" x14ac:dyDescent="0.2">
      <c r="A3919" s="2">
        <v>42622</v>
      </c>
      <c r="B3919" s="1" t="s">
        <v>59</v>
      </c>
      <c r="C3919" s="1" t="s">
        <v>14</v>
      </c>
      <c r="D3919" s="2">
        <v>42739</v>
      </c>
      <c r="E3919" s="2">
        <f t="shared" si="156"/>
        <v>42826</v>
      </c>
      <c r="F3919" s="1" t="s">
        <v>60</v>
      </c>
      <c r="G3919" s="1" t="s">
        <v>18</v>
      </c>
      <c r="H3919" s="1">
        <v>-0.55000000000000004</v>
      </c>
      <c r="I3919" s="1">
        <v>0.17</v>
      </c>
      <c r="J3919" s="1">
        <v>0.02</v>
      </c>
      <c r="K3919" s="1" t="s">
        <v>70</v>
      </c>
      <c r="L3919" s="1">
        <v>2387</v>
      </c>
      <c r="M3919" s="1">
        <v>0.89</v>
      </c>
      <c r="N3919" s="1">
        <v>-0.25245000000000001</v>
      </c>
      <c r="O3919" s="5">
        <f>VLOOKUP(D3919,underlying!$D$76:$H$90,5,FALSE)</f>
        <v>-0.36</v>
      </c>
      <c r="P3919" s="2">
        <f>VLOOKUP(D3919,underlying!$D$76:$L$90,9,FALSE)</f>
        <v>42814</v>
      </c>
      <c r="Q3919" s="7">
        <f>IF(G3919="C",NormalCallSprd(O3919,H3919,M3919,(P3919-A3919)/365), NormalPutSprd(O3919,H3919,M3919,(P3919-A3919)/365))</f>
        <v>0.17359177458020947</v>
      </c>
      <c r="R3919" s="9">
        <f t="shared" si="157"/>
        <v>3.5917745802094558E-3</v>
      </c>
    </row>
    <row r="3920" spans="1:18" x14ac:dyDescent="0.2">
      <c r="A3920" s="2">
        <v>42622</v>
      </c>
      <c r="B3920" s="1" t="s">
        <v>59</v>
      </c>
      <c r="C3920" s="1" t="s">
        <v>14</v>
      </c>
      <c r="D3920" s="2">
        <v>42739</v>
      </c>
      <c r="E3920" s="2">
        <f t="shared" si="156"/>
        <v>42826</v>
      </c>
      <c r="F3920" s="1" t="s">
        <v>60</v>
      </c>
      <c r="G3920" s="1" t="s">
        <v>16</v>
      </c>
      <c r="H3920" s="1">
        <v>-0.5</v>
      </c>
      <c r="I3920" s="1">
        <v>0.33</v>
      </c>
      <c r="J3920" s="1">
        <v>0.01</v>
      </c>
      <c r="K3920" s="1" t="s">
        <v>70</v>
      </c>
      <c r="L3920" s="1">
        <v>2387</v>
      </c>
      <c r="M3920" s="1">
        <v>0.88</v>
      </c>
      <c r="N3920" s="1">
        <v>-0.23011999999999999</v>
      </c>
      <c r="O3920" s="5">
        <f>VLOOKUP(D3920,underlying!$D$76:$H$90,5,FALSE)</f>
        <v>-0.36</v>
      </c>
      <c r="P3920" s="2">
        <f>VLOOKUP(D3920,underlying!$D$76:$L$90,9,FALSE)</f>
        <v>42814</v>
      </c>
      <c r="Q3920" s="7">
        <f>IF(G3920="C",NormalCallSprd(O3920,H3920,M3920,(P3920-A3920)/365), NormalPutSprd(O3920,H3920,M3920,(P3920-A3920)/365))</f>
        <v>0.33072374898834006</v>
      </c>
      <c r="R3920" s="9">
        <f t="shared" si="157"/>
        <v>7.2374898834004497E-4</v>
      </c>
    </row>
    <row r="3921" spans="1:18" x14ac:dyDescent="0.2">
      <c r="A3921" s="2">
        <v>42622</v>
      </c>
      <c r="B3921" s="1" t="s">
        <v>59</v>
      </c>
      <c r="C3921" s="1" t="s">
        <v>14</v>
      </c>
      <c r="D3921" s="2">
        <v>42739</v>
      </c>
      <c r="E3921" s="2">
        <f t="shared" si="156"/>
        <v>42826</v>
      </c>
      <c r="F3921" s="1" t="s">
        <v>60</v>
      </c>
      <c r="G3921" s="1" t="s">
        <v>18</v>
      </c>
      <c r="H3921" s="1">
        <v>-0.5</v>
      </c>
      <c r="I3921" s="1">
        <v>0.19</v>
      </c>
      <c r="J3921" s="1">
        <v>0.03</v>
      </c>
      <c r="K3921" s="1" t="s">
        <v>70</v>
      </c>
      <c r="L3921" s="1">
        <v>2387</v>
      </c>
      <c r="M3921" s="1">
        <v>0.88</v>
      </c>
      <c r="N3921" s="1">
        <v>-0.20893999999999999</v>
      </c>
      <c r="O3921" s="5">
        <f>VLOOKUP(D3921,underlying!$D$76:$H$90,5,FALSE)</f>
        <v>-0.36</v>
      </c>
      <c r="P3921" s="2">
        <f>VLOOKUP(D3921,underlying!$D$76:$L$90,9,FALSE)</f>
        <v>42814</v>
      </c>
      <c r="Q3921" s="7">
        <f>IF(G3921="C",NormalCallSprd(O3921,H3921,M3921,(P3921-A3921)/365), NormalPutSprd(O3921,H3921,M3921,(P3921-A3921)/365))</f>
        <v>0.19072374898834005</v>
      </c>
      <c r="R3921" s="9">
        <f t="shared" si="157"/>
        <v>7.2374898834004497E-4</v>
      </c>
    </row>
    <row r="3922" spans="1:18" x14ac:dyDescent="0.2">
      <c r="A3922" s="2">
        <v>42622</v>
      </c>
      <c r="B3922" s="1" t="s">
        <v>59</v>
      </c>
      <c r="C3922" s="1" t="s">
        <v>14</v>
      </c>
      <c r="D3922" s="2">
        <v>42739</v>
      </c>
      <c r="E3922" s="2">
        <f t="shared" si="156"/>
        <v>42826</v>
      </c>
      <c r="F3922" s="1" t="s">
        <v>60</v>
      </c>
      <c r="G3922" s="1" t="s">
        <v>16</v>
      </c>
      <c r="H3922" s="1">
        <v>-0.45</v>
      </c>
      <c r="I3922" s="1">
        <v>0.28999999999999998</v>
      </c>
      <c r="J3922" s="1">
        <v>0</v>
      </c>
      <c r="K3922" s="1" t="s">
        <v>70</v>
      </c>
      <c r="L3922" s="1">
        <v>2387</v>
      </c>
      <c r="M3922" s="1">
        <v>0.85</v>
      </c>
      <c r="N3922" s="1">
        <v>-0.18895000000000001</v>
      </c>
      <c r="O3922" s="5">
        <f>VLOOKUP(D3922,underlying!$D$76:$H$90,5,FALSE)</f>
        <v>-0.36</v>
      </c>
      <c r="P3922" s="2">
        <f>VLOOKUP(D3922,underlying!$D$76:$L$90,9,FALSE)</f>
        <v>42814</v>
      </c>
      <c r="Q3922" s="7">
        <f>IF(G3922="C",NormalCallSprd(O3922,H3922,M3922,(P3922-A3922)/365), NormalPutSprd(O3922,H3922,M3922,(P3922-A3922)/365))</f>
        <v>0.29355847201491242</v>
      </c>
      <c r="R3922" s="9">
        <f t="shared" si="157"/>
        <v>3.5584720149124394E-3</v>
      </c>
    </row>
    <row r="3923" spans="1:18" x14ac:dyDescent="0.2">
      <c r="A3923" s="2">
        <v>42622</v>
      </c>
      <c r="B3923" s="1" t="s">
        <v>59</v>
      </c>
      <c r="C3923" s="1" t="s">
        <v>14</v>
      </c>
      <c r="D3923" s="2">
        <v>42739</v>
      </c>
      <c r="E3923" s="2">
        <f t="shared" si="156"/>
        <v>42826</v>
      </c>
      <c r="F3923" s="1" t="s">
        <v>60</v>
      </c>
      <c r="G3923" s="1" t="s">
        <v>18</v>
      </c>
      <c r="H3923" s="1">
        <v>-0.45</v>
      </c>
      <c r="I3923" s="1">
        <v>0.2</v>
      </c>
      <c r="J3923" s="1">
        <v>0.02</v>
      </c>
      <c r="K3923" s="1" t="s">
        <v>70</v>
      </c>
      <c r="L3923" s="1">
        <v>2387</v>
      </c>
      <c r="M3923" s="1">
        <v>0.85</v>
      </c>
      <c r="N3923" s="1">
        <v>-0.17018</v>
      </c>
      <c r="O3923" s="5">
        <f>VLOOKUP(D3923,underlying!$D$76:$H$90,5,FALSE)</f>
        <v>-0.36</v>
      </c>
      <c r="P3923" s="2">
        <f>VLOOKUP(D3923,underlying!$D$76:$L$90,9,FALSE)</f>
        <v>42814</v>
      </c>
      <c r="Q3923" s="7">
        <f>IF(G3923="C",NormalCallSprd(O3923,H3923,M3923,(P3923-A3923)/365), NormalPutSprd(O3923,H3923,M3923,(P3923-A3923)/365))</f>
        <v>0.20355847201491239</v>
      </c>
      <c r="R3923" s="9">
        <f t="shared" si="157"/>
        <v>3.5584720149123839E-3</v>
      </c>
    </row>
    <row r="3924" spans="1:18" x14ac:dyDescent="0.2">
      <c r="A3924" s="2">
        <v>42622</v>
      </c>
      <c r="B3924" s="1" t="s">
        <v>59</v>
      </c>
      <c r="C3924" s="1" t="s">
        <v>14</v>
      </c>
      <c r="D3924" s="2">
        <v>42739</v>
      </c>
      <c r="E3924" s="2">
        <f t="shared" si="156"/>
        <v>42826</v>
      </c>
      <c r="F3924" s="1" t="s">
        <v>60</v>
      </c>
      <c r="G3924" s="1" t="s">
        <v>16</v>
      </c>
      <c r="H3924" s="1">
        <v>-0.4</v>
      </c>
      <c r="I3924" s="1">
        <v>0.26</v>
      </c>
      <c r="J3924" s="1">
        <v>0</v>
      </c>
      <c r="K3924" s="1" t="s">
        <v>70</v>
      </c>
      <c r="L3924" s="1">
        <v>2387</v>
      </c>
      <c r="M3924" s="1">
        <v>0.83</v>
      </c>
      <c r="N3924" s="1">
        <v>-0.15564</v>
      </c>
      <c r="O3924" s="5">
        <f>VLOOKUP(D3924,underlying!$D$76:$H$90,5,FALSE)</f>
        <v>-0.36</v>
      </c>
      <c r="P3924" s="2">
        <f>VLOOKUP(D3924,underlying!$D$76:$L$90,9,FALSE)</f>
        <v>42814</v>
      </c>
      <c r="Q3924" s="7">
        <f>IF(G3924="C",NormalCallSprd(O3924,H3924,M3924,(P3924-A3924)/365), NormalPutSprd(O3924,H3924,M3924,(P3924-A3924)/365))</f>
        <v>0.26068536934015973</v>
      </c>
      <c r="R3924" s="9">
        <f t="shared" si="157"/>
        <v>6.8536934015972495E-4</v>
      </c>
    </row>
    <row r="3925" spans="1:18" x14ac:dyDescent="0.2">
      <c r="A3925" s="2">
        <v>42622</v>
      </c>
      <c r="B3925" s="1" t="s">
        <v>59</v>
      </c>
      <c r="C3925" s="1" t="s">
        <v>14</v>
      </c>
      <c r="D3925" s="2">
        <v>42739</v>
      </c>
      <c r="E3925" s="2">
        <f t="shared" si="156"/>
        <v>42826</v>
      </c>
      <c r="F3925" s="1" t="s">
        <v>60</v>
      </c>
      <c r="G3925" s="1" t="s">
        <v>18</v>
      </c>
      <c r="H3925" s="1">
        <v>-0.4</v>
      </c>
      <c r="I3925" s="1">
        <v>0.22</v>
      </c>
      <c r="J3925" s="1">
        <v>0.02</v>
      </c>
      <c r="K3925" s="1" t="s">
        <v>70</v>
      </c>
      <c r="L3925" s="1">
        <v>2387</v>
      </c>
      <c r="M3925" s="1">
        <v>0.83</v>
      </c>
      <c r="N3925" s="1">
        <v>-0.11756</v>
      </c>
      <c r="O3925" s="5">
        <f>VLOOKUP(D3925,underlying!$D$76:$H$90,5,FALSE)</f>
        <v>-0.36</v>
      </c>
      <c r="P3925" s="2">
        <f>VLOOKUP(D3925,underlying!$D$76:$L$90,9,FALSE)</f>
        <v>42814</v>
      </c>
      <c r="Q3925" s="7">
        <f>IF(G3925="C",NormalCallSprd(O3925,H3925,M3925,(P3925-A3925)/365), NormalPutSprd(O3925,H3925,M3925,(P3925-A3925)/365))</f>
        <v>0.22068536934015973</v>
      </c>
      <c r="R3925" s="9">
        <f t="shared" si="157"/>
        <v>6.8536934015972495E-4</v>
      </c>
    </row>
    <row r="3926" spans="1:18" x14ac:dyDescent="0.2">
      <c r="A3926" s="2">
        <v>42622</v>
      </c>
      <c r="B3926" s="1" t="s">
        <v>59</v>
      </c>
      <c r="C3926" s="1" t="s">
        <v>14</v>
      </c>
      <c r="D3926" s="2">
        <v>42739</v>
      </c>
      <c r="E3926" s="2">
        <f t="shared" si="156"/>
        <v>42826</v>
      </c>
      <c r="F3926" s="1" t="s">
        <v>60</v>
      </c>
      <c r="G3926" s="1" t="s">
        <v>16</v>
      </c>
      <c r="H3926" s="1">
        <v>-0.35</v>
      </c>
      <c r="I3926" s="1">
        <v>0.23</v>
      </c>
      <c r="J3926" s="1">
        <v>-0.01</v>
      </c>
      <c r="K3926" s="1" t="s">
        <v>70</v>
      </c>
      <c r="L3926" s="1">
        <v>2387</v>
      </c>
      <c r="M3926" s="1">
        <v>0.82</v>
      </c>
      <c r="N3926" s="1">
        <v>-1.495E-2</v>
      </c>
      <c r="O3926" s="5">
        <f>VLOOKUP(D3926,underlying!$D$76:$H$90,5,FALSE)</f>
        <v>-0.36</v>
      </c>
      <c r="P3926" s="2">
        <f>VLOOKUP(D3926,underlying!$D$76:$L$90,9,FALSE)</f>
        <v>42814</v>
      </c>
      <c r="Q3926" s="7">
        <f>IF(G3926="C",NormalCallSprd(O3926,H3926,M3926,(P3926-A3926)/365), NormalPutSprd(O3926,H3926,M3926,(P3926-A3926)/365))</f>
        <v>0.23229549179894471</v>
      </c>
      <c r="R3926" s="9">
        <f t="shared" si="157"/>
        <v>2.2954917989446988E-3</v>
      </c>
    </row>
    <row r="3927" spans="1:18" x14ac:dyDescent="0.2">
      <c r="A3927" s="2">
        <v>42622</v>
      </c>
      <c r="B3927" s="1" t="s">
        <v>59</v>
      </c>
      <c r="C3927" s="1" t="s">
        <v>14</v>
      </c>
      <c r="D3927" s="2">
        <v>42739</v>
      </c>
      <c r="E3927" s="2">
        <f t="shared" si="156"/>
        <v>42826</v>
      </c>
      <c r="F3927" s="1" t="s">
        <v>60</v>
      </c>
      <c r="G3927" s="1" t="s">
        <v>18</v>
      </c>
      <c r="H3927" s="1">
        <v>-0.35</v>
      </c>
      <c r="I3927" s="1">
        <v>0.24</v>
      </c>
      <c r="J3927" s="1">
        <v>0.01</v>
      </c>
      <c r="K3927" s="1" t="s">
        <v>70</v>
      </c>
      <c r="L3927" s="1">
        <v>2387</v>
      </c>
      <c r="M3927" s="1">
        <v>0.82</v>
      </c>
      <c r="N3927" s="1">
        <v>-1.5299999999999999E-3</v>
      </c>
      <c r="O3927" s="5">
        <f>VLOOKUP(D3927,underlying!$D$76:$H$90,5,FALSE)</f>
        <v>-0.36</v>
      </c>
      <c r="P3927" s="2">
        <f>VLOOKUP(D3927,underlying!$D$76:$L$90,9,FALSE)</f>
        <v>42814</v>
      </c>
      <c r="Q3927" s="7">
        <f>IF(G3927="C",NormalCallSprd(O3927,H3927,M3927,(P3927-A3927)/365), NormalPutSprd(O3927,H3927,M3927,(P3927-A3927)/365))</f>
        <v>0.24229549179894472</v>
      </c>
      <c r="R3927" s="9">
        <f t="shared" si="157"/>
        <v>2.2954917989447265E-3</v>
      </c>
    </row>
    <row r="3928" spans="1:18" x14ac:dyDescent="0.2">
      <c r="A3928" s="2">
        <v>42622</v>
      </c>
      <c r="B3928" s="1" t="s">
        <v>59</v>
      </c>
      <c r="C3928" s="1" t="s">
        <v>14</v>
      </c>
      <c r="D3928" s="2">
        <v>42739</v>
      </c>
      <c r="E3928" s="2">
        <f t="shared" si="156"/>
        <v>42826</v>
      </c>
      <c r="F3928" s="1" t="s">
        <v>60</v>
      </c>
      <c r="G3928" s="1" t="s">
        <v>16</v>
      </c>
      <c r="H3928" s="1">
        <v>-0.3</v>
      </c>
      <c r="I3928" s="1">
        <v>0.2</v>
      </c>
      <c r="J3928" s="1">
        <v>-0.01</v>
      </c>
      <c r="K3928" s="1" t="s">
        <v>70</v>
      </c>
      <c r="L3928" s="1">
        <v>2387</v>
      </c>
      <c r="M3928" s="1">
        <v>0.79</v>
      </c>
      <c r="N3928" s="1">
        <v>0.20510999999999999</v>
      </c>
      <c r="O3928" s="5">
        <f>VLOOKUP(D3928,underlying!$D$76:$H$90,5,FALSE)</f>
        <v>-0.36</v>
      </c>
      <c r="P3928" s="2">
        <f>VLOOKUP(D3928,underlying!$D$76:$L$90,9,FALSE)</f>
        <v>42814</v>
      </c>
      <c r="Q3928" s="7">
        <f>IF(G3928="C",NormalCallSprd(O3928,H3928,M3928,(P3928-A3928)/365), NormalPutSprd(O3928,H3928,M3928,(P3928-A3928)/365))</f>
        <v>0.19983378250647202</v>
      </c>
      <c r="R3928" s="9">
        <f t="shared" si="157"/>
        <v>1.6621749352799253E-4</v>
      </c>
    </row>
    <row r="3929" spans="1:18" x14ac:dyDescent="0.2">
      <c r="A3929" s="2">
        <v>42622</v>
      </c>
      <c r="B3929" s="1" t="s">
        <v>59</v>
      </c>
      <c r="C3929" s="1" t="s">
        <v>14</v>
      </c>
      <c r="D3929" s="2">
        <v>42739</v>
      </c>
      <c r="E3929" s="2">
        <f t="shared" si="156"/>
        <v>42826</v>
      </c>
      <c r="F3929" s="1" t="s">
        <v>60</v>
      </c>
      <c r="G3929" s="1" t="s">
        <v>18</v>
      </c>
      <c r="H3929" s="1">
        <v>-0.3</v>
      </c>
      <c r="I3929" s="1">
        <v>0.26</v>
      </c>
      <c r="J3929" s="1">
        <v>0.01</v>
      </c>
      <c r="K3929" s="1" t="s">
        <v>70</v>
      </c>
      <c r="L3929" s="1">
        <v>2387</v>
      </c>
      <c r="M3929" s="1">
        <v>0.79</v>
      </c>
      <c r="N3929" s="1">
        <v>0.22799</v>
      </c>
      <c r="O3929" s="5">
        <f>VLOOKUP(D3929,underlying!$D$76:$H$90,5,FALSE)</f>
        <v>-0.36</v>
      </c>
      <c r="P3929" s="2">
        <f>VLOOKUP(D3929,underlying!$D$76:$L$90,9,FALSE)</f>
        <v>42814</v>
      </c>
      <c r="Q3929" s="7">
        <f>IF(G3929="C",NormalCallSprd(O3929,H3929,M3929,(P3929-A3929)/365), NormalPutSprd(O3929,H3929,M3929,(P3929-A3929)/365))</f>
        <v>0.25983378250647204</v>
      </c>
      <c r="R3929" s="9">
        <f t="shared" si="157"/>
        <v>1.6621749352796478E-4</v>
      </c>
    </row>
    <row r="3930" spans="1:18" x14ac:dyDescent="0.2">
      <c r="A3930" s="2">
        <v>42622</v>
      </c>
      <c r="B3930" s="1" t="s">
        <v>59</v>
      </c>
      <c r="C3930" s="1" t="s">
        <v>14</v>
      </c>
      <c r="D3930" s="2">
        <v>42739</v>
      </c>
      <c r="E3930" s="2">
        <f t="shared" si="156"/>
        <v>42826</v>
      </c>
      <c r="F3930" s="1" t="s">
        <v>60</v>
      </c>
      <c r="G3930" s="1" t="s">
        <v>16</v>
      </c>
      <c r="H3930" s="1">
        <v>-0.25</v>
      </c>
      <c r="I3930" s="1">
        <v>0.18</v>
      </c>
      <c r="J3930" s="1">
        <v>0</v>
      </c>
      <c r="K3930" s="1" t="s">
        <v>70</v>
      </c>
      <c r="L3930" s="1">
        <v>2387</v>
      </c>
      <c r="M3930" s="1">
        <v>0.8</v>
      </c>
      <c r="N3930" s="1">
        <v>0.25479000000000002</v>
      </c>
      <c r="O3930" s="5">
        <f>VLOOKUP(D3930,underlying!$D$76:$H$90,5,FALSE)</f>
        <v>-0.36</v>
      </c>
      <c r="P3930" s="2">
        <f>VLOOKUP(D3930,underlying!$D$76:$L$90,9,FALSE)</f>
        <v>42814</v>
      </c>
      <c r="Q3930" s="7">
        <f>IF(G3930="C",NormalCallSprd(O3930,H3930,M3930,(P3930-A3930)/365), NormalPutSprd(O3930,H3930,M3930,(P3930-A3930)/365))</f>
        <v>0.18062245000445595</v>
      </c>
      <c r="R3930" s="9">
        <f t="shared" si="157"/>
        <v>6.2245000445595999E-4</v>
      </c>
    </row>
    <row r="3931" spans="1:18" x14ac:dyDescent="0.2">
      <c r="A3931" s="2">
        <v>42622</v>
      </c>
      <c r="B3931" s="1" t="s">
        <v>59</v>
      </c>
      <c r="C3931" s="1" t="s">
        <v>14</v>
      </c>
      <c r="D3931" s="2">
        <v>42739</v>
      </c>
      <c r="E3931" s="2">
        <f t="shared" si="156"/>
        <v>42826</v>
      </c>
      <c r="F3931" s="1" t="s">
        <v>60</v>
      </c>
      <c r="G3931" s="1" t="s">
        <v>18</v>
      </c>
      <c r="H3931" s="1">
        <v>-0.25</v>
      </c>
      <c r="I3931" s="1">
        <v>0.28999999999999998</v>
      </c>
      <c r="J3931" s="1">
        <v>0.02</v>
      </c>
      <c r="K3931" s="1" t="s">
        <v>70</v>
      </c>
      <c r="L3931" s="1">
        <v>2387</v>
      </c>
      <c r="M3931" s="1">
        <v>0.8</v>
      </c>
      <c r="N3931" s="1">
        <v>0.26834000000000002</v>
      </c>
      <c r="O3931" s="5">
        <f>VLOOKUP(D3931,underlying!$D$76:$H$90,5,FALSE)</f>
        <v>-0.36</v>
      </c>
      <c r="P3931" s="2">
        <f>VLOOKUP(D3931,underlying!$D$76:$L$90,9,FALSE)</f>
        <v>42814</v>
      </c>
      <c r="Q3931" s="7">
        <f>IF(G3931="C",NormalCallSprd(O3931,H3931,M3931,(P3931-A3931)/365), NormalPutSprd(O3931,H3931,M3931,(P3931-A3931)/365))</f>
        <v>0.29062245000445591</v>
      </c>
      <c r="R3931" s="9">
        <f t="shared" si="157"/>
        <v>6.2245000445593224E-4</v>
      </c>
    </row>
    <row r="3932" spans="1:18" x14ac:dyDescent="0.2">
      <c r="A3932" s="2">
        <v>42622</v>
      </c>
      <c r="B3932" s="1" t="s">
        <v>59</v>
      </c>
      <c r="C3932" s="1" t="s">
        <v>14</v>
      </c>
      <c r="D3932" s="2">
        <v>42739</v>
      </c>
      <c r="E3932" s="2">
        <f t="shared" si="156"/>
        <v>42826</v>
      </c>
      <c r="F3932" s="1" t="s">
        <v>60</v>
      </c>
      <c r="G3932" s="1" t="s">
        <v>16</v>
      </c>
      <c r="H3932" s="1">
        <v>-0.2</v>
      </c>
      <c r="I3932" s="1">
        <v>0.16</v>
      </c>
      <c r="J3932" s="1">
        <v>0</v>
      </c>
      <c r="K3932" s="1" t="s">
        <v>70</v>
      </c>
      <c r="L3932" s="1">
        <v>2387</v>
      </c>
      <c r="M3932" s="1">
        <v>0.8</v>
      </c>
      <c r="N3932" s="1">
        <v>0.28449999999999998</v>
      </c>
      <c r="O3932" s="5">
        <f>VLOOKUP(D3932,underlying!$D$76:$H$90,5,FALSE)</f>
        <v>-0.36</v>
      </c>
      <c r="P3932" s="2">
        <f>VLOOKUP(D3932,underlying!$D$76:$L$90,9,FALSE)</f>
        <v>42814</v>
      </c>
      <c r="Q3932" s="7">
        <f>IF(G3932="C",NormalCallSprd(O3932,H3932,M3932,(P3932-A3932)/365), NormalPutSprd(O3932,H3932,M3932,(P3932-A3932)/365))</f>
        <v>0.16022060283299344</v>
      </c>
      <c r="R3932" s="9">
        <f t="shared" si="157"/>
        <v>2.2060283299343841E-4</v>
      </c>
    </row>
    <row r="3933" spans="1:18" x14ac:dyDescent="0.2">
      <c r="A3933" s="2">
        <v>42622</v>
      </c>
      <c r="B3933" s="1" t="s">
        <v>59</v>
      </c>
      <c r="C3933" s="1" t="s">
        <v>14</v>
      </c>
      <c r="D3933" s="2">
        <v>42739</v>
      </c>
      <c r="E3933" s="2">
        <f t="shared" si="156"/>
        <v>42826</v>
      </c>
      <c r="F3933" s="1" t="s">
        <v>60</v>
      </c>
      <c r="G3933" s="1" t="s">
        <v>18</v>
      </c>
      <c r="H3933" s="1">
        <v>-0.2</v>
      </c>
      <c r="I3933" s="1">
        <v>0.32</v>
      </c>
      <c r="J3933" s="1">
        <v>0.02</v>
      </c>
      <c r="K3933" s="1" t="s">
        <v>70</v>
      </c>
      <c r="L3933" s="1">
        <v>2387</v>
      </c>
      <c r="M3933" s="1">
        <v>0.8</v>
      </c>
      <c r="N3933" s="1">
        <v>0.32291999999999998</v>
      </c>
      <c r="O3933" s="5">
        <f>VLOOKUP(D3933,underlying!$D$76:$H$90,5,FALSE)</f>
        <v>-0.36</v>
      </c>
      <c r="P3933" s="2">
        <f>VLOOKUP(D3933,underlying!$D$76:$L$90,9,FALSE)</f>
        <v>42814</v>
      </c>
      <c r="Q3933" s="7">
        <f>IF(G3933="C",NormalCallSprd(O3933,H3933,M3933,(P3933-A3933)/365), NormalPutSprd(O3933,H3933,M3933,(P3933-A3933)/365))</f>
        <v>0.32022060283299342</v>
      </c>
      <c r="R3933" s="9">
        <f t="shared" si="157"/>
        <v>2.2060283299341066E-4</v>
      </c>
    </row>
    <row r="3934" spans="1:18" x14ac:dyDescent="0.2">
      <c r="A3934" s="2">
        <v>42622</v>
      </c>
      <c r="B3934" s="1" t="s">
        <v>59</v>
      </c>
      <c r="C3934" s="1" t="s">
        <v>14</v>
      </c>
      <c r="D3934" s="2">
        <v>42739</v>
      </c>
      <c r="E3934" s="2">
        <f t="shared" si="156"/>
        <v>42826</v>
      </c>
      <c r="F3934" s="1" t="s">
        <v>60</v>
      </c>
      <c r="G3934" s="1" t="s">
        <v>16</v>
      </c>
      <c r="H3934" s="1">
        <v>-0.15</v>
      </c>
      <c r="I3934" s="1">
        <v>0.15</v>
      </c>
      <c r="J3934" s="1">
        <v>-0.01</v>
      </c>
      <c r="K3934" s="1" t="s">
        <v>70</v>
      </c>
      <c r="L3934" s="1">
        <v>2387</v>
      </c>
      <c r="M3934" s="1">
        <v>0.84</v>
      </c>
      <c r="N3934" s="1">
        <v>0.35622999999999999</v>
      </c>
      <c r="O3934" s="5">
        <f>VLOOKUP(D3934,underlying!$D$76:$H$90,5,FALSE)</f>
        <v>-0.36</v>
      </c>
      <c r="P3934" s="2">
        <f>VLOOKUP(D3934,underlying!$D$76:$L$90,9,FALSE)</f>
        <v>42814</v>
      </c>
      <c r="Q3934" s="7">
        <f>IF(G3934="C",NormalCallSprd(O3934,H3934,M3934,(P3934-A3934)/365), NormalPutSprd(O3934,H3934,M3934,(P3934-A3934)/365))</f>
        <v>0.15234648269239276</v>
      </c>
      <c r="R3934" s="9">
        <f t="shared" si="157"/>
        <v>2.3464826923927651E-3</v>
      </c>
    </row>
    <row r="3935" spans="1:18" x14ac:dyDescent="0.2">
      <c r="A3935" s="2">
        <v>42622</v>
      </c>
      <c r="B3935" s="1" t="s">
        <v>59</v>
      </c>
      <c r="C3935" s="1" t="s">
        <v>14</v>
      </c>
      <c r="D3935" s="2">
        <v>42739</v>
      </c>
      <c r="E3935" s="2">
        <f t="shared" si="156"/>
        <v>42826</v>
      </c>
      <c r="F3935" s="1" t="s">
        <v>60</v>
      </c>
      <c r="G3935" s="1" t="s">
        <v>18</v>
      </c>
      <c r="H3935" s="1">
        <v>-0.15</v>
      </c>
      <c r="I3935" s="1">
        <v>0.36</v>
      </c>
      <c r="J3935" s="1">
        <v>0.01</v>
      </c>
      <c r="K3935" s="1" t="s">
        <v>70</v>
      </c>
      <c r="L3935" s="1">
        <v>2387</v>
      </c>
      <c r="M3935" s="1">
        <v>0.84</v>
      </c>
      <c r="N3935" s="1">
        <v>0.39439999999999997</v>
      </c>
      <c r="O3935" s="5">
        <f>VLOOKUP(D3935,underlying!$D$76:$H$90,5,FALSE)</f>
        <v>-0.36</v>
      </c>
      <c r="P3935" s="2">
        <f>VLOOKUP(D3935,underlying!$D$76:$L$90,9,FALSE)</f>
        <v>42814</v>
      </c>
      <c r="Q3935" s="7">
        <f>IF(G3935="C",NormalCallSprd(O3935,H3935,M3935,(P3935-A3935)/365), NormalPutSprd(O3935,H3935,M3935,(P3935-A3935)/365))</f>
        <v>0.36234648269239272</v>
      </c>
      <c r="R3935" s="9">
        <f t="shared" si="157"/>
        <v>2.3464826923927373E-3</v>
      </c>
    </row>
    <row r="3936" spans="1:18" x14ac:dyDescent="0.2">
      <c r="A3936" s="2">
        <v>42622</v>
      </c>
      <c r="B3936" s="1" t="s">
        <v>59</v>
      </c>
      <c r="C3936" s="1" t="s">
        <v>14</v>
      </c>
      <c r="D3936" s="2">
        <v>42739</v>
      </c>
      <c r="E3936" s="2">
        <f t="shared" si="156"/>
        <v>42826</v>
      </c>
      <c r="F3936" s="1" t="s">
        <v>60</v>
      </c>
      <c r="G3936" s="1" t="s">
        <v>16</v>
      </c>
      <c r="H3936" s="1">
        <v>-0.1</v>
      </c>
      <c r="I3936" s="1">
        <v>0.14000000000000001</v>
      </c>
      <c r="J3936" s="1">
        <v>-0.01</v>
      </c>
      <c r="K3936" s="1" t="s">
        <v>70</v>
      </c>
      <c r="L3936" s="1">
        <v>2387</v>
      </c>
      <c r="M3936" s="1">
        <v>0.85</v>
      </c>
      <c r="N3936" s="1">
        <v>0.43176999999999999</v>
      </c>
      <c r="O3936" s="5">
        <f>VLOOKUP(D3936,underlying!$D$76:$H$90,5,FALSE)</f>
        <v>-0.36</v>
      </c>
      <c r="P3936" s="2">
        <f>VLOOKUP(D3936,underlying!$D$76:$L$90,9,FALSE)</f>
        <v>42814</v>
      </c>
      <c r="Q3936" s="7">
        <f>IF(G3936="C",NormalCallSprd(O3936,H3936,M3936,(P3936-A3936)/365), NormalPutSprd(O3936,H3936,M3936,(P3936-A3936)/365))</f>
        <v>0.13749650050602255</v>
      </c>
      <c r="R3936" s="9">
        <f t="shared" si="157"/>
        <v>2.5034994939774624E-3</v>
      </c>
    </row>
    <row r="3937" spans="1:18" x14ac:dyDescent="0.2">
      <c r="A3937" s="2">
        <v>42622</v>
      </c>
      <c r="B3937" s="1" t="s">
        <v>59</v>
      </c>
      <c r="C3937" s="1" t="s">
        <v>14</v>
      </c>
      <c r="D3937" s="2">
        <v>42739</v>
      </c>
      <c r="E3937" s="2">
        <f t="shared" si="156"/>
        <v>42826</v>
      </c>
      <c r="F3937" s="1" t="s">
        <v>60</v>
      </c>
      <c r="G3937" s="1" t="s">
        <v>18</v>
      </c>
      <c r="H3937" s="1">
        <v>-0.1</v>
      </c>
      <c r="I3937" s="1">
        <v>0.4</v>
      </c>
      <c r="J3937" s="1">
        <v>0.01</v>
      </c>
      <c r="K3937" s="1" t="s">
        <v>70</v>
      </c>
      <c r="L3937" s="1">
        <v>2387</v>
      </c>
      <c r="M3937" s="1">
        <v>0.85</v>
      </c>
      <c r="N3937" s="1">
        <v>0.46884999999999999</v>
      </c>
      <c r="O3937" s="5">
        <f>VLOOKUP(D3937,underlying!$D$76:$H$90,5,FALSE)</f>
        <v>-0.36</v>
      </c>
      <c r="P3937" s="2">
        <f>VLOOKUP(D3937,underlying!$D$76:$L$90,9,FALSE)</f>
        <v>42814</v>
      </c>
      <c r="Q3937" s="7">
        <f>IF(G3937="C",NormalCallSprd(O3937,H3937,M3937,(P3937-A3937)/365), NormalPutSprd(O3937,H3937,M3937,(P3937-A3937)/365))</f>
        <v>0.39749650050602253</v>
      </c>
      <c r="R3937" s="9">
        <f t="shared" si="157"/>
        <v>2.5034994939774902E-3</v>
      </c>
    </row>
    <row r="3938" spans="1:18" x14ac:dyDescent="0.2">
      <c r="A3938" s="2">
        <v>42622</v>
      </c>
      <c r="B3938" s="1" t="s">
        <v>59</v>
      </c>
      <c r="C3938" s="1" t="s">
        <v>14</v>
      </c>
      <c r="D3938" s="2">
        <v>42739</v>
      </c>
      <c r="E3938" s="2">
        <f t="shared" si="156"/>
        <v>42826</v>
      </c>
      <c r="F3938" s="1" t="s">
        <v>60</v>
      </c>
      <c r="G3938" s="1" t="s">
        <v>16</v>
      </c>
      <c r="H3938" s="1">
        <v>-0.05</v>
      </c>
      <c r="I3938" s="1">
        <v>0.12</v>
      </c>
      <c r="J3938" s="1">
        <v>-0.02</v>
      </c>
      <c r="K3938" s="1" t="s">
        <v>70</v>
      </c>
      <c r="L3938" s="1">
        <v>2387</v>
      </c>
      <c r="M3938" s="1">
        <v>0.84</v>
      </c>
      <c r="N3938" s="1">
        <v>0.50670999999999999</v>
      </c>
      <c r="O3938" s="5">
        <f>VLOOKUP(D3938,underlying!$D$76:$H$90,5,FALSE)</f>
        <v>-0.36</v>
      </c>
      <c r="P3938" s="2">
        <f>VLOOKUP(D3938,underlying!$D$76:$L$90,9,FALSE)</f>
        <v>42814</v>
      </c>
      <c r="Q3938" s="7">
        <f>IF(G3938="C",NormalCallSprd(O3938,H3938,M3938,(P3938-A3938)/365), NormalPutSprd(O3938,H3938,M3938,(P3938-A3938)/365))</f>
        <v>0.11885156390176946</v>
      </c>
      <c r="R3938" s="9">
        <f t="shared" si="157"/>
        <v>1.1484360982305375E-3</v>
      </c>
    </row>
    <row r="3939" spans="1:18" x14ac:dyDescent="0.2">
      <c r="A3939" s="2">
        <v>42622</v>
      </c>
      <c r="B3939" s="1" t="s">
        <v>59</v>
      </c>
      <c r="C3939" s="1" t="s">
        <v>14</v>
      </c>
      <c r="D3939" s="2">
        <v>42739</v>
      </c>
      <c r="E3939" s="2">
        <f t="shared" si="156"/>
        <v>42826</v>
      </c>
      <c r="F3939" s="1" t="s">
        <v>60</v>
      </c>
      <c r="G3939" s="1" t="s">
        <v>18</v>
      </c>
      <c r="H3939" s="1">
        <v>-0.05</v>
      </c>
      <c r="I3939" s="1">
        <v>0.43</v>
      </c>
      <c r="J3939" s="1">
        <v>0.01</v>
      </c>
      <c r="K3939" s="1" t="s">
        <v>70</v>
      </c>
      <c r="L3939" s="1">
        <v>2387</v>
      </c>
      <c r="M3939" s="1">
        <v>0.84</v>
      </c>
      <c r="N3939" s="1">
        <v>0.54456000000000004</v>
      </c>
      <c r="O3939" s="5">
        <f>VLOOKUP(D3939,underlying!$D$76:$H$90,5,FALSE)</f>
        <v>-0.36</v>
      </c>
      <c r="P3939" s="2">
        <f>VLOOKUP(D3939,underlying!$D$76:$L$90,9,FALSE)</f>
        <v>42814</v>
      </c>
      <c r="Q3939" s="7">
        <f>IF(G3939="C",NormalCallSprd(O3939,H3939,M3939,(P3939-A3939)/365), NormalPutSprd(O3939,H3939,M3939,(P3939-A3939)/365))</f>
        <v>0.42885156390176943</v>
      </c>
      <c r="R3939" s="9">
        <f t="shared" si="157"/>
        <v>1.1484360982305652E-3</v>
      </c>
    </row>
    <row r="3940" spans="1:18" x14ac:dyDescent="0.2">
      <c r="A3940" s="2">
        <v>42622</v>
      </c>
      <c r="B3940" s="1" t="s">
        <v>59</v>
      </c>
      <c r="C3940" s="1" t="s">
        <v>14</v>
      </c>
      <c r="D3940" s="2">
        <v>42740</v>
      </c>
      <c r="E3940" s="2">
        <f t="shared" si="156"/>
        <v>42856</v>
      </c>
      <c r="F3940" s="1" t="s">
        <v>60</v>
      </c>
      <c r="G3940" s="1" t="s">
        <v>16</v>
      </c>
      <c r="H3940" s="1">
        <v>-3</v>
      </c>
      <c r="I3940" s="1">
        <v>2.7</v>
      </c>
      <c r="J3940" s="1">
        <v>-0.03</v>
      </c>
      <c r="K3940" s="1" t="s">
        <v>71</v>
      </c>
      <c r="L3940" s="1">
        <v>2387</v>
      </c>
      <c r="M3940" s="1">
        <v>1.19</v>
      </c>
      <c r="N3940" s="1">
        <v>0.58126</v>
      </c>
      <c r="O3940" s="5">
        <f>VLOOKUP(D3940,underlying!$D$76:$H$90,5,FALSE)</f>
        <v>-0.28999999999999998</v>
      </c>
      <c r="P3940" s="2">
        <f>VLOOKUP(D3940,underlying!$D$76:$L$90,9,FALSE)</f>
        <v>42844</v>
      </c>
      <c r="Q3940" s="7">
        <f>IF(G3940="C",NormalCallSprd(O3940,H3940,M3940,(P3940-A3940)/365), NormalPutSprd(O3940,H3940,M3940,(P3940-A3940)/365))</f>
        <v>2.7104690560111475</v>
      </c>
      <c r="R3940" s="9">
        <f t="shared" si="157"/>
        <v>1.0469056011147337E-2</v>
      </c>
    </row>
    <row r="3941" spans="1:18" x14ac:dyDescent="0.2">
      <c r="A3941" s="2">
        <v>42622</v>
      </c>
      <c r="B3941" s="1" t="s">
        <v>59</v>
      </c>
      <c r="C3941" s="1" t="s">
        <v>14</v>
      </c>
      <c r="D3941" s="2">
        <v>42740</v>
      </c>
      <c r="E3941" s="2">
        <f t="shared" si="156"/>
        <v>42856</v>
      </c>
      <c r="F3941" s="1" t="s">
        <v>60</v>
      </c>
      <c r="G3941" s="1" t="s">
        <v>18</v>
      </c>
      <c r="H3941" s="1">
        <v>-3</v>
      </c>
      <c r="I3941" s="1">
        <v>0.01</v>
      </c>
      <c r="J3941" s="1">
        <v>0</v>
      </c>
      <c r="K3941" s="1" t="s">
        <v>71</v>
      </c>
      <c r="L3941" s="1">
        <v>2387</v>
      </c>
      <c r="M3941" s="1">
        <v>1.19</v>
      </c>
      <c r="N3941" s="1">
        <v>0.61738000000000004</v>
      </c>
      <c r="O3941" s="5">
        <f>VLOOKUP(D3941,underlying!$D$76:$H$90,5,FALSE)</f>
        <v>-0.28999999999999998</v>
      </c>
      <c r="P3941" s="2">
        <f>VLOOKUP(D3941,underlying!$D$76:$L$90,9,FALSE)</f>
        <v>42844</v>
      </c>
      <c r="Q3941" s="7">
        <f>IF(G3941="C",NormalCallSprd(O3941,H3941,M3941,(P3941-A3941)/365), NormalPutSprd(O3941,H3941,M3941,(P3941-A3941)/365))</f>
        <v>4.6905601114748731E-4</v>
      </c>
      <c r="R3941" s="9">
        <f t="shared" si="157"/>
        <v>9.5309439888525121E-3</v>
      </c>
    </row>
    <row r="3942" spans="1:18" x14ac:dyDescent="0.2">
      <c r="A3942" s="2">
        <v>42622</v>
      </c>
      <c r="B3942" s="1" t="s">
        <v>59</v>
      </c>
      <c r="C3942" s="1" t="s">
        <v>14</v>
      </c>
      <c r="D3942" s="2">
        <v>42740</v>
      </c>
      <c r="E3942" s="2">
        <f t="shared" si="156"/>
        <v>42856</v>
      </c>
      <c r="F3942" s="1" t="s">
        <v>60</v>
      </c>
      <c r="G3942" s="1" t="s">
        <v>16</v>
      </c>
      <c r="H3942" s="1">
        <v>-2</v>
      </c>
      <c r="I3942" s="1">
        <v>1.71</v>
      </c>
      <c r="J3942" s="1">
        <v>-0.03</v>
      </c>
      <c r="K3942" s="1" t="s">
        <v>71</v>
      </c>
      <c r="L3942" s="1">
        <v>2387</v>
      </c>
      <c r="M3942" s="1">
        <v>1.05</v>
      </c>
      <c r="N3942" s="1">
        <v>0.65268000000000004</v>
      </c>
      <c r="O3942" s="5">
        <f>VLOOKUP(D3942,underlying!$D$76:$H$90,5,FALSE)</f>
        <v>-0.28999999999999998</v>
      </c>
      <c r="P3942" s="2">
        <f>VLOOKUP(D3942,underlying!$D$76:$L$90,9,FALSE)</f>
        <v>42844</v>
      </c>
      <c r="Q3942" s="7">
        <f>IF(G3942="C",NormalCallSprd(O3942,H3942,M3942,(P3942-A3942)/365), NormalPutSprd(O3942,H3942,M3942,(P3942-A3942)/365))</f>
        <v>1.7154715711209105</v>
      </c>
      <c r="R3942" s="9">
        <f t="shared" si="157"/>
        <v>5.4715711209105677E-3</v>
      </c>
    </row>
    <row r="3943" spans="1:18" x14ac:dyDescent="0.2">
      <c r="A3943" s="2">
        <v>42622</v>
      </c>
      <c r="B3943" s="1" t="s">
        <v>59</v>
      </c>
      <c r="C3943" s="1" t="s">
        <v>14</v>
      </c>
      <c r="D3943" s="2">
        <v>42740</v>
      </c>
      <c r="E3943" s="2">
        <f t="shared" si="156"/>
        <v>42856</v>
      </c>
      <c r="F3943" s="1" t="s">
        <v>60</v>
      </c>
      <c r="G3943" s="1" t="s">
        <v>18</v>
      </c>
      <c r="H3943" s="1">
        <v>-2</v>
      </c>
      <c r="I3943" s="1">
        <v>0.01</v>
      </c>
      <c r="J3943" s="1">
        <v>0</v>
      </c>
      <c r="K3943" s="1" t="s">
        <v>71</v>
      </c>
      <c r="L3943" s="1">
        <v>2387</v>
      </c>
      <c r="M3943" s="1">
        <v>1.05</v>
      </c>
      <c r="N3943" s="1">
        <v>0.68669000000000002</v>
      </c>
      <c r="O3943" s="5">
        <f>VLOOKUP(D3943,underlying!$D$76:$H$90,5,FALSE)</f>
        <v>-0.28999999999999998</v>
      </c>
      <c r="P3943" s="2">
        <f>VLOOKUP(D3943,underlying!$D$76:$L$90,9,FALSE)</f>
        <v>42844</v>
      </c>
      <c r="Q3943" s="7">
        <f>IF(G3943="C",NormalCallSprd(O3943,H3943,M3943,(P3943-A3943)/365), NormalPutSprd(O3943,H3943,M3943,(P3943-A3943)/365))</f>
        <v>5.4715711209106536E-3</v>
      </c>
      <c r="R3943" s="9">
        <f t="shared" si="157"/>
        <v>4.5284288790893466E-3</v>
      </c>
    </row>
    <row r="3944" spans="1:18" x14ac:dyDescent="0.2">
      <c r="A3944" s="2">
        <v>42622</v>
      </c>
      <c r="B3944" s="1" t="s">
        <v>59</v>
      </c>
      <c r="C3944" s="1" t="s">
        <v>14</v>
      </c>
      <c r="D3944" s="2">
        <v>42740</v>
      </c>
      <c r="E3944" s="2">
        <f t="shared" si="156"/>
        <v>42856</v>
      </c>
      <c r="F3944" s="1" t="s">
        <v>60</v>
      </c>
      <c r="G3944" s="1" t="s">
        <v>16</v>
      </c>
      <c r="H3944" s="1">
        <v>-1</v>
      </c>
      <c r="I3944" s="1">
        <v>0.76</v>
      </c>
      <c r="J3944" s="1">
        <v>-0.02</v>
      </c>
      <c r="K3944" s="1" t="s">
        <v>71</v>
      </c>
      <c r="L3944" s="1">
        <v>2387</v>
      </c>
      <c r="M3944" s="1">
        <v>0.88</v>
      </c>
      <c r="N3944" s="1">
        <v>0.71916000000000002</v>
      </c>
      <c r="O3944" s="5">
        <f>VLOOKUP(D3944,underlying!$D$76:$H$90,5,FALSE)</f>
        <v>-0.28999999999999998</v>
      </c>
      <c r="P3944" s="2">
        <f>VLOOKUP(D3944,underlying!$D$76:$L$90,9,FALSE)</f>
        <v>42844</v>
      </c>
      <c r="Q3944" s="7">
        <f>IF(G3944="C",NormalCallSprd(O3944,H3944,M3944,(P3944-A3944)/365), NormalPutSprd(O3944,H3944,M3944,(P3944-A3944)/365))</f>
        <v>0.76351668709571796</v>
      </c>
      <c r="R3944" s="9">
        <f t="shared" si="157"/>
        <v>3.5166870957179519E-3</v>
      </c>
    </row>
    <row r="3945" spans="1:18" x14ac:dyDescent="0.2">
      <c r="A3945" s="2">
        <v>42622</v>
      </c>
      <c r="B3945" s="1" t="s">
        <v>59</v>
      </c>
      <c r="C3945" s="1" t="s">
        <v>14</v>
      </c>
      <c r="D3945" s="2">
        <v>42740</v>
      </c>
      <c r="E3945" s="2">
        <f t="shared" si="156"/>
        <v>42856</v>
      </c>
      <c r="F3945" s="1" t="s">
        <v>60</v>
      </c>
      <c r="G3945" s="1" t="s">
        <v>18</v>
      </c>
      <c r="H3945" s="1">
        <v>-1</v>
      </c>
      <c r="I3945" s="1">
        <v>0.06</v>
      </c>
      <c r="J3945" s="1">
        <v>0</v>
      </c>
      <c r="K3945" s="1" t="s">
        <v>71</v>
      </c>
      <c r="L3945" s="1">
        <v>2387</v>
      </c>
      <c r="M3945" s="1">
        <v>0.88</v>
      </c>
      <c r="N3945" s="1">
        <v>0.74988999999999995</v>
      </c>
      <c r="O3945" s="5">
        <f>VLOOKUP(D3945,underlying!$D$76:$H$90,5,FALSE)</f>
        <v>-0.28999999999999998</v>
      </c>
      <c r="P3945" s="2">
        <f>VLOOKUP(D3945,underlying!$D$76:$L$90,9,FALSE)</f>
        <v>42844</v>
      </c>
      <c r="Q3945" s="7">
        <f>IF(G3945="C",NormalCallSprd(O3945,H3945,M3945,(P3945-A3945)/365), NormalPutSprd(O3945,H3945,M3945,(P3945-A3945)/365))</f>
        <v>5.3516687095718003E-2</v>
      </c>
      <c r="R3945" s="9">
        <f t="shared" si="157"/>
        <v>6.4833129042819945E-3</v>
      </c>
    </row>
    <row r="3946" spans="1:18" x14ac:dyDescent="0.2">
      <c r="A3946" s="2">
        <v>42622</v>
      </c>
      <c r="B3946" s="1" t="s">
        <v>59</v>
      </c>
      <c r="C3946" s="1" t="s">
        <v>14</v>
      </c>
      <c r="D3946" s="2">
        <v>42740</v>
      </c>
      <c r="E3946" s="2">
        <f t="shared" si="156"/>
        <v>42856</v>
      </c>
      <c r="F3946" s="1" t="s">
        <v>60</v>
      </c>
      <c r="G3946" s="1" t="s">
        <v>16</v>
      </c>
      <c r="H3946" s="1">
        <v>-0.85</v>
      </c>
      <c r="I3946" s="1">
        <v>0.64</v>
      </c>
      <c r="J3946" s="1">
        <v>0</v>
      </c>
      <c r="K3946" s="1" t="s">
        <v>71</v>
      </c>
      <c r="L3946" s="1">
        <v>2387</v>
      </c>
      <c r="M3946" s="1">
        <v>0.87</v>
      </c>
      <c r="N3946" s="1">
        <v>0.77873000000000003</v>
      </c>
      <c r="O3946" s="5">
        <f>VLOOKUP(D3946,underlying!$D$76:$H$90,5,FALSE)</f>
        <v>-0.28999999999999998</v>
      </c>
      <c r="P3946" s="2">
        <f>VLOOKUP(D3946,underlying!$D$76:$L$90,9,FALSE)</f>
        <v>42844</v>
      </c>
      <c r="Q3946" s="7">
        <f>IF(G3946="C",NormalCallSprd(O3946,H3946,M3946,(P3946-A3946)/365), NormalPutSprd(O3946,H3946,M3946,(P3946-A3946)/365))</f>
        <v>0.63797918161561162</v>
      </c>
      <c r="R3946" s="9">
        <f t="shared" si="157"/>
        <v>2.0208183843883898E-3</v>
      </c>
    </row>
    <row r="3947" spans="1:18" x14ac:dyDescent="0.2">
      <c r="A3947" s="2">
        <v>42622</v>
      </c>
      <c r="B3947" s="1" t="s">
        <v>59</v>
      </c>
      <c r="C3947" s="1" t="s">
        <v>14</v>
      </c>
      <c r="D3947" s="2">
        <v>42740</v>
      </c>
      <c r="E3947" s="2">
        <f t="shared" si="156"/>
        <v>42856</v>
      </c>
      <c r="F3947" s="1" t="s">
        <v>60</v>
      </c>
      <c r="G3947" s="1" t="s">
        <v>18</v>
      </c>
      <c r="H3947" s="1">
        <v>-0.85</v>
      </c>
      <c r="I3947" s="1">
        <v>0.08</v>
      </c>
      <c r="J3947" s="1">
        <v>0.02</v>
      </c>
      <c r="K3947" s="1" t="s">
        <v>71</v>
      </c>
      <c r="L3947" s="1">
        <v>2387</v>
      </c>
      <c r="M3947" s="1">
        <v>0.87</v>
      </c>
      <c r="N3947" s="1">
        <v>0.80554000000000003</v>
      </c>
      <c r="O3947" s="5">
        <f>VLOOKUP(D3947,underlying!$D$76:$H$90,5,FALSE)</f>
        <v>-0.28999999999999998</v>
      </c>
      <c r="P3947" s="2">
        <f>VLOOKUP(D3947,underlying!$D$76:$L$90,9,FALSE)</f>
        <v>42844</v>
      </c>
      <c r="Q3947" s="7">
        <f>IF(G3947="C",NormalCallSprd(O3947,H3947,M3947,(P3947-A3947)/365), NormalPutSprd(O3947,H3947,M3947,(P3947-A3947)/365))</f>
        <v>7.7979181615611667E-2</v>
      </c>
      <c r="R3947" s="9">
        <f t="shared" si="157"/>
        <v>2.0208183843883343E-3</v>
      </c>
    </row>
    <row r="3948" spans="1:18" x14ac:dyDescent="0.2">
      <c r="A3948" s="2">
        <v>42622</v>
      </c>
      <c r="B3948" s="1" t="s">
        <v>59</v>
      </c>
      <c r="C3948" s="1" t="s">
        <v>14</v>
      </c>
      <c r="D3948" s="2">
        <v>42740</v>
      </c>
      <c r="E3948" s="2">
        <f t="shared" si="156"/>
        <v>42856</v>
      </c>
      <c r="F3948" s="1" t="s">
        <v>60</v>
      </c>
      <c r="G3948" s="1" t="s">
        <v>16</v>
      </c>
      <c r="H3948" s="1">
        <v>-0.8</v>
      </c>
      <c r="I3948" s="1">
        <v>0.59</v>
      </c>
      <c r="J3948" s="1">
        <v>-0.01</v>
      </c>
      <c r="K3948" s="1" t="s">
        <v>71</v>
      </c>
      <c r="L3948" s="1">
        <v>2387</v>
      </c>
      <c r="M3948" s="1">
        <v>0.86</v>
      </c>
      <c r="N3948" s="1">
        <v>0.99107000000000001</v>
      </c>
      <c r="O3948" s="5">
        <f>VLOOKUP(D3948,underlying!$D$76:$H$90,5,FALSE)</f>
        <v>-0.28999999999999998</v>
      </c>
      <c r="P3948" s="2">
        <f>VLOOKUP(D3948,underlying!$D$76:$L$90,9,FALSE)</f>
        <v>42844</v>
      </c>
      <c r="Q3948" s="7">
        <f>IF(G3948="C",NormalCallSprd(O3948,H3948,M3948,(P3948-A3948)/365), NormalPutSprd(O3948,H3948,M3948,(P3948-A3948)/365))</f>
        <v>0.59640391165018181</v>
      </c>
      <c r="R3948" s="9">
        <f t="shared" si="157"/>
        <v>6.4039116501818372E-3</v>
      </c>
    </row>
    <row r="3949" spans="1:18" x14ac:dyDescent="0.2">
      <c r="A3949" s="2">
        <v>42622</v>
      </c>
      <c r="B3949" s="1" t="s">
        <v>59</v>
      </c>
      <c r="C3949" s="1" t="s">
        <v>14</v>
      </c>
      <c r="D3949" s="2">
        <v>42740</v>
      </c>
      <c r="E3949" s="2">
        <f t="shared" si="156"/>
        <v>42856</v>
      </c>
      <c r="F3949" s="1" t="s">
        <v>60</v>
      </c>
      <c r="G3949" s="1" t="s">
        <v>18</v>
      </c>
      <c r="H3949" s="1">
        <v>-0.8</v>
      </c>
      <c r="I3949" s="1">
        <v>0.09</v>
      </c>
      <c r="J3949" s="1">
        <v>0.03</v>
      </c>
      <c r="K3949" s="1" t="s">
        <v>71</v>
      </c>
      <c r="L3949" s="1">
        <v>2387</v>
      </c>
      <c r="M3949" s="1">
        <v>0.86</v>
      </c>
      <c r="N3949" s="1">
        <v>0.99817999999999996</v>
      </c>
      <c r="O3949" s="5">
        <f>VLOOKUP(D3949,underlying!$D$76:$H$90,5,FALSE)</f>
        <v>-0.28999999999999998</v>
      </c>
      <c r="P3949" s="2">
        <f>VLOOKUP(D3949,underlying!$D$76:$L$90,9,FALSE)</f>
        <v>42844</v>
      </c>
      <c r="Q3949" s="7">
        <f>IF(G3949="C",NormalCallSprd(O3949,H3949,M3949,(P3949-A3949)/365), NormalPutSprd(O3949,H3949,M3949,(P3949-A3949)/365))</f>
        <v>8.6403911650181783E-2</v>
      </c>
      <c r="R3949" s="9">
        <f t="shared" si="157"/>
        <v>3.5960883498182133E-3</v>
      </c>
    </row>
    <row r="3950" spans="1:18" x14ac:dyDescent="0.2">
      <c r="A3950" s="2">
        <v>42622</v>
      </c>
      <c r="B3950" s="1" t="s">
        <v>59</v>
      </c>
      <c r="C3950" s="1" t="s">
        <v>14</v>
      </c>
      <c r="D3950" s="2">
        <v>42740</v>
      </c>
      <c r="E3950" s="2">
        <f t="shared" si="156"/>
        <v>42856</v>
      </c>
      <c r="F3950" s="1" t="s">
        <v>60</v>
      </c>
      <c r="G3950" s="1" t="s">
        <v>16</v>
      </c>
      <c r="H3950" s="1">
        <v>-0.75</v>
      </c>
      <c r="I3950" s="1">
        <v>0.56000000000000005</v>
      </c>
      <c r="J3950" s="1">
        <v>0</v>
      </c>
      <c r="K3950" s="1" t="s">
        <v>71</v>
      </c>
      <c r="L3950" s="1">
        <v>2387</v>
      </c>
      <c r="M3950" s="1">
        <v>0.86</v>
      </c>
      <c r="N3950" s="1">
        <v>0.99822999999999995</v>
      </c>
      <c r="O3950" s="5">
        <f>VLOOKUP(D3950,underlying!$D$76:$H$90,5,FALSE)</f>
        <v>-0.28999999999999998</v>
      </c>
      <c r="P3950" s="2">
        <f>VLOOKUP(D3950,underlying!$D$76:$L$90,9,FALSE)</f>
        <v>42844</v>
      </c>
      <c r="Q3950" s="7">
        <f>IF(G3950="C",NormalCallSprd(O3950,H3950,M3950,(P3950-A3950)/365), NormalPutSprd(O3950,H3950,M3950,(P3950-A3950)/365))</f>
        <v>0.55814656384871131</v>
      </c>
      <c r="R3950" s="9">
        <f t="shared" si="157"/>
        <v>1.8534361512887454E-3</v>
      </c>
    </row>
    <row r="3951" spans="1:18" x14ac:dyDescent="0.2">
      <c r="A3951" s="2">
        <v>42622</v>
      </c>
      <c r="B3951" s="1" t="s">
        <v>59</v>
      </c>
      <c r="C3951" s="1" t="s">
        <v>14</v>
      </c>
      <c r="D3951" s="2">
        <v>42740</v>
      </c>
      <c r="E3951" s="2">
        <f t="shared" si="156"/>
        <v>42856</v>
      </c>
      <c r="F3951" s="1" t="s">
        <v>60</v>
      </c>
      <c r="G3951" s="1" t="s">
        <v>18</v>
      </c>
      <c r="H3951" s="1">
        <v>-0.75</v>
      </c>
      <c r="I3951" s="1">
        <v>0.1</v>
      </c>
      <c r="J3951" s="1">
        <v>0.02</v>
      </c>
      <c r="K3951" s="1" t="s">
        <v>71</v>
      </c>
      <c r="L3951" s="1">
        <v>2387</v>
      </c>
      <c r="M3951" s="1">
        <v>0.86</v>
      </c>
      <c r="N3951" s="1">
        <v>-0.79312000000000005</v>
      </c>
      <c r="O3951" s="5">
        <f>VLOOKUP(D3951,underlying!$D$76:$H$90,5,FALSE)</f>
        <v>-0.28999999999999998</v>
      </c>
      <c r="P3951" s="2">
        <f>VLOOKUP(D3951,underlying!$D$76:$L$90,9,FALSE)</f>
        <v>42844</v>
      </c>
      <c r="Q3951" s="7">
        <f>IF(G3951="C",NormalCallSprd(O3951,H3951,M3951,(P3951-A3951)/365), NormalPutSprd(O3951,H3951,M3951,(P3951-A3951)/365))</f>
        <v>9.8146563848711219E-2</v>
      </c>
      <c r="R3951" s="9">
        <f t="shared" si="157"/>
        <v>1.853436151288787E-3</v>
      </c>
    </row>
    <row r="3952" spans="1:18" x14ac:dyDescent="0.2">
      <c r="A3952" s="2">
        <v>42622</v>
      </c>
      <c r="B3952" s="1" t="s">
        <v>59</v>
      </c>
      <c r="C3952" s="1" t="s">
        <v>14</v>
      </c>
      <c r="D3952" s="2">
        <v>42740</v>
      </c>
      <c r="E3952" s="2">
        <f t="shared" si="156"/>
        <v>42856</v>
      </c>
      <c r="F3952" s="1" t="s">
        <v>60</v>
      </c>
      <c r="G3952" s="1" t="s">
        <v>16</v>
      </c>
      <c r="H3952" s="1">
        <v>-0.7</v>
      </c>
      <c r="I3952" s="1">
        <v>0.52</v>
      </c>
      <c r="J3952" s="1">
        <v>0</v>
      </c>
      <c r="K3952" s="1" t="s">
        <v>71</v>
      </c>
      <c r="L3952" s="1">
        <v>2387</v>
      </c>
      <c r="M3952" s="1">
        <v>0.85</v>
      </c>
      <c r="N3952" s="1">
        <v>-0.77024000000000004</v>
      </c>
      <c r="O3952" s="5">
        <f>VLOOKUP(D3952,underlying!$D$76:$H$90,5,FALSE)</f>
        <v>-0.28999999999999998</v>
      </c>
      <c r="P3952" s="2">
        <f>VLOOKUP(D3952,underlying!$D$76:$L$90,9,FALSE)</f>
        <v>42844</v>
      </c>
      <c r="Q3952" s="7">
        <f>IF(G3952="C",NormalCallSprd(O3952,H3952,M3952,(P3952-A3952)/365), NormalPutSprd(O3952,H3952,M3952,(P3952-A3952)/365))</f>
        <v>0.51848893231332516</v>
      </c>
      <c r="R3952" s="9">
        <f t="shared" si="157"/>
        <v>1.5110676866748607E-3</v>
      </c>
    </row>
    <row r="3953" spans="1:18" x14ac:dyDescent="0.2">
      <c r="A3953" s="2">
        <v>42622</v>
      </c>
      <c r="B3953" s="1" t="s">
        <v>59</v>
      </c>
      <c r="C3953" s="1" t="s">
        <v>14</v>
      </c>
      <c r="D3953" s="2">
        <v>42740</v>
      </c>
      <c r="E3953" s="2">
        <f t="shared" si="156"/>
        <v>42856</v>
      </c>
      <c r="F3953" s="1" t="s">
        <v>60</v>
      </c>
      <c r="G3953" s="1" t="s">
        <v>18</v>
      </c>
      <c r="H3953" s="1">
        <v>-0.7</v>
      </c>
      <c r="I3953" s="1">
        <v>0.11</v>
      </c>
      <c r="J3953" s="1">
        <v>0.03</v>
      </c>
      <c r="K3953" s="1" t="s">
        <v>71</v>
      </c>
      <c r="L3953" s="1">
        <v>2387</v>
      </c>
      <c r="M3953" s="1">
        <v>0.85</v>
      </c>
      <c r="N3953" s="1">
        <v>-0.74343999999999999</v>
      </c>
      <c r="O3953" s="5">
        <f>VLOOKUP(D3953,underlying!$D$76:$H$90,5,FALSE)</f>
        <v>-0.28999999999999998</v>
      </c>
      <c r="P3953" s="2">
        <f>VLOOKUP(D3953,underlying!$D$76:$L$90,9,FALSE)</f>
        <v>42844</v>
      </c>
      <c r="Q3953" s="7">
        <f>IF(G3953="C",NormalCallSprd(O3953,H3953,M3953,(P3953-A3953)/365), NormalPutSprd(O3953,H3953,M3953,(P3953-A3953)/365))</f>
        <v>0.10848893231332521</v>
      </c>
      <c r="R3953" s="9">
        <f t="shared" si="157"/>
        <v>1.5110676866747913E-3</v>
      </c>
    </row>
    <row r="3954" spans="1:18" x14ac:dyDescent="0.2">
      <c r="A3954" s="2">
        <v>42622</v>
      </c>
      <c r="B3954" s="1" t="s">
        <v>59</v>
      </c>
      <c r="C3954" s="1" t="s">
        <v>14</v>
      </c>
      <c r="D3954" s="2">
        <v>42740</v>
      </c>
      <c r="E3954" s="2">
        <f t="shared" si="156"/>
        <v>42856</v>
      </c>
      <c r="F3954" s="1" t="s">
        <v>60</v>
      </c>
      <c r="G3954" s="1" t="s">
        <v>16</v>
      </c>
      <c r="H3954" s="1">
        <v>-0.65</v>
      </c>
      <c r="I3954" s="1">
        <v>0.48</v>
      </c>
      <c r="J3954" s="1">
        <v>0</v>
      </c>
      <c r="K3954" s="1" t="s">
        <v>71</v>
      </c>
      <c r="L3954" s="1">
        <v>2387</v>
      </c>
      <c r="M3954" s="1">
        <v>0.84</v>
      </c>
      <c r="N3954" s="1">
        <v>-0.72989999999999999</v>
      </c>
      <c r="O3954" s="5">
        <f>VLOOKUP(D3954,underlying!$D$76:$H$90,5,FALSE)</f>
        <v>-0.28999999999999998</v>
      </c>
      <c r="P3954" s="2">
        <f>VLOOKUP(D3954,underlying!$D$76:$L$90,9,FALSE)</f>
        <v>42844</v>
      </c>
      <c r="Q3954" s="7">
        <f>IF(G3954="C",NormalCallSprd(O3954,H3954,M3954,(P3954-A3954)/365), NormalPutSprd(O3954,H3954,M3954,(P3954-A3954)/365))</f>
        <v>0.47984595771529959</v>
      </c>
      <c r="R3954" s="9">
        <f t="shared" si="157"/>
        <v>1.5404228470039527E-4</v>
      </c>
    </row>
    <row r="3955" spans="1:18" x14ac:dyDescent="0.2">
      <c r="A3955" s="2">
        <v>42622</v>
      </c>
      <c r="B3955" s="1" t="s">
        <v>59</v>
      </c>
      <c r="C3955" s="1" t="s">
        <v>14</v>
      </c>
      <c r="D3955" s="2">
        <v>42740</v>
      </c>
      <c r="E3955" s="2">
        <f t="shared" si="156"/>
        <v>42856</v>
      </c>
      <c r="F3955" s="1" t="s">
        <v>60</v>
      </c>
      <c r="G3955" s="1" t="s">
        <v>18</v>
      </c>
      <c r="H3955" s="1">
        <v>-0.65</v>
      </c>
      <c r="I3955" s="1">
        <v>0.12</v>
      </c>
      <c r="J3955" s="1">
        <v>0.03</v>
      </c>
      <c r="K3955" s="1" t="s">
        <v>71</v>
      </c>
      <c r="L3955" s="1">
        <v>2387</v>
      </c>
      <c r="M3955" s="1">
        <v>0.84</v>
      </c>
      <c r="N3955" s="1">
        <v>-0.71372999999999998</v>
      </c>
      <c r="O3955" s="5">
        <f>VLOOKUP(D3955,underlying!$D$76:$H$90,5,FALSE)</f>
        <v>-0.28999999999999998</v>
      </c>
      <c r="P3955" s="2">
        <f>VLOOKUP(D3955,underlying!$D$76:$L$90,9,FALSE)</f>
        <v>42844</v>
      </c>
      <c r="Q3955" s="7">
        <f>IF(G3955="C",NormalCallSprd(O3955,H3955,M3955,(P3955-A3955)/365), NormalPutSprd(O3955,H3955,M3955,(P3955-A3955)/365))</f>
        <v>0.11984595771529956</v>
      </c>
      <c r="R3955" s="9">
        <f t="shared" si="157"/>
        <v>1.540422847004369E-4</v>
      </c>
    </row>
    <row r="3956" spans="1:18" x14ac:dyDescent="0.2">
      <c r="A3956" s="2">
        <v>42622</v>
      </c>
      <c r="B3956" s="1" t="s">
        <v>59</v>
      </c>
      <c r="C3956" s="1" t="s">
        <v>14</v>
      </c>
      <c r="D3956" s="2">
        <v>42740</v>
      </c>
      <c r="E3956" s="2">
        <f t="shared" si="156"/>
        <v>42856</v>
      </c>
      <c r="F3956" s="1" t="s">
        <v>60</v>
      </c>
      <c r="G3956" s="1" t="s">
        <v>16</v>
      </c>
      <c r="H3956" s="1">
        <v>-0.6</v>
      </c>
      <c r="I3956" s="1">
        <v>0.44</v>
      </c>
      <c r="J3956" s="1">
        <v>0</v>
      </c>
      <c r="K3956" s="1" t="s">
        <v>71</v>
      </c>
      <c r="L3956" s="1">
        <v>2387</v>
      </c>
      <c r="M3956" s="1">
        <v>0.83</v>
      </c>
      <c r="N3956" s="1">
        <v>-0.67530999999999997</v>
      </c>
      <c r="O3956" s="5">
        <f>VLOOKUP(D3956,underlying!$D$76:$H$90,5,FALSE)</f>
        <v>-0.28999999999999998</v>
      </c>
      <c r="P3956" s="2">
        <f>VLOOKUP(D3956,underlying!$D$76:$L$90,9,FALSE)</f>
        <v>42844</v>
      </c>
      <c r="Q3956" s="7">
        <f>IF(G3956="C",NormalCallSprd(O3956,H3956,M3956,(P3956-A3956)/365), NormalPutSprd(O3956,H3956,M3956,(P3956-A3956)/365))</f>
        <v>0.44229744277731148</v>
      </c>
      <c r="R3956" s="9">
        <f t="shared" si="157"/>
        <v>2.2974427773114758E-3</v>
      </c>
    </row>
    <row r="3957" spans="1:18" x14ac:dyDescent="0.2">
      <c r="A3957" s="2">
        <v>42622</v>
      </c>
      <c r="B3957" s="1" t="s">
        <v>59</v>
      </c>
      <c r="C3957" s="1" t="s">
        <v>14</v>
      </c>
      <c r="D3957" s="2">
        <v>42740</v>
      </c>
      <c r="E3957" s="2">
        <f t="shared" si="156"/>
        <v>42856</v>
      </c>
      <c r="F3957" s="1" t="s">
        <v>60</v>
      </c>
      <c r="G3957" s="1" t="s">
        <v>18</v>
      </c>
      <c r="H3957" s="1">
        <v>-0.6</v>
      </c>
      <c r="I3957" s="1">
        <v>0.13</v>
      </c>
      <c r="J3957" s="1">
        <v>0.01</v>
      </c>
      <c r="K3957" s="1" t="s">
        <v>71</v>
      </c>
      <c r="L3957" s="1">
        <v>2387</v>
      </c>
      <c r="M3957" s="1">
        <v>0.83</v>
      </c>
      <c r="N3957" s="1">
        <v>-0.64200000000000002</v>
      </c>
      <c r="O3957" s="5">
        <f>VLOOKUP(D3957,underlying!$D$76:$H$90,5,FALSE)</f>
        <v>-0.28999999999999998</v>
      </c>
      <c r="P3957" s="2">
        <f>VLOOKUP(D3957,underlying!$D$76:$L$90,9,FALSE)</f>
        <v>42844</v>
      </c>
      <c r="Q3957" s="7">
        <f>IF(G3957="C",NormalCallSprd(O3957,H3957,M3957,(P3957-A3957)/365), NormalPutSprd(O3957,H3957,M3957,(P3957-A3957)/365))</f>
        <v>0.13229744277731148</v>
      </c>
      <c r="R3957" s="9">
        <f t="shared" si="157"/>
        <v>2.2974427773114758E-3</v>
      </c>
    </row>
    <row r="3958" spans="1:18" x14ac:dyDescent="0.2">
      <c r="A3958" s="2">
        <v>42622</v>
      </c>
      <c r="B3958" s="1" t="s">
        <v>59</v>
      </c>
      <c r="C3958" s="1" t="s">
        <v>14</v>
      </c>
      <c r="D3958" s="2">
        <v>42740</v>
      </c>
      <c r="E3958" s="2">
        <f t="shared" si="156"/>
        <v>42856</v>
      </c>
      <c r="F3958" s="1" t="s">
        <v>60</v>
      </c>
      <c r="G3958" s="1" t="s">
        <v>16</v>
      </c>
      <c r="H3958" s="1">
        <v>-0.55000000000000004</v>
      </c>
      <c r="I3958" s="1">
        <v>0.4</v>
      </c>
      <c r="J3958" s="1">
        <v>-0.01</v>
      </c>
      <c r="K3958" s="1" t="s">
        <v>71</v>
      </c>
      <c r="L3958" s="1">
        <v>2387</v>
      </c>
      <c r="M3958" s="1">
        <v>0.82</v>
      </c>
      <c r="N3958" s="1">
        <v>-0.60384000000000004</v>
      </c>
      <c r="O3958" s="5">
        <f>VLOOKUP(D3958,underlying!$D$76:$H$90,5,FALSE)</f>
        <v>-0.28999999999999998</v>
      </c>
      <c r="P3958" s="2">
        <f>VLOOKUP(D3958,underlying!$D$76:$L$90,9,FALSE)</f>
        <v>42844</v>
      </c>
      <c r="Q3958" s="7">
        <f>IF(G3958="C",NormalCallSprd(O3958,H3958,M3958,(P3958-A3958)/365), NormalPutSprd(O3958,H3958,M3958,(P3958-A3958)/365))</f>
        <v>0.40592529874096911</v>
      </c>
      <c r="R3958" s="9">
        <f t="shared" si="157"/>
        <v>5.9252987409690872E-3</v>
      </c>
    </row>
    <row r="3959" spans="1:18" x14ac:dyDescent="0.2">
      <c r="A3959" s="2">
        <v>42622</v>
      </c>
      <c r="B3959" s="1" t="s">
        <v>59</v>
      </c>
      <c r="C3959" s="1" t="s">
        <v>14</v>
      </c>
      <c r="D3959" s="2">
        <v>42740</v>
      </c>
      <c r="E3959" s="2">
        <f t="shared" si="156"/>
        <v>42856</v>
      </c>
      <c r="F3959" s="1" t="s">
        <v>60</v>
      </c>
      <c r="G3959" s="1" t="s">
        <v>18</v>
      </c>
      <c r="H3959" s="1">
        <v>-0.55000000000000004</v>
      </c>
      <c r="I3959" s="1">
        <v>0.15</v>
      </c>
      <c r="J3959" s="1">
        <v>0.03</v>
      </c>
      <c r="K3959" s="1" t="s">
        <v>71</v>
      </c>
      <c r="L3959" s="1">
        <v>2387</v>
      </c>
      <c r="M3959" s="1">
        <v>0.82</v>
      </c>
      <c r="N3959" s="1">
        <v>-0.56645999999999996</v>
      </c>
      <c r="O3959" s="5">
        <f>VLOOKUP(D3959,underlying!$D$76:$H$90,5,FALSE)</f>
        <v>-0.28999999999999998</v>
      </c>
      <c r="P3959" s="2">
        <f>VLOOKUP(D3959,underlying!$D$76:$L$90,9,FALSE)</f>
        <v>42844</v>
      </c>
      <c r="Q3959" s="7">
        <f>IF(G3959="C",NormalCallSprd(O3959,H3959,M3959,(P3959-A3959)/365), NormalPutSprd(O3959,H3959,M3959,(P3959-A3959)/365))</f>
        <v>0.14592529874096907</v>
      </c>
      <c r="R3959" s="9">
        <f t="shared" si="157"/>
        <v>4.0747012590309217E-3</v>
      </c>
    </row>
    <row r="3960" spans="1:18" x14ac:dyDescent="0.2">
      <c r="A3960" s="2">
        <v>42622</v>
      </c>
      <c r="B3960" s="1" t="s">
        <v>59</v>
      </c>
      <c r="C3960" s="1" t="s">
        <v>14</v>
      </c>
      <c r="D3960" s="2">
        <v>42740</v>
      </c>
      <c r="E3960" s="2">
        <f t="shared" si="156"/>
        <v>42856</v>
      </c>
      <c r="F3960" s="1" t="s">
        <v>60</v>
      </c>
      <c r="G3960" s="1" t="s">
        <v>16</v>
      </c>
      <c r="H3960" s="1">
        <v>-0.5</v>
      </c>
      <c r="I3960" s="1">
        <v>0.37</v>
      </c>
      <c r="J3960" s="1">
        <v>0</v>
      </c>
      <c r="K3960" s="1" t="s">
        <v>71</v>
      </c>
      <c r="L3960" s="1">
        <v>2387</v>
      </c>
      <c r="M3960" s="1">
        <v>0.81</v>
      </c>
      <c r="N3960" s="1">
        <v>-0.52937999999999996</v>
      </c>
      <c r="O3960" s="5">
        <f>VLOOKUP(D3960,underlying!$D$76:$H$90,5,FALSE)</f>
        <v>-0.28999999999999998</v>
      </c>
      <c r="P3960" s="2">
        <f>VLOOKUP(D3960,underlying!$D$76:$L$90,9,FALSE)</f>
        <v>42844</v>
      </c>
      <c r="Q3960" s="7">
        <f>IF(G3960="C",NormalCallSprd(O3960,H3960,M3960,(P3960-A3960)/365), NormalPutSprd(O3960,H3960,M3960,(P3960-A3960)/365))</f>
        <v>0.37081270393036109</v>
      </c>
      <c r="R3960" s="9">
        <f t="shared" si="157"/>
        <v>8.1270393036109168E-4</v>
      </c>
    </row>
    <row r="3961" spans="1:18" x14ac:dyDescent="0.2">
      <c r="A3961" s="2">
        <v>42622</v>
      </c>
      <c r="B3961" s="1" t="s">
        <v>59</v>
      </c>
      <c r="C3961" s="1" t="s">
        <v>14</v>
      </c>
      <c r="D3961" s="2">
        <v>42740</v>
      </c>
      <c r="E3961" s="2">
        <f t="shared" si="156"/>
        <v>42856</v>
      </c>
      <c r="F3961" s="1" t="s">
        <v>60</v>
      </c>
      <c r="G3961" s="1" t="s">
        <v>18</v>
      </c>
      <c r="H3961" s="1">
        <v>-0.5</v>
      </c>
      <c r="I3961" s="1">
        <v>0.16</v>
      </c>
      <c r="J3961" s="1">
        <v>0.03</v>
      </c>
      <c r="K3961" s="1" t="s">
        <v>71</v>
      </c>
      <c r="L3961" s="1">
        <v>2387</v>
      </c>
      <c r="M3961" s="1">
        <v>0.81</v>
      </c>
      <c r="N3961" s="1">
        <v>-0.49153000000000002</v>
      </c>
      <c r="O3961" s="5">
        <f>VLOOKUP(D3961,underlying!$D$76:$H$90,5,FALSE)</f>
        <v>-0.28999999999999998</v>
      </c>
      <c r="P3961" s="2">
        <f>VLOOKUP(D3961,underlying!$D$76:$L$90,9,FALSE)</f>
        <v>42844</v>
      </c>
      <c r="Q3961" s="7">
        <f>IF(G3961="C",NormalCallSprd(O3961,H3961,M3961,(P3961-A3961)/365), NormalPutSprd(O3961,H3961,M3961,(P3961-A3961)/365))</f>
        <v>0.16081270393036107</v>
      </c>
      <c r="R3961" s="9">
        <f t="shared" si="157"/>
        <v>8.1270393036106392E-4</v>
      </c>
    </row>
    <row r="3962" spans="1:18" x14ac:dyDescent="0.2">
      <c r="A3962" s="2">
        <v>42622</v>
      </c>
      <c r="B3962" s="1" t="s">
        <v>59</v>
      </c>
      <c r="C3962" s="1" t="s">
        <v>14</v>
      </c>
      <c r="D3962" s="2">
        <v>42740</v>
      </c>
      <c r="E3962" s="2">
        <f t="shared" si="156"/>
        <v>42856</v>
      </c>
      <c r="F3962" s="1" t="s">
        <v>60</v>
      </c>
      <c r="G3962" s="1" t="s">
        <v>16</v>
      </c>
      <c r="H3962" s="1">
        <v>-0.45</v>
      </c>
      <c r="I3962" s="1">
        <v>0.33</v>
      </c>
      <c r="J3962" s="1">
        <v>0</v>
      </c>
      <c r="K3962" s="1" t="s">
        <v>71</v>
      </c>
      <c r="L3962" s="1">
        <v>2387</v>
      </c>
      <c r="M3962" s="1">
        <v>0.79</v>
      </c>
      <c r="N3962" s="1">
        <v>-0.45368000000000003</v>
      </c>
      <c r="O3962" s="5">
        <f>VLOOKUP(D3962,underlying!$D$76:$H$90,5,FALSE)</f>
        <v>-0.28999999999999998</v>
      </c>
      <c r="P3962" s="2">
        <f>VLOOKUP(D3962,underlying!$D$76:$L$90,9,FALSE)</f>
        <v>42844</v>
      </c>
      <c r="Q3962" s="7">
        <f>IF(G3962="C",NormalCallSprd(O3962,H3962,M3962,(P3962-A3962)/365), NormalPutSprd(O3962,H3962,M3962,(P3962-A3962)/365))</f>
        <v>0.33403368161451136</v>
      </c>
      <c r="R3962" s="9">
        <f t="shared" si="157"/>
        <v>4.0336816145113419E-3</v>
      </c>
    </row>
    <row r="3963" spans="1:18" x14ac:dyDescent="0.2">
      <c r="A3963" s="2">
        <v>42622</v>
      </c>
      <c r="B3963" s="1" t="s">
        <v>59</v>
      </c>
      <c r="C3963" s="1" t="s">
        <v>14</v>
      </c>
      <c r="D3963" s="2">
        <v>42740</v>
      </c>
      <c r="E3963" s="2">
        <f t="shared" si="156"/>
        <v>42856</v>
      </c>
      <c r="F3963" s="1" t="s">
        <v>60</v>
      </c>
      <c r="G3963" s="1" t="s">
        <v>18</v>
      </c>
      <c r="H3963" s="1">
        <v>-0.45</v>
      </c>
      <c r="I3963" s="1">
        <v>0.17</v>
      </c>
      <c r="J3963" s="1">
        <v>0.02</v>
      </c>
      <c r="K3963" s="1" t="s">
        <v>71</v>
      </c>
      <c r="L3963" s="1">
        <v>2387</v>
      </c>
      <c r="M3963" s="1">
        <v>0.79</v>
      </c>
      <c r="N3963" s="1">
        <v>-0.41698000000000002</v>
      </c>
      <c r="O3963" s="5">
        <f>VLOOKUP(D3963,underlying!$D$76:$H$90,5,FALSE)</f>
        <v>-0.28999999999999998</v>
      </c>
      <c r="P3963" s="2">
        <f>VLOOKUP(D3963,underlying!$D$76:$L$90,9,FALSE)</f>
        <v>42844</v>
      </c>
      <c r="Q3963" s="7">
        <f>IF(G3963="C",NormalCallSprd(O3963,H3963,M3963,(P3963-A3963)/365), NormalPutSprd(O3963,H3963,M3963,(P3963-A3963)/365))</f>
        <v>0.17403368161451133</v>
      </c>
      <c r="R3963" s="9">
        <f t="shared" si="157"/>
        <v>4.0336816145113141E-3</v>
      </c>
    </row>
    <row r="3964" spans="1:18" x14ac:dyDescent="0.2">
      <c r="A3964" s="2">
        <v>42622</v>
      </c>
      <c r="B3964" s="1" t="s">
        <v>59</v>
      </c>
      <c r="C3964" s="1" t="s">
        <v>14</v>
      </c>
      <c r="D3964" s="2">
        <v>42740</v>
      </c>
      <c r="E3964" s="2">
        <f t="shared" si="156"/>
        <v>42856</v>
      </c>
      <c r="F3964" s="1" t="s">
        <v>60</v>
      </c>
      <c r="G3964" s="1" t="s">
        <v>16</v>
      </c>
      <c r="H3964" s="1">
        <v>-0.4</v>
      </c>
      <c r="I3964" s="1">
        <v>0.3</v>
      </c>
      <c r="J3964" s="1">
        <v>0</v>
      </c>
      <c r="K3964" s="1" t="s">
        <v>71</v>
      </c>
      <c r="L3964" s="1">
        <v>2387</v>
      </c>
      <c r="M3964" s="1">
        <v>0.77</v>
      </c>
      <c r="N3964" s="1">
        <v>-0.38085000000000002</v>
      </c>
      <c r="O3964" s="5">
        <f>VLOOKUP(D3964,underlying!$D$76:$H$90,5,FALSE)</f>
        <v>-0.28999999999999998</v>
      </c>
      <c r="P3964" s="2">
        <f>VLOOKUP(D3964,underlying!$D$76:$L$90,9,FALSE)</f>
        <v>42844</v>
      </c>
      <c r="Q3964" s="7">
        <f>IF(G3964="C",NormalCallSprd(O3964,H3964,M3964,(P3964-A3964)/365), NormalPutSprd(O3964,H3964,M3964,(P3964-A3964)/365))</f>
        <v>0.29857717042196164</v>
      </c>
      <c r="R3964" s="9">
        <f t="shared" si="157"/>
        <v>1.4228295780383537E-3</v>
      </c>
    </row>
    <row r="3965" spans="1:18" x14ac:dyDescent="0.2">
      <c r="A3965" s="2">
        <v>42622</v>
      </c>
      <c r="B3965" s="1" t="s">
        <v>59</v>
      </c>
      <c r="C3965" s="1" t="s">
        <v>14</v>
      </c>
      <c r="D3965" s="2">
        <v>42740</v>
      </c>
      <c r="E3965" s="2">
        <f t="shared" si="156"/>
        <v>42856</v>
      </c>
      <c r="F3965" s="1" t="s">
        <v>60</v>
      </c>
      <c r="G3965" s="1" t="s">
        <v>18</v>
      </c>
      <c r="H3965" s="1">
        <v>-0.4</v>
      </c>
      <c r="I3965" s="1">
        <v>0.19</v>
      </c>
      <c r="J3965" s="1">
        <v>0.02</v>
      </c>
      <c r="K3965" s="1" t="s">
        <v>71</v>
      </c>
      <c r="L3965" s="1">
        <v>2387</v>
      </c>
      <c r="M3965" s="1">
        <v>0.77</v>
      </c>
      <c r="N3965" s="1">
        <v>-0.34555000000000002</v>
      </c>
      <c r="O3965" s="5">
        <f>VLOOKUP(D3965,underlying!$D$76:$H$90,5,FALSE)</f>
        <v>-0.28999999999999998</v>
      </c>
      <c r="P3965" s="2">
        <f>VLOOKUP(D3965,underlying!$D$76:$L$90,9,FALSE)</f>
        <v>42844</v>
      </c>
      <c r="Q3965" s="7">
        <f>IF(G3965="C",NormalCallSprd(O3965,H3965,M3965,(P3965-A3965)/365), NormalPutSprd(O3965,H3965,M3965,(P3965-A3965)/365))</f>
        <v>0.18857717042196159</v>
      </c>
      <c r="R3965" s="9">
        <f t="shared" si="157"/>
        <v>1.4228295780384093E-3</v>
      </c>
    </row>
    <row r="3966" spans="1:18" x14ac:dyDescent="0.2">
      <c r="A3966" s="2">
        <v>42622</v>
      </c>
      <c r="B3966" s="1" t="s">
        <v>59</v>
      </c>
      <c r="C3966" s="1" t="s">
        <v>14</v>
      </c>
      <c r="D3966" s="2">
        <v>42740</v>
      </c>
      <c r="E3966" s="2">
        <f t="shared" si="156"/>
        <v>42856</v>
      </c>
      <c r="F3966" s="1" t="s">
        <v>60</v>
      </c>
      <c r="G3966" s="1" t="s">
        <v>16</v>
      </c>
      <c r="H3966" s="1">
        <v>-0.35</v>
      </c>
      <c r="I3966" s="1">
        <v>0.26</v>
      </c>
      <c r="J3966" s="1">
        <v>-0.01</v>
      </c>
      <c r="K3966" s="1" t="s">
        <v>71</v>
      </c>
      <c r="L3966" s="1">
        <v>2387</v>
      </c>
      <c r="M3966" s="1">
        <v>0.75</v>
      </c>
      <c r="N3966" s="1">
        <v>-0.31154999999999999</v>
      </c>
      <c r="O3966" s="5">
        <f>VLOOKUP(D3966,underlying!$D$76:$H$90,5,FALSE)</f>
        <v>-0.28999999999999998</v>
      </c>
      <c r="P3966" s="2">
        <f>VLOOKUP(D3966,underlying!$D$76:$L$90,9,FALSE)</f>
        <v>42844</v>
      </c>
      <c r="Q3966" s="7">
        <f>IF(G3966="C",NormalCallSprd(O3966,H3966,M3966,(P3966-A3966)/365), NormalPutSprd(O3966,H3966,M3966,(P3966-A3966)/365))</f>
        <v>0.264573171719441</v>
      </c>
      <c r="R3966" s="9">
        <f t="shared" si="157"/>
        <v>4.5731717194409938E-3</v>
      </c>
    </row>
    <row r="3967" spans="1:18" x14ac:dyDescent="0.2">
      <c r="A3967" s="2">
        <v>42622</v>
      </c>
      <c r="B3967" s="1" t="s">
        <v>59</v>
      </c>
      <c r="C3967" s="1" t="s">
        <v>14</v>
      </c>
      <c r="D3967" s="2">
        <v>42740</v>
      </c>
      <c r="E3967" s="2">
        <f t="shared" si="156"/>
        <v>42856</v>
      </c>
      <c r="F3967" s="1" t="s">
        <v>60</v>
      </c>
      <c r="G3967" s="1" t="s">
        <v>18</v>
      </c>
      <c r="H3967" s="1">
        <v>-0.35</v>
      </c>
      <c r="I3967" s="1">
        <v>0.2</v>
      </c>
      <c r="J3967" s="1">
        <v>0.02</v>
      </c>
      <c r="K3967" s="1" t="s">
        <v>71</v>
      </c>
      <c r="L3967" s="1">
        <v>2387</v>
      </c>
      <c r="M3967" s="1">
        <v>0.75</v>
      </c>
      <c r="N3967" s="1">
        <v>-0.27906999999999998</v>
      </c>
      <c r="O3967" s="5">
        <f>VLOOKUP(D3967,underlying!$D$76:$H$90,5,FALSE)</f>
        <v>-0.28999999999999998</v>
      </c>
      <c r="P3967" s="2">
        <f>VLOOKUP(D3967,underlying!$D$76:$L$90,9,FALSE)</f>
        <v>42844</v>
      </c>
      <c r="Q3967" s="7">
        <f>IF(G3967="C",NormalCallSprd(O3967,H3967,M3967,(P3967-A3967)/365), NormalPutSprd(O3967,H3967,M3967,(P3967-A3967)/365))</f>
        <v>0.204573171719441</v>
      </c>
      <c r="R3967" s="9">
        <f t="shared" si="157"/>
        <v>4.5731717194409938E-3</v>
      </c>
    </row>
    <row r="3968" spans="1:18" x14ac:dyDescent="0.2">
      <c r="A3968" s="2">
        <v>42622</v>
      </c>
      <c r="B3968" s="1" t="s">
        <v>59</v>
      </c>
      <c r="C3968" s="1" t="s">
        <v>14</v>
      </c>
      <c r="D3968" s="2">
        <v>42740</v>
      </c>
      <c r="E3968" s="2">
        <f t="shared" si="156"/>
        <v>42856</v>
      </c>
      <c r="F3968" s="1" t="s">
        <v>60</v>
      </c>
      <c r="G3968" s="1" t="s">
        <v>16</v>
      </c>
      <c r="H3968" s="1">
        <v>-0.3</v>
      </c>
      <c r="I3968" s="1">
        <v>0.23</v>
      </c>
      <c r="J3968" s="1">
        <v>-0.01</v>
      </c>
      <c r="K3968" s="1" t="s">
        <v>71</v>
      </c>
      <c r="L3968" s="1">
        <v>2387</v>
      </c>
      <c r="M3968" s="1">
        <v>0.73</v>
      </c>
      <c r="N3968" s="1">
        <v>-0.24834000000000001</v>
      </c>
      <c r="O3968" s="5">
        <f>VLOOKUP(D3968,underlying!$D$76:$H$90,5,FALSE)</f>
        <v>-0.28999999999999998</v>
      </c>
      <c r="P3968" s="2">
        <f>VLOOKUP(D3968,underlying!$D$76:$L$90,9,FALSE)</f>
        <v>42844</v>
      </c>
      <c r="Q3968" s="7">
        <f>IF(G3968="C",NormalCallSprd(O3968,H3968,M3968,(P3968-A3968)/365), NormalPutSprd(O3968,H3968,M3968,(P3968-A3968)/365))</f>
        <v>0.23215901141623016</v>
      </c>
      <c r="R3968" s="9">
        <f t="shared" si="157"/>
        <v>2.1590114162301499E-3</v>
      </c>
    </row>
    <row r="3969" spans="1:18" x14ac:dyDescent="0.2">
      <c r="A3969" s="2">
        <v>42622</v>
      </c>
      <c r="B3969" s="1" t="s">
        <v>59</v>
      </c>
      <c r="C3969" s="1" t="s">
        <v>14</v>
      </c>
      <c r="D3969" s="2">
        <v>42740</v>
      </c>
      <c r="E3969" s="2">
        <f t="shared" si="156"/>
        <v>42856</v>
      </c>
      <c r="F3969" s="1" t="s">
        <v>60</v>
      </c>
      <c r="G3969" s="1" t="s">
        <v>18</v>
      </c>
      <c r="H3969" s="1">
        <v>-0.3</v>
      </c>
      <c r="I3969" s="1">
        <v>0.23</v>
      </c>
      <c r="J3969" s="1">
        <v>0.02</v>
      </c>
      <c r="K3969" s="1" t="s">
        <v>71</v>
      </c>
      <c r="L3969" s="1">
        <v>2387</v>
      </c>
      <c r="M3969" s="1">
        <v>0.73</v>
      </c>
      <c r="N3969" s="1">
        <v>-0.21951000000000001</v>
      </c>
      <c r="O3969" s="5">
        <f>VLOOKUP(D3969,underlying!$D$76:$H$90,5,FALSE)</f>
        <v>-0.28999999999999998</v>
      </c>
      <c r="P3969" s="2">
        <f>VLOOKUP(D3969,underlying!$D$76:$L$90,9,FALSE)</f>
        <v>42844</v>
      </c>
      <c r="Q3969" s="7">
        <f>IF(G3969="C",NormalCallSprd(O3969,H3969,M3969,(P3969-A3969)/365), NormalPutSprd(O3969,H3969,M3969,(P3969-A3969)/365))</f>
        <v>0.22215901141623015</v>
      </c>
      <c r="R3969" s="9">
        <f t="shared" si="157"/>
        <v>7.840988583769859E-3</v>
      </c>
    </row>
    <row r="3970" spans="1:18" x14ac:dyDescent="0.2">
      <c r="A3970" s="2">
        <v>42622</v>
      </c>
      <c r="B3970" s="1" t="s">
        <v>59</v>
      </c>
      <c r="C3970" s="1" t="s">
        <v>14</v>
      </c>
      <c r="D3970" s="2">
        <v>42740</v>
      </c>
      <c r="E3970" s="2">
        <f t="shared" ref="E3970:E4033" si="158">DATE(YEAR(D3970),DAY(D3970),MONTH(D3970))</f>
        <v>42856</v>
      </c>
      <c r="F3970" s="1" t="s">
        <v>60</v>
      </c>
      <c r="G3970" s="1" t="s">
        <v>16</v>
      </c>
      <c r="H3970" s="1">
        <v>-0.25</v>
      </c>
      <c r="I3970" s="1">
        <v>0.21</v>
      </c>
      <c r="J3970" s="1">
        <v>-0.01</v>
      </c>
      <c r="K3970" s="1" t="s">
        <v>71</v>
      </c>
      <c r="L3970" s="1">
        <v>2387</v>
      </c>
      <c r="M3970" s="1">
        <v>0.74</v>
      </c>
      <c r="N3970" s="1">
        <v>-0.19270000000000001</v>
      </c>
      <c r="O3970" s="5">
        <f>VLOOKUP(D3970,underlying!$D$76:$H$90,5,FALSE)</f>
        <v>-0.28999999999999998</v>
      </c>
      <c r="P3970" s="2">
        <f>VLOOKUP(D3970,underlying!$D$76:$L$90,9,FALSE)</f>
        <v>42844</v>
      </c>
      <c r="Q3970" s="7">
        <f>IF(G3970="C",NormalCallSprd(O3970,H3970,M3970,(P3970-A3970)/365), NormalPutSprd(O3970,H3970,M3970,(P3970-A3970)/365))</f>
        <v>0.21078805808941162</v>
      </c>
      <c r="R3970" s="9">
        <f t="shared" si="157"/>
        <v>7.8805808941162514E-4</v>
      </c>
    </row>
    <row r="3971" spans="1:18" x14ac:dyDescent="0.2">
      <c r="A3971" s="2">
        <v>42622</v>
      </c>
      <c r="B3971" s="1" t="s">
        <v>59</v>
      </c>
      <c r="C3971" s="1" t="s">
        <v>14</v>
      </c>
      <c r="D3971" s="2">
        <v>42740</v>
      </c>
      <c r="E3971" s="2">
        <f t="shared" si="158"/>
        <v>42856</v>
      </c>
      <c r="F3971" s="1" t="s">
        <v>60</v>
      </c>
      <c r="G3971" s="1" t="s">
        <v>18</v>
      </c>
      <c r="H3971" s="1">
        <v>-0.25</v>
      </c>
      <c r="I3971" s="1">
        <v>0.25</v>
      </c>
      <c r="J3971" s="1">
        <v>0.02</v>
      </c>
      <c r="K3971" s="1" t="s">
        <v>71</v>
      </c>
      <c r="L3971" s="1">
        <v>2387</v>
      </c>
      <c r="M3971" s="1">
        <v>0.74</v>
      </c>
      <c r="N3971" s="1">
        <v>-7.1599999999999997E-3</v>
      </c>
      <c r="O3971" s="5">
        <f>VLOOKUP(D3971,underlying!$D$76:$H$90,5,FALSE)</f>
        <v>-0.28999999999999998</v>
      </c>
      <c r="P3971" s="2">
        <f>VLOOKUP(D3971,underlying!$D$76:$L$90,9,FALSE)</f>
        <v>42844</v>
      </c>
      <c r="Q3971" s="7">
        <f>IF(G3971="C",NormalCallSprd(O3971,H3971,M3971,(P3971-A3971)/365), NormalPutSprd(O3971,H3971,M3971,(P3971-A3971)/365))</f>
        <v>0.25078805808941163</v>
      </c>
      <c r="R3971" s="9">
        <f t="shared" ref="R3971:R4034" si="159">ABS(Q3971-I3971)</f>
        <v>7.8805808941162514E-4</v>
      </c>
    </row>
    <row r="3972" spans="1:18" x14ac:dyDescent="0.2">
      <c r="A3972" s="2">
        <v>42622</v>
      </c>
      <c r="B3972" s="1" t="s">
        <v>59</v>
      </c>
      <c r="C3972" s="1" t="s">
        <v>14</v>
      </c>
      <c r="D3972" s="2">
        <v>42740</v>
      </c>
      <c r="E3972" s="2">
        <f t="shared" si="158"/>
        <v>42856</v>
      </c>
      <c r="F3972" s="1" t="s">
        <v>60</v>
      </c>
      <c r="G3972" s="1" t="s">
        <v>16</v>
      </c>
      <c r="H3972" s="1">
        <v>-0.2</v>
      </c>
      <c r="I3972" s="1">
        <v>0.2</v>
      </c>
      <c r="J3972" s="1">
        <v>-0.01</v>
      </c>
      <c r="K3972" s="1" t="s">
        <v>71</v>
      </c>
      <c r="L3972" s="1">
        <v>2387</v>
      </c>
      <c r="M3972" s="1">
        <v>0.77</v>
      </c>
      <c r="N3972" s="1">
        <v>-5.0000000000000002E-5</v>
      </c>
      <c r="O3972" s="5">
        <f>VLOOKUP(D3972,underlying!$D$76:$H$90,5,FALSE)</f>
        <v>-0.28999999999999998</v>
      </c>
      <c r="P3972" s="2">
        <f>VLOOKUP(D3972,underlying!$D$76:$L$90,9,FALSE)</f>
        <v>42844</v>
      </c>
      <c r="Q3972" s="7">
        <f>IF(G3972="C",NormalCallSprd(O3972,H3972,M3972,(P3972-A3972)/365), NormalPutSprd(O3972,H3972,M3972,(P3972-A3972)/365))</f>
        <v>0.19725466976025188</v>
      </c>
      <c r="R3972" s="9">
        <f t="shared" si="159"/>
        <v>2.7453302397481283E-3</v>
      </c>
    </row>
    <row r="3973" spans="1:18" x14ac:dyDescent="0.2">
      <c r="A3973" s="2">
        <v>42622</v>
      </c>
      <c r="B3973" s="1" t="s">
        <v>59</v>
      </c>
      <c r="C3973" s="1" t="s">
        <v>14</v>
      </c>
      <c r="D3973" s="2">
        <v>42740</v>
      </c>
      <c r="E3973" s="2">
        <f t="shared" si="158"/>
        <v>42856</v>
      </c>
      <c r="F3973" s="1" t="s">
        <v>60</v>
      </c>
      <c r="G3973" s="1" t="s">
        <v>18</v>
      </c>
      <c r="H3973" s="1">
        <v>-0.2</v>
      </c>
      <c r="I3973" s="1">
        <v>0.28999999999999998</v>
      </c>
      <c r="J3973" s="1">
        <v>0.02</v>
      </c>
      <c r="K3973" s="1" t="s">
        <v>71</v>
      </c>
      <c r="L3973" s="1">
        <v>2387</v>
      </c>
      <c r="M3973" s="1">
        <v>0.77</v>
      </c>
      <c r="N3973" s="1">
        <v>0</v>
      </c>
      <c r="O3973" s="5">
        <f>VLOOKUP(D3973,underlying!$D$76:$H$90,5,FALSE)</f>
        <v>-0.28999999999999998</v>
      </c>
      <c r="P3973" s="2">
        <f>VLOOKUP(D3973,underlying!$D$76:$L$90,9,FALSE)</f>
        <v>42844</v>
      </c>
      <c r="Q3973" s="7">
        <f>IF(G3973="C",NormalCallSprd(O3973,H3973,M3973,(P3973-A3973)/365), NormalPutSprd(O3973,H3973,M3973,(P3973-A3973)/365))</f>
        <v>0.28725466976025182</v>
      </c>
      <c r="R3973" s="9">
        <f t="shared" si="159"/>
        <v>2.745330239748156E-3</v>
      </c>
    </row>
    <row r="3974" spans="1:18" x14ac:dyDescent="0.2">
      <c r="A3974" s="2">
        <v>42622</v>
      </c>
      <c r="B3974" s="1" t="s">
        <v>59</v>
      </c>
      <c r="C3974" s="1" t="s">
        <v>14</v>
      </c>
      <c r="D3974" s="2">
        <v>42740</v>
      </c>
      <c r="E3974" s="2">
        <f t="shared" si="158"/>
        <v>42856</v>
      </c>
      <c r="F3974" s="1" t="s">
        <v>60</v>
      </c>
      <c r="G3974" s="1" t="s">
        <v>16</v>
      </c>
      <c r="H3974" s="1">
        <v>-0.15</v>
      </c>
      <c r="I3974" s="1">
        <v>0.19</v>
      </c>
      <c r="J3974" s="1">
        <v>-0.01</v>
      </c>
      <c r="K3974" s="1" t="s">
        <v>71</v>
      </c>
      <c r="L3974" s="1">
        <v>2387</v>
      </c>
      <c r="M3974" s="1">
        <v>0.79</v>
      </c>
      <c r="N3974" s="1">
        <v>0.25078</v>
      </c>
      <c r="O3974" s="5">
        <f>VLOOKUP(D3974,underlying!$D$76:$H$90,5,FALSE)</f>
        <v>-0.28999999999999998</v>
      </c>
      <c r="P3974" s="2">
        <f>VLOOKUP(D3974,underlying!$D$76:$L$90,9,FALSE)</f>
        <v>42844</v>
      </c>
      <c r="Q3974" s="7">
        <f>IF(G3974="C",NormalCallSprd(O3974,H3974,M3974,(P3974-A3974)/365), NormalPutSprd(O3974,H3974,M3974,(P3974-A3974)/365))</f>
        <v>0.18211022689292</v>
      </c>
      <c r="R3974" s="9">
        <f t="shared" si="159"/>
        <v>7.8897731070800003E-3</v>
      </c>
    </row>
    <row r="3975" spans="1:18" x14ac:dyDescent="0.2">
      <c r="A3975" s="2">
        <v>42622</v>
      </c>
      <c r="B3975" s="1" t="s">
        <v>59</v>
      </c>
      <c r="C3975" s="1" t="s">
        <v>14</v>
      </c>
      <c r="D3975" s="2">
        <v>42740</v>
      </c>
      <c r="E3975" s="2">
        <f t="shared" si="158"/>
        <v>42856</v>
      </c>
      <c r="F3975" s="1" t="s">
        <v>60</v>
      </c>
      <c r="G3975" s="1" t="s">
        <v>18</v>
      </c>
      <c r="H3975" s="1">
        <v>-0.15</v>
      </c>
      <c r="I3975" s="1">
        <v>0.32</v>
      </c>
      <c r="J3975" s="1">
        <v>0.01</v>
      </c>
      <c r="K3975" s="1" t="s">
        <v>71</v>
      </c>
      <c r="L3975" s="1">
        <v>2387</v>
      </c>
      <c r="M3975" s="1">
        <v>0.79</v>
      </c>
      <c r="N3975" s="1">
        <v>0.27385999999999999</v>
      </c>
      <c r="O3975" s="5">
        <f>VLOOKUP(D3975,underlying!$D$76:$H$90,5,FALSE)</f>
        <v>-0.28999999999999998</v>
      </c>
      <c r="P3975" s="2">
        <f>VLOOKUP(D3975,underlying!$D$76:$L$90,9,FALSE)</f>
        <v>42844</v>
      </c>
      <c r="Q3975" s="7">
        <f>IF(G3975="C",NormalCallSprd(O3975,H3975,M3975,(P3975-A3975)/365), NormalPutSprd(O3975,H3975,M3975,(P3975-A3975)/365))</f>
        <v>0.32211022689292002</v>
      </c>
      <c r="R3975" s="9">
        <f t="shared" si="159"/>
        <v>2.1102268929200085E-3</v>
      </c>
    </row>
    <row r="3976" spans="1:18" x14ac:dyDescent="0.2">
      <c r="A3976" s="2">
        <v>42622</v>
      </c>
      <c r="B3976" s="1" t="s">
        <v>59</v>
      </c>
      <c r="C3976" s="1" t="s">
        <v>14</v>
      </c>
      <c r="D3976" s="2">
        <v>42740</v>
      </c>
      <c r="E3976" s="2">
        <f t="shared" si="158"/>
        <v>42856</v>
      </c>
      <c r="F3976" s="1" t="s">
        <v>60</v>
      </c>
      <c r="G3976" s="1" t="s">
        <v>16</v>
      </c>
      <c r="H3976" s="1">
        <v>-0.1</v>
      </c>
      <c r="I3976" s="1">
        <v>0.17</v>
      </c>
      <c r="J3976" s="1">
        <v>-0.02</v>
      </c>
      <c r="K3976" s="1" t="s">
        <v>71</v>
      </c>
      <c r="L3976" s="1">
        <v>2387</v>
      </c>
      <c r="M3976" s="1">
        <v>0.81</v>
      </c>
      <c r="N3976" s="1">
        <v>0.30114999999999997</v>
      </c>
      <c r="O3976" s="5">
        <f>VLOOKUP(D3976,underlying!$D$76:$H$90,5,FALSE)</f>
        <v>-0.28999999999999998</v>
      </c>
      <c r="P3976" s="2">
        <f>VLOOKUP(D3976,underlying!$D$76:$L$90,9,FALSE)</f>
        <v>42844</v>
      </c>
      <c r="Q3976" s="7">
        <f>IF(G3976="C",NormalCallSprd(O3976,H3976,M3976,(P3976-A3976)/365), NormalPutSprd(O3976,H3976,M3976,(P3976-A3976)/365))</f>
        <v>0.16832825344084154</v>
      </c>
      <c r="R3976" s="9">
        <f t="shared" si="159"/>
        <v>1.6717465591584713E-3</v>
      </c>
    </row>
    <row r="3977" spans="1:18" x14ac:dyDescent="0.2">
      <c r="A3977" s="2">
        <v>42622</v>
      </c>
      <c r="B3977" s="1" t="s">
        <v>59</v>
      </c>
      <c r="C3977" s="1" t="s">
        <v>14</v>
      </c>
      <c r="D3977" s="2">
        <v>42740</v>
      </c>
      <c r="E3977" s="2">
        <f t="shared" si="158"/>
        <v>42856</v>
      </c>
      <c r="F3977" s="1" t="s">
        <v>60</v>
      </c>
      <c r="G3977" s="1" t="s">
        <v>18</v>
      </c>
      <c r="H3977" s="1">
        <v>-0.1</v>
      </c>
      <c r="I3977" s="1">
        <v>0.36</v>
      </c>
      <c r="J3977" s="1">
        <v>0.01</v>
      </c>
      <c r="K3977" s="1" t="s">
        <v>71</v>
      </c>
      <c r="L3977" s="1">
        <v>2387</v>
      </c>
      <c r="M3977" s="1">
        <v>0.81</v>
      </c>
      <c r="N3977" s="1">
        <v>0.32762999999999998</v>
      </c>
      <c r="O3977" s="5">
        <f>VLOOKUP(D3977,underlying!$D$76:$H$90,5,FALSE)</f>
        <v>-0.28999999999999998</v>
      </c>
      <c r="P3977" s="2">
        <f>VLOOKUP(D3977,underlying!$D$76:$L$90,9,FALSE)</f>
        <v>42844</v>
      </c>
      <c r="Q3977" s="7">
        <f>IF(G3977="C",NormalCallSprd(O3977,H3977,M3977,(P3977-A3977)/365), NormalPutSprd(O3977,H3977,M3977,(P3977-A3977)/365))</f>
        <v>0.35832825344084152</v>
      </c>
      <c r="R3977" s="9">
        <f t="shared" si="159"/>
        <v>1.6717465591584713E-3</v>
      </c>
    </row>
    <row r="3978" spans="1:18" x14ac:dyDescent="0.2">
      <c r="A3978" s="2">
        <v>42622</v>
      </c>
      <c r="B3978" s="1" t="s">
        <v>59</v>
      </c>
      <c r="C3978" s="1" t="s">
        <v>14</v>
      </c>
      <c r="D3978" s="2">
        <v>42740</v>
      </c>
      <c r="E3978" s="2">
        <f t="shared" si="158"/>
        <v>42856</v>
      </c>
      <c r="F3978" s="1" t="s">
        <v>60</v>
      </c>
      <c r="G3978" s="1" t="s">
        <v>16</v>
      </c>
      <c r="H3978" s="1">
        <v>-0.05</v>
      </c>
      <c r="I3978" s="1">
        <v>0.15</v>
      </c>
      <c r="J3978" s="1">
        <v>-0.02</v>
      </c>
      <c r="K3978" s="1" t="s">
        <v>71</v>
      </c>
      <c r="L3978" s="1">
        <v>2387</v>
      </c>
      <c r="M3978" s="1">
        <v>0.82</v>
      </c>
      <c r="N3978" s="1">
        <v>0.35524</v>
      </c>
      <c r="O3978" s="5">
        <f>VLOOKUP(D3978,underlying!$D$76:$H$90,5,FALSE)</f>
        <v>-0.28999999999999998</v>
      </c>
      <c r="P3978" s="2">
        <f>VLOOKUP(D3978,underlying!$D$76:$L$90,9,FALSE)</f>
        <v>42844</v>
      </c>
      <c r="Q3978" s="7">
        <f>IF(G3978="C",NormalCallSprd(O3978,H3978,M3978,(P3978-A3978)/365), NormalPutSprd(O3978,H3978,M3978,(P3978-A3978)/365))</f>
        <v>0.15288392556702335</v>
      </c>
      <c r="R3978" s="9">
        <f t="shared" si="159"/>
        <v>2.8839255670233543E-3</v>
      </c>
    </row>
    <row r="3979" spans="1:18" x14ac:dyDescent="0.2">
      <c r="A3979" s="2">
        <v>42622</v>
      </c>
      <c r="B3979" s="1" t="s">
        <v>59</v>
      </c>
      <c r="C3979" s="1" t="s">
        <v>14</v>
      </c>
      <c r="D3979" s="2">
        <v>42740</v>
      </c>
      <c r="E3979" s="2">
        <f t="shared" si="158"/>
        <v>42856</v>
      </c>
      <c r="F3979" s="1" t="s">
        <v>60</v>
      </c>
      <c r="G3979" s="1" t="s">
        <v>18</v>
      </c>
      <c r="H3979" s="1">
        <v>-0.05</v>
      </c>
      <c r="I3979" s="1">
        <v>0.39</v>
      </c>
      <c r="J3979" s="1">
        <v>0.01</v>
      </c>
      <c r="K3979" s="1" t="s">
        <v>71</v>
      </c>
      <c r="L3979" s="1">
        <v>2387</v>
      </c>
      <c r="M3979" s="1">
        <v>0.82</v>
      </c>
      <c r="N3979" s="1">
        <v>0.39555000000000001</v>
      </c>
      <c r="O3979" s="5">
        <f>VLOOKUP(D3979,underlying!$D$76:$H$90,5,FALSE)</f>
        <v>-0.28999999999999998</v>
      </c>
      <c r="P3979" s="2">
        <f>VLOOKUP(D3979,underlying!$D$76:$L$90,9,FALSE)</f>
        <v>42844</v>
      </c>
      <c r="Q3979" s="7">
        <f>IF(G3979="C",NormalCallSprd(O3979,H3979,M3979,(P3979-A3979)/365), NormalPutSprd(O3979,H3979,M3979,(P3979-A3979)/365))</f>
        <v>0.39288392556702334</v>
      </c>
      <c r="R3979" s="9">
        <f t="shared" si="159"/>
        <v>2.8839255670233266E-3</v>
      </c>
    </row>
    <row r="3980" spans="1:18" x14ac:dyDescent="0.2">
      <c r="A3980" s="2">
        <v>42622</v>
      </c>
      <c r="B3980" s="1" t="s">
        <v>59</v>
      </c>
      <c r="C3980" s="1" t="s">
        <v>14</v>
      </c>
      <c r="D3980" s="2">
        <v>42741</v>
      </c>
      <c r="E3980" s="2">
        <f t="shared" si="158"/>
        <v>42887</v>
      </c>
      <c r="F3980" s="1" t="s">
        <v>60</v>
      </c>
      <c r="G3980" s="1" t="s">
        <v>16</v>
      </c>
      <c r="H3980" s="1">
        <v>-3</v>
      </c>
      <c r="I3980" s="1">
        <v>2.77</v>
      </c>
      <c r="J3980" s="1">
        <v>-0.01</v>
      </c>
      <c r="K3980" s="1" t="s">
        <v>72</v>
      </c>
      <c r="L3980" s="1">
        <v>2387</v>
      </c>
      <c r="M3980" s="1">
        <v>1.04</v>
      </c>
      <c r="N3980" s="1">
        <v>0.43137999999999999</v>
      </c>
      <c r="O3980" s="5">
        <f>VLOOKUP(D3980,underlying!$D$76:$H$90,5,FALSE)</f>
        <v>-0.22</v>
      </c>
      <c r="P3980" s="2">
        <f>VLOOKUP(D3980,underlying!$D$76:$L$90,9,FALSE)</f>
        <v>42874</v>
      </c>
      <c r="Q3980" s="7">
        <f>IF(G3980="C",NormalCallSprd(O3980,H3980,M3980,(P3980-A3980)/365), NormalPutSprd(O3980,H3980,M3980,(P3980-A3980)/365))</f>
        <v>2.7801502510935507</v>
      </c>
      <c r="R3980" s="9">
        <f t="shared" si="159"/>
        <v>1.0150251093550722E-2</v>
      </c>
    </row>
    <row r="3981" spans="1:18" x14ac:dyDescent="0.2">
      <c r="A3981" s="2">
        <v>42622</v>
      </c>
      <c r="B3981" s="1" t="s">
        <v>59</v>
      </c>
      <c r="C3981" s="1" t="s">
        <v>14</v>
      </c>
      <c r="D3981" s="2">
        <v>42741</v>
      </c>
      <c r="E3981" s="2">
        <f t="shared" si="158"/>
        <v>42887</v>
      </c>
      <c r="F3981" s="1" t="s">
        <v>60</v>
      </c>
      <c r="G3981" s="1" t="s">
        <v>18</v>
      </c>
      <c r="H3981" s="1">
        <v>-3</v>
      </c>
      <c r="I3981" s="1">
        <v>0.01</v>
      </c>
      <c r="J3981" s="1">
        <v>0</v>
      </c>
      <c r="K3981" s="1" t="s">
        <v>72</v>
      </c>
      <c r="L3981" s="1">
        <v>2387</v>
      </c>
      <c r="M3981" s="1">
        <v>1.04</v>
      </c>
      <c r="N3981" s="1">
        <v>0.46522000000000002</v>
      </c>
      <c r="O3981" s="5">
        <f>VLOOKUP(D3981,underlying!$D$76:$H$90,5,FALSE)</f>
        <v>-0.22</v>
      </c>
      <c r="P3981" s="2">
        <f>VLOOKUP(D3981,underlying!$D$76:$L$90,9,FALSE)</f>
        <v>42874</v>
      </c>
      <c r="Q3981" s="7">
        <f>IF(G3981="C",NormalCallSprd(O3981,H3981,M3981,(P3981-A3981)/365), NormalPutSprd(O3981,H3981,M3981,(P3981-A3981)/365))</f>
        <v>1.5025109355047543E-4</v>
      </c>
      <c r="R3981" s="9">
        <f t="shared" si="159"/>
        <v>9.849748906449525E-3</v>
      </c>
    </row>
    <row r="3982" spans="1:18" x14ac:dyDescent="0.2">
      <c r="A3982" s="2">
        <v>42622</v>
      </c>
      <c r="B3982" s="1" t="s">
        <v>59</v>
      </c>
      <c r="C3982" s="1" t="s">
        <v>14</v>
      </c>
      <c r="D3982" s="2">
        <v>42741</v>
      </c>
      <c r="E3982" s="2">
        <f t="shared" si="158"/>
        <v>42887</v>
      </c>
      <c r="F3982" s="1" t="s">
        <v>60</v>
      </c>
      <c r="G3982" s="1" t="s">
        <v>16</v>
      </c>
      <c r="H3982" s="1">
        <v>-2</v>
      </c>
      <c r="I3982" s="1">
        <v>1.78</v>
      </c>
      <c r="J3982" s="1">
        <v>-0.01</v>
      </c>
      <c r="K3982" s="1" t="s">
        <v>72</v>
      </c>
      <c r="L3982" s="1">
        <v>2387</v>
      </c>
      <c r="M3982" s="1">
        <v>0.92</v>
      </c>
      <c r="N3982" s="1">
        <v>0.49889</v>
      </c>
      <c r="O3982" s="5">
        <f>VLOOKUP(D3982,underlying!$D$76:$H$90,5,FALSE)</f>
        <v>-0.22</v>
      </c>
      <c r="P3982" s="2">
        <f>VLOOKUP(D3982,underlying!$D$76:$L$90,9,FALSE)</f>
        <v>42874</v>
      </c>
      <c r="Q3982" s="7">
        <f>IF(G3982="C",NormalCallSprd(O3982,H3982,M3982,(P3982-A3982)/365), NormalPutSprd(O3982,H3982,M3982,(P3982-A3982)/365))</f>
        <v>1.7825739296331751</v>
      </c>
      <c r="R3982" s="9">
        <f t="shared" si="159"/>
        <v>2.5739296331750428E-3</v>
      </c>
    </row>
    <row r="3983" spans="1:18" x14ac:dyDescent="0.2">
      <c r="A3983" s="2">
        <v>42622</v>
      </c>
      <c r="B3983" s="1" t="s">
        <v>59</v>
      </c>
      <c r="C3983" s="1" t="s">
        <v>14</v>
      </c>
      <c r="D3983" s="2">
        <v>42741</v>
      </c>
      <c r="E3983" s="2">
        <f t="shared" si="158"/>
        <v>42887</v>
      </c>
      <c r="F3983" s="1" t="s">
        <v>60</v>
      </c>
      <c r="G3983" s="1" t="s">
        <v>18</v>
      </c>
      <c r="H3983" s="1">
        <v>-2</v>
      </c>
      <c r="I3983" s="1">
        <v>0.01</v>
      </c>
      <c r="J3983" s="1">
        <v>0</v>
      </c>
      <c r="K3983" s="1" t="s">
        <v>72</v>
      </c>
      <c r="L3983" s="1">
        <v>2387</v>
      </c>
      <c r="M3983" s="1">
        <v>0.92</v>
      </c>
      <c r="N3983" s="1">
        <v>0.53266999999999998</v>
      </c>
      <c r="O3983" s="5">
        <f>VLOOKUP(D3983,underlying!$D$76:$H$90,5,FALSE)</f>
        <v>-0.22</v>
      </c>
      <c r="P3983" s="2">
        <f>VLOOKUP(D3983,underlying!$D$76:$L$90,9,FALSE)</f>
        <v>42874</v>
      </c>
      <c r="Q3983" s="7">
        <f>IF(G3983="C",NormalCallSprd(O3983,H3983,M3983,(P3983-A3983)/365), NormalPutSprd(O3983,H3983,M3983,(P3983-A3983)/365))</f>
        <v>2.5739296331752136E-3</v>
      </c>
      <c r="R3983" s="9">
        <f t="shared" si="159"/>
        <v>7.4260703668247866E-3</v>
      </c>
    </row>
    <row r="3984" spans="1:18" x14ac:dyDescent="0.2">
      <c r="A3984" s="2">
        <v>42622</v>
      </c>
      <c r="B3984" s="1" t="s">
        <v>59</v>
      </c>
      <c r="C3984" s="1" t="s">
        <v>14</v>
      </c>
      <c r="D3984" s="2">
        <v>42741</v>
      </c>
      <c r="E3984" s="2">
        <f t="shared" si="158"/>
        <v>42887</v>
      </c>
      <c r="F3984" s="1" t="s">
        <v>60</v>
      </c>
      <c r="G3984" s="1" t="s">
        <v>16</v>
      </c>
      <c r="H3984" s="1">
        <v>-1</v>
      </c>
      <c r="I3984" s="1">
        <v>0.82</v>
      </c>
      <c r="J3984" s="1">
        <v>0</v>
      </c>
      <c r="K3984" s="1" t="s">
        <v>72</v>
      </c>
      <c r="L3984" s="1">
        <v>2387</v>
      </c>
      <c r="M3984" s="1">
        <v>0.82</v>
      </c>
      <c r="N3984" s="1">
        <v>0.56652000000000002</v>
      </c>
      <c r="O3984" s="5">
        <f>VLOOKUP(D3984,underlying!$D$76:$H$90,5,FALSE)</f>
        <v>-0.22</v>
      </c>
      <c r="P3984" s="2">
        <f>VLOOKUP(D3984,underlying!$D$76:$L$90,9,FALSE)</f>
        <v>42874</v>
      </c>
      <c r="Q3984" s="7">
        <f>IF(G3984="C",NormalCallSprd(O3984,H3984,M3984,(P3984-A3984)/365), NormalPutSprd(O3984,H3984,M3984,(P3984-A3984)/365))</f>
        <v>0.82275964271434077</v>
      </c>
      <c r="R3984" s="9">
        <f t="shared" si="159"/>
        <v>2.7596427143408153E-3</v>
      </c>
    </row>
    <row r="3985" spans="1:18" x14ac:dyDescent="0.2">
      <c r="A3985" s="2">
        <v>42622</v>
      </c>
      <c r="B3985" s="1" t="s">
        <v>59</v>
      </c>
      <c r="C3985" s="1" t="s">
        <v>14</v>
      </c>
      <c r="D3985" s="2">
        <v>42741</v>
      </c>
      <c r="E3985" s="2">
        <f t="shared" si="158"/>
        <v>42887</v>
      </c>
      <c r="F3985" s="1" t="s">
        <v>60</v>
      </c>
      <c r="G3985" s="1" t="s">
        <v>18</v>
      </c>
      <c r="H3985" s="1">
        <v>-1</v>
      </c>
      <c r="I3985" s="1">
        <v>0.06</v>
      </c>
      <c r="J3985" s="1">
        <v>0.01</v>
      </c>
      <c r="K3985" s="1" t="s">
        <v>72</v>
      </c>
      <c r="L3985" s="1">
        <v>2387</v>
      </c>
      <c r="M3985" s="1">
        <v>0.82</v>
      </c>
      <c r="N3985" s="1">
        <v>0.59972000000000003</v>
      </c>
      <c r="O3985" s="5">
        <f>VLOOKUP(D3985,underlying!$D$76:$H$90,5,FALSE)</f>
        <v>-0.22</v>
      </c>
      <c r="P3985" s="2">
        <f>VLOOKUP(D3985,underlying!$D$76:$L$90,9,FALSE)</f>
        <v>42874</v>
      </c>
      <c r="Q3985" s="7">
        <f>IF(G3985="C",NormalCallSprd(O3985,H3985,M3985,(P3985-A3985)/365), NormalPutSprd(O3985,H3985,M3985,(P3985-A3985)/365))</f>
        <v>4.2759642714340788E-2</v>
      </c>
      <c r="R3985" s="9">
        <f t="shared" si="159"/>
        <v>1.7240357285659209E-2</v>
      </c>
    </row>
    <row r="3986" spans="1:18" x14ac:dyDescent="0.2">
      <c r="A3986" s="2">
        <v>42622</v>
      </c>
      <c r="B3986" s="1" t="s">
        <v>59</v>
      </c>
      <c r="C3986" s="1" t="s">
        <v>14</v>
      </c>
      <c r="D3986" s="2">
        <v>42741</v>
      </c>
      <c r="E3986" s="2">
        <f t="shared" si="158"/>
        <v>42887</v>
      </c>
      <c r="F3986" s="1" t="s">
        <v>60</v>
      </c>
      <c r="G3986" s="1" t="s">
        <v>16</v>
      </c>
      <c r="H3986" s="1">
        <v>-0.85</v>
      </c>
      <c r="I3986" s="1">
        <v>0.69</v>
      </c>
      <c r="J3986" s="1">
        <v>0</v>
      </c>
      <c r="K3986" s="1" t="s">
        <v>72</v>
      </c>
      <c r="L3986" s="1">
        <v>2387</v>
      </c>
      <c r="M3986" s="1">
        <v>0.8</v>
      </c>
      <c r="N3986" s="1">
        <v>0.63134000000000001</v>
      </c>
      <c r="O3986" s="5">
        <f>VLOOKUP(D3986,underlying!$D$76:$H$90,5,FALSE)</f>
        <v>-0.22</v>
      </c>
      <c r="P3986" s="2">
        <f>VLOOKUP(D3986,underlying!$D$76:$L$90,9,FALSE)</f>
        <v>42874</v>
      </c>
      <c r="Q3986" s="7">
        <f>IF(G3986="C",NormalCallSprd(O3986,H3986,M3986,(P3986-A3986)/365), NormalPutSprd(O3986,H3986,M3986,(P3986-A3986)/365))</f>
        <v>0.69111517688234414</v>
      </c>
      <c r="R3986" s="9">
        <f t="shared" si="159"/>
        <v>1.1151768823441932E-3</v>
      </c>
    </row>
    <row r="3987" spans="1:18" x14ac:dyDescent="0.2">
      <c r="A3987" s="2">
        <v>42622</v>
      </c>
      <c r="B3987" s="1" t="s">
        <v>59</v>
      </c>
      <c r="C3987" s="1" t="s">
        <v>14</v>
      </c>
      <c r="D3987" s="2">
        <v>42741</v>
      </c>
      <c r="E3987" s="2">
        <f t="shared" si="158"/>
        <v>42887</v>
      </c>
      <c r="F3987" s="1" t="s">
        <v>60</v>
      </c>
      <c r="G3987" s="1" t="s">
        <v>18</v>
      </c>
      <c r="H3987" s="1">
        <v>-0.85</v>
      </c>
      <c r="I3987" s="1">
        <v>0.06</v>
      </c>
      <c r="J3987" s="1">
        <v>0.01</v>
      </c>
      <c r="K3987" s="1" t="s">
        <v>72</v>
      </c>
      <c r="L3987" s="1">
        <v>2387</v>
      </c>
      <c r="M3987" s="1">
        <v>0.8</v>
      </c>
      <c r="N3987" s="1">
        <v>0.66100000000000003</v>
      </c>
      <c r="O3987" s="5">
        <f>VLOOKUP(D3987,underlying!$D$76:$H$90,5,FALSE)</f>
        <v>-0.22</v>
      </c>
      <c r="P3987" s="2">
        <f>VLOOKUP(D3987,underlying!$D$76:$L$90,9,FALSE)</f>
        <v>42874</v>
      </c>
      <c r="Q3987" s="7">
        <f>IF(G3987="C",NormalCallSprd(O3987,H3987,M3987,(P3987-A3987)/365), NormalPutSprd(O3987,H3987,M3987,(P3987-A3987)/365))</f>
        <v>6.1115176882344129E-2</v>
      </c>
      <c r="R3987" s="9">
        <f t="shared" si="159"/>
        <v>1.1151768823441308E-3</v>
      </c>
    </row>
    <row r="3988" spans="1:18" x14ac:dyDescent="0.2">
      <c r="A3988" s="2">
        <v>42622</v>
      </c>
      <c r="B3988" s="1" t="s">
        <v>59</v>
      </c>
      <c r="C3988" s="1" t="s">
        <v>14</v>
      </c>
      <c r="D3988" s="2">
        <v>42741</v>
      </c>
      <c r="E3988" s="2">
        <f t="shared" si="158"/>
        <v>42887</v>
      </c>
      <c r="F3988" s="1" t="s">
        <v>60</v>
      </c>
      <c r="G3988" s="1" t="s">
        <v>16</v>
      </c>
      <c r="H3988" s="1">
        <v>-0.8</v>
      </c>
      <c r="I3988" s="1">
        <v>0.65</v>
      </c>
      <c r="J3988" s="1">
        <v>0</v>
      </c>
      <c r="K3988" s="1" t="s">
        <v>72</v>
      </c>
      <c r="L3988" s="1">
        <v>2387</v>
      </c>
      <c r="M3988" s="1">
        <v>0.79</v>
      </c>
      <c r="N3988" s="1">
        <v>0.68905000000000005</v>
      </c>
      <c r="O3988" s="5">
        <f>VLOOKUP(D3988,underlying!$D$76:$H$90,5,FALSE)</f>
        <v>-0.22</v>
      </c>
      <c r="P3988" s="2">
        <f>VLOOKUP(D3988,underlying!$D$76:$L$90,9,FALSE)</f>
        <v>42874</v>
      </c>
      <c r="Q3988" s="7">
        <f>IF(G3988="C",NormalCallSprd(O3988,H3988,M3988,(P3988-A3988)/365), NormalPutSprd(O3988,H3988,M3988,(P3988-A3988)/365))</f>
        <v>0.64793210994920836</v>
      </c>
      <c r="R3988" s="9">
        <f t="shared" si="159"/>
        <v>2.0678900507916653E-3</v>
      </c>
    </row>
    <row r="3989" spans="1:18" x14ac:dyDescent="0.2">
      <c r="A3989" s="2">
        <v>42622</v>
      </c>
      <c r="B3989" s="1" t="s">
        <v>59</v>
      </c>
      <c r="C3989" s="1" t="s">
        <v>14</v>
      </c>
      <c r="D3989" s="2">
        <v>42741</v>
      </c>
      <c r="E3989" s="2">
        <f t="shared" si="158"/>
        <v>42887</v>
      </c>
      <c r="F3989" s="1" t="s">
        <v>60</v>
      </c>
      <c r="G3989" s="1" t="s">
        <v>18</v>
      </c>
      <c r="H3989" s="1">
        <v>-0.8</v>
      </c>
      <c r="I3989" s="1">
        <v>7.0000000000000007E-2</v>
      </c>
      <c r="J3989" s="1">
        <v>0.01</v>
      </c>
      <c r="K3989" s="1" t="s">
        <v>72</v>
      </c>
      <c r="L3989" s="1">
        <v>2387</v>
      </c>
      <c r="M3989" s="1">
        <v>0.79</v>
      </c>
      <c r="N3989" s="1">
        <v>0.71545999999999998</v>
      </c>
      <c r="O3989" s="5">
        <f>VLOOKUP(D3989,underlying!$D$76:$H$90,5,FALSE)</f>
        <v>-0.22</v>
      </c>
      <c r="P3989" s="2">
        <f>VLOOKUP(D3989,underlying!$D$76:$L$90,9,FALSE)</f>
        <v>42874</v>
      </c>
      <c r="Q3989" s="7">
        <f>IF(G3989="C",NormalCallSprd(O3989,H3989,M3989,(P3989-A3989)/365), NormalPutSprd(O3989,H3989,M3989,(P3989-A3989)/365))</f>
        <v>6.7932109949208327E-2</v>
      </c>
      <c r="R3989" s="9">
        <f t="shared" si="159"/>
        <v>2.0678900507916792E-3</v>
      </c>
    </row>
    <row r="3990" spans="1:18" x14ac:dyDescent="0.2">
      <c r="A3990" s="2">
        <v>42622</v>
      </c>
      <c r="B3990" s="1" t="s">
        <v>59</v>
      </c>
      <c r="C3990" s="1" t="s">
        <v>14</v>
      </c>
      <c r="D3990" s="2">
        <v>42741</v>
      </c>
      <c r="E3990" s="2">
        <f t="shared" si="158"/>
        <v>42887</v>
      </c>
      <c r="F3990" s="1" t="s">
        <v>60</v>
      </c>
      <c r="G3990" s="1" t="s">
        <v>16</v>
      </c>
      <c r="H3990" s="1">
        <v>-0.75</v>
      </c>
      <c r="I3990" s="1">
        <v>0.6</v>
      </c>
      <c r="J3990" s="1">
        <v>-0.01</v>
      </c>
      <c r="K3990" s="1" t="s">
        <v>72</v>
      </c>
      <c r="L3990" s="1">
        <v>2387</v>
      </c>
      <c r="M3990" s="1">
        <v>0.79</v>
      </c>
      <c r="N3990" s="1">
        <v>0.74019999999999997</v>
      </c>
      <c r="O3990" s="5">
        <f>VLOOKUP(D3990,underlying!$D$76:$H$90,5,FALSE)</f>
        <v>-0.22</v>
      </c>
      <c r="P3990" s="2">
        <f>VLOOKUP(D3990,underlying!$D$76:$L$90,9,FALSE)</f>
        <v>42874</v>
      </c>
      <c r="Q3990" s="7">
        <f>IF(G3990="C",NormalCallSprd(O3990,H3990,M3990,(P3990-A3990)/365), NormalPutSprd(O3990,H3990,M3990,(P3990-A3990)/365))</f>
        <v>0.60788079697949671</v>
      </c>
      <c r="R3990" s="9">
        <f t="shared" si="159"/>
        <v>7.8807969794967292E-3</v>
      </c>
    </row>
    <row r="3991" spans="1:18" x14ac:dyDescent="0.2">
      <c r="A3991" s="2">
        <v>42622</v>
      </c>
      <c r="B3991" s="1" t="s">
        <v>59</v>
      </c>
      <c r="C3991" s="1" t="s">
        <v>14</v>
      </c>
      <c r="D3991" s="2">
        <v>42741</v>
      </c>
      <c r="E3991" s="2">
        <f t="shared" si="158"/>
        <v>42887</v>
      </c>
      <c r="F3991" s="1" t="s">
        <v>60</v>
      </c>
      <c r="G3991" s="1" t="s">
        <v>18</v>
      </c>
      <c r="H3991" s="1">
        <v>-0.75</v>
      </c>
      <c r="I3991" s="1">
        <v>0.08</v>
      </c>
      <c r="J3991" s="1">
        <v>0</v>
      </c>
      <c r="K3991" s="1" t="s">
        <v>72</v>
      </c>
      <c r="L3991" s="1">
        <v>2387</v>
      </c>
      <c r="M3991" s="1">
        <v>0.79</v>
      </c>
      <c r="N3991" s="1">
        <v>0.76470000000000005</v>
      </c>
      <c r="O3991" s="5">
        <f>VLOOKUP(D3991,underlying!$D$76:$H$90,5,FALSE)</f>
        <v>-0.22</v>
      </c>
      <c r="P3991" s="2">
        <f>VLOOKUP(D3991,underlying!$D$76:$L$90,9,FALSE)</f>
        <v>42874</v>
      </c>
      <c r="Q3991" s="7">
        <f>IF(G3991="C",NormalCallSprd(O3991,H3991,M3991,(P3991-A3991)/365), NormalPutSprd(O3991,H3991,M3991,(P3991-A3991)/365))</f>
        <v>7.7880796979496653E-2</v>
      </c>
      <c r="R3991" s="9">
        <f t="shared" si="159"/>
        <v>2.1192030205033491E-3</v>
      </c>
    </row>
    <row r="3992" spans="1:18" x14ac:dyDescent="0.2">
      <c r="A3992" s="2">
        <v>42622</v>
      </c>
      <c r="B3992" s="1" t="s">
        <v>59</v>
      </c>
      <c r="C3992" s="1" t="s">
        <v>14</v>
      </c>
      <c r="D3992" s="2">
        <v>42741</v>
      </c>
      <c r="E3992" s="2">
        <f t="shared" si="158"/>
        <v>42887</v>
      </c>
      <c r="F3992" s="1" t="s">
        <v>60</v>
      </c>
      <c r="G3992" s="1" t="s">
        <v>16</v>
      </c>
      <c r="H3992" s="1">
        <v>-0.7</v>
      </c>
      <c r="I3992" s="1">
        <v>0.56999999999999995</v>
      </c>
      <c r="J3992" s="1">
        <v>0.01</v>
      </c>
      <c r="K3992" s="1" t="s">
        <v>72</v>
      </c>
      <c r="L3992" s="1">
        <v>2387</v>
      </c>
      <c r="M3992" s="1">
        <v>0.78</v>
      </c>
      <c r="N3992" s="1">
        <v>0.78866000000000003</v>
      </c>
      <c r="O3992" s="5">
        <f>VLOOKUP(D3992,underlying!$D$76:$H$90,5,FALSE)</f>
        <v>-0.22</v>
      </c>
      <c r="P3992" s="2">
        <f>VLOOKUP(D3992,underlying!$D$76:$L$90,9,FALSE)</f>
        <v>42874</v>
      </c>
      <c r="Q3992" s="7">
        <f>IF(G3992="C",NormalCallSprd(O3992,H3992,M3992,(P3992-A3992)/365), NormalPutSprd(O3992,H3992,M3992,(P3992-A3992)/365))</f>
        <v>0.56639753980453933</v>
      </c>
      <c r="R3992" s="9">
        <f t="shared" si="159"/>
        <v>3.6024601954606217E-3</v>
      </c>
    </row>
    <row r="3993" spans="1:18" x14ac:dyDescent="0.2">
      <c r="A3993" s="2">
        <v>42622</v>
      </c>
      <c r="B3993" s="1" t="s">
        <v>59</v>
      </c>
      <c r="C3993" s="1" t="s">
        <v>14</v>
      </c>
      <c r="D3993" s="2">
        <v>42741</v>
      </c>
      <c r="E3993" s="2">
        <f t="shared" si="158"/>
        <v>42887</v>
      </c>
      <c r="F3993" s="1" t="s">
        <v>60</v>
      </c>
      <c r="G3993" s="1" t="s">
        <v>18</v>
      </c>
      <c r="H3993" s="1">
        <v>-0.7</v>
      </c>
      <c r="I3993" s="1">
        <v>0.09</v>
      </c>
      <c r="J3993" s="1">
        <v>0.01</v>
      </c>
      <c r="K3993" s="1" t="s">
        <v>72</v>
      </c>
      <c r="L3993" s="1">
        <v>2387</v>
      </c>
      <c r="M3993" s="1">
        <v>0.78</v>
      </c>
      <c r="N3993" s="1">
        <v>0.80957000000000001</v>
      </c>
      <c r="O3993" s="5">
        <f>VLOOKUP(D3993,underlying!$D$76:$H$90,5,FALSE)</f>
        <v>-0.22</v>
      </c>
      <c r="P3993" s="2">
        <f>VLOOKUP(D3993,underlying!$D$76:$L$90,9,FALSE)</f>
        <v>42874</v>
      </c>
      <c r="Q3993" s="7">
        <f>IF(G3993="C",NormalCallSprd(O3993,H3993,M3993,(P3993-A3993)/365), NormalPutSprd(O3993,H3993,M3993,(P3993-A3993)/365))</f>
        <v>8.6397539804539417E-2</v>
      </c>
      <c r="R3993" s="9">
        <f t="shared" si="159"/>
        <v>3.6024601954605801E-3</v>
      </c>
    </row>
    <row r="3994" spans="1:18" x14ac:dyDescent="0.2">
      <c r="A3994" s="2">
        <v>42622</v>
      </c>
      <c r="B3994" s="1" t="s">
        <v>59</v>
      </c>
      <c r="C3994" s="1" t="s">
        <v>14</v>
      </c>
      <c r="D3994" s="2">
        <v>42741</v>
      </c>
      <c r="E3994" s="2">
        <f t="shared" si="158"/>
        <v>42887</v>
      </c>
      <c r="F3994" s="1" t="s">
        <v>60</v>
      </c>
      <c r="G3994" s="1" t="s">
        <v>16</v>
      </c>
      <c r="H3994" s="1">
        <v>-0.65</v>
      </c>
      <c r="I3994" s="1">
        <v>0.52</v>
      </c>
      <c r="J3994" s="1">
        <v>0</v>
      </c>
      <c r="K3994" s="1" t="s">
        <v>72</v>
      </c>
      <c r="L3994" s="1">
        <v>2387</v>
      </c>
      <c r="M3994" s="1">
        <v>0.77</v>
      </c>
      <c r="N3994" s="1">
        <v>0.98855000000000004</v>
      </c>
      <c r="O3994" s="5">
        <f>VLOOKUP(D3994,underlying!$D$76:$H$90,5,FALSE)</f>
        <v>-0.22</v>
      </c>
      <c r="P3994" s="2">
        <f>VLOOKUP(D3994,underlying!$D$76:$L$90,9,FALSE)</f>
        <v>42874</v>
      </c>
      <c r="Q3994" s="7">
        <f>IF(G3994="C",NormalCallSprd(O3994,H3994,M3994,(P3994-A3994)/365), NormalPutSprd(O3994,H3994,M3994,(P3994-A3994)/365))</f>
        <v>0.52581419297813659</v>
      </c>
      <c r="R3994" s="9">
        <f t="shared" si="159"/>
        <v>5.8141929781365675E-3</v>
      </c>
    </row>
    <row r="3995" spans="1:18" x14ac:dyDescent="0.2">
      <c r="A3995" s="2">
        <v>42622</v>
      </c>
      <c r="B3995" s="1" t="s">
        <v>59</v>
      </c>
      <c r="C3995" s="1" t="s">
        <v>14</v>
      </c>
      <c r="D3995" s="2">
        <v>42741</v>
      </c>
      <c r="E3995" s="2">
        <f t="shared" si="158"/>
        <v>42887</v>
      </c>
      <c r="F3995" s="1" t="s">
        <v>60</v>
      </c>
      <c r="G3995" s="1" t="s">
        <v>18</v>
      </c>
      <c r="H3995" s="1">
        <v>-0.65</v>
      </c>
      <c r="I3995" s="1">
        <v>0.1</v>
      </c>
      <c r="J3995" s="1">
        <v>0.01</v>
      </c>
      <c r="K3995" s="1" t="s">
        <v>72</v>
      </c>
      <c r="L3995" s="1">
        <v>2387</v>
      </c>
      <c r="M3995" s="1">
        <v>0.77</v>
      </c>
      <c r="N3995" s="1">
        <v>0.99766999999999995</v>
      </c>
      <c r="O3995" s="5">
        <f>VLOOKUP(D3995,underlying!$D$76:$H$90,5,FALSE)</f>
        <v>-0.22</v>
      </c>
      <c r="P3995" s="2">
        <f>VLOOKUP(D3995,underlying!$D$76:$L$90,9,FALSE)</f>
        <v>42874</v>
      </c>
      <c r="Q3995" s="7">
        <f>IF(G3995="C",NormalCallSprd(O3995,H3995,M3995,(P3995-A3995)/365), NormalPutSprd(O3995,H3995,M3995,(P3995-A3995)/365))</f>
        <v>9.5814192978136578E-2</v>
      </c>
      <c r="R3995" s="9">
        <f t="shared" si="159"/>
        <v>4.1858070218634275E-3</v>
      </c>
    </row>
    <row r="3996" spans="1:18" x14ac:dyDescent="0.2">
      <c r="A3996" s="2">
        <v>42622</v>
      </c>
      <c r="B3996" s="1" t="s">
        <v>59</v>
      </c>
      <c r="C3996" s="1" t="s">
        <v>14</v>
      </c>
      <c r="D3996" s="2">
        <v>42741</v>
      </c>
      <c r="E3996" s="2">
        <f t="shared" si="158"/>
        <v>42887</v>
      </c>
      <c r="F3996" s="1" t="s">
        <v>60</v>
      </c>
      <c r="G3996" s="1" t="s">
        <v>16</v>
      </c>
      <c r="H3996" s="1">
        <v>-0.6</v>
      </c>
      <c r="I3996" s="1">
        <v>0.49</v>
      </c>
      <c r="J3996" s="1">
        <v>0.01</v>
      </c>
      <c r="K3996" s="1" t="s">
        <v>72</v>
      </c>
      <c r="L3996" s="1">
        <v>2387</v>
      </c>
      <c r="M3996" s="1">
        <v>0.76</v>
      </c>
      <c r="N3996" s="1">
        <v>0.99778</v>
      </c>
      <c r="O3996" s="5">
        <f>VLOOKUP(D3996,underlying!$D$76:$H$90,5,FALSE)</f>
        <v>-0.22</v>
      </c>
      <c r="P3996" s="2">
        <f>VLOOKUP(D3996,underlying!$D$76:$L$90,9,FALSE)</f>
        <v>42874</v>
      </c>
      <c r="Q3996" s="7">
        <f>IF(G3996="C",NormalCallSprd(O3996,H3996,M3996,(P3996-A3996)/365), NormalPutSprd(O3996,H3996,M3996,(P3996-A3996)/365))</f>
        <v>0.48621260353207008</v>
      </c>
      <c r="R3996" s="9">
        <f t="shared" si="159"/>
        <v>3.7873964679299155E-3</v>
      </c>
    </row>
    <row r="3997" spans="1:18" x14ac:dyDescent="0.2">
      <c r="A3997" s="2">
        <v>42622</v>
      </c>
      <c r="B3997" s="1" t="s">
        <v>59</v>
      </c>
      <c r="C3997" s="1" t="s">
        <v>14</v>
      </c>
      <c r="D3997" s="2">
        <v>42741</v>
      </c>
      <c r="E3997" s="2">
        <f t="shared" si="158"/>
        <v>42887</v>
      </c>
      <c r="F3997" s="1" t="s">
        <v>60</v>
      </c>
      <c r="G3997" s="1" t="s">
        <v>18</v>
      </c>
      <c r="H3997" s="1">
        <v>-0.6</v>
      </c>
      <c r="I3997" s="1">
        <v>0.12</v>
      </c>
      <c r="J3997" s="1">
        <v>0</v>
      </c>
      <c r="K3997" s="1" t="s">
        <v>72</v>
      </c>
      <c r="L3997" s="1">
        <v>2387</v>
      </c>
      <c r="M3997" s="1">
        <v>0.76</v>
      </c>
      <c r="N3997" s="1">
        <v>-0.747</v>
      </c>
      <c r="O3997" s="5">
        <f>VLOOKUP(D3997,underlying!$D$76:$H$90,5,FALSE)</f>
        <v>-0.22</v>
      </c>
      <c r="P3997" s="2">
        <f>VLOOKUP(D3997,underlying!$D$76:$L$90,9,FALSE)</f>
        <v>42874</v>
      </c>
      <c r="Q3997" s="7">
        <f>IF(G3997="C",NormalCallSprd(O3997,H3997,M3997,(P3997-A3997)/365), NormalPutSprd(O3997,H3997,M3997,(P3997-A3997)/365))</f>
        <v>0.10621260353207009</v>
      </c>
      <c r="R3997" s="9">
        <f t="shared" si="159"/>
        <v>1.378739646792991E-2</v>
      </c>
    </row>
    <row r="3998" spans="1:18" x14ac:dyDescent="0.2">
      <c r="A3998" s="2">
        <v>42622</v>
      </c>
      <c r="B3998" s="1" t="s">
        <v>59</v>
      </c>
      <c r="C3998" s="1" t="s">
        <v>14</v>
      </c>
      <c r="D3998" s="2">
        <v>42741</v>
      </c>
      <c r="E3998" s="2">
        <f t="shared" si="158"/>
        <v>42887</v>
      </c>
      <c r="F3998" s="1" t="s">
        <v>60</v>
      </c>
      <c r="G3998" s="1" t="s">
        <v>16</v>
      </c>
      <c r="H3998" s="1">
        <v>-0.55000000000000004</v>
      </c>
      <c r="I3998" s="1">
        <v>0.45</v>
      </c>
      <c r="J3998" s="1">
        <v>0.01</v>
      </c>
      <c r="K3998" s="1" t="s">
        <v>72</v>
      </c>
      <c r="L3998" s="1">
        <v>2387</v>
      </c>
      <c r="M3998" s="1">
        <v>0.75</v>
      </c>
      <c r="N3998" s="1">
        <v>-0.72391000000000005</v>
      </c>
      <c r="O3998" s="5">
        <f>VLOOKUP(D3998,underlying!$D$76:$H$90,5,FALSE)</f>
        <v>-0.22</v>
      </c>
      <c r="P3998" s="2">
        <f>VLOOKUP(D3998,underlying!$D$76:$L$90,9,FALSE)</f>
        <v>42874</v>
      </c>
      <c r="Q3998" s="7">
        <f>IF(G3998="C",NormalCallSprd(O3998,H3998,M3998,(P3998-A3998)/365), NormalPutSprd(O3998,H3998,M3998,(P3998-A3998)/365))</f>
        <v>0.44767873811321263</v>
      </c>
      <c r="R3998" s="9">
        <f t="shared" si="159"/>
        <v>2.3212618867873847E-3</v>
      </c>
    </row>
    <row r="3999" spans="1:18" x14ac:dyDescent="0.2">
      <c r="A3999" s="2">
        <v>42622</v>
      </c>
      <c r="B3999" s="1" t="s">
        <v>59</v>
      </c>
      <c r="C3999" s="1" t="s">
        <v>14</v>
      </c>
      <c r="D3999" s="2">
        <v>42741</v>
      </c>
      <c r="E3999" s="2">
        <f t="shared" si="158"/>
        <v>42887</v>
      </c>
      <c r="F3999" s="1" t="s">
        <v>60</v>
      </c>
      <c r="G3999" s="1" t="s">
        <v>18</v>
      </c>
      <c r="H3999" s="1">
        <v>-0.55000000000000004</v>
      </c>
      <c r="I3999" s="1">
        <v>0.12</v>
      </c>
      <c r="J3999" s="1">
        <v>0.01</v>
      </c>
      <c r="K3999" s="1" t="s">
        <v>72</v>
      </c>
      <c r="L3999" s="1">
        <v>2387</v>
      </c>
      <c r="M3999" s="1">
        <v>0.75</v>
      </c>
      <c r="N3999" s="1">
        <v>-0.69662999999999997</v>
      </c>
      <c r="O3999" s="5">
        <f>VLOOKUP(D3999,underlying!$D$76:$H$90,5,FALSE)</f>
        <v>-0.22</v>
      </c>
      <c r="P3999" s="2">
        <f>VLOOKUP(D3999,underlying!$D$76:$L$90,9,FALSE)</f>
        <v>42874</v>
      </c>
      <c r="Q3999" s="7">
        <f>IF(G3999="C",NormalCallSprd(O3999,H3999,M3999,(P3999-A3999)/365), NormalPutSprd(O3999,H3999,M3999,(P3999-A3999)/365))</f>
        <v>0.11767873811321256</v>
      </c>
      <c r="R3999" s="9">
        <f t="shared" si="159"/>
        <v>2.3212618867874402E-3</v>
      </c>
    </row>
    <row r="4000" spans="1:18" x14ac:dyDescent="0.2">
      <c r="A4000" s="2">
        <v>42622</v>
      </c>
      <c r="B4000" s="1" t="s">
        <v>59</v>
      </c>
      <c r="C4000" s="1" t="s">
        <v>14</v>
      </c>
      <c r="D4000" s="2">
        <v>42741</v>
      </c>
      <c r="E4000" s="2">
        <f t="shared" si="158"/>
        <v>42887</v>
      </c>
      <c r="F4000" s="1" t="s">
        <v>60</v>
      </c>
      <c r="G4000" s="1" t="s">
        <v>16</v>
      </c>
      <c r="H4000" s="1">
        <v>-0.5</v>
      </c>
      <c r="I4000" s="1">
        <v>0.41</v>
      </c>
      <c r="J4000" s="1">
        <v>0</v>
      </c>
      <c r="K4000" s="1" t="s">
        <v>72</v>
      </c>
      <c r="L4000" s="1">
        <v>2387</v>
      </c>
      <c r="M4000" s="1">
        <v>0.74</v>
      </c>
      <c r="N4000" s="1">
        <v>-0.67013999999999996</v>
      </c>
      <c r="O4000" s="5">
        <f>VLOOKUP(D4000,underlying!$D$76:$H$90,5,FALSE)</f>
        <v>-0.22</v>
      </c>
      <c r="P4000" s="2">
        <f>VLOOKUP(D4000,underlying!$D$76:$L$90,9,FALSE)</f>
        <v>42874</v>
      </c>
      <c r="Q4000" s="7">
        <f>IF(G4000="C",NormalCallSprd(O4000,H4000,M4000,(P4000-A4000)/365), NormalPutSprd(O4000,H4000,M4000,(P4000-A4000)/365))</f>
        <v>0.41030210592578853</v>
      </c>
      <c r="R4000" s="9">
        <f t="shared" si="159"/>
        <v>3.0210592578855389E-4</v>
      </c>
    </row>
    <row r="4001" spans="1:18" x14ac:dyDescent="0.2">
      <c r="A4001" s="2">
        <v>42622</v>
      </c>
      <c r="B4001" s="1" t="s">
        <v>59</v>
      </c>
      <c r="C4001" s="1" t="s">
        <v>14</v>
      </c>
      <c r="D4001" s="2">
        <v>42741</v>
      </c>
      <c r="E4001" s="2">
        <f t="shared" si="158"/>
        <v>42887</v>
      </c>
      <c r="F4001" s="1" t="s">
        <v>60</v>
      </c>
      <c r="G4001" s="1" t="s">
        <v>18</v>
      </c>
      <c r="H4001" s="1">
        <v>-0.5</v>
      </c>
      <c r="I4001" s="1">
        <v>0.13</v>
      </c>
      <c r="J4001" s="1">
        <v>0.01</v>
      </c>
      <c r="K4001" s="1" t="s">
        <v>72</v>
      </c>
      <c r="L4001" s="1">
        <v>2387</v>
      </c>
      <c r="M4001" s="1">
        <v>0.74</v>
      </c>
      <c r="N4001" s="1">
        <v>-0.64254</v>
      </c>
      <c r="O4001" s="5">
        <f>VLOOKUP(D4001,underlying!$D$76:$H$90,5,FALSE)</f>
        <v>-0.22</v>
      </c>
      <c r="P4001" s="2">
        <f>VLOOKUP(D4001,underlying!$D$76:$L$90,9,FALSE)</f>
        <v>42874</v>
      </c>
      <c r="Q4001" s="7">
        <f>IF(G4001="C",NormalCallSprd(O4001,H4001,M4001,(P4001-A4001)/365), NormalPutSprd(O4001,H4001,M4001,(P4001-A4001)/365))</f>
        <v>0.1303021059257885</v>
      </c>
      <c r="R4001" s="9">
        <f t="shared" si="159"/>
        <v>3.0210592578849838E-4</v>
      </c>
    </row>
    <row r="4002" spans="1:18" x14ac:dyDescent="0.2">
      <c r="A4002" s="2">
        <v>42622</v>
      </c>
      <c r="B4002" s="1" t="s">
        <v>59</v>
      </c>
      <c r="C4002" s="1" t="s">
        <v>14</v>
      </c>
      <c r="D4002" s="2">
        <v>42741</v>
      </c>
      <c r="E4002" s="2">
        <f t="shared" si="158"/>
        <v>42887</v>
      </c>
      <c r="F4002" s="1" t="s">
        <v>60</v>
      </c>
      <c r="G4002" s="1" t="s">
        <v>16</v>
      </c>
      <c r="H4002" s="1">
        <v>-0.45</v>
      </c>
      <c r="I4002" s="1">
        <v>0.37</v>
      </c>
      <c r="J4002" s="1">
        <v>0</v>
      </c>
      <c r="K4002" s="1" t="s">
        <v>72</v>
      </c>
      <c r="L4002" s="1">
        <v>2387</v>
      </c>
      <c r="M4002" s="1">
        <v>0.73</v>
      </c>
      <c r="N4002" s="1">
        <v>-0.60223000000000004</v>
      </c>
      <c r="O4002" s="5">
        <f>VLOOKUP(D4002,underlying!$D$76:$H$90,5,FALSE)</f>
        <v>-0.22</v>
      </c>
      <c r="P4002" s="2">
        <f>VLOOKUP(D4002,underlying!$D$76:$L$90,9,FALSE)</f>
        <v>42874</v>
      </c>
      <c r="Q4002" s="7">
        <f>IF(G4002="C",NormalCallSprd(O4002,H4002,M4002,(P4002-A4002)/365), NormalPutSprd(O4002,H4002,M4002,(P4002-A4002)/365))</f>
        <v>0.37417496856357213</v>
      </c>
      <c r="R4002" s="9">
        <f t="shared" si="159"/>
        <v>4.1749685635721345E-3</v>
      </c>
    </row>
    <row r="4003" spans="1:18" x14ac:dyDescent="0.2">
      <c r="A4003" s="2">
        <v>42622</v>
      </c>
      <c r="B4003" s="1" t="s">
        <v>59</v>
      </c>
      <c r="C4003" s="1" t="s">
        <v>14</v>
      </c>
      <c r="D4003" s="2">
        <v>42741</v>
      </c>
      <c r="E4003" s="2">
        <f t="shared" si="158"/>
        <v>42887</v>
      </c>
      <c r="F4003" s="1" t="s">
        <v>60</v>
      </c>
      <c r="G4003" s="1" t="s">
        <v>18</v>
      </c>
      <c r="H4003" s="1">
        <v>-0.45</v>
      </c>
      <c r="I4003" s="1">
        <v>0.14000000000000001</v>
      </c>
      <c r="J4003" s="1">
        <v>0.01</v>
      </c>
      <c r="K4003" s="1" t="s">
        <v>72</v>
      </c>
      <c r="L4003" s="1">
        <v>2387</v>
      </c>
      <c r="M4003" s="1">
        <v>0.73</v>
      </c>
      <c r="N4003" s="1">
        <v>-0.56640000000000001</v>
      </c>
      <c r="O4003" s="5">
        <f>VLOOKUP(D4003,underlying!$D$76:$H$90,5,FALSE)</f>
        <v>-0.22</v>
      </c>
      <c r="P4003" s="2">
        <f>VLOOKUP(D4003,underlying!$D$76:$L$90,9,FALSE)</f>
        <v>42874</v>
      </c>
      <c r="Q4003" s="7">
        <f>IF(G4003="C",NormalCallSprd(O4003,H4003,M4003,(P4003-A4003)/365), NormalPutSprd(O4003,H4003,M4003,(P4003-A4003)/365))</f>
        <v>0.14417496856357215</v>
      </c>
      <c r="R4003" s="9">
        <f t="shared" si="159"/>
        <v>4.1749685635721345E-3</v>
      </c>
    </row>
    <row r="4004" spans="1:18" x14ac:dyDescent="0.2">
      <c r="A4004" s="2">
        <v>42622</v>
      </c>
      <c r="B4004" s="1" t="s">
        <v>59</v>
      </c>
      <c r="C4004" s="1" t="s">
        <v>14</v>
      </c>
      <c r="D4004" s="2">
        <v>42741</v>
      </c>
      <c r="E4004" s="2">
        <f t="shared" si="158"/>
        <v>42887</v>
      </c>
      <c r="F4004" s="1" t="s">
        <v>60</v>
      </c>
      <c r="G4004" s="1" t="s">
        <v>16</v>
      </c>
      <c r="H4004" s="1">
        <v>-0.4</v>
      </c>
      <c r="I4004" s="1">
        <v>0.34</v>
      </c>
      <c r="J4004" s="1">
        <v>0</v>
      </c>
      <c r="K4004" s="1" t="s">
        <v>72</v>
      </c>
      <c r="L4004" s="1">
        <v>2387</v>
      </c>
      <c r="M4004" s="1">
        <v>0.72</v>
      </c>
      <c r="N4004" s="1">
        <v>-0.53256000000000003</v>
      </c>
      <c r="O4004" s="5">
        <f>VLOOKUP(D4004,underlying!$D$76:$H$90,5,FALSE)</f>
        <v>-0.22</v>
      </c>
      <c r="P4004" s="2">
        <f>VLOOKUP(D4004,underlying!$D$76:$L$90,9,FALSE)</f>
        <v>42874</v>
      </c>
      <c r="Q4004" s="7">
        <f>IF(G4004="C",NormalCallSprd(O4004,H4004,M4004,(P4004-A4004)/365), NormalPutSprd(O4004,H4004,M4004,(P4004-A4004)/365))</f>
        <v>0.33939130962683572</v>
      </c>
      <c r="R4004" s="9">
        <f t="shared" si="159"/>
        <v>6.0869037316430008E-4</v>
      </c>
    </row>
    <row r="4005" spans="1:18" x14ac:dyDescent="0.2">
      <c r="A4005" s="2">
        <v>42622</v>
      </c>
      <c r="B4005" s="1" t="s">
        <v>59</v>
      </c>
      <c r="C4005" s="1" t="s">
        <v>14</v>
      </c>
      <c r="D4005" s="2">
        <v>42741</v>
      </c>
      <c r="E4005" s="2">
        <f t="shared" si="158"/>
        <v>42887</v>
      </c>
      <c r="F4005" s="1" t="s">
        <v>60</v>
      </c>
      <c r="G4005" s="1" t="s">
        <v>18</v>
      </c>
      <c r="H4005" s="1">
        <v>-0.4</v>
      </c>
      <c r="I4005" s="1">
        <v>0.16</v>
      </c>
      <c r="J4005" s="1">
        <v>0</v>
      </c>
      <c r="K4005" s="1" t="s">
        <v>72</v>
      </c>
      <c r="L4005" s="1">
        <v>2387</v>
      </c>
      <c r="M4005" s="1">
        <v>0.72</v>
      </c>
      <c r="N4005" s="1">
        <v>-0.49889</v>
      </c>
      <c r="O4005" s="5">
        <f>VLOOKUP(D4005,underlying!$D$76:$H$90,5,FALSE)</f>
        <v>-0.22</v>
      </c>
      <c r="P4005" s="2">
        <f>VLOOKUP(D4005,underlying!$D$76:$L$90,9,FALSE)</f>
        <v>42874</v>
      </c>
      <c r="Q4005" s="7">
        <f>IF(G4005="C",NormalCallSprd(O4005,H4005,M4005,(P4005-A4005)/365), NormalPutSprd(O4005,H4005,M4005,(P4005-A4005)/365))</f>
        <v>0.1593913096268357</v>
      </c>
      <c r="R4005" s="9">
        <f t="shared" si="159"/>
        <v>6.0869037316430008E-4</v>
      </c>
    </row>
    <row r="4006" spans="1:18" x14ac:dyDescent="0.2">
      <c r="A4006" s="2">
        <v>42622</v>
      </c>
      <c r="B4006" s="1" t="s">
        <v>59</v>
      </c>
      <c r="C4006" s="1" t="s">
        <v>14</v>
      </c>
      <c r="D4006" s="2">
        <v>42741</v>
      </c>
      <c r="E4006" s="2">
        <f t="shared" si="158"/>
        <v>42887</v>
      </c>
      <c r="F4006" s="1" t="s">
        <v>60</v>
      </c>
      <c r="G4006" s="1" t="s">
        <v>16</v>
      </c>
      <c r="H4006" s="1">
        <v>-0.35</v>
      </c>
      <c r="I4006" s="1">
        <v>0.3</v>
      </c>
      <c r="J4006" s="1">
        <v>0</v>
      </c>
      <c r="K4006" s="1" t="s">
        <v>72</v>
      </c>
      <c r="L4006" s="1">
        <v>2387</v>
      </c>
      <c r="M4006" s="1">
        <v>0.71</v>
      </c>
      <c r="N4006" s="1">
        <v>-0.46510000000000001</v>
      </c>
      <c r="O4006" s="5">
        <f>VLOOKUP(D4006,underlying!$D$76:$H$90,5,FALSE)</f>
        <v>-0.22</v>
      </c>
      <c r="P4006" s="2">
        <f>VLOOKUP(D4006,underlying!$D$76:$L$90,9,FALSE)</f>
        <v>42874</v>
      </c>
      <c r="Q4006" s="7">
        <f>IF(G4006="C",NormalCallSprd(O4006,H4006,M4006,(P4006-A4006)/365), NormalPutSprd(O4006,H4006,M4006,(P4006-A4006)/365))</f>
        <v>0.30604554055249777</v>
      </c>
      <c r="R4006" s="9">
        <f t="shared" si="159"/>
        <v>6.0455405524977857E-3</v>
      </c>
    </row>
    <row r="4007" spans="1:18" x14ac:dyDescent="0.2">
      <c r="A4007" s="2">
        <v>42622</v>
      </c>
      <c r="B4007" s="1" t="s">
        <v>59</v>
      </c>
      <c r="C4007" s="1" t="s">
        <v>14</v>
      </c>
      <c r="D4007" s="2">
        <v>42741</v>
      </c>
      <c r="E4007" s="2">
        <f t="shared" si="158"/>
        <v>42887</v>
      </c>
      <c r="F4007" s="1" t="s">
        <v>60</v>
      </c>
      <c r="G4007" s="1" t="s">
        <v>18</v>
      </c>
      <c r="H4007" s="1">
        <v>-0.35</v>
      </c>
      <c r="I4007" s="1">
        <v>0.17</v>
      </c>
      <c r="J4007" s="1">
        <v>0.01</v>
      </c>
      <c r="K4007" s="1" t="s">
        <v>72</v>
      </c>
      <c r="L4007" s="1">
        <v>2387</v>
      </c>
      <c r="M4007" s="1">
        <v>0.71</v>
      </c>
      <c r="N4007" s="1">
        <v>-0.43125999999999998</v>
      </c>
      <c r="O4007" s="5">
        <f>VLOOKUP(D4007,underlying!$D$76:$H$90,5,FALSE)</f>
        <v>-0.22</v>
      </c>
      <c r="P4007" s="2">
        <f>VLOOKUP(D4007,underlying!$D$76:$L$90,9,FALSE)</f>
        <v>42874</v>
      </c>
      <c r="Q4007" s="7">
        <f>IF(G4007="C",NormalCallSprd(O4007,H4007,M4007,(P4007-A4007)/365), NormalPutSprd(O4007,H4007,M4007,(P4007-A4007)/365))</f>
        <v>0.1760455405524978</v>
      </c>
      <c r="R4007" s="9">
        <f t="shared" si="159"/>
        <v>6.0455405524977857E-3</v>
      </c>
    </row>
    <row r="4008" spans="1:18" x14ac:dyDescent="0.2">
      <c r="A4008" s="2">
        <v>42622</v>
      </c>
      <c r="B4008" s="1" t="s">
        <v>59</v>
      </c>
      <c r="C4008" s="1" t="s">
        <v>14</v>
      </c>
      <c r="D4008" s="2">
        <v>42741</v>
      </c>
      <c r="E4008" s="2">
        <f t="shared" si="158"/>
        <v>42887</v>
      </c>
      <c r="F4008" s="1" t="s">
        <v>60</v>
      </c>
      <c r="G4008" s="1" t="s">
        <v>16</v>
      </c>
      <c r="H4008" s="1">
        <v>-0.3</v>
      </c>
      <c r="I4008" s="1">
        <v>0.28000000000000003</v>
      </c>
      <c r="J4008" s="1">
        <v>0</v>
      </c>
      <c r="K4008" s="1" t="s">
        <v>72</v>
      </c>
      <c r="L4008" s="1">
        <v>2387</v>
      </c>
      <c r="M4008" s="1">
        <v>0.71</v>
      </c>
      <c r="N4008" s="1">
        <v>-0.39805000000000001</v>
      </c>
      <c r="O4008" s="5">
        <f>VLOOKUP(D4008,underlying!$D$76:$H$90,5,FALSE)</f>
        <v>-0.22</v>
      </c>
      <c r="P4008" s="2">
        <f>VLOOKUP(D4008,underlying!$D$76:$L$90,9,FALSE)</f>
        <v>42874</v>
      </c>
      <c r="Q4008" s="7">
        <f>IF(G4008="C",NormalCallSprd(O4008,H4008,M4008,(P4008-A4008)/365), NormalPutSprd(O4008,H4008,M4008,(P4008-A4008)/365))</f>
        <v>0.27751500567129928</v>
      </c>
      <c r="R4008" s="9">
        <f t="shared" si="159"/>
        <v>2.4849943287007514E-3</v>
      </c>
    </row>
    <row r="4009" spans="1:18" x14ac:dyDescent="0.2">
      <c r="A4009" s="2">
        <v>42622</v>
      </c>
      <c r="B4009" s="1" t="s">
        <v>59</v>
      </c>
      <c r="C4009" s="1" t="s">
        <v>14</v>
      </c>
      <c r="D4009" s="2">
        <v>42741</v>
      </c>
      <c r="E4009" s="2">
        <f t="shared" si="158"/>
        <v>42887</v>
      </c>
      <c r="F4009" s="1" t="s">
        <v>60</v>
      </c>
      <c r="G4009" s="1" t="s">
        <v>18</v>
      </c>
      <c r="H4009" s="1">
        <v>-0.3</v>
      </c>
      <c r="I4009" s="1">
        <v>0.2</v>
      </c>
      <c r="J4009" s="1">
        <v>0</v>
      </c>
      <c r="K4009" s="1" t="s">
        <v>72</v>
      </c>
      <c r="L4009" s="1">
        <v>2387</v>
      </c>
      <c r="M4009" s="1">
        <v>0.71</v>
      </c>
      <c r="N4009" s="1">
        <v>-0.36642999999999998</v>
      </c>
      <c r="O4009" s="5">
        <f>VLOOKUP(D4009,underlying!$D$76:$H$90,5,FALSE)</f>
        <v>-0.22</v>
      </c>
      <c r="P4009" s="2">
        <f>VLOOKUP(D4009,underlying!$D$76:$L$90,9,FALSE)</f>
        <v>42874</v>
      </c>
      <c r="Q4009" s="7">
        <f>IF(G4009="C",NormalCallSprd(O4009,H4009,M4009,(P4009-A4009)/365), NormalPutSprd(O4009,H4009,M4009,(P4009-A4009)/365))</f>
        <v>0.19751500567129929</v>
      </c>
      <c r="R4009" s="9">
        <f t="shared" si="159"/>
        <v>2.4849943287007237E-3</v>
      </c>
    </row>
    <row r="4010" spans="1:18" x14ac:dyDescent="0.2">
      <c r="A4010" s="2">
        <v>42622</v>
      </c>
      <c r="B4010" s="1" t="s">
        <v>59</v>
      </c>
      <c r="C4010" s="1" t="s">
        <v>14</v>
      </c>
      <c r="D4010" s="2">
        <v>42741</v>
      </c>
      <c r="E4010" s="2">
        <f t="shared" si="158"/>
        <v>42887</v>
      </c>
      <c r="F4010" s="1" t="s">
        <v>60</v>
      </c>
      <c r="G4010" s="1" t="s">
        <v>16</v>
      </c>
      <c r="H4010" s="1">
        <v>-0.25</v>
      </c>
      <c r="I4010" s="1">
        <v>0.25</v>
      </c>
      <c r="J4010" s="1">
        <v>0</v>
      </c>
      <c r="K4010" s="1" t="s">
        <v>72</v>
      </c>
      <c r="L4010" s="1">
        <v>2387</v>
      </c>
      <c r="M4010" s="1">
        <v>0.71</v>
      </c>
      <c r="N4010" s="1">
        <v>-0.33678000000000002</v>
      </c>
      <c r="O4010" s="5">
        <f>VLOOKUP(D4010,underlying!$D$76:$H$90,5,FALSE)</f>
        <v>-0.22</v>
      </c>
      <c r="P4010" s="2">
        <f>VLOOKUP(D4010,underlying!$D$76:$L$90,9,FALSE)</f>
        <v>42874</v>
      </c>
      <c r="Q4010" s="7">
        <f>IF(G4010="C",NormalCallSprd(O4010,H4010,M4010,(P4010-A4010)/365), NormalPutSprd(O4010,H4010,M4010,(P4010-A4010)/365))</f>
        <v>0.25065860283040919</v>
      </c>
      <c r="R4010" s="9">
        <f t="shared" si="159"/>
        <v>6.5860283040919398E-4</v>
      </c>
    </row>
    <row r="4011" spans="1:18" x14ac:dyDescent="0.2">
      <c r="A4011" s="2">
        <v>42622</v>
      </c>
      <c r="B4011" s="1" t="s">
        <v>59</v>
      </c>
      <c r="C4011" s="1" t="s">
        <v>14</v>
      </c>
      <c r="D4011" s="2">
        <v>42741</v>
      </c>
      <c r="E4011" s="2">
        <f t="shared" si="158"/>
        <v>42887</v>
      </c>
      <c r="F4011" s="1" t="s">
        <v>60</v>
      </c>
      <c r="G4011" s="1" t="s">
        <v>18</v>
      </c>
      <c r="H4011" s="1">
        <v>-0.25</v>
      </c>
      <c r="I4011" s="1">
        <v>0.22</v>
      </c>
      <c r="J4011" s="1">
        <v>0.01</v>
      </c>
      <c r="K4011" s="1" t="s">
        <v>72</v>
      </c>
      <c r="L4011" s="1">
        <v>2387</v>
      </c>
      <c r="M4011" s="1">
        <v>0.71</v>
      </c>
      <c r="N4011" s="1">
        <v>-0.30871999999999999</v>
      </c>
      <c r="O4011" s="5">
        <f>VLOOKUP(D4011,underlying!$D$76:$H$90,5,FALSE)</f>
        <v>-0.22</v>
      </c>
      <c r="P4011" s="2">
        <f>VLOOKUP(D4011,underlying!$D$76:$L$90,9,FALSE)</f>
        <v>42874</v>
      </c>
      <c r="Q4011" s="7">
        <f>IF(G4011="C",NormalCallSprd(O4011,H4011,M4011,(P4011-A4011)/365), NormalPutSprd(O4011,H4011,M4011,(P4011-A4011)/365))</f>
        <v>0.2206586028304092</v>
      </c>
      <c r="R4011" s="9">
        <f t="shared" si="159"/>
        <v>6.5860283040919398E-4</v>
      </c>
    </row>
    <row r="4012" spans="1:18" x14ac:dyDescent="0.2">
      <c r="A4012" s="2">
        <v>42622</v>
      </c>
      <c r="B4012" s="1" t="s">
        <v>59</v>
      </c>
      <c r="C4012" s="1" t="s">
        <v>14</v>
      </c>
      <c r="D4012" s="2">
        <v>42741</v>
      </c>
      <c r="E4012" s="2">
        <f t="shared" si="158"/>
        <v>42887</v>
      </c>
      <c r="F4012" s="1" t="s">
        <v>60</v>
      </c>
      <c r="G4012" s="1" t="s">
        <v>16</v>
      </c>
      <c r="H4012" s="1">
        <v>-0.2</v>
      </c>
      <c r="I4012" s="1">
        <v>0.23</v>
      </c>
      <c r="J4012" s="1">
        <v>0</v>
      </c>
      <c r="K4012" s="1" t="s">
        <v>72</v>
      </c>
      <c r="L4012" s="1">
        <v>2387</v>
      </c>
      <c r="M4012" s="1">
        <v>0.73</v>
      </c>
      <c r="N4012" s="1">
        <v>-0.28232000000000002</v>
      </c>
      <c r="O4012" s="5">
        <f>VLOOKUP(D4012,underlying!$D$76:$H$90,5,FALSE)</f>
        <v>-0.22</v>
      </c>
      <c r="P4012" s="2">
        <f>VLOOKUP(D4012,underlying!$D$76:$L$90,9,FALSE)</f>
        <v>42874</v>
      </c>
      <c r="Q4012" s="7">
        <f>IF(G4012="C",NormalCallSprd(O4012,H4012,M4012,(P4012-A4012)/365), NormalPutSprd(O4012,H4012,M4012,(P4012-A4012)/365))</f>
        <v>0.2321155925845621</v>
      </c>
      <c r="R4012" s="9">
        <f t="shared" si="159"/>
        <v>2.1155925845620926E-3</v>
      </c>
    </row>
    <row r="4013" spans="1:18" x14ac:dyDescent="0.2">
      <c r="A4013" s="2">
        <v>42622</v>
      </c>
      <c r="B4013" s="1" t="s">
        <v>59</v>
      </c>
      <c r="C4013" s="1" t="s">
        <v>14</v>
      </c>
      <c r="D4013" s="2">
        <v>42741</v>
      </c>
      <c r="E4013" s="2">
        <f t="shared" si="158"/>
        <v>42887</v>
      </c>
      <c r="F4013" s="1" t="s">
        <v>60</v>
      </c>
      <c r="G4013" s="1" t="s">
        <v>18</v>
      </c>
      <c r="H4013" s="1">
        <v>-0.2</v>
      </c>
      <c r="I4013" s="1">
        <v>0.25</v>
      </c>
      <c r="J4013" s="1">
        <v>0.01</v>
      </c>
      <c r="K4013" s="1" t="s">
        <v>72</v>
      </c>
      <c r="L4013" s="1">
        <v>2387</v>
      </c>
      <c r="M4013" s="1">
        <v>0.73</v>
      </c>
      <c r="N4013" s="1">
        <v>-0.25757999999999998</v>
      </c>
      <c r="O4013" s="5">
        <f>VLOOKUP(D4013,underlying!$D$76:$H$90,5,FALSE)</f>
        <v>-0.22</v>
      </c>
      <c r="P4013" s="2">
        <f>VLOOKUP(D4013,underlying!$D$76:$L$90,9,FALSE)</f>
        <v>42874</v>
      </c>
      <c r="Q4013" s="7">
        <f>IF(G4013="C",NormalCallSprd(O4013,H4013,M4013,(P4013-A4013)/365), NormalPutSprd(O4013,H4013,M4013,(P4013-A4013)/365))</f>
        <v>0.25211559258456212</v>
      </c>
      <c r="R4013" s="9">
        <f t="shared" si="159"/>
        <v>2.1155925845621204E-3</v>
      </c>
    </row>
    <row r="4014" spans="1:18" x14ac:dyDescent="0.2">
      <c r="A4014" s="2">
        <v>42622</v>
      </c>
      <c r="B4014" s="1" t="s">
        <v>59</v>
      </c>
      <c r="C4014" s="1" t="s">
        <v>14</v>
      </c>
      <c r="D4014" s="2">
        <v>42741</v>
      </c>
      <c r="E4014" s="2">
        <f t="shared" si="158"/>
        <v>42887</v>
      </c>
      <c r="F4014" s="1" t="s">
        <v>60</v>
      </c>
      <c r="G4014" s="1" t="s">
        <v>16</v>
      </c>
      <c r="H4014" s="1">
        <v>-0.15</v>
      </c>
      <c r="I4014" s="1">
        <v>0.21</v>
      </c>
      <c r="J4014" s="1">
        <v>-0.01</v>
      </c>
      <c r="K4014" s="1" t="s">
        <v>72</v>
      </c>
      <c r="L4014" s="1">
        <v>2387</v>
      </c>
      <c r="M4014" s="1">
        <v>0.74</v>
      </c>
      <c r="N4014" s="1">
        <v>-0.23307</v>
      </c>
      <c r="O4014" s="5">
        <f>VLOOKUP(D4014,underlying!$D$76:$H$90,5,FALSE)</f>
        <v>-0.22</v>
      </c>
      <c r="P4014" s="2">
        <f>VLOOKUP(D4014,underlying!$D$76:$L$90,9,FALSE)</f>
        <v>42874</v>
      </c>
      <c r="Q4014" s="7">
        <f>IF(G4014="C",NormalCallSprd(O4014,H4014,M4014,(P4014-A4014)/365), NormalPutSprd(O4014,H4014,M4014,(P4014-A4014)/365))</f>
        <v>0.21188680839010438</v>
      </c>
      <c r="R4014" s="9">
        <f t="shared" si="159"/>
        <v>1.8868083901043831E-3</v>
      </c>
    </row>
    <row r="4015" spans="1:18" x14ac:dyDescent="0.2">
      <c r="A4015" s="2">
        <v>42622</v>
      </c>
      <c r="B4015" s="1" t="s">
        <v>59</v>
      </c>
      <c r="C4015" s="1" t="s">
        <v>14</v>
      </c>
      <c r="D4015" s="2">
        <v>42741</v>
      </c>
      <c r="E4015" s="2">
        <f t="shared" si="158"/>
        <v>42887</v>
      </c>
      <c r="F4015" s="1" t="s">
        <v>60</v>
      </c>
      <c r="G4015" s="1" t="s">
        <v>18</v>
      </c>
      <c r="H4015" s="1">
        <v>-0.15</v>
      </c>
      <c r="I4015" s="1">
        <v>0.28000000000000003</v>
      </c>
      <c r="J4015" s="1">
        <v>0</v>
      </c>
      <c r="K4015" s="1" t="s">
        <v>72</v>
      </c>
      <c r="L4015" s="1">
        <v>2387</v>
      </c>
      <c r="M4015" s="1">
        <v>0.74</v>
      </c>
      <c r="N4015" s="1">
        <v>-0.20912</v>
      </c>
      <c r="O4015" s="5">
        <f>VLOOKUP(D4015,underlying!$D$76:$H$90,5,FALSE)</f>
        <v>-0.22</v>
      </c>
      <c r="P4015" s="2">
        <f>VLOOKUP(D4015,underlying!$D$76:$L$90,9,FALSE)</f>
        <v>42874</v>
      </c>
      <c r="Q4015" s="7">
        <f>IF(G4015="C",NormalCallSprd(O4015,H4015,M4015,(P4015-A4015)/365), NormalPutSprd(O4015,H4015,M4015,(P4015-A4015)/365))</f>
        <v>0.28188680839010438</v>
      </c>
      <c r="R4015" s="9">
        <f t="shared" si="159"/>
        <v>1.8868083901043553E-3</v>
      </c>
    </row>
    <row r="4016" spans="1:18" x14ac:dyDescent="0.2">
      <c r="A4016" s="2">
        <v>42622</v>
      </c>
      <c r="B4016" s="1" t="s">
        <v>59</v>
      </c>
      <c r="C4016" s="1" t="s">
        <v>14</v>
      </c>
      <c r="D4016" s="2">
        <v>42741</v>
      </c>
      <c r="E4016" s="2">
        <f t="shared" si="158"/>
        <v>42887</v>
      </c>
      <c r="F4016" s="1" t="s">
        <v>60</v>
      </c>
      <c r="G4016" s="1" t="s">
        <v>16</v>
      </c>
      <c r="H4016" s="1">
        <v>-0.1</v>
      </c>
      <c r="I4016" s="1">
        <v>0.19</v>
      </c>
      <c r="J4016" s="1">
        <v>0</v>
      </c>
      <c r="K4016" s="1" t="s">
        <v>72</v>
      </c>
      <c r="L4016" s="1">
        <v>2387</v>
      </c>
      <c r="M4016" s="1">
        <v>0.73</v>
      </c>
      <c r="N4016" s="1">
        <v>-0.18820999999999999</v>
      </c>
      <c r="O4016" s="5">
        <f>VLOOKUP(D4016,underlying!$D$76:$H$90,5,FALSE)</f>
        <v>-0.22</v>
      </c>
      <c r="P4016" s="2">
        <f>VLOOKUP(D4016,underlying!$D$76:$L$90,9,FALSE)</f>
        <v>42874</v>
      </c>
      <c r="Q4016" s="7">
        <f>IF(G4016="C",NormalCallSprd(O4016,H4016,M4016,(P4016-A4016)/365), NormalPutSprd(O4016,H4016,M4016,(P4016-A4016)/365))</f>
        <v>0.18670417811224635</v>
      </c>
      <c r="R4016" s="9">
        <f t="shared" si="159"/>
        <v>3.2958218877536527E-3</v>
      </c>
    </row>
    <row r="4017" spans="1:18" x14ac:dyDescent="0.2">
      <c r="A4017" s="2">
        <v>42622</v>
      </c>
      <c r="B4017" s="1" t="s">
        <v>59</v>
      </c>
      <c r="C4017" s="1" t="s">
        <v>14</v>
      </c>
      <c r="D4017" s="2">
        <v>42741</v>
      </c>
      <c r="E4017" s="2">
        <f t="shared" si="158"/>
        <v>42887</v>
      </c>
      <c r="F4017" s="1" t="s">
        <v>60</v>
      </c>
      <c r="G4017" s="1" t="s">
        <v>18</v>
      </c>
      <c r="H4017" s="1">
        <v>-0.1</v>
      </c>
      <c r="I4017" s="1">
        <v>0.31</v>
      </c>
      <c r="J4017" s="1">
        <v>0.01</v>
      </c>
      <c r="K4017" s="1" t="s">
        <v>72</v>
      </c>
      <c r="L4017" s="1">
        <v>2387</v>
      </c>
      <c r="M4017" s="1">
        <v>0.73</v>
      </c>
      <c r="N4017" s="1">
        <v>-9.2200000000000008E-3</v>
      </c>
      <c r="O4017" s="5">
        <f>VLOOKUP(D4017,underlying!$D$76:$H$90,5,FALSE)</f>
        <v>-0.22</v>
      </c>
      <c r="P4017" s="2">
        <f>VLOOKUP(D4017,underlying!$D$76:$L$90,9,FALSE)</f>
        <v>42874</v>
      </c>
      <c r="Q4017" s="7">
        <f>IF(G4017="C",NormalCallSprd(O4017,H4017,M4017,(P4017-A4017)/365), NormalPutSprd(O4017,H4017,M4017,(P4017-A4017)/365))</f>
        <v>0.30670417811224637</v>
      </c>
      <c r="R4017" s="9">
        <f t="shared" si="159"/>
        <v>3.2958218877536249E-3</v>
      </c>
    </row>
    <row r="4018" spans="1:18" x14ac:dyDescent="0.2">
      <c r="A4018" s="2">
        <v>42622</v>
      </c>
      <c r="B4018" s="1" t="s">
        <v>59</v>
      </c>
      <c r="C4018" s="1" t="s">
        <v>14</v>
      </c>
      <c r="D4018" s="2">
        <v>42741</v>
      </c>
      <c r="E4018" s="2">
        <f t="shared" si="158"/>
        <v>42887</v>
      </c>
      <c r="F4018" s="1" t="s">
        <v>60</v>
      </c>
      <c r="G4018" s="1" t="s">
        <v>16</v>
      </c>
      <c r="H4018" s="1">
        <v>-0.05</v>
      </c>
      <c r="I4018" s="1">
        <v>0.17</v>
      </c>
      <c r="J4018" s="1">
        <v>0</v>
      </c>
      <c r="K4018" s="1" t="s">
        <v>72</v>
      </c>
      <c r="L4018" s="1">
        <v>2387</v>
      </c>
      <c r="M4018" s="1">
        <v>0.73</v>
      </c>
      <c r="N4018" s="1">
        <v>-1.1E-4</v>
      </c>
      <c r="O4018" s="5">
        <f>VLOOKUP(D4018,underlying!$D$76:$H$90,5,FALSE)</f>
        <v>-0.22</v>
      </c>
      <c r="P4018" s="2">
        <f>VLOOKUP(D4018,underlying!$D$76:$L$90,9,FALSE)</f>
        <v>42874</v>
      </c>
      <c r="Q4018" s="7">
        <f>IF(G4018="C",NormalCallSprd(O4018,H4018,M4018,(P4018-A4018)/365), NormalPutSprd(O4018,H4018,M4018,(P4018-A4018)/365))</f>
        <v>0.16642622340011631</v>
      </c>
      <c r="R4018" s="9">
        <f t="shared" si="159"/>
        <v>3.573776599883699E-3</v>
      </c>
    </row>
    <row r="4019" spans="1:18" x14ac:dyDescent="0.2">
      <c r="A4019" s="2">
        <v>42622</v>
      </c>
      <c r="B4019" s="1" t="s">
        <v>59</v>
      </c>
      <c r="C4019" s="1" t="s">
        <v>14</v>
      </c>
      <c r="D4019" s="2">
        <v>42741</v>
      </c>
      <c r="E4019" s="2">
        <f t="shared" si="158"/>
        <v>42887</v>
      </c>
      <c r="F4019" s="1" t="s">
        <v>60</v>
      </c>
      <c r="G4019" s="1" t="s">
        <v>18</v>
      </c>
      <c r="H4019" s="1">
        <v>-0.05</v>
      </c>
      <c r="I4019" s="1">
        <v>0.34</v>
      </c>
      <c r="J4019" s="1">
        <v>0.01</v>
      </c>
      <c r="K4019" s="1" t="s">
        <v>72</v>
      </c>
      <c r="L4019" s="1">
        <v>2387</v>
      </c>
      <c r="M4019" s="1">
        <v>0.73</v>
      </c>
      <c r="N4019" s="1">
        <v>0</v>
      </c>
      <c r="O4019" s="5">
        <f>VLOOKUP(D4019,underlying!$D$76:$H$90,5,FALSE)</f>
        <v>-0.22</v>
      </c>
      <c r="P4019" s="2">
        <f>VLOOKUP(D4019,underlying!$D$76:$L$90,9,FALSE)</f>
        <v>42874</v>
      </c>
      <c r="Q4019" s="7">
        <f>IF(G4019="C",NormalCallSprd(O4019,H4019,M4019,(P4019-A4019)/365), NormalPutSprd(O4019,H4019,M4019,(P4019-A4019)/365))</f>
        <v>0.3364262234001163</v>
      </c>
      <c r="R4019" s="9">
        <f t="shared" si="159"/>
        <v>3.5737765998837268E-3</v>
      </c>
    </row>
    <row r="4020" spans="1:18" x14ac:dyDescent="0.2">
      <c r="A4020" s="2">
        <v>42622</v>
      </c>
      <c r="B4020" s="1" t="s">
        <v>59</v>
      </c>
      <c r="C4020" s="1" t="s">
        <v>14</v>
      </c>
      <c r="D4020" s="2">
        <v>42742</v>
      </c>
      <c r="E4020" s="2">
        <f t="shared" si="158"/>
        <v>42917</v>
      </c>
      <c r="F4020" s="1" t="s">
        <v>60</v>
      </c>
      <c r="G4020" s="1" t="s">
        <v>16</v>
      </c>
      <c r="H4020" s="1">
        <v>-3</v>
      </c>
      <c r="I4020" s="1">
        <v>2.79</v>
      </c>
      <c r="J4020" s="1">
        <v>-0.02</v>
      </c>
      <c r="K4020" s="1" t="s">
        <v>73</v>
      </c>
      <c r="L4020" s="1">
        <v>2387</v>
      </c>
      <c r="M4020" s="1">
        <v>0.9</v>
      </c>
      <c r="N4020" s="1">
        <v>0.30418000000000001</v>
      </c>
      <c r="O4020" s="5">
        <f>VLOOKUP(D4020,underlying!$D$76:$H$90,5,FALSE)</f>
        <v>-0.2</v>
      </c>
      <c r="P4020" s="2">
        <f>VLOOKUP(D4020,underlying!$D$76:$L$90,9,FALSE)</f>
        <v>42905</v>
      </c>
      <c r="Q4020" s="7">
        <f>IF(G4020="C",NormalCallSprd(O4020,H4020,M4020,(P4020-A4020)/365), NormalPutSprd(O4020,H4020,M4020,(P4020-A4020)/365))</f>
        <v>2.8000405905888668</v>
      </c>
      <c r="R4020" s="9">
        <f t="shared" si="159"/>
        <v>1.0040590588866749E-2</v>
      </c>
    </row>
    <row r="4021" spans="1:18" x14ac:dyDescent="0.2">
      <c r="A4021" s="2">
        <v>42622</v>
      </c>
      <c r="B4021" s="1" t="s">
        <v>59</v>
      </c>
      <c r="C4021" s="1" t="s">
        <v>14</v>
      </c>
      <c r="D4021" s="2">
        <v>42742</v>
      </c>
      <c r="E4021" s="2">
        <f t="shared" si="158"/>
        <v>42917</v>
      </c>
      <c r="F4021" s="1" t="s">
        <v>60</v>
      </c>
      <c r="G4021" s="1" t="s">
        <v>18</v>
      </c>
      <c r="H4021" s="1">
        <v>-3</v>
      </c>
      <c r="I4021" s="1">
        <v>0.01</v>
      </c>
      <c r="J4021" s="1">
        <v>0</v>
      </c>
      <c r="K4021" s="1" t="s">
        <v>73</v>
      </c>
      <c r="L4021" s="1">
        <v>2387</v>
      </c>
      <c r="M4021" s="1">
        <v>0.9</v>
      </c>
      <c r="N4021" s="1">
        <v>0.33542</v>
      </c>
      <c r="O4021" s="5">
        <f>VLOOKUP(D4021,underlying!$D$76:$H$90,5,FALSE)</f>
        <v>-0.2</v>
      </c>
      <c r="P4021" s="2">
        <f>VLOOKUP(D4021,underlying!$D$76:$L$90,9,FALSE)</f>
        <v>42905</v>
      </c>
      <c r="Q4021" s="7">
        <f>IF(G4021="C",NormalCallSprd(O4021,H4021,M4021,(P4021-A4021)/365), NormalPutSprd(O4021,H4021,M4021,(P4021-A4021)/365))</f>
        <v>4.0590588866983735E-5</v>
      </c>
      <c r="R4021" s="9">
        <f t="shared" si="159"/>
        <v>9.9594094111330172E-3</v>
      </c>
    </row>
    <row r="4022" spans="1:18" x14ac:dyDescent="0.2">
      <c r="A4022" s="2">
        <v>42622</v>
      </c>
      <c r="B4022" s="1" t="s">
        <v>59</v>
      </c>
      <c r="C4022" s="1" t="s">
        <v>14</v>
      </c>
      <c r="D4022" s="2">
        <v>42742</v>
      </c>
      <c r="E4022" s="2">
        <f t="shared" si="158"/>
        <v>42917</v>
      </c>
      <c r="F4022" s="1" t="s">
        <v>60</v>
      </c>
      <c r="G4022" s="1" t="s">
        <v>16</v>
      </c>
      <c r="H4022" s="1">
        <v>-2</v>
      </c>
      <c r="I4022" s="1">
        <v>1.79</v>
      </c>
      <c r="J4022" s="1">
        <v>-0.02</v>
      </c>
      <c r="K4022" s="1" t="s">
        <v>73</v>
      </c>
      <c r="L4022" s="1">
        <v>2387</v>
      </c>
      <c r="M4022" s="1">
        <v>0.85</v>
      </c>
      <c r="N4022" s="1">
        <v>0.3634</v>
      </c>
      <c r="O4022" s="5">
        <f>VLOOKUP(D4022,underlying!$D$76:$H$90,5,FALSE)</f>
        <v>-0.2</v>
      </c>
      <c r="P4022" s="2">
        <f>VLOOKUP(D4022,underlying!$D$76:$L$90,9,FALSE)</f>
        <v>42905</v>
      </c>
      <c r="Q4022" s="7">
        <f>IF(G4022="C",NormalCallSprd(O4022,H4022,M4022,(P4022-A4022)/365), NormalPutSprd(O4022,H4022,M4022,(P4022-A4022)/365))</f>
        <v>1.8020059390478425</v>
      </c>
      <c r="R4022" s="9">
        <f t="shared" si="159"/>
        <v>1.2005939047842418E-2</v>
      </c>
    </row>
    <row r="4023" spans="1:18" x14ac:dyDescent="0.2">
      <c r="A4023" s="2">
        <v>42622</v>
      </c>
      <c r="B4023" s="1" t="s">
        <v>59</v>
      </c>
      <c r="C4023" s="1" t="s">
        <v>14</v>
      </c>
      <c r="D4023" s="2">
        <v>42742</v>
      </c>
      <c r="E4023" s="2">
        <f t="shared" si="158"/>
        <v>42917</v>
      </c>
      <c r="F4023" s="1" t="s">
        <v>60</v>
      </c>
      <c r="G4023" s="1" t="s">
        <v>18</v>
      </c>
      <c r="H4023" s="1">
        <v>-2</v>
      </c>
      <c r="I4023" s="1">
        <v>0.01</v>
      </c>
      <c r="J4023" s="1">
        <v>0</v>
      </c>
      <c r="K4023" s="1" t="s">
        <v>73</v>
      </c>
      <c r="L4023" s="1">
        <v>2387</v>
      </c>
      <c r="M4023" s="1">
        <v>0.85</v>
      </c>
      <c r="N4023" s="1">
        <v>0.39015</v>
      </c>
      <c r="O4023" s="5">
        <f>VLOOKUP(D4023,underlying!$D$76:$H$90,5,FALSE)</f>
        <v>-0.2</v>
      </c>
      <c r="P4023" s="2">
        <f>VLOOKUP(D4023,underlying!$D$76:$L$90,9,FALSE)</f>
        <v>42905</v>
      </c>
      <c r="Q4023" s="7">
        <f>IF(G4023="C",NormalCallSprd(O4023,H4023,M4023,(P4023-A4023)/365), NormalPutSprd(O4023,H4023,M4023,(P4023-A4023)/365))</f>
        <v>2.0059390478425225E-3</v>
      </c>
      <c r="R4023" s="9">
        <f t="shared" si="159"/>
        <v>7.9940609521574786E-3</v>
      </c>
    </row>
    <row r="4024" spans="1:18" x14ac:dyDescent="0.2">
      <c r="A4024" s="2">
        <v>42622</v>
      </c>
      <c r="B4024" s="1" t="s">
        <v>59</v>
      </c>
      <c r="C4024" s="1" t="s">
        <v>14</v>
      </c>
      <c r="D4024" s="2">
        <v>42742</v>
      </c>
      <c r="E4024" s="2">
        <f t="shared" si="158"/>
        <v>42917</v>
      </c>
      <c r="F4024" s="1" t="s">
        <v>60</v>
      </c>
      <c r="G4024" s="1" t="s">
        <v>16</v>
      </c>
      <c r="H4024" s="1">
        <v>-1</v>
      </c>
      <c r="I4024" s="1">
        <v>0.84</v>
      </c>
      <c r="J4024" s="1">
        <v>-0.02</v>
      </c>
      <c r="K4024" s="1" t="s">
        <v>73</v>
      </c>
      <c r="L4024" s="1">
        <v>2387</v>
      </c>
      <c r="M4024" s="1">
        <v>0.8</v>
      </c>
      <c r="N4024" s="1">
        <v>0.42371999999999999</v>
      </c>
      <c r="O4024" s="5">
        <f>VLOOKUP(D4024,underlying!$D$76:$H$90,5,FALSE)</f>
        <v>-0.2</v>
      </c>
      <c r="P4024" s="2">
        <f>VLOOKUP(D4024,underlying!$D$76:$L$90,9,FALSE)</f>
        <v>42905</v>
      </c>
      <c r="Q4024" s="7">
        <f>IF(G4024="C",NormalCallSprd(O4024,H4024,M4024,(P4024-A4024)/365), NormalPutSprd(O4024,H4024,M4024,(P4024-A4024)/365))</f>
        <v>0.84502475040118641</v>
      </c>
      <c r="R4024" s="9">
        <f t="shared" si="159"/>
        <v>5.0247504011864397E-3</v>
      </c>
    </row>
    <row r="4025" spans="1:18" x14ac:dyDescent="0.2">
      <c r="A4025" s="2">
        <v>42622</v>
      </c>
      <c r="B4025" s="1" t="s">
        <v>59</v>
      </c>
      <c r="C4025" s="1" t="s">
        <v>14</v>
      </c>
      <c r="D4025" s="2">
        <v>42742</v>
      </c>
      <c r="E4025" s="2">
        <f t="shared" si="158"/>
        <v>42917</v>
      </c>
      <c r="F4025" s="1" t="s">
        <v>60</v>
      </c>
      <c r="G4025" s="1" t="s">
        <v>18</v>
      </c>
      <c r="H4025" s="1">
        <v>-1</v>
      </c>
      <c r="I4025" s="1">
        <v>0.06</v>
      </c>
      <c r="J4025" s="1">
        <v>0</v>
      </c>
      <c r="K4025" s="1" t="s">
        <v>73</v>
      </c>
      <c r="L4025" s="1">
        <v>2387</v>
      </c>
      <c r="M4025" s="1">
        <v>0.8</v>
      </c>
      <c r="N4025" s="1">
        <v>0.45722000000000002</v>
      </c>
      <c r="O4025" s="5">
        <f>VLOOKUP(D4025,underlying!$D$76:$H$90,5,FALSE)</f>
        <v>-0.2</v>
      </c>
      <c r="P4025" s="2">
        <f>VLOOKUP(D4025,underlying!$D$76:$L$90,9,FALSE)</f>
        <v>42905</v>
      </c>
      <c r="Q4025" s="7">
        <f>IF(G4025="C",NormalCallSprd(O4025,H4025,M4025,(P4025-A4025)/365), NormalPutSprd(O4025,H4025,M4025,(P4025-A4025)/365))</f>
        <v>4.5024750401186441E-2</v>
      </c>
      <c r="R4025" s="9">
        <f t="shared" si="159"/>
        <v>1.4975249598813557E-2</v>
      </c>
    </row>
    <row r="4026" spans="1:18" x14ac:dyDescent="0.2">
      <c r="A4026" s="2">
        <v>42622</v>
      </c>
      <c r="B4026" s="1" t="s">
        <v>59</v>
      </c>
      <c r="C4026" s="1" t="s">
        <v>14</v>
      </c>
      <c r="D4026" s="2">
        <v>42742</v>
      </c>
      <c r="E4026" s="2">
        <f t="shared" si="158"/>
        <v>42917</v>
      </c>
      <c r="F4026" s="1" t="s">
        <v>60</v>
      </c>
      <c r="G4026" s="1" t="s">
        <v>16</v>
      </c>
      <c r="H4026" s="1">
        <v>-0.85</v>
      </c>
      <c r="I4026" s="1">
        <v>0.71</v>
      </c>
      <c r="J4026" s="1">
        <v>-0.02</v>
      </c>
      <c r="K4026" s="1" t="s">
        <v>73</v>
      </c>
      <c r="L4026" s="1">
        <v>2387</v>
      </c>
      <c r="M4026" s="1">
        <v>0.8</v>
      </c>
      <c r="N4026" s="1">
        <v>0.49195</v>
      </c>
      <c r="O4026" s="5">
        <f>VLOOKUP(D4026,underlying!$D$76:$H$90,5,FALSE)</f>
        <v>-0.2</v>
      </c>
      <c r="P4026" s="2">
        <f>VLOOKUP(D4026,underlying!$D$76:$L$90,9,FALSE)</f>
        <v>42905</v>
      </c>
      <c r="Q4026" s="7">
        <f>IF(G4026="C",NormalCallSprd(O4026,H4026,M4026,(P4026-A4026)/365), NormalPutSprd(O4026,H4026,M4026,(P4026-A4026)/365))</f>
        <v>0.71784699603435587</v>
      </c>
      <c r="R4026" s="9">
        <f t="shared" si="159"/>
        <v>7.846996034355902E-3</v>
      </c>
    </row>
    <row r="4027" spans="1:18" x14ac:dyDescent="0.2">
      <c r="A4027" s="2">
        <v>42622</v>
      </c>
      <c r="B4027" s="1" t="s">
        <v>59</v>
      </c>
      <c r="C4027" s="1" t="s">
        <v>14</v>
      </c>
      <c r="D4027" s="2">
        <v>42742</v>
      </c>
      <c r="E4027" s="2">
        <f t="shared" si="158"/>
        <v>42917</v>
      </c>
      <c r="F4027" s="1" t="s">
        <v>60</v>
      </c>
      <c r="G4027" s="1" t="s">
        <v>18</v>
      </c>
      <c r="H4027" s="1">
        <v>-0.85</v>
      </c>
      <c r="I4027" s="1">
        <v>7.0000000000000007E-2</v>
      </c>
      <c r="J4027" s="1">
        <v>0.01</v>
      </c>
      <c r="K4027" s="1" t="s">
        <v>73</v>
      </c>
      <c r="L4027" s="1">
        <v>2387</v>
      </c>
      <c r="M4027" s="1">
        <v>0.8</v>
      </c>
      <c r="N4027" s="1">
        <v>0.52505999999999997</v>
      </c>
      <c r="O4027" s="5">
        <f>VLOOKUP(D4027,underlying!$D$76:$H$90,5,FALSE)</f>
        <v>-0.2</v>
      </c>
      <c r="P4027" s="2">
        <f>VLOOKUP(D4027,underlying!$D$76:$L$90,9,FALSE)</f>
        <v>42905</v>
      </c>
      <c r="Q4027" s="7">
        <f>IF(G4027="C",NormalCallSprd(O4027,H4027,M4027,(P4027-A4027)/365), NormalPutSprd(O4027,H4027,M4027,(P4027-A4027)/365))</f>
        <v>6.7846996034355886E-2</v>
      </c>
      <c r="R4027" s="9">
        <f t="shared" si="159"/>
        <v>2.1530039656441208E-3</v>
      </c>
    </row>
    <row r="4028" spans="1:18" x14ac:dyDescent="0.2">
      <c r="A4028" s="2">
        <v>42622</v>
      </c>
      <c r="B4028" s="1" t="s">
        <v>59</v>
      </c>
      <c r="C4028" s="1" t="s">
        <v>14</v>
      </c>
      <c r="D4028" s="2">
        <v>42742</v>
      </c>
      <c r="E4028" s="2">
        <f t="shared" si="158"/>
        <v>42917</v>
      </c>
      <c r="F4028" s="1" t="s">
        <v>60</v>
      </c>
      <c r="G4028" s="1" t="s">
        <v>16</v>
      </c>
      <c r="H4028" s="1">
        <v>-0.8</v>
      </c>
      <c r="I4028" s="1">
        <v>0.67</v>
      </c>
      <c r="J4028" s="1">
        <v>-0.02</v>
      </c>
      <c r="K4028" s="1" t="s">
        <v>73</v>
      </c>
      <c r="L4028" s="1">
        <v>2387</v>
      </c>
      <c r="M4028" s="1">
        <v>0.8</v>
      </c>
      <c r="N4028" s="1">
        <v>0.55642999999999998</v>
      </c>
      <c r="O4028" s="5">
        <f>VLOOKUP(D4028,underlying!$D$76:$H$90,5,FALSE)</f>
        <v>-0.2</v>
      </c>
      <c r="P4028" s="2">
        <f>VLOOKUP(D4028,underlying!$D$76:$L$90,9,FALSE)</f>
        <v>42905</v>
      </c>
      <c r="Q4028" s="7">
        <f>IF(G4028="C",NormalCallSprd(O4028,H4028,M4028,(P4028-A4028)/365), NormalPutSprd(O4028,H4028,M4028,(P4028-A4028)/365))</f>
        <v>0.67722318594862962</v>
      </c>
      <c r="R4028" s="9">
        <f t="shared" si="159"/>
        <v>7.2231859486295846E-3</v>
      </c>
    </row>
    <row r="4029" spans="1:18" x14ac:dyDescent="0.2">
      <c r="A4029" s="2">
        <v>42622</v>
      </c>
      <c r="B4029" s="1" t="s">
        <v>59</v>
      </c>
      <c r="C4029" s="1" t="s">
        <v>14</v>
      </c>
      <c r="D4029" s="2">
        <v>42742</v>
      </c>
      <c r="E4029" s="2">
        <f t="shared" si="158"/>
        <v>42917</v>
      </c>
      <c r="F4029" s="1" t="s">
        <v>60</v>
      </c>
      <c r="G4029" s="1" t="s">
        <v>18</v>
      </c>
      <c r="H4029" s="1">
        <v>-0.8</v>
      </c>
      <c r="I4029" s="1">
        <v>0.08</v>
      </c>
      <c r="J4029" s="1">
        <v>0.01</v>
      </c>
      <c r="K4029" s="1" t="s">
        <v>73</v>
      </c>
      <c r="L4029" s="1">
        <v>2387</v>
      </c>
      <c r="M4029" s="1">
        <v>0.8</v>
      </c>
      <c r="N4029" s="1">
        <v>0.58516000000000001</v>
      </c>
      <c r="O4029" s="5">
        <f>VLOOKUP(D4029,underlying!$D$76:$H$90,5,FALSE)</f>
        <v>-0.2</v>
      </c>
      <c r="P4029" s="2">
        <f>VLOOKUP(D4029,underlying!$D$76:$L$90,9,FALSE)</f>
        <v>42905</v>
      </c>
      <c r="Q4029" s="7">
        <f>IF(G4029="C",NormalCallSprd(O4029,H4029,M4029,(P4029-A4029)/365), NormalPutSprd(O4029,H4029,M4029,(P4029-A4029)/365))</f>
        <v>7.7223185948629577E-2</v>
      </c>
      <c r="R4029" s="9">
        <f t="shared" si="159"/>
        <v>2.7768140513704243E-3</v>
      </c>
    </row>
    <row r="4030" spans="1:18" x14ac:dyDescent="0.2">
      <c r="A4030" s="2">
        <v>42622</v>
      </c>
      <c r="B4030" s="1" t="s">
        <v>59</v>
      </c>
      <c r="C4030" s="1" t="s">
        <v>14</v>
      </c>
      <c r="D4030" s="2">
        <v>42742</v>
      </c>
      <c r="E4030" s="2">
        <f t="shared" si="158"/>
        <v>42917</v>
      </c>
      <c r="F4030" s="1" t="s">
        <v>60</v>
      </c>
      <c r="G4030" s="1" t="s">
        <v>16</v>
      </c>
      <c r="H4030" s="1">
        <v>-0.75</v>
      </c>
      <c r="I4030" s="1">
        <v>0.63</v>
      </c>
      <c r="J4030" s="1">
        <v>-0.02</v>
      </c>
      <c r="K4030" s="1" t="s">
        <v>73</v>
      </c>
      <c r="L4030" s="1">
        <v>2387</v>
      </c>
      <c r="M4030" s="1">
        <v>0.8</v>
      </c>
      <c r="N4030" s="1">
        <v>0.61400999999999994</v>
      </c>
      <c r="O4030" s="5">
        <f>VLOOKUP(D4030,underlying!$D$76:$H$90,5,FALSE)</f>
        <v>-0.2</v>
      </c>
      <c r="P4030" s="2">
        <f>VLOOKUP(D4030,underlying!$D$76:$L$90,9,FALSE)</f>
        <v>42905</v>
      </c>
      <c r="Q4030" s="7">
        <f>IF(G4030="C",NormalCallSprd(O4030,H4030,M4030,(P4030-A4030)/365), NormalPutSprd(O4030,H4030,M4030,(P4030-A4030)/365))</f>
        <v>0.63758435258334367</v>
      </c>
      <c r="R4030" s="9">
        <f t="shared" si="159"/>
        <v>7.5843525833436676E-3</v>
      </c>
    </row>
    <row r="4031" spans="1:18" x14ac:dyDescent="0.2">
      <c r="A4031" s="2">
        <v>42622</v>
      </c>
      <c r="B4031" s="1" t="s">
        <v>59</v>
      </c>
      <c r="C4031" s="1" t="s">
        <v>14</v>
      </c>
      <c r="D4031" s="2">
        <v>42742</v>
      </c>
      <c r="E4031" s="2">
        <f t="shared" si="158"/>
        <v>42917</v>
      </c>
      <c r="F4031" s="1" t="s">
        <v>60</v>
      </c>
      <c r="G4031" s="1" t="s">
        <v>18</v>
      </c>
      <c r="H4031" s="1">
        <v>-0.75</v>
      </c>
      <c r="I4031" s="1">
        <v>0.09</v>
      </c>
      <c r="J4031" s="1">
        <v>0.01</v>
      </c>
      <c r="K4031" s="1" t="s">
        <v>73</v>
      </c>
      <c r="L4031" s="1">
        <v>2387</v>
      </c>
      <c r="M4031" s="1">
        <v>0.8</v>
      </c>
      <c r="N4031" s="1">
        <v>0.64159999999999995</v>
      </c>
      <c r="O4031" s="5">
        <f>VLOOKUP(D4031,underlying!$D$76:$H$90,5,FALSE)</f>
        <v>-0.2</v>
      </c>
      <c r="P4031" s="2">
        <f>VLOOKUP(D4031,underlying!$D$76:$L$90,9,FALSE)</f>
        <v>42905</v>
      </c>
      <c r="Q4031" s="7">
        <f>IF(G4031="C",NormalCallSprd(O4031,H4031,M4031,(P4031-A4031)/365), NormalPutSprd(O4031,H4031,M4031,(P4031-A4031)/365))</f>
        <v>8.7584352583343711E-2</v>
      </c>
      <c r="R4031" s="9">
        <f t="shared" si="159"/>
        <v>2.4156474166562858E-3</v>
      </c>
    </row>
    <row r="4032" spans="1:18" x14ac:dyDescent="0.2">
      <c r="A4032" s="2">
        <v>42622</v>
      </c>
      <c r="B4032" s="1" t="s">
        <v>59</v>
      </c>
      <c r="C4032" s="1" t="s">
        <v>14</v>
      </c>
      <c r="D4032" s="2">
        <v>42742</v>
      </c>
      <c r="E4032" s="2">
        <f t="shared" si="158"/>
        <v>42917</v>
      </c>
      <c r="F4032" s="1" t="s">
        <v>60</v>
      </c>
      <c r="G4032" s="1" t="s">
        <v>16</v>
      </c>
      <c r="H4032" s="1">
        <v>-0.7</v>
      </c>
      <c r="I4032" s="1">
        <v>0.6</v>
      </c>
      <c r="J4032" s="1">
        <v>-0.01</v>
      </c>
      <c r="K4032" s="1" t="s">
        <v>73</v>
      </c>
      <c r="L4032" s="1">
        <v>2387</v>
      </c>
      <c r="M4032" s="1">
        <v>0.8</v>
      </c>
      <c r="N4032" s="1">
        <v>0.66893999999999998</v>
      </c>
      <c r="O4032" s="5">
        <f>VLOOKUP(D4032,underlying!$D$76:$H$90,5,FALSE)</f>
        <v>-0.2</v>
      </c>
      <c r="P4032" s="2">
        <f>VLOOKUP(D4032,underlying!$D$76:$L$90,9,FALSE)</f>
        <v>42905</v>
      </c>
      <c r="Q4032" s="7">
        <f>IF(G4032="C",NormalCallSprd(O4032,H4032,M4032,(P4032-A4032)/365), NormalPutSprd(O4032,H4032,M4032,(P4032-A4032)/365))</f>
        <v>0.59898919847473298</v>
      </c>
      <c r="R4032" s="9">
        <f t="shared" si="159"/>
        <v>1.0108015252670022E-3</v>
      </c>
    </row>
    <row r="4033" spans="1:18" x14ac:dyDescent="0.2">
      <c r="A4033" s="2">
        <v>42622</v>
      </c>
      <c r="B4033" s="1" t="s">
        <v>59</v>
      </c>
      <c r="C4033" s="1" t="s">
        <v>14</v>
      </c>
      <c r="D4033" s="2">
        <v>42742</v>
      </c>
      <c r="E4033" s="2">
        <f t="shared" si="158"/>
        <v>42917</v>
      </c>
      <c r="F4033" s="1" t="s">
        <v>60</v>
      </c>
      <c r="G4033" s="1" t="s">
        <v>18</v>
      </c>
      <c r="H4033" s="1">
        <v>-0.7</v>
      </c>
      <c r="I4033" s="1">
        <v>0.1</v>
      </c>
      <c r="J4033" s="1">
        <v>0.01</v>
      </c>
      <c r="K4033" s="1" t="s">
        <v>73</v>
      </c>
      <c r="L4033" s="1">
        <v>2387</v>
      </c>
      <c r="M4033" s="1">
        <v>0.8</v>
      </c>
      <c r="N4033" s="1">
        <v>0.69596000000000002</v>
      </c>
      <c r="O4033" s="5">
        <f>VLOOKUP(D4033,underlying!$D$76:$H$90,5,FALSE)</f>
        <v>-0.2</v>
      </c>
      <c r="P4033" s="2">
        <f>VLOOKUP(D4033,underlying!$D$76:$L$90,9,FALSE)</f>
        <v>42905</v>
      </c>
      <c r="Q4033" s="7">
        <f>IF(G4033="C",NormalCallSprd(O4033,H4033,M4033,(P4033-A4033)/365), NormalPutSprd(O4033,H4033,M4033,(P4033-A4033)/365))</f>
        <v>9.8989198474732989E-2</v>
      </c>
      <c r="R4033" s="9">
        <f t="shared" si="159"/>
        <v>1.0108015252670161E-3</v>
      </c>
    </row>
    <row r="4034" spans="1:18" x14ac:dyDescent="0.2">
      <c r="A4034" s="2">
        <v>42622</v>
      </c>
      <c r="B4034" s="1" t="s">
        <v>59</v>
      </c>
      <c r="C4034" s="1" t="s">
        <v>14</v>
      </c>
      <c r="D4034" s="2">
        <v>42742</v>
      </c>
      <c r="E4034" s="2">
        <f t="shared" ref="E4034:E4097" si="160">DATE(YEAR(D4034),DAY(D4034),MONTH(D4034))</f>
        <v>42917</v>
      </c>
      <c r="F4034" s="1" t="s">
        <v>60</v>
      </c>
      <c r="G4034" s="1" t="s">
        <v>16</v>
      </c>
      <c r="H4034" s="1">
        <v>-0.65</v>
      </c>
      <c r="I4034" s="1">
        <v>0.56000000000000005</v>
      </c>
      <c r="J4034" s="1">
        <v>-0.01</v>
      </c>
      <c r="K4034" s="1" t="s">
        <v>73</v>
      </c>
      <c r="L4034" s="1">
        <v>2387</v>
      </c>
      <c r="M4034" s="1">
        <v>0.8</v>
      </c>
      <c r="N4034" s="1">
        <v>0.72192999999999996</v>
      </c>
      <c r="O4034" s="5">
        <f>VLOOKUP(D4034,underlying!$D$76:$H$90,5,FALSE)</f>
        <v>-0.2</v>
      </c>
      <c r="P4034" s="2">
        <f>VLOOKUP(D4034,underlying!$D$76:$L$90,9,FALSE)</f>
        <v>42905</v>
      </c>
      <c r="Q4034" s="7">
        <f>IF(G4034="C",NormalCallSprd(O4034,H4034,M4034,(P4034-A4034)/365), NormalPutSprd(O4034,H4034,M4034,(P4034-A4034)/365))</f>
        <v>0.56149437183759421</v>
      </c>
      <c r="R4034" s="9">
        <f t="shared" si="159"/>
        <v>1.494371837594155E-3</v>
      </c>
    </row>
    <row r="4035" spans="1:18" x14ac:dyDescent="0.2">
      <c r="A4035" s="2">
        <v>42622</v>
      </c>
      <c r="B4035" s="1" t="s">
        <v>59</v>
      </c>
      <c r="C4035" s="1" t="s">
        <v>14</v>
      </c>
      <c r="D4035" s="2">
        <v>42742</v>
      </c>
      <c r="E4035" s="2">
        <f t="shared" si="160"/>
        <v>42917</v>
      </c>
      <c r="F4035" s="1" t="s">
        <v>60</v>
      </c>
      <c r="G4035" s="1" t="s">
        <v>18</v>
      </c>
      <c r="H4035" s="1">
        <v>-0.65</v>
      </c>
      <c r="I4035" s="1">
        <v>0.11</v>
      </c>
      <c r="J4035" s="1">
        <v>0.01</v>
      </c>
      <c r="K4035" s="1" t="s">
        <v>73</v>
      </c>
      <c r="L4035" s="1">
        <v>2387</v>
      </c>
      <c r="M4035" s="1">
        <v>0.8</v>
      </c>
      <c r="N4035" s="1">
        <v>0.74675000000000002</v>
      </c>
      <c r="O4035" s="5">
        <f>VLOOKUP(D4035,underlying!$D$76:$H$90,5,FALSE)</f>
        <v>-0.2</v>
      </c>
      <c r="P4035" s="2">
        <f>VLOOKUP(D4035,underlying!$D$76:$L$90,9,FALSE)</f>
        <v>42905</v>
      </c>
      <c r="Q4035" s="7">
        <f>IF(G4035="C",NormalCallSprd(O4035,H4035,M4035,(P4035-A4035)/365), NormalPutSprd(O4035,H4035,M4035,(P4035-A4035)/365))</f>
        <v>0.11149437183759424</v>
      </c>
      <c r="R4035" s="9">
        <f t="shared" ref="R4035:R4098" si="161">ABS(Q4035-I4035)</f>
        <v>1.4943718375942383E-3</v>
      </c>
    </row>
    <row r="4036" spans="1:18" x14ac:dyDescent="0.2">
      <c r="A4036" s="2">
        <v>42622</v>
      </c>
      <c r="B4036" s="1" t="s">
        <v>59</v>
      </c>
      <c r="C4036" s="1" t="s">
        <v>14</v>
      </c>
      <c r="D4036" s="2">
        <v>42742</v>
      </c>
      <c r="E4036" s="2">
        <f t="shared" si="160"/>
        <v>42917</v>
      </c>
      <c r="F4036" s="1" t="s">
        <v>60</v>
      </c>
      <c r="G4036" s="1" t="s">
        <v>16</v>
      </c>
      <c r="H4036" s="1">
        <v>-0.6</v>
      </c>
      <c r="I4036" s="1">
        <v>0.52</v>
      </c>
      <c r="J4036" s="1">
        <v>-0.01</v>
      </c>
      <c r="K4036" s="1" t="s">
        <v>73</v>
      </c>
      <c r="L4036" s="1">
        <v>2387</v>
      </c>
      <c r="M4036" s="1">
        <v>0.8</v>
      </c>
      <c r="N4036" s="1">
        <v>0.77034000000000002</v>
      </c>
      <c r="O4036" s="5">
        <f>VLOOKUP(D4036,underlying!$D$76:$H$90,5,FALSE)</f>
        <v>-0.2</v>
      </c>
      <c r="P4036" s="2">
        <f>VLOOKUP(D4036,underlying!$D$76:$L$90,9,FALSE)</f>
        <v>42905</v>
      </c>
      <c r="Q4036" s="7">
        <f>IF(G4036="C",NormalCallSprd(O4036,H4036,M4036,(P4036-A4036)/365), NormalPutSprd(O4036,H4036,M4036,(P4036-A4036)/365))</f>
        <v>0.52515377073697678</v>
      </c>
      <c r="R4036" s="9">
        <f t="shared" si="161"/>
        <v>5.1537707369767594E-3</v>
      </c>
    </row>
    <row r="4037" spans="1:18" x14ac:dyDescent="0.2">
      <c r="A4037" s="2">
        <v>42622</v>
      </c>
      <c r="B4037" s="1" t="s">
        <v>59</v>
      </c>
      <c r="C4037" s="1" t="s">
        <v>14</v>
      </c>
      <c r="D4037" s="2">
        <v>42742</v>
      </c>
      <c r="E4037" s="2">
        <f t="shared" si="160"/>
        <v>42917</v>
      </c>
      <c r="F4037" s="1" t="s">
        <v>60</v>
      </c>
      <c r="G4037" s="1" t="s">
        <v>18</v>
      </c>
      <c r="H4037" s="1">
        <v>-0.6</v>
      </c>
      <c r="I4037" s="1">
        <v>0.12</v>
      </c>
      <c r="J4037" s="1">
        <v>0.01</v>
      </c>
      <c r="K4037" s="1" t="s">
        <v>73</v>
      </c>
      <c r="L4037" s="1">
        <v>2387</v>
      </c>
      <c r="M4037" s="1">
        <v>0.8</v>
      </c>
      <c r="N4037" s="1">
        <v>0.83079999999999998</v>
      </c>
      <c r="O4037" s="5">
        <f>VLOOKUP(D4037,underlying!$D$76:$H$90,5,FALSE)</f>
        <v>-0.2</v>
      </c>
      <c r="P4037" s="2">
        <f>VLOOKUP(D4037,underlying!$D$76:$L$90,9,FALSE)</f>
        <v>42905</v>
      </c>
      <c r="Q4037" s="7">
        <f>IF(G4037="C",NormalCallSprd(O4037,H4037,M4037,(P4037-A4037)/365), NormalPutSprd(O4037,H4037,M4037,(P4037-A4037)/365))</f>
        <v>0.12515377073697684</v>
      </c>
      <c r="R4037" s="9">
        <f t="shared" si="161"/>
        <v>5.1537707369768426E-3</v>
      </c>
    </row>
    <row r="4038" spans="1:18" x14ac:dyDescent="0.2">
      <c r="A4038" s="2">
        <v>42622</v>
      </c>
      <c r="B4038" s="1" t="s">
        <v>59</v>
      </c>
      <c r="C4038" s="1" t="s">
        <v>14</v>
      </c>
      <c r="D4038" s="2">
        <v>42742</v>
      </c>
      <c r="E4038" s="2">
        <f t="shared" si="160"/>
        <v>42917</v>
      </c>
      <c r="F4038" s="1" t="s">
        <v>60</v>
      </c>
      <c r="G4038" s="1" t="s">
        <v>16</v>
      </c>
      <c r="H4038" s="1">
        <v>-0.55000000000000004</v>
      </c>
      <c r="I4038" s="1">
        <v>0.49</v>
      </c>
      <c r="J4038" s="1">
        <v>-0.01</v>
      </c>
      <c r="K4038" s="1" t="s">
        <v>73</v>
      </c>
      <c r="L4038" s="1">
        <v>2387</v>
      </c>
      <c r="M4038" s="1">
        <v>0.79</v>
      </c>
      <c r="N4038" s="1">
        <v>0.98531000000000002</v>
      </c>
      <c r="O4038" s="5">
        <f>VLOOKUP(D4038,underlying!$D$76:$H$90,5,FALSE)</f>
        <v>-0.2</v>
      </c>
      <c r="P4038" s="2">
        <f>VLOOKUP(D4038,underlying!$D$76:$L$90,9,FALSE)</f>
        <v>42905</v>
      </c>
      <c r="Q4038" s="7">
        <f>IF(G4038="C",NormalCallSprd(O4038,H4038,M4038,(P4038-A4038)/365), NormalPutSprd(O4038,H4038,M4038,(P4038-A4038)/365))</f>
        <v>0.48691777999070213</v>
      </c>
      <c r="R4038" s="9">
        <f t="shared" si="161"/>
        <v>3.0822200092978647E-3</v>
      </c>
    </row>
    <row r="4039" spans="1:18" x14ac:dyDescent="0.2">
      <c r="A4039" s="2">
        <v>42622</v>
      </c>
      <c r="B4039" s="1" t="s">
        <v>59</v>
      </c>
      <c r="C4039" s="1" t="s">
        <v>14</v>
      </c>
      <c r="D4039" s="2">
        <v>42742</v>
      </c>
      <c r="E4039" s="2">
        <f t="shared" si="160"/>
        <v>42917</v>
      </c>
      <c r="F4039" s="1" t="s">
        <v>60</v>
      </c>
      <c r="G4039" s="1" t="s">
        <v>18</v>
      </c>
      <c r="H4039" s="1">
        <v>-0.55000000000000004</v>
      </c>
      <c r="I4039" s="1">
        <v>0.14000000000000001</v>
      </c>
      <c r="J4039" s="1">
        <v>0.01</v>
      </c>
      <c r="K4039" s="1" t="s">
        <v>73</v>
      </c>
      <c r="L4039" s="1">
        <v>2387</v>
      </c>
      <c r="M4039" s="1">
        <v>0.79</v>
      </c>
      <c r="N4039" s="1">
        <v>0.99687000000000003</v>
      </c>
      <c r="O4039" s="5">
        <f>VLOOKUP(D4039,underlying!$D$76:$H$90,5,FALSE)</f>
        <v>-0.2</v>
      </c>
      <c r="P4039" s="2">
        <f>VLOOKUP(D4039,underlying!$D$76:$L$90,9,FALSE)</f>
        <v>42905</v>
      </c>
      <c r="Q4039" s="7">
        <f>IF(G4039="C",NormalCallSprd(O4039,H4039,M4039,(P4039-A4039)/365), NormalPutSprd(O4039,H4039,M4039,(P4039-A4039)/365))</f>
        <v>0.13691777999070209</v>
      </c>
      <c r="R4039" s="9">
        <f t="shared" si="161"/>
        <v>3.0822200092979202E-3</v>
      </c>
    </row>
    <row r="4040" spans="1:18" x14ac:dyDescent="0.2">
      <c r="A4040" s="2">
        <v>42622</v>
      </c>
      <c r="B4040" s="1" t="s">
        <v>59</v>
      </c>
      <c r="C4040" s="1" t="s">
        <v>14</v>
      </c>
      <c r="D4040" s="2">
        <v>42742</v>
      </c>
      <c r="E4040" s="2">
        <f t="shared" si="160"/>
        <v>42917</v>
      </c>
      <c r="F4040" s="1" t="s">
        <v>60</v>
      </c>
      <c r="G4040" s="1" t="s">
        <v>16</v>
      </c>
      <c r="H4040" s="1">
        <v>-0.5</v>
      </c>
      <c r="I4040" s="1">
        <v>0.45</v>
      </c>
      <c r="J4040" s="1">
        <v>-0.01</v>
      </c>
      <c r="K4040" s="1" t="s">
        <v>73</v>
      </c>
      <c r="L4040" s="1">
        <v>2387</v>
      </c>
      <c r="M4040" s="1">
        <v>0.79</v>
      </c>
      <c r="N4040" s="1">
        <v>-0.69311</v>
      </c>
      <c r="O4040" s="5">
        <f>VLOOKUP(D4040,underlying!$D$76:$H$90,5,FALSE)</f>
        <v>-0.2</v>
      </c>
      <c r="P4040" s="2">
        <f>VLOOKUP(D4040,underlying!$D$76:$L$90,9,FALSE)</f>
        <v>42905</v>
      </c>
      <c r="Q4040" s="7">
        <f>IF(G4040="C",NormalCallSprd(O4040,H4040,M4040,(P4040-A4040)/365), NormalPutSprd(O4040,H4040,M4040,(P4040-A4040)/365))</f>
        <v>0.45292837031377597</v>
      </c>
      <c r="R4040" s="9">
        <f t="shared" si="161"/>
        <v>2.9283703137759631E-3</v>
      </c>
    </row>
    <row r="4041" spans="1:18" x14ac:dyDescent="0.2">
      <c r="A4041" s="2">
        <v>42622</v>
      </c>
      <c r="B4041" s="1" t="s">
        <v>59</v>
      </c>
      <c r="C4041" s="1" t="s">
        <v>14</v>
      </c>
      <c r="D4041" s="2">
        <v>42742</v>
      </c>
      <c r="E4041" s="2">
        <f t="shared" si="160"/>
        <v>42917</v>
      </c>
      <c r="F4041" s="1" t="s">
        <v>60</v>
      </c>
      <c r="G4041" s="1" t="s">
        <v>18</v>
      </c>
      <c r="H4041" s="1">
        <v>-0.5</v>
      </c>
      <c r="I4041" s="1">
        <v>0.15</v>
      </c>
      <c r="J4041" s="1">
        <v>0.01</v>
      </c>
      <c r="K4041" s="1" t="s">
        <v>73</v>
      </c>
      <c r="L4041" s="1">
        <v>2387</v>
      </c>
      <c r="M4041" s="1">
        <v>0.79</v>
      </c>
      <c r="N4041" s="1">
        <v>-0.66186999999999996</v>
      </c>
      <c r="O4041" s="5">
        <f>VLOOKUP(D4041,underlying!$D$76:$H$90,5,FALSE)</f>
        <v>-0.2</v>
      </c>
      <c r="P4041" s="2">
        <f>VLOOKUP(D4041,underlying!$D$76:$L$90,9,FALSE)</f>
        <v>42905</v>
      </c>
      <c r="Q4041" s="7">
        <f>IF(G4041="C",NormalCallSprd(O4041,H4041,M4041,(P4041-A4041)/365), NormalPutSprd(O4041,H4041,M4041,(P4041-A4041)/365))</f>
        <v>0.15292837031377601</v>
      </c>
      <c r="R4041" s="9">
        <f t="shared" si="161"/>
        <v>2.9283703137760186E-3</v>
      </c>
    </row>
    <row r="4042" spans="1:18" x14ac:dyDescent="0.2">
      <c r="A4042" s="2">
        <v>42622</v>
      </c>
      <c r="B4042" s="1" t="s">
        <v>59</v>
      </c>
      <c r="C4042" s="1" t="s">
        <v>14</v>
      </c>
      <c r="D4042" s="2">
        <v>42742</v>
      </c>
      <c r="E4042" s="2">
        <f t="shared" si="160"/>
        <v>42917</v>
      </c>
      <c r="F4042" s="1" t="s">
        <v>60</v>
      </c>
      <c r="G4042" s="1" t="s">
        <v>16</v>
      </c>
      <c r="H4042" s="1">
        <v>-0.45</v>
      </c>
      <c r="I4042" s="1">
        <v>0.41</v>
      </c>
      <c r="J4042" s="1">
        <v>-0.01</v>
      </c>
      <c r="K4042" s="1" t="s">
        <v>73</v>
      </c>
      <c r="L4042" s="1">
        <v>2387</v>
      </c>
      <c r="M4042" s="1">
        <v>0.77</v>
      </c>
      <c r="N4042" s="1">
        <v>-0.63388999999999995</v>
      </c>
      <c r="O4042" s="5">
        <f>VLOOKUP(D4042,underlying!$D$76:$H$90,5,FALSE)</f>
        <v>-0.2</v>
      </c>
      <c r="P4042" s="2">
        <f>VLOOKUP(D4042,underlying!$D$76:$L$90,9,FALSE)</f>
        <v>42905</v>
      </c>
      <c r="Q4042" s="7">
        <f>IF(G4042="C",NormalCallSprd(O4042,H4042,M4042,(P4042-A4042)/365), NormalPutSprd(O4042,H4042,M4042,(P4042-A4042)/365))</f>
        <v>0.41366970093637401</v>
      </c>
      <c r="R4042" s="9">
        <f t="shared" si="161"/>
        <v>3.6697009363740318E-3</v>
      </c>
    </row>
    <row r="4043" spans="1:18" x14ac:dyDescent="0.2">
      <c r="A4043" s="2">
        <v>42622</v>
      </c>
      <c r="B4043" s="1" t="s">
        <v>59</v>
      </c>
      <c r="C4043" s="1" t="s">
        <v>14</v>
      </c>
      <c r="D4043" s="2">
        <v>42742</v>
      </c>
      <c r="E4043" s="2">
        <f t="shared" si="160"/>
        <v>42917</v>
      </c>
      <c r="F4043" s="1" t="s">
        <v>60</v>
      </c>
      <c r="G4043" s="1" t="s">
        <v>18</v>
      </c>
      <c r="H4043" s="1">
        <v>-0.45</v>
      </c>
      <c r="I4043" s="1">
        <v>0.16</v>
      </c>
      <c r="J4043" s="1">
        <v>0</v>
      </c>
      <c r="K4043" s="1" t="s">
        <v>73</v>
      </c>
      <c r="L4043" s="1">
        <v>2387</v>
      </c>
      <c r="M4043" s="1">
        <v>0.77</v>
      </c>
      <c r="N4043" s="1">
        <v>-0.60714000000000001</v>
      </c>
      <c r="O4043" s="5">
        <f>VLOOKUP(D4043,underlying!$D$76:$H$90,5,FALSE)</f>
        <v>-0.2</v>
      </c>
      <c r="P4043" s="2">
        <f>VLOOKUP(D4043,underlying!$D$76:$L$90,9,FALSE)</f>
        <v>42905</v>
      </c>
      <c r="Q4043" s="7">
        <f>IF(G4043="C",NormalCallSprd(O4043,H4043,M4043,(P4043-A4043)/365), NormalPutSprd(O4043,H4043,M4043,(P4043-A4043)/365))</f>
        <v>0.16366970093637401</v>
      </c>
      <c r="R4043" s="9">
        <f t="shared" si="161"/>
        <v>3.6697009363740041E-3</v>
      </c>
    </row>
    <row r="4044" spans="1:18" x14ac:dyDescent="0.2">
      <c r="A4044" s="2">
        <v>42622</v>
      </c>
      <c r="B4044" s="1" t="s">
        <v>59</v>
      </c>
      <c r="C4044" s="1" t="s">
        <v>14</v>
      </c>
      <c r="D4044" s="2">
        <v>42742</v>
      </c>
      <c r="E4044" s="2">
        <f t="shared" si="160"/>
        <v>42917</v>
      </c>
      <c r="F4044" s="1" t="s">
        <v>60</v>
      </c>
      <c r="G4044" s="1" t="s">
        <v>16</v>
      </c>
      <c r="H4044" s="1">
        <v>-0.4</v>
      </c>
      <c r="I4044" s="1">
        <v>0.37</v>
      </c>
      <c r="J4044" s="1">
        <v>-0.02</v>
      </c>
      <c r="K4044" s="1" t="s">
        <v>73</v>
      </c>
      <c r="L4044" s="1">
        <v>2387</v>
      </c>
      <c r="M4044" s="1">
        <v>0.75</v>
      </c>
      <c r="N4044" s="1">
        <v>-0.57357000000000002</v>
      </c>
      <c r="O4044" s="5">
        <f>VLOOKUP(D4044,underlying!$D$76:$H$90,5,FALSE)</f>
        <v>-0.2</v>
      </c>
      <c r="P4044" s="2">
        <f>VLOOKUP(D4044,underlying!$D$76:$L$90,9,FALSE)</f>
        <v>42905</v>
      </c>
      <c r="Q4044" s="7">
        <f>IF(G4044="C",NormalCallSprd(O4044,H4044,M4044,(P4044-A4044)/365), NormalPutSprd(O4044,H4044,M4044,(P4044-A4044)/365))</f>
        <v>0.37545238842776935</v>
      </c>
      <c r="R4044" s="9">
        <f t="shared" si="161"/>
        <v>5.4523884277693502E-3</v>
      </c>
    </row>
    <row r="4045" spans="1:18" x14ac:dyDescent="0.2">
      <c r="A4045" s="2">
        <v>42622</v>
      </c>
      <c r="B4045" s="1" t="s">
        <v>59</v>
      </c>
      <c r="C4045" s="1" t="s">
        <v>14</v>
      </c>
      <c r="D4045" s="2">
        <v>42742</v>
      </c>
      <c r="E4045" s="2">
        <f t="shared" si="160"/>
        <v>42917</v>
      </c>
      <c r="F4045" s="1" t="s">
        <v>60</v>
      </c>
      <c r="G4045" s="1" t="s">
        <v>18</v>
      </c>
      <c r="H4045" s="1">
        <v>-0.4</v>
      </c>
      <c r="I4045" s="1">
        <v>0.17</v>
      </c>
      <c r="J4045" s="1">
        <v>0.01</v>
      </c>
      <c r="K4045" s="1" t="s">
        <v>73</v>
      </c>
      <c r="L4045" s="1">
        <v>2387</v>
      </c>
      <c r="M4045" s="1">
        <v>0.75</v>
      </c>
      <c r="N4045" s="1">
        <v>-0.54007000000000005</v>
      </c>
      <c r="O4045" s="5">
        <f>VLOOKUP(D4045,underlying!$D$76:$H$90,5,FALSE)</f>
        <v>-0.2</v>
      </c>
      <c r="P4045" s="2">
        <f>VLOOKUP(D4045,underlying!$D$76:$L$90,9,FALSE)</f>
        <v>42905</v>
      </c>
      <c r="Q4045" s="7">
        <f>IF(G4045="C",NormalCallSprd(O4045,H4045,M4045,(P4045-A4045)/365), NormalPutSprd(O4045,H4045,M4045,(P4045-A4045)/365))</f>
        <v>0.17545238842776936</v>
      </c>
      <c r="R4045" s="9">
        <f t="shared" si="161"/>
        <v>5.4523884277693502E-3</v>
      </c>
    </row>
    <row r="4046" spans="1:18" x14ac:dyDescent="0.2">
      <c r="A4046" s="2">
        <v>42622</v>
      </c>
      <c r="B4046" s="1" t="s">
        <v>59</v>
      </c>
      <c r="C4046" s="1" t="s">
        <v>14</v>
      </c>
      <c r="D4046" s="2">
        <v>42742</v>
      </c>
      <c r="E4046" s="2">
        <f t="shared" si="160"/>
        <v>42917</v>
      </c>
      <c r="F4046" s="1" t="s">
        <v>60</v>
      </c>
      <c r="G4046" s="1" t="s">
        <v>16</v>
      </c>
      <c r="H4046" s="1">
        <v>-0.35</v>
      </c>
      <c r="I4046" s="1">
        <v>0.34</v>
      </c>
      <c r="J4046" s="1">
        <v>-0.01</v>
      </c>
      <c r="K4046" s="1" t="s">
        <v>73</v>
      </c>
      <c r="L4046" s="1">
        <v>2387</v>
      </c>
      <c r="M4046" s="1">
        <v>0.73</v>
      </c>
      <c r="N4046" s="1">
        <v>-0.50534000000000001</v>
      </c>
      <c r="O4046" s="5">
        <f>VLOOKUP(D4046,underlying!$D$76:$H$90,5,FALSE)</f>
        <v>-0.2</v>
      </c>
      <c r="P4046" s="2">
        <f>VLOOKUP(D4046,underlying!$D$76:$L$90,9,FALSE)</f>
        <v>42905</v>
      </c>
      <c r="Q4046" s="7">
        <f>IF(G4046="C",NormalCallSprd(O4046,H4046,M4046,(P4046-A4046)/365), NormalPutSprd(O4046,H4046,M4046,(P4046-A4046)/365))</f>
        <v>0.33838712087082196</v>
      </c>
      <c r="R4046" s="9">
        <f t="shared" si="161"/>
        <v>1.6128791291780686E-3</v>
      </c>
    </row>
    <row r="4047" spans="1:18" x14ac:dyDescent="0.2">
      <c r="A4047" s="2">
        <v>42622</v>
      </c>
      <c r="B4047" s="1" t="s">
        <v>59</v>
      </c>
      <c r="C4047" s="1" t="s">
        <v>14</v>
      </c>
      <c r="D4047" s="2">
        <v>42742</v>
      </c>
      <c r="E4047" s="2">
        <f t="shared" si="160"/>
        <v>42917</v>
      </c>
      <c r="F4047" s="1" t="s">
        <v>60</v>
      </c>
      <c r="G4047" s="1" t="s">
        <v>18</v>
      </c>
      <c r="H4047" s="1">
        <v>-0.35</v>
      </c>
      <c r="I4047" s="1">
        <v>0.19</v>
      </c>
      <c r="J4047" s="1">
        <v>0.01</v>
      </c>
      <c r="K4047" s="1" t="s">
        <v>73</v>
      </c>
      <c r="L4047" s="1">
        <v>2387</v>
      </c>
      <c r="M4047" s="1">
        <v>0.73</v>
      </c>
      <c r="N4047" s="1">
        <v>-0.47222999999999998</v>
      </c>
      <c r="O4047" s="5">
        <f>VLOOKUP(D4047,underlying!$D$76:$H$90,5,FALSE)</f>
        <v>-0.2</v>
      </c>
      <c r="P4047" s="2">
        <f>VLOOKUP(D4047,underlying!$D$76:$L$90,9,FALSE)</f>
        <v>42905</v>
      </c>
      <c r="Q4047" s="7">
        <f>IF(G4047="C",NormalCallSprd(O4047,H4047,M4047,(P4047-A4047)/365), NormalPutSprd(O4047,H4047,M4047,(P4047-A4047)/365))</f>
        <v>0.18838712087082196</v>
      </c>
      <c r="R4047" s="9">
        <f t="shared" si="161"/>
        <v>1.6128791291780409E-3</v>
      </c>
    </row>
    <row r="4048" spans="1:18" x14ac:dyDescent="0.2">
      <c r="A4048" s="2">
        <v>42622</v>
      </c>
      <c r="B4048" s="1" t="s">
        <v>59</v>
      </c>
      <c r="C4048" s="1" t="s">
        <v>14</v>
      </c>
      <c r="D4048" s="2">
        <v>42742</v>
      </c>
      <c r="E4048" s="2">
        <f t="shared" si="160"/>
        <v>42917</v>
      </c>
      <c r="F4048" s="1" t="s">
        <v>60</v>
      </c>
      <c r="G4048" s="1" t="s">
        <v>16</v>
      </c>
      <c r="H4048" s="1">
        <v>-0.3</v>
      </c>
      <c r="I4048" s="1">
        <v>0.3</v>
      </c>
      <c r="J4048" s="1">
        <v>-0.02</v>
      </c>
      <c r="K4048" s="1" t="s">
        <v>73</v>
      </c>
      <c r="L4048" s="1">
        <v>2387</v>
      </c>
      <c r="M4048" s="1">
        <v>0.72</v>
      </c>
      <c r="N4048" s="1">
        <v>-0.44085999999999997</v>
      </c>
      <c r="O4048" s="5">
        <f>VLOOKUP(D4048,underlying!$D$76:$H$90,5,FALSE)</f>
        <v>-0.2</v>
      </c>
      <c r="P4048" s="2">
        <f>VLOOKUP(D4048,underlying!$D$76:$L$90,9,FALSE)</f>
        <v>42905</v>
      </c>
      <c r="Q4048" s="7">
        <f>IF(G4048="C",NormalCallSprd(O4048,H4048,M4048,(P4048-A4048)/365), NormalPutSprd(O4048,H4048,M4048,(P4048-A4048)/365))</f>
        <v>0.30606339370790159</v>
      </c>
      <c r="R4048" s="9">
        <f t="shared" si="161"/>
        <v>6.0633937079015987E-3</v>
      </c>
    </row>
    <row r="4049" spans="1:18" x14ac:dyDescent="0.2">
      <c r="A4049" s="2">
        <v>42622</v>
      </c>
      <c r="B4049" s="1" t="s">
        <v>59</v>
      </c>
      <c r="C4049" s="1" t="s">
        <v>14</v>
      </c>
      <c r="D4049" s="2">
        <v>42742</v>
      </c>
      <c r="E4049" s="2">
        <f t="shared" si="160"/>
        <v>42917</v>
      </c>
      <c r="F4049" s="1" t="s">
        <v>60</v>
      </c>
      <c r="G4049" s="1" t="s">
        <v>18</v>
      </c>
      <c r="H4049" s="1">
        <v>-0.3</v>
      </c>
      <c r="I4049" s="1">
        <v>0.21</v>
      </c>
      <c r="J4049" s="1">
        <v>0.01</v>
      </c>
      <c r="K4049" s="1" t="s">
        <v>73</v>
      </c>
      <c r="L4049" s="1">
        <v>2387</v>
      </c>
      <c r="M4049" s="1">
        <v>0.72</v>
      </c>
      <c r="N4049" s="1">
        <v>-0.41213</v>
      </c>
      <c r="O4049" s="5">
        <f>VLOOKUP(D4049,underlying!$D$76:$H$90,5,FALSE)</f>
        <v>-0.2</v>
      </c>
      <c r="P4049" s="2">
        <f>VLOOKUP(D4049,underlying!$D$76:$L$90,9,FALSE)</f>
        <v>42905</v>
      </c>
      <c r="Q4049" s="7">
        <f>IF(G4049="C",NormalCallSprd(O4049,H4049,M4049,(P4049-A4049)/365), NormalPutSprd(O4049,H4049,M4049,(P4049-A4049)/365))</f>
        <v>0.20606339370790161</v>
      </c>
      <c r="R4049" s="9">
        <f t="shared" si="161"/>
        <v>3.9366062920983824E-3</v>
      </c>
    </row>
    <row r="4050" spans="1:18" x14ac:dyDescent="0.2">
      <c r="A4050" s="2">
        <v>42622</v>
      </c>
      <c r="B4050" s="1" t="s">
        <v>59</v>
      </c>
      <c r="C4050" s="1" t="s">
        <v>14</v>
      </c>
      <c r="D4050" s="2">
        <v>42742</v>
      </c>
      <c r="E4050" s="2">
        <f t="shared" si="160"/>
        <v>42917</v>
      </c>
      <c r="F4050" s="1" t="s">
        <v>60</v>
      </c>
      <c r="G4050" s="1" t="s">
        <v>16</v>
      </c>
      <c r="H4050" s="1">
        <v>-0.25</v>
      </c>
      <c r="I4050" s="1">
        <v>0.27</v>
      </c>
      <c r="J4050" s="1">
        <v>-0.02</v>
      </c>
      <c r="K4050" s="1" t="s">
        <v>73</v>
      </c>
      <c r="L4050" s="1">
        <v>2387</v>
      </c>
      <c r="M4050" s="1">
        <v>0.7</v>
      </c>
      <c r="N4050" s="1">
        <v>-0.38328000000000001</v>
      </c>
      <c r="O4050" s="5">
        <f>VLOOKUP(D4050,underlying!$D$76:$H$90,5,FALSE)</f>
        <v>-0.2</v>
      </c>
      <c r="P4050" s="2">
        <f>VLOOKUP(D4050,underlying!$D$76:$L$90,9,FALSE)</f>
        <v>42905</v>
      </c>
      <c r="Q4050" s="7">
        <f>IF(G4050="C",NormalCallSprd(O4050,H4050,M4050,(P4050-A4050)/365), NormalPutSprd(O4050,H4050,M4050,(P4050-A4050)/365))</f>
        <v>0.27170654694417151</v>
      </c>
      <c r="R4050" s="9">
        <f t="shared" si="161"/>
        <v>1.7065469441714942E-3</v>
      </c>
    </row>
    <row r="4051" spans="1:18" x14ac:dyDescent="0.2">
      <c r="A4051" s="2">
        <v>42622</v>
      </c>
      <c r="B4051" s="1" t="s">
        <v>59</v>
      </c>
      <c r="C4051" s="1" t="s">
        <v>14</v>
      </c>
      <c r="D4051" s="2">
        <v>42742</v>
      </c>
      <c r="E4051" s="2">
        <f t="shared" si="160"/>
        <v>42917</v>
      </c>
      <c r="F4051" s="1" t="s">
        <v>60</v>
      </c>
      <c r="G4051" s="1" t="s">
        <v>18</v>
      </c>
      <c r="H4051" s="1">
        <v>-0.25</v>
      </c>
      <c r="I4051" s="1">
        <v>0.22</v>
      </c>
      <c r="J4051" s="1">
        <v>0</v>
      </c>
      <c r="K4051" s="1" t="s">
        <v>73</v>
      </c>
      <c r="L4051" s="1">
        <v>2387</v>
      </c>
      <c r="M4051" s="1">
        <v>0.7</v>
      </c>
      <c r="N4051" s="1">
        <v>-0.35568</v>
      </c>
      <c r="O4051" s="5">
        <f>VLOOKUP(D4051,underlying!$D$76:$H$90,5,FALSE)</f>
        <v>-0.2</v>
      </c>
      <c r="P4051" s="2">
        <f>VLOOKUP(D4051,underlying!$D$76:$L$90,9,FALSE)</f>
        <v>42905</v>
      </c>
      <c r="Q4051" s="7">
        <f>IF(G4051="C",NormalCallSprd(O4051,H4051,M4051,(P4051-A4051)/365), NormalPutSprd(O4051,H4051,M4051,(P4051-A4051)/365))</f>
        <v>0.22170654694417155</v>
      </c>
      <c r="R4051" s="9">
        <f t="shared" si="161"/>
        <v>1.7065469441715497E-3</v>
      </c>
    </row>
    <row r="4052" spans="1:18" x14ac:dyDescent="0.2">
      <c r="A4052" s="2">
        <v>42622</v>
      </c>
      <c r="B4052" s="1" t="s">
        <v>59</v>
      </c>
      <c r="C4052" s="1" t="s">
        <v>14</v>
      </c>
      <c r="D4052" s="2">
        <v>42742</v>
      </c>
      <c r="E4052" s="2">
        <f t="shared" si="160"/>
        <v>42917</v>
      </c>
      <c r="F4052" s="1" t="s">
        <v>60</v>
      </c>
      <c r="G4052" s="1" t="s">
        <v>16</v>
      </c>
      <c r="H4052" s="1">
        <v>-0.2</v>
      </c>
      <c r="I4052" s="1">
        <v>0.25</v>
      </c>
      <c r="J4052" s="1">
        <v>-0.01</v>
      </c>
      <c r="K4052" s="1" t="s">
        <v>73</v>
      </c>
      <c r="L4052" s="1">
        <v>2387</v>
      </c>
      <c r="M4052" s="1">
        <v>0.7</v>
      </c>
      <c r="N4052" s="1">
        <v>-0.32834999999999998</v>
      </c>
      <c r="O4052" s="5">
        <f>VLOOKUP(D4052,underlying!$D$76:$H$90,5,FALSE)</f>
        <v>-0.2</v>
      </c>
      <c r="P4052" s="2">
        <f>VLOOKUP(D4052,underlying!$D$76:$L$90,9,FALSE)</f>
        <v>42905</v>
      </c>
      <c r="Q4052" s="7">
        <f>IF(G4052="C",NormalCallSprd(O4052,H4052,M4052,(P4052-A4052)/365), NormalPutSprd(O4052,H4052,M4052,(P4052-A4052)/365))</f>
        <v>0.24589794050931152</v>
      </c>
      <c r="R4052" s="9">
        <f t="shared" si="161"/>
        <v>4.1020594906884811E-3</v>
      </c>
    </row>
    <row r="4053" spans="1:18" x14ac:dyDescent="0.2">
      <c r="A4053" s="2">
        <v>42622</v>
      </c>
      <c r="B4053" s="1" t="s">
        <v>59</v>
      </c>
      <c r="C4053" s="1" t="s">
        <v>14</v>
      </c>
      <c r="D4053" s="2">
        <v>42742</v>
      </c>
      <c r="E4053" s="2">
        <f t="shared" si="160"/>
        <v>42917</v>
      </c>
      <c r="F4053" s="1" t="s">
        <v>60</v>
      </c>
      <c r="G4053" s="1" t="s">
        <v>18</v>
      </c>
      <c r="H4053" s="1">
        <v>-0.2</v>
      </c>
      <c r="I4053" s="1">
        <v>0.25</v>
      </c>
      <c r="J4053" s="1">
        <v>0.01</v>
      </c>
      <c r="K4053" s="1" t="s">
        <v>73</v>
      </c>
      <c r="L4053" s="1">
        <v>2387</v>
      </c>
      <c r="M4053" s="1">
        <v>0.7</v>
      </c>
      <c r="N4053" s="1">
        <v>-0.30132999999999999</v>
      </c>
      <c r="O4053" s="5">
        <f>VLOOKUP(D4053,underlying!$D$76:$H$90,5,FALSE)</f>
        <v>-0.2</v>
      </c>
      <c r="P4053" s="2">
        <f>VLOOKUP(D4053,underlying!$D$76:$L$90,9,FALSE)</f>
        <v>42905</v>
      </c>
      <c r="Q4053" s="7">
        <f>IF(G4053="C",NormalCallSprd(O4053,H4053,M4053,(P4053-A4053)/365), NormalPutSprd(O4053,H4053,M4053,(P4053-A4053)/365))</f>
        <v>0.24589794050931152</v>
      </c>
      <c r="R4053" s="9">
        <f t="shared" si="161"/>
        <v>4.1020594906884811E-3</v>
      </c>
    </row>
    <row r="4054" spans="1:18" x14ac:dyDescent="0.2">
      <c r="A4054" s="2">
        <v>42622</v>
      </c>
      <c r="B4054" s="1" t="s">
        <v>59</v>
      </c>
      <c r="C4054" s="1" t="s">
        <v>14</v>
      </c>
      <c r="D4054" s="2">
        <v>42742</v>
      </c>
      <c r="E4054" s="2">
        <f t="shared" si="160"/>
        <v>42917</v>
      </c>
      <c r="F4054" s="1" t="s">
        <v>60</v>
      </c>
      <c r="G4054" s="1" t="s">
        <v>16</v>
      </c>
      <c r="H4054" s="1">
        <v>-0.15</v>
      </c>
      <c r="I4054" s="1">
        <v>0.22</v>
      </c>
      <c r="J4054" s="1">
        <v>-0.01</v>
      </c>
      <c r="K4054" s="1" t="s">
        <v>73</v>
      </c>
      <c r="L4054" s="1">
        <v>2387</v>
      </c>
      <c r="M4054" s="1">
        <v>0.7</v>
      </c>
      <c r="N4054" s="1">
        <v>-0.27535999999999999</v>
      </c>
      <c r="O4054" s="5">
        <f>VLOOKUP(D4054,underlying!$D$76:$H$90,5,FALSE)</f>
        <v>-0.2</v>
      </c>
      <c r="P4054" s="2">
        <f>VLOOKUP(D4054,underlying!$D$76:$L$90,9,FALSE)</f>
        <v>42905</v>
      </c>
      <c r="Q4054" s="7">
        <f>IF(G4054="C",NormalCallSprd(O4054,H4054,M4054,(P4054-A4054)/365), NormalPutSprd(O4054,H4054,M4054,(P4054-A4054)/365))</f>
        <v>0.22170654694417152</v>
      </c>
      <c r="R4054" s="9">
        <f t="shared" si="161"/>
        <v>1.706546944171522E-3</v>
      </c>
    </row>
    <row r="4055" spans="1:18" x14ac:dyDescent="0.2">
      <c r="A4055" s="2">
        <v>42622</v>
      </c>
      <c r="B4055" s="1" t="s">
        <v>59</v>
      </c>
      <c r="C4055" s="1" t="s">
        <v>14</v>
      </c>
      <c r="D4055" s="2">
        <v>42742</v>
      </c>
      <c r="E4055" s="2">
        <f t="shared" si="160"/>
        <v>42917</v>
      </c>
      <c r="F4055" s="1" t="s">
        <v>60</v>
      </c>
      <c r="G4055" s="1" t="s">
        <v>18</v>
      </c>
      <c r="H4055" s="1">
        <v>-0.15</v>
      </c>
      <c r="I4055" s="1">
        <v>0.27</v>
      </c>
      <c r="J4055" s="1">
        <v>0.01</v>
      </c>
      <c r="K4055" s="1" t="s">
        <v>73</v>
      </c>
      <c r="L4055" s="1">
        <v>2387</v>
      </c>
      <c r="M4055" s="1">
        <v>0.7</v>
      </c>
      <c r="N4055" s="1">
        <v>-0.25053999999999998</v>
      </c>
      <c r="O4055" s="5">
        <f>VLOOKUP(D4055,underlying!$D$76:$H$90,5,FALSE)</f>
        <v>-0.2</v>
      </c>
      <c r="P4055" s="2">
        <f>VLOOKUP(D4055,underlying!$D$76:$L$90,9,FALSE)</f>
        <v>42905</v>
      </c>
      <c r="Q4055" s="7">
        <f>IF(G4055="C",NormalCallSprd(O4055,H4055,M4055,(P4055-A4055)/365), NormalPutSprd(O4055,H4055,M4055,(P4055-A4055)/365))</f>
        <v>0.27170654694417157</v>
      </c>
      <c r="R4055" s="9">
        <f t="shared" si="161"/>
        <v>1.7065469441715497E-3</v>
      </c>
    </row>
    <row r="4056" spans="1:18" x14ac:dyDescent="0.2">
      <c r="A4056" s="2">
        <v>42622</v>
      </c>
      <c r="B4056" s="1" t="s">
        <v>59</v>
      </c>
      <c r="C4056" s="1" t="s">
        <v>14</v>
      </c>
      <c r="D4056" s="2">
        <v>42742</v>
      </c>
      <c r="E4056" s="2">
        <f t="shared" si="160"/>
        <v>42917</v>
      </c>
      <c r="F4056" s="1" t="s">
        <v>60</v>
      </c>
      <c r="G4056" s="1" t="s">
        <v>16</v>
      </c>
      <c r="H4056" s="1">
        <v>-0.1</v>
      </c>
      <c r="I4056" s="1">
        <v>0.19</v>
      </c>
      <c r="J4056" s="1">
        <v>-0.01</v>
      </c>
      <c r="K4056" s="1" t="s">
        <v>73</v>
      </c>
      <c r="L4056" s="1">
        <v>2387</v>
      </c>
      <c r="M4056" s="1">
        <v>0.69</v>
      </c>
      <c r="N4056" s="1">
        <v>-0.22695000000000001</v>
      </c>
      <c r="O4056" s="5">
        <f>VLOOKUP(D4056,underlying!$D$76:$H$90,5,FALSE)</f>
        <v>-0.2</v>
      </c>
      <c r="P4056" s="2">
        <f>VLOOKUP(D4056,underlying!$D$76:$L$90,9,FALSE)</f>
        <v>42905</v>
      </c>
      <c r="Q4056" s="7">
        <f>IF(G4056="C",NormalCallSprd(O4056,H4056,M4056,(P4056-A4056)/365), NormalPutSprd(O4056,H4056,M4056,(P4056-A4056)/365))</f>
        <v>0.1956608218562314</v>
      </c>
      <c r="R4056" s="9">
        <f t="shared" si="161"/>
        <v>5.6608218562314017E-3</v>
      </c>
    </row>
    <row r="4057" spans="1:18" x14ac:dyDescent="0.2">
      <c r="A4057" s="2">
        <v>42622</v>
      </c>
      <c r="B4057" s="1" t="s">
        <v>59</v>
      </c>
      <c r="C4057" s="1" t="s">
        <v>14</v>
      </c>
      <c r="D4057" s="2">
        <v>42742</v>
      </c>
      <c r="E4057" s="2">
        <f t="shared" si="160"/>
        <v>42917</v>
      </c>
      <c r="F4057" s="1" t="s">
        <v>60</v>
      </c>
      <c r="G4057" s="1" t="s">
        <v>18</v>
      </c>
      <c r="H4057" s="1">
        <v>-0.1</v>
      </c>
      <c r="I4057" s="1">
        <v>0.28999999999999998</v>
      </c>
      <c r="J4057" s="1">
        <v>0.01</v>
      </c>
      <c r="K4057" s="1" t="s">
        <v>73</v>
      </c>
      <c r="L4057" s="1">
        <v>2387</v>
      </c>
      <c r="M4057" s="1">
        <v>0.69</v>
      </c>
      <c r="N4057" s="1">
        <v>-0.16649</v>
      </c>
      <c r="O4057" s="5">
        <f>VLOOKUP(D4057,underlying!$D$76:$H$90,5,FALSE)</f>
        <v>-0.2</v>
      </c>
      <c r="P4057" s="2">
        <f>VLOOKUP(D4057,underlying!$D$76:$L$90,9,FALSE)</f>
        <v>42905</v>
      </c>
      <c r="Q4057" s="7">
        <f>IF(G4057="C",NormalCallSprd(O4057,H4057,M4057,(P4057-A4057)/365), NormalPutSprd(O4057,H4057,M4057,(P4057-A4057)/365))</f>
        <v>0.29566082185623138</v>
      </c>
      <c r="R4057" s="9">
        <f t="shared" si="161"/>
        <v>5.6608218562314017E-3</v>
      </c>
    </row>
    <row r="4058" spans="1:18" x14ac:dyDescent="0.2">
      <c r="A4058" s="2">
        <v>42622</v>
      </c>
      <c r="B4058" s="1" t="s">
        <v>59</v>
      </c>
      <c r="C4058" s="1" t="s">
        <v>14</v>
      </c>
      <c r="D4058" s="2">
        <v>42742</v>
      </c>
      <c r="E4058" s="2">
        <f t="shared" si="160"/>
        <v>42917</v>
      </c>
      <c r="F4058" s="1" t="s">
        <v>60</v>
      </c>
      <c r="G4058" s="1" t="s">
        <v>16</v>
      </c>
      <c r="H4058" s="1">
        <v>-0.05</v>
      </c>
      <c r="I4058" s="1">
        <v>0.17</v>
      </c>
      <c r="J4058" s="1">
        <v>0</v>
      </c>
      <c r="K4058" s="1" t="s">
        <v>73</v>
      </c>
      <c r="L4058" s="1">
        <v>2387</v>
      </c>
      <c r="M4058" s="1">
        <v>0.68</v>
      </c>
      <c r="N4058" s="1">
        <v>-1.197E-2</v>
      </c>
      <c r="O4058" s="5">
        <f>VLOOKUP(D4058,underlying!$D$76:$H$90,5,FALSE)</f>
        <v>-0.2</v>
      </c>
      <c r="P4058" s="2">
        <f>VLOOKUP(D4058,underlying!$D$76:$L$90,9,FALSE)</f>
        <v>42905</v>
      </c>
      <c r="Q4058" s="7">
        <f>IF(G4058="C",NormalCallSprd(O4058,H4058,M4058,(P4058-A4058)/365), NormalPutSprd(O4058,H4058,M4058,(P4058-A4058)/365))</f>
        <v>0.17132893716110667</v>
      </c>
      <c r="R4058" s="9">
        <f t="shared" si="161"/>
        <v>1.328937161106658E-3</v>
      </c>
    </row>
    <row r="4059" spans="1:18" x14ac:dyDescent="0.2">
      <c r="A4059" s="2">
        <v>42622</v>
      </c>
      <c r="B4059" s="1" t="s">
        <v>59</v>
      </c>
      <c r="C4059" s="1" t="s">
        <v>14</v>
      </c>
      <c r="D4059" s="2">
        <v>42742</v>
      </c>
      <c r="E4059" s="2">
        <f t="shared" si="160"/>
        <v>42917</v>
      </c>
      <c r="F4059" s="1" t="s">
        <v>60</v>
      </c>
      <c r="G4059" s="1" t="s">
        <v>18</v>
      </c>
      <c r="H4059" s="1">
        <v>-0.05</v>
      </c>
      <c r="I4059" s="1">
        <v>0.32</v>
      </c>
      <c r="J4059" s="1">
        <v>0.02</v>
      </c>
      <c r="K4059" s="1" t="s">
        <v>73</v>
      </c>
      <c r="L4059" s="1">
        <v>2387</v>
      </c>
      <c r="M4059" s="1">
        <v>0.68</v>
      </c>
      <c r="N4059" s="1">
        <v>-4.2000000000000002E-4</v>
      </c>
      <c r="O4059" s="5">
        <f>VLOOKUP(D4059,underlying!$D$76:$H$90,5,FALSE)</f>
        <v>-0.2</v>
      </c>
      <c r="P4059" s="2">
        <f>VLOOKUP(D4059,underlying!$D$76:$L$90,9,FALSE)</f>
        <v>42905</v>
      </c>
      <c r="Q4059" s="7">
        <f>IF(G4059="C",NormalCallSprd(O4059,H4059,M4059,(P4059-A4059)/365), NormalPutSprd(O4059,H4059,M4059,(P4059-A4059)/365))</f>
        <v>0.32132893716110666</v>
      </c>
      <c r="R4059" s="9">
        <f t="shared" si="161"/>
        <v>1.328937161106658E-3</v>
      </c>
    </row>
    <row r="4060" spans="1:18" x14ac:dyDescent="0.2">
      <c r="A4060" s="2">
        <v>42622</v>
      </c>
      <c r="B4060" s="1" t="s">
        <v>59</v>
      </c>
      <c r="C4060" s="1" t="s">
        <v>14</v>
      </c>
      <c r="D4060" s="2">
        <v>42743</v>
      </c>
      <c r="E4060" s="2">
        <f t="shared" si="160"/>
        <v>42948</v>
      </c>
      <c r="F4060" s="1" t="s">
        <v>60</v>
      </c>
      <c r="G4060" s="1" t="s">
        <v>16</v>
      </c>
      <c r="H4060" s="1">
        <v>-3</v>
      </c>
      <c r="I4060" s="1">
        <v>2.8</v>
      </c>
      <c r="J4060" s="1">
        <v>-0.01</v>
      </c>
      <c r="K4060" s="1" t="s">
        <v>74</v>
      </c>
      <c r="L4060" s="1">
        <v>2387</v>
      </c>
      <c r="M4060" s="1">
        <v>0.96</v>
      </c>
      <c r="N4060" s="1">
        <v>0.35321999999999998</v>
      </c>
      <c r="O4060" s="5">
        <f>VLOOKUP(D4060,underlying!$D$76:$H$90,5,FALSE)</f>
        <v>-0.19</v>
      </c>
      <c r="P4060" s="2">
        <f>VLOOKUP(D4060,underlying!$D$76:$L$90,9,FALSE)</f>
        <v>42935</v>
      </c>
      <c r="Q4060" s="7">
        <f>IF(G4060="C",NormalCallSprd(O4060,H4060,M4060,(P4060-A4060)/365), NormalPutSprd(O4060,H4060,M4060,(P4060-A4060)/365))</f>
        <v>2.8101902639438414</v>
      </c>
      <c r="R4060" s="9">
        <f t="shared" si="161"/>
        <v>1.0190263943841593E-2</v>
      </c>
    </row>
    <row r="4061" spans="1:18" x14ac:dyDescent="0.2">
      <c r="A4061" s="2">
        <v>42622</v>
      </c>
      <c r="B4061" s="1" t="s">
        <v>59</v>
      </c>
      <c r="C4061" s="1" t="s">
        <v>14</v>
      </c>
      <c r="D4061" s="2">
        <v>42743</v>
      </c>
      <c r="E4061" s="2">
        <f t="shared" si="160"/>
        <v>42948</v>
      </c>
      <c r="F4061" s="1" t="s">
        <v>60</v>
      </c>
      <c r="G4061" s="1" t="s">
        <v>18</v>
      </c>
      <c r="H4061" s="1">
        <v>-3</v>
      </c>
      <c r="I4061" s="1">
        <v>0.01</v>
      </c>
      <c r="J4061" s="1">
        <v>0</v>
      </c>
      <c r="K4061" s="1" t="s">
        <v>74</v>
      </c>
      <c r="L4061" s="1">
        <v>2387</v>
      </c>
      <c r="M4061" s="1">
        <v>0.96</v>
      </c>
      <c r="N4061" s="1">
        <v>0.38001000000000001</v>
      </c>
      <c r="O4061" s="5">
        <f>VLOOKUP(D4061,underlying!$D$76:$H$90,5,FALSE)</f>
        <v>-0.19</v>
      </c>
      <c r="P4061" s="2">
        <f>VLOOKUP(D4061,underlying!$D$76:$L$90,9,FALSE)</f>
        <v>42935</v>
      </c>
      <c r="Q4061" s="7">
        <f>IF(G4061="C",NormalCallSprd(O4061,H4061,M4061,(P4061-A4061)/365), NormalPutSprd(O4061,H4061,M4061,(P4061-A4061)/365))</f>
        <v>1.9026394384136119E-4</v>
      </c>
      <c r="R4061" s="9">
        <f t="shared" si="161"/>
        <v>9.8097360561586397E-3</v>
      </c>
    </row>
    <row r="4062" spans="1:18" x14ac:dyDescent="0.2">
      <c r="A4062" s="2">
        <v>42622</v>
      </c>
      <c r="B4062" s="1" t="s">
        <v>59</v>
      </c>
      <c r="C4062" s="1" t="s">
        <v>14</v>
      </c>
      <c r="D4062" s="2">
        <v>42743</v>
      </c>
      <c r="E4062" s="2">
        <f t="shared" si="160"/>
        <v>42948</v>
      </c>
      <c r="F4062" s="1" t="s">
        <v>60</v>
      </c>
      <c r="G4062" s="1" t="s">
        <v>16</v>
      </c>
      <c r="H4062" s="1">
        <v>-2</v>
      </c>
      <c r="I4062" s="1">
        <v>1.8</v>
      </c>
      <c r="J4062" s="1">
        <v>-0.02</v>
      </c>
      <c r="K4062" s="1" t="s">
        <v>74</v>
      </c>
      <c r="L4062" s="1">
        <v>2387</v>
      </c>
      <c r="M4062" s="1">
        <v>0.88</v>
      </c>
      <c r="N4062" s="1">
        <v>0.40839999999999999</v>
      </c>
      <c r="O4062" s="5">
        <f>VLOOKUP(D4062,underlying!$D$76:$H$90,5,FALSE)</f>
        <v>-0.19</v>
      </c>
      <c r="P4062" s="2">
        <f>VLOOKUP(D4062,underlying!$D$76:$L$90,9,FALSE)</f>
        <v>42935</v>
      </c>
      <c r="Q4062" s="7">
        <f>IF(G4062="C",NormalCallSprd(O4062,H4062,M4062,(P4062-A4062)/365), NormalPutSprd(O4062,H4062,M4062,(P4062-A4062)/365))</f>
        <v>1.8137496207991197</v>
      </c>
      <c r="R4062" s="9">
        <f t="shared" si="161"/>
        <v>1.3749620799119677E-2</v>
      </c>
    </row>
    <row r="4063" spans="1:18" x14ac:dyDescent="0.2">
      <c r="A4063" s="2">
        <v>42622</v>
      </c>
      <c r="B4063" s="1" t="s">
        <v>59</v>
      </c>
      <c r="C4063" s="1" t="s">
        <v>14</v>
      </c>
      <c r="D4063" s="2">
        <v>42743</v>
      </c>
      <c r="E4063" s="2">
        <f t="shared" si="160"/>
        <v>42948</v>
      </c>
      <c r="F4063" s="1" t="s">
        <v>60</v>
      </c>
      <c r="G4063" s="1" t="s">
        <v>18</v>
      </c>
      <c r="H4063" s="1">
        <v>-2</v>
      </c>
      <c r="I4063" s="1">
        <v>0.01</v>
      </c>
      <c r="J4063" s="1">
        <v>0</v>
      </c>
      <c r="K4063" s="1" t="s">
        <v>74</v>
      </c>
      <c r="L4063" s="1">
        <v>2387</v>
      </c>
      <c r="M4063" s="1">
        <v>0.88</v>
      </c>
      <c r="N4063" s="1">
        <v>0.43909999999999999</v>
      </c>
      <c r="O4063" s="5">
        <f>VLOOKUP(D4063,underlying!$D$76:$H$90,5,FALSE)</f>
        <v>-0.19</v>
      </c>
      <c r="P4063" s="2">
        <f>VLOOKUP(D4063,underlying!$D$76:$L$90,9,FALSE)</f>
        <v>42935</v>
      </c>
      <c r="Q4063" s="7">
        <f>IF(G4063="C",NormalCallSprd(O4063,H4063,M4063,(P4063-A4063)/365), NormalPutSprd(O4063,H4063,M4063,(P4063-A4063)/365))</f>
        <v>3.7496207991197833E-3</v>
      </c>
      <c r="R4063" s="9">
        <f t="shared" si="161"/>
        <v>6.2503792008802173E-3</v>
      </c>
    </row>
    <row r="4064" spans="1:18" x14ac:dyDescent="0.2">
      <c r="A4064" s="2">
        <v>42622</v>
      </c>
      <c r="B4064" s="1" t="s">
        <v>59</v>
      </c>
      <c r="C4064" s="1" t="s">
        <v>14</v>
      </c>
      <c r="D4064" s="2">
        <v>42743</v>
      </c>
      <c r="E4064" s="2">
        <f t="shared" si="160"/>
        <v>42948</v>
      </c>
      <c r="F4064" s="1" t="s">
        <v>60</v>
      </c>
      <c r="G4064" s="1" t="s">
        <v>16</v>
      </c>
      <c r="H4064" s="1">
        <v>-1</v>
      </c>
      <c r="I4064" s="1">
        <v>0.85</v>
      </c>
      <c r="J4064" s="1">
        <v>-0.02</v>
      </c>
      <c r="K4064" s="1" t="s">
        <v>74</v>
      </c>
      <c r="L4064" s="1">
        <v>2387</v>
      </c>
      <c r="M4064" s="1">
        <v>0.78</v>
      </c>
      <c r="N4064" s="1">
        <v>0.47083999999999998</v>
      </c>
      <c r="O4064" s="5">
        <f>VLOOKUP(D4064,underlying!$D$76:$H$90,5,FALSE)</f>
        <v>-0.19</v>
      </c>
      <c r="P4064" s="2">
        <f>VLOOKUP(D4064,underlying!$D$76:$L$90,9,FALSE)</f>
        <v>42935</v>
      </c>
      <c r="Q4064" s="7">
        <f>IF(G4064="C",NormalCallSprd(O4064,H4064,M4064,(P4064-A4064)/365), NormalPutSprd(O4064,H4064,M4064,(P4064-A4064)/365))</f>
        <v>0.85750188955194562</v>
      </c>
      <c r="R4064" s="9">
        <f t="shared" si="161"/>
        <v>7.5018895519456397E-3</v>
      </c>
    </row>
    <row r="4065" spans="1:18" x14ac:dyDescent="0.2">
      <c r="A4065" s="2">
        <v>42622</v>
      </c>
      <c r="B4065" s="1" t="s">
        <v>59</v>
      </c>
      <c r="C4065" s="1" t="s">
        <v>14</v>
      </c>
      <c r="D4065" s="2">
        <v>42743</v>
      </c>
      <c r="E4065" s="2">
        <f t="shared" si="160"/>
        <v>42948</v>
      </c>
      <c r="F4065" s="1" t="s">
        <v>60</v>
      </c>
      <c r="G4065" s="1" t="s">
        <v>18</v>
      </c>
      <c r="H4065" s="1">
        <v>-1</v>
      </c>
      <c r="I4065" s="1">
        <v>7.0000000000000007E-2</v>
      </c>
      <c r="J4065" s="1">
        <v>0</v>
      </c>
      <c r="K4065" s="1" t="s">
        <v>74</v>
      </c>
      <c r="L4065" s="1">
        <v>2387</v>
      </c>
      <c r="M4065" s="1">
        <v>0.78</v>
      </c>
      <c r="N4065" s="1">
        <v>0.50539000000000001</v>
      </c>
      <c r="O4065" s="5">
        <f>VLOOKUP(D4065,underlying!$D$76:$H$90,5,FALSE)</f>
        <v>-0.19</v>
      </c>
      <c r="P4065" s="2">
        <f>VLOOKUP(D4065,underlying!$D$76:$L$90,9,FALSE)</f>
        <v>42935</v>
      </c>
      <c r="Q4065" s="7">
        <f>IF(G4065="C",NormalCallSprd(O4065,H4065,M4065,(P4065-A4065)/365), NormalPutSprd(O4065,H4065,M4065,(P4065-A4065)/365))</f>
        <v>4.7501889551945689E-2</v>
      </c>
      <c r="R4065" s="9">
        <f t="shared" si="161"/>
        <v>2.2498110448054318E-2</v>
      </c>
    </row>
    <row r="4066" spans="1:18" x14ac:dyDescent="0.2">
      <c r="A4066" s="2">
        <v>42622</v>
      </c>
      <c r="B4066" s="1" t="s">
        <v>59</v>
      </c>
      <c r="C4066" s="1" t="s">
        <v>14</v>
      </c>
      <c r="D4066" s="2">
        <v>42743</v>
      </c>
      <c r="E4066" s="2">
        <f t="shared" si="160"/>
        <v>42948</v>
      </c>
      <c r="F4066" s="1" t="s">
        <v>60</v>
      </c>
      <c r="G4066" s="1" t="s">
        <v>16</v>
      </c>
      <c r="H4066" s="1">
        <v>-0.85</v>
      </c>
      <c r="I4066" s="1">
        <v>0.73</v>
      </c>
      <c r="J4066" s="1">
        <v>-0.01</v>
      </c>
      <c r="K4066" s="1" t="s">
        <v>74</v>
      </c>
      <c r="L4066" s="1">
        <v>2387</v>
      </c>
      <c r="M4066" s="1">
        <v>0.77</v>
      </c>
      <c r="N4066" s="1">
        <v>0.53937000000000002</v>
      </c>
      <c r="O4066" s="5">
        <f>VLOOKUP(D4066,underlying!$D$76:$H$90,5,FALSE)</f>
        <v>-0.19</v>
      </c>
      <c r="P4066" s="2">
        <f>VLOOKUP(D4066,underlying!$D$76:$L$90,9,FALSE)</f>
        <v>42935</v>
      </c>
      <c r="Q4066" s="7">
        <f>IF(G4066="C",NormalCallSprd(O4066,H4066,M4066,(P4066-A4066)/365), NormalPutSprd(O4066,H4066,M4066,(P4066-A4066)/365))</f>
        <v>0.7283126008959705</v>
      </c>
      <c r="R4066" s="9">
        <f t="shared" si="161"/>
        <v>1.6873991040294856E-3</v>
      </c>
    </row>
    <row r="4067" spans="1:18" x14ac:dyDescent="0.2">
      <c r="A4067" s="2">
        <v>42622</v>
      </c>
      <c r="B4067" s="1" t="s">
        <v>59</v>
      </c>
      <c r="C4067" s="1" t="s">
        <v>14</v>
      </c>
      <c r="D4067" s="2">
        <v>42743</v>
      </c>
      <c r="E4067" s="2">
        <f t="shared" si="160"/>
        <v>42948</v>
      </c>
      <c r="F4067" s="1" t="s">
        <v>60</v>
      </c>
      <c r="G4067" s="1" t="s">
        <v>18</v>
      </c>
      <c r="H4067" s="1">
        <v>-0.85</v>
      </c>
      <c r="I4067" s="1">
        <v>7.0000000000000007E-2</v>
      </c>
      <c r="J4067" s="1">
        <v>0</v>
      </c>
      <c r="K4067" s="1" t="s">
        <v>74</v>
      </c>
      <c r="L4067" s="1">
        <v>2387</v>
      </c>
      <c r="M4067" s="1">
        <v>0.77</v>
      </c>
      <c r="N4067" s="1">
        <v>0.57115000000000005</v>
      </c>
      <c r="O4067" s="5">
        <f>VLOOKUP(D4067,underlying!$D$76:$H$90,5,FALSE)</f>
        <v>-0.19</v>
      </c>
      <c r="P4067" s="2">
        <f>VLOOKUP(D4067,underlying!$D$76:$L$90,9,FALSE)</f>
        <v>42935</v>
      </c>
      <c r="Q4067" s="7">
        <f>IF(G4067="C",NormalCallSprd(O4067,H4067,M4067,(P4067-A4067)/365), NormalPutSprd(O4067,H4067,M4067,(P4067-A4067)/365))</f>
        <v>6.8312600895970466E-2</v>
      </c>
      <c r="R4067" s="9">
        <f t="shared" si="161"/>
        <v>1.6873991040295411E-3</v>
      </c>
    </row>
    <row r="4068" spans="1:18" x14ac:dyDescent="0.2">
      <c r="A4068" s="2">
        <v>42622</v>
      </c>
      <c r="B4068" s="1" t="s">
        <v>59</v>
      </c>
      <c r="C4068" s="1" t="s">
        <v>14</v>
      </c>
      <c r="D4068" s="2">
        <v>42743</v>
      </c>
      <c r="E4068" s="2">
        <f t="shared" si="160"/>
        <v>42948</v>
      </c>
      <c r="F4068" s="1" t="s">
        <v>60</v>
      </c>
      <c r="G4068" s="1" t="s">
        <v>16</v>
      </c>
      <c r="H4068" s="1">
        <v>-0.8</v>
      </c>
      <c r="I4068" s="1">
        <v>0.68</v>
      </c>
      <c r="J4068" s="1">
        <v>-0.02</v>
      </c>
      <c r="K4068" s="1" t="s">
        <v>74</v>
      </c>
      <c r="L4068" s="1">
        <v>2387</v>
      </c>
      <c r="M4068" s="1">
        <v>0.77</v>
      </c>
      <c r="N4068" s="1">
        <v>0.60050999999999999</v>
      </c>
      <c r="O4068" s="5">
        <f>VLOOKUP(D4068,underlying!$D$76:$H$90,5,FALSE)</f>
        <v>-0.19</v>
      </c>
      <c r="P4068" s="2">
        <f>VLOOKUP(D4068,underlying!$D$76:$L$90,9,FALSE)</f>
        <v>42935</v>
      </c>
      <c r="Q4068" s="7">
        <f>IF(G4068="C",NormalCallSprd(O4068,H4068,M4068,(P4068-A4068)/365), NormalPutSprd(O4068,H4068,M4068,(P4068-A4068)/365))</f>
        <v>0.68764434317208456</v>
      </c>
      <c r="R4068" s="9">
        <f t="shared" si="161"/>
        <v>7.6443431720845112E-3</v>
      </c>
    </row>
    <row r="4069" spans="1:18" x14ac:dyDescent="0.2">
      <c r="A4069" s="2">
        <v>42622</v>
      </c>
      <c r="B4069" s="1" t="s">
        <v>59</v>
      </c>
      <c r="C4069" s="1" t="s">
        <v>14</v>
      </c>
      <c r="D4069" s="2">
        <v>42743</v>
      </c>
      <c r="E4069" s="2">
        <f t="shared" si="160"/>
        <v>42948</v>
      </c>
      <c r="F4069" s="1" t="s">
        <v>60</v>
      </c>
      <c r="G4069" s="1" t="s">
        <v>18</v>
      </c>
      <c r="H4069" s="1">
        <v>-0.8</v>
      </c>
      <c r="I4069" s="1">
        <v>0.08</v>
      </c>
      <c r="J4069" s="1">
        <v>0</v>
      </c>
      <c r="K4069" s="1" t="s">
        <v>74</v>
      </c>
      <c r="L4069" s="1">
        <v>2387</v>
      </c>
      <c r="M4069" s="1">
        <v>0.77</v>
      </c>
      <c r="N4069" s="1">
        <v>0.62797000000000003</v>
      </c>
      <c r="O4069" s="5">
        <f>VLOOKUP(D4069,underlying!$D$76:$H$90,5,FALSE)</f>
        <v>-0.19</v>
      </c>
      <c r="P4069" s="2">
        <f>VLOOKUP(D4069,underlying!$D$76:$L$90,9,FALSE)</f>
        <v>42935</v>
      </c>
      <c r="Q4069" s="7">
        <f>IF(G4069="C",NormalCallSprd(O4069,H4069,M4069,(P4069-A4069)/365), NormalPutSprd(O4069,H4069,M4069,(P4069-A4069)/365))</f>
        <v>7.7644343172084518E-2</v>
      </c>
      <c r="R4069" s="9">
        <f t="shared" si="161"/>
        <v>2.3556568279154838E-3</v>
      </c>
    </row>
    <row r="4070" spans="1:18" x14ac:dyDescent="0.2">
      <c r="A4070" s="2">
        <v>42622</v>
      </c>
      <c r="B4070" s="1" t="s">
        <v>59</v>
      </c>
      <c r="C4070" s="1" t="s">
        <v>14</v>
      </c>
      <c r="D4070" s="2">
        <v>42743</v>
      </c>
      <c r="E4070" s="2">
        <f t="shared" si="160"/>
        <v>42948</v>
      </c>
      <c r="F4070" s="1" t="s">
        <v>60</v>
      </c>
      <c r="G4070" s="1" t="s">
        <v>16</v>
      </c>
      <c r="H4070" s="1">
        <v>-0.75</v>
      </c>
      <c r="I4070" s="1">
        <v>0.64</v>
      </c>
      <c r="J4070" s="1">
        <v>-0.01</v>
      </c>
      <c r="K4070" s="1" t="s">
        <v>74</v>
      </c>
      <c r="L4070" s="1">
        <v>2387</v>
      </c>
      <c r="M4070" s="1">
        <v>0.77</v>
      </c>
      <c r="N4070" s="1">
        <v>0.65546000000000004</v>
      </c>
      <c r="O4070" s="5">
        <f>VLOOKUP(D4070,underlying!$D$76:$H$90,5,FALSE)</f>
        <v>-0.19</v>
      </c>
      <c r="P4070" s="2">
        <f>VLOOKUP(D4070,underlying!$D$76:$L$90,9,FALSE)</f>
        <v>42935</v>
      </c>
      <c r="Q4070" s="7">
        <f>IF(G4070="C",NormalCallSprd(O4070,H4070,M4070,(P4070-A4070)/365), NormalPutSprd(O4070,H4070,M4070,(P4070-A4070)/365))</f>
        <v>0.64794607029792817</v>
      </c>
      <c r="R4070" s="9">
        <f t="shared" si="161"/>
        <v>7.9460702979281539E-3</v>
      </c>
    </row>
    <row r="4071" spans="1:18" x14ac:dyDescent="0.2">
      <c r="A4071" s="2">
        <v>42622</v>
      </c>
      <c r="B4071" s="1" t="s">
        <v>59</v>
      </c>
      <c r="C4071" s="1" t="s">
        <v>14</v>
      </c>
      <c r="D4071" s="2">
        <v>42743</v>
      </c>
      <c r="E4071" s="2">
        <f t="shared" si="160"/>
        <v>42948</v>
      </c>
      <c r="F4071" s="1" t="s">
        <v>60</v>
      </c>
      <c r="G4071" s="1" t="s">
        <v>18</v>
      </c>
      <c r="H4071" s="1">
        <v>-0.75</v>
      </c>
      <c r="I4071" s="1">
        <v>0.09</v>
      </c>
      <c r="J4071" s="1">
        <v>0</v>
      </c>
      <c r="K4071" s="1" t="s">
        <v>74</v>
      </c>
      <c r="L4071" s="1">
        <v>2387</v>
      </c>
      <c r="M4071" s="1">
        <v>0.77</v>
      </c>
      <c r="N4071" s="1">
        <v>0.68150999999999995</v>
      </c>
      <c r="O4071" s="5">
        <f>VLOOKUP(D4071,underlying!$D$76:$H$90,5,FALSE)</f>
        <v>-0.19</v>
      </c>
      <c r="P4071" s="2">
        <f>VLOOKUP(D4071,underlying!$D$76:$L$90,9,FALSE)</f>
        <v>42935</v>
      </c>
      <c r="Q4071" s="7">
        <f>IF(G4071="C",NormalCallSprd(O4071,H4071,M4071,(P4071-A4071)/365), NormalPutSprd(O4071,H4071,M4071,(P4071-A4071)/365))</f>
        <v>8.7946070297928225E-2</v>
      </c>
      <c r="R4071" s="9">
        <f t="shared" si="161"/>
        <v>2.0539297020717717E-3</v>
      </c>
    </row>
    <row r="4072" spans="1:18" x14ac:dyDescent="0.2">
      <c r="A4072" s="2">
        <v>42622</v>
      </c>
      <c r="B4072" s="1" t="s">
        <v>59</v>
      </c>
      <c r="C4072" s="1" t="s">
        <v>14</v>
      </c>
      <c r="D4072" s="2">
        <v>42743</v>
      </c>
      <c r="E4072" s="2">
        <f t="shared" si="160"/>
        <v>42948</v>
      </c>
      <c r="F4072" s="1" t="s">
        <v>60</v>
      </c>
      <c r="G4072" s="1" t="s">
        <v>16</v>
      </c>
      <c r="H4072" s="1">
        <v>-0.7</v>
      </c>
      <c r="I4072" s="1">
        <v>0.6</v>
      </c>
      <c r="J4072" s="1">
        <v>-0.01</v>
      </c>
      <c r="K4072" s="1" t="s">
        <v>74</v>
      </c>
      <c r="L4072" s="1">
        <v>2387</v>
      </c>
      <c r="M4072" s="1">
        <v>0.76</v>
      </c>
      <c r="N4072" s="1">
        <v>0.70609</v>
      </c>
      <c r="O4072" s="5">
        <f>VLOOKUP(D4072,underlying!$D$76:$H$90,5,FALSE)</f>
        <v>-0.19</v>
      </c>
      <c r="P4072" s="2">
        <f>VLOOKUP(D4072,underlying!$D$76:$L$90,9,FALSE)</f>
        <v>42935</v>
      </c>
      <c r="Q4072" s="7">
        <f>IF(G4072="C",NormalCallSprd(O4072,H4072,M4072,(P4072-A4072)/365), NormalPutSprd(O4072,H4072,M4072,(P4072-A4072)/365))</f>
        <v>0.60642423152539582</v>
      </c>
      <c r="R4072" s="9">
        <f t="shared" si="161"/>
        <v>6.4242315253958404E-3</v>
      </c>
    </row>
    <row r="4073" spans="1:18" x14ac:dyDescent="0.2">
      <c r="A4073" s="2">
        <v>42622</v>
      </c>
      <c r="B4073" s="1" t="s">
        <v>59</v>
      </c>
      <c r="C4073" s="1" t="s">
        <v>14</v>
      </c>
      <c r="D4073" s="2">
        <v>42743</v>
      </c>
      <c r="E4073" s="2">
        <f t="shared" si="160"/>
        <v>42948</v>
      </c>
      <c r="F4073" s="1" t="s">
        <v>60</v>
      </c>
      <c r="G4073" s="1" t="s">
        <v>18</v>
      </c>
      <c r="H4073" s="1">
        <v>-0.7</v>
      </c>
      <c r="I4073" s="1">
        <v>0.1</v>
      </c>
      <c r="J4073" s="1">
        <v>0</v>
      </c>
      <c r="K4073" s="1" t="s">
        <v>74</v>
      </c>
      <c r="L4073" s="1">
        <v>2387</v>
      </c>
      <c r="M4073" s="1">
        <v>0.76</v>
      </c>
      <c r="N4073" s="1">
        <v>0.72919</v>
      </c>
      <c r="O4073" s="5">
        <f>VLOOKUP(D4073,underlying!$D$76:$H$90,5,FALSE)</f>
        <v>-0.19</v>
      </c>
      <c r="P4073" s="2">
        <f>VLOOKUP(D4073,underlying!$D$76:$L$90,9,FALSE)</f>
        <v>42935</v>
      </c>
      <c r="Q4073" s="7">
        <f>IF(G4073="C",NormalCallSprd(O4073,H4073,M4073,(P4073-A4073)/365), NormalPutSprd(O4073,H4073,M4073,(P4073-A4073)/365))</f>
        <v>9.6424231525395906E-2</v>
      </c>
      <c r="R4073" s="9">
        <f t="shared" si="161"/>
        <v>3.5757684746040991E-3</v>
      </c>
    </row>
    <row r="4074" spans="1:18" x14ac:dyDescent="0.2">
      <c r="A4074" s="2">
        <v>42622</v>
      </c>
      <c r="B4074" s="1" t="s">
        <v>59</v>
      </c>
      <c r="C4074" s="1" t="s">
        <v>14</v>
      </c>
      <c r="D4074" s="2">
        <v>42743</v>
      </c>
      <c r="E4074" s="2">
        <f t="shared" si="160"/>
        <v>42948</v>
      </c>
      <c r="F4074" s="1" t="s">
        <v>60</v>
      </c>
      <c r="G4074" s="1" t="s">
        <v>16</v>
      </c>
      <c r="H4074" s="1">
        <v>-0.65</v>
      </c>
      <c r="I4074" s="1">
        <v>0.56000000000000005</v>
      </c>
      <c r="J4074" s="1">
        <v>-0.01</v>
      </c>
      <c r="K4074" s="1" t="s">
        <v>74</v>
      </c>
      <c r="L4074" s="1">
        <v>2387</v>
      </c>
      <c r="M4074" s="1">
        <v>0.75</v>
      </c>
      <c r="N4074" s="1">
        <v>0.75183</v>
      </c>
      <c r="O4074" s="5">
        <f>VLOOKUP(D4074,underlying!$D$76:$H$90,5,FALSE)</f>
        <v>-0.19</v>
      </c>
      <c r="P4074" s="2">
        <f>VLOOKUP(D4074,underlying!$D$76:$L$90,9,FALSE)</f>
        <v>42935</v>
      </c>
      <c r="Q4074" s="7">
        <f>IF(G4074="C",NormalCallSprd(O4074,H4074,M4074,(P4074-A4074)/365), NormalPutSprd(O4074,H4074,M4074,(P4074-A4074)/365))</f>
        <v>0.56571970112635306</v>
      </c>
      <c r="R4074" s="9">
        <f t="shared" si="161"/>
        <v>5.7197011263530051E-3</v>
      </c>
    </row>
    <row r="4075" spans="1:18" x14ac:dyDescent="0.2">
      <c r="A4075" s="2">
        <v>42622</v>
      </c>
      <c r="B4075" s="1" t="s">
        <v>59</v>
      </c>
      <c r="C4075" s="1" t="s">
        <v>14</v>
      </c>
      <c r="D4075" s="2">
        <v>42743</v>
      </c>
      <c r="E4075" s="2">
        <f t="shared" si="160"/>
        <v>42948</v>
      </c>
      <c r="F4075" s="1" t="s">
        <v>60</v>
      </c>
      <c r="G4075" s="1" t="s">
        <v>18</v>
      </c>
      <c r="H4075" s="1">
        <v>-0.65</v>
      </c>
      <c r="I4075" s="1">
        <v>0.1</v>
      </c>
      <c r="J4075" s="1">
        <v>0</v>
      </c>
      <c r="K4075" s="1" t="s">
        <v>74</v>
      </c>
      <c r="L4075" s="1">
        <v>2387</v>
      </c>
      <c r="M4075" s="1">
        <v>0.75</v>
      </c>
      <c r="N4075" s="1">
        <v>0.77363000000000004</v>
      </c>
      <c r="O4075" s="5">
        <f>VLOOKUP(D4075,underlying!$D$76:$H$90,5,FALSE)</f>
        <v>-0.19</v>
      </c>
      <c r="P4075" s="2">
        <f>VLOOKUP(D4075,underlying!$D$76:$L$90,9,FALSE)</f>
        <v>42935</v>
      </c>
      <c r="Q4075" s="7">
        <f>IF(G4075="C",NormalCallSprd(O4075,H4075,M4075,(P4075-A4075)/365), NormalPutSprd(O4075,H4075,M4075,(P4075-A4075)/365))</f>
        <v>0.10571970112635304</v>
      </c>
      <c r="R4075" s="9">
        <f t="shared" si="161"/>
        <v>5.7197011263530328E-3</v>
      </c>
    </row>
    <row r="4076" spans="1:18" x14ac:dyDescent="0.2">
      <c r="A4076" s="2">
        <v>42622</v>
      </c>
      <c r="B4076" s="1" t="s">
        <v>59</v>
      </c>
      <c r="C4076" s="1" t="s">
        <v>14</v>
      </c>
      <c r="D4076" s="2">
        <v>42743</v>
      </c>
      <c r="E4076" s="2">
        <f t="shared" si="160"/>
        <v>42948</v>
      </c>
      <c r="F4076" s="1" t="s">
        <v>60</v>
      </c>
      <c r="G4076" s="1" t="s">
        <v>16</v>
      </c>
      <c r="H4076" s="1">
        <v>-0.6</v>
      </c>
      <c r="I4076" s="1">
        <v>0.52</v>
      </c>
      <c r="J4076" s="1">
        <v>-0.01</v>
      </c>
      <c r="K4076" s="1" t="s">
        <v>74</v>
      </c>
      <c r="L4076" s="1">
        <v>2387</v>
      </c>
      <c r="M4076" s="1">
        <v>0.74</v>
      </c>
      <c r="N4076" s="1">
        <v>0.79357</v>
      </c>
      <c r="O4076" s="5">
        <f>VLOOKUP(D4076,underlying!$D$76:$H$90,5,FALSE)</f>
        <v>-0.19</v>
      </c>
      <c r="P4076" s="2">
        <f>VLOOKUP(D4076,underlying!$D$76:$L$90,9,FALSE)</f>
        <v>42935</v>
      </c>
      <c r="Q4076" s="7">
        <f>IF(G4076="C",NormalCallSprd(O4076,H4076,M4076,(P4076-A4076)/365), NormalPutSprd(O4076,H4076,M4076,(P4076-A4076)/365))</f>
        <v>0.52590312989567656</v>
      </c>
      <c r="R4076" s="9">
        <f t="shared" si="161"/>
        <v>5.9031298956765399E-3</v>
      </c>
    </row>
    <row r="4077" spans="1:18" x14ac:dyDescent="0.2">
      <c r="A4077" s="2">
        <v>42622</v>
      </c>
      <c r="B4077" s="1" t="s">
        <v>59</v>
      </c>
      <c r="C4077" s="1" t="s">
        <v>14</v>
      </c>
      <c r="D4077" s="2">
        <v>42743</v>
      </c>
      <c r="E4077" s="2">
        <f t="shared" si="160"/>
        <v>42948</v>
      </c>
      <c r="F4077" s="1" t="s">
        <v>60</v>
      </c>
      <c r="G4077" s="1" t="s">
        <v>18</v>
      </c>
      <c r="H4077" s="1">
        <v>-0.6</v>
      </c>
      <c r="I4077" s="1">
        <v>0.12</v>
      </c>
      <c r="J4077" s="1">
        <v>0.01</v>
      </c>
      <c r="K4077" s="1" t="s">
        <v>74</v>
      </c>
      <c r="L4077" s="1">
        <v>2387</v>
      </c>
      <c r="M4077" s="1">
        <v>0.74</v>
      </c>
      <c r="N4077" s="1">
        <v>0.84592000000000001</v>
      </c>
      <c r="O4077" s="5">
        <f>VLOOKUP(D4077,underlying!$D$76:$H$90,5,FALSE)</f>
        <v>-0.19</v>
      </c>
      <c r="P4077" s="2">
        <f>VLOOKUP(D4077,underlying!$D$76:$L$90,9,FALSE)</f>
        <v>42935</v>
      </c>
      <c r="Q4077" s="7">
        <f>IF(G4077="C",NormalCallSprd(O4077,H4077,M4077,(P4077-A4077)/365), NormalPutSprd(O4077,H4077,M4077,(P4077-A4077)/365))</f>
        <v>0.1159031298956766</v>
      </c>
      <c r="R4077" s="9">
        <f t="shared" si="161"/>
        <v>4.0968701043233996E-3</v>
      </c>
    </row>
    <row r="4078" spans="1:18" x14ac:dyDescent="0.2">
      <c r="A4078" s="2">
        <v>42622</v>
      </c>
      <c r="B4078" s="1" t="s">
        <v>59</v>
      </c>
      <c r="C4078" s="1" t="s">
        <v>14</v>
      </c>
      <c r="D4078" s="2">
        <v>42743</v>
      </c>
      <c r="E4078" s="2">
        <f t="shared" si="160"/>
        <v>42948</v>
      </c>
      <c r="F4078" s="1" t="s">
        <v>60</v>
      </c>
      <c r="G4078" s="1" t="s">
        <v>16</v>
      </c>
      <c r="H4078" s="1">
        <v>-0.55000000000000004</v>
      </c>
      <c r="I4078" s="1">
        <v>0.48</v>
      </c>
      <c r="J4078" s="1">
        <v>-0.01</v>
      </c>
      <c r="K4078" s="1" t="s">
        <v>74</v>
      </c>
      <c r="L4078" s="1">
        <v>2387</v>
      </c>
      <c r="M4078" s="1">
        <v>0.73</v>
      </c>
      <c r="N4078" s="1">
        <v>0.97831999999999997</v>
      </c>
      <c r="O4078" s="5">
        <f>VLOOKUP(D4078,underlying!$D$76:$H$90,5,FALSE)</f>
        <v>-0.19</v>
      </c>
      <c r="P4078" s="2">
        <f>VLOOKUP(D4078,underlying!$D$76:$L$90,9,FALSE)</f>
        <v>42935</v>
      </c>
      <c r="Q4078" s="7">
        <f>IF(G4078="C",NormalCallSprd(O4078,H4078,M4078,(P4078-A4078)/365), NormalPutSprd(O4078,H4078,M4078,(P4078-A4078)/365))</f>
        <v>0.48704901456302979</v>
      </c>
      <c r="R4078" s="9">
        <f t="shared" si="161"/>
        <v>7.0490145630298096E-3</v>
      </c>
    </row>
    <row r="4079" spans="1:18" x14ac:dyDescent="0.2">
      <c r="A4079" s="2">
        <v>42622</v>
      </c>
      <c r="B4079" s="1" t="s">
        <v>59</v>
      </c>
      <c r="C4079" s="1" t="s">
        <v>14</v>
      </c>
      <c r="D4079" s="2">
        <v>42743</v>
      </c>
      <c r="E4079" s="2">
        <f t="shared" si="160"/>
        <v>42948</v>
      </c>
      <c r="F4079" s="1" t="s">
        <v>60</v>
      </c>
      <c r="G4079" s="1" t="s">
        <v>18</v>
      </c>
      <c r="H4079" s="1">
        <v>-0.55000000000000004</v>
      </c>
      <c r="I4079" s="1">
        <v>0.13</v>
      </c>
      <c r="J4079" s="1">
        <v>0</v>
      </c>
      <c r="K4079" s="1" t="s">
        <v>74</v>
      </c>
      <c r="L4079" s="1">
        <v>2387</v>
      </c>
      <c r="M4079" s="1">
        <v>0.73</v>
      </c>
      <c r="N4079" s="1">
        <v>0.99500999999999995</v>
      </c>
      <c r="O4079" s="5">
        <f>VLOOKUP(D4079,underlying!$D$76:$H$90,5,FALSE)</f>
        <v>-0.19</v>
      </c>
      <c r="P4079" s="2">
        <f>VLOOKUP(D4079,underlying!$D$76:$L$90,9,FALSE)</f>
        <v>42935</v>
      </c>
      <c r="Q4079" s="7">
        <f>IF(G4079="C",NormalCallSprd(O4079,H4079,M4079,(P4079-A4079)/365), NormalPutSprd(O4079,H4079,M4079,(P4079-A4079)/365))</f>
        <v>0.12704901456302972</v>
      </c>
      <c r="R4079" s="9">
        <f t="shared" si="161"/>
        <v>2.9509854369702826E-3</v>
      </c>
    </row>
    <row r="4080" spans="1:18" x14ac:dyDescent="0.2">
      <c r="A4080" s="2">
        <v>42622</v>
      </c>
      <c r="B4080" s="1" t="s">
        <v>59</v>
      </c>
      <c r="C4080" s="1" t="s">
        <v>14</v>
      </c>
      <c r="D4080" s="2">
        <v>42743</v>
      </c>
      <c r="E4080" s="2">
        <f t="shared" si="160"/>
        <v>42948</v>
      </c>
      <c r="F4080" s="1" t="s">
        <v>60</v>
      </c>
      <c r="G4080" s="1" t="s">
        <v>16</v>
      </c>
      <c r="H4080" s="1">
        <v>-0.5</v>
      </c>
      <c r="I4080" s="1">
        <v>0.45</v>
      </c>
      <c r="J4080" s="1">
        <v>-0.01</v>
      </c>
      <c r="K4080" s="1" t="s">
        <v>74</v>
      </c>
      <c r="L4080" s="1">
        <v>2387</v>
      </c>
      <c r="M4080" s="1">
        <v>0.72</v>
      </c>
      <c r="N4080" s="1">
        <v>-0.64354</v>
      </c>
      <c r="O4080" s="5">
        <f>VLOOKUP(D4080,underlying!$D$76:$H$90,5,FALSE)</f>
        <v>-0.19</v>
      </c>
      <c r="P4080" s="2">
        <f>VLOOKUP(D4080,underlying!$D$76:$L$90,9,FALSE)</f>
        <v>42935</v>
      </c>
      <c r="Q4080" s="7">
        <f>IF(G4080="C",NormalCallSprd(O4080,H4080,M4080,(P4080-A4080)/365), NormalPutSprd(O4080,H4080,M4080,(P4080-A4080)/365))</f>
        <v>0.44923537320441442</v>
      </c>
      <c r="R4080" s="9">
        <f t="shared" si="161"/>
        <v>7.6462679558558788E-4</v>
      </c>
    </row>
    <row r="4081" spans="1:18" x14ac:dyDescent="0.2">
      <c r="A4081" s="2">
        <v>42622</v>
      </c>
      <c r="B4081" s="1" t="s">
        <v>59</v>
      </c>
      <c r="C4081" s="1" t="s">
        <v>14</v>
      </c>
      <c r="D4081" s="2">
        <v>42743</v>
      </c>
      <c r="E4081" s="2">
        <f t="shared" si="160"/>
        <v>42948</v>
      </c>
      <c r="F4081" s="1" t="s">
        <v>60</v>
      </c>
      <c r="G4081" s="1" t="s">
        <v>18</v>
      </c>
      <c r="H4081" s="1">
        <v>-0.5</v>
      </c>
      <c r="I4081" s="1">
        <v>0.15</v>
      </c>
      <c r="J4081" s="1">
        <v>0.01</v>
      </c>
      <c r="K4081" s="1" t="s">
        <v>74</v>
      </c>
      <c r="L4081" s="1">
        <v>2387</v>
      </c>
      <c r="M4081" s="1">
        <v>0.72</v>
      </c>
      <c r="N4081" s="1">
        <v>-0.61675000000000002</v>
      </c>
      <c r="O4081" s="5">
        <f>VLOOKUP(D4081,underlying!$D$76:$H$90,5,FALSE)</f>
        <v>-0.19</v>
      </c>
      <c r="P4081" s="2">
        <f>VLOOKUP(D4081,underlying!$D$76:$L$90,9,FALSE)</f>
        <v>42935</v>
      </c>
      <c r="Q4081" s="7">
        <f>IF(G4081="C",NormalCallSprd(O4081,H4081,M4081,(P4081-A4081)/365), NormalPutSprd(O4081,H4081,M4081,(P4081-A4081)/365))</f>
        <v>0.13923537320441445</v>
      </c>
      <c r="R4081" s="9">
        <f t="shared" si="161"/>
        <v>1.0764626795585541E-2</v>
      </c>
    </row>
    <row r="4082" spans="1:18" x14ac:dyDescent="0.2">
      <c r="A4082" s="2">
        <v>42622</v>
      </c>
      <c r="B4082" s="1" t="s">
        <v>59</v>
      </c>
      <c r="C4082" s="1" t="s">
        <v>14</v>
      </c>
      <c r="D4082" s="2">
        <v>42743</v>
      </c>
      <c r="E4082" s="2">
        <f t="shared" si="160"/>
        <v>42948</v>
      </c>
      <c r="F4082" s="1" t="s">
        <v>60</v>
      </c>
      <c r="G4082" s="1" t="s">
        <v>16</v>
      </c>
      <c r="H4082" s="1">
        <v>-0.45</v>
      </c>
      <c r="I4082" s="1">
        <v>0.41</v>
      </c>
      <c r="J4082" s="1">
        <v>-0.01</v>
      </c>
      <c r="K4082" s="1" t="s">
        <v>74</v>
      </c>
      <c r="L4082" s="1">
        <v>2387</v>
      </c>
      <c r="M4082" s="1">
        <v>0.71</v>
      </c>
      <c r="N4082" s="1">
        <v>-0.58835999999999999</v>
      </c>
      <c r="O4082" s="5">
        <f>VLOOKUP(D4082,underlying!$D$76:$H$90,5,FALSE)</f>
        <v>-0.19</v>
      </c>
      <c r="P4082" s="2">
        <f>VLOOKUP(D4082,underlying!$D$76:$L$90,9,FALSE)</f>
        <v>42935</v>
      </c>
      <c r="Q4082" s="7">
        <f>IF(G4082="C",NormalCallSprd(O4082,H4082,M4082,(P4082-A4082)/365), NormalPutSprd(O4082,H4082,M4082,(P4082-A4082)/365))</f>
        <v>0.41254327278056618</v>
      </c>
      <c r="R4082" s="9">
        <f t="shared" si="161"/>
        <v>2.5432727805662081E-3</v>
      </c>
    </row>
    <row r="4083" spans="1:18" x14ac:dyDescent="0.2">
      <c r="A4083" s="2">
        <v>42622</v>
      </c>
      <c r="B4083" s="1" t="s">
        <v>59</v>
      </c>
      <c r="C4083" s="1" t="s">
        <v>14</v>
      </c>
      <c r="D4083" s="2">
        <v>42743</v>
      </c>
      <c r="E4083" s="2">
        <f t="shared" si="160"/>
        <v>42948</v>
      </c>
      <c r="F4083" s="1" t="s">
        <v>60</v>
      </c>
      <c r="G4083" s="1" t="s">
        <v>18</v>
      </c>
      <c r="H4083" s="1">
        <v>-0.45</v>
      </c>
      <c r="I4083" s="1">
        <v>0.15</v>
      </c>
      <c r="J4083" s="1">
        <v>0</v>
      </c>
      <c r="K4083" s="1" t="s">
        <v>74</v>
      </c>
      <c r="L4083" s="1">
        <v>2387</v>
      </c>
      <c r="M4083" s="1">
        <v>0.71</v>
      </c>
      <c r="N4083" s="1">
        <v>-0.55764999999999998</v>
      </c>
      <c r="O4083" s="5">
        <f>VLOOKUP(D4083,underlying!$D$76:$H$90,5,FALSE)</f>
        <v>-0.19</v>
      </c>
      <c r="P4083" s="2">
        <f>VLOOKUP(D4083,underlying!$D$76:$L$90,9,FALSE)</f>
        <v>42935</v>
      </c>
      <c r="Q4083" s="7">
        <f>IF(G4083="C",NormalCallSprd(O4083,H4083,M4083,(P4083-A4083)/365), NormalPutSprd(O4083,H4083,M4083,(P4083-A4083)/365))</f>
        <v>0.15254327278056617</v>
      </c>
      <c r="R4083" s="9">
        <f t="shared" si="161"/>
        <v>2.5432727805661803E-3</v>
      </c>
    </row>
    <row r="4084" spans="1:18" x14ac:dyDescent="0.2">
      <c r="A4084" s="2">
        <v>42622</v>
      </c>
      <c r="B4084" s="1" t="s">
        <v>59</v>
      </c>
      <c r="C4084" s="1" t="s">
        <v>14</v>
      </c>
      <c r="D4084" s="2">
        <v>42743</v>
      </c>
      <c r="E4084" s="2">
        <f t="shared" si="160"/>
        <v>42948</v>
      </c>
      <c r="F4084" s="1" t="s">
        <v>60</v>
      </c>
      <c r="G4084" s="1" t="s">
        <v>16</v>
      </c>
      <c r="H4084" s="1">
        <v>-0.4</v>
      </c>
      <c r="I4084" s="1">
        <v>0.37</v>
      </c>
      <c r="J4084" s="1">
        <v>-0.01</v>
      </c>
      <c r="K4084" s="1" t="s">
        <v>74</v>
      </c>
      <c r="L4084" s="1">
        <v>2387</v>
      </c>
      <c r="M4084" s="1">
        <v>0.7</v>
      </c>
      <c r="N4084" s="1">
        <v>-0.52590999999999999</v>
      </c>
      <c r="O4084" s="5">
        <f>VLOOKUP(D4084,underlying!$D$76:$H$90,5,FALSE)</f>
        <v>-0.19</v>
      </c>
      <c r="P4084" s="2">
        <f>VLOOKUP(D4084,underlying!$D$76:$L$90,9,FALSE)</f>
        <v>42935</v>
      </c>
      <c r="Q4084" s="7">
        <f>IF(G4084="C",NormalCallSprd(O4084,H4084,M4084,(P4084-A4084)/365), NormalPutSprd(O4084,H4084,M4084,(P4084-A4084)/365))</f>
        <v>0.37705618535963231</v>
      </c>
      <c r="R4084" s="9">
        <f t="shared" si="161"/>
        <v>7.0561853596323165E-3</v>
      </c>
    </row>
    <row r="4085" spans="1:18" x14ac:dyDescent="0.2">
      <c r="A4085" s="2">
        <v>42622</v>
      </c>
      <c r="B4085" s="1" t="s">
        <v>59</v>
      </c>
      <c r="C4085" s="1" t="s">
        <v>14</v>
      </c>
      <c r="D4085" s="2">
        <v>42743</v>
      </c>
      <c r="E4085" s="2">
        <f t="shared" si="160"/>
        <v>42948</v>
      </c>
      <c r="F4085" s="1" t="s">
        <v>60</v>
      </c>
      <c r="G4085" s="1" t="s">
        <v>18</v>
      </c>
      <c r="H4085" s="1">
        <v>-0.4</v>
      </c>
      <c r="I4085" s="1">
        <v>0.16</v>
      </c>
      <c r="J4085" s="1">
        <v>0</v>
      </c>
      <c r="K4085" s="1" t="s">
        <v>74</v>
      </c>
      <c r="L4085" s="1">
        <v>2387</v>
      </c>
      <c r="M4085" s="1">
        <v>0.7</v>
      </c>
      <c r="N4085" s="1">
        <v>-0.49136999999999997</v>
      </c>
      <c r="O4085" s="5">
        <f>VLOOKUP(D4085,underlying!$D$76:$H$90,5,FALSE)</f>
        <v>-0.19</v>
      </c>
      <c r="P4085" s="2">
        <f>VLOOKUP(D4085,underlying!$D$76:$L$90,9,FALSE)</f>
        <v>42935</v>
      </c>
      <c r="Q4085" s="7">
        <f>IF(G4085="C",NormalCallSprd(O4085,H4085,M4085,(P4085-A4085)/365), NormalPutSprd(O4085,H4085,M4085,(P4085-A4085)/365))</f>
        <v>0.16705618535963232</v>
      </c>
      <c r="R4085" s="9">
        <f t="shared" si="161"/>
        <v>7.0561853596323165E-3</v>
      </c>
    </row>
    <row r="4086" spans="1:18" x14ac:dyDescent="0.2">
      <c r="A4086" s="2">
        <v>42622</v>
      </c>
      <c r="B4086" s="1" t="s">
        <v>59</v>
      </c>
      <c r="C4086" s="1" t="s">
        <v>14</v>
      </c>
      <c r="D4086" s="2">
        <v>42743</v>
      </c>
      <c r="E4086" s="2">
        <f t="shared" si="160"/>
        <v>42948</v>
      </c>
      <c r="F4086" s="1" t="s">
        <v>60</v>
      </c>
      <c r="G4086" s="1" t="s">
        <v>16</v>
      </c>
      <c r="H4086" s="1">
        <v>-0.35</v>
      </c>
      <c r="I4086" s="1">
        <v>0.34</v>
      </c>
      <c r="J4086" s="1">
        <v>-0.01</v>
      </c>
      <c r="K4086" s="1" t="s">
        <v>74</v>
      </c>
      <c r="L4086" s="1">
        <v>2387</v>
      </c>
      <c r="M4086" s="1">
        <v>0.69</v>
      </c>
      <c r="N4086" s="1">
        <v>-0.45739000000000002</v>
      </c>
      <c r="O4086" s="5">
        <f>VLOOKUP(D4086,underlying!$D$76:$H$90,5,FALSE)</f>
        <v>-0.19</v>
      </c>
      <c r="P4086" s="2">
        <f>VLOOKUP(D4086,underlying!$D$76:$L$90,9,FALSE)</f>
        <v>42935</v>
      </c>
      <c r="Q4086" s="7">
        <f>IF(G4086="C",NormalCallSprd(O4086,H4086,M4086,(P4086-A4086)/365), NormalPutSprd(O4086,H4086,M4086,(P4086-A4086)/365))</f>
        <v>0.34285914996414413</v>
      </c>
      <c r="R4086" s="9">
        <f t="shared" si="161"/>
        <v>2.8591499641441032E-3</v>
      </c>
    </row>
    <row r="4087" spans="1:18" x14ac:dyDescent="0.2">
      <c r="A4087" s="2">
        <v>42622</v>
      </c>
      <c r="B4087" s="1" t="s">
        <v>59</v>
      </c>
      <c r="C4087" s="1" t="s">
        <v>14</v>
      </c>
      <c r="D4087" s="2">
        <v>42743</v>
      </c>
      <c r="E4087" s="2">
        <f t="shared" si="160"/>
        <v>42948</v>
      </c>
      <c r="F4087" s="1" t="s">
        <v>60</v>
      </c>
      <c r="G4087" s="1" t="s">
        <v>18</v>
      </c>
      <c r="H4087" s="1">
        <v>-0.35</v>
      </c>
      <c r="I4087" s="1">
        <v>0.18</v>
      </c>
      <c r="J4087" s="1">
        <v>0</v>
      </c>
      <c r="K4087" s="1" t="s">
        <v>74</v>
      </c>
      <c r="L4087" s="1">
        <v>2387</v>
      </c>
      <c r="M4087" s="1">
        <v>0.69</v>
      </c>
      <c r="N4087" s="1">
        <v>-0.42560999999999999</v>
      </c>
      <c r="O4087" s="5">
        <f>VLOOKUP(D4087,underlying!$D$76:$H$90,5,FALSE)</f>
        <v>-0.19</v>
      </c>
      <c r="P4087" s="2">
        <f>VLOOKUP(D4087,underlying!$D$76:$L$90,9,FALSE)</f>
        <v>42935</v>
      </c>
      <c r="Q4087" s="7">
        <f>IF(G4087="C",NormalCallSprd(O4087,H4087,M4087,(P4087-A4087)/365), NormalPutSprd(O4087,H4087,M4087,(P4087-A4087)/365))</f>
        <v>0.18285914996414412</v>
      </c>
      <c r="R4087" s="9">
        <f t="shared" si="161"/>
        <v>2.8591499641441309E-3</v>
      </c>
    </row>
    <row r="4088" spans="1:18" x14ac:dyDescent="0.2">
      <c r="A4088" s="2">
        <v>42622</v>
      </c>
      <c r="B4088" s="1" t="s">
        <v>59</v>
      </c>
      <c r="C4088" s="1" t="s">
        <v>14</v>
      </c>
      <c r="D4088" s="2">
        <v>42743</v>
      </c>
      <c r="E4088" s="2">
        <f t="shared" si="160"/>
        <v>42948</v>
      </c>
      <c r="F4088" s="1" t="s">
        <v>60</v>
      </c>
      <c r="G4088" s="1" t="s">
        <v>16</v>
      </c>
      <c r="H4088" s="1">
        <v>-0.3</v>
      </c>
      <c r="I4088" s="1">
        <v>0.31</v>
      </c>
      <c r="J4088" s="1">
        <v>-0.01</v>
      </c>
      <c r="K4088" s="1" t="s">
        <v>74</v>
      </c>
      <c r="L4088" s="1">
        <v>2387</v>
      </c>
      <c r="M4088" s="1">
        <v>0.68</v>
      </c>
      <c r="N4088" s="1">
        <v>-0.39624999999999999</v>
      </c>
      <c r="O4088" s="5">
        <f>VLOOKUP(D4088,underlying!$D$76:$H$90,5,FALSE)</f>
        <v>-0.19</v>
      </c>
      <c r="P4088" s="2">
        <f>VLOOKUP(D4088,underlying!$D$76:$L$90,9,FALSE)</f>
        <v>42935</v>
      </c>
      <c r="Q4088" s="7">
        <f>IF(G4088="C",NormalCallSprd(O4088,H4088,M4088,(P4088-A4088)/365), NormalPutSprd(O4088,H4088,M4088,(P4088-A4088)/365))</f>
        <v>0.31003771885883608</v>
      </c>
      <c r="R4088" s="9">
        <f t="shared" si="161"/>
        <v>3.7718858836077729E-5</v>
      </c>
    </row>
    <row r="4089" spans="1:18" x14ac:dyDescent="0.2">
      <c r="A4089" s="2">
        <v>42622</v>
      </c>
      <c r="B4089" s="1" t="s">
        <v>59</v>
      </c>
      <c r="C4089" s="1" t="s">
        <v>14</v>
      </c>
      <c r="D4089" s="2">
        <v>42743</v>
      </c>
      <c r="E4089" s="2">
        <f t="shared" si="160"/>
        <v>42948</v>
      </c>
      <c r="F4089" s="1" t="s">
        <v>60</v>
      </c>
      <c r="G4089" s="1" t="s">
        <v>18</v>
      </c>
      <c r="H4089" s="1">
        <v>-0.3</v>
      </c>
      <c r="I4089" s="1">
        <v>0.2</v>
      </c>
      <c r="J4089" s="1">
        <v>0</v>
      </c>
      <c r="K4089" s="1" t="s">
        <v>74</v>
      </c>
      <c r="L4089" s="1">
        <v>2387</v>
      </c>
      <c r="M4089" s="1">
        <v>0.68</v>
      </c>
      <c r="N4089" s="1">
        <v>-0.36879000000000001</v>
      </c>
      <c r="O4089" s="5">
        <f>VLOOKUP(D4089,underlying!$D$76:$H$90,5,FALSE)</f>
        <v>-0.19</v>
      </c>
      <c r="P4089" s="2">
        <f>VLOOKUP(D4089,underlying!$D$76:$L$90,9,FALSE)</f>
        <v>42935</v>
      </c>
      <c r="Q4089" s="7">
        <f>IF(G4089="C",NormalCallSprd(O4089,H4089,M4089,(P4089-A4089)/365), NormalPutSprd(O4089,H4089,M4089,(P4089-A4089)/365))</f>
        <v>0.20003771885883606</v>
      </c>
      <c r="R4089" s="9">
        <f t="shared" si="161"/>
        <v>3.7718858836049973E-5</v>
      </c>
    </row>
    <row r="4090" spans="1:18" x14ac:dyDescent="0.2">
      <c r="A4090" s="2">
        <v>42622</v>
      </c>
      <c r="B4090" s="1" t="s">
        <v>59</v>
      </c>
      <c r="C4090" s="1" t="s">
        <v>14</v>
      </c>
      <c r="D4090" s="2">
        <v>42743</v>
      </c>
      <c r="E4090" s="2">
        <f t="shared" si="160"/>
        <v>42948</v>
      </c>
      <c r="F4090" s="1" t="s">
        <v>60</v>
      </c>
      <c r="G4090" s="1" t="s">
        <v>16</v>
      </c>
      <c r="H4090" s="1">
        <v>-0.25</v>
      </c>
      <c r="I4090" s="1">
        <v>0.28000000000000003</v>
      </c>
      <c r="J4090" s="1">
        <v>-0.01</v>
      </c>
      <c r="K4090" s="1" t="s">
        <v>74</v>
      </c>
      <c r="L4090" s="1">
        <v>2387</v>
      </c>
      <c r="M4090" s="1">
        <v>0.68</v>
      </c>
      <c r="N4090" s="1">
        <v>-0.34129999999999999</v>
      </c>
      <c r="O4090" s="5">
        <f>VLOOKUP(D4090,underlying!$D$76:$H$90,5,FALSE)</f>
        <v>-0.19</v>
      </c>
      <c r="P4090" s="2">
        <f>VLOOKUP(D4090,underlying!$D$76:$L$90,9,FALSE)</f>
        <v>42935</v>
      </c>
      <c r="Q4090" s="7">
        <f>IF(G4090="C",NormalCallSprd(O4090,H4090,M4090,(P4090-A4090)/365), NormalPutSprd(O4090,H4090,M4090,(P4090-A4090)/365))</f>
        <v>0.28235402054703457</v>
      </c>
      <c r="R4090" s="9">
        <f t="shared" si="161"/>
        <v>2.354020547034541E-3</v>
      </c>
    </row>
    <row r="4091" spans="1:18" x14ac:dyDescent="0.2">
      <c r="A4091" s="2">
        <v>42622</v>
      </c>
      <c r="B4091" s="1" t="s">
        <v>59</v>
      </c>
      <c r="C4091" s="1" t="s">
        <v>14</v>
      </c>
      <c r="D4091" s="2">
        <v>42743</v>
      </c>
      <c r="E4091" s="2">
        <f t="shared" si="160"/>
        <v>42948</v>
      </c>
      <c r="F4091" s="1" t="s">
        <v>60</v>
      </c>
      <c r="G4091" s="1" t="s">
        <v>18</v>
      </c>
      <c r="H4091" s="1">
        <v>-0.25</v>
      </c>
      <c r="I4091" s="1">
        <v>0.23</v>
      </c>
      <c r="J4091" s="1">
        <v>0.01</v>
      </c>
      <c r="K4091" s="1" t="s">
        <v>74</v>
      </c>
      <c r="L4091" s="1">
        <v>2387</v>
      </c>
      <c r="M4091" s="1">
        <v>0.68</v>
      </c>
      <c r="N4091" s="1">
        <v>-0.31524999999999997</v>
      </c>
      <c r="O4091" s="5">
        <f>VLOOKUP(D4091,underlying!$D$76:$H$90,5,FALSE)</f>
        <v>-0.19</v>
      </c>
      <c r="P4091" s="2">
        <f>VLOOKUP(D4091,underlying!$D$76:$L$90,9,FALSE)</f>
        <v>42935</v>
      </c>
      <c r="Q4091" s="7">
        <f>IF(G4091="C",NormalCallSprd(O4091,H4091,M4091,(P4091-A4091)/365), NormalPutSprd(O4091,H4091,M4091,(P4091-A4091)/365))</f>
        <v>0.22235402054703457</v>
      </c>
      <c r="R4091" s="9">
        <f t="shared" si="161"/>
        <v>7.6459794529654401E-3</v>
      </c>
    </row>
    <row r="4092" spans="1:18" x14ac:dyDescent="0.2">
      <c r="A4092" s="2">
        <v>42622</v>
      </c>
      <c r="B4092" s="1" t="s">
        <v>59</v>
      </c>
      <c r="C4092" s="1" t="s">
        <v>14</v>
      </c>
      <c r="D4092" s="2">
        <v>42743</v>
      </c>
      <c r="E4092" s="2">
        <f t="shared" si="160"/>
        <v>42948</v>
      </c>
      <c r="F4092" s="1" t="s">
        <v>60</v>
      </c>
      <c r="G4092" s="1" t="s">
        <v>16</v>
      </c>
      <c r="H4092" s="1">
        <v>-0.2</v>
      </c>
      <c r="I4092" s="1">
        <v>0.26</v>
      </c>
      <c r="J4092" s="1">
        <v>0</v>
      </c>
      <c r="K4092" s="1" t="s">
        <v>74</v>
      </c>
      <c r="L4092" s="1">
        <v>2387</v>
      </c>
      <c r="M4092" s="1">
        <v>0.68</v>
      </c>
      <c r="N4092" s="1">
        <v>-0.29066999999999998</v>
      </c>
      <c r="O4092" s="5">
        <f>VLOOKUP(D4092,underlying!$D$76:$H$90,5,FALSE)</f>
        <v>-0.19</v>
      </c>
      <c r="P4092" s="2">
        <f>VLOOKUP(D4092,underlying!$D$76:$L$90,9,FALSE)</f>
        <v>42935</v>
      </c>
      <c r="Q4092" s="7">
        <f>IF(G4092="C",NormalCallSprd(O4092,H4092,M4092,(P4092-A4092)/365), NormalPutSprd(O4092,H4092,M4092,(P4092-A4092)/365))</f>
        <v>0.2562461833647407</v>
      </c>
      <c r="R4092" s="9">
        <f t="shared" si="161"/>
        <v>3.7538166352593105E-3</v>
      </c>
    </row>
    <row r="4093" spans="1:18" x14ac:dyDescent="0.2">
      <c r="A4093" s="2">
        <v>42622</v>
      </c>
      <c r="B4093" s="1" t="s">
        <v>59</v>
      </c>
      <c r="C4093" s="1" t="s">
        <v>14</v>
      </c>
      <c r="D4093" s="2">
        <v>42743</v>
      </c>
      <c r="E4093" s="2">
        <f t="shared" si="160"/>
        <v>42948</v>
      </c>
      <c r="F4093" s="1" t="s">
        <v>60</v>
      </c>
      <c r="G4093" s="1" t="s">
        <v>18</v>
      </c>
      <c r="H4093" s="1">
        <v>-0.2</v>
      </c>
      <c r="I4093" s="1">
        <v>0.25</v>
      </c>
      <c r="J4093" s="1">
        <v>0.01</v>
      </c>
      <c r="K4093" s="1" t="s">
        <v>74</v>
      </c>
      <c r="L4093" s="1">
        <v>2387</v>
      </c>
      <c r="M4093" s="1">
        <v>0.68</v>
      </c>
      <c r="N4093" s="1">
        <v>-0.26756999999999997</v>
      </c>
      <c r="O4093" s="5">
        <f>VLOOKUP(D4093,underlying!$D$76:$H$90,5,FALSE)</f>
        <v>-0.19</v>
      </c>
      <c r="P4093" s="2">
        <f>VLOOKUP(D4093,underlying!$D$76:$L$90,9,FALSE)</f>
        <v>42935</v>
      </c>
      <c r="Q4093" s="7">
        <f>IF(G4093="C",NormalCallSprd(O4093,H4093,M4093,(P4093-A4093)/365), NormalPutSprd(O4093,H4093,M4093,(P4093-A4093)/365))</f>
        <v>0.24624618336474069</v>
      </c>
      <c r="R4093" s="9">
        <f t="shared" si="161"/>
        <v>3.7538166352593105E-3</v>
      </c>
    </row>
    <row r="4094" spans="1:18" x14ac:dyDescent="0.2">
      <c r="A4094" s="2">
        <v>42622</v>
      </c>
      <c r="B4094" s="1" t="s">
        <v>59</v>
      </c>
      <c r="C4094" s="1" t="s">
        <v>14</v>
      </c>
      <c r="D4094" s="2">
        <v>42743</v>
      </c>
      <c r="E4094" s="2">
        <f t="shared" si="160"/>
        <v>42948</v>
      </c>
      <c r="F4094" s="1" t="s">
        <v>60</v>
      </c>
      <c r="G4094" s="1" t="s">
        <v>16</v>
      </c>
      <c r="H4094" s="1">
        <v>-0.15</v>
      </c>
      <c r="I4094" s="1">
        <v>0.23</v>
      </c>
      <c r="J4094" s="1">
        <v>-0.01</v>
      </c>
      <c r="K4094" s="1" t="s">
        <v>74</v>
      </c>
      <c r="L4094" s="1">
        <v>2387</v>
      </c>
      <c r="M4094" s="1">
        <v>0.68</v>
      </c>
      <c r="N4094" s="1">
        <v>-0.24493000000000001</v>
      </c>
      <c r="O4094" s="5">
        <f>VLOOKUP(D4094,underlying!$D$76:$H$90,5,FALSE)</f>
        <v>-0.19</v>
      </c>
      <c r="P4094" s="2">
        <f>VLOOKUP(D4094,underlying!$D$76:$L$90,9,FALSE)</f>
        <v>42935</v>
      </c>
      <c r="Q4094" s="7">
        <f>IF(G4094="C",NormalCallSprd(O4094,H4094,M4094,(P4094-A4094)/365), NormalPutSprd(O4094,H4094,M4094,(P4094-A4094)/365))</f>
        <v>0.23172117017938712</v>
      </c>
      <c r="R4094" s="9">
        <f t="shared" si="161"/>
        <v>1.7211701793871104E-3</v>
      </c>
    </row>
    <row r="4095" spans="1:18" x14ac:dyDescent="0.2">
      <c r="A4095" s="2">
        <v>42622</v>
      </c>
      <c r="B4095" s="1" t="s">
        <v>59</v>
      </c>
      <c r="C4095" s="1" t="s">
        <v>14</v>
      </c>
      <c r="D4095" s="2">
        <v>42743</v>
      </c>
      <c r="E4095" s="2">
        <f t="shared" si="160"/>
        <v>42948</v>
      </c>
      <c r="F4095" s="1" t="s">
        <v>60</v>
      </c>
      <c r="G4095" s="1" t="s">
        <v>18</v>
      </c>
      <c r="H4095" s="1">
        <v>-0.15</v>
      </c>
      <c r="I4095" s="1">
        <v>0.27</v>
      </c>
      <c r="J4095" s="1">
        <v>0</v>
      </c>
      <c r="K4095" s="1" t="s">
        <v>74</v>
      </c>
      <c r="L4095" s="1">
        <v>2387</v>
      </c>
      <c r="M4095" s="1">
        <v>0.68</v>
      </c>
      <c r="N4095" s="1">
        <v>-0.22312000000000001</v>
      </c>
      <c r="O4095" s="5">
        <f>VLOOKUP(D4095,underlying!$D$76:$H$90,5,FALSE)</f>
        <v>-0.19</v>
      </c>
      <c r="P4095" s="2">
        <f>VLOOKUP(D4095,underlying!$D$76:$L$90,9,FALSE)</f>
        <v>42935</v>
      </c>
      <c r="Q4095" s="7">
        <f>IF(G4095="C",NormalCallSprd(O4095,H4095,M4095,(P4095-A4095)/365), NormalPutSprd(O4095,H4095,M4095,(P4095-A4095)/365))</f>
        <v>0.27172117017938713</v>
      </c>
      <c r="R4095" s="9">
        <f t="shared" si="161"/>
        <v>1.7211701793871104E-3</v>
      </c>
    </row>
    <row r="4096" spans="1:18" x14ac:dyDescent="0.2">
      <c r="A4096" s="2">
        <v>42622</v>
      </c>
      <c r="B4096" s="1" t="s">
        <v>59</v>
      </c>
      <c r="C4096" s="1" t="s">
        <v>14</v>
      </c>
      <c r="D4096" s="2">
        <v>42743</v>
      </c>
      <c r="E4096" s="2">
        <f t="shared" si="160"/>
        <v>42948</v>
      </c>
      <c r="F4096" s="1" t="s">
        <v>60</v>
      </c>
      <c r="G4096" s="1" t="s">
        <v>16</v>
      </c>
      <c r="H4096" s="1">
        <v>-0.1</v>
      </c>
      <c r="I4096" s="1">
        <v>0.21</v>
      </c>
      <c r="J4096" s="1">
        <v>0</v>
      </c>
      <c r="K4096" s="1" t="s">
        <v>74</v>
      </c>
      <c r="L4096" s="1">
        <v>2387</v>
      </c>
      <c r="M4096" s="1">
        <v>0.68</v>
      </c>
      <c r="N4096" s="1">
        <v>-0.20319000000000001</v>
      </c>
      <c r="O4096" s="5">
        <f>VLOOKUP(D4096,underlying!$D$76:$H$90,5,FALSE)</f>
        <v>-0.19</v>
      </c>
      <c r="P4096" s="2">
        <f>VLOOKUP(D4096,underlying!$D$76:$L$90,9,FALSE)</f>
        <v>42935</v>
      </c>
      <c r="Q4096" s="7">
        <f>IF(G4096="C",NormalCallSprd(O4096,H4096,M4096,(P4096-A4096)/365), NormalPutSprd(O4096,H4096,M4096,(P4096-A4096)/365))</f>
        <v>0.20877599314568224</v>
      </c>
      <c r="R4096" s="9">
        <f t="shared" si="161"/>
        <v>1.2240068543177551E-3</v>
      </c>
    </row>
    <row r="4097" spans="1:18" x14ac:dyDescent="0.2">
      <c r="A4097" s="2">
        <v>42622</v>
      </c>
      <c r="B4097" s="1" t="s">
        <v>59</v>
      </c>
      <c r="C4097" s="1" t="s">
        <v>14</v>
      </c>
      <c r="D4097" s="2">
        <v>42743</v>
      </c>
      <c r="E4097" s="2">
        <f t="shared" si="160"/>
        <v>42948</v>
      </c>
      <c r="F4097" s="1" t="s">
        <v>60</v>
      </c>
      <c r="G4097" s="1" t="s">
        <v>18</v>
      </c>
      <c r="H4097" s="1">
        <v>-0.1</v>
      </c>
      <c r="I4097" s="1">
        <v>0.3</v>
      </c>
      <c r="J4097" s="1">
        <v>0.01</v>
      </c>
      <c r="K4097" s="1" t="s">
        <v>74</v>
      </c>
      <c r="L4097" s="1">
        <v>2387</v>
      </c>
      <c r="M4097" s="1">
        <v>0.68</v>
      </c>
      <c r="N4097" s="1">
        <v>-0.15082999999999999</v>
      </c>
      <c r="O4097" s="5">
        <f>VLOOKUP(D4097,underlying!$D$76:$H$90,5,FALSE)</f>
        <v>-0.19</v>
      </c>
      <c r="P4097" s="2">
        <f>VLOOKUP(D4097,underlying!$D$76:$L$90,9,FALSE)</f>
        <v>42935</v>
      </c>
      <c r="Q4097" s="7">
        <f>IF(G4097="C",NormalCallSprd(O4097,H4097,M4097,(P4097-A4097)/365), NormalPutSprd(O4097,H4097,M4097,(P4097-A4097)/365))</f>
        <v>0.29877599314568221</v>
      </c>
      <c r="R4097" s="9">
        <f t="shared" si="161"/>
        <v>1.2240068543177829E-3</v>
      </c>
    </row>
    <row r="4098" spans="1:18" x14ac:dyDescent="0.2">
      <c r="A4098" s="2">
        <v>42622</v>
      </c>
      <c r="B4098" s="1" t="s">
        <v>59</v>
      </c>
      <c r="C4098" s="1" t="s">
        <v>14</v>
      </c>
      <c r="D4098" s="2">
        <v>42743</v>
      </c>
      <c r="E4098" s="2">
        <f t="shared" ref="E4098:E4161" si="162">DATE(YEAR(D4098),DAY(D4098),MONTH(D4098))</f>
        <v>42948</v>
      </c>
      <c r="F4098" s="1" t="s">
        <v>60</v>
      </c>
      <c r="G4098" s="1" t="s">
        <v>16</v>
      </c>
      <c r="H4098" s="1">
        <v>-0.05</v>
      </c>
      <c r="I4098" s="1">
        <v>0.19</v>
      </c>
      <c r="J4098" s="1">
        <v>0.01</v>
      </c>
      <c r="K4098" s="1" t="s">
        <v>74</v>
      </c>
      <c r="L4098" s="1">
        <v>2387</v>
      </c>
      <c r="M4098" s="1">
        <v>0.68</v>
      </c>
      <c r="N4098" s="1">
        <v>-1.8440000000000002E-2</v>
      </c>
      <c r="O4098" s="5">
        <f>VLOOKUP(D4098,underlying!$D$76:$H$90,5,FALSE)</f>
        <v>-0.19</v>
      </c>
      <c r="P4098" s="2">
        <f>VLOOKUP(D4098,underlying!$D$76:$L$90,9,FALSE)</f>
        <v>42935</v>
      </c>
      <c r="Q4098" s="7">
        <f>IF(G4098="C",NormalCallSprd(O4098,H4098,M4098,(P4098-A4098)/365), NormalPutSprd(O4098,H4098,M4098,(P4098-A4098)/365))</f>
        <v>0.18739776997147431</v>
      </c>
      <c r="R4098" s="9">
        <f t="shared" si="161"/>
        <v>2.6022300285256927E-3</v>
      </c>
    </row>
    <row r="4099" spans="1:18" x14ac:dyDescent="0.2">
      <c r="A4099" s="2">
        <v>42622</v>
      </c>
      <c r="B4099" s="1" t="s">
        <v>59</v>
      </c>
      <c r="C4099" s="1" t="s">
        <v>14</v>
      </c>
      <c r="D4099" s="2">
        <v>42743</v>
      </c>
      <c r="E4099" s="2">
        <f t="shared" si="162"/>
        <v>42948</v>
      </c>
      <c r="F4099" s="1" t="s">
        <v>60</v>
      </c>
      <c r="G4099" s="1" t="s">
        <v>18</v>
      </c>
      <c r="H4099" s="1">
        <v>-0.05</v>
      </c>
      <c r="I4099" s="1">
        <v>0.33</v>
      </c>
      <c r="J4099" s="1">
        <v>0.02</v>
      </c>
      <c r="K4099" s="1" t="s">
        <v>74</v>
      </c>
      <c r="L4099" s="1">
        <v>2387</v>
      </c>
      <c r="M4099" s="1">
        <v>0.68</v>
      </c>
      <c r="N4099" s="1">
        <v>-1.75E-3</v>
      </c>
      <c r="O4099" s="5">
        <f>VLOOKUP(D4099,underlying!$D$76:$H$90,5,FALSE)</f>
        <v>-0.19</v>
      </c>
      <c r="P4099" s="2">
        <f>VLOOKUP(D4099,underlying!$D$76:$L$90,9,FALSE)</f>
        <v>42935</v>
      </c>
      <c r="Q4099" s="7">
        <f>IF(G4099="C",NormalCallSprd(O4099,H4099,M4099,(P4099-A4099)/365), NormalPutSprd(O4099,H4099,M4099,(P4099-A4099)/365))</f>
        <v>0.3273977699714743</v>
      </c>
      <c r="R4099" s="9">
        <f t="shared" ref="R4099:R4162" si="163">ABS(Q4099-I4099)</f>
        <v>2.6022300285257205E-3</v>
      </c>
    </row>
    <row r="4100" spans="1:18" x14ac:dyDescent="0.2">
      <c r="A4100" s="2">
        <v>42622</v>
      </c>
      <c r="B4100" s="1" t="s">
        <v>59</v>
      </c>
      <c r="C4100" s="1" t="s">
        <v>14</v>
      </c>
      <c r="D4100" s="2">
        <v>42744</v>
      </c>
      <c r="E4100" s="2">
        <f t="shared" si="162"/>
        <v>42979</v>
      </c>
      <c r="F4100" s="1" t="s">
        <v>60</v>
      </c>
      <c r="G4100" s="1" t="s">
        <v>16</v>
      </c>
      <c r="H4100" s="1">
        <v>-3</v>
      </c>
      <c r="I4100" s="1">
        <v>2.8</v>
      </c>
      <c r="J4100" s="1">
        <v>-0.02</v>
      </c>
      <c r="K4100" s="1" t="s">
        <v>75</v>
      </c>
      <c r="L4100" s="1">
        <v>2387</v>
      </c>
      <c r="M4100" s="1">
        <v>0.95</v>
      </c>
      <c r="N4100" s="1">
        <v>0.38862000000000002</v>
      </c>
      <c r="O4100" s="5">
        <f>VLOOKUP(D4100,underlying!$D$76:$H$90,5,FALSE)</f>
        <v>-0.18</v>
      </c>
      <c r="P4100" s="2">
        <f>VLOOKUP(D4100,underlying!$D$76:$L$90,9,FALSE)</f>
        <v>42968</v>
      </c>
      <c r="Q4100" s="7">
        <f>IF(G4100="C",NormalCallSprd(O4100,H4100,M4100,(P4100-A4100)/365), NormalPutSprd(O4100,H4100,M4100,(P4100-A4100)/365))</f>
        <v>2.8202971539646313</v>
      </c>
      <c r="R4100" s="9">
        <f t="shared" si="163"/>
        <v>2.0297153964631498E-2</v>
      </c>
    </row>
    <row r="4101" spans="1:18" x14ac:dyDescent="0.2">
      <c r="A4101" s="2">
        <v>42622</v>
      </c>
      <c r="B4101" s="1" t="s">
        <v>59</v>
      </c>
      <c r="C4101" s="1" t="s">
        <v>14</v>
      </c>
      <c r="D4101" s="2">
        <v>42744</v>
      </c>
      <c r="E4101" s="2">
        <f t="shared" si="162"/>
        <v>42979</v>
      </c>
      <c r="F4101" s="1" t="s">
        <v>60</v>
      </c>
      <c r="G4101" s="1" t="s">
        <v>18</v>
      </c>
      <c r="H4101" s="1">
        <v>-3</v>
      </c>
      <c r="I4101" s="1">
        <v>0.01</v>
      </c>
      <c r="J4101" s="1">
        <v>0</v>
      </c>
      <c r="K4101" s="1" t="s">
        <v>75</v>
      </c>
      <c r="L4101" s="1">
        <v>2387</v>
      </c>
      <c r="M4101" s="1">
        <v>0.95</v>
      </c>
      <c r="N4101" s="1">
        <v>0.42044999999999999</v>
      </c>
      <c r="O4101" s="5">
        <f>VLOOKUP(D4101,underlying!$D$76:$H$90,5,FALSE)</f>
        <v>-0.18</v>
      </c>
      <c r="P4101" s="2">
        <f>VLOOKUP(D4101,underlying!$D$76:$L$90,9,FALSE)</f>
        <v>42968</v>
      </c>
      <c r="Q4101" s="7">
        <f>IF(G4101="C",NormalCallSprd(O4101,H4101,M4101,(P4101-A4101)/365), NormalPutSprd(O4101,H4101,M4101,(P4101-A4101)/365))</f>
        <v>2.9715396463138007E-4</v>
      </c>
      <c r="R4101" s="9">
        <f t="shared" si="163"/>
        <v>9.7028460353686206E-3</v>
      </c>
    </row>
    <row r="4102" spans="1:18" x14ac:dyDescent="0.2">
      <c r="A4102" s="2">
        <v>42622</v>
      </c>
      <c r="B4102" s="1" t="s">
        <v>59</v>
      </c>
      <c r="C4102" s="1" t="s">
        <v>14</v>
      </c>
      <c r="D4102" s="2">
        <v>42744</v>
      </c>
      <c r="E4102" s="2">
        <f t="shared" si="162"/>
        <v>42979</v>
      </c>
      <c r="F4102" s="1" t="s">
        <v>60</v>
      </c>
      <c r="G4102" s="1" t="s">
        <v>16</v>
      </c>
      <c r="H4102" s="1">
        <v>-2</v>
      </c>
      <c r="I4102" s="1">
        <v>1.82</v>
      </c>
      <c r="J4102" s="1">
        <v>-0.01</v>
      </c>
      <c r="K4102" s="1" t="s">
        <v>75</v>
      </c>
      <c r="L4102" s="1">
        <v>2387</v>
      </c>
      <c r="M4102" s="1">
        <v>0.88</v>
      </c>
      <c r="N4102" s="1">
        <v>0.45282</v>
      </c>
      <c r="O4102" s="5">
        <f>VLOOKUP(D4102,underlying!$D$76:$H$90,5,FALSE)</f>
        <v>-0.18</v>
      </c>
      <c r="P4102" s="2">
        <f>VLOOKUP(D4102,underlying!$D$76:$L$90,9,FALSE)</f>
        <v>42968</v>
      </c>
      <c r="Q4102" s="7">
        <f>IF(G4102="C",NormalCallSprd(O4102,H4102,M4102,(P4102-A4102)/365), NormalPutSprd(O4102,H4102,M4102,(P4102-A4102)/365))</f>
        <v>1.825182308226442</v>
      </c>
      <c r="R4102" s="9">
        <f t="shared" si="163"/>
        <v>5.1823082264419451E-3</v>
      </c>
    </row>
    <row r="4103" spans="1:18" x14ac:dyDescent="0.2">
      <c r="A4103" s="2">
        <v>42622</v>
      </c>
      <c r="B4103" s="1" t="s">
        <v>59</v>
      </c>
      <c r="C4103" s="1" t="s">
        <v>14</v>
      </c>
      <c r="D4103" s="2">
        <v>42744</v>
      </c>
      <c r="E4103" s="2">
        <f t="shared" si="162"/>
        <v>42979</v>
      </c>
      <c r="F4103" s="1" t="s">
        <v>60</v>
      </c>
      <c r="G4103" s="1" t="s">
        <v>18</v>
      </c>
      <c r="H4103" s="1">
        <v>-2</v>
      </c>
      <c r="I4103" s="1">
        <v>0.01</v>
      </c>
      <c r="J4103" s="1">
        <v>0</v>
      </c>
      <c r="K4103" s="1" t="s">
        <v>75</v>
      </c>
      <c r="L4103" s="1">
        <v>2387</v>
      </c>
      <c r="M4103" s="1">
        <v>0.88</v>
      </c>
      <c r="N4103" s="1">
        <v>0.48498999999999998</v>
      </c>
      <c r="O4103" s="5">
        <f>VLOOKUP(D4103,underlying!$D$76:$H$90,5,FALSE)</f>
        <v>-0.18</v>
      </c>
      <c r="P4103" s="2">
        <f>VLOOKUP(D4103,underlying!$D$76:$L$90,9,FALSE)</f>
        <v>42968</v>
      </c>
      <c r="Q4103" s="7">
        <f>IF(G4103="C",NormalCallSprd(O4103,H4103,M4103,(P4103-A4103)/365), NormalPutSprd(O4103,H4103,M4103,(P4103-A4103)/365))</f>
        <v>5.1823082264421151E-3</v>
      </c>
      <c r="R4103" s="9">
        <f t="shared" si="163"/>
        <v>4.8176917735578851E-3</v>
      </c>
    </row>
    <row r="4104" spans="1:18" x14ac:dyDescent="0.2">
      <c r="A4104" s="2">
        <v>42622</v>
      </c>
      <c r="B4104" s="1" t="s">
        <v>59</v>
      </c>
      <c r="C4104" s="1" t="s">
        <v>14</v>
      </c>
      <c r="D4104" s="2">
        <v>42744</v>
      </c>
      <c r="E4104" s="2">
        <f t="shared" si="162"/>
        <v>42979</v>
      </c>
      <c r="F4104" s="1" t="s">
        <v>60</v>
      </c>
      <c r="G4104" s="1" t="s">
        <v>16</v>
      </c>
      <c r="H4104" s="1">
        <v>-1</v>
      </c>
      <c r="I4104" s="1">
        <v>0.87</v>
      </c>
      <c r="J4104" s="1">
        <v>-0.01</v>
      </c>
      <c r="K4104" s="1" t="s">
        <v>75</v>
      </c>
      <c r="L4104" s="1">
        <v>2387</v>
      </c>
      <c r="M4104" s="1">
        <v>0.79</v>
      </c>
      <c r="N4104" s="1">
        <v>0.51831000000000005</v>
      </c>
      <c r="O4104" s="5">
        <f>VLOOKUP(D4104,underlying!$D$76:$H$90,5,FALSE)</f>
        <v>-0.18</v>
      </c>
      <c r="P4104" s="2">
        <f>VLOOKUP(D4104,underlying!$D$76:$L$90,9,FALSE)</f>
        <v>42968</v>
      </c>
      <c r="Q4104" s="7">
        <f>IF(G4104="C",NormalCallSprd(O4104,H4104,M4104,(P4104-A4104)/365), NormalPutSprd(O4104,H4104,M4104,(P4104-A4104)/365))</f>
        <v>0.87641531046538812</v>
      </c>
      <c r="R4104" s="9">
        <f t="shared" si="163"/>
        <v>6.4153104653881243E-3</v>
      </c>
    </row>
    <row r="4105" spans="1:18" x14ac:dyDescent="0.2">
      <c r="A4105" s="2">
        <v>42622</v>
      </c>
      <c r="B4105" s="1" t="s">
        <v>59</v>
      </c>
      <c r="C4105" s="1" t="s">
        <v>14</v>
      </c>
      <c r="D4105" s="2">
        <v>42744</v>
      </c>
      <c r="E4105" s="2">
        <f t="shared" si="162"/>
        <v>42979</v>
      </c>
      <c r="F4105" s="1" t="s">
        <v>60</v>
      </c>
      <c r="G4105" s="1" t="s">
        <v>18</v>
      </c>
      <c r="H4105" s="1">
        <v>-1</v>
      </c>
      <c r="I4105" s="1">
        <v>7.0000000000000007E-2</v>
      </c>
      <c r="J4105" s="1">
        <v>0</v>
      </c>
      <c r="K4105" s="1" t="s">
        <v>75</v>
      </c>
      <c r="L4105" s="1">
        <v>2387</v>
      </c>
      <c r="M4105" s="1">
        <v>0.79</v>
      </c>
      <c r="N4105" s="1">
        <v>0.55193000000000003</v>
      </c>
      <c r="O4105" s="5">
        <f>VLOOKUP(D4105,underlying!$D$76:$H$90,5,FALSE)</f>
        <v>-0.18</v>
      </c>
      <c r="P4105" s="2">
        <f>VLOOKUP(D4105,underlying!$D$76:$L$90,9,FALSE)</f>
        <v>42968</v>
      </c>
      <c r="Q4105" s="7">
        <f>IF(G4105="C",NormalCallSprd(O4105,H4105,M4105,(P4105-A4105)/365), NormalPutSprd(O4105,H4105,M4105,(P4105-A4105)/365))</f>
        <v>5.6415310465388113E-2</v>
      </c>
      <c r="R4105" s="9">
        <f t="shared" si="163"/>
        <v>1.3584689534611893E-2</v>
      </c>
    </row>
    <row r="4106" spans="1:18" x14ac:dyDescent="0.2">
      <c r="A4106" s="2">
        <v>42622</v>
      </c>
      <c r="B4106" s="1" t="s">
        <v>59</v>
      </c>
      <c r="C4106" s="1" t="s">
        <v>14</v>
      </c>
      <c r="D4106" s="2">
        <v>42744</v>
      </c>
      <c r="E4106" s="2">
        <f t="shared" si="162"/>
        <v>42979</v>
      </c>
      <c r="F4106" s="1" t="s">
        <v>60</v>
      </c>
      <c r="G4106" s="1" t="s">
        <v>16</v>
      </c>
      <c r="H4106" s="1">
        <v>-0.85</v>
      </c>
      <c r="I4106" s="1">
        <v>0.75</v>
      </c>
      <c r="J4106" s="1">
        <v>-0.01</v>
      </c>
      <c r="K4106" s="1" t="s">
        <v>75</v>
      </c>
      <c r="L4106" s="1">
        <v>2387</v>
      </c>
      <c r="M4106" s="1">
        <v>0.78</v>
      </c>
      <c r="N4106" s="1">
        <v>0.58557000000000003</v>
      </c>
      <c r="O4106" s="5">
        <f>VLOOKUP(D4106,underlying!$D$76:$H$90,5,FALSE)</f>
        <v>-0.18</v>
      </c>
      <c r="P4106" s="2">
        <f>VLOOKUP(D4106,underlying!$D$76:$L$90,9,FALSE)</f>
        <v>42968</v>
      </c>
      <c r="Q4106" s="7">
        <f>IF(G4106="C",NormalCallSprd(O4106,H4106,M4106,(P4106-A4106)/365), NormalPutSprd(O4106,H4106,M4106,(P4106-A4106)/365))</f>
        <v>0.74878415047513247</v>
      </c>
      <c r="R4106" s="9">
        <f t="shared" si="163"/>
        <v>1.2158495248675294E-3</v>
      </c>
    </row>
    <row r="4107" spans="1:18" x14ac:dyDescent="0.2">
      <c r="A4107" s="2">
        <v>42622</v>
      </c>
      <c r="B4107" s="1" t="s">
        <v>59</v>
      </c>
      <c r="C4107" s="1" t="s">
        <v>14</v>
      </c>
      <c r="D4107" s="2">
        <v>42744</v>
      </c>
      <c r="E4107" s="2">
        <f t="shared" si="162"/>
        <v>42979</v>
      </c>
      <c r="F4107" s="1" t="s">
        <v>60</v>
      </c>
      <c r="G4107" s="1" t="s">
        <v>18</v>
      </c>
      <c r="H4107" s="1">
        <v>-0.85</v>
      </c>
      <c r="I4107" s="1">
        <v>0.08</v>
      </c>
      <c r="J4107" s="1">
        <v>0</v>
      </c>
      <c r="K4107" s="1" t="s">
        <v>75</v>
      </c>
      <c r="L4107" s="1">
        <v>2387</v>
      </c>
      <c r="M4107" s="1">
        <v>0.78</v>
      </c>
      <c r="N4107" s="1">
        <v>0.61663000000000001</v>
      </c>
      <c r="O4107" s="5">
        <f>VLOOKUP(D4107,underlying!$D$76:$H$90,5,FALSE)</f>
        <v>-0.18</v>
      </c>
      <c r="P4107" s="2">
        <f>VLOOKUP(D4107,underlying!$D$76:$L$90,9,FALSE)</f>
        <v>42968</v>
      </c>
      <c r="Q4107" s="7">
        <f>IF(G4107="C",NormalCallSprd(O4107,H4107,M4107,(P4107-A4107)/365), NormalPutSprd(O4107,H4107,M4107,(P4107-A4107)/365))</f>
        <v>7.8784150475132528E-2</v>
      </c>
      <c r="R4107" s="9">
        <f t="shared" si="163"/>
        <v>1.2158495248674739E-3</v>
      </c>
    </row>
    <row r="4108" spans="1:18" x14ac:dyDescent="0.2">
      <c r="A4108" s="2">
        <v>42622</v>
      </c>
      <c r="B4108" s="1" t="s">
        <v>59</v>
      </c>
      <c r="C4108" s="1" t="s">
        <v>14</v>
      </c>
      <c r="D4108" s="2">
        <v>42744</v>
      </c>
      <c r="E4108" s="2">
        <f t="shared" si="162"/>
        <v>42979</v>
      </c>
      <c r="F4108" s="1" t="s">
        <v>60</v>
      </c>
      <c r="G4108" s="1" t="s">
        <v>16</v>
      </c>
      <c r="H4108" s="1">
        <v>-0.8</v>
      </c>
      <c r="I4108" s="1">
        <v>0.71</v>
      </c>
      <c r="J4108" s="1">
        <v>-0.01</v>
      </c>
      <c r="K4108" s="1" t="s">
        <v>75</v>
      </c>
      <c r="L4108" s="1">
        <v>2387</v>
      </c>
      <c r="M4108" s="1">
        <v>0.78</v>
      </c>
      <c r="N4108" s="1">
        <v>0.64532</v>
      </c>
      <c r="O4108" s="5">
        <f>VLOOKUP(D4108,underlying!$D$76:$H$90,5,FALSE)</f>
        <v>-0.18</v>
      </c>
      <c r="P4108" s="2">
        <f>VLOOKUP(D4108,underlying!$D$76:$L$90,9,FALSE)</f>
        <v>42968</v>
      </c>
      <c r="Q4108" s="7">
        <f>IF(G4108="C",NormalCallSprd(O4108,H4108,M4108,(P4108-A4108)/365), NormalPutSprd(O4108,H4108,M4108,(P4108-A4108)/365))</f>
        <v>0.7086788066726939</v>
      </c>
      <c r="R4108" s="9">
        <f t="shared" si="163"/>
        <v>1.3211933273060694E-3</v>
      </c>
    </row>
    <row r="4109" spans="1:18" x14ac:dyDescent="0.2">
      <c r="A4109" s="2">
        <v>42622</v>
      </c>
      <c r="B4109" s="1" t="s">
        <v>59</v>
      </c>
      <c r="C4109" s="1" t="s">
        <v>14</v>
      </c>
      <c r="D4109" s="2">
        <v>42744</v>
      </c>
      <c r="E4109" s="2">
        <f t="shared" si="162"/>
        <v>42979</v>
      </c>
      <c r="F4109" s="1" t="s">
        <v>60</v>
      </c>
      <c r="G4109" s="1" t="s">
        <v>18</v>
      </c>
      <c r="H4109" s="1">
        <v>-0.8</v>
      </c>
      <c r="I4109" s="1">
        <v>0.09</v>
      </c>
      <c r="J4109" s="1">
        <v>0</v>
      </c>
      <c r="K4109" s="1" t="s">
        <v>75</v>
      </c>
      <c r="L4109" s="1">
        <v>2387</v>
      </c>
      <c r="M4109" s="1">
        <v>0.78</v>
      </c>
      <c r="N4109" s="1">
        <v>0.67213999999999996</v>
      </c>
      <c r="O4109" s="5">
        <f>VLOOKUP(D4109,underlying!$D$76:$H$90,5,FALSE)</f>
        <v>-0.18</v>
      </c>
      <c r="P4109" s="2">
        <f>VLOOKUP(D4109,underlying!$D$76:$L$90,9,FALSE)</f>
        <v>42968</v>
      </c>
      <c r="Q4109" s="7">
        <f>IF(G4109="C",NormalCallSprd(O4109,H4109,M4109,(P4109-A4109)/365), NormalPutSprd(O4109,H4109,M4109,(P4109-A4109)/365))</f>
        <v>8.8678806672693775E-2</v>
      </c>
      <c r="R4109" s="9">
        <f t="shared" si="163"/>
        <v>1.3211933273062221E-3</v>
      </c>
    </row>
    <row r="4110" spans="1:18" x14ac:dyDescent="0.2">
      <c r="A4110" s="2">
        <v>42622</v>
      </c>
      <c r="B4110" s="1" t="s">
        <v>59</v>
      </c>
      <c r="C4110" s="1" t="s">
        <v>14</v>
      </c>
      <c r="D4110" s="2">
        <v>42744</v>
      </c>
      <c r="E4110" s="2">
        <f t="shared" si="162"/>
        <v>42979</v>
      </c>
      <c r="F4110" s="1" t="s">
        <v>60</v>
      </c>
      <c r="G4110" s="1" t="s">
        <v>16</v>
      </c>
      <c r="H4110" s="1">
        <v>-0.75</v>
      </c>
      <c r="I4110" s="1">
        <v>0.66</v>
      </c>
      <c r="J4110" s="1">
        <v>-0.01</v>
      </c>
      <c r="K4110" s="1" t="s">
        <v>75</v>
      </c>
      <c r="L4110" s="1">
        <v>2387</v>
      </c>
      <c r="M4110" s="1">
        <v>0.77</v>
      </c>
      <c r="N4110" s="1">
        <v>0.69815000000000005</v>
      </c>
      <c r="O4110" s="5">
        <f>VLOOKUP(D4110,underlying!$D$76:$H$90,5,FALSE)</f>
        <v>-0.18</v>
      </c>
      <c r="P4110" s="2">
        <f>VLOOKUP(D4110,underlying!$D$76:$L$90,9,FALSE)</f>
        <v>42968</v>
      </c>
      <c r="Q4110" s="7">
        <f>IF(G4110="C",NormalCallSprd(O4110,H4110,M4110,(P4110-A4110)/365), NormalPutSprd(O4110,H4110,M4110,(P4110-A4110)/365))</f>
        <v>0.66659443034707788</v>
      </c>
      <c r="R4110" s="9">
        <f t="shared" si="163"/>
        <v>6.5944303470778509E-3</v>
      </c>
    </row>
    <row r="4111" spans="1:18" x14ac:dyDescent="0.2">
      <c r="A4111" s="2">
        <v>42622</v>
      </c>
      <c r="B4111" s="1" t="s">
        <v>59</v>
      </c>
      <c r="C4111" s="1" t="s">
        <v>14</v>
      </c>
      <c r="D4111" s="2">
        <v>42744</v>
      </c>
      <c r="E4111" s="2">
        <f t="shared" si="162"/>
        <v>42979</v>
      </c>
      <c r="F4111" s="1" t="s">
        <v>60</v>
      </c>
      <c r="G4111" s="1" t="s">
        <v>18</v>
      </c>
      <c r="H4111" s="1">
        <v>-0.75</v>
      </c>
      <c r="I4111" s="1">
        <v>0.1</v>
      </c>
      <c r="J4111" s="1">
        <v>0</v>
      </c>
      <c r="K4111" s="1" t="s">
        <v>75</v>
      </c>
      <c r="L4111" s="1">
        <v>2387</v>
      </c>
      <c r="M4111" s="1">
        <v>0.77</v>
      </c>
      <c r="N4111" s="1">
        <v>0.72253000000000001</v>
      </c>
      <c r="O4111" s="5">
        <f>VLOOKUP(D4111,underlying!$D$76:$H$90,5,FALSE)</f>
        <v>-0.18</v>
      </c>
      <c r="P4111" s="2">
        <f>VLOOKUP(D4111,underlying!$D$76:$L$90,9,FALSE)</f>
        <v>42968</v>
      </c>
      <c r="Q4111" s="7">
        <f>IF(G4111="C",NormalCallSprd(O4111,H4111,M4111,(P4111-A4111)/365), NormalPutSprd(O4111,H4111,M4111,(P4111-A4111)/365))</f>
        <v>9.6594430347077861E-2</v>
      </c>
      <c r="R4111" s="9">
        <f t="shared" si="163"/>
        <v>3.4055696529221441E-3</v>
      </c>
    </row>
    <row r="4112" spans="1:18" x14ac:dyDescent="0.2">
      <c r="A4112" s="2">
        <v>42622</v>
      </c>
      <c r="B4112" s="1" t="s">
        <v>59</v>
      </c>
      <c r="C4112" s="1" t="s">
        <v>14</v>
      </c>
      <c r="D4112" s="2">
        <v>42744</v>
      </c>
      <c r="E4112" s="2">
        <f t="shared" si="162"/>
        <v>42979</v>
      </c>
      <c r="F4112" s="1" t="s">
        <v>60</v>
      </c>
      <c r="G4112" s="1" t="s">
        <v>16</v>
      </c>
      <c r="H4112" s="1">
        <v>-0.7</v>
      </c>
      <c r="I4112" s="1">
        <v>0.62</v>
      </c>
      <c r="J4112" s="1">
        <v>-0.01</v>
      </c>
      <c r="K4112" s="1" t="s">
        <v>75</v>
      </c>
      <c r="L4112" s="1">
        <v>2387</v>
      </c>
      <c r="M4112" s="1">
        <v>0.76</v>
      </c>
      <c r="N4112" s="1">
        <v>0.74529000000000001</v>
      </c>
      <c r="O4112" s="5">
        <f>VLOOKUP(D4112,underlying!$D$76:$H$90,5,FALSE)</f>
        <v>-0.18</v>
      </c>
      <c r="P4112" s="2">
        <f>VLOOKUP(D4112,underlying!$D$76:$L$90,9,FALSE)</f>
        <v>42968</v>
      </c>
      <c r="Q4112" s="7">
        <f>IF(G4112="C",NormalCallSprd(O4112,H4112,M4112,(P4112-A4112)/365), NormalPutSprd(O4112,H4112,M4112,(P4112-A4112)/365))</f>
        <v>0.62523357739639751</v>
      </c>
      <c r="R4112" s="9">
        <f t="shared" si="163"/>
        <v>5.2335773963975152E-3</v>
      </c>
    </row>
    <row r="4113" spans="1:18" x14ac:dyDescent="0.2">
      <c r="A4113" s="2">
        <v>42622</v>
      </c>
      <c r="B4113" s="1" t="s">
        <v>59</v>
      </c>
      <c r="C4113" s="1" t="s">
        <v>14</v>
      </c>
      <c r="D4113" s="2">
        <v>42744</v>
      </c>
      <c r="E4113" s="2">
        <f t="shared" si="162"/>
        <v>42979</v>
      </c>
      <c r="F4113" s="1" t="s">
        <v>60</v>
      </c>
      <c r="G4113" s="1" t="s">
        <v>18</v>
      </c>
      <c r="H4113" s="1">
        <v>-0.7</v>
      </c>
      <c r="I4113" s="1">
        <v>0.11</v>
      </c>
      <c r="J4113" s="1">
        <v>0.01</v>
      </c>
      <c r="K4113" s="1" t="s">
        <v>75</v>
      </c>
      <c r="L4113" s="1">
        <v>2387</v>
      </c>
      <c r="M4113" s="1">
        <v>0.76</v>
      </c>
      <c r="N4113" s="1">
        <v>0.76646999999999998</v>
      </c>
      <c r="O4113" s="5">
        <f>VLOOKUP(D4113,underlying!$D$76:$H$90,5,FALSE)</f>
        <v>-0.18</v>
      </c>
      <c r="P4113" s="2">
        <f>VLOOKUP(D4113,underlying!$D$76:$L$90,9,FALSE)</f>
        <v>42968</v>
      </c>
      <c r="Q4113" s="7">
        <f>IF(G4113="C",NormalCallSprd(O4113,H4113,M4113,(P4113-A4113)/365), NormalPutSprd(O4113,H4113,M4113,(P4113-A4113)/365))</f>
        <v>0.10523357739639748</v>
      </c>
      <c r="R4113" s="9">
        <f t="shared" si="163"/>
        <v>4.7664226036025215E-3</v>
      </c>
    </row>
    <row r="4114" spans="1:18" x14ac:dyDescent="0.2">
      <c r="A4114" s="2">
        <v>42622</v>
      </c>
      <c r="B4114" s="1" t="s">
        <v>59</v>
      </c>
      <c r="C4114" s="1" t="s">
        <v>14</v>
      </c>
      <c r="D4114" s="2">
        <v>42744</v>
      </c>
      <c r="E4114" s="2">
        <f t="shared" si="162"/>
        <v>42979</v>
      </c>
      <c r="F4114" s="1" t="s">
        <v>60</v>
      </c>
      <c r="G4114" s="1" t="s">
        <v>16</v>
      </c>
      <c r="H4114" s="1">
        <v>-0.65</v>
      </c>
      <c r="I4114" s="1">
        <v>0.57999999999999996</v>
      </c>
      <c r="J4114" s="1">
        <v>-0.01</v>
      </c>
      <c r="K4114" s="1" t="s">
        <v>75</v>
      </c>
      <c r="L4114" s="1">
        <v>2387</v>
      </c>
      <c r="M4114" s="1">
        <v>0.75</v>
      </c>
      <c r="N4114" s="1">
        <v>0.78846000000000005</v>
      </c>
      <c r="O4114" s="5">
        <f>VLOOKUP(D4114,underlying!$D$76:$H$90,5,FALSE)</f>
        <v>-0.18</v>
      </c>
      <c r="P4114" s="2">
        <f>VLOOKUP(D4114,underlying!$D$76:$L$90,9,FALSE)</f>
        <v>42968</v>
      </c>
      <c r="Q4114" s="7">
        <f>IF(G4114="C",NormalCallSprd(O4114,H4114,M4114,(P4114-A4114)/365), NormalPutSprd(O4114,H4114,M4114,(P4114-A4114)/365))</f>
        <v>0.58465751859565884</v>
      </c>
      <c r="R4114" s="9">
        <f t="shared" si="163"/>
        <v>4.6575185956588827E-3</v>
      </c>
    </row>
    <row r="4115" spans="1:18" x14ac:dyDescent="0.2">
      <c r="A4115" s="2">
        <v>42622</v>
      </c>
      <c r="B4115" s="1" t="s">
        <v>59</v>
      </c>
      <c r="C4115" s="1" t="s">
        <v>14</v>
      </c>
      <c r="D4115" s="2">
        <v>42744</v>
      </c>
      <c r="E4115" s="2">
        <f t="shared" si="162"/>
        <v>42979</v>
      </c>
      <c r="F4115" s="1" t="s">
        <v>60</v>
      </c>
      <c r="G4115" s="1" t="s">
        <v>18</v>
      </c>
      <c r="H4115" s="1">
        <v>-0.65</v>
      </c>
      <c r="I4115" s="1">
        <v>0.11</v>
      </c>
      <c r="J4115" s="1">
        <v>0</v>
      </c>
      <c r="K4115" s="1" t="s">
        <v>75</v>
      </c>
      <c r="L4115" s="1">
        <v>2387</v>
      </c>
      <c r="M4115" s="1">
        <v>0.75</v>
      </c>
      <c r="N4115" s="1">
        <v>0.80725999999999998</v>
      </c>
      <c r="O4115" s="5">
        <f>VLOOKUP(D4115,underlying!$D$76:$H$90,5,FALSE)</f>
        <v>-0.18</v>
      </c>
      <c r="P4115" s="2">
        <f>VLOOKUP(D4115,underlying!$D$76:$L$90,9,FALSE)</f>
        <v>42968</v>
      </c>
      <c r="Q4115" s="7">
        <f>IF(G4115="C",NormalCallSprd(O4115,H4115,M4115,(P4115-A4115)/365), NormalPutSprd(O4115,H4115,M4115,(P4115-A4115)/365))</f>
        <v>0.11465751859565877</v>
      </c>
      <c r="R4115" s="9">
        <f t="shared" si="163"/>
        <v>4.6575185956587717E-3</v>
      </c>
    </row>
    <row r="4116" spans="1:18" x14ac:dyDescent="0.2">
      <c r="A4116" s="2">
        <v>42622</v>
      </c>
      <c r="B4116" s="1" t="s">
        <v>59</v>
      </c>
      <c r="C4116" s="1" t="s">
        <v>14</v>
      </c>
      <c r="D4116" s="2">
        <v>42744</v>
      </c>
      <c r="E4116" s="2">
        <f t="shared" si="162"/>
        <v>42979</v>
      </c>
      <c r="F4116" s="1" t="s">
        <v>60</v>
      </c>
      <c r="G4116" s="1" t="s">
        <v>16</v>
      </c>
      <c r="H4116" s="1">
        <v>-0.6</v>
      </c>
      <c r="I4116" s="1">
        <v>0.54</v>
      </c>
      <c r="J4116" s="1">
        <v>-0.01</v>
      </c>
      <c r="K4116" s="1" t="s">
        <v>75</v>
      </c>
      <c r="L4116" s="1">
        <v>2387</v>
      </c>
      <c r="M4116" s="1">
        <v>0.74</v>
      </c>
      <c r="N4116" s="1">
        <v>0.82403999999999999</v>
      </c>
      <c r="O4116" s="5">
        <f>VLOOKUP(D4116,underlying!$D$76:$H$90,5,FALSE)</f>
        <v>-0.18</v>
      </c>
      <c r="P4116" s="2">
        <f>VLOOKUP(D4116,underlying!$D$76:$L$90,9,FALSE)</f>
        <v>42968</v>
      </c>
      <c r="Q4116" s="7">
        <f>IF(G4116="C",NormalCallSprd(O4116,H4116,M4116,(P4116-A4116)/365), NormalPutSprd(O4116,H4116,M4116,(P4116-A4116)/365))</f>
        <v>0.54493117469627494</v>
      </c>
      <c r="R4116" s="9">
        <f t="shared" si="163"/>
        <v>4.9311746962749092E-3</v>
      </c>
    </row>
    <row r="4117" spans="1:18" x14ac:dyDescent="0.2">
      <c r="A4117" s="2">
        <v>42622</v>
      </c>
      <c r="B4117" s="1" t="s">
        <v>59</v>
      </c>
      <c r="C4117" s="1" t="s">
        <v>14</v>
      </c>
      <c r="D4117" s="2">
        <v>42744</v>
      </c>
      <c r="E4117" s="2">
        <f t="shared" si="162"/>
        <v>42979</v>
      </c>
      <c r="F4117" s="1" t="s">
        <v>60</v>
      </c>
      <c r="G4117" s="1" t="s">
        <v>18</v>
      </c>
      <c r="H4117" s="1">
        <v>-0.6</v>
      </c>
      <c r="I4117" s="1">
        <v>0.12</v>
      </c>
      <c r="J4117" s="1">
        <v>0</v>
      </c>
      <c r="K4117" s="1" t="s">
        <v>75</v>
      </c>
      <c r="L4117" s="1">
        <v>2387</v>
      </c>
      <c r="M4117" s="1">
        <v>0.74</v>
      </c>
      <c r="N4117" s="1">
        <v>0.87190000000000001</v>
      </c>
      <c r="O4117" s="5">
        <f>VLOOKUP(D4117,underlying!$D$76:$H$90,5,FALSE)</f>
        <v>-0.18</v>
      </c>
      <c r="P4117" s="2">
        <f>VLOOKUP(D4117,underlying!$D$76:$L$90,9,FALSE)</f>
        <v>42968</v>
      </c>
      <c r="Q4117" s="7">
        <f>IF(G4117="C",NormalCallSprd(O4117,H4117,M4117,(P4117-A4117)/365), NormalPutSprd(O4117,H4117,M4117,(P4117-A4117)/365))</f>
        <v>0.124931174696275</v>
      </c>
      <c r="R4117" s="9">
        <f t="shared" si="163"/>
        <v>4.9311746962750064E-3</v>
      </c>
    </row>
    <row r="4118" spans="1:18" x14ac:dyDescent="0.2">
      <c r="A4118" s="2">
        <v>42622</v>
      </c>
      <c r="B4118" s="1" t="s">
        <v>59</v>
      </c>
      <c r="C4118" s="1" t="s">
        <v>14</v>
      </c>
      <c r="D4118" s="2">
        <v>42744</v>
      </c>
      <c r="E4118" s="2">
        <f t="shared" si="162"/>
        <v>42979</v>
      </c>
      <c r="F4118" s="1" t="s">
        <v>60</v>
      </c>
      <c r="G4118" s="1" t="s">
        <v>16</v>
      </c>
      <c r="H4118" s="1">
        <v>-0.55000000000000004</v>
      </c>
      <c r="I4118" s="1">
        <v>0.5</v>
      </c>
      <c r="J4118" s="1">
        <v>-0.01</v>
      </c>
      <c r="K4118" s="1" t="s">
        <v>75</v>
      </c>
      <c r="L4118" s="1">
        <v>2387</v>
      </c>
      <c r="M4118" s="1">
        <v>0.73</v>
      </c>
      <c r="N4118" s="1">
        <v>0.98604000000000003</v>
      </c>
      <c r="O4118" s="5">
        <f>VLOOKUP(D4118,underlying!$D$76:$H$90,5,FALSE)</f>
        <v>-0.18</v>
      </c>
      <c r="P4118" s="2">
        <f>VLOOKUP(D4118,underlying!$D$76:$L$90,9,FALSE)</f>
        <v>42968</v>
      </c>
      <c r="Q4118" s="7">
        <f>IF(G4118="C",NormalCallSprd(O4118,H4118,M4118,(P4118-A4118)/365), NormalPutSprd(O4118,H4118,M4118,(P4118-A4118)/365))</f>
        <v>0.50612296997153883</v>
      </c>
      <c r="R4118" s="9">
        <f t="shared" si="163"/>
        <v>6.1229699715388275E-3</v>
      </c>
    </row>
    <row r="4119" spans="1:18" x14ac:dyDescent="0.2">
      <c r="A4119" s="2">
        <v>42622</v>
      </c>
      <c r="B4119" s="1" t="s">
        <v>59</v>
      </c>
      <c r="C4119" s="1" t="s">
        <v>14</v>
      </c>
      <c r="D4119" s="2">
        <v>42744</v>
      </c>
      <c r="E4119" s="2">
        <f t="shared" si="162"/>
        <v>42979</v>
      </c>
      <c r="F4119" s="1" t="s">
        <v>60</v>
      </c>
      <c r="G4119" s="1" t="s">
        <v>18</v>
      </c>
      <c r="H4119" s="1">
        <v>-0.55000000000000004</v>
      </c>
      <c r="I4119" s="1">
        <v>0.14000000000000001</v>
      </c>
      <c r="J4119" s="1">
        <v>0</v>
      </c>
      <c r="K4119" s="1" t="s">
        <v>75</v>
      </c>
      <c r="L4119" s="1">
        <v>2387</v>
      </c>
      <c r="M4119" s="1">
        <v>0.73</v>
      </c>
      <c r="N4119" s="1">
        <v>0.99558000000000002</v>
      </c>
      <c r="O4119" s="5">
        <f>VLOOKUP(D4119,underlying!$D$76:$H$90,5,FALSE)</f>
        <v>-0.18</v>
      </c>
      <c r="P4119" s="2">
        <f>VLOOKUP(D4119,underlying!$D$76:$L$90,9,FALSE)</f>
        <v>42968</v>
      </c>
      <c r="Q4119" s="7">
        <f>IF(G4119="C",NormalCallSprd(O4119,H4119,M4119,(P4119-A4119)/365), NormalPutSprd(O4119,H4119,M4119,(P4119-A4119)/365))</f>
        <v>0.13612296997153878</v>
      </c>
      <c r="R4119" s="9">
        <f t="shared" si="163"/>
        <v>3.8770300284612369E-3</v>
      </c>
    </row>
    <row r="4120" spans="1:18" x14ac:dyDescent="0.2">
      <c r="A4120" s="2">
        <v>42622</v>
      </c>
      <c r="B4120" s="1" t="s">
        <v>59</v>
      </c>
      <c r="C4120" s="1" t="s">
        <v>14</v>
      </c>
      <c r="D4120" s="2">
        <v>42744</v>
      </c>
      <c r="E4120" s="2">
        <f t="shared" si="162"/>
        <v>42979</v>
      </c>
      <c r="F4120" s="1" t="s">
        <v>60</v>
      </c>
      <c r="G4120" s="1" t="s">
        <v>16</v>
      </c>
      <c r="H4120" s="1">
        <v>-0.5</v>
      </c>
      <c r="I4120" s="1">
        <v>0.47</v>
      </c>
      <c r="J4120" s="1">
        <v>-0.01</v>
      </c>
      <c r="K4120" s="1" t="s">
        <v>75</v>
      </c>
      <c r="L4120" s="1">
        <v>2387</v>
      </c>
      <c r="M4120" s="1">
        <v>0.72</v>
      </c>
      <c r="N4120" s="1">
        <v>-0.60763999999999996</v>
      </c>
      <c r="O4120" s="5">
        <f>VLOOKUP(D4120,underlying!$D$76:$H$90,5,FALSE)</f>
        <v>-0.18</v>
      </c>
      <c r="P4120" s="2">
        <f>VLOOKUP(D4120,underlying!$D$76:$L$90,9,FALSE)</f>
        <v>42968</v>
      </c>
      <c r="Q4120" s="7">
        <f>IF(G4120="C",NormalCallSprd(O4120,H4120,M4120,(P4120-A4120)/365), NormalPutSprd(O4120,H4120,M4120,(P4120-A4120)/365))</f>
        <v>0.46830458552971083</v>
      </c>
      <c r="R4120" s="9">
        <f t="shared" si="163"/>
        <v>1.6954144702891472E-3</v>
      </c>
    </row>
    <row r="4121" spans="1:18" x14ac:dyDescent="0.2">
      <c r="A4121" s="2">
        <v>42622</v>
      </c>
      <c r="B4121" s="1" t="s">
        <v>59</v>
      </c>
      <c r="C4121" s="1" t="s">
        <v>14</v>
      </c>
      <c r="D4121" s="2">
        <v>42744</v>
      </c>
      <c r="E4121" s="2">
        <f t="shared" si="162"/>
        <v>42979</v>
      </c>
      <c r="F4121" s="1" t="s">
        <v>60</v>
      </c>
      <c r="G4121" s="1" t="s">
        <v>18</v>
      </c>
      <c r="H4121" s="1">
        <v>-0.5</v>
      </c>
      <c r="I4121" s="1">
        <v>0.14000000000000001</v>
      </c>
      <c r="J4121" s="1">
        <v>0</v>
      </c>
      <c r="K4121" s="1" t="s">
        <v>75</v>
      </c>
      <c r="L4121" s="1">
        <v>2387</v>
      </c>
      <c r="M4121" s="1">
        <v>0.72</v>
      </c>
      <c r="N4121" s="1">
        <v>-0.57579999999999998</v>
      </c>
      <c r="O4121" s="5">
        <f>VLOOKUP(D4121,underlying!$D$76:$H$90,5,FALSE)</f>
        <v>-0.18</v>
      </c>
      <c r="P4121" s="2">
        <f>VLOOKUP(D4121,underlying!$D$76:$L$90,9,FALSE)</f>
        <v>42968</v>
      </c>
      <c r="Q4121" s="7">
        <f>IF(G4121="C",NormalCallSprd(O4121,H4121,M4121,(P4121-A4121)/365), NormalPutSprd(O4121,H4121,M4121,(P4121-A4121)/365))</f>
        <v>0.14830458552971085</v>
      </c>
      <c r="R4121" s="9">
        <f t="shared" si="163"/>
        <v>8.304585529710834E-3</v>
      </c>
    </row>
    <row r="4122" spans="1:18" x14ac:dyDescent="0.2">
      <c r="A4122" s="2">
        <v>42622</v>
      </c>
      <c r="B4122" s="1" t="s">
        <v>59</v>
      </c>
      <c r="C4122" s="1" t="s">
        <v>14</v>
      </c>
      <c r="D4122" s="2">
        <v>42744</v>
      </c>
      <c r="E4122" s="2">
        <f t="shared" si="162"/>
        <v>42979</v>
      </c>
      <c r="F4122" s="1" t="s">
        <v>60</v>
      </c>
      <c r="G4122" s="1" t="s">
        <v>16</v>
      </c>
      <c r="H4122" s="1">
        <v>-0.45</v>
      </c>
      <c r="I4122" s="1">
        <v>0.43</v>
      </c>
      <c r="J4122" s="1">
        <v>-0.01</v>
      </c>
      <c r="K4122" s="1" t="s">
        <v>75</v>
      </c>
      <c r="L4122" s="1">
        <v>2387</v>
      </c>
      <c r="M4122" s="1">
        <v>0.71</v>
      </c>
      <c r="N4122" s="1">
        <v>-0.54342999999999997</v>
      </c>
      <c r="O4122" s="5">
        <f>VLOOKUP(D4122,underlying!$D$76:$H$90,5,FALSE)</f>
        <v>-0.18</v>
      </c>
      <c r="P4122" s="2">
        <f>VLOOKUP(D4122,underlying!$D$76:$L$90,9,FALSE)</f>
        <v>42968</v>
      </c>
      <c r="Q4122" s="7">
        <f>IF(G4122="C",NormalCallSprd(O4122,H4122,M4122,(P4122-A4122)/365), NormalPutSprd(O4122,H4122,M4122,(P4122-A4122)/365))</f>
        <v>0.43155059367121601</v>
      </c>
      <c r="R4122" s="9">
        <f t="shared" si="163"/>
        <v>1.5505936712160162E-3</v>
      </c>
    </row>
    <row r="4123" spans="1:18" x14ac:dyDescent="0.2">
      <c r="A4123" s="2">
        <v>42622</v>
      </c>
      <c r="B4123" s="1" t="s">
        <v>59</v>
      </c>
      <c r="C4123" s="1" t="s">
        <v>14</v>
      </c>
      <c r="D4123" s="2">
        <v>42744</v>
      </c>
      <c r="E4123" s="2">
        <f t="shared" si="162"/>
        <v>42979</v>
      </c>
      <c r="F4123" s="1" t="s">
        <v>60</v>
      </c>
      <c r="G4123" s="1" t="s">
        <v>18</v>
      </c>
      <c r="H4123" s="1">
        <v>-0.45</v>
      </c>
      <c r="I4123" s="1">
        <v>0.16</v>
      </c>
      <c r="J4123" s="1">
        <v>0</v>
      </c>
      <c r="K4123" s="1" t="s">
        <v>75</v>
      </c>
      <c r="L4123" s="1">
        <v>2387</v>
      </c>
      <c r="M4123" s="1">
        <v>0.71</v>
      </c>
      <c r="N4123" s="1">
        <v>-0.51126000000000005</v>
      </c>
      <c r="O4123" s="5">
        <f>VLOOKUP(D4123,underlying!$D$76:$H$90,5,FALSE)</f>
        <v>-0.18</v>
      </c>
      <c r="P4123" s="2">
        <f>VLOOKUP(D4123,underlying!$D$76:$L$90,9,FALSE)</f>
        <v>42968</v>
      </c>
      <c r="Q4123" s="7">
        <f>IF(G4123="C",NormalCallSprd(O4123,H4123,M4123,(P4123-A4123)/365), NormalPutSprd(O4123,H4123,M4123,(P4123-A4123)/365))</f>
        <v>0.16155059367121599</v>
      </c>
      <c r="R4123" s="9">
        <f t="shared" si="163"/>
        <v>1.5505936712159885E-3</v>
      </c>
    </row>
    <row r="4124" spans="1:18" x14ac:dyDescent="0.2">
      <c r="A4124" s="2">
        <v>42622</v>
      </c>
      <c r="B4124" s="1" t="s">
        <v>59</v>
      </c>
      <c r="C4124" s="1" t="s">
        <v>14</v>
      </c>
      <c r="D4124" s="2">
        <v>42744</v>
      </c>
      <c r="E4124" s="2">
        <f t="shared" si="162"/>
        <v>42979</v>
      </c>
      <c r="F4124" s="1" t="s">
        <v>60</v>
      </c>
      <c r="G4124" s="1" t="s">
        <v>16</v>
      </c>
      <c r="H4124" s="1">
        <v>-0.4</v>
      </c>
      <c r="I4124" s="1">
        <v>0.39</v>
      </c>
      <c r="J4124" s="1">
        <v>-0.01</v>
      </c>
      <c r="K4124" s="1" t="s">
        <v>75</v>
      </c>
      <c r="L4124" s="1">
        <v>2387</v>
      </c>
      <c r="M4124" s="1">
        <v>0.7</v>
      </c>
      <c r="N4124" s="1">
        <v>-0.47794999999999999</v>
      </c>
      <c r="O4124" s="5">
        <f>VLOOKUP(D4124,underlying!$D$76:$H$90,5,FALSE)</f>
        <v>-0.18</v>
      </c>
      <c r="P4124" s="2">
        <f>VLOOKUP(D4124,underlying!$D$76:$L$90,9,FALSE)</f>
        <v>42968</v>
      </c>
      <c r="Q4124" s="7">
        <f>IF(G4124="C",NormalCallSprd(O4124,H4124,M4124,(P4124-A4124)/365), NormalPutSprd(O4124,H4124,M4124,(P4124-A4124)/365))</f>
        <v>0.3959379536213874</v>
      </c>
      <c r="R4124" s="9">
        <f t="shared" si="163"/>
        <v>5.9379536213873818E-3</v>
      </c>
    </row>
    <row r="4125" spans="1:18" x14ac:dyDescent="0.2">
      <c r="A4125" s="2">
        <v>42622</v>
      </c>
      <c r="B4125" s="1" t="s">
        <v>59</v>
      </c>
      <c r="C4125" s="1" t="s">
        <v>14</v>
      </c>
      <c r="D4125" s="2">
        <v>42744</v>
      </c>
      <c r="E4125" s="2">
        <f t="shared" si="162"/>
        <v>42979</v>
      </c>
      <c r="F4125" s="1" t="s">
        <v>60</v>
      </c>
      <c r="G4125" s="1" t="s">
        <v>18</v>
      </c>
      <c r="H4125" s="1">
        <v>-0.4</v>
      </c>
      <c r="I4125" s="1">
        <v>0.16</v>
      </c>
      <c r="J4125" s="1">
        <v>0</v>
      </c>
      <c r="K4125" s="1" t="s">
        <v>75</v>
      </c>
      <c r="L4125" s="1">
        <v>2387</v>
      </c>
      <c r="M4125" s="1">
        <v>0.7</v>
      </c>
      <c r="N4125" s="1">
        <v>-0.44433</v>
      </c>
      <c r="O4125" s="5">
        <f>VLOOKUP(D4125,underlying!$D$76:$H$90,5,FALSE)</f>
        <v>-0.18</v>
      </c>
      <c r="P4125" s="2">
        <f>VLOOKUP(D4125,underlying!$D$76:$L$90,9,FALSE)</f>
        <v>42968</v>
      </c>
      <c r="Q4125" s="7">
        <f>IF(G4125="C",NormalCallSprd(O4125,H4125,M4125,(P4125-A4125)/365), NormalPutSprd(O4125,H4125,M4125,(P4125-A4125)/365))</f>
        <v>0.17593795362138739</v>
      </c>
      <c r="R4125" s="9">
        <f t="shared" si="163"/>
        <v>1.5937953621387391E-2</v>
      </c>
    </row>
    <row r="4126" spans="1:18" x14ac:dyDescent="0.2">
      <c r="A4126" s="2">
        <v>42622</v>
      </c>
      <c r="B4126" s="1" t="s">
        <v>59</v>
      </c>
      <c r="C4126" s="1" t="s">
        <v>14</v>
      </c>
      <c r="D4126" s="2">
        <v>42744</v>
      </c>
      <c r="E4126" s="2">
        <f t="shared" si="162"/>
        <v>42979</v>
      </c>
      <c r="F4126" s="1" t="s">
        <v>60</v>
      </c>
      <c r="G4126" s="1" t="s">
        <v>16</v>
      </c>
      <c r="H4126" s="1">
        <v>-0.35</v>
      </c>
      <c r="I4126" s="1">
        <v>0.36</v>
      </c>
      <c r="J4126" s="1">
        <v>-0.01</v>
      </c>
      <c r="K4126" s="1" t="s">
        <v>75</v>
      </c>
      <c r="L4126" s="1">
        <v>2387</v>
      </c>
      <c r="M4126" s="1">
        <v>0.69</v>
      </c>
      <c r="N4126" s="1">
        <v>-0.41069</v>
      </c>
      <c r="O4126" s="5">
        <f>VLOOKUP(D4126,underlying!$D$76:$H$90,5,FALSE)</f>
        <v>-0.18</v>
      </c>
      <c r="P4126" s="2">
        <f>VLOOKUP(D4126,underlying!$D$76:$L$90,9,FALSE)</f>
        <v>42968</v>
      </c>
      <c r="Q4126" s="7">
        <f>IF(G4126="C",NormalCallSprd(O4126,H4126,M4126,(P4126-A4126)/365), NormalPutSprd(O4126,H4126,M4126,(P4126-A4126)/365))</f>
        <v>0.36154534873181671</v>
      </c>
      <c r="R4126" s="9">
        <f t="shared" si="163"/>
        <v>1.5453487318167203E-3</v>
      </c>
    </row>
    <row r="4127" spans="1:18" x14ac:dyDescent="0.2">
      <c r="A4127" s="2">
        <v>42622</v>
      </c>
      <c r="B4127" s="1" t="s">
        <v>59</v>
      </c>
      <c r="C4127" s="1" t="s">
        <v>14</v>
      </c>
      <c r="D4127" s="2">
        <v>42744</v>
      </c>
      <c r="E4127" s="2">
        <f t="shared" si="162"/>
        <v>42979</v>
      </c>
      <c r="F4127" s="1" t="s">
        <v>60</v>
      </c>
      <c r="G4127" s="1" t="s">
        <v>18</v>
      </c>
      <c r="H4127" s="1">
        <v>-0.35</v>
      </c>
      <c r="I4127" s="1">
        <v>0.19</v>
      </c>
      <c r="J4127" s="1">
        <v>0</v>
      </c>
      <c r="K4127" s="1" t="s">
        <v>75</v>
      </c>
      <c r="L4127" s="1">
        <v>2387</v>
      </c>
      <c r="M4127" s="1">
        <v>0.69</v>
      </c>
      <c r="N4127" s="1">
        <v>-0.37963000000000002</v>
      </c>
      <c r="O4127" s="5">
        <f>VLOOKUP(D4127,underlying!$D$76:$H$90,5,FALSE)</f>
        <v>-0.18</v>
      </c>
      <c r="P4127" s="2">
        <f>VLOOKUP(D4127,underlying!$D$76:$L$90,9,FALSE)</f>
        <v>42968</v>
      </c>
      <c r="Q4127" s="7">
        <f>IF(G4127="C",NormalCallSprd(O4127,H4127,M4127,(P4127-A4127)/365), NormalPutSprd(O4127,H4127,M4127,(P4127-A4127)/365))</f>
        <v>0.19154534873181672</v>
      </c>
      <c r="R4127" s="9">
        <f t="shared" si="163"/>
        <v>1.5453487318167203E-3</v>
      </c>
    </row>
    <row r="4128" spans="1:18" x14ac:dyDescent="0.2">
      <c r="A4128" s="2">
        <v>42622</v>
      </c>
      <c r="B4128" s="1" t="s">
        <v>59</v>
      </c>
      <c r="C4128" s="1" t="s">
        <v>14</v>
      </c>
      <c r="D4128" s="2">
        <v>42744</v>
      </c>
      <c r="E4128" s="2">
        <f t="shared" si="162"/>
        <v>42979</v>
      </c>
      <c r="F4128" s="1" t="s">
        <v>60</v>
      </c>
      <c r="G4128" s="1" t="s">
        <v>16</v>
      </c>
      <c r="H4128" s="1">
        <v>-0.3</v>
      </c>
      <c r="I4128" s="1">
        <v>0.33</v>
      </c>
      <c r="J4128" s="1">
        <v>-0.01</v>
      </c>
      <c r="K4128" s="1" t="s">
        <v>75</v>
      </c>
      <c r="L4128" s="1">
        <v>2387</v>
      </c>
      <c r="M4128" s="1">
        <v>0.68</v>
      </c>
      <c r="N4128" s="1">
        <v>-0.35093000000000002</v>
      </c>
      <c r="O4128" s="5">
        <f>VLOOKUP(D4128,underlying!$D$76:$H$90,5,FALSE)</f>
        <v>-0.18</v>
      </c>
      <c r="P4128" s="2">
        <f>VLOOKUP(D4128,underlying!$D$76:$L$90,9,FALSE)</f>
        <v>42968</v>
      </c>
      <c r="Q4128" s="7">
        <f>IF(G4128="C",NormalCallSprd(O4128,H4128,M4128,(P4128-A4128)/365), NormalPutSprd(O4128,H4128,M4128,(P4128-A4128)/365))</f>
        <v>0.32845234601549234</v>
      </c>
      <c r="R4128" s="9">
        <f t="shared" si="163"/>
        <v>1.5476539845076798E-3</v>
      </c>
    </row>
    <row r="4129" spans="1:18" x14ac:dyDescent="0.2">
      <c r="A4129" s="2">
        <v>42622</v>
      </c>
      <c r="B4129" s="1" t="s">
        <v>59</v>
      </c>
      <c r="C4129" s="1" t="s">
        <v>14</v>
      </c>
      <c r="D4129" s="2">
        <v>42744</v>
      </c>
      <c r="E4129" s="2">
        <f t="shared" si="162"/>
        <v>42979</v>
      </c>
      <c r="F4129" s="1" t="s">
        <v>60</v>
      </c>
      <c r="G4129" s="1" t="s">
        <v>18</v>
      </c>
      <c r="H4129" s="1">
        <v>-0.3</v>
      </c>
      <c r="I4129" s="1">
        <v>0.2</v>
      </c>
      <c r="J4129" s="1">
        <v>0</v>
      </c>
      <c r="K4129" s="1" t="s">
        <v>75</v>
      </c>
      <c r="L4129" s="1">
        <v>2387</v>
      </c>
      <c r="M4129" s="1">
        <v>0.68</v>
      </c>
      <c r="N4129" s="1">
        <v>-0.32411000000000001</v>
      </c>
      <c r="O4129" s="5">
        <f>VLOOKUP(D4129,underlying!$D$76:$H$90,5,FALSE)</f>
        <v>-0.18</v>
      </c>
      <c r="P4129" s="2">
        <f>VLOOKUP(D4129,underlying!$D$76:$L$90,9,FALSE)</f>
        <v>42968</v>
      </c>
      <c r="Q4129" s="7">
        <f>IF(G4129="C",NormalCallSprd(O4129,H4129,M4129,(P4129-A4129)/365), NormalPutSprd(O4129,H4129,M4129,(P4129-A4129)/365))</f>
        <v>0.20845234601549234</v>
      </c>
      <c r="R4129" s="9">
        <f t="shared" si="163"/>
        <v>8.4523460154923291E-3</v>
      </c>
    </row>
    <row r="4130" spans="1:18" x14ac:dyDescent="0.2">
      <c r="A4130" s="2">
        <v>42622</v>
      </c>
      <c r="B4130" s="1" t="s">
        <v>59</v>
      </c>
      <c r="C4130" s="1" t="s">
        <v>14</v>
      </c>
      <c r="D4130" s="2">
        <v>42744</v>
      </c>
      <c r="E4130" s="2">
        <f t="shared" si="162"/>
        <v>42979</v>
      </c>
      <c r="F4130" s="1" t="s">
        <v>60</v>
      </c>
      <c r="G4130" s="1" t="s">
        <v>16</v>
      </c>
      <c r="H4130" s="1">
        <v>-0.25</v>
      </c>
      <c r="I4130" s="1">
        <v>0.3</v>
      </c>
      <c r="J4130" s="1">
        <v>0</v>
      </c>
      <c r="K4130" s="1" t="s">
        <v>75</v>
      </c>
      <c r="L4130" s="1">
        <v>2387</v>
      </c>
      <c r="M4130" s="1">
        <v>0.67</v>
      </c>
      <c r="N4130" s="1">
        <v>-0.29810999999999999</v>
      </c>
      <c r="O4130" s="5">
        <f>VLOOKUP(D4130,underlying!$D$76:$H$90,5,FALSE)</f>
        <v>-0.18</v>
      </c>
      <c r="P4130" s="2">
        <f>VLOOKUP(D4130,underlying!$D$76:$L$90,9,FALSE)</f>
        <v>42968</v>
      </c>
      <c r="Q4130" s="7">
        <f>IF(G4130="C",NormalCallSprd(O4130,H4130,M4130,(P4130-A4130)/365), NormalPutSprd(O4130,H4130,M4130,(P4130-A4130)/365))</f>
        <v>0.2967383610222834</v>
      </c>
      <c r="R4130" s="9">
        <f t="shared" si="163"/>
        <v>3.2616389777165855E-3</v>
      </c>
    </row>
    <row r="4131" spans="1:18" x14ac:dyDescent="0.2">
      <c r="A4131" s="2">
        <v>42622</v>
      </c>
      <c r="B4131" s="1" t="s">
        <v>59</v>
      </c>
      <c r="C4131" s="1" t="s">
        <v>14</v>
      </c>
      <c r="D4131" s="2">
        <v>42744</v>
      </c>
      <c r="E4131" s="2">
        <f t="shared" si="162"/>
        <v>42979</v>
      </c>
      <c r="F4131" s="1" t="s">
        <v>60</v>
      </c>
      <c r="G4131" s="1" t="s">
        <v>18</v>
      </c>
      <c r="H4131" s="1">
        <v>-0.25</v>
      </c>
      <c r="I4131" s="1">
        <v>0.22</v>
      </c>
      <c r="J4131" s="1">
        <v>0</v>
      </c>
      <c r="K4131" s="1" t="s">
        <v>75</v>
      </c>
      <c r="L4131" s="1">
        <v>2387</v>
      </c>
      <c r="M4131" s="1">
        <v>0.67</v>
      </c>
      <c r="N4131" s="1">
        <v>-0.27372999999999997</v>
      </c>
      <c r="O4131" s="5">
        <f>VLOOKUP(D4131,underlying!$D$76:$H$90,5,FALSE)</f>
        <v>-0.18</v>
      </c>
      <c r="P4131" s="2">
        <f>VLOOKUP(D4131,underlying!$D$76:$L$90,9,FALSE)</f>
        <v>42968</v>
      </c>
      <c r="Q4131" s="7">
        <f>IF(G4131="C",NormalCallSprd(O4131,H4131,M4131,(P4131-A4131)/365), NormalPutSprd(O4131,H4131,M4131,(P4131-A4131)/365))</f>
        <v>0.2267383610222834</v>
      </c>
      <c r="R4131" s="9">
        <f t="shared" si="163"/>
        <v>6.7383610222833956E-3</v>
      </c>
    </row>
    <row r="4132" spans="1:18" x14ac:dyDescent="0.2">
      <c r="A4132" s="2">
        <v>42622</v>
      </c>
      <c r="B4132" s="1" t="s">
        <v>59</v>
      </c>
      <c r="C4132" s="1" t="s">
        <v>14</v>
      </c>
      <c r="D4132" s="2">
        <v>42744</v>
      </c>
      <c r="E4132" s="2">
        <f t="shared" si="162"/>
        <v>42979</v>
      </c>
      <c r="F4132" s="1" t="s">
        <v>60</v>
      </c>
      <c r="G4132" s="1" t="s">
        <v>16</v>
      </c>
      <c r="H4132" s="1">
        <v>-0.2</v>
      </c>
      <c r="I4132" s="1">
        <v>0.27</v>
      </c>
      <c r="J4132" s="1">
        <v>-0.01</v>
      </c>
      <c r="K4132" s="1" t="s">
        <v>75</v>
      </c>
      <c r="L4132" s="1">
        <v>2387</v>
      </c>
      <c r="M4132" s="1">
        <v>0.66</v>
      </c>
      <c r="N4132" s="1">
        <v>-0.25097000000000003</v>
      </c>
      <c r="O4132" s="5">
        <f>VLOOKUP(D4132,underlying!$D$76:$H$90,5,FALSE)</f>
        <v>-0.18</v>
      </c>
      <c r="P4132" s="2">
        <f>VLOOKUP(D4132,underlying!$D$76:$L$90,9,FALSE)</f>
        <v>42968</v>
      </c>
      <c r="Q4132" s="7">
        <f>IF(G4132="C",NormalCallSprd(O4132,H4132,M4132,(P4132-A4132)/365), NormalPutSprd(O4132,H4132,M4132,(P4132-A4132)/365))</f>
        <v>0.2664814149771082</v>
      </c>
      <c r="R4132" s="9">
        <f t="shared" si="163"/>
        <v>3.5185850228918181E-3</v>
      </c>
    </row>
    <row r="4133" spans="1:18" x14ac:dyDescent="0.2">
      <c r="A4133" s="2">
        <v>42622</v>
      </c>
      <c r="B4133" s="1" t="s">
        <v>59</v>
      </c>
      <c r="C4133" s="1" t="s">
        <v>14</v>
      </c>
      <c r="D4133" s="2">
        <v>42744</v>
      </c>
      <c r="E4133" s="2">
        <f t="shared" si="162"/>
        <v>42979</v>
      </c>
      <c r="F4133" s="1" t="s">
        <v>60</v>
      </c>
      <c r="G4133" s="1" t="s">
        <v>18</v>
      </c>
      <c r="H4133" s="1">
        <v>-0.2</v>
      </c>
      <c r="I4133" s="1">
        <v>0.25</v>
      </c>
      <c r="J4133" s="1">
        <v>0</v>
      </c>
      <c r="K4133" s="1" t="s">
        <v>75</v>
      </c>
      <c r="L4133" s="1">
        <v>2387</v>
      </c>
      <c r="M4133" s="1">
        <v>0.66</v>
      </c>
      <c r="N4133" s="1">
        <v>-0.22978999999999999</v>
      </c>
      <c r="O4133" s="5">
        <f>VLOOKUP(D4133,underlying!$D$76:$H$90,5,FALSE)</f>
        <v>-0.18</v>
      </c>
      <c r="P4133" s="2">
        <f>VLOOKUP(D4133,underlying!$D$76:$L$90,9,FALSE)</f>
        <v>42968</v>
      </c>
      <c r="Q4133" s="7">
        <f>IF(G4133="C",NormalCallSprd(O4133,H4133,M4133,(P4133-A4133)/365), NormalPutSprd(O4133,H4133,M4133,(P4133-A4133)/365))</f>
        <v>0.24648141497710821</v>
      </c>
      <c r="R4133" s="9">
        <f t="shared" si="163"/>
        <v>3.5185850228917903E-3</v>
      </c>
    </row>
    <row r="4134" spans="1:18" x14ac:dyDescent="0.2">
      <c r="A4134" s="2">
        <v>42622</v>
      </c>
      <c r="B4134" s="1" t="s">
        <v>59</v>
      </c>
      <c r="C4134" s="1" t="s">
        <v>14</v>
      </c>
      <c r="D4134" s="2">
        <v>42744</v>
      </c>
      <c r="E4134" s="2">
        <f t="shared" si="162"/>
        <v>42979</v>
      </c>
      <c r="F4134" s="1" t="s">
        <v>60</v>
      </c>
      <c r="G4134" s="1" t="s">
        <v>16</v>
      </c>
      <c r="H4134" s="1">
        <v>-0.15</v>
      </c>
      <c r="I4134" s="1">
        <v>0.24</v>
      </c>
      <c r="J4134" s="1">
        <v>-0.01</v>
      </c>
      <c r="K4134" s="1" t="s">
        <v>75</v>
      </c>
      <c r="L4134" s="1">
        <v>2387</v>
      </c>
      <c r="M4134" s="1">
        <v>0.66</v>
      </c>
      <c r="N4134" s="1">
        <v>-0.20779</v>
      </c>
      <c r="O4134" s="5">
        <f>VLOOKUP(D4134,underlying!$D$76:$H$90,5,FALSE)</f>
        <v>-0.18</v>
      </c>
      <c r="P4134" s="2">
        <f>VLOOKUP(D4134,underlying!$D$76:$L$90,9,FALSE)</f>
        <v>42968</v>
      </c>
      <c r="Q4134" s="7">
        <f>IF(G4134="C",NormalCallSprd(O4134,H4134,M4134,(P4134-A4134)/365), NormalPutSprd(O4134,H4134,M4134,(P4134-A4134)/365))</f>
        <v>0.24163658241719221</v>
      </c>
      <c r="R4134" s="9">
        <f t="shared" si="163"/>
        <v>1.6365824171922227E-3</v>
      </c>
    </row>
    <row r="4135" spans="1:18" x14ac:dyDescent="0.2">
      <c r="A4135" s="2">
        <v>42622</v>
      </c>
      <c r="B4135" s="1" t="s">
        <v>59</v>
      </c>
      <c r="C4135" s="1" t="s">
        <v>14</v>
      </c>
      <c r="D4135" s="2">
        <v>42744</v>
      </c>
      <c r="E4135" s="2">
        <f t="shared" si="162"/>
        <v>42979</v>
      </c>
      <c r="F4135" s="1" t="s">
        <v>60</v>
      </c>
      <c r="G4135" s="1" t="s">
        <v>18</v>
      </c>
      <c r="H4135" s="1">
        <v>-0.15</v>
      </c>
      <c r="I4135" s="1">
        <v>0.27</v>
      </c>
      <c r="J4135" s="1">
        <v>0</v>
      </c>
      <c r="K4135" s="1" t="s">
        <v>75</v>
      </c>
      <c r="L4135" s="1">
        <v>2387</v>
      </c>
      <c r="M4135" s="1">
        <v>0.66</v>
      </c>
      <c r="N4135" s="1">
        <v>-0.18898999999999999</v>
      </c>
      <c r="O4135" s="5">
        <f>VLOOKUP(D4135,underlying!$D$76:$H$90,5,FALSE)</f>
        <v>-0.18</v>
      </c>
      <c r="P4135" s="2">
        <f>VLOOKUP(D4135,underlying!$D$76:$L$90,9,FALSE)</f>
        <v>42968</v>
      </c>
      <c r="Q4135" s="7">
        <f>IF(G4135="C",NormalCallSprd(O4135,H4135,M4135,(P4135-A4135)/365), NormalPutSprd(O4135,H4135,M4135,(P4135-A4135)/365))</f>
        <v>0.27163658241719219</v>
      </c>
      <c r="R4135" s="9">
        <f t="shared" si="163"/>
        <v>1.6365824171921672E-3</v>
      </c>
    </row>
    <row r="4136" spans="1:18" x14ac:dyDescent="0.2">
      <c r="A4136" s="2">
        <v>42622</v>
      </c>
      <c r="B4136" s="1" t="s">
        <v>59</v>
      </c>
      <c r="C4136" s="1" t="s">
        <v>14</v>
      </c>
      <c r="D4136" s="2">
        <v>42744</v>
      </c>
      <c r="E4136" s="2">
        <f t="shared" si="162"/>
        <v>42979</v>
      </c>
      <c r="F4136" s="1" t="s">
        <v>60</v>
      </c>
      <c r="G4136" s="1" t="s">
        <v>16</v>
      </c>
      <c r="H4136" s="1">
        <v>-0.1</v>
      </c>
      <c r="I4136" s="1">
        <v>0.22</v>
      </c>
      <c r="J4136" s="1">
        <v>0</v>
      </c>
      <c r="K4136" s="1" t="s">
        <v>75</v>
      </c>
      <c r="L4136" s="1">
        <v>2387</v>
      </c>
      <c r="M4136" s="1">
        <v>0.66</v>
      </c>
      <c r="N4136" s="1">
        <v>-0.17222000000000001</v>
      </c>
      <c r="O4136" s="5">
        <f>VLOOKUP(D4136,underlying!$D$76:$H$90,5,FALSE)</f>
        <v>-0.18</v>
      </c>
      <c r="P4136" s="2">
        <f>VLOOKUP(D4136,underlying!$D$76:$L$90,9,FALSE)</f>
        <v>42968</v>
      </c>
      <c r="Q4136" s="7">
        <f>IF(G4136="C",NormalCallSprd(O4136,H4136,M4136,(P4136-A4136)/365), NormalPutSprd(O4136,H4136,M4136,(P4136-A4136)/365))</f>
        <v>0.21834136079527378</v>
      </c>
      <c r="R4136" s="9">
        <f t="shared" si="163"/>
        <v>1.6586392047262255E-3</v>
      </c>
    </row>
    <row r="4137" spans="1:18" x14ac:dyDescent="0.2">
      <c r="A4137" s="2">
        <v>42622</v>
      </c>
      <c r="B4137" s="1" t="s">
        <v>59</v>
      </c>
      <c r="C4137" s="1" t="s">
        <v>14</v>
      </c>
      <c r="D4137" s="2">
        <v>42744</v>
      </c>
      <c r="E4137" s="2">
        <f t="shared" si="162"/>
        <v>42979</v>
      </c>
      <c r="F4137" s="1" t="s">
        <v>60</v>
      </c>
      <c r="G4137" s="1" t="s">
        <v>18</v>
      </c>
      <c r="H4137" s="1">
        <v>-0.1</v>
      </c>
      <c r="I4137" s="1">
        <v>0.28999999999999998</v>
      </c>
      <c r="J4137" s="1">
        <v>0</v>
      </c>
      <c r="K4137" s="1" t="s">
        <v>75</v>
      </c>
      <c r="L4137" s="1">
        <v>2387</v>
      </c>
      <c r="M4137" s="1">
        <v>0.66</v>
      </c>
      <c r="N4137" s="1">
        <v>-0.12436</v>
      </c>
      <c r="O4137" s="5">
        <f>VLOOKUP(D4137,underlying!$D$76:$H$90,5,FALSE)</f>
        <v>-0.18</v>
      </c>
      <c r="P4137" s="2">
        <f>VLOOKUP(D4137,underlying!$D$76:$L$90,9,FALSE)</f>
        <v>42968</v>
      </c>
      <c r="Q4137" s="7">
        <f>IF(G4137="C",NormalCallSprd(O4137,H4137,M4137,(P4137-A4137)/365), NormalPutSprd(O4137,H4137,M4137,(P4137-A4137)/365))</f>
        <v>0.29834136079527374</v>
      </c>
      <c r="R4137" s="9">
        <f t="shared" si="163"/>
        <v>8.3413607952737556E-3</v>
      </c>
    </row>
    <row r="4138" spans="1:18" x14ac:dyDescent="0.2">
      <c r="A4138" s="2">
        <v>42622</v>
      </c>
      <c r="B4138" s="1" t="s">
        <v>59</v>
      </c>
      <c r="C4138" s="1" t="s">
        <v>14</v>
      </c>
      <c r="D4138" s="2">
        <v>42744</v>
      </c>
      <c r="E4138" s="2">
        <f t="shared" si="162"/>
        <v>42979</v>
      </c>
      <c r="F4138" s="1" t="s">
        <v>60</v>
      </c>
      <c r="G4138" s="1" t="s">
        <v>16</v>
      </c>
      <c r="H4138" s="1">
        <v>-0.05</v>
      </c>
      <c r="I4138" s="1">
        <v>0.19</v>
      </c>
      <c r="J4138" s="1">
        <v>0</v>
      </c>
      <c r="K4138" s="1" t="s">
        <v>75</v>
      </c>
      <c r="L4138" s="1">
        <v>2387</v>
      </c>
      <c r="M4138" s="1">
        <v>0.65</v>
      </c>
      <c r="N4138" s="1">
        <v>-1.021E-2</v>
      </c>
      <c r="O4138" s="5">
        <f>VLOOKUP(D4138,underlying!$D$76:$H$90,5,FALSE)</f>
        <v>-0.18</v>
      </c>
      <c r="P4138" s="2">
        <f>VLOOKUP(D4138,underlying!$D$76:$L$90,9,FALSE)</f>
        <v>42968</v>
      </c>
      <c r="Q4138" s="7">
        <f>IF(G4138="C",NormalCallSprd(O4138,H4138,M4138,(P4138-A4138)/365), NormalPutSprd(O4138,H4138,M4138,(P4138-A4138)/365))</f>
        <v>0.19278114919262232</v>
      </c>
      <c r="R4138" s="9">
        <f t="shared" si="163"/>
        <v>2.7811491926223175E-3</v>
      </c>
    </row>
    <row r="4139" spans="1:18" x14ac:dyDescent="0.2">
      <c r="A4139" s="2">
        <v>42622</v>
      </c>
      <c r="B4139" s="1" t="s">
        <v>59</v>
      </c>
      <c r="C4139" s="1" t="s">
        <v>14</v>
      </c>
      <c r="D4139" s="2">
        <v>42744</v>
      </c>
      <c r="E4139" s="2">
        <f t="shared" si="162"/>
        <v>42979</v>
      </c>
      <c r="F4139" s="1" t="s">
        <v>60</v>
      </c>
      <c r="G4139" s="1" t="s">
        <v>18</v>
      </c>
      <c r="H4139" s="1">
        <v>-0.05</v>
      </c>
      <c r="I4139" s="1">
        <v>0.32</v>
      </c>
      <c r="J4139" s="1">
        <v>0.01</v>
      </c>
      <c r="K4139" s="1" t="s">
        <v>75</v>
      </c>
      <c r="L4139" s="1">
        <v>2387</v>
      </c>
      <c r="M4139" s="1">
        <v>0.65</v>
      </c>
      <c r="N4139" s="1">
        <v>-6.7000000000000002E-4</v>
      </c>
      <c r="O4139" s="5">
        <f>VLOOKUP(D4139,underlying!$D$76:$H$90,5,FALSE)</f>
        <v>-0.18</v>
      </c>
      <c r="P4139" s="2">
        <f>VLOOKUP(D4139,underlying!$D$76:$L$90,9,FALSE)</f>
        <v>42968</v>
      </c>
      <c r="Q4139" s="7">
        <f>IF(G4139="C",NormalCallSprd(O4139,H4139,M4139,(P4139-A4139)/365), NormalPutSprd(O4139,H4139,M4139,(P4139-A4139)/365))</f>
        <v>0.3227811491926223</v>
      </c>
      <c r="R4139" s="9">
        <f t="shared" si="163"/>
        <v>2.7811491926222898E-3</v>
      </c>
    </row>
    <row r="4140" spans="1:18" x14ac:dyDescent="0.2">
      <c r="A4140" s="2">
        <v>42622</v>
      </c>
      <c r="B4140" s="1" t="s">
        <v>59</v>
      </c>
      <c r="C4140" s="1" t="s">
        <v>14</v>
      </c>
      <c r="D4140" s="2">
        <v>42745</v>
      </c>
      <c r="E4140" s="2">
        <f t="shared" si="162"/>
        <v>43009</v>
      </c>
      <c r="F4140" s="1" t="s">
        <v>60</v>
      </c>
      <c r="G4140" s="1" t="s">
        <v>16</v>
      </c>
      <c r="H4140" s="1">
        <v>-3</v>
      </c>
      <c r="I4140" s="1">
        <v>2.8</v>
      </c>
      <c r="J4140" s="1">
        <v>-0.01</v>
      </c>
      <c r="K4140" s="1" t="s">
        <v>62</v>
      </c>
      <c r="L4140" s="1">
        <v>2387</v>
      </c>
      <c r="M4140" s="1">
        <v>0.95</v>
      </c>
      <c r="N4140" s="1">
        <v>0.39979999999999999</v>
      </c>
      <c r="O4140" s="5">
        <f>VLOOKUP(D4140,underlying!$D$76:$H$90,5,FALSE)</f>
        <v>-0.18</v>
      </c>
      <c r="P4140" s="2">
        <f>VLOOKUP(D4140,underlying!$D$76:$L$90,9,FALSE)</f>
        <v>42997</v>
      </c>
      <c r="Q4140" s="7">
        <f>IF(G4140="C",NormalCallSprd(O4140,H4140,M4140,(P4140-A4140)/365), NormalPutSprd(O4140,H4140,M4140,(P4140-A4140)/365))</f>
        <v>2.8204725299102082</v>
      </c>
      <c r="R4140" s="9">
        <f t="shared" si="163"/>
        <v>2.0472529910208426E-2</v>
      </c>
    </row>
    <row r="4141" spans="1:18" x14ac:dyDescent="0.2">
      <c r="A4141" s="2">
        <v>42622</v>
      </c>
      <c r="B4141" s="1" t="s">
        <v>59</v>
      </c>
      <c r="C4141" s="1" t="s">
        <v>14</v>
      </c>
      <c r="D4141" s="2">
        <v>42745</v>
      </c>
      <c r="E4141" s="2">
        <f t="shared" si="162"/>
        <v>43009</v>
      </c>
      <c r="F4141" s="1" t="s">
        <v>60</v>
      </c>
      <c r="G4141" s="1" t="s">
        <v>18</v>
      </c>
      <c r="H4141" s="1">
        <v>-3</v>
      </c>
      <c r="I4141" s="1">
        <v>0.01</v>
      </c>
      <c r="J4141" s="1">
        <v>0</v>
      </c>
      <c r="K4141" s="1" t="s">
        <v>62</v>
      </c>
      <c r="L4141" s="1">
        <v>2387</v>
      </c>
      <c r="M4141" s="1">
        <v>0.95</v>
      </c>
      <c r="N4141" s="1">
        <v>0.43274000000000001</v>
      </c>
      <c r="O4141" s="5">
        <f>VLOOKUP(D4141,underlying!$D$76:$H$90,5,FALSE)</f>
        <v>-0.18</v>
      </c>
      <c r="P4141" s="2">
        <f>VLOOKUP(D4141,underlying!$D$76:$L$90,9,FALSE)</f>
        <v>42997</v>
      </c>
      <c r="Q4141" s="7">
        <f>IF(G4141="C",NormalCallSprd(O4141,H4141,M4141,(P4141-A4141)/365), NormalPutSprd(O4141,H4141,M4141,(P4141-A4141)/365))</f>
        <v>4.7252991020822689E-4</v>
      </c>
      <c r="R4141" s="9">
        <f t="shared" si="163"/>
        <v>9.5274700897917727E-3</v>
      </c>
    </row>
    <row r="4142" spans="1:18" x14ac:dyDescent="0.2">
      <c r="A4142" s="2">
        <v>42622</v>
      </c>
      <c r="B4142" s="1" t="s">
        <v>59</v>
      </c>
      <c r="C4142" s="1" t="s">
        <v>14</v>
      </c>
      <c r="D4142" s="2">
        <v>42745</v>
      </c>
      <c r="E4142" s="2">
        <f t="shared" si="162"/>
        <v>43009</v>
      </c>
      <c r="F4142" s="1" t="s">
        <v>60</v>
      </c>
      <c r="G4142" s="1" t="s">
        <v>16</v>
      </c>
      <c r="H4142" s="1">
        <v>-2</v>
      </c>
      <c r="I4142" s="1">
        <v>1.81</v>
      </c>
      <c r="J4142" s="1">
        <v>-0.01</v>
      </c>
      <c r="K4142" s="1" t="s">
        <v>62</v>
      </c>
      <c r="L4142" s="1">
        <v>2387</v>
      </c>
      <c r="M4142" s="1">
        <v>0.85</v>
      </c>
      <c r="N4142" s="1">
        <v>0.46559</v>
      </c>
      <c r="O4142" s="5">
        <f>VLOOKUP(D4142,underlying!$D$76:$H$90,5,FALSE)</f>
        <v>-0.18</v>
      </c>
      <c r="P4142" s="2">
        <f>VLOOKUP(D4142,underlying!$D$76:$L$90,9,FALSE)</f>
        <v>42997</v>
      </c>
      <c r="Q4142" s="7">
        <f>IF(G4142="C",NormalCallSprd(O4142,H4142,M4142,(P4142-A4142)/365), NormalPutSprd(O4142,H4142,M4142,(P4142-A4142)/365))</f>
        <v>1.8253843926023388</v>
      </c>
      <c r="R4142" s="9">
        <f t="shared" si="163"/>
        <v>1.5384392602338703E-2</v>
      </c>
    </row>
    <row r="4143" spans="1:18" x14ac:dyDescent="0.2">
      <c r="A4143" s="2">
        <v>42622</v>
      </c>
      <c r="B4143" s="1" t="s">
        <v>59</v>
      </c>
      <c r="C4143" s="1" t="s">
        <v>14</v>
      </c>
      <c r="D4143" s="2">
        <v>42745</v>
      </c>
      <c r="E4143" s="2">
        <f t="shared" si="162"/>
        <v>43009</v>
      </c>
      <c r="F4143" s="1" t="s">
        <v>60</v>
      </c>
      <c r="G4143" s="1" t="s">
        <v>18</v>
      </c>
      <c r="H4143" s="1">
        <v>-2</v>
      </c>
      <c r="I4143" s="1">
        <v>0.01</v>
      </c>
      <c r="J4143" s="1">
        <v>0</v>
      </c>
      <c r="K4143" s="1" t="s">
        <v>62</v>
      </c>
      <c r="L4143" s="1">
        <v>2387</v>
      </c>
      <c r="M4143" s="1">
        <v>0.85</v>
      </c>
      <c r="N4143" s="1">
        <v>0.49785000000000001</v>
      </c>
      <c r="O4143" s="5">
        <f>VLOOKUP(D4143,underlying!$D$76:$H$90,5,FALSE)</f>
        <v>-0.18</v>
      </c>
      <c r="P4143" s="2">
        <f>VLOOKUP(D4143,underlying!$D$76:$L$90,9,FALSE)</f>
        <v>42997</v>
      </c>
      <c r="Q4143" s="7">
        <f>IF(G4143="C",NormalCallSprd(O4143,H4143,M4143,(P4143-A4143)/365), NormalPutSprd(O4143,H4143,M4143,(P4143-A4143)/365))</f>
        <v>5.3843926023387344E-3</v>
      </c>
      <c r="R4143" s="9">
        <f t="shared" si="163"/>
        <v>4.6156073976612658E-3</v>
      </c>
    </row>
    <row r="4144" spans="1:18" x14ac:dyDescent="0.2">
      <c r="A4144" s="2">
        <v>42622</v>
      </c>
      <c r="B4144" s="1" t="s">
        <v>59</v>
      </c>
      <c r="C4144" s="1" t="s">
        <v>14</v>
      </c>
      <c r="D4144" s="2">
        <v>42745</v>
      </c>
      <c r="E4144" s="2">
        <f t="shared" si="162"/>
        <v>43009</v>
      </c>
      <c r="F4144" s="1" t="s">
        <v>60</v>
      </c>
      <c r="G4144" s="1" t="s">
        <v>16</v>
      </c>
      <c r="H4144" s="1">
        <v>-1</v>
      </c>
      <c r="I4144" s="1">
        <v>0.87</v>
      </c>
      <c r="J4144" s="1">
        <v>-0.01</v>
      </c>
      <c r="K4144" s="1" t="s">
        <v>62</v>
      </c>
      <c r="L4144" s="1">
        <v>2387</v>
      </c>
      <c r="M4144" s="1">
        <v>0.78</v>
      </c>
      <c r="N4144" s="1">
        <v>0.53010999999999997</v>
      </c>
      <c r="O4144" s="5">
        <f>VLOOKUP(D4144,underlying!$D$76:$H$90,5,FALSE)</f>
        <v>-0.18</v>
      </c>
      <c r="P4144" s="2">
        <f>VLOOKUP(D4144,underlying!$D$76:$L$90,9,FALSE)</f>
        <v>42997</v>
      </c>
      <c r="Q4144" s="7">
        <f>IF(G4144="C",NormalCallSprd(O4144,H4144,M4144,(P4144-A4144)/365), NormalPutSprd(O4144,H4144,M4144,(P4144-A4144)/365))</f>
        <v>0.88133834649345077</v>
      </c>
      <c r="R4144" s="9">
        <f t="shared" si="163"/>
        <v>1.1338346493450779E-2</v>
      </c>
    </row>
    <row r="4145" spans="1:18" x14ac:dyDescent="0.2">
      <c r="A4145" s="2">
        <v>42622</v>
      </c>
      <c r="B4145" s="1" t="s">
        <v>59</v>
      </c>
      <c r="C4145" s="1" t="s">
        <v>14</v>
      </c>
      <c r="D4145" s="2">
        <v>42745</v>
      </c>
      <c r="E4145" s="2">
        <f t="shared" si="162"/>
        <v>43009</v>
      </c>
      <c r="F4145" s="1" t="s">
        <v>60</v>
      </c>
      <c r="G4145" s="1" t="s">
        <v>18</v>
      </c>
      <c r="H4145" s="1">
        <v>-1</v>
      </c>
      <c r="I4145" s="1">
        <v>7.0000000000000007E-2</v>
      </c>
      <c r="J4145" s="1">
        <v>0</v>
      </c>
      <c r="K4145" s="1" t="s">
        <v>62</v>
      </c>
      <c r="L4145" s="1">
        <v>2387</v>
      </c>
      <c r="M4145" s="1">
        <v>0.78</v>
      </c>
      <c r="N4145" s="1">
        <v>0.56064999999999998</v>
      </c>
      <c r="O4145" s="5">
        <f>VLOOKUP(D4145,underlying!$D$76:$H$90,5,FALSE)</f>
        <v>-0.18</v>
      </c>
      <c r="P4145" s="2">
        <f>VLOOKUP(D4145,underlying!$D$76:$L$90,9,FALSE)</f>
        <v>42997</v>
      </c>
      <c r="Q4145" s="7">
        <f>IF(G4145="C",NormalCallSprd(O4145,H4145,M4145,(P4145-A4145)/365), NormalPutSprd(O4145,H4145,M4145,(P4145-A4145)/365))</f>
        <v>6.1338346493450768E-2</v>
      </c>
      <c r="R4145" s="9">
        <f t="shared" si="163"/>
        <v>8.6616535065492384E-3</v>
      </c>
    </row>
    <row r="4146" spans="1:18" x14ac:dyDescent="0.2">
      <c r="A4146" s="2">
        <v>42622</v>
      </c>
      <c r="B4146" s="1" t="s">
        <v>59</v>
      </c>
      <c r="C4146" s="1" t="s">
        <v>14</v>
      </c>
      <c r="D4146" s="2">
        <v>42745</v>
      </c>
      <c r="E4146" s="2">
        <f t="shared" si="162"/>
        <v>43009</v>
      </c>
      <c r="F4146" s="1" t="s">
        <v>60</v>
      </c>
      <c r="G4146" s="1" t="s">
        <v>16</v>
      </c>
      <c r="H4146" s="1">
        <v>-0.85</v>
      </c>
      <c r="I4146" s="1">
        <v>0.75</v>
      </c>
      <c r="J4146" s="1">
        <v>0</v>
      </c>
      <c r="K4146" s="1" t="s">
        <v>62</v>
      </c>
      <c r="L4146" s="1">
        <v>2387</v>
      </c>
      <c r="M4146" s="1">
        <v>0.77</v>
      </c>
      <c r="N4146" s="1">
        <v>0.58943999999999996</v>
      </c>
      <c r="O4146" s="5">
        <f>VLOOKUP(D4146,underlying!$D$76:$H$90,5,FALSE)</f>
        <v>-0.18</v>
      </c>
      <c r="P4146" s="2">
        <f>VLOOKUP(D4146,underlying!$D$76:$L$90,9,FALSE)</f>
        <v>42997</v>
      </c>
      <c r="Q4146" s="7">
        <f>IF(G4146="C",NormalCallSprd(O4146,H4146,M4146,(P4146-A4146)/365), NormalPutSprd(O4146,H4146,M4146,(P4146-A4146)/365))</f>
        <v>0.75453454166142209</v>
      </c>
      <c r="R4146" s="9">
        <f t="shared" si="163"/>
        <v>4.5345416614220868E-3</v>
      </c>
    </row>
    <row r="4147" spans="1:18" x14ac:dyDescent="0.2">
      <c r="A4147" s="2">
        <v>42622</v>
      </c>
      <c r="B4147" s="1" t="s">
        <v>59</v>
      </c>
      <c r="C4147" s="1" t="s">
        <v>14</v>
      </c>
      <c r="D4147" s="2">
        <v>42745</v>
      </c>
      <c r="E4147" s="2">
        <f t="shared" si="162"/>
        <v>43009</v>
      </c>
      <c r="F4147" s="1" t="s">
        <v>60</v>
      </c>
      <c r="G4147" s="1" t="s">
        <v>18</v>
      </c>
      <c r="H4147" s="1">
        <v>-0.85</v>
      </c>
      <c r="I4147" s="1">
        <v>0.08</v>
      </c>
      <c r="J4147" s="1">
        <v>0</v>
      </c>
      <c r="K4147" s="1" t="s">
        <v>62</v>
      </c>
      <c r="L4147" s="1">
        <v>2387</v>
      </c>
      <c r="M4147" s="1">
        <v>0.77</v>
      </c>
      <c r="N4147" s="1">
        <v>0.61646999999999996</v>
      </c>
      <c r="O4147" s="5">
        <f>VLOOKUP(D4147,underlying!$D$76:$H$90,5,FALSE)</f>
        <v>-0.18</v>
      </c>
      <c r="P4147" s="2">
        <f>VLOOKUP(D4147,underlying!$D$76:$L$90,9,FALSE)</f>
        <v>42997</v>
      </c>
      <c r="Q4147" s="7">
        <f>IF(G4147="C",NormalCallSprd(O4147,H4147,M4147,(P4147-A4147)/365), NormalPutSprd(O4147,H4147,M4147,(P4147-A4147)/365))</f>
        <v>8.4534541661422033E-2</v>
      </c>
      <c r="R4147" s="9">
        <f t="shared" si="163"/>
        <v>4.5345416614220313E-3</v>
      </c>
    </row>
    <row r="4148" spans="1:18" x14ac:dyDescent="0.2">
      <c r="A4148" s="2">
        <v>42622</v>
      </c>
      <c r="B4148" s="1" t="s">
        <v>59</v>
      </c>
      <c r="C4148" s="1" t="s">
        <v>14</v>
      </c>
      <c r="D4148" s="2">
        <v>42745</v>
      </c>
      <c r="E4148" s="2">
        <f t="shared" si="162"/>
        <v>43009</v>
      </c>
      <c r="F4148" s="1" t="s">
        <v>60</v>
      </c>
      <c r="G4148" s="1" t="s">
        <v>16</v>
      </c>
      <c r="H4148" s="1">
        <v>-0.8</v>
      </c>
      <c r="I4148" s="1">
        <v>0.71</v>
      </c>
      <c r="J4148" s="1">
        <v>0</v>
      </c>
      <c r="K4148" s="1" t="s">
        <v>62</v>
      </c>
      <c r="L4148" s="1">
        <v>2387</v>
      </c>
      <c r="M4148" s="1">
        <v>0.76</v>
      </c>
      <c r="N4148" s="1">
        <v>0.64071</v>
      </c>
      <c r="O4148" s="5">
        <f>VLOOKUP(D4148,underlying!$D$76:$H$90,5,FALSE)</f>
        <v>-0.18</v>
      </c>
      <c r="P4148" s="2">
        <f>VLOOKUP(D4148,underlying!$D$76:$L$90,9,FALSE)</f>
        <v>42997</v>
      </c>
      <c r="Q4148" s="7">
        <f>IF(G4148="C",NormalCallSprd(O4148,H4148,M4148,(P4148-A4148)/365), NormalPutSprd(O4148,H4148,M4148,(P4148-A4148)/365))</f>
        <v>0.71181342989758101</v>
      </c>
      <c r="R4148" s="9">
        <f t="shared" si="163"/>
        <v>1.8134298975810426E-3</v>
      </c>
    </row>
    <row r="4149" spans="1:18" x14ac:dyDescent="0.2">
      <c r="A4149" s="2">
        <v>42622</v>
      </c>
      <c r="B4149" s="1" t="s">
        <v>59</v>
      </c>
      <c r="C4149" s="1" t="s">
        <v>14</v>
      </c>
      <c r="D4149" s="2">
        <v>42745</v>
      </c>
      <c r="E4149" s="2">
        <f t="shared" si="162"/>
        <v>43009</v>
      </c>
      <c r="F4149" s="1" t="s">
        <v>60</v>
      </c>
      <c r="G4149" s="1" t="s">
        <v>18</v>
      </c>
      <c r="H4149" s="1">
        <v>-0.8</v>
      </c>
      <c r="I4149" s="1">
        <v>0.09</v>
      </c>
      <c r="J4149" s="1">
        <v>0</v>
      </c>
      <c r="K4149" s="1" t="s">
        <v>62</v>
      </c>
      <c r="L4149" s="1">
        <v>2387</v>
      </c>
      <c r="M4149" s="1">
        <v>0.76</v>
      </c>
      <c r="N4149" s="1">
        <v>0.66461000000000003</v>
      </c>
      <c r="O4149" s="5">
        <f>VLOOKUP(D4149,underlying!$D$76:$H$90,5,FALSE)</f>
        <v>-0.18</v>
      </c>
      <c r="P4149" s="2">
        <f>VLOOKUP(D4149,underlying!$D$76:$L$90,9,FALSE)</f>
        <v>42997</v>
      </c>
      <c r="Q4149" s="7">
        <f>IF(G4149="C",NormalCallSprd(O4149,H4149,M4149,(P4149-A4149)/365), NormalPutSprd(O4149,H4149,M4149,(P4149-A4149)/365))</f>
        <v>9.1813429897580984E-2</v>
      </c>
      <c r="R4149" s="9">
        <f t="shared" si="163"/>
        <v>1.813429897580987E-3</v>
      </c>
    </row>
    <row r="4150" spans="1:18" x14ac:dyDescent="0.2">
      <c r="A4150" s="2">
        <v>42622</v>
      </c>
      <c r="B4150" s="1" t="s">
        <v>59</v>
      </c>
      <c r="C4150" s="1" t="s">
        <v>14</v>
      </c>
      <c r="D4150" s="2">
        <v>42745</v>
      </c>
      <c r="E4150" s="2">
        <f t="shared" si="162"/>
        <v>43009</v>
      </c>
      <c r="F4150" s="1" t="s">
        <v>60</v>
      </c>
      <c r="G4150" s="1" t="s">
        <v>16</v>
      </c>
      <c r="H4150" s="1">
        <v>-0.75</v>
      </c>
      <c r="I4150" s="1">
        <v>0.67</v>
      </c>
      <c r="J4150" s="1">
        <v>0</v>
      </c>
      <c r="K4150" s="1" t="s">
        <v>62</v>
      </c>
      <c r="L4150" s="1">
        <v>2387</v>
      </c>
      <c r="M4150" s="1">
        <v>0.75</v>
      </c>
      <c r="N4150" s="1">
        <v>0.68894</v>
      </c>
      <c r="O4150" s="5">
        <f>VLOOKUP(D4150,underlying!$D$76:$H$90,5,FALSE)</f>
        <v>-0.18</v>
      </c>
      <c r="P4150" s="2">
        <f>VLOOKUP(D4150,underlying!$D$76:$L$90,9,FALSE)</f>
        <v>42997</v>
      </c>
      <c r="Q4150" s="7">
        <f>IF(G4150="C",NormalCallSprd(O4150,H4150,M4150,(P4150-A4150)/365), NormalPutSprd(O4150,H4150,M4150,(P4150-A4150)/365))</f>
        <v>0.66974846011697386</v>
      </c>
      <c r="R4150" s="9">
        <f t="shared" si="163"/>
        <v>2.5153988302617503E-4</v>
      </c>
    </row>
    <row r="4151" spans="1:18" x14ac:dyDescent="0.2">
      <c r="A4151" s="2">
        <v>42622</v>
      </c>
      <c r="B4151" s="1" t="s">
        <v>59</v>
      </c>
      <c r="C4151" s="1" t="s">
        <v>14</v>
      </c>
      <c r="D4151" s="2">
        <v>42745</v>
      </c>
      <c r="E4151" s="2">
        <f t="shared" si="162"/>
        <v>43009</v>
      </c>
      <c r="F4151" s="1" t="s">
        <v>60</v>
      </c>
      <c r="G4151" s="1" t="s">
        <v>18</v>
      </c>
      <c r="H4151" s="1">
        <v>-0.75</v>
      </c>
      <c r="I4151" s="1">
        <v>0.1</v>
      </c>
      <c r="J4151" s="1">
        <v>0.01</v>
      </c>
      <c r="K4151" s="1" t="s">
        <v>62</v>
      </c>
      <c r="L4151" s="1">
        <v>2387</v>
      </c>
      <c r="M4151" s="1">
        <v>0.75</v>
      </c>
      <c r="N4151" s="1">
        <v>0.71260000000000001</v>
      </c>
      <c r="O4151" s="5">
        <f>VLOOKUP(D4151,underlying!$D$76:$H$90,5,FALSE)</f>
        <v>-0.18</v>
      </c>
      <c r="P4151" s="2">
        <f>VLOOKUP(D4151,underlying!$D$76:$L$90,9,FALSE)</f>
        <v>42997</v>
      </c>
      <c r="Q4151" s="7">
        <f>IF(G4151="C",NormalCallSprd(O4151,H4151,M4151,(P4151-A4151)/365), NormalPutSprd(O4151,H4151,M4151,(P4151-A4151)/365))</f>
        <v>9.9748460116973831E-2</v>
      </c>
      <c r="R4151" s="9">
        <f t="shared" si="163"/>
        <v>2.5153988302617503E-4</v>
      </c>
    </row>
    <row r="4152" spans="1:18" x14ac:dyDescent="0.2">
      <c r="A4152" s="2">
        <v>42622</v>
      </c>
      <c r="B4152" s="1" t="s">
        <v>59</v>
      </c>
      <c r="C4152" s="1" t="s">
        <v>14</v>
      </c>
      <c r="D4152" s="2">
        <v>42745</v>
      </c>
      <c r="E4152" s="2">
        <f t="shared" si="162"/>
        <v>43009</v>
      </c>
      <c r="F4152" s="1" t="s">
        <v>60</v>
      </c>
      <c r="G4152" s="1" t="s">
        <v>16</v>
      </c>
      <c r="H4152" s="1">
        <v>-0.7</v>
      </c>
      <c r="I4152" s="1">
        <v>0.63</v>
      </c>
      <c r="J4152" s="1">
        <v>0</v>
      </c>
      <c r="K4152" s="1" t="s">
        <v>62</v>
      </c>
      <c r="L4152" s="1">
        <v>2387</v>
      </c>
      <c r="M4152" s="1">
        <v>0.74</v>
      </c>
      <c r="N4152" s="1">
        <v>0.73614999999999997</v>
      </c>
      <c r="O4152" s="5">
        <f>VLOOKUP(D4152,underlying!$D$76:$H$90,5,FALSE)</f>
        <v>-0.18</v>
      </c>
      <c r="P4152" s="2">
        <f>VLOOKUP(D4152,underlying!$D$76:$L$90,9,FALSE)</f>
        <v>42997</v>
      </c>
      <c r="Q4152" s="7">
        <f>IF(G4152="C",NormalCallSprd(O4152,H4152,M4152,(P4152-A4152)/365), NormalPutSprd(O4152,H4152,M4152,(P4152-A4152)/365))</f>
        <v>0.62839604949607086</v>
      </c>
      <c r="R4152" s="9">
        <f t="shared" si="163"/>
        <v>1.6039505039291413E-3</v>
      </c>
    </row>
    <row r="4153" spans="1:18" x14ac:dyDescent="0.2">
      <c r="A4153" s="2">
        <v>42622</v>
      </c>
      <c r="B4153" s="1" t="s">
        <v>59</v>
      </c>
      <c r="C4153" s="1" t="s">
        <v>14</v>
      </c>
      <c r="D4153" s="2">
        <v>42745</v>
      </c>
      <c r="E4153" s="2">
        <f t="shared" si="162"/>
        <v>43009</v>
      </c>
      <c r="F4153" s="1" t="s">
        <v>60</v>
      </c>
      <c r="G4153" s="1" t="s">
        <v>18</v>
      </c>
      <c r="H4153" s="1">
        <v>-0.7</v>
      </c>
      <c r="I4153" s="1">
        <v>0.11</v>
      </c>
      <c r="J4153" s="1">
        <v>0.01</v>
      </c>
      <c r="K4153" s="1" t="s">
        <v>62</v>
      </c>
      <c r="L4153" s="1">
        <v>2387</v>
      </c>
      <c r="M4153" s="1">
        <v>0.74</v>
      </c>
      <c r="N4153" s="1">
        <v>0.75866</v>
      </c>
      <c r="O4153" s="5">
        <f>VLOOKUP(D4153,underlying!$D$76:$H$90,5,FALSE)</f>
        <v>-0.18</v>
      </c>
      <c r="P4153" s="2">
        <f>VLOOKUP(D4153,underlying!$D$76:$L$90,9,FALSE)</f>
        <v>42997</v>
      </c>
      <c r="Q4153" s="7">
        <f>IF(G4153="C",NormalCallSprd(O4153,H4153,M4153,(P4153-A4153)/365), NormalPutSprd(O4153,H4153,M4153,(P4153-A4153)/365))</f>
        <v>0.10839604949607087</v>
      </c>
      <c r="R4153" s="9">
        <f t="shared" si="163"/>
        <v>1.6039505039291274E-3</v>
      </c>
    </row>
    <row r="4154" spans="1:18" x14ac:dyDescent="0.2">
      <c r="A4154" s="2">
        <v>42622</v>
      </c>
      <c r="B4154" s="1" t="s">
        <v>59</v>
      </c>
      <c r="C4154" s="1" t="s">
        <v>14</v>
      </c>
      <c r="D4154" s="2">
        <v>42745</v>
      </c>
      <c r="E4154" s="2">
        <f t="shared" si="162"/>
        <v>43009</v>
      </c>
      <c r="F4154" s="1" t="s">
        <v>60</v>
      </c>
      <c r="G4154" s="1" t="s">
        <v>16</v>
      </c>
      <c r="H4154" s="1">
        <v>-0.65</v>
      </c>
      <c r="I4154" s="1">
        <v>0.59</v>
      </c>
      <c r="J4154" s="1">
        <v>0</v>
      </c>
      <c r="K4154" s="1" t="s">
        <v>62</v>
      </c>
      <c r="L4154" s="1">
        <v>2387</v>
      </c>
      <c r="M4154" s="1">
        <v>0.73</v>
      </c>
      <c r="N4154" s="1">
        <v>0.78005000000000002</v>
      </c>
      <c r="O4154" s="5">
        <f>VLOOKUP(D4154,underlying!$D$76:$H$90,5,FALSE)</f>
        <v>-0.18</v>
      </c>
      <c r="P4154" s="2">
        <f>VLOOKUP(D4154,underlying!$D$76:$L$90,9,FALSE)</f>
        <v>42997</v>
      </c>
      <c r="Q4154" s="7">
        <f>IF(G4154="C",NormalCallSprd(O4154,H4154,M4154,(P4154-A4154)/365), NormalPutSprd(O4154,H4154,M4154,(P4154-A4154)/365))</f>
        <v>0.58781633151199864</v>
      </c>
      <c r="R4154" s="9">
        <f t="shared" si="163"/>
        <v>2.1836684880013335E-3</v>
      </c>
    </row>
    <row r="4155" spans="1:18" x14ac:dyDescent="0.2">
      <c r="A4155" s="2">
        <v>42622</v>
      </c>
      <c r="B4155" s="1" t="s">
        <v>59</v>
      </c>
      <c r="C4155" s="1" t="s">
        <v>14</v>
      </c>
      <c r="D4155" s="2">
        <v>42745</v>
      </c>
      <c r="E4155" s="2">
        <f t="shared" si="162"/>
        <v>43009</v>
      </c>
      <c r="F4155" s="1" t="s">
        <v>60</v>
      </c>
      <c r="G4155" s="1" t="s">
        <v>18</v>
      </c>
      <c r="H4155" s="1">
        <v>-0.65</v>
      </c>
      <c r="I4155" s="1">
        <v>0.12</v>
      </c>
      <c r="J4155" s="1">
        <v>0.01</v>
      </c>
      <c r="K4155" s="1" t="s">
        <v>62</v>
      </c>
      <c r="L4155" s="1">
        <v>2387</v>
      </c>
      <c r="M4155" s="1">
        <v>0.73</v>
      </c>
      <c r="N4155" s="1">
        <v>0.80028999999999995</v>
      </c>
      <c r="O4155" s="5">
        <f>VLOOKUP(D4155,underlying!$D$76:$H$90,5,FALSE)</f>
        <v>-0.18</v>
      </c>
      <c r="P4155" s="2">
        <f>VLOOKUP(D4155,underlying!$D$76:$L$90,9,FALSE)</f>
        <v>42997</v>
      </c>
      <c r="Q4155" s="7">
        <f>IF(G4155="C",NormalCallSprd(O4155,H4155,M4155,(P4155-A4155)/365), NormalPutSprd(O4155,H4155,M4155,(P4155-A4155)/365))</f>
        <v>0.11781633151199863</v>
      </c>
      <c r="R4155" s="9">
        <f t="shared" si="163"/>
        <v>2.1836684880013613E-3</v>
      </c>
    </row>
    <row r="4156" spans="1:18" x14ac:dyDescent="0.2">
      <c r="A4156" s="2">
        <v>42622</v>
      </c>
      <c r="B4156" s="1" t="s">
        <v>59</v>
      </c>
      <c r="C4156" s="1" t="s">
        <v>14</v>
      </c>
      <c r="D4156" s="2">
        <v>42745</v>
      </c>
      <c r="E4156" s="2">
        <f t="shared" si="162"/>
        <v>43009</v>
      </c>
      <c r="F4156" s="1" t="s">
        <v>60</v>
      </c>
      <c r="G4156" s="1" t="s">
        <v>16</v>
      </c>
      <c r="H4156" s="1">
        <v>-0.6</v>
      </c>
      <c r="I4156" s="1">
        <v>0.55000000000000004</v>
      </c>
      <c r="J4156" s="1">
        <v>0</v>
      </c>
      <c r="K4156" s="1" t="s">
        <v>62</v>
      </c>
      <c r="L4156" s="1">
        <v>2387</v>
      </c>
      <c r="M4156" s="1">
        <v>0.72</v>
      </c>
      <c r="N4156" s="1">
        <v>0.81932000000000005</v>
      </c>
      <c r="O4156" s="5">
        <f>VLOOKUP(D4156,underlying!$D$76:$H$90,5,FALSE)</f>
        <v>-0.18</v>
      </c>
      <c r="P4156" s="2">
        <f>VLOOKUP(D4156,underlying!$D$76:$L$90,9,FALSE)</f>
        <v>42997</v>
      </c>
      <c r="Q4156" s="7">
        <f>IF(G4156="C",NormalCallSprd(O4156,H4156,M4156,(P4156-A4156)/365), NormalPutSprd(O4156,H4156,M4156,(P4156-A4156)/365))</f>
        <v>0.5480731191780206</v>
      </c>
      <c r="R4156" s="9">
        <f t="shared" si="163"/>
        <v>1.9268808219794487E-3</v>
      </c>
    </row>
    <row r="4157" spans="1:18" x14ac:dyDescent="0.2">
      <c r="A4157" s="2">
        <v>42622</v>
      </c>
      <c r="B4157" s="1" t="s">
        <v>59</v>
      </c>
      <c r="C4157" s="1" t="s">
        <v>14</v>
      </c>
      <c r="D4157" s="2">
        <v>42745</v>
      </c>
      <c r="E4157" s="2">
        <f t="shared" si="162"/>
        <v>43009</v>
      </c>
      <c r="F4157" s="1" t="s">
        <v>60</v>
      </c>
      <c r="G4157" s="1" t="s">
        <v>18</v>
      </c>
      <c r="H4157" s="1">
        <v>-0.6</v>
      </c>
      <c r="I4157" s="1">
        <v>0.13</v>
      </c>
      <c r="J4157" s="1">
        <v>0.01</v>
      </c>
      <c r="K4157" s="1" t="s">
        <v>62</v>
      </c>
      <c r="L4157" s="1">
        <v>2387</v>
      </c>
      <c r="M4157" s="1">
        <v>0.72</v>
      </c>
      <c r="N4157" s="1">
        <v>0.86912999999999996</v>
      </c>
      <c r="O4157" s="5">
        <f>VLOOKUP(D4157,underlying!$D$76:$H$90,5,FALSE)</f>
        <v>-0.18</v>
      </c>
      <c r="P4157" s="2">
        <f>VLOOKUP(D4157,underlying!$D$76:$L$90,9,FALSE)</f>
        <v>42997</v>
      </c>
      <c r="Q4157" s="7">
        <f>IF(G4157="C",NormalCallSprd(O4157,H4157,M4157,(P4157-A4157)/365), NormalPutSprd(O4157,H4157,M4157,(P4157-A4157)/365))</f>
        <v>0.12807311917802061</v>
      </c>
      <c r="R4157" s="9">
        <f t="shared" si="163"/>
        <v>1.9268808219793931E-3</v>
      </c>
    </row>
    <row r="4158" spans="1:18" x14ac:dyDescent="0.2">
      <c r="A4158" s="2">
        <v>42622</v>
      </c>
      <c r="B4158" s="1" t="s">
        <v>59</v>
      </c>
      <c r="C4158" s="1" t="s">
        <v>14</v>
      </c>
      <c r="D4158" s="2">
        <v>42745</v>
      </c>
      <c r="E4158" s="2">
        <f t="shared" si="162"/>
        <v>43009</v>
      </c>
      <c r="F4158" s="1" t="s">
        <v>60</v>
      </c>
      <c r="G4158" s="1" t="s">
        <v>16</v>
      </c>
      <c r="H4158" s="1">
        <v>-0.55000000000000004</v>
      </c>
      <c r="I4158" s="1">
        <v>0.51</v>
      </c>
      <c r="J4158" s="1">
        <v>0</v>
      </c>
      <c r="K4158" s="1" t="s">
        <v>62</v>
      </c>
      <c r="L4158" s="1">
        <v>2387</v>
      </c>
      <c r="M4158" s="1">
        <v>0.71</v>
      </c>
      <c r="N4158" s="1">
        <v>0.98792000000000002</v>
      </c>
      <c r="O4158" s="5">
        <f>VLOOKUP(D4158,underlying!$D$76:$H$90,5,FALSE)</f>
        <v>-0.18</v>
      </c>
      <c r="P4158" s="2">
        <f>VLOOKUP(D4158,underlying!$D$76:$L$90,9,FALSE)</f>
        <v>42997</v>
      </c>
      <c r="Q4158" s="7">
        <f>IF(G4158="C",NormalCallSprd(O4158,H4158,M4158,(P4158-A4158)/365), NormalPutSprd(O4158,H4158,M4158,(P4158-A4158)/365))</f>
        <v>0.50923379074894071</v>
      </c>
      <c r="R4158" s="9">
        <f t="shared" si="163"/>
        <v>7.6620925105930215E-4</v>
      </c>
    </row>
    <row r="4159" spans="1:18" x14ac:dyDescent="0.2">
      <c r="A4159" s="2">
        <v>42622</v>
      </c>
      <c r="B4159" s="1" t="s">
        <v>59</v>
      </c>
      <c r="C4159" s="1" t="s">
        <v>14</v>
      </c>
      <c r="D4159" s="2">
        <v>42745</v>
      </c>
      <c r="E4159" s="2">
        <f t="shared" si="162"/>
        <v>43009</v>
      </c>
      <c r="F4159" s="1" t="s">
        <v>60</v>
      </c>
      <c r="G4159" s="1" t="s">
        <v>18</v>
      </c>
      <c r="H4159" s="1">
        <v>-0.55000000000000004</v>
      </c>
      <c r="I4159" s="1">
        <v>0.14000000000000001</v>
      </c>
      <c r="J4159" s="1">
        <v>0.01</v>
      </c>
      <c r="K4159" s="1" t="s">
        <v>62</v>
      </c>
      <c r="L4159" s="1">
        <v>2387</v>
      </c>
      <c r="M4159" s="1">
        <v>0.71</v>
      </c>
      <c r="N4159" s="1">
        <v>0.99551000000000001</v>
      </c>
      <c r="O4159" s="5">
        <f>VLOOKUP(D4159,underlying!$D$76:$H$90,5,FALSE)</f>
        <v>-0.18</v>
      </c>
      <c r="P4159" s="2">
        <f>VLOOKUP(D4159,underlying!$D$76:$L$90,9,FALSE)</f>
        <v>42997</v>
      </c>
      <c r="Q4159" s="7">
        <f>IF(G4159="C",NormalCallSprd(O4159,H4159,M4159,(P4159-A4159)/365), NormalPutSprd(O4159,H4159,M4159,(P4159-A4159)/365))</f>
        <v>0.13923379074894066</v>
      </c>
      <c r="R4159" s="9">
        <f t="shared" si="163"/>
        <v>7.6620925105935767E-4</v>
      </c>
    </row>
    <row r="4160" spans="1:18" x14ac:dyDescent="0.2">
      <c r="A4160" s="2">
        <v>42622</v>
      </c>
      <c r="B4160" s="1" t="s">
        <v>59</v>
      </c>
      <c r="C4160" s="1" t="s">
        <v>14</v>
      </c>
      <c r="D4160" s="2">
        <v>42745</v>
      </c>
      <c r="E4160" s="2">
        <f t="shared" si="162"/>
        <v>43009</v>
      </c>
      <c r="F4160" s="1" t="s">
        <v>60</v>
      </c>
      <c r="G4160" s="1" t="s">
        <v>16</v>
      </c>
      <c r="H4160" s="1">
        <v>-0.5</v>
      </c>
      <c r="I4160" s="1">
        <v>0.47</v>
      </c>
      <c r="J4160" s="1">
        <v>0</v>
      </c>
      <c r="K4160" s="1" t="s">
        <v>62</v>
      </c>
      <c r="L4160" s="1">
        <v>2387</v>
      </c>
      <c r="M4160" s="1">
        <v>0.7</v>
      </c>
      <c r="N4160" s="1">
        <v>-0.59591000000000005</v>
      </c>
      <c r="O4160" s="5">
        <f>VLOOKUP(D4160,underlying!$D$76:$H$90,5,FALSE)</f>
        <v>-0.18</v>
      </c>
      <c r="P4160" s="2">
        <f>VLOOKUP(D4160,underlying!$D$76:$L$90,9,FALSE)</f>
        <v>42997</v>
      </c>
      <c r="Q4160" s="7">
        <f>IF(G4160="C",NormalCallSprd(O4160,H4160,M4160,(P4160-A4160)/365), NormalPutSprd(O4160,H4160,M4160,(P4160-A4160)/365))</f>
        <v>0.47136908071948563</v>
      </c>
      <c r="R4160" s="9">
        <f t="shared" si="163"/>
        <v>1.3690807194856602E-3</v>
      </c>
    </row>
    <row r="4161" spans="1:18" x14ac:dyDescent="0.2">
      <c r="A4161" s="2">
        <v>42622</v>
      </c>
      <c r="B4161" s="1" t="s">
        <v>59</v>
      </c>
      <c r="C4161" s="1" t="s">
        <v>14</v>
      </c>
      <c r="D4161" s="2">
        <v>42745</v>
      </c>
      <c r="E4161" s="2">
        <f t="shared" si="162"/>
        <v>43009</v>
      </c>
      <c r="F4161" s="1" t="s">
        <v>60</v>
      </c>
      <c r="G4161" s="1" t="s">
        <v>18</v>
      </c>
      <c r="H4161" s="1">
        <v>-0.5</v>
      </c>
      <c r="I4161" s="1">
        <v>0.15</v>
      </c>
      <c r="J4161" s="1">
        <v>0</v>
      </c>
      <c r="K4161" s="1" t="s">
        <v>62</v>
      </c>
      <c r="L4161" s="1">
        <v>2387</v>
      </c>
      <c r="M4161" s="1">
        <v>0.7</v>
      </c>
      <c r="N4161" s="1">
        <v>-0.56296000000000002</v>
      </c>
      <c r="O4161" s="5">
        <f>VLOOKUP(D4161,underlying!$D$76:$H$90,5,FALSE)</f>
        <v>-0.18</v>
      </c>
      <c r="P4161" s="2">
        <f>VLOOKUP(D4161,underlying!$D$76:$L$90,9,FALSE)</f>
        <v>42997</v>
      </c>
      <c r="Q4161" s="7">
        <f>IF(G4161="C",NormalCallSprd(O4161,H4161,M4161,(P4161-A4161)/365), NormalPutSprd(O4161,H4161,M4161,(P4161-A4161)/365))</f>
        <v>0.15136908071948565</v>
      </c>
      <c r="R4161" s="9">
        <f t="shared" si="163"/>
        <v>1.3690807194856602E-3</v>
      </c>
    </row>
    <row r="4162" spans="1:18" x14ac:dyDescent="0.2">
      <c r="A4162" s="2">
        <v>42622</v>
      </c>
      <c r="B4162" s="1" t="s">
        <v>59</v>
      </c>
      <c r="C4162" s="1" t="s">
        <v>14</v>
      </c>
      <c r="D4162" s="2">
        <v>42745</v>
      </c>
      <c r="E4162" s="2">
        <f t="shared" ref="E4162:E4225" si="164">DATE(YEAR(D4162),DAY(D4162),MONTH(D4162))</f>
        <v>43009</v>
      </c>
      <c r="F4162" s="1" t="s">
        <v>60</v>
      </c>
      <c r="G4162" s="1" t="s">
        <v>16</v>
      </c>
      <c r="H4162" s="1">
        <v>-0.45</v>
      </c>
      <c r="I4162" s="1">
        <v>0.43</v>
      </c>
      <c r="J4162" s="1">
        <v>0</v>
      </c>
      <c r="K4162" s="1" t="s">
        <v>62</v>
      </c>
      <c r="L4162" s="1">
        <v>2387</v>
      </c>
      <c r="M4162" s="1">
        <v>0.69</v>
      </c>
      <c r="N4162" s="1">
        <v>-0.53010999999999997</v>
      </c>
      <c r="O4162" s="5">
        <f>VLOOKUP(D4162,underlying!$D$76:$H$90,5,FALSE)</f>
        <v>-0.18</v>
      </c>
      <c r="P4162" s="2">
        <f>VLOOKUP(D4162,underlying!$D$76:$L$90,9,FALSE)</f>
        <v>42997</v>
      </c>
      <c r="Q4162" s="7">
        <f>IF(G4162="C",NormalCallSprd(O4162,H4162,M4162,(P4162-A4162)/365), NormalPutSprd(O4162,H4162,M4162,(P4162-A4162)/365))</f>
        <v>0.43455275727326925</v>
      </c>
      <c r="R4162" s="9">
        <f t="shared" si="163"/>
        <v>4.5527572732692589E-3</v>
      </c>
    </row>
    <row r="4163" spans="1:18" x14ac:dyDescent="0.2">
      <c r="A4163" s="2">
        <v>42622</v>
      </c>
      <c r="B4163" s="1" t="s">
        <v>59</v>
      </c>
      <c r="C4163" s="1" t="s">
        <v>14</v>
      </c>
      <c r="D4163" s="2">
        <v>42745</v>
      </c>
      <c r="E4163" s="2">
        <f t="shared" si="164"/>
        <v>43009</v>
      </c>
      <c r="F4163" s="1" t="s">
        <v>60</v>
      </c>
      <c r="G4163" s="1" t="s">
        <v>18</v>
      </c>
      <c r="H4163" s="1">
        <v>-0.45</v>
      </c>
      <c r="I4163" s="1">
        <v>0.17</v>
      </c>
      <c r="J4163" s="1">
        <v>0.01</v>
      </c>
      <c r="K4163" s="1" t="s">
        <v>62</v>
      </c>
      <c r="L4163" s="1">
        <v>2387</v>
      </c>
      <c r="M4163" s="1">
        <v>0.69</v>
      </c>
      <c r="N4163" s="1">
        <v>-0.49785000000000001</v>
      </c>
      <c r="O4163" s="5">
        <f>VLOOKUP(D4163,underlying!$D$76:$H$90,5,FALSE)</f>
        <v>-0.18</v>
      </c>
      <c r="P4163" s="2">
        <f>VLOOKUP(D4163,underlying!$D$76:$L$90,9,FALSE)</f>
        <v>42997</v>
      </c>
      <c r="Q4163" s="7">
        <f>IF(G4163="C",NormalCallSprd(O4163,H4163,M4163,(P4163-A4163)/365), NormalPutSprd(O4163,H4163,M4163,(P4163-A4163)/365))</f>
        <v>0.16455275727326921</v>
      </c>
      <c r="R4163" s="9">
        <f t="shared" ref="R4163:R4226" si="165">ABS(Q4163-I4163)</f>
        <v>5.4472427267308055E-3</v>
      </c>
    </row>
    <row r="4164" spans="1:18" x14ac:dyDescent="0.2">
      <c r="A4164" s="2">
        <v>42622</v>
      </c>
      <c r="B4164" s="1" t="s">
        <v>59</v>
      </c>
      <c r="C4164" s="1" t="s">
        <v>14</v>
      </c>
      <c r="D4164" s="2">
        <v>42745</v>
      </c>
      <c r="E4164" s="2">
        <f t="shared" si="164"/>
        <v>43009</v>
      </c>
      <c r="F4164" s="1" t="s">
        <v>60</v>
      </c>
      <c r="G4164" s="1" t="s">
        <v>16</v>
      </c>
      <c r="H4164" s="1">
        <v>-0.4</v>
      </c>
      <c r="I4164" s="1">
        <v>0.4</v>
      </c>
      <c r="J4164" s="1">
        <v>0</v>
      </c>
      <c r="K4164" s="1" t="s">
        <v>62</v>
      </c>
      <c r="L4164" s="1">
        <v>2387</v>
      </c>
      <c r="M4164" s="1">
        <v>0.68</v>
      </c>
      <c r="N4164" s="1">
        <v>-0.46559</v>
      </c>
      <c r="O4164" s="5">
        <f>VLOOKUP(D4164,underlying!$D$76:$H$90,5,FALSE)</f>
        <v>-0.18</v>
      </c>
      <c r="P4164" s="2">
        <f>VLOOKUP(D4164,underlying!$D$76:$L$90,9,FALSE)</f>
        <v>42997</v>
      </c>
      <c r="Q4164" s="7">
        <f>IF(G4164="C",NormalCallSprd(O4164,H4164,M4164,(P4164-A4164)/365), NormalPutSprd(O4164,H4164,M4164,(P4164-A4164)/365))</f>
        <v>0.39886116604035005</v>
      </c>
      <c r="R4164" s="9">
        <f t="shared" si="165"/>
        <v>1.1388339596499764E-3</v>
      </c>
    </row>
    <row r="4165" spans="1:18" x14ac:dyDescent="0.2">
      <c r="A4165" s="2">
        <v>42622</v>
      </c>
      <c r="B4165" s="1" t="s">
        <v>59</v>
      </c>
      <c r="C4165" s="1" t="s">
        <v>14</v>
      </c>
      <c r="D4165" s="2">
        <v>42745</v>
      </c>
      <c r="E4165" s="2">
        <f t="shared" si="164"/>
        <v>43009</v>
      </c>
      <c r="F4165" s="1" t="s">
        <v>60</v>
      </c>
      <c r="G4165" s="1" t="s">
        <v>18</v>
      </c>
      <c r="H4165" s="1">
        <v>-0.4</v>
      </c>
      <c r="I4165" s="1">
        <v>0.16</v>
      </c>
      <c r="J4165" s="1">
        <v>0</v>
      </c>
      <c r="K4165" s="1" t="s">
        <v>62</v>
      </c>
      <c r="L4165" s="1">
        <v>2387</v>
      </c>
      <c r="M4165" s="1">
        <v>0.68</v>
      </c>
      <c r="N4165" s="1">
        <v>-0.43504999999999999</v>
      </c>
      <c r="O4165" s="5">
        <f>VLOOKUP(D4165,underlying!$D$76:$H$90,5,FALSE)</f>
        <v>-0.18</v>
      </c>
      <c r="P4165" s="2">
        <f>VLOOKUP(D4165,underlying!$D$76:$L$90,9,FALSE)</f>
        <v>42997</v>
      </c>
      <c r="Q4165" s="7">
        <f>IF(G4165="C",NormalCallSprd(O4165,H4165,M4165,(P4165-A4165)/365), NormalPutSprd(O4165,H4165,M4165,(P4165-A4165)/365))</f>
        <v>0.17886116604035002</v>
      </c>
      <c r="R4165" s="9">
        <f t="shared" si="165"/>
        <v>1.8861166040350014E-2</v>
      </c>
    </row>
    <row r="4166" spans="1:18" x14ac:dyDescent="0.2">
      <c r="A4166" s="2">
        <v>42622</v>
      </c>
      <c r="B4166" s="1" t="s">
        <v>59</v>
      </c>
      <c r="C4166" s="1" t="s">
        <v>14</v>
      </c>
      <c r="D4166" s="2">
        <v>42745</v>
      </c>
      <c r="E4166" s="2">
        <f t="shared" si="164"/>
        <v>43009</v>
      </c>
      <c r="F4166" s="1" t="s">
        <v>60</v>
      </c>
      <c r="G4166" s="1" t="s">
        <v>16</v>
      </c>
      <c r="H4166" s="1">
        <v>-0.35</v>
      </c>
      <c r="I4166" s="1">
        <v>0.36</v>
      </c>
      <c r="J4166" s="1">
        <v>0</v>
      </c>
      <c r="K4166" s="1" t="s">
        <v>62</v>
      </c>
      <c r="L4166" s="1">
        <v>2387</v>
      </c>
      <c r="M4166" s="1">
        <v>0.67</v>
      </c>
      <c r="N4166" s="1">
        <v>-0.40627000000000002</v>
      </c>
      <c r="O4166" s="5">
        <f>VLOOKUP(D4166,underlying!$D$76:$H$90,5,FALSE)</f>
        <v>-0.18</v>
      </c>
      <c r="P4166" s="2">
        <f>VLOOKUP(D4166,underlying!$D$76:$L$90,9,FALSE)</f>
        <v>42997</v>
      </c>
      <c r="Q4166" s="7">
        <f>IF(G4166="C",NormalCallSprd(O4166,H4166,M4166,(P4166-A4166)/365), NormalPutSprd(O4166,H4166,M4166,(P4166-A4166)/365))</f>
        <v>0.36437261932477777</v>
      </c>
      <c r="R4166" s="9">
        <f t="shared" si="165"/>
        <v>4.3726193247777823E-3</v>
      </c>
    </row>
    <row r="4167" spans="1:18" x14ac:dyDescent="0.2">
      <c r="A4167" s="2">
        <v>42622</v>
      </c>
      <c r="B4167" s="1" t="s">
        <v>59</v>
      </c>
      <c r="C4167" s="1" t="s">
        <v>14</v>
      </c>
      <c r="D4167" s="2">
        <v>42745</v>
      </c>
      <c r="E4167" s="2">
        <f t="shared" si="164"/>
        <v>43009</v>
      </c>
      <c r="F4167" s="1" t="s">
        <v>60</v>
      </c>
      <c r="G4167" s="1" t="s">
        <v>18</v>
      </c>
      <c r="H4167" s="1">
        <v>-0.35</v>
      </c>
      <c r="I4167" s="1">
        <v>0.19</v>
      </c>
      <c r="J4167" s="1">
        <v>0.01</v>
      </c>
      <c r="K4167" s="1" t="s">
        <v>62</v>
      </c>
      <c r="L4167" s="1">
        <v>2387</v>
      </c>
      <c r="M4167" s="1">
        <v>0.67</v>
      </c>
      <c r="N4167" s="1">
        <v>-0.37923000000000001</v>
      </c>
      <c r="O4167" s="5">
        <f>VLOOKUP(D4167,underlying!$D$76:$H$90,5,FALSE)</f>
        <v>-0.18</v>
      </c>
      <c r="P4167" s="2">
        <f>VLOOKUP(D4167,underlying!$D$76:$L$90,9,FALSE)</f>
        <v>42997</v>
      </c>
      <c r="Q4167" s="7">
        <f>IF(G4167="C",NormalCallSprd(O4167,H4167,M4167,(P4167-A4167)/365), NormalPutSprd(O4167,H4167,M4167,(P4167-A4167)/365))</f>
        <v>0.19437261932477778</v>
      </c>
      <c r="R4167" s="9">
        <f t="shared" si="165"/>
        <v>4.3726193247777823E-3</v>
      </c>
    </row>
    <row r="4168" spans="1:18" x14ac:dyDescent="0.2">
      <c r="A4168" s="2">
        <v>42622</v>
      </c>
      <c r="B4168" s="1" t="s">
        <v>59</v>
      </c>
      <c r="C4168" s="1" t="s">
        <v>14</v>
      </c>
      <c r="D4168" s="2">
        <v>42745</v>
      </c>
      <c r="E4168" s="2">
        <f t="shared" si="164"/>
        <v>43009</v>
      </c>
      <c r="F4168" s="1" t="s">
        <v>60</v>
      </c>
      <c r="G4168" s="1" t="s">
        <v>16</v>
      </c>
      <c r="H4168" s="1">
        <v>-0.3</v>
      </c>
      <c r="I4168" s="1">
        <v>0.33</v>
      </c>
      <c r="J4168" s="1">
        <v>0</v>
      </c>
      <c r="K4168" s="1" t="s">
        <v>62</v>
      </c>
      <c r="L4168" s="1">
        <v>2387</v>
      </c>
      <c r="M4168" s="1">
        <v>0.66</v>
      </c>
      <c r="N4168" s="1">
        <v>-0.35499999999999998</v>
      </c>
      <c r="O4168" s="5">
        <f>VLOOKUP(D4168,underlying!$D$76:$H$90,5,FALSE)</f>
        <v>-0.18</v>
      </c>
      <c r="P4168" s="2">
        <f>VLOOKUP(D4168,underlying!$D$76:$L$90,9,FALSE)</f>
        <v>42997</v>
      </c>
      <c r="Q4168" s="7">
        <f>IF(G4168="C",NormalCallSprd(O4168,H4168,M4168,(P4168-A4168)/365), NormalPutSprd(O4168,H4168,M4168,(P4168-A4168)/365))</f>
        <v>0.33116661016879301</v>
      </c>
      <c r="R4168" s="9">
        <f t="shared" si="165"/>
        <v>1.166610168792992E-3</v>
      </c>
    </row>
    <row r="4169" spans="1:18" x14ac:dyDescent="0.2">
      <c r="A4169" s="2">
        <v>42622</v>
      </c>
      <c r="B4169" s="1" t="s">
        <v>59</v>
      </c>
      <c r="C4169" s="1" t="s">
        <v>14</v>
      </c>
      <c r="D4169" s="2">
        <v>42745</v>
      </c>
      <c r="E4169" s="2">
        <f t="shared" si="164"/>
        <v>43009</v>
      </c>
      <c r="F4169" s="1" t="s">
        <v>60</v>
      </c>
      <c r="G4169" s="1" t="s">
        <v>18</v>
      </c>
      <c r="H4169" s="1">
        <v>-0.3</v>
      </c>
      <c r="I4169" s="1">
        <v>0.2</v>
      </c>
      <c r="J4169" s="1">
        <v>0</v>
      </c>
      <c r="K4169" s="1" t="s">
        <v>62</v>
      </c>
      <c r="L4169" s="1">
        <v>2387</v>
      </c>
      <c r="M4169" s="1">
        <v>0.66</v>
      </c>
      <c r="N4169" s="1">
        <v>-0.33109</v>
      </c>
      <c r="O4169" s="5">
        <f>VLOOKUP(D4169,underlying!$D$76:$H$90,5,FALSE)</f>
        <v>-0.18</v>
      </c>
      <c r="P4169" s="2">
        <f>VLOOKUP(D4169,underlying!$D$76:$L$90,9,FALSE)</f>
        <v>42997</v>
      </c>
      <c r="Q4169" s="7">
        <f>IF(G4169="C",NormalCallSprd(O4169,H4169,M4169,(P4169-A4169)/365), NormalPutSprd(O4169,H4169,M4169,(P4169-A4169)/365))</f>
        <v>0.21116661016879298</v>
      </c>
      <c r="R4169" s="9">
        <f t="shared" si="165"/>
        <v>1.1166610168792973E-2</v>
      </c>
    </row>
    <row r="4170" spans="1:18" x14ac:dyDescent="0.2">
      <c r="A4170" s="2">
        <v>42622</v>
      </c>
      <c r="B4170" s="1" t="s">
        <v>59</v>
      </c>
      <c r="C4170" s="1" t="s">
        <v>14</v>
      </c>
      <c r="D4170" s="2">
        <v>42745</v>
      </c>
      <c r="E4170" s="2">
        <f t="shared" si="164"/>
        <v>43009</v>
      </c>
      <c r="F4170" s="1" t="s">
        <v>60</v>
      </c>
      <c r="G4170" s="1" t="s">
        <v>16</v>
      </c>
      <c r="H4170" s="1">
        <v>-0.25</v>
      </c>
      <c r="I4170" s="1">
        <v>0.3</v>
      </c>
      <c r="J4170" s="1">
        <v>0</v>
      </c>
      <c r="K4170" s="1" t="s">
        <v>62</v>
      </c>
      <c r="L4170" s="1">
        <v>2387</v>
      </c>
      <c r="M4170" s="1">
        <v>0.65</v>
      </c>
      <c r="N4170" s="1">
        <v>-0.30675999999999998</v>
      </c>
      <c r="O4170" s="5">
        <f>VLOOKUP(D4170,underlying!$D$76:$H$90,5,FALSE)</f>
        <v>-0.18</v>
      </c>
      <c r="P4170" s="2">
        <f>VLOOKUP(D4170,underlying!$D$76:$L$90,9,FALSE)</f>
        <v>42997</v>
      </c>
      <c r="Q4170" s="7">
        <f>IF(G4170="C",NormalCallSprd(O4170,H4170,M4170,(P4170-A4170)/365), NormalPutSprd(O4170,H4170,M4170,(P4170-A4170)/365))</f>
        <v>0.29932283209074523</v>
      </c>
      <c r="R4170" s="9">
        <f t="shared" si="165"/>
        <v>6.7716790925476111E-4</v>
      </c>
    </row>
    <row r="4171" spans="1:18" x14ac:dyDescent="0.2">
      <c r="A4171" s="2">
        <v>42622</v>
      </c>
      <c r="B4171" s="1" t="s">
        <v>59</v>
      </c>
      <c r="C4171" s="1" t="s">
        <v>14</v>
      </c>
      <c r="D4171" s="2">
        <v>42745</v>
      </c>
      <c r="E4171" s="2">
        <f t="shared" si="164"/>
        <v>43009</v>
      </c>
      <c r="F4171" s="1" t="s">
        <v>60</v>
      </c>
      <c r="G4171" s="1" t="s">
        <v>18</v>
      </c>
      <c r="H4171" s="1">
        <v>-0.25</v>
      </c>
      <c r="I4171" s="1">
        <v>0.22</v>
      </c>
      <c r="J4171" s="1">
        <v>0</v>
      </c>
      <c r="K4171" s="1" t="s">
        <v>62</v>
      </c>
      <c r="L4171" s="1">
        <v>2387</v>
      </c>
      <c r="M4171" s="1">
        <v>0.65</v>
      </c>
      <c r="N4171" s="1">
        <v>-0.28310999999999997</v>
      </c>
      <c r="O4171" s="5">
        <f>VLOOKUP(D4171,underlying!$D$76:$H$90,5,FALSE)</f>
        <v>-0.18</v>
      </c>
      <c r="P4171" s="2">
        <f>VLOOKUP(D4171,underlying!$D$76:$L$90,9,FALSE)</f>
        <v>42997</v>
      </c>
      <c r="Q4171" s="7">
        <f>IF(G4171="C",NormalCallSprd(O4171,H4171,M4171,(P4171-A4171)/365), NormalPutSprd(O4171,H4171,M4171,(P4171-A4171)/365))</f>
        <v>0.22932283209074522</v>
      </c>
      <c r="R4171" s="9">
        <f t="shared" si="165"/>
        <v>9.32283209074522E-3</v>
      </c>
    </row>
    <row r="4172" spans="1:18" x14ac:dyDescent="0.2">
      <c r="A4172" s="2">
        <v>42622</v>
      </c>
      <c r="B4172" s="1" t="s">
        <v>59</v>
      </c>
      <c r="C4172" s="1" t="s">
        <v>14</v>
      </c>
      <c r="D4172" s="2">
        <v>42745</v>
      </c>
      <c r="E4172" s="2">
        <f t="shared" si="164"/>
        <v>43009</v>
      </c>
      <c r="F4172" s="1" t="s">
        <v>60</v>
      </c>
      <c r="G4172" s="1" t="s">
        <v>16</v>
      </c>
      <c r="H4172" s="1">
        <v>-0.2</v>
      </c>
      <c r="I4172" s="1">
        <v>0.27</v>
      </c>
      <c r="J4172" s="1">
        <v>0</v>
      </c>
      <c r="K4172" s="1" t="s">
        <v>62</v>
      </c>
      <c r="L4172" s="1">
        <v>2387</v>
      </c>
      <c r="M4172" s="1">
        <v>0.64</v>
      </c>
      <c r="N4172" s="1">
        <v>-0.25955</v>
      </c>
      <c r="O4172" s="5">
        <f>VLOOKUP(D4172,underlying!$D$76:$H$90,5,FALSE)</f>
        <v>-0.18</v>
      </c>
      <c r="P4172" s="2">
        <f>VLOOKUP(D4172,underlying!$D$76:$L$90,9,FALSE)</f>
        <v>42997</v>
      </c>
      <c r="Q4172" s="7">
        <f>IF(G4172="C",NormalCallSprd(O4172,H4172,M4172,(P4172-A4172)/365), NormalPutSprd(O4172,H4172,M4172,(P4172-A4172)/365))</f>
        <v>0.26891998849306409</v>
      </c>
      <c r="R4172" s="9">
        <f t="shared" si="165"/>
        <v>1.0800115069359295E-3</v>
      </c>
    </row>
    <row r="4173" spans="1:18" x14ac:dyDescent="0.2">
      <c r="A4173" s="2">
        <v>42622</v>
      </c>
      <c r="B4173" s="1" t="s">
        <v>59</v>
      </c>
      <c r="C4173" s="1" t="s">
        <v>14</v>
      </c>
      <c r="D4173" s="2">
        <v>42745</v>
      </c>
      <c r="E4173" s="2">
        <f t="shared" si="164"/>
        <v>43009</v>
      </c>
      <c r="F4173" s="1" t="s">
        <v>60</v>
      </c>
      <c r="G4173" s="1" t="s">
        <v>18</v>
      </c>
      <c r="H4173" s="1">
        <v>-0.2</v>
      </c>
      <c r="I4173" s="1">
        <v>0.25</v>
      </c>
      <c r="J4173" s="1">
        <v>0.01</v>
      </c>
      <c r="K4173" s="1" t="s">
        <v>62</v>
      </c>
      <c r="L4173" s="1">
        <v>2387</v>
      </c>
      <c r="M4173" s="1">
        <v>0.64</v>
      </c>
      <c r="N4173" s="1">
        <v>-0.23704</v>
      </c>
      <c r="O4173" s="5">
        <f>VLOOKUP(D4173,underlying!$D$76:$H$90,5,FALSE)</f>
        <v>-0.18</v>
      </c>
      <c r="P4173" s="2">
        <f>VLOOKUP(D4173,underlying!$D$76:$L$90,9,FALSE)</f>
        <v>42997</v>
      </c>
      <c r="Q4173" s="7">
        <f>IF(G4173="C",NormalCallSprd(O4173,H4173,M4173,(P4173-A4173)/365), NormalPutSprd(O4173,H4173,M4173,(P4173-A4173)/365))</f>
        <v>0.24891998849306407</v>
      </c>
      <c r="R4173" s="9">
        <f t="shared" si="165"/>
        <v>1.0800115069359295E-3</v>
      </c>
    </row>
    <row r="4174" spans="1:18" x14ac:dyDescent="0.2">
      <c r="A4174" s="2">
        <v>42622</v>
      </c>
      <c r="B4174" s="1" t="s">
        <v>59</v>
      </c>
      <c r="C4174" s="1" t="s">
        <v>14</v>
      </c>
      <c r="D4174" s="2">
        <v>42745</v>
      </c>
      <c r="E4174" s="2">
        <f t="shared" si="164"/>
        <v>43009</v>
      </c>
      <c r="F4174" s="1" t="s">
        <v>60</v>
      </c>
      <c r="G4174" s="1" t="s">
        <v>16</v>
      </c>
      <c r="H4174" s="1">
        <v>-0.15</v>
      </c>
      <c r="I4174" s="1">
        <v>0.24</v>
      </c>
      <c r="J4174" s="1">
        <v>0</v>
      </c>
      <c r="K4174" s="1" t="s">
        <v>62</v>
      </c>
      <c r="L4174" s="1">
        <v>2387</v>
      </c>
      <c r="M4174" s="1">
        <v>0.63</v>
      </c>
      <c r="N4174" s="1">
        <v>-0.21565000000000001</v>
      </c>
      <c r="O4174" s="5">
        <f>VLOOKUP(D4174,underlying!$D$76:$H$90,5,FALSE)</f>
        <v>-0.18</v>
      </c>
      <c r="P4174" s="2">
        <f>VLOOKUP(D4174,underlying!$D$76:$L$90,9,FALSE)</f>
        <v>42997</v>
      </c>
      <c r="Q4174" s="7">
        <f>IF(G4174="C",NormalCallSprd(O4174,H4174,M4174,(P4174-A4174)/365), NormalPutSprd(O4174,H4174,M4174,(P4174-A4174)/365))</f>
        <v>0.24003438105523953</v>
      </c>
      <c r="R4174" s="9">
        <f t="shared" si="165"/>
        <v>3.4381055239535163E-5</v>
      </c>
    </row>
    <row r="4175" spans="1:18" x14ac:dyDescent="0.2">
      <c r="A4175" s="2">
        <v>42622</v>
      </c>
      <c r="B4175" s="1" t="s">
        <v>59</v>
      </c>
      <c r="C4175" s="1" t="s">
        <v>14</v>
      </c>
      <c r="D4175" s="2">
        <v>42745</v>
      </c>
      <c r="E4175" s="2">
        <f t="shared" si="164"/>
        <v>43009</v>
      </c>
      <c r="F4175" s="1" t="s">
        <v>60</v>
      </c>
      <c r="G4175" s="1" t="s">
        <v>18</v>
      </c>
      <c r="H4175" s="1">
        <v>-0.15</v>
      </c>
      <c r="I4175" s="1">
        <v>0.27</v>
      </c>
      <c r="J4175" s="1">
        <v>0.01</v>
      </c>
      <c r="K4175" s="1" t="s">
        <v>62</v>
      </c>
      <c r="L4175" s="1">
        <v>2387</v>
      </c>
      <c r="M4175" s="1">
        <v>0.63</v>
      </c>
      <c r="N4175" s="1">
        <v>-0.19542000000000001</v>
      </c>
      <c r="O4175" s="5">
        <f>VLOOKUP(D4175,underlying!$D$76:$H$90,5,FALSE)</f>
        <v>-0.18</v>
      </c>
      <c r="P4175" s="2">
        <f>VLOOKUP(D4175,underlying!$D$76:$L$90,9,FALSE)</f>
        <v>42997</v>
      </c>
      <c r="Q4175" s="7">
        <f>IF(G4175="C",NormalCallSprd(O4175,H4175,M4175,(P4175-A4175)/365), NormalPutSprd(O4175,H4175,M4175,(P4175-A4175)/365))</f>
        <v>0.27003438105523953</v>
      </c>
      <c r="R4175" s="9">
        <f t="shared" si="165"/>
        <v>3.4381055239507408E-5</v>
      </c>
    </row>
    <row r="4176" spans="1:18" x14ac:dyDescent="0.2">
      <c r="A4176" s="2">
        <v>42622</v>
      </c>
      <c r="B4176" s="1" t="s">
        <v>59</v>
      </c>
      <c r="C4176" s="1" t="s">
        <v>14</v>
      </c>
      <c r="D4176" s="2">
        <v>42745</v>
      </c>
      <c r="E4176" s="2">
        <f t="shared" si="164"/>
        <v>43009</v>
      </c>
      <c r="F4176" s="1" t="s">
        <v>60</v>
      </c>
      <c r="G4176" s="1" t="s">
        <v>16</v>
      </c>
      <c r="H4176" s="1">
        <v>-0.1</v>
      </c>
      <c r="I4176" s="1">
        <v>0.21</v>
      </c>
      <c r="J4176" s="1">
        <v>0</v>
      </c>
      <c r="K4176" s="1" t="s">
        <v>62</v>
      </c>
      <c r="L4176" s="1">
        <v>2387</v>
      </c>
      <c r="M4176" s="1">
        <v>0.62</v>
      </c>
      <c r="N4176" s="1">
        <v>-0.17638000000000001</v>
      </c>
      <c r="O4176" s="5">
        <f>VLOOKUP(D4176,underlying!$D$76:$H$90,5,FALSE)</f>
        <v>-0.18</v>
      </c>
      <c r="P4176" s="2">
        <f>VLOOKUP(D4176,underlying!$D$76:$L$90,9,FALSE)</f>
        <v>42997</v>
      </c>
      <c r="Q4176" s="7">
        <f>IF(G4176="C",NormalCallSprd(O4176,H4176,M4176,(P4176-A4176)/365), NormalPutSprd(O4176,H4176,M4176,(P4176-A4176)/365))</f>
        <v>0.21273827439394918</v>
      </c>
      <c r="R4176" s="9">
        <f t="shared" si="165"/>
        <v>2.7382743939491916E-3</v>
      </c>
    </row>
    <row r="4177" spans="1:18" x14ac:dyDescent="0.2">
      <c r="A4177" s="2">
        <v>42622</v>
      </c>
      <c r="B4177" s="1" t="s">
        <v>59</v>
      </c>
      <c r="C4177" s="1" t="s">
        <v>14</v>
      </c>
      <c r="D4177" s="2">
        <v>42745</v>
      </c>
      <c r="E4177" s="2">
        <f t="shared" si="164"/>
        <v>43009</v>
      </c>
      <c r="F4177" s="1" t="s">
        <v>60</v>
      </c>
      <c r="G4177" s="1" t="s">
        <v>18</v>
      </c>
      <c r="H4177" s="1">
        <v>-0.1</v>
      </c>
      <c r="I4177" s="1">
        <v>0.28999999999999998</v>
      </c>
      <c r="J4177" s="1">
        <v>0.01</v>
      </c>
      <c r="K4177" s="1" t="s">
        <v>62</v>
      </c>
      <c r="L4177" s="1">
        <v>2387</v>
      </c>
      <c r="M4177" s="1">
        <v>0.62</v>
      </c>
      <c r="N4177" s="1">
        <v>-0.12658</v>
      </c>
      <c r="O4177" s="5">
        <f>VLOOKUP(D4177,underlying!$D$76:$H$90,5,FALSE)</f>
        <v>-0.18</v>
      </c>
      <c r="P4177" s="2">
        <f>VLOOKUP(D4177,underlying!$D$76:$L$90,9,FALSE)</f>
        <v>42997</v>
      </c>
      <c r="Q4177" s="7">
        <f>IF(G4177="C",NormalCallSprd(O4177,H4177,M4177,(P4177-A4177)/365), NormalPutSprd(O4177,H4177,M4177,(P4177-A4177)/365))</f>
        <v>0.29273827439394917</v>
      </c>
      <c r="R4177" s="9">
        <f t="shared" si="165"/>
        <v>2.7382743939491916E-3</v>
      </c>
    </row>
    <row r="4178" spans="1:18" x14ac:dyDescent="0.2">
      <c r="A4178" s="2">
        <v>42622</v>
      </c>
      <c r="B4178" s="1" t="s">
        <v>59</v>
      </c>
      <c r="C4178" s="1" t="s">
        <v>14</v>
      </c>
      <c r="D4178" s="2">
        <v>42745</v>
      </c>
      <c r="E4178" s="2">
        <f t="shared" si="164"/>
        <v>43009</v>
      </c>
      <c r="F4178" s="1" t="s">
        <v>60</v>
      </c>
      <c r="G4178" s="1" t="s">
        <v>16</v>
      </c>
      <c r="H4178" s="1">
        <v>-0.05</v>
      </c>
      <c r="I4178" s="1">
        <v>0.19</v>
      </c>
      <c r="J4178" s="1">
        <v>0</v>
      </c>
      <c r="K4178" s="1" t="s">
        <v>62</v>
      </c>
      <c r="L4178" s="1">
        <v>2387</v>
      </c>
      <c r="M4178" s="1">
        <v>0.61</v>
      </c>
      <c r="N4178" s="1">
        <v>-7.79E-3</v>
      </c>
      <c r="O4178" s="5">
        <f>VLOOKUP(D4178,underlying!$D$76:$H$90,5,FALSE)</f>
        <v>-0.18</v>
      </c>
      <c r="P4178" s="2">
        <f>VLOOKUP(D4178,underlying!$D$76:$L$90,9,FALSE)</f>
        <v>42997</v>
      </c>
      <c r="Q4178" s="7">
        <f>IF(G4178="C",NormalCallSprd(O4178,H4178,M4178,(P4178-A4178)/365), NormalPutSprd(O4178,H4178,M4178,(P4178-A4178)/365))</f>
        <v>0.18709804534861485</v>
      </c>
      <c r="R4178" s="9">
        <f t="shared" si="165"/>
        <v>2.9019546513851524E-3</v>
      </c>
    </row>
    <row r="4179" spans="1:18" x14ac:dyDescent="0.2">
      <c r="A4179" s="2">
        <v>42622</v>
      </c>
      <c r="B4179" s="1" t="s">
        <v>59</v>
      </c>
      <c r="C4179" s="1" t="s">
        <v>14</v>
      </c>
      <c r="D4179" s="2">
        <v>42745</v>
      </c>
      <c r="E4179" s="2">
        <f t="shared" si="164"/>
        <v>43009</v>
      </c>
      <c r="F4179" s="1" t="s">
        <v>60</v>
      </c>
      <c r="G4179" s="1" t="s">
        <v>18</v>
      </c>
      <c r="H4179" s="1">
        <v>-0.05</v>
      </c>
      <c r="I4179" s="1">
        <v>0.31</v>
      </c>
      <c r="J4179" s="1">
        <v>0</v>
      </c>
      <c r="K4179" s="1" t="s">
        <v>62</v>
      </c>
      <c r="L4179" s="1">
        <v>2387</v>
      </c>
      <c r="M4179" s="1">
        <v>0.61</v>
      </c>
      <c r="N4179" s="1">
        <v>-1.9000000000000001E-4</v>
      </c>
      <c r="O4179" s="5">
        <f>VLOOKUP(D4179,underlying!$D$76:$H$90,5,FALSE)</f>
        <v>-0.18</v>
      </c>
      <c r="P4179" s="2">
        <f>VLOOKUP(D4179,underlying!$D$76:$L$90,9,FALSE)</f>
        <v>42997</v>
      </c>
      <c r="Q4179" s="7">
        <f>IF(G4179="C",NormalCallSprd(O4179,H4179,M4179,(P4179-A4179)/365), NormalPutSprd(O4179,H4179,M4179,(P4179-A4179)/365))</f>
        <v>0.3170980453486148</v>
      </c>
      <c r="R4179" s="9">
        <f t="shared" si="165"/>
        <v>7.098045348614801E-3</v>
      </c>
    </row>
    <row r="4180" spans="1:18" x14ac:dyDescent="0.2">
      <c r="A4180" s="2">
        <v>42622</v>
      </c>
      <c r="B4180" s="1" t="s">
        <v>59</v>
      </c>
      <c r="C4180" s="1" t="s">
        <v>14</v>
      </c>
      <c r="D4180" s="2">
        <v>42746</v>
      </c>
      <c r="E4180" s="2">
        <f t="shared" si="164"/>
        <v>43040</v>
      </c>
      <c r="F4180" s="1" t="s">
        <v>60</v>
      </c>
      <c r="G4180" s="1" t="s">
        <v>16</v>
      </c>
      <c r="H4180" s="1">
        <v>-3</v>
      </c>
      <c r="I4180" s="1">
        <v>2.78</v>
      </c>
      <c r="J4180" s="1">
        <v>-0.01</v>
      </c>
      <c r="K4180" s="1" t="s">
        <v>64</v>
      </c>
      <c r="L4180" s="1">
        <v>2387</v>
      </c>
      <c r="M4180" s="1">
        <v>0.84</v>
      </c>
      <c r="N4180" s="1">
        <v>0.41022999999999998</v>
      </c>
      <c r="O4180" s="5">
        <f>VLOOKUP(D4180,underlying!$D$76:$H$90,5,FALSE)</f>
        <v>-0.2</v>
      </c>
      <c r="P4180" s="2">
        <f>VLOOKUP(D4180,underlying!$D$76:$L$90,9,FALSE)</f>
        <v>43027</v>
      </c>
      <c r="Q4180" s="7">
        <f>IF(G4180="C",NormalCallSprd(O4180,H4180,M4180,(P4180-A4180)/365), NormalPutSprd(O4180,H4180,M4180,(P4180-A4180)/365))</f>
        <v>2.8001869142993376</v>
      </c>
      <c r="R4180" s="9">
        <f t="shared" si="165"/>
        <v>2.0186914299337833E-2</v>
      </c>
    </row>
    <row r="4181" spans="1:18" x14ac:dyDescent="0.2">
      <c r="A4181" s="2">
        <v>42622</v>
      </c>
      <c r="B4181" s="1" t="s">
        <v>59</v>
      </c>
      <c r="C4181" s="1" t="s">
        <v>14</v>
      </c>
      <c r="D4181" s="2">
        <v>42746</v>
      </c>
      <c r="E4181" s="2">
        <f t="shared" si="164"/>
        <v>43040</v>
      </c>
      <c r="F4181" s="1" t="s">
        <v>60</v>
      </c>
      <c r="G4181" s="1" t="s">
        <v>18</v>
      </c>
      <c r="H4181" s="1">
        <v>-3</v>
      </c>
      <c r="I4181" s="1">
        <v>0.01</v>
      </c>
      <c r="J4181" s="1">
        <v>0</v>
      </c>
      <c r="K4181" s="1" t="s">
        <v>64</v>
      </c>
      <c r="L4181" s="1">
        <v>2387</v>
      </c>
      <c r="M4181" s="1">
        <v>0.84</v>
      </c>
      <c r="N4181" s="1">
        <v>0.44130000000000003</v>
      </c>
      <c r="O4181" s="5">
        <f>VLOOKUP(D4181,underlying!$D$76:$H$90,5,FALSE)</f>
        <v>-0.2</v>
      </c>
      <c r="P4181" s="2">
        <f>VLOOKUP(D4181,underlying!$D$76:$L$90,9,FALSE)</f>
        <v>43027</v>
      </c>
      <c r="Q4181" s="7">
        <f>IF(G4181="C",NormalCallSprd(O4181,H4181,M4181,(P4181-A4181)/365), NormalPutSprd(O4181,H4181,M4181,(P4181-A4181)/365))</f>
        <v>1.8691429933766939E-4</v>
      </c>
      <c r="R4181" s="9">
        <f t="shared" si="165"/>
        <v>9.8130857006623311E-3</v>
      </c>
    </row>
    <row r="4182" spans="1:18" x14ac:dyDescent="0.2">
      <c r="A4182" s="2">
        <v>42622</v>
      </c>
      <c r="B4182" s="1" t="s">
        <v>59</v>
      </c>
      <c r="C4182" s="1" t="s">
        <v>14</v>
      </c>
      <c r="D4182" s="2">
        <v>42746</v>
      </c>
      <c r="E4182" s="2">
        <f t="shared" si="164"/>
        <v>43040</v>
      </c>
      <c r="F4182" s="1" t="s">
        <v>60</v>
      </c>
      <c r="G4182" s="1" t="s">
        <v>16</v>
      </c>
      <c r="H4182" s="1">
        <v>-2</v>
      </c>
      <c r="I4182" s="1">
        <v>1.79</v>
      </c>
      <c r="J4182" s="1">
        <v>-0.01</v>
      </c>
      <c r="K4182" s="1" t="s">
        <v>64</v>
      </c>
      <c r="L4182" s="1">
        <v>2387</v>
      </c>
      <c r="M4182" s="1">
        <v>0.81</v>
      </c>
      <c r="N4182" s="1">
        <v>0.47233999999999998</v>
      </c>
      <c r="O4182" s="5">
        <f>VLOOKUP(D4182,underlying!$D$76:$H$90,5,FALSE)</f>
        <v>-0.2</v>
      </c>
      <c r="P4182" s="2">
        <f>VLOOKUP(D4182,underlying!$D$76:$L$90,9,FALSE)</f>
        <v>43027</v>
      </c>
      <c r="Q4182" s="7">
        <f>IF(G4182="C",NormalCallSprd(O4182,H4182,M4182,(P4182-A4182)/365), NormalPutSprd(O4182,H4182,M4182,(P4182-A4182)/365))</f>
        <v>1.8053738935953676</v>
      </c>
      <c r="R4182" s="9">
        <f t="shared" si="165"/>
        <v>1.537389359536756E-2</v>
      </c>
    </row>
    <row r="4183" spans="1:18" x14ac:dyDescent="0.2">
      <c r="A4183" s="2">
        <v>42622</v>
      </c>
      <c r="B4183" s="1" t="s">
        <v>59</v>
      </c>
      <c r="C4183" s="1" t="s">
        <v>14</v>
      </c>
      <c r="D4183" s="2">
        <v>42746</v>
      </c>
      <c r="E4183" s="2">
        <f t="shared" si="164"/>
        <v>43040</v>
      </c>
      <c r="F4183" s="1" t="s">
        <v>60</v>
      </c>
      <c r="G4183" s="1" t="s">
        <v>18</v>
      </c>
      <c r="H4183" s="1">
        <v>-2</v>
      </c>
      <c r="I4183" s="1">
        <v>0.01</v>
      </c>
      <c r="J4183" s="1">
        <v>0</v>
      </c>
      <c r="K4183" s="1" t="s">
        <v>64</v>
      </c>
      <c r="L4183" s="1">
        <v>2387</v>
      </c>
      <c r="M4183" s="1">
        <v>0.81</v>
      </c>
      <c r="N4183" s="1">
        <v>0.50387999999999999</v>
      </c>
      <c r="O4183" s="5">
        <f>VLOOKUP(D4183,underlying!$D$76:$H$90,5,FALSE)</f>
        <v>-0.2</v>
      </c>
      <c r="P4183" s="2">
        <f>VLOOKUP(D4183,underlying!$D$76:$L$90,9,FALSE)</f>
        <v>43027</v>
      </c>
      <c r="Q4183" s="7">
        <f>IF(G4183="C",NormalCallSprd(O4183,H4183,M4183,(P4183-A4183)/365), NormalPutSprd(O4183,H4183,M4183,(P4183-A4183)/365))</f>
        <v>5.37389359536762E-3</v>
      </c>
      <c r="R4183" s="9">
        <f t="shared" si="165"/>
        <v>4.6261064046323802E-3</v>
      </c>
    </row>
    <row r="4184" spans="1:18" x14ac:dyDescent="0.2">
      <c r="A4184" s="2">
        <v>42622</v>
      </c>
      <c r="B4184" s="1" t="s">
        <v>59</v>
      </c>
      <c r="C4184" s="1" t="s">
        <v>14</v>
      </c>
      <c r="D4184" s="2">
        <v>42746</v>
      </c>
      <c r="E4184" s="2">
        <f t="shared" si="164"/>
        <v>43040</v>
      </c>
      <c r="F4184" s="1" t="s">
        <v>60</v>
      </c>
      <c r="G4184" s="1" t="s">
        <v>16</v>
      </c>
      <c r="H4184" s="1">
        <v>-1</v>
      </c>
      <c r="I4184" s="1">
        <v>0.86</v>
      </c>
      <c r="J4184" s="1">
        <v>-0.01</v>
      </c>
      <c r="K4184" s="1" t="s">
        <v>64</v>
      </c>
      <c r="L4184" s="1">
        <v>2387</v>
      </c>
      <c r="M4184" s="1">
        <v>0.74</v>
      </c>
      <c r="N4184" s="1">
        <v>0.5353</v>
      </c>
      <c r="O4184" s="5">
        <f>VLOOKUP(D4184,underlying!$D$76:$H$90,5,FALSE)</f>
        <v>-0.2</v>
      </c>
      <c r="P4184" s="2">
        <f>VLOOKUP(D4184,underlying!$D$76:$L$90,9,FALSE)</f>
        <v>43027</v>
      </c>
      <c r="Q4184" s="7">
        <f>IF(G4184="C",NormalCallSprd(O4184,H4184,M4184,(P4184-A4184)/365), NormalPutSprd(O4184,H4184,M4184,(P4184-A4184)/365))</f>
        <v>0.86175522726984832</v>
      </c>
      <c r="R4184" s="9">
        <f t="shared" si="165"/>
        <v>1.7552272698483362E-3</v>
      </c>
    </row>
    <row r="4185" spans="1:18" x14ac:dyDescent="0.2">
      <c r="A4185" s="2">
        <v>42622</v>
      </c>
      <c r="B4185" s="1" t="s">
        <v>59</v>
      </c>
      <c r="C4185" s="1" t="s">
        <v>14</v>
      </c>
      <c r="D4185" s="2">
        <v>42746</v>
      </c>
      <c r="E4185" s="2">
        <f t="shared" si="164"/>
        <v>43040</v>
      </c>
      <c r="F4185" s="1" t="s">
        <v>60</v>
      </c>
      <c r="G4185" s="1" t="s">
        <v>18</v>
      </c>
      <c r="H4185" s="1">
        <v>-1</v>
      </c>
      <c r="I4185" s="1">
        <v>0.08</v>
      </c>
      <c r="J4185" s="1">
        <v>0</v>
      </c>
      <c r="K4185" s="1" t="s">
        <v>64</v>
      </c>
      <c r="L4185" s="1">
        <v>2387</v>
      </c>
      <c r="M4185" s="1">
        <v>0.74</v>
      </c>
      <c r="N4185" s="1">
        <v>0.56649000000000005</v>
      </c>
      <c r="O4185" s="5">
        <f>VLOOKUP(D4185,underlying!$D$76:$H$90,5,FALSE)</f>
        <v>-0.2</v>
      </c>
      <c r="P4185" s="2">
        <f>VLOOKUP(D4185,underlying!$D$76:$L$90,9,FALSE)</f>
        <v>43027</v>
      </c>
      <c r="Q4185" s="7">
        <f>IF(G4185="C",NormalCallSprd(O4185,H4185,M4185,(P4185-A4185)/365), NormalPutSprd(O4185,H4185,M4185,(P4185-A4185)/365))</f>
        <v>6.1755227269848334E-2</v>
      </c>
      <c r="R4185" s="9">
        <f t="shared" si="165"/>
        <v>1.8244772730151668E-2</v>
      </c>
    </row>
    <row r="4186" spans="1:18" x14ac:dyDescent="0.2">
      <c r="A4186" s="2">
        <v>42622</v>
      </c>
      <c r="B4186" s="1" t="s">
        <v>59</v>
      </c>
      <c r="C4186" s="1" t="s">
        <v>14</v>
      </c>
      <c r="D4186" s="2">
        <v>42746</v>
      </c>
      <c r="E4186" s="2">
        <f t="shared" si="164"/>
        <v>43040</v>
      </c>
      <c r="F4186" s="1" t="s">
        <v>60</v>
      </c>
      <c r="G4186" s="1" t="s">
        <v>16</v>
      </c>
      <c r="H4186" s="1">
        <v>-0.85</v>
      </c>
      <c r="I4186" s="1">
        <v>0.73</v>
      </c>
      <c r="J4186" s="1">
        <v>-0.01</v>
      </c>
      <c r="K4186" s="1" t="s">
        <v>64</v>
      </c>
      <c r="L4186" s="1">
        <v>2387</v>
      </c>
      <c r="M4186" s="1">
        <v>0.73</v>
      </c>
      <c r="N4186" s="1">
        <v>0.59611999999999998</v>
      </c>
      <c r="O4186" s="5">
        <f>VLOOKUP(D4186,underlying!$D$76:$H$90,5,FALSE)</f>
        <v>-0.2</v>
      </c>
      <c r="P4186" s="2">
        <f>VLOOKUP(D4186,underlying!$D$76:$L$90,9,FALSE)</f>
        <v>43027</v>
      </c>
      <c r="Q4186" s="7">
        <f>IF(G4186="C",NormalCallSprd(O4186,H4186,M4186,(P4186-A4186)/365), NormalPutSprd(O4186,H4186,M4186,(P4186-A4186)/365))</f>
        <v>0.73528106567266893</v>
      </c>
      <c r="R4186" s="9">
        <f t="shared" si="165"/>
        <v>5.2810656726689498E-3</v>
      </c>
    </row>
    <row r="4187" spans="1:18" x14ac:dyDescent="0.2">
      <c r="A4187" s="2">
        <v>42622</v>
      </c>
      <c r="B4187" s="1" t="s">
        <v>59</v>
      </c>
      <c r="C4187" s="1" t="s">
        <v>14</v>
      </c>
      <c r="D4187" s="2">
        <v>42746</v>
      </c>
      <c r="E4187" s="2">
        <f t="shared" si="164"/>
        <v>43040</v>
      </c>
      <c r="F4187" s="1" t="s">
        <v>60</v>
      </c>
      <c r="G4187" s="1" t="s">
        <v>18</v>
      </c>
      <c r="H4187" s="1">
        <v>-0.85</v>
      </c>
      <c r="I4187" s="1">
        <v>0.09</v>
      </c>
      <c r="J4187" s="1">
        <v>0</v>
      </c>
      <c r="K4187" s="1" t="s">
        <v>64</v>
      </c>
      <c r="L4187" s="1">
        <v>2387</v>
      </c>
      <c r="M4187" s="1">
        <v>0.73</v>
      </c>
      <c r="N4187" s="1">
        <v>0.62417999999999996</v>
      </c>
      <c r="O4187" s="5">
        <f>VLOOKUP(D4187,underlying!$D$76:$H$90,5,FALSE)</f>
        <v>-0.2</v>
      </c>
      <c r="P4187" s="2">
        <f>VLOOKUP(D4187,underlying!$D$76:$L$90,9,FALSE)</f>
        <v>43027</v>
      </c>
      <c r="Q4187" s="7">
        <f>IF(G4187="C",NormalCallSprd(O4187,H4187,M4187,(P4187-A4187)/365), NormalPutSprd(O4187,H4187,M4187,(P4187-A4187)/365))</f>
        <v>8.5281065672668993E-2</v>
      </c>
      <c r="R4187" s="9">
        <f t="shared" si="165"/>
        <v>4.7189343273310036E-3</v>
      </c>
    </row>
    <row r="4188" spans="1:18" x14ac:dyDescent="0.2">
      <c r="A4188" s="2">
        <v>42622</v>
      </c>
      <c r="B4188" s="1" t="s">
        <v>59</v>
      </c>
      <c r="C4188" s="1" t="s">
        <v>14</v>
      </c>
      <c r="D4188" s="2">
        <v>42746</v>
      </c>
      <c r="E4188" s="2">
        <f t="shared" si="164"/>
        <v>43040</v>
      </c>
      <c r="F4188" s="1" t="s">
        <v>60</v>
      </c>
      <c r="G4188" s="1" t="s">
        <v>16</v>
      </c>
      <c r="H4188" s="1">
        <v>-0.8</v>
      </c>
      <c r="I4188" s="1">
        <v>0.69</v>
      </c>
      <c r="J4188" s="1">
        <v>-0.01</v>
      </c>
      <c r="K4188" s="1" t="s">
        <v>64</v>
      </c>
      <c r="L4188" s="1">
        <v>2387</v>
      </c>
      <c r="M4188" s="1">
        <v>0.73</v>
      </c>
      <c r="N4188" s="1">
        <v>0.65081</v>
      </c>
      <c r="O4188" s="5">
        <f>VLOOKUP(D4188,underlying!$D$76:$H$90,5,FALSE)</f>
        <v>-0.2</v>
      </c>
      <c r="P4188" s="2">
        <f>VLOOKUP(D4188,underlying!$D$76:$L$90,9,FALSE)</f>
        <v>43027</v>
      </c>
      <c r="Q4188" s="7">
        <f>IF(G4188="C",NormalCallSprd(O4188,H4188,M4188,(P4188-A4188)/365), NormalPutSprd(O4188,H4188,M4188,(P4188-A4188)/365))</f>
        <v>0.69569164087260915</v>
      </c>
      <c r="R4188" s="9">
        <f t="shared" si="165"/>
        <v>5.6916408726092049E-3</v>
      </c>
    </row>
    <row r="4189" spans="1:18" x14ac:dyDescent="0.2">
      <c r="A4189" s="2">
        <v>42622</v>
      </c>
      <c r="B4189" s="1" t="s">
        <v>59</v>
      </c>
      <c r="C4189" s="1" t="s">
        <v>14</v>
      </c>
      <c r="D4189" s="2">
        <v>42746</v>
      </c>
      <c r="E4189" s="2">
        <f t="shared" si="164"/>
        <v>43040</v>
      </c>
      <c r="F4189" s="1" t="s">
        <v>60</v>
      </c>
      <c r="G4189" s="1" t="s">
        <v>18</v>
      </c>
      <c r="H4189" s="1">
        <v>-0.8</v>
      </c>
      <c r="I4189" s="1">
        <v>0.1</v>
      </c>
      <c r="J4189" s="1">
        <v>0.01</v>
      </c>
      <c r="K4189" s="1" t="s">
        <v>64</v>
      </c>
      <c r="L4189" s="1">
        <v>2387</v>
      </c>
      <c r="M4189" s="1">
        <v>0.73</v>
      </c>
      <c r="N4189" s="1">
        <v>0.67598999999999998</v>
      </c>
      <c r="O4189" s="5">
        <f>VLOOKUP(D4189,underlying!$D$76:$H$90,5,FALSE)</f>
        <v>-0.2</v>
      </c>
      <c r="P4189" s="2">
        <f>VLOOKUP(D4189,underlying!$D$76:$L$90,9,FALSE)</f>
        <v>43027</v>
      </c>
      <c r="Q4189" s="7">
        <f>IF(G4189="C",NormalCallSprd(O4189,H4189,M4189,(P4189-A4189)/365), NormalPutSprd(O4189,H4189,M4189,(P4189-A4189)/365))</f>
        <v>9.5691640872609146E-2</v>
      </c>
      <c r="R4189" s="9">
        <f t="shared" si="165"/>
        <v>4.3083591273908595E-3</v>
      </c>
    </row>
    <row r="4190" spans="1:18" x14ac:dyDescent="0.2">
      <c r="A4190" s="2">
        <v>42622</v>
      </c>
      <c r="B4190" s="1" t="s">
        <v>59</v>
      </c>
      <c r="C4190" s="1" t="s">
        <v>14</v>
      </c>
      <c r="D4190" s="2">
        <v>42746</v>
      </c>
      <c r="E4190" s="2">
        <f t="shared" si="164"/>
        <v>43040</v>
      </c>
      <c r="F4190" s="1" t="s">
        <v>60</v>
      </c>
      <c r="G4190" s="1" t="s">
        <v>16</v>
      </c>
      <c r="H4190" s="1">
        <v>-0.75</v>
      </c>
      <c r="I4190" s="1">
        <v>0.65</v>
      </c>
      <c r="J4190" s="1">
        <v>-0.01</v>
      </c>
      <c r="K4190" s="1" t="s">
        <v>64</v>
      </c>
      <c r="L4190" s="1">
        <v>2387</v>
      </c>
      <c r="M4190" s="1">
        <v>0.72</v>
      </c>
      <c r="N4190" s="1">
        <v>0.69969999999999999</v>
      </c>
      <c r="O4190" s="5">
        <f>VLOOKUP(D4190,underlying!$D$76:$H$90,5,FALSE)</f>
        <v>-0.2</v>
      </c>
      <c r="P4190" s="2">
        <f>VLOOKUP(D4190,underlying!$D$76:$L$90,9,FALSE)</f>
        <v>43027</v>
      </c>
      <c r="Q4190" s="7">
        <f>IF(G4190="C",NormalCallSprd(O4190,H4190,M4190,(P4190-A4190)/365), NormalPutSprd(O4190,H4190,M4190,(P4190-A4190)/365))</f>
        <v>0.65381635661847703</v>
      </c>
      <c r="R4190" s="9">
        <f t="shared" si="165"/>
        <v>3.8163566184770126E-3</v>
      </c>
    </row>
    <row r="4191" spans="1:18" x14ac:dyDescent="0.2">
      <c r="A4191" s="2">
        <v>42622</v>
      </c>
      <c r="B4191" s="1" t="s">
        <v>59</v>
      </c>
      <c r="C4191" s="1" t="s">
        <v>14</v>
      </c>
      <c r="D4191" s="2">
        <v>42746</v>
      </c>
      <c r="E4191" s="2">
        <f t="shared" si="164"/>
        <v>43040</v>
      </c>
      <c r="F4191" s="1" t="s">
        <v>60</v>
      </c>
      <c r="G4191" s="1" t="s">
        <v>18</v>
      </c>
      <c r="H4191" s="1">
        <v>-0.75</v>
      </c>
      <c r="I4191" s="1">
        <v>0.1</v>
      </c>
      <c r="J4191" s="1">
        <v>0</v>
      </c>
      <c r="K4191" s="1" t="s">
        <v>64</v>
      </c>
      <c r="L4191" s="1">
        <v>2387</v>
      </c>
      <c r="M4191" s="1">
        <v>0.72</v>
      </c>
      <c r="N4191" s="1">
        <v>0.72197</v>
      </c>
      <c r="O4191" s="5">
        <f>VLOOKUP(D4191,underlying!$D$76:$H$90,5,FALSE)</f>
        <v>-0.2</v>
      </c>
      <c r="P4191" s="2">
        <f>VLOOKUP(D4191,underlying!$D$76:$L$90,9,FALSE)</f>
        <v>43027</v>
      </c>
      <c r="Q4191" s="7">
        <f>IF(G4191="C",NormalCallSprd(O4191,H4191,M4191,(P4191-A4191)/365), NormalPutSprd(O4191,H4191,M4191,(P4191-A4191)/365))</f>
        <v>0.10381635661847705</v>
      </c>
      <c r="R4191" s="9">
        <f t="shared" si="165"/>
        <v>3.8163566184770403E-3</v>
      </c>
    </row>
    <row r="4192" spans="1:18" x14ac:dyDescent="0.2">
      <c r="A4192" s="2">
        <v>42622</v>
      </c>
      <c r="B4192" s="1" t="s">
        <v>59</v>
      </c>
      <c r="C4192" s="1" t="s">
        <v>14</v>
      </c>
      <c r="D4192" s="2">
        <v>42746</v>
      </c>
      <c r="E4192" s="2">
        <f t="shared" si="164"/>
        <v>43040</v>
      </c>
      <c r="F4192" s="1" t="s">
        <v>60</v>
      </c>
      <c r="G4192" s="1" t="s">
        <v>16</v>
      </c>
      <c r="H4192" s="1">
        <v>-0.7</v>
      </c>
      <c r="I4192" s="1">
        <v>0.61</v>
      </c>
      <c r="J4192" s="1">
        <v>-0.01</v>
      </c>
      <c r="K4192" s="1" t="s">
        <v>64</v>
      </c>
      <c r="L4192" s="1">
        <v>2387</v>
      </c>
      <c r="M4192" s="1">
        <v>0.72</v>
      </c>
      <c r="N4192" s="1">
        <v>0.74282000000000004</v>
      </c>
      <c r="O4192" s="5">
        <f>VLOOKUP(D4192,underlying!$D$76:$H$90,5,FALSE)</f>
        <v>-0.2</v>
      </c>
      <c r="P4192" s="2">
        <f>VLOOKUP(D4192,underlying!$D$76:$L$90,9,FALSE)</f>
        <v>43027</v>
      </c>
      <c r="Q4192" s="7">
        <f>IF(G4192="C",NormalCallSprd(O4192,H4192,M4192,(P4192-A4192)/365), NormalPutSprd(O4192,H4192,M4192,(P4192-A4192)/365))</f>
        <v>0.61603826399861372</v>
      </c>
      <c r="R4192" s="9">
        <f t="shared" si="165"/>
        <v>6.0382639986137354E-3</v>
      </c>
    </row>
    <row r="4193" spans="1:18" x14ac:dyDescent="0.2">
      <c r="A4193" s="2">
        <v>42622</v>
      </c>
      <c r="B4193" s="1" t="s">
        <v>59</v>
      </c>
      <c r="C4193" s="1" t="s">
        <v>14</v>
      </c>
      <c r="D4193" s="2">
        <v>42746</v>
      </c>
      <c r="E4193" s="2">
        <f t="shared" si="164"/>
        <v>43040</v>
      </c>
      <c r="F4193" s="1" t="s">
        <v>60</v>
      </c>
      <c r="G4193" s="1" t="s">
        <v>18</v>
      </c>
      <c r="H4193" s="1">
        <v>-0.7</v>
      </c>
      <c r="I4193" s="1">
        <v>0.12</v>
      </c>
      <c r="J4193" s="1">
        <v>0.01</v>
      </c>
      <c r="K4193" s="1" t="s">
        <v>64</v>
      </c>
      <c r="L4193" s="1">
        <v>2387</v>
      </c>
      <c r="M4193" s="1">
        <v>0.72</v>
      </c>
      <c r="N4193" s="1">
        <v>0.76227999999999996</v>
      </c>
      <c r="O4193" s="5">
        <f>VLOOKUP(D4193,underlying!$D$76:$H$90,5,FALSE)</f>
        <v>-0.2</v>
      </c>
      <c r="P4193" s="2">
        <f>VLOOKUP(D4193,underlying!$D$76:$L$90,9,FALSE)</f>
        <v>43027</v>
      </c>
      <c r="Q4193" s="7">
        <f>IF(G4193="C",NormalCallSprd(O4193,H4193,M4193,(P4193-A4193)/365), NormalPutSprd(O4193,H4193,M4193,(P4193-A4193)/365))</f>
        <v>0.11603826399861378</v>
      </c>
      <c r="R4193" s="9">
        <f t="shared" si="165"/>
        <v>3.961736001386218E-3</v>
      </c>
    </row>
    <row r="4194" spans="1:18" x14ac:dyDescent="0.2">
      <c r="A4194" s="2">
        <v>42622</v>
      </c>
      <c r="B4194" s="1" t="s">
        <v>59</v>
      </c>
      <c r="C4194" s="1" t="s">
        <v>14</v>
      </c>
      <c r="D4194" s="2">
        <v>42746</v>
      </c>
      <c r="E4194" s="2">
        <f t="shared" si="164"/>
        <v>43040</v>
      </c>
      <c r="F4194" s="1" t="s">
        <v>60</v>
      </c>
      <c r="G4194" s="1" t="s">
        <v>16</v>
      </c>
      <c r="H4194" s="1">
        <v>-0.65</v>
      </c>
      <c r="I4194" s="1">
        <v>0.57999999999999996</v>
      </c>
      <c r="J4194" s="1">
        <v>0</v>
      </c>
      <c r="K4194" s="1" t="s">
        <v>64</v>
      </c>
      <c r="L4194" s="1">
        <v>2387</v>
      </c>
      <c r="M4194" s="1">
        <v>0.72</v>
      </c>
      <c r="N4194" s="1">
        <v>0.78041000000000005</v>
      </c>
      <c r="O4194" s="5">
        <f>VLOOKUP(D4194,underlying!$D$76:$H$90,5,FALSE)</f>
        <v>-0.2</v>
      </c>
      <c r="P4194" s="2">
        <f>VLOOKUP(D4194,underlying!$D$76:$L$90,9,FALSE)</f>
        <v>43027</v>
      </c>
      <c r="Q4194" s="7">
        <f>IF(G4194="C",NormalCallSprd(O4194,H4194,M4194,(P4194-A4194)/365), NormalPutSprd(O4194,H4194,M4194,(P4194-A4194)/365))</f>
        <v>0.57931813407162713</v>
      </c>
      <c r="R4194" s="9">
        <f t="shared" si="165"/>
        <v>6.8186592837282678E-4</v>
      </c>
    </row>
    <row r="4195" spans="1:18" x14ac:dyDescent="0.2">
      <c r="A4195" s="2">
        <v>42622</v>
      </c>
      <c r="B4195" s="1" t="s">
        <v>59</v>
      </c>
      <c r="C4195" s="1" t="s">
        <v>14</v>
      </c>
      <c r="D4195" s="2">
        <v>42746</v>
      </c>
      <c r="E4195" s="2">
        <f t="shared" si="164"/>
        <v>43040</v>
      </c>
      <c r="F4195" s="1" t="s">
        <v>60</v>
      </c>
      <c r="G4195" s="1" t="s">
        <v>18</v>
      </c>
      <c r="H4195" s="1">
        <v>-0.65</v>
      </c>
      <c r="I4195" s="1">
        <v>0.13</v>
      </c>
      <c r="J4195" s="1">
        <v>0</v>
      </c>
      <c r="K4195" s="1" t="s">
        <v>64</v>
      </c>
      <c r="L4195" s="1">
        <v>2387</v>
      </c>
      <c r="M4195" s="1">
        <v>0.72</v>
      </c>
      <c r="N4195" s="1">
        <v>0.79969000000000001</v>
      </c>
      <c r="O4195" s="5">
        <f>VLOOKUP(D4195,underlying!$D$76:$H$90,5,FALSE)</f>
        <v>-0.2</v>
      </c>
      <c r="P4195" s="2">
        <f>VLOOKUP(D4195,underlying!$D$76:$L$90,9,FALSE)</f>
        <v>43027</v>
      </c>
      <c r="Q4195" s="7">
        <f>IF(G4195="C",NormalCallSprd(O4195,H4195,M4195,(P4195-A4195)/365), NormalPutSprd(O4195,H4195,M4195,(P4195-A4195)/365))</f>
        <v>0.12931813407162707</v>
      </c>
      <c r="R4195" s="9">
        <f t="shared" si="165"/>
        <v>6.818659283729378E-4</v>
      </c>
    </row>
    <row r="4196" spans="1:18" x14ac:dyDescent="0.2">
      <c r="A4196" s="2">
        <v>42622</v>
      </c>
      <c r="B4196" s="1" t="s">
        <v>59</v>
      </c>
      <c r="C4196" s="1" t="s">
        <v>14</v>
      </c>
      <c r="D4196" s="2">
        <v>42746</v>
      </c>
      <c r="E4196" s="2">
        <f t="shared" si="164"/>
        <v>43040</v>
      </c>
      <c r="F4196" s="1" t="s">
        <v>60</v>
      </c>
      <c r="G4196" s="1" t="s">
        <v>16</v>
      </c>
      <c r="H4196" s="1">
        <v>-0.6</v>
      </c>
      <c r="I4196" s="1">
        <v>0.54</v>
      </c>
      <c r="J4196" s="1">
        <v>-0.01</v>
      </c>
      <c r="K4196" s="1" t="s">
        <v>64</v>
      </c>
      <c r="L4196" s="1">
        <v>2387</v>
      </c>
      <c r="M4196" s="1">
        <v>0.71</v>
      </c>
      <c r="N4196" s="1">
        <v>0.81840999999999997</v>
      </c>
      <c r="O4196" s="5">
        <f>VLOOKUP(D4196,underlying!$D$76:$H$90,5,FALSE)</f>
        <v>-0.2</v>
      </c>
      <c r="P4196" s="2">
        <f>VLOOKUP(D4196,underlying!$D$76:$L$90,9,FALSE)</f>
        <v>43027</v>
      </c>
      <c r="Q4196" s="7">
        <f>IF(G4196="C",NormalCallSprd(O4196,H4196,M4196,(P4196-A4196)/365), NormalPutSprd(O4196,H4196,M4196,(P4196-A4196)/365))</f>
        <v>0.54005098095407011</v>
      </c>
      <c r="R4196" s="9">
        <f t="shared" si="165"/>
        <v>5.0980954070078965E-5</v>
      </c>
    </row>
    <row r="4197" spans="1:18" x14ac:dyDescent="0.2">
      <c r="A4197" s="2">
        <v>42622</v>
      </c>
      <c r="B4197" s="1" t="s">
        <v>59</v>
      </c>
      <c r="C4197" s="1" t="s">
        <v>14</v>
      </c>
      <c r="D4197" s="2">
        <v>42746</v>
      </c>
      <c r="E4197" s="2">
        <f t="shared" si="164"/>
        <v>43040</v>
      </c>
      <c r="F4197" s="1" t="s">
        <v>60</v>
      </c>
      <c r="G4197" s="1" t="s">
        <v>18</v>
      </c>
      <c r="H4197" s="1">
        <v>-0.6</v>
      </c>
      <c r="I4197" s="1">
        <v>0.14000000000000001</v>
      </c>
      <c r="J4197" s="1">
        <v>0</v>
      </c>
      <c r="K4197" s="1" t="s">
        <v>64</v>
      </c>
      <c r="L4197" s="1">
        <v>2387</v>
      </c>
      <c r="M4197" s="1">
        <v>0.71</v>
      </c>
      <c r="N4197" s="1">
        <v>0.86465999999999998</v>
      </c>
      <c r="O4197" s="5">
        <f>VLOOKUP(D4197,underlying!$D$76:$H$90,5,FALSE)</f>
        <v>-0.2</v>
      </c>
      <c r="P4197" s="2">
        <f>VLOOKUP(D4197,underlying!$D$76:$L$90,9,FALSE)</f>
        <v>43027</v>
      </c>
      <c r="Q4197" s="7">
        <f>IF(G4197="C",NormalCallSprd(O4197,H4197,M4197,(P4197-A4197)/365), NormalPutSprd(O4197,H4197,M4197,(P4197-A4197)/365))</f>
        <v>0.14005098095407009</v>
      </c>
      <c r="R4197" s="9">
        <f t="shared" si="165"/>
        <v>5.0980954070078965E-5</v>
      </c>
    </row>
    <row r="4198" spans="1:18" x14ac:dyDescent="0.2">
      <c r="A4198" s="2">
        <v>42622</v>
      </c>
      <c r="B4198" s="1" t="s">
        <v>59</v>
      </c>
      <c r="C4198" s="1" t="s">
        <v>14</v>
      </c>
      <c r="D4198" s="2">
        <v>42746</v>
      </c>
      <c r="E4198" s="2">
        <f t="shared" si="164"/>
        <v>43040</v>
      </c>
      <c r="F4198" s="1" t="s">
        <v>60</v>
      </c>
      <c r="G4198" s="1" t="s">
        <v>16</v>
      </c>
      <c r="H4198" s="1">
        <v>-0.55000000000000004</v>
      </c>
      <c r="I4198" s="1">
        <v>0.5</v>
      </c>
      <c r="J4198" s="1">
        <v>-0.01</v>
      </c>
      <c r="K4198" s="1" t="s">
        <v>64</v>
      </c>
      <c r="L4198" s="1">
        <v>2387</v>
      </c>
      <c r="M4198" s="1">
        <v>0.7</v>
      </c>
      <c r="N4198" s="1">
        <v>0.98204999999999998</v>
      </c>
      <c r="O4198" s="5">
        <f>VLOOKUP(D4198,underlying!$D$76:$H$90,5,FALSE)</f>
        <v>-0.2</v>
      </c>
      <c r="P4198" s="2">
        <f>VLOOKUP(D4198,underlying!$D$76:$L$90,9,FALSE)</f>
        <v>43027</v>
      </c>
      <c r="Q4198" s="7">
        <f>IF(G4198="C",NormalCallSprd(O4198,H4198,M4198,(P4198-A4198)/365), NormalPutSprd(O4198,H4198,M4198,(P4198-A4198)/365))</f>
        <v>0.50169412804405411</v>
      </c>
      <c r="R4198" s="9">
        <f t="shared" si="165"/>
        <v>1.6941280440541107E-3</v>
      </c>
    </row>
    <row r="4199" spans="1:18" x14ac:dyDescent="0.2">
      <c r="A4199" s="2">
        <v>42622</v>
      </c>
      <c r="B4199" s="1" t="s">
        <v>59</v>
      </c>
      <c r="C4199" s="1" t="s">
        <v>14</v>
      </c>
      <c r="D4199" s="2">
        <v>42746</v>
      </c>
      <c r="E4199" s="2">
        <f t="shared" si="164"/>
        <v>43040</v>
      </c>
      <c r="F4199" s="1" t="s">
        <v>60</v>
      </c>
      <c r="G4199" s="1" t="s">
        <v>18</v>
      </c>
      <c r="H4199" s="1">
        <v>-0.55000000000000004</v>
      </c>
      <c r="I4199" s="1">
        <v>0.15</v>
      </c>
      <c r="J4199" s="1">
        <v>0</v>
      </c>
      <c r="K4199" s="1" t="s">
        <v>64</v>
      </c>
      <c r="L4199" s="1">
        <v>2387</v>
      </c>
      <c r="M4199" s="1">
        <v>0.7</v>
      </c>
      <c r="N4199" s="1">
        <v>0.99438000000000004</v>
      </c>
      <c r="O4199" s="5">
        <f>VLOOKUP(D4199,underlying!$D$76:$H$90,5,FALSE)</f>
        <v>-0.2</v>
      </c>
      <c r="P4199" s="2">
        <f>VLOOKUP(D4199,underlying!$D$76:$L$90,9,FALSE)</f>
        <v>43027</v>
      </c>
      <c r="Q4199" s="7">
        <f>IF(G4199="C",NormalCallSprd(O4199,H4199,M4199,(P4199-A4199)/365), NormalPutSprd(O4199,H4199,M4199,(P4199-A4199)/365))</f>
        <v>0.15169412804405402</v>
      </c>
      <c r="R4199" s="9">
        <f t="shared" si="165"/>
        <v>1.6941280440540274E-3</v>
      </c>
    </row>
    <row r="4200" spans="1:18" x14ac:dyDescent="0.2">
      <c r="A4200" s="2">
        <v>42622</v>
      </c>
      <c r="B4200" s="1" t="s">
        <v>59</v>
      </c>
      <c r="C4200" s="1" t="s">
        <v>14</v>
      </c>
      <c r="D4200" s="2">
        <v>42746</v>
      </c>
      <c r="E4200" s="2">
        <f t="shared" si="164"/>
        <v>43040</v>
      </c>
      <c r="F4200" s="1" t="s">
        <v>60</v>
      </c>
      <c r="G4200" s="1" t="s">
        <v>16</v>
      </c>
      <c r="H4200" s="1">
        <v>-0.5</v>
      </c>
      <c r="I4200" s="1">
        <v>0.46</v>
      </c>
      <c r="J4200" s="1">
        <v>-0.01</v>
      </c>
      <c r="K4200" s="1" t="s">
        <v>64</v>
      </c>
      <c r="L4200" s="1">
        <v>2387</v>
      </c>
      <c r="M4200" s="1">
        <v>0.69</v>
      </c>
      <c r="N4200" s="1">
        <v>-0.58492999999999995</v>
      </c>
      <c r="O4200" s="5">
        <f>VLOOKUP(D4200,underlying!$D$76:$H$90,5,FALSE)</f>
        <v>-0.2</v>
      </c>
      <c r="P4200" s="2">
        <f>VLOOKUP(D4200,underlying!$D$76:$L$90,9,FALSE)</f>
        <v>43027</v>
      </c>
      <c r="Q4200" s="7">
        <f>IF(G4200="C",NormalCallSprd(O4200,H4200,M4200,(P4200-A4200)/365), NormalPutSprd(O4200,H4200,M4200,(P4200-A4200)/365))</f>
        <v>0.46431639233434657</v>
      </c>
      <c r="R4200" s="9">
        <f t="shared" si="165"/>
        <v>4.3163923343465527E-3</v>
      </c>
    </row>
    <row r="4201" spans="1:18" x14ac:dyDescent="0.2">
      <c r="A4201" s="2">
        <v>42622</v>
      </c>
      <c r="B4201" s="1" t="s">
        <v>59</v>
      </c>
      <c r="C4201" s="1" t="s">
        <v>14</v>
      </c>
      <c r="D4201" s="2">
        <v>42746</v>
      </c>
      <c r="E4201" s="2">
        <f t="shared" si="164"/>
        <v>43040</v>
      </c>
      <c r="F4201" s="1" t="s">
        <v>60</v>
      </c>
      <c r="G4201" s="1" t="s">
        <v>18</v>
      </c>
      <c r="H4201" s="1">
        <v>-0.5</v>
      </c>
      <c r="I4201" s="1">
        <v>0.16</v>
      </c>
      <c r="J4201" s="1">
        <v>0</v>
      </c>
      <c r="K4201" s="1" t="s">
        <v>64</v>
      </c>
      <c r="L4201" s="1">
        <v>2387</v>
      </c>
      <c r="M4201" s="1">
        <v>0.69</v>
      </c>
      <c r="N4201" s="1">
        <v>-0.55386999999999997</v>
      </c>
      <c r="O4201" s="5">
        <f>VLOOKUP(D4201,underlying!$D$76:$H$90,5,FALSE)</f>
        <v>-0.2</v>
      </c>
      <c r="P4201" s="2">
        <f>VLOOKUP(D4201,underlying!$D$76:$L$90,9,FALSE)</f>
        <v>43027</v>
      </c>
      <c r="Q4201" s="7">
        <f>IF(G4201="C",NormalCallSprd(O4201,H4201,M4201,(P4201-A4201)/365), NormalPutSprd(O4201,H4201,M4201,(P4201-A4201)/365))</f>
        <v>0.16431639233434661</v>
      </c>
      <c r="R4201" s="9">
        <f t="shared" si="165"/>
        <v>4.3163923343466082E-3</v>
      </c>
    </row>
    <row r="4202" spans="1:18" x14ac:dyDescent="0.2">
      <c r="A4202" s="2">
        <v>42622</v>
      </c>
      <c r="B4202" s="1" t="s">
        <v>59</v>
      </c>
      <c r="C4202" s="1" t="s">
        <v>14</v>
      </c>
      <c r="D4202" s="2">
        <v>42746</v>
      </c>
      <c r="E4202" s="2">
        <f t="shared" si="164"/>
        <v>43040</v>
      </c>
      <c r="F4202" s="1" t="s">
        <v>60</v>
      </c>
      <c r="G4202" s="1" t="s">
        <v>16</v>
      </c>
      <c r="H4202" s="1">
        <v>-0.45</v>
      </c>
      <c r="I4202" s="1">
        <v>0.43</v>
      </c>
      <c r="J4202" s="1">
        <v>-0.01</v>
      </c>
      <c r="K4202" s="1" t="s">
        <v>64</v>
      </c>
      <c r="L4202" s="1">
        <v>2387</v>
      </c>
      <c r="M4202" s="1">
        <v>0.68</v>
      </c>
      <c r="N4202" s="1">
        <v>-0.52283000000000002</v>
      </c>
      <c r="O4202" s="5">
        <f>VLOOKUP(D4202,underlying!$D$76:$H$90,5,FALSE)</f>
        <v>-0.2</v>
      </c>
      <c r="P4202" s="2">
        <f>VLOOKUP(D4202,underlying!$D$76:$L$90,9,FALSE)</f>
        <v>43027</v>
      </c>
      <c r="Q4202" s="7">
        <f>IF(G4202="C",NormalCallSprd(O4202,H4202,M4202,(P4202-A4202)/365), NormalPutSprd(O4202,H4202,M4202,(P4202-A4202)/365))</f>
        <v>0.4279893832864744</v>
      </c>
      <c r="R4202" s="9">
        <f t="shared" si="165"/>
        <v>2.0106167135255926E-3</v>
      </c>
    </row>
    <row r="4203" spans="1:18" x14ac:dyDescent="0.2">
      <c r="A4203" s="2">
        <v>42622</v>
      </c>
      <c r="B4203" s="1" t="s">
        <v>59</v>
      </c>
      <c r="C4203" s="1" t="s">
        <v>14</v>
      </c>
      <c r="D4203" s="2">
        <v>42746</v>
      </c>
      <c r="E4203" s="2">
        <f t="shared" si="164"/>
        <v>43040</v>
      </c>
      <c r="F4203" s="1" t="s">
        <v>60</v>
      </c>
      <c r="G4203" s="1" t="s">
        <v>18</v>
      </c>
      <c r="H4203" s="1">
        <v>-0.45</v>
      </c>
      <c r="I4203" s="1">
        <v>0.18</v>
      </c>
      <c r="J4203" s="1">
        <v>0</v>
      </c>
      <c r="K4203" s="1" t="s">
        <v>64</v>
      </c>
      <c r="L4203" s="1">
        <v>2387</v>
      </c>
      <c r="M4203" s="1">
        <v>0.68</v>
      </c>
      <c r="N4203" s="1">
        <v>-0.49129</v>
      </c>
      <c r="O4203" s="5">
        <f>VLOOKUP(D4203,underlying!$D$76:$H$90,5,FALSE)</f>
        <v>-0.2</v>
      </c>
      <c r="P4203" s="2">
        <f>VLOOKUP(D4203,underlying!$D$76:$L$90,9,FALSE)</f>
        <v>43027</v>
      </c>
      <c r="Q4203" s="7">
        <f>IF(G4203="C",NormalCallSprd(O4203,H4203,M4203,(P4203-A4203)/365), NormalPutSprd(O4203,H4203,M4203,(P4203-A4203)/365))</f>
        <v>0.1779893832864744</v>
      </c>
      <c r="R4203" s="9">
        <f t="shared" si="165"/>
        <v>2.0106167135255926E-3</v>
      </c>
    </row>
    <row r="4204" spans="1:18" x14ac:dyDescent="0.2">
      <c r="A4204" s="2">
        <v>42622</v>
      </c>
      <c r="B4204" s="1" t="s">
        <v>59</v>
      </c>
      <c r="C4204" s="1" t="s">
        <v>14</v>
      </c>
      <c r="D4204" s="2">
        <v>42746</v>
      </c>
      <c r="E4204" s="2">
        <f t="shared" si="164"/>
        <v>43040</v>
      </c>
      <c r="F4204" s="1" t="s">
        <v>60</v>
      </c>
      <c r="G4204" s="1" t="s">
        <v>16</v>
      </c>
      <c r="H4204" s="1">
        <v>-0.4</v>
      </c>
      <c r="I4204" s="1">
        <v>0.39</v>
      </c>
      <c r="J4204" s="1">
        <v>-0.01</v>
      </c>
      <c r="K4204" s="1" t="s">
        <v>64</v>
      </c>
      <c r="L4204" s="1">
        <v>2387</v>
      </c>
      <c r="M4204" s="1">
        <v>0.67</v>
      </c>
      <c r="N4204" s="1">
        <v>-0.45985999999999999</v>
      </c>
      <c r="O4204" s="5">
        <f>VLOOKUP(D4204,underlying!$D$76:$H$90,5,FALSE)</f>
        <v>-0.2</v>
      </c>
      <c r="P4204" s="2">
        <f>VLOOKUP(D4204,underlying!$D$76:$L$90,9,FALSE)</f>
        <v>43027</v>
      </c>
      <c r="Q4204" s="7">
        <f>IF(G4204="C",NormalCallSprd(O4204,H4204,M4204,(P4204-A4204)/365), NormalPutSprd(O4204,H4204,M4204,(P4204-A4204)/365))</f>
        <v>0.39278705308768008</v>
      </c>
      <c r="R4204" s="9">
        <f t="shared" si="165"/>
        <v>2.7870530876800692E-3</v>
      </c>
    </row>
    <row r="4205" spans="1:18" x14ac:dyDescent="0.2">
      <c r="A4205" s="2">
        <v>42622</v>
      </c>
      <c r="B4205" s="1" t="s">
        <v>59</v>
      </c>
      <c r="C4205" s="1" t="s">
        <v>14</v>
      </c>
      <c r="D4205" s="2">
        <v>42746</v>
      </c>
      <c r="E4205" s="2">
        <f t="shared" si="164"/>
        <v>43040</v>
      </c>
      <c r="F4205" s="1" t="s">
        <v>60</v>
      </c>
      <c r="G4205" s="1" t="s">
        <v>18</v>
      </c>
      <c r="H4205" s="1">
        <v>-0.4</v>
      </c>
      <c r="I4205" s="1">
        <v>0.18</v>
      </c>
      <c r="J4205" s="1">
        <v>0.01</v>
      </c>
      <c r="K4205" s="1" t="s">
        <v>64</v>
      </c>
      <c r="L4205" s="1">
        <v>2387</v>
      </c>
      <c r="M4205" s="1">
        <v>0.67</v>
      </c>
      <c r="N4205" s="1">
        <v>-0.42867</v>
      </c>
      <c r="O4205" s="5">
        <f>VLOOKUP(D4205,underlying!$D$76:$H$90,5,FALSE)</f>
        <v>-0.2</v>
      </c>
      <c r="P4205" s="2">
        <f>VLOOKUP(D4205,underlying!$D$76:$L$90,9,FALSE)</f>
        <v>43027</v>
      </c>
      <c r="Q4205" s="7">
        <f>IF(G4205="C",NormalCallSprd(O4205,H4205,M4205,(P4205-A4205)/365), NormalPutSprd(O4205,H4205,M4205,(P4205-A4205)/365))</f>
        <v>0.1927870530876801</v>
      </c>
      <c r="R4205" s="9">
        <f t="shared" si="165"/>
        <v>1.2787053087680106E-2</v>
      </c>
    </row>
    <row r="4206" spans="1:18" x14ac:dyDescent="0.2">
      <c r="A4206" s="2">
        <v>42622</v>
      </c>
      <c r="B4206" s="1" t="s">
        <v>59</v>
      </c>
      <c r="C4206" s="1" t="s">
        <v>14</v>
      </c>
      <c r="D4206" s="2">
        <v>42746</v>
      </c>
      <c r="E4206" s="2">
        <f t="shared" si="164"/>
        <v>43040</v>
      </c>
      <c r="F4206" s="1" t="s">
        <v>60</v>
      </c>
      <c r="G4206" s="1" t="s">
        <v>16</v>
      </c>
      <c r="H4206" s="1">
        <v>-0.35</v>
      </c>
      <c r="I4206" s="1">
        <v>0.36</v>
      </c>
      <c r="J4206" s="1">
        <v>-0.01</v>
      </c>
      <c r="K4206" s="1" t="s">
        <v>64</v>
      </c>
      <c r="L4206" s="1">
        <v>2387</v>
      </c>
      <c r="M4206" s="1">
        <v>0.66</v>
      </c>
      <c r="N4206" s="1">
        <v>-0.39904000000000001</v>
      </c>
      <c r="O4206" s="5">
        <f>VLOOKUP(D4206,underlying!$D$76:$H$90,5,FALSE)</f>
        <v>-0.2</v>
      </c>
      <c r="P4206" s="2">
        <f>VLOOKUP(D4206,underlying!$D$76:$L$90,9,FALSE)</f>
        <v>43027</v>
      </c>
      <c r="Q4206" s="7">
        <f>IF(G4206="C",NormalCallSprd(O4206,H4206,M4206,(P4206-A4206)/365), NormalPutSprd(O4206,H4206,M4206,(P4206-A4206)/365))</f>
        <v>0.35878510048039863</v>
      </c>
      <c r="R4206" s="9">
        <f t="shared" si="165"/>
        <v>1.2148995196013535E-3</v>
      </c>
    </row>
    <row r="4207" spans="1:18" x14ac:dyDescent="0.2">
      <c r="A4207" s="2">
        <v>42622</v>
      </c>
      <c r="B4207" s="1" t="s">
        <v>59</v>
      </c>
      <c r="C4207" s="1" t="s">
        <v>14</v>
      </c>
      <c r="D4207" s="2">
        <v>42746</v>
      </c>
      <c r="E4207" s="2">
        <f t="shared" si="164"/>
        <v>43040</v>
      </c>
      <c r="F4207" s="1" t="s">
        <v>60</v>
      </c>
      <c r="G4207" s="1" t="s">
        <v>18</v>
      </c>
      <c r="H4207" s="1">
        <v>-0.35</v>
      </c>
      <c r="I4207" s="1">
        <v>0.21</v>
      </c>
      <c r="J4207" s="1">
        <v>0</v>
      </c>
      <c r="K4207" s="1" t="s">
        <v>64</v>
      </c>
      <c r="L4207" s="1">
        <v>2387</v>
      </c>
      <c r="M4207" s="1">
        <v>0.66</v>
      </c>
      <c r="N4207" s="1">
        <v>-0.37098999999999999</v>
      </c>
      <c r="O4207" s="5">
        <f>VLOOKUP(D4207,underlying!$D$76:$H$90,5,FALSE)</f>
        <v>-0.2</v>
      </c>
      <c r="P4207" s="2">
        <f>VLOOKUP(D4207,underlying!$D$76:$L$90,9,FALSE)</f>
        <v>43027</v>
      </c>
      <c r="Q4207" s="7">
        <f>IF(G4207="C",NormalCallSprd(O4207,H4207,M4207,(P4207-A4207)/365), NormalPutSprd(O4207,H4207,M4207,(P4207-A4207)/365))</f>
        <v>0.20878510048039867</v>
      </c>
      <c r="R4207" s="9">
        <f t="shared" si="165"/>
        <v>1.2148995196013257E-3</v>
      </c>
    </row>
    <row r="4208" spans="1:18" x14ac:dyDescent="0.2">
      <c r="A4208" s="2">
        <v>42622</v>
      </c>
      <c r="B4208" s="1" t="s">
        <v>59</v>
      </c>
      <c r="C4208" s="1" t="s">
        <v>14</v>
      </c>
      <c r="D4208" s="2">
        <v>42746</v>
      </c>
      <c r="E4208" s="2">
        <f t="shared" si="164"/>
        <v>43040</v>
      </c>
      <c r="F4208" s="1" t="s">
        <v>60</v>
      </c>
      <c r="G4208" s="1" t="s">
        <v>16</v>
      </c>
      <c r="H4208" s="1">
        <v>-0.3</v>
      </c>
      <c r="I4208" s="1">
        <v>0.32</v>
      </c>
      <c r="J4208" s="1">
        <v>-0.01</v>
      </c>
      <c r="K4208" s="1" t="s">
        <v>64</v>
      </c>
      <c r="L4208" s="1">
        <v>2387</v>
      </c>
      <c r="M4208" s="1">
        <v>0.65</v>
      </c>
      <c r="N4208" s="1">
        <v>-0.34436</v>
      </c>
      <c r="O4208" s="5">
        <f>VLOOKUP(D4208,underlying!$D$76:$H$90,5,FALSE)</f>
        <v>-0.2</v>
      </c>
      <c r="P4208" s="2">
        <f>VLOOKUP(D4208,underlying!$D$76:$L$90,9,FALSE)</f>
        <v>43027</v>
      </c>
      <c r="Q4208" s="7">
        <f>IF(G4208="C",NormalCallSprd(O4208,H4208,M4208,(P4208-A4208)/365), NormalPutSprd(O4208,H4208,M4208,(P4208-A4208)/365))</f>
        <v>0.32606020889577569</v>
      </c>
      <c r="R4208" s="9">
        <f t="shared" si="165"/>
        <v>6.0602088957756872E-3</v>
      </c>
    </row>
    <row r="4209" spans="1:18" x14ac:dyDescent="0.2">
      <c r="A4209" s="2">
        <v>42622</v>
      </c>
      <c r="B4209" s="1" t="s">
        <v>59</v>
      </c>
      <c r="C4209" s="1" t="s">
        <v>14</v>
      </c>
      <c r="D4209" s="2">
        <v>42746</v>
      </c>
      <c r="E4209" s="2">
        <f t="shared" si="164"/>
        <v>43040</v>
      </c>
      <c r="F4209" s="1" t="s">
        <v>60</v>
      </c>
      <c r="G4209" s="1" t="s">
        <v>18</v>
      </c>
      <c r="H4209" s="1">
        <v>-0.3</v>
      </c>
      <c r="I4209" s="1">
        <v>0.22</v>
      </c>
      <c r="J4209" s="1">
        <v>0.01</v>
      </c>
      <c r="K4209" s="1" t="s">
        <v>64</v>
      </c>
      <c r="L4209" s="1">
        <v>2387</v>
      </c>
      <c r="M4209" s="1">
        <v>0.65</v>
      </c>
      <c r="N4209" s="1">
        <v>-0.31918000000000002</v>
      </c>
      <c r="O4209" s="5">
        <f>VLOOKUP(D4209,underlying!$D$76:$H$90,5,FALSE)</f>
        <v>-0.2</v>
      </c>
      <c r="P4209" s="2">
        <f>VLOOKUP(D4209,underlying!$D$76:$L$90,9,FALSE)</f>
        <v>43027</v>
      </c>
      <c r="Q4209" s="7">
        <f>IF(G4209="C",NormalCallSprd(O4209,H4209,M4209,(P4209-A4209)/365), NormalPutSprd(O4209,H4209,M4209,(P4209-A4209)/365))</f>
        <v>0.22606020889577572</v>
      </c>
      <c r="R4209" s="9">
        <f t="shared" si="165"/>
        <v>6.060208895775715E-3</v>
      </c>
    </row>
    <row r="4210" spans="1:18" x14ac:dyDescent="0.2">
      <c r="A4210" s="2">
        <v>42622</v>
      </c>
      <c r="B4210" s="1" t="s">
        <v>59</v>
      </c>
      <c r="C4210" s="1" t="s">
        <v>14</v>
      </c>
      <c r="D4210" s="2">
        <v>42746</v>
      </c>
      <c r="E4210" s="2">
        <f t="shared" si="164"/>
        <v>43040</v>
      </c>
      <c r="F4210" s="1" t="s">
        <v>60</v>
      </c>
      <c r="G4210" s="1" t="s">
        <v>16</v>
      </c>
      <c r="H4210" s="1">
        <v>-0.25</v>
      </c>
      <c r="I4210" s="1">
        <v>0.28999999999999998</v>
      </c>
      <c r="J4210" s="1">
        <v>-0.01</v>
      </c>
      <c r="K4210" s="1" t="s">
        <v>64</v>
      </c>
      <c r="L4210" s="1">
        <v>2387</v>
      </c>
      <c r="M4210" s="1">
        <v>0.64</v>
      </c>
      <c r="N4210" s="1">
        <v>-0.29546</v>
      </c>
      <c r="O4210" s="5">
        <f>VLOOKUP(D4210,underlying!$D$76:$H$90,5,FALSE)</f>
        <v>-0.2</v>
      </c>
      <c r="P4210" s="2">
        <f>VLOOKUP(D4210,underlying!$D$76:$L$90,9,FALSE)</f>
        <v>43027</v>
      </c>
      <c r="Q4210" s="7">
        <f>IF(G4210="C",NormalCallSprd(O4210,H4210,M4210,(P4210-A4210)/365), NormalPutSprd(O4210,H4210,M4210,(P4210-A4210)/365))</f>
        <v>0.29468910097416262</v>
      </c>
      <c r="R4210" s="9">
        <f t="shared" si="165"/>
        <v>4.689100974162641E-3</v>
      </c>
    </row>
    <row r="4211" spans="1:18" x14ac:dyDescent="0.2">
      <c r="A4211" s="2">
        <v>42622</v>
      </c>
      <c r="B4211" s="1" t="s">
        <v>59</v>
      </c>
      <c r="C4211" s="1" t="s">
        <v>14</v>
      </c>
      <c r="D4211" s="2">
        <v>42746</v>
      </c>
      <c r="E4211" s="2">
        <f t="shared" si="164"/>
        <v>43040</v>
      </c>
      <c r="F4211" s="1" t="s">
        <v>60</v>
      </c>
      <c r="G4211" s="1" t="s">
        <v>18</v>
      </c>
      <c r="H4211" s="1">
        <v>-0.25</v>
      </c>
      <c r="I4211" s="1">
        <v>0.23</v>
      </c>
      <c r="J4211" s="1">
        <v>-0.01</v>
      </c>
      <c r="K4211" s="1" t="s">
        <v>64</v>
      </c>
      <c r="L4211" s="1">
        <v>2387</v>
      </c>
      <c r="M4211" s="1">
        <v>0.64</v>
      </c>
      <c r="N4211" s="1">
        <v>-0.27318999999999999</v>
      </c>
      <c r="O4211" s="5">
        <f>VLOOKUP(D4211,underlying!$D$76:$H$90,5,FALSE)</f>
        <v>-0.2</v>
      </c>
      <c r="P4211" s="2">
        <f>VLOOKUP(D4211,underlying!$D$76:$L$90,9,FALSE)</f>
        <v>43027</v>
      </c>
      <c r="Q4211" s="7">
        <f>IF(G4211="C",NormalCallSprd(O4211,H4211,M4211,(P4211-A4211)/365), NormalPutSprd(O4211,H4211,M4211,(P4211-A4211)/365))</f>
        <v>0.24468910097416263</v>
      </c>
      <c r="R4211" s="9">
        <f t="shared" si="165"/>
        <v>1.4689100974162622E-2</v>
      </c>
    </row>
    <row r="4212" spans="1:18" x14ac:dyDescent="0.2">
      <c r="A4212" s="2">
        <v>42622</v>
      </c>
      <c r="B4212" s="1" t="s">
        <v>59</v>
      </c>
      <c r="C4212" s="1" t="s">
        <v>14</v>
      </c>
      <c r="D4212" s="2">
        <v>42746</v>
      </c>
      <c r="E4212" s="2">
        <f t="shared" si="164"/>
        <v>43040</v>
      </c>
      <c r="F4212" s="1" t="s">
        <v>60</v>
      </c>
      <c r="G4212" s="1" t="s">
        <v>16</v>
      </c>
      <c r="H4212" s="1">
        <v>-0.2</v>
      </c>
      <c r="I4212" s="1">
        <v>0.26</v>
      </c>
      <c r="J4212" s="1">
        <v>-0.01</v>
      </c>
      <c r="K4212" s="1" t="s">
        <v>64</v>
      </c>
      <c r="L4212" s="1">
        <v>2387</v>
      </c>
      <c r="M4212" s="1">
        <v>0.63</v>
      </c>
      <c r="N4212" s="1">
        <v>-0.25234000000000001</v>
      </c>
      <c r="O4212" s="5">
        <f>VLOOKUP(D4212,underlying!$D$76:$H$90,5,FALSE)</f>
        <v>-0.2</v>
      </c>
      <c r="P4212" s="2">
        <f>VLOOKUP(D4212,underlying!$D$76:$L$90,9,FALSE)</f>
        <v>43027</v>
      </c>
      <c r="Q4212" s="7">
        <f>IF(G4212="C",NormalCallSprd(O4212,H4212,M4212,(P4212-A4212)/365), NormalPutSprd(O4212,H4212,M4212,(P4212-A4212)/365))</f>
        <v>0.26474739446548057</v>
      </c>
      <c r="R4212" s="9">
        <f t="shared" si="165"/>
        <v>4.7473944654805589E-3</v>
      </c>
    </row>
    <row r="4213" spans="1:18" x14ac:dyDescent="0.2">
      <c r="A4213" s="2">
        <v>42622</v>
      </c>
      <c r="B4213" s="1" t="s">
        <v>59</v>
      </c>
      <c r="C4213" s="1" t="s">
        <v>14</v>
      </c>
      <c r="D4213" s="2">
        <v>42746</v>
      </c>
      <c r="E4213" s="2">
        <f t="shared" si="164"/>
        <v>43040</v>
      </c>
      <c r="F4213" s="1" t="s">
        <v>60</v>
      </c>
      <c r="G4213" s="1" t="s">
        <v>18</v>
      </c>
      <c r="H4213" s="1">
        <v>-0.2</v>
      </c>
      <c r="I4213" s="1">
        <v>0.26</v>
      </c>
      <c r="J4213" s="1">
        <v>0</v>
      </c>
      <c r="K4213" s="1" t="s">
        <v>64</v>
      </c>
      <c r="L4213" s="1">
        <v>2387</v>
      </c>
      <c r="M4213" s="1">
        <v>0.63</v>
      </c>
      <c r="N4213" s="1">
        <v>-0.23288</v>
      </c>
      <c r="O4213" s="5">
        <f>VLOOKUP(D4213,underlying!$D$76:$H$90,5,FALSE)</f>
        <v>-0.2</v>
      </c>
      <c r="P4213" s="2">
        <f>VLOOKUP(D4213,underlying!$D$76:$L$90,9,FALSE)</f>
        <v>43027</v>
      </c>
      <c r="Q4213" s="7">
        <f>IF(G4213="C",NormalCallSprd(O4213,H4213,M4213,(P4213-A4213)/365), NormalPutSprd(O4213,H4213,M4213,(P4213-A4213)/365))</f>
        <v>0.26474739446548057</v>
      </c>
      <c r="R4213" s="9">
        <f t="shared" si="165"/>
        <v>4.7473944654805589E-3</v>
      </c>
    </row>
    <row r="4214" spans="1:18" x14ac:dyDescent="0.2">
      <c r="A4214" s="2">
        <v>42622</v>
      </c>
      <c r="B4214" s="1" t="s">
        <v>59</v>
      </c>
      <c r="C4214" s="1" t="s">
        <v>14</v>
      </c>
      <c r="D4214" s="2">
        <v>42746</v>
      </c>
      <c r="E4214" s="2">
        <f t="shared" si="164"/>
        <v>43040</v>
      </c>
      <c r="F4214" s="1" t="s">
        <v>60</v>
      </c>
      <c r="G4214" s="1" t="s">
        <v>16</v>
      </c>
      <c r="H4214" s="1">
        <v>-0.15</v>
      </c>
      <c r="I4214" s="1">
        <v>0.23</v>
      </c>
      <c r="J4214" s="1">
        <v>-0.01</v>
      </c>
      <c r="K4214" s="1" t="s">
        <v>64</v>
      </c>
      <c r="L4214" s="1">
        <v>2387</v>
      </c>
      <c r="M4214" s="1">
        <v>0.61</v>
      </c>
      <c r="N4214" s="1">
        <v>-0.21475</v>
      </c>
      <c r="O4214" s="5">
        <f>VLOOKUP(D4214,underlying!$D$76:$H$90,5,FALSE)</f>
        <v>-0.2</v>
      </c>
      <c r="P4214" s="2">
        <f>VLOOKUP(D4214,underlying!$D$76:$L$90,9,FALSE)</f>
        <v>43027</v>
      </c>
      <c r="Q4214" s="7">
        <f>IF(G4214="C",NormalCallSprd(O4214,H4214,M4214,(P4214-A4214)/365), NormalPutSprd(O4214,H4214,M4214,(P4214-A4214)/365))</f>
        <v>0.23211840868640288</v>
      </c>
      <c r="R4214" s="9">
        <f t="shared" si="165"/>
        <v>2.1184086864028673E-3</v>
      </c>
    </row>
    <row r="4215" spans="1:18" x14ac:dyDescent="0.2">
      <c r="A4215" s="2">
        <v>42622</v>
      </c>
      <c r="B4215" s="1" t="s">
        <v>59</v>
      </c>
      <c r="C4215" s="1" t="s">
        <v>14</v>
      </c>
      <c r="D4215" s="2">
        <v>42746</v>
      </c>
      <c r="E4215" s="2">
        <f t="shared" si="164"/>
        <v>43040</v>
      </c>
      <c r="F4215" s="1" t="s">
        <v>60</v>
      </c>
      <c r="G4215" s="1" t="s">
        <v>18</v>
      </c>
      <c r="H4215" s="1">
        <v>-0.15</v>
      </c>
      <c r="I4215" s="1">
        <v>0.28000000000000003</v>
      </c>
      <c r="J4215" s="1">
        <v>0</v>
      </c>
      <c r="K4215" s="1" t="s">
        <v>64</v>
      </c>
      <c r="L4215" s="1">
        <v>2387</v>
      </c>
      <c r="M4215" s="1">
        <v>0.61</v>
      </c>
      <c r="N4215" s="1">
        <v>-0.19547</v>
      </c>
      <c r="O4215" s="5">
        <f>VLOOKUP(D4215,underlying!$D$76:$H$90,5,FALSE)</f>
        <v>-0.2</v>
      </c>
      <c r="P4215" s="2">
        <f>VLOOKUP(D4215,underlying!$D$76:$L$90,9,FALSE)</f>
        <v>43027</v>
      </c>
      <c r="Q4215" s="7">
        <f>IF(G4215="C",NormalCallSprd(O4215,H4215,M4215,(P4215-A4215)/365), NormalPutSprd(O4215,H4215,M4215,(P4215-A4215)/365))</f>
        <v>0.28211840868640287</v>
      </c>
      <c r="R4215" s="9">
        <f t="shared" si="165"/>
        <v>2.1184086864028395E-3</v>
      </c>
    </row>
    <row r="4216" spans="1:18" x14ac:dyDescent="0.2">
      <c r="A4216" s="2">
        <v>42622</v>
      </c>
      <c r="B4216" s="1" t="s">
        <v>59</v>
      </c>
      <c r="C4216" s="1" t="s">
        <v>14</v>
      </c>
      <c r="D4216" s="2">
        <v>42746</v>
      </c>
      <c r="E4216" s="2">
        <f t="shared" si="164"/>
        <v>43040</v>
      </c>
      <c r="F4216" s="1" t="s">
        <v>60</v>
      </c>
      <c r="G4216" s="1" t="s">
        <v>16</v>
      </c>
      <c r="H4216" s="1">
        <v>-0.1</v>
      </c>
      <c r="I4216" s="1">
        <v>0.21</v>
      </c>
      <c r="J4216" s="1">
        <v>0</v>
      </c>
      <c r="K4216" s="1" t="s">
        <v>64</v>
      </c>
      <c r="L4216" s="1">
        <v>2387</v>
      </c>
      <c r="M4216" s="1">
        <v>0.61</v>
      </c>
      <c r="N4216" s="1">
        <v>-0.17674999999999999</v>
      </c>
      <c r="O4216" s="5">
        <f>VLOOKUP(D4216,underlying!$D$76:$H$90,5,FALSE)</f>
        <v>-0.2</v>
      </c>
      <c r="P4216" s="2">
        <f>VLOOKUP(D4216,underlying!$D$76:$L$90,9,FALSE)</f>
        <v>43027</v>
      </c>
      <c r="Q4216" s="7">
        <f>IF(G4216="C",NormalCallSprd(O4216,H4216,M4216,(P4216-A4216)/365), NormalPutSprd(O4216,H4216,M4216,(P4216-A4216)/365))</f>
        <v>0.20944080387518663</v>
      </c>
      <c r="R4216" s="9">
        <f t="shared" si="165"/>
        <v>5.5919612481336589E-4</v>
      </c>
    </row>
    <row r="4217" spans="1:18" x14ac:dyDescent="0.2">
      <c r="A4217" s="2">
        <v>42622</v>
      </c>
      <c r="B4217" s="1" t="s">
        <v>59</v>
      </c>
      <c r="C4217" s="1" t="s">
        <v>14</v>
      </c>
      <c r="D4217" s="2">
        <v>42746</v>
      </c>
      <c r="E4217" s="2">
        <f t="shared" si="164"/>
        <v>43040</v>
      </c>
      <c r="F4217" s="1" t="s">
        <v>60</v>
      </c>
      <c r="G4217" s="1" t="s">
        <v>18</v>
      </c>
      <c r="H4217" s="1">
        <v>-0.1</v>
      </c>
      <c r="I4217" s="1">
        <v>0.31</v>
      </c>
      <c r="J4217" s="1">
        <v>0.01</v>
      </c>
      <c r="K4217" s="1" t="s">
        <v>64</v>
      </c>
      <c r="L4217" s="1">
        <v>2387</v>
      </c>
      <c r="M4217" s="1">
        <v>0.61</v>
      </c>
      <c r="N4217" s="1">
        <v>-0.1305</v>
      </c>
      <c r="O4217" s="5">
        <f>VLOOKUP(D4217,underlying!$D$76:$H$90,5,FALSE)</f>
        <v>-0.2</v>
      </c>
      <c r="P4217" s="2">
        <f>VLOOKUP(D4217,underlying!$D$76:$L$90,9,FALSE)</f>
        <v>43027</v>
      </c>
      <c r="Q4217" s="7">
        <f>IF(G4217="C",NormalCallSprd(O4217,H4217,M4217,(P4217-A4217)/365), NormalPutSprd(O4217,H4217,M4217,(P4217-A4217)/365))</f>
        <v>0.30944080387518663</v>
      </c>
      <c r="R4217" s="9">
        <f t="shared" si="165"/>
        <v>5.5919612481336589E-4</v>
      </c>
    </row>
    <row r="4218" spans="1:18" x14ac:dyDescent="0.2">
      <c r="A4218" s="2">
        <v>42622</v>
      </c>
      <c r="B4218" s="1" t="s">
        <v>59</v>
      </c>
      <c r="C4218" s="1" t="s">
        <v>14</v>
      </c>
      <c r="D4218" s="2">
        <v>42746</v>
      </c>
      <c r="E4218" s="2">
        <f t="shared" si="164"/>
        <v>43040</v>
      </c>
      <c r="F4218" s="1" t="s">
        <v>60</v>
      </c>
      <c r="G4218" s="1" t="s">
        <v>16</v>
      </c>
      <c r="H4218" s="1">
        <v>-0.05</v>
      </c>
      <c r="I4218" s="1">
        <v>0.19</v>
      </c>
      <c r="J4218" s="1">
        <v>0.01</v>
      </c>
      <c r="K4218" s="1" t="s">
        <v>64</v>
      </c>
      <c r="L4218" s="1">
        <v>2387</v>
      </c>
      <c r="M4218" s="1">
        <v>0.61</v>
      </c>
      <c r="N4218" s="1">
        <v>-1.311E-2</v>
      </c>
      <c r="O4218" s="5">
        <f>VLOOKUP(D4218,underlying!$D$76:$H$90,5,FALSE)</f>
        <v>-0.2</v>
      </c>
      <c r="P4218" s="2">
        <f>VLOOKUP(D4218,underlying!$D$76:$L$90,9,FALSE)</f>
        <v>43027</v>
      </c>
      <c r="Q4218" s="7">
        <f>IF(G4218="C",NormalCallSprd(O4218,H4218,M4218,(P4218-A4218)/365), NormalPutSprd(O4218,H4218,M4218,(P4218-A4218)/365))</f>
        <v>0.18829593043559961</v>
      </c>
      <c r="R4218" s="9">
        <f t="shared" si="165"/>
        <v>1.70406956440039E-3</v>
      </c>
    </row>
    <row r="4219" spans="1:18" x14ac:dyDescent="0.2">
      <c r="A4219" s="2">
        <v>42622</v>
      </c>
      <c r="B4219" s="1" t="s">
        <v>59</v>
      </c>
      <c r="C4219" s="1" t="s">
        <v>14</v>
      </c>
      <c r="D4219" s="2">
        <v>42746</v>
      </c>
      <c r="E4219" s="2">
        <f t="shared" si="164"/>
        <v>43040</v>
      </c>
      <c r="F4219" s="1" t="s">
        <v>60</v>
      </c>
      <c r="G4219" s="1" t="s">
        <v>18</v>
      </c>
      <c r="H4219" s="1">
        <v>-0.05</v>
      </c>
      <c r="I4219" s="1">
        <v>0.34</v>
      </c>
      <c r="J4219" s="1">
        <v>0.02</v>
      </c>
      <c r="K4219" s="1" t="s">
        <v>64</v>
      </c>
      <c r="L4219" s="1">
        <v>2387</v>
      </c>
      <c r="M4219" s="1">
        <v>0.61</v>
      </c>
      <c r="N4219" s="1">
        <v>-7.9000000000000001E-4</v>
      </c>
      <c r="O4219" s="5">
        <f>VLOOKUP(D4219,underlying!$D$76:$H$90,5,FALSE)</f>
        <v>-0.2</v>
      </c>
      <c r="P4219" s="2">
        <f>VLOOKUP(D4219,underlying!$D$76:$L$90,9,FALSE)</f>
        <v>43027</v>
      </c>
      <c r="Q4219" s="7">
        <f>IF(G4219="C",NormalCallSprd(O4219,H4219,M4219,(P4219-A4219)/365), NormalPutSprd(O4219,H4219,M4219,(P4219-A4219)/365))</f>
        <v>0.33829593043559963</v>
      </c>
      <c r="R4219" s="9">
        <f t="shared" si="165"/>
        <v>1.70406956440039E-3</v>
      </c>
    </row>
    <row r="4220" spans="1:18" x14ac:dyDescent="0.2">
      <c r="A4220" s="2">
        <v>42622</v>
      </c>
      <c r="B4220" s="1" t="s">
        <v>59</v>
      </c>
      <c r="C4220" s="1" t="s">
        <v>14</v>
      </c>
      <c r="D4220" s="2">
        <v>42747</v>
      </c>
      <c r="E4220" s="2">
        <f t="shared" si="164"/>
        <v>43070</v>
      </c>
      <c r="F4220" s="1" t="s">
        <v>60</v>
      </c>
      <c r="G4220" s="1" t="s">
        <v>16</v>
      </c>
      <c r="H4220" s="1">
        <v>-3</v>
      </c>
      <c r="I4220" s="1">
        <v>2.84</v>
      </c>
      <c r="J4220" s="1">
        <v>-0.01</v>
      </c>
      <c r="K4220" s="1" t="s">
        <v>67</v>
      </c>
      <c r="L4220" s="1">
        <v>2387</v>
      </c>
      <c r="M4220" s="1">
        <v>0.89</v>
      </c>
      <c r="N4220" s="1">
        <v>0.41642000000000001</v>
      </c>
      <c r="O4220" s="5">
        <f>VLOOKUP(D4220,underlying!$D$76:$H$90,5,FALSE)</f>
        <v>-0.14000000000000001</v>
      </c>
      <c r="P4220" s="2">
        <f>VLOOKUP(D4220,underlying!$D$76:$L$90,9,FALSE)</f>
        <v>43056</v>
      </c>
      <c r="Q4220" s="7">
        <f>IF(G4220="C",NormalCallSprd(O4220,H4220,M4220,(P4220-A4220)/365), NormalPutSprd(O4220,H4220,M4220,(P4220-A4220)/365))</f>
        <v>2.8604467070105137</v>
      </c>
      <c r="R4220" s="9">
        <f t="shared" si="165"/>
        <v>2.0446707010513876E-2</v>
      </c>
    </row>
    <row r="4221" spans="1:18" x14ac:dyDescent="0.2">
      <c r="A4221" s="2">
        <v>42622</v>
      </c>
      <c r="B4221" s="1" t="s">
        <v>59</v>
      </c>
      <c r="C4221" s="1" t="s">
        <v>14</v>
      </c>
      <c r="D4221" s="2">
        <v>42747</v>
      </c>
      <c r="E4221" s="2">
        <f t="shared" si="164"/>
        <v>43070</v>
      </c>
      <c r="F4221" s="1" t="s">
        <v>60</v>
      </c>
      <c r="G4221" s="1" t="s">
        <v>18</v>
      </c>
      <c r="H4221" s="1">
        <v>-3</v>
      </c>
      <c r="I4221" s="1">
        <v>0.01</v>
      </c>
      <c r="J4221" s="1">
        <v>0</v>
      </c>
      <c r="K4221" s="1" t="s">
        <v>67</v>
      </c>
      <c r="L4221" s="1">
        <v>2387</v>
      </c>
      <c r="M4221" s="1">
        <v>0.89</v>
      </c>
      <c r="N4221" s="1">
        <v>0.44763999999999998</v>
      </c>
      <c r="O4221" s="5">
        <f>VLOOKUP(D4221,underlying!$D$76:$H$90,5,FALSE)</f>
        <v>-0.14000000000000001</v>
      </c>
      <c r="P4221" s="2">
        <f>VLOOKUP(D4221,underlying!$D$76:$L$90,9,FALSE)</f>
        <v>43056</v>
      </c>
      <c r="Q4221" s="7">
        <f>IF(G4221="C",NormalCallSprd(O4221,H4221,M4221,(P4221-A4221)/365), NormalPutSprd(O4221,H4221,M4221,(P4221-A4221)/365))</f>
        <v>4.4670701051366629E-4</v>
      </c>
      <c r="R4221" s="9">
        <f t="shared" si="165"/>
        <v>9.5532929894863346E-3</v>
      </c>
    </row>
    <row r="4222" spans="1:18" x14ac:dyDescent="0.2">
      <c r="A4222" s="2">
        <v>42622</v>
      </c>
      <c r="B4222" s="1" t="s">
        <v>59</v>
      </c>
      <c r="C4222" s="1" t="s">
        <v>14</v>
      </c>
      <c r="D4222" s="2">
        <v>42747</v>
      </c>
      <c r="E4222" s="2">
        <f t="shared" si="164"/>
        <v>43070</v>
      </c>
      <c r="F4222" s="1" t="s">
        <v>60</v>
      </c>
      <c r="G4222" s="1" t="s">
        <v>16</v>
      </c>
      <c r="H4222" s="1">
        <v>-2</v>
      </c>
      <c r="I4222" s="1">
        <v>1.85</v>
      </c>
      <c r="J4222" s="1">
        <v>-0.01</v>
      </c>
      <c r="K4222" s="1" t="s">
        <v>67</v>
      </c>
      <c r="L4222" s="1">
        <v>2387</v>
      </c>
      <c r="M4222" s="1">
        <v>0.79</v>
      </c>
      <c r="N4222" s="1">
        <v>0.47875000000000001</v>
      </c>
      <c r="O4222" s="5">
        <f>VLOOKUP(D4222,underlying!$D$76:$H$90,5,FALSE)</f>
        <v>-0.14000000000000001</v>
      </c>
      <c r="P4222" s="2">
        <f>VLOOKUP(D4222,underlying!$D$76:$L$90,9,FALSE)</f>
        <v>43056</v>
      </c>
      <c r="Q4222" s="7">
        <f>IF(G4222="C",NormalCallSprd(O4222,H4222,M4222,(P4222-A4222)/365), NormalPutSprd(O4222,H4222,M4222,(P4222-A4222)/365))</f>
        <v>1.8647251004899434</v>
      </c>
      <c r="R4222" s="9">
        <f t="shared" si="165"/>
        <v>1.4725100489943355E-2</v>
      </c>
    </row>
    <row r="4223" spans="1:18" x14ac:dyDescent="0.2">
      <c r="A4223" s="2">
        <v>42622</v>
      </c>
      <c r="B4223" s="1" t="s">
        <v>59</v>
      </c>
      <c r="C4223" s="1" t="s">
        <v>14</v>
      </c>
      <c r="D4223" s="2">
        <v>42747</v>
      </c>
      <c r="E4223" s="2">
        <f t="shared" si="164"/>
        <v>43070</v>
      </c>
      <c r="F4223" s="1" t="s">
        <v>60</v>
      </c>
      <c r="G4223" s="1" t="s">
        <v>18</v>
      </c>
      <c r="H4223" s="1">
        <v>-2</v>
      </c>
      <c r="I4223" s="1">
        <v>0.01</v>
      </c>
      <c r="J4223" s="1">
        <v>0</v>
      </c>
      <c r="K4223" s="1" t="s">
        <v>67</v>
      </c>
      <c r="L4223" s="1">
        <v>2387</v>
      </c>
      <c r="M4223" s="1">
        <v>0.79</v>
      </c>
      <c r="N4223" s="1">
        <v>0.50956000000000001</v>
      </c>
      <c r="O4223" s="5">
        <f>VLOOKUP(D4223,underlying!$D$76:$H$90,5,FALSE)</f>
        <v>-0.14000000000000001</v>
      </c>
      <c r="P4223" s="2">
        <f>VLOOKUP(D4223,underlying!$D$76:$L$90,9,FALSE)</f>
        <v>43056</v>
      </c>
      <c r="Q4223" s="7">
        <f>IF(G4223="C",NormalCallSprd(O4223,H4223,M4223,(P4223-A4223)/365), NormalPutSprd(O4223,H4223,M4223,(P4223-A4223)/365))</f>
        <v>4.7251004899435721E-3</v>
      </c>
      <c r="R4223" s="9">
        <f t="shared" si="165"/>
        <v>5.2748995100564281E-3</v>
      </c>
    </row>
    <row r="4224" spans="1:18" x14ac:dyDescent="0.2">
      <c r="A4224" s="2">
        <v>42622</v>
      </c>
      <c r="B4224" s="1" t="s">
        <v>59</v>
      </c>
      <c r="C4224" s="1" t="s">
        <v>14</v>
      </c>
      <c r="D4224" s="2">
        <v>42747</v>
      </c>
      <c r="E4224" s="2">
        <f t="shared" si="164"/>
        <v>43070</v>
      </c>
      <c r="F4224" s="1" t="s">
        <v>60</v>
      </c>
      <c r="G4224" s="1" t="s">
        <v>16</v>
      </c>
      <c r="H4224" s="1">
        <v>-1</v>
      </c>
      <c r="I4224" s="1">
        <v>0.9</v>
      </c>
      <c r="J4224" s="1">
        <v>0</v>
      </c>
      <c r="K4224" s="1" t="s">
        <v>67</v>
      </c>
      <c r="L4224" s="1">
        <v>2387</v>
      </c>
      <c r="M4224" s="1">
        <v>0.67</v>
      </c>
      <c r="N4224" s="1">
        <v>0.53966999999999998</v>
      </c>
      <c r="O4224" s="5">
        <f>VLOOKUP(D4224,underlying!$D$76:$H$90,5,FALSE)</f>
        <v>-0.14000000000000001</v>
      </c>
      <c r="P4224" s="2">
        <f>VLOOKUP(D4224,underlying!$D$76:$L$90,9,FALSE)</f>
        <v>43056</v>
      </c>
      <c r="Q4224" s="7">
        <f>IF(G4224="C",NormalCallSprd(O4224,H4224,M4224,(P4224-A4224)/365), NormalPutSprd(O4224,H4224,M4224,(P4224-A4224)/365))</f>
        <v>0.90294774878563833</v>
      </c>
      <c r="R4224" s="9">
        <f t="shared" si="165"/>
        <v>2.9477487856383044E-3</v>
      </c>
    </row>
    <row r="4225" spans="1:18" x14ac:dyDescent="0.2">
      <c r="A4225" s="2">
        <v>42622</v>
      </c>
      <c r="B4225" s="1" t="s">
        <v>59</v>
      </c>
      <c r="C4225" s="1" t="s">
        <v>14</v>
      </c>
      <c r="D4225" s="2">
        <v>42747</v>
      </c>
      <c r="E4225" s="2">
        <f t="shared" si="164"/>
        <v>43070</v>
      </c>
      <c r="F4225" s="1" t="s">
        <v>60</v>
      </c>
      <c r="G4225" s="1" t="s">
        <v>18</v>
      </c>
      <c r="H4225" s="1">
        <v>-1</v>
      </c>
      <c r="I4225" s="1">
        <v>7.0000000000000007E-2</v>
      </c>
      <c r="J4225" s="1">
        <v>0</v>
      </c>
      <c r="K4225" s="1" t="s">
        <v>67</v>
      </c>
      <c r="L4225" s="1">
        <v>2387</v>
      </c>
      <c r="M4225" s="1">
        <v>0.67</v>
      </c>
      <c r="N4225" s="1">
        <v>0.56864000000000003</v>
      </c>
      <c r="O4225" s="5">
        <f>VLOOKUP(D4225,underlying!$D$76:$H$90,5,FALSE)</f>
        <v>-0.14000000000000001</v>
      </c>
      <c r="P4225" s="2">
        <f>VLOOKUP(D4225,underlying!$D$76:$L$90,9,FALSE)</f>
        <v>43056</v>
      </c>
      <c r="Q4225" s="7">
        <f>IF(G4225="C",NormalCallSprd(O4225,H4225,M4225,(P4225-A4225)/365), NormalPutSprd(O4225,H4225,M4225,(P4225-A4225)/365))</f>
        <v>4.2947748785638395E-2</v>
      </c>
      <c r="R4225" s="9">
        <f t="shared" si="165"/>
        <v>2.7052251214361611E-2</v>
      </c>
    </row>
    <row r="4226" spans="1:18" x14ac:dyDescent="0.2">
      <c r="A4226" s="2">
        <v>42622</v>
      </c>
      <c r="B4226" s="1" t="s">
        <v>59</v>
      </c>
      <c r="C4226" s="1" t="s">
        <v>14</v>
      </c>
      <c r="D4226" s="2">
        <v>42747</v>
      </c>
      <c r="E4226" s="2">
        <f t="shared" ref="E4226:E4259" si="166">DATE(YEAR(D4226),DAY(D4226),MONTH(D4226))</f>
        <v>43070</v>
      </c>
      <c r="F4226" s="1" t="s">
        <v>60</v>
      </c>
      <c r="G4226" s="1" t="s">
        <v>16</v>
      </c>
      <c r="H4226" s="1">
        <v>-0.85</v>
      </c>
      <c r="I4226" s="1">
        <v>0.76</v>
      </c>
      <c r="J4226" s="1">
        <v>-0.01</v>
      </c>
      <c r="K4226" s="1" t="s">
        <v>67</v>
      </c>
      <c r="L4226" s="1">
        <v>2387</v>
      </c>
      <c r="M4226" s="1">
        <v>0.65</v>
      </c>
      <c r="N4226" s="1">
        <v>0.59640000000000004</v>
      </c>
      <c r="O4226" s="5">
        <f>VLOOKUP(D4226,underlying!$D$76:$H$90,5,FALSE)</f>
        <v>-0.14000000000000001</v>
      </c>
      <c r="P4226" s="2">
        <f>VLOOKUP(D4226,underlying!$D$76:$L$90,9,FALSE)</f>
        <v>43056</v>
      </c>
      <c r="Q4226" s="7">
        <f>IF(G4226="C",NormalCallSprd(O4226,H4226,M4226,(P4226-A4226)/365), NormalPutSprd(O4226,H4226,M4226,(P4226-A4226)/365))</f>
        <v>0.76885916574561808</v>
      </c>
      <c r="R4226" s="9">
        <f t="shared" si="165"/>
        <v>8.8591657456180695E-3</v>
      </c>
    </row>
    <row r="4227" spans="1:18" x14ac:dyDescent="0.2">
      <c r="A4227" s="2">
        <v>42622</v>
      </c>
      <c r="B4227" s="1" t="s">
        <v>59</v>
      </c>
      <c r="C4227" s="1" t="s">
        <v>14</v>
      </c>
      <c r="D4227" s="2">
        <v>42747</v>
      </c>
      <c r="E4227" s="2">
        <f t="shared" si="166"/>
        <v>43070</v>
      </c>
      <c r="F4227" s="1" t="s">
        <v>60</v>
      </c>
      <c r="G4227" s="1" t="s">
        <v>18</v>
      </c>
      <c r="H4227" s="1">
        <v>-0.85</v>
      </c>
      <c r="I4227" s="1">
        <v>0.06</v>
      </c>
      <c r="J4227" s="1">
        <v>0.01</v>
      </c>
      <c r="K4227" s="1" t="s">
        <v>67</v>
      </c>
      <c r="L4227" s="1">
        <v>2387</v>
      </c>
      <c r="M4227" s="1">
        <v>0.65</v>
      </c>
      <c r="N4227" s="1">
        <v>0.62289000000000005</v>
      </c>
      <c r="O4227" s="5">
        <f>VLOOKUP(D4227,underlying!$D$76:$H$90,5,FALSE)</f>
        <v>-0.14000000000000001</v>
      </c>
      <c r="P4227" s="2">
        <f>VLOOKUP(D4227,underlying!$D$76:$L$90,9,FALSE)</f>
        <v>43056</v>
      </c>
      <c r="Q4227" s="7">
        <f>IF(G4227="C",NormalCallSprd(O4227,H4227,M4227,(P4227-A4227)/365), NormalPutSprd(O4227,H4227,M4227,(P4227-A4227)/365))</f>
        <v>5.8859165745618128E-2</v>
      </c>
      <c r="R4227" s="9">
        <f t="shared" ref="R4227:R4259" si="167">ABS(Q4227-I4227)</f>
        <v>1.14083425438187E-3</v>
      </c>
    </row>
    <row r="4228" spans="1:18" x14ac:dyDescent="0.2">
      <c r="A4228" s="2">
        <v>42622</v>
      </c>
      <c r="B4228" s="1" t="s">
        <v>59</v>
      </c>
      <c r="C4228" s="1" t="s">
        <v>14</v>
      </c>
      <c r="D4228" s="2">
        <v>42747</v>
      </c>
      <c r="E4228" s="2">
        <f t="shared" si="166"/>
        <v>43070</v>
      </c>
      <c r="F4228" s="1" t="s">
        <v>60</v>
      </c>
      <c r="G4228" s="1" t="s">
        <v>16</v>
      </c>
      <c r="H4228" s="1">
        <v>-0.8</v>
      </c>
      <c r="I4228" s="1">
        <v>0.72</v>
      </c>
      <c r="J4228" s="1">
        <v>0</v>
      </c>
      <c r="K4228" s="1" t="s">
        <v>67</v>
      </c>
      <c r="L4228" s="1">
        <v>2387</v>
      </c>
      <c r="M4228" s="1">
        <v>0.64</v>
      </c>
      <c r="N4228" s="1">
        <v>0.64807999999999999</v>
      </c>
      <c r="O4228" s="5">
        <f>VLOOKUP(D4228,underlying!$D$76:$H$90,5,FALSE)</f>
        <v>-0.14000000000000001</v>
      </c>
      <c r="P4228" s="2">
        <f>VLOOKUP(D4228,underlying!$D$76:$L$90,9,FALSE)</f>
        <v>43056</v>
      </c>
      <c r="Q4228" s="7">
        <f>IF(G4228="C",NormalCallSprd(O4228,H4228,M4228,(P4228-A4228)/365), NormalPutSprd(O4228,H4228,M4228,(P4228-A4228)/365))</f>
        <v>0.72440635450248803</v>
      </c>
      <c r="R4228" s="9">
        <f t="shared" si="167"/>
        <v>4.4063545024880524E-3</v>
      </c>
    </row>
    <row r="4229" spans="1:18" x14ac:dyDescent="0.2">
      <c r="A4229" s="2">
        <v>42622</v>
      </c>
      <c r="B4229" s="1" t="s">
        <v>59</v>
      </c>
      <c r="C4229" s="1" t="s">
        <v>14</v>
      </c>
      <c r="D4229" s="2">
        <v>42747</v>
      </c>
      <c r="E4229" s="2">
        <f t="shared" si="166"/>
        <v>43070</v>
      </c>
      <c r="F4229" s="1" t="s">
        <v>60</v>
      </c>
      <c r="G4229" s="1" t="s">
        <v>18</v>
      </c>
      <c r="H4229" s="1">
        <v>-0.8</v>
      </c>
      <c r="I4229" s="1">
        <v>0.06</v>
      </c>
      <c r="J4229" s="1">
        <v>0</v>
      </c>
      <c r="K4229" s="1" t="s">
        <v>67</v>
      </c>
      <c r="L4229" s="1">
        <v>2387</v>
      </c>
      <c r="M4229" s="1">
        <v>0.64</v>
      </c>
      <c r="N4229" s="1">
        <v>0.67193999999999998</v>
      </c>
      <c r="O4229" s="5">
        <f>VLOOKUP(D4229,underlying!$D$76:$H$90,5,FALSE)</f>
        <v>-0.14000000000000001</v>
      </c>
      <c r="P4229" s="2">
        <f>VLOOKUP(D4229,underlying!$D$76:$L$90,9,FALSE)</f>
        <v>43056</v>
      </c>
      <c r="Q4229" s="7">
        <f>IF(G4229="C",NormalCallSprd(O4229,H4229,M4229,(P4229-A4229)/365), NormalPutSprd(O4229,H4229,M4229,(P4229-A4229)/365))</f>
        <v>6.4406354502487925E-2</v>
      </c>
      <c r="R4229" s="9">
        <f t="shared" si="167"/>
        <v>4.4063545024879275E-3</v>
      </c>
    </row>
    <row r="4230" spans="1:18" x14ac:dyDescent="0.2">
      <c r="A4230" s="2">
        <v>42622</v>
      </c>
      <c r="B4230" s="1" t="s">
        <v>59</v>
      </c>
      <c r="C4230" s="1" t="s">
        <v>14</v>
      </c>
      <c r="D4230" s="2">
        <v>42747</v>
      </c>
      <c r="E4230" s="2">
        <f t="shared" si="166"/>
        <v>43070</v>
      </c>
      <c r="F4230" s="1" t="s">
        <v>60</v>
      </c>
      <c r="G4230" s="1" t="s">
        <v>16</v>
      </c>
      <c r="H4230" s="1">
        <v>-0.75</v>
      </c>
      <c r="I4230" s="1">
        <v>0.68</v>
      </c>
      <c r="J4230" s="1">
        <v>0</v>
      </c>
      <c r="K4230" s="1" t="s">
        <v>67</v>
      </c>
      <c r="L4230" s="1">
        <v>2387</v>
      </c>
      <c r="M4230" s="1">
        <v>0.64</v>
      </c>
      <c r="N4230" s="1">
        <v>0.69447000000000003</v>
      </c>
      <c r="O4230" s="5">
        <f>VLOOKUP(D4230,underlying!$D$76:$H$90,5,FALSE)</f>
        <v>-0.14000000000000001</v>
      </c>
      <c r="P4230" s="2">
        <f>VLOOKUP(D4230,underlying!$D$76:$L$90,9,FALSE)</f>
        <v>43056</v>
      </c>
      <c r="Q4230" s="7">
        <f>IF(G4230="C",NormalCallSprd(O4230,H4230,M4230,(P4230-A4230)/365), NormalPutSprd(O4230,H4230,M4230,(P4230-A4230)/365))</f>
        <v>0.68348075575851108</v>
      </c>
      <c r="R4230" s="9">
        <f t="shared" si="167"/>
        <v>3.4807557585110338E-3</v>
      </c>
    </row>
    <row r="4231" spans="1:18" x14ac:dyDescent="0.2">
      <c r="A4231" s="2">
        <v>42622</v>
      </c>
      <c r="B4231" s="1" t="s">
        <v>59</v>
      </c>
      <c r="C4231" s="1" t="s">
        <v>14</v>
      </c>
      <c r="D4231" s="2">
        <v>42747</v>
      </c>
      <c r="E4231" s="2">
        <f t="shared" si="166"/>
        <v>43070</v>
      </c>
      <c r="F4231" s="1" t="s">
        <v>60</v>
      </c>
      <c r="G4231" s="1" t="s">
        <v>18</v>
      </c>
      <c r="H4231" s="1">
        <v>-0.75</v>
      </c>
      <c r="I4231" s="1">
        <v>7.0000000000000007E-2</v>
      </c>
      <c r="J4231" s="1">
        <v>0</v>
      </c>
      <c r="K4231" s="1" t="s">
        <v>67</v>
      </c>
      <c r="L4231" s="1">
        <v>2387</v>
      </c>
      <c r="M4231" s="1">
        <v>0.64</v>
      </c>
      <c r="N4231" s="1">
        <v>0.71569000000000005</v>
      </c>
      <c r="O4231" s="5">
        <f>VLOOKUP(D4231,underlying!$D$76:$H$90,5,FALSE)</f>
        <v>-0.14000000000000001</v>
      </c>
      <c r="P4231" s="2">
        <f>VLOOKUP(D4231,underlying!$D$76:$L$90,9,FALSE)</f>
        <v>43056</v>
      </c>
      <c r="Q4231" s="7">
        <f>IF(G4231="C",NormalCallSprd(O4231,H4231,M4231,(P4231-A4231)/365), NormalPutSprd(O4231,H4231,M4231,(P4231-A4231)/365))</f>
        <v>7.3480755758511054E-2</v>
      </c>
      <c r="R4231" s="9">
        <f t="shared" si="167"/>
        <v>3.4807557585110477E-3</v>
      </c>
    </row>
    <row r="4232" spans="1:18" x14ac:dyDescent="0.2">
      <c r="A4232" s="2">
        <v>42622</v>
      </c>
      <c r="B4232" s="1" t="s">
        <v>59</v>
      </c>
      <c r="C4232" s="1" t="s">
        <v>14</v>
      </c>
      <c r="D4232" s="2">
        <v>42747</v>
      </c>
      <c r="E4232" s="2">
        <f t="shared" si="166"/>
        <v>43070</v>
      </c>
      <c r="F4232" s="1" t="s">
        <v>60</v>
      </c>
      <c r="G4232" s="1" t="s">
        <v>16</v>
      </c>
      <c r="H4232" s="1">
        <v>-0.7</v>
      </c>
      <c r="I4232" s="1">
        <v>0.64</v>
      </c>
      <c r="J4232" s="1">
        <v>0</v>
      </c>
      <c r="K4232" s="1" t="s">
        <v>67</v>
      </c>
      <c r="L4232" s="1">
        <v>2387</v>
      </c>
      <c r="M4232" s="1">
        <v>0.64</v>
      </c>
      <c r="N4232" s="1">
        <v>0.73563000000000001</v>
      </c>
      <c r="O4232" s="5">
        <f>VLOOKUP(D4232,underlying!$D$76:$H$90,5,FALSE)</f>
        <v>-0.14000000000000001</v>
      </c>
      <c r="P4232" s="2">
        <f>VLOOKUP(D4232,underlying!$D$76:$L$90,9,FALSE)</f>
        <v>43056</v>
      </c>
      <c r="Q4232" s="7">
        <f>IF(G4232="C",NormalCallSprd(O4232,H4232,M4232,(P4232-A4232)/365), NormalPutSprd(O4232,H4232,M4232,(P4232-A4232)/365))</f>
        <v>0.64353042433900542</v>
      </c>
      <c r="R4232" s="9">
        <f t="shared" si="167"/>
        <v>3.5304243390054113E-3</v>
      </c>
    </row>
    <row r="4233" spans="1:18" x14ac:dyDescent="0.2">
      <c r="A4233" s="2">
        <v>42622</v>
      </c>
      <c r="B4233" s="1" t="s">
        <v>59</v>
      </c>
      <c r="C4233" s="1" t="s">
        <v>14</v>
      </c>
      <c r="D4233" s="2">
        <v>42747</v>
      </c>
      <c r="E4233" s="2">
        <f t="shared" si="166"/>
        <v>43070</v>
      </c>
      <c r="F4233" s="1" t="s">
        <v>60</v>
      </c>
      <c r="G4233" s="1" t="s">
        <v>18</v>
      </c>
      <c r="H4233" s="1">
        <v>-0.7</v>
      </c>
      <c r="I4233" s="1">
        <v>0.08</v>
      </c>
      <c r="J4233" s="1">
        <v>0</v>
      </c>
      <c r="K4233" s="1" t="s">
        <v>67</v>
      </c>
      <c r="L4233" s="1">
        <v>2387</v>
      </c>
      <c r="M4233" s="1">
        <v>0.64</v>
      </c>
      <c r="N4233" s="1">
        <v>0.75429999999999997</v>
      </c>
      <c r="O4233" s="5">
        <f>VLOOKUP(D4233,underlying!$D$76:$H$90,5,FALSE)</f>
        <v>-0.14000000000000001</v>
      </c>
      <c r="P4233" s="2">
        <f>VLOOKUP(D4233,underlying!$D$76:$L$90,9,FALSE)</f>
        <v>43056</v>
      </c>
      <c r="Q4233" s="7">
        <f>IF(G4233="C",NormalCallSprd(O4233,H4233,M4233,(P4233-A4233)/365), NormalPutSprd(O4233,H4233,M4233,(P4233-A4233)/365))</f>
        <v>8.3530424339005427E-2</v>
      </c>
      <c r="R4233" s="9">
        <f t="shared" si="167"/>
        <v>3.5304243390054252E-3</v>
      </c>
    </row>
    <row r="4234" spans="1:18" x14ac:dyDescent="0.2">
      <c r="A4234" s="2">
        <v>42622</v>
      </c>
      <c r="B4234" s="1" t="s">
        <v>59</v>
      </c>
      <c r="C4234" s="1" t="s">
        <v>14</v>
      </c>
      <c r="D4234" s="2">
        <v>42747</v>
      </c>
      <c r="E4234" s="2">
        <f t="shared" si="166"/>
        <v>43070</v>
      </c>
      <c r="F4234" s="1" t="s">
        <v>60</v>
      </c>
      <c r="G4234" s="1" t="s">
        <v>16</v>
      </c>
      <c r="H4234" s="1">
        <v>-0.65</v>
      </c>
      <c r="I4234" s="1">
        <v>0.6</v>
      </c>
      <c r="J4234" s="1">
        <v>0</v>
      </c>
      <c r="K4234" s="1" t="s">
        <v>67</v>
      </c>
      <c r="L4234" s="1">
        <v>2387</v>
      </c>
      <c r="M4234" s="1">
        <v>0.64</v>
      </c>
      <c r="N4234" s="1">
        <v>0.77176999999999996</v>
      </c>
      <c r="O4234" s="5">
        <f>VLOOKUP(D4234,underlying!$D$76:$H$90,5,FALSE)</f>
        <v>-0.14000000000000001</v>
      </c>
      <c r="P4234" s="2">
        <f>VLOOKUP(D4234,underlying!$D$76:$L$90,9,FALSE)</f>
        <v>43056</v>
      </c>
      <c r="Q4234" s="7">
        <f>IF(G4234="C",NormalCallSprd(O4234,H4234,M4234,(P4234-A4234)/365), NormalPutSprd(O4234,H4234,M4234,(P4234-A4234)/365))</f>
        <v>0.60461567403805372</v>
      </c>
      <c r="R4234" s="9">
        <f t="shared" si="167"/>
        <v>4.6156740380537409E-3</v>
      </c>
    </row>
    <row r="4235" spans="1:18" x14ac:dyDescent="0.2">
      <c r="A4235" s="2">
        <v>42622</v>
      </c>
      <c r="B4235" s="1" t="s">
        <v>59</v>
      </c>
      <c r="C4235" s="1" t="s">
        <v>14</v>
      </c>
      <c r="D4235" s="2">
        <v>42747</v>
      </c>
      <c r="E4235" s="2">
        <f t="shared" si="166"/>
        <v>43070</v>
      </c>
      <c r="F4235" s="1" t="s">
        <v>60</v>
      </c>
      <c r="G4235" s="1" t="s">
        <v>18</v>
      </c>
      <c r="H4235" s="1">
        <v>-0.65</v>
      </c>
      <c r="I4235" s="1">
        <v>0.09</v>
      </c>
      <c r="J4235" s="1">
        <v>0</v>
      </c>
      <c r="K4235" s="1" t="s">
        <v>67</v>
      </c>
      <c r="L4235" s="1">
        <v>2387</v>
      </c>
      <c r="M4235" s="1">
        <v>0.64</v>
      </c>
      <c r="N4235" s="1">
        <v>0.78807000000000005</v>
      </c>
      <c r="O4235" s="5">
        <f>VLOOKUP(D4235,underlying!$D$76:$H$90,5,FALSE)</f>
        <v>-0.14000000000000001</v>
      </c>
      <c r="P4235" s="2">
        <f>VLOOKUP(D4235,underlying!$D$76:$L$90,9,FALSE)</f>
        <v>43056</v>
      </c>
      <c r="Q4235" s="7">
        <f>IF(G4235="C",NormalCallSprd(O4235,H4235,M4235,(P4235-A4235)/365), NormalPutSprd(O4235,H4235,M4235,(P4235-A4235)/365))</f>
        <v>9.4615674038053724E-2</v>
      </c>
      <c r="R4235" s="9">
        <f t="shared" si="167"/>
        <v>4.615674038053727E-3</v>
      </c>
    </row>
    <row r="4236" spans="1:18" x14ac:dyDescent="0.2">
      <c r="A4236" s="2">
        <v>42622</v>
      </c>
      <c r="B4236" s="1" t="s">
        <v>59</v>
      </c>
      <c r="C4236" s="1" t="s">
        <v>14</v>
      </c>
      <c r="D4236" s="2">
        <v>42747</v>
      </c>
      <c r="E4236" s="2">
        <f t="shared" si="166"/>
        <v>43070</v>
      </c>
      <c r="F4236" s="1" t="s">
        <v>60</v>
      </c>
      <c r="G4236" s="1" t="s">
        <v>16</v>
      </c>
      <c r="H4236" s="1">
        <v>-0.6</v>
      </c>
      <c r="I4236" s="1">
        <v>0.56000000000000005</v>
      </c>
      <c r="J4236" s="1">
        <v>0</v>
      </c>
      <c r="K4236" s="1" t="s">
        <v>67</v>
      </c>
      <c r="L4236" s="1">
        <v>2387</v>
      </c>
      <c r="M4236" s="1">
        <v>0.64</v>
      </c>
      <c r="N4236" s="1">
        <v>0.80567</v>
      </c>
      <c r="O4236" s="5">
        <f>VLOOKUP(D4236,underlying!$D$76:$H$90,5,FALSE)</f>
        <v>-0.14000000000000001</v>
      </c>
      <c r="P4236" s="2">
        <f>VLOOKUP(D4236,underlying!$D$76:$L$90,9,FALSE)</f>
        <v>43056</v>
      </c>
      <c r="Q4236" s="7">
        <f>IF(G4236="C",NormalCallSprd(O4236,H4236,M4236,(P4236-A4236)/365), NormalPutSprd(O4236,H4236,M4236,(P4236-A4236)/365))</f>
        <v>0.56679492338973381</v>
      </c>
      <c r="R4236" s="9">
        <f t="shared" si="167"/>
        <v>6.7949233897337535E-3</v>
      </c>
    </row>
    <row r="4237" spans="1:18" x14ac:dyDescent="0.2">
      <c r="A4237" s="2">
        <v>42622</v>
      </c>
      <c r="B4237" s="1" t="s">
        <v>59</v>
      </c>
      <c r="C4237" s="1" t="s">
        <v>14</v>
      </c>
      <c r="D4237" s="2">
        <v>42747</v>
      </c>
      <c r="E4237" s="2">
        <f t="shared" si="166"/>
        <v>43070</v>
      </c>
      <c r="F4237" s="1" t="s">
        <v>60</v>
      </c>
      <c r="G4237" s="1" t="s">
        <v>18</v>
      </c>
      <c r="H4237" s="1">
        <v>-0.6</v>
      </c>
      <c r="I4237" s="1">
        <v>0.11</v>
      </c>
      <c r="J4237" s="1">
        <v>0.01</v>
      </c>
      <c r="K4237" s="1" t="s">
        <v>67</v>
      </c>
      <c r="L4237" s="1">
        <v>2387</v>
      </c>
      <c r="M4237" s="1">
        <v>0.64</v>
      </c>
      <c r="N4237" s="1">
        <v>0.85124999999999995</v>
      </c>
      <c r="O4237" s="5">
        <f>VLOOKUP(D4237,underlying!$D$76:$H$90,5,FALSE)</f>
        <v>-0.14000000000000001</v>
      </c>
      <c r="P4237" s="2">
        <f>VLOOKUP(D4237,underlying!$D$76:$L$90,9,FALSE)</f>
        <v>43056</v>
      </c>
      <c r="Q4237" s="7">
        <f>IF(G4237="C",NormalCallSprd(O4237,H4237,M4237,(P4237-A4237)/365), NormalPutSprd(O4237,H4237,M4237,(P4237-A4237)/365))</f>
        <v>0.10679492338973383</v>
      </c>
      <c r="R4237" s="9">
        <f t="shared" si="167"/>
        <v>3.2050766102661721E-3</v>
      </c>
    </row>
    <row r="4238" spans="1:18" x14ac:dyDescent="0.2">
      <c r="A4238" s="2">
        <v>42622</v>
      </c>
      <c r="B4238" s="1" t="s">
        <v>59</v>
      </c>
      <c r="C4238" s="1" t="s">
        <v>14</v>
      </c>
      <c r="D4238" s="2">
        <v>42747</v>
      </c>
      <c r="E4238" s="2">
        <f t="shared" si="166"/>
        <v>43070</v>
      </c>
      <c r="F4238" s="1" t="s">
        <v>60</v>
      </c>
      <c r="G4238" s="1" t="s">
        <v>16</v>
      </c>
      <c r="H4238" s="1">
        <v>-0.55000000000000004</v>
      </c>
      <c r="I4238" s="1">
        <v>0.53</v>
      </c>
      <c r="J4238" s="1">
        <v>0</v>
      </c>
      <c r="K4238" s="1" t="s">
        <v>67</v>
      </c>
      <c r="L4238" s="1">
        <v>2387</v>
      </c>
      <c r="M4238" s="1">
        <v>0.64</v>
      </c>
      <c r="N4238" s="1">
        <v>0.97753999999999996</v>
      </c>
      <c r="O4238" s="5">
        <f>VLOOKUP(D4238,underlying!$D$76:$H$90,5,FALSE)</f>
        <v>-0.14000000000000001</v>
      </c>
      <c r="P4238" s="2">
        <f>VLOOKUP(D4238,underlying!$D$76:$L$90,9,FALSE)</f>
        <v>43056</v>
      </c>
      <c r="Q4238" s="7">
        <f>IF(G4238="C",NormalCallSprd(O4238,H4238,M4238,(P4238-A4238)/365), NormalPutSprd(O4238,H4238,M4238,(P4238-A4238)/365))</f>
        <v>0.53012397420127644</v>
      </c>
      <c r="R4238" s="9">
        <f t="shared" si="167"/>
        <v>1.2397420127641112E-4</v>
      </c>
    </row>
    <row r="4239" spans="1:18" x14ac:dyDescent="0.2">
      <c r="A4239" s="2">
        <v>42622</v>
      </c>
      <c r="B4239" s="1" t="s">
        <v>59</v>
      </c>
      <c r="C4239" s="1" t="s">
        <v>14</v>
      </c>
      <c r="D4239" s="2">
        <v>42747</v>
      </c>
      <c r="E4239" s="2">
        <f t="shared" si="166"/>
        <v>43070</v>
      </c>
      <c r="F4239" s="1" t="s">
        <v>60</v>
      </c>
      <c r="G4239" s="1" t="s">
        <v>18</v>
      </c>
      <c r="H4239" s="1">
        <v>-0.55000000000000004</v>
      </c>
      <c r="I4239" s="1">
        <v>0.12</v>
      </c>
      <c r="J4239" s="1">
        <v>0.01</v>
      </c>
      <c r="K4239" s="1" t="s">
        <v>67</v>
      </c>
      <c r="L4239" s="1">
        <v>2387</v>
      </c>
      <c r="M4239" s="1">
        <v>0.64</v>
      </c>
      <c r="N4239" s="1">
        <v>0.99336999999999998</v>
      </c>
      <c r="O4239" s="5">
        <f>VLOOKUP(D4239,underlying!$D$76:$H$90,5,FALSE)</f>
        <v>-0.14000000000000001</v>
      </c>
      <c r="P4239" s="2">
        <f>VLOOKUP(D4239,underlying!$D$76:$L$90,9,FALSE)</f>
        <v>43056</v>
      </c>
      <c r="Q4239" s="7">
        <f>IF(G4239="C",NormalCallSprd(O4239,H4239,M4239,(P4239-A4239)/365), NormalPutSprd(O4239,H4239,M4239,(P4239-A4239)/365))</f>
        <v>0.12012397420127637</v>
      </c>
      <c r="R4239" s="9">
        <f t="shared" si="167"/>
        <v>1.2397420127636949E-4</v>
      </c>
    </row>
    <row r="4240" spans="1:18" x14ac:dyDescent="0.2">
      <c r="A4240" s="2">
        <v>42622</v>
      </c>
      <c r="B4240" s="1" t="s">
        <v>59</v>
      </c>
      <c r="C4240" s="1" t="s">
        <v>14</v>
      </c>
      <c r="D4240" s="2">
        <v>42747</v>
      </c>
      <c r="E4240" s="2">
        <f t="shared" si="166"/>
        <v>43070</v>
      </c>
      <c r="F4240" s="1" t="s">
        <v>60</v>
      </c>
      <c r="G4240" s="1" t="s">
        <v>16</v>
      </c>
      <c r="H4240" s="1">
        <v>-0.5</v>
      </c>
      <c r="I4240" s="1">
        <v>0.49</v>
      </c>
      <c r="J4240" s="1">
        <v>0</v>
      </c>
      <c r="K4240" s="1" t="s">
        <v>67</v>
      </c>
      <c r="L4240" s="1">
        <v>2387</v>
      </c>
      <c r="M4240" s="1">
        <v>0.64</v>
      </c>
      <c r="N4240" s="1">
        <v>-0.57813999999999999</v>
      </c>
      <c r="O4240" s="5">
        <f>VLOOKUP(D4240,underlying!$D$76:$H$90,5,FALSE)</f>
        <v>-0.14000000000000001</v>
      </c>
      <c r="P4240" s="2">
        <f>VLOOKUP(D4240,underlying!$D$76:$L$90,9,FALSE)</f>
        <v>43056</v>
      </c>
      <c r="Q4240" s="7">
        <f>IF(G4240="C",NormalCallSprd(O4240,H4240,M4240,(P4240-A4240)/365), NormalPutSprd(O4240,H4240,M4240,(P4240-A4240)/365))</f>
        <v>0.49465529259882907</v>
      </c>
      <c r="R4240" s="9">
        <f t="shared" si="167"/>
        <v>4.655292598829075E-3</v>
      </c>
    </row>
    <row r="4241" spans="1:18" x14ac:dyDescent="0.2">
      <c r="A4241" s="2">
        <v>42622</v>
      </c>
      <c r="B4241" s="1" t="s">
        <v>59</v>
      </c>
      <c r="C4241" s="1" t="s">
        <v>14</v>
      </c>
      <c r="D4241" s="2">
        <v>42747</v>
      </c>
      <c r="E4241" s="2">
        <f t="shared" si="166"/>
        <v>43070</v>
      </c>
      <c r="F4241" s="1" t="s">
        <v>60</v>
      </c>
      <c r="G4241" s="1" t="s">
        <v>18</v>
      </c>
      <c r="H4241" s="1">
        <v>-0.5</v>
      </c>
      <c r="I4241" s="1">
        <v>0.14000000000000001</v>
      </c>
      <c r="J4241" s="1">
        <v>0.01</v>
      </c>
      <c r="K4241" s="1" t="s">
        <v>67</v>
      </c>
      <c r="L4241" s="1">
        <v>2387</v>
      </c>
      <c r="M4241" s="1">
        <v>0.64</v>
      </c>
      <c r="N4241" s="1">
        <v>-0.54691000000000001</v>
      </c>
      <c r="O4241" s="5">
        <f>VLOOKUP(D4241,underlying!$D$76:$H$90,5,FALSE)</f>
        <v>-0.14000000000000001</v>
      </c>
      <c r="P4241" s="2">
        <f>VLOOKUP(D4241,underlying!$D$76:$L$90,9,FALSE)</f>
        <v>43056</v>
      </c>
      <c r="Q4241" s="7">
        <f>IF(G4241="C",NormalCallSprd(O4241,H4241,M4241,(P4241-A4241)/365), NormalPutSprd(O4241,H4241,M4241,(P4241-A4241)/365))</f>
        <v>0.13465529259882908</v>
      </c>
      <c r="R4241" s="9">
        <f t="shared" si="167"/>
        <v>5.3447074011709339E-3</v>
      </c>
    </row>
    <row r="4242" spans="1:18" x14ac:dyDescent="0.2">
      <c r="A4242" s="2">
        <v>42622</v>
      </c>
      <c r="B4242" s="1" t="s">
        <v>59</v>
      </c>
      <c r="C4242" s="1" t="s">
        <v>14</v>
      </c>
      <c r="D4242" s="2">
        <v>42747</v>
      </c>
      <c r="E4242" s="2">
        <f t="shared" si="166"/>
        <v>43070</v>
      </c>
      <c r="F4242" s="1" t="s">
        <v>60</v>
      </c>
      <c r="G4242" s="1" t="s">
        <v>16</v>
      </c>
      <c r="H4242" s="1">
        <v>-0.45</v>
      </c>
      <c r="I4242" s="1">
        <v>0.45</v>
      </c>
      <c r="J4242" s="1">
        <v>0</v>
      </c>
      <c r="K4242" s="1" t="s">
        <v>67</v>
      </c>
      <c r="L4242" s="1">
        <v>2387</v>
      </c>
      <c r="M4242" s="1">
        <v>0.63</v>
      </c>
      <c r="N4242" s="1">
        <v>-0.51580999999999999</v>
      </c>
      <c r="O4242" s="5">
        <f>VLOOKUP(D4242,underlying!$D$76:$H$90,5,FALSE)</f>
        <v>-0.14000000000000001</v>
      </c>
      <c r="P4242" s="2">
        <f>VLOOKUP(D4242,underlying!$D$76:$L$90,9,FALSE)</f>
        <v>43056</v>
      </c>
      <c r="Q4242" s="7">
        <f>IF(G4242="C",NormalCallSprd(O4242,H4242,M4242,(P4242-A4242)/365), NormalPutSprd(O4242,H4242,M4242,(P4242-A4242)/365))</f>
        <v>0.4565019744784512</v>
      </c>
      <c r="R4242" s="9">
        <f t="shared" si="167"/>
        <v>6.501974478451189E-3</v>
      </c>
    </row>
    <row r="4243" spans="1:18" x14ac:dyDescent="0.2">
      <c r="A4243" s="2">
        <v>42622</v>
      </c>
      <c r="B4243" s="1" t="s">
        <v>59</v>
      </c>
      <c r="C4243" s="1" t="s">
        <v>14</v>
      </c>
      <c r="D4243" s="2">
        <v>42747</v>
      </c>
      <c r="E4243" s="2">
        <f t="shared" si="166"/>
        <v>43070</v>
      </c>
      <c r="F4243" s="1" t="s">
        <v>60</v>
      </c>
      <c r="G4243" s="1" t="s">
        <v>18</v>
      </c>
      <c r="H4243" s="1">
        <v>-0.45</v>
      </c>
      <c r="I4243" s="1">
        <v>0.14000000000000001</v>
      </c>
      <c r="J4243" s="1">
        <v>0.01</v>
      </c>
      <c r="K4243" s="1" t="s">
        <v>67</v>
      </c>
      <c r="L4243" s="1">
        <v>2387</v>
      </c>
      <c r="M4243" s="1">
        <v>0.63</v>
      </c>
      <c r="N4243" s="1">
        <v>-0.48499999999999999</v>
      </c>
      <c r="O4243" s="5">
        <f>VLOOKUP(D4243,underlying!$D$76:$H$90,5,FALSE)</f>
        <v>-0.14000000000000001</v>
      </c>
      <c r="P4243" s="2">
        <f>VLOOKUP(D4243,underlying!$D$76:$L$90,9,FALSE)</f>
        <v>43056</v>
      </c>
      <c r="Q4243" s="7">
        <f>IF(G4243="C",NormalCallSprd(O4243,H4243,M4243,(P4243-A4243)/365), NormalPutSprd(O4243,H4243,M4243,(P4243-A4243)/365))</f>
        <v>0.1465019744784512</v>
      </c>
      <c r="R4243" s="9">
        <f t="shared" si="167"/>
        <v>6.501974478451189E-3</v>
      </c>
    </row>
    <row r="4244" spans="1:18" x14ac:dyDescent="0.2">
      <c r="A4244" s="2">
        <v>42622</v>
      </c>
      <c r="B4244" s="1" t="s">
        <v>59</v>
      </c>
      <c r="C4244" s="1" t="s">
        <v>14</v>
      </c>
      <c r="D4244" s="2">
        <v>42747</v>
      </c>
      <c r="E4244" s="2">
        <f t="shared" si="166"/>
        <v>43070</v>
      </c>
      <c r="F4244" s="1" t="s">
        <v>60</v>
      </c>
      <c r="G4244" s="1" t="s">
        <v>16</v>
      </c>
      <c r="H4244" s="1">
        <v>-0.4</v>
      </c>
      <c r="I4244" s="1">
        <v>0.41</v>
      </c>
      <c r="J4244" s="1">
        <v>0</v>
      </c>
      <c r="K4244" s="1" t="s">
        <v>67</v>
      </c>
      <c r="L4244" s="1">
        <v>2387</v>
      </c>
      <c r="M4244" s="1">
        <v>0.62</v>
      </c>
      <c r="N4244" s="1">
        <v>-0.45488000000000001</v>
      </c>
      <c r="O4244" s="5">
        <f>VLOOKUP(D4244,underlying!$D$76:$H$90,5,FALSE)</f>
        <v>-0.14000000000000001</v>
      </c>
      <c r="P4244" s="2">
        <f>VLOOKUP(D4244,underlying!$D$76:$L$90,9,FALSE)</f>
        <v>43056</v>
      </c>
      <c r="Q4244" s="7">
        <f>IF(G4244="C",NormalCallSprd(O4244,H4244,M4244,(P4244-A4244)/365), NormalPutSprd(O4244,H4244,M4244,(P4244-A4244)/365))</f>
        <v>0.41941483448652755</v>
      </c>
      <c r="R4244" s="9">
        <f t="shared" si="167"/>
        <v>9.414834486527579E-3</v>
      </c>
    </row>
    <row r="4245" spans="1:18" x14ac:dyDescent="0.2">
      <c r="A4245" s="2">
        <v>42622</v>
      </c>
      <c r="B4245" s="1" t="s">
        <v>59</v>
      </c>
      <c r="C4245" s="1" t="s">
        <v>14</v>
      </c>
      <c r="D4245" s="2">
        <v>42747</v>
      </c>
      <c r="E4245" s="2">
        <f t="shared" si="166"/>
        <v>43070</v>
      </c>
      <c r="F4245" s="1" t="s">
        <v>60</v>
      </c>
      <c r="G4245" s="1" t="s">
        <v>18</v>
      </c>
      <c r="H4245" s="1">
        <v>-0.4</v>
      </c>
      <c r="I4245" s="1">
        <v>0.15</v>
      </c>
      <c r="J4245" s="1">
        <v>0.01</v>
      </c>
      <c r="K4245" s="1" t="s">
        <v>67</v>
      </c>
      <c r="L4245" s="1">
        <v>2387</v>
      </c>
      <c r="M4245" s="1">
        <v>0.62</v>
      </c>
      <c r="N4245" s="1">
        <v>-0.42592000000000002</v>
      </c>
      <c r="O4245" s="5">
        <f>VLOOKUP(D4245,underlying!$D$76:$H$90,5,FALSE)</f>
        <v>-0.14000000000000001</v>
      </c>
      <c r="P4245" s="2">
        <f>VLOOKUP(D4245,underlying!$D$76:$L$90,9,FALSE)</f>
        <v>43056</v>
      </c>
      <c r="Q4245" s="7">
        <f>IF(G4245="C",NormalCallSprd(O4245,H4245,M4245,(P4245-A4245)/365), NormalPutSprd(O4245,H4245,M4245,(P4245-A4245)/365))</f>
        <v>0.15941483448652752</v>
      </c>
      <c r="R4245" s="9">
        <f t="shared" si="167"/>
        <v>9.4148344865275235E-3</v>
      </c>
    </row>
    <row r="4246" spans="1:18" x14ac:dyDescent="0.2">
      <c r="A4246" s="2">
        <v>42622</v>
      </c>
      <c r="B4246" s="1" t="s">
        <v>59</v>
      </c>
      <c r="C4246" s="1" t="s">
        <v>14</v>
      </c>
      <c r="D4246" s="2">
        <v>42747</v>
      </c>
      <c r="E4246" s="2">
        <f t="shared" si="166"/>
        <v>43070</v>
      </c>
      <c r="F4246" s="1" t="s">
        <v>60</v>
      </c>
      <c r="G4246" s="1" t="s">
        <v>16</v>
      </c>
      <c r="H4246" s="1">
        <v>-0.35</v>
      </c>
      <c r="I4246" s="1">
        <v>0.38</v>
      </c>
      <c r="J4246" s="1">
        <v>0</v>
      </c>
      <c r="K4246" s="1" t="s">
        <v>67</v>
      </c>
      <c r="L4246" s="1">
        <v>2387</v>
      </c>
      <c r="M4246" s="1">
        <v>0.61</v>
      </c>
      <c r="N4246" s="1">
        <v>-0.39816000000000001</v>
      </c>
      <c r="O4246" s="5">
        <f>VLOOKUP(D4246,underlying!$D$76:$H$90,5,FALSE)</f>
        <v>-0.14000000000000001</v>
      </c>
      <c r="P4246" s="2">
        <f>VLOOKUP(D4246,underlying!$D$76:$L$90,9,FALSE)</f>
        <v>43056</v>
      </c>
      <c r="Q4246" s="7">
        <f>IF(G4246="C",NormalCallSprd(O4246,H4246,M4246,(P4246-A4246)/365), NormalPutSprd(O4246,H4246,M4246,(P4246-A4246)/365))</f>
        <v>0.3834778330010829</v>
      </c>
      <c r="R4246" s="9">
        <f t="shared" si="167"/>
        <v>3.4778330010828973E-3</v>
      </c>
    </row>
    <row r="4247" spans="1:18" x14ac:dyDescent="0.2">
      <c r="A4247" s="2">
        <v>42622</v>
      </c>
      <c r="B4247" s="1" t="s">
        <v>59</v>
      </c>
      <c r="C4247" s="1" t="s">
        <v>14</v>
      </c>
      <c r="D4247" s="2">
        <v>42747</v>
      </c>
      <c r="E4247" s="2">
        <f t="shared" si="166"/>
        <v>43070</v>
      </c>
      <c r="F4247" s="1" t="s">
        <v>60</v>
      </c>
      <c r="G4247" s="1" t="s">
        <v>18</v>
      </c>
      <c r="H4247" s="1">
        <v>-0.35</v>
      </c>
      <c r="I4247" s="1">
        <v>0.17</v>
      </c>
      <c r="J4247" s="1">
        <v>0.01</v>
      </c>
      <c r="K4247" s="1" t="s">
        <v>67</v>
      </c>
      <c r="L4247" s="1">
        <v>2387</v>
      </c>
      <c r="M4247" s="1">
        <v>0.61</v>
      </c>
      <c r="N4247" s="1">
        <v>-0.37167</v>
      </c>
      <c r="O4247" s="5">
        <f>VLOOKUP(D4247,underlying!$D$76:$H$90,5,FALSE)</f>
        <v>-0.14000000000000001</v>
      </c>
      <c r="P4247" s="2">
        <f>VLOOKUP(D4247,underlying!$D$76:$L$90,9,FALSE)</f>
        <v>43056</v>
      </c>
      <c r="Q4247" s="7">
        <f>IF(G4247="C",NormalCallSprd(O4247,H4247,M4247,(P4247-A4247)/365), NormalPutSprd(O4247,H4247,M4247,(P4247-A4247)/365))</f>
        <v>0.17347783300108297</v>
      </c>
      <c r="R4247" s="9">
        <f t="shared" si="167"/>
        <v>3.4778330010829528E-3</v>
      </c>
    </row>
    <row r="4248" spans="1:18" x14ac:dyDescent="0.2">
      <c r="A4248" s="2">
        <v>42622</v>
      </c>
      <c r="B4248" s="1" t="s">
        <v>59</v>
      </c>
      <c r="C4248" s="1" t="s">
        <v>14</v>
      </c>
      <c r="D4248" s="2">
        <v>42747</v>
      </c>
      <c r="E4248" s="2">
        <f t="shared" si="166"/>
        <v>43070</v>
      </c>
      <c r="F4248" s="1" t="s">
        <v>60</v>
      </c>
      <c r="G4248" s="1" t="s">
        <v>16</v>
      </c>
      <c r="H4248" s="1">
        <v>-0.3</v>
      </c>
      <c r="I4248" s="1">
        <v>0.35</v>
      </c>
      <c r="J4248" s="1">
        <v>0</v>
      </c>
      <c r="K4248" s="1" t="s">
        <v>67</v>
      </c>
      <c r="L4248" s="1">
        <v>2387</v>
      </c>
      <c r="M4248" s="1">
        <v>0.61</v>
      </c>
      <c r="N4248" s="1">
        <v>-0.34648000000000001</v>
      </c>
      <c r="O4248" s="5">
        <f>VLOOKUP(D4248,underlying!$D$76:$H$90,5,FALSE)</f>
        <v>-0.14000000000000001</v>
      </c>
      <c r="P4248" s="2">
        <f>VLOOKUP(D4248,underlying!$D$76:$L$90,9,FALSE)</f>
        <v>43056</v>
      </c>
      <c r="Q4248" s="7">
        <f>IF(G4248="C",NormalCallSprd(O4248,H4248,M4248,(P4248-A4248)/365), NormalPutSprd(O4248,H4248,M4248,(P4248-A4248)/365))</f>
        <v>0.35300195729380601</v>
      </c>
      <c r="R4248" s="9">
        <f t="shared" si="167"/>
        <v>3.0019572938060346E-3</v>
      </c>
    </row>
    <row r="4249" spans="1:18" x14ac:dyDescent="0.2">
      <c r="A4249" s="2">
        <v>42622</v>
      </c>
      <c r="B4249" s="1" t="s">
        <v>59</v>
      </c>
      <c r="C4249" s="1" t="s">
        <v>14</v>
      </c>
      <c r="D4249" s="2">
        <v>42747</v>
      </c>
      <c r="E4249" s="2">
        <f t="shared" si="166"/>
        <v>43070</v>
      </c>
      <c r="F4249" s="1" t="s">
        <v>60</v>
      </c>
      <c r="G4249" s="1" t="s">
        <v>18</v>
      </c>
      <c r="H4249" s="1">
        <v>-0.3</v>
      </c>
      <c r="I4249" s="1">
        <v>0.19</v>
      </c>
      <c r="J4249" s="1">
        <v>0.01</v>
      </c>
      <c r="K4249" s="1" t="s">
        <v>67</v>
      </c>
      <c r="L4249" s="1">
        <v>2387</v>
      </c>
      <c r="M4249" s="1">
        <v>0.61</v>
      </c>
      <c r="N4249" s="1">
        <v>-0.32262000000000002</v>
      </c>
      <c r="O4249" s="5">
        <f>VLOOKUP(D4249,underlying!$D$76:$H$90,5,FALSE)</f>
        <v>-0.14000000000000001</v>
      </c>
      <c r="P4249" s="2">
        <f>VLOOKUP(D4249,underlying!$D$76:$L$90,9,FALSE)</f>
        <v>43056</v>
      </c>
      <c r="Q4249" s="7">
        <f>IF(G4249="C",NormalCallSprd(O4249,H4249,M4249,(P4249-A4249)/365), NormalPutSprd(O4249,H4249,M4249,(P4249-A4249)/365))</f>
        <v>0.19300195729380604</v>
      </c>
      <c r="R4249" s="9">
        <f t="shared" si="167"/>
        <v>3.0019572938060346E-3</v>
      </c>
    </row>
    <row r="4250" spans="1:18" x14ac:dyDescent="0.2">
      <c r="A4250" s="2">
        <v>42622</v>
      </c>
      <c r="B4250" s="1" t="s">
        <v>59</v>
      </c>
      <c r="C4250" s="1" t="s">
        <v>14</v>
      </c>
      <c r="D4250" s="2">
        <v>42747</v>
      </c>
      <c r="E4250" s="2">
        <f t="shared" si="166"/>
        <v>43070</v>
      </c>
      <c r="F4250" s="1" t="s">
        <v>60</v>
      </c>
      <c r="G4250" s="1" t="s">
        <v>16</v>
      </c>
      <c r="H4250" s="1">
        <v>-0.25</v>
      </c>
      <c r="I4250" s="1">
        <v>0.32</v>
      </c>
      <c r="J4250" s="1">
        <v>0</v>
      </c>
      <c r="K4250" s="1" t="s">
        <v>67</v>
      </c>
      <c r="L4250" s="1">
        <v>2387</v>
      </c>
      <c r="M4250" s="1">
        <v>0.61</v>
      </c>
      <c r="N4250" s="1">
        <v>-0.30008000000000001</v>
      </c>
      <c r="O4250" s="5">
        <f>VLOOKUP(D4250,underlying!$D$76:$H$90,5,FALSE)</f>
        <v>-0.14000000000000001</v>
      </c>
      <c r="P4250" s="2">
        <f>VLOOKUP(D4250,underlying!$D$76:$L$90,9,FALSE)</f>
        <v>43056</v>
      </c>
      <c r="Q4250" s="7">
        <f>IF(G4250="C",NormalCallSprd(O4250,H4250,M4250,(P4250-A4250)/365), NormalPutSprd(O4250,H4250,M4250,(P4250-A4250)/365))</f>
        <v>0.32398209346473017</v>
      </c>
      <c r="R4250" s="9">
        <f t="shared" si="167"/>
        <v>3.9820934647301631E-3</v>
      </c>
    </row>
    <row r="4251" spans="1:18" x14ac:dyDescent="0.2">
      <c r="A4251" s="2">
        <v>42622</v>
      </c>
      <c r="B4251" s="1" t="s">
        <v>59</v>
      </c>
      <c r="C4251" s="1" t="s">
        <v>14</v>
      </c>
      <c r="D4251" s="2">
        <v>42747</v>
      </c>
      <c r="E4251" s="2">
        <f t="shared" si="166"/>
        <v>43070</v>
      </c>
      <c r="F4251" s="1" t="s">
        <v>60</v>
      </c>
      <c r="G4251" s="1" t="s">
        <v>18</v>
      </c>
      <c r="H4251" s="1">
        <v>-0.25</v>
      </c>
      <c r="I4251" s="1">
        <v>0.21</v>
      </c>
      <c r="J4251" s="1">
        <v>0.01</v>
      </c>
      <c r="K4251" s="1" t="s">
        <v>67</v>
      </c>
      <c r="L4251" s="1">
        <v>2387</v>
      </c>
      <c r="M4251" s="1">
        <v>0.61</v>
      </c>
      <c r="N4251" s="1">
        <v>-0.27886</v>
      </c>
      <c r="O4251" s="5">
        <f>VLOOKUP(D4251,underlying!$D$76:$H$90,5,FALSE)</f>
        <v>-0.14000000000000001</v>
      </c>
      <c r="P4251" s="2">
        <f>VLOOKUP(D4251,underlying!$D$76:$L$90,9,FALSE)</f>
        <v>43056</v>
      </c>
      <c r="Q4251" s="7">
        <f>IF(G4251="C",NormalCallSprd(O4251,H4251,M4251,(P4251-A4251)/365), NormalPutSprd(O4251,H4251,M4251,(P4251-A4251)/365))</f>
        <v>0.21398209346473018</v>
      </c>
      <c r="R4251" s="9">
        <f t="shared" si="167"/>
        <v>3.9820934647301909E-3</v>
      </c>
    </row>
    <row r="4252" spans="1:18" x14ac:dyDescent="0.2">
      <c r="A4252" s="2">
        <v>42622</v>
      </c>
      <c r="B4252" s="1" t="s">
        <v>59</v>
      </c>
      <c r="C4252" s="1" t="s">
        <v>14</v>
      </c>
      <c r="D4252" s="2">
        <v>42747</v>
      </c>
      <c r="E4252" s="2">
        <f t="shared" si="166"/>
        <v>43070</v>
      </c>
      <c r="F4252" s="1" t="s">
        <v>60</v>
      </c>
      <c r="G4252" s="1" t="s">
        <v>16</v>
      </c>
      <c r="H4252" s="1">
        <v>-0.2</v>
      </c>
      <c r="I4252" s="1">
        <v>0.28999999999999998</v>
      </c>
      <c r="J4252" s="1">
        <v>0</v>
      </c>
      <c r="K4252" s="1" t="s">
        <v>67</v>
      </c>
      <c r="L4252" s="1">
        <v>2387</v>
      </c>
      <c r="M4252" s="1">
        <v>0.6</v>
      </c>
      <c r="N4252" s="1">
        <v>-0.25892999999999999</v>
      </c>
      <c r="O4252" s="5">
        <f>VLOOKUP(D4252,underlying!$D$76:$H$90,5,FALSE)</f>
        <v>-0.14000000000000001</v>
      </c>
      <c r="P4252" s="2">
        <f>VLOOKUP(D4252,underlying!$D$76:$L$90,9,FALSE)</f>
        <v>43056</v>
      </c>
      <c r="Q4252" s="7">
        <f>IF(G4252="C",NormalCallSprd(O4252,H4252,M4252,(P4252-A4252)/365), NormalPutSprd(O4252,H4252,M4252,(P4252-A4252)/365))</f>
        <v>0.29210836693476788</v>
      </c>
      <c r="R4252" s="9">
        <f t="shared" si="167"/>
        <v>2.1083669347679024E-3</v>
      </c>
    </row>
    <row r="4253" spans="1:18" x14ac:dyDescent="0.2">
      <c r="A4253" s="2">
        <v>42622</v>
      </c>
      <c r="B4253" s="1" t="s">
        <v>59</v>
      </c>
      <c r="C4253" s="1" t="s">
        <v>14</v>
      </c>
      <c r="D4253" s="2">
        <v>42747</v>
      </c>
      <c r="E4253" s="2">
        <f t="shared" si="166"/>
        <v>43070</v>
      </c>
      <c r="F4253" s="1" t="s">
        <v>60</v>
      </c>
      <c r="G4253" s="1" t="s">
        <v>18</v>
      </c>
      <c r="H4253" s="1">
        <v>-0.2</v>
      </c>
      <c r="I4253" s="1">
        <v>0.23</v>
      </c>
      <c r="J4253" s="1">
        <v>0.01</v>
      </c>
      <c r="K4253" s="1" t="s">
        <v>67</v>
      </c>
      <c r="L4253" s="1">
        <v>2387</v>
      </c>
      <c r="M4253" s="1">
        <v>0.6</v>
      </c>
      <c r="N4253" s="1">
        <v>-0.24024999999999999</v>
      </c>
      <c r="O4253" s="5">
        <f>VLOOKUP(D4253,underlying!$D$76:$H$90,5,FALSE)</f>
        <v>-0.14000000000000001</v>
      </c>
      <c r="P4253" s="2">
        <f>VLOOKUP(D4253,underlying!$D$76:$L$90,9,FALSE)</f>
        <v>43056</v>
      </c>
      <c r="Q4253" s="7">
        <f>IF(G4253="C",NormalCallSprd(O4253,H4253,M4253,(P4253-A4253)/365), NormalPutSprd(O4253,H4253,M4253,(P4253-A4253)/365))</f>
        <v>0.23210836693476791</v>
      </c>
      <c r="R4253" s="9">
        <f t="shared" si="167"/>
        <v>2.1083669347679024E-3</v>
      </c>
    </row>
    <row r="4254" spans="1:18" x14ac:dyDescent="0.2">
      <c r="A4254" s="2">
        <v>42622</v>
      </c>
      <c r="B4254" s="1" t="s">
        <v>59</v>
      </c>
      <c r="C4254" s="1" t="s">
        <v>14</v>
      </c>
      <c r="D4254" s="2">
        <v>42747</v>
      </c>
      <c r="E4254" s="2">
        <f t="shared" si="166"/>
        <v>43070</v>
      </c>
      <c r="F4254" s="1" t="s">
        <v>60</v>
      </c>
      <c r="G4254" s="1" t="s">
        <v>16</v>
      </c>
      <c r="H4254" s="1">
        <v>-0.15</v>
      </c>
      <c r="I4254" s="1">
        <v>0.27</v>
      </c>
      <c r="J4254" s="1">
        <v>0.01</v>
      </c>
      <c r="K4254" s="1" t="s">
        <v>67</v>
      </c>
      <c r="L4254" s="1">
        <v>2387</v>
      </c>
      <c r="M4254" s="1">
        <v>0.6</v>
      </c>
      <c r="N4254" s="1">
        <v>-0.22278999999999999</v>
      </c>
      <c r="O4254" s="5">
        <f>VLOOKUP(D4254,underlying!$D$76:$H$90,5,FALSE)</f>
        <v>-0.14000000000000001</v>
      </c>
      <c r="P4254" s="2">
        <f>VLOOKUP(D4254,underlying!$D$76:$L$90,9,FALSE)</f>
        <v>43056</v>
      </c>
      <c r="Q4254" s="7">
        <f>IF(G4254="C",NormalCallSprd(O4254,H4254,M4254,(P4254-A4254)/365), NormalPutSprd(O4254,H4254,M4254,(P4254-A4254)/365))</f>
        <v>0.26604205135589531</v>
      </c>
      <c r="R4254" s="9">
        <f t="shared" si="167"/>
        <v>3.9579486441047029E-3</v>
      </c>
    </row>
    <row r="4255" spans="1:18" x14ac:dyDescent="0.2">
      <c r="A4255" s="2">
        <v>42622</v>
      </c>
      <c r="B4255" s="1" t="s">
        <v>59</v>
      </c>
      <c r="C4255" s="1" t="s">
        <v>14</v>
      </c>
      <c r="D4255" s="2">
        <v>42747</v>
      </c>
      <c r="E4255" s="2">
        <f t="shared" si="166"/>
        <v>43070</v>
      </c>
      <c r="F4255" s="1" t="s">
        <v>60</v>
      </c>
      <c r="G4255" s="1" t="s">
        <v>18</v>
      </c>
      <c r="H4255" s="1">
        <v>-0.15</v>
      </c>
      <c r="I4255" s="1">
        <v>0.25</v>
      </c>
      <c r="J4255" s="1">
        <v>0.01</v>
      </c>
      <c r="K4255" s="1" t="s">
        <v>67</v>
      </c>
      <c r="L4255" s="1">
        <v>2387</v>
      </c>
      <c r="M4255" s="1">
        <v>0.6</v>
      </c>
      <c r="N4255" s="1">
        <v>-0.20648</v>
      </c>
      <c r="O4255" s="5">
        <f>VLOOKUP(D4255,underlying!$D$76:$H$90,5,FALSE)</f>
        <v>-0.14000000000000001</v>
      </c>
      <c r="P4255" s="2">
        <f>VLOOKUP(D4255,underlying!$D$76:$L$90,9,FALSE)</f>
        <v>43056</v>
      </c>
      <c r="Q4255" s="7">
        <f>IF(G4255="C",NormalCallSprd(O4255,H4255,M4255,(P4255-A4255)/365), NormalPutSprd(O4255,H4255,M4255,(P4255-A4255)/365))</f>
        <v>0.25604205135589536</v>
      </c>
      <c r="R4255" s="9">
        <f t="shared" si="167"/>
        <v>6.0420513558953615E-3</v>
      </c>
    </row>
    <row r="4256" spans="1:18" x14ac:dyDescent="0.2">
      <c r="A4256" s="2">
        <v>42622</v>
      </c>
      <c r="B4256" s="1" t="s">
        <v>59</v>
      </c>
      <c r="C4256" s="1" t="s">
        <v>14</v>
      </c>
      <c r="D4256" s="2">
        <v>42747</v>
      </c>
      <c r="E4256" s="2">
        <f t="shared" si="166"/>
        <v>43070</v>
      </c>
      <c r="F4256" s="1" t="s">
        <v>60</v>
      </c>
      <c r="G4256" s="1" t="s">
        <v>16</v>
      </c>
      <c r="H4256" s="1">
        <v>-0.1</v>
      </c>
      <c r="I4256" s="1">
        <v>0.24</v>
      </c>
      <c r="J4256" s="1">
        <v>0.01</v>
      </c>
      <c r="K4256" s="1" t="s">
        <v>67</v>
      </c>
      <c r="L4256" s="1">
        <v>2387</v>
      </c>
      <c r="M4256" s="1">
        <v>0.59</v>
      </c>
      <c r="N4256" s="1">
        <v>-0.18889</v>
      </c>
      <c r="O4256" s="5">
        <f>VLOOKUP(D4256,underlying!$D$76:$H$90,5,FALSE)</f>
        <v>-0.14000000000000001</v>
      </c>
      <c r="P4256" s="2">
        <f>VLOOKUP(D4256,underlying!$D$76:$L$90,9,FALSE)</f>
        <v>43056</v>
      </c>
      <c r="Q4256" s="7">
        <f>IF(G4256="C",NormalCallSprd(O4256,H4256,M4256,(P4256-A4256)/365), NormalPutSprd(O4256,H4256,M4256,(P4256-A4256)/365))</f>
        <v>0.23715728896472624</v>
      </c>
      <c r="R4256" s="9">
        <f t="shared" si="167"/>
        <v>2.8427110352737539E-3</v>
      </c>
    </row>
    <row r="4257" spans="1:18" x14ac:dyDescent="0.2">
      <c r="A4257" s="2">
        <v>42622</v>
      </c>
      <c r="B4257" s="1" t="s">
        <v>59</v>
      </c>
      <c r="C4257" s="1" t="s">
        <v>14</v>
      </c>
      <c r="D4257" s="2">
        <v>42747</v>
      </c>
      <c r="E4257" s="2">
        <f t="shared" si="166"/>
        <v>43070</v>
      </c>
      <c r="F4257" s="1" t="s">
        <v>60</v>
      </c>
      <c r="G4257" s="1" t="s">
        <v>18</v>
      </c>
      <c r="H4257" s="1">
        <v>-0.1</v>
      </c>
      <c r="I4257" s="1">
        <v>0.28000000000000003</v>
      </c>
      <c r="J4257" s="1">
        <v>0.02</v>
      </c>
      <c r="K4257" s="1" t="s">
        <v>67</v>
      </c>
      <c r="L4257" s="1">
        <v>2387</v>
      </c>
      <c r="M4257" s="1">
        <v>0.59</v>
      </c>
      <c r="N4257" s="1">
        <v>-0.14330999999999999</v>
      </c>
      <c r="O4257" s="5">
        <f>VLOOKUP(D4257,underlying!$D$76:$H$90,5,FALSE)</f>
        <v>-0.14000000000000001</v>
      </c>
      <c r="P4257" s="2">
        <f>VLOOKUP(D4257,underlying!$D$76:$L$90,9,FALSE)</f>
        <v>43056</v>
      </c>
      <c r="Q4257" s="7">
        <f>IF(G4257="C",NormalCallSprd(O4257,H4257,M4257,(P4257-A4257)/365), NormalPutSprd(O4257,H4257,M4257,(P4257-A4257)/365))</f>
        <v>0.27715728896472624</v>
      </c>
      <c r="R4257" s="9">
        <f t="shared" si="167"/>
        <v>2.8427110352737817E-3</v>
      </c>
    </row>
    <row r="4258" spans="1:18" x14ac:dyDescent="0.2">
      <c r="A4258" s="2">
        <v>42622</v>
      </c>
      <c r="B4258" s="1" t="s">
        <v>59</v>
      </c>
      <c r="C4258" s="1" t="s">
        <v>14</v>
      </c>
      <c r="D4258" s="2">
        <v>42747</v>
      </c>
      <c r="E4258" s="2">
        <f t="shared" si="166"/>
        <v>43070</v>
      </c>
      <c r="F4258" s="1" t="s">
        <v>60</v>
      </c>
      <c r="G4258" s="1" t="s">
        <v>16</v>
      </c>
      <c r="H4258" s="1">
        <v>-0.05</v>
      </c>
      <c r="I4258" s="1">
        <v>0.21</v>
      </c>
      <c r="J4258" s="1">
        <v>0.01</v>
      </c>
      <c r="K4258" s="1" t="s">
        <v>67</v>
      </c>
      <c r="L4258" s="1">
        <v>2387</v>
      </c>
      <c r="M4258" s="1">
        <v>0.57999999999999996</v>
      </c>
      <c r="N4258" s="1">
        <v>-1.702E-2</v>
      </c>
      <c r="O4258" s="5">
        <f>VLOOKUP(D4258,underlying!$D$76:$H$90,5,FALSE)</f>
        <v>-0.14000000000000001</v>
      </c>
      <c r="P4258" s="2">
        <f>VLOOKUP(D4258,underlying!$D$76:$L$90,9,FALSE)</f>
        <v>43056</v>
      </c>
      <c r="Q4258" s="7">
        <f>IF(G4258="C",NormalCallSprd(O4258,H4258,M4258,(P4258-A4258)/365), NormalPutSprd(O4258,H4258,M4258,(P4258-A4258)/365))</f>
        <v>0.20986156866167929</v>
      </c>
      <c r="R4258" s="9">
        <f t="shared" si="167"/>
        <v>1.384313383206992E-4</v>
      </c>
    </row>
    <row r="4259" spans="1:18" x14ac:dyDescent="0.2">
      <c r="A4259" s="2">
        <v>42622</v>
      </c>
      <c r="B4259" s="1" t="s">
        <v>59</v>
      </c>
      <c r="C4259" s="1" t="s">
        <v>14</v>
      </c>
      <c r="D4259" s="2">
        <v>42747</v>
      </c>
      <c r="E4259" s="2">
        <f t="shared" si="166"/>
        <v>43070</v>
      </c>
      <c r="F4259" s="1" t="s">
        <v>60</v>
      </c>
      <c r="G4259" s="1" t="s">
        <v>18</v>
      </c>
      <c r="H4259" s="1">
        <v>-0.05</v>
      </c>
      <c r="I4259" s="1">
        <v>0.3</v>
      </c>
      <c r="J4259" s="1">
        <v>0.02</v>
      </c>
      <c r="K4259" s="1" t="s">
        <v>67</v>
      </c>
      <c r="L4259" s="1">
        <v>2387</v>
      </c>
      <c r="M4259" s="1">
        <v>0.57999999999999996</v>
      </c>
      <c r="N4259" s="1">
        <v>-1.1800000000000001E-3</v>
      </c>
      <c r="O4259" s="5">
        <f>VLOOKUP(D4259,underlying!$D$76:$H$90,5,FALSE)</f>
        <v>-0.14000000000000001</v>
      </c>
      <c r="P4259" s="2">
        <f>VLOOKUP(D4259,underlying!$D$76:$L$90,9,FALSE)</f>
        <v>43056</v>
      </c>
      <c r="Q4259" s="7">
        <f>IF(G4259="C",NormalCallSprd(O4259,H4259,M4259,(P4259-A4259)/365), NormalPutSprd(O4259,H4259,M4259,(P4259-A4259)/365))</f>
        <v>0.29986156866167929</v>
      </c>
      <c r="R4259" s="9">
        <f t="shared" si="167"/>
        <v>1.384313383206992E-4</v>
      </c>
    </row>
  </sheetData>
  <autoFilter ref="A1:R4259"/>
  <sortState ref="A2:M4259">
    <sortCondition ref="B2:B4259"/>
    <sortCondition ref="E2:E4259"/>
    <sortCondition ref="H2:H425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P21"/>
  <sheetViews>
    <sheetView workbookViewId="0">
      <selection activeCell="F11" sqref="F11"/>
    </sheetView>
  </sheetViews>
  <sheetFormatPr defaultRowHeight="15" x14ac:dyDescent="0.25"/>
  <cols>
    <col min="5" max="6" width="10.7109375" bestFit="1" customWidth="1"/>
    <col min="7" max="7" width="10.7109375" customWidth="1"/>
  </cols>
  <sheetData>
    <row r="2" spans="2:10" x14ac:dyDescent="0.25">
      <c r="B2" t="s">
        <v>86</v>
      </c>
      <c r="C2" t="s">
        <v>87</v>
      </c>
      <c r="D2" t="s">
        <v>95</v>
      </c>
      <c r="E2" t="s">
        <v>90</v>
      </c>
      <c r="F2" t="s">
        <v>94</v>
      </c>
      <c r="G2" t="s">
        <v>96</v>
      </c>
      <c r="H2" t="s">
        <v>97</v>
      </c>
    </row>
    <row r="3" spans="2:10" x14ac:dyDescent="0.25">
      <c r="B3">
        <f>+M18-M19</f>
        <v>-0.51999999999999602</v>
      </c>
      <c r="C3">
        <v>-0.2</v>
      </c>
      <c r="D3">
        <v>2.028491936</v>
      </c>
      <c r="E3" s="22">
        <f>(F3-G3)/365</f>
        <v>1.643835616438356E-2</v>
      </c>
      <c r="F3" s="13">
        <v>42671</v>
      </c>
      <c r="G3" s="13">
        <v>42665</v>
      </c>
      <c r="H3">
        <v>1000</v>
      </c>
      <c r="J3">
        <f>NormalCallSprd(B3,C3,D3,E3)*H3</f>
        <v>13.704152643636881</v>
      </c>
    </row>
    <row r="17" spans="8:16" x14ac:dyDescent="0.25">
      <c r="H17">
        <v>29</v>
      </c>
      <c r="I17">
        <v>2</v>
      </c>
      <c r="J17" s="23">
        <v>42705</v>
      </c>
      <c r="K17" s="23">
        <v>42736</v>
      </c>
    </row>
    <row r="18" spans="8:16" x14ac:dyDescent="0.25">
      <c r="H18">
        <v>48.94</v>
      </c>
      <c r="I18">
        <v>49.44</v>
      </c>
      <c r="J18">
        <f>(H18*H17+I18*I17)/31</f>
        <v>48.972258064516126</v>
      </c>
      <c r="K18">
        <v>49.44</v>
      </c>
      <c r="M18">
        <v>47.92</v>
      </c>
      <c r="O18">
        <v>4.2330800000000002</v>
      </c>
      <c r="P18">
        <f>+O18/100*M18</f>
        <v>2.028491936</v>
      </c>
    </row>
    <row r="19" spans="8:16" x14ac:dyDescent="0.25">
      <c r="M19">
        <v>48.44</v>
      </c>
    </row>
    <row r="20" spans="8:16" x14ac:dyDescent="0.25">
      <c r="M20">
        <f>+M18-M19</f>
        <v>-0.51999999999999602</v>
      </c>
    </row>
    <row r="21" spans="8:16" x14ac:dyDescent="0.25">
      <c r="J21">
        <f>D3/100*J18</f>
        <v>0.99339830571581933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90"/>
  <sheetViews>
    <sheetView topLeftCell="A21" workbookViewId="0">
      <selection activeCell="E32" sqref="E32"/>
    </sheetView>
  </sheetViews>
  <sheetFormatPr defaultColWidth="8.85546875" defaultRowHeight="11.25" x14ac:dyDescent="0.2"/>
  <cols>
    <col min="1" max="1" width="8.85546875" style="1"/>
    <col min="2" max="2" width="12.42578125" style="1" bestFit="1" customWidth="1"/>
    <col min="3" max="3" width="9.7109375" style="1" bestFit="1" customWidth="1"/>
    <col min="4" max="4" width="9.7109375" style="1" customWidth="1"/>
    <col min="5" max="16384" width="8.85546875" style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2" x14ac:dyDescent="0.2">
      <c r="A2" s="2">
        <v>42622</v>
      </c>
      <c r="B2" s="1" t="s">
        <v>13</v>
      </c>
      <c r="C2" s="1" t="s">
        <v>14</v>
      </c>
      <c r="D2" s="2">
        <v>42380</v>
      </c>
      <c r="E2" s="1" t="s">
        <v>15</v>
      </c>
      <c r="F2" s="1" t="s">
        <v>76</v>
      </c>
      <c r="H2" s="1">
        <v>-0.46</v>
      </c>
      <c r="I2" s="1">
        <v>-0.02</v>
      </c>
      <c r="J2" s="1" t="s">
        <v>21</v>
      </c>
      <c r="K2" s="1">
        <f>FIND("/",J2)</f>
        <v>2</v>
      </c>
      <c r="L2" s="2">
        <f>DATE(RIGHT(J2,4),LEFT(J2,K2-1),RIGHT(LEFT(J2,K2+2),2))</f>
        <v>42642</v>
      </c>
    </row>
    <row r="3" spans="1:12" x14ac:dyDescent="0.2">
      <c r="A3" s="2">
        <v>42622</v>
      </c>
      <c r="B3" s="1" t="s">
        <v>13</v>
      </c>
      <c r="C3" s="1" t="s">
        <v>14</v>
      </c>
      <c r="D3" s="2">
        <v>42381</v>
      </c>
      <c r="E3" s="1" t="s">
        <v>15</v>
      </c>
      <c r="F3" s="1" t="s">
        <v>76</v>
      </c>
      <c r="H3" s="1">
        <v>-0.46</v>
      </c>
      <c r="I3" s="1">
        <v>0.01</v>
      </c>
      <c r="J3" s="1" t="s">
        <v>28</v>
      </c>
      <c r="K3" s="1">
        <f t="shared" ref="K3:K66" si="0">FIND("/",J3)</f>
        <v>3</v>
      </c>
      <c r="L3" s="2">
        <f t="shared" ref="L3:L39" si="1">DATE(RIGHT(J3,4),LEFT(J3,K3-1),RIGHT(LEFT(J3,K3+2),2))</f>
        <v>42671</v>
      </c>
    </row>
    <row r="4" spans="1:12" x14ac:dyDescent="0.2">
      <c r="A4" s="2">
        <v>42622</v>
      </c>
      <c r="B4" s="1" t="s">
        <v>13</v>
      </c>
      <c r="C4" s="1" t="s">
        <v>14</v>
      </c>
      <c r="D4" s="2">
        <v>42736</v>
      </c>
      <c r="E4" s="1" t="s">
        <v>15</v>
      </c>
      <c r="F4" s="1" t="s">
        <v>76</v>
      </c>
      <c r="H4" s="1">
        <v>-0.45</v>
      </c>
      <c r="I4" s="1">
        <v>-0.01</v>
      </c>
      <c r="J4" s="1" t="s">
        <v>25</v>
      </c>
      <c r="K4" s="1">
        <f t="shared" si="0"/>
        <v>3</v>
      </c>
      <c r="L4" s="2">
        <f t="shared" si="1"/>
        <v>42703</v>
      </c>
    </row>
    <row r="5" spans="1:12" x14ac:dyDescent="0.2">
      <c r="A5" s="2">
        <v>42622</v>
      </c>
      <c r="B5" s="1" t="s">
        <v>13</v>
      </c>
      <c r="C5" s="1" t="s">
        <v>14</v>
      </c>
      <c r="D5" s="2">
        <v>42737</v>
      </c>
      <c r="E5" s="1" t="s">
        <v>15</v>
      </c>
      <c r="F5" s="1" t="s">
        <v>76</v>
      </c>
      <c r="H5" s="1">
        <v>-0.44</v>
      </c>
      <c r="I5" s="1">
        <v>-0.01</v>
      </c>
      <c r="J5" s="1" t="s">
        <v>32</v>
      </c>
      <c r="K5" s="1">
        <f t="shared" si="0"/>
        <v>3</v>
      </c>
      <c r="L5" s="2">
        <f t="shared" si="1"/>
        <v>42732</v>
      </c>
    </row>
    <row r="6" spans="1:12" x14ac:dyDescent="0.2">
      <c r="A6" s="2">
        <v>42622</v>
      </c>
      <c r="B6" s="1" t="s">
        <v>13</v>
      </c>
      <c r="C6" s="1" t="s">
        <v>14</v>
      </c>
      <c r="D6" s="2">
        <v>42738</v>
      </c>
      <c r="E6" s="1" t="s">
        <v>15</v>
      </c>
      <c r="F6" s="1" t="s">
        <v>76</v>
      </c>
      <c r="H6" s="1">
        <v>-0.41</v>
      </c>
      <c r="I6" s="1">
        <v>-0.04</v>
      </c>
      <c r="J6" s="1" t="s">
        <v>35</v>
      </c>
      <c r="K6" s="1">
        <f t="shared" si="0"/>
        <v>2</v>
      </c>
      <c r="L6" s="2">
        <f t="shared" si="1"/>
        <v>42765</v>
      </c>
    </row>
    <row r="7" spans="1:12" x14ac:dyDescent="0.2">
      <c r="A7" s="2">
        <v>42622</v>
      </c>
      <c r="B7" s="1" t="s">
        <v>13</v>
      </c>
      <c r="C7" s="1" t="s">
        <v>14</v>
      </c>
      <c r="D7" s="2">
        <v>42739</v>
      </c>
      <c r="E7" s="1" t="s">
        <v>15</v>
      </c>
      <c r="F7" s="1" t="s">
        <v>76</v>
      </c>
      <c r="H7" s="1">
        <v>-0.38</v>
      </c>
      <c r="I7" s="1">
        <v>-0.04</v>
      </c>
      <c r="J7" s="1" t="s">
        <v>38</v>
      </c>
      <c r="K7" s="1">
        <f t="shared" si="0"/>
        <v>2</v>
      </c>
      <c r="L7" s="2">
        <f t="shared" si="1"/>
        <v>42793</v>
      </c>
    </row>
    <row r="8" spans="1:12" x14ac:dyDescent="0.2">
      <c r="A8" s="2">
        <v>42622</v>
      </c>
      <c r="B8" s="1" t="s">
        <v>13</v>
      </c>
      <c r="C8" s="1" t="s">
        <v>14</v>
      </c>
      <c r="D8" s="2">
        <v>42740</v>
      </c>
      <c r="E8" s="1" t="s">
        <v>15</v>
      </c>
      <c r="F8" s="1" t="s">
        <v>76</v>
      </c>
      <c r="H8" s="1">
        <v>-0.34</v>
      </c>
      <c r="I8" s="1">
        <v>-0.04</v>
      </c>
      <c r="J8" s="1" t="s">
        <v>41</v>
      </c>
      <c r="K8" s="1">
        <f t="shared" si="0"/>
        <v>2</v>
      </c>
      <c r="L8" s="2">
        <f t="shared" si="1"/>
        <v>42824</v>
      </c>
    </row>
    <row r="9" spans="1:12" x14ac:dyDescent="0.2">
      <c r="A9" s="2">
        <v>42622</v>
      </c>
      <c r="B9" s="1" t="s">
        <v>13</v>
      </c>
      <c r="C9" s="1" t="s">
        <v>14</v>
      </c>
      <c r="D9" s="2">
        <v>42741</v>
      </c>
      <c r="E9" s="1" t="s">
        <v>15</v>
      </c>
      <c r="F9" s="1" t="s">
        <v>76</v>
      </c>
      <c r="H9" s="1">
        <v>-0.31</v>
      </c>
      <c r="I9" s="1">
        <v>-0.03</v>
      </c>
      <c r="J9" s="1" t="s">
        <v>44</v>
      </c>
      <c r="K9" s="1">
        <f t="shared" si="0"/>
        <v>2</v>
      </c>
      <c r="L9" s="2">
        <f t="shared" si="1"/>
        <v>42852</v>
      </c>
    </row>
    <row r="10" spans="1:12" x14ac:dyDescent="0.2">
      <c r="A10" s="2">
        <v>42622</v>
      </c>
      <c r="B10" s="1" t="s">
        <v>13</v>
      </c>
      <c r="C10" s="1" t="s">
        <v>14</v>
      </c>
      <c r="D10" s="2">
        <v>42742</v>
      </c>
      <c r="E10" s="1" t="s">
        <v>15</v>
      </c>
      <c r="F10" s="1" t="s">
        <v>76</v>
      </c>
      <c r="H10" s="1">
        <v>-0.27</v>
      </c>
      <c r="I10" s="1">
        <v>-0.02</v>
      </c>
      <c r="J10" s="1" t="s">
        <v>47</v>
      </c>
      <c r="K10" s="1">
        <f t="shared" si="0"/>
        <v>2</v>
      </c>
      <c r="L10" s="2">
        <f t="shared" si="1"/>
        <v>42885</v>
      </c>
    </row>
    <row r="11" spans="1:12" x14ac:dyDescent="0.2">
      <c r="A11" s="2">
        <v>42622</v>
      </c>
      <c r="B11" s="1" t="s">
        <v>13</v>
      </c>
      <c r="C11" s="1" t="s">
        <v>14</v>
      </c>
      <c r="D11" s="2">
        <v>42743</v>
      </c>
      <c r="E11" s="1" t="s">
        <v>15</v>
      </c>
      <c r="F11" s="1" t="s">
        <v>76</v>
      </c>
      <c r="H11" s="1">
        <v>-0.22</v>
      </c>
      <c r="I11" s="1">
        <v>-0.02</v>
      </c>
      <c r="J11" s="1" t="s">
        <v>50</v>
      </c>
      <c r="K11" s="1">
        <f t="shared" si="0"/>
        <v>2</v>
      </c>
      <c r="L11" s="2">
        <f t="shared" si="1"/>
        <v>42915</v>
      </c>
    </row>
    <row r="12" spans="1:12" x14ac:dyDescent="0.2">
      <c r="A12" s="2">
        <v>42622</v>
      </c>
      <c r="B12" s="1" t="s">
        <v>13</v>
      </c>
      <c r="C12" s="1" t="s">
        <v>14</v>
      </c>
      <c r="D12" s="2">
        <v>42744</v>
      </c>
      <c r="E12" s="1" t="s">
        <v>15</v>
      </c>
      <c r="F12" s="1" t="s">
        <v>76</v>
      </c>
      <c r="H12" s="1">
        <v>-0.21</v>
      </c>
      <c r="I12" s="1">
        <v>-0.01</v>
      </c>
      <c r="J12" s="1" t="s">
        <v>53</v>
      </c>
      <c r="K12" s="1">
        <f t="shared" si="0"/>
        <v>2</v>
      </c>
      <c r="L12" s="2">
        <f t="shared" si="1"/>
        <v>42944</v>
      </c>
    </row>
    <row r="13" spans="1:12" x14ac:dyDescent="0.2">
      <c r="A13" s="2">
        <v>42622</v>
      </c>
      <c r="B13" s="1" t="s">
        <v>13</v>
      </c>
      <c r="C13" s="1" t="s">
        <v>14</v>
      </c>
      <c r="D13" s="2">
        <v>42745</v>
      </c>
      <c r="E13" s="1" t="s">
        <v>15</v>
      </c>
      <c r="F13" s="1" t="s">
        <v>76</v>
      </c>
      <c r="H13" s="1">
        <v>-0.19</v>
      </c>
      <c r="I13" s="1">
        <v>0</v>
      </c>
      <c r="J13" s="1" t="s">
        <v>17</v>
      </c>
      <c r="K13" s="1">
        <f t="shared" si="0"/>
        <v>2</v>
      </c>
      <c r="L13" s="2">
        <f t="shared" si="1"/>
        <v>42977</v>
      </c>
    </row>
    <row r="14" spans="1:12" x14ac:dyDescent="0.2">
      <c r="A14" s="2">
        <v>42622</v>
      </c>
      <c r="B14" s="1" t="s">
        <v>13</v>
      </c>
      <c r="C14" s="1" t="s">
        <v>14</v>
      </c>
      <c r="D14" s="2">
        <v>42746</v>
      </c>
      <c r="E14" s="1" t="s">
        <v>15</v>
      </c>
      <c r="F14" s="1" t="s">
        <v>76</v>
      </c>
      <c r="H14" s="1">
        <v>-0.17</v>
      </c>
      <c r="I14" s="1">
        <v>-0.01</v>
      </c>
      <c r="J14" s="1" t="s">
        <v>22</v>
      </c>
      <c r="K14" s="1">
        <f t="shared" si="0"/>
        <v>2</v>
      </c>
      <c r="L14" s="2">
        <f t="shared" si="1"/>
        <v>43006</v>
      </c>
    </row>
    <row r="15" spans="1:12" x14ac:dyDescent="0.2">
      <c r="A15" s="2">
        <v>42622</v>
      </c>
      <c r="B15" s="1" t="s">
        <v>13</v>
      </c>
      <c r="C15" s="1" t="s">
        <v>14</v>
      </c>
      <c r="D15" s="2">
        <v>42747</v>
      </c>
      <c r="E15" s="1" t="s">
        <v>15</v>
      </c>
      <c r="F15" s="1" t="s">
        <v>76</v>
      </c>
      <c r="H15" s="1">
        <v>-0.2</v>
      </c>
      <c r="I15" s="1">
        <v>-0.01</v>
      </c>
      <c r="J15" s="1" t="s">
        <v>29</v>
      </c>
      <c r="K15" s="1">
        <f t="shared" si="0"/>
        <v>3</v>
      </c>
      <c r="L15" s="2">
        <f t="shared" si="1"/>
        <v>43038</v>
      </c>
    </row>
    <row r="16" spans="1:12" x14ac:dyDescent="0.2">
      <c r="A16" s="2">
        <v>42622</v>
      </c>
      <c r="B16" s="1" t="s">
        <v>13</v>
      </c>
      <c r="C16" s="1" t="s">
        <v>14</v>
      </c>
      <c r="D16" s="2">
        <v>43101</v>
      </c>
      <c r="E16" s="1" t="s">
        <v>15</v>
      </c>
      <c r="F16" s="1" t="s">
        <v>76</v>
      </c>
      <c r="H16" s="1">
        <v>-0.21</v>
      </c>
      <c r="I16" s="1">
        <v>-0.01</v>
      </c>
      <c r="J16" s="1" t="s">
        <v>26</v>
      </c>
      <c r="K16" s="1">
        <f t="shared" si="0"/>
        <v>3</v>
      </c>
      <c r="L16" s="2">
        <f t="shared" si="1"/>
        <v>43068</v>
      </c>
    </row>
    <row r="17" spans="1:12" x14ac:dyDescent="0.2">
      <c r="A17" s="2">
        <v>42622</v>
      </c>
      <c r="B17" s="1" t="s">
        <v>13</v>
      </c>
      <c r="C17" s="1" t="s">
        <v>14</v>
      </c>
      <c r="D17" s="2">
        <v>43102</v>
      </c>
      <c r="E17" s="1" t="s">
        <v>15</v>
      </c>
      <c r="F17" s="1" t="s">
        <v>76</v>
      </c>
      <c r="H17" s="1">
        <v>-0.22</v>
      </c>
      <c r="I17" s="1">
        <v>-0.02</v>
      </c>
      <c r="J17" s="1" t="s">
        <v>33</v>
      </c>
      <c r="K17" s="1">
        <f t="shared" si="0"/>
        <v>3</v>
      </c>
      <c r="L17" s="2">
        <f t="shared" si="1"/>
        <v>43096</v>
      </c>
    </row>
    <row r="18" spans="1:12" x14ac:dyDescent="0.2">
      <c r="A18" s="2">
        <v>42622</v>
      </c>
      <c r="B18" s="1" t="s">
        <v>13</v>
      </c>
      <c r="C18" s="1" t="s">
        <v>14</v>
      </c>
      <c r="D18" s="2">
        <v>43103</v>
      </c>
      <c r="E18" s="1" t="s">
        <v>15</v>
      </c>
      <c r="F18" s="1" t="s">
        <v>76</v>
      </c>
      <c r="H18" s="1">
        <v>-0.21</v>
      </c>
      <c r="I18" s="1">
        <v>-0.01</v>
      </c>
      <c r="J18" s="1" t="s">
        <v>36</v>
      </c>
      <c r="K18" s="1">
        <f t="shared" si="0"/>
        <v>2</v>
      </c>
      <c r="L18" s="2">
        <f t="shared" si="1"/>
        <v>43130</v>
      </c>
    </row>
    <row r="19" spans="1:12" x14ac:dyDescent="0.2">
      <c r="A19" s="2">
        <v>42622</v>
      </c>
      <c r="B19" s="1" t="s">
        <v>13</v>
      </c>
      <c r="C19" s="1" t="s">
        <v>14</v>
      </c>
      <c r="D19" s="2">
        <v>43104</v>
      </c>
      <c r="E19" s="1" t="s">
        <v>15</v>
      </c>
      <c r="F19" s="1" t="s">
        <v>76</v>
      </c>
      <c r="H19" s="1">
        <v>-0.22</v>
      </c>
      <c r="I19" s="1">
        <v>-0.01</v>
      </c>
      <c r="J19" s="1" t="s">
        <v>39</v>
      </c>
      <c r="K19" s="1">
        <f t="shared" si="0"/>
        <v>2</v>
      </c>
      <c r="L19" s="2">
        <f t="shared" si="1"/>
        <v>43158</v>
      </c>
    </row>
    <row r="20" spans="1:12" x14ac:dyDescent="0.2">
      <c r="A20" s="2">
        <v>42622</v>
      </c>
      <c r="B20" s="1" t="s">
        <v>13</v>
      </c>
      <c r="C20" s="1" t="s">
        <v>14</v>
      </c>
      <c r="D20" s="2">
        <v>43105</v>
      </c>
      <c r="E20" s="1" t="s">
        <v>15</v>
      </c>
      <c r="F20" s="1" t="s">
        <v>76</v>
      </c>
      <c r="H20" s="1">
        <v>-0.23</v>
      </c>
      <c r="I20" s="1">
        <v>-0.01</v>
      </c>
      <c r="J20" s="1" t="s">
        <v>42</v>
      </c>
      <c r="K20" s="1">
        <f t="shared" si="0"/>
        <v>2</v>
      </c>
      <c r="L20" s="2">
        <f t="shared" si="1"/>
        <v>43187</v>
      </c>
    </row>
    <row r="21" spans="1:12" x14ac:dyDescent="0.2">
      <c r="A21" s="2">
        <v>42622</v>
      </c>
      <c r="B21" s="1" t="s">
        <v>13</v>
      </c>
      <c r="C21" s="1" t="s">
        <v>14</v>
      </c>
      <c r="D21" s="2">
        <v>43106</v>
      </c>
      <c r="E21" s="1" t="s">
        <v>15</v>
      </c>
      <c r="F21" s="1" t="s">
        <v>76</v>
      </c>
      <c r="H21" s="1">
        <v>-0.23</v>
      </c>
      <c r="I21" s="1">
        <v>-0.01</v>
      </c>
      <c r="J21" s="1" t="s">
        <v>45</v>
      </c>
      <c r="K21" s="1">
        <f t="shared" si="0"/>
        <v>2</v>
      </c>
      <c r="L21" s="2">
        <f t="shared" si="1"/>
        <v>43217</v>
      </c>
    </row>
    <row r="22" spans="1:12" x14ac:dyDescent="0.2">
      <c r="A22" s="2">
        <v>42622</v>
      </c>
      <c r="B22" s="1" t="s">
        <v>13</v>
      </c>
      <c r="C22" s="1" t="s">
        <v>14</v>
      </c>
      <c r="D22" s="2">
        <v>43107</v>
      </c>
      <c r="E22" s="1" t="s">
        <v>15</v>
      </c>
      <c r="F22" s="1" t="s">
        <v>76</v>
      </c>
      <c r="H22" s="1">
        <v>-0.17</v>
      </c>
      <c r="I22" s="1">
        <v>-0.01</v>
      </c>
      <c r="J22" s="1" t="s">
        <v>48</v>
      </c>
      <c r="K22" s="1">
        <f t="shared" si="0"/>
        <v>2</v>
      </c>
      <c r="L22" s="2">
        <f t="shared" si="1"/>
        <v>43250</v>
      </c>
    </row>
    <row r="23" spans="1:12" x14ac:dyDescent="0.2">
      <c r="A23" s="2">
        <v>42622</v>
      </c>
      <c r="B23" s="1" t="s">
        <v>13</v>
      </c>
      <c r="C23" s="1" t="s">
        <v>14</v>
      </c>
      <c r="D23" s="2">
        <v>43108</v>
      </c>
      <c r="E23" s="1" t="s">
        <v>15</v>
      </c>
      <c r="F23" s="1" t="s">
        <v>76</v>
      </c>
      <c r="H23" s="1">
        <v>-0.17</v>
      </c>
      <c r="I23" s="1">
        <v>-0.02</v>
      </c>
      <c r="J23" s="1" t="s">
        <v>51</v>
      </c>
      <c r="K23" s="1">
        <f t="shared" si="0"/>
        <v>2</v>
      </c>
      <c r="L23" s="2">
        <f t="shared" si="1"/>
        <v>43279</v>
      </c>
    </row>
    <row r="24" spans="1:12" x14ac:dyDescent="0.2">
      <c r="A24" s="2">
        <v>42622</v>
      </c>
      <c r="B24" s="1" t="s">
        <v>13</v>
      </c>
      <c r="C24" s="1" t="s">
        <v>14</v>
      </c>
      <c r="D24" s="2">
        <v>43109</v>
      </c>
      <c r="E24" s="1" t="s">
        <v>15</v>
      </c>
      <c r="F24" s="1" t="s">
        <v>76</v>
      </c>
      <c r="H24" s="1">
        <v>-0.15</v>
      </c>
      <c r="I24" s="1">
        <v>-0.01</v>
      </c>
      <c r="J24" s="1" t="s">
        <v>54</v>
      </c>
      <c r="K24" s="1">
        <f t="shared" si="0"/>
        <v>2</v>
      </c>
      <c r="L24" s="2">
        <f t="shared" si="1"/>
        <v>43311</v>
      </c>
    </row>
    <row r="25" spans="1:12" x14ac:dyDescent="0.2">
      <c r="A25" s="2">
        <v>42622</v>
      </c>
      <c r="B25" s="1" t="s">
        <v>13</v>
      </c>
      <c r="C25" s="1" t="s">
        <v>14</v>
      </c>
      <c r="D25" s="2">
        <v>43110</v>
      </c>
      <c r="E25" s="1" t="s">
        <v>15</v>
      </c>
      <c r="F25" s="1" t="s">
        <v>76</v>
      </c>
      <c r="H25" s="1">
        <v>-0.13</v>
      </c>
      <c r="I25" s="1">
        <v>0</v>
      </c>
      <c r="J25" s="1" t="s">
        <v>19</v>
      </c>
      <c r="K25" s="1">
        <f t="shared" si="0"/>
        <v>2</v>
      </c>
      <c r="L25" s="2">
        <f t="shared" si="1"/>
        <v>43342</v>
      </c>
    </row>
    <row r="26" spans="1:12" x14ac:dyDescent="0.2">
      <c r="A26" s="2">
        <v>42622</v>
      </c>
      <c r="B26" s="1" t="s">
        <v>13</v>
      </c>
      <c r="C26" s="1" t="s">
        <v>14</v>
      </c>
      <c r="D26" s="2">
        <v>43111</v>
      </c>
      <c r="E26" s="1" t="s">
        <v>15</v>
      </c>
      <c r="F26" s="1" t="s">
        <v>76</v>
      </c>
      <c r="H26" s="1">
        <v>-0.13</v>
      </c>
      <c r="I26" s="1">
        <v>-0.01</v>
      </c>
      <c r="J26" s="1" t="s">
        <v>23</v>
      </c>
      <c r="K26" s="1">
        <f t="shared" si="0"/>
        <v>2</v>
      </c>
      <c r="L26" s="2">
        <f t="shared" si="1"/>
        <v>43370</v>
      </c>
    </row>
    <row r="27" spans="1:12" x14ac:dyDescent="0.2">
      <c r="A27" s="2">
        <v>42622</v>
      </c>
      <c r="B27" s="1" t="s">
        <v>13</v>
      </c>
      <c r="C27" s="1" t="s">
        <v>14</v>
      </c>
      <c r="D27" s="2">
        <v>43112</v>
      </c>
      <c r="E27" s="1" t="s">
        <v>15</v>
      </c>
      <c r="F27" s="1" t="s">
        <v>76</v>
      </c>
      <c r="H27" s="1">
        <v>-0.18</v>
      </c>
      <c r="I27" s="1">
        <v>-0.01</v>
      </c>
      <c r="J27" s="1" t="s">
        <v>30</v>
      </c>
      <c r="K27" s="1">
        <f t="shared" si="0"/>
        <v>3</v>
      </c>
      <c r="L27" s="2">
        <f t="shared" si="1"/>
        <v>43403</v>
      </c>
    </row>
    <row r="28" spans="1:12" x14ac:dyDescent="0.2">
      <c r="A28" s="2">
        <v>42622</v>
      </c>
      <c r="B28" s="1" t="s">
        <v>13</v>
      </c>
      <c r="C28" s="1" t="s">
        <v>14</v>
      </c>
      <c r="D28" s="2">
        <v>43466</v>
      </c>
      <c r="E28" s="1" t="s">
        <v>15</v>
      </c>
      <c r="F28" s="1" t="s">
        <v>76</v>
      </c>
      <c r="H28" s="1">
        <v>-0.18</v>
      </c>
      <c r="I28" s="1">
        <v>-0.01</v>
      </c>
      <c r="J28" s="1" t="s">
        <v>27</v>
      </c>
      <c r="K28" s="1">
        <f t="shared" si="0"/>
        <v>3</v>
      </c>
      <c r="L28" s="2">
        <f t="shared" si="1"/>
        <v>43433</v>
      </c>
    </row>
    <row r="29" spans="1:12" x14ac:dyDescent="0.2">
      <c r="A29" s="2">
        <v>42622</v>
      </c>
      <c r="B29" s="1" t="s">
        <v>13</v>
      </c>
      <c r="C29" s="1" t="s">
        <v>14</v>
      </c>
      <c r="D29" s="2">
        <v>43467</v>
      </c>
      <c r="E29" s="1" t="s">
        <v>15</v>
      </c>
      <c r="F29" s="1" t="s">
        <v>76</v>
      </c>
      <c r="H29" s="1">
        <v>-0.18</v>
      </c>
      <c r="I29" s="1">
        <v>-0.01</v>
      </c>
      <c r="J29" s="1" t="s">
        <v>34</v>
      </c>
      <c r="K29" s="1">
        <f t="shared" si="0"/>
        <v>3</v>
      </c>
      <c r="L29" s="2">
        <f t="shared" si="1"/>
        <v>43461</v>
      </c>
    </row>
    <row r="30" spans="1:12" x14ac:dyDescent="0.2">
      <c r="A30" s="2">
        <v>42622</v>
      </c>
      <c r="B30" s="1" t="s">
        <v>13</v>
      </c>
      <c r="C30" s="1" t="s">
        <v>14</v>
      </c>
      <c r="D30" s="2">
        <v>43468</v>
      </c>
      <c r="E30" s="1" t="s">
        <v>15</v>
      </c>
      <c r="F30" s="1" t="s">
        <v>76</v>
      </c>
      <c r="H30" s="1">
        <v>-0.2</v>
      </c>
      <c r="I30" s="1">
        <v>0</v>
      </c>
      <c r="J30" s="1" t="s">
        <v>37</v>
      </c>
      <c r="K30" s="1">
        <f t="shared" si="0"/>
        <v>2</v>
      </c>
      <c r="L30" s="2">
        <f t="shared" si="1"/>
        <v>43495</v>
      </c>
    </row>
    <row r="31" spans="1:12" x14ac:dyDescent="0.2">
      <c r="A31" s="2">
        <v>42622</v>
      </c>
      <c r="B31" s="1" t="s">
        <v>13</v>
      </c>
      <c r="C31" s="1" t="s">
        <v>14</v>
      </c>
      <c r="D31" s="2">
        <v>43469</v>
      </c>
      <c r="E31" s="1" t="s">
        <v>15</v>
      </c>
      <c r="F31" s="1" t="s">
        <v>76</v>
      </c>
      <c r="H31" s="1">
        <v>-0.21</v>
      </c>
      <c r="I31" s="1">
        <v>-0.01</v>
      </c>
      <c r="J31" s="1" t="s">
        <v>40</v>
      </c>
      <c r="K31" s="1">
        <f t="shared" si="0"/>
        <v>2</v>
      </c>
      <c r="L31" s="2">
        <f t="shared" si="1"/>
        <v>43523</v>
      </c>
    </row>
    <row r="32" spans="1:12" x14ac:dyDescent="0.2">
      <c r="A32" s="2">
        <v>42622</v>
      </c>
      <c r="B32" s="1" t="s">
        <v>13</v>
      </c>
      <c r="C32" s="1" t="s">
        <v>14</v>
      </c>
      <c r="D32" s="2">
        <v>43470</v>
      </c>
      <c r="E32" s="1" t="s">
        <v>15</v>
      </c>
      <c r="F32" s="1" t="s">
        <v>76</v>
      </c>
      <c r="H32" s="1">
        <v>-0.21</v>
      </c>
      <c r="I32" s="1">
        <v>-0.01</v>
      </c>
      <c r="J32" s="1" t="s">
        <v>43</v>
      </c>
      <c r="K32" s="1">
        <f t="shared" si="0"/>
        <v>2</v>
      </c>
      <c r="L32" s="2">
        <f t="shared" si="1"/>
        <v>43552</v>
      </c>
    </row>
    <row r="33" spans="1:12" x14ac:dyDescent="0.2">
      <c r="A33" s="2">
        <v>42622</v>
      </c>
      <c r="B33" s="1" t="s">
        <v>13</v>
      </c>
      <c r="C33" s="1" t="s">
        <v>14</v>
      </c>
      <c r="D33" s="2">
        <v>43471</v>
      </c>
      <c r="E33" s="1" t="s">
        <v>15</v>
      </c>
      <c r="F33" s="1" t="s">
        <v>76</v>
      </c>
      <c r="H33" s="1">
        <v>-0.12</v>
      </c>
      <c r="I33" s="1">
        <v>-0.01</v>
      </c>
      <c r="J33" s="1" t="s">
        <v>46</v>
      </c>
      <c r="K33" s="1">
        <f t="shared" si="0"/>
        <v>2</v>
      </c>
      <c r="L33" s="2">
        <f t="shared" si="1"/>
        <v>43584</v>
      </c>
    </row>
    <row r="34" spans="1:12" x14ac:dyDescent="0.2">
      <c r="A34" s="2">
        <v>42622</v>
      </c>
      <c r="B34" s="1" t="s">
        <v>13</v>
      </c>
      <c r="C34" s="1" t="s">
        <v>14</v>
      </c>
      <c r="D34" s="2">
        <v>43472</v>
      </c>
      <c r="E34" s="1" t="s">
        <v>15</v>
      </c>
      <c r="F34" s="1" t="s">
        <v>76</v>
      </c>
      <c r="H34" s="1">
        <v>-0.12</v>
      </c>
      <c r="I34" s="1">
        <v>-0.01</v>
      </c>
      <c r="J34" s="1" t="s">
        <v>49</v>
      </c>
      <c r="K34" s="1">
        <f t="shared" si="0"/>
        <v>2</v>
      </c>
      <c r="L34" s="2">
        <f t="shared" si="1"/>
        <v>43615</v>
      </c>
    </row>
    <row r="35" spans="1:12" x14ac:dyDescent="0.2">
      <c r="A35" s="2">
        <v>42622</v>
      </c>
      <c r="B35" s="1" t="s">
        <v>13</v>
      </c>
      <c r="C35" s="1" t="s">
        <v>14</v>
      </c>
      <c r="D35" s="2">
        <v>43473</v>
      </c>
      <c r="E35" s="1" t="s">
        <v>15</v>
      </c>
      <c r="F35" s="1" t="s">
        <v>76</v>
      </c>
      <c r="H35" s="1">
        <v>-0.12</v>
      </c>
      <c r="I35" s="1">
        <v>-0.01</v>
      </c>
      <c r="J35" s="1" t="s">
        <v>52</v>
      </c>
      <c r="K35" s="1">
        <f t="shared" si="0"/>
        <v>2</v>
      </c>
      <c r="L35" s="2">
        <f t="shared" si="1"/>
        <v>43643</v>
      </c>
    </row>
    <row r="36" spans="1:12" x14ac:dyDescent="0.2">
      <c r="A36" s="2">
        <v>42622</v>
      </c>
      <c r="B36" s="1" t="s">
        <v>13</v>
      </c>
      <c r="C36" s="1" t="s">
        <v>14</v>
      </c>
      <c r="D36" s="2">
        <v>43474</v>
      </c>
      <c r="E36" s="1" t="s">
        <v>15</v>
      </c>
      <c r="F36" s="1" t="s">
        <v>76</v>
      </c>
      <c r="H36" s="1">
        <v>-0.12</v>
      </c>
      <c r="I36" s="1">
        <v>-0.01</v>
      </c>
      <c r="J36" s="1" t="s">
        <v>55</v>
      </c>
      <c r="K36" s="1">
        <f t="shared" si="0"/>
        <v>2</v>
      </c>
      <c r="L36" s="2">
        <f t="shared" si="1"/>
        <v>43676</v>
      </c>
    </row>
    <row r="37" spans="1:12" x14ac:dyDescent="0.2">
      <c r="A37" s="2">
        <v>42622</v>
      </c>
      <c r="B37" s="1" t="s">
        <v>13</v>
      </c>
      <c r="C37" s="1" t="s">
        <v>14</v>
      </c>
      <c r="D37" s="2">
        <v>43475</v>
      </c>
      <c r="E37" s="1" t="s">
        <v>15</v>
      </c>
      <c r="F37" s="1" t="s">
        <v>76</v>
      </c>
      <c r="H37" s="1">
        <v>-0.12</v>
      </c>
      <c r="I37" s="1">
        <v>-0.01</v>
      </c>
      <c r="J37" s="1" t="s">
        <v>20</v>
      </c>
      <c r="K37" s="1">
        <f t="shared" si="0"/>
        <v>2</v>
      </c>
      <c r="L37" s="2">
        <f t="shared" si="1"/>
        <v>43706</v>
      </c>
    </row>
    <row r="38" spans="1:12" x14ac:dyDescent="0.2">
      <c r="A38" s="2">
        <v>42622</v>
      </c>
      <c r="B38" s="1" t="s">
        <v>13</v>
      </c>
      <c r="C38" s="1" t="s">
        <v>14</v>
      </c>
      <c r="D38" s="2">
        <v>43476</v>
      </c>
      <c r="E38" s="1" t="s">
        <v>15</v>
      </c>
      <c r="F38" s="1" t="s">
        <v>76</v>
      </c>
      <c r="H38" s="1">
        <v>-0.12</v>
      </c>
      <c r="I38" s="1">
        <v>-0.01</v>
      </c>
      <c r="J38" s="1" t="s">
        <v>24</v>
      </c>
      <c r="K38" s="1">
        <f t="shared" si="0"/>
        <v>2</v>
      </c>
      <c r="L38" s="2">
        <f t="shared" si="1"/>
        <v>43735</v>
      </c>
    </row>
    <row r="39" spans="1:12" x14ac:dyDescent="0.2">
      <c r="A39" s="2">
        <v>42622</v>
      </c>
      <c r="B39" s="1" t="s">
        <v>13</v>
      </c>
      <c r="C39" s="1" t="s">
        <v>14</v>
      </c>
      <c r="D39" s="2">
        <v>43477</v>
      </c>
      <c r="E39" s="1" t="s">
        <v>15</v>
      </c>
      <c r="F39" s="1" t="s">
        <v>76</v>
      </c>
      <c r="H39" s="1">
        <v>-0.16</v>
      </c>
      <c r="I39" s="1">
        <v>-0.01</v>
      </c>
      <c r="J39" s="1" t="s">
        <v>31</v>
      </c>
      <c r="K39" s="1">
        <f t="shared" si="0"/>
        <v>3</v>
      </c>
      <c r="L39" s="2">
        <f t="shared" si="1"/>
        <v>43768</v>
      </c>
    </row>
    <row r="40" spans="1:12" x14ac:dyDescent="0.2">
      <c r="A40" s="2">
        <v>42622</v>
      </c>
      <c r="B40" s="1" t="s">
        <v>56</v>
      </c>
      <c r="C40" s="1" t="s">
        <v>57</v>
      </c>
      <c r="D40" s="2">
        <v>42378</v>
      </c>
      <c r="E40" s="1" t="s">
        <v>58</v>
      </c>
      <c r="F40" s="1" t="s">
        <v>76</v>
      </c>
      <c r="H40" s="1">
        <v>-8.25</v>
      </c>
      <c r="I40" s="1">
        <v>-2.25</v>
      </c>
      <c r="J40" s="2">
        <v>42622</v>
      </c>
      <c r="K40" s="1" t="e">
        <f t="shared" si="0"/>
        <v>#VALUE!</v>
      </c>
      <c r="L40" s="2">
        <f>DATE(YEAR(J40),DAY(J40),MONTH(J40))</f>
        <v>42622</v>
      </c>
    </row>
    <row r="41" spans="1:12" x14ac:dyDescent="0.2">
      <c r="A41" s="2">
        <v>42622</v>
      </c>
      <c r="B41" s="1" t="s">
        <v>56</v>
      </c>
      <c r="C41" s="1" t="s">
        <v>57</v>
      </c>
      <c r="D41" s="2">
        <v>42379</v>
      </c>
      <c r="E41" s="1" t="s">
        <v>58</v>
      </c>
      <c r="F41" s="1" t="s">
        <v>76</v>
      </c>
      <c r="H41" s="1">
        <v>-4</v>
      </c>
      <c r="I41" s="1">
        <v>-0.25</v>
      </c>
      <c r="J41" s="2">
        <v>42684</v>
      </c>
      <c r="K41" s="1" t="e">
        <f t="shared" si="0"/>
        <v>#VALUE!</v>
      </c>
      <c r="L41" s="2">
        <f t="shared" ref="L41:L75" si="2">DATE(YEAR(J41),DAY(J41),MONTH(J41))</f>
        <v>42654</v>
      </c>
    </row>
    <row r="42" spans="1:12" x14ac:dyDescent="0.2">
      <c r="A42" s="2">
        <v>42622</v>
      </c>
      <c r="B42" s="1" t="s">
        <v>56</v>
      </c>
      <c r="C42" s="1" t="s">
        <v>57</v>
      </c>
      <c r="D42" s="2">
        <v>42380</v>
      </c>
      <c r="E42" s="1" t="s">
        <v>58</v>
      </c>
      <c r="F42" s="1" t="s">
        <v>76</v>
      </c>
      <c r="H42" s="1">
        <v>-3.75</v>
      </c>
      <c r="I42" s="1">
        <v>-0.25</v>
      </c>
      <c r="J42" s="2">
        <v>42624</v>
      </c>
      <c r="K42" s="1" t="e">
        <f t="shared" si="0"/>
        <v>#VALUE!</v>
      </c>
      <c r="L42" s="2">
        <f t="shared" si="2"/>
        <v>42683</v>
      </c>
    </row>
    <row r="43" spans="1:12" x14ac:dyDescent="0.2">
      <c r="A43" s="2">
        <v>42622</v>
      </c>
      <c r="B43" s="1" t="s">
        <v>56</v>
      </c>
      <c r="C43" s="1" t="s">
        <v>57</v>
      </c>
      <c r="D43" s="2">
        <v>42381</v>
      </c>
      <c r="E43" s="1" t="s">
        <v>58</v>
      </c>
      <c r="F43" s="1" t="s">
        <v>76</v>
      </c>
      <c r="H43" s="1">
        <v>-4.75</v>
      </c>
      <c r="I43" s="1">
        <v>-0.25</v>
      </c>
      <c r="J43" s="2">
        <v>42625</v>
      </c>
      <c r="K43" s="1" t="e">
        <f t="shared" si="0"/>
        <v>#VALUE!</v>
      </c>
      <c r="L43" s="2">
        <f t="shared" si="2"/>
        <v>42713</v>
      </c>
    </row>
    <row r="44" spans="1:12" x14ac:dyDescent="0.2">
      <c r="A44" s="2">
        <v>42622</v>
      </c>
      <c r="B44" s="1" t="s">
        <v>56</v>
      </c>
      <c r="C44" s="1" t="s">
        <v>57</v>
      </c>
      <c r="D44" s="2">
        <v>42736</v>
      </c>
      <c r="E44" s="1" t="s">
        <v>58</v>
      </c>
      <c r="F44" s="1" t="s">
        <v>76</v>
      </c>
      <c r="H44" s="1">
        <v>-4</v>
      </c>
      <c r="I44" s="1">
        <v>0</v>
      </c>
      <c r="J44" s="2">
        <v>43040</v>
      </c>
      <c r="K44" s="1" t="e">
        <f t="shared" si="0"/>
        <v>#VALUE!</v>
      </c>
      <c r="L44" s="2">
        <f t="shared" si="2"/>
        <v>42746</v>
      </c>
    </row>
    <row r="45" spans="1:12" x14ac:dyDescent="0.2">
      <c r="A45" s="2">
        <v>42622</v>
      </c>
      <c r="B45" s="1" t="s">
        <v>56</v>
      </c>
      <c r="C45" s="1" t="s">
        <v>57</v>
      </c>
      <c r="D45" s="2">
        <v>42737</v>
      </c>
      <c r="E45" s="1" t="s">
        <v>58</v>
      </c>
      <c r="F45" s="1" t="s">
        <v>76</v>
      </c>
      <c r="H45" s="1">
        <v>-3.25</v>
      </c>
      <c r="I45" s="1">
        <v>0</v>
      </c>
      <c r="J45" s="2">
        <v>42980</v>
      </c>
      <c r="K45" s="1" t="e">
        <f t="shared" si="0"/>
        <v>#VALUE!</v>
      </c>
      <c r="L45" s="2">
        <f t="shared" si="2"/>
        <v>42775</v>
      </c>
    </row>
    <row r="46" spans="1:12" x14ac:dyDescent="0.2">
      <c r="A46" s="2">
        <v>42622</v>
      </c>
      <c r="B46" s="1" t="s">
        <v>56</v>
      </c>
      <c r="C46" s="1" t="s">
        <v>57</v>
      </c>
      <c r="D46" s="2">
        <v>42738</v>
      </c>
      <c r="E46" s="1" t="s">
        <v>58</v>
      </c>
      <c r="F46" s="1" t="s">
        <v>76</v>
      </c>
      <c r="H46" s="1">
        <v>-3</v>
      </c>
      <c r="I46" s="1">
        <v>0</v>
      </c>
      <c r="J46" s="2">
        <v>42981</v>
      </c>
      <c r="K46" s="1" t="e">
        <f t="shared" si="0"/>
        <v>#VALUE!</v>
      </c>
      <c r="L46" s="2">
        <f t="shared" si="2"/>
        <v>42803</v>
      </c>
    </row>
    <row r="47" spans="1:12" x14ac:dyDescent="0.2">
      <c r="A47" s="2">
        <v>42622</v>
      </c>
      <c r="B47" s="1" t="s">
        <v>56</v>
      </c>
      <c r="C47" s="1" t="s">
        <v>57</v>
      </c>
      <c r="D47" s="2">
        <v>42739</v>
      </c>
      <c r="E47" s="1" t="s">
        <v>58</v>
      </c>
      <c r="F47" s="1" t="s">
        <v>76</v>
      </c>
      <c r="H47" s="1">
        <v>-2.75</v>
      </c>
      <c r="I47" s="1">
        <v>-0.25</v>
      </c>
      <c r="J47" s="2">
        <v>43043</v>
      </c>
      <c r="K47" s="1" t="e">
        <f t="shared" si="0"/>
        <v>#VALUE!</v>
      </c>
      <c r="L47" s="2">
        <f t="shared" si="2"/>
        <v>42836</v>
      </c>
    </row>
    <row r="48" spans="1:12" x14ac:dyDescent="0.2">
      <c r="A48" s="2">
        <v>42622</v>
      </c>
      <c r="B48" s="1" t="s">
        <v>56</v>
      </c>
      <c r="C48" s="1" t="s">
        <v>57</v>
      </c>
      <c r="D48" s="2">
        <v>42740</v>
      </c>
      <c r="E48" s="1" t="s">
        <v>58</v>
      </c>
      <c r="F48" s="1" t="s">
        <v>76</v>
      </c>
      <c r="H48" s="1">
        <v>-2.75</v>
      </c>
      <c r="I48" s="1">
        <v>-0.25</v>
      </c>
      <c r="J48" s="2">
        <v>43013</v>
      </c>
      <c r="K48" s="1" t="e">
        <f t="shared" si="0"/>
        <v>#VALUE!</v>
      </c>
      <c r="L48" s="2">
        <f t="shared" si="2"/>
        <v>42865</v>
      </c>
    </row>
    <row r="49" spans="1:12" x14ac:dyDescent="0.2">
      <c r="A49" s="2">
        <v>42622</v>
      </c>
      <c r="B49" s="1" t="s">
        <v>56</v>
      </c>
      <c r="C49" s="1" t="s">
        <v>57</v>
      </c>
      <c r="D49" s="2">
        <v>42741</v>
      </c>
      <c r="E49" s="1" t="s">
        <v>58</v>
      </c>
      <c r="F49" s="1" t="s">
        <v>76</v>
      </c>
      <c r="H49" s="1">
        <v>-3.75</v>
      </c>
      <c r="I49" s="1">
        <v>-0.25</v>
      </c>
      <c r="J49" s="2">
        <v>42984</v>
      </c>
      <c r="K49" s="1" t="e">
        <f t="shared" si="0"/>
        <v>#VALUE!</v>
      </c>
      <c r="L49" s="2">
        <f t="shared" si="2"/>
        <v>42895</v>
      </c>
    </row>
    <row r="50" spans="1:12" x14ac:dyDescent="0.2">
      <c r="A50" s="2">
        <v>42622</v>
      </c>
      <c r="B50" s="1" t="s">
        <v>56</v>
      </c>
      <c r="C50" s="1" t="s">
        <v>57</v>
      </c>
      <c r="D50" s="2">
        <v>42742</v>
      </c>
      <c r="E50" s="1" t="s">
        <v>58</v>
      </c>
      <c r="F50" s="1" t="s">
        <v>76</v>
      </c>
      <c r="H50" s="1">
        <v>-3.25</v>
      </c>
      <c r="I50" s="1">
        <v>0</v>
      </c>
      <c r="J50" s="2">
        <v>43046</v>
      </c>
      <c r="K50" s="1" t="e">
        <f t="shared" si="0"/>
        <v>#VALUE!</v>
      </c>
      <c r="L50" s="2">
        <f>DATE(YEAR(J50),DAY(J50),MONTH(J50))</f>
        <v>42927</v>
      </c>
    </row>
    <row r="51" spans="1:12" x14ac:dyDescent="0.2">
      <c r="A51" s="2">
        <v>42622</v>
      </c>
      <c r="B51" s="1" t="s">
        <v>56</v>
      </c>
      <c r="C51" s="1" t="s">
        <v>57</v>
      </c>
      <c r="D51" s="2">
        <v>42743</v>
      </c>
      <c r="E51" s="1" t="s">
        <v>58</v>
      </c>
      <c r="F51" s="1" t="s">
        <v>76</v>
      </c>
      <c r="H51" s="1">
        <v>-3</v>
      </c>
      <c r="I51" s="1">
        <v>-0.25</v>
      </c>
      <c r="J51" s="2">
        <v>42986</v>
      </c>
      <c r="K51" s="1" t="e">
        <f t="shared" si="0"/>
        <v>#VALUE!</v>
      </c>
      <c r="L51" s="2">
        <f t="shared" si="2"/>
        <v>42956</v>
      </c>
    </row>
    <row r="52" spans="1:12" x14ac:dyDescent="0.2">
      <c r="A52" s="2">
        <v>42622</v>
      </c>
      <c r="B52" s="1" t="s">
        <v>56</v>
      </c>
      <c r="C52" s="1" t="s">
        <v>57</v>
      </c>
      <c r="D52" s="2">
        <v>42744</v>
      </c>
      <c r="E52" s="1" t="s">
        <v>58</v>
      </c>
      <c r="F52" s="1" t="s">
        <v>76</v>
      </c>
      <c r="H52" s="1">
        <v>-3</v>
      </c>
      <c r="I52" s="1">
        <v>0</v>
      </c>
      <c r="J52" s="2">
        <v>43048</v>
      </c>
      <c r="K52" s="1" t="e">
        <f t="shared" si="0"/>
        <v>#VALUE!</v>
      </c>
      <c r="L52" s="2">
        <f t="shared" si="2"/>
        <v>42989</v>
      </c>
    </row>
    <row r="53" spans="1:12" x14ac:dyDescent="0.2">
      <c r="A53" s="2">
        <v>42622</v>
      </c>
      <c r="B53" s="1" t="s">
        <v>56</v>
      </c>
      <c r="C53" s="1" t="s">
        <v>57</v>
      </c>
      <c r="D53" s="2">
        <v>42745</v>
      </c>
      <c r="E53" s="1" t="s">
        <v>58</v>
      </c>
      <c r="F53" s="1" t="s">
        <v>76</v>
      </c>
      <c r="H53" s="1">
        <v>-1.25</v>
      </c>
      <c r="I53" s="1">
        <v>0</v>
      </c>
      <c r="J53" s="2">
        <v>43049</v>
      </c>
      <c r="K53" s="1" t="e">
        <f t="shared" si="0"/>
        <v>#VALUE!</v>
      </c>
      <c r="L53" s="2">
        <f t="shared" si="2"/>
        <v>43019</v>
      </c>
    </row>
    <row r="54" spans="1:12" x14ac:dyDescent="0.2">
      <c r="A54" s="2">
        <v>42622</v>
      </c>
      <c r="B54" s="1" t="s">
        <v>56</v>
      </c>
      <c r="C54" s="1" t="s">
        <v>57</v>
      </c>
      <c r="D54" s="2">
        <v>42746</v>
      </c>
      <c r="E54" s="1" t="s">
        <v>58</v>
      </c>
      <c r="F54" s="1" t="s">
        <v>76</v>
      </c>
      <c r="H54" s="1">
        <v>-0.75</v>
      </c>
      <c r="I54" s="1">
        <v>0</v>
      </c>
      <c r="J54" s="2">
        <v>42989</v>
      </c>
      <c r="K54" s="1" t="e">
        <f t="shared" si="0"/>
        <v>#VALUE!</v>
      </c>
      <c r="L54" s="2">
        <f t="shared" si="2"/>
        <v>43048</v>
      </c>
    </row>
    <row r="55" spans="1:12" x14ac:dyDescent="0.2">
      <c r="A55" s="2">
        <v>42622</v>
      </c>
      <c r="B55" s="1" t="s">
        <v>56</v>
      </c>
      <c r="C55" s="1" t="s">
        <v>57</v>
      </c>
      <c r="D55" s="2">
        <v>42747</v>
      </c>
      <c r="E55" s="1" t="s">
        <v>58</v>
      </c>
      <c r="F55" s="1" t="s">
        <v>76</v>
      </c>
      <c r="H55" s="1">
        <v>-2.5</v>
      </c>
      <c r="I55" s="1">
        <v>0</v>
      </c>
      <c r="J55" s="2">
        <v>43051</v>
      </c>
      <c r="K55" s="1" t="e">
        <f t="shared" si="0"/>
        <v>#VALUE!</v>
      </c>
      <c r="L55" s="2">
        <f t="shared" si="2"/>
        <v>43080</v>
      </c>
    </row>
    <row r="56" spans="1:12" x14ac:dyDescent="0.2">
      <c r="A56" s="2">
        <v>42622</v>
      </c>
      <c r="B56" s="1" t="s">
        <v>56</v>
      </c>
      <c r="C56" s="1" t="s">
        <v>57</v>
      </c>
      <c r="D56" s="2">
        <v>43101</v>
      </c>
      <c r="E56" s="1" t="s">
        <v>58</v>
      </c>
      <c r="F56" s="1" t="s">
        <v>76</v>
      </c>
      <c r="H56" s="1">
        <v>-3</v>
      </c>
      <c r="I56" s="1">
        <v>0</v>
      </c>
      <c r="J56" s="2">
        <v>43374</v>
      </c>
      <c r="K56" s="1" t="e">
        <f t="shared" si="0"/>
        <v>#VALUE!</v>
      </c>
      <c r="L56" s="2">
        <f t="shared" si="2"/>
        <v>43110</v>
      </c>
    </row>
    <row r="57" spans="1:12" x14ac:dyDescent="0.2">
      <c r="A57" s="2">
        <v>42622</v>
      </c>
      <c r="B57" s="1" t="s">
        <v>56</v>
      </c>
      <c r="C57" s="1" t="s">
        <v>57</v>
      </c>
      <c r="D57" s="2">
        <v>43102</v>
      </c>
      <c r="E57" s="1" t="s">
        <v>58</v>
      </c>
      <c r="F57" s="1" t="s">
        <v>76</v>
      </c>
      <c r="H57" s="1">
        <v>-2.5</v>
      </c>
      <c r="I57" s="1">
        <v>0</v>
      </c>
      <c r="J57" s="2">
        <v>43345</v>
      </c>
      <c r="K57" s="1" t="e">
        <f t="shared" si="0"/>
        <v>#VALUE!</v>
      </c>
      <c r="L57" s="2">
        <f t="shared" si="2"/>
        <v>43140</v>
      </c>
    </row>
    <row r="58" spans="1:12" x14ac:dyDescent="0.2">
      <c r="A58" s="2">
        <v>42622</v>
      </c>
      <c r="B58" s="1" t="s">
        <v>56</v>
      </c>
      <c r="C58" s="1" t="s">
        <v>57</v>
      </c>
      <c r="D58" s="2">
        <v>43103</v>
      </c>
      <c r="E58" s="1" t="s">
        <v>58</v>
      </c>
      <c r="F58" s="1" t="s">
        <v>76</v>
      </c>
      <c r="H58" s="1">
        <v>-2.25</v>
      </c>
      <c r="I58" s="1">
        <v>-0.25</v>
      </c>
      <c r="J58" s="2">
        <v>43346</v>
      </c>
      <c r="K58" s="1" t="e">
        <f t="shared" si="0"/>
        <v>#VALUE!</v>
      </c>
      <c r="L58" s="2">
        <f t="shared" si="2"/>
        <v>43168</v>
      </c>
    </row>
    <row r="59" spans="1:12" x14ac:dyDescent="0.2">
      <c r="A59" s="2">
        <v>42622</v>
      </c>
      <c r="B59" s="1" t="s">
        <v>56</v>
      </c>
      <c r="C59" s="1" t="s">
        <v>57</v>
      </c>
      <c r="D59" s="2">
        <v>43104</v>
      </c>
      <c r="E59" s="1" t="s">
        <v>58</v>
      </c>
      <c r="F59" s="1" t="s">
        <v>76</v>
      </c>
      <c r="H59" s="1">
        <v>-1.75</v>
      </c>
      <c r="I59" s="1">
        <v>0</v>
      </c>
      <c r="J59" s="2">
        <v>43408</v>
      </c>
      <c r="K59" s="1" t="e">
        <f t="shared" si="0"/>
        <v>#VALUE!</v>
      </c>
      <c r="L59" s="2">
        <f t="shared" si="2"/>
        <v>43201</v>
      </c>
    </row>
    <row r="60" spans="1:12" x14ac:dyDescent="0.2">
      <c r="A60" s="2">
        <v>42622</v>
      </c>
      <c r="B60" s="1" t="s">
        <v>56</v>
      </c>
      <c r="C60" s="1" t="s">
        <v>57</v>
      </c>
      <c r="D60" s="2">
        <v>43105</v>
      </c>
      <c r="E60" s="1" t="s">
        <v>58</v>
      </c>
      <c r="F60" s="1" t="s">
        <v>76</v>
      </c>
      <c r="H60" s="1">
        <v>-1.25</v>
      </c>
      <c r="I60" s="1">
        <v>0</v>
      </c>
      <c r="J60" s="2">
        <v>43348</v>
      </c>
      <c r="K60" s="1" t="e">
        <f t="shared" si="0"/>
        <v>#VALUE!</v>
      </c>
      <c r="L60" s="2">
        <f t="shared" si="2"/>
        <v>43229</v>
      </c>
    </row>
    <row r="61" spans="1:12" x14ac:dyDescent="0.2">
      <c r="A61" s="2">
        <v>42622</v>
      </c>
      <c r="B61" s="1" t="s">
        <v>56</v>
      </c>
      <c r="C61" s="1" t="s">
        <v>57</v>
      </c>
      <c r="D61" s="2">
        <v>43106</v>
      </c>
      <c r="E61" s="1" t="s">
        <v>58</v>
      </c>
      <c r="F61" s="1" t="s">
        <v>76</v>
      </c>
      <c r="H61" s="1">
        <v>-3</v>
      </c>
      <c r="I61" s="1">
        <v>0</v>
      </c>
      <c r="J61" s="2">
        <v>43410</v>
      </c>
      <c r="K61" s="1" t="e">
        <f t="shared" si="0"/>
        <v>#VALUE!</v>
      </c>
      <c r="L61" s="2">
        <f t="shared" si="2"/>
        <v>43262</v>
      </c>
    </row>
    <row r="62" spans="1:12" x14ac:dyDescent="0.2">
      <c r="A62" s="2">
        <v>42622</v>
      </c>
      <c r="B62" s="1" t="s">
        <v>56</v>
      </c>
      <c r="C62" s="1" t="s">
        <v>57</v>
      </c>
      <c r="D62" s="2">
        <v>43107</v>
      </c>
      <c r="E62" s="1" t="s">
        <v>58</v>
      </c>
      <c r="F62" s="1" t="s">
        <v>76</v>
      </c>
      <c r="H62" s="1">
        <v>-2.75</v>
      </c>
      <c r="I62" s="1">
        <v>0</v>
      </c>
      <c r="J62" s="2">
        <v>43411</v>
      </c>
      <c r="K62" s="1" t="e">
        <f t="shared" si="0"/>
        <v>#VALUE!</v>
      </c>
      <c r="L62" s="2">
        <f t="shared" si="2"/>
        <v>43292</v>
      </c>
    </row>
    <row r="63" spans="1:12" x14ac:dyDescent="0.2">
      <c r="A63" s="2">
        <v>42622</v>
      </c>
      <c r="B63" s="1" t="s">
        <v>56</v>
      </c>
      <c r="C63" s="1" t="s">
        <v>57</v>
      </c>
      <c r="D63" s="2">
        <v>43108</v>
      </c>
      <c r="E63" s="1" t="s">
        <v>58</v>
      </c>
      <c r="F63" s="1" t="s">
        <v>76</v>
      </c>
      <c r="H63" s="1">
        <v>-2</v>
      </c>
      <c r="I63" s="1">
        <v>0</v>
      </c>
      <c r="J63" s="2">
        <v>43351</v>
      </c>
      <c r="K63" s="1" t="e">
        <f t="shared" si="0"/>
        <v>#VALUE!</v>
      </c>
      <c r="L63" s="2">
        <f t="shared" si="2"/>
        <v>43321</v>
      </c>
    </row>
    <row r="64" spans="1:12" x14ac:dyDescent="0.2">
      <c r="A64" s="2">
        <v>42622</v>
      </c>
      <c r="B64" s="1" t="s">
        <v>56</v>
      </c>
      <c r="C64" s="1" t="s">
        <v>57</v>
      </c>
      <c r="D64" s="2">
        <v>43109</v>
      </c>
      <c r="E64" s="1" t="s">
        <v>58</v>
      </c>
      <c r="F64" s="1" t="s">
        <v>76</v>
      </c>
      <c r="H64" s="1">
        <v>-1.5</v>
      </c>
      <c r="I64" s="1">
        <v>0</v>
      </c>
      <c r="J64" s="2">
        <v>43413</v>
      </c>
      <c r="K64" s="1" t="e">
        <f t="shared" si="0"/>
        <v>#VALUE!</v>
      </c>
      <c r="L64" s="2">
        <f t="shared" si="2"/>
        <v>43354</v>
      </c>
    </row>
    <row r="65" spans="1:12" x14ac:dyDescent="0.2">
      <c r="A65" s="2">
        <v>42622</v>
      </c>
      <c r="B65" s="1" t="s">
        <v>56</v>
      </c>
      <c r="C65" s="1" t="s">
        <v>57</v>
      </c>
      <c r="D65" s="2">
        <v>43110</v>
      </c>
      <c r="E65" s="1" t="s">
        <v>58</v>
      </c>
      <c r="F65" s="1" t="s">
        <v>76</v>
      </c>
      <c r="H65" s="1">
        <v>-1.25</v>
      </c>
      <c r="I65" s="1">
        <v>0</v>
      </c>
      <c r="J65" s="2">
        <v>43383</v>
      </c>
      <c r="K65" s="1" t="e">
        <f t="shared" si="0"/>
        <v>#VALUE!</v>
      </c>
      <c r="L65" s="2">
        <f t="shared" si="2"/>
        <v>43383</v>
      </c>
    </row>
    <row r="66" spans="1:12" x14ac:dyDescent="0.2">
      <c r="A66" s="2">
        <v>42622</v>
      </c>
      <c r="B66" s="1" t="s">
        <v>56</v>
      </c>
      <c r="C66" s="1" t="s">
        <v>57</v>
      </c>
      <c r="D66" s="2">
        <v>43111</v>
      </c>
      <c r="E66" s="1" t="s">
        <v>58</v>
      </c>
      <c r="F66" s="1" t="s">
        <v>76</v>
      </c>
      <c r="H66" s="1">
        <v>-1.25</v>
      </c>
      <c r="I66" s="1">
        <v>0</v>
      </c>
      <c r="J66" s="2">
        <v>43354</v>
      </c>
      <c r="K66" s="1" t="e">
        <f t="shared" si="0"/>
        <v>#VALUE!</v>
      </c>
      <c r="L66" s="2">
        <f t="shared" si="2"/>
        <v>43413</v>
      </c>
    </row>
    <row r="67" spans="1:12" x14ac:dyDescent="0.2">
      <c r="A67" s="2">
        <v>42622</v>
      </c>
      <c r="B67" s="1" t="s">
        <v>56</v>
      </c>
      <c r="C67" s="1" t="s">
        <v>57</v>
      </c>
      <c r="D67" s="2">
        <v>43112</v>
      </c>
      <c r="E67" s="1" t="s">
        <v>58</v>
      </c>
      <c r="F67" s="1" t="s">
        <v>76</v>
      </c>
      <c r="H67" s="1">
        <v>-2.5</v>
      </c>
      <c r="I67" s="1">
        <v>0</v>
      </c>
      <c r="J67" s="2">
        <v>43416</v>
      </c>
      <c r="K67" s="1" t="e">
        <f t="shared" ref="K67:K90" si="3">FIND("/",J67)</f>
        <v>#VALUE!</v>
      </c>
      <c r="L67" s="2">
        <f t="shared" si="2"/>
        <v>43445</v>
      </c>
    </row>
    <row r="68" spans="1:12" x14ac:dyDescent="0.2">
      <c r="A68" s="2">
        <v>42622</v>
      </c>
      <c r="B68" s="1" t="s">
        <v>56</v>
      </c>
      <c r="C68" s="1" t="s">
        <v>57</v>
      </c>
      <c r="D68" s="2">
        <v>43466</v>
      </c>
      <c r="E68" s="1" t="s">
        <v>58</v>
      </c>
      <c r="F68" s="1" t="s">
        <v>76</v>
      </c>
      <c r="H68" s="1">
        <v>-2.5</v>
      </c>
      <c r="I68" s="1">
        <v>0</v>
      </c>
      <c r="J68" s="2">
        <v>43709</v>
      </c>
      <c r="K68" s="1" t="e">
        <f t="shared" si="3"/>
        <v>#VALUE!</v>
      </c>
      <c r="L68" s="2">
        <f t="shared" si="2"/>
        <v>43474</v>
      </c>
    </row>
    <row r="69" spans="1:12" x14ac:dyDescent="0.2">
      <c r="A69" s="2">
        <v>42622</v>
      </c>
      <c r="B69" s="1" t="s">
        <v>56</v>
      </c>
      <c r="C69" s="1" t="s">
        <v>57</v>
      </c>
      <c r="D69" s="2">
        <v>43467</v>
      </c>
      <c r="E69" s="1" t="s">
        <v>58</v>
      </c>
      <c r="F69" s="1" t="s">
        <v>76</v>
      </c>
      <c r="H69" s="1">
        <v>-2</v>
      </c>
      <c r="I69" s="1">
        <v>0</v>
      </c>
      <c r="J69" s="2">
        <v>43771</v>
      </c>
      <c r="K69" s="1" t="e">
        <f t="shared" si="3"/>
        <v>#VALUE!</v>
      </c>
      <c r="L69" s="2">
        <f t="shared" si="2"/>
        <v>43507</v>
      </c>
    </row>
    <row r="70" spans="1:12" x14ac:dyDescent="0.2">
      <c r="A70" s="2">
        <v>42622</v>
      </c>
      <c r="B70" s="1" t="s">
        <v>56</v>
      </c>
      <c r="C70" s="1" t="s">
        <v>57</v>
      </c>
      <c r="D70" s="2">
        <v>43468</v>
      </c>
      <c r="E70" s="1" t="s">
        <v>58</v>
      </c>
      <c r="F70" s="1" t="s">
        <v>76</v>
      </c>
      <c r="H70" s="1">
        <v>-1.75</v>
      </c>
      <c r="I70" s="1">
        <v>0</v>
      </c>
      <c r="J70" s="2">
        <v>43772</v>
      </c>
      <c r="K70" s="1" t="e">
        <f t="shared" si="3"/>
        <v>#VALUE!</v>
      </c>
      <c r="L70" s="2">
        <f t="shared" si="2"/>
        <v>43535</v>
      </c>
    </row>
    <row r="71" spans="1:12" x14ac:dyDescent="0.2">
      <c r="A71" s="2">
        <v>42622</v>
      </c>
      <c r="B71" s="1" t="s">
        <v>56</v>
      </c>
      <c r="C71" s="1" t="s">
        <v>57</v>
      </c>
      <c r="D71" s="2">
        <v>43469</v>
      </c>
      <c r="E71" s="1" t="s">
        <v>58</v>
      </c>
      <c r="F71" s="1" t="s">
        <v>76</v>
      </c>
      <c r="H71" s="1">
        <v>-1.75</v>
      </c>
      <c r="I71" s="1">
        <v>0</v>
      </c>
      <c r="J71" s="2">
        <v>43742</v>
      </c>
      <c r="K71" s="1" t="e">
        <f t="shared" si="3"/>
        <v>#VALUE!</v>
      </c>
      <c r="L71" s="2">
        <f t="shared" si="2"/>
        <v>43565</v>
      </c>
    </row>
    <row r="72" spans="1:12" x14ac:dyDescent="0.2">
      <c r="A72" s="2">
        <v>42622</v>
      </c>
      <c r="B72" s="1" t="s">
        <v>56</v>
      </c>
      <c r="C72" s="1" t="s">
        <v>57</v>
      </c>
      <c r="D72" s="2">
        <v>43470</v>
      </c>
      <c r="E72" s="1" t="s">
        <v>58</v>
      </c>
      <c r="F72" s="1" t="s">
        <v>76</v>
      </c>
      <c r="H72" s="1">
        <v>-1.5</v>
      </c>
      <c r="I72" s="1">
        <v>0</v>
      </c>
      <c r="J72" s="2">
        <v>43713</v>
      </c>
      <c r="K72" s="1" t="e">
        <f t="shared" si="3"/>
        <v>#VALUE!</v>
      </c>
      <c r="L72" s="2">
        <f t="shared" si="2"/>
        <v>43594</v>
      </c>
    </row>
    <row r="73" spans="1:12" x14ac:dyDescent="0.2">
      <c r="A73" s="2">
        <v>42622</v>
      </c>
      <c r="B73" s="1" t="s">
        <v>56</v>
      </c>
      <c r="C73" s="1" t="s">
        <v>57</v>
      </c>
      <c r="D73" s="2">
        <v>43471</v>
      </c>
      <c r="E73" s="1" t="s">
        <v>58</v>
      </c>
      <c r="F73" s="1" t="s">
        <v>76</v>
      </c>
      <c r="H73" s="1">
        <v>-1.5</v>
      </c>
      <c r="I73" s="1">
        <v>0</v>
      </c>
      <c r="J73" s="2">
        <v>43775</v>
      </c>
      <c r="K73" s="1" t="e">
        <f t="shared" si="3"/>
        <v>#VALUE!</v>
      </c>
      <c r="L73" s="2">
        <f t="shared" si="2"/>
        <v>43627</v>
      </c>
    </row>
    <row r="74" spans="1:12" x14ac:dyDescent="0.2">
      <c r="A74" s="2">
        <v>42622</v>
      </c>
      <c r="B74" s="1" t="s">
        <v>56</v>
      </c>
      <c r="C74" s="1" t="s">
        <v>57</v>
      </c>
      <c r="D74" s="2">
        <v>43472</v>
      </c>
      <c r="E74" s="1" t="s">
        <v>58</v>
      </c>
      <c r="F74" s="1" t="s">
        <v>76</v>
      </c>
      <c r="H74" s="1">
        <v>-1.5</v>
      </c>
      <c r="I74" s="1">
        <v>0</v>
      </c>
      <c r="J74" s="2">
        <v>43745</v>
      </c>
      <c r="K74" s="1" t="e">
        <f t="shared" si="3"/>
        <v>#VALUE!</v>
      </c>
      <c r="L74" s="2">
        <f t="shared" si="2"/>
        <v>43656</v>
      </c>
    </row>
    <row r="75" spans="1:12" x14ac:dyDescent="0.2">
      <c r="A75" s="2">
        <v>42622</v>
      </c>
      <c r="B75" s="1" t="s">
        <v>56</v>
      </c>
      <c r="C75" s="1" t="s">
        <v>57</v>
      </c>
      <c r="D75" s="2">
        <v>43473</v>
      </c>
      <c r="E75" s="1" t="s">
        <v>58</v>
      </c>
      <c r="F75" s="1" t="s">
        <v>76</v>
      </c>
      <c r="H75" s="1">
        <v>-1.5</v>
      </c>
      <c r="I75" s="1">
        <v>0</v>
      </c>
      <c r="J75" s="2">
        <v>43716</v>
      </c>
      <c r="K75" s="1" t="e">
        <f t="shared" si="3"/>
        <v>#VALUE!</v>
      </c>
      <c r="L75" s="2">
        <f t="shared" si="2"/>
        <v>43686</v>
      </c>
    </row>
    <row r="76" spans="1:12" x14ac:dyDescent="0.2">
      <c r="A76" s="2">
        <v>42622</v>
      </c>
      <c r="B76" s="1" t="s">
        <v>59</v>
      </c>
      <c r="C76" s="1" t="s">
        <v>14</v>
      </c>
      <c r="D76" s="2">
        <v>42379</v>
      </c>
      <c r="E76" s="1" t="s">
        <v>60</v>
      </c>
      <c r="F76" s="1" t="s">
        <v>76</v>
      </c>
      <c r="H76" s="1">
        <v>-0.57999999999999996</v>
      </c>
      <c r="I76" s="1">
        <v>0.06</v>
      </c>
      <c r="J76" s="1" t="s">
        <v>61</v>
      </c>
      <c r="K76" s="1">
        <f t="shared" si="3"/>
        <v>2</v>
      </c>
      <c r="L76" s="2">
        <f>DATE(RIGHT(J76,4),LEFT(J76,K76-1),RIGHT(LEFT(J76,K76+2),2))</f>
        <v>42632</v>
      </c>
    </row>
    <row r="77" spans="1:12" x14ac:dyDescent="0.2">
      <c r="A77" s="2">
        <v>42622</v>
      </c>
      <c r="B77" s="1" t="s">
        <v>59</v>
      </c>
      <c r="C77" s="1" t="s">
        <v>14</v>
      </c>
      <c r="D77" s="2">
        <v>42380</v>
      </c>
      <c r="E77" s="1" t="s">
        <v>60</v>
      </c>
      <c r="F77" s="1" t="s">
        <v>76</v>
      </c>
      <c r="H77" s="1">
        <v>-0.61</v>
      </c>
      <c r="I77" s="1">
        <v>0.04</v>
      </c>
      <c r="J77" s="1" t="s">
        <v>63</v>
      </c>
      <c r="K77" s="1">
        <f t="shared" si="3"/>
        <v>3</v>
      </c>
      <c r="L77" s="2">
        <f t="shared" ref="L77:L90" si="4">DATE(RIGHT(J77,4),LEFT(J77,K77-1),RIGHT(LEFT(J77,K77+2),2))</f>
        <v>42662</v>
      </c>
    </row>
    <row r="78" spans="1:12" x14ac:dyDescent="0.2">
      <c r="A78" s="2">
        <v>42622</v>
      </c>
      <c r="B78" s="1" t="s">
        <v>59</v>
      </c>
      <c r="C78" s="1" t="s">
        <v>14</v>
      </c>
      <c r="D78" s="2">
        <v>42381</v>
      </c>
      <c r="E78" s="1" t="s">
        <v>60</v>
      </c>
      <c r="F78" s="1" t="s">
        <v>76</v>
      </c>
      <c r="H78" s="1">
        <v>-0.62</v>
      </c>
      <c r="I78" s="1">
        <v>0.04</v>
      </c>
      <c r="J78" s="1" t="s">
        <v>66</v>
      </c>
      <c r="K78" s="1">
        <f t="shared" si="3"/>
        <v>3</v>
      </c>
      <c r="L78" s="2">
        <f t="shared" si="4"/>
        <v>42692</v>
      </c>
    </row>
    <row r="79" spans="1:12" x14ac:dyDescent="0.2">
      <c r="A79" s="2">
        <v>42622</v>
      </c>
      <c r="B79" s="1" t="s">
        <v>59</v>
      </c>
      <c r="C79" s="1" t="s">
        <v>14</v>
      </c>
      <c r="D79" s="2">
        <v>42736</v>
      </c>
      <c r="E79" s="1" t="s">
        <v>60</v>
      </c>
      <c r="F79" s="1" t="s">
        <v>76</v>
      </c>
      <c r="H79" s="1">
        <v>-0.6</v>
      </c>
      <c r="I79" s="1">
        <v>0.01</v>
      </c>
      <c r="J79" s="1" t="s">
        <v>65</v>
      </c>
      <c r="K79" s="1">
        <f t="shared" si="3"/>
        <v>3</v>
      </c>
      <c r="L79" s="2">
        <f t="shared" si="4"/>
        <v>42723</v>
      </c>
    </row>
    <row r="80" spans="1:12" x14ac:dyDescent="0.2">
      <c r="A80" s="2">
        <v>42622</v>
      </c>
      <c r="B80" s="1" t="s">
        <v>59</v>
      </c>
      <c r="C80" s="1" t="s">
        <v>14</v>
      </c>
      <c r="D80" s="2">
        <v>42737</v>
      </c>
      <c r="E80" s="1" t="s">
        <v>60</v>
      </c>
      <c r="F80" s="1" t="s">
        <v>76</v>
      </c>
      <c r="H80" s="1">
        <v>-0.54</v>
      </c>
      <c r="I80" s="1">
        <v>-0.01</v>
      </c>
      <c r="J80" s="1" t="s">
        <v>68</v>
      </c>
      <c r="K80" s="1">
        <f t="shared" si="3"/>
        <v>2</v>
      </c>
      <c r="L80" s="2">
        <f t="shared" si="4"/>
        <v>42754</v>
      </c>
    </row>
    <row r="81" spans="1:12" x14ac:dyDescent="0.2">
      <c r="A81" s="2">
        <v>42622</v>
      </c>
      <c r="B81" s="1" t="s">
        <v>59</v>
      </c>
      <c r="C81" s="1" t="s">
        <v>14</v>
      </c>
      <c r="D81" s="2">
        <v>42738</v>
      </c>
      <c r="E81" s="1" t="s">
        <v>60</v>
      </c>
      <c r="F81" s="1" t="s">
        <v>76</v>
      </c>
      <c r="H81" s="1">
        <v>-0.45</v>
      </c>
      <c r="I81" s="1">
        <v>-0.02</v>
      </c>
      <c r="J81" s="1" t="s">
        <v>69</v>
      </c>
      <c r="K81" s="1">
        <f t="shared" si="3"/>
        <v>2</v>
      </c>
      <c r="L81" s="2">
        <f t="shared" si="4"/>
        <v>42783</v>
      </c>
    </row>
    <row r="82" spans="1:12" x14ac:dyDescent="0.2">
      <c r="A82" s="2">
        <v>42622</v>
      </c>
      <c r="B82" s="1" t="s">
        <v>59</v>
      </c>
      <c r="C82" s="1" t="s">
        <v>14</v>
      </c>
      <c r="D82" s="2">
        <v>42739</v>
      </c>
      <c r="E82" s="1" t="s">
        <v>60</v>
      </c>
      <c r="F82" s="1" t="s">
        <v>76</v>
      </c>
      <c r="H82" s="1">
        <v>-0.36</v>
      </c>
      <c r="I82" s="1">
        <v>-0.02</v>
      </c>
      <c r="J82" s="1" t="s">
        <v>70</v>
      </c>
      <c r="K82" s="1">
        <f t="shared" si="3"/>
        <v>2</v>
      </c>
      <c r="L82" s="2">
        <f t="shared" si="4"/>
        <v>42814</v>
      </c>
    </row>
    <row r="83" spans="1:12" x14ac:dyDescent="0.2">
      <c r="A83" s="2">
        <v>42622</v>
      </c>
      <c r="B83" s="1" t="s">
        <v>59</v>
      </c>
      <c r="C83" s="1" t="s">
        <v>14</v>
      </c>
      <c r="D83" s="2">
        <v>42740</v>
      </c>
      <c r="E83" s="1" t="s">
        <v>60</v>
      </c>
      <c r="F83" s="1" t="s">
        <v>76</v>
      </c>
      <c r="H83" s="1">
        <v>-0.28999999999999998</v>
      </c>
      <c r="I83" s="1">
        <v>-0.03</v>
      </c>
      <c r="J83" s="1" t="s">
        <v>71</v>
      </c>
      <c r="K83" s="1">
        <f t="shared" si="3"/>
        <v>2</v>
      </c>
      <c r="L83" s="2">
        <f t="shared" si="4"/>
        <v>42844</v>
      </c>
    </row>
    <row r="84" spans="1:12" x14ac:dyDescent="0.2">
      <c r="A84" s="2">
        <v>42622</v>
      </c>
      <c r="B84" s="1" t="s">
        <v>59</v>
      </c>
      <c r="C84" s="1" t="s">
        <v>14</v>
      </c>
      <c r="D84" s="2">
        <v>42741</v>
      </c>
      <c r="E84" s="1" t="s">
        <v>60</v>
      </c>
      <c r="F84" s="1" t="s">
        <v>76</v>
      </c>
      <c r="H84" s="1">
        <v>-0.22</v>
      </c>
      <c r="I84" s="1">
        <v>-0.01</v>
      </c>
      <c r="J84" s="1" t="s">
        <v>72</v>
      </c>
      <c r="K84" s="1">
        <f t="shared" si="3"/>
        <v>2</v>
      </c>
      <c r="L84" s="2">
        <f t="shared" si="4"/>
        <v>42874</v>
      </c>
    </row>
    <row r="85" spans="1:12" x14ac:dyDescent="0.2">
      <c r="A85" s="2">
        <v>42622</v>
      </c>
      <c r="B85" s="1" t="s">
        <v>59</v>
      </c>
      <c r="C85" s="1" t="s">
        <v>14</v>
      </c>
      <c r="D85" s="2">
        <v>42742</v>
      </c>
      <c r="E85" s="1" t="s">
        <v>60</v>
      </c>
      <c r="F85" s="1" t="s">
        <v>76</v>
      </c>
      <c r="H85" s="1">
        <v>-0.2</v>
      </c>
      <c r="I85" s="1">
        <v>-0.02</v>
      </c>
      <c r="J85" s="1" t="s">
        <v>73</v>
      </c>
      <c r="K85" s="1">
        <f t="shared" si="3"/>
        <v>2</v>
      </c>
      <c r="L85" s="2">
        <f t="shared" si="4"/>
        <v>42905</v>
      </c>
    </row>
    <row r="86" spans="1:12" x14ac:dyDescent="0.2">
      <c r="A86" s="2">
        <v>42622</v>
      </c>
      <c r="B86" s="1" t="s">
        <v>59</v>
      </c>
      <c r="C86" s="1" t="s">
        <v>14</v>
      </c>
      <c r="D86" s="2">
        <v>42743</v>
      </c>
      <c r="E86" s="1" t="s">
        <v>60</v>
      </c>
      <c r="F86" s="1" t="s">
        <v>76</v>
      </c>
      <c r="H86" s="1">
        <v>-0.19</v>
      </c>
      <c r="I86" s="1">
        <v>-0.01</v>
      </c>
      <c r="J86" s="1" t="s">
        <v>74</v>
      </c>
      <c r="K86" s="1">
        <f t="shared" si="3"/>
        <v>2</v>
      </c>
      <c r="L86" s="2">
        <f t="shared" si="4"/>
        <v>42935</v>
      </c>
    </row>
    <row r="87" spans="1:12" x14ac:dyDescent="0.2">
      <c r="A87" s="2">
        <v>42622</v>
      </c>
      <c r="B87" s="1" t="s">
        <v>59</v>
      </c>
      <c r="C87" s="1" t="s">
        <v>14</v>
      </c>
      <c r="D87" s="2">
        <v>42744</v>
      </c>
      <c r="E87" s="1" t="s">
        <v>60</v>
      </c>
      <c r="F87" s="1" t="s">
        <v>76</v>
      </c>
      <c r="H87" s="1">
        <v>-0.18</v>
      </c>
      <c r="I87" s="1">
        <v>-0.01</v>
      </c>
      <c r="J87" s="1" t="s">
        <v>75</v>
      </c>
      <c r="K87" s="1">
        <f t="shared" si="3"/>
        <v>2</v>
      </c>
      <c r="L87" s="2">
        <f t="shared" si="4"/>
        <v>42968</v>
      </c>
    </row>
    <row r="88" spans="1:12" x14ac:dyDescent="0.2">
      <c r="A88" s="2">
        <v>42622</v>
      </c>
      <c r="B88" s="1" t="s">
        <v>59</v>
      </c>
      <c r="C88" s="1" t="s">
        <v>14</v>
      </c>
      <c r="D88" s="2">
        <v>42745</v>
      </c>
      <c r="E88" s="1" t="s">
        <v>60</v>
      </c>
      <c r="F88" s="1" t="s">
        <v>76</v>
      </c>
      <c r="H88" s="1">
        <v>-0.18</v>
      </c>
      <c r="I88" s="1">
        <v>-0.01</v>
      </c>
      <c r="J88" s="1" t="s">
        <v>62</v>
      </c>
      <c r="K88" s="1">
        <f t="shared" si="3"/>
        <v>2</v>
      </c>
      <c r="L88" s="2">
        <f t="shared" si="4"/>
        <v>42997</v>
      </c>
    </row>
    <row r="89" spans="1:12" x14ac:dyDescent="0.2">
      <c r="A89" s="2">
        <v>42622</v>
      </c>
      <c r="B89" s="1" t="s">
        <v>59</v>
      </c>
      <c r="C89" s="1" t="s">
        <v>14</v>
      </c>
      <c r="D89" s="2">
        <v>42746</v>
      </c>
      <c r="E89" s="1" t="s">
        <v>60</v>
      </c>
      <c r="F89" s="1" t="s">
        <v>76</v>
      </c>
      <c r="H89" s="1">
        <v>-0.2</v>
      </c>
      <c r="I89" s="1">
        <v>-0.01</v>
      </c>
      <c r="J89" s="1" t="s">
        <v>64</v>
      </c>
      <c r="K89" s="1">
        <f t="shared" si="3"/>
        <v>3</v>
      </c>
      <c r="L89" s="2">
        <f t="shared" si="4"/>
        <v>43027</v>
      </c>
    </row>
    <row r="90" spans="1:12" x14ac:dyDescent="0.2">
      <c r="A90" s="2">
        <v>42622</v>
      </c>
      <c r="B90" s="1" t="s">
        <v>59</v>
      </c>
      <c r="C90" s="1" t="s">
        <v>14</v>
      </c>
      <c r="D90" s="2">
        <v>42747</v>
      </c>
      <c r="E90" s="1" t="s">
        <v>60</v>
      </c>
      <c r="F90" s="1" t="s">
        <v>76</v>
      </c>
      <c r="H90" s="1">
        <v>-0.14000000000000001</v>
      </c>
      <c r="I90" s="1">
        <v>-0.01</v>
      </c>
      <c r="J90" s="1" t="s">
        <v>67</v>
      </c>
      <c r="K90" s="1">
        <f t="shared" si="3"/>
        <v>3</v>
      </c>
      <c r="L90" s="2">
        <f t="shared" si="4"/>
        <v>43056</v>
      </c>
    </row>
  </sheetData>
  <sortState ref="A2:J90">
    <sortCondition ref="B2:B90"/>
    <sortCondition ref="D2:D9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4"/>
  <sheetViews>
    <sheetView tabSelected="1" workbookViewId="0">
      <selection activeCell="H9" sqref="H9"/>
    </sheetView>
  </sheetViews>
  <sheetFormatPr defaultRowHeight="15" x14ac:dyDescent="0.25"/>
  <cols>
    <col min="3" max="3" width="12.28515625" bestFit="1" customWidth="1"/>
    <col min="4" max="4" width="12" bestFit="1" customWidth="1"/>
    <col min="14" max="15" width="10.7109375" bestFit="1" customWidth="1"/>
    <col min="18" max="18" width="10.7109375" bestFit="1" customWidth="1"/>
  </cols>
  <sheetData>
    <row r="1" spans="1:18" x14ac:dyDescent="0.25">
      <c r="M1" s="18"/>
      <c r="N1" s="21">
        <v>42619</v>
      </c>
      <c r="O1" s="21">
        <v>42620</v>
      </c>
    </row>
    <row r="2" spans="1:18" x14ac:dyDescent="0.25">
      <c r="M2" s="18"/>
      <c r="N2" s="18"/>
      <c r="O2" s="18"/>
    </row>
    <row r="3" spans="1:18" x14ac:dyDescent="0.25">
      <c r="M3" s="18" t="s">
        <v>86</v>
      </c>
      <c r="N3" s="18">
        <v>-0.41</v>
      </c>
      <c r="O3" s="18"/>
    </row>
    <row r="4" spans="1:18" x14ac:dyDescent="0.25">
      <c r="M4" s="18" t="s">
        <v>87</v>
      </c>
      <c r="N4" s="18">
        <v>-0.2</v>
      </c>
      <c r="O4" s="18"/>
    </row>
    <row r="5" spans="1:18" x14ac:dyDescent="0.25">
      <c r="A5" s="17" t="s">
        <v>91</v>
      </c>
      <c r="B5" s="17" t="s">
        <v>85</v>
      </c>
      <c r="C5" s="17" t="s">
        <v>82</v>
      </c>
      <c r="D5" s="17" t="s">
        <v>83</v>
      </c>
      <c r="E5" s="17" t="s">
        <v>84</v>
      </c>
      <c r="M5" s="18" t="s">
        <v>88</v>
      </c>
      <c r="N5" s="18">
        <v>1.3942129999999999</v>
      </c>
      <c r="O5" s="18"/>
    </row>
    <row r="6" spans="1:18" x14ac:dyDescent="0.25">
      <c r="A6" s="18">
        <f>NormalCallSprd(N3,N4,N5,N7)*1000</f>
        <v>173.35780830913427</v>
      </c>
      <c r="B6" s="19">
        <f>(NormalCallSprd(N3+0.01,N4,N5,N7) - NormalCallSprd(N3-0.01,N4,N5,N7))/0.02</f>
        <v>0.37605810049186061</v>
      </c>
      <c r="C6" s="20">
        <f>((NormalCallSprd(N3+0.01,N4,N5,N7) + NormalCallSprd(N3-0.01,N4,N5,N7)) - 2*  NormalCallSprd(N3,N4,N5,N7))*1000</f>
        <v>5.7084265292328684E-2</v>
      </c>
      <c r="D6" s="18">
        <f>((NormalCallSprd(N3,N4,N5+0.01,N7) - NormalCallSprd(N3,N4,N5-0.01,N7))/0.02)*1000</f>
        <v>180.98270076134514</v>
      </c>
      <c r="E6" s="18">
        <f>(+B12-B11)*1000</f>
        <v>-1.5241985855932727</v>
      </c>
      <c r="M6" s="18" t="s">
        <v>89</v>
      </c>
      <c r="N6" s="18">
        <v>8.7819999999999999E-3</v>
      </c>
      <c r="O6" s="18"/>
    </row>
    <row r="7" spans="1:18" x14ac:dyDescent="0.25">
      <c r="M7" s="18" t="s">
        <v>90</v>
      </c>
      <c r="N7" s="18">
        <f>83/365</f>
        <v>0.22739726027397261</v>
      </c>
      <c r="O7" s="18">
        <f>82/365</f>
        <v>0.22465753424657534</v>
      </c>
      <c r="Q7" t="s">
        <v>94</v>
      </c>
      <c r="R7" s="13">
        <v>42703</v>
      </c>
    </row>
    <row r="8" spans="1:18" x14ac:dyDescent="0.25">
      <c r="B8" s="14"/>
      <c r="C8" s="15"/>
      <c r="N8" s="13"/>
    </row>
    <row r="9" spans="1:18" x14ac:dyDescent="0.25">
      <c r="C9" s="16"/>
    </row>
    <row r="11" spans="1:18" x14ac:dyDescent="0.25">
      <c r="A11" s="18" t="s">
        <v>92</v>
      </c>
      <c r="B11" s="18">
        <f>NormalCallSprd(N3,N4,N5,N7)</f>
        <v>0.17335780830913428</v>
      </c>
    </row>
    <row r="12" spans="1:18" x14ac:dyDescent="0.25">
      <c r="A12" s="18" t="s">
        <v>93</v>
      </c>
      <c r="B12" s="18">
        <f>NormalCallSprd(N3,N4,N5,O7)</f>
        <v>0.171833609723541</v>
      </c>
      <c r="E12">
        <f>+B12-B11</f>
        <v>-1.5241985855932727E-3</v>
      </c>
    </row>
    <row r="14" spans="1:18" x14ac:dyDescent="0.25">
      <c r="C14" s="1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CSO</vt:lpstr>
      <vt:lpstr>Sheet1</vt:lpstr>
      <vt:lpstr>underlying</vt:lpstr>
      <vt:lpstr>Greeks - FD</vt:lpstr>
    </vt:vector>
  </TitlesOfParts>
  <Company>Petroineos Trading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 Yang</dc:creator>
  <cp:lastModifiedBy>Chris Daplet</cp:lastModifiedBy>
  <dcterms:created xsi:type="dcterms:W3CDTF">2016-09-12T09:05:02Z</dcterms:created>
  <dcterms:modified xsi:type="dcterms:W3CDTF">2017-03-22T12:53:48Z</dcterms:modified>
</cp:coreProperties>
</file>