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ple\OneDrive\Documents\Quant Structuring Energy\Power Origination and structuring\"/>
    </mc:Choice>
  </mc:AlternateContent>
  <xr:revisionPtr revIDLastSave="0" documentId="13_ncr:1_{8898EADC-E5E7-4CDD-B0AE-68C36C62D198}" xr6:coauthVersionLast="45" xr6:coauthVersionMax="45" xr10:uidLastSave="{00000000-0000-0000-0000-000000000000}"/>
  <bookViews>
    <workbookView xWindow="-110" yWindow="-110" windowWidth="19420" windowHeight="10420" tabRatio="761" firstSheet="3" activeTab="11" xr2:uid="{8A61660A-95C1-41AB-B46A-98E80B32A69E}"/>
  </bookViews>
  <sheets>
    <sheet name="Legend" sheetId="16" r:id="rId1"/>
    <sheet name="Temp" sheetId="15" r:id="rId2"/>
    <sheet name="PowerOpt" sheetId="7" r:id="rId3"/>
    <sheet name="PFE" sheetId="22" r:id="rId4"/>
    <sheet name="PowerOpt-Collar" sheetId="10" r:id="rId5"/>
    <sheet name="CorporatePPA" sheetId="19" r:id="rId6"/>
    <sheet name="PFE_Python" sheetId="20" r:id="rId7"/>
    <sheet name="PowerOpt-EnhancedCollar" sheetId="11" r:id="rId8"/>
    <sheet name="AsianOpt" sheetId="12" r:id="rId9"/>
    <sheet name="AsianOpt-Collar" sheetId="13" r:id="rId10"/>
    <sheet name="AsianOpt-EnhancedCollar" sheetId="14" r:id="rId11"/>
    <sheet name="SparkSpread-Tolling" sheetId="1" r:id="rId12"/>
    <sheet name="SparkSpread-Daily" sheetId="18" r:id="rId13"/>
  </sheets>
  <functionGroups builtInGroupCount="19">
    <functionGroup name="ObjectHandler"/>
  </functionGroup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IHR1">[1]HedgingCVA!$AD$5</definedName>
    <definedName name="_IHR2">[1]HedgingCVA!$AD$6</definedName>
    <definedName name="_IHR3">[1]HedgingCVA!$AD$7</definedName>
    <definedName name="_IHR4">[1]HedgingCVA!$AD$8</definedName>
    <definedName name="_IHR5">[1]HedgingCVA!$AD$9</definedName>
    <definedName name="_Mu3">#REF!</definedName>
    <definedName name="_Val1">[2]CVA!$J$3</definedName>
    <definedName name="_Val2">[2]CVA!$J$4</definedName>
    <definedName name="_Val3">[2]CVA!$J$5</definedName>
    <definedName name="_VAR2">[1]LiquidationTimescale!$D$20</definedName>
    <definedName name="_VAR3">[1]LiquidationTimescale!$D$26</definedName>
    <definedName name="_vvd1">[3]TreePricer!$C$26</definedName>
    <definedName name="_wd1">[3]TreePricer!$C$27</definedName>
    <definedName name="_xd1">[4]HedgingSimulation!$C$14</definedName>
    <definedName name="_xd2">[4]HedgingSimulation!$C$15</definedName>
    <definedName name="AccruedInterest">'[5]Bond Price with Excel'!$B$24</definedName>
    <definedName name="ActIntensity1">[6]CVA!#REF!</definedName>
    <definedName name="ActIntensity2">[6]CVA!#REF!</definedName>
    <definedName name="AgentRec">[2]CVA!#REF!</definedName>
    <definedName name="Alpha" localSheetId="3">PFE!#REF!</definedName>
    <definedName name="Alpha">#REF!</definedName>
    <definedName name="AlphaEPE">[2]Portfolio!$J$9</definedName>
    <definedName name="AlphaParam">[1]LiquidationTimescale!$D$25</definedName>
    <definedName name="AmortisedTime">[1]LiquidationTimescale!$D$23</definedName>
    <definedName name="amount1">[7]SimpleCovarianceWithWeights!$J$3</definedName>
    <definedName name="amount2">[7]SimpleCovarianceWithWeights!$K$3</definedName>
    <definedName name="AmountToLiquidate">[1]LiquidationTimescale!$D$15</definedName>
    <definedName name="Asset2">[8]MonteCarlo!#REF!</definedName>
    <definedName name="AssetCorrelation">[2]Portfolio!$J$11</definedName>
    <definedName name="AssetMC">[8]MonteCarlo!$C$3</definedName>
    <definedName name="AssetPrice">[1]LiquidationTimescale!$D$12</definedName>
    <definedName name="Assetvol">[9]CreditGrades!$C$14</definedName>
    <definedName name="At">[9]CreditGrades!$C$15</definedName>
    <definedName name="AvDefProb">[2]Portfolio!#REF!</definedName>
    <definedName name="AvRecovery">[9]Portfolio!#REF!</definedName>
    <definedName name="AvSpread">[10]IndexBasis!$I$10</definedName>
    <definedName name="b_Param" localSheetId="3">PFE!$C$12</definedName>
    <definedName name="b_Param">#REF!</definedName>
    <definedName name="Barrier">[4]OptionPricer!$C$20</definedName>
    <definedName name="Beta">[1]LiquidationTimescale!$D$14</definedName>
    <definedName name="BondPrice" localSheetId="3">[11]Spreadsheet9.6!#REF!</definedName>
    <definedName name="BondPrice">[12]Spreadsheet9.6!#REF!</definedName>
    <definedName name="calibopencol" localSheetId="3">OFFSET([0]!LGMChoice,2,0,[0]!NumLGMChoices,1)</definedName>
    <definedName name="calibopencol">OFFSET([0]!LGMChoice,2,0,[0]!NumLGMChoices,1)</definedName>
    <definedName name="calibopencol1" localSheetId="3">OFFSET([0]!LGMChoice,2,0,[0]!NumLGMChoices,1)</definedName>
    <definedName name="calibopencol1">OFFSET([0]!LGMChoice,2,0,[0]!NumLGMChoices,1)</definedName>
    <definedName name="CallRetYesNo">[2]CollateralMarginCall!$C$14</definedName>
    <definedName name="CallYesNo">[1]CollateralCalculation!$C$21</definedName>
    <definedName name="CallYesNo2">[1]CollateralCalculation!$D$21</definedName>
    <definedName name="CholeskyInverse">#REF!</definedName>
    <definedName name="CholeskyMatrix">#REF!</definedName>
    <definedName name="CleanPrice">'[5]Bond Price with Excel'!$B$23</definedName>
    <definedName name="CntrptyDefProb">[2]CDSCntrptyRisk!$C$14</definedName>
    <definedName name="CntrptyRec">[2]CVA!#REF!</definedName>
    <definedName name="CntrptySpread">[2]CDSCntrptyRisk!$C$8</definedName>
    <definedName name="Collateral">[1]CollateralExposureSimulation!$K$138</definedName>
    <definedName name="CollateralHeld" localSheetId="3">PFE!#REF!</definedName>
    <definedName name="CollateralHeld">#REF!</definedName>
    <definedName name="CollateralHeld_A" localSheetId="3">PFE!#REF!</definedName>
    <definedName name="CollateralHeld_A">#REF!</definedName>
    <definedName name="CollateralHeld2">[1]CollateralCalculation!$D$15</definedName>
    <definedName name="CollateralisedExposure">[1]CollateralExposureSimulation!$K$264</definedName>
    <definedName name="CollateralRequired">[2]CollateralMarginCall!$C$13</definedName>
    <definedName name="CollateralRequired2">[1]CollateralCalculation!$D$20</definedName>
    <definedName name="ConfidenceAlpha">[2]Portfolio!$J$8</definedName>
    <definedName name="Constant">[4]CoherentRiskMeasuresExample!$I$7</definedName>
    <definedName name="ConstTerm">[8]MonteCarlo!$F$6</definedName>
    <definedName name="CopulaCorrelation">[2]CDSCntrptyRisk!$C$9</definedName>
    <definedName name="CorrectionTerm">'[2]Impact of PV'!$C$22</definedName>
    <definedName name="Correl">[1]SimpleWrongWay!$C$13</definedName>
    <definedName name="Correlation">[2]EPEAllocation!$C$11</definedName>
    <definedName name="CorrelationMatrix">#REF!</definedName>
    <definedName name="CorrelExpColl">[1]CollateralandCorrelation!$C$11</definedName>
    <definedName name="Coup">[5]YieldExample!$C$4</definedName>
    <definedName name="Coupon">'[5]Bond Price with Excel'!$B$12</definedName>
    <definedName name="CouponsPerYear">'[5]Bond Price with Excel'!$B$15</definedName>
    <definedName name="CovarianceMatrixInverse">[5]MeanVariance!$G$11:$J$14</definedName>
    <definedName name="CREDIT_STAMP">"DSPricer"</definedName>
    <definedName name="CSA" localSheetId="3">PFE!#REF!</definedName>
    <definedName name="CSA">#REF!</definedName>
    <definedName name="CSA_A" localSheetId="3">PFE!#REF!</definedName>
    <definedName name="CSA_A">#REF!</definedName>
    <definedName name="CSA_B" localSheetId="3">PFE!#REF!</definedName>
    <definedName name="CSA_B">#REF!</definedName>
    <definedName name="CurrentEquity">[3]TradingStrategy!$C$8</definedName>
    <definedName name="CurrentExposure">[1]CollateralExposureSimulation!$C$17</definedName>
    <definedName name="CurrentSpread">[3]TradingStrategy!$C$9</definedName>
    <definedName name="CurrentStock">[3]TreePricer!$C$14</definedName>
    <definedName name="CVA">[1]HedgingCVA!$B$4</definedName>
    <definedName name="DailyVol">[1]Liquidation!#REF!</definedName>
    <definedName name="DailyVol2">[1]Liquidation!#REF!</definedName>
    <definedName name="DailyVolatility">[1]Liquidation!$D$15</definedName>
    <definedName name="DayCount">'[5]Bond Price with Excel'!#REF!</definedName>
    <definedName name="DaysToLiquidation">[1]LiquidationTimescale!$D$16</definedName>
    <definedName name="Debt">[9]Merton!$C$17</definedName>
    <definedName name="DefProb">[9]Merton!$C$23</definedName>
    <definedName name="DefThreshold">[1]SimpleWrongWay!$C$18</definedName>
    <definedName name="deliveredvol">[4]HedgingSimulation!$G$8</definedName>
    <definedName name="DirtyPrice">'[5]Bond Price with Excel'!$B$25</definedName>
    <definedName name="Draws">[4]BinomialVsNormal!$C$7</definedName>
    <definedName name="drift2">[4]HedgingSimulation!$G$7</definedName>
    <definedName name="Dt">[8]MonteCarlo!$F$5</definedName>
    <definedName name="Dump">[2]MonteCarlo!$N$2</definedName>
    <definedName name="Duration">'[5]Bond Price with Excel'!$B$27</definedName>
    <definedName name="Dval">[9]CreditGrades!$C$10</definedName>
    <definedName name="EE" localSheetId="3">PFE!#REF!</definedName>
    <definedName name="EE">#REF!</definedName>
    <definedName name="EEnc">[12]Spreadsheet9.6!#REF!</definedName>
    <definedName name="EEnocollateral">[12]Spreadsheet9.6!#REF!</definedName>
    <definedName name="EPE">[2]EPEAllocation!$C$19</definedName>
    <definedName name="EPEs">[2]Portfolio!$G$8</definedName>
    <definedName name="Equity">[9]Merton!$C$16</definedName>
    <definedName name="Errors">[2]CDSStripper!$H$9</definedName>
    <definedName name="EstBeta">[1]Liquidation!$D$17</definedName>
    <definedName name="Exposure">[1]CollateralExposureSimulation!$K$12</definedName>
    <definedName name="Exposure2">[1]ExposureSimulation!$F$146</definedName>
    <definedName name="ExposurePaths2">[1]ExposureSimulation!$L$145</definedName>
    <definedName name="Exposures">[2]Portfolio!$E$8</definedName>
    <definedName name="ExposureStart">#REF!</definedName>
    <definedName name="ExposureVol">[2]CollateralMarginCall!$G$6</definedName>
    <definedName name="ExpRetVector">[5]MeanVariance!$D$3:$D$6</definedName>
    <definedName name="FaceValue">[9]Merton!$C$6</definedName>
    <definedName name="FirmValue">[9]Merton!$C$7</definedName>
    <definedName name="FirstQCDDelta">[13]CDO!#REF!</definedName>
    <definedName name="Fwd">[3]TreePricer!$C$25</definedName>
    <definedName name="gamma" function="1" xlm="1">[5]MeanVariance!$O$23</definedName>
    <definedName name="gamma2" function="1" xlm="1">[5]MeanVariance!$C$32</definedName>
    <definedName name="GuessYield">[5]YieldExample!$C$3</definedName>
    <definedName name="HazardRae">[14]Survival!#REF!</definedName>
    <definedName name="HazardRage">[14]Survival!#REF!</definedName>
    <definedName name="Hazardrate">[1]SimpleWrongWay!$C$14</definedName>
    <definedName name="HazardRates">[2]CDSStripper!$C$9</definedName>
    <definedName name="HedgeAmount">[3]TradingStrategy!$C$10</definedName>
    <definedName name="IA" localSheetId="3">PFE!#REF!</definedName>
    <definedName name="IA">#REF!</definedName>
    <definedName name="IA_A" localSheetId="3">PFE!#REF!</definedName>
    <definedName name="IA_A">#REF!</definedName>
    <definedName name="IA_B" localSheetId="3">PFE!#REF!</definedName>
    <definedName name="IA_B">#REF!</definedName>
    <definedName name="ImpliedVolatility">[4]HedgingSimulation!$C$10</definedName>
    <definedName name="IncludeBaseCase" localSheetId="3">[11]Spreadsheet9.5!$E$10</definedName>
    <definedName name="IncludeBaseCase">[12]Spreadsheet9.5!$E$10</definedName>
    <definedName name="IncludeDeal1">#REF!</definedName>
    <definedName name="IncludeDeal2">#REF!</definedName>
    <definedName name="IncludeDeal3">#REF!</definedName>
    <definedName name="IncludeDeal4">#REF!</definedName>
    <definedName name="IncludeDeal5" localSheetId="3">[11]Spreadsheet9.2!#REF!</definedName>
    <definedName name="IncludeDeal5">[12]Spreadsheet9.2!$E$15</definedName>
    <definedName name="IncludeDeal6" localSheetId="3">[11]Spreadsheet9.2!#REF!</definedName>
    <definedName name="IncludeDeal6">[12]Spreadsheet9.2!#REF!</definedName>
    <definedName name="IndependentAmount">[2]CollateralMarginCall!$C$7</definedName>
    <definedName name="IndependentAmount2">[2]CollateralMarginCall!$D$7</definedName>
    <definedName name="InitialCollateral">[1]CollateralandCorrelation!$C$15</definedName>
    <definedName name="InitialExposure">[1]CollateralandCorrelation!$C$14</definedName>
    <definedName name="InitialPV">'[15]Sheet1 (2)'!$D$4</definedName>
    <definedName name="IntensityCntrpty">[2]CVA!$D$8</definedName>
    <definedName name="IntensitySystemic">[2]CVA!#REF!</definedName>
    <definedName name="IntensityUs">[2]CVA!#REF!</definedName>
    <definedName name="InterCorrel">[13]CDO!#REF!</definedName>
    <definedName name="InterestR">[3]TreePricer!$C$18</definedName>
    <definedName name="IntRate">[4]HedgingSimulation!$C$9</definedName>
    <definedName name="IR">[4]OptionPricer!$C$9</definedName>
    <definedName name="IR0" localSheetId="3">PFE!$C$10</definedName>
    <definedName name="IR0">#REF!</definedName>
    <definedName name="IRate">[2]CVA!$C$13</definedName>
    <definedName name="IRMC">[8]MonteCarlo!$C$5</definedName>
    <definedName name="IRVol">[1]HedgingCVA!$B$13</definedName>
    <definedName name="Lamba">[9]CreditGrades!$C$8</definedName>
    <definedName name="lamda2">[4]ExponentialDampingEstimate!$C$6</definedName>
    <definedName name="lamda3">[4]ExponentialDampingEstimate!$C$6</definedName>
    <definedName name="Lbar">[9]CreditGrades!$C$7</definedName>
    <definedName name="LGD">[10]BaselIIFormula!$D$8</definedName>
    <definedName name="LGM_STAMP">"LGM"</definedName>
    <definedName name="LGMopencol" localSheetId="3">OFFSET([0]!LGMChoice,2,0,[0]!NumLGMChoices,1)</definedName>
    <definedName name="LGMopencol">OFFSET([0]!LGMChoice,2,0,[0]!NumLGMChoices,1)</definedName>
    <definedName name="littled">[9]CreditGrades!$C$16</definedName>
    <definedName name="LossGivenDefault">[9]Merton!$C$25</definedName>
    <definedName name="LossonLiquidation">[1]LiquidationTimescale!#REF!</definedName>
    <definedName name="Lower">[7]SimpleIntegration!$C$2</definedName>
    <definedName name="MargEPE">'[2]Impact of PV'!$C$19</definedName>
    <definedName name="MargEPE1">[2]EPEAllocation!$C$22</definedName>
    <definedName name="MargEPE2">[2]EPEAllocation!$D$22</definedName>
    <definedName name="Mat">[9]CreditGrades!$C$11</definedName>
    <definedName name="maturity">'[16]Class Problems'!$J$39</definedName>
    <definedName name="MaturityDate">'[5]Bond Price with Excel'!$B$16</definedName>
    <definedName name="MaturityMC">[8]MonteCarlo!$C$6</definedName>
    <definedName name="MCOutput">[2]MonteCarlo!$J$8</definedName>
    <definedName name="MCPaths">[2]CollateralMarginCall!$G$9</definedName>
    <definedName name="MCSims">[2]MonteCarlo!$C$8</definedName>
    <definedName name="Mean">[1]WCEandEPE!$C$11</definedName>
    <definedName name="Mean1">[7]SimpleCovarianceWithWeights!$C$6</definedName>
    <definedName name="Mean2">[7]SimpleCovarianceWithWeights!$C$7</definedName>
    <definedName name="MeanExposure">[2]Netting!$D$8</definedName>
    <definedName name="MeanMtM" localSheetId="3">PFE!#REF!</definedName>
    <definedName name="MeanMtM">#REF!</definedName>
    <definedName name="MeanRev" localSheetId="3">PFE!$C$11</definedName>
    <definedName name="MeanRev">#REF!</definedName>
    <definedName name="MinimumTransferAmount">[2]CollateralMarginCall!$C$10</definedName>
    <definedName name="MinimumTransferAmount2">[2]CollateralMarginCall!$D$10</definedName>
    <definedName name="ModifiedDuration">'[5]Bond Price with Excel'!#REF!</definedName>
    <definedName name="MTA" localSheetId="3">PFE!#REF!</definedName>
    <definedName name="MTA">#REF!</definedName>
    <definedName name="MTA_A" localSheetId="3">PFE!#REF!</definedName>
    <definedName name="MTA_A">#REF!</definedName>
    <definedName name="MTA_B" localSheetId="3">PFE!#REF!</definedName>
    <definedName name="MTA_B">#REF!</definedName>
    <definedName name="MtM" localSheetId="3">PFE!#REF!</definedName>
    <definedName name="MtM">#REF!</definedName>
    <definedName name="MtM_A" localSheetId="3">PFE!#REF!</definedName>
    <definedName name="MtM_A">#REF!</definedName>
    <definedName name="MtM_B" localSheetId="3">PFE!#REF!</definedName>
    <definedName name="MtM_B">#REF!</definedName>
    <definedName name="Mu" localSheetId="3">PFE!#REF!</definedName>
    <definedName name="Mu">#REF!</definedName>
    <definedName name="mu1a">[4]TwoAssetsEfficientFrontier!$C$7</definedName>
    <definedName name="mu2a">[4]TwoAssetsEfficientFrontier!$C$8</definedName>
    <definedName name="Mult1">#REF!</definedName>
    <definedName name="Mult2">#REF!</definedName>
    <definedName name="Mult3">#REF!</definedName>
    <definedName name="Mult4">#REF!</definedName>
    <definedName name="Multiplier">[4]CoherentRiskMeasuresExample!$I$8</definedName>
    <definedName name="NEEnc">[12]Spreadsheet9.6!#REF!</definedName>
    <definedName name="NEEnocollateral">[12]Spreadsheet9.6!#REF!</definedName>
    <definedName name="NewEstimate">[2]CDSStripper!$L$10</definedName>
    <definedName name="NextCouponDate">'[5]Bond Price with Excel'!$B$19</definedName>
    <definedName name="Notionals">#REF!</definedName>
    <definedName name="NumCalls">[1]CollateralExposureSimulation!$C$9</definedName>
    <definedName name="NumNames">[2]Portfolio!$J$10</definedName>
    <definedName name="NumSims" localSheetId="3">[11]Spreadsheet9.6!#REF!</definedName>
    <definedName name="NumSims">[12]Spreadsheet9.6!#REF!</definedName>
    <definedName name="NumSteps">[3]TreePricer!$C$10</definedName>
    <definedName name="OptionData">[3]OptionPriceTree!$A$1</definedName>
    <definedName name="OptionPayoff">[3]TreePricer!$C$9</definedName>
    <definedName name="OptionPrice">[3]TreePricer!$C$22</definedName>
    <definedName name="Output">[1]HedgingCVA!$B$31</definedName>
    <definedName name="Param" localSheetId="3">[6]MonteCarlo!#REF!</definedName>
    <definedName name="Param">[6]MonteCarlo!#REF!</definedName>
    <definedName name="Param1">[6]MonteCarlo!#REF!</definedName>
    <definedName name="PathNum" localSheetId="3">[11]Spreadsheet9.6!$H$16</definedName>
    <definedName name="PathNum">[12]Spreadsheet9.6!$G$16</definedName>
    <definedName name="PathRef" localSheetId="3">[11]Spreadsheet9.2!$D$24</definedName>
    <definedName name="PathRef">[12]Spreadsheet9.2!$D$30</definedName>
    <definedName name="Percentile">[4]CoherentRiskMeasuresExample!$I$9</definedName>
    <definedName name="PercPriceImpact">[1]LiquidationTimescale!$D$19</definedName>
    <definedName name="PFE" localSheetId="3">PFE!#REF!</definedName>
    <definedName name="PFE">#REF!</definedName>
    <definedName name="PFEnc">[12]Spreadsheet9.6!#REF!</definedName>
    <definedName name="PFEnocollateral">[12]Spreadsheet9.6!#REF!</definedName>
    <definedName name="Points">[7]SimpleIntegration!$C$4</definedName>
    <definedName name="PortfolioMTM">[2]CollateralMarginCall!$C$6</definedName>
    <definedName name="PostInterval">[2]CollateralMarginCall!$G$7</definedName>
    <definedName name="Price">[5]YieldExample!$C$2</definedName>
    <definedName name="Prob">[4]BinomialVsNormal!$C$6</definedName>
    <definedName name="PV">[1]HedgingCVA!$B$3</definedName>
    <definedName name="Quantile">#REF!</definedName>
    <definedName name="RanNums">[17]RandomNumbers!$B$4</definedName>
    <definedName name="RanNums2">[17]RandomNumbers!$H$4</definedName>
    <definedName name="rate">'[16]Class Problems'!$H$39</definedName>
    <definedName name="Rates">[1]HedgingCVA!$B$7</definedName>
    <definedName name="Recovery">[2]CDSCntrptyRisk!$C$10</definedName>
    <definedName name="RecoveryPercent">[9]Merton!$C$24</definedName>
    <definedName name="RecRate">[10]IndexBasis!$I$7</definedName>
    <definedName name="Redemption">'[5]Bond Price with Excel'!$B$58</definedName>
    <definedName name="RefDefProb">[2]CDSCntrptyRisk!$C$13</definedName>
    <definedName name="Result1">[2]CVA!$J$6</definedName>
    <definedName name="Result2">[2]CVA!$K$6</definedName>
    <definedName name="Results">#REF!</definedName>
    <definedName name="RExerFrontierBounds" localSheetId="3">OFFSET([0]!ExerRatesBoundsTopCell,0,0,[0]!NumExercises,1)</definedName>
    <definedName name="RExerFrontierBounds">OFFSET([0]!ExerRatesBoundsTopCell,0,0,[0]!NumExercises,1)</definedName>
    <definedName name="RFwdVols" localSheetId="3">OFFSET([0]!FwdVolRangeTopCell,0,0,[0]!NumExercises,[0]!NumExercises)</definedName>
    <definedName name="RFwdVols">OFFSET([0]!FwdVolRangeTopCell,0,0,[0]!NumExercises,[0]!NumExercises)</definedName>
    <definedName name="RLevel">[10]BlackModel!$D$10</definedName>
    <definedName name="Rounding" localSheetId="3">PFE!#REF!</definedName>
    <definedName name="Rounding">#REF!</definedName>
    <definedName name="Rounding_A" localSheetId="3">PFE!#REF!</definedName>
    <definedName name="Rounding_A">#REF!</definedName>
    <definedName name="Rounding_B" localSheetId="3">PFE!#REF!</definedName>
    <definedName name="Rounding_B">#REF!</definedName>
    <definedName name="Rounding2">[1]CollateralCalculation!$D$17</definedName>
    <definedName name="sA">[5]MeanVariance!$O$17</definedName>
    <definedName name="sB">[5]MeanVariance!$O$18</definedName>
    <definedName name="sC">[5]MeanVariance!$O$19</definedName>
    <definedName name="sD">[5]MeanVariance!$O$20</definedName>
    <definedName name="Seed">[2]MonteCarlo!$C$9</definedName>
    <definedName name="Seed2">[2]CollateralMarginCall!$G$8</definedName>
    <definedName name="SettleDate">'[5]Bond Price with Excel'!$B$14</definedName>
    <definedName name="ShowPath">[1]CollateralExposureSimulation!$E$21</definedName>
    <definedName name="ShowPaths">[3]TreePricer!$C$11</definedName>
    <definedName name="Sigma" localSheetId="3">PFE!#REF!</definedName>
    <definedName name="Sigma">#REF!</definedName>
    <definedName name="Sigma3">#REF!</definedName>
    <definedName name="SigmaVector">[5]MeanVariance!$E$3:$E$6</definedName>
    <definedName name="SigmaVolume">[1]Liquidation!$D$14</definedName>
    <definedName name="Sims">[8]MonteCarlo!$F$4</definedName>
    <definedName name="SimulationResults">[3]HedgingSimulation!$R$4</definedName>
    <definedName name="Simulations" localSheetId="3">PFE!$E$53</definedName>
    <definedName name="Simulations">#REF!</definedName>
    <definedName name="Spot">[4]HedgingSimulation!$C$7</definedName>
    <definedName name="Spread">[1]HedgingCVA!$B$19</definedName>
    <definedName name="SpreadAgent">[6]CVA!#REF!</definedName>
    <definedName name="SpreadCntrpty">[2]CVA!#REF!</definedName>
    <definedName name="SpreadRef">[2]CDSCntrptyRisk!$C$7</definedName>
    <definedName name="SpreadSys">[6]CVA!#REF!</definedName>
    <definedName name="SpreadUS">[1]HedgingCVA!$C$19</definedName>
    <definedName name="SQrtTerm">#REF!</definedName>
    <definedName name="Sstar">[9]CreditGrades!$C$6</definedName>
    <definedName name="StdDevExposure">[2]Netting!$D$9</definedName>
    <definedName name="StdDevMtM" localSheetId="3">PFE!#REF!</definedName>
    <definedName name="StdDevMtM">#REF!</definedName>
    <definedName name="StdExposures">[2]Portfolio!$F$8</definedName>
    <definedName name="Steps">[8]MonteCarlo!$F$3</definedName>
    <definedName name="Stock">[4]OptionPricer!$C$7</definedName>
    <definedName name="StockData">[3]UnderlyingValueTree!$A$1</definedName>
    <definedName name="StockPrice">[1]Liquidation!$D$12</definedName>
    <definedName name="StockVol">[3]CreditGrades!$C$9</definedName>
    <definedName name="Strike">[4]OptionPricer!$C$8</definedName>
    <definedName name="StrikeMC">[8]MonteCarlo!$C$4</definedName>
    <definedName name="SttDev">#REF!</definedName>
    <definedName name="SurvProb">[18]BlackModel!#REF!</definedName>
    <definedName name="SVol">[9]CreditGrades!$C$9</definedName>
    <definedName name="SwapMTM" localSheetId="3">PFE!$J$9</definedName>
    <definedName name="SwapMTM">#REF!</definedName>
    <definedName name="SwapRate" localSheetId="3">PFE!$C$14</definedName>
    <definedName name="SwapRate">#REF!</definedName>
    <definedName name="TargetReturn">[5]MeanVariance!$J$18</definedName>
    <definedName name="Threshold" localSheetId="3">PFE!#REF!</definedName>
    <definedName name="Threshold">#REF!</definedName>
    <definedName name="Threshold_A" localSheetId="3">PFE!#REF!</definedName>
    <definedName name="Threshold_A">#REF!</definedName>
    <definedName name="Threshold_B" localSheetId="3">PFE!#REF!</definedName>
    <definedName name="Threshold_B">#REF!</definedName>
    <definedName name="Threshold2">[2]CollateralMarginCall!$D$8</definedName>
    <definedName name="Thresholds">[2]Portfolio!$D$8</definedName>
    <definedName name="Time">[1]SimpleWrongWay!$C$15</definedName>
    <definedName name="timestep">[4]HedgingSimulation!$G$9</definedName>
    <definedName name="TotalExposure">[2]CollateralMarginCall!$C$12</definedName>
    <definedName name="TotalMargEPE">[2]EPEAllocation!$C$23</definedName>
    <definedName name="TotalPnL">[3]HedgingSimulation!$L$10</definedName>
    <definedName name="TotalRequiredCollateralisation2">[1]CollateralCalculation!$D$19</definedName>
    <definedName name="TotalRequiredCollaterlisation">[1]CollateralCalculation!$C$19</definedName>
    <definedName name="UnitVector">[5]MeanVariance!$L$3:$L$6</definedName>
    <definedName name="Upper">[7]SimpleIntegration!$C$3</definedName>
    <definedName name="Val1A">[6]CVA!#REF!</definedName>
    <definedName name="Val2A">[2]CVA!$I$4</definedName>
    <definedName name="Val3A">[2]CVA!$I$5</definedName>
    <definedName name="vnot">'[16]Class Problems'!$G$39</definedName>
    <definedName name="Vol">[4]OptionPricer!#REF!</definedName>
    <definedName name="Volatilities">#REF!</definedName>
    <definedName name="Volatility" localSheetId="3">PFE!$C$13</definedName>
    <definedName name="Volatility">#REF!</definedName>
    <definedName name="VolatilityOfPosition">[1]LiquidationTimescale!$D$24</definedName>
    <definedName name="VolCollateral">[1]CollateralandCorrelation!$C$13</definedName>
    <definedName name="VolExposure">[1]CollateralandCorrelation!$C$12</definedName>
    <definedName name="VolMC">[8]MonteCarlo!$C$7</definedName>
    <definedName name="VolSqrtDt">[8]MonteCarlo!$F$7</definedName>
    <definedName name="Volume">[1]Liquidation!#REF!</definedName>
    <definedName name="VolumeToLiquidate">[1]Liquidation!$D$13</definedName>
    <definedName name="WeightVector">[5]MeanVariance!$C$3:$C$6</definedName>
    <definedName name="WeightVector1">[5]MeanVariance!$G$18:$G$21</definedName>
    <definedName name="WeightVector2">[5]MeanVariance!$K$18:$K$21</definedName>
    <definedName name="X2OverS">[4]OptionPricer!$C$21</definedName>
    <definedName name="YearToMaturity">'[5]Bond Price with Excel'!$B$18</definedName>
    <definedName name="Yield">'[5]Bond Price with Excel'!$B$13</definedName>
  </definedNames>
  <calcPr calcId="181029" calcMode="autoNoTable" calcOnSave="0"/>
  <fileRecoveryPr repairLoad="1"/>
  <extLst>
    <ext xmlns:x14="http://schemas.microsoft.com/office/spreadsheetml/2009/9/main" uri="{8193D73E-4604-4355-AFF4-8A2333D13BE4}">
      <x14:definedNames>
        <x14:definedName name="delta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delta2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gamma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gamma2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KirkModel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vega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vega2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" i="19" l="1"/>
  <c r="C12" i="19"/>
  <c r="C13" i="19"/>
  <c r="C14" i="19"/>
  <c r="C15" i="19"/>
  <c r="C16" i="19"/>
  <c r="C17" i="19"/>
  <c r="C18" i="19"/>
  <c r="C19" i="19"/>
  <c r="C20" i="19"/>
  <c r="C21" i="19"/>
  <c r="C10" i="19"/>
  <c r="H10" i="10"/>
  <c r="AU10" i="19"/>
  <c r="AV10" i="19"/>
  <c r="AU11" i="19"/>
  <c r="AV11" i="19"/>
  <c r="AU12" i="19"/>
  <c r="AV12" i="19"/>
  <c r="AU13" i="19"/>
  <c r="AV13" i="19"/>
  <c r="AU14" i="19"/>
  <c r="AV14" i="19"/>
  <c r="AU15" i="19"/>
  <c r="AV15" i="19"/>
  <c r="AU16" i="19"/>
  <c r="AV16" i="19"/>
  <c r="AU17" i="19"/>
  <c r="AV17" i="19"/>
  <c r="AU18" i="19"/>
  <c r="AV18" i="19"/>
  <c r="AU19" i="19"/>
  <c r="AV19" i="19"/>
  <c r="AU20" i="19"/>
  <c r="AV20" i="19"/>
  <c r="AU21" i="19"/>
  <c r="AV21" i="19"/>
  <c r="W10" i="19"/>
  <c r="AM10" i="19"/>
  <c r="AN10" i="19"/>
  <c r="AO10" i="19"/>
  <c r="AS10" i="19"/>
  <c r="W11" i="19"/>
  <c r="AM11" i="19"/>
  <c r="AN11" i="19" s="1"/>
  <c r="AO11" i="19" s="1"/>
  <c r="W12" i="19"/>
  <c r="AM12" i="19"/>
  <c r="AN12" i="19"/>
  <c r="AO12" i="19" s="1"/>
  <c r="W13" i="19"/>
  <c r="AM13" i="19"/>
  <c r="AN13" i="19" s="1"/>
  <c r="AO13" i="19" s="1"/>
  <c r="W14" i="19"/>
  <c r="AM14" i="19"/>
  <c r="AN14" i="19"/>
  <c r="AO14" i="19"/>
  <c r="W15" i="19"/>
  <c r="AM15" i="19"/>
  <c r="AN15" i="19" s="1"/>
  <c r="AO15" i="19" s="1"/>
  <c r="W16" i="19"/>
  <c r="AM16" i="19"/>
  <c r="AN16" i="19"/>
  <c r="AO16" i="19" s="1"/>
  <c r="W17" i="19"/>
  <c r="AM17" i="19"/>
  <c r="AN17" i="19" s="1"/>
  <c r="AO17" i="19" s="1"/>
  <c r="W18" i="19"/>
  <c r="AM18" i="19"/>
  <c r="AN18" i="19"/>
  <c r="AO18" i="19"/>
  <c r="W19" i="19"/>
  <c r="AM19" i="19"/>
  <c r="AN19" i="19" s="1"/>
  <c r="AO19" i="19" s="1"/>
  <c r="W20" i="19"/>
  <c r="AM20" i="19"/>
  <c r="AN20" i="19"/>
  <c r="AO20" i="19" s="1"/>
  <c r="W21" i="19"/>
  <c r="AM21" i="19"/>
  <c r="AN21" i="19" s="1"/>
  <c r="AO21" i="19" s="1"/>
  <c r="I11" i="19"/>
  <c r="I12" i="19" s="1"/>
  <c r="AS12" i="19" s="1"/>
  <c r="AS11" i="19" l="1"/>
  <c r="AQ21" i="19"/>
  <c r="AQ13" i="19"/>
  <c r="AQ17" i="19"/>
  <c r="AQ19" i="19"/>
  <c r="AQ15" i="19"/>
  <c r="AQ11" i="19"/>
  <c r="AQ10" i="19"/>
  <c r="AQ20" i="19"/>
  <c r="AQ18" i="19"/>
  <c r="AQ16" i="19"/>
  <c r="AQ14" i="19"/>
  <c r="AQ12" i="19"/>
  <c r="I13" i="19"/>
  <c r="AS13" i="19" s="1"/>
  <c r="I14" i="19" l="1"/>
  <c r="AS14" i="19" s="1"/>
  <c r="I15" i="19" l="1"/>
  <c r="AS15" i="19" s="1"/>
  <c r="I16" i="19" l="1"/>
  <c r="AS16" i="19" s="1"/>
  <c r="I17" i="19" l="1"/>
  <c r="AS17" i="19" s="1"/>
  <c r="I18" i="19" l="1"/>
  <c r="AS18" i="19" s="1"/>
  <c r="I19" i="19" l="1"/>
  <c r="AS19" i="19" s="1"/>
  <c r="I20" i="19" l="1"/>
  <c r="AS20" i="19" s="1"/>
  <c r="I21" i="19" l="1"/>
  <c r="AS21" i="19" s="1"/>
  <c r="D53" i="22" l="1"/>
  <c r="C53" i="22"/>
  <c r="N51" i="22" l="1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M51" i="22"/>
  <c r="L51" i="22"/>
  <c r="J50" i="22" l="1"/>
  <c r="F13" i="22"/>
  <c r="F14" i="22" s="1"/>
  <c r="F15" i="22" s="1"/>
  <c r="F16" i="22" s="1"/>
  <c r="F17" i="22" s="1"/>
  <c r="F18" i="22" s="1"/>
  <c r="F19" i="22" s="1"/>
  <c r="F20" i="22" s="1"/>
  <c r="F21" i="22" s="1"/>
  <c r="F22" i="22" s="1"/>
  <c r="F23" i="22" s="1"/>
  <c r="F24" i="22" s="1"/>
  <c r="F25" i="22" s="1"/>
  <c r="F26" i="22" s="1"/>
  <c r="F27" i="22" s="1"/>
  <c r="F28" i="22" s="1"/>
  <c r="F29" i="22" s="1"/>
  <c r="F30" i="22" s="1"/>
  <c r="F31" i="22" s="1"/>
  <c r="F32" i="22" s="1"/>
  <c r="F33" i="22" s="1"/>
  <c r="F34" i="22" s="1"/>
  <c r="F35" i="22" s="1"/>
  <c r="F36" i="22" s="1"/>
  <c r="F37" i="22" s="1"/>
  <c r="F38" i="22" s="1"/>
  <c r="F39" i="22" s="1"/>
  <c r="F40" i="22" s="1"/>
  <c r="F41" i="22" s="1"/>
  <c r="F42" i="22" s="1"/>
  <c r="F43" i="22" s="1"/>
  <c r="F44" i="22" s="1"/>
  <c r="F45" i="22" s="1"/>
  <c r="F46" i="22" s="1"/>
  <c r="F47" i="22" s="1"/>
  <c r="F48" i="22" s="1"/>
  <c r="F49" i="22" s="1"/>
  <c r="F50" i="22" s="1"/>
  <c r="F12" i="22"/>
  <c r="F11" i="22"/>
  <c r="G10" i="22"/>
  <c r="G11" i="22" s="1"/>
  <c r="L50" i="22"/>
  <c r="L10" i="22" s="1"/>
  <c r="G12" i="22" l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L11" i="22"/>
  <c r="M376" i="18"/>
  <c r="L376" i="18"/>
  <c r="K376" i="18"/>
  <c r="J376" i="18"/>
  <c r="I376" i="18"/>
  <c r="B376" i="18"/>
  <c r="M375" i="18"/>
  <c r="L375" i="18"/>
  <c r="K375" i="18"/>
  <c r="J375" i="18"/>
  <c r="I375" i="18"/>
  <c r="B375" i="18"/>
  <c r="M374" i="18"/>
  <c r="L374" i="18"/>
  <c r="K374" i="18"/>
  <c r="J374" i="18"/>
  <c r="I374" i="18"/>
  <c r="B374" i="18"/>
  <c r="M373" i="18"/>
  <c r="L373" i="18"/>
  <c r="K373" i="18"/>
  <c r="J373" i="18"/>
  <c r="I373" i="18"/>
  <c r="B373" i="18"/>
  <c r="M372" i="18"/>
  <c r="L372" i="18"/>
  <c r="K372" i="18"/>
  <c r="J372" i="18"/>
  <c r="I372" i="18"/>
  <c r="B372" i="18"/>
  <c r="M371" i="18"/>
  <c r="L371" i="18"/>
  <c r="K371" i="18"/>
  <c r="J371" i="18"/>
  <c r="I371" i="18"/>
  <c r="B371" i="18"/>
  <c r="M370" i="18"/>
  <c r="L370" i="18"/>
  <c r="K370" i="18"/>
  <c r="J370" i="18"/>
  <c r="I370" i="18"/>
  <c r="B370" i="18"/>
  <c r="M369" i="18"/>
  <c r="L369" i="18"/>
  <c r="K369" i="18"/>
  <c r="J369" i="18"/>
  <c r="I369" i="18"/>
  <c r="B369" i="18"/>
  <c r="M368" i="18"/>
  <c r="L368" i="18"/>
  <c r="K368" i="18"/>
  <c r="J368" i="18"/>
  <c r="I368" i="18"/>
  <c r="B368" i="18"/>
  <c r="M367" i="18"/>
  <c r="L367" i="18"/>
  <c r="K367" i="18"/>
  <c r="J367" i="18"/>
  <c r="I367" i="18"/>
  <c r="B367" i="18"/>
  <c r="M366" i="18"/>
  <c r="L366" i="18"/>
  <c r="K366" i="18"/>
  <c r="J366" i="18"/>
  <c r="I366" i="18"/>
  <c r="B366" i="18"/>
  <c r="M365" i="18"/>
  <c r="L365" i="18"/>
  <c r="K365" i="18"/>
  <c r="J365" i="18"/>
  <c r="I365" i="18"/>
  <c r="B365" i="18"/>
  <c r="M364" i="18"/>
  <c r="L364" i="18"/>
  <c r="K364" i="18"/>
  <c r="J364" i="18"/>
  <c r="I364" i="18"/>
  <c r="B364" i="18"/>
  <c r="M363" i="18"/>
  <c r="L363" i="18"/>
  <c r="K363" i="18"/>
  <c r="J363" i="18"/>
  <c r="I363" i="18"/>
  <c r="B363" i="18"/>
  <c r="M362" i="18"/>
  <c r="L362" i="18"/>
  <c r="K362" i="18"/>
  <c r="J362" i="18"/>
  <c r="I362" i="18"/>
  <c r="B362" i="18"/>
  <c r="M361" i="18"/>
  <c r="L361" i="18"/>
  <c r="K361" i="18"/>
  <c r="J361" i="18"/>
  <c r="I361" i="18"/>
  <c r="B361" i="18"/>
  <c r="M360" i="18"/>
  <c r="L360" i="18"/>
  <c r="K360" i="18"/>
  <c r="J360" i="18"/>
  <c r="I360" i="18"/>
  <c r="B360" i="18"/>
  <c r="M359" i="18"/>
  <c r="L359" i="18"/>
  <c r="K359" i="18"/>
  <c r="J359" i="18"/>
  <c r="I359" i="18"/>
  <c r="B359" i="18"/>
  <c r="M358" i="18"/>
  <c r="L358" i="18"/>
  <c r="K358" i="18"/>
  <c r="J358" i="18"/>
  <c r="I358" i="18"/>
  <c r="B358" i="18"/>
  <c r="M357" i="18"/>
  <c r="L357" i="18"/>
  <c r="K357" i="18"/>
  <c r="J357" i="18"/>
  <c r="I357" i="18"/>
  <c r="B357" i="18"/>
  <c r="M356" i="18"/>
  <c r="L356" i="18"/>
  <c r="K356" i="18"/>
  <c r="J356" i="18"/>
  <c r="I356" i="18"/>
  <c r="B356" i="18"/>
  <c r="M355" i="18"/>
  <c r="L355" i="18"/>
  <c r="K355" i="18"/>
  <c r="J355" i="18"/>
  <c r="I355" i="18"/>
  <c r="B355" i="18"/>
  <c r="M354" i="18"/>
  <c r="L354" i="18"/>
  <c r="K354" i="18"/>
  <c r="J354" i="18"/>
  <c r="I354" i="18"/>
  <c r="B354" i="18"/>
  <c r="M353" i="18"/>
  <c r="L353" i="18"/>
  <c r="K353" i="18"/>
  <c r="J353" i="18"/>
  <c r="I353" i="18"/>
  <c r="B353" i="18"/>
  <c r="M352" i="18"/>
  <c r="L352" i="18"/>
  <c r="K352" i="18"/>
  <c r="J352" i="18"/>
  <c r="I352" i="18"/>
  <c r="B352" i="18"/>
  <c r="M351" i="18"/>
  <c r="L351" i="18"/>
  <c r="K351" i="18"/>
  <c r="J351" i="18"/>
  <c r="I351" i="18"/>
  <c r="B351" i="18"/>
  <c r="M350" i="18"/>
  <c r="L350" i="18"/>
  <c r="K350" i="18"/>
  <c r="J350" i="18"/>
  <c r="I350" i="18"/>
  <c r="B350" i="18"/>
  <c r="M349" i="18"/>
  <c r="L349" i="18"/>
  <c r="K349" i="18"/>
  <c r="J349" i="18"/>
  <c r="I349" i="18"/>
  <c r="B349" i="18"/>
  <c r="M348" i="18"/>
  <c r="L348" i="18"/>
  <c r="K348" i="18"/>
  <c r="J348" i="18"/>
  <c r="I348" i="18"/>
  <c r="B348" i="18"/>
  <c r="M347" i="18"/>
  <c r="L347" i="18"/>
  <c r="K347" i="18"/>
  <c r="J347" i="18"/>
  <c r="I347" i="18"/>
  <c r="B347" i="18"/>
  <c r="M346" i="18"/>
  <c r="L346" i="18"/>
  <c r="K346" i="18"/>
  <c r="J346" i="18"/>
  <c r="I346" i="18"/>
  <c r="B346" i="18"/>
  <c r="M345" i="18"/>
  <c r="L345" i="18"/>
  <c r="K345" i="18"/>
  <c r="J345" i="18"/>
  <c r="I345" i="18"/>
  <c r="B345" i="18"/>
  <c r="M344" i="18"/>
  <c r="L344" i="18"/>
  <c r="K344" i="18"/>
  <c r="J344" i="18"/>
  <c r="I344" i="18"/>
  <c r="B344" i="18"/>
  <c r="M343" i="18"/>
  <c r="L343" i="18"/>
  <c r="K343" i="18"/>
  <c r="J343" i="18"/>
  <c r="I343" i="18"/>
  <c r="B343" i="18"/>
  <c r="M342" i="18"/>
  <c r="L342" i="18"/>
  <c r="K342" i="18"/>
  <c r="J342" i="18"/>
  <c r="I342" i="18"/>
  <c r="B342" i="18"/>
  <c r="M341" i="18"/>
  <c r="L341" i="18"/>
  <c r="K341" i="18"/>
  <c r="J341" i="18"/>
  <c r="I341" i="18"/>
  <c r="B341" i="18"/>
  <c r="M340" i="18"/>
  <c r="L340" i="18"/>
  <c r="K340" i="18"/>
  <c r="J340" i="18"/>
  <c r="I340" i="18"/>
  <c r="B340" i="18"/>
  <c r="M339" i="18"/>
  <c r="L339" i="18"/>
  <c r="K339" i="18"/>
  <c r="J339" i="18"/>
  <c r="I339" i="18"/>
  <c r="B339" i="18"/>
  <c r="M338" i="18"/>
  <c r="L338" i="18"/>
  <c r="K338" i="18"/>
  <c r="J338" i="18"/>
  <c r="I338" i="18"/>
  <c r="B338" i="18"/>
  <c r="M337" i="18"/>
  <c r="L337" i="18"/>
  <c r="K337" i="18"/>
  <c r="J337" i="18"/>
  <c r="I337" i="18"/>
  <c r="B337" i="18"/>
  <c r="M336" i="18"/>
  <c r="L336" i="18"/>
  <c r="K336" i="18"/>
  <c r="J336" i="18"/>
  <c r="I336" i="18"/>
  <c r="B336" i="18"/>
  <c r="M335" i="18"/>
  <c r="L335" i="18"/>
  <c r="K335" i="18"/>
  <c r="J335" i="18"/>
  <c r="I335" i="18"/>
  <c r="B335" i="18"/>
  <c r="M334" i="18"/>
  <c r="L334" i="18"/>
  <c r="K334" i="18"/>
  <c r="J334" i="18"/>
  <c r="I334" i="18"/>
  <c r="B334" i="18"/>
  <c r="M333" i="18"/>
  <c r="L333" i="18"/>
  <c r="K333" i="18"/>
  <c r="J333" i="18"/>
  <c r="I333" i="18"/>
  <c r="B333" i="18"/>
  <c r="M332" i="18"/>
  <c r="L332" i="18"/>
  <c r="K332" i="18"/>
  <c r="J332" i="18"/>
  <c r="I332" i="18"/>
  <c r="B332" i="18"/>
  <c r="M331" i="18"/>
  <c r="L331" i="18"/>
  <c r="K331" i="18"/>
  <c r="J331" i="18"/>
  <c r="I331" i="18"/>
  <c r="B331" i="18"/>
  <c r="M330" i="18"/>
  <c r="L330" i="18"/>
  <c r="K330" i="18"/>
  <c r="J330" i="18"/>
  <c r="I330" i="18"/>
  <c r="B330" i="18"/>
  <c r="M329" i="18"/>
  <c r="L329" i="18"/>
  <c r="K329" i="18"/>
  <c r="J329" i="18"/>
  <c r="I329" i="18"/>
  <c r="B329" i="18"/>
  <c r="M328" i="18"/>
  <c r="L328" i="18"/>
  <c r="K328" i="18"/>
  <c r="J328" i="18"/>
  <c r="I328" i="18"/>
  <c r="B328" i="18"/>
  <c r="M327" i="18"/>
  <c r="L327" i="18"/>
  <c r="K327" i="18"/>
  <c r="J327" i="18"/>
  <c r="I327" i="18"/>
  <c r="B327" i="18"/>
  <c r="M326" i="18"/>
  <c r="L326" i="18"/>
  <c r="K326" i="18"/>
  <c r="J326" i="18"/>
  <c r="I326" i="18"/>
  <c r="B326" i="18"/>
  <c r="M325" i="18"/>
  <c r="L325" i="18"/>
  <c r="K325" i="18"/>
  <c r="J325" i="18"/>
  <c r="I325" i="18"/>
  <c r="B325" i="18"/>
  <c r="M324" i="18"/>
  <c r="L324" i="18"/>
  <c r="K324" i="18"/>
  <c r="J324" i="18"/>
  <c r="I324" i="18"/>
  <c r="B324" i="18"/>
  <c r="M323" i="18"/>
  <c r="L323" i="18"/>
  <c r="K323" i="18"/>
  <c r="J323" i="18"/>
  <c r="I323" i="18"/>
  <c r="B323" i="18"/>
  <c r="M322" i="18"/>
  <c r="L322" i="18"/>
  <c r="K322" i="18"/>
  <c r="J322" i="18"/>
  <c r="I322" i="18"/>
  <c r="B322" i="18"/>
  <c r="M321" i="18"/>
  <c r="L321" i="18"/>
  <c r="K321" i="18"/>
  <c r="J321" i="18"/>
  <c r="I321" i="18"/>
  <c r="B321" i="18"/>
  <c r="M320" i="18"/>
  <c r="L320" i="18"/>
  <c r="K320" i="18"/>
  <c r="J320" i="18"/>
  <c r="I320" i="18"/>
  <c r="B320" i="18"/>
  <c r="M319" i="18"/>
  <c r="L319" i="18"/>
  <c r="K319" i="18"/>
  <c r="J319" i="18"/>
  <c r="I319" i="18"/>
  <c r="B319" i="18"/>
  <c r="M318" i="18"/>
  <c r="L318" i="18"/>
  <c r="K318" i="18"/>
  <c r="J318" i="18"/>
  <c r="I318" i="18"/>
  <c r="B318" i="18"/>
  <c r="M317" i="18"/>
  <c r="L317" i="18"/>
  <c r="K317" i="18"/>
  <c r="J317" i="18"/>
  <c r="I317" i="18"/>
  <c r="B317" i="18"/>
  <c r="M316" i="18"/>
  <c r="L316" i="18"/>
  <c r="K316" i="18"/>
  <c r="J316" i="18"/>
  <c r="I316" i="18"/>
  <c r="B316" i="18"/>
  <c r="M315" i="18"/>
  <c r="L315" i="18"/>
  <c r="K315" i="18"/>
  <c r="J315" i="18"/>
  <c r="I315" i="18"/>
  <c r="B315" i="18"/>
  <c r="M314" i="18"/>
  <c r="L314" i="18"/>
  <c r="K314" i="18"/>
  <c r="J314" i="18"/>
  <c r="I314" i="18"/>
  <c r="B314" i="18"/>
  <c r="M313" i="18"/>
  <c r="L313" i="18"/>
  <c r="K313" i="18"/>
  <c r="J313" i="18"/>
  <c r="I313" i="18"/>
  <c r="B313" i="18"/>
  <c r="M312" i="18"/>
  <c r="L312" i="18"/>
  <c r="K312" i="18"/>
  <c r="J312" i="18"/>
  <c r="I312" i="18"/>
  <c r="B312" i="18"/>
  <c r="M311" i="18"/>
  <c r="L311" i="18"/>
  <c r="K311" i="18"/>
  <c r="J311" i="18"/>
  <c r="I311" i="18"/>
  <c r="B311" i="18"/>
  <c r="M310" i="18"/>
  <c r="L310" i="18"/>
  <c r="K310" i="18"/>
  <c r="J310" i="18"/>
  <c r="I310" i="18"/>
  <c r="B310" i="18"/>
  <c r="M309" i="18"/>
  <c r="L309" i="18"/>
  <c r="K309" i="18"/>
  <c r="J309" i="18"/>
  <c r="I309" i="18"/>
  <c r="B309" i="18"/>
  <c r="M308" i="18"/>
  <c r="L308" i="18"/>
  <c r="K308" i="18"/>
  <c r="J308" i="18"/>
  <c r="I308" i="18"/>
  <c r="B308" i="18"/>
  <c r="M307" i="18"/>
  <c r="L307" i="18"/>
  <c r="K307" i="18"/>
  <c r="J307" i="18"/>
  <c r="I307" i="18"/>
  <c r="B307" i="18"/>
  <c r="M306" i="18"/>
  <c r="L306" i="18"/>
  <c r="K306" i="18"/>
  <c r="J306" i="18"/>
  <c r="I306" i="18"/>
  <c r="B306" i="18"/>
  <c r="M305" i="18"/>
  <c r="L305" i="18"/>
  <c r="K305" i="18"/>
  <c r="J305" i="18"/>
  <c r="I305" i="18"/>
  <c r="B305" i="18"/>
  <c r="M304" i="18"/>
  <c r="L304" i="18"/>
  <c r="K304" i="18"/>
  <c r="J304" i="18"/>
  <c r="I304" i="18"/>
  <c r="B304" i="18"/>
  <c r="M303" i="18"/>
  <c r="L303" i="18"/>
  <c r="K303" i="18"/>
  <c r="J303" i="18"/>
  <c r="I303" i="18"/>
  <c r="B303" i="18"/>
  <c r="M302" i="18"/>
  <c r="L302" i="18"/>
  <c r="K302" i="18"/>
  <c r="J302" i="18"/>
  <c r="I302" i="18"/>
  <c r="B302" i="18"/>
  <c r="M301" i="18"/>
  <c r="L301" i="18"/>
  <c r="K301" i="18"/>
  <c r="J301" i="18"/>
  <c r="I301" i="18"/>
  <c r="B301" i="18"/>
  <c r="M300" i="18"/>
  <c r="L300" i="18"/>
  <c r="K300" i="18"/>
  <c r="J300" i="18"/>
  <c r="I300" i="18"/>
  <c r="B300" i="18"/>
  <c r="M299" i="18"/>
  <c r="L299" i="18"/>
  <c r="K299" i="18"/>
  <c r="J299" i="18"/>
  <c r="I299" i="18"/>
  <c r="B299" i="18"/>
  <c r="M298" i="18"/>
  <c r="L298" i="18"/>
  <c r="K298" i="18"/>
  <c r="J298" i="18"/>
  <c r="I298" i="18"/>
  <c r="B298" i="18"/>
  <c r="M297" i="18"/>
  <c r="L297" i="18"/>
  <c r="K297" i="18"/>
  <c r="J297" i="18"/>
  <c r="I297" i="18"/>
  <c r="B297" i="18"/>
  <c r="M296" i="18"/>
  <c r="L296" i="18"/>
  <c r="K296" i="18"/>
  <c r="J296" i="18"/>
  <c r="I296" i="18"/>
  <c r="B296" i="18"/>
  <c r="M295" i="18"/>
  <c r="L295" i="18"/>
  <c r="K295" i="18"/>
  <c r="J295" i="18"/>
  <c r="I295" i="18"/>
  <c r="B295" i="18"/>
  <c r="M294" i="18"/>
  <c r="L294" i="18"/>
  <c r="K294" i="18"/>
  <c r="J294" i="18"/>
  <c r="I294" i="18"/>
  <c r="B294" i="18"/>
  <c r="M293" i="18"/>
  <c r="L293" i="18"/>
  <c r="K293" i="18"/>
  <c r="J293" i="18"/>
  <c r="I293" i="18"/>
  <c r="B293" i="18"/>
  <c r="M292" i="18"/>
  <c r="L292" i="18"/>
  <c r="K292" i="18"/>
  <c r="J292" i="18"/>
  <c r="I292" i="18"/>
  <c r="B292" i="18"/>
  <c r="M291" i="18"/>
  <c r="L291" i="18"/>
  <c r="K291" i="18"/>
  <c r="J291" i="18"/>
  <c r="I291" i="18"/>
  <c r="B291" i="18"/>
  <c r="M290" i="18"/>
  <c r="L290" i="18"/>
  <c r="K290" i="18"/>
  <c r="J290" i="18"/>
  <c r="I290" i="18"/>
  <c r="B290" i="18"/>
  <c r="M289" i="18"/>
  <c r="L289" i="18"/>
  <c r="K289" i="18"/>
  <c r="J289" i="18"/>
  <c r="I289" i="18"/>
  <c r="B289" i="18"/>
  <c r="M288" i="18"/>
  <c r="L288" i="18"/>
  <c r="K288" i="18"/>
  <c r="J288" i="18"/>
  <c r="I288" i="18"/>
  <c r="B288" i="18"/>
  <c r="M287" i="18"/>
  <c r="L287" i="18"/>
  <c r="K287" i="18"/>
  <c r="J287" i="18"/>
  <c r="I287" i="18"/>
  <c r="B287" i="18"/>
  <c r="M286" i="18"/>
  <c r="L286" i="18"/>
  <c r="K286" i="18"/>
  <c r="J286" i="18"/>
  <c r="I286" i="18"/>
  <c r="B286" i="18"/>
  <c r="M285" i="18"/>
  <c r="L285" i="18"/>
  <c r="K285" i="18"/>
  <c r="J285" i="18"/>
  <c r="I285" i="18"/>
  <c r="B285" i="18"/>
  <c r="M284" i="18"/>
  <c r="L284" i="18"/>
  <c r="K284" i="18"/>
  <c r="J284" i="18"/>
  <c r="I284" i="18"/>
  <c r="B284" i="18"/>
  <c r="M283" i="18"/>
  <c r="L283" i="18"/>
  <c r="K283" i="18"/>
  <c r="J283" i="18"/>
  <c r="I283" i="18"/>
  <c r="B283" i="18"/>
  <c r="M282" i="18"/>
  <c r="L282" i="18"/>
  <c r="K282" i="18"/>
  <c r="J282" i="18"/>
  <c r="I282" i="18"/>
  <c r="B282" i="18"/>
  <c r="M281" i="18"/>
  <c r="L281" i="18"/>
  <c r="K281" i="18"/>
  <c r="J281" i="18"/>
  <c r="I281" i="18"/>
  <c r="B281" i="18"/>
  <c r="M280" i="18"/>
  <c r="L280" i="18"/>
  <c r="K280" i="18"/>
  <c r="J280" i="18"/>
  <c r="I280" i="18"/>
  <c r="B280" i="18"/>
  <c r="M279" i="18"/>
  <c r="L279" i="18"/>
  <c r="K279" i="18"/>
  <c r="J279" i="18"/>
  <c r="I279" i="18"/>
  <c r="B279" i="18"/>
  <c r="M278" i="18"/>
  <c r="L278" i="18"/>
  <c r="K278" i="18"/>
  <c r="J278" i="18"/>
  <c r="I278" i="18"/>
  <c r="B278" i="18"/>
  <c r="M277" i="18"/>
  <c r="L277" i="18"/>
  <c r="K277" i="18"/>
  <c r="J277" i="18"/>
  <c r="I277" i="18"/>
  <c r="B277" i="18"/>
  <c r="M276" i="18"/>
  <c r="L276" i="18"/>
  <c r="K276" i="18"/>
  <c r="J276" i="18"/>
  <c r="I276" i="18"/>
  <c r="B276" i="18"/>
  <c r="M275" i="18"/>
  <c r="L275" i="18"/>
  <c r="K275" i="18"/>
  <c r="J275" i="18"/>
  <c r="I275" i="18"/>
  <c r="B275" i="18"/>
  <c r="M274" i="18"/>
  <c r="L274" i="18"/>
  <c r="K274" i="18"/>
  <c r="J274" i="18"/>
  <c r="I274" i="18"/>
  <c r="B274" i="18"/>
  <c r="M273" i="18"/>
  <c r="L273" i="18"/>
  <c r="K273" i="18"/>
  <c r="J273" i="18"/>
  <c r="I273" i="18"/>
  <c r="B273" i="18"/>
  <c r="M272" i="18"/>
  <c r="L272" i="18"/>
  <c r="K272" i="18"/>
  <c r="J272" i="18"/>
  <c r="I272" i="18"/>
  <c r="B272" i="18"/>
  <c r="M271" i="18"/>
  <c r="L271" i="18"/>
  <c r="K271" i="18"/>
  <c r="J271" i="18"/>
  <c r="I271" i="18"/>
  <c r="B271" i="18"/>
  <c r="M270" i="18"/>
  <c r="L270" i="18"/>
  <c r="K270" i="18"/>
  <c r="J270" i="18"/>
  <c r="I270" i="18"/>
  <c r="B270" i="18"/>
  <c r="M269" i="18"/>
  <c r="L269" i="18"/>
  <c r="K269" i="18"/>
  <c r="J269" i="18"/>
  <c r="I269" i="18"/>
  <c r="B269" i="18"/>
  <c r="M268" i="18"/>
  <c r="L268" i="18"/>
  <c r="K268" i="18"/>
  <c r="J268" i="18"/>
  <c r="I268" i="18"/>
  <c r="B268" i="18"/>
  <c r="M267" i="18"/>
  <c r="L267" i="18"/>
  <c r="K267" i="18"/>
  <c r="J267" i="18"/>
  <c r="I267" i="18"/>
  <c r="B267" i="18"/>
  <c r="M266" i="18"/>
  <c r="L266" i="18"/>
  <c r="K266" i="18"/>
  <c r="J266" i="18"/>
  <c r="I266" i="18"/>
  <c r="B266" i="18"/>
  <c r="M265" i="18"/>
  <c r="L265" i="18"/>
  <c r="K265" i="18"/>
  <c r="J265" i="18"/>
  <c r="I265" i="18"/>
  <c r="B265" i="18"/>
  <c r="M264" i="18"/>
  <c r="L264" i="18"/>
  <c r="K264" i="18"/>
  <c r="J264" i="18"/>
  <c r="I264" i="18"/>
  <c r="B264" i="18"/>
  <c r="M263" i="18"/>
  <c r="L263" i="18"/>
  <c r="K263" i="18"/>
  <c r="J263" i="18"/>
  <c r="I263" i="18"/>
  <c r="B263" i="18"/>
  <c r="M262" i="18"/>
  <c r="L262" i="18"/>
  <c r="K262" i="18"/>
  <c r="J262" i="18"/>
  <c r="I262" i="18"/>
  <c r="B262" i="18"/>
  <c r="M261" i="18"/>
  <c r="L261" i="18"/>
  <c r="K261" i="18"/>
  <c r="J261" i="18"/>
  <c r="I261" i="18"/>
  <c r="B261" i="18"/>
  <c r="M260" i="18"/>
  <c r="L260" i="18"/>
  <c r="K260" i="18"/>
  <c r="J260" i="18"/>
  <c r="I260" i="18"/>
  <c r="B260" i="18"/>
  <c r="M259" i="18"/>
  <c r="L259" i="18"/>
  <c r="K259" i="18"/>
  <c r="J259" i="18"/>
  <c r="I259" i="18"/>
  <c r="B259" i="18"/>
  <c r="M258" i="18"/>
  <c r="L258" i="18"/>
  <c r="K258" i="18"/>
  <c r="J258" i="18"/>
  <c r="I258" i="18"/>
  <c r="B258" i="18"/>
  <c r="M257" i="18"/>
  <c r="L257" i="18"/>
  <c r="K257" i="18"/>
  <c r="J257" i="18"/>
  <c r="I257" i="18"/>
  <c r="B257" i="18"/>
  <c r="M256" i="18"/>
  <c r="L256" i="18"/>
  <c r="K256" i="18"/>
  <c r="J256" i="18"/>
  <c r="I256" i="18"/>
  <c r="B256" i="18"/>
  <c r="M255" i="18"/>
  <c r="L255" i="18"/>
  <c r="K255" i="18"/>
  <c r="J255" i="18"/>
  <c r="I255" i="18"/>
  <c r="B255" i="18"/>
  <c r="M254" i="18"/>
  <c r="L254" i="18"/>
  <c r="K254" i="18"/>
  <c r="J254" i="18"/>
  <c r="I254" i="18"/>
  <c r="B254" i="18"/>
  <c r="M253" i="18"/>
  <c r="L253" i="18"/>
  <c r="K253" i="18"/>
  <c r="J253" i="18"/>
  <c r="I253" i="18"/>
  <c r="B253" i="18"/>
  <c r="M252" i="18"/>
  <c r="L252" i="18"/>
  <c r="K252" i="18"/>
  <c r="J252" i="18"/>
  <c r="I252" i="18"/>
  <c r="B252" i="18"/>
  <c r="M251" i="18"/>
  <c r="L251" i="18"/>
  <c r="K251" i="18"/>
  <c r="J251" i="18"/>
  <c r="I251" i="18"/>
  <c r="B251" i="18"/>
  <c r="M250" i="18"/>
  <c r="L250" i="18"/>
  <c r="K250" i="18"/>
  <c r="J250" i="18"/>
  <c r="I250" i="18"/>
  <c r="B250" i="18"/>
  <c r="M249" i="18"/>
  <c r="L249" i="18"/>
  <c r="K249" i="18"/>
  <c r="J249" i="18"/>
  <c r="I249" i="18"/>
  <c r="B249" i="18"/>
  <c r="M248" i="18"/>
  <c r="L248" i="18"/>
  <c r="K248" i="18"/>
  <c r="J248" i="18"/>
  <c r="I248" i="18"/>
  <c r="B248" i="18"/>
  <c r="M247" i="18"/>
  <c r="L247" i="18"/>
  <c r="K247" i="18"/>
  <c r="J247" i="18"/>
  <c r="I247" i="18"/>
  <c r="B247" i="18"/>
  <c r="M246" i="18"/>
  <c r="L246" i="18"/>
  <c r="K246" i="18"/>
  <c r="J246" i="18"/>
  <c r="I246" i="18"/>
  <c r="B246" i="18"/>
  <c r="M245" i="18"/>
  <c r="L245" i="18"/>
  <c r="K245" i="18"/>
  <c r="J245" i="18"/>
  <c r="I245" i="18"/>
  <c r="B245" i="18"/>
  <c r="M244" i="18"/>
  <c r="L244" i="18"/>
  <c r="K244" i="18"/>
  <c r="J244" i="18"/>
  <c r="I244" i="18"/>
  <c r="B244" i="18"/>
  <c r="M243" i="18"/>
  <c r="L243" i="18"/>
  <c r="K243" i="18"/>
  <c r="J243" i="18"/>
  <c r="I243" i="18"/>
  <c r="B243" i="18"/>
  <c r="M242" i="18"/>
  <c r="L242" i="18"/>
  <c r="K242" i="18"/>
  <c r="J242" i="18"/>
  <c r="I242" i="18"/>
  <c r="B242" i="18"/>
  <c r="M241" i="18"/>
  <c r="L241" i="18"/>
  <c r="K241" i="18"/>
  <c r="J241" i="18"/>
  <c r="I241" i="18"/>
  <c r="B241" i="18"/>
  <c r="M240" i="18"/>
  <c r="L240" i="18"/>
  <c r="K240" i="18"/>
  <c r="J240" i="18"/>
  <c r="I240" i="18"/>
  <c r="B240" i="18"/>
  <c r="M239" i="18"/>
  <c r="L239" i="18"/>
  <c r="K239" i="18"/>
  <c r="J239" i="18"/>
  <c r="I239" i="18"/>
  <c r="B239" i="18"/>
  <c r="M238" i="18"/>
  <c r="L238" i="18"/>
  <c r="K238" i="18"/>
  <c r="J238" i="18"/>
  <c r="I238" i="18"/>
  <c r="B238" i="18"/>
  <c r="M237" i="18"/>
  <c r="L237" i="18"/>
  <c r="K237" i="18"/>
  <c r="J237" i="18"/>
  <c r="I237" i="18"/>
  <c r="B237" i="18"/>
  <c r="M236" i="18"/>
  <c r="L236" i="18"/>
  <c r="K236" i="18"/>
  <c r="J236" i="18"/>
  <c r="I236" i="18"/>
  <c r="B236" i="18"/>
  <c r="M235" i="18"/>
  <c r="L235" i="18"/>
  <c r="K235" i="18"/>
  <c r="J235" i="18"/>
  <c r="I235" i="18"/>
  <c r="B235" i="18"/>
  <c r="M234" i="18"/>
  <c r="L234" i="18"/>
  <c r="K234" i="18"/>
  <c r="J234" i="18"/>
  <c r="I234" i="18"/>
  <c r="B234" i="18"/>
  <c r="M233" i="18"/>
  <c r="L233" i="18"/>
  <c r="K233" i="18"/>
  <c r="J233" i="18"/>
  <c r="I233" i="18"/>
  <c r="B233" i="18"/>
  <c r="M232" i="18"/>
  <c r="L232" i="18"/>
  <c r="K232" i="18"/>
  <c r="J232" i="18"/>
  <c r="I232" i="18"/>
  <c r="B232" i="18"/>
  <c r="M231" i="18"/>
  <c r="L231" i="18"/>
  <c r="K231" i="18"/>
  <c r="J231" i="18"/>
  <c r="I231" i="18"/>
  <c r="B231" i="18"/>
  <c r="M230" i="18"/>
  <c r="L230" i="18"/>
  <c r="K230" i="18"/>
  <c r="J230" i="18"/>
  <c r="I230" i="18"/>
  <c r="B230" i="18"/>
  <c r="M229" i="18"/>
  <c r="L229" i="18"/>
  <c r="K229" i="18"/>
  <c r="J229" i="18"/>
  <c r="I229" i="18"/>
  <c r="B229" i="18"/>
  <c r="M228" i="18"/>
  <c r="L228" i="18"/>
  <c r="K228" i="18"/>
  <c r="J228" i="18"/>
  <c r="I228" i="18"/>
  <c r="B228" i="18"/>
  <c r="M227" i="18"/>
  <c r="L227" i="18"/>
  <c r="K227" i="18"/>
  <c r="J227" i="18"/>
  <c r="I227" i="18"/>
  <c r="B227" i="18"/>
  <c r="M226" i="18"/>
  <c r="L226" i="18"/>
  <c r="K226" i="18"/>
  <c r="J226" i="18"/>
  <c r="I226" i="18"/>
  <c r="B226" i="18"/>
  <c r="M225" i="18"/>
  <c r="L225" i="18"/>
  <c r="K225" i="18"/>
  <c r="J225" i="18"/>
  <c r="I225" i="18"/>
  <c r="B225" i="18"/>
  <c r="M224" i="18"/>
  <c r="L224" i="18"/>
  <c r="K224" i="18"/>
  <c r="J224" i="18"/>
  <c r="I224" i="18"/>
  <c r="B224" i="18"/>
  <c r="M223" i="18"/>
  <c r="L223" i="18"/>
  <c r="K223" i="18"/>
  <c r="J223" i="18"/>
  <c r="I223" i="18"/>
  <c r="B223" i="18"/>
  <c r="M222" i="18"/>
  <c r="L222" i="18"/>
  <c r="K222" i="18"/>
  <c r="J222" i="18"/>
  <c r="I222" i="18"/>
  <c r="B222" i="18"/>
  <c r="M221" i="18"/>
  <c r="L221" i="18"/>
  <c r="K221" i="18"/>
  <c r="J221" i="18"/>
  <c r="I221" i="18"/>
  <c r="B221" i="18"/>
  <c r="M220" i="18"/>
  <c r="L220" i="18"/>
  <c r="K220" i="18"/>
  <c r="J220" i="18"/>
  <c r="I220" i="18"/>
  <c r="B220" i="18"/>
  <c r="M219" i="18"/>
  <c r="L219" i="18"/>
  <c r="K219" i="18"/>
  <c r="J219" i="18"/>
  <c r="I219" i="18"/>
  <c r="B219" i="18"/>
  <c r="M218" i="18"/>
  <c r="L218" i="18"/>
  <c r="K218" i="18"/>
  <c r="J218" i="18"/>
  <c r="I218" i="18"/>
  <c r="B218" i="18"/>
  <c r="M217" i="18"/>
  <c r="L217" i="18"/>
  <c r="K217" i="18"/>
  <c r="J217" i="18"/>
  <c r="I217" i="18"/>
  <c r="B217" i="18"/>
  <c r="M216" i="18"/>
  <c r="L216" i="18"/>
  <c r="K216" i="18"/>
  <c r="J216" i="18"/>
  <c r="I216" i="18"/>
  <c r="B216" i="18"/>
  <c r="M215" i="18"/>
  <c r="L215" i="18"/>
  <c r="K215" i="18"/>
  <c r="J215" i="18"/>
  <c r="I215" i="18"/>
  <c r="B215" i="18"/>
  <c r="M214" i="18"/>
  <c r="L214" i="18"/>
  <c r="K214" i="18"/>
  <c r="J214" i="18"/>
  <c r="I214" i="18"/>
  <c r="B214" i="18"/>
  <c r="M213" i="18"/>
  <c r="L213" i="18"/>
  <c r="K213" i="18"/>
  <c r="J213" i="18"/>
  <c r="I213" i="18"/>
  <c r="B213" i="18"/>
  <c r="M212" i="18"/>
  <c r="L212" i="18"/>
  <c r="K212" i="18"/>
  <c r="J212" i="18"/>
  <c r="I212" i="18"/>
  <c r="B212" i="18"/>
  <c r="M211" i="18"/>
  <c r="L211" i="18"/>
  <c r="K211" i="18"/>
  <c r="J211" i="18"/>
  <c r="I211" i="18"/>
  <c r="B211" i="18"/>
  <c r="M210" i="18"/>
  <c r="L210" i="18"/>
  <c r="K210" i="18"/>
  <c r="J210" i="18"/>
  <c r="I210" i="18"/>
  <c r="B210" i="18"/>
  <c r="M209" i="18"/>
  <c r="L209" i="18"/>
  <c r="K209" i="18"/>
  <c r="J209" i="18"/>
  <c r="I209" i="18"/>
  <c r="B209" i="18"/>
  <c r="M208" i="18"/>
  <c r="L208" i="18"/>
  <c r="K208" i="18"/>
  <c r="J208" i="18"/>
  <c r="I208" i="18"/>
  <c r="B208" i="18"/>
  <c r="M207" i="18"/>
  <c r="L207" i="18"/>
  <c r="K207" i="18"/>
  <c r="J207" i="18"/>
  <c r="I207" i="18"/>
  <c r="B207" i="18"/>
  <c r="M206" i="18"/>
  <c r="L206" i="18"/>
  <c r="K206" i="18"/>
  <c r="J206" i="18"/>
  <c r="I206" i="18"/>
  <c r="B206" i="18"/>
  <c r="M205" i="18"/>
  <c r="L205" i="18"/>
  <c r="K205" i="18"/>
  <c r="J205" i="18"/>
  <c r="I205" i="18"/>
  <c r="B205" i="18"/>
  <c r="M204" i="18"/>
  <c r="L204" i="18"/>
  <c r="K204" i="18"/>
  <c r="J204" i="18"/>
  <c r="I204" i="18"/>
  <c r="B204" i="18"/>
  <c r="M203" i="18"/>
  <c r="L203" i="18"/>
  <c r="K203" i="18"/>
  <c r="J203" i="18"/>
  <c r="I203" i="18"/>
  <c r="B203" i="18"/>
  <c r="M202" i="18"/>
  <c r="L202" i="18"/>
  <c r="K202" i="18"/>
  <c r="J202" i="18"/>
  <c r="I202" i="18"/>
  <c r="B202" i="18"/>
  <c r="M201" i="18"/>
  <c r="L201" i="18"/>
  <c r="K201" i="18"/>
  <c r="J201" i="18"/>
  <c r="I201" i="18"/>
  <c r="B201" i="18"/>
  <c r="M200" i="18"/>
  <c r="L200" i="18"/>
  <c r="K200" i="18"/>
  <c r="J200" i="18"/>
  <c r="I200" i="18"/>
  <c r="B200" i="18"/>
  <c r="M199" i="18"/>
  <c r="L199" i="18"/>
  <c r="K199" i="18"/>
  <c r="J199" i="18"/>
  <c r="I199" i="18"/>
  <c r="B199" i="18"/>
  <c r="M198" i="18"/>
  <c r="L198" i="18"/>
  <c r="K198" i="18"/>
  <c r="J198" i="18"/>
  <c r="I198" i="18"/>
  <c r="B198" i="18"/>
  <c r="M197" i="18"/>
  <c r="L197" i="18"/>
  <c r="K197" i="18"/>
  <c r="J197" i="18"/>
  <c r="I197" i="18"/>
  <c r="B197" i="18"/>
  <c r="M196" i="18"/>
  <c r="L196" i="18"/>
  <c r="K196" i="18"/>
  <c r="J196" i="18"/>
  <c r="I196" i="18"/>
  <c r="B196" i="18"/>
  <c r="M195" i="18"/>
  <c r="L195" i="18"/>
  <c r="K195" i="18"/>
  <c r="J195" i="18"/>
  <c r="I195" i="18"/>
  <c r="B195" i="18"/>
  <c r="M194" i="18"/>
  <c r="L194" i="18"/>
  <c r="K194" i="18"/>
  <c r="J194" i="18"/>
  <c r="I194" i="18"/>
  <c r="B194" i="18"/>
  <c r="M193" i="18"/>
  <c r="L193" i="18"/>
  <c r="K193" i="18"/>
  <c r="J193" i="18"/>
  <c r="I193" i="18"/>
  <c r="B193" i="18"/>
  <c r="M192" i="18"/>
  <c r="L192" i="18"/>
  <c r="K192" i="18"/>
  <c r="J192" i="18"/>
  <c r="I192" i="18"/>
  <c r="B192" i="18"/>
  <c r="M191" i="18"/>
  <c r="L191" i="18"/>
  <c r="K191" i="18"/>
  <c r="J191" i="18"/>
  <c r="I191" i="18"/>
  <c r="B191" i="18"/>
  <c r="M190" i="18"/>
  <c r="L190" i="18"/>
  <c r="K190" i="18"/>
  <c r="J190" i="18"/>
  <c r="I190" i="18"/>
  <c r="B190" i="18"/>
  <c r="M189" i="18"/>
  <c r="L189" i="18"/>
  <c r="K189" i="18"/>
  <c r="J189" i="18"/>
  <c r="I189" i="18"/>
  <c r="B189" i="18"/>
  <c r="M188" i="18"/>
  <c r="L188" i="18"/>
  <c r="K188" i="18"/>
  <c r="J188" i="18"/>
  <c r="I188" i="18"/>
  <c r="B188" i="18"/>
  <c r="M187" i="18"/>
  <c r="L187" i="18"/>
  <c r="K187" i="18"/>
  <c r="J187" i="18"/>
  <c r="I187" i="18"/>
  <c r="B187" i="18"/>
  <c r="M186" i="18"/>
  <c r="L186" i="18"/>
  <c r="K186" i="18"/>
  <c r="J186" i="18"/>
  <c r="I186" i="18"/>
  <c r="B186" i="18"/>
  <c r="M185" i="18"/>
  <c r="L185" i="18"/>
  <c r="K185" i="18"/>
  <c r="J185" i="18"/>
  <c r="I185" i="18"/>
  <c r="B185" i="18"/>
  <c r="M184" i="18"/>
  <c r="L184" i="18"/>
  <c r="K184" i="18"/>
  <c r="J184" i="18"/>
  <c r="I184" i="18"/>
  <c r="B184" i="18"/>
  <c r="M183" i="18"/>
  <c r="L183" i="18"/>
  <c r="K183" i="18"/>
  <c r="J183" i="18"/>
  <c r="I183" i="18"/>
  <c r="B183" i="18"/>
  <c r="M182" i="18"/>
  <c r="L182" i="18"/>
  <c r="K182" i="18"/>
  <c r="J182" i="18"/>
  <c r="I182" i="18"/>
  <c r="B182" i="18"/>
  <c r="M181" i="18"/>
  <c r="L181" i="18"/>
  <c r="K181" i="18"/>
  <c r="J181" i="18"/>
  <c r="I181" i="18"/>
  <c r="B181" i="18"/>
  <c r="M180" i="18"/>
  <c r="L180" i="18"/>
  <c r="K180" i="18"/>
  <c r="J180" i="18"/>
  <c r="I180" i="18"/>
  <c r="B180" i="18"/>
  <c r="M179" i="18"/>
  <c r="L179" i="18"/>
  <c r="K179" i="18"/>
  <c r="J179" i="18"/>
  <c r="I179" i="18"/>
  <c r="B179" i="18"/>
  <c r="M178" i="18"/>
  <c r="L178" i="18"/>
  <c r="K178" i="18"/>
  <c r="J178" i="18"/>
  <c r="I178" i="18"/>
  <c r="B178" i="18"/>
  <c r="M177" i="18"/>
  <c r="L177" i="18"/>
  <c r="K177" i="18"/>
  <c r="J177" i="18"/>
  <c r="I177" i="18"/>
  <c r="B177" i="18"/>
  <c r="M176" i="18"/>
  <c r="L176" i="18"/>
  <c r="K176" i="18"/>
  <c r="J176" i="18"/>
  <c r="I176" i="18"/>
  <c r="B176" i="18"/>
  <c r="M175" i="18"/>
  <c r="L175" i="18"/>
  <c r="K175" i="18"/>
  <c r="J175" i="18"/>
  <c r="I175" i="18"/>
  <c r="B175" i="18"/>
  <c r="M174" i="18"/>
  <c r="L174" i="18"/>
  <c r="K174" i="18"/>
  <c r="J174" i="18"/>
  <c r="I174" i="18"/>
  <c r="B174" i="18"/>
  <c r="M173" i="18"/>
  <c r="L173" i="18"/>
  <c r="K173" i="18"/>
  <c r="J173" i="18"/>
  <c r="I173" i="18"/>
  <c r="B173" i="18"/>
  <c r="M172" i="18"/>
  <c r="L172" i="18"/>
  <c r="K172" i="18"/>
  <c r="J172" i="18"/>
  <c r="I172" i="18"/>
  <c r="B172" i="18"/>
  <c r="M171" i="18"/>
  <c r="L171" i="18"/>
  <c r="K171" i="18"/>
  <c r="J171" i="18"/>
  <c r="I171" i="18"/>
  <c r="B171" i="18"/>
  <c r="M170" i="18"/>
  <c r="L170" i="18"/>
  <c r="K170" i="18"/>
  <c r="J170" i="18"/>
  <c r="I170" i="18"/>
  <c r="B170" i="18"/>
  <c r="M169" i="18"/>
  <c r="L169" i="18"/>
  <c r="K169" i="18"/>
  <c r="J169" i="18"/>
  <c r="I169" i="18"/>
  <c r="B169" i="18"/>
  <c r="M168" i="18"/>
  <c r="L168" i="18"/>
  <c r="K168" i="18"/>
  <c r="J168" i="18"/>
  <c r="I168" i="18"/>
  <c r="B168" i="18"/>
  <c r="M167" i="18"/>
  <c r="L167" i="18"/>
  <c r="K167" i="18"/>
  <c r="J167" i="18"/>
  <c r="I167" i="18"/>
  <c r="B167" i="18"/>
  <c r="M166" i="18"/>
  <c r="L166" i="18"/>
  <c r="K166" i="18"/>
  <c r="J166" i="18"/>
  <c r="I166" i="18"/>
  <c r="B166" i="18"/>
  <c r="M165" i="18"/>
  <c r="L165" i="18"/>
  <c r="K165" i="18"/>
  <c r="J165" i="18"/>
  <c r="I165" i="18"/>
  <c r="B165" i="18"/>
  <c r="M164" i="18"/>
  <c r="L164" i="18"/>
  <c r="K164" i="18"/>
  <c r="J164" i="18"/>
  <c r="I164" i="18"/>
  <c r="B164" i="18"/>
  <c r="M163" i="18"/>
  <c r="L163" i="18"/>
  <c r="K163" i="18"/>
  <c r="J163" i="18"/>
  <c r="I163" i="18"/>
  <c r="B163" i="18"/>
  <c r="M162" i="18"/>
  <c r="L162" i="18"/>
  <c r="K162" i="18"/>
  <c r="J162" i="18"/>
  <c r="I162" i="18"/>
  <c r="B162" i="18"/>
  <c r="M161" i="18"/>
  <c r="L161" i="18"/>
  <c r="K161" i="18"/>
  <c r="J161" i="18"/>
  <c r="I161" i="18"/>
  <c r="B161" i="18"/>
  <c r="M160" i="18"/>
  <c r="L160" i="18"/>
  <c r="K160" i="18"/>
  <c r="J160" i="18"/>
  <c r="I160" i="18"/>
  <c r="B160" i="18"/>
  <c r="M159" i="18"/>
  <c r="L159" i="18"/>
  <c r="K159" i="18"/>
  <c r="J159" i="18"/>
  <c r="I159" i="18"/>
  <c r="B159" i="18"/>
  <c r="M158" i="18"/>
  <c r="L158" i="18"/>
  <c r="K158" i="18"/>
  <c r="J158" i="18"/>
  <c r="I158" i="18"/>
  <c r="B158" i="18"/>
  <c r="M157" i="18"/>
  <c r="L157" i="18"/>
  <c r="K157" i="18"/>
  <c r="J157" i="18"/>
  <c r="I157" i="18"/>
  <c r="B157" i="18"/>
  <c r="M156" i="18"/>
  <c r="L156" i="18"/>
  <c r="K156" i="18"/>
  <c r="J156" i="18"/>
  <c r="I156" i="18"/>
  <c r="B156" i="18"/>
  <c r="M155" i="18"/>
  <c r="L155" i="18"/>
  <c r="K155" i="18"/>
  <c r="J155" i="18"/>
  <c r="I155" i="18"/>
  <c r="B155" i="18"/>
  <c r="M154" i="18"/>
  <c r="L154" i="18"/>
  <c r="K154" i="18"/>
  <c r="J154" i="18"/>
  <c r="I154" i="18"/>
  <c r="B154" i="18"/>
  <c r="M153" i="18"/>
  <c r="L153" i="18"/>
  <c r="K153" i="18"/>
  <c r="J153" i="18"/>
  <c r="I153" i="18"/>
  <c r="B153" i="18"/>
  <c r="M152" i="18"/>
  <c r="L152" i="18"/>
  <c r="K152" i="18"/>
  <c r="J152" i="18"/>
  <c r="I152" i="18"/>
  <c r="B152" i="18"/>
  <c r="M151" i="18"/>
  <c r="L151" i="18"/>
  <c r="K151" i="18"/>
  <c r="J151" i="18"/>
  <c r="I151" i="18"/>
  <c r="B151" i="18"/>
  <c r="M150" i="18"/>
  <c r="L150" i="18"/>
  <c r="K150" i="18"/>
  <c r="J150" i="18"/>
  <c r="I150" i="18"/>
  <c r="B150" i="18"/>
  <c r="M149" i="18"/>
  <c r="L149" i="18"/>
  <c r="K149" i="18"/>
  <c r="J149" i="18"/>
  <c r="I149" i="18"/>
  <c r="B149" i="18"/>
  <c r="M148" i="18"/>
  <c r="L148" i="18"/>
  <c r="K148" i="18"/>
  <c r="J148" i="18"/>
  <c r="I148" i="18"/>
  <c r="B148" i="18"/>
  <c r="M147" i="18"/>
  <c r="L147" i="18"/>
  <c r="K147" i="18"/>
  <c r="J147" i="18"/>
  <c r="I147" i="18"/>
  <c r="B147" i="18"/>
  <c r="M146" i="18"/>
  <c r="L146" i="18"/>
  <c r="K146" i="18"/>
  <c r="J146" i="18"/>
  <c r="I146" i="18"/>
  <c r="B146" i="18"/>
  <c r="M145" i="18"/>
  <c r="L145" i="18"/>
  <c r="K145" i="18"/>
  <c r="J145" i="18"/>
  <c r="I145" i="18"/>
  <c r="B145" i="18"/>
  <c r="M144" i="18"/>
  <c r="L144" i="18"/>
  <c r="K144" i="18"/>
  <c r="J144" i="18"/>
  <c r="I144" i="18"/>
  <c r="B144" i="18"/>
  <c r="M143" i="18"/>
  <c r="L143" i="18"/>
  <c r="K143" i="18"/>
  <c r="J143" i="18"/>
  <c r="I143" i="18"/>
  <c r="B143" i="18"/>
  <c r="M142" i="18"/>
  <c r="L142" i="18"/>
  <c r="K142" i="18"/>
  <c r="J142" i="18"/>
  <c r="I142" i="18"/>
  <c r="B142" i="18"/>
  <c r="M141" i="18"/>
  <c r="L141" i="18"/>
  <c r="K141" i="18"/>
  <c r="J141" i="18"/>
  <c r="I141" i="18"/>
  <c r="B141" i="18"/>
  <c r="M140" i="18"/>
  <c r="L140" i="18"/>
  <c r="K140" i="18"/>
  <c r="J140" i="18"/>
  <c r="I140" i="18"/>
  <c r="B140" i="18"/>
  <c r="M139" i="18"/>
  <c r="L139" i="18"/>
  <c r="K139" i="18"/>
  <c r="J139" i="18"/>
  <c r="I139" i="18"/>
  <c r="B139" i="18"/>
  <c r="M138" i="18"/>
  <c r="L138" i="18"/>
  <c r="K138" i="18"/>
  <c r="J138" i="18"/>
  <c r="I138" i="18"/>
  <c r="B138" i="18"/>
  <c r="M137" i="18"/>
  <c r="L137" i="18"/>
  <c r="K137" i="18"/>
  <c r="J137" i="18"/>
  <c r="I137" i="18"/>
  <c r="B137" i="18"/>
  <c r="M136" i="18"/>
  <c r="L136" i="18"/>
  <c r="K136" i="18"/>
  <c r="J136" i="18"/>
  <c r="I136" i="18"/>
  <c r="B136" i="18"/>
  <c r="M135" i="18"/>
  <c r="L135" i="18"/>
  <c r="K135" i="18"/>
  <c r="J135" i="18"/>
  <c r="I135" i="18"/>
  <c r="B135" i="18"/>
  <c r="M134" i="18"/>
  <c r="L134" i="18"/>
  <c r="K134" i="18"/>
  <c r="J134" i="18"/>
  <c r="I134" i="18"/>
  <c r="B134" i="18"/>
  <c r="M133" i="18"/>
  <c r="L133" i="18"/>
  <c r="K133" i="18"/>
  <c r="J133" i="18"/>
  <c r="I133" i="18"/>
  <c r="B133" i="18"/>
  <c r="M132" i="18"/>
  <c r="L132" i="18"/>
  <c r="K132" i="18"/>
  <c r="J132" i="18"/>
  <c r="I132" i="18"/>
  <c r="B132" i="18"/>
  <c r="M131" i="18"/>
  <c r="L131" i="18"/>
  <c r="K131" i="18"/>
  <c r="J131" i="18"/>
  <c r="I131" i="18"/>
  <c r="B131" i="18"/>
  <c r="M130" i="18"/>
  <c r="L130" i="18"/>
  <c r="K130" i="18"/>
  <c r="J130" i="18"/>
  <c r="I130" i="18"/>
  <c r="B130" i="18"/>
  <c r="M129" i="18"/>
  <c r="L129" i="18"/>
  <c r="K129" i="18"/>
  <c r="J129" i="18"/>
  <c r="I129" i="18"/>
  <c r="B129" i="18"/>
  <c r="M128" i="18"/>
  <c r="L128" i="18"/>
  <c r="K128" i="18"/>
  <c r="J128" i="18"/>
  <c r="I128" i="18"/>
  <c r="B128" i="18"/>
  <c r="M127" i="18"/>
  <c r="L127" i="18"/>
  <c r="K127" i="18"/>
  <c r="J127" i="18"/>
  <c r="I127" i="18"/>
  <c r="B127" i="18"/>
  <c r="M126" i="18"/>
  <c r="L126" i="18"/>
  <c r="K126" i="18"/>
  <c r="J126" i="18"/>
  <c r="I126" i="18"/>
  <c r="B126" i="18"/>
  <c r="M125" i="18"/>
  <c r="L125" i="18"/>
  <c r="K125" i="18"/>
  <c r="J125" i="18"/>
  <c r="I125" i="18"/>
  <c r="B125" i="18"/>
  <c r="M124" i="18"/>
  <c r="L124" i="18"/>
  <c r="K124" i="18"/>
  <c r="J124" i="18"/>
  <c r="I124" i="18"/>
  <c r="B124" i="18"/>
  <c r="M123" i="18"/>
  <c r="L123" i="18"/>
  <c r="K123" i="18"/>
  <c r="J123" i="18"/>
  <c r="I123" i="18"/>
  <c r="B123" i="18"/>
  <c r="M122" i="18"/>
  <c r="L122" i="18"/>
  <c r="K122" i="18"/>
  <c r="J122" i="18"/>
  <c r="I122" i="18"/>
  <c r="B122" i="18"/>
  <c r="M121" i="18"/>
  <c r="L121" i="18"/>
  <c r="K121" i="18"/>
  <c r="J121" i="18"/>
  <c r="I121" i="18"/>
  <c r="B121" i="18"/>
  <c r="M120" i="18"/>
  <c r="L120" i="18"/>
  <c r="K120" i="18"/>
  <c r="J120" i="18"/>
  <c r="I120" i="18"/>
  <c r="B120" i="18"/>
  <c r="M119" i="18"/>
  <c r="L119" i="18"/>
  <c r="K119" i="18"/>
  <c r="J119" i="18"/>
  <c r="I119" i="18"/>
  <c r="B119" i="18"/>
  <c r="M118" i="18"/>
  <c r="L118" i="18"/>
  <c r="K118" i="18"/>
  <c r="J118" i="18"/>
  <c r="I118" i="18"/>
  <c r="B118" i="18"/>
  <c r="M117" i="18"/>
  <c r="L117" i="18"/>
  <c r="K117" i="18"/>
  <c r="J117" i="18"/>
  <c r="I117" i="18"/>
  <c r="B117" i="18"/>
  <c r="M116" i="18"/>
  <c r="L116" i="18"/>
  <c r="K116" i="18"/>
  <c r="J116" i="18"/>
  <c r="I116" i="18"/>
  <c r="B116" i="18"/>
  <c r="M115" i="18"/>
  <c r="L115" i="18"/>
  <c r="K115" i="18"/>
  <c r="J115" i="18"/>
  <c r="I115" i="18"/>
  <c r="B115" i="18"/>
  <c r="M114" i="18"/>
  <c r="L114" i="18"/>
  <c r="K114" i="18"/>
  <c r="J114" i="18"/>
  <c r="I114" i="18"/>
  <c r="B114" i="18"/>
  <c r="M113" i="18"/>
  <c r="L113" i="18"/>
  <c r="K113" i="18"/>
  <c r="J113" i="18"/>
  <c r="I113" i="18"/>
  <c r="B113" i="18"/>
  <c r="M112" i="18"/>
  <c r="L112" i="18"/>
  <c r="K112" i="18"/>
  <c r="J112" i="18"/>
  <c r="I112" i="18"/>
  <c r="B112" i="18"/>
  <c r="M111" i="18"/>
  <c r="L111" i="18"/>
  <c r="K111" i="18"/>
  <c r="J111" i="18"/>
  <c r="I111" i="18"/>
  <c r="B111" i="18"/>
  <c r="M110" i="18"/>
  <c r="L110" i="18"/>
  <c r="K110" i="18"/>
  <c r="J110" i="18"/>
  <c r="I110" i="18"/>
  <c r="B110" i="18"/>
  <c r="M109" i="18"/>
  <c r="L109" i="18"/>
  <c r="K109" i="18"/>
  <c r="J109" i="18"/>
  <c r="I109" i="18"/>
  <c r="B109" i="18"/>
  <c r="M108" i="18"/>
  <c r="L108" i="18"/>
  <c r="K108" i="18"/>
  <c r="J108" i="18"/>
  <c r="I108" i="18"/>
  <c r="B108" i="18"/>
  <c r="M107" i="18"/>
  <c r="L107" i="18"/>
  <c r="K107" i="18"/>
  <c r="J107" i="18"/>
  <c r="I107" i="18"/>
  <c r="B107" i="18"/>
  <c r="M106" i="18"/>
  <c r="L106" i="18"/>
  <c r="K106" i="18"/>
  <c r="J106" i="18"/>
  <c r="I106" i="18"/>
  <c r="B106" i="18"/>
  <c r="M105" i="18"/>
  <c r="L105" i="18"/>
  <c r="K105" i="18"/>
  <c r="J105" i="18"/>
  <c r="I105" i="18"/>
  <c r="B105" i="18"/>
  <c r="M104" i="18"/>
  <c r="L104" i="18"/>
  <c r="K104" i="18"/>
  <c r="J104" i="18"/>
  <c r="I104" i="18"/>
  <c r="B104" i="18"/>
  <c r="M103" i="18"/>
  <c r="L103" i="18"/>
  <c r="K103" i="18"/>
  <c r="J103" i="18"/>
  <c r="I103" i="18"/>
  <c r="B103" i="18"/>
  <c r="M102" i="18"/>
  <c r="L102" i="18"/>
  <c r="K102" i="18"/>
  <c r="J102" i="18"/>
  <c r="I102" i="18"/>
  <c r="B102" i="18"/>
  <c r="M101" i="18"/>
  <c r="L101" i="18"/>
  <c r="K101" i="18"/>
  <c r="J101" i="18"/>
  <c r="I101" i="18"/>
  <c r="B101" i="18"/>
  <c r="M100" i="18"/>
  <c r="L100" i="18"/>
  <c r="K100" i="18"/>
  <c r="J100" i="18"/>
  <c r="I100" i="18"/>
  <c r="B100" i="18"/>
  <c r="M99" i="18"/>
  <c r="L99" i="18"/>
  <c r="K99" i="18"/>
  <c r="J99" i="18"/>
  <c r="I99" i="18"/>
  <c r="B99" i="18"/>
  <c r="M98" i="18"/>
  <c r="L98" i="18"/>
  <c r="K98" i="18"/>
  <c r="J98" i="18"/>
  <c r="I98" i="18"/>
  <c r="B98" i="18"/>
  <c r="M97" i="18"/>
  <c r="L97" i="18"/>
  <c r="K97" i="18"/>
  <c r="J97" i="18"/>
  <c r="I97" i="18"/>
  <c r="B97" i="18"/>
  <c r="M96" i="18"/>
  <c r="L96" i="18"/>
  <c r="K96" i="18"/>
  <c r="J96" i="18"/>
  <c r="I96" i="18"/>
  <c r="B96" i="18"/>
  <c r="M95" i="18"/>
  <c r="L95" i="18"/>
  <c r="K95" i="18"/>
  <c r="J95" i="18"/>
  <c r="I95" i="18"/>
  <c r="B95" i="18"/>
  <c r="M94" i="18"/>
  <c r="L94" i="18"/>
  <c r="K94" i="18"/>
  <c r="J94" i="18"/>
  <c r="I94" i="18"/>
  <c r="B94" i="18"/>
  <c r="M93" i="18"/>
  <c r="L93" i="18"/>
  <c r="K93" i="18"/>
  <c r="J93" i="18"/>
  <c r="I93" i="18"/>
  <c r="B93" i="18"/>
  <c r="M92" i="18"/>
  <c r="L92" i="18"/>
  <c r="K92" i="18"/>
  <c r="J92" i="18"/>
  <c r="I92" i="18"/>
  <c r="B92" i="18"/>
  <c r="M91" i="18"/>
  <c r="L91" i="18"/>
  <c r="K91" i="18"/>
  <c r="J91" i="18"/>
  <c r="I91" i="18"/>
  <c r="B91" i="18"/>
  <c r="M90" i="18"/>
  <c r="L90" i="18"/>
  <c r="K90" i="18"/>
  <c r="J90" i="18"/>
  <c r="I90" i="18"/>
  <c r="B90" i="18"/>
  <c r="M89" i="18"/>
  <c r="L89" i="18"/>
  <c r="K89" i="18"/>
  <c r="J89" i="18"/>
  <c r="I89" i="18"/>
  <c r="B89" i="18"/>
  <c r="M88" i="18"/>
  <c r="L88" i="18"/>
  <c r="K88" i="18"/>
  <c r="J88" i="18"/>
  <c r="I88" i="18"/>
  <c r="B88" i="18"/>
  <c r="M87" i="18"/>
  <c r="L87" i="18"/>
  <c r="K87" i="18"/>
  <c r="J87" i="18"/>
  <c r="I87" i="18"/>
  <c r="B87" i="18"/>
  <c r="M86" i="18"/>
  <c r="L86" i="18"/>
  <c r="K86" i="18"/>
  <c r="J86" i="18"/>
  <c r="I86" i="18"/>
  <c r="B86" i="18"/>
  <c r="M85" i="18"/>
  <c r="L85" i="18"/>
  <c r="K85" i="18"/>
  <c r="J85" i="18"/>
  <c r="I85" i="18"/>
  <c r="B85" i="18"/>
  <c r="M84" i="18"/>
  <c r="L84" i="18"/>
  <c r="K84" i="18"/>
  <c r="J84" i="18"/>
  <c r="I84" i="18"/>
  <c r="B84" i="18"/>
  <c r="M83" i="18"/>
  <c r="L83" i="18"/>
  <c r="K83" i="18"/>
  <c r="J83" i="18"/>
  <c r="I83" i="18"/>
  <c r="B83" i="18"/>
  <c r="M82" i="18"/>
  <c r="L82" i="18"/>
  <c r="K82" i="18"/>
  <c r="J82" i="18"/>
  <c r="I82" i="18"/>
  <c r="B82" i="18"/>
  <c r="M81" i="18"/>
  <c r="L81" i="18"/>
  <c r="K81" i="18"/>
  <c r="J81" i="18"/>
  <c r="I81" i="18"/>
  <c r="B81" i="18"/>
  <c r="M80" i="18"/>
  <c r="L80" i="18"/>
  <c r="K80" i="18"/>
  <c r="J80" i="18"/>
  <c r="I80" i="18"/>
  <c r="B80" i="18"/>
  <c r="M79" i="18"/>
  <c r="L79" i="18"/>
  <c r="K79" i="18"/>
  <c r="J79" i="18"/>
  <c r="I79" i="18"/>
  <c r="B79" i="18"/>
  <c r="M78" i="18"/>
  <c r="L78" i="18"/>
  <c r="K78" i="18"/>
  <c r="J78" i="18"/>
  <c r="I78" i="18"/>
  <c r="B78" i="18"/>
  <c r="M77" i="18"/>
  <c r="L77" i="18"/>
  <c r="K77" i="18"/>
  <c r="J77" i="18"/>
  <c r="I77" i="18"/>
  <c r="B77" i="18"/>
  <c r="M76" i="18"/>
  <c r="L76" i="18"/>
  <c r="K76" i="18"/>
  <c r="J76" i="18"/>
  <c r="I76" i="18"/>
  <c r="B76" i="18"/>
  <c r="M75" i="18"/>
  <c r="L75" i="18"/>
  <c r="K75" i="18"/>
  <c r="J75" i="18"/>
  <c r="I75" i="18"/>
  <c r="B75" i="18"/>
  <c r="M74" i="18"/>
  <c r="L74" i="18"/>
  <c r="K74" i="18"/>
  <c r="J74" i="18"/>
  <c r="I74" i="18"/>
  <c r="B74" i="18"/>
  <c r="M73" i="18"/>
  <c r="L73" i="18"/>
  <c r="K73" i="18"/>
  <c r="J73" i="18"/>
  <c r="I73" i="18"/>
  <c r="B73" i="18"/>
  <c r="M72" i="18"/>
  <c r="L72" i="18"/>
  <c r="K72" i="18"/>
  <c r="J72" i="18"/>
  <c r="I72" i="18"/>
  <c r="B72" i="18"/>
  <c r="M71" i="18"/>
  <c r="L71" i="18"/>
  <c r="K71" i="18"/>
  <c r="J71" i="18"/>
  <c r="I71" i="18"/>
  <c r="B71" i="18"/>
  <c r="M70" i="18"/>
  <c r="L70" i="18"/>
  <c r="K70" i="18"/>
  <c r="J70" i="18"/>
  <c r="I70" i="18"/>
  <c r="B70" i="18"/>
  <c r="M69" i="18"/>
  <c r="L69" i="18"/>
  <c r="K69" i="18"/>
  <c r="J69" i="18"/>
  <c r="I69" i="18"/>
  <c r="B69" i="18"/>
  <c r="M68" i="18"/>
  <c r="L68" i="18"/>
  <c r="K68" i="18"/>
  <c r="J68" i="18"/>
  <c r="I68" i="18"/>
  <c r="B68" i="18"/>
  <c r="M67" i="18"/>
  <c r="L67" i="18"/>
  <c r="K67" i="18"/>
  <c r="J67" i="18"/>
  <c r="I67" i="18"/>
  <c r="B67" i="18"/>
  <c r="M66" i="18"/>
  <c r="L66" i="18"/>
  <c r="K66" i="18"/>
  <c r="J66" i="18"/>
  <c r="I66" i="18"/>
  <c r="B66" i="18"/>
  <c r="M65" i="18"/>
  <c r="L65" i="18"/>
  <c r="K65" i="18"/>
  <c r="J65" i="18"/>
  <c r="I65" i="18"/>
  <c r="B65" i="18"/>
  <c r="M64" i="18"/>
  <c r="L64" i="18"/>
  <c r="K64" i="18"/>
  <c r="J64" i="18"/>
  <c r="I64" i="18"/>
  <c r="B64" i="18"/>
  <c r="M63" i="18"/>
  <c r="L63" i="18"/>
  <c r="K63" i="18"/>
  <c r="J63" i="18"/>
  <c r="I63" i="18"/>
  <c r="B63" i="18"/>
  <c r="M62" i="18"/>
  <c r="L62" i="18"/>
  <c r="K62" i="18"/>
  <c r="J62" i="18"/>
  <c r="I62" i="18"/>
  <c r="B62" i="18"/>
  <c r="M61" i="18"/>
  <c r="L61" i="18"/>
  <c r="K61" i="18"/>
  <c r="J61" i="18"/>
  <c r="I61" i="18"/>
  <c r="B61" i="18"/>
  <c r="M60" i="18"/>
  <c r="L60" i="18"/>
  <c r="K60" i="18"/>
  <c r="J60" i="18"/>
  <c r="I60" i="18"/>
  <c r="B60" i="18"/>
  <c r="M59" i="18"/>
  <c r="L59" i="18"/>
  <c r="K59" i="18"/>
  <c r="J59" i="18"/>
  <c r="I59" i="18"/>
  <c r="B59" i="18"/>
  <c r="M58" i="18"/>
  <c r="L58" i="18"/>
  <c r="K58" i="18"/>
  <c r="J58" i="18"/>
  <c r="I58" i="18"/>
  <c r="B58" i="18"/>
  <c r="M57" i="18"/>
  <c r="L57" i="18"/>
  <c r="K57" i="18"/>
  <c r="J57" i="18"/>
  <c r="I57" i="18"/>
  <c r="B57" i="18"/>
  <c r="M56" i="18"/>
  <c r="L56" i="18"/>
  <c r="K56" i="18"/>
  <c r="J56" i="18"/>
  <c r="I56" i="18"/>
  <c r="B56" i="18"/>
  <c r="M55" i="18"/>
  <c r="L55" i="18"/>
  <c r="K55" i="18"/>
  <c r="J55" i="18"/>
  <c r="I55" i="18"/>
  <c r="B55" i="18"/>
  <c r="M54" i="18"/>
  <c r="L54" i="18"/>
  <c r="K54" i="18"/>
  <c r="J54" i="18"/>
  <c r="I54" i="18"/>
  <c r="B54" i="18"/>
  <c r="M53" i="18"/>
  <c r="L53" i="18"/>
  <c r="K53" i="18"/>
  <c r="J53" i="18"/>
  <c r="I53" i="18"/>
  <c r="B53" i="18"/>
  <c r="M52" i="18"/>
  <c r="L52" i="18"/>
  <c r="K52" i="18"/>
  <c r="J52" i="18"/>
  <c r="I52" i="18"/>
  <c r="B52" i="18"/>
  <c r="M51" i="18"/>
  <c r="L51" i="18"/>
  <c r="K51" i="18"/>
  <c r="J51" i="18"/>
  <c r="I51" i="18"/>
  <c r="B51" i="18"/>
  <c r="M50" i="18"/>
  <c r="L50" i="18"/>
  <c r="K50" i="18"/>
  <c r="J50" i="18"/>
  <c r="I50" i="18"/>
  <c r="B50" i="18"/>
  <c r="M49" i="18"/>
  <c r="L49" i="18"/>
  <c r="K49" i="18"/>
  <c r="J49" i="18"/>
  <c r="I49" i="18"/>
  <c r="B49" i="18"/>
  <c r="M48" i="18"/>
  <c r="L48" i="18"/>
  <c r="K48" i="18"/>
  <c r="J48" i="18"/>
  <c r="I48" i="18"/>
  <c r="B48" i="18"/>
  <c r="M47" i="18"/>
  <c r="L47" i="18"/>
  <c r="K47" i="18"/>
  <c r="J47" i="18"/>
  <c r="I47" i="18"/>
  <c r="B47" i="18"/>
  <c r="M46" i="18"/>
  <c r="L46" i="18"/>
  <c r="K46" i="18"/>
  <c r="J46" i="18"/>
  <c r="I46" i="18"/>
  <c r="B46" i="18"/>
  <c r="M45" i="18"/>
  <c r="L45" i="18"/>
  <c r="K45" i="18"/>
  <c r="J45" i="18"/>
  <c r="I45" i="18"/>
  <c r="B45" i="18"/>
  <c r="M44" i="18"/>
  <c r="L44" i="18"/>
  <c r="K44" i="18"/>
  <c r="J44" i="18"/>
  <c r="I44" i="18"/>
  <c r="B44" i="18"/>
  <c r="M43" i="18"/>
  <c r="L43" i="18"/>
  <c r="K43" i="18"/>
  <c r="J43" i="18"/>
  <c r="I43" i="18"/>
  <c r="B43" i="18"/>
  <c r="M42" i="18"/>
  <c r="L42" i="18"/>
  <c r="K42" i="18"/>
  <c r="J42" i="18"/>
  <c r="I42" i="18"/>
  <c r="B42" i="18"/>
  <c r="M41" i="18"/>
  <c r="L41" i="18"/>
  <c r="K41" i="18"/>
  <c r="J41" i="18"/>
  <c r="I41" i="18"/>
  <c r="B41" i="18"/>
  <c r="M40" i="18"/>
  <c r="L40" i="18"/>
  <c r="K40" i="18"/>
  <c r="J40" i="18"/>
  <c r="I40" i="18"/>
  <c r="B40" i="18"/>
  <c r="M39" i="18"/>
  <c r="L39" i="18"/>
  <c r="K39" i="18"/>
  <c r="J39" i="18"/>
  <c r="I39" i="18"/>
  <c r="B39" i="18"/>
  <c r="M38" i="18"/>
  <c r="L38" i="18"/>
  <c r="K38" i="18"/>
  <c r="J38" i="18"/>
  <c r="I38" i="18"/>
  <c r="B38" i="18"/>
  <c r="M37" i="18"/>
  <c r="L37" i="18"/>
  <c r="K37" i="18"/>
  <c r="J37" i="18"/>
  <c r="I37" i="18"/>
  <c r="B37" i="18"/>
  <c r="M36" i="18"/>
  <c r="L36" i="18"/>
  <c r="K36" i="18"/>
  <c r="J36" i="18"/>
  <c r="I36" i="18"/>
  <c r="B36" i="18"/>
  <c r="M35" i="18"/>
  <c r="L35" i="18"/>
  <c r="K35" i="18"/>
  <c r="J35" i="18"/>
  <c r="I35" i="18"/>
  <c r="B35" i="18"/>
  <c r="M34" i="18"/>
  <c r="L34" i="18"/>
  <c r="K34" i="18"/>
  <c r="J34" i="18"/>
  <c r="I34" i="18"/>
  <c r="B34" i="18"/>
  <c r="M33" i="18"/>
  <c r="L33" i="18"/>
  <c r="K33" i="18"/>
  <c r="J33" i="18"/>
  <c r="I33" i="18"/>
  <c r="B33" i="18"/>
  <c r="M32" i="18"/>
  <c r="L32" i="18"/>
  <c r="K32" i="18"/>
  <c r="J32" i="18"/>
  <c r="I32" i="18"/>
  <c r="B32" i="18"/>
  <c r="M31" i="18"/>
  <c r="L31" i="18"/>
  <c r="K31" i="18"/>
  <c r="J31" i="18"/>
  <c r="I31" i="18"/>
  <c r="B31" i="18"/>
  <c r="M30" i="18"/>
  <c r="L30" i="18"/>
  <c r="K30" i="18"/>
  <c r="J30" i="18"/>
  <c r="I30" i="18"/>
  <c r="B30" i="18"/>
  <c r="M29" i="18"/>
  <c r="L29" i="18"/>
  <c r="K29" i="18"/>
  <c r="J29" i="18"/>
  <c r="I29" i="18"/>
  <c r="B29" i="18"/>
  <c r="M28" i="18"/>
  <c r="L28" i="18"/>
  <c r="K28" i="18"/>
  <c r="J28" i="18"/>
  <c r="I28" i="18"/>
  <c r="B28" i="18"/>
  <c r="M27" i="18"/>
  <c r="L27" i="18"/>
  <c r="K27" i="18"/>
  <c r="J27" i="18"/>
  <c r="I27" i="18"/>
  <c r="B27" i="18"/>
  <c r="M26" i="18"/>
  <c r="L26" i="18"/>
  <c r="K26" i="18"/>
  <c r="J26" i="18"/>
  <c r="I26" i="18"/>
  <c r="B26" i="18"/>
  <c r="M25" i="18"/>
  <c r="L25" i="18"/>
  <c r="K25" i="18"/>
  <c r="J25" i="18"/>
  <c r="I25" i="18"/>
  <c r="B25" i="18"/>
  <c r="M24" i="18"/>
  <c r="L24" i="18"/>
  <c r="K24" i="18"/>
  <c r="J24" i="18"/>
  <c r="I24" i="18"/>
  <c r="B24" i="18"/>
  <c r="M23" i="18"/>
  <c r="L23" i="18"/>
  <c r="K23" i="18"/>
  <c r="J23" i="18"/>
  <c r="I23" i="18"/>
  <c r="B23" i="18"/>
  <c r="M22" i="18"/>
  <c r="L22" i="18"/>
  <c r="K22" i="18"/>
  <c r="J22" i="18"/>
  <c r="I22" i="18"/>
  <c r="B22" i="18"/>
  <c r="M21" i="18"/>
  <c r="L21" i="18"/>
  <c r="K21" i="18"/>
  <c r="J21" i="18"/>
  <c r="I21" i="18"/>
  <c r="B21" i="18"/>
  <c r="M20" i="18"/>
  <c r="L20" i="18"/>
  <c r="K20" i="18"/>
  <c r="J20" i="18"/>
  <c r="I20" i="18"/>
  <c r="B20" i="18"/>
  <c r="M19" i="18"/>
  <c r="L19" i="18"/>
  <c r="K19" i="18"/>
  <c r="J19" i="18"/>
  <c r="I19" i="18"/>
  <c r="B19" i="18"/>
  <c r="M18" i="18"/>
  <c r="L18" i="18"/>
  <c r="K18" i="18"/>
  <c r="J18" i="18"/>
  <c r="I18" i="18"/>
  <c r="B18" i="18"/>
  <c r="M17" i="18"/>
  <c r="L17" i="18"/>
  <c r="K17" i="18"/>
  <c r="J17" i="18"/>
  <c r="I17" i="18"/>
  <c r="B17" i="18"/>
  <c r="M16" i="18"/>
  <c r="L16" i="18"/>
  <c r="K16" i="18"/>
  <c r="J16" i="18"/>
  <c r="I16" i="18"/>
  <c r="B16" i="18"/>
  <c r="M15" i="18"/>
  <c r="L15" i="18"/>
  <c r="K15" i="18"/>
  <c r="J15" i="18"/>
  <c r="I15" i="18"/>
  <c r="B15" i="18"/>
  <c r="M14" i="18"/>
  <c r="L14" i="18"/>
  <c r="K14" i="18"/>
  <c r="J14" i="18"/>
  <c r="I14" i="18"/>
  <c r="B14" i="18"/>
  <c r="M13" i="18"/>
  <c r="L13" i="18"/>
  <c r="K13" i="18"/>
  <c r="J13" i="18"/>
  <c r="I13" i="18"/>
  <c r="B13" i="18"/>
  <c r="M12" i="18"/>
  <c r="L12" i="18"/>
  <c r="K12" i="18"/>
  <c r="J12" i="18"/>
  <c r="I12" i="18"/>
  <c r="B12" i="18"/>
  <c r="M11" i="18"/>
  <c r="L11" i="18"/>
  <c r="K11" i="18"/>
  <c r="J11" i="18"/>
  <c r="I11" i="18"/>
  <c r="B11" i="18"/>
  <c r="M10" i="18"/>
  <c r="L10" i="18"/>
  <c r="B10" i="18"/>
  <c r="M15" i="1"/>
  <c r="E15" i="1"/>
  <c r="M14" i="1"/>
  <c r="E14" i="1"/>
  <c r="M13" i="1"/>
  <c r="E13" i="1"/>
  <c r="M12" i="1"/>
  <c r="E12" i="1"/>
  <c r="M11" i="1"/>
  <c r="E11" i="1"/>
  <c r="M10" i="1"/>
  <c r="E10" i="1"/>
  <c r="R6" i="1"/>
  <c r="R5" i="1"/>
  <c r="R4" i="1"/>
  <c r="J3" i="1"/>
  <c r="B3" i="1"/>
  <c r="L13" i="1" s="1"/>
  <c r="I21" i="14"/>
  <c r="H21" i="14"/>
  <c r="G21" i="14"/>
  <c r="B21" i="14"/>
  <c r="I20" i="14"/>
  <c r="H20" i="14"/>
  <c r="G20" i="14"/>
  <c r="B20" i="14"/>
  <c r="I19" i="14"/>
  <c r="H19" i="14"/>
  <c r="G19" i="14"/>
  <c r="B19" i="14"/>
  <c r="I18" i="14"/>
  <c r="H18" i="14"/>
  <c r="G18" i="14"/>
  <c r="B18" i="14"/>
  <c r="I17" i="14"/>
  <c r="H17" i="14"/>
  <c r="G17" i="14"/>
  <c r="B17" i="14"/>
  <c r="I16" i="14"/>
  <c r="H16" i="14"/>
  <c r="G16" i="14"/>
  <c r="B16" i="14"/>
  <c r="I15" i="14"/>
  <c r="H15" i="14"/>
  <c r="G15" i="14"/>
  <c r="B15" i="14"/>
  <c r="I14" i="14"/>
  <c r="H14" i="14"/>
  <c r="G14" i="14"/>
  <c r="B14" i="14"/>
  <c r="I13" i="14"/>
  <c r="H13" i="14"/>
  <c r="G13" i="14"/>
  <c r="B13" i="14"/>
  <c r="I12" i="14"/>
  <c r="H12" i="14"/>
  <c r="G12" i="14"/>
  <c r="B12" i="14"/>
  <c r="I11" i="14"/>
  <c r="H11" i="14"/>
  <c r="G11" i="14"/>
  <c r="B11" i="14"/>
  <c r="I10" i="14"/>
  <c r="H10" i="14"/>
  <c r="B10" i="14"/>
  <c r="H21" i="13"/>
  <c r="G21" i="13"/>
  <c r="F21" i="13"/>
  <c r="B21" i="13"/>
  <c r="H20" i="13"/>
  <c r="G20" i="13"/>
  <c r="F20" i="13"/>
  <c r="B20" i="13"/>
  <c r="H19" i="13"/>
  <c r="G19" i="13"/>
  <c r="F19" i="13"/>
  <c r="B19" i="13"/>
  <c r="H18" i="13"/>
  <c r="G18" i="13"/>
  <c r="F18" i="13"/>
  <c r="B18" i="13"/>
  <c r="H17" i="13"/>
  <c r="G17" i="13"/>
  <c r="F17" i="13"/>
  <c r="B17" i="13"/>
  <c r="H16" i="13"/>
  <c r="G16" i="13"/>
  <c r="F16" i="13"/>
  <c r="B16" i="13"/>
  <c r="H15" i="13"/>
  <c r="G15" i="13"/>
  <c r="F15" i="13"/>
  <c r="B15" i="13"/>
  <c r="H14" i="13"/>
  <c r="G14" i="13"/>
  <c r="F14" i="13"/>
  <c r="B14" i="13"/>
  <c r="H13" i="13"/>
  <c r="G13" i="13"/>
  <c r="F13" i="13"/>
  <c r="B13" i="13"/>
  <c r="H12" i="13"/>
  <c r="G12" i="13"/>
  <c r="F12" i="13"/>
  <c r="B12" i="13"/>
  <c r="H11" i="13"/>
  <c r="G11" i="13"/>
  <c r="F11" i="13"/>
  <c r="B11" i="13"/>
  <c r="H10" i="13"/>
  <c r="G10" i="13"/>
  <c r="B10" i="13"/>
  <c r="G21" i="12"/>
  <c r="F21" i="12"/>
  <c r="E21" i="12"/>
  <c r="B21" i="12"/>
  <c r="G20" i="12"/>
  <c r="F20" i="12"/>
  <c r="E20" i="12"/>
  <c r="B20" i="12"/>
  <c r="G19" i="12"/>
  <c r="F19" i="12"/>
  <c r="E19" i="12"/>
  <c r="B19" i="12"/>
  <c r="G18" i="12"/>
  <c r="F18" i="12"/>
  <c r="E18" i="12"/>
  <c r="B18" i="12"/>
  <c r="G17" i="12"/>
  <c r="F17" i="12"/>
  <c r="E17" i="12"/>
  <c r="B17" i="12"/>
  <c r="G16" i="12"/>
  <c r="F16" i="12"/>
  <c r="E16" i="12"/>
  <c r="B16" i="12"/>
  <c r="G15" i="12"/>
  <c r="F15" i="12"/>
  <c r="E15" i="12"/>
  <c r="B15" i="12"/>
  <c r="G14" i="12"/>
  <c r="F14" i="12"/>
  <c r="E14" i="12"/>
  <c r="B14" i="12"/>
  <c r="G13" i="12"/>
  <c r="F13" i="12"/>
  <c r="E13" i="12"/>
  <c r="B13" i="12"/>
  <c r="G12" i="12"/>
  <c r="F12" i="12"/>
  <c r="E12" i="12"/>
  <c r="B12" i="12"/>
  <c r="G11" i="12"/>
  <c r="F11" i="12"/>
  <c r="E11" i="12"/>
  <c r="B11" i="12"/>
  <c r="G10" i="12"/>
  <c r="F10" i="12"/>
  <c r="B10" i="12"/>
  <c r="I21" i="11"/>
  <c r="H21" i="11"/>
  <c r="G21" i="11"/>
  <c r="B21" i="11"/>
  <c r="I20" i="11"/>
  <c r="H20" i="11"/>
  <c r="G20" i="11"/>
  <c r="B20" i="11"/>
  <c r="I19" i="11"/>
  <c r="H19" i="11"/>
  <c r="G19" i="11"/>
  <c r="B19" i="11"/>
  <c r="I18" i="11"/>
  <c r="H18" i="11"/>
  <c r="G18" i="11"/>
  <c r="B18" i="11"/>
  <c r="I17" i="11"/>
  <c r="H17" i="11"/>
  <c r="G17" i="11"/>
  <c r="B17" i="11"/>
  <c r="I16" i="11"/>
  <c r="H16" i="11"/>
  <c r="G16" i="11"/>
  <c r="B16" i="11"/>
  <c r="I15" i="11"/>
  <c r="H15" i="11"/>
  <c r="G15" i="11"/>
  <c r="B15" i="11"/>
  <c r="I14" i="11"/>
  <c r="H14" i="11"/>
  <c r="G14" i="11"/>
  <c r="B14" i="11"/>
  <c r="I13" i="11"/>
  <c r="H13" i="11"/>
  <c r="G13" i="11"/>
  <c r="B13" i="11"/>
  <c r="I12" i="11"/>
  <c r="H12" i="11"/>
  <c r="G12" i="11"/>
  <c r="B12" i="11"/>
  <c r="I11" i="11"/>
  <c r="H11" i="11"/>
  <c r="G11" i="11"/>
  <c r="B11" i="11"/>
  <c r="I10" i="11"/>
  <c r="H10" i="11"/>
  <c r="B10" i="11"/>
  <c r="B21" i="19"/>
  <c r="J21" i="19" s="1"/>
  <c r="B20" i="19"/>
  <c r="J20" i="19" s="1"/>
  <c r="B19" i="19"/>
  <c r="J19" i="19" s="1"/>
  <c r="B18" i="19"/>
  <c r="J18" i="19" s="1"/>
  <c r="B17" i="19"/>
  <c r="J17" i="19" s="1"/>
  <c r="B16" i="19"/>
  <c r="J16" i="19" s="1"/>
  <c r="B15" i="19"/>
  <c r="J15" i="19" s="1"/>
  <c r="B14" i="19"/>
  <c r="J14" i="19" s="1"/>
  <c r="B13" i="19"/>
  <c r="J13" i="19" s="1"/>
  <c r="B12" i="19"/>
  <c r="B11" i="19"/>
  <c r="B10" i="19"/>
  <c r="AG6" i="19"/>
  <c r="R6" i="19"/>
  <c r="AJ5" i="19"/>
  <c r="AL5" i="19" s="1"/>
  <c r="Z5" i="19"/>
  <c r="V5" i="19"/>
  <c r="O5" i="19"/>
  <c r="AJ4" i="19"/>
  <c r="AL4" i="19" s="1"/>
  <c r="AJ3" i="19"/>
  <c r="AL3" i="19" s="1"/>
  <c r="H21" i="10"/>
  <c r="G21" i="10"/>
  <c r="F21" i="10"/>
  <c r="B21" i="10"/>
  <c r="H20" i="10"/>
  <c r="G20" i="10"/>
  <c r="F20" i="10"/>
  <c r="B20" i="10"/>
  <c r="H19" i="10"/>
  <c r="G19" i="10"/>
  <c r="F19" i="10"/>
  <c r="B19" i="10"/>
  <c r="H18" i="10"/>
  <c r="G18" i="10"/>
  <c r="F18" i="10"/>
  <c r="B18" i="10"/>
  <c r="H17" i="10"/>
  <c r="G17" i="10"/>
  <c r="F17" i="10"/>
  <c r="B17" i="10"/>
  <c r="H16" i="10"/>
  <c r="G16" i="10"/>
  <c r="F16" i="10"/>
  <c r="B16" i="10"/>
  <c r="H15" i="10"/>
  <c r="G15" i="10"/>
  <c r="F15" i="10"/>
  <c r="B15" i="10"/>
  <c r="H14" i="10"/>
  <c r="G14" i="10"/>
  <c r="F14" i="10"/>
  <c r="B14" i="10"/>
  <c r="H13" i="10"/>
  <c r="G13" i="10"/>
  <c r="F13" i="10"/>
  <c r="B13" i="10"/>
  <c r="H12" i="10"/>
  <c r="G12" i="10"/>
  <c r="F12" i="10"/>
  <c r="B12" i="10"/>
  <c r="H11" i="10"/>
  <c r="G11" i="10"/>
  <c r="F11" i="10"/>
  <c r="B11" i="10"/>
  <c r="G10" i="10"/>
  <c r="B10" i="10"/>
  <c r="D93" i="22"/>
  <c r="C93" i="22"/>
  <c r="D92" i="22"/>
  <c r="C92" i="22"/>
  <c r="D91" i="22"/>
  <c r="C91" i="22"/>
  <c r="D90" i="22"/>
  <c r="C90" i="22"/>
  <c r="D89" i="22"/>
  <c r="C89" i="22"/>
  <c r="D88" i="22"/>
  <c r="C88" i="22"/>
  <c r="D87" i="22"/>
  <c r="C87" i="22"/>
  <c r="D86" i="22"/>
  <c r="C86" i="22"/>
  <c r="D85" i="22"/>
  <c r="C85" i="22"/>
  <c r="D84" i="22"/>
  <c r="C84" i="22"/>
  <c r="D83" i="22"/>
  <c r="C83" i="22"/>
  <c r="D82" i="22"/>
  <c r="C82" i="22"/>
  <c r="D81" i="22"/>
  <c r="C81" i="22"/>
  <c r="D80" i="22"/>
  <c r="C80" i="22"/>
  <c r="D79" i="22"/>
  <c r="C79" i="22"/>
  <c r="D78" i="22"/>
  <c r="C78" i="22"/>
  <c r="D77" i="22"/>
  <c r="C77" i="22"/>
  <c r="D76" i="22"/>
  <c r="C76" i="22"/>
  <c r="D75" i="22"/>
  <c r="C75" i="22"/>
  <c r="D74" i="22"/>
  <c r="C74" i="22"/>
  <c r="D73" i="22"/>
  <c r="C73" i="22"/>
  <c r="D72" i="22"/>
  <c r="C72" i="22"/>
  <c r="D71" i="22"/>
  <c r="C71" i="22"/>
  <c r="D70" i="22"/>
  <c r="C70" i="22"/>
  <c r="D69" i="22"/>
  <c r="C69" i="22"/>
  <c r="D68" i="22"/>
  <c r="C68" i="22"/>
  <c r="D67" i="22"/>
  <c r="C67" i="22"/>
  <c r="D66" i="22"/>
  <c r="C66" i="22"/>
  <c r="D65" i="22"/>
  <c r="C65" i="22"/>
  <c r="D64" i="22"/>
  <c r="C64" i="22"/>
  <c r="D63" i="22"/>
  <c r="C63" i="22"/>
  <c r="D62" i="22"/>
  <c r="C62" i="22"/>
  <c r="D61" i="22"/>
  <c r="C61" i="22"/>
  <c r="D60" i="22"/>
  <c r="C60" i="22"/>
  <c r="D59" i="22"/>
  <c r="C59" i="22"/>
  <c r="D58" i="22"/>
  <c r="C58" i="22"/>
  <c r="D57" i="22"/>
  <c r="C57" i="22"/>
  <c r="D56" i="22"/>
  <c r="C56" i="22"/>
  <c r="D55" i="22"/>
  <c r="C55" i="22"/>
  <c r="D54" i="22"/>
  <c r="C54" i="22"/>
  <c r="AY50" i="22"/>
  <c r="AW50" i="22"/>
  <c r="AV50" i="22"/>
  <c r="AT50" i="22"/>
  <c r="AS50" i="22"/>
  <c r="AR50" i="22"/>
  <c r="AQ50" i="22"/>
  <c r="AP50" i="22"/>
  <c r="AO50" i="22"/>
  <c r="AN50" i="22"/>
  <c r="AM50" i="22"/>
  <c r="AL50" i="22"/>
  <c r="AK50" i="22"/>
  <c r="AJ50" i="22"/>
  <c r="AI50" i="22"/>
  <c r="AG50" i="22"/>
  <c r="AF50" i="22"/>
  <c r="AE50" i="22"/>
  <c r="AD50" i="22"/>
  <c r="AC50" i="22"/>
  <c r="AB50" i="22"/>
  <c r="Y50" i="22"/>
  <c r="X50" i="22"/>
  <c r="W50" i="22"/>
  <c r="V50" i="22"/>
  <c r="U50" i="22"/>
  <c r="T50" i="22"/>
  <c r="R50" i="22"/>
  <c r="Q50" i="22"/>
  <c r="P50" i="22"/>
  <c r="O50" i="22"/>
  <c r="N50" i="22"/>
  <c r="M50" i="22"/>
  <c r="AX50" i="22"/>
  <c r="AU50" i="22"/>
  <c r="AH50" i="22"/>
  <c r="AA50" i="22"/>
  <c r="Z50" i="22"/>
  <c r="S50" i="22"/>
  <c r="E11" i="22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G21" i="7"/>
  <c r="F21" i="7"/>
  <c r="E21" i="7"/>
  <c r="B21" i="7"/>
  <c r="G20" i="7"/>
  <c r="F20" i="7"/>
  <c r="E20" i="7"/>
  <c r="B20" i="7"/>
  <c r="G19" i="7"/>
  <c r="F19" i="7"/>
  <c r="E19" i="7"/>
  <c r="B19" i="7"/>
  <c r="G18" i="7"/>
  <c r="F18" i="7"/>
  <c r="E18" i="7"/>
  <c r="B18" i="7"/>
  <c r="G17" i="7"/>
  <c r="F17" i="7"/>
  <c r="E17" i="7"/>
  <c r="B17" i="7"/>
  <c r="G16" i="7"/>
  <c r="F16" i="7"/>
  <c r="E16" i="7"/>
  <c r="B16" i="7"/>
  <c r="G15" i="7"/>
  <c r="F15" i="7"/>
  <c r="E15" i="7"/>
  <c r="B15" i="7"/>
  <c r="G14" i="7"/>
  <c r="F14" i="7"/>
  <c r="E14" i="7"/>
  <c r="B14" i="7"/>
  <c r="G13" i="7"/>
  <c r="F13" i="7"/>
  <c r="E13" i="7"/>
  <c r="B13" i="7"/>
  <c r="G12" i="7"/>
  <c r="F12" i="7"/>
  <c r="E12" i="7"/>
  <c r="B12" i="7"/>
  <c r="G11" i="7"/>
  <c r="F11" i="7"/>
  <c r="E11" i="7"/>
  <c r="B11" i="7"/>
  <c r="G10" i="7"/>
  <c r="F10" i="7"/>
  <c r="B10" i="7"/>
  <c r="AT15" i="19" l="1"/>
  <c r="AR15" i="19"/>
  <c r="J12" i="19"/>
  <c r="AT16" i="19"/>
  <c r="AR16" i="19"/>
  <c r="AT13" i="19"/>
  <c r="AR13" i="19"/>
  <c r="AT17" i="19"/>
  <c r="AR17" i="19"/>
  <c r="AT21" i="19"/>
  <c r="AR21" i="19"/>
  <c r="J11" i="19"/>
  <c r="AT19" i="19"/>
  <c r="AR19" i="19"/>
  <c r="AT20" i="19"/>
  <c r="AR20" i="19"/>
  <c r="J10" i="19"/>
  <c r="BA10" i="19"/>
  <c r="BA11" i="19" s="1"/>
  <c r="BA12" i="19" s="1"/>
  <c r="BA13" i="19" s="1"/>
  <c r="BA14" i="19" s="1"/>
  <c r="BA15" i="19" s="1"/>
  <c r="BA16" i="19" s="1"/>
  <c r="BA17" i="19" s="1"/>
  <c r="BA18" i="19" s="1"/>
  <c r="BA19" i="19" s="1"/>
  <c r="BA20" i="19" s="1"/>
  <c r="BA21" i="19" s="1"/>
  <c r="AT14" i="19"/>
  <c r="AR14" i="19"/>
  <c r="AT18" i="19"/>
  <c r="AR18" i="19"/>
  <c r="AL6" i="19"/>
  <c r="AD5" i="19" s="1"/>
  <c r="AD6" i="19" s="1"/>
  <c r="R3" i="19" s="1"/>
  <c r="AJ6" i="19"/>
  <c r="O3" i="19"/>
  <c r="O4" i="19" s="1"/>
  <c r="E50" i="22"/>
  <c r="AV11" i="22"/>
  <c r="AQ10" i="22"/>
  <c r="Q10" i="22"/>
  <c r="AC10" i="22"/>
  <c r="AS10" i="22"/>
  <c r="P10" i="22"/>
  <c r="AY10" i="22"/>
  <c r="I10" i="22" s="1"/>
  <c r="U10" i="22"/>
  <c r="AG10" i="22"/>
  <c r="AO10" i="22"/>
  <c r="AA10" i="22"/>
  <c r="M10" i="22"/>
  <c r="Y10" i="22"/>
  <c r="AK10" i="22"/>
  <c r="AW10" i="22"/>
  <c r="AI10" i="22"/>
  <c r="AB10" i="22"/>
  <c r="AR10" i="22"/>
  <c r="N10" i="22"/>
  <c r="R10" i="22"/>
  <c r="V10" i="22"/>
  <c r="Z10" i="22"/>
  <c r="AD10" i="22"/>
  <c r="AH10" i="22"/>
  <c r="AL10" i="22"/>
  <c r="AP10" i="22"/>
  <c r="AT10" i="22"/>
  <c r="AX10" i="22"/>
  <c r="S10" i="22"/>
  <c r="W10" i="22"/>
  <c r="AE10" i="22"/>
  <c r="AM10" i="22"/>
  <c r="AU10" i="22"/>
  <c r="AJ10" i="22"/>
  <c r="O10" i="22"/>
  <c r="X10" i="22"/>
  <c r="AF10" i="22"/>
  <c r="AN10" i="22"/>
  <c r="AV10" i="22"/>
  <c r="T10" i="22"/>
  <c r="Q11" i="22"/>
  <c r="Y11" i="22"/>
  <c r="AW11" i="22"/>
  <c r="R11" i="22"/>
  <c r="Z11" i="22"/>
  <c r="AH11" i="22"/>
  <c r="AP11" i="22"/>
  <c r="AX11" i="22"/>
  <c r="I11" i="22" s="1"/>
  <c r="L14" i="1"/>
  <c r="AO11" i="22"/>
  <c r="M11" i="22"/>
  <c r="U11" i="22"/>
  <c r="AC11" i="22"/>
  <c r="AK11" i="22"/>
  <c r="AS11" i="22"/>
  <c r="AG11" i="22"/>
  <c r="N11" i="22"/>
  <c r="V11" i="22"/>
  <c r="AD11" i="22"/>
  <c r="AL11" i="22"/>
  <c r="AT11" i="22"/>
  <c r="O11" i="22"/>
  <c r="S11" i="22"/>
  <c r="W11" i="22"/>
  <c r="AA11" i="22"/>
  <c r="AE11" i="22"/>
  <c r="AI11" i="22"/>
  <c r="AM11" i="22"/>
  <c r="AQ11" i="22"/>
  <c r="AU11" i="22"/>
  <c r="P11" i="22"/>
  <c r="T11" i="22"/>
  <c r="X11" i="22"/>
  <c r="AB11" i="22"/>
  <c r="AF11" i="22"/>
  <c r="AJ11" i="22"/>
  <c r="AN11" i="22"/>
  <c r="AR11" i="22"/>
  <c r="L10" i="1"/>
  <c r="L15" i="1"/>
  <c r="L11" i="1"/>
  <c r="L12" i="1"/>
  <c r="R8" i="1"/>
  <c r="AT10" i="19" l="1"/>
  <c r="AR10" i="19"/>
  <c r="AT12" i="19"/>
  <c r="AR12" i="19"/>
  <c r="AP12" i="19"/>
  <c r="AP14" i="19"/>
  <c r="AP17" i="19"/>
  <c r="AP16" i="19"/>
  <c r="AP10" i="19"/>
  <c r="AP11" i="19"/>
  <c r="AP18" i="19"/>
  <c r="AP21" i="19"/>
  <c r="AP15" i="19"/>
  <c r="AP20" i="19"/>
  <c r="AP13" i="19"/>
  <c r="AP19" i="19"/>
  <c r="AT11" i="19"/>
  <c r="AR11" i="19"/>
  <c r="R4" i="19"/>
  <c r="H11" i="22"/>
  <c r="J11" i="22" s="1"/>
  <c r="H10" i="22"/>
  <c r="J10" i="22" s="1"/>
  <c r="AP12" i="22"/>
  <c r="AM12" i="22"/>
  <c r="AS12" i="22"/>
  <c r="M12" i="22"/>
  <c r="Z12" i="22"/>
  <c r="W12" i="22"/>
  <c r="T12" i="22"/>
  <c r="AW12" i="22"/>
  <c r="I12" i="22" s="1"/>
  <c r="AF12" i="22"/>
  <c r="Y12" i="22"/>
  <c r="AV12" i="22"/>
  <c r="P12" i="22"/>
  <c r="AO12" i="22"/>
  <c r="U12" i="22"/>
  <c r="AD12" i="22"/>
  <c r="AA12" i="22"/>
  <c r="X12" i="22"/>
  <c r="AJ12" i="22"/>
  <c r="AC12" i="22"/>
  <c r="R12" i="22"/>
  <c r="AH12" i="22"/>
  <c r="O12" i="22"/>
  <c r="AE12" i="22"/>
  <c r="AU12" i="22"/>
  <c r="AG12" i="22"/>
  <c r="AN12" i="22"/>
  <c r="AB12" i="22"/>
  <c r="N12" i="22"/>
  <c r="AT12" i="22"/>
  <c r="AQ12" i="22"/>
  <c r="L12" i="22"/>
  <c r="AR12" i="22"/>
  <c r="AK12" i="22"/>
  <c r="V12" i="22"/>
  <c r="AL12" i="22"/>
  <c r="S12" i="22"/>
  <c r="AI12" i="22"/>
  <c r="Q12" i="22"/>
  <c r="O6" i="19" l="1"/>
  <c r="H12" i="22"/>
  <c r="J12" i="22" s="1"/>
  <c r="AG13" i="22"/>
  <c r="Q13" i="22"/>
  <c r="AQ13" i="22"/>
  <c r="AA13" i="22"/>
  <c r="AT13" i="22"/>
  <c r="AD13" i="22"/>
  <c r="N13" i="22"/>
  <c r="U13" i="22"/>
  <c r="AB13" i="22"/>
  <c r="X13" i="22"/>
  <c r="AF13" i="22"/>
  <c r="AI13" i="22"/>
  <c r="V13" i="22"/>
  <c r="AR13" i="22"/>
  <c r="Y13" i="22"/>
  <c r="AU13" i="22"/>
  <c r="AE13" i="22"/>
  <c r="O13" i="22"/>
  <c r="AH13" i="22"/>
  <c r="R13" i="22"/>
  <c r="AJ13" i="22"/>
  <c r="AN13" i="22"/>
  <c r="P13" i="22"/>
  <c r="AM13" i="22"/>
  <c r="W13" i="22"/>
  <c r="AP13" i="22"/>
  <c r="Z13" i="22"/>
  <c r="AS13" i="22"/>
  <c r="M13" i="22"/>
  <c r="T13" i="22"/>
  <c r="AV13" i="22"/>
  <c r="I13" i="22" s="1"/>
  <c r="S13" i="22"/>
  <c r="AL13" i="22"/>
  <c r="AK13" i="22"/>
  <c r="L13" i="22"/>
  <c r="AC13" i="22"/>
  <c r="AO13" i="22"/>
  <c r="H13" i="22" l="1"/>
  <c r="J13" i="22" s="1"/>
  <c r="AN14" i="22"/>
  <c r="X14" i="22"/>
  <c r="AU14" i="22"/>
  <c r="I14" i="22" s="1"/>
  <c r="AE14" i="22"/>
  <c r="O14" i="22"/>
  <c r="Q14" i="22"/>
  <c r="V14" i="22"/>
  <c r="M14" i="22"/>
  <c r="AP14" i="22"/>
  <c r="AR14" i="22"/>
  <c r="AB14" i="22"/>
  <c r="L14" i="22"/>
  <c r="AI14" i="22"/>
  <c r="S14" i="22"/>
  <c r="Y14" i="22"/>
  <c r="AD14" i="22"/>
  <c r="AC14" i="22"/>
  <c r="R14" i="22"/>
  <c r="AJ14" i="22"/>
  <c r="T14" i="22"/>
  <c r="AQ14" i="22"/>
  <c r="AA14" i="22"/>
  <c r="AO14" i="22"/>
  <c r="AT14" i="22"/>
  <c r="N14" i="22"/>
  <c r="AK14" i="22"/>
  <c r="Z14" i="22"/>
  <c r="AF14" i="22"/>
  <c r="P14" i="22"/>
  <c r="AM14" i="22"/>
  <c r="W14" i="22"/>
  <c r="AG14" i="22"/>
  <c r="AL14" i="22"/>
  <c r="AS14" i="22"/>
  <c r="AH14" i="22"/>
  <c r="U14" i="22"/>
  <c r="H14" i="22" l="1"/>
  <c r="J14" i="22" s="1"/>
  <c r="AL15" i="22"/>
  <c r="V15" i="22"/>
  <c r="AS15" i="22"/>
  <c r="AC15" i="22"/>
  <c r="M15" i="22"/>
  <c r="T15" i="22"/>
  <c r="AA15" i="22"/>
  <c r="AM15" i="22"/>
  <c r="W15" i="22"/>
  <c r="AH15" i="22"/>
  <c r="R15" i="22"/>
  <c r="AO15" i="22"/>
  <c r="Y15" i="22"/>
  <c r="AR15" i="22"/>
  <c r="L15" i="22"/>
  <c r="S15" i="22"/>
  <c r="AF15" i="22"/>
  <c r="P15" i="22"/>
  <c r="AJ15" i="22"/>
  <c r="AE15" i="22"/>
  <c r="Q15" i="22"/>
  <c r="AI15" i="22"/>
  <c r="X15" i="22"/>
  <c r="AT15" i="22"/>
  <c r="I15" i="22" s="1"/>
  <c r="AD15" i="22"/>
  <c r="N15" i="22"/>
  <c r="AK15" i="22"/>
  <c r="U15" i="22"/>
  <c r="AQ15" i="22"/>
  <c r="AN15" i="22"/>
  <c r="AP15" i="22"/>
  <c r="Z15" i="22"/>
  <c r="AG15" i="22"/>
  <c r="AB15" i="22"/>
  <c r="O15" i="22"/>
  <c r="H15" i="22" l="1"/>
  <c r="J15" i="22" s="1"/>
  <c r="AO16" i="22"/>
  <c r="Y16" i="22"/>
  <c r="AF16" i="22"/>
  <c r="P16" i="22"/>
  <c r="AA16" i="22"/>
  <c r="R16" i="22"/>
  <c r="AD16" i="22"/>
  <c r="N16" i="22"/>
  <c r="AG16" i="22"/>
  <c r="Q16" i="22"/>
  <c r="AN16" i="22"/>
  <c r="X16" i="22"/>
  <c r="AQ16" i="22"/>
  <c r="AL16" i="22"/>
  <c r="AC16" i="22"/>
  <c r="T16" i="22"/>
  <c r="V16" i="22"/>
  <c r="AK16" i="22"/>
  <c r="U16" i="22"/>
  <c r="AR16" i="22"/>
  <c r="AB16" i="22"/>
  <c r="L16" i="22"/>
  <c r="S16" i="22"/>
  <c r="AH16" i="22"/>
  <c r="AM16" i="22"/>
  <c r="W16" i="22"/>
  <c r="AS16" i="22"/>
  <c r="I16" i="22" s="1"/>
  <c r="AJ16" i="22"/>
  <c r="Z16" i="22"/>
  <c r="AP16" i="22"/>
  <c r="AE16" i="22"/>
  <c r="M16" i="22"/>
  <c r="AI16" i="22"/>
  <c r="O16" i="22"/>
  <c r="H16" i="22" l="1"/>
  <c r="J16" i="22" s="1"/>
  <c r="AC17" i="22"/>
  <c r="M17" i="22"/>
  <c r="AF17" i="22"/>
  <c r="P17" i="22"/>
  <c r="AA17" i="22"/>
  <c r="AH17" i="22"/>
  <c r="N17" i="22"/>
  <c r="W17" i="22"/>
  <c r="AM17" i="22"/>
  <c r="AO17" i="22"/>
  <c r="Y17" i="22"/>
  <c r="AR17" i="22"/>
  <c r="I17" i="22" s="1"/>
  <c r="AB17" i="22"/>
  <c r="L17" i="22"/>
  <c r="S17" i="22"/>
  <c r="Z17" i="22"/>
  <c r="AL17" i="22"/>
  <c r="V17" i="22"/>
  <c r="U17" i="22"/>
  <c r="X17" i="22"/>
  <c r="AE17" i="22"/>
  <c r="AG17" i="22"/>
  <c r="AJ17" i="22"/>
  <c r="AI17" i="22"/>
  <c r="AD17" i="22"/>
  <c r="AK17" i="22"/>
  <c r="AN17" i="22"/>
  <c r="AQ17" i="22"/>
  <c r="R17" i="22"/>
  <c r="O17" i="22"/>
  <c r="Q17" i="22"/>
  <c r="T17" i="22"/>
  <c r="AP17" i="22"/>
  <c r="H17" i="22" l="1"/>
  <c r="J17" i="22" s="1"/>
  <c r="AD18" i="22"/>
  <c r="N18" i="22"/>
  <c r="AC18" i="22"/>
  <c r="M18" i="22"/>
  <c r="S18" i="22"/>
  <c r="P18" i="22"/>
  <c r="AE18" i="22"/>
  <c r="W18" i="22"/>
  <c r="AH18" i="22"/>
  <c r="Q18" i="22"/>
  <c r="L18" i="22"/>
  <c r="AP18" i="22"/>
  <c r="Z18" i="22"/>
  <c r="AO18" i="22"/>
  <c r="Y18" i="22"/>
  <c r="AQ18" i="22"/>
  <c r="I18" i="22" s="1"/>
  <c r="AN18" i="22"/>
  <c r="AJ18" i="22"/>
  <c r="O18" i="22"/>
  <c r="AB18" i="22"/>
  <c r="R18" i="22"/>
  <c r="AA18" i="22"/>
  <c r="X18" i="22"/>
  <c r="AL18" i="22"/>
  <c r="V18" i="22"/>
  <c r="AK18" i="22"/>
  <c r="U18" i="22"/>
  <c r="AI18" i="22"/>
  <c r="AF18" i="22"/>
  <c r="T18" i="22"/>
  <c r="AG18" i="22"/>
  <c r="AM18" i="22"/>
  <c r="H18" i="22" l="1"/>
  <c r="J18" i="22" s="1"/>
  <c r="AJ19" i="22"/>
  <c r="T19" i="22"/>
  <c r="AI19" i="22"/>
  <c r="S19" i="22"/>
  <c r="Z19" i="22"/>
  <c r="AG19" i="22"/>
  <c r="M19" i="22"/>
  <c r="V19" i="22"/>
  <c r="AK19" i="22"/>
  <c r="AD19" i="22"/>
  <c r="X19" i="22"/>
  <c r="AH19" i="22"/>
  <c r="AC19" i="22"/>
  <c r="AF19" i="22"/>
  <c r="P19" i="22"/>
  <c r="AE19" i="22"/>
  <c r="O19" i="22"/>
  <c r="R19" i="22"/>
  <c r="Y19" i="22"/>
  <c r="U19" i="22"/>
  <c r="AA19" i="22"/>
  <c r="Q19" i="22"/>
  <c r="AN19" i="22"/>
  <c r="AM19" i="22"/>
  <c r="AO19" i="22"/>
  <c r="AB19" i="22"/>
  <c r="L19" i="22"/>
  <c r="AP19" i="22"/>
  <c r="I19" i="22" s="1"/>
  <c r="N19" i="22"/>
  <c r="W19" i="22"/>
  <c r="AL19" i="22"/>
  <c r="H19" i="22" l="1"/>
  <c r="J19" i="22" s="1"/>
  <c r="AI20" i="22"/>
  <c r="S20" i="22"/>
  <c r="AD20" i="22"/>
  <c r="N20" i="22"/>
  <c r="Q20" i="22"/>
  <c r="X20" i="22"/>
  <c r="AB20" i="22"/>
  <c r="M20" i="22"/>
  <c r="AM20" i="22"/>
  <c r="R20" i="22"/>
  <c r="T20" i="22"/>
  <c r="AE20" i="22"/>
  <c r="O20" i="22"/>
  <c r="Z20" i="22"/>
  <c r="AO20" i="22"/>
  <c r="I20" i="22" s="1"/>
  <c r="P20" i="22"/>
  <c r="L20" i="22"/>
  <c r="AK20" i="22"/>
  <c r="W20" i="22"/>
  <c r="Y20" i="22"/>
  <c r="AC20" i="22"/>
  <c r="AA20" i="22"/>
  <c r="AL20" i="22"/>
  <c r="V20" i="22"/>
  <c r="AG20" i="22"/>
  <c r="AN20" i="22"/>
  <c r="AJ20" i="22"/>
  <c r="U20" i="22"/>
  <c r="AH20" i="22"/>
  <c r="AF20" i="22"/>
  <c r="H20" i="22" l="1"/>
  <c r="J20" i="22" s="1"/>
  <c r="AE21" i="22"/>
  <c r="O21" i="22"/>
  <c r="Z21" i="22"/>
  <c r="AG21" i="22"/>
  <c r="AF21" i="22"/>
  <c r="L21" i="22"/>
  <c r="AK21" i="22"/>
  <c r="AJ21" i="22"/>
  <c r="U21" i="22"/>
  <c r="AI21" i="22"/>
  <c r="S21" i="22"/>
  <c r="N21" i="22"/>
  <c r="AB21" i="22"/>
  <c r="AA21" i="22"/>
  <c r="AL21" i="22"/>
  <c r="V21" i="22"/>
  <c r="Y21" i="22"/>
  <c r="X21" i="22"/>
  <c r="AM21" i="22"/>
  <c r="W21" i="22"/>
  <c r="AH21" i="22"/>
  <c r="R21" i="22"/>
  <c r="Q21" i="22"/>
  <c r="P21" i="22"/>
  <c r="T21" i="22"/>
  <c r="AC21" i="22"/>
  <c r="AD21" i="22"/>
  <c r="AN21" i="22"/>
  <c r="I21" i="22" s="1"/>
  <c r="M21" i="22"/>
  <c r="H21" i="22" l="1"/>
  <c r="J21" i="22" s="1"/>
  <c r="AF22" i="22"/>
  <c r="P22" i="22"/>
  <c r="AE22" i="22"/>
  <c r="O22" i="22"/>
  <c r="U22" i="22"/>
  <c r="R22" i="22"/>
  <c r="AD22" i="22"/>
  <c r="AA22" i="22"/>
  <c r="M22" i="22"/>
  <c r="N22" i="22"/>
  <c r="AH22" i="22"/>
  <c r="AB22" i="22"/>
  <c r="L22" i="22"/>
  <c r="AG22" i="22"/>
  <c r="AK22" i="22"/>
  <c r="AL22" i="22"/>
  <c r="AJ22" i="22"/>
  <c r="T22" i="22"/>
  <c r="S22" i="22"/>
  <c r="Z22" i="22"/>
  <c r="V22" i="22"/>
  <c r="X22" i="22"/>
  <c r="AM22" i="22"/>
  <c r="I22" i="22" s="1"/>
  <c r="W22" i="22"/>
  <c r="Q22" i="22"/>
  <c r="AI22" i="22"/>
  <c r="AC22" i="22"/>
  <c r="Y22" i="22"/>
  <c r="H22" i="22" l="1"/>
  <c r="J22" i="22" s="1"/>
  <c r="AL23" i="22"/>
  <c r="I23" i="22" s="1"/>
  <c r="V23" i="22"/>
  <c r="AK23" i="22"/>
  <c r="U23" i="22"/>
  <c r="X23" i="22"/>
  <c r="O23" i="22"/>
  <c r="L23" i="22"/>
  <c r="Q23" i="22"/>
  <c r="AA23" i="22"/>
  <c r="N23" i="22"/>
  <c r="M23" i="22"/>
  <c r="AI23" i="22"/>
  <c r="Z23" i="22"/>
  <c r="Y23" i="22"/>
  <c r="AB23" i="22"/>
  <c r="AH23" i="22"/>
  <c r="R23" i="22"/>
  <c r="AG23" i="22"/>
  <c r="P23" i="22"/>
  <c r="AJ23" i="22"/>
  <c r="AC23" i="22"/>
  <c r="T23" i="22"/>
  <c r="W23" i="22"/>
  <c r="AD23" i="22"/>
  <c r="AE23" i="22"/>
  <c r="AF23" i="22"/>
  <c r="S23" i="22"/>
  <c r="H23" i="22" l="1"/>
  <c r="J23" i="22" s="1"/>
  <c r="AD24" i="22"/>
  <c r="AG24" i="22"/>
  <c r="M24" i="22"/>
  <c r="U24" i="22"/>
  <c r="Y24" i="22"/>
  <c r="X24" i="22"/>
  <c r="S24" i="22"/>
  <c r="P24" i="22"/>
  <c r="N24" i="22"/>
  <c r="T24" i="22"/>
  <c r="Z24" i="22"/>
  <c r="AB24" i="22"/>
  <c r="AK24" i="22"/>
  <c r="I24" i="22" s="1"/>
  <c r="O24" i="22"/>
  <c r="AC24" i="22"/>
  <c r="R24" i="22"/>
  <c r="AA24" i="22"/>
  <c r="AI24" i="22"/>
  <c r="V24" i="22"/>
  <c r="W24" i="22"/>
  <c r="AF24" i="22"/>
  <c r="L24" i="22"/>
  <c r="AE24" i="22"/>
  <c r="AH24" i="22"/>
  <c r="Q24" i="22"/>
  <c r="AJ24" i="22"/>
  <c r="H24" i="22" l="1"/>
  <c r="J24" i="22" s="1"/>
  <c r="Z25" i="22"/>
  <c r="AG25" i="22"/>
  <c r="Q25" i="22"/>
  <c r="AE25" i="22"/>
  <c r="L25" i="22"/>
  <c r="Y25" i="22"/>
  <c r="T25" i="22"/>
  <c r="P25" i="22"/>
  <c r="AB25" i="22"/>
  <c r="V25" i="22"/>
  <c r="AC25" i="22"/>
  <c r="AF25" i="22"/>
  <c r="W25" i="22"/>
  <c r="AJ25" i="22"/>
  <c r="I25" i="22" s="1"/>
  <c r="AI25" i="22"/>
  <c r="R25" i="22"/>
  <c r="O25" i="22"/>
  <c r="AD25" i="22"/>
  <c r="U25" i="22"/>
  <c r="S25" i="22"/>
  <c r="AH25" i="22"/>
  <c r="X25" i="22"/>
  <c r="M25" i="22"/>
  <c r="N25" i="22"/>
  <c r="AA25" i="22"/>
  <c r="H25" i="22" l="1"/>
  <c r="J25" i="22" s="1"/>
  <c r="AI26" i="22"/>
  <c r="I26" i="22" s="1"/>
  <c r="S26" i="22"/>
  <c r="AD26" i="22"/>
  <c r="N26" i="22"/>
  <c r="AB26" i="22"/>
  <c r="P26" i="22"/>
  <c r="AG26" i="22"/>
  <c r="AE26" i="22"/>
  <c r="Z26" i="22"/>
  <c r="AC26" i="22"/>
  <c r="Y26" i="22"/>
  <c r="U26" i="22"/>
  <c r="X26" i="22"/>
  <c r="O26" i="22"/>
  <c r="T26" i="22"/>
  <c r="AA26" i="22"/>
  <c r="L26" i="22"/>
  <c r="AH26" i="22"/>
  <c r="M26" i="22"/>
  <c r="Q26" i="22"/>
  <c r="V26" i="22"/>
  <c r="W26" i="22"/>
  <c r="R26" i="22"/>
  <c r="AF26" i="22"/>
  <c r="H26" i="22" l="1"/>
  <c r="J26" i="22" s="1"/>
  <c r="AG27" i="22"/>
  <c r="Q27" i="22"/>
  <c r="X27" i="22"/>
  <c r="AE27" i="22"/>
  <c r="V27" i="22"/>
  <c r="AH27" i="22"/>
  <c r="I27" i="22" s="1"/>
  <c r="R27" i="22"/>
  <c r="AF27" i="22"/>
  <c r="Z27" i="22"/>
  <c r="AB27" i="22"/>
  <c r="S27" i="22"/>
  <c r="AC27" i="22"/>
  <c r="M27" i="22"/>
  <c r="T27" i="22"/>
  <c r="W27" i="22"/>
  <c r="N27" i="22"/>
  <c r="Y27" i="22"/>
  <c r="P27" i="22"/>
  <c r="AA27" i="22"/>
  <c r="U27" i="22"/>
  <c r="L27" i="22"/>
  <c r="O27" i="22"/>
  <c r="AD27" i="22"/>
  <c r="H27" i="22" l="1"/>
  <c r="J27" i="22" s="1"/>
  <c r="AC28" i="22"/>
  <c r="AE28" i="22"/>
  <c r="L28" i="22"/>
  <c r="O28" i="22"/>
  <c r="N28" i="22"/>
  <c r="M28" i="22"/>
  <c r="AD28" i="22"/>
  <c r="V28" i="22"/>
  <c r="Y28" i="22"/>
  <c r="Z28" i="22"/>
  <c r="AA28" i="22"/>
  <c r="AB28" i="22"/>
  <c r="S28" i="22"/>
  <c r="AF28" i="22"/>
  <c r="U28" i="22"/>
  <c r="T28" i="22"/>
  <c r="X28" i="22"/>
  <c r="Q28" i="22"/>
  <c r="R28" i="22"/>
  <c r="AG28" i="22"/>
  <c r="I28" i="22" s="1"/>
  <c r="P28" i="22"/>
  <c r="W28" i="22"/>
  <c r="H28" i="22" l="1"/>
  <c r="J28" i="22" s="1"/>
  <c r="Q29" i="22"/>
  <c r="S29" i="22"/>
  <c r="R29" i="22"/>
  <c r="Z29" i="22"/>
  <c r="AF29" i="22"/>
  <c r="I29" i="22" s="1"/>
  <c r="AA29" i="22"/>
  <c r="AE29" i="22"/>
  <c r="AC29" i="22"/>
  <c r="M29" i="22"/>
  <c r="N29" i="22"/>
  <c r="L29" i="22"/>
  <c r="O29" i="22"/>
  <c r="Y29" i="22"/>
  <c r="AD29" i="22"/>
  <c r="AB29" i="22"/>
  <c r="V29" i="22"/>
  <c r="U29" i="22"/>
  <c r="X29" i="22"/>
  <c r="W29" i="22"/>
  <c r="P29" i="22"/>
  <c r="T29" i="22"/>
  <c r="H29" i="22" l="1"/>
  <c r="J29" i="22" s="1"/>
  <c r="AD30" i="22"/>
  <c r="N30" i="22"/>
  <c r="L30" i="22"/>
  <c r="Z30" i="22"/>
  <c r="AB30" i="22"/>
  <c r="AA30" i="22"/>
  <c r="O30" i="22"/>
  <c r="S30" i="22"/>
  <c r="W30" i="22"/>
  <c r="U30" i="22"/>
  <c r="AE30" i="22"/>
  <c r="I30" i="22" s="1"/>
  <c r="Y30" i="22"/>
  <c r="V30" i="22"/>
  <c r="X30" i="22"/>
  <c r="R30" i="22"/>
  <c r="Q30" i="22"/>
  <c r="P30" i="22"/>
  <c r="M30" i="22"/>
  <c r="AC30" i="22"/>
  <c r="T30" i="22"/>
  <c r="H30" i="22" l="1"/>
  <c r="J30" i="22" s="1"/>
  <c r="T31" i="22"/>
  <c r="AC31" i="22"/>
  <c r="AA31" i="22"/>
  <c r="O31" i="22"/>
  <c r="S31" i="22"/>
  <c r="P31" i="22"/>
  <c r="W31" i="22"/>
  <c r="Y31" i="22"/>
  <c r="AB31" i="22"/>
  <c r="R31" i="22"/>
  <c r="N31" i="22"/>
  <c r="X31" i="22"/>
  <c r="M31" i="22"/>
  <c r="Z31" i="22"/>
  <c r="U31" i="22"/>
  <c r="V31" i="22"/>
  <c r="AD31" i="22"/>
  <c r="I31" i="22" s="1"/>
  <c r="L31" i="22"/>
  <c r="Q31" i="22"/>
  <c r="H31" i="22" l="1"/>
  <c r="J31" i="22" s="1"/>
  <c r="S32" i="22"/>
  <c r="R32" i="22"/>
  <c r="V32" i="22"/>
  <c r="Z32" i="22"/>
  <c r="N32" i="22"/>
  <c r="O32" i="22"/>
  <c r="M32" i="22"/>
  <c r="Q32" i="22"/>
  <c r="P32" i="22"/>
  <c r="AA32" i="22"/>
  <c r="L32" i="22"/>
  <c r="W32" i="22"/>
  <c r="X32" i="22"/>
  <c r="AB32" i="22"/>
  <c r="T32" i="22"/>
  <c r="U32" i="22"/>
  <c r="AC32" i="22"/>
  <c r="I32" i="22" s="1"/>
  <c r="Y32" i="22"/>
  <c r="H32" i="22" l="1"/>
  <c r="J32" i="22" s="1"/>
  <c r="W33" i="22"/>
  <c r="T33" i="22"/>
  <c r="M33" i="22"/>
  <c r="L33" i="22"/>
  <c r="Z33" i="22"/>
  <c r="S33" i="22"/>
  <c r="N33" i="22"/>
  <c r="U33" i="22"/>
  <c r="O33" i="22"/>
  <c r="X33" i="22"/>
  <c r="P33" i="22"/>
  <c r="Q33" i="22"/>
  <c r="AA33" i="22"/>
  <c r="Y33" i="22"/>
  <c r="V33" i="22"/>
  <c r="AB33" i="22"/>
  <c r="I33" i="22" s="1"/>
  <c r="R33" i="22"/>
  <c r="H33" i="22" l="1"/>
  <c r="J33" i="22" s="1"/>
  <c r="T34" i="22"/>
  <c r="R34" i="22"/>
  <c r="Q34" i="22"/>
  <c r="Y34" i="22"/>
  <c r="P34" i="22"/>
  <c r="M34" i="22"/>
  <c r="S34" i="22"/>
  <c r="L34" i="22"/>
  <c r="AA34" i="22"/>
  <c r="I34" i="22" s="1"/>
  <c r="Z34" i="22"/>
  <c r="U34" i="22"/>
  <c r="X34" i="22"/>
  <c r="V34" i="22"/>
  <c r="N34" i="22"/>
  <c r="W34" i="22"/>
  <c r="O34" i="22"/>
  <c r="H34" i="22" l="1"/>
  <c r="J34" i="22" s="1"/>
  <c r="V35" i="22"/>
  <c r="P35" i="22"/>
  <c r="X35" i="22"/>
  <c r="L35" i="22"/>
  <c r="R35" i="22"/>
  <c r="Y35" i="22"/>
  <c r="M35" i="22"/>
  <c r="S35" i="22"/>
  <c r="N35" i="22"/>
  <c r="T35" i="22"/>
  <c r="Q35" i="22"/>
  <c r="Z35" i="22"/>
  <c r="I35" i="22" s="1"/>
  <c r="U35" i="22"/>
  <c r="O35" i="22"/>
  <c r="W35" i="22"/>
  <c r="H35" i="22" l="1"/>
  <c r="J35" i="22" s="1"/>
  <c r="Q36" i="22"/>
  <c r="T36" i="22"/>
  <c r="L36" i="22"/>
  <c r="X36" i="22"/>
  <c r="M36" i="22"/>
  <c r="O36" i="22"/>
  <c r="S36" i="22"/>
  <c r="Y36" i="22"/>
  <c r="I36" i="22" s="1"/>
  <c r="V36" i="22"/>
  <c r="R36" i="22"/>
  <c r="P36" i="22"/>
  <c r="N36" i="22"/>
  <c r="U36" i="22"/>
  <c r="W36" i="22"/>
  <c r="H36" i="22" l="1"/>
  <c r="J36" i="22" s="1"/>
  <c r="M37" i="22"/>
  <c r="L37" i="22"/>
  <c r="V37" i="22"/>
  <c r="X37" i="22"/>
  <c r="I37" i="22" s="1"/>
  <c r="P37" i="22"/>
  <c r="S37" i="22"/>
  <c r="U37" i="22"/>
  <c r="W37" i="22"/>
  <c r="T37" i="22"/>
  <c r="O37" i="22"/>
  <c r="Q37" i="22"/>
  <c r="R37" i="22"/>
  <c r="N37" i="22"/>
  <c r="H37" i="22" l="1"/>
  <c r="J37" i="22" s="1"/>
  <c r="N38" i="22"/>
  <c r="Q38" i="22"/>
  <c r="T38" i="22"/>
  <c r="L38" i="22"/>
  <c r="M38" i="22"/>
  <c r="S38" i="22"/>
  <c r="U38" i="22"/>
  <c r="V38" i="22"/>
  <c r="P38" i="22"/>
  <c r="R38" i="22"/>
  <c r="W38" i="22"/>
  <c r="I38" i="22" s="1"/>
  <c r="O38" i="22"/>
  <c r="H38" i="22" l="1"/>
  <c r="J38" i="22" s="1"/>
  <c r="T39" i="22"/>
  <c r="L39" i="22"/>
  <c r="U39" i="22"/>
  <c r="S39" i="22"/>
  <c r="V39" i="22"/>
  <c r="I39" i="22" s="1"/>
  <c r="O39" i="22"/>
  <c r="R39" i="22"/>
  <c r="P39" i="22"/>
  <c r="N39" i="22"/>
  <c r="M39" i="22"/>
  <c r="Q39" i="22"/>
  <c r="H39" i="22" l="1"/>
  <c r="J39" i="22" s="1"/>
  <c r="O40" i="22"/>
  <c r="R40" i="22"/>
  <c r="P40" i="22"/>
  <c r="M40" i="22"/>
  <c r="L40" i="22"/>
  <c r="Q40" i="22"/>
  <c r="T40" i="22"/>
  <c r="U40" i="22"/>
  <c r="I40" i="22" s="1"/>
  <c r="S40" i="22"/>
  <c r="N40" i="22"/>
  <c r="H40" i="22" l="1"/>
  <c r="J40" i="22" s="1"/>
  <c r="R41" i="22"/>
  <c r="P41" i="22"/>
  <c r="S41" i="22"/>
  <c r="Q41" i="22"/>
  <c r="N41" i="22"/>
  <c r="T41" i="22"/>
  <c r="I41" i="22" s="1"/>
  <c r="M41" i="22"/>
  <c r="O41" i="22"/>
  <c r="L41" i="22"/>
  <c r="H41" i="22" l="1"/>
  <c r="J41" i="22" s="1"/>
  <c r="L42" i="22"/>
  <c r="R42" i="22"/>
  <c r="N42" i="22"/>
  <c r="O42" i="22"/>
  <c r="S42" i="22"/>
  <c r="I42" i="22" s="1"/>
  <c r="M42" i="22"/>
  <c r="P42" i="22"/>
  <c r="Q42" i="22"/>
  <c r="H42" i="22" l="1"/>
  <c r="J42" i="22" s="1"/>
  <c r="R43" i="22"/>
  <c r="I43" i="22" s="1"/>
  <c r="L43" i="22"/>
  <c r="N43" i="22"/>
  <c r="Q43" i="22"/>
  <c r="O43" i="22"/>
  <c r="P43" i="22"/>
  <c r="M43" i="22"/>
  <c r="H43" i="22" l="1"/>
  <c r="J43" i="22" s="1"/>
  <c r="Q44" i="22"/>
  <c r="I44" i="22" s="1"/>
  <c r="L44" i="22"/>
  <c r="M44" i="22"/>
  <c r="N44" i="22"/>
  <c r="O44" i="22"/>
  <c r="P44" i="22"/>
  <c r="H44" i="22" l="1"/>
  <c r="J44" i="22" s="1"/>
  <c r="O45" i="22"/>
  <c r="M45" i="22"/>
  <c r="P45" i="22"/>
  <c r="I45" i="22" s="1"/>
  <c r="L45" i="22"/>
  <c r="N45" i="22"/>
  <c r="H45" i="22" l="1"/>
  <c r="J45" i="22" s="1"/>
  <c r="O46" i="22"/>
  <c r="I46" i="22" s="1"/>
  <c r="N46" i="22"/>
  <c r="M46" i="22"/>
  <c r="L46" i="22"/>
  <c r="H46" i="22" l="1"/>
  <c r="J46" i="22" s="1"/>
  <c r="M47" i="22"/>
  <c r="N47" i="22"/>
  <c r="I47" i="22" s="1"/>
  <c r="L47" i="22"/>
  <c r="H47" i="22" l="1"/>
  <c r="J47" i="22" s="1"/>
  <c r="M48" i="22"/>
  <c r="I48" i="22" s="1"/>
  <c r="L48" i="22"/>
  <c r="H48" i="22" l="1"/>
  <c r="J48" i="22" s="1"/>
  <c r="L49" i="22"/>
  <c r="I49" i="22" l="1"/>
  <c r="H49" i="22"/>
  <c r="J49" i="22" l="1"/>
</calcChain>
</file>

<file path=xl/sharedStrings.xml><?xml version="1.0" encoding="utf-8"?>
<sst xmlns="http://schemas.openxmlformats.org/spreadsheetml/2006/main" count="924" uniqueCount="172">
  <si>
    <t>Valuation date</t>
  </si>
  <si>
    <t>Gas burn efficiency:</t>
  </si>
  <si>
    <t>Tons of CO2 per MWh power produced:</t>
  </si>
  <si>
    <t>Hours Peak</t>
  </si>
  <si>
    <t>Peak</t>
  </si>
  <si>
    <t>Hours Off-Peak (OP)</t>
  </si>
  <si>
    <t>OP</t>
  </si>
  <si>
    <t>Month-Year</t>
  </si>
  <si>
    <t>Exercise Date</t>
  </si>
  <si>
    <t>Base</t>
  </si>
  <si>
    <t>VOL POWER</t>
  </si>
  <si>
    <t>Correlation POWER vs "GAS + CO2"</t>
  </si>
  <si>
    <t>T</t>
  </si>
  <si>
    <t>Base EU/MWh</t>
  </si>
  <si>
    <t>Peak EU/MWh</t>
  </si>
  <si>
    <t>OP EU/MWh</t>
  </si>
  <si>
    <t>GAS EU/MWh</t>
  </si>
  <si>
    <t>CO2 EU/ton</t>
  </si>
  <si>
    <t>Num_Days</t>
  </si>
  <si>
    <t>Peak_OffPeak</t>
  </si>
  <si>
    <t>Capacity_Factor</t>
  </si>
  <si>
    <t>Interest_rate</t>
  </si>
  <si>
    <t>CallPut</t>
  </si>
  <si>
    <t>Hours Baseload</t>
  </si>
  <si>
    <t>FV</t>
  </si>
  <si>
    <t>Intrinsic</t>
  </si>
  <si>
    <t>Extrinsic</t>
  </si>
  <si>
    <t>Delta Pwr</t>
  </si>
  <si>
    <t>Vega Pwr</t>
  </si>
  <si>
    <t>Gamma Pwr</t>
  </si>
  <si>
    <t>Strike</t>
  </si>
  <si>
    <t>FV_Call</t>
  </si>
  <si>
    <t>FV_Put</t>
  </si>
  <si>
    <t>Collar_Cost</t>
  </si>
  <si>
    <t>Enhanced_Collar_Cost</t>
  </si>
  <si>
    <t>Simulation</t>
  </si>
  <si>
    <t>Stress(-10%)</t>
  </si>
  <si>
    <t>Stress(+10%)</t>
  </si>
  <si>
    <t>Stress(+5%)</t>
  </si>
  <si>
    <t>Stress(-15%)</t>
  </si>
  <si>
    <t>Stress(+15%)</t>
  </si>
  <si>
    <t>Stress Test</t>
  </si>
  <si>
    <t>Shift Type</t>
  </si>
  <si>
    <t>Vols</t>
  </si>
  <si>
    <t>Prices</t>
  </si>
  <si>
    <t>Component VaR</t>
  </si>
  <si>
    <t>Strike_1</t>
  </si>
  <si>
    <t>Strike_2</t>
  </si>
  <si>
    <t>CallPut_1</t>
  </si>
  <si>
    <t>CallPut_2</t>
  </si>
  <si>
    <t>FV_1</t>
  </si>
  <si>
    <t>FV_2</t>
  </si>
  <si>
    <t>Intrinsic_1</t>
  </si>
  <si>
    <t>Intrinsic_2</t>
  </si>
  <si>
    <t>Extrinsic_1</t>
  </si>
  <si>
    <t>Extrinsic_2</t>
  </si>
  <si>
    <t>Delta_1</t>
  </si>
  <si>
    <t>Delta_2</t>
  </si>
  <si>
    <t>Vega_1</t>
  </si>
  <si>
    <t>Vega_2</t>
  </si>
  <si>
    <t>Gamma_1</t>
  </si>
  <si>
    <t>Gamma_2</t>
  </si>
  <si>
    <t>Strike_3</t>
  </si>
  <si>
    <t>CallPut_3</t>
  </si>
  <si>
    <t>FV_3</t>
  </si>
  <si>
    <t>Intrinsic_3</t>
  </si>
  <si>
    <t>Extrinsic_3</t>
  </si>
  <si>
    <t>Delta_3</t>
  </si>
  <si>
    <t>Vega_3</t>
  </si>
  <si>
    <t>Gamma_3</t>
  </si>
  <si>
    <t>Day-Month-Year</t>
  </si>
  <si>
    <t>Summary</t>
  </si>
  <si>
    <t>Q2-21</t>
  </si>
  <si>
    <t>Sum-21</t>
  </si>
  <si>
    <t>VOL_GAS</t>
  </si>
  <si>
    <t>VOL_PWR</t>
  </si>
  <si>
    <t>Delta Gas</t>
  </si>
  <si>
    <t>Vega Gas</t>
  </si>
  <si>
    <t>Gamma Gas</t>
  </si>
  <si>
    <t>Fixed_Price</t>
  </si>
  <si>
    <t>PnL</t>
  </si>
  <si>
    <t>Total P/L</t>
  </si>
  <si>
    <t>Extrinsic P/L</t>
  </si>
  <si>
    <t>Intrinsic P/L</t>
  </si>
  <si>
    <t>ROVAR</t>
  </si>
  <si>
    <t>Quoted_Price</t>
  </si>
  <si>
    <t>Fee</t>
  </si>
  <si>
    <t>NPV</t>
  </si>
  <si>
    <t>NPVLIBOR</t>
  </si>
  <si>
    <t>Tax rate</t>
  </si>
  <si>
    <t>Monthly Volume</t>
  </si>
  <si>
    <t>MWh</t>
  </si>
  <si>
    <t>WACC</t>
  </si>
  <si>
    <t xml:space="preserve">Capital Structure </t>
  </si>
  <si>
    <t>Debt to Total Capitalization</t>
  </si>
  <si>
    <t>Equity to Total Capitalization</t>
  </si>
  <si>
    <t>Debt / Equity</t>
  </si>
  <si>
    <t>Cost of Equity</t>
  </si>
  <si>
    <t>Risk Free Rate</t>
  </si>
  <si>
    <t>Equity Risk Premium</t>
  </si>
  <si>
    <t>Levered Beta</t>
  </si>
  <si>
    <t>Comparable Companies Unlevered Beta</t>
  </si>
  <si>
    <t>Company</t>
  </si>
  <si>
    <t>Debt</t>
  </si>
  <si>
    <t>Equity</t>
  </si>
  <si>
    <t>Debt/Equity</t>
  </si>
  <si>
    <t>Tax Rate</t>
  </si>
  <si>
    <t>Unlevered Beta</t>
  </si>
  <si>
    <t>Company A</t>
  </si>
  <si>
    <t>Company B</t>
  </si>
  <si>
    <t>Company C</t>
  </si>
  <si>
    <t>Median</t>
  </si>
  <si>
    <t>Cost of Debt</t>
  </si>
  <si>
    <t>After Tax Cost of Debt</t>
  </si>
  <si>
    <t>LIBOR</t>
  </si>
  <si>
    <t>Unit_PnL</t>
  </si>
  <si>
    <t>KPI Metrics</t>
  </si>
  <si>
    <t>Finacials</t>
  </si>
  <si>
    <t>Enhanced_Cost</t>
  </si>
  <si>
    <t>Intrinsic_PPA</t>
  </si>
  <si>
    <t>NPV_WACC</t>
  </si>
  <si>
    <t>NPV_LIBOR</t>
  </si>
  <si>
    <t>PFE</t>
  </si>
  <si>
    <t xml:space="preserve">Shape_Solar_Wind </t>
  </si>
  <si>
    <t>Simulations</t>
  </si>
  <si>
    <t>PFE (90%)</t>
  </si>
  <si>
    <t>EE</t>
  </si>
  <si>
    <t>A</t>
  </si>
  <si>
    <t>Swap rate</t>
  </si>
  <si>
    <r>
      <t>Volatility (</t>
    </r>
    <r>
      <rPr>
        <sz val="10"/>
        <rFont val="Symbol"/>
        <family val="1"/>
        <charset val="2"/>
      </rPr>
      <t>s)</t>
    </r>
  </si>
  <si>
    <t>Equilibrium (b)</t>
  </si>
  <si>
    <t>Mean reversion (a)</t>
  </si>
  <si>
    <t>Swap MtM</t>
  </si>
  <si>
    <t>Floating leg</t>
  </si>
  <si>
    <t>Fixed leg</t>
  </si>
  <si>
    <t>Time</t>
  </si>
  <si>
    <t>Parameters</t>
  </si>
  <si>
    <t>Discount factors</t>
  </si>
  <si>
    <t>Forward Swap</t>
  </si>
  <si>
    <t>Float</t>
  </si>
  <si>
    <t>Capcily (MWh)</t>
  </si>
  <si>
    <t>Pricing Model</t>
  </si>
  <si>
    <t>European</t>
  </si>
  <si>
    <t>Asian</t>
  </si>
  <si>
    <t>Option Pricing Model</t>
  </si>
  <si>
    <t>Generation_Profile</t>
  </si>
  <si>
    <t>VaR</t>
  </si>
  <si>
    <t>Contract_Price</t>
  </si>
  <si>
    <t>Cap</t>
  </si>
  <si>
    <t>Floor</t>
  </si>
  <si>
    <t>Volume</t>
  </si>
  <si>
    <t>VaR_Unhedge_MW</t>
  </si>
  <si>
    <t>VaR_Unhedge_USD</t>
  </si>
  <si>
    <t>NPV_VaR</t>
  </si>
  <si>
    <t>VaR_Shape</t>
  </si>
  <si>
    <t>Solar_VaR</t>
  </si>
  <si>
    <t>GO_Price</t>
  </si>
  <si>
    <t>GO_PnL</t>
  </si>
  <si>
    <t>Cumul_PnL</t>
  </si>
  <si>
    <t>Days</t>
  </si>
  <si>
    <t>Days_Avg</t>
  </si>
  <si>
    <t>Valuation Date</t>
  </si>
  <si>
    <t>Start Date</t>
  </si>
  <si>
    <t>End Date</t>
  </si>
  <si>
    <t>LR VoL</t>
  </si>
  <si>
    <t>Spot Vol</t>
  </si>
  <si>
    <t>MR rate</t>
  </si>
  <si>
    <t>Confidence Level</t>
  </si>
  <si>
    <t>Tenor</t>
  </si>
  <si>
    <t>Price</t>
  </si>
  <si>
    <t>Year</t>
  </si>
  <si>
    <t>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</si>
</sst>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0.0%"/>
    <numFmt numFmtId="165" formatCode="0.000"/>
    <numFmt numFmtId="166" formatCode="_-* #,##0.00\ _€_-;\-* #,##0.00\ _€_-;_-* &quot;-&quot;??\ _€_-;_-@_-"/>
    <numFmt numFmtId="167" formatCode="#,##0_ ;[Red]\-#,##0\ "/>
    <numFmt numFmtId="168" formatCode="#,##0.000_ ;[Red]\-#,##0.000\ "/>
    <numFmt numFmtId="169" formatCode="#,##0.00_ ;[Red]\-#,##0.00\ "/>
    <numFmt numFmtId="170" formatCode="0.00000"/>
    <numFmt numFmtId="171" formatCode="#,##0.0000_ ;[Red]\-#,##0.0000\ "/>
    <numFmt numFmtId="172" formatCode="#,##0.00000_ ;[Red]\-#,##0.00000\ "/>
    <numFmt numFmtId="173" formatCode="_(* #,##0_);_(* \(#,##0\);_(* &quot;-&quot;??_);_(@_)"/>
    <numFmt numFmtId="174" formatCode="#,##0.0_ ;[Red]\-#,##0.0\ "/>
    <numFmt numFmtId="175" formatCode="0.000%"/>
    <numFmt numFmtId="176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  <family val="2"/>
    </font>
    <font>
      <sz val="10"/>
      <color rgb="FF0000FF"/>
      <name val="Open Sans"/>
      <family val="2"/>
    </font>
    <font>
      <sz val="10"/>
      <name val="Open Sans"/>
      <family val="2"/>
    </font>
    <font>
      <b/>
      <sz val="10"/>
      <name val="Open Sans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name val="Symbol"/>
      <family val="1"/>
      <charset val="2"/>
    </font>
    <font>
      <b/>
      <i/>
      <sz val="1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14" fillId="0" borderId="0"/>
  </cellStyleXfs>
  <cellXfs count="123">
    <xf numFmtId="0" fontId="0" fillId="0" borderId="0" xfId="0"/>
    <xf numFmtId="0" fontId="0" fillId="2" borderId="0" xfId="0" applyFill="1"/>
    <xf numFmtId="0" fontId="2" fillId="3" borderId="1" xfId="0" applyFont="1" applyFill="1" applyBorder="1"/>
    <xf numFmtId="14" fontId="0" fillId="2" borderId="2" xfId="0" applyNumberFormat="1" applyFill="1" applyBorder="1"/>
    <xf numFmtId="0" fontId="3" fillId="3" borderId="3" xfId="0" applyFont="1" applyFill="1" applyBorder="1"/>
    <xf numFmtId="0" fontId="3" fillId="3" borderId="4" xfId="0" applyFont="1" applyFill="1" applyBorder="1"/>
    <xf numFmtId="9" fontId="4" fillId="2" borderId="5" xfId="0" applyNumberFormat="1" applyFont="1" applyFill="1" applyBorder="1"/>
    <xf numFmtId="0" fontId="3" fillId="3" borderId="6" xfId="0" applyFont="1" applyFill="1" applyBorder="1"/>
    <xf numFmtId="0" fontId="3" fillId="3" borderId="0" xfId="0" applyFont="1" applyFill="1"/>
    <xf numFmtId="0" fontId="4" fillId="2" borderId="7" xfId="0" applyFont="1" applyFill="1" applyBorder="1"/>
    <xf numFmtId="15" fontId="0" fillId="2" borderId="0" xfId="0" applyNumberFormat="1" applyFill="1"/>
    <xf numFmtId="9" fontId="4" fillId="2" borderId="7" xfId="0" applyNumberFormat="1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9" fontId="4" fillId="2" borderId="10" xfId="0" applyNumberFormat="1" applyFont="1" applyFill="1" applyBorder="1"/>
    <xf numFmtId="0" fontId="2" fillId="2" borderId="0" xfId="0" applyFont="1" applyFill="1"/>
    <xf numFmtId="0" fontId="5" fillId="2" borderId="0" xfId="0" applyFont="1" applyFill="1"/>
    <xf numFmtId="0" fontId="2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7" fontId="0" fillId="2" borderId="0" xfId="0" applyNumberFormat="1" applyFill="1" applyAlignment="1">
      <alignment horizontal="left"/>
    </xf>
    <xf numFmtId="15" fontId="0" fillId="2" borderId="0" xfId="0" applyNumberFormat="1" applyFill="1" applyAlignment="1">
      <alignment horizontal="left"/>
    </xf>
    <xf numFmtId="43" fontId="0" fillId="2" borderId="0" xfId="1" applyFont="1" applyFill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6" fontId="0" fillId="2" borderId="0" xfId="0" applyNumberFormat="1" applyFill="1"/>
    <xf numFmtId="2" fontId="0" fillId="2" borderId="0" xfId="0" applyNumberFormat="1" applyFill="1" applyAlignment="1">
      <alignment horizontal="left"/>
    </xf>
    <xf numFmtId="0" fontId="2" fillId="3" borderId="0" xfId="0" applyFont="1" applyFill="1" applyAlignment="1">
      <alignment vertical="center"/>
    </xf>
    <xf numFmtId="0" fontId="6" fillId="3" borderId="0" xfId="0" applyFont="1" applyFill="1" applyAlignment="1">
      <alignment horizontal="center"/>
    </xf>
    <xf numFmtId="167" fontId="0" fillId="2" borderId="0" xfId="0" applyNumberFormat="1" applyFill="1" applyAlignment="1">
      <alignment horizontal="center"/>
    </xf>
    <xf numFmtId="168" fontId="0" fillId="2" borderId="0" xfId="0" applyNumberFormat="1" applyFill="1" applyAlignment="1">
      <alignment horizontal="center"/>
    </xf>
    <xf numFmtId="9" fontId="0" fillId="2" borderId="0" xfId="2" applyFont="1" applyFill="1" applyAlignment="1">
      <alignment horizontal="center"/>
    </xf>
    <xf numFmtId="9" fontId="0" fillId="2" borderId="0" xfId="2" applyFont="1" applyFill="1"/>
    <xf numFmtId="169" fontId="0" fillId="2" borderId="0" xfId="0" applyNumberFormat="1" applyFill="1"/>
    <xf numFmtId="0" fontId="2" fillId="3" borderId="1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43" fontId="0" fillId="2" borderId="11" xfId="1" applyFont="1" applyFill="1" applyBorder="1" applyAlignment="1">
      <alignment horizontal="center"/>
    </xf>
    <xf numFmtId="43" fontId="0" fillId="2" borderId="0" xfId="1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vertical="center"/>
    </xf>
    <xf numFmtId="0" fontId="2" fillId="3" borderId="12" xfId="0" applyFont="1" applyFill="1" applyBorder="1" applyAlignment="1">
      <alignment vertical="center" wrapText="1"/>
    </xf>
    <xf numFmtId="164" fontId="0" fillId="2" borderId="0" xfId="2" applyNumberFormat="1" applyFont="1" applyFill="1" applyBorder="1" applyAlignment="1">
      <alignment horizontal="center"/>
    </xf>
    <xf numFmtId="164" fontId="0" fillId="2" borderId="12" xfId="2" applyNumberFormat="1" applyFont="1" applyFill="1" applyBorder="1" applyAlignment="1">
      <alignment horizontal="center"/>
    </xf>
    <xf numFmtId="0" fontId="0" fillId="2" borderId="0" xfId="0" applyFill="1" applyBorder="1"/>
    <xf numFmtId="14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left"/>
    </xf>
    <xf numFmtId="165" fontId="0" fillId="2" borderId="0" xfId="0" applyNumberFormat="1" applyFill="1"/>
    <xf numFmtId="168" fontId="0" fillId="2" borderId="0" xfId="0" applyNumberFormat="1" applyFill="1"/>
    <xf numFmtId="171" fontId="0" fillId="2" borderId="0" xfId="0" applyNumberFormat="1" applyFill="1"/>
    <xf numFmtId="172" fontId="0" fillId="2" borderId="0" xfId="0" applyNumberFormat="1" applyFill="1"/>
    <xf numFmtId="171" fontId="0" fillId="2" borderId="0" xfId="0" applyNumberFormat="1" applyFill="1" applyAlignment="1">
      <alignment horizontal="center"/>
    </xf>
    <xf numFmtId="170" fontId="0" fillId="2" borderId="0" xfId="2" applyNumberFormat="1" applyFont="1" applyFill="1" applyAlignment="1">
      <alignment horizontal="center"/>
    </xf>
    <xf numFmtId="2" fontId="0" fillId="2" borderId="0" xfId="2" applyNumberFormat="1" applyFont="1" applyFill="1" applyAlignment="1">
      <alignment horizontal="center"/>
    </xf>
    <xf numFmtId="9" fontId="0" fillId="2" borderId="0" xfId="0" applyNumberFormat="1" applyFill="1"/>
    <xf numFmtId="0" fontId="6" fillId="3" borderId="0" xfId="0" applyFont="1" applyFill="1" applyAlignment="1">
      <alignment horizontal="left"/>
    </xf>
    <xf numFmtId="0" fontId="10" fillId="2" borderId="0" xfId="0" applyFont="1" applyFill="1" applyAlignment="1">
      <alignment horizontal="left" vertical="top"/>
    </xf>
    <xf numFmtId="10" fontId="11" fillId="2" borderId="0" xfId="2" applyNumberFormat="1" applyFont="1" applyFill="1" applyAlignment="1">
      <alignment vertical="top"/>
    </xf>
    <xf numFmtId="0" fontId="10" fillId="2" borderId="0" xfId="0" applyFont="1" applyFill="1" applyAlignment="1">
      <alignment vertical="top"/>
    </xf>
    <xf numFmtId="0" fontId="11" fillId="2" borderId="0" xfId="0" applyFont="1" applyFill="1" applyAlignment="1">
      <alignment horizontal="right" vertical="top"/>
    </xf>
    <xf numFmtId="173" fontId="11" fillId="2" borderId="0" xfId="1" applyNumberFormat="1" applyFont="1" applyFill="1" applyAlignment="1">
      <alignment horizontal="right" vertical="top"/>
    </xf>
    <xf numFmtId="10" fontId="12" fillId="2" borderId="0" xfId="2" applyNumberFormat="1" applyFont="1" applyFill="1" applyAlignment="1">
      <alignment horizontal="right" vertical="top"/>
    </xf>
    <xf numFmtId="9" fontId="11" fillId="2" borderId="0" xfId="0" applyNumberFormat="1" applyFont="1" applyFill="1" applyAlignment="1">
      <alignment horizontal="right" vertical="top"/>
    </xf>
    <xf numFmtId="2" fontId="12" fillId="2" borderId="0" xfId="0" applyNumberFormat="1" applyFont="1" applyFill="1" applyAlignment="1">
      <alignment horizontal="right" vertical="top"/>
    </xf>
    <xf numFmtId="0" fontId="10" fillId="2" borderId="13" xfId="0" applyFont="1" applyFill="1" applyBorder="1" applyAlignment="1">
      <alignment horizontal="left" vertical="top"/>
    </xf>
    <xf numFmtId="0" fontId="9" fillId="2" borderId="14" xfId="0" applyFont="1" applyFill="1" applyBorder="1" applyAlignment="1">
      <alignment horizontal="left" vertical="top"/>
    </xf>
    <xf numFmtId="10" fontId="13" fillId="2" borderId="14" xfId="2" applyNumberFormat="1" applyFont="1" applyFill="1" applyBorder="1" applyAlignment="1">
      <alignment vertical="top"/>
    </xf>
    <xf numFmtId="2" fontId="12" fillId="2" borderId="0" xfId="0" applyNumberFormat="1" applyFont="1" applyFill="1" applyAlignment="1">
      <alignment vertical="top"/>
    </xf>
    <xf numFmtId="0" fontId="9" fillId="2" borderId="14" xfId="0" applyFont="1" applyFill="1" applyBorder="1" applyAlignment="1">
      <alignment vertical="top"/>
    </xf>
    <xf numFmtId="0" fontId="13" fillId="2" borderId="14" xfId="0" applyFont="1" applyFill="1" applyBorder="1" applyAlignment="1">
      <alignment vertical="top"/>
    </xf>
    <xf numFmtId="2" fontId="13" fillId="2" borderId="14" xfId="0" applyNumberFormat="1" applyFont="1" applyFill="1" applyBorder="1" applyAlignment="1">
      <alignment vertical="top"/>
    </xf>
    <xf numFmtId="10" fontId="0" fillId="2" borderId="0" xfId="0" applyNumberFormat="1" applyFill="1"/>
    <xf numFmtId="2" fontId="0" fillId="2" borderId="0" xfId="0" applyNumberFormat="1" applyFill="1"/>
    <xf numFmtId="174" fontId="0" fillId="2" borderId="0" xfId="0" applyNumberFormat="1" applyFill="1"/>
    <xf numFmtId="0" fontId="8" fillId="2" borderId="0" xfId="0" applyFont="1" applyFill="1"/>
    <xf numFmtId="0" fontId="14" fillId="0" borderId="0" xfId="3"/>
    <xf numFmtId="0" fontId="14" fillId="0" borderId="0" xfId="3" applyProtection="1">
      <protection locked="0"/>
    </xf>
    <xf numFmtId="175" fontId="0" fillId="0" borderId="0" xfId="4" applyNumberFormat="1" applyFont="1" applyProtection="1">
      <protection locked="0"/>
    </xf>
    <xf numFmtId="175" fontId="0" fillId="0" borderId="0" xfId="4" applyNumberFormat="1" applyFont="1"/>
    <xf numFmtId="10" fontId="0" fillId="0" borderId="0" xfId="4" applyNumberFormat="1" applyFont="1"/>
    <xf numFmtId="2" fontId="14" fillId="0" borderId="0" xfId="3" applyNumberFormat="1"/>
    <xf numFmtId="10" fontId="0" fillId="0" borderId="0" xfId="4" applyNumberFormat="1" applyFont="1" applyFill="1" applyBorder="1"/>
    <xf numFmtId="170" fontId="14" fillId="0" borderId="0" xfId="3" applyNumberFormat="1"/>
    <xf numFmtId="175" fontId="0" fillId="0" borderId="10" xfId="4" applyNumberFormat="1" applyFont="1" applyBorder="1"/>
    <xf numFmtId="176" fontId="14" fillId="0" borderId="15" xfId="3" applyNumberFormat="1" applyBorder="1"/>
    <xf numFmtId="176" fontId="14" fillId="0" borderId="9" xfId="3" applyNumberFormat="1" applyBorder="1"/>
    <xf numFmtId="10" fontId="0" fillId="0" borderId="15" xfId="4" applyNumberFormat="1" applyFont="1" applyBorder="1"/>
    <xf numFmtId="2" fontId="14" fillId="0" borderId="15" xfId="3" applyNumberFormat="1" applyBorder="1"/>
    <xf numFmtId="0" fontId="14" fillId="0" borderId="8" xfId="3" applyBorder="1"/>
    <xf numFmtId="10" fontId="0" fillId="0" borderId="12" xfId="4" applyNumberFormat="1" applyFont="1" applyBorder="1"/>
    <xf numFmtId="176" fontId="14" fillId="0" borderId="0" xfId="3" applyNumberFormat="1"/>
    <xf numFmtId="175" fontId="0" fillId="0" borderId="7" xfId="4" applyNumberFormat="1" applyFont="1" applyBorder="1"/>
    <xf numFmtId="176" fontId="14" fillId="0" borderId="16" xfId="3" applyNumberFormat="1" applyBorder="1"/>
    <xf numFmtId="10" fontId="0" fillId="0" borderId="16" xfId="4" applyNumberFormat="1" applyFont="1" applyBorder="1"/>
    <xf numFmtId="2" fontId="14" fillId="0" borderId="16" xfId="3" applyNumberFormat="1" applyBorder="1"/>
    <xf numFmtId="0" fontId="14" fillId="0" borderId="6" xfId="3" applyBorder="1"/>
    <xf numFmtId="10" fontId="15" fillId="0" borderId="17" xfId="3" applyNumberFormat="1" applyFont="1" applyBorder="1"/>
    <xf numFmtId="164" fontId="15" fillId="0" borderId="18" xfId="4" applyNumberFormat="1" applyFont="1" applyBorder="1"/>
    <xf numFmtId="2" fontId="15" fillId="0" borderId="18" xfId="3" applyNumberFormat="1" applyFont="1" applyBorder="1"/>
    <xf numFmtId="164" fontId="15" fillId="0" borderId="19" xfId="4" applyNumberFormat="1" applyFont="1" applyBorder="1"/>
    <xf numFmtId="0" fontId="14" fillId="0" borderId="3" xfId="3" applyBorder="1"/>
    <xf numFmtId="0" fontId="14" fillId="0" borderId="20" xfId="3" applyBorder="1"/>
    <xf numFmtId="0" fontId="14" fillId="0" borderId="21" xfId="3" applyBorder="1"/>
    <xf numFmtId="0" fontId="14" fillId="0" borderId="22" xfId="3" applyBorder="1"/>
    <xf numFmtId="0" fontId="14" fillId="0" borderId="1" xfId="3" applyBorder="1"/>
    <xf numFmtId="0" fontId="14" fillId="4" borderId="0" xfId="5" applyFill="1"/>
    <xf numFmtId="0" fontId="6" fillId="3" borderId="0" xfId="0" applyFont="1" applyFill="1" applyAlignment="1">
      <alignment horizontal="center"/>
    </xf>
    <xf numFmtId="2" fontId="0" fillId="0" borderId="0" xfId="4" applyNumberFormat="1" applyFont="1" applyBorder="1"/>
    <xf numFmtId="0" fontId="14" fillId="0" borderId="0" xfId="3" applyBorder="1"/>
    <xf numFmtId="175" fontId="0" fillId="0" borderId="0" xfId="4" applyNumberFormat="1" applyFont="1" applyBorder="1"/>
    <xf numFmtId="0" fontId="17" fillId="0" borderId="1" xfId="3" applyFont="1" applyBorder="1" applyAlignment="1">
      <alignment horizontal="center"/>
    </xf>
    <xf numFmtId="0" fontId="17" fillId="0" borderId="20" xfId="3" applyFont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4" fillId="2" borderId="5" xfId="0" applyFont="1" applyFill="1" applyBorder="1"/>
    <xf numFmtId="0" fontId="3" fillId="3" borderId="0" xfId="0" applyFont="1" applyFill="1" applyBorder="1"/>
    <xf numFmtId="0" fontId="0" fillId="0" borderId="0" xfId="0" applyBorder="1"/>
    <xf numFmtId="2" fontId="14" fillId="0" borderId="0" xfId="3" applyNumberFormat="1" applyBorder="1"/>
    <xf numFmtId="0" fontId="8" fillId="0" borderId="0" xfId="0" applyFont="1" applyBorder="1"/>
    <xf numFmtId="164" fontId="15" fillId="0" borderId="0" xfId="4" applyNumberFormat="1" applyFont="1" applyBorder="1"/>
    <xf numFmtId="2" fontId="15" fillId="0" borderId="0" xfId="3" applyNumberFormat="1" applyFont="1" applyBorder="1"/>
    <xf numFmtId="2" fontId="15" fillId="0" borderId="0" xfId="4" applyNumberFormat="1" applyFont="1" applyBorder="1"/>
    <xf numFmtId="176" fontId="14" fillId="0" borderId="0" xfId="3" applyNumberFormat="1" applyBorder="1"/>
    <xf numFmtId="2" fontId="0" fillId="0" borderId="0" xfId="0" applyNumberFormat="1" applyBorder="1"/>
    <xf numFmtId="0" fontId="17" fillId="0" borderId="20" xfId="3" applyFont="1" applyBorder="1" applyAlignment="1"/>
    <xf numFmtId="0" fontId="0" fillId="0" borderId="0" xfId="0" applyFill="1" applyBorder="1"/>
  </cellXfs>
  <cellStyles count="6">
    <cellStyle name="Comma" xfId="1" builtinId="3"/>
    <cellStyle name="Normal" xfId="0" builtinId="0"/>
    <cellStyle name="Normal 2 2" xfId="3" xr:uid="{C60005C4-4712-425B-92B4-0A5437E39CB9}"/>
    <cellStyle name="Normal_LFS_CollateralandCntrptyRisk" xfId="5" xr:uid="{C7E2EE5F-58C2-4938-A5C0-2C227803AD4D}"/>
    <cellStyle name="Percent" xfId="2" builtinId="5"/>
    <cellStyle name="Percent 2" xfId="4" xr:uid="{A20ACAAC-CAD6-4F2A-8EE3-47270CC86D6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externalLink" Target="externalLinks/externalLink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externalLink" Target="externalLinks/externalLink15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externalLink" Target="externalLinks/externalLink1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externalLink" Target="externalLinks/externalLink14.xml"/><Relationship Id="rId30" Type="http://schemas.openxmlformats.org/officeDocument/2006/relationships/externalLink" Target="externalLinks/externalLink17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081145584725538"/>
          <c:y val="8.6539463465943156E-2"/>
          <c:w val="0.81948188139352729"/>
          <c:h val="0.747805007520127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PFE!$E$53:$E$93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-1.6113727497887143E-2</c:v>
                </c:pt>
                <c:pt idx="2">
                  <c:v>-3.8748040219780511E-2</c:v>
                </c:pt>
                <c:pt idx="3">
                  <c:v>-4.6564291127135005E-2</c:v>
                </c:pt>
                <c:pt idx="4">
                  <c:v>-5.8723169248725504E-2</c:v>
                </c:pt>
                <c:pt idx="5">
                  <c:v>-8.6339291714982114E-2</c:v>
                </c:pt>
                <c:pt idx="6">
                  <c:v>-5.660037750601471E-2</c:v>
                </c:pt>
                <c:pt idx="7">
                  <c:v>-9.2293455768919341E-2</c:v>
                </c:pt>
                <c:pt idx="8">
                  <c:v>-0.10603218749322008</c:v>
                </c:pt>
                <c:pt idx="9">
                  <c:v>-3.473643756031386E-2</c:v>
                </c:pt>
                <c:pt idx="10">
                  <c:v>-4.7926872381496732E-2</c:v>
                </c:pt>
                <c:pt idx="11">
                  <c:v>-5.2501187806314187E-3</c:v>
                </c:pt>
                <c:pt idx="12">
                  <c:v>-5.7926441896639091E-2</c:v>
                </c:pt>
                <c:pt idx="13">
                  <c:v>-6.088674768095742E-2</c:v>
                </c:pt>
                <c:pt idx="14">
                  <c:v>-8.9704743695913802E-2</c:v>
                </c:pt>
                <c:pt idx="15">
                  <c:v>-9.5224207234834435E-2</c:v>
                </c:pt>
                <c:pt idx="16">
                  <c:v>-0.13328058592142256</c:v>
                </c:pt>
                <c:pt idx="17">
                  <c:v>-0.12031797618034051</c:v>
                </c:pt>
                <c:pt idx="18">
                  <c:v>-0.10461162206451421</c:v>
                </c:pt>
                <c:pt idx="19">
                  <c:v>-0.12378224929341036</c:v>
                </c:pt>
                <c:pt idx="20">
                  <c:v>-0.13535195736759975</c:v>
                </c:pt>
                <c:pt idx="21">
                  <c:v>-0.10757479833438188</c:v>
                </c:pt>
                <c:pt idx="22">
                  <c:v>-8.9629628957222957E-2</c:v>
                </c:pt>
                <c:pt idx="23">
                  <c:v>-6.3683331754632144E-2</c:v>
                </c:pt>
                <c:pt idx="24">
                  <c:v>-4.0024872873020839E-2</c:v>
                </c:pt>
                <c:pt idx="25">
                  <c:v>-2.522784443537196E-2</c:v>
                </c:pt>
                <c:pt idx="26">
                  <c:v>-3.6894371370968876E-2</c:v>
                </c:pt>
                <c:pt idx="27">
                  <c:v>-4.0324546266104322E-2</c:v>
                </c:pt>
                <c:pt idx="28">
                  <c:v>-5.026445319637951E-2</c:v>
                </c:pt>
                <c:pt idx="29">
                  <c:v>-6.5556865437269018E-2</c:v>
                </c:pt>
                <c:pt idx="30">
                  <c:v>-6.8081311593139515E-2</c:v>
                </c:pt>
                <c:pt idx="31">
                  <c:v>-6.4733927813131115E-2</c:v>
                </c:pt>
                <c:pt idx="32">
                  <c:v>-4.8581990745384718E-2</c:v>
                </c:pt>
                <c:pt idx="33">
                  <c:v>-3.1161752004473742E-2</c:v>
                </c:pt>
                <c:pt idx="34">
                  <c:v>-2.4878670241061246E-2</c:v>
                </c:pt>
                <c:pt idx="35">
                  <c:v>-2.2347678825150603E-2</c:v>
                </c:pt>
                <c:pt idx="36">
                  <c:v>-1.5013327803688414E-2</c:v>
                </c:pt>
                <c:pt idx="37">
                  <c:v>-9.6466690110548342E-3</c:v>
                </c:pt>
                <c:pt idx="38">
                  <c:v>-4.5698547714126785E-3</c:v>
                </c:pt>
                <c:pt idx="39">
                  <c:v>-1.0011343260668496E-3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5A-49A6-8ED6-3CA41D03DC8D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PFE!$F$53:$F$93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2.8484709823477006E-2</c:v>
                </c:pt>
                <c:pt idx="2">
                  <c:v>3.5145221789240622E-2</c:v>
                </c:pt>
                <c:pt idx="3">
                  <c:v>5.4112611868775307E-2</c:v>
                </c:pt>
                <c:pt idx="4">
                  <c:v>4.8322691138422025E-2</c:v>
                </c:pt>
                <c:pt idx="5">
                  <c:v>2.8680530081300781E-2</c:v>
                </c:pt>
                <c:pt idx="6">
                  <c:v>2.3423316080509571E-2</c:v>
                </c:pt>
                <c:pt idx="7">
                  <c:v>2.373096847579681E-2</c:v>
                </c:pt>
                <c:pt idx="8">
                  <c:v>2.1224731272152131E-2</c:v>
                </c:pt>
                <c:pt idx="9">
                  <c:v>-3.7270692763070601E-3</c:v>
                </c:pt>
                <c:pt idx="10">
                  <c:v>1.7269080882869214E-2</c:v>
                </c:pt>
                <c:pt idx="11">
                  <c:v>-1.2958495590617014E-2</c:v>
                </c:pt>
                <c:pt idx="12">
                  <c:v>-9.9748423293057331E-3</c:v>
                </c:pt>
                <c:pt idx="13">
                  <c:v>9.7623550390046887E-3</c:v>
                </c:pt>
                <c:pt idx="14">
                  <c:v>4.4718158823948584E-2</c:v>
                </c:pt>
                <c:pt idx="15">
                  <c:v>5.5210631627994999E-2</c:v>
                </c:pt>
                <c:pt idx="16">
                  <c:v>6.2162571647744802E-2</c:v>
                </c:pt>
                <c:pt idx="17">
                  <c:v>6.2061961687591261E-2</c:v>
                </c:pt>
                <c:pt idx="18">
                  <c:v>8.3655239063959774E-2</c:v>
                </c:pt>
                <c:pt idx="19">
                  <c:v>7.3159681503390639E-2</c:v>
                </c:pt>
                <c:pt idx="20">
                  <c:v>4.8484566006742696E-2</c:v>
                </c:pt>
                <c:pt idx="21">
                  <c:v>4.6407026945169849E-2</c:v>
                </c:pt>
                <c:pt idx="22">
                  <c:v>5.1213870392429584E-2</c:v>
                </c:pt>
                <c:pt idx="23">
                  <c:v>7.1915124949451126E-2</c:v>
                </c:pt>
                <c:pt idx="24">
                  <c:v>8.8661899567003877E-2</c:v>
                </c:pt>
                <c:pt idx="25">
                  <c:v>8.4378680175129034E-2</c:v>
                </c:pt>
                <c:pt idx="26">
                  <c:v>9.7652663227675102E-2</c:v>
                </c:pt>
                <c:pt idx="27">
                  <c:v>7.3447677246131438E-2</c:v>
                </c:pt>
                <c:pt idx="28">
                  <c:v>7.9116961807682407E-2</c:v>
                </c:pt>
                <c:pt idx="29">
                  <c:v>7.3223498306430906E-2</c:v>
                </c:pt>
                <c:pt idx="30">
                  <c:v>9.09186844278011E-2</c:v>
                </c:pt>
                <c:pt idx="31">
                  <c:v>8.0938829908867527E-2</c:v>
                </c:pt>
                <c:pt idx="32">
                  <c:v>5.9863503224769507E-2</c:v>
                </c:pt>
                <c:pt idx="33">
                  <c:v>4.7148311226006406E-2</c:v>
                </c:pt>
                <c:pt idx="34">
                  <c:v>4.0214288951990806E-2</c:v>
                </c:pt>
                <c:pt idx="35">
                  <c:v>3.2957693687864491E-2</c:v>
                </c:pt>
                <c:pt idx="36">
                  <c:v>2.6358247233423407E-2</c:v>
                </c:pt>
                <c:pt idx="37">
                  <c:v>2.1636867675292708E-2</c:v>
                </c:pt>
                <c:pt idx="38">
                  <c:v>1.3854171637307192E-2</c:v>
                </c:pt>
                <c:pt idx="39">
                  <c:v>8.2035460686916053E-3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5A-49A6-8ED6-3CA41D03DC8D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PFE!$G$53:$G$93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-2.0191285605593357E-2</c:v>
                </c:pt>
                <c:pt idx="2">
                  <c:v>8.1452418564479379E-3</c:v>
                </c:pt>
                <c:pt idx="3">
                  <c:v>3.802635882611427E-2</c:v>
                </c:pt>
                <c:pt idx="4">
                  <c:v>6.4118206348872164E-2</c:v>
                </c:pt>
                <c:pt idx="5">
                  <c:v>0.10180597947926107</c:v>
                </c:pt>
                <c:pt idx="6">
                  <c:v>0.14263438517667204</c:v>
                </c:pt>
                <c:pt idx="7">
                  <c:v>0.12595039753773241</c:v>
                </c:pt>
                <c:pt idx="8">
                  <c:v>0.10860414888415748</c:v>
                </c:pt>
                <c:pt idx="9">
                  <c:v>0.16518426215633786</c:v>
                </c:pt>
                <c:pt idx="10">
                  <c:v>0.16780096169194547</c:v>
                </c:pt>
                <c:pt idx="11">
                  <c:v>0.16275043705369274</c:v>
                </c:pt>
                <c:pt idx="12">
                  <c:v>0.17902328587182825</c:v>
                </c:pt>
                <c:pt idx="13">
                  <c:v>0.21313911922168244</c:v>
                </c:pt>
                <c:pt idx="14">
                  <c:v>0.21728725745996957</c:v>
                </c:pt>
                <c:pt idx="15">
                  <c:v>0.17805597492602254</c:v>
                </c:pt>
                <c:pt idx="16">
                  <c:v>0.20109932657844048</c:v>
                </c:pt>
                <c:pt idx="17">
                  <c:v>0.19163345791695585</c:v>
                </c:pt>
                <c:pt idx="18">
                  <c:v>0.1857846936223741</c:v>
                </c:pt>
                <c:pt idx="19">
                  <c:v>0.1784957501230196</c:v>
                </c:pt>
                <c:pt idx="20">
                  <c:v>0.14733328880781693</c:v>
                </c:pt>
                <c:pt idx="21">
                  <c:v>0.13185305388936513</c:v>
                </c:pt>
                <c:pt idx="22">
                  <c:v>0.13050039503119162</c:v>
                </c:pt>
                <c:pt idx="23">
                  <c:v>0.10004401202625143</c:v>
                </c:pt>
                <c:pt idx="24">
                  <c:v>8.6913206571485047E-2</c:v>
                </c:pt>
                <c:pt idx="25">
                  <c:v>8.9723137484455762E-2</c:v>
                </c:pt>
                <c:pt idx="26">
                  <c:v>0.10066554327629293</c:v>
                </c:pt>
                <c:pt idx="27">
                  <c:v>8.5293851837608653E-2</c:v>
                </c:pt>
                <c:pt idx="28">
                  <c:v>9.1794549855295199E-2</c:v>
                </c:pt>
                <c:pt idx="29">
                  <c:v>0.11268380690265201</c:v>
                </c:pt>
                <c:pt idx="30">
                  <c:v>0.1139875446993433</c:v>
                </c:pt>
                <c:pt idx="31">
                  <c:v>8.2890525251353986E-2</c:v>
                </c:pt>
                <c:pt idx="32">
                  <c:v>7.8320766611810089E-2</c:v>
                </c:pt>
                <c:pt idx="33">
                  <c:v>6.2629718042502502E-2</c:v>
                </c:pt>
                <c:pt idx="34">
                  <c:v>4.4249988529527315E-2</c:v>
                </c:pt>
                <c:pt idx="35">
                  <c:v>3.6442406588709321E-2</c:v>
                </c:pt>
                <c:pt idx="36">
                  <c:v>1.6940782498784432E-2</c:v>
                </c:pt>
                <c:pt idx="37">
                  <c:v>1.5076035053692649E-2</c:v>
                </c:pt>
                <c:pt idx="38">
                  <c:v>1.0433386624811542E-2</c:v>
                </c:pt>
                <c:pt idx="39">
                  <c:v>3.5018355991532826E-3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5A-49A6-8ED6-3CA41D03DC8D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PFE!$I$53:$I$93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2.3638228487745994E-2</c:v>
                </c:pt>
                <c:pt idx="2">
                  <c:v>3.9502595365986326E-2</c:v>
                </c:pt>
                <c:pt idx="3">
                  <c:v>5.308796476222355E-2</c:v>
                </c:pt>
                <c:pt idx="4">
                  <c:v>7.575967783117471E-2</c:v>
                </c:pt>
                <c:pt idx="5">
                  <c:v>4.141910768231738E-2</c:v>
                </c:pt>
                <c:pt idx="6">
                  <c:v>5.660355668970285E-2</c:v>
                </c:pt>
                <c:pt idx="7">
                  <c:v>4.0958831579978205E-2</c:v>
                </c:pt>
                <c:pt idx="8">
                  <c:v>7.5213228627168283E-2</c:v>
                </c:pt>
                <c:pt idx="9">
                  <c:v>8.9739492945017929E-2</c:v>
                </c:pt>
                <c:pt idx="10">
                  <c:v>8.6500517598168403E-2</c:v>
                </c:pt>
                <c:pt idx="11">
                  <c:v>7.4664308926674083E-2</c:v>
                </c:pt>
                <c:pt idx="12">
                  <c:v>6.6643933499894725E-2</c:v>
                </c:pt>
                <c:pt idx="13">
                  <c:v>6.313037339235622E-2</c:v>
                </c:pt>
                <c:pt idx="14">
                  <c:v>6.4648604804219301E-2</c:v>
                </c:pt>
                <c:pt idx="15">
                  <c:v>7.6722140530092464E-2</c:v>
                </c:pt>
                <c:pt idx="16">
                  <c:v>3.9299247892760236E-2</c:v>
                </c:pt>
                <c:pt idx="17">
                  <c:v>2.5083094798435179E-2</c:v>
                </c:pt>
                <c:pt idx="18">
                  <c:v>9.3276493117692427E-3</c:v>
                </c:pt>
                <c:pt idx="19">
                  <c:v>2.0583784440075359E-2</c:v>
                </c:pt>
                <c:pt idx="20">
                  <c:v>2.9641918546057078E-2</c:v>
                </c:pt>
                <c:pt idx="21">
                  <c:v>2.9435756843713995E-2</c:v>
                </c:pt>
                <c:pt idx="22">
                  <c:v>3.3774255653626462E-2</c:v>
                </c:pt>
                <c:pt idx="23">
                  <c:v>1.6668494974316772E-2</c:v>
                </c:pt>
                <c:pt idx="24">
                  <c:v>7.5133965442337747E-3</c:v>
                </c:pt>
                <c:pt idx="25">
                  <c:v>4.7051614740737935E-3</c:v>
                </c:pt>
                <c:pt idx="26">
                  <c:v>1.3041083445938906E-2</c:v>
                </c:pt>
                <c:pt idx="27">
                  <c:v>1.1561583365366584E-2</c:v>
                </c:pt>
                <c:pt idx="28">
                  <c:v>2.1062127467907366E-2</c:v>
                </c:pt>
                <c:pt idx="29">
                  <c:v>6.147375914431874E-3</c:v>
                </c:pt>
                <c:pt idx="30">
                  <c:v>8.8911638302135859E-3</c:v>
                </c:pt>
                <c:pt idx="31">
                  <c:v>1.6426117682473595E-2</c:v>
                </c:pt>
                <c:pt idx="32">
                  <c:v>-3.6609596789305698E-3</c:v>
                </c:pt>
                <c:pt idx="33">
                  <c:v>-5.3232236779143793E-3</c:v>
                </c:pt>
                <c:pt idx="34">
                  <c:v>-9.1136098141238325E-3</c:v>
                </c:pt>
                <c:pt idx="35">
                  <c:v>-5.8990298810380343E-4</c:v>
                </c:pt>
                <c:pt idx="36">
                  <c:v>1.8258640797231274E-3</c:v>
                </c:pt>
                <c:pt idx="37">
                  <c:v>-6.4885070785101334E-4</c:v>
                </c:pt>
                <c:pt idx="38">
                  <c:v>-4.6969294887012486E-3</c:v>
                </c:pt>
                <c:pt idx="39">
                  <c:v>-2.0516943689535879E-3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5A-49A6-8ED6-3CA41D03DC8D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PFE!$J$53:$J$93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-3.8749586085381482E-3</c:v>
                </c:pt>
                <c:pt idx="2">
                  <c:v>-4.0279121864622569E-4</c:v>
                </c:pt>
                <c:pt idx="3">
                  <c:v>-5.0839012259205396E-2</c:v>
                </c:pt>
                <c:pt idx="4">
                  <c:v>-6.7280481758604682E-2</c:v>
                </c:pt>
                <c:pt idx="5">
                  <c:v>-5.221321213079122E-2</c:v>
                </c:pt>
                <c:pt idx="6">
                  <c:v>-9.4074769874158137E-2</c:v>
                </c:pt>
                <c:pt idx="7">
                  <c:v>-0.10946518297230889</c:v>
                </c:pt>
                <c:pt idx="8">
                  <c:v>-8.8028119921568115E-2</c:v>
                </c:pt>
                <c:pt idx="9">
                  <c:v>-9.9612549915896742E-2</c:v>
                </c:pt>
                <c:pt idx="10">
                  <c:v>-8.7193369482939043E-2</c:v>
                </c:pt>
                <c:pt idx="11">
                  <c:v>-8.0729109277134448E-2</c:v>
                </c:pt>
                <c:pt idx="12">
                  <c:v>-8.4463525316749388E-2</c:v>
                </c:pt>
                <c:pt idx="13">
                  <c:v>-6.4231019520290367E-2</c:v>
                </c:pt>
                <c:pt idx="14">
                  <c:v>-7.0708796066733137E-2</c:v>
                </c:pt>
                <c:pt idx="15">
                  <c:v>-5.5514599409438703E-2</c:v>
                </c:pt>
                <c:pt idx="16">
                  <c:v>-5.626807580922924E-2</c:v>
                </c:pt>
                <c:pt idx="17">
                  <c:v>-5.1857035638893628E-2</c:v>
                </c:pt>
                <c:pt idx="18">
                  <c:v>-7.1521840064148717E-2</c:v>
                </c:pt>
                <c:pt idx="19">
                  <c:v>-5.9103927500611997E-2</c:v>
                </c:pt>
                <c:pt idx="20">
                  <c:v>-6.9683424685295037E-2</c:v>
                </c:pt>
                <c:pt idx="21">
                  <c:v>-6.0609971630725401E-2</c:v>
                </c:pt>
                <c:pt idx="22">
                  <c:v>-4.7407133390555634E-2</c:v>
                </c:pt>
                <c:pt idx="23">
                  <c:v>-2.458066923326685E-2</c:v>
                </c:pt>
                <c:pt idx="24">
                  <c:v>-1.8427198212425722E-2</c:v>
                </c:pt>
                <c:pt idx="25">
                  <c:v>-1.7575166466475306E-2</c:v>
                </c:pt>
                <c:pt idx="26">
                  <c:v>-2.5584847165826236E-2</c:v>
                </c:pt>
                <c:pt idx="27">
                  <c:v>-2.976420574473318E-2</c:v>
                </c:pt>
                <c:pt idx="28">
                  <c:v>-2.6794791857063904E-2</c:v>
                </c:pt>
                <c:pt idx="29">
                  <c:v>-2.9802721574123919E-2</c:v>
                </c:pt>
                <c:pt idx="30">
                  <c:v>-1.4244806020635686E-2</c:v>
                </c:pt>
                <c:pt idx="31">
                  <c:v>-2.1417110626597902E-2</c:v>
                </c:pt>
                <c:pt idx="32">
                  <c:v>-1.6716732985986194E-2</c:v>
                </c:pt>
                <c:pt idx="33">
                  <c:v>-1.4756539116741782E-2</c:v>
                </c:pt>
                <c:pt idx="34">
                  <c:v>-1.2522782153585085E-2</c:v>
                </c:pt>
                <c:pt idx="35">
                  <c:v>-8.9075093438688649E-3</c:v>
                </c:pt>
                <c:pt idx="36">
                  <c:v>-1.8400168522627117E-3</c:v>
                </c:pt>
                <c:pt idx="37">
                  <c:v>-4.5678057119751883E-3</c:v>
                </c:pt>
                <c:pt idx="38">
                  <c:v>-4.9721661242762422E-3</c:v>
                </c:pt>
                <c:pt idx="39">
                  <c:v>-2.2136963030443997E-3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45A-49A6-8ED6-3CA41D03DC8D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PFE!$K$53:$K$93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3.1457986456041809E-2</c:v>
                </c:pt>
                <c:pt idx="2">
                  <c:v>6.057278800685445E-2</c:v>
                </c:pt>
                <c:pt idx="3">
                  <c:v>6.1837630155827661E-2</c:v>
                </c:pt>
                <c:pt idx="4">
                  <c:v>-7.3919743538186644E-4</c:v>
                </c:pt>
                <c:pt idx="5">
                  <c:v>-1.076766739569418E-2</c:v>
                </c:pt>
                <c:pt idx="6">
                  <c:v>-1.1262626377923635E-2</c:v>
                </c:pt>
                <c:pt idx="7">
                  <c:v>-1.8284697420774154E-2</c:v>
                </c:pt>
                <c:pt idx="8">
                  <c:v>-2.4428258285514759E-2</c:v>
                </c:pt>
                <c:pt idx="9">
                  <c:v>3.2770631099691139E-3</c:v>
                </c:pt>
                <c:pt idx="10">
                  <c:v>1.2587621738692822E-2</c:v>
                </c:pt>
                <c:pt idx="11">
                  <c:v>1.4822880640145142E-3</c:v>
                </c:pt>
                <c:pt idx="12">
                  <c:v>-3.2648940961138573E-4</c:v>
                </c:pt>
                <c:pt idx="13">
                  <c:v>-4.0979484153837897E-2</c:v>
                </c:pt>
                <c:pt idx="14">
                  <c:v>-5.7257151655228933E-3</c:v>
                </c:pt>
                <c:pt idx="15">
                  <c:v>1.1970305201499054E-2</c:v>
                </c:pt>
                <c:pt idx="16">
                  <c:v>3.1840434243947058E-2</c:v>
                </c:pt>
                <c:pt idx="17">
                  <c:v>2.5438400179956133E-2</c:v>
                </c:pt>
                <c:pt idx="18">
                  <c:v>-4.1594846455411671E-3</c:v>
                </c:pt>
                <c:pt idx="19">
                  <c:v>4.1132431346541237E-2</c:v>
                </c:pt>
                <c:pt idx="20">
                  <c:v>5.4953409853478713E-2</c:v>
                </c:pt>
                <c:pt idx="21">
                  <c:v>4.2129569294076213E-2</c:v>
                </c:pt>
                <c:pt idx="22">
                  <c:v>3.7981815283772896E-2</c:v>
                </c:pt>
                <c:pt idx="23">
                  <c:v>1.5240118182002077E-2</c:v>
                </c:pt>
                <c:pt idx="24">
                  <c:v>-1.4369396576555504E-2</c:v>
                </c:pt>
                <c:pt idx="25">
                  <c:v>-2.3701298085665984E-2</c:v>
                </c:pt>
                <c:pt idx="26">
                  <c:v>-2.344671394878009E-2</c:v>
                </c:pt>
                <c:pt idx="27">
                  <c:v>-1.0308085377162185E-2</c:v>
                </c:pt>
                <c:pt idx="28">
                  <c:v>1.1892066021690906E-3</c:v>
                </c:pt>
                <c:pt idx="29">
                  <c:v>3.2436411055505598E-2</c:v>
                </c:pt>
                <c:pt idx="30">
                  <c:v>2.6304469060026134E-2</c:v>
                </c:pt>
                <c:pt idx="31">
                  <c:v>2.4176943802815209E-2</c:v>
                </c:pt>
                <c:pt idx="32">
                  <c:v>2.8129136582682221E-2</c:v>
                </c:pt>
                <c:pt idx="33">
                  <c:v>2.5677587381157108E-2</c:v>
                </c:pt>
                <c:pt idx="34">
                  <c:v>2.1222169671895261E-2</c:v>
                </c:pt>
                <c:pt idx="35">
                  <c:v>1.0624542861053937E-2</c:v>
                </c:pt>
                <c:pt idx="36">
                  <c:v>7.4346327741635493E-3</c:v>
                </c:pt>
                <c:pt idx="37">
                  <c:v>-1.3961023229541736E-4</c:v>
                </c:pt>
                <c:pt idx="38">
                  <c:v>2.8872943148716967E-3</c:v>
                </c:pt>
                <c:pt idx="39">
                  <c:v>3.0746346412843274E-4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45A-49A6-8ED6-3CA41D03DC8D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PFE!$L$53:$L$93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1.8739465629331153E-2</c:v>
                </c:pt>
                <c:pt idx="2">
                  <c:v>-2.6490770972498745E-3</c:v>
                </c:pt>
                <c:pt idx="3">
                  <c:v>-2.2390364304950061E-2</c:v>
                </c:pt>
                <c:pt idx="4">
                  <c:v>-1.3366130324027892E-3</c:v>
                </c:pt>
                <c:pt idx="5">
                  <c:v>-1.9079987297748735E-2</c:v>
                </c:pt>
                <c:pt idx="6">
                  <c:v>-5.0048968230333446E-3</c:v>
                </c:pt>
                <c:pt idx="7">
                  <c:v>1.4154421663180317E-2</c:v>
                </c:pt>
                <c:pt idx="8">
                  <c:v>1.4919726722850968E-2</c:v>
                </c:pt>
                <c:pt idx="9">
                  <c:v>-1.1349005720819261E-2</c:v>
                </c:pt>
                <c:pt idx="10">
                  <c:v>-1.096053297622579E-2</c:v>
                </c:pt>
                <c:pt idx="11">
                  <c:v>1.7019624308194259E-2</c:v>
                </c:pt>
                <c:pt idx="12">
                  <c:v>1.7037965437360358E-2</c:v>
                </c:pt>
                <c:pt idx="13">
                  <c:v>5.0942330215328624E-2</c:v>
                </c:pt>
                <c:pt idx="14">
                  <c:v>9.7805858196843065E-2</c:v>
                </c:pt>
                <c:pt idx="15">
                  <c:v>0.108971327547361</c:v>
                </c:pt>
                <c:pt idx="16">
                  <c:v>0.12406196526387825</c:v>
                </c:pt>
                <c:pt idx="17">
                  <c:v>0.1020262357862744</c:v>
                </c:pt>
                <c:pt idx="18">
                  <c:v>6.3133550570027536E-2</c:v>
                </c:pt>
                <c:pt idx="19">
                  <c:v>1.7686625534033884E-2</c:v>
                </c:pt>
                <c:pt idx="20">
                  <c:v>-6.7380522927771858E-3</c:v>
                </c:pt>
                <c:pt idx="21">
                  <c:v>-2.3953461768099482E-2</c:v>
                </c:pt>
                <c:pt idx="22">
                  <c:v>4.9343283909930591E-5</c:v>
                </c:pt>
                <c:pt idx="23">
                  <c:v>1.7897651904160233E-2</c:v>
                </c:pt>
                <c:pt idx="24">
                  <c:v>-5.8109671732642365E-5</c:v>
                </c:pt>
                <c:pt idx="25">
                  <c:v>1.1538724062254063E-2</c:v>
                </c:pt>
                <c:pt idx="26">
                  <c:v>2.3703202894488129E-2</c:v>
                </c:pt>
                <c:pt idx="27">
                  <c:v>1.7541815108687103E-2</c:v>
                </c:pt>
                <c:pt idx="28">
                  <c:v>6.7905584224241256E-3</c:v>
                </c:pt>
                <c:pt idx="29">
                  <c:v>-1.8572627909403672E-3</c:v>
                </c:pt>
                <c:pt idx="30">
                  <c:v>-9.3352769587597001E-3</c:v>
                </c:pt>
                <c:pt idx="31">
                  <c:v>-1.5078321427662578E-2</c:v>
                </c:pt>
                <c:pt idx="32">
                  <c:v>-7.0366310659716325E-3</c:v>
                </c:pt>
                <c:pt idx="33">
                  <c:v>-4.5669788334833372E-3</c:v>
                </c:pt>
                <c:pt idx="34">
                  <c:v>-3.979099681375789E-3</c:v>
                </c:pt>
                <c:pt idx="35">
                  <c:v>-3.6378009519827462E-3</c:v>
                </c:pt>
                <c:pt idx="36">
                  <c:v>-7.3936223268526308E-3</c:v>
                </c:pt>
                <c:pt idx="37">
                  <c:v>-9.7585837752700438E-3</c:v>
                </c:pt>
                <c:pt idx="38">
                  <c:v>-7.1405958689089791E-3</c:v>
                </c:pt>
                <c:pt idx="39">
                  <c:v>-4.5300731616973178E-3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45A-49A6-8ED6-3CA41D03DC8D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PFE!$M$53:$M$93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3.3830880074737002E-2</c:v>
                </c:pt>
                <c:pt idx="2">
                  <c:v>2.4838965145775493E-2</c:v>
                </c:pt>
                <c:pt idx="3">
                  <c:v>3.4882511946060346E-2</c:v>
                </c:pt>
                <c:pt idx="4">
                  <c:v>2.6750714608819504E-2</c:v>
                </c:pt>
                <c:pt idx="5">
                  <c:v>2.8147539705239644E-2</c:v>
                </c:pt>
                <c:pt idx="6">
                  <c:v>4.7687904324429875E-2</c:v>
                </c:pt>
                <c:pt idx="7">
                  <c:v>8.230482321248983E-2</c:v>
                </c:pt>
                <c:pt idx="8">
                  <c:v>7.8872017802140149E-2</c:v>
                </c:pt>
                <c:pt idx="9">
                  <c:v>5.6451654934278284E-2</c:v>
                </c:pt>
                <c:pt idx="10">
                  <c:v>5.4137471575343543E-2</c:v>
                </c:pt>
                <c:pt idx="11">
                  <c:v>4.8371529755950771E-2</c:v>
                </c:pt>
                <c:pt idx="12">
                  <c:v>4.8228899238571432E-2</c:v>
                </c:pt>
                <c:pt idx="13">
                  <c:v>6.2721064838162255E-2</c:v>
                </c:pt>
                <c:pt idx="14">
                  <c:v>3.3209384703940137E-2</c:v>
                </c:pt>
                <c:pt idx="15">
                  <c:v>2.5190937679382575E-2</c:v>
                </c:pt>
                <c:pt idx="16">
                  <c:v>4.6074449184274224E-2</c:v>
                </c:pt>
                <c:pt idx="17">
                  <c:v>3.1676911549726128E-2</c:v>
                </c:pt>
                <c:pt idx="18">
                  <c:v>2.0546793041482742E-2</c:v>
                </c:pt>
                <c:pt idx="19">
                  <c:v>3.5215366219324473E-2</c:v>
                </c:pt>
                <c:pt idx="20">
                  <c:v>7.1626474409738933E-2</c:v>
                </c:pt>
                <c:pt idx="21">
                  <c:v>9.3508094940872227E-2</c:v>
                </c:pt>
                <c:pt idx="22">
                  <c:v>8.6151054681447015E-2</c:v>
                </c:pt>
                <c:pt idx="23">
                  <c:v>8.2255912749566701E-2</c:v>
                </c:pt>
                <c:pt idx="24">
                  <c:v>7.5641570134231922E-2</c:v>
                </c:pt>
                <c:pt idx="25">
                  <c:v>5.2201274625654825E-2</c:v>
                </c:pt>
                <c:pt idx="26">
                  <c:v>4.6770489074695165E-2</c:v>
                </c:pt>
                <c:pt idx="27">
                  <c:v>2.3017226284527431E-2</c:v>
                </c:pt>
                <c:pt idx="28">
                  <c:v>2.2072007365974089E-2</c:v>
                </c:pt>
                <c:pt idx="29">
                  <c:v>-1.1805626365259891E-2</c:v>
                </c:pt>
                <c:pt idx="30">
                  <c:v>-6.9825032370360168E-3</c:v>
                </c:pt>
                <c:pt idx="31">
                  <c:v>-1.3517990877921909E-2</c:v>
                </c:pt>
                <c:pt idx="32">
                  <c:v>-1.4798631413061328E-2</c:v>
                </c:pt>
                <c:pt idx="33">
                  <c:v>-7.7648270354765681E-3</c:v>
                </c:pt>
                <c:pt idx="34">
                  <c:v>6.7673126120276067E-3</c:v>
                </c:pt>
                <c:pt idx="35">
                  <c:v>2.5889186006764417E-3</c:v>
                </c:pt>
                <c:pt idx="36">
                  <c:v>7.5278416575187967E-3</c:v>
                </c:pt>
                <c:pt idx="37">
                  <c:v>5.2058937316395784E-3</c:v>
                </c:pt>
                <c:pt idx="38">
                  <c:v>-1.1124070522183227E-3</c:v>
                </c:pt>
                <c:pt idx="39">
                  <c:v>1.0864213134604943E-4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45A-49A6-8ED6-3CA41D03DC8D}"/>
            </c:ext>
          </c:extLst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PFE!$N$53:$N$93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8.5053330574456076E-3</c:v>
                </c:pt>
                <c:pt idx="2">
                  <c:v>4.8838767785091441E-2</c:v>
                </c:pt>
                <c:pt idx="3">
                  <c:v>4.6903594990797493E-2</c:v>
                </c:pt>
                <c:pt idx="4">
                  <c:v>6.777193337858084E-2</c:v>
                </c:pt>
                <c:pt idx="5">
                  <c:v>0.11390516873114054</c:v>
                </c:pt>
                <c:pt idx="6">
                  <c:v>0.10809966100225971</c:v>
                </c:pt>
                <c:pt idx="7">
                  <c:v>9.6286612783449355E-2</c:v>
                </c:pt>
                <c:pt idx="8">
                  <c:v>0.11381033219603326</c:v>
                </c:pt>
                <c:pt idx="9">
                  <c:v>0.14614870721126116</c:v>
                </c:pt>
                <c:pt idx="10">
                  <c:v>0.10345145451933857</c:v>
                </c:pt>
                <c:pt idx="11">
                  <c:v>0.12533218665279683</c:v>
                </c:pt>
                <c:pt idx="12">
                  <c:v>0.10385410434158981</c:v>
                </c:pt>
                <c:pt idx="13">
                  <c:v>9.7022857863444334E-2</c:v>
                </c:pt>
                <c:pt idx="14">
                  <c:v>7.4651704377638517E-2</c:v>
                </c:pt>
                <c:pt idx="15">
                  <c:v>9.1754668950694229E-2</c:v>
                </c:pt>
                <c:pt idx="16">
                  <c:v>8.2296366937057719E-2</c:v>
                </c:pt>
                <c:pt idx="17">
                  <c:v>6.4203978791666116E-2</c:v>
                </c:pt>
                <c:pt idx="18">
                  <c:v>4.9315990321576658E-2</c:v>
                </c:pt>
                <c:pt idx="19">
                  <c:v>6.3764829950153423E-2</c:v>
                </c:pt>
                <c:pt idx="20">
                  <c:v>7.4452879262056154E-2</c:v>
                </c:pt>
                <c:pt idx="21">
                  <c:v>4.8851781293578866E-2</c:v>
                </c:pt>
                <c:pt idx="22">
                  <c:v>4.9497702640048602E-2</c:v>
                </c:pt>
                <c:pt idx="23">
                  <c:v>7.8402778274454882E-2</c:v>
                </c:pt>
                <c:pt idx="24">
                  <c:v>4.8286339187790406E-2</c:v>
                </c:pt>
                <c:pt idx="25">
                  <c:v>4.4992530540828302E-2</c:v>
                </c:pt>
                <c:pt idx="26">
                  <c:v>5.7433150882920614E-2</c:v>
                </c:pt>
                <c:pt idx="27">
                  <c:v>5.5308594063149807E-2</c:v>
                </c:pt>
                <c:pt idx="28">
                  <c:v>7.5891407427956359E-2</c:v>
                </c:pt>
                <c:pt idx="29">
                  <c:v>8.1965239459571321E-2</c:v>
                </c:pt>
                <c:pt idx="30">
                  <c:v>6.6346567449237337E-2</c:v>
                </c:pt>
                <c:pt idx="31">
                  <c:v>4.9346417638891582E-2</c:v>
                </c:pt>
                <c:pt idx="32">
                  <c:v>4.8350455503950007E-2</c:v>
                </c:pt>
                <c:pt idx="33">
                  <c:v>2.0385948270551846E-2</c:v>
                </c:pt>
                <c:pt idx="34">
                  <c:v>1.8329479057860629E-2</c:v>
                </c:pt>
                <c:pt idx="35">
                  <c:v>8.2311022404883694E-3</c:v>
                </c:pt>
                <c:pt idx="36">
                  <c:v>3.0187301828315111E-3</c:v>
                </c:pt>
                <c:pt idx="37">
                  <c:v>1.1001026703868627E-3</c:v>
                </c:pt>
                <c:pt idx="38">
                  <c:v>1.8501888613836996E-3</c:v>
                </c:pt>
                <c:pt idx="39">
                  <c:v>2.0295964517309788E-3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45A-49A6-8ED6-3CA41D03DC8D}"/>
            </c:ext>
          </c:extLst>
        </c:ser>
        <c:ser>
          <c:idx val="9"/>
          <c:order val="9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PFE!$O$53:$O$93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-1.1020846540763574E-2</c:v>
                </c:pt>
                <c:pt idx="2">
                  <c:v>1.2399174245689593E-2</c:v>
                </c:pt>
                <c:pt idx="3">
                  <c:v>6.0462514594094574E-3</c:v>
                </c:pt>
                <c:pt idx="4">
                  <c:v>3.5719094119925465E-2</c:v>
                </c:pt>
                <c:pt idx="5">
                  <c:v>4.1915067285180185E-2</c:v>
                </c:pt>
                <c:pt idx="6">
                  <c:v>7.1518508493563115E-2</c:v>
                </c:pt>
                <c:pt idx="7">
                  <c:v>8.1873700096381063E-2</c:v>
                </c:pt>
                <c:pt idx="8">
                  <c:v>6.7956303502778925E-2</c:v>
                </c:pt>
                <c:pt idx="9">
                  <c:v>2.2622368866359321E-2</c:v>
                </c:pt>
                <c:pt idx="10">
                  <c:v>1.4151977966910534E-2</c:v>
                </c:pt>
                <c:pt idx="11">
                  <c:v>2.4367515774655013E-2</c:v>
                </c:pt>
                <c:pt idx="12">
                  <c:v>8.7961644028914932E-3</c:v>
                </c:pt>
                <c:pt idx="13">
                  <c:v>1.7394277181478179E-2</c:v>
                </c:pt>
                <c:pt idx="14">
                  <c:v>3.5121015568396752E-3</c:v>
                </c:pt>
                <c:pt idx="15">
                  <c:v>4.0968723947182317E-3</c:v>
                </c:pt>
                <c:pt idx="16">
                  <c:v>-1.7340720824549072E-4</c:v>
                </c:pt>
                <c:pt idx="17">
                  <c:v>7.3719907516633654E-3</c:v>
                </c:pt>
                <c:pt idx="18">
                  <c:v>3.3846516034009011E-2</c:v>
                </c:pt>
                <c:pt idx="19">
                  <c:v>4.1986058571286483E-2</c:v>
                </c:pt>
                <c:pt idx="20">
                  <c:v>7.038486421627993E-2</c:v>
                </c:pt>
                <c:pt idx="21">
                  <c:v>7.25940603907686E-2</c:v>
                </c:pt>
                <c:pt idx="22">
                  <c:v>7.016476154776774E-2</c:v>
                </c:pt>
                <c:pt idx="23">
                  <c:v>4.5862477059089024E-2</c:v>
                </c:pt>
                <c:pt idx="24">
                  <c:v>3.2745118073448959E-2</c:v>
                </c:pt>
                <c:pt idx="25">
                  <c:v>3.2134481150865729E-2</c:v>
                </c:pt>
                <c:pt idx="26">
                  <c:v>3.1007954697204965E-2</c:v>
                </c:pt>
                <c:pt idx="27">
                  <c:v>2.7334042653422985E-2</c:v>
                </c:pt>
                <c:pt idx="28">
                  <c:v>3.8978728549891289E-2</c:v>
                </c:pt>
                <c:pt idx="29">
                  <c:v>2.5629692763566414E-2</c:v>
                </c:pt>
                <c:pt idx="30">
                  <c:v>1.7616898821841837E-2</c:v>
                </c:pt>
                <c:pt idx="31">
                  <c:v>1.7040810155840858E-2</c:v>
                </c:pt>
                <c:pt idx="32">
                  <c:v>1.3565380481462649E-2</c:v>
                </c:pt>
                <c:pt idx="33">
                  <c:v>1.5188824543525922E-2</c:v>
                </c:pt>
                <c:pt idx="34">
                  <c:v>7.1969585885652693E-3</c:v>
                </c:pt>
                <c:pt idx="35">
                  <c:v>-1.602952617338671E-3</c:v>
                </c:pt>
                <c:pt idx="36">
                  <c:v>-3.5316725526459702E-3</c:v>
                </c:pt>
                <c:pt idx="37">
                  <c:v>-4.1875290606600904E-3</c:v>
                </c:pt>
                <c:pt idx="38">
                  <c:v>-3.3530913414850129E-3</c:v>
                </c:pt>
                <c:pt idx="39">
                  <c:v>6.7816912424083914E-4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45A-49A6-8ED6-3CA41D03DC8D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PFE!$P$53:$P$93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2.9174262533016471E-2</c:v>
                </c:pt>
                <c:pt idx="2">
                  <c:v>6.5843713144528859E-3</c:v>
                </c:pt>
                <c:pt idx="3">
                  <c:v>2.925531039044843E-2</c:v>
                </c:pt>
                <c:pt idx="4">
                  <c:v>2.3338828349146801E-2</c:v>
                </c:pt>
                <c:pt idx="5">
                  <c:v>4.8268876739040345E-2</c:v>
                </c:pt>
                <c:pt idx="6">
                  <c:v>2.4727068715681033E-2</c:v>
                </c:pt>
                <c:pt idx="7">
                  <c:v>1.2369415346504709E-2</c:v>
                </c:pt>
                <c:pt idx="8">
                  <c:v>-3.0420774267523543E-2</c:v>
                </c:pt>
                <c:pt idx="9">
                  <c:v>-2.6261212492602271E-2</c:v>
                </c:pt>
                <c:pt idx="10">
                  <c:v>-4.39872683813749E-2</c:v>
                </c:pt>
                <c:pt idx="11">
                  <c:v>-5.2682612620294167E-2</c:v>
                </c:pt>
                <c:pt idx="12">
                  <c:v>-4.197790227381426E-2</c:v>
                </c:pt>
                <c:pt idx="13">
                  <c:v>-7.6515349762088791E-2</c:v>
                </c:pt>
                <c:pt idx="14">
                  <c:v>-5.2973703666711891E-2</c:v>
                </c:pt>
                <c:pt idx="15">
                  <c:v>-4.2201491276152192E-2</c:v>
                </c:pt>
                <c:pt idx="16">
                  <c:v>-5.1012763790295207E-2</c:v>
                </c:pt>
                <c:pt idx="17">
                  <c:v>-5.1756741661849209E-2</c:v>
                </c:pt>
                <c:pt idx="18">
                  <c:v>-4.9167514060782208E-2</c:v>
                </c:pt>
                <c:pt idx="19">
                  <c:v>-9.822418928069121E-3</c:v>
                </c:pt>
                <c:pt idx="20">
                  <c:v>-1.0792893508749651E-2</c:v>
                </c:pt>
                <c:pt idx="21">
                  <c:v>2.2603560305486964E-2</c:v>
                </c:pt>
                <c:pt idx="22">
                  <c:v>1.1027679439619548E-2</c:v>
                </c:pt>
                <c:pt idx="23">
                  <c:v>5.7017981543842911E-3</c:v>
                </c:pt>
                <c:pt idx="24">
                  <c:v>4.9065438670280181E-3</c:v>
                </c:pt>
                <c:pt idx="25">
                  <c:v>-2.3535597554746213E-2</c:v>
                </c:pt>
                <c:pt idx="26">
                  <c:v>-8.213473697999879E-3</c:v>
                </c:pt>
                <c:pt idx="27">
                  <c:v>1.1065326807292608E-2</c:v>
                </c:pt>
                <c:pt idx="28">
                  <c:v>1.9772755969983874E-2</c:v>
                </c:pt>
                <c:pt idx="29">
                  <c:v>1.7255326944935589E-2</c:v>
                </c:pt>
                <c:pt idx="30">
                  <c:v>2.875533539576669E-2</c:v>
                </c:pt>
                <c:pt idx="31">
                  <c:v>1.5389220691269634E-2</c:v>
                </c:pt>
                <c:pt idx="32">
                  <c:v>2.514612414946843E-2</c:v>
                </c:pt>
                <c:pt idx="33">
                  <c:v>1.9381785755913525E-2</c:v>
                </c:pt>
                <c:pt idx="34">
                  <c:v>1.970989130077512E-2</c:v>
                </c:pt>
                <c:pt idx="35">
                  <c:v>3.8238517547958747E-3</c:v>
                </c:pt>
                <c:pt idx="36">
                  <c:v>-2.3784425762916894E-4</c:v>
                </c:pt>
                <c:pt idx="37">
                  <c:v>-5.2317007906004659E-4</c:v>
                </c:pt>
                <c:pt idx="38">
                  <c:v>1.3566008401576131E-3</c:v>
                </c:pt>
                <c:pt idx="39">
                  <c:v>6.0800577428239688E-4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45A-49A6-8ED6-3CA41D03DC8D}"/>
            </c:ext>
          </c:extLst>
        </c:ser>
        <c:ser>
          <c:idx val="11"/>
          <c:order val="11"/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PFE!$Q$53:$Q$93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-4.1154439195488779E-3</c:v>
                </c:pt>
                <c:pt idx="2">
                  <c:v>2.8705989004040311E-3</c:v>
                </c:pt>
                <c:pt idx="3">
                  <c:v>-1.4546152665496859E-2</c:v>
                </c:pt>
                <c:pt idx="4">
                  <c:v>-4.2171113263512083E-2</c:v>
                </c:pt>
                <c:pt idx="5">
                  <c:v>-9.0105841953912358E-2</c:v>
                </c:pt>
                <c:pt idx="6">
                  <c:v>-8.6351164659961288E-2</c:v>
                </c:pt>
                <c:pt idx="7">
                  <c:v>-8.3170496311518294E-2</c:v>
                </c:pt>
                <c:pt idx="8">
                  <c:v>-4.740450115655509E-2</c:v>
                </c:pt>
                <c:pt idx="9">
                  <c:v>-8.9930254901939399E-2</c:v>
                </c:pt>
                <c:pt idx="10">
                  <c:v>-9.2654072533076282E-2</c:v>
                </c:pt>
                <c:pt idx="11">
                  <c:v>-6.4161964794302362E-2</c:v>
                </c:pt>
                <c:pt idx="12">
                  <c:v>-5.5666292576655174E-2</c:v>
                </c:pt>
                <c:pt idx="13">
                  <c:v>-4.7234666952434945E-2</c:v>
                </c:pt>
                <c:pt idx="14">
                  <c:v>-3.9119409001300565E-2</c:v>
                </c:pt>
                <c:pt idx="15">
                  <c:v>-5.7744524692134147E-2</c:v>
                </c:pt>
                <c:pt idx="16">
                  <c:v>-6.8840832476334129E-2</c:v>
                </c:pt>
                <c:pt idx="17">
                  <c:v>-6.3223720224416746E-2</c:v>
                </c:pt>
                <c:pt idx="18">
                  <c:v>-5.6754551329242009E-2</c:v>
                </c:pt>
                <c:pt idx="19">
                  <c:v>-6.4424757728113374E-2</c:v>
                </c:pt>
                <c:pt idx="20">
                  <c:v>-8.3910621275535946E-2</c:v>
                </c:pt>
                <c:pt idx="21">
                  <c:v>-8.127942365546198E-2</c:v>
                </c:pt>
                <c:pt idx="22">
                  <c:v>-6.389911824299932E-2</c:v>
                </c:pt>
                <c:pt idx="23">
                  <c:v>-4.3272281614660124E-2</c:v>
                </c:pt>
                <c:pt idx="24">
                  <c:v>-1.2365979876195171E-2</c:v>
                </c:pt>
                <c:pt idx="25">
                  <c:v>-2.3142340131061534E-3</c:v>
                </c:pt>
                <c:pt idx="26">
                  <c:v>-1.9877782434590541E-2</c:v>
                </c:pt>
                <c:pt idx="27">
                  <c:v>-4.0782791123176426E-2</c:v>
                </c:pt>
                <c:pt idx="28">
                  <c:v>-4.378121026106388E-2</c:v>
                </c:pt>
                <c:pt idx="29">
                  <c:v>-3.0927989447198684E-2</c:v>
                </c:pt>
                <c:pt idx="30">
                  <c:v>-4.0629425514860637E-2</c:v>
                </c:pt>
                <c:pt idx="31">
                  <c:v>-3.8810646649789671E-2</c:v>
                </c:pt>
                <c:pt idx="32">
                  <c:v>-4.1992784513615738E-2</c:v>
                </c:pt>
                <c:pt idx="33">
                  <c:v>-3.5341803709819944E-2</c:v>
                </c:pt>
                <c:pt idx="34">
                  <c:v>-1.490627340373657E-2</c:v>
                </c:pt>
                <c:pt idx="35">
                  <c:v>-9.3578972731005669E-3</c:v>
                </c:pt>
                <c:pt idx="36">
                  <c:v>-4.1477138687322848E-3</c:v>
                </c:pt>
                <c:pt idx="37">
                  <c:v>1.452918849142476E-3</c:v>
                </c:pt>
                <c:pt idx="38">
                  <c:v>1.7008809128062422E-4</c:v>
                </c:pt>
                <c:pt idx="39">
                  <c:v>-4.0593742867267232E-4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45A-49A6-8ED6-3CA41D03DC8D}"/>
            </c:ext>
          </c:extLst>
        </c:ser>
        <c:ser>
          <c:idx val="12"/>
          <c:order val="12"/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PFE!$R$53:$R$93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1.6221819897950351E-2</c:v>
                </c:pt>
                <c:pt idx="2">
                  <c:v>-1.4881953250450719E-3</c:v>
                </c:pt>
                <c:pt idx="3">
                  <c:v>-4.9514229352498051E-2</c:v>
                </c:pt>
                <c:pt idx="4">
                  <c:v>-2.2587305549707615E-2</c:v>
                </c:pt>
                <c:pt idx="5">
                  <c:v>2.3054845816802172E-2</c:v>
                </c:pt>
                <c:pt idx="6">
                  <c:v>-2.7103550742184623E-2</c:v>
                </c:pt>
                <c:pt idx="7">
                  <c:v>8.9640008110821734E-3</c:v>
                </c:pt>
                <c:pt idx="8">
                  <c:v>-2.2970284640988881E-2</c:v>
                </c:pt>
                <c:pt idx="9">
                  <c:v>6.7977655886227173E-3</c:v>
                </c:pt>
                <c:pt idx="10">
                  <c:v>6.5964273499659609E-3</c:v>
                </c:pt>
                <c:pt idx="11">
                  <c:v>1.9344138751395512E-2</c:v>
                </c:pt>
                <c:pt idx="12">
                  <c:v>-9.1806972277119758E-4</c:v>
                </c:pt>
                <c:pt idx="13">
                  <c:v>-5.6564265155197302E-3</c:v>
                </c:pt>
                <c:pt idx="14">
                  <c:v>-3.4109542192034936E-2</c:v>
                </c:pt>
                <c:pt idx="15">
                  <c:v>-2.7734745578511799E-2</c:v>
                </c:pt>
                <c:pt idx="16">
                  <c:v>-3.5406042373557489E-3</c:v>
                </c:pt>
                <c:pt idx="17">
                  <c:v>1.3069117489357129E-3</c:v>
                </c:pt>
                <c:pt idx="18">
                  <c:v>1.292667823475091E-4</c:v>
                </c:pt>
                <c:pt idx="19">
                  <c:v>-1.3916811062898438E-3</c:v>
                </c:pt>
                <c:pt idx="20">
                  <c:v>-1.3310777338540969E-2</c:v>
                </c:pt>
                <c:pt idx="21">
                  <c:v>-8.1858925569653629E-3</c:v>
                </c:pt>
                <c:pt idx="22">
                  <c:v>-3.1847568012367822E-3</c:v>
                </c:pt>
                <c:pt idx="23">
                  <c:v>5.9322706915060364E-3</c:v>
                </c:pt>
                <c:pt idx="24">
                  <c:v>9.2671926578511699E-3</c:v>
                </c:pt>
                <c:pt idx="25">
                  <c:v>2.7927168453329515E-2</c:v>
                </c:pt>
                <c:pt idx="26">
                  <c:v>2.7402168287567918E-2</c:v>
                </c:pt>
                <c:pt idx="27">
                  <c:v>1.9977038658537671E-2</c:v>
                </c:pt>
                <c:pt idx="28">
                  <c:v>3.0126829125251747E-2</c:v>
                </c:pt>
                <c:pt idx="29">
                  <c:v>2.7479497142695486E-2</c:v>
                </c:pt>
                <c:pt idx="30">
                  <c:v>1.9800419939739425E-2</c:v>
                </c:pt>
                <c:pt idx="31">
                  <c:v>1.7249762592105602E-2</c:v>
                </c:pt>
                <c:pt idx="32">
                  <c:v>-1.1591914266687042E-2</c:v>
                </c:pt>
                <c:pt idx="33">
                  <c:v>-2.1077452678130201E-2</c:v>
                </c:pt>
                <c:pt idx="34">
                  <c:v>-1.3646784015455674E-2</c:v>
                </c:pt>
                <c:pt idx="35">
                  <c:v>-1.2343207590424898E-2</c:v>
                </c:pt>
                <c:pt idx="36">
                  <c:v>-1.0058523473333802E-2</c:v>
                </c:pt>
                <c:pt idx="37">
                  <c:v>-6.5698348367396603E-3</c:v>
                </c:pt>
                <c:pt idx="38">
                  <c:v>-1.0109931355862904E-3</c:v>
                </c:pt>
                <c:pt idx="39">
                  <c:v>-2.1190504638032969E-3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45A-49A6-8ED6-3CA41D03DC8D}"/>
            </c:ext>
          </c:extLst>
        </c:ser>
        <c:ser>
          <c:idx val="13"/>
          <c:order val="13"/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PFE!$S$53:$S$93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-3.7338672586269273E-2</c:v>
                </c:pt>
                <c:pt idx="2">
                  <c:v>-4.0962375687335462E-2</c:v>
                </c:pt>
                <c:pt idx="3">
                  <c:v>-1.4118147872240194E-3</c:v>
                </c:pt>
                <c:pt idx="4">
                  <c:v>-3.6805600178668962E-2</c:v>
                </c:pt>
                <c:pt idx="5">
                  <c:v>-4.6257234967834349E-2</c:v>
                </c:pt>
                <c:pt idx="6">
                  <c:v>-6.459219498180474E-2</c:v>
                </c:pt>
                <c:pt idx="7">
                  <c:v>-4.3598268767124859E-2</c:v>
                </c:pt>
                <c:pt idx="8">
                  <c:v>-4.6216135746869724E-2</c:v>
                </c:pt>
                <c:pt idx="9">
                  <c:v>-1.5144484013976722E-2</c:v>
                </c:pt>
                <c:pt idx="10">
                  <c:v>-3.3936946733499396E-2</c:v>
                </c:pt>
                <c:pt idx="11">
                  <c:v>-5.6094781551125739E-2</c:v>
                </c:pt>
                <c:pt idx="12">
                  <c:v>-4.1535528993714321E-2</c:v>
                </c:pt>
                <c:pt idx="13">
                  <c:v>-5.6186709486293285E-2</c:v>
                </c:pt>
                <c:pt idx="14">
                  <c:v>-7.6092829294157227E-2</c:v>
                </c:pt>
                <c:pt idx="15">
                  <c:v>-7.1390542373299004E-2</c:v>
                </c:pt>
                <c:pt idx="16">
                  <c:v>-5.4933952883578052E-2</c:v>
                </c:pt>
                <c:pt idx="17">
                  <c:v>-4.5749794125654664E-2</c:v>
                </c:pt>
                <c:pt idx="18">
                  <c:v>-3.4458575482017861E-3</c:v>
                </c:pt>
                <c:pt idx="19">
                  <c:v>-2.0082076223147949E-2</c:v>
                </c:pt>
                <c:pt idx="20">
                  <c:v>-1.0241107140591899E-2</c:v>
                </c:pt>
                <c:pt idx="21">
                  <c:v>8.3579934035160619E-3</c:v>
                </c:pt>
                <c:pt idx="22">
                  <c:v>3.5508186103914458E-2</c:v>
                </c:pt>
                <c:pt idx="23">
                  <c:v>3.3939841410503824E-2</c:v>
                </c:pt>
                <c:pt idx="24">
                  <c:v>3.4469329815144362E-2</c:v>
                </c:pt>
                <c:pt idx="25">
                  <c:v>1.8239066984812452E-2</c:v>
                </c:pt>
                <c:pt idx="26">
                  <c:v>2.1625851920527767E-2</c:v>
                </c:pt>
                <c:pt idx="27">
                  <c:v>-1.0024422016183809E-3</c:v>
                </c:pt>
                <c:pt idx="28">
                  <c:v>-6.6182813430109289E-3</c:v>
                </c:pt>
                <c:pt idx="29">
                  <c:v>-1.3103934704104314E-2</c:v>
                </c:pt>
                <c:pt idx="30">
                  <c:v>-1.0893239121830017E-2</c:v>
                </c:pt>
                <c:pt idx="31">
                  <c:v>-6.1555284377873276E-6</c:v>
                </c:pt>
                <c:pt idx="32">
                  <c:v>-5.063417184301422E-4</c:v>
                </c:pt>
                <c:pt idx="33">
                  <c:v>-6.3520780117440612E-3</c:v>
                </c:pt>
                <c:pt idx="34">
                  <c:v>8.7973377196952224E-3</c:v>
                </c:pt>
                <c:pt idx="35">
                  <c:v>1.3402085592239599E-2</c:v>
                </c:pt>
                <c:pt idx="36">
                  <c:v>7.6861875759874909E-3</c:v>
                </c:pt>
                <c:pt idx="37">
                  <c:v>8.8950897941511772E-3</c:v>
                </c:pt>
                <c:pt idx="38">
                  <c:v>7.2165156036099048E-3</c:v>
                </c:pt>
                <c:pt idx="39">
                  <c:v>4.61527790311601E-3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45A-49A6-8ED6-3CA41D03DC8D}"/>
            </c:ext>
          </c:extLst>
        </c:ser>
        <c:ser>
          <c:idx val="14"/>
          <c:order val="14"/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PFE!$T$53:$T$93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-3.4036954444018996E-2</c:v>
                </c:pt>
                <c:pt idx="2">
                  <c:v>-5.6189125060259637E-2</c:v>
                </c:pt>
                <c:pt idx="3">
                  <c:v>-4.9594348301592817E-2</c:v>
                </c:pt>
                <c:pt idx="4">
                  <c:v>-8.4303680407381953E-2</c:v>
                </c:pt>
                <c:pt idx="5">
                  <c:v>-8.346254336633474E-2</c:v>
                </c:pt>
                <c:pt idx="6">
                  <c:v>-7.7358555424807407E-2</c:v>
                </c:pt>
                <c:pt idx="7">
                  <c:v>-8.910325670435193E-2</c:v>
                </c:pt>
                <c:pt idx="8">
                  <c:v>-0.10591917242025173</c:v>
                </c:pt>
                <c:pt idx="9">
                  <c:v>-0.11730291798663511</c:v>
                </c:pt>
                <c:pt idx="10">
                  <c:v>-0.11190269019039117</c:v>
                </c:pt>
                <c:pt idx="11">
                  <c:v>-0.10908745729585956</c:v>
                </c:pt>
                <c:pt idx="12">
                  <c:v>-0.10751901323824126</c:v>
                </c:pt>
                <c:pt idx="13">
                  <c:v>-8.1232418341929458E-2</c:v>
                </c:pt>
                <c:pt idx="14">
                  <c:v>-0.10451278101523992</c:v>
                </c:pt>
                <c:pt idx="15">
                  <c:v>-0.12238034451980176</c:v>
                </c:pt>
                <c:pt idx="16">
                  <c:v>-0.13543601563659796</c:v>
                </c:pt>
                <c:pt idx="17">
                  <c:v>-0.12416835616117355</c:v>
                </c:pt>
                <c:pt idx="18">
                  <c:v>-0.11300103289825941</c:v>
                </c:pt>
                <c:pt idx="19">
                  <c:v>-0.12212848361873282</c:v>
                </c:pt>
                <c:pt idx="20">
                  <c:v>-0.11174701645406013</c:v>
                </c:pt>
                <c:pt idx="21">
                  <c:v>-9.5706446164082165E-2</c:v>
                </c:pt>
                <c:pt idx="22">
                  <c:v>-8.1852369683049653E-2</c:v>
                </c:pt>
                <c:pt idx="23">
                  <c:v>-6.9961362815607886E-2</c:v>
                </c:pt>
                <c:pt idx="24">
                  <c:v>-6.2787786497755849E-2</c:v>
                </c:pt>
                <c:pt idx="25">
                  <c:v>-7.658502212257523E-2</c:v>
                </c:pt>
                <c:pt idx="26">
                  <c:v>-6.5868193190251945E-2</c:v>
                </c:pt>
                <c:pt idx="27">
                  <c:v>-5.6146441735118735E-2</c:v>
                </c:pt>
                <c:pt idx="28">
                  <c:v>-5.7110535441802474E-2</c:v>
                </c:pt>
                <c:pt idx="29">
                  <c:v>-4.23215810181823E-2</c:v>
                </c:pt>
                <c:pt idx="30">
                  <c:v>-3.9356236309608952E-2</c:v>
                </c:pt>
                <c:pt idx="31">
                  <c:v>-3.2086797453194774E-2</c:v>
                </c:pt>
                <c:pt idx="32">
                  <c:v>-2.9683466376930701E-2</c:v>
                </c:pt>
                <c:pt idx="33">
                  <c:v>-3.7648917618188685E-2</c:v>
                </c:pt>
                <c:pt idx="34">
                  <c:v>-2.9092265082653557E-2</c:v>
                </c:pt>
                <c:pt idx="35">
                  <c:v>-3.107936157950953E-2</c:v>
                </c:pt>
                <c:pt idx="36">
                  <c:v>-2.5217013765570624E-2</c:v>
                </c:pt>
                <c:pt idx="37">
                  <c:v>-2.4978196554985704E-2</c:v>
                </c:pt>
                <c:pt idx="38">
                  <c:v>-1.6061455951621555E-2</c:v>
                </c:pt>
                <c:pt idx="39">
                  <c:v>-8.2680048251578125E-3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45A-49A6-8ED6-3CA41D03DC8D}"/>
            </c:ext>
          </c:extLst>
        </c:ser>
        <c:ser>
          <c:idx val="15"/>
          <c:order val="15"/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PFE!$U$53:$U$93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-1.2291132814804206E-2</c:v>
                </c:pt>
                <c:pt idx="2">
                  <c:v>1.1367478991970048E-2</c:v>
                </c:pt>
                <c:pt idx="3">
                  <c:v>1.521261930736606E-2</c:v>
                </c:pt>
                <c:pt idx="4">
                  <c:v>2.2454551804823086E-2</c:v>
                </c:pt>
                <c:pt idx="5">
                  <c:v>9.8669355367914102E-3</c:v>
                </c:pt>
                <c:pt idx="6">
                  <c:v>-1.4551173125419703E-2</c:v>
                </c:pt>
                <c:pt idx="7">
                  <c:v>1.4194094716032946E-3</c:v>
                </c:pt>
                <c:pt idx="8">
                  <c:v>6.0766654828364741E-3</c:v>
                </c:pt>
                <c:pt idx="9">
                  <c:v>1.0974713539264436E-2</c:v>
                </c:pt>
                <c:pt idx="10">
                  <c:v>2.8503960119898197E-2</c:v>
                </c:pt>
                <c:pt idx="11">
                  <c:v>-1.3148611617831318E-2</c:v>
                </c:pt>
                <c:pt idx="12">
                  <c:v>-1.0150528719064467E-2</c:v>
                </c:pt>
                <c:pt idx="13">
                  <c:v>-3.5611597130608796E-2</c:v>
                </c:pt>
                <c:pt idx="14">
                  <c:v>-4.0018000892362737E-2</c:v>
                </c:pt>
                <c:pt idx="15">
                  <c:v>-4.2843987864178978E-3</c:v>
                </c:pt>
                <c:pt idx="16">
                  <c:v>-2.9773565141873404E-2</c:v>
                </c:pt>
                <c:pt idx="17">
                  <c:v>-3.8523725076259535E-2</c:v>
                </c:pt>
                <c:pt idx="18">
                  <c:v>-4.880625132462163E-2</c:v>
                </c:pt>
                <c:pt idx="19">
                  <c:v>-4.3870606186445726E-2</c:v>
                </c:pt>
                <c:pt idx="20">
                  <c:v>-5.5784793243796316E-2</c:v>
                </c:pt>
                <c:pt idx="21">
                  <c:v>-4.3944694991477767E-2</c:v>
                </c:pt>
                <c:pt idx="22">
                  <c:v>-5.1606125313862217E-2</c:v>
                </c:pt>
                <c:pt idx="23">
                  <c:v>-4.4715060846491017E-2</c:v>
                </c:pt>
                <c:pt idx="24">
                  <c:v>-4.2126192584075517E-2</c:v>
                </c:pt>
                <c:pt idx="25">
                  <c:v>-3.7363477533281064E-2</c:v>
                </c:pt>
                <c:pt idx="26">
                  <c:v>-4.0619588019004671E-2</c:v>
                </c:pt>
                <c:pt idx="27">
                  <c:v>-1.3041633815904008E-2</c:v>
                </c:pt>
                <c:pt idx="28">
                  <c:v>-2.140186427127086E-2</c:v>
                </c:pt>
                <c:pt idx="29">
                  <c:v>-1.1241020656682421E-2</c:v>
                </c:pt>
                <c:pt idx="30">
                  <c:v>-3.3120423458029846E-2</c:v>
                </c:pt>
                <c:pt idx="31">
                  <c:v>-2.4486668562838321E-2</c:v>
                </c:pt>
                <c:pt idx="32">
                  <c:v>-2.7597213641749552E-2</c:v>
                </c:pt>
                <c:pt idx="33">
                  <c:v>-3.4357603993198052E-2</c:v>
                </c:pt>
                <c:pt idx="34">
                  <c:v>-2.9135202023226892E-2</c:v>
                </c:pt>
                <c:pt idx="35">
                  <c:v>-2.4937809547975316E-2</c:v>
                </c:pt>
                <c:pt idx="36">
                  <c:v>-9.9790133660856706E-3</c:v>
                </c:pt>
                <c:pt idx="37">
                  <c:v>-2.9884158131477725E-3</c:v>
                </c:pt>
                <c:pt idx="38">
                  <c:v>-8.8202866494552223E-5</c:v>
                </c:pt>
                <c:pt idx="39">
                  <c:v>7.307241769996739E-4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845A-49A6-8ED6-3CA41D03DC8D}"/>
            </c:ext>
          </c:extLst>
        </c:ser>
        <c:ser>
          <c:idx val="16"/>
          <c:order val="16"/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PFE!$V$53:$V$93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-2.5243932247635659E-2</c:v>
                </c:pt>
                <c:pt idx="2">
                  <c:v>-6.1698661769631291E-2</c:v>
                </c:pt>
                <c:pt idx="3">
                  <c:v>-3.680170599707322E-2</c:v>
                </c:pt>
                <c:pt idx="4">
                  <c:v>-2.8426916873511232E-2</c:v>
                </c:pt>
                <c:pt idx="5">
                  <c:v>-2.6251266811466167E-2</c:v>
                </c:pt>
                <c:pt idx="6">
                  <c:v>6.7589121778105499E-3</c:v>
                </c:pt>
                <c:pt idx="7">
                  <c:v>3.4923932555437687E-2</c:v>
                </c:pt>
                <c:pt idx="8">
                  <c:v>-1.2737638067449653E-2</c:v>
                </c:pt>
                <c:pt idx="9">
                  <c:v>1.9996792417468878E-2</c:v>
                </c:pt>
                <c:pt idx="10">
                  <c:v>1.0569445927513244E-2</c:v>
                </c:pt>
                <c:pt idx="11">
                  <c:v>-3.37156699947605E-4</c:v>
                </c:pt>
                <c:pt idx="12">
                  <c:v>3.8419986005482742E-2</c:v>
                </c:pt>
                <c:pt idx="13">
                  <c:v>5.0224146559143257E-2</c:v>
                </c:pt>
                <c:pt idx="14">
                  <c:v>9.2657690119765213E-2</c:v>
                </c:pt>
                <c:pt idx="15">
                  <c:v>0.12719032431607008</c:v>
                </c:pt>
                <c:pt idx="16">
                  <c:v>0.11369864232853716</c:v>
                </c:pt>
                <c:pt idx="17">
                  <c:v>0.12342881911617548</c:v>
                </c:pt>
                <c:pt idx="18">
                  <c:v>0.13188004942540266</c:v>
                </c:pt>
                <c:pt idx="19">
                  <c:v>0.12565161160573923</c:v>
                </c:pt>
                <c:pt idx="20">
                  <c:v>9.2480893999923208E-2</c:v>
                </c:pt>
                <c:pt idx="21">
                  <c:v>4.0285206508350657E-2</c:v>
                </c:pt>
                <c:pt idx="22">
                  <c:v>2.2703361984787895E-2</c:v>
                </c:pt>
                <c:pt idx="23">
                  <c:v>1.2638880458841623E-2</c:v>
                </c:pt>
                <c:pt idx="24">
                  <c:v>6.5026095509220783E-3</c:v>
                </c:pt>
                <c:pt idx="25">
                  <c:v>-3.3369135669264471E-3</c:v>
                </c:pt>
                <c:pt idx="26">
                  <c:v>2.0052879513361654E-2</c:v>
                </c:pt>
                <c:pt idx="27">
                  <c:v>4.1523988384501803E-2</c:v>
                </c:pt>
                <c:pt idx="28">
                  <c:v>4.1552856959343493E-2</c:v>
                </c:pt>
                <c:pt idx="29">
                  <c:v>5.0721914354927233E-2</c:v>
                </c:pt>
                <c:pt idx="30">
                  <c:v>5.0094504748605204E-2</c:v>
                </c:pt>
                <c:pt idx="31">
                  <c:v>2.9869556251193696E-2</c:v>
                </c:pt>
                <c:pt idx="32">
                  <c:v>2.1102435938679873E-2</c:v>
                </c:pt>
                <c:pt idx="33">
                  <c:v>1.2021435049087037E-2</c:v>
                </c:pt>
                <c:pt idx="34">
                  <c:v>9.8422013928443214E-3</c:v>
                </c:pt>
                <c:pt idx="35">
                  <c:v>5.4744480127618816E-3</c:v>
                </c:pt>
                <c:pt idx="36">
                  <c:v>-4.4613380657957877E-3</c:v>
                </c:pt>
                <c:pt idx="37">
                  <c:v>-4.0294005969811267E-3</c:v>
                </c:pt>
                <c:pt idx="38">
                  <c:v>-7.2048016160348727E-3</c:v>
                </c:pt>
                <c:pt idx="39">
                  <c:v>-2.2453426323187416E-3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845A-49A6-8ED6-3CA41D03DC8D}"/>
            </c:ext>
          </c:extLst>
        </c:ser>
        <c:ser>
          <c:idx val="17"/>
          <c:order val="17"/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PFE!$W$53:$W$93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1.119590166281148E-2</c:v>
                </c:pt>
                <c:pt idx="2">
                  <c:v>4.5393709843876029E-2</c:v>
                </c:pt>
                <c:pt idx="3">
                  <c:v>3.9067317147686464E-2</c:v>
                </c:pt>
                <c:pt idx="4">
                  <c:v>4.1816203208553282E-2</c:v>
                </c:pt>
                <c:pt idx="5">
                  <c:v>1.2857044294459052E-2</c:v>
                </c:pt>
                <c:pt idx="6">
                  <c:v>1.9099369689068502E-2</c:v>
                </c:pt>
                <c:pt idx="7">
                  <c:v>4.1154521504420172E-2</c:v>
                </c:pt>
                <c:pt idx="8">
                  <c:v>0.13193597975924098</c:v>
                </c:pt>
                <c:pt idx="9">
                  <c:v>0.13928932486161527</c:v>
                </c:pt>
                <c:pt idx="10">
                  <c:v>0.16422662203248417</c:v>
                </c:pt>
                <c:pt idx="11">
                  <c:v>0.19623013858251837</c:v>
                </c:pt>
                <c:pt idx="12">
                  <c:v>0.17500289080209802</c:v>
                </c:pt>
                <c:pt idx="13">
                  <c:v>0.17302916280334796</c:v>
                </c:pt>
                <c:pt idx="14">
                  <c:v>0.19334173966047485</c:v>
                </c:pt>
                <c:pt idx="15">
                  <c:v>0.16296903059622175</c:v>
                </c:pt>
                <c:pt idx="16">
                  <c:v>0.16142357171409161</c:v>
                </c:pt>
                <c:pt idx="17">
                  <c:v>0.15769016187353913</c:v>
                </c:pt>
                <c:pt idx="18">
                  <c:v>0.16577277462560919</c:v>
                </c:pt>
                <c:pt idx="19">
                  <c:v>0.17634820994702227</c:v>
                </c:pt>
                <c:pt idx="20">
                  <c:v>0.15322535275575119</c:v>
                </c:pt>
                <c:pt idx="21">
                  <c:v>0.13139784903112373</c:v>
                </c:pt>
                <c:pt idx="22">
                  <c:v>0.12884931497618987</c:v>
                </c:pt>
                <c:pt idx="23">
                  <c:v>0.1273412847718294</c:v>
                </c:pt>
                <c:pt idx="24">
                  <c:v>0.12095422268893194</c:v>
                </c:pt>
                <c:pt idx="25">
                  <c:v>8.7950937738706575E-2</c:v>
                </c:pt>
                <c:pt idx="26">
                  <c:v>5.4632011357337945E-2</c:v>
                </c:pt>
                <c:pt idx="27">
                  <c:v>6.8207614792382576E-2</c:v>
                </c:pt>
                <c:pt idx="28">
                  <c:v>3.7208119085575669E-2</c:v>
                </c:pt>
                <c:pt idx="29">
                  <c:v>4.4944259185963314E-2</c:v>
                </c:pt>
                <c:pt idx="30">
                  <c:v>5.8684660761131865E-2</c:v>
                </c:pt>
                <c:pt idx="31">
                  <c:v>4.4387565423901792E-2</c:v>
                </c:pt>
                <c:pt idx="32">
                  <c:v>4.0872514393590353E-2</c:v>
                </c:pt>
                <c:pt idx="33">
                  <c:v>2.5982229691626724E-2</c:v>
                </c:pt>
                <c:pt idx="34">
                  <c:v>2.2020239617930162E-2</c:v>
                </c:pt>
                <c:pt idx="35">
                  <c:v>1.676685099443137E-2</c:v>
                </c:pt>
                <c:pt idx="36">
                  <c:v>1.4546659627729851E-2</c:v>
                </c:pt>
                <c:pt idx="37">
                  <c:v>8.3757940981077569E-3</c:v>
                </c:pt>
                <c:pt idx="38">
                  <c:v>6.3716973908431312E-3</c:v>
                </c:pt>
                <c:pt idx="39">
                  <c:v>2.632836078749248E-3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845A-49A6-8ED6-3CA41D03DC8D}"/>
            </c:ext>
          </c:extLst>
        </c:ser>
        <c:ser>
          <c:idx val="18"/>
          <c:order val="18"/>
          <c:spPr>
            <a:ln w="12700">
              <a:solidFill>
                <a:srgbClr val="99CC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PFE!$X$53:$X$93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-1.0774788506420718E-2</c:v>
                </c:pt>
                <c:pt idx="2">
                  <c:v>-1.0878553493689547E-2</c:v>
                </c:pt>
                <c:pt idx="3">
                  <c:v>-9.5926123094013382E-3</c:v>
                </c:pt>
                <c:pt idx="4">
                  <c:v>-4.9831063863521097E-2</c:v>
                </c:pt>
                <c:pt idx="5">
                  <c:v>-5.6835252802126146E-2</c:v>
                </c:pt>
                <c:pt idx="6">
                  <c:v>-5.3071413460843764E-2</c:v>
                </c:pt>
                <c:pt idx="7">
                  <c:v>-2.7803106183326765E-2</c:v>
                </c:pt>
                <c:pt idx="8">
                  <c:v>3.1831571447741791E-2</c:v>
                </c:pt>
                <c:pt idx="9">
                  <c:v>-7.3305546526175602E-3</c:v>
                </c:pt>
                <c:pt idx="10">
                  <c:v>-1.1622272116873389E-2</c:v>
                </c:pt>
                <c:pt idx="11">
                  <c:v>-2.6563727390637892E-2</c:v>
                </c:pt>
                <c:pt idx="12">
                  <c:v>-1.8753470176886389E-2</c:v>
                </c:pt>
                <c:pt idx="13">
                  <c:v>3.1619396416399104E-3</c:v>
                </c:pt>
                <c:pt idx="14">
                  <c:v>1.3023460892645333E-2</c:v>
                </c:pt>
                <c:pt idx="15">
                  <c:v>3.2143627182262824E-2</c:v>
                </c:pt>
                <c:pt idx="16">
                  <c:v>3.8910666922888582E-2</c:v>
                </c:pt>
                <c:pt idx="17">
                  <c:v>6.0447818756023841E-2</c:v>
                </c:pt>
                <c:pt idx="18">
                  <c:v>8.4513787879335223E-2</c:v>
                </c:pt>
                <c:pt idx="19">
                  <c:v>7.6297741356268739E-2</c:v>
                </c:pt>
                <c:pt idx="20">
                  <c:v>6.5496864213035355E-2</c:v>
                </c:pt>
                <c:pt idx="21">
                  <c:v>5.2900094000327608E-2</c:v>
                </c:pt>
                <c:pt idx="22">
                  <c:v>8.9743918322608168E-2</c:v>
                </c:pt>
                <c:pt idx="23">
                  <c:v>6.8518444211199347E-2</c:v>
                </c:pt>
                <c:pt idx="24">
                  <c:v>8.5556975455347545E-2</c:v>
                </c:pt>
                <c:pt idx="25">
                  <c:v>7.7141553670163815E-2</c:v>
                </c:pt>
                <c:pt idx="26">
                  <c:v>6.4808543155501913E-2</c:v>
                </c:pt>
                <c:pt idx="27">
                  <c:v>4.2847090109326136E-2</c:v>
                </c:pt>
                <c:pt idx="28">
                  <c:v>3.1372811737520684E-2</c:v>
                </c:pt>
                <c:pt idx="29">
                  <c:v>3.0756289438313295E-2</c:v>
                </c:pt>
                <c:pt idx="30">
                  <c:v>1.1778605156166522E-2</c:v>
                </c:pt>
                <c:pt idx="31">
                  <c:v>2.1496336126570426E-2</c:v>
                </c:pt>
                <c:pt idx="32">
                  <c:v>2.7245303732069764E-2</c:v>
                </c:pt>
                <c:pt idx="33">
                  <c:v>3.4148769682825666E-2</c:v>
                </c:pt>
                <c:pt idx="34">
                  <c:v>2.1287857563300441E-2</c:v>
                </c:pt>
                <c:pt idx="35">
                  <c:v>1.0061438445367471E-2</c:v>
                </c:pt>
                <c:pt idx="36">
                  <c:v>8.6702455063413925E-3</c:v>
                </c:pt>
                <c:pt idx="37">
                  <c:v>3.7419320098952755E-3</c:v>
                </c:pt>
                <c:pt idx="38">
                  <c:v>8.30263797235287E-3</c:v>
                </c:pt>
                <c:pt idx="39">
                  <c:v>4.5061736745760968E-3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845A-49A6-8ED6-3CA41D03DC8D}"/>
            </c:ext>
          </c:extLst>
        </c:ser>
        <c:ser>
          <c:idx val="19"/>
          <c:order val="19"/>
          <c:spPr>
            <a:ln w="127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PFE!$Y$53:$Y$93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-2.4933515633737136E-3</c:v>
                </c:pt>
                <c:pt idx="2">
                  <c:v>7.8869263976903969E-3</c:v>
                </c:pt>
                <c:pt idx="3">
                  <c:v>-2.109510350082211E-2</c:v>
                </c:pt>
                <c:pt idx="4">
                  <c:v>2.4455201539055005E-2</c:v>
                </c:pt>
                <c:pt idx="5">
                  <c:v>1.8205709832619654E-2</c:v>
                </c:pt>
                <c:pt idx="6">
                  <c:v>-1.4577270023619415E-2</c:v>
                </c:pt>
                <c:pt idx="7">
                  <c:v>-3.4666322054491272E-3</c:v>
                </c:pt>
                <c:pt idx="8">
                  <c:v>1.3911752036533609E-2</c:v>
                </c:pt>
                <c:pt idx="9">
                  <c:v>3.0602291794276038E-2</c:v>
                </c:pt>
                <c:pt idx="10">
                  <c:v>1.2956047968740725E-2</c:v>
                </c:pt>
                <c:pt idx="11">
                  <c:v>1.4458331899789845E-2</c:v>
                </c:pt>
                <c:pt idx="12">
                  <c:v>3.5343276777315191E-2</c:v>
                </c:pt>
                <c:pt idx="13">
                  <c:v>4.2207917186615318E-2</c:v>
                </c:pt>
                <c:pt idx="14">
                  <c:v>3.8856954426658652E-2</c:v>
                </c:pt>
                <c:pt idx="15">
                  <c:v>6.9512678390087956E-2</c:v>
                </c:pt>
                <c:pt idx="16">
                  <c:v>6.6372454936357794E-2</c:v>
                </c:pt>
                <c:pt idx="17">
                  <c:v>7.9614157870194047E-2</c:v>
                </c:pt>
                <c:pt idx="18">
                  <c:v>9.0285880698891763E-2</c:v>
                </c:pt>
                <c:pt idx="19">
                  <c:v>5.57229206753449E-2</c:v>
                </c:pt>
                <c:pt idx="20">
                  <c:v>3.7400239238623706E-2</c:v>
                </c:pt>
                <c:pt idx="21">
                  <c:v>7.3605705054496651E-3</c:v>
                </c:pt>
                <c:pt idx="22">
                  <c:v>1.6437553808735239E-2</c:v>
                </c:pt>
                <c:pt idx="23">
                  <c:v>3.1307805907174663E-2</c:v>
                </c:pt>
                <c:pt idx="24">
                  <c:v>6.2942229750212464E-3</c:v>
                </c:pt>
                <c:pt idx="25">
                  <c:v>-9.7258509351099143E-3</c:v>
                </c:pt>
                <c:pt idx="26">
                  <c:v>-2.3478909390943326E-2</c:v>
                </c:pt>
                <c:pt idx="27">
                  <c:v>-2.5858323901802371E-2</c:v>
                </c:pt>
                <c:pt idx="28">
                  <c:v>-2.4015357094576945E-2</c:v>
                </c:pt>
                <c:pt idx="29">
                  <c:v>-1.5418168106507674E-2</c:v>
                </c:pt>
                <c:pt idx="30">
                  <c:v>-2.2651123720052235E-2</c:v>
                </c:pt>
                <c:pt idx="31">
                  <c:v>-3.0500263558713533E-2</c:v>
                </c:pt>
                <c:pt idx="32">
                  <c:v>-2.5419134482585481E-2</c:v>
                </c:pt>
                <c:pt idx="33">
                  <c:v>-1.6611583683729725E-2</c:v>
                </c:pt>
                <c:pt idx="34">
                  <c:v>-1.7861804745793033E-2</c:v>
                </c:pt>
                <c:pt idx="35">
                  <c:v>-1.4671699977129159E-2</c:v>
                </c:pt>
                <c:pt idx="36">
                  <c:v>-9.5718445595292523E-3</c:v>
                </c:pt>
                <c:pt idx="37">
                  <c:v>-5.0777460730119586E-3</c:v>
                </c:pt>
                <c:pt idx="38">
                  <c:v>-3.2946796837718256E-3</c:v>
                </c:pt>
                <c:pt idx="39">
                  <c:v>-1.3174627475880003E-3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845A-49A6-8ED6-3CA41D03DC8D}"/>
            </c:ext>
          </c:extLst>
        </c:ser>
        <c:ser>
          <c:idx val="20"/>
          <c:order val="20"/>
          <c:spPr>
            <a:ln w="12700">
              <a:solidFill>
                <a:srgbClr val="FF99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PFE!$Z$53:$Z$93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0.10701537299572089</c:v>
                </c:pt>
                <c:pt idx="2">
                  <c:v>8.8386919844735679E-2</c:v>
                </c:pt>
                <c:pt idx="3">
                  <c:v>6.1727686876150711E-2</c:v>
                </c:pt>
                <c:pt idx="4">
                  <c:v>6.6854743513809101E-2</c:v>
                </c:pt>
                <c:pt idx="5">
                  <c:v>5.085536593996498E-2</c:v>
                </c:pt>
                <c:pt idx="6">
                  <c:v>6.0432823950470338E-2</c:v>
                </c:pt>
                <c:pt idx="7">
                  <c:v>4.1017344528509192E-2</c:v>
                </c:pt>
                <c:pt idx="8">
                  <c:v>4.9833802033178498E-2</c:v>
                </c:pt>
                <c:pt idx="9">
                  <c:v>3.7680511829575714E-2</c:v>
                </c:pt>
                <c:pt idx="10">
                  <c:v>5.3989041940620874E-2</c:v>
                </c:pt>
                <c:pt idx="11">
                  <c:v>2.73027748856422E-2</c:v>
                </c:pt>
                <c:pt idx="12">
                  <c:v>2.5556912477603E-2</c:v>
                </c:pt>
                <c:pt idx="13">
                  <c:v>1.0039612696925271E-2</c:v>
                </c:pt>
                <c:pt idx="14">
                  <c:v>3.8726192956436034E-2</c:v>
                </c:pt>
                <c:pt idx="15">
                  <c:v>5.6028393093780549E-2</c:v>
                </c:pt>
                <c:pt idx="16">
                  <c:v>6.1833781587074255E-2</c:v>
                </c:pt>
                <c:pt idx="17">
                  <c:v>8.8059348085408773E-2</c:v>
                </c:pt>
                <c:pt idx="18">
                  <c:v>8.6967546207774582E-2</c:v>
                </c:pt>
                <c:pt idx="19">
                  <c:v>7.8166465119983708E-2</c:v>
                </c:pt>
                <c:pt idx="20">
                  <c:v>6.6434629221373803E-2</c:v>
                </c:pt>
                <c:pt idx="21">
                  <c:v>6.1303808454169578E-2</c:v>
                </c:pt>
                <c:pt idx="22">
                  <c:v>5.5910954247272687E-2</c:v>
                </c:pt>
                <c:pt idx="23">
                  <c:v>3.6977179222816264E-2</c:v>
                </c:pt>
                <c:pt idx="24">
                  <c:v>2.9816780720134273E-2</c:v>
                </c:pt>
                <c:pt idx="25">
                  <c:v>5.1007018844446361E-2</c:v>
                </c:pt>
                <c:pt idx="26">
                  <c:v>4.611012562628114E-2</c:v>
                </c:pt>
                <c:pt idx="27">
                  <c:v>4.9908963583580684E-2</c:v>
                </c:pt>
                <c:pt idx="28">
                  <c:v>4.6792742729754172E-2</c:v>
                </c:pt>
                <c:pt idx="29">
                  <c:v>6.1016368477859878E-2</c:v>
                </c:pt>
                <c:pt idx="30">
                  <c:v>6.5450973671152338E-2</c:v>
                </c:pt>
                <c:pt idx="31">
                  <c:v>6.5752273059153946E-2</c:v>
                </c:pt>
                <c:pt idx="32">
                  <c:v>4.9364615231942202E-2</c:v>
                </c:pt>
                <c:pt idx="33">
                  <c:v>4.0877164948206327E-2</c:v>
                </c:pt>
                <c:pt idx="34">
                  <c:v>4.0120820660947978E-2</c:v>
                </c:pt>
                <c:pt idx="35">
                  <c:v>3.667546335942759E-2</c:v>
                </c:pt>
                <c:pt idx="36">
                  <c:v>2.9331239339377424E-2</c:v>
                </c:pt>
                <c:pt idx="37">
                  <c:v>2.1192845837335272E-2</c:v>
                </c:pt>
                <c:pt idx="38">
                  <c:v>1.5366588165545109E-2</c:v>
                </c:pt>
                <c:pt idx="39">
                  <c:v>8.355370217850263E-3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845A-49A6-8ED6-3CA41D03DC8D}"/>
            </c:ext>
          </c:extLst>
        </c:ser>
        <c:ser>
          <c:idx val="21"/>
          <c:order val="21"/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PFE!$AA$53:$AA$93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2.0343399566769005E-3</c:v>
                </c:pt>
                <c:pt idx="2">
                  <c:v>-1.5514058339855197E-2</c:v>
                </c:pt>
                <c:pt idx="3">
                  <c:v>3.1126084244526009E-3</c:v>
                </c:pt>
                <c:pt idx="4">
                  <c:v>1.5121599193597512E-2</c:v>
                </c:pt>
                <c:pt idx="5">
                  <c:v>4.4525750813291909E-2</c:v>
                </c:pt>
                <c:pt idx="6">
                  <c:v>1.0914517941473911E-2</c:v>
                </c:pt>
                <c:pt idx="7">
                  <c:v>3.7832987769099158E-3</c:v>
                </c:pt>
                <c:pt idx="8">
                  <c:v>9.3694431943791567E-3</c:v>
                </c:pt>
                <c:pt idx="9">
                  <c:v>-2.3984371360130985E-2</c:v>
                </c:pt>
                <c:pt idx="10">
                  <c:v>-3.3723261050715492E-2</c:v>
                </c:pt>
                <c:pt idx="11">
                  <c:v>-1.8960438271062585E-2</c:v>
                </c:pt>
                <c:pt idx="12">
                  <c:v>-6.5267873015288858E-2</c:v>
                </c:pt>
                <c:pt idx="13">
                  <c:v>-6.197585009869222E-2</c:v>
                </c:pt>
                <c:pt idx="14">
                  <c:v>-5.3888504621987687E-2</c:v>
                </c:pt>
                <c:pt idx="15">
                  <c:v>-5.3482127558898529E-2</c:v>
                </c:pt>
                <c:pt idx="16">
                  <c:v>-6.9583236945248927E-2</c:v>
                </c:pt>
                <c:pt idx="17">
                  <c:v>-6.2781964820704944E-2</c:v>
                </c:pt>
                <c:pt idx="18">
                  <c:v>-0.10628721304264022</c:v>
                </c:pt>
                <c:pt idx="19">
                  <c:v>-0.1059343055774204</c:v>
                </c:pt>
                <c:pt idx="20">
                  <c:v>-7.4095461131850004E-2</c:v>
                </c:pt>
                <c:pt idx="21">
                  <c:v>-8.5577067689595693E-2</c:v>
                </c:pt>
                <c:pt idx="22">
                  <c:v>-7.2299731449830484E-2</c:v>
                </c:pt>
                <c:pt idx="23">
                  <c:v>-8.3335974561180193E-2</c:v>
                </c:pt>
                <c:pt idx="24">
                  <c:v>-8.6698931950870972E-2</c:v>
                </c:pt>
                <c:pt idx="25">
                  <c:v>-6.1916213522183711E-2</c:v>
                </c:pt>
                <c:pt idx="26">
                  <c:v>-4.6801707394841074E-2</c:v>
                </c:pt>
                <c:pt idx="27">
                  <c:v>-4.2627445364599115E-2</c:v>
                </c:pt>
                <c:pt idx="28">
                  <c:v>-2.5098588779989606E-2</c:v>
                </c:pt>
                <c:pt idx="29">
                  <c:v>-3.1463022814095382E-2</c:v>
                </c:pt>
                <c:pt idx="30">
                  <c:v>-1.3737878185764232E-2</c:v>
                </c:pt>
                <c:pt idx="31">
                  <c:v>-3.971488779480753E-4</c:v>
                </c:pt>
                <c:pt idx="32">
                  <c:v>-2.674973616828849E-3</c:v>
                </c:pt>
                <c:pt idx="33">
                  <c:v>1.2592722615523827E-3</c:v>
                </c:pt>
                <c:pt idx="34">
                  <c:v>-2.4690724871208464E-3</c:v>
                </c:pt>
                <c:pt idx="35">
                  <c:v>3.0747781259724341E-3</c:v>
                </c:pt>
                <c:pt idx="36">
                  <c:v>-1.5482321370859017E-3</c:v>
                </c:pt>
                <c:pt idx="37">
                  <c:v>-1.771244874645507E-3</c:v>
                </c:pt>
                <c:pt idx="38">
                  <c:v>-1.3863036492630966E-3</c:v>
                </c:pt>
                <c:pt idx="39">
                  <c:v>-3.0739643954623905E-3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845A-49A6-8ED6-3CA41D03DC8D}"/>
            </c:ext>
          </c:extLst>
        </c:ser>
        <c:ser>
          <c:idx val="22"/>
          <c:order val="22"/>
          <c:spPr>
            <a:ln w="12700">
              <a:solidFill>
                <a:srgbClr val="666699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PFE!$AB$53:$AB$93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4.9129397465750013E-2</c:v>
                </c:pt>
                <c:pt idx="2">
                  <c:v>5.1384831499540318E-2</c:v>
                </c:pt>
                <c:pt idx="3">
                  <c:v>3.7839201977467152E-2</c:v>
                </c:pt>
                <c:pt idx="4">
                  <c:v>8.021475394723443E-2</c:v>
                </c:pt>
                <c:pt idx="5">
                  <c:v>6.1697779374504269E-2</c:v>
                </c:pt>
                <c:pt idx="6">
                  <c:v>3.6850045731748216E-2</c:v>
                </c:pt>
                <c:pt idx="7">
                  <c:v>4.8706633647404407E-2</c:v>
                </c:pt>
                <c:pt idx="8">
                  <c:v>8.7020103492947476E-2</c:v>
                </c:pt>
                <c:pt idx="9">
                  <c:v>6.7515372455491773E-2</c:v>
                </c:pt>
                <c:pt idx="10">
                  <c:v>6.946537914642037E-2</c:v>
                </c:pt>
                <c:pt idx="11">
                  <c:v>7.131180209422211E-2</c:v>
                </c:pt>
                <c:pt idx="12">
                  <c:v>6.0378833558576983E-2</c:v>
                </c:pt>
                <c:pt idx="13">
                  <c:v>7.0910567671806424E-2</c:v>
                </c:pt>
                <c:pt idx="14">
                  <c:v>4.9492237792350513E-2</c:v>
                </c:pt>
                <c:pt idx="15">
                  <c:v>4.5450970864735929E-2</c:v>
                </c:pt>
                <c:pt idx="16">
                  <c:v>2.153551473391202E-2</c:v>
                </c:pt>
                <c:pt idx="17">
                  <c:v>4.2644226630207671E-2</c:v>
                </c:pt>
                <c:pt idx="18">
                  <c:v>5.2437120634211215E-2</c:v>
                </c:pt>
                <c:pt idx="19">
                  <c:v>4.4431678265634322E-2</c:v>
                </c:pt>
                <c:pt idx="20">
                  <c:v>6.8686286896655818E-2</c:v>
                </c:pt>
                <c:pt idx="21">
                  <c:v>8.6823118579817199E-2</c:v>
                </c:pt>
                <c:pt idx="22">
                  <c:v>7.6581746844111731E-2</c:v>
                </c:pt>
                <c:pt idx="23">
                  <c:v>8.2173051507916428E-2</c:v>
                </c:pt>
                <c:pt idx="24">
                  <c:v>8.5448256842431486E-2</c:v>
                </c:pt>
                <c:pt idx="25">
                  <c:v>6.95884381633948E-2</c:v>
                </c:pt>
                <c:pt idx="26">
                  <c:v>5.8203709516260027E-2</c:v>
                </c:pt>
                <c:pt idx="27">
                  <c:v>4.9805420927051619E-2</c:v>
                </c:pt>
                <c:pt idx="28">
                  <c:v>2.7600849298188207E-2</c:v>
                </c:pt>
                <c:pt idx="29">
                  <c:v>2.4527932962581406E-2</c:v>
                </c:pt>
                <c:pt idx="30">
                  <c:v>3.0373853475323828E-2</c:v>
                </c:pt>
                <c:pt idx="31">
                  <c:v>2.6168735575443927E-2</c:v>
                </c:pt>
                <c:pt idx="32">
                  <c:v>3.4936726848205063E-2</c:v>
                </c:pt>
                <c:pt idx="33">
                  <c:v>3.0901371918328008E-2</c:v>
                </c:pt>
                <c:pt idx="34">
                  <c:v>2.0577204697612969E-2</c:v>
                </c:pt>
                <c:pt idx="35">
                  <c:v>2.846247961124182E-2</c:v>
                </c:pt>
                <c:pt idx="36">
                  <c:v>1.8586522971210169E-2</c:v>
                </c:pt>
                <c:pt idx="37">
                  <c:v>1.6133372140252948E-2</c:v>
                </c:pt>
                <c:pt idx="38">
                  <c:v>9.1984625133790243E-3</c:v>
                </c:pt>
                <c:pt idx="39">
                  <c:v>4.8031665789239029E-3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845A-49A6-8ED6-3CA41D03DC8D}"/>
            </c:ext>
          </c:extLst>
        </c:ser>
        <c:ser>
          <c:idx val="23"/>
          <c:order val="23"/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PFE!$AC$53:$AC$93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-2.4362400518532723E-2</c:v>
                </c:pt>
                <c:pt idx="2">
                  <c:v>-4.9140001117786603E-2</c:v>
                </c:pt>
                <c:pt idx="3">
                  <c:v>-8.5159256462101429E-2</c:v>
                </c:pt>
                <c:pt idx="4">
                  <c:v>-6.806623795826594E-2</c:v>
                </c:pt>
                <c:pt idx="5">
                  <c:v>-9.6273957008249533E-2</c:v>
                </c:pt>
                <c:pt idx="6">
                  <c:v>-8.33365740112747E-2</c:v>
                </c:pt>
                <c:pt idx="7">
                  <c:v>-6.3193364547438458E-2</c:v>
                </c:pt>
                <c:pt idx="8">
                  <c:v>-4.0770338538215156E-2</c:v>
                </c:pt>
                <c:pt idx="9">
                  <c:v>-4.6724538548201355E-2</c:v>
                </c:pt>
                <c:pt idx="10">
                  <c:v>-7.3467450302777015E-2</c:v>
                </c:pt>
                <c:pt idx="11">
                  <c:v>-9.4959993133666099E-2</c:v>
                </c:pt>
                <c:pt idx="12">
                  <c:v>-7.6131641170758546E-2</c:v>
                </c:pt>
                <c:pt idx="13">
                  <c:v>-4.5598790395594557E-2</c:v>
                </c:pt>
                <c:pt idx="14">
                  <c:v>-3.0994287003117016E-2</c:v>
                </c:pt>
                <c:pt idx="15">
                  <c:v>-3.3484059465642535E-2</c:v>
                </c:pt>
                <c:pt idx="16">
                  <c:v>-1.7708747949094661E-2</c:v>
                </c:pt>
                <c:pt idx="17">
                  <c:v>8.9325469219755094E-3</c:v>
                </c:pt>
                <c:pt idx="18">
                  <c:v>1.2586777618996958E-3</c:v>
                </c:pt>
                <c:pt idx="19">
                  <c:v>-1.9256448453673691E-2</c:v>
                </c:pt>
                <c:pt idx="20">
                  <c:v>-1.0461572285230147E-2</c:v>
                </c:pt>
                <c:pt idx="21">
                  <c:v>-1.3523104707056588E-2</c:v>
                </c:pt>
                <c:pt idx="22">
                  <c:v>-3.1074342505071767E-2</c:v>
                </c:pt>
                <c:pt idx="23">
                  <c:v>-3.1148304272972771E-2</c:v>
                </c:pt>
                <c:pt idx="24">
                  <c:v>-4.2130675273803764E-3</c:v>
                </c:pt>
                <c:pt idx="25">
                  <c:v>7.5835641860114711E-3</c:v>
                </c:pt>
                <c:pt idx="26">
                  <c:v>1.6212286072854826E-2</c:v>
                </c:pt>
                <c:pt idx="27">
                  <c:v>2.3782638310644727E-2</c:v>
                </c:pt>
                <c:pt idx="28">
                  <c:v>2.387396877377751E-2</c:v>
                </c:pt>
                <c:pt idx="29">
                  <c:v>2.1297663967071306E-2</c:v>
                </c:pt>
                <c:pt idx="30">
                  <c:v>9.1251261225533675E-3</c:v>
                </c:pt>
                <c:pt idx="31">
                  <c:v>6.6221548048313317E-4</c:v>
                </c:pt>
                <c:pt idx="32">
                  <c:v>6.4997185065750196E-3</c:v>
                </c:pt>
                <c:pt idx="33">
                  <c:v>2.5368833619837591E-2</c:v>
                </c:pt>
                <c:pt idx="34">
                  <c:v>2.1340451251576784E-2</c:v>
                </c:pt>
                <c:pt idx="35">
                  <c:v>1.9908508539480119E-2</c:v>
                </c:pt>
                <c:pt idx="36">
                  <c:v>1.1706102497778419E-2</c:v>
                </c:pt>
                <c:pt idx="37">
                  <c:v>7.6949600388547396E-3</c:v>
                </c:pt>
                <c:pt idx="38">
                  <c:v>5.6806357607551428E-3</c:v>
                </c:pt>
                <c:pt idx="39">
                  <c:v>4.985663956251208E-3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845A-49A6-8ED6-3CA41D03DC8D}"/>
            </c:ext>
          </c:extLst>
        </c:ser>
        <c:ser>
          <c:idx val="24"/>
          <c:order val="24"/>
          <c:spPr>
            <a:ln w="12700">
              <a:solidFill>
                <a:srgbClr val="003366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PFE!$AD$53:$AD$93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-1.3152489639931819E-2</c:v>
                </c:pt>
                <c:pt idx="2">
                  <c:v>-3.1339750972097069E-2</c:v>
                </c:pt>
                <c:pt idx="3">
                  <c:v>-1.6322558645467444E-2</c:v>
                </c:pt>
                <c:pt idx="4">
                  <c:v>-1.7701155253618261E-3</c:v>
                </c:pt>
                <c:pt idx="5">
                  <c:v>3.533260014229439E-2</c:v>
                </c:pt>
                <c:pt idx="6">
                  <c:v>7.5507865555708431E-3</c:v>
                </c:pt>
                <c:pt idx="7">
                  <c:v>-6.3752157208215032E-3</c:v>
                </c:pt>
                <c:pt idx="8">
                  <c:v>-4.8834119435489098E-2</c:v>
                </c:pt>
                <c:pt idx="9">
                  <c:v>-5.9785625027514E-2</c:v>
                </c:pt>
                <c:pt idx="10">
                  <c:v>-7.1400864060817637E-2</c:v>
                </c:pt>
                <c:pt idx="11">
                  <c:v>-3.2500009978954025E-2</c:v>
                </c:pt>
                <c:pt idx="12">
                  <c:v>-4.4948314515855237E-3</c:v>
                </c:pt>
                <c:pt idx="13">
                  <c:v>-5.5275695901297328E-3</c:v>
                </c:pt>
                <c:pt idx="14">
                  <c:v>-2.2655723204709766E-3</c:v>
                </c:pt>
                <c:pt idx="15">
                  <c:v>1.9179113730117603E-2</c:v>
                </c:pt>
                <c:pt idx="16">
                  <c:v>4.5891287674633519E-2</c:v>
                </c:pt>
                <c:pt idx="17">
                  <c:v>7.6257739544499381E-2</c:v>
                </c:pt>
                <c:pt idx="18">
                  <c:v>0.12604388897860291</c:v>
                </c:pt>
                <c:pt idx="19">
                  <c:v>0.12469690124241783</c:v>
                </c:pt>
                <c:pt idx="20">
                  <c:v>9.8620981490900539E-2</c:v>
                </c:pt>
                <c:pt idx="21">
                  <c:v>8.3547035016832305E-2</c:v>
                </c:pt>
                <c:pt idx="22">
                  <c:v>7.5392120951791708E-2</c:v>
                </c:pt>
                <c:pt idx="23">
                  <c:v>7.4347024995645938E-2</c:v>
                </c:pt>
                <c:pt idx="24">
                  <c:v>6.2194284084598289E-2</c:v>
                </c:pt>
                <c:pt idx="25">
                  <c:v>4.256409373072409E-2</c:v>
                </c:pt>
                <c:pt idx="26">
                  <c:v>3.4280514926319644E-2</c:v>
                </c:pt>
                <c:pt idx="27">
                  <c:v>2.5606356249820689E-2</c:v>
                </c:pt>
                <c:pt idx="28">
                  <c:v>1.141441746592764E-2</c:v>
                </c:pt>
                <c:pt idx="29">
                  <c:v>1.5800968053217374E-2</c:v>
                </c:pt>
                <c:pt idx="30">
                  <c:v>1.9784166793480121E-2</c:v>
                </c:pt>
                <c:pt idx="31">
                  <c:v>1.3180138464488622E-2</c:v>
                </c:pt>
                <c:pt idx="32">
                  <c:v>2.8947462513621916E-2</c:v>
                </c:pt>
                <c:pt idx="33">
                  <c:v>3.3230605390218493E-2</c:v>
                </c:pt>
                <c:pt idx="34">
                  <c:v>2.5074190920280057E-2</c:v>
                </c:pt>
                <c:pt idx="35">
                  <c:v>2.8921221541266723E-2</c:v>
                </c:pt>
                <c:pt idx="36">
                  <c:v>1.1952744383704139E-2</c:v>
                </c:pt>
                <c:pt idx="37">
                  <c:v>1.9727912156219871E-3</c:v>
                </c:pt>
                <c:pt idx="38">
                  <c:v>-7.8512751072069148E-4</c:v>
                </c:pt>
                <c:pt idx="39">
                  <c:v>-1.1645958354468185E-3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845A-49A6-8ED6-3CA41D03DC8D}"/>
            </c:ext>
          </c:extLst>
        </c:ser>
        <c:ser>
          <c:idx val="25"/>
          <c:order val="25"/>
          <c:spPr>
            <a:ln w="12700">
              <a:solidFill>
                <a:srgbClr val="339966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PFE!$AE$53:$AE$93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-6.9335304248266949E-3</c:v>
                </c:pt>
                <c:pt idx="2">
                  <c:v>-3.8396247396920824E-2</c:v>
                </c:pt>
                <c:pt idx="3">
                  <c:v>-4.8385350759551637E-2</c:v>
                </c:pt>
                <c:pt idx="4">
                  <c:v>-2.6792350981624802E-2</c:v>
                </c:pt>
                <c:pt idx="5">
                  <c:v>-5.7619524455520599E-2</c:v>
                </c:pt>
                <c:pt idx="6">
                  <c:v>-5.7855589328216717E-2</c:v>
                </c:pt>
                <c:pt idx="7">
                  <c:v>-7.5960391979696951E-2</c:v>
                </c:pt>
                <c:pt idx="8">
                  <c:v>-9.9839871666119073E-2</c:v>
                </c:pt>
                <c:pt idx="9">
                  <c:v>-9.1437129058909106E-2</c:v>
                </c:pt>
                <c:pt idx="10">
                  <c:v>-9.8064101563060557E-2</c:v>
                </c:pt>
                <c:pt idx="11">
                  <c:v>-9.6554924140265341E-2</c:v>
                </c:pt>
                <c:pt idx="12">
                  <c:v>-0.13063273129231201</c:v>
                </c:pt>
                <c:pt idx="13">
                  <c:v>-0.11179485756051044</c:v>
                </c:pt>
                <c:pt idx="14">
                  <c:v>-0.12714401030765471</c:v>
                </c:pt>
                <c:pt idx="15">
                  <c:v>-0.12170559645568985</c:v>
                </c:pt>
                <c:pt idx="16">
                  <c:v>-0.14473530325017453</c:v>
                </c:pt>
                <c:pt idx="17">
                  <c:v>-9.9658881466557325E-2</c:v>
                </c:pt>
                <c:pt idx="18">
                  <c:v>-8.967408368472024E-2</c:v>
                </c:pt>
                <c:pt idx="19">
                  <c:v>-0.11428830174481977</c:v>
                </c:pt>
                <c:pt idx="20">
                  <c:v>-8.8303902855575322E-2</c:v>
                </c:pt>
                <c:pt idx="21">
                  <c:v>-0.10466780180171503</c:v>
                </c:pt>
                <c:pt idx="22">
                  <c:v>-8.9801809601514238E-2</c:v>
                </c:pt>
                <c:pt idx="23">
                  <c:v>-0.11170872134317422</c:v>
                </c:pt>
                <c:pt idx="24">
                  <c:v>-9.6192142898512356E-2</c:v>
                </c:pt>
                <c:pt idx="25">
                  <c:v>-0.10223914479512633</c:v>
                </c:pt>
                <c:pt idx="26">
                  <c:v>-8.6101429375824795E-2</c:v>
                </c:pt>
                <c:pt idx="27">
                  <c:v>-6.7306742479066317E-2</c:v>
                </c:pt>
                <c:pt idx="28">
                  <c:v>-6.8962728466495843E-2</c:v>
                </c:pt>
                <c:pt idx="29">
                  <c:v>-8.2319974423248565E-2</c:v>
                </c:pt>
                <c:pt idx="30">
                  <c:v>-9.1304602146443703E-2</c:v>
                </c:pt>
                <c:pt idx="31">
                  <c:v>-8.7381178578312485E-2</c:v>
                </c:pt>
                <c:pt idx="32">
                  <c:v>-8.5024103033722709E-2</c:v>
                </c:pt>
                <c:pt idx="33">
                  <c:v>-6.8304488791538845E-2</c:v>
                </c:pt>
                <c:pt idx="34">
                  <c:v>-6.7273813002506094E-2</c:v>
                </c:pt>
                <c:pt idx="35">
                  <c:v>-5.1584366322997871E-2</c:v>
                </c:pt>
                <c:pt idx="36">
                  <c:v>-4.559044781533908E-2</c:v>
                </c:pt>
                <c:pt idx="37">
                  <c:v>-2.9212484854081018E-2</c:v>
                </c:pt>
                <c:pt idx="38">
                  <c:v>-2.0599923331794959E-2</c:v>
                </c:pt>
                <c:pt idx="39">
                  <c:v>-1.2065739728270247E-2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845A-49A6-8ED6-3CA41D03DC8D}"/>
            </c:ext>
          </c:extLst>
        </c:ser>
        <c:ser>
          <c:idx val="26"/>
          <c:order val="26"/>
          <c:spPr>
            <a:ln w="12700">
              <a:solidFill>
                <a:srgbClr val="0033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PFE!$AF$53:$AF$93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8.8502302864116866E-3</c:v>
                </c:pt>
                <c:pt idx="2">
                  <c:v>-5.7443166065578311E-3</c:v>
                </c:pt>
                <c:pt idx="3">
                  <c:v>-1.3025430878901512E-2</c:v>
                </c:pt>
                <c:pt idx="4">
                  <c:v>-3.1598365750604263E-2</c:v>
                </c:pt>
                <c:pt idx="5">
                  <c:v>-5.1776417085285742E-2</c:v>
                </c:pt>
                <c:pt idx="6">
                  <c:v>-8.1765238499036941E-2</c:v>
                </c:pt>
                <c:pt idx="7">
                  <c:v>-9.9570368323586789E-2</c:v>
                </c:pt>
                <c:pt idx="8">
                  <c:v>-0.11024321749084975</c:v>
                </c:pt>
                <c:pt idx="9">
                  <c:v>-0.1225096810891137</c:v>
                </c:pt>
                <c:pt idx="10">
                  <c:v>-0.12332367219235091</c:v>
                </c:pt>
                <c:pt idx="11">
                  <c:v>-8.6233713367594333E-2</c:v>
                </c:pt>
                <c:pt idx="12">
                  <c:v>-6.1356119215922988E-2</c:v>
                </c:pt>
                <c:pt idx="13">
                  <c:v>-2.8463558400653732E-2</c:v>
                </c:pt>
                <c:pt idx="14">
                  <c:v>-1.9164742367496712E-2</c:v>
                </c:pt>
                <c:pt idx="15">
                  <c:v>-1.6898098693833241E-2</c:v>
                </c:pt>
                <c:pt idx="16">
                  <c:v>-3.1333568573571002E-2</c:v>
                </c:pt>
                <c:pt idx="17">
                  <c:v>-2.4387361721870143E-2</c:v>
                </c:pt>
                <c:pt idx="18">
                  <c:v>-1.1838015694653314E-2</c:v>
                </c:pt>
                <c:pt idx="19">
                  <c:v>2.1002791117937014E-2</c:v>
                </c:pt>
                <c:pt idx="20">
                  <c:v>2.0720820072219343E-2</c:v>
                </c:pt>
                <c:pt idx="21">
                  <c:v>3.5187112192130665E-2</c:v>
                </c:pt>
                <c:pt idx="22">
                  <c:v>4.0376273628369708E-3</c:v>
                </c:pt>
                <c:pt idx="23">
                  <c:v>-1.0973795066443887E-2</c:v>
                </c:pt>
                <c:pt idx="24">
                  <c:v>-1.1118039505462141E-2</c:v>
                </c:pt>
                <c:pt idx="25">
                  <c:v>6.3272528636317549E-3</c:v>
                </c:pt>
                <c:pt idx="26">
                  <c:v>1.6511174453281041E-2</c:v>
                </c:pt>
                <c:pt idx="27">
                  <c:v>-3.7513993982289107E-3</c:v>
                </c:pt>
                <c:pt idx="28">
                  <c:v>-1.2165251640469554E-2</c:v>
                </c:pt>
                <c:pt idx="29">
                  <c:v>3.862925536627676E-3</c:v>
                </c:pt>
                <c:pt idx="30">
                  <c:v>8.5450494666378107E-5</c:v>
                </c:pt>
                <c:pt idx="31">
                  <c:v>1.2588673301548961E-2</c:v>
                </c:pt>
                <c:pt idx="32">
                  <c:v>1.7284364112342146E-2</c:v>
                </c:pt>
                <c:pt idx="33">
                  <c:v>3.4683397724691312E-4</c:v>
                </c:pt>
                <c:pt idx="34">
                  <c:v>-5.1985611104691382E-3</c:v>
                </c:pt>
                <c:pt idx="35">
                  <c:v>-1.2972643264281339E-3</c:v>
                </c:pt>
                <c:pt idx="36">
                  <c:v>-3.3519409836376343E-3</c:v>
                </c:pt>
                <c:pt idx="37">
                  <c:v>-5.1990533294240873E-3</c:v>
                </c:pt>
                <c:pt idx="38">
                  <c:v>-4.9132825729234844E-3</c:v>
                </c:pt>
                <c:pt idx="39">
                  <c:v>-1.8329172083087208E-3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845A-49A6-8ED6-3CA41D03DC8D}"/>
            </c:ext>
          </c:extLst>
        </c:ser>
        <c:ser>
          <c:idx val="27"/>
          <c:order val="27"/>
          <c:spPr>
            <a:ln w="12700">
              <a:solidFill>
                <a:srgbClr val="3333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PFE!$AG$53:$AG$93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-5.0766045864088283E-2</c:v>
                </c:pt>
                <c:pt idx="2">
                  <c:v>-5.1988321279240579E-2</c:v>
                </c:pt>
                <c:pt idx="3">
                  <c:v>-4.2247391679562374E-2</c:v>
                </c:pt>
                <c:pt idx="4">
                  <c:v>-6.1975064969526372E-2</c:v>
                </c:pt>
                <c:pt idx="5">
                  <c:v>-9.6525322032748662E-2</c:v>
                </c:pt>
                <c:pt idx="6">
                  <c:v>-0.14453640794778333</c:v>
                </c:pt>
                <c:pt idx="7">
                  <c:v>-0.13677771887769652</c:v>
                </c:pt>
                <c:pt idx="8">
                  <c:v>-9.9959895282487277E-2</c:v>
                </c:pt>
                <c:pt idx="9">
                  <c:v>-0.13020870501616555</c:v>
                </c:pt>
                <c:pt idx="10">
                  <c:v>-0.11734887477892592</c:v>
                </c:pt>
                <c:pt idx="11">
                  <c:v>-9.7610938047213935E-2</c:v>
                </c:pt>
                <c:pt idx="12">
                  <c:v>-7.4519947182184798E-2</c:v>
                </c:pt>
                <c:pt idx="13">
                  <c:v>-0.11668300184976371</c:v>
                </c:pt>
                <c:pt idx="14">
                  <c:v>-8.1002508072496149E-2</c:v>
                </c:pt>
                <c:pt idx="15">
                  <c:v>-3.4356198038008712E-2</c:v>
                </c:pt>
                <c:pt idx="16">
                  <c:v>-2.8610295332460511E-2</c:v>
                </c:pt>
                <c:pt idx="17">
                  <c:v>-5.3996931798225845E-3</c:v>
                </c:pt>
                <c:pt idx="18">
                  <c:v>-2.470241855840713E-2</c:v>
                </c:pt>
                <c:pt idx="19">
                  <c:v>9.7215604137114442E-3</c:v>
                </c:pt>
                <c:pt idx="20">
                  <c:v>-1.4053548494157631E-2</c:v>
                </c:pt>
                <c:pt idx="21">
                  <c:v>1.4949569575932742E-3</c:v>
                </c:pt>
                <c:pt idx="22">
                  <c:v>2.8029784050065731E-2</c:v>
                </c:pt>
                <c:pt idx="23">
                  <c:v>4.9067173264444874E-2</c:v>
                </c:pt>
                <c:pt idx="24">
                  <c:v>4.994820374449388E-2</c:v>
                </c:pt>
                <c:pt idx="25">
                  <c:v>3.9021895356107145E-2</c:v>
                </c:pt>
                <c:pt idx="26">
                  <c:v>3.9792692026128645E-2</c:v>
                </c:pt>
                <c:pt idx="27">
                  <c:v>4.0830721746964893E-2</c:v>
                </c:pt>
                <c:pt idx="28">
                  <c:v>2.8532698717132932E-2</c:v>
                </c:pt>
                <c:pt idx="29">
                  <c:v>4.7038751225282588E-2</c:v>
                </c:pt>
                <c:pt idx="30">
                  <c:v>3.1555066450641309E-2</c:v>
                </c:pt>
                <c:pt idx="31">
                  <c:v>1.9031060754040874E-2</c:v>
                </c:pt>
                <c:pt idx="32">
                  <c:v>2.3743552733233225E-2</c:v>
                </c:pt>
                <c:pt idx="33">
                  <c:v>3.7930872368529212E-2</c:v>
                </c:pt>
                <c:pt idx="34">
                  <c:v>3.5301119911712184E-2</c:v>
                </c:pt>
                <c:pt idx="35">
                  <c:v>1.8381292337086276E-2</c:v>
                </c:pt>
                <c:pt idx="36">
                  <c:v>1.5350740018554458E-2</c:v>
                </c:pt>
                <c:pt idx="37">
                  <c:v>6.4067737446839232E-3</c:v>
                </c:pt>
                <c:pt idx="38">
                  <c:v>5.45676563429787E-3</c:v>
                </c:pt>
                <c:pt idx="39">
                  <c:v>5.0364218648486433E-3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845A-49A6-8ED6-3CA41D03DC8D}"/>
            </c:ext>
          </c:extLst>
        </c:ser>
        <c:ser>
          <c:idx val="28"/>
          <c:order val="28"/>
          <c:spPr>
            <a:ln w="12700">
              <a:solidFill>
                <a:srgbClr val="9933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PFE!$AH$53:$AH$93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6.8273412406348821E-2</c:v>
                </c:pt>
                <c:pt idx="2">
                  <c:v>5.1108334829058133E-2</c:v>
                </c:pt>
                <c:pt idx="3">
                  <c:v>3.3781193722695724E-2</c:v>
                </c:pt>
                <c:pt idx="4">
                  <c:v>5.0389736445322408E-2</c:v>
                </c:pt>
                <c:pt idx="5">
                  <c:v>3.3370045387529967E-2</c:v>
                </c:pt>
                <c:pt idx="6">
                  <c:v>2.1849041785728385E-2</c:v>
                </c:pt>
                <c:pt idx="7">
                  <c:v>-1.1188175534809053E-2</c:v>
                </c:pt>
                <c:pt idx="8">
                  <c:v>-7.3446721639023327E-3</c:v>
                </c:pt>
                <c:pt idx="9">
                  <c:v>-1.0620821452480667E-2</c:v>
                </c:pt>
                <c:pt idx="10">
                  <c:v>-3.555072512704055E-2</c:v>
                </c:pt>
                <c:pt idx="11">
                  <c:v>-4.0460546064454206E-2</c:v>
                </c:pt>
                <c:pt idx="12">
                  <c:v>-2.3339985606699309E-2</c:v>
                </c:pt>
                <c:pt idx="13">
                  <c:v>-3.596379610690309E-2</c:v>
                </c:pt>
                <c:pt idx="14">
                  <c:v>-4.7346735376513904E-2</c:v>
                </c:pt>
                <c:pt idx="15">
                  <c:v>-7.6986269516767569E-2</c:v>
                </c:pt>
                <c:pt idx="16">
                  <c:v>-8.5186372308126979E-2</c:v>
                </c:pt>
                <c:pt idx="17">
                  <c:v>-6.0372738368736079E-2</c:v>
                </c:pt>
                <c:pt idx="18">
                  <c:v>-4.7372331778214455E-2</c:v>
                </c:pt>
                <c:pt idx="19">
                  <c:v>-6.5022389856965068E-2</c:v>
                </c:pt>
                <c:pt idx="20">
                  <c:v>-7.5069933646665643E-2</c:v>
                </c:pt>
                <c:pt idx="21">
                  <c:v>-5.8776763311166436E-2</c:v>
                </c:pt>
                <c:pt idx="22">
                  <c:v>-3.6113177274667979E-2</c:v>
                </c:pt>
                <c:pt idx="23">
                  <c:v>-3.9663940322309743E-2</c:v>
                </c:pt>
                <c:pt idx="24">
                  <c:v>-3.0533604704528067E-2</c:v>
                </c:pt>
                <c:pt idx="25">
                  <c:v>-4.0291906563200586E-2</c:v>
                </c:pt>
                <c:pt idx="26">
                  <c:v>-1.2314181777911187E-2</c:v>
                </c:pt>
                <c:pt idx="27">
                  <c:v>-8.191625638695077E-3</c:v>
                </c:pt>
                <c:pt idx="28">
                  <c:v>-2.1472031117891116E-2</c:v>
                </c:pt>
                <c:pt idx="29">
                  <c:v>-1.9484539835507603E-2</c:v>
                </c:pt>
                <c:pt idx="30">
                  <c:v>5.4564362060121607E-3</c:v>
                </c:pt>
                <c:pt idx="31">
                  <c:v>9.666561569935006E-3</c:v>
                </c:pt>
                <c:pt idx="32">
                  <c:v>9.6609401202687739E-3</c:v>
                </c:pt>
                <c:pt idx="33">
                  <c:v>5.7754649951254344E-3</c:v>
                </c:pt>
                <c:pt idx="34">
                  <c:v>6.2222431772263054E-4</c:v>
                </c:pt>
                <c:pt idx="35">
                  <c:v>-1.0816659818361614E-2</c:v>
                </c:pt>
                <c:pt idx="36">
                  <c:v>-1.1369151167666458E-2</c:v>
                </c:pt>
                <c:pt idx="37">
                  <c:v>-7.0088918777409803E-3</c:v>
                </c:pt>
                <c:pt idx="38">
                  <c:v>-3.2199126995496874E-3</c:v>
                </c:pt>
                <c:pt idx="39">
                  <c:v>-1.4126489022367808E-3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845A-49A6-8ED6-3CA41D03DC8D}"/>
            </c:ext>
          </c:extLst>
        </c:ser>
        <c:ser>
          <c:idx val="29"/>
          <c:order val="29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PFE!$AI$53:$AI$93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-4.594031982735558E-3</c:v>
                </c:pt>
                <c:pt idx="2">
                  <c:v>-1.7662591968409025E-2</c:v>
                </c:pt>
                <c:pt idx="3">
                  <c:v>-2.6127872905568672E-2</c:v>
                </c:pt>
                <c:pt idx="4">
                  <c:v>-2.0246316366035522E-2</c:v>
                </c:pt>
                <c:pt idx="5">
                  <c:v>-1.5493564409382432E-2</c:v>
                </c:pt>
                <c:pt idx="6">
                  <c:v>-4.4000606497848982E-2</c:v>
                </c:pt>
                <c:pt idx="7">
                  <c:v>-1.5492928516917026E-2</c:v>
                </c:pt>
                <c:pt idx="8">
                  <c:v>-5.9741061582600563E-2</c:v>
                </c:pt>
                <c:pt idx="9">
                  <c:v>-8.4605361586484906E-2</c:v>
                </c:pt>
                <c:pt idx="10">
                  <c:v>-7.9020533974894946E-2</c:v>
                </c:pt>
                <c:pt idx="11">
                  <c:v>-5.8694683752864629E-2</c:v>
                </c:pt>
                <c:pt idx="12">
                  <c:v>-5.7068518394516932E-2</c:v>
                </c:pt>
                <c:pt idx="13">
                  <c:v>-7.0671199125723783E-2</c:v>
                </c:pt>
                <c:pt idx="14">
                  <c:v>-6.2300091672942093E-2</c:v>
                </c:pt>
                <c:pt idx="15">
                  <c:v>-0.10192493871812566</c:v>
                </c:pt>
                <c:pt idx="16">
                  <c:v>-0.13288665413172987</c:v>
                </c:pt>
                <c:pt idx="17">
                  <c:v>-0.10451037912015515</c:v>
                </c:pt>
                <c:pt idx="18">
                  <c:v>-0.13751708771176915</c:v>
                </c:pt>
                <c:pt idx="19">
                  <c:v>-0.13719068515407143</c:v>
                </c:pt>
                <c:pt idx="20">
                  <c:v>-0.13405711516930255</c:v>
                </c:pt>
                <c:pt idx="21">
                  <c:v>-0.14032100117538893</c:v>
                </c:pt>
                <c:pt idx="22">
                  <c:v>-0.11847681068928551</c:v>
                </c:pt>
                <c:pt idx="23">
                  <c:v>-0.12350499183311373</c:v>
                </c:pt>
                <c:pt idx="24">
                  <c:v>-0.13131495827453687</c:v>
                </c:pt>
                <c:pt idx="25">
                  <c:v>-0.12879089767713681</c:v>
                </c:pt>
                <c:pt idx="26">
                  <c:v>-0.11907895418388317</c:v>
                </c:pt>
                <c:pt idx="27">
                  <c:v>-9.1167774614967861E-2</c:v>
                </c:pt>
                <c:pt idx="28">
                  <c:v>-9.2010259767729502E-2</c:v>
                </c:pt>
                <c:pt idx="29">
                  <c:v>-8.4896047537832434E-2</c:v>
                </c:pt>
                <c:pt idx="30">
                  <c:v>-8.3484803759774157E-2</c:v>
                </c:pt>
                <c:pt idx="31">
                  <c:v>-8.6861452269296729E-2</c:v>
                </c:pt>
                <c:pt idx="32">
                  <c:v>-7.6606159798888823E-2</c:v>
                </c:pt>
                <c:pt idx="33">
                  <c:v>-6.5645741227251364E-2</c:v>
                </c:pt>
                <c:pt idx="34">
                  <c:v>-5.6608332467591338E-2</c:v>
                </c:pt>
                <c:pt idx="35">
                  <c:v>-4.5325490321528106E-2</c:v>
                </c:pt>
                <c:pt idx="36">
                  <c:v>-2.8748384242179098E-2</c:v>
                </c:pt>
                <c:pt idx="37">
                  <c:v>-2.0699538096075172E-2</c:v>
                </c:pt>
                <c:pt idx="38">
                  <c:v>-1.2247330301027509E-2</c:v>
                </c:pt>
                <c:pt idx="39">
                  <c:v>-5.268819440910821E-3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845A-49A6-8ED6-3CA41D03DC8D}"/>
            </c:ext>
          </c:extLst>
        </c:ser>
        <c:ser>
          <c:idx val="30"/>
          <c:order val="30"/>
          <c:spPr>
            <a:ln w="12700">
              <a:solidFill>
                <a:srgbClr val="333399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PFE!$AJ$53:$AJ$93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2.7942803883732659E-2</c:v>
                </c:pt>
                <c:pt idx="2">
                  <c:v>5.642732521509497E-2</c:v>
                </c:pt>
                <c:pt idx="3">
                  <c:v>4.024039709063465E-2</c:v>
                </c:pt>
                <c:pt idx="4">
                  <c:v>1.7933398185631999E-2</c:v>
                </c:pt>
                <c:pt idx="5">
                  <c:v>-1.5590423899217554E-2</c:v>
                </c:pt>
                <c:pt idx="6">
                  <c:v>1.3405279189440289E-2</c:v>
                </c:pt>
                <c:pt idx="7">
                  <c:v>5.5715758370432078E-3</c:v>
                </c:pt>
                <c:pt idx="8">
                  <c:v>-2.2346644496095303E-2</c:v>
                </c:pt>
                <c:pt idx="9">
                  <c:v>-3.9406308417688884E-2</c:v>
                </c:pt>
                <c:pt idx="10">
                  <c:v>-6.9472651500287197E-2</c:v>
                </c:pt>
                <c:pt idx="11">
                  <c:v>-7.5244985899153904E-2</c:v>
                </c:pt>
                <c:pt idx="12">
                  <c:v>-4.8778825257415337E-2</c:v>
                </c:pt>
                <c:pt idx="13">
                  <c:v>-7.1671232919053252E-2</c:v>
                </c:pt>
                <c:pt idx="14">
                  <c:v>-0.10042855583041743</c:v>
                </c:pt>
                <c:pt idx="15">
                  <c:v>-0.10923391126103263</c:v>
                </c:pt>
                <c:pt idx="16">
                  <c:v>-9.7214771058067528E-2</c:v>
                </c:pt>
                <c:pt idx="17">
                  <c:v>-0.10234976321596986</c:v>
                </c:pt>
                <c:pt idx="18">
                  <c:v>-7.1869392665083465E-2</c:v>
                </c:pt>
                <c:pt idx="19">
                  <c:v>-8.3429573281092739E-2</c:v>
                </c:pt>
                <c:pt idx="20">
                  <c:v>-6.4670551400977161E-2</c:v>
                </c:pt>
                <c:pt idx="21">
                  <c:v>-4.9988500194346946E-2</c:v>
                </c:pt>
                <c:pt idx="22">
                  <c:v>-2.8282892299856616E-2</c:v>
                </c:pt>
                <c:pt idx="23">
                  <c:v>-5.0681106450929297E-2</c:v>
                </c:pt>
                <c:pt idx="24">
                  <c:v>-4.4122648387259711E-2</c:v>
                </c:pt>
                <c:pt idx="25">
                  <c:v>-5.1897810287556911E-2</c:v>
                </c:pt>
                <c:pt idx="26">
                  <c:v>-3.4809698423216351E-2</c:v>
                </c:pt>
                <c:pt idx="27">
                  <c:v>-4.6335798647948401E-2</c:v>
                </c:pt>
                <c:pt idx="28">
                  <c:v>-6.3969121870972395E-2</c:v>
                </c:pt>
                <c:pt idx="29">
                  <c:v>-5.487631289971566E-2</c:v>
                </c:pt>
                <c:pt idx="30">
                  <c:v>-4.8580472736736532E-2</c:v>
                </c:pt>
                <c:pt idx="31">
                  <c:v>-2.9243592623187764E-2</c:v>
                </c:pt>
                <c:pt idx="32">
                  <c:v>-2.0245448893496734E-2</c:v>
                </c:pt>
                <c:pt idx="33">
                  <c:v>-2.812347713463538E-2</c:v>
                </c:pt>
                <c:pt idx="34">
                  <c:v>-2.6313662123353523E-2</c:v>
                </c:pt>
                <c:pt idx="35">
                  <c:v>-1.9553685207625515E-2</c:v>
                </c:pt>
                <c:pt idx="36">
                  <c:v>-1.5368000285951276E-2</c:v>
                </c:pt>
                <c:pt idx="37">
                  <c:v>-1.0843858078727155E-2</c:v>
                </c:pt>
                <c:pt idx="38">
                  <c:v>-4.1767376317876984E-3</c:v>
                </c:pt>
                <c:pt idx="39">
                  <c:v>2.4914955516278092E-4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845A-49A6-8ED6-3CA41D03DC8D}"/>
            </c:ext>
          </c:extLst>
        </c:ser>
        <c:ser>
          <c:idx val="31"/>
          <c:order val="3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PFE!$AK$53:$AK$93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4.7914310461684151E-2</c:v>
                </c:pt>
                <c:pt idx="2">
                  <c:v>2.9975051202026926E-3</c:v>
                </c:pt>
                <c:pt idx="3">
                  <c:v>-1.9837301107945127E-2</c:v>
                </c:pt>
                <c:pt idx="4">
                  <c:v>-1.2133608553074882E-3</c:v>
                </c:pt>
                <c:pt idx="5">
                  <c:v>1.4566663056975848E-2</c:v>
                </c:pt>
                <c:pt idx="6">
                  <c:v>2.9579473371704523E-2</c:v>
                </c:pt>
                <c:pt idx="7">
                  <c:v>1.4266221652841582E-2</c:v>
                </c:pt>
                <c:pt idx="8">
                  <c:v>3.135728498177115E-3</c:v>
                </c:pt>
                <c:pt idx="9">
                  <c:v>-5.2168191203222913E-3</c:v>
                </c:pt>
                <c:pt idx="10">
                  <c:v>7.1908872200812102E-3</c:v>
                </c:pt>
                <c:pt idx="11">
                  <c:v>4.6408733893236298E-2</c:v>
                </c:pt>
                <c:pt idx="12">
                  <c:v>7.05417211701026E-3</c:v>
                </c:pt>
                <c:pt idx="13">
                  <c:v>1.0634793824090216E-2</c:v>
                </c:pt>
                <c:pt idx="14">
                  <c:v>-4.3840940653453453E-3</c:v>
                </c:pt>
                <c:pt idx="15">
                  <c:v>-4.3440862121307822E-4</c:v>
                </c:pt>
                <c:pt idx="16">
                  <c:v>1.2711623539596928E-2</c:v>
                </c:pt>
                <c:pt idx="17">
                  <c:v>4.4367516348236546E-3</c:v>
                </c:pt>
                <c:pt idx="18">
                  <c:v>3.2231305886627815E-2</c:v>
                </c:pt>
                <c:pt idx="19">
                  <c:v>2.9913114030815091E-2</c:v>
                </c:pt>
                <c:pt idx="20">
                  <c:v>3.0339178067329331E-2</c:v>
                </c:pt>
                <c:pt idx="21">
                  <c:v>5.6745147654879979E-2</c:v>
                </c:pt>
                <c:pt idx="22">
                  <c:v>6.5477207421449746E-2</c:v>
                </c:pt>
                <c:pt idx="23">
                  <c:v>4.2808809543454951E-2</c:v>
                </c:pt>
                <c:pt idx="24">
                  <c:v>2.6366176896055971E-2</c:v>
                </c:pt>
                <c:pt idx="25">
                  <c:v>2.0570093401206524E-2</c:v>
                </c:pt>
                <c:pt idx="26">
                  <c:v>3.3953478326302133E-2</c:v>
                </c:pt>
                <c:pt idx="27">
                  <c:v>4.4675509455325974E-2</c:v>
                </c:pt>
                <c:pt idx="28">
                  <c:v>4.1117585748755098E-2</c:v>
                </c:pt>
                <c:pt idx="29">
                  <c:v>3.951008694538477E-2</c:v>
                </c:pt>
                <c:pt idx="30">
                  <c:v>2.2271070622040104E-2</c:v>
                </c:pt>
                <c:pt idx="31">
                  <c:v>1.8397094295228067E-2</c:v>
                </c:pt>
                <c:pt idx="32">
                  <c:v>1.1554034776637037E-2</c:v>
                </c:pt>
                <c:pt idx="33">
                  <c:v>3.8296153302576352E-4</c:v>
                </c:pt>
                <c:pt idx="34">
                  <c:v>2.4191253530121415E-3</c:v>
                </c:pt>
                <c:pt idx="35">
                  <c:v>-1.308797206717921E-3</c:v>
                </c:pt>
                <c:pt idx="36">
                  <c:v>-3.1941291685787243E-5</c:v>
                </c:pt>
                <c:pt idx="37">
                  <c:v>-1.1704011393873226E-6</c:v>
                </c:pt>
                <c:pt idx="38">
                  <c:v>-4.6014561742957136E-4</c:v>
                </c:pt>
                <c:pt idx="39">
                  <c:v>1.7900229384334217E-3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845A-49A6-8ED6-3CA41D03DC8D}"/>
            </c:ext>
          </c:extLst>
        </c:ser>
        <c:ser>
          <c:idx val="32"/>
          <c:order val="32"/>
          <c:spPr>
            <a:ln w="12700">
              <a:solidFill>
                <a:srgbClr val="FFFF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PFE!$AL$53:$AL$93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-1.3284593472431494E-2</c:v>
                </c:pt>
                <c:pt idx="2">
                  <c:v>-3.9530049195199091E-2</c:v>
                </c:pt>
                <c:pt idx="3">
                  <c:v>-7.5855361064626314E-2</c:v>
                </c:pt>
                <c:pt idx="4">
                  <c:v>-9.0364966210351838E-2</c:v>
                </c:pt>
                <c:pt idx="5">
                  <c:v>-9.5531605983772083E-2</c:v>
                </c:pt>
                <c:pt idx="6">
                  <c:v>-4.9277240810156053E-2</c:v>
                </c:pt>
                <c:pt idx="7">
                  <c:v>-5.168304333031154E-2</c:v>
                </c:pt>
                <c:pt idx="8">
                  <c:v>-6.0326736066952269E-2</c:v>
                </c:pt>
                <c:pt idx="9">
                  <c:v>-5.3312960177599455E-2</c:v>
                </c:pt>
                <c:pt idx="10">
                  <c:v>-3.5333757080482087E-2</c:v>
                </c:pt>
                <c:pt idx="11">
                  <c:v>-2.6964740350391814E-2</c:v>
                </c:pt>
                <c:pt idx="12">
                  <c:v>-3.8793985659323404E-2</c:v>
                </c:pt>
                <c:pt idx="13">
                  <c:v>1.3262572156756969E-2</c:v>
                </c:pt>
                <c:pt idx="14">
                  <c:v>7.5937510857986834E-3</c:v>
                </c:pt>
                <c:pt idx="15">
                  <c:v>4.7881045003355382E-2</c:v>
                </c:pt>
                <c:pt idx="16">
                  <c:v>6.1648568553119343E-2</c:v>
                </c:pt>
                <c:pt idx="17">
                  <c:v>4.8949632494383777E-2</c:v>
                </c:pt>
                <c:pt idx="18">
                  <c:v>6.6729721333818826E-2</c:v>
                </c:pt>
                <c:pt idx="19">
                  <c:v>6.4736007827913861E-2</c:v>
                </c:pt>
                <c:pt idx="20">
                  <c:v>8.0627528268792326E-2</c:v>
                </c:pt>
                <c:pt idx="21">
                  <c:v>9.6789525178280045E-2</c:v>
                </c:pt>
                <c:pt idx="22">
                  <c:v>9.0751744021462744E-2</c:v>
                </c:pt>
                <c:pt idx="23">
                  <c:v>0.12374061283045312</c:v>
                </c:pt>
                <c:pt idx="24">
                  <c:v>0.13161949880185031</c:v>
                </c:pt>
                <c:pt idx="25">
                  <c:v>9.5835718565727146E-2</c:v>
                </c:pt>
                <c:pt idx="26">
                  <c:v>7.0295783340186713E-2</c:v>
                </c:pt>
                <c:pt idx="27">
                  <c:v>8.680719965691186E-2</c:v>
                </c:pt>
                <c:pt idx="28">
                  <c:v>7.3153283922119089E-2</c:v>
                </c:pt>
                <c:pt idx="29">
                  <c:v>6.1863684981039058E-2</c:v>
                </c:pt>
                <c:pt idx="30">
                  <c:v>6.5780813697330409E-2</c:v>
                </c:pt>
                <c:pt idx="31">
                  <c:v>3.4498447812842392E-2</c:v>
                </c:pt>
                <c:pt idx="32">
                  <c:v>4.5278899329321012E-2</c:v>
                </c:pt>
                <c:pt idx="33">
                  <c:v>5.6300876566483027E-2</c:v>
                </c:pt>
                <c:pt idx="34">
                  <c:v>4.253315629738251E-2</c:v>
                </c:pt>
                <c:pt idx="35">
                  <c:v>2.4683626678664666E-2</c:v>
                </c:pt>
                <c:pt idx="36">
                  <c:v>1.7735794203659873E-2</c:v>
                </c:pt>
                <c:pt idx="37">
                  <c:v>2.0250046520720363E-2</c:v>
                </c:pt>
                <c:pt idx="38">
                  <c:v>1.4629068160993866E-2</c:v>
                </c:pt>
                <c:pt idx="39">
                  <c:v>7.729827620440213E-3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845A-49A6-8ED6-3CA41D03DC8D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PFE!$AM$53:$AM$93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-1.0982602976050637E-2</c:v>
                </c:pt>
                <c:pt idx="2">
                  <c:v>-2.5440344918068958E-2</c:v>
                </c:pt>
                <c:pt idx="3">
                  <c:v>5.2149879842467439E-3</c:v>
                </c:pt>
                <c:pt idx="4">
                  <c:v>-6.0701617982526823E-2</c:v>
                </c:pt>
                <c:pt idx="5">
                  <c:v>-6.1144380569660484E-2</c:v>
                </c:pt>
                <c:pt idx="6">
                  <c:v>-9.6197862036004667E-2</c:v>
                </c:pt>
                <c:pt idx="7">
                  <c:v>-7.8159938433550014E-2</c:v>
                </c:pt>
                <c:pt idx="8">
                  <c:v>-8.7648431682190109E-2</c:v>
                </c:pt>
                <c:pt idx="9">
                  <c:v>-0.10133668704028748</c:v>
                </c:pt>
                <c:pt idx="10">
                  <c:v>-9.6272024091857367E-2</c:v>
                </c:pt>
                <c:pt idx="11">
                  <c:v>-8.0305755026698622E-2</c:v>
                </c:pt>
                <c:pt idx="12">
                  <c:v>-9.0422537540075121E-2</c:v>
                </c:pt>
                <c:pt idx="13">
                  <c:v>-9.3357330911358172E-2</c:v>
                </c:pt>
                <c:pt idx="14">
                  <c:v>-7.9301131057313456E-2</c:v>
                </c:pt>
                <c:pt idx="15">
                  <c:v>-9.1983036362574599E-2</c:v>
                </c:pt>
                <c:pt idx="16">
                  <c:v>-8.3500439546917993E-2</c:v>
                </c:pt>
                <c:pt idx="17">
                  <c:v>-8.1196002774921228E-2</c:v>
                </c:pt>
                <c:pt idx="18">
                  <c:v>-7.5231226043971894E-2</c:v>
                </c:pt>
                <c:pt idx="19">
                  <c:v>-7.9527906683050431E-2</c:v>
                </c:pt>
                <c:pt idx="20">
                  <c:v>-6.0023840907730164E-2</c:v>
                </c:pt>
                <c:pt idx="21">
                  <c:v>-4.8848530780336324E-2</c:v>
                </c:pt>
                <c:pt idx="22">
                  <c:v>-1.9829697853670836E-2</c:v>
                </c:pt>
                <c:pt idx="23">
                  <c:v>-1.2005990504010189E-2</c:v>
                </c:pt>
                <c:pt idx="24">
                  <c:v>-9.8572254315270891E-3</c:v>
                </c:pt>
                <c:pt idx="25">
                  <c:v>-1.0135753871090558E-2</c:v>
                </c:pt>
                <c:pt idx="26">
                  <c:v>4.2162309122970587E-3</c:v>
                </c:pt>
                <c:pt idx="27">
                  <c:v>7.0465819720047507E-3</c:v>
                </c:pt>
                <c:pt idx="28">
                  <c:v>4.7090997120509404E-3</c:v>
                </c:pt>
                <c:pt idx="29">
                  <c:v>-1.4695997447404907E-2</c:v>
                </c:pt>
                <c:pt idx="30">
                  <c:v>-2.1438942337044103E-2</c:v>
                </c:pt>
                <c:pt idx="31">
                  <c:v>-2.7954848689967712E-2</c:v>
                </c:pt>
                <c:pt idx="32">
                  <c:v>-3.558035680928158E-2</c:v>
                </c:pt>
                <c:pt idx="33">
                  <c:v>-1.7919706719363993E-2</c:v>
                </c:pt>
                <c:pt idx="34">
                  <c:v>-2.0571621634384238E-2</c:v>
                </c:pt>
                <c:pt idx="35">
                  <c:v>-8.2743786018452739E-3</c:v>
                </c:pt>
                <c:pt idx="36">
                  <c:v>-4.6723105947045554E-3</c:v>
                </c:pt>
                <c:pt idx="37">
                  <c:v>-6.750256719414191E-3</c:v>
                </c:pt>
                <c:pt idx="38">
                  <c:v>-4.1196356202853647E-3</c:v>
                </c:pt>
                <c:pt idx="39">
                  <c:v>-9.3663746134670101E-4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45A-49A6-8ED6-3CA41D03DC8D}"/>
            </c:ext>
          </c:extLst>
        </c:ser>
        <c:ser>
          <c:idx val="34"/>
          <c:order val="34"/>
          <c:spPr>
            <a:ln w="127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PFE!$AN$53:$AN$93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-1.2898336832450952E-2</c:v>
                </c:pt>
                <c:pt idx="2">
                  <c:v>3.506985011373781E-2</c:v>
                </c:pt>
                <c:pt idx="3">
                  <c:v>4.4802461514153402E-2</c:v>
                </c:pt>
                <c:pt idx="4">
                  <c:v>-5.3974144656018241E-3</c:v>
                </c:pt>
                <c:pt idx="5">
                  <c:v>-1.7435091817717352E-2</c:v>
                </c:pt>
                <c:pt idx="6">
                  <c:v>6.7999342881520652E-3</c:v>
                </c:pt>
                <c:pt idx="7">
                  <c:v>4.9837175229801578E-3</c:v>
                </c:pt>
                <c:pt idx="8">
                  <c:v>2.6374736715555624E-2</c:v>
                </c:pt>
                <c:pt idx="9">
                  <c:v>6.4617579657367141E-2</c:v>
                </c:pt>
                <c:pt idx="10">
                  <c:v>7.8356899263874902E-2</c:v>
                </c:pt>
                <c:pt idx="11">
                  <c:v>7.0618162324051825E-2</c:v>
                </c:pt>
                <c:pt idx="12">
                  <c:v>8.7357420003948139E-2</c:v>
                </c:pt>
                <c:pt idx="13">
                  <c:v>8.1866054747153971E-2</c:v>
                </c:pt>
                <c:pt idx="14">
                  <c:v>4.6286091838168453E-2</c:v>
                </c:pt>
                <c:pt idx="15">
                  <c:v>6.6519050976232896E-2</c:v>
                </c:pt>
                <c:pt idx="16">
                  <c:v>3.2926263972790359E-2</c:v>
                </c:pt>
                <c:pt idx="17">
                  <c:v>1.1319168162971849E-2</c:v>
                </c:pt>
                <c:pt idx="18">
                  <c:v>1.3276707943444099E-2</c:v>
                </c:pt>
                <c:pt idx="19">
                  <c:v>4.9499565190142231E-2</c:v>
                </c:pt>
                <c:pt idx="20">
                  <c:v>6.5642202552002371E-2</c:v>
                </c:pt>
                <c:pt idx="21">
                  <c:v>3.774811863945654E-2</c:v>
                </c:pt>
                <c:pt idx="22">
                  <c:v>1.8989934285953636E-2</c:v>
                </c:pt>
                <c:pt idx="23">
                  <c:v>1.5961197880718342E-2</c:v>
                </c:pt>
                <c:pt idx="24">
                  <c:v>1.3776448600842039E-2</c:v>
                </c:pt>
                <c:pt idx="25">
                  <c:v>1.5099064574075005E-2</c:v>
                </c:pt>
                <c:pt idx="26">
                  <c:v>2.1223910993601103E-2</c:v>
                </c:pt>
                <c:pt idx="27">
                  <c:v>1.8255077768770278E-2</c:v>
                </c:pt>
                <c:pt idx="28">
                  <c:v>2.021454396373859E-2</c:v>
                </c:pt>
                <c:pt idx="29">
                  <c:v>1.0608208599956287E-2</c:v>
                </c:pt>
                <c:pt idx="30">
                  <c:v>1.5722142491394128E-2</c:v>
                </c:pt>
                <c:pt idx="31">
                  <c:v>2.4909988752441062E-2</c:v>
                </c:pt>
                <c:pt idx="32">
                  <c:v>3.5383512768161637E-2</c:v>
                </c:pt>
                <c:pt idx="33">
                  <c:v>2.1990937995293502E-2</c:v>
                </c:pt>
                <c:pt idx="34">
                  <c:v>2.1851265184018198E-2</c:v>
                </c:pt>
                <c:pt idx="35">
                  <c:v>1.5522754393962016E-2</c:v>
                </c:pt>
                <c:pt idx="36">
                  <c:v>1.8939771545680932E-2</c:v>
                </c:pt>
                <c:pt idx="37">
                  <c:v>1.1056368304582009E-2</c:v>
                </c:pt>
                <c:pt idx="38">
                  <c:v>1.1558108618856575E-2</c:v>
                </c:pt>
                <c:pt idx="39">
                  <c:v>7.2938873397261333E-3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845A-49A6-8ED6-3CA41D03DC8D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PFE!$AO$53:$AO$93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-1.1974849043379643E-3</c:v>
                </c:pt>
                <c:pt idx="2">
                  <c:v>1.6736300491434153E-2</c:v>
                </c:pt>
                <c:pt idx="3">
                  <c:v>2.7878434706274935E-3</c:v>
                </c:pt>
                <c:pt idx="4">
                  <c:v>1.5950327501600747E-2</c:v>
                </c:pt>
                <c:pt idx="5">
                  <c:v>-1.304031028705277E-2</c:v>
                </c:pt>
                <c:pt idx="6">
                  <c:v>-2.9639900298899624E-2</c:v>
                </c:pt>
                <c:pt idx="7">
                  <c:v>-2.459356415742725E-2</c:v>
                </c:pt>
                <c:pt idx="8">
                  <c:v>-4.7051390130881721E-2</c:v>
                </c:pt>
                <c:pt idx="9">
                  <c:v>-1.4145951632126175E-2</c:v>
                </c:pt>
                <c:pt idx="10">
                  <c:v>7.9320320290131585E-3</c:v>
                </c:pt>
                <c:pt idx="11">
                  <c:v>-1.5237171088606283E-2</c:v>
                </c:pt>
                <c:pt idx="12">
                  <c:v>-2.7540304907734514E-2</c:v>
                </c:pt>
                <c:pt idx="13">
                  <c:v>-2.4590292619309839E-2</c:v>
                </c:pt>
                <c:pt idx="14">
                  <c:v>-4.636799133374242E-2</c:v>
                </c:pt>
                <c:pt idx="15">
                  <c:v>-5.6626737654917381E-2</c:v>
                </c:pt>
                <c:pt idx="16">
                  <c:v>-3.5893733629374869E-2</c:v>
                </c:pt>
                <c:pt idx="17">
                  <c:v>-3.7416083983047771E-2</c:v>
                </c:pt>
                <c:pt idx="18">
                  <c:v>-5.3169044530636339E-2</c:v>
                </c:pt>
                <c:pt idx="19">
                  <c:v>-4.5888591282249647E-2</c:v>
                </c:pt>
                <c:pt idx="20">
                  <c:v>-6.192236114621763E-2</c:v>
                </c:pt>
                <c:pt idx="21">
                  <c:v>-4.8797863791222279E-2</c:v>
                </c:pt>
                <c:pt idx="22">
                  <c:v>-3.9457895804530824E-2</c:v>
                </c:pt>
                <c:pt idx="23">
                  <c:v>-2.6201546725993619E-2</c:v>
                </c:pt>
                <c:pt idx="24">
                  <c:v>-1.522558799788562E-2</c:v>
                </c:pt>
                <c:pt idx="25">
                  <c:v>5.6041523104466417E-4</c:v>
                </c:pt>
                <c:pt idx="26">
                  <c:v>2.5899149913627656E-2</c:v>
                </c:pt>
                <c:pt idx="27">
                  <c:v>2.1754587953821847E-2</c:v>
                </c:pt>
                <c:pt idx="28">
                  <c:v>2.8089156224520101E-2</c:v>
                </c:pt>
                <c:pt idx="29">
                  <c:v>2.0939454756091047E-2</c:v>
                </c:pt>
                <c:pt idx="30">
                  <c:v>1.5026210556924172E-2</c:v>
                </c:pt>
                <c:pt idx="31">
                  <c:v>1.369828797768316E-2</c:v>
                </c:pt>
                <c:pt idx="32">
                  <c:v>-3.4801359522049213E-4</c:v>
                </c:pt>
                <c:pt idx="33">
                  <c:v>1.0046658839948777E-2</c:v>
                </c:pt>
                <c:pt idx="34">
                  <c:v>2.0075153604828672E-3</c:v>
                </c:pt>
                <c:pt idx="35">
                  <c:v>1.1434237054950627E-3</c:v>
                </c:pt>
                <c:pt idx="36">
                  <c:v>1.0873577187028305E-3</c:v>
                </c:pt>
                <c:pt idx="37">
                  <c:v>2.3002336182863514E-3</c:v>
                </c:pt>
                <c:pt idx="38">
                  <c:v>4.7741586284990173E-3</c:v>
                </c:pt>
                <c:pt idx="39">
                  <c:v>3.3805280505903972E-3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845A-49A6-8ED6-3CA41D03DC8D}"/>
            </c:ext>
          </c:extLst>
        </c:ser>
        <c:ser>
          <c:idx val="36"/>
          <c:order val="36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PFE!$AP$53:$AP$93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3.8150829795122243E-2</c:v>
                </c:pt>
                <c:pt idx="2">
                  <c:v>6.3957271425052975E-2</c:v>
                </c:pt>
                <c:pt idx="3">
                  <c:v>3.187126313144456E-2</c:v>
                </c:pt>
                <c:pt idx="4">
                  <c:v>-4.6633154590937087E-3</c:v>
                </c:pt>
                <c:pt idx="5">
                  <c:v>6.8971694411151419E-2</c:v>
                </c:pt>
                <c:pt idx="6">
                  <c:v>6.5224311934249934E-2</c:v>
                </c:pt>
                <c:pt idx="7">
                  <c:v>0.10688138940698882</c:v>
                </c:pt>
                <c:pt idx="8">
                  <c:v>0.13040747846813877</c:v>
                </c:pt>
                <c:pt idx="9">
                  <c:v>0.12575212237825356</c:v>
                </c:pt>
                <c:pt idx="10">
                  <c:v>0.10998714860643005</c:v>
                </c:pt>
                <c:pt idx="11">
                  <c:v>0.13068339288502134</c:v>
                </c:pt>
                <c:pt idx="12">
                  <c:v>0.14250667295498737</c:v>
                </c:pt>
                <c:pt idx="13">
                  <c:v>0.17336320670500149</c:v>
                </c:pt>
                <c:pt idx="14">
                  <c:v>0.1420916392433777</c:v>
                </c:pt>
                <c:pt idx="15">
                  <c:v>0.14883714058104008</c:v>
                </c:pt>
                <c:pt idx="16">
                  <c:v>0.13053951609102177</c:v>
                </c:pt>
                <c:pt idx="17">
                  <c:v>0.10798413633522885</c:v>
                </c:pt>
                <c:pt idx="18">
                  <c:v>8.8922021112145866E-2</c:v>
                </c:pt>
                <c:pt idx="19">
                  <c:v>0.12163341690399981</c:v>
                </c:pt>
                <c:pt idx="20">
                  <c:v>0.11410990320849868</c:v>
                </c:pt>
                <c:pt idx="21">
                  <c:v>0.11124022681030576</c:v>
                </c:pt>
                <c:pt idx="22">
                  <c:v>8.6074487988338638E-2</c:v>
                </c:pt>
                <c:pt idx="23">
                  <c:v>0.10375441615493414</c:v>
                </c:pt>
                <c:pt idx="24">
                  <c:v>8.103456031557546E-2</c:v>
                </c:pt>
                <c:pt idx="25">
                  <c:v>6.9498549308650015E-2</c:v>
                </c:pt>
                <c:pt idx="26">
                  <c:v>6.5712494105413494E-2</c:v>
                </c:pt>
                <c:pt idx="27">
                  <c:v>7.4388792876022264E-2</c:v>
                </c:pt>
                <c:pt idx="28">
                  <c:v>7.3386990548583525E-2</c:v>
                </c:pt>
                <c:pt idx="29">
                  <c:v>6.0302667003001187E-2</c:v>
                </c:pt>
                <c:pt idx="30">
                  <c:v>3.9429534100301644E-2</c:v>
                </c:pt>
                <c:pt idx="31">
                  <c:v>2.5331127946517207E-2</c:v>
                </c:pt>
                <c:pt idx="32">
                  <c:v>1.3873971014780273E-2</c:v>
                </c:pt>
                <c:pt idx="33">
                  <c:v>-2.7768488660953883E-3</c:v>
                </c:pt>
                <c:pt idx="34">
                  <c:v>-3.431418428111857E-3</c:v>
                </c:pt>
                <c:pt idx="35">
                  <c:v>-7.2357148922162565E-3</c:v>
                </c:pt>
                <c:pt idx="36">
                  <c:v>-7.1067496906492139E-3</c:v>
                </c:pt>
                <c:pt idx="37">
                  <c:v>-5.659916410805467E-3</c:v>
                </c:pt>
                <c:pt idx="38">
                  <c:v>-3.7363035350827835E-3</c:v>
                </c:pt>
                <c:pt idx="39">
                  <c:v>-2.9709691027119938E-3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845A-49A6-8ED6-3CA41D03DC8D}"/>
            </c:ext>
          </c:extLst>
        </c:ser>
        <c:ser>
          <c:idx val="37"/>
          <c:order val="37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PFE!$AQ$53:$AQ$93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-1.6364428740570369E-2</c:v>
                </c:pt>
                <c:pt idx="2">
                  <c:v>-3.5632330812955026E-2</c:v>
                </c:pt>
                <c:pt idx="3">
                  <c:v>-4.9322133806944501E-2</c:v>
                </c:pt>
                <c:pt idx="4">
                  <c:v>-4.460854259688718E-2</c:v>
                </c:pt>
                <c:pt idx="5">
                  <c:v>-3.7788797249683537E-2</c:v>
                </c:pt>
                <c:pt idx="6">
                  <c:v>-5.5096511205457332E-2</c:v>
                </c:pt>
                <c:pt idx="7">
                  <c:v>-3.9089311019463835E-2</c:v>
                </c:pt>
                <c:pt idx="8">
                  <c:v>-5.318433235837855E-2</c:v>
                </c:pt>
                <c:pt idx="9">
                  <c:v>-5.9249567863091657E-2</c:v>
                </c:pt>
                <c:pt idx="10">
                  <c:v>-5.9162726647152997E-2</c:v>
                </c:pt>
                <c:pt idx="11">
                  <c:v>-9.0944142707172493E-2</c:v>
                </c:pt>
                <c:pt idx="12">
                  <c:v>-5.9471354705455504E-2</c:v>
                </c:pt>
                <c:pt idx="13">
                  <c:v>-8.4592432435414977E-2</c:v>
                </c:pt>
                <c:pt idx="14">
                  <c:v>-6.8158658679277062E-2</c:v>
                </c:pt>
                <c:pt idx="15">
                  <c:v>-6.1971281911580411E-2</c:v>
                </c:pt>
                <c:pt idx="16">
                  <c:v>-8.1806923591194708E-2</c:v>
                </c:pt>
                <c:pt idx="17">
                  <c:v>-7.2420889555845136E-2</c:v>
                </c:pt>
                <c:pt idx="18">
                  <c:v>-3.0956763133932585E-2</c:v>
                </c:pt>
                <c:pt idx="19">
                  <c:v>-3.7080770960568527E-2</c:v>
                </c:pt>
                <c:pt idx="20">
                  <c:v>-1.1858180979845701E-5</c:v>
                </c:pt>
                <c:pt idx="21">
                  <c:v>2.0094730762329482E-2</c:v>
                </c:pt>
                <c:pt idx="22">
                  <c:v>2.1141588508832132E-2</c:v>
                </c:pt>
                <c:pt idx="23">
                  <c:v>2.4160036920974098E-2</c:v>
                </c:pt>
                <c:pt idx="24">
                  <c:v>1.8155391147964356E-2</c:v>
                </c:pt>
                <c:pt idx="25">
                  <c:v>2.4169483342839915E-2</c:v>
                </c:pt>
                <c:pt idx="26">
                  <c:v>3.1551477176360448E-2</c:v>
                </c:pt>
                <c:pt idx="27">
                  <c:v>4.0288327439435556E-2</c:v>
                </c:pt>
                <c:pt idx="28">
                  <c:v>3.888706904107847E-2</c:v>
                </c:pt>
                <c:pt idx="29">
                  <c:v>4.6073019598752568E-2</c:v>
                </c:pt>
                <c:pt idx="30">
                  <c:v>4.9794199859442945E-2</c:v>
                </c:pt>
                <c:pt idx="31">
                  <c:v>4.3256805223672756E-2</c:v>
                </c:pt>
                <c:pt idx="32">
                  <c:v>3.8645538716906749E-2</c:v>
                </c:pt>
                <c:pt idx="33">
                  <c:v>4.9741887635085746E-2</c:v>
                </c:pt>
                <c:pt idx="34">
                  <c:v>4.5183657603466751E-2</c:v>
                </c:pt>
                <c:pt idx="35">
                  <c:v>4.3461380460881244E-2</c:v>
                </c:pt>
                <c:pt idx="36">
                  <c:v>3.277662531778245E-2</c:v>
                </c:pt>
                <c:pt idx="37">
                  <c:v>2.2726282837636412E-2</c:v>
                </c:pt>
                <c:pt idx="38">
                  <c:v>1.4096991969065026E-2</c:v>
                </c:pt>
                <c:pt idx="39">
                  <c:v>5.4639572593434688E-3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845A-49A6-8ED6-3CA41D03DC8D}"/>
            </c:ext>
          </c:extLst>
        </c:ser>
        <c:ser>
          <c:idx val="38"/>
          <c:order val="38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PFE!$AR$53:$AR$93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3.7017683875118279E-2</c:v>
                </c:pt>
                <c:pt idx="2">
                  <c:v>4.0187321169990131E-2</c:v>
                </c:pt>
                <c:pt idx="3">
                  <c:v>4.5060250049643646E-2</c:v>
                </c:pt>
                <c:pt idx="4">
                  <c:v>0.11197715190561164</c:v>
                </c:pt>
                <c:pt idx="5">
                  <c:v>0.11740256627598816</c:v>
                </c:pt>
                <c:pt idx="6">
                  <c:v>8.5682003407971774E-2</c:v>
                </c:pt>
                <c:pt idx="7">
                  <c:v>0.10763878417390171</c:v>
                </c:pt>
                <c:pt idx="8">
                  <c:v>0.11583373840367145</c:v>
                </c:pt>
                <c:pt idx="9">
                  <c:v>0.11673423770595137</c:v>
                </c:pt>
                <c:pt idx="10">
                  <c:v>0.12885060549508576</c:v>
                </c:pt>
                <c:pt idx="11">
                  <c:v>0.14089092431475159</c:v>
                </c:pt>
                <c:pt idx="12">
                  <c:v>0.18223534498141736</c:v>
                </c:pt>
                <c:pt idx="13">
                  <c:v>0.17024338851945814</c:v>
                </c:pt>
                <c:pt idx="14">
                  <c:v>0.16415638762442769</c:v>
                </c:pt>
                <c:pt idx="15">
                  <c:v>0.14007974182000388</c:v>
                </c:pt>
                <c:pt idx="16">
                  <c:v>0.12916183544911614</c:v>
                </c:pt>
                <c:pt idx="17">
                  <c:v>0.12609764657250833</c:v>
                </c:pt>
                <c:pt idx="18">
                  <c:v>0.13338144919819134</c:v>
                </c:pt>
                <c:pt idx="19">
                  <c:v>0.12940473498028646</c:v>
                </c:pt>
                <c:pt idx="20">
                  <c:v>0.11634176503449642</c:v>
                </c:pt>
                <c:pt idx="21">
                  <c:v>0.11437429715881539</c:v>
                </c:pt>
                <c:pt idx="22">
                  <c:v>9.1396876594870169E-2</c:v>
                </c:pt>
                <c:pt idx="23">
                  <c:v>8.3366174031697909E-2</c:v>
                </c:pt>
                <c:pt idx="24">
                  <c:v>7.5450254569139896E-2</c:v>
                </c:pt>
                <c:pt idx="25">
                  <c:v>6.614334833500557E-2</c:v>
                </c:pt>
                <c:pt idx="26">
                  <c:v>4.758260360734981E-2</c:v>
                </c:pt>
                <c:pt idx="27">
                  <c:v>5.3133233200042262E-2</c:v>
                </c:pt>
                <c:pt idx="28">
                  <c:v>4.6347307161972495E-2</c:v>
                </c:pt>
                <c:pt idx="29">
                  <c:v>3.1406769034924453E-2</c:v>
                </c:pt>
                <c:pt idx="30">
                  <c:v>4.2402579482037434E-2</c:v>
                </c:pt>
                <c:pt idx="31">
                  <c:v>3.66228641572936E-2</c:v>
                </c:pt>
                <c:pt idx="32">
                  <c:v>2.2343569653626438E-2</c:v>
                </c:pt>
                <c:pt idx="33">
                  <c:v>2.0399508579207706E-2</c:v>
                </c:pt>
                <c:pt idx="34">
                  <c:v>2.2353677920203152E-2</c:v>
                </c:pt>
                <c:pt idx="35">
                  <c:v>1.8914491876758803E-2</c:v>
                </c:pt>
                <c:pt idx="36">
                  <c:v>1.9283248641364999E-2</c:v>
                </c:pt>
                <c:pt idx="37">
                  <c:v>1.6494948921689422E-2</c:v>
                </c:pt>
                <c:pt idx="38">
                  <c:v>1.2202506405188319E-2</c:v>
                </c:pt>
                <c:pt idx="39">
                  <c:v>4.7900928766386047E-3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845A-49A6-8ED6-3CA41D03DC8D}"/>
            </c:ext>
          </c:extLst>
        </c:ser>
        <c:ser>
          <c:idx val="39"/>
          <c:order val="39"/>
          <c:spPr>
            <a:ln w="127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PFE!$AS$53:$AS$93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1.0582619614174116E-2</c:v>
                </c:pt>
                <c:pt idx="2">
                  <c:v>5.5734659891003901E-2</c:v>
                </c:pt>
                <c:pt idx="3">
                  <c:v>4.1589480668197232E-2</c:v>
                </c:pt>
                <c:pt idx="4">
                  <c:v>6.2179096155329461E-2</c:v>
                </c:pt>
                <c:pt idx="5">
                  <c:v>4.8027699180411609E-2</c:v>
                </c:pt>
                <c:pt idx="6">
                  <c:v>9.4785558038170847E-2</c:v>
                </c:pt>
                <c:pt idx="7">
                  <c:v>0.12750472827687492</c:v>
                </c:pt>
                <c:pt idx="8">
                  <c:v>0.10967403068567777</c:v>
                </c:pt>
                <c:pt idx="9">
                  <c:v>0.11329689382902625</c:v>
                </c:pt>
                <c:pt idx="10">
                  <c:v>0.12149117810362564</c:v>
                </c:pt>
                <c:pt idx="11">
                  <c:v>0.11540689124529835</c:v>
                </c:pt>
                <c:pt idx="12">
                  <c:v>0.10854951760374321</c:v>
                </c:pt>
                <c:pt idx="13">
                  <c:v>7.218910258650918E-2</c:v>
                </c:pt>
                <c:pt idx="14">
                  <c:v>4.5455198439081024E-2</c:v>
                </c:pt>
                <c:pt idx="15">
                  <c:v>1.1002440103754951E-2</c:v>
                </c:pt>
                <c:pt idx="16">
                  <c:v>7.8379776595321471E-3</c:v>
                </c:pt>
                <c:pt idx="17">
                  <c:v>-1.5358274404201122E-2</c:v>
                </c:pt>
                <c:pt idx="18">
                  <c:v>1.2228809808536967E-2</c:v>
                </c:pt>
                <c:pt idx="19">
                  <c:v>2.790643662554726E-2</c:v>
                </c:pt>
                <c:pt idx="20">
                  <c:v>3.9616872032152389E-2</c:v>
                </c:pt>
                <c:pt idx="21">
                  <c:v>4.4270606986738958E-2</c:v>
                </c:pt>
                <c:pt idx="22">
                  <c:v>3.2927149757143059E-2</c:v>
                </c:pt>
                <c:pt idx="23">
                  <c:v>3.4605265339560765E-2</c:v>
                </c:pt>
                <c:pt idx="24">
                  <c:v>5.1184288146007284E-2</c:v>
                </c:pt>
                <c:pt idx="25">
                  <c:v>6.3108920028774551E-2</c:v>
                </c:pt>
                <c:pt idx="26">
                  <c:v>6.7166760106354279E-2</c:v>
                </c:pt>
                <c:pt idx="27">
                  <c:v>4.900185825431333E-2</c:v>
                </c:pt>
                <c:pt idx="28">
                  <c:v>2.8181402113220871E-2</c:v>
                </c:pt>
                <c:pt idx="29">
                  <c:v>2.3794181992743052E-2</c:v>
                </c:pt>
                <c:pt idx="30">
                  <c:v>-7.6390970562181804E-3</c:v>
                </c:pt>
                <c:pt idx="31">
                  <c:v>-1.393728483264367E-2</c:v>
                </c:pt>
                <c:pt idx="32">
                  <c:v>-1.1675215201708944E-2</c:v>
                </c:pt>
                <c:pt idx="33">
                  <c:v>-8.8783924806043329E-3</c:v>
                </c:pt>
                <c:pt idx="34">
                  <c:v>-1.3053579668426449E-2</c:v>
                </c:pt>
                <c:pt idx="35">
                  <c:v>-3.846937703525663E-3</c:v>
                </c:pt>
                <c:pt idx="36">
                  <c:v>-9.7728994569143759E-3</c:v>
                </c:pt>
                <c:pt idx="37">
                  <c:v>-6.8072538741220864E-3</c:v>
                </c:pt>
                <c:pt idx="38">
                  <c:v>-2.9895495635414854E-3</c:v>
                </c:pt>
                <c:pt idx="39">
                  <c:v>-1.8380864421636833E-5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845A-49A6-8ED6-3CA41D03DC8D}"/>
            </c:ext>
          </c:extLst>
        </c:ser>
        <c:ser>
          <c:idx val="40"/>
          <c:order val="40"/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PFE!$AT$53:$AT$93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2.039931364566494E-2</c:v>
                </c:pt>
                <c:pt idx="2">
                  <c:v>7.0327951357657681E-3</c:v>
                </c:pt>
                <c:pt idx="3">
                  <c:v>1.9429456057606709E-2</c:v>
                </c:pt>
                <c:pt idx="4">
                  <c:v>-3.6074731487206746E-3</c:v>
                </c:pt>
                <c:pt idx="5">
                  <c:v>3.0054084007388848E-2</c:v>
                </c:pt>
                <c:pt idx="6">
                  <c:v>7.9398280315400027E-2</c:v>
                </c:pt>
                <c:pt idx="7">
                  <c:v>8.053128643442431E-2</c:v>
                </c:pt>
                <c:pt idx="8">
                  <c:v>4.5440523527451038E-2</c:v>
                </c:pt>
                <c:pt idx="9">
                  <c:v>2.97581239186262E-2</c:v>
                </c:pt>
                <c:pt idx="10">
                  <c:v>3.3628211552300835E-2</c:v>
                </c:pt>
                <c:pt idx="11">
                  <c:v>4.2643250834236146E-3</c:v>
                </c:pt>
                <c:pt idx="12">
                  <c:v>4.4405144173724875E-2</c:v>
                </c:pt>
                <c:pt idx="13">
                  <c:v>3.5559379374918321E-2</c:v>
                </c:pt>
                <c:pt idx="14">
                  <c:v>4.6464034118181619E-2</c:v>
                </c:pt>
                <c:pt idx="15">
                  <c:v>8.7293099033703914E-2</c:v>
                </c:pt>
                <c:pt idx="16">
                  <c:v>7.8679244632955392E-2</c:v>
                </c:pt>
                <c:pt idx="17">
                  <c:v>8.39968245692162E-2</c:v>
                </c:pt>
                <c:pt idx="18">
                  <c:v>8.7584356146757247E-2</c:v>
                </c:pt>
                <c:pt idx="19">
                  <c:v>5.1600179354480136E-2</c:v>
                </c:pt>
                <c:pt idx="20">
                  <c:v>4.5179878816927727E-2</c:v>
                </c:pt>
                <c:pt idx="21">
                  <c:v>5.4870012120674216E-2</c:v>
                </c:pt>
                <c:pt idx="22">
                  <c:v>6.6934956060356821E-2</c:v>
                </c:pt>
                <c:pt idx="23">
                  <c:v>6.528682106616146E-2</c:v>
                </c:pt>
                <c:pt idx="24">
                  <c:v>4.2000898084313149E-2</c:v>
                </c:pt>
                <c:pt idx="25">
                  <c:v>4.8680993801529765E-2</c:v>
                </c:pt>
                <c:pt idx="26">
                  <c:v>3.8953825084938276E-2</c:v>
                </c:pt>
                <c:pt idx="27">
                  <c:v>3.6735455629942404E-2</c:v>
                </c:pt>
                <c:pt idx="28">
                  <c:v>4.0902029656198435E-2</c:v>
                </c:pt>
                <c:pt idx="29">
                  <c:v>3.0249172718451928E-2</c:v>
                </c:pt>
                <c:pt idx="30">
                  <c:v>3.4323014708879024E-2</c:v>
                </c:pt>
                <c:pt idx="31">
                  <c:v>3.6962232792841457E-2</c:v>
                </c:pt>
                <c:pt idx="32">
                  <c:v>4.0730864776684528E-2</c:v>
                </c:pt>
                <c:pt idx="33">
                  <c:v>3.5086304925588757E-2</c:v>
                </c:pt>
                <c:pt idx="34">
                  <c:v>4.2972794770263917E-2</c:v>
                </c:pt>
                <c:pt idx="35">
                  <c:v>4.0282319632136292E-2</c:v>
                </c:pt>
                <c:pt idx="36">
                  <c:v>3.3738094063455439E-2</c:v>
                </c:pt>
                <c:pt idx="37">
                  <c:v>2.2038997103299776E-2</c:v>
                </c:pt>
                <c:pt idx="38">
                  <c:v>1.1985487439457161E-2</c:v>
                </c:pt>
                <c:pt idx="39">
                  <c:v>7.3579244693830637E-3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845A-49A6-8ED6-3CA41D03DC8D}"/>
            </c:ext>
          </c:extLst>
        </c:ser>
        <c:ser>
          <c:idx val="41"/>
          <c:order val="41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PFE!$AU$53:$AU$93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3.3549305278407826E-2</c:v>
                </c:pt>
                <c:pt idx="2">
                  <c:v>5.6176364321061323E-2</c:v>
                </c:pt>
                <c:pt idx="3">
                  <c:v>8.5203088422071083E-2</c:v>
                </c:pt>
                <c:pt idx="4">
                  <c:v>7.6838560668924027E-2</c:v>
                </c:pt>
                <c:pt idx="5">
                  <c:v>9.0129805805041152E-2</c:v>
                </c:pt>
                <c:pt idx="6">
                  <c:v>5.1460447434494017E-2</c:v>
                </c:pt>
                <c:pt idx="7">
                  <c:v>3.8333731262719106E-2</c:v>
                </c:pt>
                <c:pt idx="8">
                  <c:v>5.431110174423226E-2</c:v>
                </c:pt>
                <c:pt idx="9">
                  <c:v>-4.5795908018263498E-3</c:v>
                </c:pt>
                <c:pt idx="10">
                  <c:v>-1.208389159326545E-2</c:v>
                </c:pt>
                <c:pt idx="11">
                  <c:v>-7.5075032838491706E-2</c:v>
                </c:pt>
                <c:pt idx="12">
                  <c:v>-7.1840339267075559E-2</c:v>
                </c:pt>
                <c:pt idx="13">
                  <c:v>-6.9538058291689409E-2</c:v>
                </c:pt>
                <c:pt idx="14">
                  <c:v>-4.7700371324596091E-2</c:v>
                </c:pt>
                <c:pt idx="15">
                  <c:v>-5.1152142276622514E-2</c:v>
                </c:pt>
                <c:pt idx="16">
                  <c:v>-3.396985441206779E-2</c:v>
                </c:pt>
                <c:pt idx="17">
                  <c:v>-5.3171571264391648E-2</c:v>
                </c:pt>
                <c:pt idx="18">
                  <c:v>-6.4353885821115536E-2</c:v>
                </c:pt>
                <c:pt idx="19">
                  <c:v>-7.9057506671218497E-2</c:v>
                </c:pt>
                <c:pt idx="20">
                  <c:v>-6.5485658528962709E-2</c:v>
                </c:pt>
                <c:pt idx="21">
                  <c:v>-7.4725800808578602E-2</c:v>
                </c:pt>
                <c:pt idx="22">
                  <c:v>-5.8053912091889953E-2</c:v>
                </c:pt>
                <c:pt idx="23">
                  <c:v>-6.6911540345437892E-2</c:v>
                </c:pt>
                <c:pt idx="24">
                  <c:v>-5.7057191672761798E-2</c:v>
                </c:pt>
                <c:pt idx="25">
                  <c:v>-5.080573006987088E-2</c:v>
                </c:pt>
                <c:pt idx="26">
                  <c:v>-2.6699611836287773E-2</c:v>
                </c:pt>
                <c:pt idx="27">
                  <c:v>-2.4794223380453423E-2</c:v>
                </c:pt>
                <c:pt idx="28">
                  <c:v>-4.6415669767584933E-2</c:v>
                </c:pt>
                <c:pt idx="29">
                  <c:v>-5.442139555933502E-2</c:v>
                </c:pt>
                <c:pt idx="30">
                  <c:v>-4.112246133149805E-2</c:v>
                </c:pt>
                <c:pt idx="31">
                  <c:v>-3.9682697102462125E-2</c:v>
                </c:pt>
                <c:pt idx="32">
                  <c:v>-2.2648944606822818E-2</c:v>
                </c:pt>
                <c:pt idx="33">
                  <c:v>-1.7650871158278389E-2</c:v>
                </c:pt>
                <c:pt idx="34">
                  <c:v>-1.4404636914809948E-2</c:v>
                </c:pt>
                <c:pt idx="35">
                  <c:v>-1.8611457697609218E-2</c:v>
                </c:pt>
                <c:pt idx="36">
                  <c:v>-2.0056360965869616E-2</c:v>
                </c:pt>
                <c:pt idx="37">
                  <c:v>-1.8501107431647582E-2</c:v>
                </c:pt>
                <c:pt idx="38">
                  <c:v>-1.2783929849548181E-2</c:v>
                </c:pt>
                <c:pt idx="39">
                  <c:v>-6.766998045108186E-3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845A-49A6-8ED6-3CA41D03DC8D}"/>
            </c:ext>
          </c:extLst>
        </c:ser>
        <c:ser>
          <c:idx val="42"/>
          <c:order val="42"/>
          <c:spPr>
            <a:ln w="12700">
              <a:solidFill>
                <a:srgbClr val="80800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PFE!$AV$53:$AV$93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2.6718021967177208E-2</c:v>
                </c:pt>
                <c:pt idx="2">
                  <c:v>-8.5912686210714018E-3</c:v>
                </c:pt>
                <c:pt idx="3">
                  <c:v>-4.1861305943547644E-2</c:v>
                </c:pt>
                <c:pt idx="4">
                  <c:v>-6.3976802635166197E-2</c:v>
                </c:pt>
                <c:pt idx="5">
                  <c:v>-4.1933682025781516E-2</c:v>
                </c:pt>
                <c:pt idx="6">
                  <c:v>-4.539937156185414E-2</c:v>
                </c:pt>
                <c:pt idx="7">
                  <c:v>-7.3056557960421098E-2</c:v>
                </c:pt>
                <c:pt idx="8">
                  <c:v>-4.5560005738528198E-2</c:v>
                </c:pt>
                <c:pt idx="9">
                  <c:v>-4.2747429165550854E-2</c:v>
                </c:pt>
                <c:pt idx="10">
                  <c:v>-5.2449853500307952E-2</c:v>
                </c:pt>
                <c:pt idx="11">
                  <c:v>-4.9530629468806431E-2</c:v>
                </c:pt>
                <c:pt idx="12">
                  <c:v>-7.6524408565994184E-2</c:v>
                </c:pt>
                <c:pt idx="13">
                  <c:v>-5.7234709157842734E-2</c:v>
                </c:pt>
                <c:pt idx="14">
                  <c:v>-4.4347851970801488E-2</c:v>
                </c:pt>
                <c:pt idx="15">
                  <c:v>-5.2599356487910864E-2</c:v>
                </c:pt>
                <c:pt idx="16">
                  <c:v>-2.9175097176220077E-2</c:v>
                </c:pt>
                <c:pt idx="17">
                  <c:v>-3.0757666579097842E-2</c:v>
                </c:pt>
                <c:pt idx="18">
                  <c:v>-1.9296496447337858E-2</c:v>
                </c:pt>
                <c:pt idx="19">
                  <c:v>-2.4414208068936544E-2</c:v>
                </c:pt>
                <c:pt idx="20">
                  <c:v>-5.9218844880862598E-2</c:v>
                </c:pt>
                <c:pt idx="21">
                  <c:v>-4.7712625317288759E-2</c:v>
                </c:pt>
                <c:pt idx="22">
                  <c:v>-5.8865636135884108E-2</c:v>
                </c:pt>
                <c:pt idx="23">
                  <c:v>-8.3378379502428379E-2</c:v>
                </c:pt>
                <c:pt idx="24">
                  <c:v>-8.7878891330212205E-2</c:v>
                </c:pt>
                <c:pt idx="25">
                  <c:v>-8.0335495992445938E-2</c:v>
                </c:pt>
                <c:pt idx="26">
                  <c:v>-7.2973086605342602E-2</c:v>
                </c:pt>
                <c:pt idx="27">
                  <c:v>-5.7590017600806065E-2</c:v>
                </c:pt>
                <c:pt idx="28">
                  <c:v>-5.1576020054817429E-2</c:v>
                </c:pt>
                <c:pt idx="29">
                  <c:v>-5.1402189050337499E-2</c:v>
                </c:pt>
                <c:pt idx="30">
                  <c:v>-5.6529162967410562E-2</c:v>
                </c:pt>
                <c:pt idx="31">
                  <c:v>-4.7473503574429365E-2</c:v>
                </c:pt>
                <c:pt idx="32">
                  <c:v>-4.2946005313050026E-2</c:v>
                </c:pt>
                <c:pt idx="33">
                  <c:v>-4.8536024323865765E-2</c:v>
                </c:pt>
                <c:pt idx="34">
                  <c:v>-3.9913129371045949E-2</c:v>
                </c:pt>
                <c:pt idx="35">
                  <c:v>-2.572258122480095E-2</c:v>
                </c:pt>
                <c:pt idx="36">
                  <c:v>-2.4155321778220662E-2</c:v>
                </c:pt>
                <c:pt idx="37">
                  <c:v>-1.0552950447978993E-2</c:v>
                </c:pt>
                <c:pt idx="38">
                  <c:v>-6.5499169119938028E-3</c:v>
                </c:pt>
                <c:pt idx="39">
                  <c:v>-2.8985557207422911E-3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845A-49A6-8ED6-3CA41D03DC8D}"/>
            </c:ext>
          </c:extLst>
        </c:ser>
        <c:ser>
          <c:idx val="43"/>
          <c:order val="43"/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PFE!$AW$53:$AW$93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5.8352437112698663E-3</c:v>
                </c:pt>
                <c:pt idx="2">
                  <c:v>2.8286358935833589E-2</c:v>
                </c:pt>
                <c:pt idx="3">
                  <c:v>5.0741179910883505E-2</c:v>
                </c:pt>
                <c:pt idx="4">
                  <c:v>4.3792470863093624E-2</c:v>
                </c:pt>
                <c:pt idx="5">
                  <c:v>1.5097998866036022E-3</c:v>
                </c:pt>
                <c:pt idx="6">
                  <c:v>1.1483614044679902E-2</c:v>
                </c:pt>
                <c:pt idx="7">
                  <c:v>-4.4168431749215753E-2</c:v>
                </c:pt>
                <c:pt idx="8">
                  <c:v>-7.7268640701566582E-2</c:v>
                </c:pt>
                <c:pt idx="9">
                  <c:v>-6.1540469423077337E-2</c:v>
                </c:pt>
                <c:pt idx="10">
                  <c:v>-6.9715525602708606E-2</c:v>
                </c:pt>
                <c:pt idx="11">
                  <c:v>-7.5383444529865729E-2</c:v>
                </c:pt>
                <c:pt idx="12">
                  <c:v>-7.6776705376190524E-2</c:v>
                </c:pt>
                <c:pt idx="13">
                  <c:v>-5.4656273708931558E-2</c:v>
                </c:pt>
                <c:pt idx="14">
                  <c:v>-5.0761284200712409E-2</c:v>
                </c:pt>
                <c:pt idx="15">
                  <c:v>-7.4105436294844951E-2</c:v>
                </c:pt>
                <c:pt idx="16">
                  <c:v>-7.4295962194446286E-2</c:v>
                </c:pt>
                <c:pt idx="17">
                  <c:v>-6.1509847518765787E-2</c:v>
                </c:pt>
                <c:pt idx="18">
                  <c:v>-3.6827333535584622E-2</c:v>
                </c:pt>
                <c:pt idx="19">
                  <c:v>-3.5336521574345386E-2</c:v>
                </c:pt>
                <c:pt idx="20">
                  <c:v>-4.6878079434153341E-2</c:v>
                </c:pt>
                <c:pt idx="21">
                  <c:v>-4.9439725767497084E-2</c:v>
                </c:pt>
                <c:pt idx="22">
                  <c:v>-6.5962746516149334E-2</c:v>
                </c:pt>
                <c:pt idx="23">
                  <c:v>-6.3808109581869249E-2</c:v>
                </c:pt>
                <c:pt idx="24">
                  <c:v>-0.10291686790692875</c:v>
                </c:pt>
                <c:pt idx="25">
                  <c:v>-0.10663962653517123</c:v>
                </c:pt>
                <c:pt idx="26">
                  <c:v>-9.475945565701771E-2</c:v>
                </c:pt>
                <c:pt idx="27">
                  <c:v>-7.2484370919008306E-2</c:v>
                </c:pt>
                <c:pt idx="28">
                  <c:v>-7.9250501454057515E-2</c:v>
                </c:pt>
                <c:pt idx="29">
                  <c:v>-5.890529134896906E-2</c:v>
                </c:pt>
                <c:pt idx="30">
                  <c:v>-5.425807022926285E-2</c:v>
                </c:pt>
                <c:pt idx="31">
                  <c:v>-5.161006857028809E-2</c:v>
                </c:pt>
                <c:pt idx="32">
                  <c:v>-3.9156719405364027E-2</c:v>
                </c:pt>
                <c:pt idx="33">
                  <c:v>-3.336435837412749E-2</c:v>
                </c:pt>
                <c:pt idx="34">
                  <c:v>-2.0843347233848827E-2</c:v>
                </c:pt>
                <c:pt idx="35">
                  <c:v>-1.9642815933921649E-2</c:v>
                </c:pt>
                <c:pt idx="36">
                  <c:v>-1.8491680453137371E-2</c:v>
                </c:pt>
                <c:pt idx="37">
                  <c:v>-1.4098171738465691E-2</c:v>
                </c:pt>
                <c:pt idx="38">
                  <c:v>-1.0790553316007631E-2</c:v>
                </c:pt>
                <c:pt idx="39">
                  <c:v>-3.8473662790630952E-3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845A-49A6-8ED6-3CA41D03DC8D}"/>
            </c:ext>
          </c:extLst>
        </c:ser>
        <c:ser>
          <c:idx val="44"/>
          <c:order val="44"/>
          <c:spPr>
            <a:ln w="12700">
              <a:solidFill>
                <a:srgbClr val="00808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PFE!$AX$53:$AX$93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-1.5801539390562946E-2</c:v>
                </c:pt>
                <c:pt idx="2">
                  <c:v>-4.2187346414682025E-2</c:v>
                </c:pt>
                <c:pt idx="3">
                  <c:v>-9.0369668266380709E-3</c:v>
                </c:pt>
                <c:pt idx="4">
                  <c:v>-2.7322628807996185E-2</c:v>
                </c:pt>
                <c:pt idx="5">
                  <c:v>-1.0580089720101216E-2</c:v>
                </c:pt>
                <c:pt idx="6">
                  <c:v>1.9919260585363252E-2</c:v>
                </c:pt>
                <c:pt idx="7">
                  <c:v>2.8160795819345885E-2</c:v>
                </c:pt>
                <c:pt idx="8">
                  <c:v>-2.0349320017633232E-2</c:v>
                </c:pt>
                <c:pt idx="9">
                  <c:v>-4.4888607267567049E-2</c:v>
                </c:pt>
                <c:pt idx="10">
                  <c:v>-8.7172673320106142E-3</c:v>
                </c:pt>
                <c:pt idx="11">
                  <c:v>9.5652112508106679E-3</c:v>
                </c:pt>
                <c:pt idx="12">
                  <c:v>9.4420756049350962E-3</c:v>
                </c:pt>
                <c:pt idx="13">
                  <c:v>-4.4522806245137492E-3</c:v>
                </c:pt>
                <c:pt idx="14">
                  <c:v>2.5093254604232396E-2</c:v>
                </c:pt>
                <c:pt idx="15">
                  <c:v>3.6452864288755715E-3</c:v>
                </c:pt>
                <c:pt idx="16">
                  <c:v>-1.3896871951386114E-2</c:v>
                </c:pt>
                <c:pt idx="17">
                  <c:v>-1.6549766586943793E-2</c:v>
                </c:pt>
                <c:pt idx="18">
                  <c:v>-5.4745224758352695E-3</c:v>
                </c:pt>
                <c:pt idx="19">
                  <c:v>3.0988620143293011E-2</c:v>
                </c:pt>
                <c:pt idx="20">
                  <c:v>1.6615452897266791E-2</c:v>
                </c:pt>
                <c:pt idx="21">
                  <c:v>2.7597020027452901E-2</c:v>
                </c:pt>
                <c:pt idx="22">
                  <c:v>3.2790549727088031E-2</c:v>
                </c:pt>
                <c:pt idx="23">
                  <c:v>1.1241773312943848E-2</c:v>
                </c:pt>
                <c:pt idx="24">
                  <c:v>4.4224926105064788E-3</c:v>
                </c:pt>
                <c:pt idx="25">
                  <c:v>1.299475222773197E-2</c:v>
                </c:pt>
                <c:pt idx="26">
                  <c:v>3.2686138632565837E-2</c:v>
                </c:pt>
                <c:pt idx="27">
                  <c:v>3.9807157043804248E-2</c:v>
                </c:pt>
                <c:pt idx="28">
                  <c:v>5.3998617864364884E-2</c:v>
                </c:pt>
                <c:pt idx="29">
                  <c:v>5.372800901434871E-2</c:v>
                </c:pt>
                <c:pt idx="30">
                  <c:v>5.6711091444291706E-2</c:v>
                </c:pt>
                <c:pt idx="31">
                  <c:v>4.7572588313290878E-2</c:v>
                </c:pt>
                <c:pt idx="32">
                  <c:v>4.8393840235408714E-2</c:v>
                </c:pt>
                <c:pt idx="33">
                  <c:v>4.7329055301722711E-2</c:v>
                </c:pt>
                <c:pt idx="34">
                  <c:v>4.8938172583132017E-2</c:v>
                </c:pt>
                <c:pt idx="35">
                  <c:v>4.4676925098726533E-2</c:v>
                </c:pt>
                <c:pt idx="36">
                  <c:v>3.9733955226438966E-2</c:v>
                </c:pt>
                <c:pt idx="37">
                  <c:v>3.1471854698247093E-2</c:v>
                </c:pt>
                <c:pt idx="38">
                  <c:v>1.9285405530748853E-2</c:v>
                </c:pt>
                <c:pt idx="39">
                  <c:v>9.5290286531183616E-3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845A-49A6-8ED6-3CA41D03DC8D}"/>
            </c:ext>
          </c:extLst>
        </c:ser>
        <c:ser>
          <c:idx val="45"/>
          <c:order val="45"/>
          <c:spPr>
            <a:ln w="12700">
              <a:solidFill>
                <a:srgbClr val="C0C0C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PFE!$AY$53:$AY$93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3.4131684700664744E-2</c:v>
                </c:pt>
                <c:pt idx="2">
                  <c:v>2.2649482645680563E-2</c:v>
                </c:pt>
                <c:pt idx="3">
                  <c:v>2.0465958361341186E-2</c:v>
                </c:pt>
                <c:pt idx="4">
                  <c:v>1.7106728169306917E-2</c:v>
                </c:pt>
                <c:pt idx="5">
                  <c:v>2.1604517400423795E-2</c:v>
                </c:pt>
                <c:pt idx="6">
                  <c:v>8.5541548991801553E-3</c:v>
                </c:pt>
                <c:pt idx="7">
                  <c:v>4.663338903076697E-2</c:v>
                </c:pt>
                <c:pt idx="8">
                  <c:v>4.831661431572104E-2</c:v>
                </c:pt>
                <c:pt idx="9">
                  <c:v>7.4789411257995708E-2</c:v>
                </c:pt>
                <c:pt idx="10">
                  <c:v>9.1801839494170256E-2</c:v>
                </c:pt>
                <c:pt idx="11">
                  <c:v>7.0182558876789758E-2</c:v>
                </c:pt>
                <c:pt idx="12">
                  <c:v>5.6144372871841486E-2</c:v>
                </c:pt>
                <c:pt idx="13">
                  <c:v>1.1817771462813598E-2</c:v>
                </c:pt>
                <c:pt idx="14">
                  <c:v>1.8834568127269524E-2</c:v>
                </c:pt>
                <c:pt idx="15">
                  <c:v>-5.8190825689525827E-3</c:v>
                </c:pt>
                <c:pt idx="16">
                  <c:v>3.9158780639423907E-3</c:v>
                </c:pt>
                <c:pt idx="17">
                  <c:v>2.0214479564575449E-2</c:v>
                </c:pt>
                <c:pt idx="18">
                  <c:v>-1.4323961043254674E-3</c:v>
                </c:pt>
                <c:pt idx="19">
                  <c:v>1.3298761212814592E-2</c:v>
                </c:pt>
                <c:pt idx="20">
                  <c:v>-6.4263129877337732E-3</c:v>
                </c:pt>
                <c:pt idx="21">
                  <c:v>1.4450127352387071E-2</c:v>
                </c:pt>
                <c:pt idx="22">
                  <c:v>2.1810585134788563E-3</c:v>
                </c:pt>
                <c:pt idx="23">
                  <c:v>7.8910319840675425E-3</c:v>
                </c:pt>
                <c:pt idx="24">
                  <c:v>9.0533596987333043E-3</c:v>
                </c:pt>
                <c:pt idx="25">
                  <c:v>-1.2574608527670339E-2</c:v>
                </c:pt>
                <c:pt idx="26">
                  <c:v>-1.5149168822388953E-2</c:v>
                </c:pt>
                <c:pt idx="27">
                  <c:v>-1.4179016877446965E-2</c:v>
                </c:pt>
                <c:pt idx="28">
                  <c:v>-7.9724141395872972E-3</c:v>
                </c:pt>
                <c:pt idx="29">
                  <c:v>-2.2657339652761621E-2</c:v>
                </c:pt>
                <c:pt idx="30">
                  <c:v>-1.6106074429693695E-2</c:v>
                </c:pt>
                <c:pt idx="31">
                  <c:v>-2.2406978197133193E-2</c:v>
                </c:pt>
                <c:pt idx="32">
                  <c:v>-3.0003180160276477E-2</c:v>
                </c:pt>
                <c:pt idx="33">
                  <c:v>-1.3353047689625641E-2</c:v>
                </c:pt>
                <c:pt idx="34">
                  <c:v>-1.5953591091504252E-2</c:v>
                </c:pt>
                <c:pt idx="35">
                  <c:v>-8.5459602471121901E-3</c:v>
                </c:pt>
                <c:pt idx="36">
                  <c:v>-8.6345341146110213E-3</c:v>
                </c:pt>
                <c:pt idx="37">
                  <c:v>-2.7448461081796757E-3</c:v>
                </c:pt>
                <c:pt idx="38">
                  <c:v>-2.9567612851424951E-3</c:v>
                </c:pt>
                <c:pt idx="39">
                  <c:v>-8.6533873303105101E-4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845A-49A6-8ED6-3CA41D03DC8D}"/>
            </c:ext>
          </c:extLst>
        </c:ser>
        <c:ser>
          <c:idx val="46"/>
          <c:order val="46"/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PFE!$AZ$53:$AZ$93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-3.7945603790916271E-2</c:v>
                </c:pt>
                <c:pt idx="2">
                  <c:v>-3.6185207076889991E-2</c:v>
                </c:pt>
                <c:pt idx="3">
                  <c:v>-4.1822804215387144E-2</c:v>
                </c:pt>
                <c:pt idx="4">
                  <c:v>-6.6975941702437425E-2</c:v>
                </c:pt>
                <c:pt idx="5">
                  <c:v>-9.6893799276542791E-2</c:v>
                </c:pt>
                <c:pt idx="6">
                  <c:v>-7.0893250540470243E-2</c:v>
                </c:pt>
                <c:pt idx="7">
                  <c:v>-2.0230946261196203E-2</c:v>
                </c:pt>
                <c:pt idx="8">
                  <c:v>-4.7899834569208155E-2</c:v>
                </c:pt>
                <c:pt idx="9">
                  <c:v>-9.2529879686902294E-3</c:v>
                </c:pt>
                <c:pt idx="10">
                  <c:v>7.097169367860201E-3</c:v>
                </c:pt>
                <c:pt idx="11">
                  <c:v>3.1902605321291189E-2</c:v>
                </c:pt>
                <c:pt idx="12">
                  <c:v>1.1344271740251155E-2</c:v>
                </c:pt>
                <c:pt idx="13">
                  <c:v>5.6636868070910062E-3</c:v>
                </c:pt>
                <c:pt idx="14">
                  <c:v>5.4317827512651573E-3</c:v>
                </c:pt>
                <c:pt idx="15">
                  <c:v>1.7605366978826475E-2</c:v>
                </c:pt>
                <c:pt idx="16">
                  <c:v>6.4608241318490134E-2</c:v>
                </c:pt>
                <c:pt idx="17">
                  <c:v>7.471766664402496E-2</c:v>
                </c:pt>
                <c:pt idx="18">
                  <c:v>5.7823950433839227E-2</c:v>
                </c:pt>
                <c:pt idx="19">
                  <c:v>7.1012100166204545E-2</c:v>
                </c:pt>
                <c:pt idx="20">
                  <c:v>8.501479606352591E-2</c:v>
                </c:pt>
                <c:pt idx="21">
                  <c:v>6.4700621266074315E-2</c:v>
                </c:pt>
                <c:pt idx="22">
                  <c:v>4.783217277351437E-2</c:v>
                </c:pt>
                <c:pt idx="23">
                  <c:v>5.3953424585224785E-2</c:v>
                </c:pt>
                <c:pt idx="24">
                  <c:v>4.2036959353584924E-2</c:v>
                </c:pt>
                <c:pt idx="25">
                  <c:v>4.7045127795742353E-2</c:v>
                </c:pt>
                <c:pt idx="26">
                  <c:v>5.607381564284844E-2</c:v>
                </c:pt>
                <c:pt idx="27">
                  <c:v>7.2267247823409375E-2</c:v>
                </c:pt>
                <c:pt idx="28">
                  <c:v>7.8242158414479707E-2</c:v>
                </c:pt>
                <c:pt idx="29">
                  <c:v>7.3875059937133031E-2</c:v>
                </c:pt>
                <c:pt idx="30">
                  <c:v>6.5243117094620592E-2</c:v>
                </c:pt>
                <c:pt idx="31">
                  <c:v>5.9240841409747308E-2</c:v>
                </c:pt>
                <c:pt idx="32">
                  <c:v>4.9156999101585455E-2</c:v>
                </c:pt>
                <c:pt idx="33">
                  <c:v>4.0693676681649457E-2</c:v>
                </c:pt>
                <c:pt idx="34">
                  <c:v>3.2718400243382614E-2</c:v>
                </c:pt>
                <c:pt idx="35">
                  <c:v>2.2980911000188176E-2</c:v>
                </c:pt>
                <c:pt idx="36">
                  <c:v>2.0478197135832391E-2</c:v>
                </c:pt>
                <c:pt idx="37">
                  <c:v>1.7917180828095736E-2</c:v>
                </c:pt>
                <c:pt idx="38">
                  <c:v>1.7912668986470072E-2</c:v>
                </c:pt>
                <c:pt idx="39">
                  <c:v>7.2413189889934029E-3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845A-49A6-8ED6-3CA41D03DC8D}"/>
            </c:ext>
          </c:extLst>
        </c:ser>
        <c:ser>
          <c:idx val="47"/>
          <c:order val="47"/>
          <c:spPr>
            <a:ln w="12700">
              <a:solidFill>
                <a:srgbClr val="9999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845A-49A6-8ED6-3CA41D03DC8D}"/>
            </c:ext>
          </c:extLst>
        </c:ser>
        <c:ser>
          <c:idx val="48"/>
          <c:order val="48"/>
          <c:spPr>
            <a:ln w="12700">
              <a:solidFill>
                <a:srgbClr val="993366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845A-49A6-8ED6-3CA41D03DC8D}"/>
            </c:ext>
          </c:extLst>
        </c:ser>
        <c:ser>
          <c:idx val="49"/>
          <c:order val="49"/>
          <c:spPr>
            <a:ln w="12700">
              <a:solidFill>
                <a:srgbClr val="FFFFCC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845A-49A6-8ED6-3CA41D03DC8D}"/>
            </c:ext>
          </c:extLst>
        </c:ser>
        <c:ser>
          <c:idx val="50"/>
          <c:order val="50"/>
          <c:spPr>
            <a:ln w="12700">
              <a:solidFill>
                <a:srgbClr val="CCFF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845A-49A6-8ED6-3CA41D03DC8D}"/>
            </c:ext>
          </c:extLst>
        </c:ser>
        <c:ser>
          <c:idx val="51"/>
          <c:order val="51"/>
          <c:spPr>
            <a:ln w="127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845A-49A6-8ED6-3CA41D03DC8D}"/>
            </c:ext>
          </c:extLst>
        </c:ser>
        <c:ser>
          <c:idx val="52"/>
          <c:order val="52"/>
          <c:spPr>
            <a:ln w="12700">
              <a:solidFill>
                <a:srgbClr val="FF8080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845A-49A6-8ED6-3CA41D03DC8D}"/>
            </c:ext>
          </c:extLst>
        </c:ser>
        <c:ser>
          <c:idx val="53"/>
          <c:order val="53"/>
          <c:spPr>
            <a:ln w="127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845A-49A6-8ED6-3CA41D03DC8D}"/>
            </c:ext>
          </c:extLst>
        </c:ser>
        <c:ser>
          <c:idx val="54"/>
          <c:order val="54"/>
          <c:spPr>
            <a:ln w="12700">
              <a:solidFill>
                <a:srgbClr val="CCCCFF"/>
              </a:solidFill>
              <a:prstDash val="solid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845A-49A6-8ED6-3CA41D03DC8D}"/>
            </c:ext>
          </c:extLst>
        </c:ser>
        <c:ser>
          <c:idx val="55"/>
          <c:order val="55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845A-49A6-8ED6-3CA41D03DC8D}"/>
            </c:ext>
          </c:extLst>
        </c:ser>
        <c:ser>
          <c:idx val="56"/>
          <c:order val="56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845A-49A6-8ED6-3CA41D03DC8D}"/>
            </c:ext>
          </c:extLst>
        </c:ser>
        <c:ser>
          <c:idx val="57"/>
          <c:order val="57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845A-49A6-8ED6-3CA41D03DC8D}"/>
            </c:ext>
          </c:extLst>
        </c:ser>
        <c:ser>
          <c:idx val="58"/>
          <c:order val="58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845A-49A6-8ED6-3CA41D03DC8D}"/>
            </c:ext>
          </c:extLst>
        </c:ser>
        <c:ser>
          <c:idx val="59"/>
          <c:order val="59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845A-49A6-8ED6-3CA41D03DC8D}"/>
            </c:ext>
          </c:extLst>
        </c:ser>
        <c:ser>
          <c:idx val="60"/>
          <c:order val="60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845A-49A6-8ED6-3CA41D03DC8D}"/>
            </c:ext>
          </c:extLst>
        </c:ser>
        <c:ser>
          <c:idx val="61"/>
          <c:order val="61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845A-49A6-8ED6-3CA41D03DC8D}"/>
            </c:ext>
          </c:extLst>
        </c:ser>
        <c:ser>
          <c:idx val="62"/>
          <c:order val="62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845A-49A6-8ED6-3CA41D03DC8D}"/>
            </c:ext>
          </c:extLst>
        </c:ser>
        <c:ser>
          <c:idx val="63"/>
          <c:order val="63"/>
          <c:spPr>
            <a:ln w="12700">
              <a:solidFill>
                <a:srgbClr val="00CC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845A-49A6-8ED6-3CA41D03DC8D}"/>
            </c:ext>
          </c:extLst>
        </c:ser>
        <c:ser>
          <c:idx val="64"/>
          <c:order val="64"/>
          <c:spPr>
            <a:ln w="12700">
              <a:solidFill>
                <a:srgbClr val="CCFF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845A-49A6-8ED6-3CA41D03DC8D}"/>
            </c:ext>
          </c:extLst>
        </c:ser>
        <c:ser>
          <c:idx val="65"/>
          <c:order val="65"/>
          <c:spPr>
            <a:ln w="12700">
              <a:solidFill>
                <a:srgbClr val="CCFFCC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845A-49A6-8ED6-3CA41D03DC8D}"/>
            </c:ext>
          </c:extLst>
        </c:ser>
        <c:ser>
          <c:idx val="66"/>
          <c:order val="66"/>
          <c:spPr>
            <a:ln w="12700">
              <a:solidFill>
                <a:srgbClr val="FFFF99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845A-49A6-8ED6-3CA41D03DC8D}"/>
            </c:ext>
          </c:extLst>
        </c:ser>
        <c:ser>
          <c:idx val="67"/>
          <c:order val="67"/>
          <c:spPr>
            <a:ln w="12700">
              <a:solidFill>
                <a:srgbClr val="99CC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845A-49A6-8ED6-3CA41D03DC8D}"/>
            </c:ext>
          </c:extLst>
        </c:ser>
        <c:ser>
          <c:idx val="68"/>
          <c:order val="68"/>
          <c:spPr>
            <a:ln w="12700">
              <a:solidFill>
                <a:srgbClr val="FF99CC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845A-49A6-8ED6-3CA41D03DC8D}"/>
            </c:ext>
          </c:extLst>
        </c:ser>
        <c:ser>
          <c:idx val="69"/>
          <c:order val="69"/>
          <c:spPr>
            <a:ln w="12700">
              <a:solidFill>
                <a:srgbClr val="CC99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845A-49A6-8ED6-3CA41D03DC8D}"/>
            </c:ext>
          </c:extLst>
        </c:ser>
        <c:ser>
          <c:idx val="70"/>
          <c:order val="70"/>
          <c:spPr>
            <a:ln w="12700">
              <a:solidFill>
                <a:srgbClr val="FFCC99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845A-49A6-8ED6-3CA41D03DC8D}"/>
            </c:ext>
          </c:extLst>
        </c:ser>
        <c:ser>
          <c:idx val="71"/>
          <c:order val="71"/>
          <c:spPr>
            <a:ln w="12700">
              <a:solidFill>
                <a:srgbClr val="3366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845A-49A6-8ED6-3CA41D03DC8D}"/>
            </c:ext>
          </c:extLst>
        </c:ser>
        <c:ser>
          <c:idx val="72"/>
          <c:order val="72"/>
          <c:spPr>
            <a:ln w="12700">
              <a:solidFill>
                <a:srgbClr val="33CCCC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845A-49A6-8ED6-3CA41D03DC8D}"/>
            </c:ext>
          </c:extLst>
        </c:ser>
        <c:ser>
          <c:idx val="73"/>
          <c:order val="73"/>
          <c:spPr>
            <a:ln w="12700">
              <a:solidFill>
                <a:srgbClr val="99CC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845A-49A6-8ED6-3CA41D03DC8D}"/>
            </c:ext>
          </c:extLst>
        </c:ser>
        <c:ser>
          <c:idx val="74"/>
          <c:order val="74"/>
          <c:spPr>
            <a:ln w="12700">
              <a:solidFill>
                <a:srgbClr val="FFCC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845A-49A6-8ED6-3CA41D03DC8D}"/>
            </c:ext>
          </c:extLst>
        </c:ser>
        <c:ser>
          <c:idx val="75"/>
          <c:order val="75"/>
          <c:spPr>
            <a:ln w="12700">
              <a:solidFill>
                <a:srgbClr val="FF99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845A-49A6-8ED6-3CA41D03DC8D}"/>
            </c:ext>
          </c:extLst>
        </c:ser>
        <c:ser>
          <c:idx val="76"/>
          <c:order val="76"/>
          <c:spPr>
            <a:ln w="12700">
              <a:solidFill>
                <a:srgbClr val="FF66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845A-49A6-8ED6-3CA41D03DC8D}"/>
            </c:ext>
          </c:extLst>
        </c:ser>
        <c:ser>
          <c:idx val="77"/>
          <c:order val="77"/>
          <c:spPr>
            <a:ln w="12700">
              <a:solidFill>
                <a:srgbClr val="666699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845A-49A6-8ED6-3CA41D03DC8D}"/>
            </c:ext>
          </c:extLst>
        </c:ser>
        <c:ser>
          <c:idx val="78"/>
          <c:order val="78"/>
          <c:spPr>
            <a:ln w="12700">
              <a:solidFill>
                <a:srgbClr val="969696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845A-49A6-8ED6-3CA41D03DC8D}"/>
            </c:ext>
          </c:extLst>
        </c:ser>
        <c:ser>
          <c:idx val="79"/>
          <c:order val="79"/>
          <c:spPr>
            <a:ln w="12700">
              <a:solidFill>
                <a:srgbClr val="003366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845A-49A6-8ED6-3CA41D03DC8D}"/>
            </c:ext>
          </c:extLst>
        </c:ser>
        <c:ser>
          <c:idx val="80"/>
          <c:order val="80"/>
          <c:spPr>
            <a:ln w="12700">
              <a:solidFill>
                <a:srgbClr val="339966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845A-49A6-8ED6-3CA41D03DC8D}"/>
            </c:ext>
          </c:extLst>
        </c:ser>
        <c:ser>
          <c:idx val="81"/>
          <c:order val="81"/>
          <c:spPr>
            <a:ln w="12700">
              <a:solidFill>
                <a:srgbClr val="0033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845A-49A6-8ED6-3CA41D03DC8D}"/>
            </c:ext>
          </c:extLst>
        </c:ser>
        <c:ser>
          <c:idx val="82"/>
          <c:order val="82"/>
          <c:spPr>
            <a:ln w="12700">
              <a:solidFill>
                <a:srgbClr val="3333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845A-49A6-8ED6-3CA41D03DC8D}"/>
            </c:ext>
          </c:extLst>
        </c:ser>
        <c:ser>
          <c:idx val="83"/>
          <c:order val="83"/>
          <c:spPr>
            <a:ln w="12700">
              <a:solidFill>
                <a:srgbClr val="9933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845A-49A6-8ED6-3CA41D03DC8D}"/>
            </c:ext>
          </c:extLst>
        </c:ser>
        <c:ser>
          <c:idx val="84"/>
          <c:order val="84"/>
          <c:spPr>
            <a:ln w="12700">
              <a:solidFill>
                <a:srgbClr val="993366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845A-49A6-8ED6-3CA41D03DC8D}"/>
            </c:ext>
          </c:extLst>
        </c:ser>
        <c:ser>
          <c:idx val="85"/>
          <c:order val="85"/>
          <c:spPr>
            <a:ln w="12700">
              <a:solidFill>
                <a:srgbClr val="333399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845A-49A6-8ED6-3CA41D03DC8D}"/>
            </c:ext>
          </c:extLst>
        </c:ser>
        <c:ser>
          <c:idx val="86"/>
          <c:order val="86"/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845A-49A6-8ED6-3CA41D03DC8D}"/>
            </c:ext>
          </c:extLst>
        </c:ser>
        <c:ser>
          <c:idx val="87"/>
          <c:order val="8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845A-49A6-8ED6-3CA41D03DC8D}"/>
            </c:ext>
          </c:extLst>
        </c:ser>
        <c:ser>
          <c:idx val="88"/>
          <c:order val="88"/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845A-49A6-8ED6-3CA41D03DC8D}"/>
            </c:ext>
          </c:extLst>
        </c:ser>
        <c:ser>
          <c:idx val="89"/>
          <c:order val="89"/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845A-49A6-8ED6-3CA41D03DC8D}"/>
            </c:ext>
          </c:extLst>
        </c:ser>
        <c:ser>
          <c:idx val="90"/>
          <c:order val="90"/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845A-49A6-8ED6-3CA41D03DC8D}"/>
            </c:ext>
          </c:extLst>
        </c:ser>
        <c:ser>
          <c:idx val="91"/>
          <c:order val="91"/>
          <c:spPr>
            <a:ln w="12700">
              <a:solidFill>
                <a:srgbClr val="FFFF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845A-49A6-8ED6-3CA41D03DC8D}"/>
            </c:ext>
          </c:extLst>
        </c:ser>
        <c:ser>
          <c:idx val="92"/>
          <c:order val="92"/>
          <c:spPr>
            <a:ln w="12700">
              <a:solidFill>
                <a:srgbClr val="FF00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845A-49A6-8ED6-3CA41D03DC8D}"/>
            </c:ext>
          </c:extLst>
        </c:ser>
        <c:ser>
          <c:idx val="93"/>
          <c:order val="93"/>
          <c:spPr>
            <a:ln w="12700">
              <a:solidFill>
                <a:srgbClr val="00FFFF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845A-49A6-8ED6-3CA41D03DC8D}"/>
            </c:ext>
          </c:extLst>
        </c:ser>
        <c:ser>
          <c:idx val="94"/>
          <c:order val="94"/>
          <c:spPr>
            <a:ln w="12700">
              <a:solidFill>
                <a:srgbClr val="8000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845A-49A6-8ED6-3CA41D03DC8D}"/>
            </c:ext>
          </c:extLst>
        </c:ser>
        <c:ser>
          <c:idx val="95"/>
          <c:order val="95"/>
          <c:spPr>
            <a:ln w="12700">
              <a:solidFill>
                <a:srgbClr val="0080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845A-49A6-8ED6-3CA41D03DC8D}"/>
            </c:ext>
          </c:extLst>
        </c:ser>
        <c:ser>
          <c:idx val="96"/>
          <c:order val="96"/>
          <c:spPr>
            <a:ln w="12700">
              <a:solidFill>
                <a:srgbClr val="00008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845A-49A6-8ED6-3CA41D03DC8D}"/>
            </c:ext>
          </c:extLst>
        </c:ser>
        <c:ser>
          <c:idx val="97"/>
          <c:order val="97"/>
          <c:spPr>
            <a:ln w="12700">
              <a:solidFill>
                <a:srgbClr val="80800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845A-49A6-8ED6-3CA41D03DC8D}"/>
            </c:ext>
          </c:extLst>
        </c:ser>
        <c:ser>
          <c:idx val="98"/>
          <c:order val="98"/>
          <c:spPr>
            <a:ln w="12700">
              <a:solidFill>
                <a:srgbClr val="80008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845A-49A6-8ED6-3CA41D03DC8D}"/>
            </c:ext>
          </c:extLst>
        </c:ser>
        <c:ser>
          <c:idx val="99"/>
          <c:order val="99"/>
          <c:spPr>
            <a:ln w="12700">
              <a:solidFill>
                <a:srgbClr val="008080"/>
              </a:solidFill>
              <a:prstDash val="lgDash"/>
            </a:ln>
          </c:spPr>
          <c:marker>
            <c:symbol val="none"/>
          </c:marke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Spreadsheet9.1!#REF!</c:f>
              <c:numCache>
                <c:formatCode>General</c:formatCode>
                <c:ptCount val="4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845A-49A6-8ED6-3CA41D03D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017856"/>
        <c:axId val="293020032"/>
      </c:scatterChart>
      <c:valAx>
        <c:axId val="293017856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 sz="1000" b="1">
                    <a:latin typeface="+mn-lt"/>
                  </a:defRPr>
                </a:pPr>
                <a:r>
                  <a:rPr lang="en-US" sz="1000" b="1">
                    <a:latin typeface="+mn-lt"/>
                  </a:rPr>
                  <a:t>Time (years)</a:t>
                </a:r>
              </a:p>
            </c:rich>
          </c:tx>
          <c:layout>
            <c:manualLayout>
              <c:xMode val="edge"/>
              <c:yMode val="edge"/>
              <c:x val="0.44574366700745549"/>
              <c:y val="0.87456624101762559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293020032"/>
        <c:crosses val="autoZero"/>
        <c:crossBetween val="midCat"/>
      </c:valAx>
      <c:valAx>
        <c:axId val="2930200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 b="1">
                    <a:latin typeface="+mn-lt"/>
                  </a:defRPr>
                </a:pPr>
                <a:r>
                  <a:rPr lang="en-US" sz="1000" b="1">
                    <a:latin typeface="+mn-lt"/>
                  </a:rPr>
                  <a:t>Future value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+mn-lt"/>
                <a:ea typeface="Arial"/>
                <a:cs typeface="Arial"/>
              </a:defRPr>
            </a:pPr>
            <a:endParaRPr lang="fr-FR"/>
          </a:p>
        </c:txPr>
        <c:crossAx val="293017856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PFE!$G$9</c:f>
              <c:strCache>
                <c:ptCount val="1"/>
                <c:pt idx="0">
                  <c:v>Float</c:v>
                </c:pt>
              </c:strCache>
            </c:strRef>
          </c:tx>
          <c:spPr>
            <a:ln w="19050"/>
          </c:spPr>
          <c:xVal>
            <c:numRef>
              <c:f>PFE!$F$10:$F$50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PFE!$G$10:$G$50</c:f>
              <c:numCache>
                <c:formatCode>0.00%</c:formatCode>
                <c:ptCount val="41"/>
                <c:pt idx="0">
                  <c:v>0.05</c:v>
                </c:pt>
                <c:pt idx="1">
                  <c:v>4.7382864048263404E-2</c:v>
                </c:pt>
                <c:pt idx="2">
                  <c:v>4.4805159427136088E-2</c:v>
                </c:pt>
                <c:pt idx="3">
                  <c:v>4.9112590213474965E-2</c:v>
                </c:pt>
                <c:pt idx="4">
                  <c:v>5.1403660033052488E-2</c:v>
                </c:pt>
                <c:pt idx="5">
                  <c:v>5.3553847642132037E-2</c:v>
                </c:pt>
                <c:pt idx="6">
                  <c:v>6.1907440953433805E-2</c:v>
                </c:pt>
                <c:pt idx="7">
                  <c:v>6.5938695549320442E-2</c:v>
                </c:pt>
                <c:pt idx="8">
                  <c:v>7.0926548820346005E-2</c:v>
                </c:pt>
                <c:pt idx="9">
                  <c:v>7.4680126238043362E-2</c:v>
                </c:pt>
                <c:pt idx="10">
                  <c:v>7.4978209236246651E-2</c:v>
                </c:pt>
                <c:pt idx="11">
                  <c:v>7.0019544679068763E-2</c:v>
                </c:pt>
                <c:pt idx="12">
                  <c:v>7.5868464499996541E-2</c:v>
                </c:pt>
                <c:pt idx="13">
                  <c:v>7.1190928520156516E-2</c:v>
                </c:pt>
                <c:pt idx="14">
                  <c:v>7.2960546700545428E-2</c:v>
                </c:pt>
                <c:pt idx="15">
                  <c:v>8.0123525843180901E-2</c:v>
                </c:pt>
                <c:pt idx="16">
                  <c:v>7.7142223667995655E-2</c:v>
                </c:pt>
                <c:pt idx="17">
                  <c:v>7.0317382024046721E-2</c:v>
                </c:pt>
                <c:pt idx="18">
                  <c:v>6.2770018802107114E-2</c:v>
                </c:pt>
                <c:pt idx="19">
                  <c:v>5.3301007870368164E-2</c:v>
                </c:pt>
                <c:pt idx="20">
                  <c:v>5.1289480205641488E-2</c:v>
                </c:pt>
                <c:pt idx="21">
                  <c:v>4.7949736655377911E-2</c:v>
                </c:pt>
                <c:pt idx="22">
                  <c:v>5.3489091582990575E-2</c:v>
                </c:pt>
                <c:pt idx="23">
                  <c:v>5.5223566977258894E-2</c:v>
                </c:pt>
                <c:pt idx="24">
                  <c:v>5.8083591802722094E-2</c:v>
                </c:pt>
                <c:pt idx="25">
                  <c:v>5.8099314922989941E-2</c:v>
                </c:pt>
                <c:pt idx="26">
                  <c:v>4.7312134153866946E-2</c:v>
                </c:pt>
                <c:pt idx="27">
                  <c:v>4.8835198297042783E-2</c:v>
                </c:pt>
                <c:pt idx="28">
                  <c:v>5.0716659788219896E-2</c:v>
                </c:pt>
                <c:pt idx="29">
                  <c:v>4.9125399755938853E-2</c:v>
                </c:pt>
                <c:pt idx="30">
                  <c:v>5.2144101859206024E-2</c:v>
                </c:pt>
                <c:pt idx="31">
                  <c:v>5.3790928701062238E-2</c:v>
                </c:pt>
                <c:pt idx="32">
                  <c:v>4.6751628523534476E-2</c:v>
                </c:pt>
                <c:pt idx="33">
                  <c:v>4.830157985571059E-2</c:v>
                </c:pt>
                <c:pt idx="34">
                  <c:v>3.8535882441382591E-2</c:v>
                </c:pt>
                <c:pt idx="35">
                  <c:v>4.2717569115376608E-2</c:v>
                </c:pt>
                <c:pt idx="36">
                  <c:v>4.191407522700049E-2</c:v>
                </c:pt>
                <c:pt idx="37">
                  <c:v>3.6820142260210603E-2</c:v>
                </c:pt>
                <c:pt idx="38">
                  <c:v>4.2435641583840222E-2</c:v>
                </c:pt>
                <c:pt idx="39">
                  <c:v>3.7615179285099609E-2</c:v>
                </c:pt>
                <c:pt idx="40">
                  <c:v>3.0117500490443795E-2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4-4D92-A4F9-3EB75041F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948160"/>
        <c:axId val="261950080"/>
      </c:scatterChart>
      <c:valAx>
        <c:axId val="261948160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61950080"/>
        <c:crosses val="autoZero"/>
        <c:crossBetween val="midCat"/>
      </c:valAx>
      <c:valAx>
        <c:axId val="2619500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Spot interest rate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61948160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strRef>
              <c:f>PFE!$J$9</c:f>
              <c:strCache>
                <c:ptCount val="1"/>
                <c:pt idx="0">
                  <c:v>Swap MtM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diamond"/>
            <c:size val="5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PFE!$F$10:$F$50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PFE!$J$10:$J$50</c:f>
              <c:numCache>
                <c:formatCode>0.000%</c:formatCode>
                <c:ptCount val="41"/>
                <c:pt idx="0">
                  <c:v>2.9413264371057957E-2</c:v>
                </c:pt>
                <c:pt idx="1">
                  <c:v>1.6350870537144235E-2</c:v>
                </c:pt>
                <c:pt idx="2">
                  <c:v>2.9735629934377505E-2</c:v>
                </c:pt>
                <c:pt idx="3">
                  <c:v>6.4742079365734395E-3</c:v>
                </c:pt>
                <c:pt idx="4">
                  <c:v>-5.5198384565555147E-3</c:v>
                </c:pt>
                <c:pt idx="5">
                  <c:v>-1.6363708242817743E-2</c:v>
                </c:pt>
                <c:pt idx="6">
                  <c:v>-5.6204037880867641E-2</c:v>
                </c:pt>
                <c:pt idx="7">
                  <c:v>-7.3983475227129225E-2</c:v>
                </c:pt>
                <c:pt idx="8">
                  <c:v>-9.498779513324862E-2</c:v>
                </c:pt>
                <c:pt idx="9">
                  <c:v>-0.10962745229861764</c:v>
                </c:pt>
                <c:pt idx="10">
                  <c:v>-0.10934068181179707</c:v>
                </c:pt>
                <c:pt idx="11">
                  <c:v>-8.7372307973087426E-2</c:v>
                </c:pt>
                <c:pt idx="12">
                  <c:v>-0.1095857408092632</c:v>
                </c:pt>
                <c:pt idx="13">
                  <c:v>-8.9280362900295118E-2</c:v>
                </c:pt>
                <c:pt idx="14">
                  <c:v>-9.4602080178907366E-2</c:v>
                </c:pt>
                <c:pt idx="15">
                  <c:v>-0.11966526749162387</c:v>
                </c:pt>
                <c:pt idx="16">
                  <c:v>-0.10637952769178599</c:v>
                </c:pt>
                <c:pt idx="17">
                  <c:v>-7.9236339278482171E-2</c:v>
                </c:pt>
                <c:pt idx="18">
                  <c:v>-4.9769573900480868E-2</c:v>
                </c:pt>
                <c:pt idx="19">
                  <c:v>-1.3621097949093275E-2</c:v>
                </c:pt>
                <c:pt idx="20">
                  <c:v>-5.9873836826880855E-3</c:v>
                </c:pt>
                <c:pt idx="21">
                  <c:v>6.0349640976584407E-3</c:v>
                </c:pt>
                <c:pt idx="22">
                  <c:v>-1.3396374393492172E-2</c:v>
                </c:pt>
                <c:pt idx="23">
                  <c:v>-1.8717696707930803E-2</c:v>
                </c:pt>
                <c:pt idx="24">
                  <c:v>-2.7041924211624685E-2</c:v>
                </c:pt>
                <c:pt idx="25">
                  <c:v>-2.6062691814656813E-2</c:v>
                </c:pt>
                <c:pt idx="26">
                  <c:v>6.2136443954124709E-3</c:v>
                </c:pt>
                <c:pt idx="27">
                  <c:v>1.5417785731491607E-3</c:v>
                </c:pt>
                <c:pt idx="28">
                  <c:v>-3.5806635832206501E-3</c:v>
                </c:pt>
                <c:pt idx="29">
                  <c:v>4.2947011659419387E-4</c:v>
                </c:pt>
                <c:pt idx="30">
                  <c:v>-6.6171112746613026E-3</c:v>
                </c:pt>
                <c:pt idx="31">
                  <c:v>-9.7067381965538074E-3</c:v>
                </c:pt>
                <c:pt idx="32">
                  <c:v>4.6300793433942944E-3</c:v>
                </c:pt>
                <c:pt idx="33">
                  <c:v>1.3226031866409582E-3</c:v>
                </c:pt>
                <c:pt idx="34">
                  <c:v>1.6455781973497757E-2</c:v>
                </c:pt>
                <c:pt idx="35">
                  <c:v>8.4014859014694132E-3</c:v>
                </c:pt>
                <c:pt idx="36">
                  <c:v>7.871968290536234E-3</c:v>
                </c:pt>
                <c:pt idx="37">
                  <c:v>1.1026224587575441E-2</c:v>
                </c:pt>
                <c:pt idx="38">
                  <c:v>4.0546127553674691E-3</c:v>
                </c:pt>
                <c:pt idx="39">
                  <c:v>4.7258069037337917E-3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0C-4379-82C8-D10EE313F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973888"/>
        <c:axId val="261981312"/>
      </c:scatterChart>
      <c:valAx>
        <c:axId val="261973888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61981312"/>
        <c:crosses val="autoZero"/>
        <c:crossBetween val="midCat"/>
      </c:valAx>
      <c:valAx>
        <c:axId val="2619813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Future value of swap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61973888"/>
        <c:crosses val="autoZero"/>
        <c:crossBetween val="midCat"/>
      </c:valAx>
      <c:spPr>
        <a:ln>
          <a:solidFill>
            <a:srgbClr val="000000"/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PFE!$C$52</c:f>
              <c:strCache>
                <c:ptCount val="1"/>
                <c:pt idx="0">
                  <c:v>EE</c:v>
                </c:pt>
              </c:strCache>
            </c:strRef>
          </c:tx>
          <c:spPr>
            <a:ln w="19050"/>
          </c:spPr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PFE!$C$53:$C$93</c:f>
              <c:numCache>
                <c:formatCode>0.00%</c:formatCode>
                <c:ptCount val="41"/>
                <c:pt idx="0">
                  <c:v>3.5295961035048027E-3</c:v>
                </c:pt>
                <c:pt idx="1">
                  <c:v>1.3324215550571837E-2</c:v>
                </c:pt>
                <c:pt idx="2">
                  <c:v>1.6474612846909039E-2</c:v>
                </c:pt>
                <c:pt idx="3">
                  <c:v>2.0033709367299486E-2</c:v>
                </c:pt>
                <c:pt idx="4">
                  <c:v>2.1353889533238222E-2</c:v>
                </c:pt>
                <c:pt idx="5">
                  <c:v>2.4998923134669511E-2</c:v>
                </c:pt>
                <c:pt idx="6">
                  <c:v>2.2365158507241984E-2</c:v>
                </c:pt>
                <c:pt idx="7">
                  <c:v>2.3548810668046361E-2</c:v>
                </c:pt>
                <c:pt idx="8">
                  <c:v>2.5806413878368014E-2</c:v>
                </c:pt>
                <c:pt idx="9">
                  <c:v>2.4666181858987564E-2</c:v>
                </c:pt>
                <c:pt idx="10">
                  <c:v>2.7540793511135597E-2</c:v>
                </c:pt>
                <c:pt idx="11">
                  <c:v>2.8349301459977074E-2</c:v>
                </c:pt>
                <c:pt idx="12">
                  <c:v>2.7627327946862838E-2</c:v>
                </c:pt>
                <c:pt idx="13">
                  <c:v>2.9775541318188051E-2</c:v>
                </c:pt>
                <c:pt idx="14">
                  <c:v>3.0320154544833319E-2</c:v>
                </c:pt>
                <c:pt idx="15">
                  <c:v>2.9950195433440543E-2</c:v>
                </c:pt>
                <c:pt idx="16">
                  <c:v>2.7422973915005498E-2</c:v>
                </c:pt>
                <c:pt idx="17">
                  <c:v>2.6201039434702374E-2</c:v>
                </c:pt>
                <c:pt idx="18">
                  <c:v>2.6388010311046452E-2</c:v>
                </c:pt>
                <c:pt idx="19">
                  <c:v>3.2125983469958909E-2</c:v>
                </c:pt>
                <c:pt idx="20">
                  <c:v>3.1597832411967168E-2</c:v>
                </c:pt>
                <c:pt idx="21">
                  <c:v>2.8037336423274332E-2</c:v>
                </c:pt>
                <c:pt idx="22">
                  <c:v>2.5508660198504587E-2</c:v>
                </c:pt>
                <c:pt idx="23">
                  <c:v>2.6186885743984995E-2</c:v>
                </c:pt>
                <c:pt idx="24">
                  <c:v>2.226389964005563E-2</c:v>
                </c:pt>
                <c:pt idx="25">
                  <c:v>2.1231038607271678E-2</c:v>
                </c:pt>
                <c:pt idx="26">
                  <c:v>2.2701896717519165E-2</c:v>
                </c:pt>
                <c:pt idx="27">
                  <c:v>2.0846562174461153E-2</c:v>
                </c:pt>
                <c:pt idx="28">
                  <c:v>1.7306508230107626E-2</c:v>
                </c:pt>
                <c:pt idx="29">
                  <c:v>1.664979592400017E-2</c:v>
                </c:pt>
                <c:pt idx="30">
                  <c:v>1.6298591286225485E-2</c:v>
                </c:pt>
                <c:pt idx="31">
                  <c:v>1.2791296356283132E-2</c:v>
                </c:pt>
                <c:pt idx="32">
                  <c:v>1.2629721482426831E-2</c:v>
                </c:pt>
                <c:pt idx="33">
                  <c:v>1.1967764968207756E-2</c:v>
                </c:pt>
                <c:pt idx="34">
                  <c:v>1.0567758877449047E-2</c:v>
                </c:pt>
                <c:pt idx="35">
                  <c:v>8.7813854477591154E-3</c:v>
                </c:pt>
                <c:pt idx="36">
                  <c:v>6.8140340608646554E-3</c:v>
                </c:pt>
                <c:pt idx="37">
                  <c:v>5.4207851271312604E-3</c:v>
                </c:pt>
                <c:pt idx="38">
                  <c:v>3.6912164751554156E-3</c:v>
                </c:pt>
                <c:pt idx="39">
                  <c:v>2.0527444042608379E-3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48-4C37-B9EF-2AAFEE90B23D}"/>
            </c:ext>
          </c:extLst>
        </c:ser>
        <c:ser>
          <c:idx val="1"/>
          <c:order val="1"/>
          <c:tx>
            <c:strRef>
              <c:f>PFE!$D$52</c:f>
              <c:strCache>
                <c:ptCount val="1"/>
                <c:pt idx="0">
                  <c:v>PFE (90%)</c:v>
                </c:pt>
              </c:strCache>
            </c:strRef>
          </c:tx>
          <c:xVal>
            <c:numRef>
              <c:f>PFE!$B$53:$B$93</c:f>
              <c:numCache>
                <c:formatCode>0.00</c:formatCode>
                <c:ptCount val="4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PFE!$D$53:$D$93</c:f>
              <c:numCache>
                <c:formatCode>0.000%</c:formatCode>
                <c:ptCount val="41"/>
                <c:pt idx="0">
                  <c:v>3.5155339676342656E-3</c:v>
                </c:pt>
                <c:pt idx="1">
                  <c:v>3.7017683875118279E-2</c:v>
                </c:pt>
                <c:pt idx="2">
                  <c:v>5.2260431113849926E-2</c:v>
                </c:pt>
                <c:pt idx="3">
                  <c:v>5.5189048784664074E-2</c:v>
                </c:pt>
                <c:pt idx="4">
                  <c:v>6.3027691861761437E-2</c:v>
                </c:pt>
                <c:pt idx="5">
                  <c:v>8.2900488437424147E-2</c:v>
                </c:pt>
                <c:pt idx="6">
                  <c:v>6.917714513573453E-2</c:v>
                </c:pt>
                <c:pt idx="7">
                  <c:v>6.9304466833253808E-2</c:v>
                </c:pt>
                <c:pt idx="8">
                  <c:v>8.6380590589628437E-2</c:v>
                </c:pt>
                <c:pt idx="9">
                  <c:v>8.8407158866419366E-2</c:v>
                </c:pt>
                <c:pt idx="10">
                  <c:v>8.8795658115806642E-2</c:v>
                </c:pt>
                <c:pt idx="11">
                  <c:v>8.766775297649404E-2</c:v>
                </c:pt>
                <c:pt idx="12">
                  <c:v>8.6710094493837819E-2</c:v>
                </c:pt>
                <c:pt idx="13">
                  <c:v>9.4457488026209235E-2</c:v>
                </c:pt>
                <c:pt idx="14">
                  <c:v>9.7502460041184125E-2</c:v>
                </c:pt>
                <c:pt idx="15">
                  <c:v>8.882983328724442E-2</c:v>
                </c:pt>
                <c:pt idx="16">
                  <c:v>8.2634939360343163E-2</c:v>
                </c:pt>
                <c:pt idx="17">
                  <c:v>8.8043485021352619E-2</c:v>
                </c:pt>
                <c:pt idx="18">
                  <c:v>8.4513787879335223E-2</c:v>
                </c:pt>
                <c:pt idx="19">
                  <c:v>9.7711665590152125E-2</c:v>
                </c:pt>
                <c:pt idx="20">
                  <c:v>9.2480893999923208E-2</c:v>
                </c:pt>
                <c:pt idx="21">
                  <c:v>8.3547035016832305E-2</c:v>
                </c:pt>
                <c:pt idx="22">
                  <c:v>7.1854900276193123E-2</c:v>
                </c:pt>
                <c:pt idx="23">
                  <c:v>7.6786671835888248E-2</c:v>
                </c:pt>
                <c:pt idx="24">
                  <c:v>7.1249539278917362E-2</c:v>
                </c:pt>
                <c:pt idx="25">
                  <c:v>6.614334833500557E-2</c:v>
                </c:pt>
                <c:pt idx="26">
                  <c:v>6.5764349079641515E-2</c:v>
                </c:pt>
                <c:pt idx="27">
                  <c:v>6.3360023835630885E-2</c:v>
                </c:pt>
                <c:pt idx="28">
                  <c:v>5.6611191330715072E-2</c:v>
                </c:pt>
                <c:pt idx="29">
                  <c:v>5.589954972458186E-2</c:v>
                </c:pt>
                <c:pt idx="30">
                  <c:v>5.1441268652325081E-2</c:v>
                </c:pt>
                <c:pt idx="31">
                  <c:v>4.3256805223672756E-2</c:v>
                </c:pt>
                <c:pt idx="32">
                  <c:v>4.0730864776684528E-2</c:v>
                </c:pt>
                <c:pt idx="33">
                  <c:v>3.6004308723979375E-2</c:v>
                </c:pt>
                <c:pt idx="34">
                  <c:v>3.0895423764008653E-2</c:v>
                </c:pt>
                <c:pt idx="35">
                  <c:v>2.8753027308125317E-2</c:v>
                </c:pt>
                <c:pt idx="36">
                  <c:v>2.3290341757208552E-2</c:v>
                </c:pt>
                <c:pt idx="37">
                  <c:v>1.7308457511733495E-2</c:v>
                </c:pt>
                <c:pt idx="38">
                  <c:v>1.2202506405188319E-2</c:v>
                </c:pt>
                <c:pt idx="39">
                  <c:v>6.4450110740795052E-3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48-4C37-B9EF-2AAFEE90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003712"/>
        <c:axId val="292160640"/>
      </c:scatterChart>
      <c:valAx>
        <c:axId val="262003712"/>
        <c:scaling>
          <c:orientation val="minMax"/>
          <c:max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92160640"/>
        <c:crosses val="autoZero"/>
        <c:crossBetween val="midCat"/>
      </c:valAx>
      <c:valAx>
        <c:axId val="2921606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Exposure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62003712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t"/>
      <c:layout>
        <c:manualLayout>
          <c:xMode val="edge"/>
          <c:yMode val="edge"/>
          <c:x val="0.38413406377894033"/>
          <c:y val="3.9800995024875621E-2"/>
          <c:w val="0.3516600022312647"/>
          <c:h val="8.9964743213068507E-2"/>
        </c:manualLayout>
      </c:layout>
      <c:overlay val="0"/>
      <c:spPr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2</xdr:col>
      <xdr:colOff>537882</xdr:colOff>
      <xdr:row>1</xdr:row>
      <xdr:rowOff>164354</xdr:rowOff>
    </xdr:from>
    <xdr:to>
      <xdr:col>3</xdr:col>
      <xdr:colOff>986118</xdr:colOff>
      <xdr:row>4</xdr:row>
      <xdr:rowOff>68170</xdr:rowOff>
    </xdr:to>
    <xdr:sp macro="[0]!delete_results_power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554941" y="672354"/>
          <a:ext cx="1456765" cy="47905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  <xdr:twoCellAnchor>
    <xdr:from>
      <xdr:col>4</xdr:col>
      <xdr:colOff>219635</xdr:colOff>
      <xdr:row>1</xdr:row>
      <xdr:rowOff>167342</xdr:rowOff>
    </xdr:from>
    <xdr:to>
      <xdr:col>5</xdr:col>
      <xdr:colOff>667871</xdr:colOff>
      <xdr:row>4</xdr:row>
      <xdr:rowOff>71158</xdr:rowOff>
    </xdr:to>
    <xdr:sp macro="[0]!Value_Black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253753" y="675342"/>
          <a:ext cx="1456765" cy="47905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526143</xdr:colOff>
      <xdr:row>5</xdr:row>
      <xdr:rowOff>9072</xdr:rowOff>
    </xdr:from>
    <xdr:to>
      <xdr:col>3</xdr:col>
      <xdr:colOff>974379</xdr:colOff>
      <xdr:row>7</xdr:row>
      <xdr:rowOff>112459</xdr:rowOff>
    </xdr:to>
    <xdr:sp macro="[0]!delete_results_power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40000" y="1279072"/>
          <a:ext cx="1455165" cy="47531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Run</a:t>
          </a:r>
          <a:r>
            <a:rPr lang="en-GB" sz="1200" baseline="0"/>
            <a:t> Stress Test</a:t>
          </a:r>
          <a:endParaRPr lang="en-GB" sz="1200"/>
        </a:p>
      </xdr:txBody>
    </xdr:sp>
    <xdr:clientData/>
  </xdr:twoCellAnchor>
  <xdr:twoCellAnchor>
    <xdr:from>
      <xdr:col>4</xdr:col>
      <xdr:colOff>215904</xdr:colOff>
      <xdr:row>4</xdr:row>
      <xdr:rowOff>188689</xdr:rowOff>
    </xdr:from>
    <xdr:to>
      <xdr:col>5</xdr:col>
      <xdr:colOff>664140</xdr:colOff>
      <xdr:row>7</xdr:row>
      <xdr:rowOff>101576</xdr:rowOff>
    </xdr:to>
    <xdr:sp macro="[0]!delete_results_power" textlink="">
      <xdr:nvSpPr>
        <xdr:cNvPr id="7" name="Rounded Rectangle 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243618" y="1268189"/>
          <a:ext cx="1455165" cy="47531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CVaR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8</xdr:col>
      <xdr:colOff>171450</xdr:colOff>
      <xdr:row>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4660900" cy="1101725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lnSpc>
              <a:spcPts val="1300"/>
            </a:lnSpc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3000"/>
            </a:lnSpc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PFE Monte Carlo Simulation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100"/>
            </a:lnSpc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Simulation of an fixed vs floating swap exposure using a simple Vasicek model. </a:t>
          </a:r>
        </a:p>
      </xdr:txBody>
    </xdr:sp>
    <xdr:clientData/>
  </xdr:twoCellAnchor>
  <xdr:twoCellAnchor>
    <xdr:from>
      <xdr:col>13</xdr:col>
      <xdr:colOff>31750</xdr:colOff>
      <xdr:row>30</xdr:row>
      <xdr:rowOff>73025</xdr:rowOff>
    </xdr:from>
    <xdr:to>
      <xdr:col>19</xdr:col>
      <xdr:colOff>612775</xdr:colOff>
      <xdr:row>46</xdr:row>
      <xdr:rowOff>25400</xdr:rowOff>
    </xdr:to>
    <xdr:graphicFrame macro="">
      <xdr:nvGraphicFramePr>
        <xdr:cNvPr id="4" name="Chart 7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577850</xdr:colOff>
          <xdr:row>2</xdr:row>
          <xdr:rowOff>57150</xdr:rowOff>
        </xdr:from>
        <xdr:to>
          <xdr:col>10</xdr:col>
          <xdr:colOff>222250</xdr:colOff>
          <xdr:row>4</xdr:row>
          <xdr:rowOff>76200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Simulations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3175</xdr:colOff>
      <xdr:row>12</xdr:row>
      <xdr:rowOff>25400</xdr:rowOff>
    </xdr:from>
    <xdr:to>
      <xdr:col>20</xdr:col>
      <xdr:colOff>25400</xdr:colOff>
      <xdr:row>27</xdr:row>
      <xdr:rowOff>146050</xdr:rowOff>
    </xdr:to>
    <xdr:graphicFrame macro="">
      <xdr:nvGraphicFramePr>
        <xdr:cNvPr id="6" name="Chart 9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25400</xdr:colOff>
      <xdr:row>12</xdr:row>
      <xdr:rowOff>25400</xdr:rowOff>
    </xdr:from>
    <xdr:to>
      <xdr:col>27</xdr:col>
      <xdr:colOff>31750</xdr:colOff>
      <xdr:row>27</xdr:row>
      <xdr:rowOff>146050</xdr:rowOff>
    </xdr:to>
    <xdr:graphicFrame macro="">
      <xdr:nvGraphicFramePr>
        <xdr:cNvPr id="7" name="Chart 10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603250</xdr:colOff>
      <xdr:row>30</xdr:row>
      <xdr:rowOff>73025</xdr:rowOff>
    </xdr:from>
    <xdr:to>
      <xdr:col>26</xdr:col>
      <xdr:colOff>609600</xdr:colOff>
      <xdr:row>46</xdr:row>
      <xdr:rowOff>34925</xdr:rowOff>
    </xdr:to>
    <xdr:graphicFrame macro="">
      <xdr:nvGraphicFramePr>
        <xdr:cNvPr id="8" name="Chart 1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11</xdr:col>
      <xdr:colOff>190500</xdr:colOff>
      <xdr:row>0</xdr:row>
      <xdr:rowOff>139700</xdr:rowOff>
    </xdr:from>
    <xdr:to>
      <xdr:col>19</xdr:col>
      <xdr:colOff>476250</xdr:colOff>
      <xdr:row>7</xdr:row>
      <xdr:rowOff>120650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1499850" y="139700"/>
          <a:ext cx="8020050" cy="161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 Case:</a:t>
          </a:r>
        </a:p>
        <a:p>
          <a:r>
            <a:rPr lang="fr-FR" sz="900"/>
            <a:t>-Consumer: Long call (higher strike), Short put (lower strike)</a:t>
          </a:r>
        </a:p>
        <a:p>
          <a:r>
            <a:rPr lang="fr-FR" sz="900"/>
            <a:t>-Structure Seller: Short call (higher strike), Long put (lower strike)</a:t>
          </a:r>
        </a:p>
        <a:p>
          <a:r>
            <a:rPr lang="fr-FR" sz="900"/>
            <a:t>cost of hedges (Consumer) = -Long Call Prem + Short Put Prem </a:t>
          </a:r>
        </a:p>
        <a:p>
          <a:r>
            <a:rPr lang="fr-FR" sz="900"/>
            <a:t>cost of hedges (Seller) = +Short Call Prem - Long Put Prem </a:t>
          </a:r>
        </a:p>
        <a:p>
          <a:endParaRPr lang="fr-FR" sz="900"/>
        </a:p>
        <a:p>
          <a:r>
            <a:rPr lang="fr-FR" sz="900"/>
            <a:t>Producer Case</a:t>
          </a:r>
        </a:p>
        <a:p>
          <a:r>
            <a:rPr lang="fr-FR" sz="900"/>
            <a:t>-Producer: Long put (lower strike), Short call (higher strike),</a:t>
          </a:r>
        </a:p>
        <a:p>
          <a:r>
            <a:rPr lang="fr-FR" sz="900"/>
            <a:t>-Structure Seller: Short put (lower strike), Long call (higher strike)</a:t>
          </a:r>
        </a:p>
        <a:p>
          <a:r>
            <a:rPr lang="fr-FR" sz="900"/>
            <a:t>cost of hedges (Producer) = -Long Put Prem + Short Call Prem</a:t>
          </a:r>
        </a:p>
        <a:p>
          <a:r>
            <a:rPr lang="fr-FR" sz="900"/>
            <a:t>cost of hedges (Seller) = +Short Put Prem - Long Call Prem</a:t>
          </a:r>
        </a:p>
        <a:p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436691</xdr:colOff>
      <xdr:row>4</xdr:row>
      <xdr:rowOff>100089</xdr:rowOff>
    </xdr:to>
    <xdr:sp macro="[0]!Value_Black_Collar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080000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371928</xdr:colOff>
      <xdr:row>2</xdr:row>
      <xdr:rowOff>0</xdr:rowOff>
    </xdr:from>
    <xdr:to>
      <xdr:col>4</xdr:col>
      <xdr:colOff>808619</xdr:colOff>
      <xdr:row>4</xdr:row>
      <xdr:rowOff>100089</xdr:rowOff>
    </xdr:to>
    <xdr:sp macro="[0]!delete_results_power_collar" textlink="">
      <xdr:nvSpPr>
        <xdr:cNvPr id="6" name="Rounded Rectangle 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392714" y="698500"/>
          <a:ext cx="1443619" cy="47201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357316</xdr:colOff>
      <xdr:row>4</xdr:row>
      <xdr:rowOff>100089</xdr:rowOff>
    </xdr:to>
    <xdr:sp macro="[0]!Value_PPA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162550" y="698500"/>
          <a:ext cx="1455866" cy="4747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436691</xdr:colOff>
      <xdr:row>4</xdr:row>
      <xdr:rowOff>100089</xdr:rowOff>
    </xdr:to>
    <xdr:sp macro="[0]!delete_results_power_enhanced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3028950" y="698500"/>
          <a:ext cx="1446341" cy="4747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12</xdr:col>
      <xdr:colOff>138545</xdr:colOff>
      <xdr:row>0</xdr:row>
      <xdr:rowOff>0</xdr:rowOff>
    </xdr:from>
    <xdr:to>
      <xdr:col>22</xdr:col>
      <xdr:colOff>353868</xdr:colOff>
      <xdr:row>7</xdr:row>
      <xdr:rowOff>165100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2660745" y="0"/>
          <a:ext cx="7981373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</a:t>
          </a:r>
          <a:r>
            <a:rPr lang="fr-FR" sz="900" baseline="0"/>
            <a:t> Case:</a:t>
          </a:r>
        </a:p>
        <a:p>
          <a:r>
            <a:rPr lang="fr-FR" sz="900" baseline="0"/>
            <a:t>-Consumer: Long call (higher strike), Short put (lower strike), Long put (even lower strike)</a:t>
          </a:r>
        </a:p>
        <a:p>
          <a:r>
            <a:rPr lang="fr-FR" sz="900" baseline="0"/>
            <a:t>-Structure Seller: Short call (higher strike), Long put (lower strike), Short put (even lower strike)</a:t>
          </a:r>
        </a:p>
        <a:p>
          <a:r>
            <a:rPr lang="fr-FR" sz="900" baseline="0"/>
            <a:t>cost of hedges (Consumer) = -Long Call Prem + Short Put Prem - Long Put Prem</a:t>
          </a:r>
        </a:p>
        <a:p>
          <a:r>
            <a:rPr lang="fr-FR" sz="900" baseline="0"/>
            <a:t>cost of hedges (Seller) = +Short Call Prem - Long Put Prem + Short Put Prem</a:t>
          </a:r>
        </a:p>
        <a:p>
          <a:endParaRPr lang="fr-FR" sz="900" baseline="0"/>
        </a:p>
        <a:p>
          <a:endParaRPr lang="fr-FR" sz="900" baseline="0"/>
        </a:p>
        <a:p>
          <a:r>
            <a:rPr lang="fr-FR" sz="900" baseline="0"/>
            <a:t>Producer Case</a:t>
          </a: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-Producer: Long put (lower strike), Short call (higher strike), Long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-Structure Seller: Short put (lower strike), Long call (higher strike), Short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(Producer) = -Long Put Prem + Short Call Prem - Long Call Prem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(Seller) = +Short Put Prem - Long Call Prem + Short Call Prem</a:t>
          </a:r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357316</xdr:colOff>
      <xdr:row>4</xdr:row>
      <xdr:rowOff>100089</xdr:rowOff>
    </xdr:to>
    <xdr:sp macro="[0]!Value_Black_Enhanced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5191125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436691</xdr:colOff>
      <xdr:row>4</xdr:row>
      <xdr:rowOff>100089</xdr:rowOff>
    </xdr:to>
    <xdr:sp macro="[0]!delete_results_power_enhanced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048000" y="698500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Asian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242449</xdr:colOff>
      <xdr:row>2</xdr:row>
      <xdr:rowOff>0</xdr:rowOff>
    </xdr:from>
    <xdr:to>
      <xdr:col>3</xdr:col>
      <xdr:colOff>690685</xdr:colOff>
      <xdr:row>4</xdr:row>
      <xdr:rowOff>100089</xdr:rowOff>
    </xdr:to>
    <xdr:sp macro="[0]!delete_results_asian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225135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11</xdr:col>
      <xdr:colOff>190500</xdr:colOff>
      <xdr:row>0</xdr:row>
      <xdr:rowOff>139700</xdr:rowOff>
    </xdr:from>
    <xdr:to>
      <xdr:col>19</xdr:col>
      <xdr:colOff>476250</xdr:colOff>
      <xdr:row>7</xdr:row>
      <xdr:rowOff>120650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1499850" y="139700"/>
          <a:ext cx="8020050" cy="1612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 Case:</a:t>
          </a:r>
        </a:p>
        <a:p>
          <a:r>
            <a:rPr lang="fr-FR" sz="900"/>
            <a:t>-Consumer: Long call (higher strike), Short put (lower strike)</a:t>
          </a:r>
        </a:p>
        <a:p>
          <a:r>
            <a:rPr lang="fr-FR" sz="900"/>
            <a:t>-Structure Seller: Short call (higher strike), Long put (lower strike)</a:t>
          </a:r>
        </a:p>
        <a:p>
          <a:r>
            <a:rPr lang="fr-FR" sz="900"/>
            <a:t>cost of hedges (Consumer) = -Long Call Prem + Short Put Prem </a:t>
          </a:r>
        </a:p>
        <a:p>
          <a:r>
            <a:rPr lang="fr-FR" sz="900"/>
            <a:t>cost of hedges (Seller) = +Short Call Prem - Long Put Prem </a:t>
          </a:r>
        </a:p>
        <a:p>
          <a:endParaRPr lang="fr-FR" sz="900"/>
        </a:p>
        <a:p>
          <a:r>
            <a:rPr lang="fr-FR" sz="900"/>
            <a:t>Producer Case</a:t>
          </a:r>
        </a:p>
        <a:p>
          <a:r>
            <a:rPr lang="fr-FR" sz="900"/>
            <a:t>-Producer: Long put (lower strike), Short call (higher strike),</a:t>
          </a:r>
        </a:p>
        <a:p>
          <a:r>
            <a:rPr lang="fr-FR" sz="900"/>
            <a:t>-Structure Seller: Short put (lower strike), Long call (higher strike)</a:t>
          </a:r>
        </a:p>
        <a:p>
          <a:r>
            <a:rPr lang="fr-FR" sz="900"/>
            <a:t>cost of hedges (Producer) = -Long Put Prem + Short Call Prem</a:t>
          </a:r>
        </a:p>
        <a:p>
          <a:r>
            <a:rPr lang="fr-FR" sz="900"/>
            <a:t>cost of hedges (Seller) = +Short Put Prem - Long Call Prem</a:t>
          </a:r>
        </a:p>
        <a:p>
          <a:endParaRPr lang="fr-FR" sz="1100"/>
        </a:p>
      </xdr:txBody>
    </xdr:sp>
    <xdr:clientData/>
  </xdr:twoCellAnchor>
  <xdr:twoCellAnchor>
    <xdr:from>
      <xdr:col>5</xdr:col>
      <xdr:colOff>0</xdr:colOff>
      <xdr:row>2</xdr:row>
      <xdr:rowOff>0</xdr:rowOff>
    </xdr:from>
    <xdr:to>
      <xdr:col>6</xdr:col>
      <xdr:colOff>448237</xdr:colOff>
      <xdr:row>4</xdr:row>
      <xdr:rowOff>100089</xdr:rowOff>
    </xdr:to>
    <xdr:sp macro="[0]!Value_Asian_collar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5022273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448237</xdr:colOff>
      <xdr:row>4</xdr:row>
      <xdr:rowOff>100089</xdr:rowOff>
    </xdr:to>
    <xdr:sp macro="[0]!delete_results_asian_collar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3013364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12</xdr:col>
      <xdr:colOff>138545</xdr:colOff>
      <xdr:row>0</xdr:row>
      <xdr:rowOff>0</xdr:rowOff>
    </xdr:from>
    <xdr:to>
      <xdr:col>22</xdr:col>
      <xdr:colOff>353868</xdr:colOff>
      <xdr:row>7</xdr:row>
      <xdr:rowOff>165100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12660745" y="0"/>
          <a:ext cx="7981373" cy="1797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/>
            <a:t>Consumer</a:t>
          </a:r>
          <a:r>
            <a:rPr lang="fr-FR" sz="900" baseline="0"/>
            <a:t> Case:</a:t>
          </a:r>
        </a:p>
        <a:p>
          <a:r>
            <a:rPr lang="fr-FR" sz="900" baseline="0"/>
            <a:t>-Consumer: Long call (higher strike), Short put (lower strike), Long put (even lower strike)</a:t>
          </a:r>
        </a:p>
        <a:p>
          <a:r>
            <a:rPr lang="fr-FR" sz="900" baseline="0"/>
            <a:t>-Structure Seller: Short call (higher strike), Long put (lower strike), Short put (even lower strike)</a:t>
          </a:r>
        </a:p>
        <a:p>
          <a:r>
            <a:rPr lang="fr-FR" sz="900" baseline="0"/>
            <a:t>cost of hedges (Consumer) = -Long Call Prem + Short Put Prem - Long Put Prem</a:t>
          </a:r>
        </a:p>
        <a:p>
          <a:r>
            <a:rPr lang="fr-FR" sz="900" baseline="0"/>
            <a:t>cost of hedges (Seller) = +Short Call Prem - Long Put Prem + Short Put Prem</a:t>
          </a:r>
        </a:p>
        <a:p>
          <a:endParaRPr lang="fr-FR" sz="900" baseline="0"/>
        </a:p>
        <a:p>
          <a:endParaRPr lang="fr-FR" sz="900" baseline="0"/>
        </a:p>
        <a:p>
          <a:r>
            <a:rPr lang="fr-FR" sz="900" baseline="0"/>
            <a:t>Producer Case</a:t>
          </a: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-Producer: Long put (lower strike), Short call (higher strike), Long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-Structure Seller: Short put (lower strike), Long call (higher strike), Short Call (even higher strike)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(Producer) = -Long Put Prem + Short Call Prem - Long Call Prem</a:t>
          </a:r>
          <a:endParaRPr lang="fr-FR" sz="900">
            <a:effectLst/>
          </a:endParaRPr>
        </a:p>
        <a:p>
          <a:r>
            <a:rPr lang="fr-FR" sz="9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 of hedges (Seller) = +Short Put Prem - Long Call Prem + Short Call Prem</a:t>
          </a: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448236</xdr:colOff>
      <xdr:row>4</xdr:row>
      <xdr:rowOff>100089</xdr:rowOff>
    </xdr:to>
    <xdr:sp macro="[0]!Value_Asian_Enhanced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6234545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332782</xdr:colOff>
      <xdr:row>4</xdr:row>
      <xdr:rowOff>100089</xdr:rowOff>
    </xdr:to>
    <xdr:sp macro="[0]!delete_results_asian_enhanced" textlink="">
      <xdr:nvSpPr>
        <xdr:cNvPr id="5" name="Rounded Rectangle 1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CleanSparkSpread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017818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196267</xdr:colOff>
      <xdr:row>2</xdr:row>
      <xdr:rowOff>0</xdr:rowOff>
    </xdr:from>
    <xdr:to>
      <xdr:col>3</xdr:col>
      <xdr:colOff>644503</xdr:colOff>
      <xdr:row>4</xdr:row>
      <xdr:rowOff>100089</xdr:rowOff>
    </xdr:to>
    <xdr:sp macro="[0]!delete_results_css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2205176" y="704273"/>
          <a:ext cx="1452691" cy="48108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229503</xdr:colOff>
      <xdr:row>0</xdr:row>
      <xdr:rowOff>60775</xdr:rowOff>
    </xdr:from>
    <xdr:to>
      <xdr:col>0</xdr:col>
      <xdr:colOff>774698</xdr:colOff>
      <xdr:row>1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flipH="1">
          <a:off x="229503" y="60775"/>
          <a:ext cx="545195" cy="46627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0</xdr:rowOff>
    </xdr:from>
    <xdr:to>
      <xdr:col>5</xdr:col>
      <xdr:colOff>448236</xdr:colOff>
      <xdr:row>4</xdr:row>
      <xdr:rowOff>100089</xdr:rowOff>
    </xdr:to>
    <xdr:sp macro="[0]!Value_CSS_daily" textlink="">
      <xdr:nvSpPr>
        <xdr:cNvPr id="3" name="Rounded Rectangle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038600" y="698500"/>
          <a:ext cx="1457886" cy="4747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Calculate Options</a:t>
          </a:r>
        </a:p>
      </xdr:txBody>
    </xdr:sp>
    <xdr:clientData/>
  </xdr:twoCellAnchor>
  <xdr:twoCellAnchor>
    <xdr:from>
      <xdr:col>2</xdr:col>
      <xdr:colOff>196267</xdr:colOff>
      <xdr:row>2</xdr:row>
      <xdr:rowOff>0</xdr:rowOff>
    </xdr:from>
    <xdr:to>
      <xdr:col>3</xdr:col>
      <xdr:colOff>644503</xdr:colOff>
      <xdr:row>4</xdr:row>
      <xdr:rowOff>100089</xdr:rowOff>
    </xdr:to>
    <xdr:sp macro="[0]!delete_results_css_daily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215567" y="698500"/>
          <a:ext cx="1457886" cy="474739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/>
            <a:t>Clear</a:t>
          </a:r>
          <a:r>
            <a:rPr lang="en-GB" sz="1200" baseline="0"/>
            <a:t> Results</a:t>
          </a:r>
          <a:endParaRPr lang="en-GB" sz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LFSCounterpartyRisk\LFS_CollateralandCntrptyRiskNewBoo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nterpartyRiskandCollateralManagement\CntrptyRiskEuromoneyExamplesNew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nvertibleBondsandCSA\CB_CSA_Examples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QTinRM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uromoneyExamples_FMforNQ_Day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rseSpreadsheets\CntrptyRiskEuromoneyOLD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uromoneyExamples_FMforNQ_Day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uromoneyExamples_FMforNQ_Day3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rseSpreadsheets\QTinRM3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StructuringandPricingCreditDerivs\CreditDerivsExamples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ple\Downloads\Chapter9%20(LARGE%20FILE)%20OLD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aple\Downloads\Chapter9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Y:\BNP_BasketCDOPricer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nterpartyRiskandCollateralManagement\PricingExamples03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Book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Jon%20Gregory\My%20Documents\MotivationalTraining\CourseSpreadsheets\econ422PresentValueProblems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rseSpreadsheets\BilateralCntrptyRiskCalcs2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jon\Documents\TrainingCourses\CounterpartyRiskandCollateralManagement\StructuringandPricingCreditDerivs\CreditDerivsExampl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fulExcelFormulas"/>
      <sheetName val="WCEandEPE"/>
      <sheetName val="WCEandEPEOverTime"/>
      <sheetName val="ExposureSimulation"/>
      <sheetName val="Netting"/>
      <sheetName val="IncrementalExposure"/>
      <sheetName val="EPEAllocation"/>
      <sheetName val="CollateralCalculation"/>
      <sheetName val="HaircutAnalysis"/>
      <sheetName val="CollateralandCorrelation"/>
      <sheetName val="CollateralExposureSimulation"/>
      <sheetName val="Liquidation"/>
      <sheetName val="LiquidationTimescale"/>
      <sheetName val="HedgingCVA"/>
      <sheetName val="ImpliedDefProb"/>
      <sheetName val="Exposure and Netting"/>
      <sheetName val="CVA"/>
      <sheetName val="SimpleWrongWay"/>
      <sheetName val="CDSCntrptyRisk"/>
      <sheetName val="CDSCntrptyRisk (2)"/>
    </sheetNames>
    <sheetDataSet>
      <sheetData sheetId="0" refreshError="1"/>
      <sheetData sheetId="1">
        <row r="11">
          <cell r="C11">
            <v>0.1</v>
          </cell>
        </row>
      </sheetData>
      <sheetData sheetId="2" refreshError="1"/>
      <sheetData sheetId="3">
        <row r="146">
          <cell r="F146">
            <v>5.6631545580165853E-4</v>
          </cell>
        </row>
      </sheetData>
      <sheetData sheetId="4" refreshError="1"/>
      <sheetData sheetId="5" refreshError="1"/>
      <sheetData sheetId="6" refreshError="1"/>
      <sheetData sheetId="7">
        <row r="15">
          <cell r="D15">
            <v>-0.65</v>
          </cell>
        </row>
        <row r="17">
          <cell r="D17">
            <v>0.05</v>
          </cell>
        </row>
        <row r="19">
          <cell r="C19">
            <v>12.2</v>
          </cell>
          <cell r="D19">
            <v>-12.2</v>
          </cell>
        </row>
        <row r="20">
          <cell r="D20">
            <v>0</v>
          </cell>
        </row>
        <row r="21">
          <cell r="C21" t="str">
            <v>YES</v>
          </cell>
          <cell r="D21" t="str">
            <v>NO</v>
          </cell>
        </row>
      </sheetData>
      <sheetData sheetId="8" refreshError="1"/>
      <sheetData sheetId="9">
        <row r="11">
          <cell r="C11">
            <v>0.5</v>
          </cell>
        </row>
        <row r="12">
          <cell r="C12">
            <v>0.05</v>
          </cell>
        </row>
        <row r="13">
          <cell r="C13">
            <v>0.05</v>
          </cell>
        </row>
        <row r="14">
          <cell r="C14">
            <v>0.05</v>
          </cell>
        </row>
        <row r="15">
          <cell r="C15">
            <v>0.05</v>
          </cell>
        </row>
      </sheetData>
      <sheetData sheetId="10">
        <row r="9">
          <cell r="C9">
            <v>1.1399999999999999</v>
          </cell>
        </row>
        <row r="12">
          <cell r="K12">
            <v>-7.6580927587681369E-4</v>
          </cell>
        </row>
        <row r="17">
          <cell r="C17">
            <v>0</v>
          </cell>
        </row>
        <row r="21">
          <cell r="E21">
            <v>9</v>
          </cell>
        </row>
        <row r="138">
          <cell r="K138">
            <v>0</v>
          </cell>
        </row>
        <row r="264">
          <cell r="K264">
            <v>-7.6580927587681369E-4</v>
          </cell>
        </row>
      </sheetData>
      <sheetData sheetId="11">
        <row r="12">
          <cell r="D12">
            <v>100</v>
          </cell>
        </row>
        <row r="13">
          <cell r="D13">
            <v>1000000</v>
          </cell>
        </row>
        <row r="14">
          <cell r="D14">
            <v>100000</v>
          </cell>
        </row>
        <row r="15">
          <cell r="D15">
            <v>2.5298221281347035E-2</v>
          </cell>
        </row>
        <row r="17">
          <cell r="D17">
            <v>1.5250027727343579E-5</v>
          </cell>
        </row>
      </sheetData>
      <sheetData sheetId="12">
        <row r="12">
          <cell r="D12">
            <v>100</v>
          </cell>
        </row>
        <row r="14">
          <cell r="D14">
            <v>1.5250027727343579E-5</v>
          </cell>
        </row>
        <row r="15">
          <cell r="D15">
            <v>1000000</v>
          </cell>
        </row>
        <row r="16">
          <cell r="D16">
            <v>2</v>
          </cell>
        </row>
        <row r="19">
          <cell r="D19">
            <v>7.6250138636717892</v>
          </cell>
        </row>
        <row r="20">
          <cell r="D20">
            <v>7625013.8636717889</v>
          </cell>
        </row>
        <row r="23">
          <cell r="D23">
            <v>0.25</v>
          </cell>
        </row>
        <row r="24">
          <cell r="D24">
            <v>1264911.0640673519</v>
          </cell>
        </row>
        <row r="25">
          <cell r="D25">
            <v>0.01</v>
          </cell>
        </row>
        <row r="26">
          <cell r="D26">
            <v>2942623.1647438207</v>
          </cell>
        </row>
      </sheetData>
      <sheetData sheetId="13">
        <row r="3">
          <cell r="B3">
            <v>-1.0465830851680291E-6</v>
          </cell>
        </row>
        <row r="4">
          <cell r="B4">
            <v>2.306426474863647E-3</v>
          </cell>
        </row>
        <row r="5">
          <cell r="AD5">
            <v>4.1244792338661976E-2</v>
          </cell>
        </row>
        <row r="6">
          <cell r="AD6">
            <v>4.1244792336812455E-2</v>
          </cell>
        </row>
        <row r="7">
          <cell r="B7">
            <v>0.04</v>
          </cell>
          <cell r="AD7">
            <v>4.1244792337798437E-2</v>
          </cell>
        </row>
        <row r="8">
          <cell r="AD8">
            <v>4.1244792337778544E-2</v>
          </cell>
        </row>
        <row r="9">
          <cell r="AD9">
            <v>4.2238341874438617E-2</v>
          </cell>
        </row>
        <row r="13">
          <cell r="B13">
            <v>0.26</v>
          </cell>
        </row>
        <row r="19">
          <cell r="B19">
            <v>500</v>
          </cell>
          <cell r="C19">
            <v>250</v>
          </cell>
        </row>
      </sheetData>
      <sheetData sheetId="14" refreshError="1"/>
      <sheetData sheetId="15"/>
      <sheetData sheetId="16" refreshError="1"/>
      <sheetData sheetId="17">
        <row r="13">
          <cell r="C13">
            <v>0</v>
          </cell>
        </row>
        <row r="14">
          <cell r="C14">
            <v>0.02</v>
          </cell>
        </row>
        <row r="15">
          <cell r="C15">
            <v>1</v>
          </cell>
        </row>
        <row r="18">
          <cell r="C18">
            <v>-2.0578695923363037</v>
          </cell>
        </row>
      </sheetData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ExposureSim"/>
      <sheetName val="Netting"/>
      <sheetName val="HistoricalDefProbs"/>
      <sheetName val="CDSStripper"/>
      <sheetName val="PFE and Netting"/>
      <sheetName val="CVA"/>
      <sheetName val="EPEAllocation"/>
      <sheetName val="Impact of PV"/>
      <sheetName val="CollateralMarginCall"/>
      <sheetName val="Portfolio"/>
      <sheetName val="MonteCarlo"/>
      <sheetName val="CDSCntrptyRisk"/>
      <sheetName val="SimpleWrongWay"/>
    </sheetNames>
    <sheetDataSet>
      <sheetData sheetId="0" refreshError="1"/>
      <sheetData sheetId="1" refreshError="1"/>
      <sheetData sheetId="2" refreshError="1">
        <row r="8">
          <cell r="D8">
            <v>5</v>
          </cell>
        </row>
        <row r="9">
          <cell r="D9">
            <v>10</v>
          </cell>
        </row>
      </sheetData>
      <sheetData sheetId="3" refreshError="1"/>
      <sheetData sheetId="4" refreshError="1">
        <row r="9">
          <cell r="C9" t="str">
            <v>Hazard Rate</v>
          </cell>
          <cell r="H9" t="str">
            <v>Error</v>
          </cell>
        </row>
        <row r="10">
          <cell r="L10">
            <v>1.6391422743333293E-2</v>
          </cell>
        </row>
      </sheetData>
      <sheetData sheetId="5" refreshError="1"/>
      <sheetData sheetId="6" refreshError="1">
        <row r="8">
          <cell r="D8">
            <v>3.7499999999999999E-2</v>
          </cell>
        </row>
        <row r="13">
          <cell r="C13">
            <v>0.05</v>
          </cell>
        </row>
      </sheetData>
      <sheetData sheetId="7" refreshError="1">
        <row r="7">
          <cell r="H7">
            <v>1</v>
          </cell>
        </row>
        <row r="11">
          <cell r="C11">
            <v>0</v>
          </cell>
        </row>
        <row r="19">
          <cell r="C19">
            <v>3.4165419432023327</v>
          </cell>
        </row>
        <row r="22">
          <cell r="C22">
            <v>-1.0229796438974148</v>
          </cell>
          <cell r="D22">
            <v>4.4427438893026583</v>
          </cell>
        </row>
        <row r="23">
          <cell r="C23">
            <v>3.4197642454052435</v>
          </cell>
        </row>
      </sheetData>
      <sheetData sheetId="8" refreshError="1">
        <row r="19">
          <cell r="C19">
            <v>3.6342645260068154E-2</v>
          </cell>
        </row>
      </sheetData>
      <sheetData sheetId="9" refreshError="1">
        <row r="6">
          <cell r="C6">
            <v>500000</v>
          </cell>
          <cell r="G6">
            <v>250000</v>
          </cell>
        </row>
        <row r="7">
          <cell r="C7">
            <v>0</v>
          </cell>
          <cell r="D7">
            <v>0</v>
          </cell>
          <cell r="G7">
            <v>10</v>
          </cell>
        </row>
        <row r="8">
          <cell r="D8">
            <v>100000000</v>
          </cell>
          <cell r="G8">
            <v>10121971</v>
          </cell>
        </row>
        <row r="9">
          <cell r="G9">
            <v>1000</v>
          </cell>
        </row>
        <row r="10">
          <cell r="C10">
            <v>100000</v>
          </cell>
          <cell r="D10">
            <v>100000</v>
          </cell>
        </row>
        <row r="12">
          <cell r="C12">
            <v>500000</v>
          </cell>
        </row>
        <row r="13">
          <cell r="C13">
            <v>0</v>
          </cell>
        </row>
        <row r="14">
          <cell r="C14" t="str">
            <v>NO</v>
          </cell>
        </row>
      </sheetData>
      <sheetData sheetId="10" refreshError="1">
        <row r="8">
          <cell r="D8">
            <v>-1.795495199122906</v>
          </cell>
          <cell r="E8">
            <v>10</v>
          </cell>
          <cell r="F8">
            <v>15</v>
          </cell>
          <cell r="G8">
            <v>12.266794707366055</v>
          </cell>
          <cell r="J8">
            <v>0.99</v>
          </cell>
        </row>
        <row r="9">
          <cell r="J9">
            <v>1</v>
          </cell>
        </row>
        <row r="10">
          <cell r="J10">
            <v>100</v>
          </cell>
        </row>
        <row r="11">
          <cell r="J11">
            <v>0.1</v>
          </cell>
        </row>
      </sheetData>
      <sheetData sheetId="11" refreshError="1">
        <row r="8">
          <cell r="C8">
            <v>10000</v>
          </cell>
        </row>
        <row r="9">
          <cell r="C9">
            <v>5748594</v>
          </cell>
        </row>
      </sheetData>
      <sheetData sheetId="12" refreshError="1">
        <row r="7">
          <cell r="C7">
            <v>0.02</v>
          </cell>
        </row>
        <row r="8">
          <cell r="C8">
            <v>0.01</v>
          </cell>
        </row>
        <row r="9">
          <cell r="C9">
            <v>0.5</v>
          </cell>
        </row>
        <row r="10">
          <cell r="C10">
            <v>0.4</v>
          </cell>
        </row>
        <row r="13">
          <cell r="C13">
            <v>0.15351827510938598</v>
          </cell>
        </row>
        <row r="14">
          <cell r="C14">
            <v>7.9955585370676707E-2</v>
          </cell>
        </row>
      </sheetData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BondConvexity"/>
      <sheetName val="HistoricalDefProbs"/>
      <sheetName val="CDSStripper"/>
      <sheetName val="Merton"/>
      <sheetName val="CreditGrades"/>
      <sheetName val="CreditGradesFordExample"/>
      <sheetName val="TradingStrategy"/>
      <sheetName val="TreePricer"/>
      <sheetName val="UnderlyingValueTree"/>
      <sheetName val="OptionPriceTree"/>
      <sheetName val="HedgingSimulation"/>
      <sheetName val="CB_CSA_Examples1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>
        <row r="9">
          <cell r="C9">
            <v>0.57899999999999996</v>
          </cell>
        </row>
      </sheetData>
      <sheetData sheetId="6" refreshError="1"/>
      <sheetData sheetId="7">
        <row r="8">
          <cell r="C8">
            <v>2.19</v>
          </cell>
        </row>
        <row r="9">
          <cell r="C9">
            <v>937.19433315766491</v>
          </cell>
        </row>
        <row r="10">
          <cell r="C10">
            <v>20</v>
          </cell>
        </row>
      </sheetData>
      <sheetData sheetId="8">
        <row r="9">
          <cell r="C9" t="str">
            <v>Put</v>
          </cell>
        </row>
        <row r="10">
          <cell r="C10">
            <v>500</v>
          </cell>
        </row>
        <row r="11">
          <cell r="C11" t="str">
            <v>No</v>
          </cell>
        </row>
        <row r="14">
          <cell r="C14">
            <v>20</v>
          </cell>
        </row>
        <row r="18">
          <cell r="C18">
            <v>0.04</v>
          </cell>
        </row>
        <row r="22">
          <cell r="C22">
            <v>5.3165227466956866</v>
          </cell>
        </row>
        <row r="25">
          <cell r="C25">
            <v>24.428055163203396</v>
          </cell>
        </row>
        <row r="26">
          <cell r="C26">
            <v>0.17185624377065137</v>
          </cell>
        </row>
        <row r="27">
          <cell r="C27">
            <v>-0.27535735172930664</v>
          </cell>
        </row>
      </sheetData>
      <sheetData sheetId="9"/>
      <sheetData sheetId="10"/>
      <sheetData sheetId="11">
        <row r="4">
          <cell r="R4" t="str">
            <v>Simulation Results</v>
          </cell>
        </row>
        <row r="10">
          <cell r="L10">
            <v>1.7484008127580757</v>
          </cell>
        </row>
      </sheetData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UsefulExcelFormulas"/>
      <sheetName val="BinomialVsNormal"/>
      <sheetName val="RandomVariables"/>
      <sheetName val="CoherentRiskMeasuresExample"/>
      <sheetName val="ExponentialDampingEstimate"/>
      <sheetName val="TwoAssetsEfficientFrontier"/>
      <sheetName val="OptionPricer"/>
      <sheetName val="HedgingSimulation"/>
    </sheetNames>
    <sheetDataSet>
      <sheetData sheetId="0" refreshError="1"/>
      <sheetData sheetId="1" refreshError="1"/>
      <sheetData sheetId="2" refreshError="1">
        <row r="6">
          <cell r="C6">
            <v>0.1</v>
          </cell>
        </row>
        <row r="7">
          <cell r="C7">
            <v>100</v>
          </cell>
        </row>
      </sheetData>
      <sheetData sheetId="3" refreshError="1"/>
      <sheetData sheetId="4" refreshError="1">
        <row r="7">
          <cell r="I7">
            <v>5</v>
          </cell>
        </row>
        <row r="8">
          <cell r="I8">
            <v>10</v>
          </cell>
        </row>
        <row r="9">
          <cell r="I9">
            <v>2.5000000000000001E-2</v>
          </cell>
        </row>
      </sheetData>
      <sheetData sheetId="5" refreshError="1">
        <row r="6">
          <cell r="C6">
            <v>0.97</v>
          </cell>
        </row>
      </sheetData>
      <sheetData sheetId="6" refreshError="1">
        <row r="7">
          <cell r="C7">
            <v>0.05</v>
          </cell>
        </row>
        <row r="8">
          <cell r="C8">
            <v>0.1</v>
          </cell>
        </row>
      </sheetData>
      <sheetData sheetId="7" refreshError="1">
        <row r="7">
          <cell r="C7">
            <v>125</v>
          </cell>
        </row>
        <row r="8">
          <cell r="C8">
            <v>125</v>
          </cell>
        </row>
        <row r="9">
          <cell r="C9">
            <v>0.05</v>
          </cell>
        </row>
        <row r="20">
          <cell r="C20">
            <v>50</v>
          </cell>
        </row>
        <row r="21">
          <cell r="C21">
            <v>20</v>
          </cell>
        </row>
      </sheetData>
      <sheetData sheetId="8" refreshError="1">
        <row r="7">
          <cell r="C7">
            <v>100</v>
          </cell>
          <cell r="G7">
            <v>0.1</v>
          </cell>
        </row>
        <row r="8">
          <cell r="G8">
            <v>0.25</v>
          </cell>
        </row>
        <row r="9">
          <cell r="C9">
            <v>0</v>
          </cell>
          <cell r="G9">
            <v>4.0000000000000001E-3</v>
          </cell>
        </row>
        <row r="10">
          <cell r="C10">
            <v>0.25</v>
          </cell>
        </row>
        <row r="14">
          <cell r="C14">
            <v>0.125</v>
          </cell>
        </row>
        <row r="15">
          <cell r="C15">
            <v>-0.125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V functions"/>
      <sheetName val="YieldExample"/>
      <sheetName val="Bond Price with Excel"/>
      <sheetName val="TwoAssetsEfficientFrontier"/>
      <sheetName val="MeanVariance"/>
      <sheetName val="ValueAtRiskExample"/>
    </sheetNames>
    <sheetDataSet>
      <sheetData sheetId="0" refreshError="1"/>
      <sheetData sheetId="1">
        <row r="2">
          <cell r="C2">
            <v>95</v>
          </cell>
        </row>
        <row r="3">
          <cell r="C3">
            <v>0.06</v>
          </cell>
        </row>
        <row r="4">
          <cell r="C4">
            <v>0.05</v>
          </cell>
        </row>
      </sheetData>
      <sheetData sheetId="2">
        <row r="12">
          <cell r="B12">
            <v>0.1</v>
          </cell>
        </row>
        <row r="13">
          <cell r="B13">
            <v>0.15</v>
          </cell>
        </row>
        <row r="14">
          <cell r="B14">
            <v>37453</v>
          </cell>
        </row>
        <row r="15">
          <cell r="B15">
            <v>1</v>
          </cell>
        </row>
        <row r="16">
          <cell r="B16">
            <v>41744</v>
          </cell>
        </row>
        <row r="18">
          <cell r="B18">
            <v>11.747945205479452</v>
          </cell>
        </row>
        <row r="19">
          <cell r="B19">
            <v>37726</v>
          </cell>
        </row>
        <row r="23">
          <cell r="B23">
            <v>72.99011296894129</v>
          </cell>
        </row>
        <row r="24">
          <cell r="B24">
            <v>2.5205479452054798</v>
          </cell>
        </row>
        <row r="25">
          <cell r="B25">
            <v>75.510660914146769</v>
          </cell>
        </row>
        <row r="27">
          <cell r="B27">
            <v>5.6299835873505106</v>
          </cell>
        </row>
        <row r="58">
          <cell r="B58">
            <v>0.5</v>
          </cell>
        </row>
      </sheetData>
      <sheetData sheetId="3" refreshError="1"/>
      <sheetData sheetId="4">
        <row r="3">
          <cell r="C3">
            <v>0.25</v>
          </cell>
          <cell r="D3">
            <v>0.05</v>
          </cell>
          <cell r="E3">
            <v>0.05</v>
          </cell>
          <cell r="L3">
            <v>1</v>
          </cell>
        </row>
        <row r="4">
          <cell r="C4">
            <v>0.25</v>
          </cell>
          <cell r="D4">
            <v>7.4999999999999997E-2</v>
          </cell>
          <cell r="E4">
            <v>0.08</v>
          </cell>
          <cell r="L4">
            <v>1</v>
          </cell>
        </row>
        <row r="5">
          <cell r="C5">
            <v>0.25</v>
          </cell>
          <cell r="D5">
            <v>0.1</v>
          </cell>
          <cell r="E5">
            <v>0.1</v>
          </cell>
          <cell r="L5">
            <v>1</v>
          </cell>
        </row>
        <row r="6">
          <cell r="C6">
            <v>0.25</v>
          </cell>
          <cell r="D6">
            <v>0.2</v>
          </cell>
          <cell r="E6">
            <v>0.3</v>
          </cell>
          <cell r="L6">
            <v>1</v>
          </cell>
        </row>
        <row r="11">
          <cell r="G11">
            <v>1066.6666666666706</v>
          </cell>
          <cell r="H11">
            <v>333.3333333333357</v>
          </cell>
          <cell r="I11">
            <v>-800.00000000000477</v>
          </cell>
          <cell r="J11">
            <v>-266.66666666666856</v>
          </cell>
        </row>
        <row r="12">
          <cell r="G12">
            <v>333.33333333333451</v>
          </cell>
          <cell r="H12">
            <v>416.66666666666737</v>
          </cell>
          <cell r="I12">
            <v>-500.00000000000153</v>
          </cell>
          <cell r="J12">
            <v>-166.66666666666708</v>
          </cell>
        </row>
        <row r="13">
          <cell r="G13">
            <v>-800.00000000000318</v>
          </cell>
          <cell r="H13">
            <v>-500.00000000000188</v>
          </cell>
          <cell r="I13">
            <v>1028.5714285714325</v>
          </cell>
          <cell r="J13">
            <v>323.8095238095251</v>
          </cell>
        </row>
        <row r="14">
          <cell r="G14">
            <v>-266.66666666666771</v>
          </cell>
          <cell r="H14">
            <v>-166.66666666666728</v>
          </cell>
          <cell r="I14">
            <v>323.8095238095251</v>
          </cell>
          <cell r="J14">
            <v>114.28571428571472</v>
          </cell>
        </row>
        <row r="17">
          <cell r="O17">
            <v>29.107142857142875</v>
          </cell>
        </row>
        <row r="18">
          <cell r="G18">
            <v>0.70351758793969799</v>
          </cell>
          <cell r="J18">
            <v>0.10630000000000001</v>
          </cell>
          <cell r="K18">
            <v>0.26362532637075564</v>
          </cell>
          <cell r="O18">
            <v>9.4866071428571708</v>
          </cell>
        </row>
        <row r="19">
          <cell r="G19">
            <v>0.17587939698492436</v>
          </cell>
          <cell r="K19">
            <v>-6.0369886858137572E-2</v>
          </cell>
          <cell r="O19">
            <v>473.80952380952374</v>
          </cell>
        </row>
        <row r="20">
          <cell r="G20">
            <v>0.11055276381909603</v>
          </cell>
          <cell r="K20">
            <v>0.61702436901653646</v>
          </cell>
          <cell r="O20">
            <v>3647.6190476190595</v>
          </cell>
        </row>
        <row r="21">
          <cell r="G21">
            <v>1.0050251256281614E-2</v>
          </cell>
          <cell r="K21">
            <v>0.17972019147084439</v>
          </cell>
        </row>
        <row r="23">
          <cell r="O23">
            <v>1.7525179503916461E-3</v>
          </cell>
        </row>
        <row r="32">
          <cell r="C32">
            <v>5.4219927371326176E-3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"/>
      <sheetName val="MonteCarlo"/>
      <sheetName val="Information"/>
      <sheetName val="ExposureSim"/>
      <sheetName val="Netting"/>
      <sheetName val="PFE and Netting"/>
      <sheetName val="Impact of PV"/>
      <sheetName val="EPEAllocation"/>
      <sheetName val="CollateralMarginCall"/>
      <sheetName val="CVA"/>
      <sheetName val="CDSCntrptyRisk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Formulas"/>
      <sheetName val="VarCovarFormulas"/>
      <sheetName val="SimpleCovarianceWithWeights"/>
      <sheetName val="SimpleIntegration"/>
      <sheetName val="RandomVariablesandCorrelation"/>
    </sheetNames>
    <sheetDataSet>
      <sheetData sheetId="0" refreshError="1"/>
      <sheetData sheetId="1" refreshError="1"/>
      <sheetData sheetId="2">
        <row r="3">
          <cell r="J3">
            <v>0.5</v>
          </cell>
          <cell r="K3">
            <v>0.5</v>
          </cell>
        </row>
        <row r="6">
          <cell r="C6">
            <v>0.1</v>
          </cell>
        </row>
        <row r="7">
          <cell r="C7">
            <v>0.1</v>
          </cell>
        </row>
      </sheetData>
      <sheetData sheetId="3">
        <row r="2">
          <cell r="C2">
            <v>2</v>
          </cell>
        </row>
        <row r="3">
          <cell r="C3">
            <v>3</v>
          </cell>
        </row>
        <row r="4">
          <cell r="C4">
            <v>100</v>
          </cell>
        </row>
      </sheetData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ackScholesFormula"/>
      <sheetName val="Formulas"/>
      <sheetName val="MonteCarlo"/>
      <sheetName val="ControlVariate"/>
      <sheetName val="RandomNumbers"/>
    </sheetNames>
    <sheetDataSet>
      <sheetData sheetId="0"/>
      <sheetData sheetId="1"/>
      <sheetData sheetId="2">
        <row r="3">
          <cell r="C3">
            <v>100</v>
          </cell>
          <cell r="F3">
            <v>10</v>
          </cell>
        </row>
        <row r="4">
          <cell r="C4">
            <v>100</v>
          </cell>
          <cell r="F4">
            <v>1000</v>
          </cell>
        </row>
        <row r="5">
          <cell r="C5">
            <v>0.05</v>
          </cell>
          <cell r="F5">
            <v>0.1</v>
          </cell>
        </row>
        <row r="6">
          <cell r="C6">
            <v>1</v>
          </cell>
          <cell r="F6">
            <v>1.001876758911648</v>
          </cell>
        </row>
        <row r="7">
          <cell r="C7">
            <v>0.25</v>
          </cell>
          <cell r="F7">
            <v>7.9056941504209485E-2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Portfolio"/>
      <sheetName val="MonteCarlo"/>
      <sheetName val="HomogeneousApproximation"/>
      <sheetName val="ConditionalNormalApproximation"/>
      <sheetName val="Recursion"/>
      <sheetName val="Compare"/>
      <sheetName val="IntegrationPoints"/>
    </sheetNames>
    <sheetDataSet>
      <sheetData sheetId="0" refreshError="1"/>
      <sheetData sheetId="1" refreshError="1"/>
      <sheetData sheetId="2" refreshError="1"/>
      <sheetData sheetId="3">
        <row r="6">
          <cell r="C6">
            <v>100</v>
          </cell>
        </row>
        <row r="7">
          <cell r="C7">
            <v>110</v>
          </cell>
        </row>
        <row r="16">
          <cell r="C16">
            <v>15.210083301374098</v>
          </cell>
        </row>
        <row r="17">
          <cell r="C17">
            <v>94.789916698625916</v>
          </cell>
        </row>
        <row r="23">
          <cell r="C23">
            <v>8.0293242543474475E-2</v>
          </cell>
        </row>
        <row r="24">
          <cell r="C24">
            <v>0.82704839804623798</v>
          </cell>
        </row>
        <row r="25">
          <cell r="C25">
            <v>4.3602716212886605</v>
          </cell>
        </row>
      </sheetData>
      <sheetData sheetId="4">
        <row r="6">
          <cell r="C6">
            <v>100</v>
          </cell>
        </row>
        <row r="7">
          <cell r="C7">
            <v>0.5</v>
          </cell>
        </row>
        <row r="8">
          <cell r="C8">
            <v>0.3</v>
          </cell>
        </row>
        <row r="9">
          <cell r="C9">
            <v>0.5</v>
          </cell>
        </row>
        <row r="10">
          <cell r="C10">
            <v>100</v>
          </cell>
        </row>
        <row r="11">
          <cell r="C11">
            <v>5</v>
          </cell>
        </row>
        <row r="14">
          <cell r="C14">
            <v>0.33333333333333331</v>
          </cell>
        </row>
        <row r="15">
          <cell r="C15">
            <v>0.80346471954626331</v>
          </cell>
        </row>
        <row r="16">
          <cell r="C16">
            <v>3.2825228511156315</v>
          </cell>
        </row>
      </sheetData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  <sheetName val="Bespoke"/>
    </sheetNames>
    <sheetDataSet>
      <sheetData sheetId="0"/>
      <sheetData sheetId="1"/>
      <sheetData sheetId="2"/>
      <sheetData sheetId="3"/>
      <sheetData sheetId="4"/>
      <sheetData sheetId="5" refreshError="1">
        <row r="8">
          <cell r="D8">
            <v>0.6</v>
          </cell>
        </row>
      </sheetData>
      <sheetData sheetId="6" refreshError="1">
        <row r="8">
          <cell r="D8">
            <v>110</v>
          </cell>
        </row>
        <row r="10">
          <cell r="D10">
            <v>4.3</v>
          </cell>
        </row>
      </sheetData>
      <sheetData sheetId="7" refreshError="1">
        <row r="7">
          <cell r="I7">
            <v>0.4</v>
          </cell>
        </row>
        <row r="10">
          <cell r="I10">
            <v>146.43600646972706</v>
          </cell>
        </row>
      </sheetData>
      <sheetData sheetId="8"/>
      <sheetData sheetId="9"/>
      <sheetData sheetId="10"/>
      <sheetData sheetId="11"/>
      <sheetData sheetId="1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heet9.2"/>
      <sheetName val="Spreadsheet9.3"/>
      <sheetName val="Spreadsheet9.4"/>
      <sheetName val="Spreadsheet9.5"/>
      <sheetName val="Spreadsheet9.6"/>
    </sheetNames>
    <sheetDataSet>
      <sheetData sheetId="0">
        <row r="24">
          <cell r="D24">
            <v>1</v>
          </cell>
        </row>
      </sheetData>
      <sheetData sheetId="1" refreshError="1"/>
      <sheetData sheetId="2" refreshError="1"/>
      <sheetData sheetId="3">
        <row r="10">
          <cell r="E10" t="b">
            <v>1</v>
          </cell>
        </row>
      </sheetData>
      <sheetData sheetId="4">
        <row r="16">
          <cell r="H16">
            <v>4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readsheet9.1"/>
      <sheetName val="Spreadsheet9.2"/>
      <sheetName val="Spreadsheet9.3"/>
      <sheetName val="Spreadsheet9.4"/>
      <sheetName val="Spreadsheet9.5"/>
      <sheetName val="Spreadsheet9.6"/>
    </sheetNames>
    <sheetDataSet>
      <sheetData sheetId="0"/>
      <sheetData sheetId="1">
        <row r="15">
          <cell r="E15" t="b">
            <v>0</v>
          </cell>
        </row>
        <row r="30">
          <cell r="D30">
            <v>3</v>
          </cell>
        </row>
      </sheetData>
      <sheetData sheetId="2"/>
      <sheetData sheetId="3"/>
      <sheetData sheetId="4">
        <row r="10">
          <cell r="E10" t="b">
            <v>1</v>
          </cell>
        </row>
      </sheetData>
      <sheetData sheetId="5">
        <row r="16">
          <cell r="G16">
            <v>1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claimer"/>
      <sheetName val="Basket"/>
      <sheetName val="CDO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ketPricer"/>
      <sheetName val="CDSStripper"/>
      <sheetName val="IndexBasis"/>
      <sheetName val="DefTime"/>
      <sheetName val="NumDefaults"/>
      <sheetName val="Survival"/>
      <sheetName val="Mapping"/>
    </sheetNames>
    <sheetDataSet>
      <sheetData sheetId="0"/>
      <sheetData sheetId="1" refreshError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Sheet1"/>
      <sheetName val="Sheet2"/>
      <sheetName val="Sheet3"/>
    </sheetNames>
    <sheetDataSet>
      <sheetData sheetId="0">
        <row r="4">
          <cell r="D4">
            <v>0.1</v>
          </cell>
        </row>
      </sheetData>
      <sheetData sheetId="1"/>
      <sheetData sheetId="2"/>
      <sheetData sheetId="3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 Problems"/>
      <sheetName val="PV functions"/>
      <sheetName val="Sheet3"/>
    </sheetNames>
    <sheetDataSet>
      <sheetData sheetId="0">
        <row r="39">
          <cell r="G39">
            <v>10000000</v>
          </cell>
          <cell r="H39">
            <v>0.05</v>
          </cell>
          <cell r="J39">
            <v>5</v>
          </cell>
        </row>
      </sheetData>
      <sheetData sheetId="1" refreshError="1"/>
      <sheetData sheetId="2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ndomNumbers"/>
      <sheetName val="RandomVariables"/>
      <sheetName val="Sheet1"/>
      <sheetName val="Sheet2"/>
      <sheetName val="Exposure"/>
      <sheetName val="Sheet3"/>
      <sheetName val="Sheet4"/>
      <sheetName val="Credit"/>
      <sheetName val="Results"/>
      <sheetName val="Batch"/>
    </sheetNames>
    <sheetDataSet>
      <sheetData sheetId="0">
        <row r="4">
          <cell r="B4">
            <v>0.1668250983026931</v>
          </cell>
          <cell r="H4">
            <v>-0.19375268532755768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rmation"/>
      <sheetName val="HistoricalDefProbs"/>
      <sheetName val="RecoveryRates"/>
      <sheetName val="Merton"/>
      <sheetName val="CreditGrades"/>
      <sheetName val="BaselIIFormula"/>
      <sheetName val="BlackModel"/>
      <sheetName val="IndexBasis"/>
      <sheetName val="BasketMC"/>
      <sheetName val="BasketAnalytical"/>
      <sheetName val="CDSStripper"/>
      <sheetName val="BaseCorrelation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 refreshError="1"/>
      <sheetData sheetId="9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FA54-57E1-49D6-BB07-C11EED4EDE4A}">
  <sheetPr codeName="Sheet7"/>
  <dimension ref="A2:B4"/>
  <sheetViews>
    <sheetView workbookViewId="0">
      <selection activeCell="B5" sqref="B5"/>
    </sheetView>
  </sheetViews>
  <sheetFormatPr defaultRowHeight="14.5" x14ac:dyDescent="0.35"/>
  <cols>
    <col min="1" max="1" width="9" bestFit="1" customWidth="1"/>
    <col min="2" max="2" width="12.08984375" bestFit="1" customWidth="1"/>
  </cols>
  <sheetData>
    <row r="2" spans="1:2" x14ac:dyDescent="0.35">
      <c r="A2" t="s">
        <v>42</v>
      </c>
      <c r="B2" t="s">
        <v>141</v>
      </c>
    </row>
    <row r="3" spans="1:2" x14ac:dyDescent="0.35">
      <c r="A3" t="s">
        <v>44</v>
      </c>
      <c r="B3" t="s">
        <v>142</v>
      </c>
    </row>
    <row r="4" spans="1:2" x14ac:dyDescent="0.35">
      <c r="A4" t="s">
        <v>43</v>
      </c>
      <c r="B4" t="s">
        <v>143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B8654-8F76-4847-B89B-B4A9938B940A}">
  <sheetPr codeName="Sheet8"/>
  <dimension ref="A1"/>
  <sheetViews>
    <sheetView workbookViewId="0">
      <selection activeCell="C15" sqref="C15"/>
    </sheetView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DDFEE1-D280-410D-B847-5225EF8C29A8}">
  <sheetPr codeName="Sheet1"/>
  <dimension ref="A1:Y23"/>
  <sheetViews>
    <sheetView topLeftCell="L1" zoomScale="85" zoomScaleNormal="85" workbookViewId="0">
      <selection activeCell="Y9" sqref="Y9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7.36328125" style="1" bestFit="1" customWidth="1"/>
    <col min="12" max="12" width="10.7265625" style="1" bestFit="1" customWidth="1"/>
    <col min="13" max="13" width="13.81640625" style="1" bestFit="1" customWidth="1"/>
    <col min="14" max="14" width="15.453125" style="1" bestFit="1" customWidth="1"/>
    <col min="15" max="17" width="13.26953125" style="1" customWidth="1"/>
    <col min="18" max="24" width="15.54296875" style="1" customWidth="1"/>
    <col min="25" max="16384" width="8.7265625" style="1"/>
  </cols>
  <sheetData>
    <row r="1" spans="1:25" ht="40" customHeight="1" x14ac:dyDescent="0.35"/>
    <row r="2" spans="1:25" ht="15" thickBot="1" x14ac:dyDescent="0.4"/>
    <row r="3" spans="1:25" ht="15" thickBot="1" x14ac:dyDescent="0.4">
      <c r="A3" s="2" t="s">
        <v>0</v>
      </c>
      <c r="B3" s="3">
        <v>43811</v>
      </c>
      <c r="G3" s="4"/>
      <c r="H3" s="5"/>
      <c r="I3" s="5"/>
      <c r="J3" s="6"/>
    </row>
    <row r="4" spans="1:25" ht="15" thickBot="1" x14ac:dyDescent="0.4">
      <c r="G4" s="7"/>
      <c r="H4" s="8"/>
      <c r="I4" s="8"/>
      <c r="J4" s="9"/>
    </row>
    <row r="5" spans="1:25" ht="15" thickBot="1" x14ac:dyDescent="0.4">
      <c r="A5" s="2" t="s">
        <v>41</v>
      </c>
      <c r="B5" s="3" t="s">
        <v>44</v>
      </c>
      <c r="G5" s="7" t="s">
        <v>23</v>
      </c>
      <c r="H5" s="8"/>
      <c r="I5" s="8" t="s">
        <v>9</v>
      </c>
      <c r="J5" s="11">
        <v>1</v>
      </c>
    </row>
    <row r="6" spans="1:25" x14ac:dyDescent="0.35">
      <c r="B6" s="10"/>
      <c r="G6" s="7" t="s">
        <v>3</v>
      </c>
      <c r="H6" s="8"/>
      <c r="I6" s="8" t="s">
        <v>4</v>
      </c>
      <c r="J6" s="11">
        <v>0.35</v>
      </c>
    </row>
    <row r="7" spans="1:25" ht="15" thickBot="1" x14ac:dyDescent="0.4">
      <c r="G7" s="12" t="s">
        <v>5</v>
      </c>
      <c r="H7" s="13"/>
      <c r="I7" s="13" t="s">
        <v>6</v>
      </c>
      <c r="J7" s="14">
        <v>0.65</v>
      </c>
    </row>
    <row r="8" spans="1:25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25" ht="14.5" customHeight="1" x14ac:dyDescent="0.35">
      <c r="A9" s="26" t="s">
        <v>7</v>
      </c>
      <c r="B9" s="26" t="s">
        <v>8</v>
      </c>
      <c r="C9" s="33" t="s">
        <v>13</v>
      </c>
      <c r="D9" s="37" t="s">
        <v>30</v>
      </c>
      <c r="E9" s="38" t="s">
        <v>10</v>
      </c>
      <c r="F9" s="17" t="s">
        <v>12</v>
      </c>
      <c r="G9" s="27" t="s">
        <v>18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24</v>
      </c>
      <c r="M9" s="27" t="s">
        <v>25</v>
      </c>
      <c r="N9" s="27" t="s">
        <v>26</v>
      </c>
      <c r="O9" s="27" t="s">
        <v>27</v>
      </c>
      <c r="P9" s="27" t="s">
        <v>28</v>
      </c>
      <c r="Q9" s="27" t="s">
        <v>29</v>
      </c>
      <c r="R9" s="27" t="s">
        <v>39</v>
      </c>
      <c r="S9" s="27" t="s">
        <v>36</v>
      </c>
      <c r="T9" s="27" t="s">
        <v>38</v>
      </c>
      <c r="U9" s="27" t="s">
        <v>38</v>
      </c>
      <c r="V9" s="27" t="s">
        <v>37</v>
      </c>
      <c r="W9" s="27" t="s">
        <v>40</v>
      </c>
      <c r="X9" s="27" t="s">
        <v>45</v>
      </c>
      <c r="Y9" s="27" t="s">
        <v>80</v>
      </c>
    </row>
    <row r="10" spans="1:25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0">
        <v>0.35</v>
      </c>
      <c r="F10" s="23">
        <f>(B10-$B$3)/365</f>
        <v>3.0136986301369864E-2</v>
      </c>
      <c r="G10" s="28">
        <f t="shared" ref="G10:G21" si="0">DAY(EOMONTH(B10,0))</f>
        <v>31</v>
      </c>
      <c r="H10" s="29" t="s">
        <v>9</v>
      </c>
      <c r="I10" s="30">
        <v>1</v>
      </c>
      <c r="J10" s="31">
        <v>0</v>
      </c>
      <c r="K10" s="1">
        <v>1</v>
      </c>
      <c r="L10" s="32">
        <v>0.30659208897466961</v>
      </c>
      <c r="M10" s="32">
        <v>-2.2000000000000028</v>
      </c>
      <c r="N10" s="32">
        <v>2.5065920889746724</v>
      </c>
      <c r="O10" s="32">
        <v>0.21439072444878801</v>
      </c>
      <c r="P10" s="32">
        <v>2.1617026537832378</v>
      </c>
      <c r="Q10" s="32">
        <v>0.21439072444878801</v>
      </c>
      <c r="R10" s="32"/>
    </row>
    <row r="11" spans="1:25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0">
        <f>20%+(E10-20%)*0.95</f>
        <v>0.34249999999999997</v>
      </c>
      <c r="F11" s="23">
        <f>(B11-$B$3)/365</f>
        <v>0.11506849315068493</v>
      </c>
      <c r="G11" s="28">
        <f t="shared" si="0"/>
        <v>31</v>
      </c>
      <c r="H11" s="29" t="s">
        <v>9</v>
      </c>
      <c r="I11" s="30">
        <v>1</v>
      </c>
      <c r="J11" s="31">
        <v>0</v>
      </c>
      <c r="K11" s="1">
        <v>1</v>
      </c>
      <c r="L11" s="32">
        <v>2.4981571281570432</v>
      </c>
      <c r="M11" s="32">
        <v>0.75</v>
      </c>
      <c r="N11" s="32">
        <v>1.7481571281570432</v>
      </c>
      <c r="O11" s="32">
        <v>0.5792485665200483</v>
      </c>
      <c r="P11" s="32">
        <v>6.0682235801890245</v>
      </c>
      <c r="Q11" s="32">
        <v>0.5792485665200483</v>
      </c>
      <c r="R11" s="32"/>
    </row>
    <row r="12" spans="1:25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0">
        <f t="shared" ref="E12:E21" si="2">20%+(E11-20%)*0.95</f>
        <v>0.33537499999999998</v>
      </c>
      <c r="F12" s="23">
        <f t="shared" ref="F12:F21" si="3">(B12-$B$3)/365</f>
        <v>0.19178082191780821</v>
      </c>
      <c r="G12" s="28">
        <f t="shared" si="0"/>
        <v>29</v>
      </c>
      <c r="H12" s="29" t="s">
        <v>9</v>
      </c>
      <c r="I12" s="30">
        <v>1</v>
      </c>
      <c r="J12" s="31">
        <v>0</v>
      </c>
      <c r="K12" s="1">
        <v>1</v>
      </c>
      <c r="L12" s="32">
        <v>1.2874771742439801</v>
      </c>
      <c r="M12" s="32">
        <v>-3.1000000000000014</v>
      </c>
      <c r="N12" s="32">
        <v>4.3874771742439815</v>
      </c>
      <c r="O12" s="32">
        <v>0.34004332970466283</v>
      </c>
      <c r="P12" s="32">
        <v>6.7230131573909446</v>
      </c>
      <c r="Q12" s="32">
        <v>0.34004332970466283</v>
      </c>
      <c r="R12" s="32"/>
    </row>
    <row r="13" spans="1:25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0">
        <f t="shared" si="2"/>
        <v>0.32860624999999999</v>
      </c>
      <c r="F13" s="23">
        <f t="shared" si="3"/>
        <v>0.27945205479452057</v>
      </c>
      <c r="G13" s="28">
        <f t="shared" si="0"/>
        <v>31</v>
      </c>
      <c r="H13" s="29" t="s">
        <v>9</v>
      </c>
      <c r="I13" s="30">
        <v>1</v>
      </c>
      <c r="J13" s="31">
        <v>0</v>
      </c>
      <c r="K13" s="1">
        <v>1</v>
      </c>
      <c r="L13" s="32">
        <v>1.0226367095337494</v>
      </c>
      <c r="M13" s="32">
        <v>-5.25</v>
      </c>
      <c r="N13" s="32">
        <v>6.2726367095337494</v>
      </c>
      <c r="O13" s="32">
        <v>0.26532224718325781</v>
      </c>
      <c r="P13" s="32">
        <v>6.8857356286948477</v>
      </c>
      <c r="Q13" s="32">
        <v>0.26532224718325781</v>
      </c>
      <c r="R13" s="32"/>
    </row>
    <row r="14" spans="1:25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0">
        <f t="shared" si="2"/>
        <v>0.32217593749999995</v>
      </c>
      <c r="F14" s="23">
        <f t="shared" si="3"/>
        <v>0.36164383561643837</v>
      </c>
      <c r="G14" s="28">
        <f t="shared" si="0"/>
        <v>30</v>
      </c>
      <c r="H14" s="29" t="s">
        <v>9</v>
      </c>
      <c r="I14" s="30">
        <v>1</v>
      </c>
      <c r="J14" s="31">
        <v>0</v>
      </c>
      <c r="K14" s="1">
        <v>1</v>
      </c>
      <c r="L14" s="32">
        <v>1.2904818593643768</v>
      </c>
      <c r="M14" s="32">
        <v>-5.25</v>
      </c>
      <c r="N14" s="32">
        <v>6.5404818593643768</v>
      </c>
      <c r="O14" s="32">
        <v>0.2934770428139023</v>
      </c>
      <c r="P14" s="32">
        <v>8.227302160599919</v>
      </c>
      <c r="Q14" s="32">
        <v>0.2934770428139023</v>
      </c>
      <c r="R14" s="32"/>
    </row>
    <row r="15" spans="1:25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0">
        <f>20%+(E14-20%)*0.95</f>
        <v>0.31606714062499996</v>
      </c>
      <c r="F15" s="23">
        <f t="shared" si="3"/>
        <v>0.44109589041095892</v>
      </c>
      <c r="G15" s="28">
        <f t="shared" si="0"/>
        <v>31</v>
      </c>
      <c r="H15" s="29" t="s">
        <v>9</v>
      </c>
      <c r="I15" s="30">
        <v>1</v>
      </c>
      <c r="J15" s="31">
        <v>0</v>
      </c>
      <c r="K15" s="1">
        <v>1</v>
      </c>
      <c r="L15" s="32">
        <v>1.5151422182784557</v>
      </c>
      <c r="M15" s="32">
        <v>-5.25</v>
      </c>
      <c r="N15" s="32">
        <v>6.7651422182784557</v>
      </c>
      <c r="O15" s="32">
        <v>0.31351890258855569</v>
      </c>
      <c r="P15" s="32">
        <v>9.3587220485344247</v>
      </c>
      <c r="Q15" s="32">
        <v>0.31351890258855569</v>
      </c>
      <c r="R15" s="32"/>
    </row>
    <row r="16" spans="1:25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0">
        <f t="shared" si="2"/>
        <v>0.31026378359374995</v>
      </c>
      <c r="F16" s="23">
        <f t="shared" si="3"/>
        <v>0.52876712328767128</v>
      </c>
      <c r="G16" s="28">
        <f t="shared" si="0"/>
        <v>30</v>
      </c>
      <c r="H16" s="29" t="s">
        <v>9</v>
      </c>
      <c r="I16" s="30">
        <v>1</v>
      </c>
      <c r="J16" s="31">
        <v>0</v>
      </c>
      <c r="K16" s="1">
        <v>1</v>
      </c>
      <c r="L16" s="32">
        <v>3.0781758184662245</v>
      </c>
      <c r="M16" s="32">
        <v>-1.8999999999999986</v>
      </c>
      <c r="N16" s="32">
        <v>4.978175818466223</v>
      </c>
      <c r="O16" s="32">
        <v>0.46873410718507225</v>
      </c>
      <c r="P16" s="32">
        <v>12.464757232774957</v>
      </c>
      <c r="Q16" s="32">
        <v>0.46873410718507225</v>
      </c>
      <c r="R16" s="32"/>
    </row>
    <row r="17" spans="1:18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0">
        <f t="shared" si="2"/>
        <v>0.30475059441406244</v>
      </c>
      <c r="F17" s="23">
        <f t="shared" si="3"/>
        <v>0.61369863013698633</v>
      </c>
      <c r="G17" s="28">
        <f t="shared" si="0"/>
        <v>31</v>
      </c>
      <c r="H17" s="29" t="s">
        <v>9</v>
      </c>
      <c r="I17" s="30">
        <v>1</v>
      </c>
      <c r="J17" s="31">
        <v>0</v>
      </c>
      <c r="K17" s="1">
        <v>1</v>
      </c>
      <c r="L17" s="32">
        <v>3.3033139746544222</v>
      </c>
      <c r="M17" s="32">
        <v>-1.8999999999999986</v>
      </c>
      <c r="N17" s="32">
        <v>5.2033139746544208</v>
      </c>
      <c r="O17" s="32">
        <v>0.47552809161115983</v>
      </c>
      <c r="P17" s="32">
        <v>13.444583977985713</v>
      </c>
      <c r="Q17" s="32">
        <v>0.47552809161115983</v>
      </c>
      <c r="R17" s="32"/>
    </row>
    <row r="18" spans="1:18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0">
        <f t="shared" si="2"/>
        <v>0.29951306469335931</v>
      </c>
      <c r="F18" s="23">
        <f t="shared" si="3"/>
        <v>0.69315068493150689</v>
      </c>
      <c r="G18" s="28">
        <f t="shared" si="0"/>
        <v>31</v>
      </c>
      <c r="H18" s="29" t="s">
        <v>9</v>
      </c>
      <c r="I18" s="30">
        <v>1</v>
      </c>
      <c r="J18" s="31">
        <v>0</v>
      </c>
      <c r="K18" s="1">
        <v>1</v>
      </c>
      <c r="L18" s="32">
        <v>3.4857001904894105</v>
      </c>
      <c r="M18" s="32">
        <v>-1.8999999999999986</v>
      </c>
      <c r="N18" s="32">
        <v>5.3857001904894091</v>
      </c>
      <c r="O18" s="32">
        <v>0.4807095740588409</v>
      </c>
      <c r="P18" s="32">
        <v>14.298596990583455</v>
      </c>
      <c r="Q18" s="32">
        <v>0.4807095740588409</v>
      </c>
      <c r="R18" s="32"/>
    </row>
    <row r="19" spans="1:18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0">
        <f t="shared" si="2"/>
        <v>0.29453741145869133</v>
      </c>
      <c r="F19" s="23">
        <f t="shared" si="3"/>
        <v>0.78082191780821919</v>
      </c>
      <c r="G19" s="28">
        <f t="shared" si="0"/>
        <v>30</v>
      </c>
      <c r="H19" s="29" t="s">
        <v>9</v>
      </c>
      <c r="I19" s="30">
        <v>1</v>
      </c>
      <c r="J19" s="31">
        <v>0</v>
      </c>
      <c r="K19" s="1">
        <v>1</v>
      </c>
      <c r="L19" s="32">
        <v>6.9546666185615855</v>
      </c>
      <c r="M19" s="32">
        <v>3.75</v>
      </c>
      <c r="N19" s="32">
        <v>3.2046666185615855</v>
      </c>
      <c r="O19" s="32">
        <v>0.66912693350901653</v>
      </c>
      <c r="P19" s="32">
        <v>15.615715646919092</v>
      </c>
      <c r="Q19" s="32">
        <v>0.66912693350901653</v>
      </c>
      <c r="R19" s="32"/>
    </row>
    <row r="20" spans="1:18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0">
        <f t="shared" si="2"/>
        <v>0.28981054088575675</v>
      </c>
      <c r="F20" s="23">
        <f t="shared" si="3"/>
        <v>0.86301369863013699</v>
      </c>
      <c r="G20" s="28">
        <f t="shared" si="0"/>
        <v>31</v>
      </c>
      <c r="H20" s="29" t="s">
        <v>9</v>
      </c>
      <c r="I20" s="30">
        <v>1</v>
      </c>
      <c r="J20" s="31">
        <v>0</v>
      </c>
      <c r="K20" s="1">
        <v>1</v>
      </c>
      <c r="L20" s="32">
        <v>7.1132877769238547</v>
      </c>
      <c r="M20" s="32">
        <v>3.75</v>
      </c>
      <c r="N20" s="32">
        <v>3.3632877769238547</v>
      </c>
      <c r="O20" s="32">
        <v>0.66704073423731702</v>
      </c>
      <c r="P20" s="32">
        <v>16.458191317128684</v>
      </c>
      <c r="Q20" s="32">
        <v>0.66704073423731702</v>
      </c>
      <c r="R20" s="32"/>
    </row>
    <row r="21" spans="1:18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0">
        <f t="shared" si="2"/>
        <v>0.28532001384146888</v>
      </c>
      <c r="F21" s="23">
        <f t="shared" si="3"/>
        <v>0.94246575342465755</v>
      </c>
      <c r="G21" s="28">
        <f t="shared" si="0"/>
        <v>30</v>
      </c>
      <c r="H21" s="29" t="s">
        <v>9</v>
      </c>
      <c r="I21" s="30">
        <v>1</v>
      </c>
      <c r="J21" s="31">
        <v>0</v>
      </c>
      <c r="K21" s="1">
        <v>1</v>
      </c>
      <c r="L21" s="32">
        <v>7.2509163417181135</v>
      </c>
      <c r="M21" s="32">
        <v>3.75</v>
      </c>
      <c r="N21" s="32">
        <v>3.5009163417181135</v>
      </c>
      <c r="O21" s="32">
        <v>0.66542502994653396</v>
      </c>
      <c r="P21" s="32">
        <v>17.232031783448225</v>
      </c>
      <c r="Q21" s="32">
        <v>0.66542502994653396</v>
      </c>
      <c r="R21" s="32"/>
    </row>
    <row r="22" spans="1:18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43"/>
      <c r="M22" s="24"/>
      <c r="N22" s="25"/>
    </row>
    <row r="23" spans="1:18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H10:H21" xr:uid="{B679867A-5CFA-45F9-A6A3-07FB84D4FCE6}">
      <formula1>$I$5:$I$7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1ED810-E2C7-4158-97CC-C0B210720DCA}">
          <x14:formula1>
            <xm:f>Legend!$A$2:$A$4</xm:f>
          </x14:formula1>
          <xm:sqref>B5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A126F-5A2B-443B-B897-BAD671756F4F}">
  <sheetPr codeName="Sheet14"/>
  <dimension ref="A1:IU93"/>
  <sheetViews>
    <sheetView showGridLines="0" topLeftCell="B1" zoomScale="55" zoomScaleNormal="55" workbookViewId="0">
      <pane ySplit="7" topLeftCell="A8" activePane="bottomLeft" state="frozen"/>
      <selection pane="bottomLeft" activeCell="D54" sqref="D54"/>
    </sheetView>
  </sheetViews>
  <sheetFormatPr defaultColWidth="9.1796875" defaultRowHeight="12.5" x14ac:dyDescent="0.25"/>
  <cols>
    <col min="1" max="1" width="9.1796875" style="73"/>
    <col min="2" max="2" width="21.1796875" style="73" bestFit="1" customWidth="1"/>
    <col min="3" max="3" width="14" style="73" customWidth="1"/>
    <col min="4" max="4" width="11.81640625" style="73" customWidth="1"/>
    <col min="5" max="5" width="11.453125" style="73" customWidth="1"/>
    <col min="6" max="6" width="9.1796875" style="73"/>
    <col min="7" max="7" width="10.81640625" style="73" bestFit="1" customWidth="1"/>
    <col min="8" max="8" width="10.81640625" style="73" customWidth="1"/>
    <col min="9" max="9" width="9.26953125" style="73" customWidth="1"/>
    <col min="10" max="10" width="11.1796875" style="73" customWidth="1"/>
    <col min="11" max="11" width="10.81640625" style="73" customWidth="1"/>
    <col min="12" max="16384" width="9.1796875" style="73"/>
  </cols>
  <sheetData>
    <row r="1" spans="2:51" x14ac:dyDescent="0.25"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</row>
    <row r="2" spans="2:51" x14ac:dyDescent="0.25"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</row>
    <row r="3" spans="2:51" x14ac:dyDescent="0.25"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</row>
    <row r="4" spans="2:51" x14ac:dyDescent="0.25"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</row>
    <row r="5" spans="2:51" x14ac:dyDescent="0.25"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  <c r="N5" s="103"/>
      <c r="O5" s="103"/>
      <c r="P5" s="103"/>
    </row>
    <row r="6" spans="2:51" x14ac:dyDescent="0.25"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  <c r="P6" s="103"/>
    </row>
    <row r="7" spans="2:51" x14ac:dyDescent="0.25"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  <c r="P7" s="103"/>
    </row>
    <row r="8" spans="2:51" ht="13" thickBot="1" x14ac:dyDescent="0.3">
      <c r="M8" s="73" t="s">
        <v>137</v>
      </c>
    </row>
    <row r="9" spans="2:51" ht="13.5" thickBot="1" x14ac:dyDescent="0.35">
      <c r="B9" s="108" t="s">
        <v>136</v>
      </c>
      <c r="C9" s="109"/>
      <c r="E9" s="102"/>
      <c r="F9" s="100" t="s">
        <v>135</v>
      </c>
      <c r="G9" s="100" t="s">
        <v>139</v>
      </c>
      <c r="H9" s="101" t="s">
        <v>134</v>
      </c>
      <c r="I9" s="100" t="s">
        <v>133</v>
      </c>
      <c r="J9" s="99" t="s">
        <v>132</v>
      </c>
      <c r="L9" s="78">
        <v>0.25</v>
      </c>
      <c r="M9" s="78">
        <v>0.5</v>
      </c>
      <c r="N9" s="78">
        <v>0.75</v>
      </c>
      <c r="O9" s="78">
        <v>1</v>
      </c>
      <c r="P9" s="78">
        <v>1.25</v>
      </c>
      <c r="Q9" s="78">
        <v>1.5</v>
      </c>
      <c r="R9" s="78">
        <v>1.75</v>
      </c>
      <c r="S9" s="78">
        <v>2</v>
      </c>
      <c r="T9" s="78">
        <v>2.25</v>
      </c>
      <c r="U9" s="78">
        <v>2.5</v>
      </c>
      <c r="V9" s="78">
        <v>2.75</v>
      </c>
      <c r="W9" s="78">
        <v>3</v>
      </c>
      <c r="X9" s="78">
        <v>3.25</v>
      </c>
      <c r="Y9" s="78">
        <v>3.5</v>
      </c>
      <c r="Z9" s="78">
        <v>3.75</v>
      </c>
      <c r="AA9" s="78">
        <v>4</v>
      </c>
      <c r="AB9" s="78">
        <v>4.25</v>
      </c>
      <c r="AC9" s="78">
        <v>4.5</v>
      </c>
      <c r="AD9" s="78">
        <v>4.75</v>
      </c>
      <c r="AE9" s="78">
        <v>5</v>
      </c>
      <c r="AF9" s="78">
        <v>5.25</v>
      </c>
      <c r="AG9" s="78">
        <v>5.5</v>
      </c>
      <c r="AH9" s="78">
        <v>5.75</v>
      </c>
      <c r="AI9" s="78">
        <v>6</v>
      </c>
      <c r="AJ9" s="78">
        <v>6.25</v>
      </c>
      <c r="AK9" s="78">
        <v>6.5</v>
      </c>
      <c r="AL9" s="78">
        <v>6.75</v>
      </c>
      <c r="AM9" s="78">
        <v>7</v>
      </c>
      <c r="AN9" s="78">
        <v>7.25</v>
      </c>
      <c r="AO9" s="78">
        <v>7.5</v>
      </c>
      <c r="AP9" s="78">
        <v>7.75</v>
      </c>
      <c r="AQ9" s="78">
        <v>8</v>
      </c>
      <c r="AR9" s="78">
        <v>8.25</v>
      </c>
      <c r="AS9" s="78">
        <v>8.5</v>
      </c>
      <c r="AT9" s="78">
        <v>8.75</v>
      </c>
      <c r="AU9" s="78">
        <v>9</v>
      </c>
      <c r="AV9" s="78">
        <v>9.25</v>
      </c>
      <c r="AW9" s="78">
        <v>9.5</v>
      </c>
      <c r="AX9" s="78">
        <v>9.75</v>
      </c>
      <c r="AY9" s="78">
        <v>10</v>
      </c>
    </row>
    <row r="10" spans="2:51" ht="14.5" x14ac:dyDescent="0.35">
      <c r="B10" s="98" t="s">
        <v>138</v>
      </c>
      <c r="C10" s="97">
        <v>0.05</v>
      </c>
      <c r="E10" s="93">
        <v>0</v>
      </c>
      <c r="F10" s="92">
        <v>0</v>
      </c>
      <c r="G10" s="91">
        <f>IR0</f>
        <v>0.05</v>
      </c>
      <c r="H10" s="88">
        <f ca="1">SwapRate*SUM(OFFSET(L10,0,0,1,40-E10))*0.25</f>
        <v>0.39178511274928463</v>
      </c>
      <c r="I10" s="90">
        <f ca="1">1-OFFSET(L10,0,40-E10-1,1,1)</f>
        <v>0.36237184837822667</v>
      </c>
      <c r="J10" s="89">
        <f ca="1">H10-I10</f>
        <v>2.9413264371057957E-2</v>
      </c>
      <c r="K10" s="88"/>
      <c r="L10" s="88">
        <f t="shared" ref="L10:AY10" si="0">L$50*EXP(-M$51*$G10)</f>
        <v>0.98634607906082195</v>
      </c>
      <c r="M10" s="88">
        <f t="shared" si="0"/>
        <v>0.97409801325441092</v>
      </c>
      <c r="N10" s="88">
        <f t="shared" si="0"/>
        <v>0.96200606186303872</v>
      </c>
      <c r="O10" s="88">
        <f t="shared" si="0"/>
        <v>0.9500693193446782</v>
      </c>
      <c r="P10" s="88">
        <f t="shared" si="0"/>
        <v>0.9382867642567736</v>
      </c>
      <c r="Q10" s="88">
        <f t="shared" si="0"/>
        <v>0.92665727105518447</v>
      </c>
      <c r="R10" s="88">
        <f t="shared" si="0"/>
        <v>0.91517962102326034</v>
      </c>
      <c r="S10" s="88">
        <f t="shared" si="0"/>
        <v>0.90385251238713182</v>
      </c>
      <c r="T10" s="88">
        <f t="shared" si="0"/>
        <v>0.8926745696701931</v>
      </c>
      <c r="U10" s="88">
        <f t="shared" si="0"/>
        <v>0.88164435233675087</v>
      </c>
      <c r="V10" s="88">
        <f t="shared" si="0"/>
        <v>0.87076036277194691</v>
      </c>
      <c r="W10" s="88">
        <f t="shared" si="0"/>
        <v>0.86002105364230097</v>
      </c>
      <c r="X10" s="88">
        <f t="shared" si="0"/>
        <v>0.84942483467860641</v>
      </c>
      <c r="Y10" s="88">
        <f t="shared" si="0"/>
        <v>0.8389700789203941</v>
      </c>
      <c r="Z10" s="88">
        <f t="shared" si="0"/>
        <v>0.8286551284588074</v>
      </c>
      <c r="AA10" s="88">
        <f t="shared" si="0"/>
        <v>0.81847829971246466</v>
      </c>
      <c r="AB10" s="88">
        <f t="shared" si="0"/>
        <v>0.80843788826873608</v>
      </c>
      <c r="AC10" s="88">
        <f t="shared" si="0"/>
        <v>0.79853217332083626</v>
      </c>
      <c r="AD10" s="88">
        <f t="shared" si="0"/>
        <v>0.78875942172920188</v>
      </c>
      <c r="AE10" s="88">
        <f t="shared" si="0"/>
        <v>0.77911789173381374</v>
      </c>
      <c r="AF10" s="88">
        <f t="shared" si="0"/>
        <v>0.76960583634240221</v>
      </c>
      <c r="AG10" s="88">
        <f t="shared" si="0"/>
        <v>0.76022150641786024</v>
      </c>
      <c r="AH10" s="88">
        <f t="shared" si="0"/>
        <v>0.7509631534866642</v>
      </c>
      <c r="AI10" s="88">
        <f t="shared" si="0"/>
        <v>0.74182903228866548</v>
      </c>
      <c r="AJ10" s="88">
        <f t="shared" si="0"/>
        <v>0.73281740308727195</v>
      </c>
      <c r="AK10" s="88">
        <f t="shared" si="0"/>
        <v>0.72392653375776594</v>
      </c>
      <c r="AL10" s="88">
        <f t="shared" si="0"/>
        <v>0.71515470167031703</v>
      </c>
      <c r="AM10" s="88">
        <f t="shared" si="0"/>
        <v>0.70650019538312914</v>
      </c>
      <c r="AN10" s="88">
        <f t="shared" si="0"/>
        <v>0.69796131616011603</v>
      </c>
      <c r="AO10" s="88">
        <f t="shared" si="0"/>
        <v>0.68953637932651179</v>
      </c>
      <c r="AP10" s="88">
        <f t="shared" si="0"/>
        <v>0.68122371547490779</v>
      </c>
      <c r="AQ10" s="88">
        <f t="shared" si="0"/>
        <v>0.67302167153334258</v>
      </c>
      <c r="AR10" s="88">
        <f t="shared" si="0"/>
        <v>0.66492861170626172</v>
      </c>
      <c r="AS10" s="88">
        <f t="shared" si="0"/>
        <v>0.65694291829841911</v>
      </c>
      <c r="AT10" s="88">
        <f t="shared" si="0"/>
        <v>0.64906299243107091</v>
      </c>
      <c r="AU10" s="88">
        <f t="shared" si="0"/>
        <v>0.6412872546591698</v>
      </c>
      <c r="AV10" s="88">
        <f t="shared" si="0"/>
        <v>0.63361414549763673</v>
      </c>
      <c r="AW10" s="88">
        <f t="shared" si="0"/>
        <v>0.62604212586422014</v>
      </c>
      <c r="AX10" s="88">
        <f t="shared" si="0"/>
        <v>0.61856967744591185</v>
      </c>
      <c r="AY10" s="88">
        <f t="shared" si="0"/>
        <v>0.63762815162177333</v>
      </c>
    </row>
    <row r="11" spans="2:51" ht="14.5" x14ac:dyDescent="0.35">
      <c r="B11" s="93" t="s">
        <v>131</v>
      </c>
      <c r="C11" s="96">
        <v>0.1</v>
      </c>
      <c r="D11" s="91"/>
      <c r="E11" s="93">
        <f t="shared" ref="E11:E50" si="1">E10+1</f>
        <v>1</v>
      </c>
      <c r="F11" s="92">
        <f t="shared" ref="F11:F50" si="2">F10+0.25</f>
        <v>0.25</v>
      </c>
      <c r="G11" s="91">
        <f t="shared" ref="G11:G50" ca="1" si="3">G10+MeanRev*(b_Param-G10)*0.25+NORMSINV(RAND())*SQRT(0.25)*Volatility</f>
        <v>4.7382864048263404E-2</v>
      </c>
      <c r="H11" s="88">
        <f ca="1">SwapRate*SUM(OFFSET(L11,0,0,1,40-E11))*0.25</f>
        <v>0.38746279822172536</v>
      </c>
      <c r="I11" s="90">
        <f t="shared" ref="I11:I49" ca="1" si="4">1-OFFSET(L11,0,40-E11-1,1,1)</f>
        <v>0.37111192768458112</v>
      </c>
      <c r="J11" s="89">
        <f t="shared" ref="J11:J50" ca="1" si="5">H11-I11</f>
        <v>1.6350870537144235E-2</v>
      </c>
      <c r="L11" s="88">
        <f t="shared" ref="L11:AX11" ca="1" si="6">L$50*EXP(-M$51*$G11)</f>
        <v>0.98760584737523938</v>
      </c>
      <c r="M11" s="88">
        <f t="shared" ca="1" si="6"/>
        <v>0.97594182529015494</v>
      </c>
      <c r="N11" s="88">
        <f t="shared" ca="1" si="6"/>
        <v>0.96440495683291627</v>
      </c>
      <c r="O11" s="88">
        <f t="shared" ca="1" si="6"/>
        <v>0.95299548452179539</v>
      </c>
      <c r="P11" s="88">
        <f t="shared" ca="1" si="6"/>
        <v>0.94171349486341915</v>
      </c>
      <c r="Q11" s="88">
        <f t="shared" ca="1" si="6"/>
        <v>0.93055893113937493</v>
      </c>
      <c r="R11" s="88">
        <f t="shared" ca="1" si="6"/>
        <v>0.91953160534458167</v>
      </c>
      <c r="S11" s="88">
        <f t="shared" ca="1" si="6"/>
        <v>0.90863120932685881</v>
      </c>
      <c r="T11" s="88">
        <f t="shared" ca="1" si="6"/>
        <v>0.89785732517479855</v>
      </c>
      <c r="U11" s="88">
        <f t="shared" ca="1" si="6"/>
        <v>0.88720943489875537</v>
      </c>
      <c r="V11" s="88">
        <f t="shared" ca="1" si="6"/>
        <v>0.87668692944753979</v>
      </c>
      <c r="W11" s="88">
        <f t="shared" ca="1" si="6"/>
        <v>0.86628911710122669</v>
      </c>
      <c r="X11" s="88">
        <f t="shared" ca="1" si="6"/>
        <v>0.85601523127838575</v>
      </c>
      <c r="Y11" s="88">
        <f t="shared" ca="1" si="6"/>
        <v>0.84586443779400744</v>
      </c>
      <c r="Z11" s="88">
        <f t="shared" ca="1" si="6"/>
        <v>0.83583584160243551</v>
      </c>
      <c r="AA11" s="88">
        <f t="shared" ca="1" si="6"/>
        <v>0.82592849305773453</v>
      </c>
      <c r="AB11" s="88">
        <f t="shared" ca="1" si="6"/>
        <v>0.81614139372210837</v>
      </c>
      <c r="AC11" s="88">
        <f t="shared" ca="1" si="6"/>
        <v>0.80647350175126586</v>
      </c>
      <c r="AD11" s="88">
        <f t="shared" ca="1" si="6"/>
        <v>0.79692373688395857</v>
      </c>
      <c r="AE11" s="88">
        <f t="shared" ca="1" si="6"/>
        <v>0.78749098506136073</v>
      </c>
      <c r="AF11" s="88">
        <f t="shared" ca="1" si="6"/>
        <v>0.77817410270043819</v>
      </c>
      <c r="AG11" s="88">
        <f t="shared" ca="1" si="6"/>
        <v>0.76897192064403908</v>
      </c>
      <c r="AH11" s="88">
        <f t="shared" ca="1" si="6"/>
        <v>0.75988324780907723</v>
      </c>
      <c r="AI11" s="88">
        <f t="shared" ca="1" si="6"/>
        <v>0.75090687455288885</v>
      </c>
      <c r="AJ11" s="88">
        <f t="shared" ca="1" si="6"/>
        <v>0.74204157577662944</v>
      </c>
      <c r="AK11" s="88">
        <f t="shared" ca="1" si="6"/>
        <v>0.73328611378341857</v>
      </c>
      <c r="AL11" s="88">
        <f t="shared" ca="1" si="6"/>
        <v>0.7246392409078487</v>
      </c>
      <c r="AM11" s="88">
        <f t="shared" ca="1" si="6"/>
        <v>0.71609970193244277</v>
      </c>
      <c r="AN11" s="88">
        <f t="shared" ca="1" si="6"/>
        <v>0.70766623630567149</v>
      </c>
      <c r="AO11" s="88">
        <f t="shared" ca="1" si="6"/>
        <v>0.69933758017521863</v>
      </c>
      <c r="AP11" s="88">
        <f t="shared" ca="1" si="6"/>
        <v>0.69111246824931982</v>
      </c>
      <c r="AQ11" s="88">
        <f t="shared" ca="1" si="6"/>
        <v>0.6829896354981807</v>
      </c>
      <c r="AR11" s="88">
        <f t="shared" ca="1" si="6"/>
        <v>0.67496781870671152</v>
      </c>
      <c r="AS11" s="88">
        <f t="shared" ca="1" si="6"/>
        <v>0.66704575788909315</v>
      </c>
      <c r="AT11" s="88">
        <f t="shared" ca="1" si="6"/>
        <v>0.659222197575008</v>
      </c>
      <c r="AU11" s="88">
        <f t="shared" ca="1" si="6"/>
        <v>0.65149588797672764</v>
      </c>
      <c r="AV11" s="88">
        <f t="shared" ca="1" si="6"/>
        <v>0.64386558604565147</v>
      </c>
      <c r="AW11" s="88">
        <f t="shared" ca="1" si="6"/>
        <v>0.63633005642632245</v>
      </c>
      <c r="AX11" s="88">
        <f t="shared" ca="1" si="6"/>
        <v>0.62888807231541888</v>
      </c>
      <c r="AY11" s="88"/>
    </row>
    <row r="12" spans="2:51" ht="14.5" x14ac:dyDescent="0.35">
      <c r="B12" s="93" t="s">
        <v>130</v>
      </c>
      <c r="C12" s="95">
        <v>0.05</v>
      </c>
      <c r="D12" s="91"/>
      <c r="E12" s="93">
        <f t="shared" si="1"/>
        <v>2</v>
      </c>
      <c r="F12" s="92">
        <f t="shared" si="2"/>
        <v>0.5</v>
      </c>
      <c r="G12" s="91">
        <f t="shared" ca="1" si="3"/>
        <v>4.4805159427136088E-2</v>
      </c>
      <c r="H12" s="88">
        <f t="shared" ref="H12:H49" ca="1" si="7">SwapRate*SUM(OFFSET(L12,0,0,1,40-E12))*0.25</f>
        <v>0.38310739774982672</v>
      </c>
      <c r="I12" s="90">
        <f t="shared" ca="1" si="4"/>
        <v>0.35337176781544921</v>
      </c>
      <c r="J12" s="89">
        <f t="shared" ca="1" si="5"/>
        <v>2.9735629934377505E-2</v>
      </c>
      <c r="L12" s="88">
        <f t="shared" ref="L12:AW12" ca="1" si="8">L$50*EXP(-M$51*$G12)</f>
        <v>0.98884820806395046</v>
      </c>
      <c r="M12" s="88">
        <f t="shared" ca="1" si="8"/>
        <v>0.97776126888544301</v>
      </c>
      <c r="N12" s="88">
        <f t="shared" ca="1" si="8"/>
        <v>0.96677355601058668</v>
      </c>
      <c r="O12" s="88">
        <f t="shared" ca="1" si="8"/>
        <v>0.95588637199621862</v>
      </c>
      <c r="P12" s="88">
        <f t="shared" ca="1" si="8"/>
        <v>0.94510082947874263</v>
      </c>
      <c r="Q12" s="88">
        <f t="shared" ca="1" si="8"/>
        <v>0.93441786455706044</v>
      </c>
      <c r="R12" s="88">
        <f t="shared" ca="1" si="8"/>
        <v>0.92383824937077719</v>
      </c>
      <c r="S12" s="88">
        <f t="shared" ca="1" si="8"/>
        <v>0.9133626039155156</v>
      </c>
      <c r="T12" s="88">
        <f t="shared" ca="1" si="8"/>
        <v>0.90299140713563297</v>
      </c>
      <c r="U12" s="88">
        <f t="shared" ca="1" si="8"/>
        <v>0.89272500733306914</v>
      </c>
      <c r="V12" s="88">
        <f t="shared" ca="1" si="8"/>
        <v>0.88256363192948117</v>
      </c>
      <c r="W12" s="88">
        <f t="shared" ca="1" si="8"/>
        <v>0.87250739661724164</v>
      </c>
      <c r="X12" s="88">
        <f t="shared" ca="1" si="8"/>
        <v>0.86255631393332488</v>
      </c>
      <c r="Y12" s="88">
        <f t="shared" ca="1" si="8"/>
        <v>0.85271030128855774</v>
      </c>
      <c r="Z12" s="88">
        <f t="shared" ca="1" si="8"/>
        <v>0.84296918848320779</v>
      </c>
      <c r="AA12" s="88">
        <f t="shared" ca="1" si="8"/>
        <v>0.83333272473839715</v>
      </c>
      <c r="AB12" s="88">
        <f t="shared" ca="1" si="8"/>
        <v>0.82380058527139599</v>
      </c>
      <c r="AC12" s="88">
        <f t="shared" ca="1" si="8"/>
        <v>0.81437237744145063</v>
      </c>
      <c r="AD12" s="88">
        <f t="shared" ca="1" si="8"/>
        <v>0.80504764649144533</v>
      </c>
      <c r="AE12" s="88">
        <f t="shared" ca="1" si="8"/>
        <v>0.79582588090939421</v>
      </c>
      <c r="AF12" s="88">
        <f t="shared" ca="1" si="8"/>
        <v>0.78670651743250208</v>
      </c>
      <c r="AG12" s="88">
        <f t="shared" ca="1" si="8"/>
        <v>0.77768894571531455</v>
      </c>
      <c r="AH12" s="88">
        <f t="shared" ca="1" si="8"/>
        <v>0.76877251268233282</v>
      </c>
      <c r="AI12" s="88">
        <f t="shared" ca="1" si="8"/>
        <v>0.75995652658433821</v>
      </c>
      <c r="AJ12" s="88">
        <f t="shared" ca="1" si="8"/>
        <v>0.75124026077662442</v>
      </c>
      <c r="AK12" s="88">
        <f t="shared" ca="1" si="8"/>
        <v>0.742622957236311</v>
      </c>
      <c r="AL12" s="88">
        <f t="shared" ca="1" si="8"/>
        <v>0.73410382983494726</v>
      </c>
      <c r="AM12" s="88">
        <f t="shared" ca="1" si="8"/>
        <v>0.72568206738169361</v>
      </c>
      <c r="AN12" s="88">
        <f t="shared" ca="1" si="8"/>
        <v>0.71735683645148896</v>
      </c>
      <c r="AO12" s="88">
        <f t="shared" ca="1" si="8"/>
        <v>0.70912728401178282</v>
      </c>
      <c r="AP12" s="88">
        <f t="shared" ca="1" si="8"/>
        <v>0.7009925398606166</v>
      </c>
      <c r="AQ12" s="88">
        <f t="shared" ca="1" si="8"/>
        <v>0.69295171888808715</v>
      </c>
      <c r="AR12" s="88">
        <f t="shared" ca="1" si="8"/>
        <v>0.6850039231725209</v>
      </c>
      <c r="AS12" s="88">
        <f t="shared" ca="1" si="8"/>
        <v>0.67714824392200568</v>
      </c>
      <c r="AT12" s="88">
        <f t="shared" ca="1" si="8"/>
        <v>0.66938376327129312</v>
      </c>
      <c r="AU12" s="88">
        <f t="shared" ca="1" si="8"/>
        <v>0.66170955594348646</v>
      </c>
      <c r="AV12" s="88">
        <f t="shared" ca="1" si="8"/>
        <v>0.65412469078535085</v>
      </c>
      <c r="AW12" s="88">
        <f t="shared" ca="1" si="8"/>
        <v>0.64662823218455079</v>
      </c>
      <c r="AX12" s="88"/>
      <c r="AY12" s="88"/>
    </row>
    <row r="13" spans="2:51" ht="14.5" x14ac:dyDescent="0.35">
      <c r="B13" s="93" t="s">
        <v>129</v>
      </c>
      <c r="C13" s="95">
        <v>0.01</v>
      </c>
      <c r="D13" s="91"/>
      <c r="E13" s="93">
        <f t="shared" si="1"/>
        <v>3</v>
      </c>
      <c r="F13" s="92">
        <f t="shared" si="2"/>
        <v>0.75</v>
      </c>
      <c r="G13" s="91">
        <f t="shared" ca="1" si="3"/>
        <v>4.9112590213474965E-2</v>
      </c>
      <c r="H13" s="88">
        <f t="shared" ca="1" si="7"/>
        <v>0.36940245829974255</v>
      </c>
      <c r="I13" s="90">
        <f t="shared" ca="1" si="4"/>
        <v>0.36292825036316911</v>
      </c>
      <c r="J13" s="89">
        <f t="shared" ca="1" si="5"/>
        <v>6.4742079365734395E-3</v>
      </c>
      <c r="L13" s="88">
        <f t="shared" ref="L13:AV13" ca="1" si="9">L$50*EXP(-M$51*$G13)</f>
        <v>0.98677305696420303</v>
      </c>
      <c r="M13" s="88">
        <f t="shared" ca="1" si="9"/>
        <v>0.97472281627362367</v>
      </c>
      <c r="N13" s="88">
        <f t="shared" ca="1" si="9"/>
        <v>0.96281880185301705</v>
      </c>
      <c r="O13" s="88">
        <f t="shared" ca="1" si="9"/>
        <v>0.95106050559493804</v>
      </c>
      <c r="P13" s="88">
        <f t="shared" ca="1" si="9"/>
        <v>0.93944728923702048</v>
      </c>
      <c r="Q13" s="88">
        <f t="shared" ca="1" si="9"/>
        <v>0.92797839654060643</v>
      </c>
      <c r="R13" s="88">
        <f t="shared" ca="1" si="9"/>
        <v>0.91665296460411783</v>
      </c>
      <c r="S13" s="88">
        <f t="shared" ca="1" si="9"/>
        <v>0.90547003436513696</v>
      </c>
      <c r="T13" s="88">
        <f t="shared" ca="1" si="9"/>
        <v>0.89442856034231333</v>
      </c>
      <c r="U13" s="88">
        <f t="shared" ca="1" si="9"/>
        <v>0.88352741966545445</v>
      </c>
      <c r="V13" s="88">
        <f t="shared" ca="1" si="9"/>
        <v>0.8727654204394959</v>
      </c>
      <c r="W13" s="88">
        <f t="shared" ca="1" si="9"/>
        <v>0.8621413094854895</v>
      </c>
      <c r="X13" s="88">
        <f t="shared" ca="1" si="9"/>
        <v>0.85165377949929111</v>
      </c>
      <c r="Y13" s="88">
        <f t="shared" ca="1" si="9"/>
        <v>0.84130147566628133</v>
      </c>
      <c r="Z13" s="88">
        <f t="shared" ca="1" si="9"/>
        <v>0.83108300176821059</v>
      </c>
      <c r="AA13" s="88">
        <f t="shared" ca="1" si="9"/>
        <v>0.82099692581611483</v>
      </c>
      <c r="AB13" s="88">
        <f t="shared" ca="1" si="9"/>
        <v>0.81104178524121762</v>
      </c>
      <c r="AC13" s="88">
        <f t="shared" ca="1" si="9"/>
        <v>0.80121609167379593</v>
      </c>
      <c r="AD13" s="88">
        <f t="shared" ca="1" si="9"/>
        <v>0.7915183353381513</v>
      </c>
      <c r="AE13" s="88">
        <f t="shared" ca="1" si="9"/>
        <v>0.78194698909008797</v>
      </c>
      <c r="AF13" s="88">
        <f t="shared" ca="1" si="9"/>
        <v>0.77250051212165161</v>
      </c>
      <c r="AG13" s="88">
        <f t="shared" ca="1" si="9"/>
        <v>0.76317735335632497</v>
      </c>
      <c r="AH13" s="88">
        <f t="shared" ca="1" si="9"/>
        <v>0.75397595455640654</v>
      </c>
      <c r="AI13" s="88">
        <f t="shared" ca="1" si="9"/>
        <v>0.74489475316290699</v>
      </c>
      <c r="AJ13" s="88">
        <f t="shared" ca="1" si="9"/>
        <v>0.73593218488699197</v>
      </c>
      <c r="AK13" s="88">
        <f t="shared" ca="1" si="9"/>
        <v>0.72708668607076599</v>
      </c>
      <c r="AL13" s="88">
        <f t="shared" ca="1" si="9"/>
        <v>0.71835669583403106</v>
      </c>
      <c r="AM13" s="88">
        <f t="shared" ca="1" si="9"/>
        <v>0.70974065802256125</v>
      </c>
      <c r="AN13" s="88">
        <f t="shared" ca="1" si="9"/>
        <v>0.70123702297240864</v>
      </c>
      <c r="AO13" s="88">
        <f t="shared" ca="1" si="9"/>
        <v>0.69284424910379372</v>
      </c>
      <c r="AP13" s="88">
        <f t="shared" ca="1" si="9"/>
        <v>0.68456080435722388</v>
      </c>
      <c r="AQ13" s="88">
        <f t="shared" ca="1" si="9"/>
        <v>0.67638516748363886</v>
      </c>
      <c r="AR13" s="88">
        <f t="shared" ca="1" si="9"/>
        <v>0.66831582919958199</v>
      </c>
      <c r="AS13" s="88">
        <f t="shared" ca="1" si="9"/>
        <v>0.66035129321765162</v>
      </c>
      <c r="AT13" s="88">
        <f t="shared" ca="1" si="9"/>
        <v>0.65249007716178653</v>
      </c>
      <c r="AU13" s="88">
        <f t="shared" ca="1" si="9"/>
        <v>0.64473071337628296</v>
      </c>
      <c r="AV13" s="88">
        <f t="shared" ca="1" si="9"/>
        <v>0.63707174963683089</v>
      </c>
      <c r="AW13" s="88"/>
      <c r="AX13" s="88"/>
      <c r="AY13" s="88"/>
    </row>
    <row r="14" spans="2:51" ht="15" thickBot="1" x14ac:dyDescent="0.4">
      <c r="B14" s="86" t="s">
        <v>128</v>
      </c>
      <c r="C14" s="94">
        <v>0.05</v>
      </c>
      <c r="D14" s="91"/>
      <c r="E14" s="93">
        <f t="shared" si="1"/>
        <v>4</v>
      </c>
      <c r="F14" s="92">
        <f t="shared" si="2"/>
        <v>1</v>
      </c>
      <c r="G14" s="91">
        <f t="shared" ca="1" si="3"/>
        <v>5.1403660033052488E-2</v>
      </c>
      <c r="H14" s="88">
        <f t="shared" ca="1" si="7"/>
        <v>0.35860208307028979</v>
      </c>
      <c r="I14" s="90">
        <f t="shared" ca="1" si="4"/>
        <v>0.3641219215268453</v>
      </c>
      <c r="J14" s="89">
        <f t="shared" ca="1" si="5"/>
        <v>-5.5198384565555147E-3</v>
      </c>
      <c r="L14" s="88">
        <f t="shared" ref="L14:AU14" ca="1" si="10">L$50*EXP(-M$51*$G14)</f>
        <v>0.9856710841593368</v>
      </c>
      <c r="M14" s="88">
        <f t="shared" ca="1" si="10"/>
        <v>0.97311054901851135</v>
      </c>
      <c r="N14" s="88">
        <f t="shared" ca="1" si="10"/>
        <v>0.9607219113321539</v>
      </c>
      <c r="O14" s="88">
        <f t="shared" ca="1" si="10"/>
        <v>0.94850361974158548</v>
      </c>
      <c r="P14" s="88">
        <f t="shared" ca="1" si="10"/>
        <v>0.93645403092734603</v>
      </c>
      <c r="Q14" s="88">
        <f t="shared" ca="1" si="10"/>
        <v>0.92457142071048326</v>
      </c>
      <c r="R14" s="88">
        <f t="shared" ca="1" si="10"/>
        <v>0.91285399428274383</v>
      </c>
      <c r="S14" s="88">
        <f t="shared" ca="1" si="10"/>
        <v>0.90129989562478718</v>
      </c>
      <c r="T14" s="88">
        <f t="shared" ca="1" si="10"/>
        <v>0.8899072161680166</v>
      </c>
      <c r="U14" s="88">
        <f t="shared" ca="1" si="10"/>
        <v>0.87867400275226848</v>
      </c>
      <c r="V14" s="88">
        <f t="shared" ca="1" si="10"/>
        <v>0.8675982649283992</v>
      </c>
      <c r="W14" s="88">
        <f t="shared" ca="1" si="10"/>
        <v>0.85667798165176445</v>
      </c>
      <c r="X14" s="88">
        <f t="shared" ca="1" si="10"/>
        <v>0.84591110740970132</v>
      </c>
      <c r="Y14" s="88">
        <f t="shared" ca="1" si="10"/>
        <v>0.8352955778233857</v>
      </c>
      <c r="Z14" s="88">
        <f t="shared" ca="1" si="10"/>
        <v>0.82482931476184973</v>
      </c>
      <c r="AA14" s="88">
        <f t="shared" ca="1" si="10"/>
        <v>0.81451023100349595</v>
      </c>
      <c r="AB14" s="88">
        <f t="shared" ca="1" si="10"/>
        <v>0.80433623447813662</v>
      </c>
      <c r="AC14" s="88">
        <f t="shared" ca="1" si="10"/>
        <v>0.79430523212041249</v>
      </c>
      <c r="AD14" s="88">
        <f t="shared" ca="1" si="10"/>
        <v>0.78441513336338886</v>
      </c>
      <c r="AE14" s="88">
        <f t="shared" ca="1" si="10"/>
        <v>0.77466385329920739</v>
      </c>
      <c r="AF14" s="88">
        <f t="shared" ca="1" si="10"/>
        <v>0.76504931553185163</v>
      </c>
      <c r="AG14" s="88">
        <f t="shared" ca="1" si="10"/>
        <v>0.75556945474538617</v>
      </c>
      <c r="AH14" s="88">
        <f t="shared" ca="1" si="10"/>
        <v>0.74622221900943031</v>
      </c>
      <c r="AI14" s="88">
        <f t="shared" ca="1" si="10"/>
        <v>0.73700557184213167</v>
      </c>
      <c r="AJ14" s="88">
        <f t="shared" ca="1" si="10"/>
        <v>0.72791749404949579</v>
      </c>
      <c r="AK14" s="88">
        <f t="shared" ca="1" si="10"/>
        <v>0.71895598535862104</v>
      </c>
      <c r="AL14" s="88">
        <f t="shared" ca="1" si="10"/>
        <v>0.7101190658611517</v>
      </c>
      <c r="AM14" s="88">
        <f t="shared" ca="1" si="10"/>
        <v>0.70140477728211392</v>
      </c>
      <c r="AN14" s="88">
        <f t="shared" ca="1" si="10"/>
        <v>0.69281118408822517</v>
      </c>
      <c r="AO14" s="88">
        <f t="shared" ca="1" si="10"/>
        <v>0.68433637444875817</v>
      </c>
      <c r="AP14" s="88">
        <f t="shared" ca="1" si="10"/>
        <v>0.67597846106110804</v>
      </c>
      <c r="AQ14" s="88">
        <f t="shared" ca="1" si="10"/>
        <v>0.66773558185232951</v>
      </c>
      <c r="AR14" s="88">
        <f t="shared" ca="1" si="10"/>
        <v>0.65960590056709645</v>
      </c>
      <c r="AS14" s="88">
        <f t="shared" ca="1" si="10"/>
        <v>0.651587607251774</v>
      </c>
      <c r="AT14" s="88">
        <f t="shared" ca="1" si="10"/>
        <v>0.64367891864358007</v>
      </c>
      <c r="AU14" s="88">
        <f t="shared" ca="1" si="10"/>
        <v>0.6358780784731547</v>
      </c>
      <c r="AV14" s="88"/>
      <c r="AW14" s="88"/>
      <c r="AX14" s="88"/>
      <c r="AY14" s="88"/>
    </row>
    <row r="15" spans="2:51" ht="14.5" x14ac:dyDescent="0.35">
      <c r="D15" s="87"/>
      <c r="E15" s="93">
        <f t="shared" si="1"/>
        <v>5</v>
      </c>
      <c r="F15" s="92">
        <f t="shared" si="2"/>
        <v>1.25</v>
      </c>
      <c r="G15" s="91">
        <f t="shared" ca="1" si="3"/>
        <v>5.3553847642132037E-2</v>
      </c>
      <c r="H15" s="88">
        <f t="shared" ca="1" si="7"/>
        <v>0.34811845177229739</v>
      </c>
      <c r="I15" s="90">
        <f t="shared" ca="1" si="4"/>
        <v>0.36448216001511513</v>
      </c>
      <c r="J15" s="89">
        <f t="shared" ca="1" si="5"/>
        <v>-1.6363708242817743E-2</v>
      </c>
      <c r="L15" s="88">
        <f t="shared" ref="L15:AT15" ca="1" si="11">L$50*EXP(-M$51*$G15)</f>
        <v>0.98463799320745482</v>
      </c>
      <c r="M15" s="88">
        <f t="shared" ca="1" si="11"/>
        <v>0.97159984908036257</v>
      </c>
      <c r="N15" s="88">
        <f t="shared" ca="1" si="11"/>
        <v>0.95875811690964841</v>
      </c>
      <c r="O15" s="88">
        <f t="shared" ca="1" si="11"/>
        <v>0.94611021499890802</v>
      </c>
      <c r="P15" s="88">
        <f t="shared" ca="1" si="11"/>
        <v>0.93365350973420724</v>
      </c>
      <c r="Q15" s="88">
        <f t="shared" ca="1" si="11"/>
        <v>0.9213853253773534</v>
      </c>
      <c r="R15" s="88">
        <f t="shared" ca="1" si="11"/>
        <v>0.90930295300158137</v>
      </c>
      <c r="S15" s="88">
        <f t="shared" ca="1" si="11"/>
        <v>0.89740365863254867</v>
      </c>
      <c r="T15" s="88">
        <f t="shared" ca="1" si="11"/>
        <v>0.88568469065342903</v>
      </c>
      <c r="U15" s="88">
        <f t="shared" ca="1" si="11"/>
        <v>0.87414328652901185</v>
      </c>
      <c r="V15" s="88">
        <f t="shared" ca="1" si="11"/>
        <v>0.86277667890005227</v>
      </c>
      <c r="W15" s="88">
        <f t="shared" ca="1" si="11"/>
        <v>0.85158210109566002</v>
      </c>
      <c r="X15" s="88">
        <f t="shared" ca="1" si="11"/>
        <v>0.84055679210826639</v>
      </c>
      <c r="Y15" s="88">
        <f t="shared" ca="1" si="11"/>
        <v>0.82969800107264713</v>
      </c>
      <c r="Z15" s="88">
        <f t="shared" ca="1" si="11"/>
        <v>0.81900299128761189</v>
      </c>
      <c r="AA15" s="88">
        <f t="shared" ca="1" si="11"/>
        <v>0.80846904381627083</v>
      </c>
      <c r="AB15" s="88">
        <f t="shared" ca="1" si="11"/>
        <v>0.79809346069826625</v>
      </c>
      <c r="AC15" s="88">
        <f t="shared" ca="1" si="11"/>
        <v>0.78787356780499118</v>
      </c>
      <c r="AD15" s="88">
        <f t="shared" ca="1" si="11"/>
        <v>0.77780671736659923</v>
      </c>
      <c r="AE15" s="88">
        <f t="shared" ca="1" si="11"/>
        <v>0.76789029019754673</v>
      </c>
      <c r="AF15" s="88">
        <f t="shared" ca="1" si="11"/>
        <v>0.75812169764546555</v>
      </c>
      <c r="AG15" s="88">
        <f t="shared" ca="1" si="11"/>
        <v>0.74849838328636487</v>
      </c>
      <c r="AH15" s="88">
        <f t="shared" ca="1" si="11"/>
        <v>0.73901782438747365</v>
      </c>
      <c r="AI15" s="88">
        <f t="shared" ca="1" si="11"/>
        <v>0.72967753315746131</v>
      </c>
      <c r="AJ15" s="88">
        <f t="shared" ca="1" si="11"/>
        <v>0.72047505780231214</v>
      </c>
      <c r="AK15" s="88">
        <f t="shared" ca="1" si="11"/>
        <v>0.71140798340376266</v>
      </c>
      <c r="AL15" s="88">
        <f t="shared" ca="1" si="11"/>
        <v>0.70247393263594315</v>
      </c>
      <c r="AM15" s="88">
        <f t="shared" ca="1" si="11"/>
        <v>0.69367056633467727</v>
      </c>
      <c r="AN15" s="88">
        <f t="shared" ca="1" si="11"/>
        <v>0.68499558393280036</v>
      </c>
      <c r="AO15" s="88">
        <f t="shared" ca="1" si="11"/>
        <v>0.67644672377382975</v>
      </c>
      <c r="AP15" s="88">
        <f t="shared" ca="1" si="11"/>
        <v>0.66802176331537355</v>
      </c>
      <c r="AQ15" s="88">
        <f t="shared" ca="1" si="11"/>
        <v>0.65971851923277935</v>
      </c>
      <c r="AR15" s="88">
        <f t="shared" ca="1" si="11"/>
        <v>0.65153484743270573</v>
      </c>
      <c r="AS15" s="88">
        <f t="shared" ca="1" si="11"/>
        <v>0.64346864298554152</v>
      </c>
      <c r="AT15" s="88">
        <f t="shared" ca="1" si="11"/>
        <v>0.63551783998488487</v>
      </c>
      <c r="AU15" s="88"/>
      <c r="AV15" s="88"/>
      <c r="AW15" s="88"/>
      <c r="AX15" s="88"/>
      <c r="AY15" s="88"/>
    </row>
    <row r="16" spans="2:51" ht="14.5" x14ac:dyDescent="0.35">
      <c r="D16" s="87"/>
      <c r="E16" s="93">
        <f t="shared" si="1"/>
        <v>6</v>
      </c>
      <c r="F16" s="92">
        <f t="shared" si="2"/>
        <v>1.5</v>
      </c>
      <c r="G16" s="91">
        <f t="shared" ca="1" si="3"/>
        <v>6.1907440953433805E-2</v>
      </c>
      <c r="H16" s="88">
        <f t="shared" ca="1" si="7"/>
        <v>0.33092137782689351</v>
      </c>
      <c r="I16" s="90">
        <f t="shared" ca="1" si="4"/>
        <v>0.38712541570776116</v>
      </c>
      <c r="J16" s="89">
        <f t="shared" ca="1" si="5"/>
        <v>-5.6204037880867641E-2</v>
      </c>
      <c r="L16" s="88">
        <f t="shared" ref="L16:AS16" ca="1" si="12">L$50*EXP(-M$51*$G16)</f>
        <v>0.9806346445078199</v>
      </c>
      <c r="M16" s="88">
        <f t="shared" ca="1" si="12"/>
        <v>0.96575292135716073</v>
      </c>
      <c r="N16" s="88">
        <f t="shared" ca="1" si="12"/>
        <v>0.95116668796614123</v>
      </c>
      <c r="O16" s="88">
        <f t="shared" ca="1" si="12"/>
        <v>0.93686888116171119</v>
      </c>
      <c r="P16" s="88">
        <f t="shared" ca="1" si="12"/>
        <v>0.9228525820403396</v>
      </c>
      <c r="Q16" s="88">
        <f t="shared" ca="1" si="12"/>
        <v>0.90911101766010782</v>
      </c>
      <c r="R16" s="88">
        <f t="shared" ca="1" si="12"/>
        <v>0.89563756213566403</v>
      </c>
      <c r="S16" s="88">
        <f t="shared" ca="1" si="12"/>
        <v>0.88242573720047868</v>
      </c>
      <c r="T16" s="88">
        <f t="shared" ca="1" si="12"/>
        <v>0.86946921229515528</v>
      </c>
      <c r="U16" s="88">
        <f t="shared" ca="1" si="12"/>
        <v>0.85676180423530468</v>
      </c>
      <c r="V16" s="88">
        <f t="shared" ca="1" si="12"/>
        <v>0.84429747650768627</v>
      </c>
      <c r="W16" s="88">
        <f t="shared" ca="1" si="12"/>
        <v>0.83207033823888965</v>
      </c>
      <c r="X16" s="88">
        <f t="shared" ca="1" si="12"/>
        <v>0.82007464287677856</v>
      </c>
      <c r="Y16" s="88">
        <f t="shared" ca="1" si="12"/>
        <v>0.80830478662118843</v>
      </c>
      <c r="Z16" s="88">
        <f t="shared" ca="1" si="12"/>
        <v>0.79675530663696237</v>
      </c>
      <c r="AA16" s="88">
        <f t="shared" ca="1" si="12"/>
        <v>0.78542087907928027</v>
      </c>
      <c r="AB16" s="88">
        <f t="shared" ca="1" si="12"/>
        <v>0.77429631695837153</v>
      </c>
      <c r="AC16" s="88">
        <f t="shared" ca="1" si="12"/>
        <v>0.76337656786808716</v>
      </c>
      <c r="AD16" s="88">
        <f t="shared" ca="1" si="12"/>
        <v>0.75265671160040826</v>
      </c>
      <c r="AE16" s="88">
        <f t="shared" ca="1" si="12"/>
        <v>0.74213195766578099</v>
      </c>
      <c r="AF16" s="88">
        <f t="shared" ca="1" si="12"/>
        <v>0.73179764273716985</v>
      </c>
      <c r="AG16" s="88">
        <f t="shared" ca="1" si="12"/>
        <v>0.72164922803389431</v>
      </c>
      <c r="AH16" s="88">
        <f t="shared" ca="1" si="12"/>
        <v>0.71168229665965677</v>
      </c>
      <c r="AI16" s="88">
        <f t="shared" ca="1" si="12"/>
        <v>0.70189255090764324</v>
      </c>
      <c r="AJ16" s="88">
        <f t="shared" ca="1" si="12"/>
        <v>0.69227580954420687</v>
      </c>
      <c r="AK16" s="88">
        <f t="shared" ca="1" si="12"/>
        <v>0.68282800508138153</v>
      </c>
      <c r="AL16" s="88">
        <f t="shared" ca="1" si="12"/>
        <v>0.6735451810473303</v>
      </c>
      <c r="AM16" s="88">
        <f t="shared" ca="1" si="12"/>
        <v>0.66442348926279382</v>
      </c>
      <c r="AN16" s="88">
        <f t="shared" ca="1" si="12"/>
        <v>0.65545918713066176</v>
      </c>
      <c r="AO16" s="88">
        <f t="shared" ca="1" si="12"/>
        <v>0.64664863494492941</v>
      </c>
      <c r="AP16" s="88">
        <f t="shared" ca="1" si="12"/>
        <v>0.63798829322452988</v>
      </c>
      <c r="AQ16" s="88">
        <f t="shared" ca="1" si="12"/>
        <v>0.6294747200768247</v>
      </c>
      <c r="AR16" s="88">
        <f t="shared" ca="1" si="12"/>
        <v>0.62110456859489982</v>
      </c>
      <c r="AS16" s="88">
        <f t="shared" ca="1" si="12"/>
        <v>0.61287458429223884</v>
      </c>
      <c r="AT16" s="88"/>
      <c r="AU16" s="88"/>
      <c r="AV16" s="88"/>
      <c r="AW16" s="88"/>
      <c r="AX16" s="88"/>
      <c r="AY16" s="88"/>
    </row>
    <row r="17" spans="4:51" ht="14.5" x14ac:dyDescent="0.35">
      <c r="D17" s="87"/>
      <c r="E17" s="93">
        <f t="shared" si="1"/>
        <v>7</v>
      </c>
      <c r="F17" s="92">
        <f t="shared" si="2"/>
        <v>1.75</v>
      </c>
      <c r="G17" s="91">
        <f t="shared" ca="1" si="3"/>
        <v>6.5938695549320442E-2</v>
      </c>
      <c r="H17" s="88">
        <f t="shared" ca="1" si="7"/>
        <v>0.31908432151543953</v>
      </c>
      <c r="I17" s="90">
        <f t="shared" ca="1" si="4"/>
        <v>0.39306779674256875</v>
      </c>
      <c r="J17" s="89">
        <f t="shared" ca="1" si="5"/>
        <v>-7.3983475227129225E-2</v>
      </c>
      <c r="L17" s="88">
        <f t="shared" ref="L17:AR17" ca="1" si="13">L$50*EXP(-M$51*$G17)</f>
        <v>0.97870854604870006</v>
      </c>
      <c r="M17" s="88">
        <f t="shared" ca="1" si="13"/>
        <v>0.96294392679509255</v>
      </c>
      <c r="N17" s="88">
        <f t="shared" ca="1" si="13"/>
        <v>0.94752476871854729</v>
      </c>
      <c r="O17" s="88">
        <f t="shared" ca="1" si="13"/>
        <v>0.93244156875835504</v>
      </c>
      <c r="P17" s="88">
        <f t="shared" ca="1" si="13"/>
        <v>0.91768508723970332</v>
      </c>
      <c r="Q17" s="88">
        <f t="shared" ca="1" si="13"/>
        <v>0.90324634374437673</v>
      </c>
      <c r="R17" s="88">
        <f t="shared" ca="1" si="13"/>
        <v>0.88911661265129072</v>
      </c>
      <c r="S17" s="88">
        <f t="shared" ca="1" si="13"/>
        <v>0.8752874184021262</v>
      </c>
      <c r="T17" s="88">
        <f t="shared" ca="1" si="13"/>
        <v>0.86175053054151218</v>
      </c>
      <c r="U17" s="88">
        <f t="shared" ca="1" si="13"/>
        <v>0.84849795857591892</v>
      </c>
      <c r="V17" s="88">
        <f t="shared" ca="1" si="13"/>
        <v>0.8355219466906274</v>
      </c>
      <c r="W17" s="88">
        <f t="shared" ca="1" si="13"/>
        <v>0.8228149683597914</v>
      </c>
      <c r="X17" s="88">
        <f t="shared" ca="1" si="13"/>
        <v>0.81036972088067349</v>
      </c>
      <c r="Y17" s="88">
        <f t="shared" ca="1" si="13"/>
        <v>0.79817911985957024</v>
      </c>
      <c r="Z17" s="88">
        <f t="shared" ca="1" si="13"/>
        <v>0.78623629367371928</v>
      </c>
      <c r="AA17" s="88">
        <f t="shared" ca="1" si="13"/>
        <v>0.77453457793057134</v>
      </c>
      <c r="AB17" s="88">
        <f t="shared" ca="1" si="13"/>
        <v>0.76306750994317896</v>
      </c>
      <c r="AC17" s="88">
        <f t="shared" ca="1" si="13"/>
        <v>0.75182882323809197</v>
      </c>
      <c r="AD17" s="88">
        <f t="shared" ca="1" si="13"/>
        <v>0.74081244211000363</v>
      </c>
      <c r="AE17" s="88">
        <f t="shared" ca="1" si="13"/>
        <v>0.7300124762354866</v>
      </c>
      <c r="AF17" s="88">
        <f t="shared" ca="1" si="13"/>
        <v>0.71942321535641551</v>
      </c>
      <c r="AG17" s="88">
        <f t="shared" ca="1" si="13"/>
        <v>0.70903912404213976</v>
      </c>
      <c r="AH17" s="88">
        <f t="shared" ca="1" si="13"/>
        <v>0.69885483653806746</v>
      </c>
      <c r="AI17" s="88">
        <f t="shared" ca="1" si="13"/>
        <v>0.68886515170708795</v>
      </c>
      <c r="AJ17" s="88">
        <f t="shared" ca="1" si="13"/>
        <v>0.67906502806914293</v>
      </c>
      <c r="AK17" s="88">
        <f t="shared" ca="1" si="13"/>
        <v>0.66944957894326629</v>
      </c>
      <c r="AL17" s="88">
        <f t="shared" ca="1" si="13"/>
        <v>0.6600140676955305</v>
      </c>
      <c r="AM17" s="88">
        <f t="shared" ca="1" si="13"/>
        <v>0.65075390309554471</v>
      </c>
      <c r="AN17" s="88">
        <f t="shared" ca="1" si="13"/>
        <v>0.64166463478346236</v>
      </c>
      <c r="AO17" s="88">
        <f t="shared" ca="1" si="13"/>
        <v>0.63274194884882795</v>
      </c>
      <c r="AP17" s="88">
        <f t="shared" ca="1" si="13"/>
        <v>0.62398166352205553</v>
      </c>
      <c r="AQ17" s="88">
        <f t="shared" ca="1" si="13"/>
        <v>0.61537972497884608</v>
      </c>
      <c r="AR17" s="88">
        <f t="shared" ca="1" si="13"/>
        <v>0.60693220325743125</v>
      </c>
      <c r="AS17" s="88"/>
      <c r="AT17" s="88"/>
      <c r="AU17" s="88"/>
      <c r="AV17" s="88"/>
      <c r="AW17" s="88"/>
      <c r="AX17" s="88"/>
      <c r="AY17" s="88"/>
    </row>
    <row r="18" spans="4:51" ht="14.5" x14ac:dyDescent="0.35">
      <c r="D18" s="87"/>
      <c r="E18" s="93">
        <f t="shared" si="1"/>
        <v>8</v>
      </c>
      <c r="F18" s="92">
        <f t="shared" si="2"/>
        <v>2</v>
      </c>
      <c r="G18" s="91">
        <f t="shared" ca="1" si="3"/>
        <v>7.0926548820346005E-2</v>
      </c>
      <c r="H18" s="88">
        <f t="shared" ca="1" si="7"/>
        <v>0.30663609533306924</v>
      </c>
      <c r="I18" s="90">
        <f t="shared" ca="1" si="4"/>
        <v>0.40162389046631786</v>
      </c>
      <c r="J18" s="89">
        <f t="shared" ca="1" si="5"/>
        <v>-9.498779513324862E-2</v>
      </c>
      <c r="L18" s="88">
        <f t="shared" ref="L18:AQ18" ca="1" si="14">L$50*EXP(-M$51*$G18)</f>
        <v>0.97633062843473739</v>
      </c>
      <c r="M18" s="88">
        <f t="shared" ca="1" si="14"/>
        <v>0.9594796762275597</v>
      </c>
      <c r="N18" s="88">
        <f t="shared" ca="1" si="14"/>
        <v>0.94303793308118655</v>
      </c>
      <c r="O18" s="88">
        <f t="shared" ca="1" si="14"/>
        <v>0.9269926220844743</v>
      </c>
      <c r="P18" s="88">
        <f t="shared" ca="1" si="14"/>
        <v>0.91133140055737338</v>
      </c>
      <c r="Q18" s="88">
        <f t="shared" ca="1" si="14"/>
        <v>0.89604234678031758</v>
      </c>
      <c r="R18" s="88">
        <f t="shared" ca="1" si="14"/>
        <v>0.88111394687747169</v>
      </c>
      <c r="S18" s="88">
        <f t="shared" ca="1" si="14"/>
        <v>0.86653508188589012</v>
      </c>
      <c r="T18" s="88">
        <f t="shared" ca="1" si="14"/>
        <v>0.85229501503752791</v>
      </c>
      <c r="U18" s="88">
        <f t="shared" ca="1" si="14"/>
        <v>0.83838337927653028</v>
      </c>
      <c r="V18" s="88">
        <f t="shared" ca="1" si="14"/>
        <v>0.82479016503021341</v>
      </c>
      <c r="W18" s="88">
        <f t="shared" ca="1" si="14"/>
        <v>0.81150570824860546</v>
      </c>
      <c r="X18" s="88">
        <f t="shared" ca="1" si="14"/>
        <v>0.79852067872429022</v>
      </c>
      <c r="Y18" s="88">
        <f t="shared" ca="1" si="14"/>
        <v>0.7858260687015417</v>
      </c>
      <c r="Z18" s="88">
        <f t="shared" ca="1" si="14"/>
        <v>0.77341318178131957</v>
      </c>
      <c r="AA18" s="88">
        <f t="shared" ca="1" si="14"/>
        <v>0.76127362212657756</v>
      </c>
      <c r="AB18" s="88">
        <f t="shared" ca="1" si="14"/>
        <v>0.74939928397048905</v>
      </c>
      <c r="AC18" s="88">
        <f t="shared" ca="1" si="14"/>
        <v>0.73778234142858612</v>
      </c>
      <c r="AD18" s="88">
        <f t="shared" ca="1" si="14"/>
        <v>0.72641523861441459</v>
      </c>
      <c r="AE18" s="88">
        <f t="shared" ca="1" si="14"/>
        <v>0.71529068005710594</v>
      </c>
      <c r="AF18" s="88">
        <f t="shared" ca="1" si="14"/>
        <v>0.70440162141823603</v>
      </c>
      <c r="AG18" s="88">
        <f t="shared" ca="1" si="14"/>
        <v>0.69374126050446061</v>
      </c>
      <c r="AH18" s="88">
        <f t="shared" ca="1" si="14"/>
        <v>0.68330302857167657</v>
      </c>
      <c r="AI18" s="88">
        <f t="shared" ca="1" si="14"/>
        <v>0.67308058191582842</v>
      </c>
      <c r="AJ18" s="88">
        <f t="shared" ca="1" si="14"/>
        <v>0.66306779374496505</v>
      </c>
      <c r="AK18" s="88">
        <f t="shared" ca="1" si="14"/>
        <v>0.65325874632672654</v>
      </c>
      <c r="AL18" s="88">
        <f t="shared" ca="1" si="14"/>
        <v>0.64364772340509846</v>
      </c>
      <c r="AM18" s="88">
        <f t="shared" ca="1" si="14"/>
        <v>0.63422920287999984</v>
      </c>
      <c r="AN18" s="88">
        <f t="shared" ca="1" si="14"/>
        <v>0.62499784974307393</v>
      </c>
      <c r="AO18" s="88">
        <f t="shared" ca="1" si="14"/>
        <v>0.61594850926289113</v>
      </c>
      <c r="AP18" s="88">
        <f t="shared" ca="1" si="14"/>
        <v>0.60707620041268584</v>
      </c>
      <c r="AQ18" s="88">
        <f t="shared" ca="1" si="14"/>
        <v>0.59837610953368214</v>
      </c>
      <c r="AR18" s="88"/>
      <c r="AS18" s="88"/>
      <c r="AT18" s="88"/>
      <c r="AU18" s="88"/>
      <c r="AV18" s="88"/>
      <c r="AW18" s="88"/>
      <c r="AX18" s="88"/>
      <c r="AY18" s="88"/>
    </row>
    <row r="19" spans="4:51" ht="14.5" x14ac:dyDescent="0.35">
      <c r="D19" s="87"/>
      <c r="E19" s="93">
        <f t="shared" si="1"/>
        <v>9</v>
      </c>
      <c r="F19" s="92">
        <f t="shared" si="2"/>
        <v>2.25</v>
      </c>
      <c r="G19" s="91">
        <f t="shared" ca="1" si="3"/>
        <v>7.4680126238043362E-2</v>
      </c>
      <c r="H19" s="88">
        <f t="shared" ca="1" si="7"/>
        <v>0.29571573388998101</v>
      </c>
      <c r="I19" s="90">
        <f t="shared" ca="1" si="4"/>
        <v>0.40534318618859866</v>
      </c>
      <c r="J19" s="89">
        <f t="shared" ca="1" si="5"/>
        <v>-0.10962745229861764</v>
      </c>
      <c r="L19" s="88">
        <f t="shared" ref="L19:AP19" ca="1" si="15">L$50*EXP(-M$51*$G19)</f>
        <v>0.97454495222065429</v>
      </c>
      <c r="M19" s="88">
        <f t="shared" ca="1" si="15"/>
        <v>0.9568808972417594</v>
      </c>
      <c r="N19" s="88">
        <f t="shared" ca="1" si="15"/>
        <v>0.93967540950946815</v>
      </c>
      <c r="O19" s="88">
        <f t="shared" ca="1" si="15"/>
        <v>0.9229130596964128</v>
      </c>
      <c r="P19" s="88">
        <f t="shared" ca="1" si="15"/>
        <v>0.90657899916523066</v>
      </c>
      <c r="Q19" s="88">
        <f t="shared" ca="1" si="15"/>
        <v>0.89065893828505216</v>
      </c>
      <c r="R19" s="88">
        <f t="shared" ca="1" si="15"/>
        <v>0.87513912539336247</v>
      </c>
      <c r="S19" s="88">
        <f t="shared" ca="1" si="15"/>
        <v>0.86000632640739239</v>
      </c>
      <c r="T19" s="88">
        <f t="shared" ca="1" si="15"/>
        <v>0.84524780508548025</v>
      </c>
      <c r="U19" s="88">
        <f t="shared" ca="1" si="15"/>
        <v>0.8308513039356622</v>
      </c>
      <c r="V19" s="88">
        <f t="shared" ca="1" si="15"/>
        <v>0.81680502576604885</v>
      </c>
      <c r="W19" s="88">
        <f t="shared" ca="1" si="15"/>
        <v>0.80309761586926054</v>
      </c>
      <c r="X19" s="88">
        <f t="shared" ca="1" si="15"/>
        <v>0.78971814483128011</v>
      </c>
      <c r="Y19" s="88">
        <f t="shared" ca="1" si="15"/>
        <v>0.7766560919534965</v>
      </c>
      <c r="Z19" s="88">
        <f t="shared" ca="1" si="15"/>
        <v>0.7639013292754091</v>
      </c>
      <c r="AA19" s="88">
        <f t="shared" ca="1" si="15"/>
        <v>0.75144410618441937</v>
      </c>
      <c r="AB19" s="88">
        <f t="shared" ca="1" si="15"/>
        <v>0.73927503459829969</v>
      </c>
      <c r="AC19" s="88">
        <f t="shared" ca="1" si="15"/>
        <v>0.72738507470530112</v>
      </c>
      <c r="AD19" s="88">
        <f t="shared" ca="1" si="15"/>
        <v>0.71576552124638471</v>
      </c>
      <c r="AE19" s="88">
        <f t="shared" ca="1" si="15"/>
        <v>0.70440799032374191</v>
      </c>
      <c r="AF19" s="88">
        <f t="shared" ca="1" si="15"/>
        <v>0.69330440671956561</v>
      </c>
      <c r="AG19" s="88">
        <f t="shared" ca="1" si="15"/>
        <v>0.68244699170894785</v>
      </c>
      <c r="AH19" s="88">
        <f t="shared" ca="1" si="15"/>
        <v>0.67182825135077551</v>
      </c>
      <c r="AI19" s="88">
        <f t="shared" ca="1" si="15"/>
        <v>0.6614409652405826</v>
      </c>
      <c r="AJ19" s="88">
        <f t="shared" ca="1" si="15"/>
        <v>0.6512781757094579</v>
      </c>
      <c r="AK19" s="88">
        <f t="shared" ca="1" si="15"/>
        <v>0.64133317745331897</v>
      </c>
      <c r="AL19" s="88">
        <f t="shared" ca="1" si="15"/>
        <v>0.63159950757710992</v>
      </c>
      <c r="AM19" s="88">
        <f t="shared" ca="1" si="15"/>
        <v>0.62207093603876695</v>
      </c>
      <c r="AN19" s="88">
        <f t="shared" ca="1" si="15"/>
        <v>0.61274145647813005</v>
      </c>
      <c r="AO19" s="88">
        <f t="shared" ca="1" si="15"/>
        <v>0.60360527741630976</v>
      </c>
      <c r="AP19" s="88">
        <f t="shared" ca="1" si="15"/>
        <v>0.59465681381140134</v>
      </c>
      <c r="AQ19" s="88"/>
      <c r="AR19" s="88"/>
      <c r="AS19" s="88"/>
      <c r="AT19" s="88"/>
      <c r="AU19" s="88"/>
      <c r="AV19" s="88"/>
      <c r="AW19" s="88"/>
      <c r="AX19" s="88"/>
      <c r="AY19" s="88"/>
    </row>
    <row r="20" spans="4:51" ht="14.5" x14ac:dyDescent="0.35">
      <c r="D20" s="87"/>
      <c r="E20" s="93">
        <f t="shared" si="1"/>
        <v>10</v>
      </c>
      <c r="F20" s="92">
        <f t="shared" si="2"/>
        <v>2.5</v>
      </c>
      <c r="G20" s="91">
        <f t="shared" ca="1" si="3"/>
        <v>7.4978209236246651E-2</v>
      </c>
      <c r="H20" s="88">
        <f t="shared" ca="1" si="7"/>
        <v>0.2880235871340176</v>
      </c>
      <c r="I20" s="90">
        <f t="shared" ca="1" si="4"/>
        <v>0.39736426894581467</v>
      </c>
      <c r="J20" s="89">
        <f t="shared" ca="1" si="5"/>
        <v>-0.10934068181179707</v>
      </c>
      <c r="L20" s="88">
        <f t="shared" ref="L20:AO20" ca="1" si="16">L$50*EXP(-M$51*$G20)</f>
        <v>0.97440328629791273</v>
      </c>
      <c r="M20" s="88">
        <f t="shared" ca="1" si="16"/>
        <v>0.95667482223419109</v>
      </c>
      <c r="N20" s="88">
        <f t="shared" ca="1" si="16"/>
        <v>0.93940889571700026</v>
      </c>
      <c r="O20" s="88">
        <f t="shared" ca="1" si="16"/>
        <v>0.92258985976706087</v>
      </c>
      <c r="P20" s="88">
        <f t="shared" ca="1" si="16"/>
        <v>0.90620266040467012</v>
      </c>
      <c r="Q20" s="88">
        <f t="shared" ca="1" si="16"/>
        <v>0.89023281423846079</v>
      </c>
      <c r="R20" s="88">
        <f t="shared" ca="1" si="16"/>
        <v>0.87466638674366048</v>
      </c>
      <c r="S20" s="88">
        <f t="shared" ca="1" si="16"/>
        <v>0.85948997123136273</v>
      </c>
      <c r="T20" s="88">
        <f t="shared" ca="1" si="16"/>
        <v>0.84469066850674634</v>
      </c>
      <c r="U20" s="88">
        <f t="shared" ca="1" si="16"/>
        <v>0.83025606721114542</v>
      </c>
      <c r="V20" s="88">
        <f t="shared" ca="1" si="16"/>
        <v>0.81617422484029734</v>
      </c>
      <c r="W20" s="88">
        <f t="shared" ca="1" si="16"/>
        <v>0.80243364942894591</v>
      </c>
      <c r="X20" s="88">
        <f t="shared" ca="1" si="16"/>
        <v>0.78902328189018012</v>
      </c>
      <c r="Y20" s="88">
        <f t="shared" ca="1" si="16"/>
        <v>0.77593247899642304</v>
      </c>
      <c r="Z20" s="88">
        <f t="shared" ca="1" si="16"/>
        <v>0.76315099698779365</v>
      </c>
      <c r="AA20" s="88">
        <f t="shared" ca="1" si="16"/>
        <v>0.75066897579261804</v>
      </c>
      <c r="AB20" s="88">
        <f t="shared" ca="1" si="16"/>
        <v>0.7384769238441401</v>
      </c>
      <c r="AC20" s="88">
        <f t="shared" ca="1" si="16"/>
        <v>0.7265657034769375</v>
      </c>
      <c r="AD20" s="88">
        <f t="shared" ca="1" si="16"/>
        <v>0.71492651688616426</v>
      </c>
      <c r="AE20" s="88">
        <f t="shared" ca="1" si="16"/>
        <v>0.70355089263250814</v>
      </c>
      <c r="AF20" s="88">
        <f t="shared" ca="1" si="16"/>
        <v>0.69243067267562075</v>
      </c>
      <c r="AG20" s="88">
        <f t="shared" ca="1" si="16"/>
        <v>0.68155799991876853</v>
      </c>
      <c r="AH20" s="88">
        <f t="shared" ca="1" si="16"/>
        <v>0.67092530624752322</v>
      </c>
      <c r="AI20" s="88">
        <f t="shared" ca="1" si="16"/>
        <v>0.66052530104545271</v>
      </c>
      <c r="AJ20" s="88">
        <f t="shared" ca="1" si="16"/>
        <v>0.65035096016998772</v>
      </c>
      <c r="AK20" s="88">
        <f t="shared" ca="1" si="16"/>
        <v>0.64039551537189898</v>
      </c>
      <c r="AL20" s="88">
        <f t="shared" ca="1" si="16"/>
        <v>0.6306524441421254</v>
      </c>
      <c r="AM20" s="88">
        <f t="shared" ca="1" si="16"/>
        <v>0.62111545997003748</v>
      </c>
      <c r="AN20" s="88">
        <f t="shared" ca="1" si="16"/>
        <v>0.61177850299758629</v>
      </c>
      <c r="AO20" s="88">
        <f t="shared" ca="1" si="16"/>
        <v>0.60263573105418533</v>
      </c>
      <c r="AP20" s="88"/>
      <c r="AQ20" s="88"/>
      <c r="AR20" s="88"/>
      <c r="AS20" s="88"/>
      <c r="AT20" s="88"/>
      <c r="AU20" s="88"/>
      <c r="AV20" s="88"/>
      <c r="AW20" s="88"/>
      <c r="AX20" s="88"/>
      <c r="AY20" s="88"/>
    </row>
    <row r="21" spans="4:51" ht="14.5" x14ac:dyDescent="0.35">
      <c r="D21" s="87"/>
      <c r="E21" s="93">
        <f t="shared" si="1"/>
        <v>11</v>
      </c>
      <c r="F21" s="92">
        <f t="shared" si="2"/>
        <v>2.75</v>
      </c>
      <c r="G21" s="91">
        <f t="shared" ca="1" si="3"/>
        <v>7.0019544679068763E-2</v>
      </c>
      <c r="H21" s="88">
        <f t="shared" ca="1" si="7"/>
        <v>0.28463164837136573</v>
      </c>
      <c r="I21" s="90">
        <f t="shared" ca="1" si="4"/>
        <v>0.37200395634445316</v>
      </c>
      <c r="J21" s="89">
        <f t="shared" ca="1" si="5"/>
        <v>-8.7372307973087426E-2</v>
      </c>
      <c r="L21" s="88">
        <f t="shared" ref="L21:AN21" ca="1" si="17">L$50*EXP(-M$51*$G21)</f>
        <v>0.97676260493636247</v>
      </c>
      <c r="M21" s="88">
        <f t="shared" ca="1" si="17"/>
        <v>0.96010869610941185</v>
      </c>
      <c r="N21" s="88">
        <f t="shared" ca="1" si="17"/>
        <v>0.94385224743222074</v>
      </c>
      <c r="O21" s="88">
        <f t="shared" ca="1" si="17"/>
        <v>0.92798109849477028</v>
      </c>
      <c r="P21" s="88">
        <f t="shared" ca="1" si="17"/>
        <v>0.91248349006511187</v>
      </c>
      <c r="Q21" s="88">
        <f t="shared" ca="1" si="17"/>
        <v>0.89734805264904804</v>
      </c>
      <c r="R21" s="88">
        <f t="shared" ca="1" si="17"/>
        <v>0.88256379510194194</v>
      </c>
      <c r="S21" s="88">
        <f t="shared" ca="1" si="17"/>
        <v>0.86812009333002504</v>
      </c>
      <c r="T21" s="88">
        <f t="shared" ca="1" si="17"/>
        <v>0.85400667911325223</v>
      </c>
      <c r="U21" s="88">
        <f t="shared" ca="1" si="17"/>
        <v>0.84021362907701658</v>
      </c>
      <c r="V21" s="88">
        <f t="shared" ca="1" si="17"/>
        <v>0.82673135383580632</v>
      </c>
      <c r="W21" s="88">
        <f t="shared" ca="1" si="17"/>
        <v>0.81355058732812979</v>
      </c>
      <c r="X21" s="88">
        <f t="shared" ca="1" si="17"/>
        <v>0.8006623763586963</v>
      </c>
      <c r="Y21" s="88">
        <f t="shared" ca="1" si="17"/>
        <v>0.78805807036088105</v>
      </c>
      <c r="Z21" s="88">
        <f t="shared" ca="1" si="17"/>
        <v>0.77572931138988388</v>
      </c>
      <c r="AA21" s="88">
        <f t="shared" ca="1" si="17"/>
        <v>0.76366802435468195</v>
      </c>
      <c r="AB21" s="88">
        <f t="shared" ca="1" si="17"/>
        <v>0.75186640749483957</v>
      </c>
      <c r="AC21" s="88">
        <f t="shared" ca="1" si="17"/>
        <v>0.74031692310644881</v>
      </c>
      <c r="AD21" s="88">
        <f t="shared" ca="1" si="17"/>
        <v>0.72901228851991107</v>
      </c>
      <c r="AE21" s="88">
        <f t="shared" ca="1" si="17"/>
        <v>0.71794546733089737</v>
      </c>
      <c r="AF21" s="88">
        <f t="shared" ca="1" si="17"/>
        <v>0.70710966088464033</v>
      </c>
      <c r="AG21" s="88">
        <f t="shared" ca="1" si="17"/>
        <v>0.69649830001267332</v>
      </c>
      <c r="AH21" s="88">
        <f t="shared" ca="1" si="17"/>
        <v>0.68610503702024939</v>
      </c>
      <c r="AI21" s="88">
        <f t="shared" ca="1" si="17"/>
        <v>0.67592373792190508</v>
      </c>
      <c r="AJ21" s="88">
        <f t="shared" ca="1" si="17"/>
        <v>0.66594847492198761</v>
      </c>
      <c r="AK21" s="88">
        <f t="shared" ca="1" si="17"/>
        <v>0.65617351913641297</v>
      </c>
      <c r="AL21" s="88">
        <f t="shared" ca="1" si="17"/>
        <v>0.64659333355146298</v>
      </c>
      <c r="AM21" s="88">
        <f t="shared" ca="1" si="17"/>
        <v>0.63720256621504745</v>
      </c>
      <c r="AN21" s="88">
        <f t="shared" ca="1" si="17"/>
        <v>0.62799604365554684</v>
      </c>
      <c r="AO21" s="88"/>
      <c r="AP21" s="88"/>
      <c r="AQ21" s="88"/>
      <c r="AR21" s="88"/>
      <c r="AS21" s="88"/>
      <c r="AT21" s="88"/>
      <c r="AU21" s="88"/>
      <c r="AV21" s="88"/>
      <c r="AW21" s="88"/>
      <c r="AX21" s="88"/>
      <c r="AY21" s="88"/>
    </row>
    <row r="22" spans="4:51" ht="14.5" x14ac:dyDescent="0.35">
      <c r="D22" s="87"/>
      <c r="E22" s="93">
        <f t="shared" si="1"/>
        <v>12</v>
      </c>
      <c r="F22" s="92">
        <f t="shared" si="2"/>
        <v>3</v>
      </c>
      <c r="G22" s="91">
        <f t="shared" ca="1" si="3"/>
        <v>7.5868464499996541E-2</v>
      </c>
      <c r="H22" s="88">
        <f t="shared" ca="1" si="7"/>
        <v>0.27214369804317995</v>
      </c>
      <c r="I22" s="90">
        <f t="shared" ca="1" si="4"/>
        <v>0.38172943885244315</v>
      </c>
      <c r="J22" s="89">
        <f t="shared" ca="1" si="5"/>
        <v>-0.1095857408092632</v>
      </c>
      <c r="L22" s="88">
        <f t="shared" ref="L22:AM22" ca="1" si="18">L$50*EXP(-M$51*$G22)</f>
        <v>0.97398030916177813</v>
      </c>
      <c r="M22" s="88">
        <f t="shared" ca="1" si="18"/>
        <v>0.95605962238321684</v>
      </c>
      <c r="N22" s="88">
        <f t="shared" ca="1" si="18"/>
        <v>0.93861337501935282</v>
      </c>
      <c r="O22" s="88">
        <f t="shared" ca="1" si="18"/>
        <v>0.92162526387297661</v>
      </c>
      <c r="P22" s="88">
        <f t="shared" ca="1" si="18"/>
        <v>0.90507961611461907</v>
      </c>
      <c r="Q22" s="88">
        <f t="shared" ca="1" si="18"/>
        <v>0.88896136464408693</v>
      </c>
      <c r="R22" s="88">
        <f t="shared" ca="1" si="18"/>
        <v>0.87325602427795601</v>
      </c>
      <c r="S22" s="88">
        <f t="shared" ca="1" si="18"/>
        <v>0.85794966875622392</v>
      </c>
      <c r="T22" s="88">
        <f t="shared" ca="1" si="18"/>
        <v>0.84302890855822554</v>
      </c>
      <c r="U22" s="88">
        <f t="shared" ca="1" si="18"/>
        <v>0.82848086951532296</v>
      </c>
      <c r="V22" s="88">
        <f t="shared" ca="1" si="18"/>
        <v>0.81429317220574682</v>
      </c>
      <c r="W22" s="88">
        <f t="shared" ca="1" si="18"/>
        <v>0.80045391211521344</v>
      </c>
      <c r="X22" s="88">
        <f t="shared" ca="1" si="18"/>
        <v>0.78695164054554423</v>
      </c>
      <c r="Y22" s="88">
        <f t="shared" ca="1" si="18"/>
        <v>0.77377534625241129</v>
      </c>
      <c r="Z22" s="88">
        <f t="shared" ca="1" si="18"/>
        <v>0.76091443779249246</v>
      </c>
      <c r="AA22" s="88">
        <f t="shared" ca="1" si="18"/>
        <v>0.74835872655970659</v>
      </c>
      <c r="AB22" s="88">
        <f t="shared" ca="1" si="18"/>
        <v>0.73609841048978031</v>
      </c>
      <c r="AC22" s="88">
        <f t="shared" ca="1" si="18"/>
        <v>0.72412405841215621</v>
      </c>
      <c r="AD22" s="88">
        <f t="shared" ca="1" si="18"/>
        <v>0.7124265950281401</v>
      </c>
      <c r="AE22" s="88">
        <f t="shared" ca="1" si="18"/>
        <v>0.70099728649421467</v>
      </c>
      <c r="AF22" s="88">
        <f t="shared" ca="1" si="18"/>
        <v>0.68982772658957048</v>
      </c>
      <c r="AG22" s="88">
        <f t="shared" ca="1" si="18"/>
        <v>0.67890982344711848</v>
      </c>
      <c r="AH22" s="88">
        <f t="shared" ca="1" si="18"/>
        <v>0.66823578682754181</v>
      </c>
      <c r="AI22" s="88">
        <f t="shared" ca="1" si="18"/>
        <v>0.65779811591629478</v>
      </c>
      <c r="AJ22" s="88">
        <f t="shared" ca="1" si="18"/>
        <v>0.64758958762385765</v>
      </c>
      <c r="AK22" s="88">
        <f t="shared" ca="1" si="18"/>
        <v>0.63760324537000146</v>
      </c>
      <c r="AL22" s="88">
        <f t="shared" ca="1" si="18"/>
        <v>0.62783238833329114</v>
      </c>
      <c r="AM22" s="88">
        <f t="shared" ca="1" si="18"/>
        <v>0.61827056114755685</v>
      </c>
      <c r="AN22" s="88"/>
      <c r="AO22" s="88"/>
      <c r="AP22" s="88"/>
      <c r="AQ22" s="88"/>
      <c r="AR22" s="88"/>
      <c r="AS22" s="88"/>
      <c r="AT22" s="88"/>
      <c r="AU22" s="88"/>
      <c r="AV22" s="88"/>
      <c r="AW22" s="88"/>
      <c r="AX22" s="88"/>
      <c r="AY22" s="88"/>
    </row>
    <row r="23" spans="4:51" ht="14.5" x14ac:dyDescent="0.35">
      <c r="D23" s="87"/>
      <c r="E23" s="93">
        <f t="shared" si="1"/>
        <v>13</v>
      </c>
      <c r="F23" s="92">
        <f t="shared" si="2"/>
        <v>3.25</v>
      </c>
      <c r="G23" s="91">
        <f t="shared" ca="1" si="3"/>
        <v>7.1190928520156516E-2</v>
      </c>
      <c r="H23" s="88">
        <f t="shared" ca="1" si="7"/>
        <v>0.26792799153896191</v>
      </c>
      <c r="I23" s="90">
        <f t="shared" ca="1" si="4"/>
        <v>0.35720835443925703</v>
      </c>
      <c r="J23" s="89">
        <f t="shared" ca="1" si="5"/>
        <v>-8.9280362900295118E-2</v>
      </c>
      <c r="L23" s="88">
        <f t="shared" ref="L23:AL23" ca="1" si="19">L$50*EXP(-M$51*$G23)</f>
        <v>0.97620474896618992</v>
      </c>
      <c r="M23" s="88">
        <f t="shared" ca="1" si="19"/>
        <v>0.95929640284009521</v>
      </c>
      <c r="N23" s="88">
        <f t="shared" ca="1" si="19"/>
        <v>0.94280070349393197</v>
      </c>
      <c r="O23" s="88">
        <f t="shared" ca="1" si="19"/>
        <v>0.92670469253238197</v>
      </c>
      <c r="P23" s="88">
        <f t="shared" ca="1" si="19"/>
        <v>0.91099585559493712</v>
      </c>
      <c r="Q23" s="88">
        <f t="shared" ca="1" si="19"/>
        <v>0.89566210853725348</v>
      </c>
      <c r="R23" s="88">
        <f t="shared" ca="1" si="19"/>
        <v>0.88069178379723023</v>
      </c>
      <c r="S23" s="88">
        <f t="shared" ca="1" si="19"/>
        <v>0.86607361697620711</v>
      </c>
      <c r="T23" s="88">
        <f t="shared" ca="1" si="19"/>
        <v>0.85179673366064668</v>
      </c>
      <c r="U23" s="88">
        <f t="shared" ca="1" si="19"/>
        <v>0.8378506365052194</v>
      </c>
      <c r="V23" s="88">
        <f t="shared" ca="1" si="19"/>
        <v>0.82422519259426485</v>
      </c>
      <c r="W23" s="88">
        <f t="shared" ca="1" si="19"/>
        <v>0.81091062109512901</v>
      </c>
      <c r="X23" s="88">
        <f t="shared" ca="1" si="19"/>
        <v>0.79789748121381898</v>
      </c>
      <c r="Y23" s="88">
        <f t="shared" ca="1" si="19"/>
        <v>0.78517666046072332</v>
      </c>
      <c r="Z23" s="88">
        <f t="shared" ca="1" si="19"/>
        <v>0.77273936323179671</v>
      </c>
      <c r="AA23" s="88">
        <f t="shared" ca="1" si="19"/>
        <v>0.76057709970854626</v>
      </c>
      <c r="AB23" s="88">
        <f t="shared" ca="1" si="19"/>
        <v>0.74868167507836947</v>
      </c>
      <c r="AC23" s="88">
        <f t="shared" ca="1" si="19"/>
        <v>0.73704517907524381</v>
      </c>
      <c r="AD23" s="88">
        <f t="shared" ca="1" si="19"/>
        <v>0.72565997583942232</v>
      </c>
      <c r="AE23" s="88">
        <f t="shared" ca="1" si="19"/>
        <v>0.71451869409364899</v>
      </c>
      <c r="AF23" s="88">
        <f t="shared" ca="1" si="19"/>
        <v>0.70361421763241649</v>
      </c>
      <c r="AG23" s="88">
        <f t="shared" ca="1" si="19"/>
        <v>0.69293967611996299</v>
      </c>
      <c r="AH23" s="88">
        <f t="shared" ca="1" si="19"/>
        <v>0.68248843619200383</v>
      </c>
      <c r="AI23" s="88">
        <f t="shared" ca="1" si="19"/>
        <v>0.67225409285561022</v>
      </c>
      <c r="AJ23" s="88">
        <f t="shared" ca="1" si="19"/>
        <v>0.66223046118117124</v>
      </c>
      <c r="AK23" s="88">
        <f t="shared" ca="1" si="19"/>
        <v>0.65241156827998759</v>
      </c>
      <c r="AL23" s="88">
        <f t="shared" ca="1" si="19"/>
        <v>0.64279164556074297</v>
      </c>
      <c r="AM23" s="88"/>
      <c r="AN23" s="88"/>
      <c r="AO23" s="88"/>
      <c r="AP23" s="88"/>
      <c r="AQ23" s="88"/>
      <c r="AR23" s="88"/>
      <c r="AS23" s="88"/>
      <c r="AT23" s="88"/>
      <c r="AU23" s="88"/>
      <c r="AV23" s="88"/>
      <c r="AW23" s="88"/>
      <c r="AX23" s="88"/>
      <c r="AY23" s="88"/>
    </row>
    <row r="24" spans="4:51" ht="14.5" x14ac:dyDescent="0.35">
      <c r="D24" s="87"/>
      <c r="E24" s="93">
        <f t="shared" si="1"/>
        <v>14</v>
      </c>
      <c r="F24" s="92">
        <f t="shared" si="2"/>
        <v>3.5</v>
      </c>
      <c r="G24" s="91">
        <f t="shared" ca="1" si="3"/>
        <v>7.2960546700545428E-2</v>
      </c>
      <c r="H24" s="88">
        <f t="shared" ca="1" si="7"/>
        <v>0.2586286954170659</v>
      </c>
      <c r="I24" s="90">
        <f t="shared" ca="1" si="4"/>
        <v>0.35323077559597327</v>
      </c>
      <c r="J24" s="89">
        <f t="shared" ca="1" si="5"/>
        <v>-9.4602080178907366E-2</v>
      </c>
      <c r="L24" s="88">
        <f t="shared" ref="L24:AK24" ca="1" si="20">L$50*EXP(-M$51*$G24)</f>
        <v>0.97536259602114217</v>
      </c>
      <c r="M24" s="88">
        <f t="shared" ca="1" si="20"/>
        <v>0.95807056856073625</v>
      </c>
      <c r="N24" s="88">
        <f t="shared" ca="1" si="20"/>
        <v>0.9412143496749672</v>
      </c>
      <c r="O24" s="88">
        <f t="shared" ca="1" si="20"/>
        <v>0.92477974542703734</v>
      </c>
      <c r="P24" s="88">
        <f t="shared" ca="1" si="20"/>
        <v>0.90875307352202495</v>
      </c>
      <c r="Q24" s="88">
        <f t="shared" ca="1" si="20"/>
        <v>0.89312114564809231</v>
      </c>
      <c r="R24" s="88">
        <f t="shared" ca="1" si="20"/>
        <v>0.87787125022341495</v>
      </c>
      <c r="S24" s="88">
        <f t="shared" ca="1" si="20"/>
        <v>0.86299113556698048</v>
      </c>
      <c r="T24" s="88">
        <f t="shared" ca="1" si="20"/>
        <v>0.84846899350695981</v>
      </c>
      <c r="U24" s="88">
        <f t="shared" ca="1" si="20"/>
        <v>0.83429344343645861</v>
      </c>
      <c r="V24" s="88">
        <f t="shared" ca="1" si="20"/>
        <v>0.82045351682307699</v>
      </c>
      <c r="W24" s="88">
        <f t="shared" ca="1" si="20"/>
        <v>0.80693864217575617</v>
      </c>
      <c r="X24" s="88">
        <f t="shared" ca="1" si="20"/>
        <v>0.79373863046986015</v>
      </c>
      <c r="Y24" s="88">
        <f t="shared" ca="1" si="20"/>
        <v>0.78084366102924241</v>
      </c>
      <c r="Z24" s="88">
        <f t="shared" ca="1" si="20"/>
        <v>0.76824426786218147</v>
      </c>
      <c r="AA24" s="88">
        <f t="shared" ca="1" si="20"/>
        <v>0.75593132644647321</v>
      </c>
      <c r="AB24" s="88">
        <f t="shared" ca="1" si="20"/>
        <v>0.74389604095761896</v>
      </c>
      <c r="AC24" s="88">
        <f t="shared" ca="1" si="20"/>
        <v>0.73212993193292264</v>
      </c>
      <c r="AD24" s="88">
        <f t="shared" ca="1" si="20"/>
        <v>0.72062482436337427</v>
      </c>
      <c r="AE24" s="88">
        <f t="shared" ca="1" si="20"/>
        <v>0.7093728362044287</v>
      </c>
      <c r="AF24" s="88">
        <f t="shared" ca="1" si="20"/>
        <v>0.69836636729617563</v>
      </c>
      <c r="AG24" s="88">
        <f t="shared" ca="1" si="20"/>
        <v>0.68759808868291106</v>
      </c>
      <c r="AH24" s="88">
        <f t="shared" ca="1" si="20"/>
        <v>0.67706093232174935</v>
      </c>
      <c r="AI24" s="88">
        <f t="shared" ca="1" si="20"/>
        <v>0.66674808116964546</v>
      </c>
      <c r="AJ24" s="88">
        <f t="shared" ca="1" si="20"/>
        <v>0.65665295963801396</v>
      </c>
      <c r="AK24" s="88">
        <f t="shared" ca="1" si="20"/>
        <v>0.64676922440402673</v>
      </c>
      <c r="AL24" s="88"/>
      <c r="AM24" s="88"/>
      <c r="AN24" s="88"/>
      <c r="AO24" s="88"/>
      <c r="AP24" s="88"/>
      <c r="AQ24" s="88"/>
      <c r="AR24" s="88"/>
      <c r="AS24" s="88"/>
      <c r="AT24" s="88"/>
      <c r="AU24" s="88"/>
      <c r="AV24" s="88"/>
      <c r="AW24" s="88"/>
      <c r="AX24" s="88"/>
      <c r="AY24" s="88"/>
    </row>
    <row r="25" spans="4:51" ht="14.5" x14ac:dyDescent="0.35">
      <c r="D25" s="87"/>
      <c r="E25" s="93">
        <f t="shared" si="1"/>
        <v>15</v>
      </c>
      <c r="F25" s="92">
        <f t="shared" si="2"/>
        <v>3.75</v>
      </c>
      <c r="G25" s="91">
        <f t="shared" ca="1" si="3"/>
        <v>8.0123525843180901E-2</v>
      </c>
      <c r="H25" s="88">
        <f t="shared" ca="1" si="7"/>
        <v>0.24578231384014004</v>
      </c>
      <c r="I25" s="90">
        <f t="shared" ca="1" si="4"/>
        <v>0.36544758133176392</v>
      </c>
      <c r="J25" s="89">
        <f t="shared" ca="1" si="5"/>
        <v>-0.11966526749162387</v>
      </c>
      <c r="L25" s="88">
        <f t="shared" ref="L25:AJ25" ca="1" si="21">L$50*EXP(-M$51*$G25)</f>
        <v>0.97196118357257355</v>
      </c>
      <c r="M25" s="88">
        <f t="shared" ca="1" si="21"/>
        <v>0.95312467483134877</v>
      </c>
      <c r="N25" s="88">
        <f t="shared" ca="1" si="21"/>
        <v>0.9348204015998629</v>
      </c>
      <c r="O25" s="88">
        <f t="shared" ca="1" si="21"/>
        <v>0.91702879561924655</v>
      </c>
      <c r="P25" s="88">
        <f t="shared" ca="1" si="21"/>
        <v>0.89973111033336883</v>
      </c>
      <c r="Q25" s="88">
        <f t="shared" ca="1" si="21"/>
        <v>0.8829093844562651</v>
      </c>
      <c r="R25" s="88">
        <f t="shared" ca="1" si="21"/>
        <v>0.86654640711902264</v>
      </c>
      <c r="S25" s="88">
        <f t="shared" ca="1" si="21"/>
        <v>0.85062568454071252</v>
      </c>
      <c r="T25" s="88">
        <f t="shared" ca="1" si="21"/>
        <v>0.83513140816788689</v>
      </c>
      <c r="U25" s="88">
        <f t="shared" ca="1" si="21"/>
        <v>0.82004842422743818</v>
      </c>
      <c r="V25" s="88">
        <f t="shared" ca="1" si="21"/>
        <v>0.80536220463819097</v>
      </c>
      <c r="W25" s="88">
        <f t="shared" ca="1" si="21"/>
        <v>0.79105881922739263</v>
      </c>
      <c r="X25" s="88">
        <f t="shared" ca="1" si="21"/>
        <v>0.77712490919928023</v>
      </c>
      <c r="Y25" s="88">
        <f t="shared" ca="1" si="21"/>
        <v>0.7635476618040532</v>
      </c>
      <c r="Z25" s="88">
        <f t="shared" ca="1" si="21"/>
        <v>0.75031478615686775</v>
      </c>
      <c r="AA25" s="88">
        <f t="shared" ca="1" si="21"/>
        <v>0.73741449015785021</v>
      </c>
      <c r="AB25" s="88">
        <f t="shared" ca="1" si="21"/>
        <v>0.72483545846557762</v>
      </c>
      <c r="AC25" s="88">
        <f t="shared" ca="1" si="21"/>
        <v>0.71256683147798494</v>
      </c>
      <c r="AD25" s="88">
        <f t="shared" ca="1" si="21"/>
        <v>0.70059818527619155</v>
      </c>
      <c r="AE25" s="88">
        <f t="shared" ca="1" si="21"/>
        <v>0.68891951248830807</v>
      </c>
      <c r="AF25" s="88">
        <f t="shared" ca="1" si="21"/>
        <v>0.67752120403184191</v>
      </c>
      <c r="AG25" s="88">
        <f t="shared" ca="1" si="21"/>
        <v>0.66639403169489098</v>
      </c>
      <c r="AH25" s="88">
        <f t="shared" ca="1" si="21"/>
        <v>0.6555291315178583</v>
      </c>
      <c r="AI25" s="88">
        <f t="shared" ca="1" si="21"/>
        <v>0.64491798793895194</v>
      </c>
      <c r="AJ25" s="88">
        <f t="shared" ca="1" si="21"/>
        <v>0.63455241866823608</v>
      </c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88"/>
      <c r="AV25" s="88"/>
      <c r="AW25" s="88"/>
      <c r="AX25" s="88"/>
      <c r="AY25" s="88"/>
    </row>
    <row r="26" spans="4:51" ht="14.5" x14ac:dyDescent="0.35">
      <c r="D26" s="87"/>
      <c r="E26" s="93">
        <f t="shared" si="1"/>
        <v>16</v>
      </c>
      <c r="F26" s="92">
        <f t="shared" si="2"/>
        <v>4</v>
      </c>
      <c r="G26" s="91">
        <f t="shared" ca="1" si="3"/>
        <v>7.7142223667995655E-2</v>
      </c>
      <c r="H26" s="88">
        <f t="shared" ca="1" si="7"/>
        <v>0.2397047884577877</v>
      </c>
      <c r="I26" s="90">
        <f t="shared" ca="1" si="4"/>
        <v>0.34608431614957369</v>
      </c>
      <c r="J26" s="89">
        <f t="shared" ca="1" si="5"/>
        <v>-0.10637952769178599</v>
      </c>
      <c r="L26" s="88">
        <f t="shared" ref="L26:AI26" ca="1" si="22">L$50*EXP(-M$51*$G26)</f>
        <v>0.97337544132635345</v>
      </c>
      <c r="M26" s="88">
        <f t="shared" ca="1" si="22"/>
        <v>0.95518009480475496</v>
      </c>
      <c r="N26" s="88">
        <f t="shared" ca="1" si="22"/>
        <v>0.93747633148874443</v>
      </c>
      <c r="O26" s="88">
        <f t="shared" ca="1" si="22"/>
        <v>0.92024689313759589</v>
      </c>
      <c r="P26" s="88">
        <f t="shared" ca="1" si="22"/>
        <v>0.90347520693131433</v>
      </c>
      <c r="Q26" s="88">
        <f t="shared" ca="1" si="22"/>
        <v>0.88714535750333745</v>
      </c>
      <c r="R26" s="88">
        <f t="shared" ca="1" si="22"/>
        <v>0.87124206000685678</v>
      </c>
      <c r="S26" s="88">
        <f t="shared" ca="1" si="22"/>
        <v>0.85575063419499464</v>
      </c>
      <c r="T26" s="88">
        <f t="shared" ca="1" si="22"/>
        <v>0.84065697949273777</v>
      </c>
      <c r="U26" s="88">
        <f t="shared" ca="1" si="22"/>
        <v>0.82594755103667261</v>
      </c>
      <c r="V26" s="88">
        <f t="shared" ca="1" si="22"/>
        <v>0.81160933665712132</v>
      </c>
      <c r="W26" s="88">
        <f t="shared" ca="1" si="22"/>
        <v>0.79762983477618266</v>
      </c>
      <c r="X26" s="88">
        <f t="shared" ca="1" si="22"/>
        <v>0.78399703319441127</v>
      </c>
      <c r="Y26" s="88">
        <f t="shared" ca="1" si="22"/>
        <v>0.77069938873834609</v>
      </c>
      <c r="Z26" s="88">
        <f t="shared" ca="1" si="22"/>
        <v>0.75772580774082166</v>
      </c>
      <c r="AA26" s="88">
        <f t="shared" ca="1" si="22"/>
        <v>0.74506562732589898</v>
      </c>
      <c r="AB26" s="88">
        <f t="shared" ca="1" si="22"/>
        <v>0.73270859747033434</v>
      </c>
      <c r="AC26" s="88">
        <f t="shared" ca="1" si="22"/>
        <v>0.72064486381371939</v>
      </c>
      <c r="AD26" s="88">
        <f t="shared" ca="1" si="22"/>
        <v>0.70886495118975623</v>
      </c>
      <c r="AE26" s="88">
        <f t="shared" ca="1" si="22"/>
        <v>0.69735974785156674</v>
      </c>
      <c r="AF26" s="88">
        <f t="shared" ca="1" si="22"/>
        <v>0.68612049036444533</v>
      </c>
      <c r="AG26" s="88">
        <f t="shared" ca="1" si="22"/>
        <v>0.67513874914004091</v>
      </c>
      <c r="AH26" s="88">
        <f t="shared" ca="1" si="22"/>
        <v>0.66440641458658112</v>
      </c>
      <c r="AI26" s="88">
        <f t="shared" ca="1" si="22"/>
        <v>0.65391568385042631</v>
      </c>
      <c r="AJ26" s="88"/>
      <c r="AK26" s="88"/>
      <c r="AL26" s="88"/>
      <c r="AM26" s="88"/>
      <c r="AN26" s="88"/>
      <c r="AO26" s="88"/>
      <c r="AP26" s="88"/>
      <c r="AQ26" s="88"/>
      <c r="AR26" s="88"/>
      <c r="AS26" s="88"/>
      <c r="AT26" s="88"/>
      <c r="AU26" s="88"/>
      <c r="AV26" s="88"/>
      <c r="AW26" s="88"/>
      <c r="AX26" s="88"/>
      <c r="AY26" s="88"/>
    </row>
    <row r="27" spans="4:51" ht="14.5" x14ac:dyDescent="0.35">
      <c r="D27" s="87"/>
      <c r="E27" s="93">
        <f t="shared" si="1"/>
        <v>17</v>
      </c>
      <c r="F27" s="92">
        <f t="shared" si="2"/>
        <v>4.25</v>
      </c>
      <c r="G27" s="91">
        <f t="shared" ca="1" si="3"/>
        <v>7.0317382024046721E-2</v>
      </c>
      <c r="H27" s="88">
        <f t="shared" ca="1" si="7"/>
        <v>0.23557999754415127</v>
      </c>
      <c r="I27" s="90">
        <f t="shared" ca="1" si="4"/>
        <v>0.31481633682263344</v>
      </c>
      <c r="J27" s="89">
        <f t="shared" ca="1" si="5"/>
        <v>-7.9236339278482171E-2</v>
      </c>
      <c r="L27" s="88">
        <f t="shared" ref="L27:AH27" ca="1" si="23">L$50*EXP(-M$51*$G27)</f>
        <v>0.97662073364730961</v>
      </c>
      <c r="M27" s="88">
        <f t="shared" ca="1" si="23"/>
        <v>0.95990209634228729</v>
      </c>
      <c r="N27" s="88">
        <f t="shared" ca="1" si="23"/>
        <v>0.94358476957315174</v>
      </c>
      <c r="O27" s="88">
        <f t="shared" ca="1" si="23"/>
        <v>0.92765639152954393</v>
      </c>
      <c r="P27" s="88">
        <f t="shared" ca="1" si="23"/>
        <v>0.91210501233412833</v>
      </c>
      <c r="Q27" s="88">
        <f t="shared" ca="1" si="23"/>
        <v>0.89691908200971482</v>
      </c>
      <c r="R27" s="88">
        <f t="shared" ca="1" si="23"/>
        <v>0.88208743853121618</v>
      </c>
      <c r="S27" s="88">
        <f t="shared" ca="1" si="23"/>
        <v>0.86759929599811636</v>
      </c>
      <c r="T27" s="88">
        <f t="shared" ca="1" si="23"/>
        <v>0.85344423295787919</v>
      </c>
      <c r="U27" s="88">
        <f t="shared" ca="1" si="23"/>
        <v>0.83961218090604983</v>
      </c>
      <c r="V27" s="88">
        <f t="shared" ca="1" si="23"/>
        <v>0.82609341298464611</v>
      </c>
      <c r="W27" s="88">
        <f t="shared" ca="1" si="23"/>
        <v>0.81287853289673917</v>
      </c>
      <c r="X27" s="88">
        <f t="shared" ca="1" si="23"/>
        <v>0.79995846405185855</v>
      </c>
      <c r="Y27" s="88">
        <f t="shared" ca="1" si="23"/>
        <v>0.78732443895395576</v>
      </c>
      <c r="Z27" s="88">
        <f t="shared" ca="1" si="23"/>
        <v>0.77496798884110596</v>
      </c>
      <c r="AA27" s="88">
        <f t="shared" ca="1" si="23"/>
        <v>0.76288093358388276</v>
      </c>
      <c r="AB27" s="88">
        <f t="shared" ca="1" si="23"/>
        <v>0.75105537184735538</v>
      </c>
      <c r="AC27" s="88">
        <f t="shared" ca="1" si="23"/>
        <v>0.73948367151993555</v>
      </c>
      <c r="AD27" s="88">
        <f t="shared" ca="1" si="23"/>
        <v>0.72815846041078058</v>
      </c>
      <c r="AE27" s="88">
        <f t="shared" ca="1" si="23"/>
        <v>0.71707261721615234</v>
      </c>
      <c r="AF27" s="88">
        <f t="shared" ca="1" si="23"/>
        <v>0.70621926275398572</v>
      </c>
      <c r="AG27" s="88">
        <f t="shared" ca="1" si="23"/>
        <v>0.69559175146494023</v>
      </c>
      <c r="AH27" s="88">
        <f t="shared" ca="1" si="23"/>
        <v>0.68518366317736656</v>
      </c>
      <c r="AI27" s="88"/>
      <c r="AJ27" s="88"/>
      <c r="AK27" s="88"/>
      <c r="AL27" s="88"/>
      <c r="AM27" s="88"/>
      <c r="AN27" s="88"/>
      <c r="AO27" s="88"/>
      <c r="AP27" s="88"/>
      <c r="AQ27" s="88"/>
      <c r="AR27" s="88"/>
      <c r="AS27" s="88"/>
      <c r="AT27" s="88"/>
      <c r="AU27" s="88"/>
      <c r="AV27" s="88"/>
      <c r="AW27" s="88"/>
      <c r="AX27" s="88"/>
      <c r="AY27" s="88"/>
    </row>
    <row r="28" spans="4:51" ht="14.5" x14ac:dyDescent="0.35">
      <c r="D28" s="87"/>
      <c r="E28" s="93">
        <f t="shared" si="1"/>
        <v>18</v>
      </c>
      <c r="F28" s="92">
        <f t="shared" si="2"/>
        <v>4.5</v>
      </c>
      <c r="G28" s="91">
        <f t="shared" ca="1" si="3"/>
        <v>6.2770018802107114E-2</v>
      </c>
      <c r="H28" s="88">
        <f t="shared" ca="1" si="7"/>
        <v>0.23129813945728095</v>
      </c>
      <c r="I28" s="90">
        <f t="shared" ca="1" si="4"/>
        <v>0.28106771335776182</v>
      </c>
      <c r="J28" s="89">
        <f t="shared" ca="1" si="5"/>
        <v>-4.9769573900480868E-2</v>
      </c>
      <c r="L28" s="88">
        <f t="shared" ref="L28:AG28" ca="1" si="24">L$50*EXP(-M$51*$G28)</f>
        <v>0.98022219378743569</v>
      </c>
      <c r="M28" s="88">
        <f t="shared" ca="1" si="24"/>
        <v>0.96515118534862987</v>
      </c>
      <c r="N28" s="88">
        <f t="shared" ca="1" si="24"/>
        <v>0.95038624186305298</v>
      </c>
      <c r="O28" s="88">
        <f t="shared" ca="1" si="24"/>
        <v>0.93591979343448606</v>
      </c>
      <c r="P28" s="88">
        <f t="shared" ca="1" si="24"/>
        <v>0.92174443853951682</v>
      </c>
      <c r="Q28" s="88">
        <f t="shared" ca="1" si="24"/>
        <v>0.90785294458554588</v>
      </c>
      <c r="R28" s="88">
        <f t="shared" ca="1" si="24"/>
        <v>0.89423824792021456</v>
      </c>
      <c r="S28" s="88">
        <f t="shared" ca="1" si="24"/>
        <v>0.88089345335536817</v>
      </c>
      <c r="T28" s="88">
        <f t="shared" ca="1" si="24"/>
        <v>0.86781183326290434</v>
      </c>
      <c r="U28" s="88">
        <f t="shared" ca="1" si="24"/>
        <v>0.85498682629456424</v>
      </c>
      <c r="V28" s="88">
        <f t="shared" ca="1" si="24"/>
        <v>0.84241203577288004</v>
      </c>
      <c r="W28" s="88">
        <f t="shared" ca="1" si="24"/>
        <v>0.83008122779604521</v>
      </c>
      <c r="X28" s="88">
        <f t="shared" ca="1" si="24"/>
        <v>0.81798832909541053</v>
      </c>
      <c r="Y28" s="88">
        <f t="shared" ca="1" si="24"/>
        <v>0.80612742468058496</v>
      </c>
      <c r="Z28" s="88">
        <f t="shared" ca="1" si="24"/>
        <v>0.79449275530372021</v>
      </c>
      <c r="AA28" s="88">
        <f t="shared" ca="1" si="24"/>
        <v>0.78307871477144908</v>
      </c>
      <c r="AB28" s="88">
        <f t="shared" ca="1" si="24"/>
        <v>0.7718798471301086</v>
      </c>
      <c r="AC28" s="88">
        <f t="shared" ca="1" si="24"/>
        <v>0.76089084374729266</v>
      </c>
      <c r="AD28" s="88">
        <f t="shared" ca="1" si="24"/>
        <v>0.75010654031040958</v>
      </c>
      <c r="AE28" s="88">
        <f t="shared" ca="1" si="24"/>
        <v>0.73952191376078025</v>
      </c>
      <c r="AF28" s="88">
        <f t="shared" ca="1" si="24"/>
        <v>0.72913207917984058</v>
      </c>
      <c r="AG28" s="88">
        <f t="shared" ca="1" si="24"/>
        <v>0.71893228664223818</v>
      </c>
      <c r="AH28" s="88"/>
      <c r="AI28" s="88"/>
      <c r="AJ28" s="88"/>
      <c r="AK28" s="88"/>
      <c r="AL28" s="88"/>
      <c r="AM28" s="88"/>
      <c r="AN28" s="88"/>
      <c r="AO28" s="88"/>
      <c r="AP28" s="88"/>
      <c r="AQ28" s="88"/>
      <c r="AR28" s="88"/>
      <c r="AS28" s="88"/>
      <c r="AT28" s="88"/>
      <c r="AU28" s="88"/>
      <c r="AV28" s="88"/>
      <c r="AW28" s="88"/>
      <c r="AX28" s="88"/>
      <c r="AY28" s="88"/>
    </row>
    <row r="29" spans="4:51" ht="14.5" x14ac:dyDescent="0.35">
      <c r="D29" s="87"/>
      <c r="E29" s="93">
        <f t="shared" si="1"/>
        <v>19</v>
      </c>
      <c r="F29" s="92">
        <f t="shared" si="2"/>
        <v>4.75</v>
      </c>
      <c r="G29" s="91">
        <f t="shared" ca="1" si="3"/>
        <v>5.3301007870368164E-2</v>
      </c>
      <c r="H29" s="88">
        <f t="shared" ca="1" si="7"/>
        <v>0.22744585392063821</v>
      </c>
      <c r="I29" s="90">
        <f t="shared" ca="1" si="4"/>
        <v>0.24106695186973148</v>
      </c>
      <c r="J29" s="89">
        <f t="shared" ca="1" si="5"/>
        <v>-1.3621097949093275E-2</v>
      </c>
      <c r="L29" s="88">
        <f t="shared" ref="L29:AF29" ca="1" si="25">L$50*EXP(-M$51*$G29)</f>
        <v>0.98475941779485465</v>
      </c>
      <c r="M29" s="88">
        <f t="shared" ca="1" si="25"/>
        <v>0.97177736998547903</v>
      </c>
      <c r="N29" s="88">
        <f t="shared" ca="1" si="25"/>
        <v>0.95898883035715687</v>
      </c>
      <c r="O29" s="88">
        <f t="shared" ca="1" si="25"/>
        <v>0.94639134095851551</v>
      </c>
      <c r="P29" s="88">
        <f t="shared" ca="1" si="25"/>
        <v>0.93398238699745328</v>
      </c>
      <c r="Q29" s="88">
        <f t="shared" ca="1" si="25"/>
        <v>0.92175940680364921</v>
      </c>
      <c r="R29" s="88">
        <f t="shared" ca="1" si="25"/>
        <v>0.90971980093088722</v>
      </c>
      <c r="S29" s="88">
        <f t="shared" ca="1" si="25"/>
        <v>0.89786094046170273</v>
      </c>
      <c r="T29" s="88">
        <f t="shared" ca="1" si="25"/>
        <v>0.88618017457282294</v>
      </c>
      <c r="U29" s="88">
        <f t="shared" ca="1" si="25"/>
        <v>0.87467483741604735</v>
      </c>
      <c r="V29" s="88">
        <f t="shared" ca="1" si="25"/>
        <v>0.86334225436560652</v>
      </c>
      <c r="W29" s="88">
        <f t="shared" ca="1" si="25"/>
        <v>0.85217974767962335</v>
      </c>
      <c r="X29" s="88">
        <f t="shared" ca="1" si="25"/>
        <v>0.84118464162009554</v>
      </c>
      <c r="Y29" s="88">
        <f t="shared" ca="1" si="25"/>
        <v>0.83035426707279092</v>
      </c>
      <c r="Z29" s="88">
        <f t="shared" ca="1" si="25"/>
        <v>0.81968596570560937</v>
      </c>
      <c r="AA29" s="88">
        <f t="shared" ca="1" si="25"/>
        <v>0.80917709370129509</v>
      </c>
      <c r="AB29" s="88">
        <f t="shared" ca="1" si="25"/>
        <v>0.79882502509788078</v>
      </c>
      <c r="AC29" s="88">
        <f t="shared" ca="1" si="25"/>
        <v>0.78862715476790113</v>
      </c>
      <c r="AD29" s="88">
        <f t="shared" ca="1" si="25"/>
        <v>0.77858090106521249</v>
      </c>
      <c r="AE29" s="88">
        <f t="shared" ca="1" si="25"/>
        <v>0.76868370816620535</v>
      </c>
      <c r="AF29" s="88">
        <f t="shared" ca="1" si="25"/>
        <v>0.75893304813026852</v>
      </c>
      <c r="AG29" s="88"/>
      <c r="AH29" s="88"/>
      <c r="AI29" s="88"/>
      <c r="AJ29" s="88"/>
      <c r="AK29" s="88"/>
      <c r="AL29" s="88"/>
      <c r="AM29" s="88"/>
      <c r="AN29" s="88"/>
      <c r="AO29" s="88"/>
      <c r="AP29" s="88"/>
      <c r="AQ29" s="88"/>
      <c r="AR29" s="88"/>
      <c r="AS29" s="88"/>
      <c r="AT29" s="88"/>
      <c r="AU29" s="88"/>
      <c r="AV29" s="88"/>
      <c r="AW29" s="88"/>
      <c r="AX29" s="88"/>
      <c r="AY29" s="88"/>
    </row>
    <row r="30" spans="4:51" ht="14.5" x14ac:dyDescent="0.35">
      <c r="D30" s="87"/>
      <c r="E30" s="93">
        <f t="shared" si="1"/>
        <v>20</v>
      </c>
      <c r="F30" s="92">
        <f t="shared" si="2"/>
        <v>5</v>
      </c>
      <c r="G30" s="91">
        <f t="shared" ca="1" si="3"/>
        <v>5.1289480205641488E-2</v>
      </c>
      <c r="H30" s="88">
        <f t="shared" ca="1" si="7"/>
        <v>0.21898740545936085</v>
      </c>
      <c r="I30" s="90">
        <f t="shared" ca="1" si="4"/>
        <v>0.22497478914204894</v>
      </c>
      <c r="J30" s="89">
        <f t="shared" ca="1" si="5"/>
        <v>-5.9873836826880855E-3</v>
      </c>
      <c r="L30" s="88">
        <f t="shared" ref="L30:AE30" ca="1" si="26">L$50*EXP(-M$51*$G30)</f>
        <v>0.9857259739242703</v>
      </c>
      <c r="M30" s="88">
        <f t="shared" ca="1" si="26"/>
        <v>0.97319083624977709</v>
      </c>
      <c r="N30" s="88">
        <f t="shared" ca="1" si="26"/>
        <v>0.96082630565692162</v>
      </c>
      <c r="O30" s="88">
        <f t="shared" ca="1" si="26"/>
        <v>0.9486308841091271</v>
      </c>
      <c r="P30" s="88">
        <f t="shared" ca="1" si="26"/>
        <v>0.93660297959732153</v>
      </c>
      <c r="Q30" s="88">
        <f t="shared" ca="1" si="26"/>
        <v>0.92474091730250185</v>
      </c>
      <c r="R30" s="88">
        <f t="shared" ca="1" si="26"/>
        <v>0.91304294988701562</v>
      </c>
      <c r="S30" s="88">
        <f t="shared" ca="1" si="26"/>
        <v>0.90150726697344485</v>
      </c>
      <c r="T30" s="88">
        <f t="shared" ca="1" si="26"/>
        <v>0.89013200386649338</v>
      </c>
      <c r="U30" s="88">
        <f t="shared" ca="1" si="26"/>
        <v>0.87891524956994438</v>
      </c>
      <c r="V30" s="88">
        <f t="shared" ca="1" si="26"/>
        <v>0.86785505414758779</v>
      </c>
      <c r="W30" s="88">
        <f t="shared" ca="1" si="26"/>
        <v>0.85694943547398938</v>
      </c>
      <c r="X30" s="88">
        <f t="shared" ca="1" si="26"/>
        <v>0.84619638541811348</v>
      </c>
      <c r="Y30" s="88">
        <f t="shared" ca="1" si="26"/>
        <v>0.83559387550009023</v>
      </c>
      <c r="Z30" s="88">
        <f t="shared" ca="1" si="26"/>
        <v>0.82513986205884604</v>
      </c>
      <c r="AA30" s="88">
        <f t="shared" ca="1" si="26"/>
        <v>0.8148322909658835</v>
      </c>
      <c r="AB30" s="88">
        <f t="shared" ca="1" si="26"/>
        <v>0.80466910191820096</v>
      </c>
      <c r="AC30" s="88">
        <f t="shared" ca="1" si="26"/>
        <v>0.79464823234117787</v>
      </c>
      <c r="AD30" s="88">
        <f t="shared" ca="1" si="26"/>
        <v>0.78476762093020846</v>
      </c>
      <c r="AE30" s="88">
        <f t="shared" ca="1" si="26"/>
        <v>0.77502521085795106</v>
      </c>
      <c r="AF30" s="88"/>
      <c r="AG30" s="88"/>
      <c r="AH30" s="88"/>
      <c r="AI30" s="88"/>
      <c r="AJ30" s="88"/>
      <c r="AK30" s="88"/>
      <c r="AL30" s="88"/>
      <c r="AM30" s="88"/>
      <c r="AN30" s="88"/>
      <c r="AO30" s="88"/>
      <c r="AP30" s="88"/>
      <c r="AQ30" s="88"/>
      <c r="AR30" s="88"/>
      <c r="AS30" s="88"/>
      <c r="AT30" s="88"/>
      <c r="AU30" s="88"/>
      <c r="AV30" s="88"/>
      <c r="AW30" s="88"/>
      <c r="AX30" s="88"/>
      <c r="AY30" s="88"/>
    </row>
    <row r="31" spans="4:51" ht="14.5" x14ac:dyDescent="0.35">
      <c r="D31" s="87"/>
      <c r="E31" s="93">
        <f t="shared" si="1"/>
        <v>21</v>
      </c>
      <c r="F31" s="92">
        <f t="shared" si="2"/>
        <v>5.25</v>
      </c>
      <c r="G31" s="91">
        <f t="shared" ca="1" si="3"/>
        <v>4.7949736655377911E-2</v>
      </c>
      <c r="H31" s="88">
        <f t="shared" ca="1" si="7"/>
        <v>0.21088676075420684</v>
      </c>
      <c r="I31" s="90">
        <f t="shared" ca="1" si="4"/>
        <v>0.2048517966565484</v>
      </c>
      <c r="J31" s="89">
        <f t="shared" ca="1" si="5"/>
        <v>6.0349640976584407E-3</v>
      </c>
      <c r="L31" s="88">
        <f t="shared" ref="L31:AD31" ca="1" si="27">L$50*EXP(-M$51*$G31)</f>
        <v>0.98733284465686721</v>
      </c>
      <c r="M31" s="88">
        <f t="shared" ca="1" si="27"/>
        <v>0.97554215905069375</v>
      </c>
      <c r="N31" s="88">
        <f t="shared" ca="1" si="27"/>
        <v>0.96388484829031451</v>
      </c>
      <c r="O31" s="88">
        <f t="shared" ca="1" si="27"/>
        <v>0.95236091238818643</v>
      </c>
      <c r="P31" s="88">
        <f t="shared" ca="1" si="27"/>
        <v>0.94097020354072713</v>
      </c>
      <c r="Q31" s="88">
        <f t="shared" ca="1" si="27"/>
        <v>0.92971243873457132</v>
      </c>
      <c r="R31" s="88">
        <f t="shared" ca="1" si="27"/>
        <v>0.9185872114978797</v>
      </c>
      <c r="S31" s="88">
        <f t="shared" ca="1" si="27"/>
        <v>0.90759400284767699</v>
      </c>
      <c r="T31" s="88">
        <f t="shared" ca="1" si="27"/>
        <v>0.89673219148169092</v>
      </c>
      <c r="U31" s="88">
        <f t="shared" ca="1" si="27"/>
        <v>0.88600106326071981</v>
      </c>
      <c r="V31" s="88">
        <f t="shared" ca="1" si="27"/>
        <v>0.87539982002518901</v>
      </c>
      <c r="W31" s="88">
        <f t="shared" ca="1" si="27"/>
        <v>0.86492758778724521</v>
      </c>
      <c r="X31" s="88">
        <f t="shared" ca="1" si="27"/>
        <v>0.85458342433752676</v>
      </c>
      <c r="Y31" s="88">
        <f t="shared" ca="1" si="27"/>
        <v>0.84436632630360098</v>
      </c>
      <c r="Z31" s="88">
        <f t="shared" ca="1" si="27"/>
        <v>0.83427523569500783</v>
      </c>
      <c r="AA31" s="88">
        <f t="shared" ca="1" si="27"/>
        <v>0.82430904596787935</v>
      </c>
      <c r="AB31" s="88">
        <f t="shared" ca="1" si="27"/>
        <v>0.81446660764021539</v>
      </c>
      <c r="AC31" s="88">
        <f t="shared" ca="1" si="27"/>
        <v>0.80474673348710379</v>
      </c>
      <c r="AD31" s="88">
        <f t="shared" ca="1" si="27"/>
        <v>0.7951482033434516</v>
      </c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8"/>
      <c r="AV31" s="88"/>
      <c r="AW31" s="88"/>
      <c r="AX31" s="88"/>
      <c r="AY31" s="88"/>
    </row>
    <row r="32" spans="4:51" ht="14.5" x14ac:dyDescent="0.35">
      <c r="D32" s="87"/>
      <c r="E32" s="93">
        <f t="shared" si="1"/>
        <v>22</v>
      </c>
      <c r="F32" s="92">
        <f t="shared" si="2"/>
        <v>5.5</v>
      </c>
      <c r="G32" s="91">
        <f t="shared" ca="1" si="3"/>
        <v>5.3489091582990575E-2</v>
      </c>
      <c r="H32" s="88">
        <f t="shared" ca="1" si="7"/>
        <v>0.19853712149811753</v>
      </c>
      <c r="I32" s="90">
        <f t="shared" ca="1" si="4"/>
        <v>0.2119334958916097</v>
      </c>
      <c r="J32" s="89">
        <f t="shared" ca="1" si="5"/>
        <v>-1.3396374393492172E-2</v>
      </c>
      <c r="L32" s="88">
        <f t="shared" ref="L32:AC32" ca="1" si="28">L$50*EXP(-M$51*$G32)</f>
        <v>0.9846690904398171</v>
      </c>
      <c r="M32" s="88">
        <f t="shared" ca="1" si="28"/>
        <v>0.97164531175826074</v>
      </c>
      <c r="N32" s="88">
        <f t="shared" ca="1" si="28"/>
        <v>0.95881720079722199</v>
      </c>
      <c r="O32" s="88">
        <f t="shared" ca="1" si="28"/>
        <v>0.94618220761913818</v>
      </c>
      <c r="P32" s="88">
        <f t="shared" ca="1" si="28"/>
        <v>0.93373772910251862</v>
      </c>
      <c r="Q32" s="88">
        <f t="shared" ca="1" si="28"/>
        <v>0.92148111877895889</v>
      </c>
      <c r="R32" s="88">
        <f t="shared" ca="1" si="28"/>
        <v>0.90940969581187736</v>
      </c>
      <c r="S32" s="88">
        <f t="shared" ca="1" si="28"/>
        <v>0.89752075317977054</v>
      </c>
      <c r="T32" s="88">
        <f t="shared" ca="1" si="28"/>
        <v>0.8858115651226981</v>
      </c>
      <c r="U32" s="88">
        <f t="shared" ca="1" si="28"/>
        <v>0.87427939390683684</v>
      </c>
      <c r="V32" s="88">
        <f t="shared" ca="1" si="28"/>
        <v>0.86292149595830059</v>
      </c>
      <c r="W32" s="88">
        <f t="shared" ca="1" si="28"/>
        <v>0.85173512741397017</v>
      </c>
      <c r="X32" s="88">
        <f t="shared" ca="1" si="28"/>
        <v>0.84071754913384478</v>
      </c>
      <c r="Y32" s="88">
        <f t="shared" ca="1" si="28"/>
        <v>0.82986603121637104</v>
      </c>
      <c r="Z32" s="88">
        <f t="shared" ca="1" si="28"/>
        <v>0.81917785705534696</v>
      </c>
      <c r="AA32" s="88">
        <f t="shared" ca="1" si="28"/>
        <v>0.80865032697430661</v>
      </c>
      <c r="AB32" s="88">
        <f t="shared" ca="1" si="28"/>
        <v>0.79828076147177041</v>
      </c>
      <c r="AC32" s="88">
        <f t="shared" ca="1" si="28"/>
        <v>0.7880665041083903</v>
      </c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88"/>
      <c r="AT32" s="88"/>
      <c r="AU32" s="88"/>
      <c r="AV32" s="88"/>
      <c r="AW32" s="88"/>
      <c r="AX32" s="88"/>
      <c r="AY32" s="88"/>
    </row>
    <row r="33" spans="4:51" ht="14.5" x14ac:dyDescent="0.35">
      <c r="D33" s="87"/>
      <c r="E33" s="93">
        <f t="shared" si="1"/>
        <v>23</v>
      </c>
      <c r="F33" s="92">
        <f t="shared" si="2"/>
        <v>5.75</v>
      </c>
      <c r="G33" s="91">
        <f t="shared" ca="1" si="3"/>
        <v>5.5223566977258894E-2</v>
      </c>
      <c r="H33" s="88">
        <f t="shared" ca="1" si="7"/>
        <v>0.18800320160404901</v>
      </c>
      <c r="I33" s="90">
        <f t="shared" ca="1" si="4"/>
        <v>0.20672089831197982</v>
      </c>
      <c r="J33" s="89">
        <f t="shared" ca="1" si="5"/>
        <v>-1.8717696707930803E-2</v>
      </c>
      <c r="L33" s="88">
        <f t="shared" ref="L33:AB33" ca="1" si="29">L$50*EXP(-M$51*$G33)</f>
        <v>0.98383649763397218</v>
      </c>
      <c r="M33" s="88">
        <f t="shared" ca="1" si="29"/>
        <v>0.97042833918691163</v>
      </c>
      <c r="N33" s="88">
        <f t="shared" ca="1" si="29"/>
        <v>0.95723590976200579</v>
      </c>
      <c r="O33" s="88">
        <f t="shared" ca="1" si="29"/>
        <v>0.94425579306460317</v>
      </c>
      <c r="P33" s="88">
        <f t="shared" ca="1" si="29"/>
        <v>0.93148455485253234</v>
      </c>
      <c r="Q33" s="88">
        <f t="shared" ca="1" si="29"/>
        <v>0.91891875150533142</v>
      </c>
      <c r="R33" s="88">
        <f t="shared" ca="1" si="29"/>
        <v>0.90655493776020157</v>
      </c>
      <c r="S33" s="88">
        <f t="shared" ca="1" si="29"/>
        <v>0.89438967367969247</v>
      </c>
      <c r="T33" s="88">
        <f t="shared" ca="1" si="29"/>
        <v>0.88241953091160641</v>
      </c>
      <c r="U33" s="88">
        <f t="shared" ca="1" si="29"/>
        <v>0.87064109829735536</v>
      </c>
      <c r="V33" s="88">
        <f t="shared" ca="1" si="29"/>
        <v>0.85905098688102133</v>
      </c>
      <c r="W33" s="88">
        <f t="shared" ca="1" si="29"/>
        <v>0.84764583436762719</v>
      </c>
      <c r="X33" s="88">
        <f t="shared" ca="1" si="29"/>
        <v>0.83642230907562931</v>
      </c>
      <c r="Y33" s="88">
        <f t="shared" ca="1" si="29"/>
        <v>0.82537711342537023</v>
      </c>
      <c r="Z33" s="88">
        <f t="shared" ca="1" si="29"/>
        <v>0.8145069870021685</v>
      </c>
      <c r="AA33" s="88">
        <f t="shared" ca="1" si="29"/>
        <v>0.80380870922987047</v>
      </c>
      <c r="AB33" s="88">
        <f t="shared" ca="1" si="29"/>
        <v>0.79327910168802018</v>
      </c>
      <c r="AC33" s="88"/>
      <c r="AD33" s="88"/>
      <c r="AE33" s="88"/>
      <c r="AF33" s="88"/>
      <c r="AG33" s="88"/>
      <c r="AH33" s="88"/>
      <c r="AI33" s="88"/>
      <c r="AJ33" s="88"/>
      <c r="AK33" s="88"/>
      <c r="AL33" s="88"/>
      <c r="AM33" s="88"/>
      <c r="AN33" s="88"/>
      <c r="AO33" s="88"/>
      <c r="AP33" s="88"/>
      <c r="AQ33" s="88"/>
      <c r="AR33" s="88"/>
      <c r="AS33" s="88"/>
      <c r="AT33" s="88"/>
      <c r="AU33" s="88"/>
      <c r="AV33" s="88"/>
      <c r="AW33" s="88"/>
      <c r="AX33" s="88"/>
      <c r="AY33" s="88"/>
    </row>
    <row r="34" spans="4:51" ht="14.5" x14ac:dyDescent="0.35">
      <c r="D34" s="87"/>
      <c r="E34" s="93">
        <f t="shared" si="1"/>
        <v>24</v>
      </c>
      <c r="F34" s="92">
        <f t="shared" si="2"/>
        <v>6</v>
      </c>
      <c r="G34" s="91">
        <f t="shared" ca="1" si="3"/>
        <v>5.8083591802722094E-2</v>
      </c>
      <c r="H34" s="88">
        <f t="shared" ca="1" si="7"/>
        <v>0.17706961854940492</v>
      </c>
      <c r="I34" s="90">
        <f t="shared" ca="1" si="4"/>
        <v>0.20411154276102961</v>
      </c>
      <c r="J34" s="89">
        <f t="shared" ca="1" si="5"/>
        <v>-2.7041924211624685E-2</v>
      </c>
      <c r="L34" s="88">
        <f t="shared" ref="L34:AA34" ca="1" si="30">L$50*EXP(-M$51*$G34)</f>
        <v>0.98246514937289997</v>
      </c>
      <c r="M34" s="88">
        <f t="shared" ca="1" si="30"/>
        <v>0.96842496715005832</v>
      </c>
      <c r="N34" s="88">
        <f t="shared" ca="1" si="30"/>
        <v>0.95463416833443981</v>
      </c>
      <c r="O34" s="88">
        <f t="shared" ca="1" si="30"/>
        <v>0.94108783640670624</v>
      </c>
      <c r="P34" s="88">
        <f t="shared" ca="1" si="30"/>
        <v>0.92778110108314382</v>
      </c>
      <c r="Q34" s="88">
        <f t="shared" ca="1" si="30"/>
        <v>0.91470914434260964</v>
      </c>
      <c r="R34" s="88">
        <f t="shared" ca="1" si="30"/>
        <v>0.90186720569250745</v>
      </c>
      <c r="S34" s="88">
        <f t="shared" ca="1" si="30"/>
        <v>0.88925058674049051</v>
      </c>
      <c r="T34" s="88">
        <f t="shared" ca="1" si="30"/>
        <v>0.87685465513345284</v>
      </c>
      <c r="U34" s="88">
        <f t="shared" ca="1" si="30"/>
        <v>0.86467484792058491</v>
      </c>
      <c r="V34" s="88">
        <f t="shared" ca="1" si="30"/>
        <v>0.85270667439282744</v>
      </c>
      <c r="W34" s="88">
        <f t="shared" ca="1" si="30"/>
        <v>0.84094571844692145</v>
      </c>
      <c r="X34" s="88">
        <f t="shared" ca="1" si="30"/>
        <v>0.82938764051841984</v>
      </c>
      <c r="Y34" s="88">
        <f t="shared" ca="1" si="30"/>
        <v>0.81802817912447146</v>
      </c>
      <c r="Z34" s="88">
        <f t="shared" ca="1" si="30"/>
        <v>0.80686315205389036</v>
      </c>
      <c r="AA34" s="88">
        <f t="shared" ca="1" si="30"/>
        <v>0.79588845723897039</v>
      </c>
      <c r="AB34" s="88"/>
      <c r="AC34" s="88"/>
      <c r="AD34" s="88"/>
      <c r="AE34" s="88"/>
      <c r="AF34" s="88"/>
      <c r="AG34" s="88"/>
      <c r="AH34" s="88"/>
      <c r="AI34" s="88"/>
      <c r="AJ34" s="88"/>
      <c r="AK34" s="88"/>
      <c r="AL34" s="88"/>
      <c r="AM34" s="88"/>
      <c r="AN34" s="88"/>
      <c r="AO34" s="88"/>
      <c r="AP34" s="88"/>
      <c r="AQ34" s="88"/>
      <c r="AR34" s="88"/>
      <c r="AS34" s="88"/>
      <c r="AT34" s="88"/>
      <c r="AU34" s="88"/>
      <c r="AV34" s="88"/>
      <c r="AW34" s="88"/>
      <c r="AX34" s="88"/>
      <c r="AY34" s="88"/>
    </row>
    <row r="35" spans="4:51" ht="14.5" x14ac:dyDescent="0.35">
      <c r="D35" s="87"/>
      <c r="E35" s="93">
        <f t="shared" si="1"/>
        <v>25</v>
      </c>
      <c r="F35" s="92">
        <f t="shared" si="2"/>
        <v>6.25</v>
      </c>
      <c r="G35" s="91">
        <f t="shared" ca="1" si="3"/>
        <v>5.8099314922989941E-2</v>
      </c>
      <c r="H35" s="88">
        <f t="shared" ca="1" si="7"/>
        <v>0.16711597958617519</v>
      </c>
      <c r="I35" s="90">
        <f t="shared" ca="1" si="4"/>
        <v>0.193178671400832</v>
      </c>
      <c r="J35" s="89">
        <f t="shared" ca="1" si="5"/>
        <v>-2.6062691814656813E-2</v>
      </c>
      <c r="L35" s="88">
        <f t="shared" ref="L35:Z35" ca="1" si="31">L$50*EXP(-M$51*$G35)</f>
        <v>0.98245761560727207</v>
      </c>
      <c r="M35" s="88">
        <f t="shared" ca="1" si="31"/>
        <v>0.96841396495728116</v>
      </c>
      <c r="N35" s="88">
        <f t="shared" ca="1" si="31"/>
        <v>0.95461988470157833</v>
      </c>
      <c r="O35" s="88">
        <f t="shared" ca="1" si="31"/>
        <v>0.94107044982524668</v>
      </c>
      <c r="P35" s="88">
        <f t="shared" ca="1" si="31"/>
        <v>0.9277607819231487</v>
      </c>
      <c r="Q35" s="88">
        <f t="shared" ca="1" si="31"/>
        <v>0.91468605521128687</v>
      </c>
      <c r="R35" s="88">
        <f t="shared" ca="1" si="31"/>
        <v>0.90184150177770439</v>
      </c>
      <c r="S35" s="88">
        <f t="shared" ca="1" si="31"/>
        <v>0.88922241613962616</v>
      </c>
      <c r="T35" s="88">
        <f t="shared" ca="1" si="31"/>
        <v>0.87682415916839851</v>
      </c>
      <c r="U35" s="88">
        <f t="shared" ca="1" si="31"/>
        <v>0.86464216143900308</v>
      </c>
      <c r="V35" s="88">
        <f t="shared" ca="1" si="31"/>
        <v>0.85267192605647057</v>
      </c>
      <c r="W35" s="88">
        <f t="shared" ca="1" si="31"/>
        <v>0.84090903100738446</v>
      </c>
      <c r="X35" s="88">
        <f t="shared" ca="1" si="31"/>
        <v>0.82934913108083363</v>
      </c>
      <c r="Y35" s="88">
        <f t="shared" ca="1" si="31"/>
        <v>0.817987959399612</v>
      </c>
      <c r="Z35" s="88">
        <f t="shared" ca="1" si="31"/>
        <v>0.806821328599168</v>
      </c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88"/>
      <c r="AL35" s="88"/>
      <c r="AM35" s="88"/>
      <c r="AN35" s="88"/>
      <c r="AO35" s="88"/>
      <c r="AP35" s="88"/>
      <c r="AQ35" s="88"/>
      <c r="AR35" s="88"/>
      <c r="AS35" s="88"/>
      <c r="AT35" s="88"/>
      <c r="AU35" s="88"/>
      <c r="AV35" s="88"/>
      <c r="AW35" s="88"/>
      <c r="AX35" s="88"/>
      <c r="AY35" s="88"/>
    </row>
    <row r="36" spans="4:51" ht="14.5" x14ac:dyDescent="0.35">
      <c r="D36" s="87"/>
      <c r="E36" s="93">
        <f t="shared" si="1"/>
        <v>26</v>
      </c>
      <c r="F36" s="92">
        <f t="shared" si="2"/>
        <v>6.5</v>
      </c>
      <c r="G36" s="91">
        <f t="shared" ca="1" si="3"/>
        <v>4.7312134153866946E-2</v>
      </c>
      <c r="H36" s="88">
        <f t="shared" ca="1" si="7"/>
        <v>0.1601620976448411</v>
      </c>
      <c r="I36" s="90">
        <f t="shared" ca="1" si="4"/>
        <v>0.15394845324942863</v>
      </c>
      <c r="J36" s="89">
        <f t="shared" ca="1" si="5"/>
        <v>6.2136443954124709E-3</v>
      </c>
      <c r="L36" s="88">
        <f t="shared" ref="L36:Y36" ca="1" si="32">L$50*EXP(-M$51*$G36)</f>
        <v>0.98763991579842303</v>
      </c>
      <c r="M36" s="88">
        <f t="shared" ca="1" si="32"/>
        <v>0.97599170398046053</v>
      </c>
      <c r="N36" s="88">
        <f t="shared" ca="1" si="32"/>
        <v>0.96446987156609287</v>
      </c>
      <c r="O36" s="88">
        <f t="shared" ca="1" si="32"/>
        <v>0.95307469109321996</v>
      </c>
      <c r="P36" s="88">
        <f t="shared" ca="1" si="32"/>
        <v>0.94180627808440409</v>
      </c>
      <c r="Q36" s="88">
        <f t="shared" ca="1" si="32"/>
        <v>0.93066460385470462</v>
      </c>
      <c r="R36" s="88">
        <f t="shared" ca="1" si="32"/>
        <v>0.91964950747219143</v>
      </c>
      <c r="S36" s="88">
        <f t="shared" ca="1" si="32"/>
        <v>0.90876070692037414</v>
      </c>
      <c r="T36" s="88">
        <f t="shared" ca="1" si="32"/>
        <v>0.89799780950947528</v>
      </c>
      <c r="U36" s="88">
        <f t="shared" ca="1" si="32"/>
        <v>0.88736032158121003</v>
      </c>
      <c r="V36" s="88">
        <f t="shared" ca="1" si="32"/>
        <v>0.87684765754952032</v>
      </c>
      <c r="W36" s="88">
        <f t="shared" ca="1" si="32"/>
        <v>0.86645914831755277</v>
      </c>
      <c r="X36" s="88">
        <f t="shared" ca="1" si="32"/>
        <v>0.85619404910908425</v>
      </c>
      <c r="Y36" s="88">
        <f t="shared" ca="1" si="32"/>
        <v>0.84605154675057137</v>
      </c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88"/>
      <c r="AL36" s="88"/>
      <c r="AM36" s="88"/>
      <c r="AN36" s="88"/>
      <c r="AO36" s="88"/>
      <c r="AP36" s="88"/>
      <c r="AQ36" s="88"/>
      <c r="AR36" s="88"/>
      <c r="AS36" s="88"/>
      <c r="AT36" s="88"/>
      <c r="AU36" s="88"/>
      <c r="AV36" s="88"/>
      <c r="AW36" s="88"/>
      <c r="AX36" s="88"/>
      <c r="AY36" s="88"/>
    </row>
    <row r="37" spans="4:51" ht="14.5" x14ac:dyDescent="0.35">
      <c r="D37" s="87"/>
      <c r="E37" s="93">
        <f t="shared" si="1"/>
        <v>27</v>
      </c>
      <c r="F37" s="92">
        <f t="shared" si="2"/>
        <v>6.75</v>
      </c>
      <c r="G37" s="91">
        <f t="shared" ca="1" si="3"/>
        <v>4.8835198297042783E-2</v>
      </c>
      <c r="H37" s="88">
        <f t="shared" ca="1" si="7"/>
        <v>0.14919006285711597</v>
      </c>
      <c r="I37" s="90">
        <f t="shared" ca="1" si="4"/>
        <v>0.14764828428396681</v>
      </c>
      <c r="J37" s="89">
        <f t="shared" ca="1" si="5"/>
        <v>1.5417785731491607E-3</v>
      </c>
      <c r="L37" s="88">
        <f t="shared" ref="L37:X37" ca="1" si="33">L$50*EXP(-M$51*$G37)</f>
        <v>0.98690656221332795</v>
      </c>
      <c r="M37" s="88">
        <f t="shared" ca="1" si="33"/>
        <v>0.97491820318188482</v>
      </c>
      <c r="N37" s="88">
        <f t="shared" ca="1" si="33"/>
        <v>0.96307299386739253</v>
      </c>
      <c r="O37" s="88">
        <f t="shared" ca="1" si="33"/>
        <v>0.951370548675182</v>
      </c>
      <c r="P37" s="88">
        <f t="shared" ca="1" si="33"/>
        <v>0.93981034753837933</v>
      </c>
      <c r="Q37" s="88">
        <f t="shared" ca="1" si="33"/>
        <v>0.92839174820567294</v>
      </c>
      <c r="R37" s="88">
        <f t="shared" ca="1" si="33"/>
        <v>0.91711399766585189</v>
      </c>
      <c r="S37" s="88">
        <f t="shared" ca="1" si="33"/>
        <v>0.90597624276238764</v>
      </c>
      <c r="T37" s="88">
        <f t="shared" ca="1" si="33"/>
        <v>0.89497754004857022</v>
      </c>
      <c r="U37" s="88">
        <f t="shared" ca="1" si="33"/>
        <v>0.88411686493101516</v>
      </c>
      <c r="V37" s="88">
        <f t="shared" ca="1" si="33"/>
        <v>0.87339312014677839</v>
      </c>
      <c r="W37" s="88">
        <f t="shared" ca="1" si="33"/>
        <v>0.86280514361680261</v>
      </c>
      <c r="X37" s="88">
        <f t="shared" ca="1" si="33"/>
        <v>0.85235171571603319</v>
      </c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88"/>
      <c r="AL37" s="88"/>
      <c r="AM37" s="88"/>
      <c r="AN37" s="88"/>
      <c r="AO37" s="88"/>
      <c r="AP37" s="88"/>
      <c r="AQ37" s="88"/>
      <c r="AR37" s="88"/>
      <c r="AS37" s="88"/>
      <c r="AT37" s="88"/>
      <c r="AU37" s="88"/>
      <c r="AV37" s="88"/>
      <c r="AW37" s="88"/>
      <c r="AX37" s="88"/>
      <c r="AY37" s="88"/>
    </row>
    <row r="38" spans="4:51" ht="14.5" x14ac:dyDescent="0.35">
      <c r="D38" s="87"/>
      <c r="E38" s="93">
        <f t="shared" si="1"/>
        <v>28</v>
      </c>
      <c r="F38" s="92">
        <f t="shared" si="2"/>
        <v>7</v>
      </c>
      <c r="G38" s="91">
        <f t="shared" ca="1" si="3"/>
        <v>5.0716659788219896E-2</v>
      </c>
      <c r="H38" s="88">
        <f t="shared" ca="1" si="7"/>
        <v>0.13810676538535624</v>
      </c>
      <c r="I38" s="90">
        <f t="shared" ca="1" si="4"/>
        <v>0.14168742896857689</v>
      </c>
      <c r="J38" s="89">
        <f t="shared" ca="1" si="5"/>
        <v>-3.5806635832206501E-3</v>
      </c>
      <c r="L38" s="88">
        <f t="shared" ref="L38:W38" ca="1" si="34">L$50*EXP(-M$51*$G38)</f>
        <v>0.98600139250471242</v>
      </c>
      <c r="M38" s="88">
        <f t="shared" ca="1" si="34"/>
        <v>0.97359372337018346</v>
      </c>
      <c r="N38" s="88">
        <f t="shared" ca="1" si="34"/>
        <v>0.96135020513487468</v>
      </c>
      <c r="O38" s="88">
        <f t="shared" ca="1" si="34"/>
        <v>0.94926960516029602</v>
      </c>
      <c r="P38" s="88">
        <f t="shared" ca="1" si="34"/>
        <v>0.93735058691554995</v>
      </c>
      <c r="Q38" s="88">
        <f t="shared" ca="1" si="34"/>
        <v>0.9255917214351399</v>
      </c>
      <c r="R38" s="88">
        <f t="shared" ca="1" si="34"/>
        <v>0.91399149790533263</v>
      </c>
      <c r="S38" s="88">
        <f t="shared" ca="1" si="34"/>
        <v>0.90254833343675722</v>
      </c>
      <c r="T38" s="88">
        <f t="shared" ca="1" si="34"/>
        <v>0.89126058207760772</v>
      </c>
      <c r="U38" s="88">
        <f t="shared" ca="1" si="34"/>
        <v>0.88012654311862448</v>
      </c>
      <c r="V38" s="88">
        <f t="shared" ca="1" si="34"/>
        <v>0.86914446873799778</v>
      </c>
      <c r="W38" s="88">
        <f t="shared" ca="1" si="34"/>
        <v>0.85831257103142311</v>
      </c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88"/>
      <c r="AL38" s="88"/>
      <c r="AM38" s="88"/>
      <c r="AN38" s="88"/>
      <c r="AO38" s="88"/>
      <c r="AP38" s="88"/>
      <c r="AQ38" s="88"/>
      <c r="AR38" s="88"/>
      <c r="AS38" s="88"/>
      <c r="AT38" s="88"/>
      <c r="AU38" s="88"/>
      <c r="AV38" s="88"/>
      <c r="AW38" s="88"/>
      <c r="AX38" s="88"/>
      <c r="AY38" s="88"/>
    </row>
    <row r="39" spans="4:51" ht="14.5" x14ac:dyDescent="0.35">
      <c r="D39" s="87"/>
      <c r="E39" s="93">
        <f t="shared" si="1"/>
        <v>29</v>
      </c>
      <c r="F39" s="92">
        <f t="shared" si="2"/>
        <v>7.25</v>
      </c>
      <c r="G39" s="91">
        <f t="shared" ca="1" si="3"/>
        <v>4.9125399755938853E-2</v>
      </c>
      <c r="H39" s="88">
        <f t="shared" ca="1" si="7"/>
        <v>0.12769302500813393</v>
      </c>
      <c r="I39" s="90">
        <f t="shared" ca="1" si="4"/>
        <v>0.12726355489153973</v>
      </c>
      <c r="J39" s="89">
        <f t="shared" ca="1" si="5"/>
        <v>4.2947011659419387E-4</v>
      </c>
      <c r="L39" s="88">
        <f t="shared" ref="L39:V39" ca="1" si="35">L$50*EXP(-M$51*$G39)</f>
        <v>0.98676689232839754</v>
      </c>
      <c r="M39" s="88">
        <f t="shared" ca="1" si="35"/>
        <v>0.9747137945453308</v>
      </c>
      <c r="N39" s="88">
        <f t="shared" ca="1" si="35"/>
        <v>0.96280706526797011</v>
      </c>
      <c r="O39" s="88">
        <f t="shared" ca="1" si="35"/>
        <v>0.95104619071165175</v>
      </c>
      <c r="P39" s="88">
        <f t="shared" ca="1" si="35"/>
        <v>0.93943052713774333</v>
      </c>
      <c r="Q39" s="88">
        <f t="shared" ca="1" si="35"/>
        <v>0.92795931302712464</v>
      </c>
      <c r="R39" s="88">
        <f t="shared" ca="1" si="35"/>
        <v>0.91663168038832277</v>
      </c>
      <c r="S39" s="88">
        <f t="shared" ca="1" si="35"/>
        <v>0.90544666525430206</v>
      </c>
      <c r="T39" s="88">
        <f t="shared" ca="1" si="35"/>
        <v>0.89440321741905249</v>
      </c>
      <c r="U39" s="88">
        <f t="shared" ca="1" si="35"/>
        <v>0.88350020946235719</v>
      </c>
      <c r="V39" s="88">
        <f t="shared" ca="1" si="35"/>
        <v>0.87273644510846027</v>
      </c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88"/>
      <c r="AL39" s="88"/>
      <c r="AM39" s="88"/>
      <c r="AN39" s="88"/>
      <c r="AO39" s="88"/>
      <c r="AP39" s="88"/>
      <c r="AQ39" s="88"/>
      <c r="AR39" s="88"/>
      <c r="AS39" s="88"/>
      <c r="AT39" s="88"/>
      <c r="AU39" s="88"/>
      <c r="AV39" s="88"/>
      <c r="AW39" s="88"/>
      <c r="AX39" s="88"/>
      <c r="AY39" s="88"/>
    </row>
    <row r="40" spans="4:51" ht="14.5" x14ac:dyDescent="0.35">
      <c r="D40" s="87"/>
      <c r="E40" s="93">
        <f t="shared" si="1"/>
        <v>30</v>
      </c>
      <c r="F40" s="92">
        <f t="shared" si="2"/>
        <v>7.5</v>
      </c>
      <c r="G40" s="91">
        <f t="shared" ca="1" si="3"/>
        <v>5.2144101859206024E-2</v>
      </c>
      <c r="H40" s="88">
        <f t="shared" ca="1" si="7"/>
        <v>0.1162717350019184</v>
      </c>
      <c r="I40" s="90">
        <f t="shared" ca="1" si="4"/>
        <v>0.1228888462765797</v>
      </c>
      <c r="J40" s="89">
        <f t="shared" ca="1" si="5"/>
        <v>-6.6171112746613026E-3</v>
      </c>
      <c r="L40" s="88">
        <f t="shared" ref="L40:U40" ca="1" si="36">L$50*EXP(-M$51*$G40)</f>
        <v>0.98531520510617421</v>
      </c>
      <c r="M40" s="88">
        <f t="shared" ca="1" si="36"/>
        <v>0.97259005714317937</v>
      </c>
      <c r="N40" s="88">
        <f t="shared" ca="1" si="36"/>
        <v>0.96004520247959901</v>
      </c>
      <c r="O40" s="88">
        <f t="shared" ca="1" si="36"/>
        <v>0.94767874057093238</v>
      </c>
      <c r="P40" s="88">
        <f t="shared" ca="1" si="36"/>
        <v>0.93548869223665709</v>
      </c>
      <c r="Q40" s="88">
        <f t="shared" ca="1" si="36"/>
        <v>0.92347301034434992</v>
      </c>
      <c r="R40" s="88">
        <f t="shared" ca="1" si="36"/>
        <v>0.91162958962519614</v>
      </c>
      <c r="S40" s="88">
        <f t="shared" ca="1" si="36"/>
        <v>0.89995627568143122</v>
      </c>
      <c r="T40" s="88">
        <f t="shared" ca="1" si="36"/>
        <v>0.8884508732425308</v>
      </c>
      <c r="U40" s="88">
        <f t="shared" ca="1" si="36"/>
        <v>0.8771111537234203</v>
      </c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88"/>
      <c r="AS40" s="88"/>
      <c r="AT40" s="88"/>
      <c r="AU40" s="88"/>
      <c r="AV40" s="88"/>
      <c r="AW40" s="88"/>
      <c r="AX40" s="88"/>
      <c r="AY40" s="88"/>
    </row>
    <row r="41" spans="4:51" ht="14.5" x14ac:dyDescent="0.35">
      <c r="D41" s="87"/>
      <c r="E41" s="93">
        <f t="shared" si="1"/>
        <v>31</v>
      </c>
      <c r="F41" s="92">
        <f t="shared" si="2"/>
        <v>7.75</v>
      </c>
      <c r="G41" s="91">
        <f t="shared" ca="1" si="3"/>
        <v>5.3790928701062238E-2</v>
      </c>
      <c r="H41" s="88">
        <f t="shared" ca="1" si="7"/>
        <v>0.10507292142778353</v>
      </c>
      <c r="I41" s="90">
        <f t="shared" ca="1" si="4"/>
        <v>0.11477965962433734</v>
      </c>
      <c r="J41" s="89">
        <f t="shared" ca="1" si="5"/>
        <v>-9.7067381965538074E-3</v>
      </c>
      <c r="L41" s="88">
        <f t="shared" ref="L41:T41" ca="1" si="37">L$50*EXP(-M$51*$G41)</f>
        <v>0.98452415023661022</v>
      </c>
      <c r="M41" s="88">
        <f t="shared" ca="1" si="37"/>
        <v>0.97143342195870963</v>
      </c>
      <c r="N41" s="88">
        <f t="shared" ca="1" si="37"/>
        <v>0.95854183353422839</v>
      </c>
      <c r="O41" s="88">
        <f t="shared" ca="1" si="37"/>
        <v>0.94584668660583948</v>
      </c>
      <c r="P41" s="88">
        <f t="shared" ca="1" si="37"/>
        <v>0.93334523556748372</v>
      </c>
      <c r="Q41" s="88">
        <f t="shared" ca="1" si="37"/>
        <v>0.92103469719514375</v>
      </c>
      <c r="R41" s="88">
        <f t="shared" ca="1" si="37"/>
        <v>0.90891225942272458</v>
      </c>
      <c r="S41" s="88">
        <f t="shared" ca="1" si="37"/>
        <v>0.8969750893262799</v>
      </c>
      <c r="T41" s="88">
        <f t="shared" ca="1" si="37"/>
        <v>0.88522034037566266</v>
      </c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88"/>
      <c r="AL41" s="88"/>
      <c r="AM41" s="88"/>
      <c r="AN41" s="88"/>
      <c r="AO41" s="88"/>
      <c r="AP41" s="88"/>
      <c r="AQ41" s="88"/>
      <c r="AR41" s="88"/>
      <c r="AS41" s="88"/>
      <c r="AT41" s="88"/>
      <c r="AU41" s="88"/>
      <c r="AV41" s="88"/>
      <c r="AW41" s="88"/>
      <c r="AX41" s="88"/>
      <c r="AY41" s="88"/>
    </row>
    <row r="42" spans="4:51" ht="14.5" x14ac:dyDescent="0.35">
      <c r="D42" s="87"/>
      <c r="E42" s="93">
        <f t="shared" si="1"/>
        <v>32</v>
      </c>
      <c r="F42" s="92">
        <f t="shared" si="2"/>
        <v>8</v>
      </c>
      <c r="G42" s="91">
        <f t="shared" ca="1" si="3"/>
        <v>4.6751628523534476E-2</v>
      </c>
      <c r="H42" s="88">
        <f t="shared" ca="1" si="7"/>
        <v>9.484250384113177E-2</v>
      </c>
      <c r="I42" s="90">
        <f t="shared" ca="1" si="4"/>
        <v>9.0212424497737476E-2</v>
      </c>
      <c r="J42" s="89">
        <f t="shared" ca="1" si="5"/>
        <v>4.6300793433942944E-3</v>
      </c>
      <c r="L42" s="88">
        <f t="shared" ref="L42:S42" ca="1" si="38">L$50*EXP(-M$51*$G42)</f>
        <v>0.98790993574980079</v>
      </c>
      <c r="M42" s="88">
        <f t="shared" ca="1" si="38"/>
        <v>0.97638706245915918</v>
      </c>
      <c r="N42" s="88">
        <f t="shared" ca="1" si="38"/>
        <v>0.96498444894628954</v>
      </c>
      <c r="O42" s="88">
        <f t="shared" ca="1" si="38"/>
        <v>0.95370260377560068</v>
      </c>
      <c r="P42" s="88">
        <f t="shared" ca="1" si="38"/>
        <v>0.94254187068973871</v>
      </c>
      <c r="Q42" s="88">
        <f t="shared" ca="1" si="38"/>
        <v>0.93150244157577933</v>
      </c>
      <c r="R42" s="88">
        <f t="shared" ca="1" si="38"/>
        <v>0.92058436859191028</v>
      </c>
      <c r="S42" s="88">
        <f t="shared" ca="1" si="38"/>
        <v>0.90978757550226252</v>
      </c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88"/>
      <c r="AL42" s="88"/>
      <c r="AM42" s="88"/>
      <c r="AN42" s="88"/>
      <c r="AO42" s="88"/>
      <c r="AP42" s="88"/>
      <c r="AQ42" s="88"/>
      <c r="AR42" s="88"/>
      <c r="AS42" s="88"/>
      <c r="AT42" s="88"/>
      <c r="AU42" s="88"/>
      <c r="AV42" s="88"/>
      <c r="AW42" s="88"/>
      <c r="AX42" s="88"/>
      <c r="AY42" s="88"/>
    </row>
    <row r="43" spans="4:51" ht="14.5" x14ac:dyDescent="0.35">
      <c r="D43" s="87"/>
      <c r="E43" s="93">
        <f t="shared" si="1"/>
        <v>33</v>
      </c>
      <c r="F43" s="92">
        <f t="shared" si="2"/>
        <v>8.25</v>
      </c>
      <c r="G43" s="91">
        <f t="shared" ca="1" si="3"/>
        <v>4.830157985571059E-2</v>
      </c>
      <c r="H43" s="88">
        <f t="shared" ca="1" si="7"/>
        <v>8.3321064687414348E-2</v>
      </c>
      <c r="I43" s="90">
        <f t="shared" ca="1" si="4"/>
        <v>8.199846150077339E-2</v>
      </c>
      <c r="J43" s="89">
        <f t="shared" ca="1" si="5"/>
        <v>1.3226031866409582E-3</v>
      </c>
      <c r="L43" s="88">
        <f t="shared" ref="L43:R43" ca="1" si="39">L$50*EXP(-M$51*$G43)</f>
        <v>0.98716343687107211</v>
      </c>
      <c r="M43" s="88">
        <f t="shared" ca="1" si="39"/>
        <v>0.97529417885169489</v>
      </c>
      <c r="N43" s="88">
        <f t="shared" ca="1" si="39"/>
        <v>0.96356217142536738</v>
      </c>
      <c r="O43" s="88">
        <f t="shared" ca="1" si="39"/>
        <v>0.95196726237686369</v>
      </c>
      <c r="P43" s="88">
        <f t="shared" ca="1" si="39"/>
        <v>0.94050915689769554</v>
      </c>
      <c r="Q43" s="88">
        <f t="shared" ca="1" si="39"/>
        <v>0.92918743007122706</v>
      </c>
      <c r="R43" s="88">
        <f t="shared" ca="1" si="39"/>
        <v>0.91800153849922661</v>
      </c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88"/>
      <c r="AL43" s="88"/>
      <c r="AM43" s="88"/>
      <c r="AN43" s="88"/>
      <c r="AO43" s="88"/>
      <c r="AP43" s="88"/>
      <c r="AQ43" s="88"/>
      <c r="AR43" s="88"/>
      <c r="AS43" s="88"/>
      <c r="AT43" s="88"/>
      <c r="AU43" s="88"/>
      <c r="AV43" s="88"/>
      <c r="AW43" s="88"/>
      <c r="AX43" s="88"/>
      <c r="AY43" s="88"/>
    </row>
    <row r="44" spans="4:51" ht="14.5" x14ac:dyDescent="0.35">
      <c r="D44" s="87"/>
      <c r="E44" s="93">
        <f t="shared" si="1"/>
        <v>34</v>
      </c>
      <c r="F44" s="92">
        <f t="shared" si="2"/>
        <v>8.5</v>
      </c>
      <c r="G44" s="91">
        <f t="shared" ca="1" si="3"/>
        <v>3.8535882441382591E-2</v>
      </c>
      <c r="H44" s="88">
        <f t="shared" ca="1" si="7"/>
        <v>7.2585621620098434E-2</v>
      </c>
      <c r="I44" s="90">
        <f t="shared" ca="1" si="4"/>
        <v>5.6129839646600677E-2</v>
      </c>
      <c r="J44" s="89">
        <f t="shared" ca="1" si="5"/>
        <v>1.6455781973497757E-2</v>
      </c>
      <c r="L44" s="88">
        <f t="shared" ref="L44:Q44" ca="1" si="40">L$50*EXP(-M$51*$G44)</f>
        <v>0.99187630016041017</v>
      </c>
      <c r="M44" s="88">
        <f t="shared" ca="1" si="40"/>
        <v>0.9822005365468105</v>
      </c>
      <c r="N44" s="88">
        <f t="shared" ca="1" si="40"/>
        <v>0.97255857226295084</v>
      </c>
      <c r="O44" s="88">
        <f t="shared" ca="1" si="40"/>
        <v>0.96295399963683592</v>
      </c>
      <c r="P44" s="88">
        <f t="shared" ca="1" si="40"/>
        <v>0.95339016064746718</v>
      </c>
      <c r="Q44" s="88">
        <f t="shared" ca="1" si="40"/>
        <v>0.94387016035339932</v>
      </c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88"/>
      <c r="AL44" s="88"/>
      <c r="AM44" s="88"/>
      <c r="AN44" s="88"/>
      <c r="AO44" s="88"/>
      <c r="AP44" s="88"/>
      <c r="AQ44" s="88"/>
      <c r="AR44" s="88"/>
      <c r="AS44" s="88"/>
      <c r="AT44" s="88"/>
      <c r="AU44" s="88"/>
      <c r="AV44" s="88"/>
      <c r="AW44" s="88"/>
      <c r="AX44" s="88"/>
      <c r="AY44" s="88"/>
    </row>
    <row r="45" spans="4:51" ht="14.5" x14ac:dyDescent="0.35">
      <c r="D45" s="87"/>
      <c r="E45" s="93">
        <f t="shared" si="1"/>
        <v>35</v>
      </c>
      <c r="F45" s="92">
        <f t="shared" si="2"/>
        <v>8.75</v>
      </c>
      <c r="G45" s="91">
        <f t="shared" ca="1" si="3"/>
        <v>4.2717569115376608E-2</v>
      </c>
      <c r="H45" s="88">
        <f t="shared" ca="1" si="7"/>
        <v>6.0548448449985331E-2</v>
      </c>
      <c r="I45" s="90">
        <f t="shared" ca="1" si="4"/>
        <v>5.2146962548515918E-2</v>
      </c>
      <c r="J45" s="89">
        <f t="shared" ca="1" si="5"/>
        <v>8.4014859014694132E-3</v>
      </c>
      <c r="L45" s="88">
        <f ca="1">L$50*EXP(-M$51*$G45)</f>
        <v>0.9898554965894929</v>
      </c>
      <c r="M45" s="88">
        <f ca="1">M$50*EXP(-N$51*$G45)</f>
        <v>0.97923725644283888</v>
      </c>
      <c r="N45" s="88">
        <f ca="1">N$50*EXP(-O$51*$G45)</f>
        <v>0.96869606203520109</v>
      </c>
      <c r="O45" s="88">
        <f ca="1">O$50*EXP(-P$51*$G45)</f>
        <v>0.95823402347980891</v>
      </c>
      <c r="P45" s="88">
        <f ca="1">P$50*EXP(-Q$51*$G45)</f>
        <v>0.94785303745148408</v>
      </c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88"/>
      <c r="AL45" s="88"/>
      <c r="AM45" s="88"/>
      <c r="AN45" s="88"/>
      <c r="AO45" s="88"/>
      <c r="AP45" s="88"/>
      <c r="AQ45" s="88"/>
      <c r="AR45" s="88"/>
      <c r="AS45" s="88"/>
      <c r="AT45" s="88"/>
      <c r="AU45" s="88"/>
      <c r="AV45" s="88"/>
      <c r="AW45" s="88"/>
      <c r="AX45" s="88"/>
      <c r="AY45" s="88"/>
    </row>
    <row r="46" spans="4:51" ht="14.5" x14ac:dyDescent="0.35">
      <c r="D46" s="87"/>
      <c r="E46" s="93">
        <f t="shared" si="1"/>
        <v>36</v>
      </c>
      <c r="F46" s="92">
        <f t="shared" si="2"/>
        <v>9</v>
      </c>
      <c r="G46" s="91">
        <f t="shared" ca="1" si="3"/>
        <v>4.191407522700049E-2</v>
      </c>
      <c r="H46" s="88">
        <f t="shared" ca="1" si="7"/>
        <v>4.8732819913730206E-2</v>
      </c>
      <c r="I46" s="90">
        <f t="shared" ca="1" si="4"/>
        <v>4.0860851623193972E-2</v>
      </c>
      <c r="J46" s="89">
        <f t="shared" ca="1" si="5"/>
        <v>7.871968290536234E-3</v>
      </c>
      <c r="L46" s="88">
        <f ca="1">L$50*EXP(-M$51*$G46)</f>
        <v>0.99024346588219847</v>
      </c>
      <c r="M46" s="88">
        <f ca="1">M$50*EXP(-N$51*$G46)</f>
        <v>0.97980594381693853</v>
      </c>
      <c r="N46" s="88">
        <f ca="1">N$50*EXP(-O$51*$G46)</f>
        <v>0.96943703502247314</v>
      </c>
      <c r="O46" s="88">
        <f ca="1">O$50*EXP(-P$51*$G46)</f>
        <v>0.95913914837680603</v>
      </c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88"/>
      <c r="AL46" s="88"/>
      <c r="AM46" s="88"/>
      <c r="AN46" s="88"/>
      <c r="AO46" s="88"/>
      <c r="AP46" s="88"/>
      <c r="AQ46" s="88"/>
      <c r="AR46" s="88"/>
      <c r="AS46" s="88"/>
      <c r="AT46" s="88"/>
      <c r="AU46" s="88"/>
      <c r="AV46" s="88"/>
      <c r="AW46" s="88"/>
      <c r="AX46" s="88"/>
      <c r="AY46" s="88"/>
    </row>
    <row r="47" spans="4:51" ht="14.5" x14ac:dyDescent="0.35">
      <c r="D47" s="87"/>
      <c r="E47" s="93">
        <f t="shared" si="1"/>
        <v>37</v>
      </c>
      <c r="F47" s="92">
        <f t="shared" si="2"/>
        <v>9.25</v>
      </c>
      <c r="G47" s="91">
        <f t="shared" ca="1" si="3"/>
        <v>3.6820142260210603E-2</v>
      </c>
      <c r="H47" s="88">
        <f t="shared" ca="1" si="7"/>
        <v>3.6878417405273235E-2</v>
      </c>
      <c r="I47" s="90">
        <f t="shared" ca="1" si="4"/>
        <v>2.5852192817697794E-2</v>
      </c>
      <c r="J47" s="89">
        <f t="shared" ca="1" si="5"/>
        <v>1.1026224587575441E-2</v>
      </c>
      <c r="L47" s="88">
        <f ca="1">L$50*EXP(-M$51*$G47)</f>
        <v>0.99270662615098626</v>
      </c>
      <c r="M47" s="88">
        <f ca="1">M$50*EXP(-N$51*$G47)</f>
        <v>0.98341895908857002</v>
      </c>
      <c r="N47" s="88">
        <f ca="1">N$50*EXP(-O$51*$G47)</f>
        <v>0.97414780718230221</v>
      </c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88"/>
      <c r="AL47" s="88"/>
      <c r="AM47" s="88"/>
      <c r="AN47" s="88"/>
      <c r="AO47" s="88"/>
      <c r="AP47" s="88"/>
      <c r="AQ47" s="88"/>
      <c r="AR47" s="88"/>
      <c r="AS47" s="88"/>
      <c r="AT47" s="88"/>
      <c r="AU47" s="88"/>
      <c r="AV47" s="88"/>
      <c r="AW47" s="88"/>
      <c r="AX47" s="88"/>
      <c r="AY47" s="88"/>
    </row>
    <row r="48" spans="4:51" ht="14.5" x14ac:dyDescent="0.35">
      <c r="D48" s="87"/>
      <c r="E48" s="93">
        <f t="shared" si="1"/>
        <v>38</v>
      </c>
      <c r="F48" s="92">
        <f t="shared" si="2"/>
        <v>9.5</v>
      </c>
      <c r="G48" s="91">
        <f t="shared" ca="1" si="3"/>
        <v>4.2435641583840222E-2</v>
      </c>
      <c r="H48" s="88">
        <f t="shared" ca="1" si="7"/>
        <v>2.461785458686596E-2</v>
      </c>
      <c r="I48" s="90">
        <f t="shared" ca="1" si="4"/>
        <v>2.0563241831498491E-2</v>
      </c>
      <c r="J48" s="89">
        <f t="shared" ca="1" si="5"/>
        <v>4.0546127553674691E-3</v>
      </c>
      <c r="L48" s="88">
        <f ca="1">L$50*EXP(-M$51*$G48)</f>
        <v>0.98999160878077519</v>
      </c>
      <c r="M48" s="88">
        <f ca="1">M$50*EXP(-N$51*$G48)</f>
        <v>0.97943675816850151</v>
      </c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88"/>
      <c r="AL48" s="88"/>
      <c r="AM48" s="88"/>
      <c r="AN48" s="88"/>
      <c r="AO48" s="88"/>
      <c r="AP48" s="88"/>
      <c r="AQ48" s="88"/>
      <c r="AR48" s="88"/>
      <c r="AS48" s="88"/>
      <c r="AT48" s="88"/>
      <c r="AU48" s="88"/>
      <c r="AV48" s="88"/>
      <c r="AW48" s="88"/>
      <c r="AX48" s="88"/>
      <c r="AY48" s="88"/>
    </row>
    <row r="49" spans="1:255" ht="14.5" x14ac:dyDescent="0.35">
      <c r="D49" s="87"/>
      <c r="E49" s="93">
        <f t="shared" si="1"/>
        <v>39</v>
      </c>
      <c r="F49" s="92">
        <f t="shared" si="2"/>
        <v>9.75</v>
      </c>
      <c r="G49" s="91">
        <f t="shared" ca="1" si="3"/>
        <v>3.7615179285099609E-2</v>
      </c>
      <c r="H49" s="88">
        <f t="shared" ca="1" si="7"/>
        <v>1.2404022307453504E-2</v>
      </c>
      <c r="I49" s="90">
        <f t="shared" ca="1" si="4"/>
        <v>7.6782154037197126E-3</v>
      </c>
      <c r="J49" s="89">
        <f t="shared" ca="1" si="5"/>
        <v>4.7258069037337917E-3</v>
      </c>
      <c r="L49" s="88">
        <f ca="1">L$50*EXP(-M$51*$G49)</f>
        <v>0.99232178459628029</v>
      </c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88"/>
      <c r="AL49" s="88"/>
      <c r="AM49" s="88"/>
      <c r="AN49" s="88"/>
      <c r="AO49" s="88"/>
      <c r="AP49" s="88"/>
      <c r="AQ49" s="88"/>
      <c r="AR49" s="88"/>
      <c r="AS49" s="88"/>
      <c r="AT49" s="88"/>
      <c r="AU49" s="88"/>
      <c r="AV49" s="88"/>
      <c r="AW49" s="88"/>
      <c r="AX49" s="88"/>
      <c r="AY49" s="88"/>
    </row>
    <row r="50" spans="1:255" ht="15" thickBot="1" x14ac:dyDescent="0.4">
      <c r="D50" s="87"/>
      <c r="E50" s="86">
        <f t="shared" si="1"/>
        <v>40</v>
      </c>
      <c r="F50" s="85">
        <f t="shared" si="2"/>
        <v>10</v>
      </c>
      <c r="G50" s="84">
        <f t="shared" ca="1" si="3"/>
        <v>3.0117500490443795E-2</v>
      </c>
      <c r="H50" s="83">
        <v>0</v>
      </c>
      <c r="I50" s="82">
        <v>0</v>
      </c>
      <c r="J50" s="81">
        <f t="shared" si="5"/>
        <v>0</v>
      </c>
      <c r="K50" s="73" t="s">
        <v>127</v>
      </c>
      <c r="L50" s="80">
        <f t="shared" ref="L50:AY50" si="41">EXP(((M51-L9)*(MeanRev^2*b_Param-Volatility^2/2))/MeanRev^2-(Volatility^2*M51^2/(4*MeanRev)))</f>
        <v>1.0106940719084794</v>
      </c>
      <c r="M50" s="80">
        <f t="shared" si="41"/>
        <v>1.009933923118389</v>
      </c>
      <c r="N50" s="80">
        <f t="shared" si="41"/>
        <v>1.0088860122296224</v>
      </c>
      <c r="O50" s="80">
        <f t="shared" si="41"/>
        <v>1.0075596503505744</v>
      </c>
      <c r="P50" s="80">
        <f t="shared" si="41"/>
        <v>1.0059640685704978</v>
      </c>
      <c r="Q50" s="80">
        <f t="shared" si="41"/>
        <v>1.0041084059046199</v>
      </c>
      <c r="R50" s="80">
        <f t="shared" si="41"/>
        <v>1.0020016983465931</v>
      </c>
      <c r="S50" s="80">
        <f t="shared" si="41"/>
        <v>0.99965286896962768</v>
      </c>
      <c r="T50" s="80">
        <f t="shared" si="41"/>
        <v>0.99707071901901978</v>
      </c>
      <c r="U50" s="80">
        <f t="shared" si="41"/>
        <v>0.99426391994029639</v>
      </c>
      <c r="V50" s="80">
        <f t="shared" si="41"/>
        <v>0.99124100628883427</v>
      </c>
      <c r="W50" s="80">
        <f t="shared" si="41"/>
        <v>0.98801036946852949</v>
      </c>
      <c r="X50" s="80">
        <f t="shared" si="41"/>
        <v>0.98458025224889867</v>
      </c>
      <c r="Y50" s="80">
        <f t="shared" si="41"/>
        <v>0.98095874401183969</v>
      </c>
      <c r="Z50" s="80">
        <f t="shared" si="41"/>
        <v>0.97715377668116776</v>
      </c>
      <c r="AA50" s="80">
        <f t="shared" si="41"/>
        <v>0.97317312128994682</v>
      </c>
      <c r="AB50" s="80">
        <f t="shared" si="41"/>
        <v>0.96902438514254707</v>
      </c>
      <c r="AC50" s="80">
        <f t="shared" si="41"/>
        <v>0.96471500953026823</v>
      </c>
      <c r="AD50" s="80">
        <f t="shared" si="41"/>
        <v>0.96025226796125085</v>
      </c>
      <c r="AE50" s="80">
        <f t="shared" si="41"/>
        <v>0.9556432648672728</v>
      </c>
      <c r="AF50" s="80">
        <f t="shared" si="41"/>
        <v>0.95089493475185094</v>
      </c>
      <c r="AG50" s="80">
        <f t="shared" si="41"/>
        <v>0.94601404174586989</v>
      </c>
      <c r="AH50" s="80">
        <f t="shared" si="41"/>
        <v>0.94100717953871127</v>
      </c>
      <c r="AI50" s="80">
        <f t="shared" si="41"/>
        <v>0.9358807716545563</v>
      </c>
      <c r="AJ50" s="80">
        <f t="shared" si="41"/>
        <v>0.93064107204519475</v>
      </c>
      <c r="AK50" s="80">
        <f t="shared" si="41"/>
        <v>0.92529416597226888</v>
      </c>
      <c r="AL50" s="80">
        <f t="shared" si="41"/>
        <v>0.91984597115343025</v>
      </c>
      <c r="AM50" s="80">
        <f t="shared" si="41"/>
        <v>0.91430223914837139</v>
      </c>
      <c r="AN50" s="80">
        <f t="shared" si="41"/>
        <v>0.90866855696213145</v>
      </c>
      <c r="AO50" s="80">
        <f t="shared" si="41"/>
        <v>0.90295034884444292</v>
      </c>
      <c r="AP50" s="80">
        <f t="shared" si="41"/>
        <v>0.89715287826520662</v>
      </c>
      <c r="AQ50" s="80">
        <f t="shared" si="41"/>
        <v>0.89128125004743841</v>
      </c>
      <c r="AR50" s="80">
        <f t="shared" si="41"/>
        <v>0.88534041264023322</v>
      </c>
      <c r="AS50" s="80">
        <f t="shared" si="41"/>
        <v>0.87933516051543847</v>
      </c>
      <c r="AT50" s="80">
        <f t="shared" si="41"/>
        <v>0.87327013667281772</v>
      </c>
      <c r="AU50" s="80">
        <f t="shared" si="41"/>
        <v>0.86714983523952505</v>
      </c>
      <c r="AV50" s="80">
        <f t="shared" si="41"/>
        <v>0.86097860415069416</v>
      </c>
      <c r="AW50" s="80">
        <f t="shared" si="41"/>
        <v>0.85476064789887929</v>
      </c>
      <c r="AX50" s="80">
        <f t="shared" si="41"/>
        <v>0.84850003034097221</v>
      </c>
      <c r="AY50" s="80">
        <f t="shared" si="41"/>
        <v>0.63762815162177333</v>
      </c>
    </row>
    <row r="51" spans="1:255" x14ac:dyDescent="0.25">
      <c r="L51" s="80">
        <f t="shared" ref="L51:AZ51" si="42">(1-EXP(-MeanRev*L9))/MeanRev</f>
        <v>0.24690087971667385</v>
      </c>
      <c r="M51" s="80">
        <f t="shared" si="42"/>
        <v>0.48770575499285984</v>
      </c>
      <c r="N51" s="80">
        <f t="shared" si="42"/>
        <v>0.72256513671447142</v>
      </c>
      <c r="O51" s="80">
        <f t="shared" si="42"/>
        <v>0.95162581964040482</v>
      </c>
      <c r="P51" s="80">
        <f t="shared" si="42"/>
        <v>1.1750309741540454</v>
      </c>
      <c r="Q51" s="80">
        <f t="shared" si="42"/>
        <v>1.3929202357494219</v>
      </c>
      <c r="R51" s="80">
        <f t="shared" si="42"/>
        <v>1.6054297923079264</v>
      </c>
      <c r="S51" s="80">
        <f t="shared" si="42"/>
        <v>1.8126924692201818</v>
      </c>
      <c r="T51" s="80">
        <f t="shared" si="42"/>
        <v>2.0148378124062294</v>
      </c>
      <c r="U51" s="80">
        <f t="shared" si="42"/>
        <v>2.211992169285951</v>
      </c>
      <c r="V51" s="80">
        <f t="shared" si="42"/>
        <v>2.404278767750315</v>
      </c>
      <c r="W51" s="80">
        <f t="shared" si="42"/>
        <v>2.591817793182821</v>
      </c>
      <c r="X51" s="80">
        <f t="shared" si="42"/>
        <v>2.7747264635792779</v>
      </c>
      <c r="Y51" s="80">
        <f t="shared" si="42"/>
        <v>2.9531191028128654</v>
      </c>
      <c r="Z51" s="80">
        <f t="shared" si="42"/>
        <v>3.1271072120902774</v>
      </c>
      <c r="AA51" s="80">
        <f t="shared" si="42"/>
        <v>3.2967995396436067</v>
      </c>
      <c r="AB51" s="80">
        <f t="shared" si="42"/>
        <v>3.4623021487015269</v>
      </c>
      <c r="AC51" s="80">
        <f t="shared" si="42"/>
        <v>3.6237184837822665</v>
      </c>
      <c r="AD51" s="80">
        <f t="shared" si="42"/>
        <v>3.7811494353497999</v>
      </c>
      <c r="AE51" s="80">
        <f t="shared" si="42"/>
        <v>3.9346934028736658</v>
      </c>
      <c r="AF51" s="80">
        <f t="shared" si="42"/>
        <v>4.0844463563318483</v>
      </c>
      <c r="AG51" s="80">
        <f t="shared" si="42"/>
        <v>4.2305018961951335</v>
      </c>
      <c r="AH51" s="80">
        <f t="shared" si="42"/>
        <v>4.3729513119304428</v>
      </c>
      <c r="AI51" s="80">
        <f t="shared" si="42"/>
        <v>4.5118836390597359</v>
      </c>
      <c r="AJ51" s="80">
        <f t="shared" si="42"/>
        <v>4.6473857148100972</v>
      </c>
      <c r="AK51" s="80">
        <f t="shared" si="42"/>
        <v>4.7795422323898391</v>
      </c>
      <c r="AL51" s="80">
        <f t="shared" si="42"/>
        <v>4.9084357939245082</v>
      </c>
      <c r="AM51" s="80">
        <f t="shared" si="42"/>
        <v>5.0341469620859058</v>
      </c>
      <c r="AN51" s="80">
        <f t="shared" si="42"/>
        <v>5.1567543104463764</v>
      </c>
      <c r="AO51" s="80">
        <f t="shared" si="42"/>
        <v>5.2763344725898529</v>
      </c>
      <c r="AP51" s="80">
        <f t="shared" si="42"/>
        <v>5.3929621900103415</v>
      </c>
      <c r="AQ51" s="80">
        <f t="shared" si="42"/>
        <v>5.5067103588277844</v>
      </c>
      <c r="AR51" s="80">
        <f t="shared" si="42"/>
        <v>5.6176500753505083</v>
      </c>
      <c r="AS51" s="80">
        <f t="shared" si="42"/>
        <v>5.7258506805127336</v>
      </c>
      <c r="AT51" s="80">
        <f t="shared" si="42"/>
        <v>5.8313798032149151</v>
      </c>
      <c r="AU51" s="80">
        <f t="shared" si="42"/>
        <v>5.9343034025940087</v>
      </c>
      <c r="AV51" s="80">
        <f t="shared" si="42"/>
        <v>6.034685809250071</v>
      </c>
      <c r="AW51" s="80">
        <f t="shared" si="42"/>
        <v>6.1325897654549877</v>
      </c>
      <c r="AX51" s="80">
        <f t="shared" si="42"/>
        <v>6.2280764643684305</v>
      </c>
      <c r="AY51" s="80">
        <f t="shared" si="42"/>
        <v>6.3212055882855767</v>
      </c>
      <c r="AZ51" s="80">
        <f t="shared" si="42"/>
        <v>0</v>
      </c>
    </row>
    <row r="52" spans="1:255" ht="14.5" x14ac:dyDescent="0.35">
      <c r="C52" s="73" t="s">
        <v>126</v>
      </c>
      <c r="D52" s="73" t="s">
        <v>125</v>
      </c>
      <c r="E52" s="73" t="s">
        <v>124</v>
      </c>
      <c r="G52" s="79"/>
      <c r="H52" s="79"/>
    </row>
    <row r="53" spans="1:255" s="74" customFormat="1" ht="14.5" x14ac:dyDescent="0.35">
      <c r="A53" s="73"/>
      <c r="B53" s="78">
        <v>0</v>
      </c>
      <c r="C53" s="77">
        <f>SUMIF(E53:IU53,"&gt;0")/250</f>
        <v>3.5295961035048027E-3</v>
      </c>
      <c r="D53" s="76">
        <f>SMALL(E53:IU53,90%*250)</f>
        <v>3.5155339676342656E-3</v>
      </c>
      <c r="E53" s="75">
        <v>3.5155339676342656E-3</v>
      </c>
      <c r="F53" s="75">
        <v>3.5155339676342656E-3</v>
      </c>
      <c r="G53" s="75">
        <v>3.5155339676342656E-3</v>
      </c>
      <c r="H53" s="75">
        <v>3.5155339676342656E-3</v>
      </c>
      <c r="I53" s="75">
        <v>3.5155339676342656E-3</v>
      </c>
      <c r="J53" s="75">
        <v>3.5155339676342656E-3</v>
      </c>
      <c r="K53" s="75">
        <v>3.5155339676342656E-3</v>
      </c>
      <c r="L53" s="75">
        <v>3.5155339676342656E-3</v>
      </c>
      <c r="M53" s="75">
        <v>3.5155339676342656E-3</v>
      </c>
      <c r="N53" s="75">
        <v>3.5155339676342656E-3</v>
      </c>
      <c r="O53" s="75">
        <v>3.5155339676342656E-3</v>
      </c>
      <c r="P53" s="75">
        <v>3.5155339676342656E-3</v>
      </c>
      <c r="Q53" s="75">
        <v>3.5155339676342656E-3</v>
      </c>
      <c r="R53" s="75">
        <v>3.5155339676342656E-3</v>
      </c>
      <c r="S53" s="75">
        <v>3.5155339676342656E-3</v>
      </c>
      <c r="T53" s="75">
        <v>3.5155339676342656E-3</v>
      </c>
      <c r="U53" s="75">
        <v>3.5155339676342656E-3</v>
      </c>
      <c r="V53" s="75">
        <v>3.5155339676342656E-3</v>
      </c>
      <c r="W53" s="75">
        <v>3.5155339676342656E-3</v>
      </c>
      <c r="X53" s="75">
        <v>3.5155339676342656E-3</v>
      </c>
      <c r="Y53" s="75">
        <v>3.5155339676342656E-3</v>
      </c>
      <c r="Z53" s="75">
        <v>3.5155339676342656E-3</v>
      </c>
      <c r="AA53" s="75">
        <v>3.5155339676342656E-3</v>
      </c>
      <c r="AB53" s="75">
        <v>3.5155339676342656E-3</v>
      </c>
      <c r="AC53" s="75">
        <v>3.5155339676342656E-3</v>
      </c>
      <c r="AD53" s="75">
        <v>3.5155339676342656E-3</v>
      </c>
      <c r="AE53" s="75">
        <v>3.5155339676342656E-3</v>
      </c>
      <c r="AF53" s="75">
        <v>3.5155339676342656E-3</v>
      </c>
      <c r="AG53" s="75">
        <v>3.5155339676342656E-3</v>
      </c>
      <c r="AH53" s="75">
        <v>3.5155339676342656E-3</v>
      </c>
      <c r="AI53" s="75">
        <v>3.5155339676342656E-3</v>
      </c>
      <c r="AJ53" s="75">
        <v>3.5155339676342656E-3</v>
      </c>
      <c r="AK53" s="75">
        <v>3.5155339676342656E-3</v>
      </c>
      <c r="AL53" s="75">
        <v>3.5155339676342656E-3</v>
      </c>
      <c r="AM53" s="75">
        <v>3.5155339676342656E-3</v>
      </c>
      <c r="AN53" s="75">
        <v>3.5155339676342656E-3</v>
      </c>
      <c r="AO53" s="75">
        <v>3.5155339676342656E-3</v>
      </c>
      <c r="AP53" s="75">
        <v>3.5155339676342656E-3</v>
      </c>
      <c r="AQ53" s="75">
        <v>3.5155339676342656E-3</v>
      </c>
      <c r="AR53" s="75">
        <v>3.5155339676342656E-3</v>
      </c>
      <c r="AS53" s="75">
        <v>3.5155339676342656E-3</v>
      </c>
      <c r="AT53" s="75">
        <v>3.5155339676342656E-3</v>
      </c>
      <c r="AU53" s="75">
        <v>3.5155339676342656E-3</v>
      </c>
      <c r="AV53" s="75">
        <v>3.5155339676342656E-3</v>
      </c>
      <c r="AW53" s="75">
        <v>3.5155339676342656E-3</v>
      </c>
      <c r="AX53" s="75">
        <v>3.5155339676342656E-3</v>
      </c>
      <c r="AY53" s="75">
        <v>3.5155339676342656E-3</v>
      </c>
      <c r="AZ53" s="75">
        <v>3.5155339676342656E-3</v>
      </c>
      <c r="BA53" s="75">
        <v>3.5155339676342656E-3</v>
      </c>
      <c r="BB53" s="75">
        <v>3.5155339676342656E-3</v>
      </c>
      <c r="BC53" s="75">
        <v>3.5155339676342656E-3</v>
      </c>
      <c r="BD53" s="75">
        <v>3.5155339676342656E-3</v>
      </c>
      <c r="BE53" s="75">
        <v>3.5155339676342656E-3</v>
      </c>
      <c r="BF53" s="75">
        <v>3.5155339676342656E-3</v>
      </c>
      <c r="BG53" s="75">
        <v>3.5155339676342656E-3</v>
      </c>
      <c r="BH53" s="75">
        <v>3.5155339676342656E-3</v>
      </c>
      <c r="BI53" s="75">
        <v>3.5155339676342656E-3</v>
      </c>
      <c r="BJ53" s="75">
        <v>3.5155339676342656E-3</v>
      </c>
      <c r="BK53" s="75">
        <v>3.5155339676342656E-3</v>
      </c>
      <c r="BL53" s="75">
        <v>3.5155339676342656E-3</v>
      </c>
      <c r="BM53" s="75">
        <v>3.5155339676342656E-3</v>
      </c>
      <c r="BN53" s="75">
        <v>3.5155339676342656E-3</v>
      </c>
      <c r="BO53" s="75">
        <v>3.5155339676342656E-3</v>
      </c>
      <c r="BP53" s="75">
        <v>3.5155339676342656E-3</v>
      </c>
      <c r="BQ53" s="75">
        <v>3.5155339676342656E-3</v>
      </c>
      <c r="BR53" s="75">
        <v>3.5155339676342656E-3</v>
      </c>
      <c r="BS53" s="75">
        <v>3.5155339676342656E-3</v>
      </c>
      <c r="BT53" s="75">
        <v>3.5155339676342656E-3</v>
      </c>
      <c r="BU53" s="75">
        <v>3.5155339676342656E-3</v>
      </c>
      <c r="BV53" s="75">
        <v>3.5155339676342656E-3</v>
      </c>
      <c r="BW53" s="75">
        <v>3.5155339676342656E-3</v>
      </c>
      <c r="BX53" s="75">
        <v>3.5155339676342656E-3</v>
      </c>
      <c r="BY53" s="75">
        <v>3.5155339676342656E-3</v>
      </c>
      <c r="BZ53" s="75">
        <v>3.5155339676342656E-3</v>
      </c>
      <c r="CA53" s="75">
        <v>3.5155339676342656E-3</v>
      </c>
      <c r="CB53" s="75">
        <v>3.5155339676342656E-3</v>
      </c>
      <c r="CC53" s="75">
        <v>3.5155339676342656E-3</v>
      </c>
      <c r="CD53" s="75">
        <v>3.5155339676342656E-3</v>
      </c>
      <c r="CE53" s="75">
        <v>3.5155339676342656E-3</v>
      </c>
      <c r="CF53" s="75">
        <v>3.5155339676342656E-3</v>
      </c>
      <c r="CG53" s="75">
        <v>3.5155339676342656E-3</v>
      </c>
      <c r="CH53" s="75">
        <v>3.5155339676342656E-3</v>
      </c>
      <c r="CI53" s="75">
        <v>3.5155339676342656E-3</v>
      </c>
      <c r="CJ53" s="75">
        <v>3.5155339676342656E-3</v>
      </c>
      <c r="CK53" s="75">
        <v>3.5155339676342656E-3</v>
      </c>
      <c r="CL53" s="75">
        <v>3.5155339676342656E-3</v>
      </c>
      <c r="CM53" s="75">
        <v>3.5155339676342656E-3</v>
      </c>
      <c r="CN53" s="75">
        <v>3.5155339676342656E-3</v>
      </c>
      <c r="CO53" s="75">
        <v>3.5155339676342656E-3</v>
      </c>
      <c r="CP53" s="75">
        <v>3.5155339676342656E-3</v>
      </c>
      <c r="CQ53" s="75">
        <v>3.5155339676342656E-3</v>
      </c>
      <c r="CR53" s="75">
        <v>3.5155339676342656E-3</v>
      </c>
      <c r="CS53" s="75">
        <v>3.5155339676342656E-3</v>
      </c>
      <c r="CT53" s="75">
        <v>3.5155339676342656E-3</v>
      </c>
      <c r="CU53" s="75">
        <v>3.5155339676342656E-3</v>
      </c>
      <c r="CV53" s="75">
        <v>3.5155339676342656E-3</v>
      </c>
      <c r="CW53" s="75">
        <v>3.5155339676342656E-3</v>
      </c>
      <c r="CX53" s="75">
        <v>3.5155339676342656E-3</v>
      </c>
      <c r="CY53" s="75">
        <v>3.5155339676342656E-3</v>
      </c>
      <c r="CZ53" s="75">
        <v>3.5155339676342656E-3</v>
      </c>
      <c r="DA53" s="75">
        <v>3.5155339676342656E-3</v>
      </c>
      <c r="DB53" s="75">
        <v>3.5155339676342656E-3</v>
      </c>
      <c r="DC53" s="75">
        <v>3.5155339676342656E-3</v>
      </c>
      <c r="DD53" s="75">
        <v>3.5155339676342656E-3</v>
      </c>
      <c r="DE53" s="75">
        <v>3.5155339676342656E-3</v>
      </c>
      <c r="DF53" s="75">
        <v>3.5155339676342656E-3</v>
      </c>
      <c r="DG53" s="75">
        <v>3.5155339676342656E-3</v>
      </c>
      <c r="DH53" s="75">
        <v>3.5155339676342656E-3</v>
      </c>
      <c r="DI53" s="75">
        <v>3.5155339676342656E-3</v>
      </c>
      <c r="DJ53" s="75">
        <v>3.5155339676342656E-3</v>
      </c>
      <c r="DK53" s="75">
        <v>3.5155339676342656E-3</v>
      </c>
      <c r="DL53" s="75">
        <v>3.5155339676342656E-3</v>
      </c>
      <c r="DM53" s="75">
        <v>3.5155339676342656E-3</v>
      </c>
      <c r="DN53" s="75">
        <v>3.5155339676342656E-3</v>
      </c>
      <c r="DO53" s="75">
        <v>3.5155339676342656E-3</v>
      </c>
      <c r="DP53" s="75">
        <v>3.5155339676342656E-3</v>
      </c>
      <c r="DQ53" s="75">
        <v>3.5155339676342656E-3</v>
      </c>
      <c r="DR53" s="75">
        <v>3.5155339676342656E-3</v>
      </c>
      <c r="DS53" s="75">
        <v>3.5155339676342656E-3</v>
      </c>
      <c r="DT53" s="75">
        <v>3.5155339676342656E-3</v>
      </c>
      <c r="DU53" s="75">
        <v>3.5155339676342656E-3</v>
      </c>
      <c r="DV53" s="75">
        <v>3.5155339676342656E-3</v>
      </c>
      <c r="DW53" s="75">
        <v>3.5155339676342656E-3</v>
      </c>
      <c r="DX53" s="75">
        <v>3.5155339676342656E-3</v>
      </c>
      <c r="DY53" s="75">
        <v>3.5155339676342656E-3</v>
      </c>
      <c r="DZ53" s="75">
        <v>3.5155339676342656E-3</v>
      </c>
      <c r="EA53" s="75">
        <v>3.5155339676342656E-3</v>
      </c>
      <c r="EB53" s="75">
        <v>3.5155339676342656E-3</v>
      </c>
      <c r="EC53" s="75">
        <v>3.5155339676342656E-3</v>
      </c>
      <c r="ED53" s="75">
        <v>3.5155339676342656E-3</v>
      </c>
      <c r="EE53" s="75">
        <v>3.5155339676342656E-3</v>
      </c>
      <c r="EF53" s="75">
        <v>3.5155339676342656E-3</v>
      </c>
      <c r="EG53" s="75">
        <v>3.5155339676342656E-3</v>
      </c>
      <c r="EH53" s="75">
        <v>3.5155339676342656E-3</v>
      </c>
      <c r="EI53" s="75">
        <v>3.5155339676342656E-3</v>
      </c>
      <c r="EJ53" s="75">
        <v>3.5155339676342656E-3</v>
      </c>
      <c r="EK53" s="75">
        <v>3.5155339676342656E-3</v>
      </c>
      <c r="EL53" s="75">
        <v>3.5155339676342656E-3</v>
      </c>
      <c r="EM53" s="75">
        <v>3.5155339676342656E-3</v>
      </c>
      <c r="EN53" s="75">
        <v>3.5155339676342656E-3</v>
      </c>
      <c r="EO53" s="75">
        <v>3.5155339676342656E-3</v>
      </c>
      <c r="EP53" s="75">
        <v>3.5155339676342656E-3</v>
      </c>
      <c r="EQ53" s="75">
        <v>3.5155339676342656E-3</v>
      </c>
      <c r="ER53" s="75">
        <v>3.5155339676342656E-3</v>
      </c>
      <c r="ES53" s="75">
        <v>3.5155339676342656E-3</v>
      </c>
      <c r="ET53" s="75">
        <v>3.5155339676342656E-3</v>
      </c>
      <c r="EU53" s="75">
        <v>3.5155339676342656E-3</v>
      </c>
      <c r="EV53" s="75">
        <v>3.5155339676342656E-3</v>
      </c>
      <c r="EW53" s="75">
        <v>3.5155339676342656E-3</v>
      </c>
      <c r="EX53" s="75">
        <v>3.5155339676342656E-3</v>
      </c>
      <c r="EY53" s="75">
        <v>3.5155339676342656E-3</v>
      </c>
      <c r="EZ53" s="75">
        <v>3.5155339676342656E-3</v>
      </c>
      <c r="FA53" s="75">
        <v>3.5155339676342656E-3</v>
      </c>
      <c r="FB53" s="75">
        <v>3.5155339676342656E-3</v>
      </c>
      <c r="FC53" s="75">
        <v>3.5155339676342656E-3</v>
      </c>
      <c r="FD53" s="75">
        <v>3.5155339676342656E-3</v>
      </c>
      <c r="FE53" s="75">
        <v>3.5155339676342656E-3</v>
      </c>
      <c r="FF53" s="75">
        <v>3.5155339676342656E-3</v>
      </c>
      <c r="FG53" s="75">
        <v>3.5155339676342656E-3</v>
      </c>
      <c r="FH53" s="75">
        <v>3.5155339676342656E-3</v>
      </c>
      <c r="FI53" s="75">
        <v>3.5155339676342656E-3</v>
      </c>
      <c r="FJ53" s="75">
        <v>3.5155339676342656E-3</v>
      </c>
      <c r="FK53" s="75">
        <v>3.5155339676342656E-3</v>
      </c>
      <c r="FL53" s="75">
        <v>3.5155339676342656E-3</v>
      </c>
      <c r="FM53" s="75">
        <v>3.5155339676342656E-3</v>
      </c>
      <c r="FN53" s="75">
        <v>3.5155339676342656E-3</v>
      </c>
      <c r="FO53" s="75">
        <v>3.5155339676342656E-3</v>
      </c>
      <c r="FP53" s="75">
        <v>3.5155339676342656E-3</v>
      </c>
      <c r="FQ53" s="75">
        <v>3.5155339676342656E-3</v>
      </c>
      <c r="FR53" s="75">
        <v>3.5155339676342656E-3</v>
      </c>
      <c r="FS53" s="75">
        <v>3.5155339676342656E-3</v>
      </c>
      <c r="FT53" s="75">
        <v>3.5155339676342656E-3</v>
      </c>
      <c r="FU53" s="75">
        <v>3.5155339676342656E-3</v>
      </c>
      <c r="FV53" s="75">
        <v>3.5155339676342656E-3</v>
      </c>
      <c r="FW53" s="75">
        <v>3.5155339676342656E-3</v>
      </c>
      <c r="FX53" s="75">
        <v>3.5155339676342656E-3</v>
      </c>
      <c r="FY53" s="75">
        <v>3.5155339676342656E-3</v>
      </c>
      <c r="FZ53" s="75">
        <v>3.5155339676342656E-3</v>
      </c>
      <c r="GA53" s="75">
        <v>3.5155339676342656E-3</v>
      </c>
      <c r="GB53" s="75">
        <v>3.5155339676342656E-3</v>
      </c>
      <c r="GC53" s="75">
        <v>3.5155339676342656E-3</v>
      </c>
      <c r="GD53" s="75">
        <v>3.5155339676342656E-3</v>
      </c>
      <c r="GE53" s="75">
        <v>3.5155339676342656E-3</v>
      </c>
      <c r="GF53" s="75">
        <v>3.5155339676342656E-3</v>
      </c>
      <c r="GG53" s="75">
        <v>3.5155339676342656E-3</v>
      </c>
      <c r="GH53" s="75">
        <v>3.5155339676342656E-3</v>
      </c>
      <c r="GI53" s="75">
        <v>3.5155339676342656E-3</v>
      </c>
      <c r="GJ53" s="75">
        <v>3.5155339676342656E-3</v>
      </c>
      <c r="GK53" s="75">
        <v>3.5155339676342656E-3</v>
      </c>
      <c r="GL53" s="75">
        <v>3.5155339676342656E-3</v>
      </c>
      <c r="GM53" s="75">
        <v>3.5155339676342656E-3</v>
      </c>
      <c r="GN53" s="75">
        <v>3.5155339676342656E-3</v>
      </c>
      <c r="GO53" s="75">
        <v>3.5155339676342656E-3</v>
      </c>
      <c r="GP53" s="75">
        <v>3.5155339676342656E-3</v>
      </c>
      <c r="GQ53" s="75">
        <v>3.5155339676342656E-3</v>
      </c>
      <c r="GR53" s="75">
        <v>3.5155339676342656E-3</v>
      </c>
      <c r="GS53" s="75">
        <v>3.5155339676342656E-3</v>
      </c>
      <c r="GT53" s="75">
        <v>3.5155339676342656E-3</v>
      </c>
      <c r="GU53" s="75">
        <v>3.5155339676342656E-3</v>
      </c>
      <c r="GV53" s="75">
        <v>3.5155339676342656E-3</v>
      </c>
      <c r="GW53" s="75">
        <v>3.5155339676342656E-3</v>
      </c>
      <c r="GX53" s="75">
        <v>3.5155339676342656E-3</v>
      </c>
      <c r="GY53" s="75">
        <v>3.5155339676342656E-3</v>
      </c>
      <c r="GZ53" s="75">
        <v>3.5155339676342656E-3</v>
      </c>
      <c r="HA53" s="75">
        <v>3.5155339676342656E-3</v>
      </c>
      <c r="HB53" s="75">
        <v>3.5155339676342656E-3</v>
      </c>
      <c r="HC53" s="75">
        <v>3.5155339676342656E-3</v>
      </c>
      <c r="HD53" s="75">
        <v>3.5155339676342656E-3</v>
      </c>
      <c r="HE53" s="75">
        <v>3.5155339676342656E-3</v>
      </c>
      <c r="HF53" s="75">
        <v>3.5155339676342656E-3</v>
      </c>
      <c r="HG53" s="75">
        <v>3.5155339676342656E-3</v>
      </c>
      <c r="HH53" s="75">
        <v>3.5155339676342656E-3</v>
      </c>
      <c r="HI53" s="75">
        <v>3.5155339676342656E-3</v>
      </c>
      <c r="HJ53" s="75">
        <v>3.5155339676342656E-3</v>
      </c>
      <c r="HK53" s="75">
        <v>3.5155339676342656E-3</v>
      </c>
      <c r="HL53" s="75">
        <v>3.5155339676342656E-3</v>
      </c>
      <c r="HM53" s="75">
        <v>3.5155339676342656E-3</v>
      </c>
      <c r="HN53" s="75">
        <v>3.5155339676342656E-3</v>
      </c>
      <c r="HO53" s="75">
        <v>3.5155339676342656E-3</v>
      </c>
      <c r="HP53" s="75">
        <v>3.5155339676342656E-3</v>
      </c>
      <c r="HQ53" s="75">
        <v>3.5155339676342656E-3</v>
      </c>
      <c r="HR53" s="75">
        <v>3.5155339676342656E-3</v>
      </c>
      <c r="HS53" s="75">
        <v>3.5155339676342656E-3</v>
      </c>
      <c r="HT53" s="75">
        <v>3.5155339676342656E-3</v>
      </c>
      <c r="HU53" s="75">
        <v>3.5155339676342656E-3</v>
      </c>
      <c r="HV53" s="75">
        <v>3.5155339676342656E-3</v>
      </c>
      <c r="HW53" s="75">
        <v>3.5155339676342656E-3</v>
      </c>
      <c r="HX53" s="75">
        <v>3.5155339676342656E-3</v>
      </c>
      <c r="HY53" s="75">
        <v>3.5155339676342656E-3</v>
      </c>
      <c r="HZ53" s="75">
        <v>3.5155339676342656E-3</v>
      </c>
      <c r="IA53" s="75">
        <v>3.5155339676342656E-3</v>
      </c>
      <c r="IB53" s="75">
        <v>3.5155339676342656E-3</v>
      </c>
      <c r="IC53" s="75">
        <v>3.5155339676342656E-3</v>
      </c>
      <c r="ID53" s="75">
        <v>3.5155339676342656E-3</v>
      </c>
      <c r="IE53" s="75">
        <v>3.5155339676342656E-3</v>
      </c>
      <c r="IF53" s="75">
        <v>3.5155339676342656E-3</v>
      </c>
      <c r="IG53" s="75">
        <v>3.5155339676342656E-3</v>
      </c>
      <c r="IH53" s="75">
        <v>3.5155339676342656E-3</v>
      </c>
      <c r="II53" s="75">
        <v>3.5155339676342656E-3</v>
      </c>
      <c r="IJ53" s="75">
        <v>3.5155339676342656E-3</v>
      </c>
      <c r="IK53" s="75">
        <v>3.5155339676342656E-3</v>
      </c>
      <c r="IL53" s="75">
        <v>3.5155339676342656E-3</v>
      </c>
      <c r="IM53" s="75">
        <v>3.5155339676342656E-3</v>
      </c>
      <c r="IN53" s="75">
        <v>3.5155339676342656E-3</v>
      </c>
      <c r="IO53" s="75">
        <v>3.5155339676342656E-3</v>
      </c>
      <c r="IP53" s="75">
        <v>3.5155339676342656E-3</v>
      </c>
      <c r="IQ53" s="75">
        <v>3.5155339676342656E-3</v>
      </c>
      <c r="IR53" s="75">
        <v>3.5155339676342656E-3</v>
      </c>
      <c r="IS53" s="75">
        <v>3.5155339676342656E-3</v>
      </c>
      <c r="IT53" s="75">
        <v>3.5155339676342656E-3</v>
      </c>
      <c r="IU53" s="75">
        <v>3.5155339676342656E-3</v>
      </c>
    </row>
    <row r="54" spans="1:255" s="74" customFormat="1" ht="14.5" x14ac:dyDescent="0.35">
      <c r="A54" s="73"/>
      <c r="B54" s="78">
        <v>0.25</v>
      </c>
      <c r="C54" s="77">
        <f t="shared" ref="C54:C93" si="43">SUMIF(E54:IU54,"&gt;0")/250</f>
        <v>1.3324215550571837E-2</v>
      </c>
      <c r="D54" s="76">
        <f t="shared" ref="D54:D93" si="44">SMALL(E54:IU54,90%*250)</f>
        <v>3.7017683875118279E-2</v>
      </c>
      <c r="E54" s="75">
        <v>-1.6113727497887143E-2</v>
      </c>
      <c r="F54" s="75">
        <v>2.8484709823477006E-2</v>
      </c>
      <c r="G54" s="75">
        <v>-2.0191285605593357E-2</v>
      </c>
      <c r="H54" s="75">
        <v>3.6195487422832073E-2</v>
      </c>
      <c r="I54" s="75">
        <v>2.3638228487745994E-2</v>
      </c>
      <c r="J54" s="75">
        <v>-3.8749586085381482E-3</v>
      </c>
      <c r="K54" s="75">
        <v>3.1457986456041809E-2</v>
      </c>
      <c r="L54" s="75">
        <v>1.8739465629331153E-2</v>
      </c>
      <c r="M54" s="75">
        <v>3.3830880074737002E-2</v>
      </c>
      <c r="N54" s="75">
        <v>8.5053330574456076E-3</v>
      </c>
      <c r="O54" s="75">
        <v>-1.1020846540763574E-2</v>
      </c>
      <c r="P54" s="75">
        <v>2.9174262533016471E-2</v>
      </c>
      <c r="Q54" s="75">
        <v>-4.1154439195488779E-3</v>
      </c>
      <c r="R54" s="75">
        <v>1.6221819897950351E-2</v>
      </c>
      <c r="S54" s="75">
        <v>-3.7338672586269273E-2</v>
      </c>
      <c r="T54" s="75">
        <v>-3.4036954444018996E-2</v>
      </c>
      <c r="U54" s="75">
        <v>-1.2291132814804206E-2</v>
      </c>
      <c r="V54" s="75">
        <v>-2.5243932247635659E-2</v>
      </c>
      <c r="W54" s="75">
        <v>1.119590166281148E-2</v>
      </c>
      <c r="X54" s="75">
        <v>-1.0774788506420718E-2</v>
      </c>
      <c r="Y54" s="75">
        <v>-2.4933515633737136E-3</v>
      </c>
      <c r="Z54" s="75">
        <v>0.10701537299572089</v>
      </c>
      <c r="AA54" s="75">
        <v>2.0343399566769005E-3</v>
      </c>
      <c r="AB54" s="75">
        <v>4.9129397465750013E-2</v>
      </c>
      <c r="AC54" s="75">
        <v>-2.4362400518532723E-2</v>
      </c>
      <c r="AD54" s="75">
        <v>-1.3152489639931819E-2</v>
      </c>
      <c r="AE54" s="75">
        <v>-6.9335304248266949E-3</v>
      </c>
      <c r="AF54" s="75">
        <v>8.8502302864116866E-3</v>
      </c>
      <c r="AG54" s="75">
        <v>-5.0766045864088283E-2</v>
      </c>
      <c r="AH54" s="75">
        <v>6.8273412406348821E-2</v>
      </c>
      <c r="AI54" s="75">
        <v>-4.594031982735558E-3</v>
      </c>
      <c r="AJ54" s="75">
        <v>2.7942803883732659E-2</v>
      </c>
      <c r="AK54" s="75">
        <v>4.7914310461684151E-2</v>
      </c>
      <c r="AL54" s="75">
        <v>-1.3284593472431494E-2</v>
      </c>
      <c r="AM54" s="75">
        <v>-1.0982602976050637E-2</v>
      </c>
      <c r="AN54" s="75">
        <v>-1.2898336832450952E-2</v>
      </c>
      <c r="AO54" s="75">
        <v>-1.1974849043379643E-3</v>
      </c>
      <c r="AP54" s="75">
        <v>3.8150829795122243E-2</v>
      </c>
      <c r="AQ54" s="75">
        <v>-1.6364428740570369E-2</v>
      </c>
      <c r="AR54" s="75">
        <v>3.7017683875118279E-2</v>
      </c>
      <c r="AS54" s="75">
        <v>1.0582619614174116E-2</v>
      </c>
      <c r="AT54" s="75">
        <v>2.039931364566494E-2</v>
      </c>
      <c r="AU54" s="75">
        <v>3.3549305278407826E-2</v>
      </c>
      <c r="AV54" s="75">
        <v>2.6718021967177208E-2</v>
      </c>
      <c r="AW54" s="75">
        <v>5.8352437112698663E-3</v>
      </c>
      <c r="AX54" s="75">
        <v>-1.5801539390562946E-2</v>
      </c>
      <c r="AY54" s="75">
        <v>3.4131684700664744E-2</v>
      </c>
      <c r="AZ54" s="75">
        <v>-3.7945603790916271E-2</v>
      </c>
      <c r="BA54" s="75">
        <v>-5.2516725186252389E-4</v>
      </c>
      <c r="BB54" s="75">
        <v>-7.1117805785076982E-3</v>
      </c>
      <c r="BC54" s="75">
        <v>-7.409647272717701E-3</v>
      </c>
      <c r="BD54" s="75">
        <v>-2.2825842103046223E-2</v>
      </c>
      <c r="BE54" s="75">
        <v>-1.5509924884737458E-2</v>
      </c>
      <c r="BF54" s="75">
        <v>-3.9672389642833594E-2</v>
      </c>
      <c r="BG54" s="75">
        <v>-1.0376874910035139E-2</v>
      </c>
      <c r="BH54" s="75">
        <v>-1.3736515760760903E-2</v>
      </c>
      <c r="BI54" s="75">
        <v>1.9450713449145174E-2</v>
      </c>
      <c r="BJ54" s="75">
        <v>3.7866844262504473E-2</v>
      </c>
      <c r="BK54" s="75">
        <v>-1.0140256023458638E-2</v>
      </c>
      <c r="BL54" s="75">
        <v>-2.2075893867334662E-2</v>
      </c>
      <c r="BM54" s="75">
        <v>2.0135088002623425E-2</v>
      </c>
      <c r="BN54" s="75">
        <v>-1.3835105080321042E-2</v>
      </c>
      <c r="BO54" s="75">
        <v>2.2448774180979403E-2</v>
      </c>
      <c r="BP54" s="75">
        <v>2.999567185640728E-2</v>
      </c>
      <c r="BQ54" s="75">
        <v>-7.6595645455932448E-3</v>
      </c>
      <c r="BR54" s="75">
        <v>-3.2117395461377041E-2</v>
      </c>
      <c r="BS54" s="75">
        <v>3.2844298941603456E-2</v>
      </c>
      <c r="BT54" s="75">
        <v>7.8106204287649028E-3</v>
      </c>
      <c r="BU54" s="75">
        <v>-2.3161646637362421E-3</v>
      </c>
      <c r="BV54" s="75">
        <v>2.0123586264369941E-2</v>
      </c>
      <c r="BW54" s="75">
        <v>-1.2042428111460057E-2</v>
      </c>
      <c r="BX54" s="75">
        <v>4.2897129972876924E-2</v>
      </c>
      <c r="BY54" s="75">
        <v>-2.1288252951895403E-3</v>
      </c>
      <c r="BZ54" s="75">
        <v>2.9965980522632496E-2</v>
      </c>
      <c r="CA54" s="75">
        <v>-4.9666611132572203E-3</v>
      </c>
      <c r="CB54" s="75">
        <v>-5.4440170143635336E-3</v>
      </c>
      <c r="CC54" s="75">
        <v>-2.228430985489066E-2</v>
      </c>
      <c r="CD54" s="75">
        <v>-1.6436135343140257E-2</v>
      </c>
      <c r="CE54" s="75">
        <v>-1.6682198245034807E-2</v>
      </c>
      <c r="CF54" s="75">
        <v>3.363657615039567E-2</v>
      </c>
      <c r="CG54" s="75">
        <v>2.271417139194043E-2</v>
      </c>
      <c r="CH54" s="75">
        <v>1.5431274761728064E-2</v>
      </c>
      <c r="CI54" s="75">
        <v>7.6412807955590356E-3</v>
      </c>
      <c r="CJ54" s="75">
        <v>-1.3401097269947759E-2</v>
      </c>
      <c r="CK54" s="75">
        <v>1.2277546469007306E-2</v>
      </c>
      <c r="CL54" s="75">
        <v>5.3995461169477066E-3</v>
      </c>
      <c r="CM54" s="75">
        <v>1.9713218497535601E-2</v>
      </c>
      <c r="CN54" s="75">
        <v>2.6510045297032381E-3</v>
      </c>
      <c r="CO54" s="75">
        <v>-1.115794106389123E-3</v>
      </c>
      <c r="CP54" s="75">
        <v>-4.5405746993164353E-2</v>
      </c>
      <c r="CQ54" s="75">
        <v>4.0583350683871311E-2</v>
      </c>
      <c r="CR54" s="75">
        <v>-1.601065910573346E-2</v>
      </c>
      <c r="CS54" s="75">
        <v>-1.0301762579316198E-2</v>
      </c>
      <c r="CT54" s="75">
        <v>1.2977952665789882E-2</v>
      </c>
      <c r="CU54" s="75">
        <v>3.6086425964559243E-2</v>
      </c>
      <c r="CV54" s="75">
        <v>2.4468306391632888E-2</v>
      </c>
      <c r="CW54" s="75">
        <v>-1.6385683720605837E-2</v>
      </c>
      <c r="CX54" s="75">
        <v>4.0034091200583211E-2</v>
      </c>
      <c r="CY54" s="75">
        <v>-4.3416662431824793E-2</v>
      </c>
      <c r="CZ54" s="75">
        <v>1.6219537223964686E-2</v>
      </c>
      <c r="DA54" s="75">
        <v>1.4069814283183824E-2</v>
      </c>
      <c r="DB54" s="75">
        <v>-2.8907180236929175E-2</v>
      </c>
      <c r="DC54" s="75">
        <v>1.9029847491728646E-2</v>
      </c>
      <c r="DD54" s="75">
        <v>-5.4271601819011583E-2</v>
      </c>
      <c r="DE54" s="75">
        <v>3.0925396960926388E-2</v>
      </c>
      <c r="DF54" s="75">
        <v>-5.9410914980071006E-2</v>
      </c>
      <c r="DG54" s="75">
        <v>2.523637470063339E-2</v>
      </c>
      <c r="DH54" s="75">
        <v>4.3085711484858735E-3</v>
      </c>
      <c r="DI54" s="75">
        <v>7.3437831564529155E-2</v>
      </c>
      <c r="DJ54" s="75">
        <v>4.3186442827072402E-2</v>
      </c>
      <c r="DK54" s="75">
        <v>4.9292593294275489E-2</v>
      </c>
      <c r="DL54" s="75">
        <v>7.4537627461335187E-3</v>
      </c>
      <c r="DM54" s="75">
        <v>6.7569865742925228E-3</v>
      </c>
      <c r="DN54" s="75">
        <v>-4.8697655520614724E-2</v>
      </c>
      <c r="DO54" s="75">
        <v>1.476850919179884E-2</v>
      </c>
      <c r="DP54" s="75">
        <v>2.4223472374555632E-2</v>
      </c>
      <c r="DQ54" s="75">
        <v>1.0948263419619186E-2</v>
      </c>
      <c r="DR54" s="75">
        <v>-2.3918506877775414E-2</v>
      </c>
      <c r="DS54" s="75">
        <v>3.8288559178813797E-2</v>
      </c>
      <c r="DT54" s="75">
        <v>2.6919421657453757E-2</v>
      </c>
      <c r="DU54" s="75">
        <v>6.4200044614764473E-3</v>
      </c>
      <c r="DV54" s="75">
        <v>-3.1878191785594812E-2</v>
      </c>
      <c r="DW54" s="75">
        <v>1.0365764406342903E-2</v>
      </c>
      <c r="DX54" s="75">
        <v>-3.1765785457693207E-2</v>
      </c>
      <c r="DY54" s="75">
        <v>2.630354481026187E-2</v>
      </c>
      <c r="DZ54" s="75">
        <v>1.4578741894111846E-2</v>
      </c>
      <c r="EA54" s="75">
        <v>-1.0139204044642691E-2</v>
      </c>
      <c r="EB54" s="75">
        <v>2.2608292820655573E-3</v>
      </c>
      <c r="EC54" s="75">
        <v>1.0263745027500826E-2</v>
      </c>
      <c r="ED54" s="75">
        <v>2.7526250283364528E-3</v>
      </c>
      <c r="EE54" s="75">
        <v>-1.2219686508311123E-2</v>
      </c>
      <c r="EF54" s="75">
        <v>1.8707044186147714E-2</v>
      </c>
      <c r="EG54" s="75">
        <v>2.1027447232374818E-2</v>
      </c>
      <c r="EH54" s="75">
        <v>-2.8057714201829009E-3</v>
      </c>
      <c r="EI54" s="75">
        <v>2.8680979572508758E-2</v>
      </c>
      <c r="EJ54" s="75">
        <v>4.129774154860949E-2</v>
      </c>
      <c r="EK54" s="75">
        <v>1.226660184350914E-3</v>
      </c>
      <c r="EL54" s="75">
        <v>2.3087563657490096E-2</v>
      </c>
      <c r="EM54" s="75">
        <v>3.010260676696791E-2</v>
      </c>
      <c r="EN54" s="75">
        <v>1.3540185580716679E-2</v>
      </c>
      <c r="EO54" s="75">
        <v>-8.9961012664742657E-3</v>
      </c>
      <c r="EP54" s="75">
        <v>9.7781506180957267E-3</v>
      </c>
      <c r="EQ54" s="75">
        <v>-1.6894794228154653E-2</v>
      </c>
      <c r="ER54" s="75">
        <v>2.6052123878073763E-2</v>
      </c>
      <c r="ES54" s="75">
        <v>4.0190392045142742E-2</v>
      </c>
      <c r="ET54" s="75">
        <v>4.0562627686070885E-2</v>
      </c>
      <c r="EU54" s="75">
        <v>8.94002153561263E-3</v>
      </c>
      <c r="EV54" s="75">
        <v>-3.6563707582918159E-2</v>
      </c>
      <c r="EW54" s="75">
        <v>-8.7705043577485653E-3</v>
      </c>
      <c r="EX54" s="75">
        <v>-3.4919546812157143E-3</v>
      </c>
      <c r="EY54" s="75">
        <v>-3.761786586319732E-2</v>
      </c>
      <c r="EZ54" s="75">
        <v>2.9797246900656882E-3</v>
      </c>
      <c r="FA54" s="75">
        <v>3.7582363696394561E-3</v>
      </c>
      <c r="FB54" s="75">
        <v>4.3200713693744008E-3</v>
      </c>
      <c r="FC54" s="75">
        <v>-7.5628952717252673E-3</v>
      </c>
      <c r="FD54" s="75">
        <v>9.1984266758819044E-2</v>
      </c>
      <c r="FE54" s="75">
        <v>5.5744428904125454E-2</v>
      </c>
      <c r="FF54" s="75">
        <v>-3.1243429833436864E-2</v>
      </c>
      <c r="FG54" s="75">
        <v>-1.2781154875642076E-2</v>
      </c>
      <c r="FH54" s="75">
        <v>6.5577110929487259E-3</v>
      </c>
      <c r="FI54" s="75">
        <v>-5.5947048621983186E-3</v>
      </c>
      <c r="FJ54" s="75">
        <v>3.7418709303749353E-2</v>
      </c>
      <c r="FK54" s="75">
        <v>-1.4988744619039873E-2</v>
      </c>
      <c r="FL54" s="75">
        <v>-6.0193036926258214E-3</v>
      </c>
      <c r="FM54" s="75">
        <v>-2.6599920919732789E-2</v>
      </c>
      <c r="FN54" s="75">
        <v>2.8869151278587968E-2</v>
      </c>
      <c r="FO54" s="75">
        <v>2.6637585765950988E-2</v>
      </c>
      <c r="FP54" s="75">
        <v>-4.5951463065541098E-3</v>
      </c>
      <c r="FQ54" s="75">
        <v>8.8980416634295012E-3</v>
      </c>
      <c r="FR54" s="75">
        <v>-6.8616378527919242E-3</v>
      </c>
      <c r="FS54" s="75">
        <v>-4.0099886472515722E-2</v>
      </c>
      <c r="FT54" s="75">
        <v>-6.2758467076559077E-3</v>
      </c>
      <c r="FU54" s="75">
        <v>2.8078321002572015E-3</v>
      </c>
      <c r="FV54" s="75">
        <v>2.947508695269152E-2</v>
      </c>
      <c r="FW54" s="75">
        <v>4.9053195679906181E-2</v>
      </c>
      <c r="FX54" s="75">
        <v>6.9016853982954762E-2</v>
      </c>
      <c r="FY54" s="75">
        <v>-6.1885085105117033E-2</v>
      </c>
      <c r="FZ54" s="75">
        <v>-6.7868975930075459E-3</v>
      </c>
      <c r="GA54" s="75">
        <v>-1.3542908314315261E-2</v>
      </c>
      <c r="GB54" s="75">
        <v>3.5598287352911318E-2</v>
      </c>
      <c r="GC54" s="75">
        <v>6.7738202427146676E-3</v>
      </c>
      <c r="GD54" s="75">
        <v>-1.9555101750358073E-2</v>
      </c>
      <c r="GE54" s="75">
        <v>2.2862068221773946E-5</v>
      </c>
      <c r="GF54" s="75">
        <v>-3.307215726058349E-2</v>
      </c>
      <c r="GG54" s="75">
        <v>1.466789879307745E-2</v>
      </c>
      <c r="GH54" s="75">
        <v>-3.7993557347925755E-2</v>
      </c>
      <c r="GI54" s="75">
        <v>3.4525890413311944E-2</v>
      </c>
      <c r="GJ54" s="75">
        <v>7.91452804209688E-2</v>
      </c>
      <c r="GK54" s="75">
        <v>-1.7374615996426979E-2</v>
      </c>
      <c r="GL54" s="75">
        <v>-1.0360210786764468E-2</v>
      </c>
      <c r="GM54" s="75">
        <v>-6.3519094636416695E-3</v>
      </c>
      <c r="GN54" s="75">
        <v>1.8233178826536078E-2</v>
      </c>
      <c r="GO54" s="75">
        <v>2.9724115607457247E-2</v>
      </c>
      <c r="GP54" s="75">
        <v>-3.0268022052613974E-2</v>
      </c>
      <c r="GQ54" s="75">
        <v>-8.0810080546220298E-3</v>
      </c>
      <c r="GR54" s="75">
        <v>1.6854170037958693E-2</v>
      </c>
      <c r="GS54" s="75">
        <v>-3.9432375718002122E-2</v>
      </c>
      <c r="GT54" s="75">
        <v>5.7268585603312827E-3</v>
      </c>
      <c r="GU54" s="75">
        <v>1.0645375605452922E-2</v>
      </c>
      <c r="GV54" s="75">
        <v>-6.4536811487709289E-3</v>
      </c>
      <c r="GW54" s="75">
        <v>1.3212888054191241E-2</v>
      </c>
      <c r="GX54" s="75">
        <v>2.009245103656998E-2</v>
      </c>
      <c r="GY54" s="75">
        <v>2.7188589668711682E-2</v>
      </c>
      <c r="GZ54" s="75">
        <v>-5.2115847179715957E-2</v>
      </c>
      <c r="HA54" s="75">
        <v>3.4703772395855981E-2</v>
      </c>
      <c r="HB54" s="75">
        <v>-4.5089620939858743E-2</v>
      </c>
      <c r="HC54" s="75">
        <v>2.5750682446798845E-2</v>
      </c>
      <c r="HD54" s="75">
        <v>-6.3074222358462939E-3</v>
      </c>
      <c r="HE54" s="75">
        <v>4.4719076201692798E-2</v>
      </c>
      <c r="HF54" s="75">
        <v>5.7829294372066409E-2</v>
      </c>
      <c r="HG54" s="75">
        <v>5.4832331337964502E-3</v>
      </c>
      <c r="HH54" s="75">
        <v>7.9329260121858702E-3</v>
      </c>
      <c r="HI54" s="75">
        <v>2.9194938267209147E-2</v>
      </c>
      <c r="HJ54" s="75">
        <v>-2.3741229244973905E-2</v>
      </c>
      <c r="HK54" s="75">
        <v>2.1525664738818451E-3</v>
      </c>
      <c r="HL54" s="75">
        <v>4.6090189579217455E-2</v>
      </c>
      <c r="HM54" s="75">
        <v>-1.74516277241199E-3</v>
      </c>
      <c r="HN54" s="75">
        <v>5.8915109467083171E-2</v>
      </c>
      <c r="HO54" s="75">
        <v>3.6963287205477424E-2</v>
      </c>
      <c r="HP54" s="75">
        <v>-7.4260496497088324E-3</v>
      </c>
      <c r="HQ54" s="75">
        <v>2.9886734009305638E-3</v>
      </c>
      <c r="HR54" s="75">
        <v>-3.3112573172065562E-2</v>
      </c>
      <c r="HS54" s="75">
        <v>-2.2306134823706358E-2</v>
      </c>
      <c r="HT54" s="75">
        <v>-3.6572828061485541E-2</v>
      </c>
      <c r="HU54" s="75">
        <v>-2.0175700013965847E-2</v>
      </c>
      <c r="HV54" s="75">
        <v>-2.2762357336507055E-2</v>
      </c>
      <c r="HW54" s="75">
        <v>-5.49076558529632E-3</v>
      </c>
      <c r="HX54" s="75">
        <v>-2.1474688999571556E-2</v>
      </c>
      <c r="HY54" s="75">
        <v>-6.6404433226902038E-4</v>
      </c>
      <c r="HZ54" s="75">
        <v>-2.2622850466843758E-2</v>
      </c>
      <c r="IA54" s="75">
        <v>5.9183104551070453E-3</v>
      </c>
      <c r="IB54" s="75">
        <v>-5.5550051662037192E-3</v>
      </c>
      <c r="IC54" s="75">
        <v>1.7229391089885582E-2</v>
      </c>
      <c r="ID54" s="75">
        <v>3.0029605752785682E-2</v>
      </c>
      <c r="IE54" s="75">
        <v>6.9803997417414165E-3</v>
      </c>
      <c r="IF54" s="75">
        <v>4.9613552553111062E-3</v>
      </c>
      <c r="IG54" s="75">
        <v>-8.2137962311433776E-3</v>
      </c>
      <c r="IH54" s="75">
        <v>-1.2576123836948783E-2</v>
      </c>
      <c r="II54" s="75">
        <v>4.6659547809668744E-3</v>
      </c>
      <c r="IJ54" s="75">
        <v>3.2348370984591868E-2</v>
      </c>
      <c r="IK54" s="75">
        <v>1.0793913517211873E-2</v>
      </c>
      <c r="IL54" s="75">
        <v>-4.5101661269419946E-5</v>
      </c>
      <c r="IM54" s="75">
        <v>6.6805554750174467E-3</v>
      </c>
      <c r="IN54" s="75">
        <v>6.7383998647528309E-3</v>
      </c>
      <c r="IO54" s="75">
        <v>2.4463578411206499E-2</v>
      </c>
      <c r="IP54" s="75">
        <v>-9.9394997073148916E-4</v>
      </c>
      <c r="IQ54" s="75">
        <v>-4.3132078749069269E-2</v>
      </c>
      <c r="IR54" s="75">
        <v>7.2683846571660049E-3</v>
      </c>
      <c r="IS54" s="75">
        <v>1.6973073469904565E-2</v>
      </c>
      <c r="IT54" s="75">
        <v>-2.1428080758282619E-2</v>
      </c>
      <c r="IU54" s="75">
        <v>-3.6874930357617686E-3</v>
      </c>
    </row>
    <row r="55" spans="1:255" s="74" customFormat="1" ht="14.5" x14ac:dyDescent="0.35">
      <c r="A55" s="73"/>
      <c r="B55" s="78">
        <v>0.5</v>
      </c>
      <c r="C55" s="77">
        <f t="shared" si="43"/>
        <v>1.6474612846909039E-2</v>
      </c>
      <c r="D55" s="76">
        <f t="shared" si="44"/>
        <v>5.2260431113849926E-2</v>
      </c>
      <c r="E55" s="75">
        <v>-3.8748040219780511E-2</v>
      </c>
      <c r="F55" s="75">
        <v>3.5145221789240622E-2</v>
      </c>
      <c r="G55" s="75">
        <v>8.1452418564479379E-3</v>
      </c>
      <c r="H55" s="75">
        <v>2.2855756441199526E-2</v>
      </c>
      <c r="I55" s="75">
        <v>3.9502595365986326E-2</v>
      </c>
      <c r="J55" s="75">
        <v>-4.0279121864622569E-4</v>
      </c>
      <c r="K55" s="75">
        <v>6.057278800685445E-2</v>
      </c>
      <c r="L55" s="75">
        <v>-2.6490770972498745E-3</v>
      </c>
      <c r="M55" s="75">
        <v>2.4838965145775493E-2</v>
      </c>
      <c r="N55" s="75">
        <v>4.8838767785091441E-2</v>
      </c>
      <c r="O55" s="75">
        <v>1.2399174245689593E-2</v>
      </c>
      <c r="P55" s="75">
        <v>6.5843713144528859E-3</v>
      </c>
      <c r="Q55" s="75">
        <v>2.8705989004040311E-3</v>
      </c>
      <c r="R55" s="75">
        <v>-1.4881953250450719E-3</v>
      </c>
      <c r="S55" s="75">
        <v>-4.0962375687335462E-2</v>
      </c>
      <c r="T55" s="75">
        <v>-5.6189125060259637E-2</v>
      </c>
      <c r="U55" s="75">
        <v>1.1367478991970048E-2</v>
      </c>
      <c r="V55" s="75">
        <v>-6.1698661769631291E-2</v>
      </c>
      <c r="W55" s="75">
        <v>4.5393709843876029E-2</v>
      </c>
      <c r="X55" s="75">
        <v>-1.0878553493689547E-2</v>
      </c>
      <c r="Y55" s="75">
        <v>7.8869263976903969E-3</v>
      </c>
      <c r="Z55" s="75">
        <v>8.8386919844735679E-2</v>
      </c>
      <c r="AA55" s="75">
        <v>-1.5514058339855197E-2</v>
      </c>
      <c r="AB55" s="75">
        <v>5.1384831499540318E-2</v>
      </c>
      <c r="AC55" s="75">
        <v>-4.9140001117786603E-2</v>
      </c>
      <c r="AD55" s="75">
        <v>-3.1339750972097069E-2</v>
      </c>
      <c r="AE55" s="75">
        <v>-3.8396247396920824E-2</v>
      </c>
      <c r="AF55" s="75">
        <v>-5.7443166065578311E-3</v>
      </c>
      <c r="AG55" s="75">
        <v>-5.1988321279240579E-2</v>
      </c>
      <c r="AH55" s="75">
        <v>5.1108334829058133E-2</v>
      </c>
      <c r="AI55" s="75">
        <v>-1.7662591968409025E-2</v>
      </c>
      <c r="AJ55" s="75">
        <v>5.642732521509497E-2</v>
      </c>
      <c r="AK55" s="75">
        <v>2.9975051202026926E-3</v>
      </c>
      <c r="AL55" s="75">
        <v>-3.9530049195199091E-2</v>
      </c>
      <c r="AM55" s="75">
        <v>-2.5440344918068958E-2</v>
      </c>
      <c r="AN55" s="75">
        <v>3.506985011373781E-2</v>
      </c>
      <c r="AO55" s="75">
        <v>1.6736300491434153E-2</v>
      </c>
      <c r="AP55" s="75">
        <v>6.3957271425052975E-2</v>
      </c>
      <c r="AQ55" s="75">
        <v>-3.5632330812955026E-2</v>
      </c>
      <c r="AR55" s="75">
        <v>4.0187321169990131E-2</v>
      </c>
      <c r="AS55" s="75">
        <v>5.5734659891003901E-2</v>
      </c>
      <c r="AT55" s="75">
        <v>7.0327951357657681E-3</v>
      </c>
      <c r="AU55" s="75">
        <v>5.6176364321061323E-2</v>
      </c>
      <c r="AV55" s="75">
        <v>-8.5912686210714018E-3</v>
      </c>
      <c r="AW55" s="75">
        <v>2.8286358935833589E-2</v>
      </c>
      <c r="AX55" s="75">
        <v>-4.2187346414682025E-2</v>
      </c>
      <c r="AY55" s="75">
        <v>2.2649482645680563E-2</v>
      </c>
      <c r="AZ55" s="75">
        <v>-3.6185207076889991E-2</v>
      </c>
      <c r="BA55" s="75">
        <v>2.2626698387758271E-2</v>
      </c>
      <c r="BB55" s="75">
        <v>-5.4227341163830545E-2</v>
      </c>
      <c r="BC55" s="75">
        <v>-2.2807801210162071E-2</v>
      </c>
      <c r="BD55" s="75">
        <v>-4.6206152804759093E-2</v>
      </c>
      <c r="BE55" s="75">
        <v>-4.8781069922200826E-2</v>
      </c>
      <c r="BF55" s="75">
        <v>-4.8706986670480068E-2</v>
      </c>
      <c r="BG55" s="75">
        <v>2.5205605834945299E-2</v>
      </c>
      <c r="BH55" s="75">
        <v>-3.4672622509191786E-2</v>
      </c>
      <c r="BI55" s="75">
        <v>1.3594255087734375E-4</v>
      </c>
      <c r="BJ55" s="75">
        <v>6.1054151968300274E-2</v>
      </c>
      <c r="BK55" s="75">
        <v>-1.8623852911871075E-2</v>
      </c>
      <c r="BL55" s="75">
        <v>-3.6874801229934584E-2</v>
      </c>
      <c r="BM55" s="75">
        <v>6.2150794913210627E-2</v>
      </c>
      <c r="BN55" s="75">
        <v>-1.2001504199783852E-2</v>
      </c>
      <c r="BO55" s="75">
        <v>1.1475424930732503E-3</v>
      </c>
      <c r="BP55" s="75">
        <v>1.5315470319180624E-2</v>
      </c>
      <c r="BQ55" s="75">
        <v>8.8469658661086692E-3</v>
      </c>
      <c r="BR55" s="75">
        <v>-6.5195631866418968E-2</v>
      </c>
      <c r="BS55" s="75">
        <v>6.7753635889307828E-2</v>
      </c>
      <c r="BT55" s="75">
        <v>2.4081382692597741E-2</v>
      </c>
      <c r="BU55" s="75">
        <v>2.2809919205051099E-2</v>
      </c>
      <c r="BV55" s="75">
        <v>2.3493047660809452E-2</v>
      </c>
      <c r="BW55" s="75">
        <v>-1.0449435249254846E-2</v>
      </c>
      <c r="BX55" s="75">
        <v>8.0347616397874799E-2</v>
      </c>
      <c r="BY55" s="75">
        <v>3.0119953988258397E-2</v>
      </c>
      <c r="BZ55" s="75">
        <v>5.2260431113849926E-2</v>
      </c>
      <c r="CA55" s="75">
        <v>-2.3795666510532665E-2</v>
      </c>
      <c r="CB55" s="75">
        <v>-4.7394907473639558E-2</v>
      </c>
      <c r="CC55" s="75">
        <v>2.6687870293388705E-3</v>
      </c>
      <c r="CD55" s="75">
        <v>-4.1049503794537423E-3</v>
      </c>
      <c r="CE55" s="75">
        <v>-1.8624592629562176E-2</v>
      </c>
      <c r="CF55" s="75">
        <v>1.6967697422379024E-2</v>
      </c>
      <c r="CG55" s="75">
        <v>-7.9656615232047701E-3</v>
      </c>
      <c r="CH55" s="75">
        <v>6.3102579805443482E-2</v>
      </c>
      <c r="CI55" s="75">
        <v>1.1310746739525701E-3</v>
      </c>
      <c r="CJ55" s="75">
        <v>-3.8372124297292753E-2</v>
      </c>
      <c r="CK55" s="75">
        <v>3.1034892020093408E-2</v>
      </c>
      <c r="CL55" s="75">
        <v>-7.3787637902293923E-3</v>
      </c>
      <c r="CM55" s="75">
        <v>2.257376481212453E-2</v>
      </c>
      <c r="CN55" s="75">
        <v>4.2082099044334909E-3</v>
      </c>
      <c r="CO55" s="75">
        <v>2.702389166541086E-3</v>
      </c>
      <c r="CP55" s="75">
        <v>-7.6121881142406311E-2</v>
      </c>
      <c r="CQ55" s="75">
        <v>-2.3091674249274829E-3</v>
      </c>
      <c r="CR55" s="75">
        <v>-3.4591020480640722E-2</v>
      </c>
      <c r="CS55" s="75">
        <v>-3.2944484190123469E-2</v>
      </c>
      <c r="CT55" s="75">
        <v>3.6291999737940672E-2</v>
      </c>
      <c r="CU55" s="75">
        <v>7.332230373372095E-2</v>
      </c>
      <c r="CV55" s="75">
        <v>5.0127129086178446E-2</v>
      </c>
      <c r="CW55" s="75">
        <v>-4.8800668945531311E-2</v>
      </c>
      <c r="CX55" s="75">
        <v>-1.1963364540749588E-2</v>
      </c>
      <c r="CY55" s="75">
        <v>-5.1212745181337782E-2</v>
      </c>
      <c r="CZ55" s="75">
        <v>4.0164973555100125E-2</v>
      </c>
      <c r="DA55" s="75">
        <v>-1.6411968295766077E-2</v>
      </c>
      <c r="DB55" s="75">
        <v>-1.3296169572509065E-2</v>
      </c>
      <c r="DC55" s="75">
        <v>6.1639151803637104E-2</v>
      </c>
      <c r="DD55" s="75">
        <v>1.3541590114578783E-2</v>
      </c>
      <c r="DE55" s="75">
        <v>4.244053644959811E-2</v>
      </c>
      <c r="DF55" s="75">
        <v>-7.2139999040055081E-3</v>
      </c>
      <c r="DG55" s="75">
        <v>-1.0139402068865433E-2</v>
      </c>
      <c r="DH55" s="75">
        <v>6.8059384225839237E-3</v>
      </c>
      <c r="DI55" s="75">
        <v>6.836136966527967E-2</v>
      </c>
      <c r="DJ55" s="75">
        <v>1.4592145095740749E-2</v>
      </c>
      <c r="DK55" s="75">
        <v>4.8164685314473155E-2</v>
      </c>
      <c r="DL55" s="75">
        <v>1.8624305140249597E-3</v>
      </c>
      <c r="DM55" s="75">
        <v>3.9475605798109215E-2</v>
      </c>
      <c r="DN55" s="75">
        <v>9.5540507475568304E-3</v>
      </c>
      <c r="DO55" s="75">
        <v>1.064427676296531E-2</v>
      </c>
      <c r="DP55" s="75">
        <v>7.8895275682168198E-2</v>
      </c>
      <c r="DQ55" s="75">
        <v>6.0761884125188514E-2</v>
      </c>
      <c r="DR55" s="75">
        <v>-1.8189907305166009E-2</v>
      </c>
      <c r="DS55" s="75">
        <v>2.670248108622586E-2</v>
      </c>
      <c r="DT55" s="75">
        <v>-3.0945816780766022E-2</v>
      </c>
      <c r="DU55" s="75">
        <v>9.7449956859270714E-3</v>
      </c>
      <c r="DV55" s="75">
        <v>-2.744620578206064E-2</v>
      </c>
      <c r="DW55" s="75">
        <v>-2.726022369961445E-3</v>
      </c>
      <c r="DX55" s="75">
        <v>-1.9992518482086274E-2</v>
      </c>
      <c r="DY55" s="75">
        <v>-1.0577087444256339E-2</v>
      </c>
      <c r="DZ55" s="75">
        <v>1.859078754808996E-2</v>
      </c>
      <c r="EA55" s="75">
        <v>-2.2861547399733673E-2</v>
      </c>
      <c r="EB55" s="75">
        <v>1.483636625788598E-2</v>
      </c>
      <c r="EC55" s="75">
        <v>-7.0017836972360858E-3</v>
      </c>
      <c r="ED55" s="75">
        <v>9.8619939041439397E-3</v>
      </c>
      <c r="EE55" s="75">
        <v>-3.3290242406841863E-2</v>
      </c>
      <c r="EF55" s="75">
        <v>2.0063504027707402E-2</v>
      </c>
      <c r="EG55" s="75">
        <v>-1.1285234979946768E-2</v>
      </c>
      <c r="EH55" s="75">
        <v>-1.6145002180678214E-2</v>
      </c>
      <c r="EI55" s="75">
        <v>7.8781356354579057E-2</v>
      </c>
      <c r="EJ55" s="75">
        <v>2.5397709744532315E-2</v>
      </c>
      <c r="EK55" s="75">
        <v>4.7863617648229106E-2</v>
      </c>
      <c r="EL55" s="75">
        <v>5.5643229919794202E-2</v>
      </c>
      <c r="EM55" s="75">
        <v>-3.3185028055310317E-4</v>
      </c>
      <c r="EN55" s="75">
        <v>4.3043059560565977E-2</v>
      </c>
      <c r="EO55" s="75">
        <v>-2.5371388976847487E-2</v>
      </c>
      <c r="EP55" s="75">
        <v>-6.1987410391519115E-3</v>
      </c>
      <c r="EQ55" s="75">
        <v>-5.7533702787386842E-2</v>
      </c>
      <c r="ER55" s="75">
        <v>-1.0407181948302313E-2</v>
      </c>
      <c r="ES55" s="75">
        <v>-2.6260357489578223E-2</v>
      </c>
      <c r="ET55" s="75">
        <v>-8.4090854363765288E-3</v>
      </c>
      <c r="EU55" s="75">
        <v>-4.2626713817197626E-2</v>
      </c>
      <c r="EV55" s="75">
        <v>8.0538213247574042E-3</v>
      </c>
      <c r="EW55" s="75">
        <v>-2.1607143959660624E-2</v>
      </c>
      <c r="EX55" s="75">
        <v>2.1802880975220595E-2</v>
      </c>
      <c r="EY55" s="75">
        <v>4.0429527181210123E-2</v>
      </c>
      <c r="EZ55" s="75">
        <v>2.6595014049555499E-2</v>
      </c>
      <c r="FA55" s="75">
        <v>-5.087659760792046E-2</v>
      </c>
      <c r="FB55" s="75">
        <v>-4.4615709009562465E-2</v>
      </c>
      <c r="FC55" s="75">
        <v>-4.7742427754837724E-4</v>
      </c>
      <c r="FD55" s="75">
        <v>8.0763660601087084E-2</v>
      </c>
      <c r="FE55" s="75">
        <v>1.400084897005216E-3</v>
      </c>
      <c r="FF55" s="75">
        <v>-4.6176435376510061E-2</v>
      </c>
      <c r="FG55" s="75">
        <v>6.8167262443641796E-2</v>
      </c>
      <c r="FH55" s="75">
        <v>4.9338859200003138E-2</v>
      </c>
      <c r="FI55" s="75">
        <v>-6.5476143873366421E-4</v>
      </c>
      <c r="FJ55" s="75">
        <v>-5.474379787781497E-2</v>
      </c>
      <c r="FK55" s="75">
        <v>-1.5067168890204763E-2</v>
      </c>
      <c r="FL55" s="75">
        <v>1.9197349962100263E-2</v>
      </c>
      <c r="FM55" s="75">
        <v>-1.0375528504925513E-2</v>
      </c>
      <c r="FN55" s="75">
        <v>1.4747482549031521E-2</v>
      </c>
      <c r="FO55" s="75">
        <v>0.10543645528022805</v>
      </c>
      <c r="FP55" s="75">
        <v>-2.0629111422712232E-2</v>
      </c>
      <c r="FQ55" s="75">
        <v>3.4709023339743517E-2</v>
      </c>
      <c r="FR55" s="75">
        <v>-2.6064967236985481E-2</v>
      </c>
      <c r="FS55" s="75">
        <v>-5.5152763600104127E-2</v>
      </c>
      <c r="FT55" s="75">
        <v>-2.4274126803739637E-2</v>
      </c>
      <c r="FU55" s="75">
        <v>2.9286953910122537E-2</v>
      </c>
      <c r="FV55" s="75">
        <v>-2.661371718011285E-4</v>
      </c>
      <c r="FW55" s="75">
        <v>4.8228625007234793E-2</v>
      </c>
      <c r="FX55" s="75">
        <v>6.2444972607597848E-2</v>
      </c>
      <c r="FY55" s="75">
        <v>-6.0997145841547751E-2</v>
      </c>
      <c r="FZ55" s="75">
        <v>-0.10310742220788116</v>
      </c>
      <c r="GA55" s="75">
        <v>2.2902187091854598E-2</v>
      </c>
      <c r="GB55" s="75">
        <v>5.1981807053042117E-2</v>
      </c>
      <c r="GC55" s="75">
        <v>1.3228504893190496E-2</v>
      </c>
      <c r="GD55" s="75">
        <v>1.8008413786497313E-2</v>
      </c>
      <c r="GE55" s="75">
        <v>-5.0923932385462389E-2</v>
      </c>
      <c r="GF55" s="75">
        <v>-7.1011162126258964E-2</v>
      </c>
      <c r="GG55" s="75">
        <v>8.5279655477662475E-3</v>
      </c>
      <c r="GH55" s="75">
        <v>5.4762874246034876E-2</v>
      </c>
      <c r="GI55" s="75">
        <v>7.6125222572117623E-3</v>
      </c>
      <c r="GJ55" s="75">
        <v>3.0743621177768632E-2</v>
      </c>
      <c r="GK55" s="75">
        <v>-1.6067973587484907E-2</v>
      </c>
      <c r="GL55" s="75">
        <v>-2.6593949337956113E-2</v>
      </c>
      <c r="GM55" s="75">
        <v>-6.5559216756243432E-2</v>
      </c>
      <c r="GN55" s="75">
        <v>-2.5647800229525008E-2</v>
      </c>
      <c r="GO55" s="75">
        <v>1.2524547405620257E-2</v>
      </c>
      <c r="GP55" s="75">
        <v>2.1627151964626778E-2</v>
      </c>
      <c r="GQ55" s="75">
        <v>-5.3199140446574256E-2</v>
      </c>
      <c r="GR55" s="75">
        <v>3.3994618235229868E-2</v>
      </c>
      <c r="GS55" s="75">
        <v>-2.1916372921580995E-2</v>
      </c>
      <c r="GT55" s="75">
        <v>3.0957804982134074E-2</v>
      </c>
      <c r="GU55" s="75">
        <v>2.6939263545630365E-2</v>
      </c>
      <c r="GV55" s="75">
        <v>3.1622983792375658E-2</v>
      </c>
      <c r="GW55" s="75">
        <v>5.4557024024365575E-2</v>
      </c>
      <c r="GX55" s="75">
        <v>-1.2843351625415667E-2</v>
      </c>
      <c r="GY55" s="75">
        <v>-2.1100034085069219E-2</v>
      </c>
      <c r="GZ55" s="75">
        <v>2.6145109659412691E-2</v>
      </c>
      <c r="HA55" s="75">
        <v>-2.2141342251998153E-2</v>
      </c>
      <c r="HB55" s="75">
        <v>2.2580072936270901E-2</v>
      </c>
      <c r="HC55" s="75">
        <v>4.9933022217373835E-2</v>
      </c>
      <c r="HD55" s="75">
        <v>-2.5736032611264115E-2</v>
      </c>
      <c r="HE55" s="75">
        <v>4.3011697108911617E-2</v>
      </c>
      <c r="HF55" s="75">
        <v>2.837575005780546E-2</v>
      </c>
      <c r="HG55" s="75">
        <v>1.5739549128300556E-2</v>
      </c>
      <c r="HH55" s="75">
        <v>-4.0401877033873768E-3</v>
      </c>
      <c r="HI55" s="75">
        <v>-6.1996899013930795E-3</v>
      </c>
      <c r="HJ55" s="75">
        <v>-2.0047733565412507E-2</v>
      </c>
      <c r="HK55" s="75">
        <v>2.1394378820700943E-2</v>
      </c>
      <c r="HL55" s="75">
        <v>-2.5495585151446676E-2</v>
      </c>
      <c r="HM55" s="75">
        <v>3.4889655139069997E-2</v>
      </c>
      <c r="HN55" s="75">
        <v>-2.6439820228302047E-2</v>
      </c>
      <c r="HO55" s="75">
        <v>6.2673192306981207E-2</v>
      </c>
      <c r="HP55" s="75">
        <v>8.9618258513096127E-3</v>
      </c>
      <c r="HQ55" s="75">
        <v>2.5474964753505192E-3</v>
      </c>
      <c r="HR55" s="75">
        <v>-4.2813345320739327E-2</v>
      </c>
      <c r="HS55" s="75">
        <v>8.3844109993107541E-3</v>
      </c>
      <c r="HT55" s="75">
        <v>-2.9119630082066306E-2</v>
      </c>
      <c r="HU55" s="75">
        <v>5.8477919223461405E-2</v>
      </c>
      <c r="HV55" s="75">
        <v>4.0762734365820563E-2</v>
      </c>
      <c r="HW55" s="75">
        <v>1.8936086541182007E-2</v>
      </c>
      <c r="HX55" s="75">
        <v>-6.1298547309885099E-2</v>
      </c>
      <c r="HY55" s="75">
        <v>-1.8244751995002306E-2</v>
      </c>
      <c r="HZ55" s="75">
        <v>-2.1102697212716737E-2</v>
      </c>
      <c r="IA55" s="75">
        <v>-2.7461405300796327E-2</v>
      </c>
      <c r="IB55" s="75">
        <v>-1.4522460925500691E-2</v>
      </c>
      <c r="IC55" s="75">
        <v>1.77285961597341E-2</v>
      </c>
      <c r="ID55" s="75">
        <v>-3.5303533130848219E-3</v>
      </c>
      <c r="IE55" s="75">
        <v>-2.574329010686538E-2</v>
      </c>
      <c r="IF55" s="75">
        <v>-5.5049221492537992E-3</v>
      </c>
      <c r="IG55" s="75">
        <v>-1.3296967663968984E-2</v>
      </c>
      <c r="IH55" s="75">
        <v>-2.7969111015995751E-2</v>
      </c>
      <c r="II55" s="75">
        <v>-7.2033478468999101E-3</v>
      </c>
      <c r="IJ55" s="75">
        <v>1.9319746475459976E-2</v>
      </c>
      <c r="IK55" s="75">
        <v>-2.6783929176701193E-2</v>
      </c>
      <c r="IL55" s="75">
        <v>4.930458973525037E-2</v>
      </c>
      <c r="IM55" s="75">
        <v>-1.2402395867591176E-3</v>
      </c>
      <c r="IN55" s="75">
        <v>-2.3584604403601384E-2</v>
      </c>
      <c r="IO55" s="75">
        <v>-2.5447975795153899E-2</v>
      </c>
      <c r="IP55" s="75">
        <v>-3.9092040152152507E-2</v>
      </c>
      <c r="IQ55" s="75">
        <v>-1.9374924616216815E-2</v>
      </c>
      <c r="IR55" s="75">
        <v>-5.1161239698462646E-2</v>
      </c>
      <c r="IS55" s="75">
        <v>5.5090345101059812E-3</v>
      </c>
      <c r="IT55" s="75">
        <v>-2.3474510047900576E-2</v>
      </c>
      <c r="IU55" s="75">
        <v>1.9351614986534149E-3</v>
      </c>
    </row>
    <row r="56" spans="1:255" s="74" customFormat="1" ht="14.5" x14ac:dyDescent="0.35">
      <c r="A56" s="73"/>
      <c r="B56" s="78">
        <v>0.75</v>
      </c>
      <c r="C56" s="77">
        <f t="shared" si="43"/>
        <v>2.0033709367299486E-2</v>
      </c>
      <c r="D56" s="76">
        <f t="shared" si="44"/>
        <v>5.5189048784664074E-2</v>
      </c>
      <c r="E56" s="75">
        <v>-4.6564291127135005E-2</v>
      </c>
      <c r="F56" s="75">
        <v>5.4112611868775307E-2</v>
      </c>
      <c r="G56" s="75">
        <v>3.802635882611427E-2</v>
      </c>
      <c r="H56" s="75">
        <v>4.39426290850084E-2</v>
      </c>
      <c r="I56" s="75">
        <v>5.308796476222355E-2</v>
      </c>
      <c r="J56" s="75">
        <v>-5.0839012259205396E-2</v>
      </c>
      <c r="K56" s="75">
        <v>6.1837630155827661E-2</v>
      </c>
      <c r="L56" s="75">
        <v>-2.2390364304950061E-2</v>
      </c>
      <c r="M56" s="75">
        <v>3.4882511946060346E-2</v>
      </c>
      <c r="N56" s="75">
        <v>4.6903594990797493E-2</v>
      </c>
      <c r="O56" s="75">
        <v>6.0462514594094574E-3</v>
      </c>
      <c r="P56" s="75">
        <v>2.925531039044843E-2</v>
      </c>
      <c r="Q56" s="75">
        <v>-1.4546152665496859E-2</v>
      </c>
      <c r="R56" s="75">
        <v>-4.9514229352498051E-2</v>
      </c>
      <c r="S56" s="75">
        <v>-1.4118147872240194E-3</v>
      </c>
      <c r="T56" s="75">
        <v>-4.9594348301592817E-2</v>
      </c>
      <c r="U56" s="75">
        <v>1.521261930736606E-2</v>
      </c>
      <c r="V56" s="75">
        <v>-3.680170599707322E-2</v>
      </c>
      <c r="W56" s="75">
        <v>3.9067317147686464E-2</v>
      </c>
      <c r="X56" s="75">
        <v>-9.5926123094013382E-3</v>
      </c>
      <c r="Y56" s="75">
        <v>-2.109510350082211E-2</v>
      </c>
      <c r="Z56" s="75">
        <v>6.1727686876150711E-2</v>
      </c>
      <c r="AA56" s="75">
        <v>3.1126084244526009E-3</v>
      </c>
      <c r="AB56" s="75">
        <v>3.7839201977467152E-2</v>
      </c>
      <c r="AC56" s="75">
        <v>-8.5159256462101429E-2</v>
      </c>
      <c r="AD56" s="75">
        <v>-1.6322558645467444E-2</v>
      </c>
      <c r="AE56" s="75">
        <v>-4.8385350759551637E-2</v>
      </c>
      <c r="AF56" s="75">
        <v>-1.3025430878901512E-2</v>
      </c>
      <c r="AG56" s="75">
        <v>-4.2247391679562374E-2</v>
      </c>
      <c r="AH56" s="75">
        <v>3.3781193722695724E-2</v>
      </c>
      <c r="AI56" s="75">
        <v>-2.6127872905568672E-2</v>
      </c>
      <c r="AJ56" s="75">
        <v>4.024039709063465E-2</v>
      </c>
      <c r="AK56" s="75">
        <v>-1.9837301107945127E-2</v>
      </c>
      <c r="AL56" s="75">
        <v>-7.5855361064626314E-2</v>
      </c>
      <c r="AM56" s="75">
        <v>5.2149879842467439E-3</v>
      </c>
      <c r="AN56" s="75">
        <v>4.4802461514153402E-2</v>
      </c>
      <c r="AO56" s="75">
        <v>2.7878434706274935E-3</v>
      </c>
      <c r="AP56" s="75">
        <v>3.187126313144456E-2</v>
      </c>
      <c r="AQ56" s="75">
        <v>-4.9322133806944501E-2</v>
      </c>
      <c r="AR56" s="75">
        <v>4.5060250049643646E-2</v>
      </c>
      <c r="AS56" s="75">
        <v>4.1589480668197232E-2</v>
      </c>
      <c r="AT56" s="75">
        <v>1.9429456057606709E-2</v>
      </c>
      <c r="AU56" s="75">
        <v>8.5203088422071083E-2</v>
      </c>
      <c r="AV56" s="75">
        <v>-4.1861305943547644E-2</v>
      </c>
      <c r="AW56" s="75">
        <v>5.0741179910883505E-2</v>
      </c>
      <c r="AX56" s="75">
        <v>-9.0369668266380709E-3</v>
      </c>
      <c r="AY56" s="75">
        <v>2.0465958361341186E-2</v>
      </c>
      <c r="AZ56" s="75">
        <v>-4.1822804215387144E-2</v>
      </c>
      <c r="BA56" s="75">
        <v>5.4248349997539358E-3</v>
      </c>
      <c r="BB56" s="75">
        <v>-0.10172120662560358</v>
      </c>
      <c r="BC56" s="75">
        <v>-5.4820189056160484E-2</v>
      </c>
      <c r="BD56" s="75">
        <v>-2.3002517446226445E-2</v>
      </c>
      <c r="BE56" s="75">
        <v>-1.6455307188052326E-2</v>
      </c>
      <c r="BF56" s="75">
        <v>-1.7264613554738739E-2</v>
      </c>
      <c r="BG56" s="75">
        <v>1.7909354155507595E-2</v>
      </c>
      <c r="BH56" s="75">
        <v>-1.8360581283598743E-2</v>
      </c>
      <c r="BI56" s="75">
        <v>9.1656310689590681E-3</v>
      </c>
      <c r="BJ56" s="75">
        <v>9.1770206451953829E-2</v>
      </c>
      <c r="BK56" s="75">
        <v>3.1078981376586656E-2</v>
      </c>
      <c r="BL56" s="75">
        <v>-2.861508552475106E-2</v>
      </c>
      <c r="BM56" s="75">
        <v>1.2874135934390019E-2</v>
      </c>
      <c r="BN56" s="75">
        <v>3.3883166123007125E-2</v>
      </c>
      <c r="BO56" s="75">
        <v>1.0232703892641359E-2</v>
      </c>
      <c r="BP56" s="75">
        <v>3.3333692949493787E-2</v>
      </c>
      <c r="BQ56" s="75">
        <v>1.9802334268223809E-2</v>
      </c>
      <c r="BR56" s="75">
        <v>-8.0452815477133066E-2</v>
      </c>
      <c r="BS56" s="75">
        <v>5.8748856448674058E-2</v>
      </c>
      <c r="BT56" s="75">
        <v>2.4375055920143884E-3</v>
      </c>
      <c r="BU56" s="75">
        <v>3.101567656787757E-2</v>
      </c>
      <c r="BV56" s="75">
        <v>8.4312562675175506E-2</v>
      </c>
      <c r="BW56" s="75">
        <v>-3.2107558800659852E-2</v>
      </c>
      <c r="BX56" s="75">
        <v>5.3146186843311349E-2</v>
      </c>
      <c r="BY56" s="75">
        <v>4.7503778909725736E-2</v>
      </c>
      <c r="BZ56" s="75">
        <v>5.1777069602231551E-2</v>
      </c>
      <c r="CA56" s="75">
        <v>1.5508291573739175E-2</v>
      </c>
      <c r="CB56" s="75">
        <v>-2.8898702969646528E-2</v>
      </c>
      <c r="CC56" s="75">
        <v>-1.6578609442584658E-2</v>
      </c>
      <c r="CD56" s="75">
        <v>1.9691224525535178E-2</v>
      </c>
      <c r="CE56" s="75">
        <v>-5.1773652267019799E-3</v>
      </c>
      <c r="CF56" s="75">
        <v>1.055030857813638E-2</v>
      </c>
      <c r="CG56" s="75">
        <v>-1.6385030499115161E-2</v>
      </c>
      <c r="CH56" s="75">
        <v>5.4709711569856601E-2</v>
      </c>
      <c r="CI56" s="75">
        <v>6.7521823664614455E-2</v>
      </c>
      <c r="CJ56" s="75">
        <v>4.5737959230398584E-3</v>
      </c>
      <c r="CK56" s="75">
        <v>1.0701665538489724E-2</v>
      </c>
      <c r="CL56" s="75">
        <v>1.3605765533831748E-2</v>
      </c>
      <c r="CM56" s="75">
        <v>1.4274514392321802E-2</v>
      </c>
      <c r="CN56" s="75">
        <v>-2.6922229528040575E-2</v>
      </c>
      <c r="CO56" s="75">
        <v>7.3557550736462196E-3</v>
      </c>
      <c r="CP56" s="75">
        <v>-5.6150028055405143E-2</v>
      </c>
      <c r="CQ56" s="75">
        <v>1.8596609883325788E-2</v>
      </c>
      <c r="CR56" s="75">
        <v>-3.3266775956217798E-2</v>
      </c>
      <c r="CS56" s="75">
        <v>-6.9900797228388267E-3</v>
      </c>
      <c r="CT56" s="75">
        <v>6.6973821235528752E-2</v>
      </c>
      <c r="CU56" s="75">
        <v>5.6811142614003829E-2</v>
      </c>
      <c r="CV56" s="75">
        <v>5.9480061318565758E-2</v>
      </c>
      <c r="CW56" s="75">
        <v>-7.3905049411181922E-2</v>
      </c>
      <c r="CX56" s="75">
        <v>-1.7294614557963495E-2</v>
      </c>
      <c r="CY56" s="75">
        <v>-4.7757245053631658E-2</v>
      </c>
      <c r="CZ56" s="75">
        <v>7.2253661026550009E-2</v>
      </c>
      <c r="DA56" s="75">
        <v>3.8335843970530803E-2</v>
      </c>
      <c r="DB56" s="75">
        <v>-2.4743542955406872E-2</v>
      </c>
      <c r="DC56" s="75">
        <v>-2.904464275274149E-2</v>
      </c>
      <c r="DD56" s="75">
        <v>-5.8238336497212939E-2</v>
      </c>
      <c r="DE56" s="75">
        <v>5.5848332048592686E-2</v>
      </c>
      <c r="DF56" s="75">
        <v>2.032032376615911E-2</v>
      </c>
      <c r="DG56" s="75">
        <v>3.5745805738023273E-2</v>
      </c>
      <c r="DH56" s="75">
        <v>-1.0266831382210795E-2</v>
      </c>
      <c r="DI56" s="75">
        <v>-5.5884618694057364E-2</v>
      </c>
      <c r="DJ56" s="75">
        <v>4.3124390050930939E-3</v>
      </c>
      <c r="DK56" s="75">
        <v>4.2460786983719023E-2</v>
      </c>
      <c r="DL56" s="75">
        <v>-7.7320355962086085E-3</v>
      </c>
      <c r="DM56" s="75">
        <v>2.9525877358463015E-2</v>
      </c>
      <c r="DN56" s="75">
        <v>-1.4998759812195617E-2</v>
      </c>
      <c r="DO56" s="75">
        <v>3.5952022631668856E-2</v>
      </c>
      <c r="DP56" s="75">
        <v>-2.2118074638691199E-2</v>
      </c>
      <c r="DQ56" s="75">
        <v>2.4531086463616125E-2</v>
      </c>
      <c r="DR56" s="75">
        <v>-2.1079093483579059E-2</v>
      </c>
      <c r="DS56" s="75">
        <v>5.8191662169680747E-2</v>
      </c>
      <c r="DT56" s="75">
        <v>-2.0818459640563447E-2</v>
      </c>
      <c r="DU56" s="75">
        <v>-2.5911317342277806E-2</v>
      </c>
      <c r="DV56" s="75">
        <v>-9.3004323543041667E-3</v>
      </c>
      <c r="DW56" s="75">
        <v>3.3018945053498061E-2</v>
      </c>
      <c r="DX56" s="75">
        <v>0.12631662101272412</v>
      </c>
      <c r="DY56" s="75">
        <v>-8.9082299895416439E-2</v>
      </c>
      <c r="DZ56" s="75">
        <v>1.9664335318009929E-2</v>
      </c>
      <c r="EA56" s="75">
        <v>4.9111602120780362E-2</v>
      </c>
      <c r="EB56" s="75">
        <v>-1.0424364052406432E-2</v>
      </c>
      <c r="EC56" s="75">
        <v>1.6946201511910119E-2</v>
      </c>
      <c r="ED56" s="75">
        <v>-5.0708128993039336E-2</v>
      </c>
      <c r="EE56" s="75">
        <v>-0.11082228556377083</v>
      </c>
      <c r="EF56" s="75">
        <v>-3.2357468735941808E-3</v>
      </c>
      <c r="EG56" s="75">
        <v>1.4861369939950408E-2</v>
      </c>
      <c r="EH56" s="75">
        <v>-1.0662994931461389E-2</v>
      </c>
      <c r="EI56" s="75">
        <v>8.88627973775164E-2</v>
      </c>
      <c r="EJ56" s="75">
        <v>-2.6518918731944618E-2</v>
      </c>
      <c r="EK56" s="75">
        <v>2.3754896809747461E-2</v>
      </c>
      <c r="EL56" s="75">
        <v>-7.7266554386838382E-2</v>
      </c>
      <c r="EM56" s="75">
        <v>-2.0321280702936595E-2</v>
      </c>
      <c r="EN56" s="75">
        <v>6.8154399027822166E-3</v>
      </c>
      <c r="EO56" s="75">
        <v>-2.9514057614595912E-2</v>
      </c>
      <c r="EP56" s="75">
        <v>-1.3133420511718452E-2</v>
      </c>
      <c r="EQ56" s="75">
        <v>-4.2826921859933198E-2</v>
      </c>
      <c r="ER56" s="75">
        <v>3.1700576656035817E-2</v>
      </c>
      <c r="ES56" s="75">
        <v>1.5786801935430861E-2</v>
      </c>
      <c r="ET56" s="75">
        <v>-2.7257745403532374E-2</v>
      </c>
      <c r="EU56" s="75">
        <v>-4.6991617757241477E-2</v>
      </c>
      <c r="EV56" s="75">
        <v>1.6029837203983766E-2</v>
      </c>
      <c r="EW56" s="75">
        <v>-2.079396354402302E-2</v>
      </c>
      <c r="EX56" s="75">
        <v>6.9439596149885374E-2</v>
      </c>
      <c r="EY56" s="75">
        <v>3.9756384207907614E-2</v>
      </c>
      <c r="EZ56" s="75">
        <v>5.9139328248376088E-2</v>
      </c>
      <c r="FA56" s="75">
        <v>-6.2287530115202383E-2</v>
      </c>
      <c r="FB56" s="75">
        <v>3.5186186239036243E-2</v>
      </c>
      <c r="FC56" s="75">
        <v>6.6696785923228252E-2</v>
      </c>
      <c r="FD56" s="75">
        <v>-4.1496891323861695E-2</v>
      </c>
      <c r="FE56" s="75">
        <v>4.6604065323777755E-2</v>
      </c>
      <c r="FF56" s="75">
        <v>-6.6004239516058383E-2</v>
      </c>
      <c r="FG56" s="75">
        <v>3.7280230872482889E-2</v>
      </c>
      <c r="FH56" s="75">
        <v>2.7132131780901014E-2</v>
      </c>
      <c r="FI56" s="75">
        <v>3.634433206772264E-2</v>
      </c>
      <c r="FJ56" s="75">
        <v>-4.7535356543723262E-2</v>
      </c>
      <c r="FK56" s="75">
        <v>-2.3616877408402792E-3</v>
      </c>
      <c r="FL56" s="75">
        <v>5.3761653401743881E-2</v>
      </c>
      <c r="FM56" s="75">
        <v>-3.3347715337919026E-2</v>
      </c>
      <c r="FN56" s="75">
        <v>2.7011482419406763E-2</v>
      </c>
      <c r="FO56" s="75">
        <v>-0.12640003337354067</v>
      </c>
      <c r="FP56" s="75">
        <v>-0.11676034548793096</v>
      </c>
      <c r="FQ56" s="75">
        <v>2.3421404931900536E-2</v>
      </c>
      <c r="FR56" s="75">
        <v>-2.3079395155054416E-2</v>
      </c>
      <c r="FS56" s="75">
        <v>-3.4404040858259488E-2</v>
      </c>
      <c r="FT56" s="75">
        <v>1.547228255815003E-2</v>
      </c>
      <c r="FU56" s="75">
        <v>5.1427494695681253E-2</v>
      </c>
      <c r="FV56" s="75">
        <v>-2.9061975723515543E-3</v>
      </c>
      <c r="FW56" s="75">
        <v>4.4026129394689251E-2</v>
      </c>
      <c r="FX56" s="75">
        <v>-6.096785466834026E-2</v>
      </c>
      <c r="FY56" s="75">
        <v>-7.9136861281981774E-2</v>
      </c>
      <c r="FZ56" s="75">
        <v>1.1942988624226603E-2</v>
      </c>
      <c r="GA56" s="75">
        <v>1.8425553489059832E-2</v>
      </c>
      <c r="GB56" s="75">
        <v>5.2040296132756292E-2</v>
      </c>
      <c r="GC56" s="75">
        <v>-8.2105487820556822E-3</v>
      </c>
      <c r="GD56" s="75">
        <v>-4.3229746873182373E-2</v>
      </c>
      <c r="GE56" s="75">
        <v>-3.4527797652983416E-4</v>
      </c>
      <c r="GF56" s="75">
        <v>1.8870149130071345E-2</v>
      </c>
      <c r="GG56" s="75">
        <v>1.1129993987296971E-2</v>
      </c>
      <c r="GH56" s="75">
        <v>7.5983315526980066E-2</v>
      </c>
      <c r="GI56" s="75">
        <v>-5.7590932745305301E-2</v>
      </c>
      <c r="GJ56" s="75">
        <v>2.5610764602438052E-2</v>
      </c>
      <c r="GK56" s="75">
        <v>-6.2142398274762645E-3</v>
      </c>
      <c r="GL56" s="75">
        <v>-5.6000181220038914E-2</v>
      </c>
      <c r="GM56" s="75">
        <v>-7.1767807376012294E-2</v>
      </c>
      <c r="GN56" s="75">
        <v>-1.8368143060648101E-2</v>
      </c>
      <c r="GO56" s="75">
        <v>-6.6084152691153752E-4</v>
      </c>
      <c r="GP56" s="75">
        <v>5.0408628763418062E-2</v>
      </c>
      <c r="GQ56" s="75">
        <v>2.3080732663894099E-2</v>
      </c>
      <c r="GR56" s="75">
        <v>-6.6613216564434752E-2</v>
      </c>
      <c r="GS56" s="75">
        <v>-1.2350497885377121E-2</v>
      </c>
      <c r="GT56" s="75">
        <v>-5.2882023077593932E-2</v>
      </c>
      <c r="GU56" s="75">
        <v>5.0484100199424342E-2</v>
      </c>
      <c r="GV56" s="75">
        <v>2.4889605422439343E-2</v>
      </c>
      <c r="GW56" s="75">
        <v>4.4485444550680209E-2</v>
      </c>
      <c r="GX56" s="75">
        <v>-3.2260633557923635E-2</v>
      </c>
      <c r="GY56" s="75">
        <v>4.8980417231755058E-2</v>
      </c>
      <c r="GZ56" s="75">
        <v>8.3951736132260368E-2</v>
      </c>
      <c r="HA56" s="75">
        <v>-1.0458288831404927E-2</v>
      </c>
      <c r="HB56" s="75">
        <v>1.7973325226647463E-2</v>
      </c>
      <c r="HC56" s="75">
        <v>6.1662887178844716E-2</v>
      </c>
      <c r="HD56" s="75">
        <v>-6.0890749731779548E-2</v>
      </c>
      <c r="HE56" s="75">
        <v>-2.5861497250017296E-2</v>
      </c>
      <c r="HF56" s="75">
        <v>1.6557373093268157E-2</v>
      </c>
      <c r="HG56" s="75">
        <v>-1.2143273473675831E-2</v>
      </c>
      <c r="HH56" s="75">
        <v>1.7092535393845865E-2</v>
      </c>
      <c r="HI56" s="75">
        <v>5.5189048784664074E-2</v>
      </c>
      <c r="HJ56" s="75">
        <v>-2.6659894009382679E-2</v>
      </c>
      <c r="HK56" s="75">
        <v>1.9870166517540977E-2</v>
      </c>
      <c r="HL56" s="75">
        <v>4.1849690759011349E-2</v>
      </c>
      <c r="HM56" s="75">
        <v>2.7548494907910059E-2</v>
      </c>
      <c r="HN56" s="75">
        <v>1.2029868416618072E-2</v>
      </c>
      <c r="HO56" s="75">
        <v>-3.217965169677045E-2</v>
      </c>
      <c r="HP56" s="75">
        <v>-6.6406080622664621E-3</v>
      </c>
      <c r="HQ56" s="75">
        <v>-5.9135568824292772E-2</v>
      </c>
      <c r="HR56" s="75">
        <v>-6.3942671484918223E-2</v>
      </c>
      <c r="HS56" s="75">
        <v>2.0776515045320743E-2</v>
      </c>
      <c r="HT56" s="75">
        <v>2.4215302977773412E-2</v>
      </c>
      <c r="HU56" s="75">
        <v>3.1299818423203452E-2</v>
      </c>
      <c r="HV56" s="75">
        <v>3.5265973501443226E-3</v>
      </c>
      <c r="HW56" s="75">
        <v>3.0286334280610283E-2</v>
      </c>
      <c r="HX56" s="75">
        <v>-5.0219990016561966E-2</v>
      </c>
      <c r="HY56" s="75">
        <v>3.1298740301937911E-2</v>
      </c>
      <c r="HZ56" s="75">
        <v>2.9297746210418696E-2</v>
      </c>
      <c r="IA56" s="75">
        <v>6.6099469758846618E-2</v>
      </c>
      <c r="IB56" s="75">
        <v>6.4729665434934969E-3</v>
      </c>
      <c r="IC56" s="75">
        <v>8.0760687346793092E-3</v>
      </c>
      <c r="ID56" s="75">
        <v>2.3084702265108836E-2</v>
      </c>
      <c r="IE56" s="75">
        <v>6.0688638715134469E-2</v>
      </c>
      <c r="IF56" s="75">
        <v>-6.6531345633339956E-3</v>
      </c>
      <c r="IG56" s="75">
        <v>4.9373123985431755E-2</v>
      </c>
      <c r="IH56" s="75">
        <v>-1.589506602731372E-2</v>
      </c>
      <c r="II56" s="75">
        <v>6.1920435794091622E-2</v>
      </c>
      <c r="IJ56" s="75">
        <v>3.7972172010379224E-2</v>
      </c>
      <c r="IK56" s="75">
        <v>1.357926560357875E-2</v>
      </c>
      <c r="IL56" s="75">
        <v>-1.0551641164804115E-2</v>
      </c>
      <c r="IM56" s="75">
        <v>9.7529122681402569E-2</v>
      </c>
      <c r="IN56" s="75">
        <v>0.10247093999368445</v>
      </c>
      <c r="IO56" s="75">
        <v>-3.6524423610963808E-2</v>
      </c>
      <c r="IP56" s="75">
        <v>-3.6452412532691214E-2</v>
      </c>
      <c r="IQ56" s="75">
        <v>4.6217065206534735E-2</v>
      </c>
      <c r="IR56" s="75">
        <v>-7.0712333991680698E-2</v>
      </c>
      <c r="IS56" s="75">
        <v>1.254181031942192E-4</v>
      </c>
      <c r="IT56" s="75">
        <v>-1.8378120598666059E-2</v>
      </c>
      <c r="IU56" s="75">
        <v>-7.5636021388755137E-2</v>
      </c>
    </row>
    <row r="57" spans="1:255" s="74" customFormat="1" ht="14.5" x14ac:dyDescent="0.35">
      <c r="A57" s="73"/>
      <c r="B57" s="78">
        <v>1</v>
      </c>
      <c r="C57" s="77">
        <f t="shared" si="43"/>
        <v>2.1353889533238222E-2</v>
      </c>
      <c r="D57" s="76">
        <f t="shared" si="44"/>
        <v>6.3027691861761437E-2</v>
      </c>
      <c r="E57" s="75">
        <v>-5.8723169248725504E-2</v>
      </c>
      <c r="F57" s="75">
        <v>4.8322691138422025E-2</v>
      </c>
      <c r="G57" s="75">
        <v>6.4118206348872164E-2</v>
      </c>
      <c r="H57" s="75">
        <v>2.7381245523400599E-2</v>
      </c>
      <c r="I57" s="75">
        <v>7.575967783117471E-2</v>
      </c>
      <c r="J57" s="75">
        <v>-6.7280481758604682E-2</v>
      </c>
      <c r="K57" s="75">
        <v>-7.3919743538186644E-4</v>
      </c>
      <c r="L57" s="75">
        <v>-1.3366130324027892E-3</v>
      </c>
      <c r="M57" s="75">
        <v>2.6750714608819504E-2</v>
      </c>
      <c r="N57" s="75">
        <v>6.777193337858084E-2</v>
      </c>
      <c r="O57" s="75">
        <v>3.5719094119925465E-2</v>
      </c>
      <c r="P57" s="75">
        <v>2.3338828349146801E-2</v>
      </c>
      <c r="Q57" s="75">
        <v>-4.2171113263512083E-2</v>
      </c>
      <c r="R57" s="75">
        <v>-2.2587305549707615E-2</v>
      </c>
      <c r="S57" s="75">
        <v>-3.6805600178668962E-2</v>
      </c>
      <c r="T57" s="75">
        <v>-8.4303680407381953E-2</v>
      </c>
      <c r="U57" s="75">
        <v>2.2454551804823086E-2</v>
      </c>
      <c r="V57" s="75">
        <v>-2.8426916873511232E-2</v>
      </c>
      <c r="W57" s="75">
        <v>4.1816203208553282E-2</v>
      </c>
      <c r="X57" s="75">
        <v>-4.9831063863521097E-2</v>
      </c>
      <c r="Y57" s="75">
        <v>2.4455201539055005E-2</v>
      </c>
      <c r="Z57" s="75">
        <v>6.6854743513809101E-2</v>
      </c>
      <c r="AA57" s="75">
        <v>1.5121599193597512E-2</v>
      </c>
      <c r="AB57" s="75">
        <v>8.021475394723443E-2</v>
      </c>
      <c r="AC57" s="75">
        <v>-6.806623795826594E-2</v>
      </c>
      <c r="AD57" s="75">
        <v>-1.7701155253618261E-3</v>
      </c>
      <c r="AE57" s="75">
        <v>-2.6792350981624802E-2</v>
      </c>
      <c r="AF57" s="75">
        <v>-3.1598365750604263E-2</v>
      </c>
      <c r="AG57" s="75">
        <v>-6.1975064969526372E-2</v>
      </c>
      <c r="AH57" s="75">
        <v>5.0389736445322408E-2</v>
      </c>
      <c r="AI57" s="75">
        <v>-2.0246316366035522E-2</v>
      </c>
      <c r="AJ57" s="75">
        <v>1.7933398185631999E-2</v>
      </c>
      <c r="AK57" s="75">
        <v>-1.2133608553074882E-3</v>
      </c>
      <c r="AL57" s="75">
        <v>-9.0364966210351838E-2</v>
      </c>
      <c r="AM57" s="75">
        <v>-6.0701617982526823E-2</v>
      </c>
      <c r="AN57" s="75">
        <v>-5.3974144656018241E-3</v>
      </c>
      <c r="AO57" s="75">
        <v>1.5950327501600747E-2</v>
      </c>
      <c r="AP57" s="75">
        <v>-4.6633154590937087E-3</v>
      </c>
      <c r="AQ57" s="75">
        <v>-4.460854259688718E-2</v>
      </c>
      <c r="AR57" s="75">
        <v>0.11197715190561164</v>
      </c>
      <c r="AS57" s="75">
        <v>6.2179096155329461E-2</v>
      </c>
      <c r="AT57" s="75">
        <v>-3.6074731487206746E-3</v>
      </c>
      <c r="AU57" s="75">
        <v>7.6838560668924027E-2</v>
      </c>
      <c r="AV57" s="75">
        <v>-6.3976802635166197E-2</v>
      </c>
      <c r="AW57" s="75">
        <v>4.3792470863093624E-2</v>
      </c>
      <c r="AX57" s="75">
        <v>-2.7322628807996185E-2</v>
      </c>
      <c r="AY57" s="75">
        <v>1.7106728169306917E-2</v>
      </c>
      <c r="AZ57" s="75">
        <v>-6.6975941702437425E-2</v>
      </c>
      <c r="BA57" s="75">
        <v>1.7658014313809423E-4</v>
      </c>
      <c r="BB57" s="75">
        <v>-0.12699590467257132</v>
      </c>
      <c r="BC57" s="75">
        <v>-7.6886300488664183E-2</v>
      </c>
      <c r="BD57" s="75">
        <v>-5.1705291512832541E-2</v>
      </c>
      <c r="BE57" s="75">
        <v>-2.6820641516429045E-3</v>
      </c>
      <c r="BF57" s="75">
        <v>-3.2232875614867207E-2</v>
      </c>
      <c r="BG57" s="75">
        <v>4.6239554636229308E-4</v>
      </c>
      <c r="BH57" s="75">
        <v>-1.5333471486816685E-2</v>
      </c>
      <c r="BI57" s="75">
        <v>2.8374429732540396E-2</v>
      </c>
      <c r="BJ57" s="75">
        <v>0.11589156758597474</v>
      </c>
      <c r="BK57" s="75">
        <v>4.2591390092301784E-2</v>
      </c>
      <c r="BL57" s="75">
        <v>-4.3878466361940038E-2</v>
      </c>
      <c r="BM57" s="75">
        <v>-7.3118571526048504E-3</v>
      </c>
      <c r="BN57" s="75">
        <v>5.6735732892682689E-2</v>
      </c>
      <c r="BO57" s="75">
        <v>-1.549750412465023E-3</v>
      </c>
      <c r="BP57" s="75">
        <v>5.9225266171694158E-2</v>
      </c>
      <c r="BQ57" s="75">
        <v>4.5600117384490879E-2</v>
      </c>
      <c r="BR57" s="75">
        <v>-3.6454202572275607E-2</v>
      </c>
      <c r="BS57" s="75">
        <v>1.6347321062330056E-2</v>
      </c>
      <c r="BT57" s="75">
        <v>3.5088415088743941E-2</v>
      </c>
      <c r="BU57" s="75">
        <v>-1.8628575965966232E-2</v>
      </c>
      <c r="BV57" s="75">
        <v>7.8632744345344896E-2</v>
      </c>
      <c r="BW57" s="75">
        <v>-4.5565026623135996E-2</v>
      </c>
      <c r="BX57" s="75">
        <v>7.5559724518986349E-2</v>
      </c>
      <c r="BY57" s="75">
        <v>2.8706513590159188E-2</v>
      </c>
      <c r="BZ57" s="75">
        <v>6.6026239448959245E-2</v>
      </c>
      <c r="CA57" s="75">
        <v>3.4368368552234463E-2</v>
      </c>
      <c r="CB57" s="75">
        <v>-1.0240523644405919E-2</v>
      </c>
      <c r="CC57" s="75">
        <v>3.8068596949309974E-3</v>
      </c>
      <c r="CD57" s="75">
        <v>2.6004143589431872E-2</v>
      </c>
      <c r="CE57" s="75">
        <v>1.6486488294753299E-2</v>
      </c>
      <c r="CF57" s="75">
        <v>-2.404488562570728E-2</v>
      </c>
      <c r="CG57" s="75">
        <v>-1.3531547967536639E-2</v>
      </c>
      <c r="CH57" s="75">
        <v>2.5225979484241878E-2</v>
      </c>
      <c r="CI57" s="75">
        <v>6.088837538143077E-2</v>
      </c>
      <c r="CJ57" s="75">
        <v>3.91844416225412E-3</v>
      </c>
      <c r="CK57" s="75">
        <v>-1.5139812808105835E-2</v>
      </c>
      <c r="CL57" s="75">
        <v>-1.1594995752595982E-2</v>
      </c>
      <c r="CM57" s="75">
        <v>-8.4558173210557142E-3</v>
      </c>
      <c r="CN57" s="75">
        <v>-6.955620798136164E-3</v>
      </c>
      <c r="CO57" s="75">
        <v>-7.5366735121090711E-3</v>
      </c>
      <c r="CP57" s="75">
        <v>-4.8714909938799789E-2</v>
      </c>
      <c r="CQ57" s="75">
        <v>1.6837925626389083E-2</v>
      </c>
      <c r="CR57" s="75">
        <v>-3.6553277347924296E-2</v>
      </c>
      <c r="CS57" s="75">
        <v>-1.9525005228854919E-2</v>
      </c>
      <c r="CT57" s="75">
        <v>6.4043575617159676E-2</v>
      </c>
      <c r="CU57" s="75">
        <v>5.7518456087030656E-2</v>
      </c>
      <c r="CV57" s="75">
        <v>6.0259886533116425E-2</v>
      </c>
      <c r="CW57" s="75">
        <v>-7.2076373274994388E-2</v>
      </c>
      <c r="CX57" s="75">
        <v>-2.0411039395188624E-2</v>
      </c>
      <c r="CY57" s="75">
        <v>-3.9157817309586673E-2</v>
      </c>
      <c r="CZ57" s="75">
        <v>6.7023279877347963E-2</v>
      </c>
      <c r="DA57" s="75">
        <v>2.2810554983998976E-2</v>
      </c>
      <c r="DB57" s="75">
        <v>6.1890875865842465E-2</v>
      </c>
      <c r="DC57" s="75">
        <v>2.0848071887983211E-2</v>
      </c>
      <c r="DD57" s="75">
        <v>3.8362655072041063E-2</v>
      </c>
      <c r="DE57" s="75">
        <v>1.1372619737654743E-2</v>
      </c>
      <c r="DF57" s="75">
        <v>3.0314990308176304E-2</v>
      </c>
      <c r="DG57" s="75">
        <v>-3.9120531709684547E-2</v>
      </c>
      <c r="DH57" s="75">
        <v>1.84970717282682E-2</v>
      </c>
      <c r="DI57" s="75">
        <v>-2.5762513056435954E-3</v>
      </c>
      <c r="DJ57" s="75">
        <v>-8.7450926986069599E-2</v>
      </c>
      <c r="DK57" s="75">
        <v>-7.7351532568268322E-3</v>
      </c>
      <c r="DL57" s="75">
        <v>-5.7604738235169095E-3</v>
      </c>
      <c r="DM57" s="75">
        <v>2.003129511756907E-3</v>
      </c>
      <c r="DN57" s="75">
        <v>5.2772957184223757E-2</v>
      </c>
      <c r="DO57" s="75">
        <v>2.4571704987207732E-2</v>
      </c>
      <c r="DP57" s="75">
        <v>8.7212465825163066E-2</v>
      </c>
      <c r="DQ57" s="75">
        <v>7.781011357381401E-2</v>
      </c>
      <c r="DR57" s="75">
        <v>-2.8593347294533666E-2</v>
      </c>
      <c r="DS57" s="75">
        <v>-9.191125343229456E-2</v>
      </c>
      <c r="DT57" s="75">
        <v>-4.9271352432700977E-2</v>
      </c>
      <c r="DU57" s="75">
        <v>0.10743835927668632</v>
      </c>
      <c r="DV57" s="75">
        <v>-6.477506959553736E-3</v>
      </c>
      <c r="DW57" s="75">
        <v>-5.1791043068900866E-2</v>
      </c>
      <c r="DX57" s="75">
        <v>0.14934584886596836</v>
      </c>
      <c r="DY57" s="75">
        <v>1.6887528633908244E-2</v>
      </c>
      <c r="DZ57" s="75">
        <v>7.400528387358718E-3</v>
      </c>
      <c r="EA57" s="75">
        <v>5.5698417575228421E-3</v>
      </c>
      <c r="EB57" s="75">
        <v>-5.4630458961734629E-2</v>
      </c>
      <c r="EC57" s="75">
        <v>-6.4144284191861745E-2</v>
      </c>
      <c r="ED57" s="75">
        <v>-5.7810460460268498E-2</v>
      </c>
      <c r="EE57" s="75">
        <v>6.8314002144537422E-2</v>
      </c>
      <c r="EF57" s="75">
        <v>-8.2015629156990122E-3</v>
      </c>
      <c r="EG57" s="75">
        <v>3.6582282408390177E-2</v>
      </c>
      <c r="EH57" s="75">
        <v>2.0008155248607606E-2</v>
      </c>
      <c r="EI57" s="75">
        <v>-1.5080552315862583E-3</v>
      </c>
      <c r="EJ57" s="75">
        <v>-5.489298530342035E-2</v>
      </c>
      <c r="EK57" s="75">
        <v>4.4697446347829295E-2</v>
      </c>
      <c r="EL57" s="75">
        <v>-3.7725390291004746E-2</v>
      </c>
      <c r="EM57" s="75">
        <v>-2.1097651015513752E-2</v>
      </c>
      <c r="EN57" s="75">
        <v>-7.0536844949048993E-3</v>
      </c>
      <c r="EO57" s="75">
        <v>-5.0034978014095177E-3</v>
      </c>
      <c r="EP57" s="75">
        <v>2.6027474438131692E-3</v>
      </c>
      <c r="EQ57" s="75">
        <v>2.8722681249974569E-2</v>
      </c>
      <c r="ER57" s="75">
        <v>1.3340269364641721E-3</v>
      </c>
      <c r="ES57" s="75">
        <v>-5.9652078397952224E-2</v>
      </c>
      <c r="ET57" s="75">
        <v>9.5804748899243231E-2</v>
      </c>
      <c r="EU57" s="75">
        <v>-2.4070961763354992E-3</v>
      </c>
      <c r="EV57" s="75">
        <v>-3.1175436718700877E-2</v>
      </c>
      <c r="EW57" s="75">
        <v>-5.565408724089782E-3</v>
      </c>
      <c r="EX57" s="75">
        <v>-5.7871725706732657E-2</v>
      </c>
      <c r="EY57" s="75">
        <v>-4.2852005415795813E-2</v>
      </c>
      <c r="EZ57" s="75">
        <v>-7.5540266545811585E-3</v>
      </c>
      <c r="FA57" s="75">
        <v>3.5241255704026753E-2</v>
      </c>
      <c r="FB57" s="75">
        <v>-2.1185325419984136E-2</v>
      </c>
      <c r="FC57" s="75">
        <v>5.3346640463542261E-2</v>
      </c>
      <c r="FD57" s="75">
        <v>4.2416598821028439E-3</v>
      </c>
      <c r="FE57" s="75">
        <v>-5.4732455509130529E-2</v>
      </c>
      <c r="FF57" s="75">
        <v>-1.0160151161711872E-2</v>
      </c>
      <c r="FG57" s="75">
        <v>-1.0719039997297897E-2</v>
      </c>
      <c r="FH57" s="75">
        <v>-7.3048586385741077E-2</v>
      </c>
      <c r="FI57" s="75">
        <v>-1.0235921539781367E-2</v>
      </c>
      <c r="FJ57" s="75">
        <v>-5.2019690715928046E-2</v>
      </c>
      <c r="FK57" s="75">
        <v>3.4764804830878737E-2</v>
      </c>
      <c r="FL57" s="75">
        <v>5.3961041002481225E-2</v>
      </c>
      <c r="FM57" s="75">
        <v>8.4852877378884806E-3</v>
      </c>
      <c r="FN57" s="75">
        <v>1.3771837890084515E-2</v>
      </c>
      <c r="FO57" s="75">
        <v>6.1194735254551658E-3</v>
      </c>
      <c r="FP57" s="75">
        <v>1.8031531314906146E-2</v>
      </c>
      <c r="FQ57" s="75">
        <v>-6.9361031348621649E-2</v>
      </c>
      <c r="FR57" s="75">
        <v>-7.6359379915706516E-2</v>
      </c>
      <c r="FS57" s="75">
        <v>7.1396535007067718E-2</v>
      </c>
      <c r="FT57" s="75">
        <v>3.6589151756080462E-2</v>
      </c>
      <c r="FU57" s="75">
        <v>6.0901519830205531E-2</v>
      </c>
      <c r="FV57" s="75">
        <v>4.1441069572803579E-2</v>
      </c>
      <c r="FW57" s="75">
        <v>2.0706990952061466E-2</v>
      </c>
      <c r="FX57" s="75">
        <v>-9.04773203207343E-3</v>
      </c>
      <c r="FY57" s="75">
        <v>7.8945479198457846E-3</v>
      </c>
      <c r="FZ57" s="75">
        <v>6.3017376687119486E-3</v>
      </c>
      <c r="GA57" s="75">
        <v>-8.0502785851430947E-2</v>
      </c>
      <c r="GB57" s="75">
        <v>-7.5501264180912742E-3</v>
      </c>
      <c r="GC57" s="75">
        <v>-3.8183403705495722E-2</v>
      </c>
      <c r="GD57" s="75">
        <v>-6.2509842632284318E-2</v>
      </c>
      <c r="GE57" s="75">
        <v>4.981866104697058E-2</v>
      </c>
      <c r="GF57" s="75">
        <v>5.2593287168802627E-2</v>
      </c>
      <c r="GG57" s="75">
        <v>8.2877891301665341E-3</v>
      </c>
      <c r="GH57" s="75">
        <v>1.2555529352828276E-2</v>
      </c>
      <c r="GI57" s="75">
        <v>5.8802921069633751E-2</v>
      </c>
      <c r="GJ57" s="75">
        <v>3.6510279147540459E-2</v>
      </c>
      <c r="GK57" s="75">
        <v>3.1154156436170921E-2</v>
      </c>
      <c r="GL57" s="75">
        <v>2.8896119887614979E-2</v>
      </c>
      <c r="GM57" s="75">
        <v>3.8926611145871148E-2</v>
      </c>
      <c r="GN57" s="75">
        <v>-3.5540318623814682E-2</v>
      </c>
      <c r="GO57" s="75">
        <v>-1.3359488752801352E-2</v>
      </c>
      <c r="GP57" s="75">
        <v>2.8152539692198664E-2</v>
      </c>
      <c r="GQ57" s="75">
        <v>5.3783815918530375E-2</v>
      </c>
      <c r="GR57" s="75">
        <v>0.11119561121558402</v>
      </c>
      <c r="GS57" s="75">
        <v>4.6543737909632843E-3</v>
      </c>
      <c r="GT57" s="75">
        <v>3.5676352355618446E-2</v>
      </c>
      <c r="GU57" s="75">
        <v>3.0455799200579337E-2</v>
      </c>
      <c r="GV57" s="75">
        <v>0.13127706089093949</v>
      </c>
      <c r="GW57" s="75">
        <v>-4.0273565990011528E-2</v>
      </c>
      <c r="GX57" s="75">
        <v>2.7877056419649604E-2</v>
      </c>
      <c r="GY57" s="75">
        <v>1.527535399419605E-2</v>
      </c>
      <c r="GZ57" s="75">
        <v>4.2157595984640861E-2</v>
      </c>
      <c r="HA57" s="75">
        <v>-4.1790136672046174E-2</v>
      </c>
      <c r="HB57" s="75">
        <v>3.7510760218488981E-2</v>
      </c>
      <c r="HC57" s="75">
        <v>1.0360340540175761E-2</v>
      </c>
      <c r="HD57" s="75">
        <v>-8.4719219849843985E-2</v>
      </c>
      <c r="HE57" s="75">
        <v>7.3284051628924374E-2</v>
      </c>
      <c r="HF57" s="75">
        <v>3.1110217068510415E-2</v>
      </c>
      <c r="HG57" s="75">
        <v>-2.3836252320745543E-2</v>
      </c>
      <c r="HH57" s="75">
        <v>-6.0476449809107991E-2</v>
      </c>
      <c r="HI57" s="75">
        <v>5.0007214121574328E-2</v>
      </c>
      <c r="HJ57" s="75">
        <v>-7.2418344564900705E-4</v>
      </c>
      <c r="HK57" s="75">
        <v>-1.456899839914555E-2</v>
      </c>
      <c r="HL57" s="75">
        <v>5.6494804144650412E-2</v>
      </c>
      <c r="HM57" s="75">
        <v>4.9200854956592932E-2</v>
      </c>
      <c r="HN57" s="75">
        <v>5.6168038465508885E-3</v>
      </c>
      <c r="HO57" s="75">
        <v>-2.4979464445187061E-2</v>
      </c>
      <c r="HP57" s="75">
        <v>-3.1725562769184978E-2</v>
      </c>
      <c r="HQ57" s="75">
        <v>2.5765796129172958E-2</v>
      </c>
      <c r="HR57" s="75">
        <v>-6.1181933385987097E-2</v>
      </c>
      <c r="HS57" s="75">
        <v>-6.0634281579884819E-2</v>
      </c>
      <c r="HT57" s="75">
        <v>3.4734288622932319E-2</v>
      </c>
      <c r="HU57" s="75">
        <v>5.5995813755425283E-2</v>
      </c>
      <c r="HV57" s="75">
        <v>2.1410486350786628E-2</v>
      </c>
      <c r="HW57" s="75">
        <v>8.7053649462243587E-2</v>
      </c>
      <c r="HX57" s="75">
        <v>6.1204969631582118E-2</v>
      </c>
      <c r="HY57" s="75">
        <v>1.8516862130409761E-2</v>
      </c>
      <c r="HZ57" s="75">
        <v>2.6729771226116528E-2</v>
      </c>
      <c r="IA57" s="75">
        <v>7.4144048770221072E-3</v>
      </c>
      <c r="IB57" s="75">
        <v>-5.3852970160795932E-3</v>
      </c>
      <c r="IC57" s="75">
        <v>-6.1647139096601966E-2</v>
      </c>
      <c r="ID57" s="75">
        <v>-1.5838860970656843E-2</v>
      </c>
      <c r="IE57" s="75">
        <v>-3.2097988536946565E-3</v>
      </c>
      <c r="IF57" s="75">
        <v>-3.9726881087748078E-2</v>
      </c>
      <c r="IG57" s="75">
        <v>6.6827399373462215E-2</v>
      </c>
      <c r="IH57" s="75">
        <v>-3.3015471944330799E-2</v>
      </c>
      <c r="II57" s="75">
        <v>6.3468025181736831E-2</v>
      </c>
      <c r="IJ57" s="75">
        <v>2.5339453170435067E-2</v>
      </c>
      <c r="IK57" s="75">
        <v>2.8772170500915351E-2</v>
      </c>
      <c r="IL57" s="75">
        <v>-6.714934445906251E-2</v>
      </c>
      <c r="IM57" s="75">
        <v>-4.1782410271003378E-2</v>
      </c>
      <c r="IN57" s="75">
        <v>6.3027691861761437E-2</v>
      </c>
      <c r="IO57" s="75">
        <v>-8.6654213028399651E-2</v>
      </c>
      <c r="IP57" s="75">
        <v>3.2158012432743466E-2</v>
      </c>
      <c r="IQ57" s="75">
        <v>-2.6208476296650463E-2</v>
      </c>
      <c r="IR57" s="75">
        <v>-1.2749121606306923E-3</v>
      </c>
      <c r="IS57" s="75">
        <v>-6.6358623195274524E-2</v>
      </c>
      <c r="IT57" s="75">
        <v>-2.2808603449121057E-2</v>
      </c>
      <c r="IU57" s="75">
        <v>-4.0358487181571145E-2</v>
      </c>
    </row>
    <row r="58" spans="1:255" s="74" customFormat="1" ht="14.5" x14ac:dyDescent="0.35">
      <c r="A58" s="73"/>
      <c r="B58" s="78">
        <v>1.25</v>
      </c>
      <c r="C58" s="77">
        <f t="shared" si="43"/>
        <v>2.4998923134669511E-2</v>
      </c>
      <c r="D58" s="76">
        <f t="shared" si="44"/>
        <v>8.2900488437424147E-2</v>
      </c>
      <c r="E58" s="75">
        <v>-8.6339291714982114E-2</v>
      </c>
      <c r="F58" s="75">
        <v>2.8680530081300781E-2</v>
      </c>
      <c r="G58" s="75">
        <v>0.10180597947926107</v>
      </c>
      <c r="H58" s="75">
        <v>2.5822132087643279E-2</v>
      </c>
      <c r="I58" s="75">
        <v>4.141910768231738E-2</v>
      </c>
      <c r="J58" s="75">
        <v>-5.221321213079122E-2</v>
      </c>
      <c r="K58" s="75">
        <v>-1.076766739569418E-2</v>
      </c>
      <c r="L58" s="75">
        <v>-1.9079987297748735E-2</v>
      </c>
      <c r="M58" s="75">
        <v>2.8147539705239644E-2</v>
      </c>
      <c r="N58" s="75">
        <v>0.11390516873114054</v>
      </c>
      <c r="O58" s="75">
        <v>4.1915067285180185E-2</v>
      </c>
      <c r="P58" s="75">
        <v>4.8268876739040345E-2</v>
      </c>
      <c r="Q58" s="75">
        <v>-9.0105841953912358E-2</v>
      </c>
      <c r="R58" s="75">
        <v>2.3054845816802172E-2</v>
      </c>
      <c r="S58" s="75">
        <v>-4.6257234967834349E-2</v>
      </c>
      <c r="T58" s="75">
        <v>-8.346254336633474E-2</v>
      </c>
      <c r="U58" s="75">
        <v>9.8669355367914102E-3</v>
      </c>
      <c r="V58" s="75">
        <v>-2.6251266811466167E-2</v>
      </c>
      <c r="W58" s="75">
        <v>1.2857044294459052E-2</v>
      </c>
      <c r="X58" s="75">
        <v>-5.6835252802126146E-2</v>
      </c>
      <c r="Y58" s="75">
        <v>1.8205709832619654E-2</v>
      </c>
      <c r="Z58" s="75">
        <v>5.085536593996498E-2</v>
      </c>
      <c r="AA58" s="75">
        <v>4.4525750813291909E-2</v>
      </c>
      <c r="AB58" s="75">
        <v>6.1697779374504269E-2</v>
      </c>
      <c r="AC58" s="75">
        <v>-9.6273957008249533E-2</v>
      </c>
      <c r="AD58" s="75">
        <v>3.533260014229439E-2</v>
      </c>
      <c r="AE58" s="75">
        <v>-5.7619524455520599E-2</v>
      </c>
      <c r="AF58" s="75">
        <v>-5.1776417085285742E-2</v>
      </c>
      <c r="AG58" s="75">
        <v>-9.6525322032748662E-2</v>
      </c>
      <c r="AH58" s="75">
        <v>3.3370045387529967E-2</v>
      </c>
      <c r="AI58" s="75">
        <v>-1.5493564409382432E-2</v>
      </c>
      <c r="AJ58" s="75">
        <v>-1.5590423899217554E-2</v>
      </c>
      <c r="AK58" s="75">
        <v>1.4566663056975848E-2</v>
      </c>
      <c r="AL58" s="75">
        <v>-9.5531605983772083E-2</v>
      </c>
      <c r="AM58" s="75">
        <v>-6.1144380569660484E-2</v>
      </c>
      <c r="AN58" s="75">
        <v>-1.7435091817717352E-2</v>
      </c>
      <c r="AO58" s="75">
        <v>-1.304031028705277E-2</v>
      </c>
      <c r="AP58" s="75">
        <v>6.8971694411151419E-2</v>
      </c>
      <c r="AQ58" s="75">
        <v>-3.7788797249683537E-2</v>
      </c>
      <c r="AR58" s="75">
        <v>0.11740256627598816</v>
      </c>
      <c r="AS58" s="75">
        <v>4.8027699180411609E-2</v>
      </c>
      <c r="AT58" s="75">
        <v>3.0054084007388848E-2</v>
      </c>
      <c r="AU58" s="75">
        <v>9.0129805805041152E-2</v>
      </c>
      <c r="AV58" s="75">
        <v>-4.1933682025781516E-2</v>
      </c>
      <c r="AW58" s="75">
        <v>1.5097998866036022E-3</v>
      </c>
      <c r="AX58" s="75">
        <v>-1.0580089720101216E-2</v>
      </c>
      <c r="AY58" s="75">
        <v>2.1604517400423795E-2</v>
      </c>
      <c r="AZ58" s="75">
        <v>-9.6893799276542791E-2</v>
      </c>
      <c r="BA58" s="75">
        <v>-6.3223714978891676E-2</v>
      </c>
      <c r="BB58" s="75">
        <v>-0.12767488847414782</v>
      </c>
      <c r="BC58" s="75">
        <v>-4.7390854502171897E-2</v>
      </c>
      <c r="BD58" s="75">
        <v>-6.9292655108139312E-2</v>
      </c>
      <c r="BE58" s="75">
        <v>-3.1107028251578073E-2</v>
      </c>
      <c r="BF58" s="75">
        <v>-2.3553330620490698E-2</v>
      </c>
      <c r="BG58" s="75">
        <v>-4.0454466038386205E-2</v>
      </c>
      <c r="BH58" s="75">
        <v>-1.4770613822272072E-2</v>
      </c>
      <c r="BI58" s="75">
        <v>-3.1025008466118831E-2</v>
      </c>
      <c r="BJ58" s="75">
        <v>0.10233907746032006</v>
      </c>
      <c r="BK58" s="75">
        <v>5.4165051475552839E-2</v>
      </c>
      <c r="BL58" s="75">
        <v>-6.4141798887806134E-2</v>
      </c>
      <c r="BM58" s="75">
        <v>-1.8516056582398854E-3</v>
      </c>
      <c r="BN58" s="75">
        <v>3.3279620415230804E-2</v>
      </c>
      <c r="BO58" s="75">
        <v>-1.5876440679819526E-3</v>
      </c>
      <c r="BP58" s="75">
        <v>7.5814550290014437E-2</v>
      </c>
      <c r="BQ58" s="75">
        <v>6.0084564918660988E-3</v>
      </c>
      <c r="BR58" s="75">
        <v>-4.5492098978958007E-2</v>
      </c>
      <c r="BS58" s="75">
        <v>-2.0210024252204473E-2</v>
      </c>
      <c r="BT58" s="75">
        <v>8.857707473923182E-2</v>
      </c>
      <c r="BU58" s="75">
        <v>-5.7691078193179979E-3</v>
      </c>
      <c r="BV58" s="75">
        <v>0.11194771825114264</v>
      </c>
      <c r="BW58" s="75">
        <v>-3.6088797966382369E-2</v>
      </c>
      <c r="BX58" s="75">
        <v>0.10982526389704755</v>
      </c>
      <c r="BY58" s="75">
        <v>3.0900353246098744E-2</v>
      </c>
      <c r="BZ58" s="75">
        <v>0.100472303861463</v>
      </c>
      <c r="CA58" s="75">
        <v>6.107512462325787E-2</v>
      </c>
      <c r="CB58" s="75">
        <v>1.3214420011035566E-2</v>
      </c>
      <c r="CC58" s="75">
        <v>2.1236309759301464E-2</v>
      </c>
      <c r="CD58" s="75">
        <v>3.8258760271129066E-2</v>
      </c>
      <c r="CE58" s="75">
        <v>3.8282550773767632E-2</v>
      </c>
      <c r="CF58" s="75">
        <v>6.8462539254049992E-3</v>
      </c>
      <c r="CG58" s="75">
        <v>-3.8950030612040554E-2</v>
      </c>
      <c r="CH58" s="75">
        <v>3.9309908530352322E-2</v>
      </c>
      <c r="CI58" s="75">
        <v>1.8116725538382228E-2</v>
      </c>
      <c r="CJ58" s="75">
        <v>-1.1184308317017444E-2</v>
      </c>
      <c r="CK58" s="75">
        <v>1.7041523351220222E-2</v>
      </c>
      <c r="CL58" s="75">
        <v>-3.0471485183407754E-2</v>
      </c>
      <c r="CM58" s="75">
        <v>-3.4944362682942154E-2</v>
      </c>
      <c r="CN58" s="75">
        <v>-1.8223925500621241E-2</v>
      </c>
      <c r="CO58" s="75">
        <v>-1.7777717936503457E-2</v>
      </c>
      <c r="CP58" s="75">
        <v>-9.1129902555628195E-2</v>
      </c>
      <c r="CQ58" s="75">
        <v>1.254897790570586E-2</v>
      </c>
      <c r="CR58" s="75">
        <v>-3.7123809162430244E-2</v>
      </c>
      <c r="CS58" s="75">
        <v>-4.6658832910269399E-2</v>
      </c>
      <c r="CT58" s="75">
        <v>8.76549170408914E-2</v>
      </c>
      <c r="CU58" s="75">
        <v>0.10070954780634245</v>
      </c>
      <c r="CV58" s="75">
        <v>0.14073650284441741</v>
      </c>
      <c r="CW58" s="75">
        <v>-6.9783618996991315E-2</v>
      </c>
      <c r="CX58" s="75">
        <v>-4.9798644969774597E-2</v>
      </c>
      <c r="CY58" s="75">
        <v>-4.5630330106726125E-2</v>
      </c>
      <c r="CZ58" s="75">
        <v>9.0553279444553714E-2</v>
      </c>
      <c r="DA58" s="75">
        <v>6.8001683181735384E-3</v>
      </c>
      <c r="DB58" s="75">
        <v>6.3002465957249731E-2</v>
      </c>
      <c r="DC58" s="75">
        <v>3.0461885357104812E-3</v>
      </c>
      <c r="DD58" s="75">
        <v>-1.2116346571717673E-2</v>
      </c>
      <c r="DE58" s="75">
        <v>1.1952420541433306E-2</v>
      </c>
      <c r="DF58" s="75">
        <v>-3.8141957966913831E-2</v>
      </c>
      <c r="DG58" s="75">
        <v>-7.2050595373024606E-2</v>
      </c>
      <c r="DH58" s="75">
        <v>-2.4824083527712593E-2</v>
      </c>
      <c r="DI58" s="75">
        <v>8.120739479703043E-3</v>
      </c>
      <c r="DJ58" s="75">
        <v>-6.798299512461925E-2</v>
      </c>
      <c r="DK58" s="75">
        <v>-7.2613398896731463E-3</v>
      </c>
      <c r="DL58" s="75">
        <v>0.11014394772726532</v>
      </c>
      <c r="DM58" s="75">
        <v>3.8494661661809704E-2</v>
      </c>
      <c r="DN58" s="75">
        <v>3.6473803188245224E-2</v>
      </c>
      <c r="DO58" s="75">
        <v>1.2240620810006209E-2</v>
      </c>
      <c r="DP58" s="75">
        <v>0.11331856886703046</v>
      </c>
      <c r="DQ58" s="75">
        <v>8.3343523133989184E-2</v>
      </c>
      <c r="DR58" s="75">
        <v>-3.9429847632976855E-4</v>
      </c>
      <c r="DS58" s="75">
        <v>2.3738237948982832E-2</v>
      </c>
      <c r="DT58" s="75">
        <v>-6.4038550410452477E-2</v>
      </c>
      <c r="DU58" s="75">
        <v>0.11381176571379981</v>
      </c>
      <c r="DV58" s="75">
        <v>2.7328370054767737E-2</v>
      </c>
      <c r="DW58" s="75">
        <v>-8.7509575693870412E-2</v>
      </c>
      <c r="DX58" s="75">
        <v>-1.8221374675420177E-2</v>
      </c>
      <c r="DY58" s="75">
        <v>5.1012476546347219E-2</v>
      </c>
      <c r="DZ58" s="75">
        <v>1.1506140510305241E-2</v>
      </c>
      <c r="EA58" s="75">
        <v>6.0571543666194883E-2</v>
      </c>
      <c r="EB58" s="75">
        <v>6.4551347774215229E-2</v>
      </c>
      <c r="EC58" s="75">
        <v>-3.1113137063139895E-2</v>
      </c>
      <c r="ED58" s="75">
        <v>-5.4724209969301274E-2</v>
      </c>
      <c r="EE58" s="75">
        <v>6.3860233286113455E-2</v>
      </c>
      <c r="EF58" s="75">
        <v>3.3978856899698706E-2</v>
      </c>
      <c r="EG58" s="75">
        <v>6.5716070934467852E-3</v>
      </c>
      <c r="EH58" s="75">
        <v>-3.2065119781582607E-2</v>
      </c>
      <c r="EI58" s="75">
        <v>8.4782004191105875E-2</v>
      </c>
      <c r="EJ58" s="75">
        <v>2.9850620814299844E-2</v>
      </c>
      <c r="EK58" s="75">
        <v>1.9369126366895029E-2</v>
      </c>
      <c r="EL58" s="75">
        <v>8.7479350819443136E-2</v>
      </c>
      <c r="EM58" s="75">
        <v>1.9071218638067378E-2</v>
      </c>
      <c r="EN58" s="75">
        <v>-1.0800250561643132E-2</v>
      </c>
      <c r="EO58" s="75">
        <v>-2.2964020598329193E-2</v>
      </c>
      <c r="EP58" s="75">
        <v>-5.1063992347347764E-2</v>
      </c>
      <c r="EQ58" s="75">
        <v>2.5800394572186303E-2</v>
      </c>
      <c r="ER58" s="75">
        <v>-8.908136615379314E-3</v>
      </c>
      <c r="ES58" s="75">
        <v>6.6050873003715649E-2</v>
      </c>
      <c r="ET58" s="75">
        <v>6.7175684757443899E-2</v>
      </c>
      <c r="EU58" s="75">
        <v>-6.2110681487305863E-2</v>
      </c>
      <c r="EV58" s="75">
        <v>-1.7359390837628941E-2</v>
      </c>
      <c r="EW58" s="75">
        <v>-5.4501066715363256E-2</v>
      </c>
      <c r="EX58" s="75">
        <v>8.2900488437424147E-2</v>
      </c>
      <c r="EY58" s="75">
        <v>-7.1234372902764131E-2</v>
      </c>
      <c r="EZ58" s="75">
        <v>2.6461302032992906E-4</v>
      </c>
      <c r="FA58" s="75">
        <v>8.2648590503276553E-2</v>
      </c>
      <c r="FB58" s="75">
        <v>-5.1106993721436678E-2</v>
      </c>
      <c r="FC58" s="75">
        <v>-1.8832464474976718E-2</v>
      </c>
      <c r="FD58" s="75">
        <v>2.8291990492520847E-2</v>
      </c>
      <c r="FE58" s="75">
        <v>-3.8141380954074267E-2</v>
      </c>
      <c r="FF58" s="75">
        <v>-2.3969763387120147E-2</v>
      </c>
      <c r="FG58" s="75">
        <v>1.3010531760243527E-2</v>
      </c>
      <c r="FH58" s="75">
        <v>3.7702015075925244E-2</v>
      </c>
      <c r="FI58" s="75">
        <v>-1.4624716499470836E-2</v>
      </c>
      <c r="FJ58" s="75">
        <v>3.7620786816838281E-2</v>
      </c>
      <c r="FK58" s="75">
        <v>5.5336435495054015E-2</v>
      </c>
      <c r="FL58" s="75">
        <v>-1.4061190185909456E-2</v>
      </c>
      <c r="FM58" s="75">
        <v>-4.0991607574221822E-2</v>
      </c>
      <c r="FN58" s="75">
        <v>-1.030730666543378E-2</v>
      </c>
      <c r="FO58" s="75">
        <v>-5.3127624107010385E-2</v>
      </c>
      <c r="FP58" s="75">
        <v>2.5927381481732292E-2</v>
      </c>
      <c r="FQ58" s="75">
        <v>-5.9879065233856443E-2</v>
      </c>
      <c r="FR58" s="75">
        <v>4.700059257973993E-2</v>
      </c>
      <c r="FS58" s="75">
        <v>2.3922711010279096E-3</v>
      </c>
      <c r="FT58" s="75">
        <v>-4.445768155142571E-2</v>
      </c>
      <c r="FU58" s="75">
        <v>-4.2002500100739193E-2</v>
      </c>
      <c r="FV58" s="75">
        <v>-5.1384349082745362E-3</v>
      </c>
      <c r="FW58" s="75">
        <v>-2.5789087758105733E-3</v>
      </c>
      <c r="FX58" s="75">
        <v>-3.5331361480192669E-2</v>
      </c>
      <c r="FY58" s="75">
        <v>9.7132902469432292E-4</v>
      </c>
      <c r="FZ58" s="75">
        <v>-1.9738701462781783E-2</v>
      </c>
      <c r="GA58" s="75">
        <v>-7.4734175836342176E-2</v>
      </c>
      <c r="GB58" s="75">
        <v>-3.4463821661961602E-2</v>
      </c>
      <c r="GC58" s="75">
        <v>5.7093386652915468E-2</v>
      </c>
      <c r="GD58" s="75">
        <v>5.6522415684706784E-2</v>
      </c>
      <c r="GE58" s="75">
        <v>-8.8202683269408277E-3</v>
      </c>
      <c r="GF58" s="75">
        <v>4.7029700608058778E-2</v>
      </c>
      <c r="GG58" s="75">
        <v>2.6858708732882541E-2</v>
      </c>
      <c r="GH58" s="75">
        <v>3.609576539119097E-2</v>
      </c>
      <c r="GI58" s="75">
        <v>9.9480504434699468E-2</v>
      </c>
      <c r="GJ58" s="75">
        <v>-4.2888520972469812E-2</v>
      </c>
      <c r="GK58" s="75">
        <v>2.6605161127959853E-2</v>
      </c>
      <c r="GL58" s="75">
        <v>4.2754830978565139E-2</v>
      </c>
      <c r="GM58" s="75">
        <v>-2.433016621191364E-2</v>
      </c>
      <c r="GN58" s="75">
        <v>8.3930495093040847E-2</v>
      </c>
      <c r="GO58" s="75">
        <v>3.0320727937315162E-2</v>
      </c>
      <c r="GP58" s="75">
        <v>7.0478144946547472E-2</v>
      </c>
      <c r="GQ58" s="75">
        <v>6.3098221710083113E-2</v>
      </c>
      <c r="GR58" s="75">
        <v>2.9772527518961645E-2</v>
      </c>
      <c r="GS58" s="75">
        <v>-2.1126008786461759E-2</v>
      </c>
      <c r="GT58" s="75">
        <v>4.2943437732547052E-2</v>
      </c>
      <c r="GU58" s="75">
        <v>2.452313432542863E-2</v>
      </c>
      <c r="GV58" s="75">
        <v>4.9358516980604561E-2</v>
      </c>
      <c r="GW58" s="75">
        <v>-6.4579897823926535E-2</v>
      </c>
      <c r="GX58" s="75">
        <v>4.0671555461641418E-2</v>
      </c>
      <c r="GY58" s="75">
        <v>3.6705229267447292E-2</v>
      </c>
      <c r="GZ58" s="75">
        <v>-5.081086911259608E-2</v>
      </c>
      <c r="HA58" s="75">
        <v>-4.2062514969138765E-2</v>
      </c>
      <c r="HB58" s="75">
        <v>5.1896851365624275E-2</v>
      </c>
      <c r="HC58" s="75">
        <v>-0.15059812894195473</v>
      </c>
      <c r="HD58" s="75">
        <v>-8.5474425269661536E-3</v>
      </c>
      <c r="HE58" s="75">
        <v>-1.980856066578851E-2</v>
      </c>
      <c r="HF58" s="75">
        <v>-3.3235839111066146E-2</v>
      </c>
      <c r="HG58" s="75">
        <v>-3.7729838319107034E-2</v>
      </c>
      <c r="HH58" s="75">
        <v>-9.7260437708712177E-2</v>
      </c>
      <c r="HI58" s="75">
        <v>1.981125380843185E-2</v>
      </c>
      <c r="HJ58" s="75">
        <v>-2.142122924809331E-2</v>
      </c>
      <c r="HK58" s="75">
        <v>2.6616467234387708E-2</v>
      </c>
      <c r="HL58" s="75">
        <v>4.9002663864498974E-2</v>
      </c>
      <c r="HM58" s="75">
        <v>0.10878246034304107</v>
      </c>
      <c r="HN58" s="75">
        <v>1.2272161503488532E-2</v>
      </c>
      <c r="HO58" s="75">
        <v>-8.8215504187574345E-2</v>
      </c>
      <c r="HP58" s="75">
        <v>6.5354497706558434E-2</v>
      </c>
      <c r="HQ58" s="75">
        <v>4.7596201217810163E-2</v>
      </c>
      <c r="HR58" s="75">
        <v>-2.0752572771399191E-2</v>
      </c>
      <c r="HS58" s="75">
        <v>1.7483675846538871E-2</v>
      </c>
      <c r="HT58" s="75">
        <v>1.6662172578251921E-2</v>
      </c>
      <c r="HU58" s="75">
        <v>0.12889070842272365</v>
      </c>
      <c r="HV58" s="75">
        <v>2.5041318375476074E-3</v>
      </c>
      <c r="HW58" s="75">
        <v>3.0212121697441585E-3</v>
      </c>
      <c r="HX58" s="75">
        <v>9.0549048719277436E-2</v>
      </c>
      <c r="HY58" s="75">
        <v>-7.2154969984115858E-2</v>
      </c>
      <c r="HZ58" s="75">
        <v>9.4702214400311124E-2</v>
      </c>
      <c r="IA58" s="75">
        <v>-4.098451361919303E-2</v>
      </c>
      <c r="IB58" s="75">
        <v>3.881289729965065E-2</v>
      </c>
      <c r="IC58" s="75">
        <v>1.2692341082257919E-2</v>
      </c>
      <c r="ID58" s="75">
        <v>3.4922221477452775E-2</v>
      </c>
      <c r="IE58" s="75">
        <v>1.2820915186586956E-2</v>
      </c>
      <c r="IF58" s="75">
        <v>-4.4839726469993457E-2</v>
      </c>
      <c r="IG58" s="75">
        <v>6.6716711099644055E-2</v>
      </c>
      <c r="IH58" s="75">
        <v>-1.3962977626879813E-2</v>
      </c>
      <c r="II58" s="75">
        <v>-4.1482205435055097E-2</v>
      </c>
      <c r="IJ58" s="75">
        <v>-7.9638402079246051E-2</v>
      </c>
      <c r="IK58" s="75">
        <v>9.2031522054861037E-2</v>
      </c>
      <c r="IL58" s="75">
        <v>-6.8708558435737477E-2</v>
      </c>
      <c r="IM58" s="75">
        <v>-3.1001418778185519E-2</v>
      </c>
      <c r="IN58" s="75">
        <v>6.7966507093551398E-2</v>
      </c>
      <c r="IO58" s="75">
        <v>-2.1057736892148071E-2</v>
      </c>
      <c r="IP58" s="75">
        <v>5.1885689510237865E-2</v>
      </c>
      <c r="IQ58" s="75">
        <v>-1.4093527875655709E-2</v>
      </c>
      <c r="IR58" s="75">
        <v>-4.9803006506105973E-2</v>
      </c>
      <c r="IS58" s="75">
        <v>-6.1868075589840255E-2</v>
      </c>
      <c r="IT58" s="75">
        <v>4.0682256867539124E-3</v>
      </c>
      <c r="IU58" s="75">
        <v>-1.5350311144754325E-2</v>
      </c>
    </row>
    <row r="59" spans="1:255" s="74" customFormat="1" ht="14.5" x14ac:dyDescent="0.35">
      <c r="A59" s="73"/>
      <c r="B59" s="78">
        <v>1.5</v>
      </c>
      <c r="C59" s="77">
        <f t="shared" si="43"/>
        <v>2.2365158507241984E-2</v>
      </c>
      <c r="D59" s="76">
        <f t="shared" si="44"/>
        <v>6.917714513573453E-2</v>
      </c>
      <c r="E59" s="75">
        <v>-5.660037750601471E-2</v>
      </c>
      <c r="F59" s="75">
        <v>2.3423316080509571E-2</v>
      </c>
      <c r="G59" s="75">
        <v>0.14263438517667204</v>
      </c>
      <c r="H59" s="75">
        <v>-8.0947533763666701E-3</v>
      </c>
      <c r="I59" s="75">
        <v>5.660355668970285E-2</v>
      </c>
      <c r="J59" s="75">
        <v>-9.4074769874158137E-2</v>
      </c>
      <c r="K59" s="75">
        <v>-1.1262626377923635E-2</v>
      </c>
      <c r="L59" s="75">
        <v>-5.0048968230333446E-3</v>
      </c>
      <c r="M59" s="75">
        <v>4.7687904324429875E-2</v>
      </c>
      <c r="N59" s="75">
        <v>0.10809966100225971</v>
      </c>
      <c r="O59" s="75">
        <v>7.1518508493563115E-2</v>
      </c>
      <c r="P59" s="75">
        <v>2.4727068715681033E-2</v>
      </c>
      <c r="Q59" s="75">
        <v>-8.6351164659961288E-2</v>
      </c>
      <c r="R59" s="75">
        <v>-2.7103550742184623E-2</v>
      </c>
      <c r="S59" s="75">
        <v>-6.459219498180474E-2</v>
      </c>
      <c r="T59" s="75">
        <v>-7.7358555424807407E-2</v>
      </c>
      <c r="U59" s="75">
        <v>-1.4551173125419703E-2</v>
      </c>
      <c r="V59" s="75">
        <v>6.7589121778105499E-3</v>
      </c>
      <c r="W59" s="75">
        <v>1.9099369689068502E-2</v>
      </c>
      <c r="X59" s="75">
        <v>-5.3071413460843764E-2</v>
      </c>
      <c r="Y59" s="75">
        <v>-1.4577270023619415E-2</v>
      </c>
      <c r="Z59" s="75">
        <v>6.0432823950470338E-2</v>
      </c>
      <c r="AA59" s="75">
        <v>1.0914517941473911E-2</v>
      </c>
      <c r="AB59" s="75">
        <v>3.6850045731748216E-2</v>
      </c>
      <c r="AC59" s="75">
        <v>-8.33365740112747E-2</v>
      </c>
      <c r="AD59" s="75">
        <v>7.5507865555708431E-3</v>
      </c>
      <c r="AE59" s="75">
        <v>-5.7855589328216717E-2</v>
      </c>
      <c r="AF59" s="75">
        <v>-8.1765238499036941E-2</v>
      </c>
      <c r="AG59" s="75">
        <v>-0.14453640794778333</v>
      </c>
      <c r="AH59" s="75">
        <v>2.1849041785728385E-2</v>
      </c>
      <c r="AI59" s="75">
        <v>-4.4000606497848982E-2</v>
      </c>
      <c r="AJ59" s="75">
        <v>1.3405279189440289E-2</v>
      </c>
      <c r="AK59" s="75">
        <v>2.9579473371704523E-2</v>
      </c>
      <c r="AL59" s="75">
        <v>-4.9277240810156053E-2</v>
      </c>
      <c r="AM59" s="75">
        <v>-9.6197862036004667E-2</v>
      </c>
      <c r="AN59" s="75">
        <v>6.7999342881520652E-3</v>
      </c>
      <c r="AO59" s="75">
        <v>-2.9639900298899624E-2</v>
      </c>
      <c r="AP59" s="75">
        <v>6.5224311934249934E-2</v>
      </c>
      <c r="AQ59" s="75">
        <v>-5.5096511205457332E-2</v>
      </c>
      <c r="AR59" s="75">
        <v>8.5682003407971774E-2</v>
      </c>
      <c r="AS59" s="75">
        <v>9.4785558038170847E-2</v>
      </c>
      <c r="AT59" s="75">
        <v>7.9398280315400027E-2</v>
      </c>
      <c r="AU59" s="75">
        <v>5.1460447434494017E-2</v>
      </c>
      <c r="AV59" s="75">
        <v>-4.539937156185414E-2</v>
      </c>
      <c r="AW59" s="75">
        <v>1.1483614044679902E-2</v>
      </c>
      <c r="AX59" s="75">
        <v>1.9919260585363252E-2</v>
      </c>
      <c r="AY59" s="75">
        <v>8.5541548991801553E-3</v>
      </c>
      <c r="AZ59" s="75">
        <v>-7.0893250540470243E-2</v>
      </c>
      <c r="BA59" s="75">
        <v>-6.739823147586671E-2</v>
      </c>
      <c r="BB59" s="75">
        <v>-0.1640227067196981</v>
      </c>
      <c r="BC59" s="75">
        <v>-5.6896962807331086E-2</v>
      </c>
      <c r="BD59" s="75">
        <v>-7.3391325813254082E-2</v>
      </c>
      <c r="BE59" s="75">
        <v>-5.4314599645655937E-2</v>
      </c>
      <c r="BF59" s="75">
        <v>-7.9357893571345706E-3</v>
      </c>
      <c r="BG59" s="75">
        <v>-8.1716515931479827E-2</v>
      </c>
      <c r="BH59" s="75">
        <v>1.4157350005191471E-2</v>
      </c>
      <c r="BI59" s="75">
        <v>-3.4335369127962978E-2</v>
      </c>
      <c r="BJ59" s="75">
        <v>7.6236530257519142E-2</v>
      </c>
      <c r="BK59" s="75">
        <v>4.6452802562257756E-2</v>
      </c>
      <c r="BL59" s="75">
        <v>-7.1288388623613363E-2</v>
      </c>
      <c r="BM59" s="75">
        <v>2.5010587389284245E-2</v>
      </c>
      <c r="BN59" s="75">
        <v>3.7148943231169296E-2</v>
      </c>
      <c r="BO59" s="75">
        <v>-2.9965769561511257E-2</v>
      </c>
      <c r="BP59" s="75">
        <v>6.3391382306912714E-2</v>
      </c>
      <c r="BQ59" s="75">
        <v>-2.6077433328705046E-3</v>
      </c>
      <c r="BR59" s="75">
        <v>-6.4852067180562356E-2</v>
      </c>
      <c r="BS59" s="75">
        <v>-2.2838534695145074E-2</v>
      </c>
      <c r="BT59" s="75">
        <v>0.10675950448699861</v>
      </c>
      <c r="BU59" s="75">
        <v>-7.0789914643678009E-3</v>
      </c>
      <c r="BV59" s="75">
        <v>0.1136362341341155</v>
      </c>
      <c r="BW59" s="75">
        <v>-4.6839657606660368E-2</v>
      </c>
      <c r="BX59" s="75">
        <v>0.10999253062940351</v>
      </c>
      <c r="BY59" s="75">
        <v>2.1645575975963116E-2</v>
      </c>
      <c r="BZ59" s="75">
        <v>7.094561658952403E-2</v>
      </c>
      <c r="CA59" s="75">
        <v>7.2707731396799202E-2</v>
      </c>
      <c r="CB59" s="75">
        <v>-2.3760442965112982E-2</v>
      </c>
      <c r="CC59" s="75">
        <v>1.703623251006231E-2</v>
      </c>
      <c r="CD59" s="75">
        <v>1.3516088518729319E-2</v>
      </c>
      <c r="CE59" s="75">
        <v>5.7233969605712309E-2</v>
      </c>
      <c r="CF59" s="75">
        <v>-1.227653723715294E-2</v>
      </c>
      <c r="CG59" s="75">
        <v>-1.9448691523114348E-2</v>
      </c>
      <c r="CH59" s="75">
        <v>2.5848085176578217E-2</v>
      </c>
      <c r="CI59" s="75">
        <v>6.7929121445038931E-3</v>
      </c>
      <c r="CJ59" s="75">
        <v>-5.6123222502306613E-2</v>
      </c>
      <c r="CK59" s="75">
        <v>9.0696798375025645E-3</v>
      </c>
      <c r="CL59" s="75">
        <v>-2.1311055904093101E-2</v>
      </c>
      <c r="CM59" s="75">
        <v>-1.6423535947457879E-2</v>
      </c>
      <c r="CN59" s="75">
        <v>2.199240684010495E-2</v>
      </c>
      <c r="CO59" s="75">
        <v>-2.6841299593813928E-2</v>
      </c>
      <c r="CP59" s="75">
        <v>-8.1050885849922594E-2</v>
      </c>
      <c r="CQ59" s="75">
        <v>4.5441914793748595E-2</v>
      </c>
      <c r="CR59" s="75">
        <v>-7.940825032676524E-2</v>
      </c>
      <c r="CS59" s="75">
        <v>-4.7940448305293093E-2</v>
      </c>
      <c r="CT59" s="75">
        <v>6.439957974780286E-2</v>
      </c>
      <c r="CU59" s="75">
        <v>0.10131931270798578</v>
      </c>
      <c r="CV59" s="75">
        <v>0.18585383545677464</v>
      </c>
      <c r="CW59" s="75">
        <v>-6.803457125187512E-2</v>
      </c>
      <c r="CX59" s="75">
        <v>-1.9287204952571912E-2</v>
      </c>
      <c r="CY59" s="75">
        <v>-7.9268481823458248E-2</v>
      </c>
      <c r="CZ59" s="75">
        <v>7.4804654568396134E-2</v>
      </c>
      <c r="DA59" s="75">
        <v>-6.751884513741313E-2</v>
      </c>
      <c r="DB59" s="75">
        <v>3.9550526038557465E-2</v>
      </c>
      <c r="DC59" s="75">
        <v>2.5946982933797602E-2</v>
      </c>
      <c r="DD59" s="75">
        <v>-6.7288238417325341E-2</v>
      </c>
      <c r="DE59" s="75">
        <v>-2.7400956106196528E-2</v>
      </c>
      <c r="DF59" s="75">
        <v>-5.9728051778531688E-2</v>
      </c>
      <c r="DG59" s="75">
        <v>-2.5860551734928794E-2</v>
      </c>
      <c r="DH59" s="75">
        <v>4.9909791704581541E-3</v>
      </c>
      <c r="DI59" s="75">
        <v>3.7434004704686163E-3</v>
      </c>
      <c r="DJ59" s="75">
        <v>-1.3315140759594002E-2</v>
      </c>
      <c r="DK59" s="75">
        <v>-3.5764704732200725E-3</v>
      </c>
      <c r="DL59" s="75">
        <v>0.12330907619153492</v>
      </c>
      <c r="DM59" s="75">
        <v>5.2209058267786546E-2</v>
      </c>
      <c r="DN59" s="75">
        <v>-5.1215110995362911E-2</v>
      </c>
      <c r="DO59" s="75">
        <v>3.8438315629978625E-2</v>
      </c>
      <c r="DP59" s="75">
        <v>-3.5295108016519861E-2</v>
      </c>
      <c r="DQ59" s="75">
        <v>-2.9546993933429799E-2</v>
      </c>
      <c r="DR59" s="75">
        <v>-6.1860061656649312E-2</v>
      </c>
      <c r="DS59" s="75">
        <v>-7.4853570173551598E-2</v>
      </c>
      <c r="DT59" s="75">
        <v>-7.4254875923923103E-3</v>
      </c>
      <c r="DU59" s="75">
        <v>-1.8191922217844825E-2</v>
      </c>
      <c r="DV59" s="75">
        <v>-7.7659869763953671E-2</v>
      </c>
      <c r="DW59" s="75">
        <v>-5.6489049686297865E-2</v>
      </c>
      <c r="DX59" s="75">
        <v>5.5606080956560833E-2</v>
      </c>
      <c r="DY59" s="75">
        <v>5.1637338809718714E-2</v>
      </c>
      <c r="DZ59" s="75">
        <v>6.760857217885663E-5</v>
      </c>
      <c r="EA59" s="75">
        <v>2.5146742872911743E-2</v>
      </c>
      <c r="EB59" s="75">
        <v>1.6167319134696267E-2</v>
      </c>
      <c r="EC59" s="75">
        <v>-3.7314511395001415E-2</v>
      </c>
      <c r="ED59" s="75">
        <v>-7.920193811220716E-2</v>
      </c>
      <c r="EE59" s="75">
        <v>4.1984120218311771E-2</v>
      </c>
      <c r="EF59" s="75">
        <v>-1.3666949610808221E-2</v>
      </c>
      <c r="EG59" s="75">
        <v>-0.11236416263753296</v>
      </c>
      <c r="EH59" s="75">
        <v>-7.0929384956226471E-3</v>
      </c>
      <c r="EI59" s="75">
        <v>-2.9631871258190445E-2</v>
      </c>
      <c r="EJ59" s="75">
        <v>3.8369495204600756E-2</v>
      </c>
      <c r="EK59" s="75">
        <v>1.585329410638614E-2</v>
      </c>
      <c r="EL59" s="75">
        <v>6.917714513573453E-2</v>
      </c>
      <c r="EM59" s="75">
        <v>-3.9223351004114337E-2</v>
      </c>
      <c r="EN59" s="75">
        <v>-2.4357536019473658E-2</v>
      </c>
      <c r="EO59" s="75">
        <v>-8.1764611165662249E-2</v>
      </c>
      <c r="EP59" s="75">
        <v>5.2463160834295586E-2</v>
      </c>
      <c r="EQ59" s="75">
        <v>0.10359790716687955</v>
      </c>
      <c r="ER59" s="75">
        <v>8.3361790566825744E-2</v>
      </c>
      <c r="ES59" s="75">
        <v>2.8593284176761935E-2</v>
      </c>
      <c r="ET59" s="75">
        <v>-3.1728367386375245E-2</v>
      </c>
      <c r="EU59" s="75">
        <v>1.7808445327415323E-2</v>
      </c>
      <c r="EV59" s="75">
        <v>-2.7658273168283953E-2</v>
      </c>
      <c r="EW59" s="75">
        <v>1.2601208462090618E-2</v>
      </c>
      <c r="EX59" s="75">
        <v>-1.9242334905954894E-2</v>
      </c>
      <c r="EY59" s="75">
        <v>-3.9492005751831649E-2</v>
      </c>
      <c r="EZ59" s="75">
        <v>7.093967168748605E-3</v>
      </c>
      <c r="FA59" s="75">
        <v>-2.5221225178192808E-2</v>
      </c>
      <c r="FB59" s="75">
        <v>-4.7524542762246769E-2</v>
      </c>
      <c r="FC59" s="75">
        <v>-4.6906443696347944E-2</v>
      </c>
      <c r="FD59" s="75">
        <v>-9.0658578156729452E-2</v>
      </c>
      <c r="FE59" s="75">
        <v>5.7810897879594703E-2</v>
      </c>
      <c r="FF59" s="75">
        <v>2.3329297435773499E-2</v>
      </c>
      <c r="FG59" s="75">
        <v>-8.4974797206050501E-3</v>
      </c>
      <c r="FH59" s="75">
        <v>6.2041035664379685E-2</v>
      </c>
      <c r="FI59" s="75">
        <v>0.10358156799125612</v>
      </c>
      <c r="FJ59" s="75">
        <v>2.982415669874694E-2</v>
      </c>
      <c r="FK59" s="75">
        <v>4.4168043534730306E-2</v>
      </c>
      <c r="FL59" s="75">
        <v>-8.6597466836600412E-3</v>
      </c>
      <c r="FM59" s="75">
        <v>-4.932200630759831E-2</v>
      </c>
      <c r="FN59" s="75">
        <v>-2.8627617570251507E-2</v>
      </c>
      <c r="FO59" s="75">
        <v>-4.505803899151789E-2</v>
      </c>
      <c r="FP59" s="75">
        <v>8.4176515289975939E-3</v>
      </c>
      <c r="FQ59" s="75">
        <v>-4.9410997694106285E-2</v>
      </c>
      <c r="FR59" s="75">
        <v>5.9143637328789411E-2</v>
      </c>
      <c r="FS59" s="75">
        <v>1.3633264472400486E-2</v>
      </c>
      <c r="FT59" s="75">
        <v>-7.7287898355599793E-2</v>
      </c>
      <c r="FU59" s="75">
        <v>3.6948911107307469E-2</v>
      </c>
      <c r="FV59" s="75">
        <v>5.474629735325659E-2</v>
      </c>
      <c r="FW59" s="75">
        <v>2.7046612111798485E-2</v>
      </c>
      <c r="FX59" s="75">
        <v>-4.0244903097484075E-2</v>
      </c>
      <c r="FY59" s="75">
        <v>-6.7722469455180345E-3</v>
      </c>
      <c r="FZ59" s="75">
        <v>1.7346445846486702E-2</v>
      </c>
      <c r="GA59" s="75">
        <v>-8.6428735008026447E-2</v>
      </c>
      <c r="GB59" s="75">
        <v>-4.4396850678995625E-2</v>
      </c>
      <c r="GC59" s="75">
        <v>-5.7914026857540157E-2</v>
      </c>
      <c r="GD59" s="75">
        <v>0.13477030932267614</v>
      </c>
      <c r="GE59" s="75">
        <v>-2.7304104624158554E-2</v>
      </c>
      <c r="GF59" s="75">
        <v>9.1374273303629794E-2</v>
      </c>
      <c r="GG59" s="75">
        <v>4.9863689110746512E-2</v>
      </c>
      <c r="GH59" s="75">
        <v>-6.8131884520553132E-2</v>
      </c>
      <c r="GI59" s="75">
        <v>-8.1408007377755665E-3</v>
      </c>
      <c r="GJ59" s="75">
        <v>-4.0417089701079156E-3</v>
      </c>
      <c r="GK59" s="75">
        <v>-3.0275324811752657E-3</v>
      </c>
      <c r="GL59" s="75">
        <v>0.21092786885765097</v>
      </c>
      <c r="GM59" s="75">
        <v>0.10728387542142664</v>
      </c>
      <c r="GN59" s="75">
        <v>-8.3687251319325029E-2</v>
      </c>
      <c r="GO59" s="75">
        <v>-5.1738208554884368E-2</v>
      </c>
      <c r="GP59" s="75">
        <v>-2.0756348600807106E-2</v>
      </c>
      <c r="GQ59" s="75">
        <v>0.1014574880905077</v>
      </c>
      <c r="GR59" s="75">
        <v>3.8242636377146644E-2</v>
      </c>
      <c r="GS59" s="75">
        <v>-0.10642806539407701</v>
      </c>
      <c r="GT59" s="75">
        <v>4.1234268857640588E-2</v>
      </c>
      <c r="GU59" s="75">
        <v>-2.7949507020864239E-2</v>
      </c>
      <c r="GV59" s="75">
        <v>-8.4386335152320024E-2</v>
      </c>
      <c r="GW59" s="75">
        <v>-1.1890710605404198E-2</v>
      </c>
      <c r="GX59" s="75">
        <v>5.4928438657640022E-2</v>
      </c>
      <c r="GY59" s="75">
        <v>4.4382686182900033E-2</v>
      </c>
      <c r="GZ59" s="75">
        <v>-5.7321986723724017E-4</v>
      </c>
      <c r="HA59" s="75">
        <v>6.4933040316645263E-2</v>
      </c>
      <c r="HB59" s="75">
        <v>-2.4197419105207119E-2</v>
      </c>
      <c r="HC59" s="75">
        <v>-0.12292049893647194</v>
      </c>
      <c r="HD59" s="75">
        <v>3.0533642389523663E-2</v>
      </c>
      <c r="HE59" s="75">
        <v>4.8569119754375722E-2</v>
      </c>
      <c r="HF59" s="75">
        <v>6.992041553188777E-6</v>
      </c>
      <c r="HG59" s="75">
        <v>-9.4173826323351584E-3</v>
      </c>
      <c r="HH59" s="75">
        <v>1.5111159465356183E-2</v>
      </c>
      <c r="HI59" s="75">
        <v>-7.321501170296324E-2</v>
      </c>
      <c r="HJ59" s="75">
        <v>-1.8026807356988472E-2</v>
      </c>
      <c r="HK59" s="75">
        <v>1.9557186019009687E-2</v>
      </c>
      <c r="HL59" s="75">
        <v>-0.10822241421735057</v>
      </c>
      <c r="HM59" s="75">
        <v>-3.7060820157585161E-2</v>
      </c>
      <c r="HN59" s="75">
        <v>-4.2778819414349023E-2</v>
      </c>
      <c r="HO59" s="75">
        <v>-6.7508643173330107E-2</v>
      </c>
      <c r="HP59" s="75">
        <v>6.8325752078299384E-2</v>
      </c>
      <c r="HQ59" s="75">
        <v>3.2831342565847133E-2</v>
      </c>
      <c r="HR59" s="75">
        <v>2.2432513838080981E-3</v>
      </c>
      <c r="HS59" s="75">
        <v>5.6355892386089568E-2</v>
      </c>
      <c r="HT59" s="75">
        <v>4.6001917536137471E-2</v>
      </c>
      <c r="HU59" s="75">
        <v>2.0655387265468061E-2</v>
      </c>
      <c r="HV59" s="75">
        <v>1.8026982578010886E-2</v>
      </c>
      <c r="HW59" s="75">
        <v>-4.2274413363458829E-2</v>
      </c>
      <c r="HX59" s="75">
        <v>-7.2343313055981739E-2</v>
      </c>
      <c r="HY59" s="75">
        <v>-5.4770947663496106E-3</v>
      </c>
      <c r="HZ59" s="75">
        <v>4.5940574196376593E-2</v>
      </c>
      <c r="IA59" s="75">
        <v>-5.8135258216749697E-2</v>
      </c>
      <c r="IB59" s="75">
        <v>-2.8278738346040944E-2</v>
      </c>
      <c r="IC59" s="75">
        <v>3.7161794396707248E-2</v>
      </c>
      <c r="ID59" s="75">
        <v>-2.453486669015692E-2</v>
      </c>
      <c r="IE59" s="75">
        <v>-7.4457820771709815E-2</v>
      </c>
      <c r="IF59" s="75">
        <v>6.0179034722280811E-3</v>
      </c>
      <c r="IG59" s="75">
        <v>8.4611139323140461E-2</v>
      </c>
      <c r="IH59" s="75">
        <v>-8.4813251584996974E-2</v>
      </c>
      <c r="II59" s="75">
        <v>-8.6155883521606969E-3</v>
      </c>
      <c r="IJ59" s="75">
        <v>2.2362968117564275E-2</v>
      </c>
      <c r="IK59" s="75">
        <v>7.0067678061200511E-2</v>
      </c>
      <c r="IL59" s="75">
        <v>-2.8584141501986404E-2</v>
      </c>
      <c r="IM59" s="75">
        <v>-6.8031978554910832E-2</v>
      </c>
      <c r="IN59" s="75">
        <v>4.9757710357675455E-2</v>
      </c>
      <c r="IO59" s="75">
        <v>-4.6297407487545517E-3</v>
      </c>
      <c r="IP59" s="75">
        <v>-4.9587779356861095E-3</v>
      </c>
      <c r="IQ59" s="75">
        <v>4.6161915856759772E-2</v>
      </c>
      <c r="IR59" s="75">
        <v>-4.2353390979176953E-2</v>
      </c>
      <c r="IS59" s="75">
        <v>-4.2552774094134493E-3</v>
      </c>
      <c r="IT59" s="75">
        <v>-9.4496312075996736E-2</v>
      </c>
      <c r="IU59" s="75">
        <v>-3.8771061857876821E-2</v>
      </c>
    </row>
    <row r="60" spans="1:255" s="74" customFormat="1" ht="14.5" x14ac:dyDescent="0.35">
      <c r="A60" s="73"/>
      <c r="B60" s="78">
        <v>1.75</v>
      </c>
      <c r="C60" s="77">
        <f t="shared" si="43"/>
        <v>2.3548810668046361E-2</v>
      </c>
      <c r="D60" s="76">
        <f t="shared" si="44"/>
        <v>6.9304466833253808E-2</v>
      </c>
      <c r="E60" s="75">
        <v>-9.2293455768919341E-2</v>
      </c>
      <c r="F60" s="75">
        <v>2.373096847579681E-2</v>
      </c>
      <c r="G60" s="75">
        <v>0.12595039753773241</v>
      </c>
      <c r="H60" s="75">
        <v>-1.6306366020664598E-2</v>
      </c>
      <c r="I60" s="75">
        <v>4.0958831579978205E-2</v>
      </c>
      <c r="J60" s="75">
        <v>-0.10946518297230889</v>
      </c>
      <c r="K60" s="75">
        <v>-1.8284697420774154E-2</v>
      </c>
      <c r="L60" s="75">
        <v>1.4154421663180317E-2</v>
      </c>
      <c r="M60" s="75">
        <v>8.230482321248983E-2</v>
      </c>
      <c r="N60" s="75">
        <v>9.6286612783449355E-2</v>
      </c>
      <c r="O60" s="75">
        <v>8.1873700096381063E-2</v>
      </c>
      <c r="P60" s="75">
        <v>1.2369415346504709E-2</v>
      </c>
      <c r="Q60" s="75">
        <v>-8.3170496311518294E-2</v>
      </c>
      <c r="R60" s="75">
        <v>8.9640008110821734E-3</v>
      </c>
      <c r="S60" s="75">
        <v>-4.3598268767124859E-2</v>
      </c>
      <c r="T60" s="75">
        <v>-8.910325670435193E-2</v>
      </c>
      <c r="U60" s="75">
        <v>1.4194094716032946E-3</v>
      </c>
      <c r="V60" s="75">
        <v>3.4923932555437687E-2</v>
      </c>
      <c r="W60" s="75">
        <v>4.1154521504420172E-2</v>
      </c>
      <c r="X60" s="75">
        <v>-2.7803106183326765E-2</v>
      </c>
      <c r="Y60" s="75">
        <v>-3.4666322054491272E-3</v>
      </c>
      <c r="Z60" s="75">
        <v>4.1017344528509192E-2</v>
      </c>
      <c r="AA60" s="75">
        <v>3.7832987769099158E-3</v>
      </c>
      <c r="AB60" s="75">
        <v>4.8706633647404407E-2</v>
      </c>
      <c r="AC60" s="75">
        <v>-6.3193364547438458E-2</v>
      </c>
      <c r="AD60" s="75">
        <v>-6.3752157208215032E-3</v>
      </c>
      <c r="AE60" s="75">
        <v>-7.5960391979696951E-2</v>
      </c>
      <c r="AF60" s="75">
        <v>-9.9570368323586789E-2</v>
      </c>
      <c r="AG60" s="75">
        <v>-0.13677771887769652</v>
      </c>
      <c r="AH60" s="75">
        <v>-1.1188175534809053E-2</v>
      </c>
      <c r="AI60" s="75">
        <v>-1.5492928516917026E-2</v>
      </c>
      <c r="AJ60" s="75">
        <v>5.5715758370432078E-3</v>
      </c>
      <c r="AK60" s="75">
        <v>1.4266221652841582E-2</v>
      </c>
      <c r="AL60" s="75">
        <v>-5.168304333031154E-2</v>
      </c>
      <c r="AM60" s="75">
        <v>-7.8159938433550014E-2</v>
      </c>
      <c r="AN60" s="75">
        <v>4.9837175229801578E-3</v>
      </c>
      <c r="AO60" s="75">
        <v>-2.459356415742725E-2</v>
      </c>
      <c r="AP60" s="75">
        <v>0.10688138940698882</v>
      </c>
      <c r="AQ60" s="75">
        <v>-3.9089311019463835E-2</v>
      </c>
      <c r="AR60" s="75">
        <v>0.10763878417390171</v>
      </c>
      <c r="AS60" s="75">
        <v>0.12750472827687492</v>
      </c>
      <c r="AT60" s="75">
        <v>8.053128643442431E-2</v>
      </c>
      <c r="AU60" s="75">
        <v>3.8333731262719106E-2</v>
      </c>
      <c r="AV60" s="75">
        <v>-7.3056557960421098E-2</v>
      </c>
      <c r="AW60" s="75">
        <v>-4.4168431749215753E-2</v>
      </c>
      <c r="AX60" s="75">
        <v>2.8160795819345885E-2</v>
      </c>
      <c r="AY60" s="75">
        <v>4.663338903076697E-2</v>
      </c>
      <c r="AZ60" s="75">
        <v>-2.0230946261196203E-2</v>
      </c>
      <c r="BA60" s="75">
        <v>-6.2269728362341514E-2</v>
      </c>
      <c r="BB60" s="75">
        <v>-0.12142519722731154</v>
      </c>
      <c r="BC60" s="75">
        <v>-4.1852858664636228E-2</v>
      </c>
      <c r="BD60" s="75">
        <v>-9.1900877603865117E-2</v>
      </c>
      <c r="BE60" s="75">
        <v>-4.5805751101123837E-2</v>
      </c>
      <c r="BF60" s="75">
        <v>4.0769486067574467E-3</v>
      </c>
      <c r="BG60" s="75">
        <v>-6.9949797678400705E-2</v>
      </c>
      <c r="BH60" s="75">
        <v>-1.3981221387686593E-2</v>
      </c>
      <c r="BI60" s="75">
        <v>-2.891222869090726E-2</v>
      </c>
      <c r="BJ60" s="75">
        <v>2.5054215067946306E-2</v>
      </c>
      <c r="BK60" s="75">
        <v>4.3094440290379954E-2</v>
      </c>
      <c r="BL60" s="75">
        <v>-5.7022571674170575E-2</v>
      </c>
      <c r="BM60" s="75">
        <v>3.8923259436374646E-2</v>
      </c>
      <c r="BN60" s="75">
        <v>3.9194057239681168E-2</v>
      </c>
      <c r="BO60" s="75">
        <v>-4.2515481416564638E-2</v>
      </c>
      <c r="BP60" s="75">
        <v>9.2133441153655737E-2</v>
      </c>
      <c r="BQ60" s="75">
        <v>7.0803633553512269E-4</v>
      </c>
      <c r="BR60" s="75">
        <v>-8.1616820507267374E-2</v>
      </c>
      <c r="BS60" s="75">
        <v>-2.4366976936568141E-2</v>
      </c>
      <c r="BT60" s="75">
        <v>0.1058946682045584</v>
      </c>
      <c r="BU60" s="75">
        <v>4.4148993361430189E-2</v>
      </c>
      <c r="BV60" s="75">
        <v>9.0810582869023715E-2</v>
      </c>
      <c r="BW60" s="75">
        <v>-6.9391013903675747E-2</v>
      </c>
      <c r="BX60" s="75">
        <v>7.1445711172276161E-2</v>
      </c>
      <c r="BY60" s="75">
        <v>3.4910581372851524E-2</v>
      </c>
      <c r="BZ60" s="75">
        <v>6.3463272401777293E-2</v>
      </c>
      <c r="CA60" s="75">
        <v>5.9157526009998129E-2</v>
      </c>
      <c r="CB60" s="75">
        <v>-3.8220619522763566E-3</v>
      </c>
      <c r="CC60" s="75">
        <v>5.2318412967849115E-2</v>
      </c>
      <c r="CD60" s="75">
        <v>-1.9565616567023159E-2</v>
      </c>
      <c r="CE60" s="75">
        <v>8.174439408505163E-2</v>
      </c>
      <c r="CF60" s="75">
        <v>-8.3266451224580651E-3</v>
      </c>
      <c r="CG60" s="75">
        <v>-5.1195216279576794E-2</v>
      </c>
      <c r="CH60" s="75">
        <v>2.4943046945488323E-2</v>
      </c>
      <c r="CI60" s="75">
        <v>9.4720880336163216E-3</v>
      </c>
      <c r="CJ60" s="75">
        <v>-9.8590244277583949E-2</v>
      </c>
      <c r="CK60" s="75">
        <v>1.6175593799910404E-2</v>
      </c>
      <c r="CL60" s="75">
        <v>-3.0920828145992119E-2</v>
      </c>
      <c r="CM60" s="75">
        <v>-3.1960951090720613E-2</v>
      </c>
      <c r="CN60" s="75">
        <v>6.0012576472387669E-2</v>
      </c>
      <c r="CO60" s="75">
        <v>-5.8260634074729534E-2</v>
      </c>
      <c r="CP60" s="75">
        <v>-5.8678068646264681E-2</v>
      </c>
      <c r="CQ60" s="75">
        <v>1.1966149586963071E-2</v>
      </c>
      <c r="CR60" s="75">
        <v>-6.1776045665668189E-2</v>
      </c>
      <c r="CS60" s="75">
        <v>-6.3107090798349252E-2</v>
      </c>
      <c r="CT60" s="75">
        <v>2.7114466897464606E-2</v>
      </c>
      <c r="CU60" s="75">
        <v>0.11291972273354717</v>
      </c>
      <c r="CV60" s="75">
        <v>0.17057879752979299</v>
      </c>
      <c r="CW60" s="75">
        <v>-7.6735725367672036E-2</v>
      </c>
      <c r="CX60" s="75">
        <v>3.3350765227946388E-2</v>
      </c>
      <c r="CY60" s="75">
        <v>-7.3965856240640504E-2</v>
      </c>
      <c r="CZ60" s="75">
        <v>1.9918892852288816E-2</v>
      </c>
      <c r="DA60" s="75">
        <v>-5.7542656552773797E-2</v>
      </c>
      <c r="DB60" s="75">
        <v>2.3590692989221562E-2</v>
      </c>
      <c r="DC60" s="75">
        <v>6.0913027170161227E-2</v>
      </c>
      <c r="DD60" s="75">
        <v>-9.3022136370970288E-2</v>
      </c>
      <c r="DE60" s="75">
        <v>9.591115585618426E-3</v>
      </c>
      <c r="DF60" s="75">
        <v>1.8525107990755019E-2</v>
      </c>
      <c r="DG60" s="75">
        <v>3.320239112661183E-2</v>
      </c>
      <c r="DH60" s="75">
        <v>-6.2271318148075128E-2</v>
      </c>
      <c r="DI60" s="75">
        <v>-5.2328240505974899E-2</v>
      </c>
      <c r="DJ60" s="75">
        <v>-5.5591815439465286E-2</v>
      </c>
      <c r="DK60" s="75">
        <v>-6.7314396041505908E-2</v>
      </c>
      <c r="DL60" s="75">
        <v>-2.5122058725569774E-2</v>
      </c>
      <c r="DM60" s="75">
        <v>4.829805604739934E-2</v>
      </c>
      <c r="DN60" s="75">
        <v>-6.867030410143421E-2</v>
      </c>
      <c r="DO60" s="75">
        <v>1.0377424812614278E-3</v>
      </c>
      <c r="DP60" s="75">
        <v>-2.1994479685249591E-2</v>
      </c>
      <c r="DQ60" s="75">
        <v>-1.0264649296294504E-2</v>
      </c>
      <c r="DR60" s="75">
        <v>1.6804112245240865E-2</v>
      </c>
      <c r="DS60" s="75">
        <v>-8.2511548405110269E-2</v>
      </c>
      <c r="DT60" s="75">
        <v>-3.0880410195323338E-2</v>
      </c>
      <c r="DU60" s="75">
        <v>-6.8679747657478307E-2</v>
      </c>
      <c r="DV60" s="75">
        <v>1.5008011668148136E-2</v>
      </c>
      <c r="DW60" s="75">
        <v>-5.7343498108801849E-2</v>
      </c>
      <c r="DX60" s="75">
        <v>-5.4837968073017662E-2</v>
      </c>
      <c r="DY60" s="75">
        <v>5.5984371342108319E-2</v>
      </c>
      <c r="DZ60" s="75">
        <v>6.1956887322850929E-2</v>
      </c>
      <c r="EA60" s="75">
        <v>-4.7204696168508364E-2</v>
      </c>
      <c r="EB60" s="75">
        <v>-8.8621469013969334E-2</v>
      </c>
      <c r="EC60" s="75">
        <v>1.8074061513387418E-2</v>
      </c>
      <c r="ED60" s="75">
        <v>1.2891965982761211E-2</v>
      </c>
      <c r="EE60" s="75">
        <v>-2.7281901763153316E-2</v>
      </c>
      <c r="EF60" s="75">
        <v>1.5555194707193909E-2</v>
      </c>
      <c r="EG60" s="75">
        <v>-0.12798238198811585</v>
      </c>
      <c r="EH60" s="75">
        <v>6.6575644068865347E-2</v>
      </c>
      <c r="EI60" s="75">
        <v>6.3554726683258123E-3</v>
      </c>
      <c r="EJ60" s="75">
        <v>-8.7338298118168067E-3</v>
      </c>
      <c r="EK60" s="75">
        <v>-2.5479290882653827E-2</v>
      </c>
      <c r="EL60" s="75">
        <v>-4.5173338385969375E-2</v>
      </c>
      <c r="EM60" s="75">
        <v>3.9353927366967412E-2</v>
      </c>
      <c r="EN60" s="75">
        <v>6.0013787594733747E-3</v>
      </c>
      <c r="EO60" s="75">
        <v>-6.0432853863982894E-2</v>
      </c>
      <c r="EP60" s="75">
        <v>5.7620081944037393E-2</v>
      </c>
      <c r="EQ60" s="75">
        <v>-2.6110994238871976E-2</v>
      </c>
      <c r="ER60" s="75">
        <v>-4.0850872528243931E-2</v>
      </c>
      <c r="ES60" s="75">
        <v>4.9487782807382419E-2</v>
      </c>
      <c r="ET60" s="75">
        <v>-1.7356456985418545E-2</v>
      </c>
      <c r="EU60" s="75">
        <v>3.2465939096914753E-2</v>
      </c>
      <c r="EV60" s="75">
        <v>-2.7539494516080065E-3</v>
      </c>
      <c r="EW60" s="75">
        <v>5.9916663585604768E-2</v>
      </c>
      <c r="EX60" s="75">
        <v>-2.4922102926704492E-2</v>
      </c>
      <c r="EY60" s="75">
        <v>-7.4296755721434238E-2</v>
      </c>
      <c r="EZ60" s="75">
        <v>2.555123404039511E-2</v>
      </c>
      <c r="FA60" s="75">
        <v>-1.2137350864645735E-2</v>
      </c>
      <c r="FB60" s="75">
        <v>8.7114014088807756E-2</v>
      </c>
      <c r="FC60" s="75">
        <v>4.355345094741786E-2</v>
      </c>
      <c r="FD60" s="75">
        <v>-8.5668364556234833E-2</v>
      </c>
      <c r="FE60" s="75">
        <v>-4.3183655341515914E-2</v>
      </c>
      <c r="FF60" s="75">
        <v>8.1996250459011433E-2</v>
      </c>
      <c r="FG60" s="75">
        <v>-3.2869855955001692E-3</v>
      </c>
      <c r="FH60" s="75">
        <v>6.8542703632807789E-2</v>
      </c>
      <c r="FI60" s="75">
        <v>0.15663363780242412</v>
      </c>
      <c r="FJ60" s="75">
        <v>2.7496516954100936E-2</v>
      </c>
      <c r="FK60" s="75">
        <v>2.4262597323865265E-2</v>
      </c>
      <c r="FL60" s="75">
        <v>6.9839582872484596E-3</v>
      </c>
      <c r="FM60" s="75">
        <v>-8.2789313165282374E-3</v>
      </c>
      <c r="FN60" s="75">
        <v>4.5724523313137588E-2</v>
      </c>
      <c r="FO60" s="75">
        <v>6.3658728698507694E-2</v>
      </c>
      <c r="FP60" s="75">
        <v>8.1330379080181037E-2</v>
      </c>
      <c r="FQ60" s="75">
        <v>6.1025518088911268E-2</v>
      </c>
      <c r="FR60" s="75">
        <v>-4.8379829515142414E-2</v>
      </c>
      <c r="FS60" s="75">
        <v>2.4849596192199619E-2</v>
      </c>
      <c r="FT60" s="75">
        <v>-8.8961328001846973E-3</v>
      </c>
      <c r="FU60" s="75">
        <v>-8.4669547332698603E-2</v>
      </c>
      <c r="FV60" s="75">
        <v>8.3592531730864339E-2</v>
      </c>
      <c r="FW60" s="75">
        <v>2.9177545592731446E-2</v>
      </c>
      <c r="FX60" s="75">
        <v>-2.5327047060524355E-2</v>
      </c>
      <c r="FY60" s="75">
        <v>4.2676398957433859E-2</v>
      </c>
      <c r="FZ60" s="75">
        <v>6.023782687777296E-2</v>
      </c>
      <c r="GA60" s="75">
        <v>-7.8443341073669348E-2</v>
      </c>
      <c r="GB60" s="75">
        <v>2.3285786859626678E-2</v>
      </c>
      <c r="GC60" s="75">
        <v>-8.5962634835606344E-2</v>
      </c>
      <c r="GD60" s="75">
        <v>-7.8289277763009535E-2</v>
      </c>
      <c r="GE60" s="75">
        <v>2.6591501167891773E-2</v>
      </c>
      <c r="GF60" s="75">
        <v>1.8986796962637109E-2</v>
      </c>
      <c r="GG60" s="75">
        <v>1.9121503196832645E-2</v>
      </c>
      <c r="GH60" s="75">
        <v>-4.995679526354635E-2</v>
      </c>
      <c r="GI60" s="75">
        <v>-5.3613682830094822E-2</v>
      </c>
      <c r="GJ60" s="75">
        <v>-3.6743727473953491E-4</v>
      </c>
      <c r="GK60" s="75">
        <v>-2.2542180201008011E-2</v>
      </c>
      <c r="GL60" s="75">
        <v>0.23173499190576258</v>
      </c>
      <c r="GM60" s="75">
        <v>2.2577835603442009E-2</v>
      </c>
      <c r="GN60" s="75">
        <v>-9.7658943584061131E-2</v>
      </c>
      <c r="GO60" s="75">
        <v>-3.2649780848034604E-2</v>
      </c>
      <c r="GP60" s="75">
        <v>-2.2818552243353385E-2</v>
      </c>
      <c r="GQ60" s="75">
        <v>4.712964744785586E-2</v>
      </c>
      <c r="GR60" s="75">
        <v>4.0658328004476885E-2</v>
      </c>
      <c r="GS60" s="75">
        <v>5.2327183289095358E-3</v>
      </c>
      <c r="GT60" s="75">
        <v>-3.9089994069818834E-2</v>
      </c>
      <c r="GU60" s="75">
        <v>1.8690036597194981E-2</v>
      </c>
      <c r="GV60" s="75">
        <v>3.1095764624213318E-2</v>
      </c>
      <c r="GW60" s="75">
        <v>-2.6831247479125686E-2</v>
      </c>
      <c r="GX60" s="75">
        <v>3.4305750207046737E-2</v>
      </c>
      <c r="GY60" s="75">
        <v>5.034455644027136E-2</v>
      </c>
      <c r="GZ60" s="75">
        <v>3.7692296827504523E-2</v>
      </c>
      <c r="HA60" s="75">
        <v>1.8344732654619611E-2</v>
      </c>
      <c r="HB60" s="75">
        <v>-7.0487486632407503E-2</v>
      </c>
      <c r="HC60" s="75">
        <v>-1.059102981745963E-2</v>
      </c>
      <c r="HD60" s="75">
        <v>3.1475498992489304E-2</v>
      </c>
      <c r="HE60" s="75">
        <v>3.991494989996841E-2</v>
      </c>
      <c r="HF60" s="75">
        <v>-2.1846109632984223E-2</v>
      </c>
      <c r="HG60" s="75">
        <v>8.2493795942460091E-2</v>
      </c>
      <c r="HH60" s="75">
        <v>-8.2037687107380464E-2</v>
      </c>
      <c r="HI60" s="75">
        <v>-3.5911477842454853E-2</v>
      </c>
      <c r="HJ60" s="75">
        <v>6.9304466833253808E-2</v>
      </c>
      <c r="HK60" s="75">
        <v>-8.0468086953162654E-3</v>
      </c>
      <c r="HL60" s="75">
        <v>-0.13478188857122958</v>
      </c>
      <c r="HM60" s="75">
        <v>2.8492699758502771E-3</v>
      </c>
      <c r="HN60" s="75">
        <v>8.2001966217636779E-2</v>
      </c>
      <c r="HO60" s="75">
        <v>-3.1194031442002279E-2</v>
      </c>
      <c r="HP60" s="75">
        <v>5.3560740523158956E-2</v>
      </c>
      <c r="HQ60" s="75">
        <v>-6.4521242152692004E-2</v>
      </c>
      <c r="HR60" s="75">
        <v>-0.1144995594172975</v>
      </c>
      <c r="HS60" s="75">
        <v>1.6199235632371134E-2</v>
      </c>
      <c r="HT60" s="75">
        <v>1.6853992905605408E-2</v>
      </c>
      <c r="HU60" s="75">
        <v>2.7386966283726444E-2</v>
      </c>
      <c r="HV60" s="75">
        <v>-1.8710220814548428E-2</v>
      </c>
      <c r="HW60" s="75">
        <v>-5.6171654837033291E-2</v>
      </c>
      <c r="HX60" s="75">
        <v>-0.11354408548278244</v>
      </c>
      <c r="HY60" s="75">
        <v>-6.6390559577730324E-3</v>
      </c>
      <c r="HZ60" s="75">
        <v>-2.0952486543624027E-2</v>
      </c>
      <c r="IA60" s="75">
        <v>5.2203550246073982E-2</v>
      </c>
      <c r="IB60" s="75">
        <v>0.1283139963405967</v>
      </c>
      <c r="IC60" s="75">
        <v>6.33734819213288E-2</v>
      </c>
      <c r="ID60" s="75">
        <v>1.6117660174387538E-2</v>
      </c>
      <c r="IE60" s="75">
        <v>-5.6433434270634519E-2</v>
      </c>
      <c r="IF60" s="75">
        <v>-2.4529574429716594E-2</v>
      </c>
      <c r="IG60" s="75">
        <v>-2.1438982378821692E-2</v>
      </c>
      <c r="IH60" s="75">
        <v>-4.2685845259504973E-2</v>
      </c>
      <c r="II60" s="75">
        <v>-3.6585800031695093E-2</v>
      </c>
      <c r="IJ60" s="75">
        <v>2.9048441220420052E-3</v>
      </c>
      <c r="IK60" s="75">
        <v>2.5067551157900159E-3</v>
      </c>
      <c r="IL60" s="75">
        <v>-2.3030066124034021E-2</v>
      </c>
      <c r="IM60" s="75">
        <v>-9.7468628935758028E-2</v>
      </c>
      <c r="IN60" s="75">
        <v>-4.0008681684287895E-2</v>
      </c>
      <c r="IO60" s="75">
        <v>1.9262493762129185E-2</v>
      </c>
      <c r="IP60" s="75">
        <v>-2.4442070007313299E-2</v>
      </c>
      <c r="IQ60" s="75">
        <v>8.1658534746563205E-2</v>
      </c>
      <c r="IR60" s="75">
        <v>-7.3466408139742367E-3</v>
      </c>
      <c r="IS60" s="75">
        <v>6.6493274982787287E-2</v>
      </c>
      <c r="IT60" s="75">
        <v>3.1629261046936863E-2</v>
      </c>
      <c r="IU60" s="75">
        <v>9.9654071916722597E-2</v>
      </c>
    </row>
    <row r="61" spans="1:255" s="74" customFormat="1" ht="14.5" x14ac:dyDescent="0.35">
      <c r="A61" s="73"/>
      <c r="B61" s="78">
        <v>2</v>
      </c>
      <c r="C61" s="77">
        <f t="shared" si="43"/>
        <v>2.5806413878368014E-2</v>
      </c>
      <c r="D61" s="76">
        <f t="shared" si="44"/>
        <v>8.6380590589628437E-2</v>
      </c>
      <c r="E61" s="75">
        <v>-0.10603218749322008</v>
      </c>
      <c r="F61" s="75">
        <v>2.1224731272152131E-2</v>
      </c>
      <c r="G61" s="75">
        <v>0.10860414888415748</v>
      </c>
      <c r="H61" s="75">
        <v>-2.5391215549690649E-2</v>
      </c>
      <c r="I61" s="75">
        <v>7.5213228627168283E-2</v>
      </c>
      <c r="J61" s="75">
        <v>-8.8028119921568115E-2</v>
      </c>
      <c r="K61" s="75">
        <v>-2.4428258285514759E-2</v>
      </c>
      <c r="L61" s="75">
        <v>1.4919726722850968E-2</v>
      </c>
      <c r="M61" s="75">
        <v>7.8872017802140149E-2</v>
      </c>
      <c r="N61" s="75">
        <v>0.11381033219603326</v>
      </c>
      <c r="O61" s="75">
        <v>6.7956303502778925E-2</v>
      </c>
      <c r="P61" s="75">
        <v>-3.0420774267523543E-2</v>
      </c>
      <c r="Q61" s="75">
        <v>-4.740450115655509E-2</v>
      </c>
      <c r="R61" s="75">
        <v>-2.2970284640988881E-2</v>
      </c>
      <c r="S61" s="75">
        <v>-4.6216135746869724E-2</v>
      </c>
      <c r="T61" s="75">
        <v>-0.10591917242025173</v>
      </c>
      <c r="U61" s="75">
        <v>6.0766654828364741E-3</v>
      </c>
      <c r="V61" s="75">
        <v>-1.2737638067449653E-2</v>
      </c>
      <c r="W61" s="75">
        <v>0.13193597975924098</v>
      </c>
      <c r="X61" s="75">
        <v>3.1831571447741791E-2</v>
      </c>
      <c r="Y61" s="75">
        <v>1.3911752036533609E-2</v>
      </c>
      <c r="Z61" s="75">
        <v>4.9833802033178498E-2</v>
      </c>
      <c r="AA61" s="75">
        <v>9.3694431943791567E-3</v>
      </c>
      <c r="AB61" s="75">
        <v>8.7020103492947476E-2</v>
      </c>
      <c r="AC61" s="75">
        <v>-4.0770338538215156E-2</v>
      </c>
      <c r="AD61" s="75">
        <v>-4.8834119435489098E-2</v>
      </c>
      <c r="AE61" s="75">
        <v>-9.9839871666119073E-2</v>
      </c>
      <c r="AF61" s="75">
        <v>-0.11024321749084975</v>
      </c>
      <c r="AG61" s="75">
        <v>-9.9959895282487277E-2</v>
      </c>
      <c r="AH61" s="75">
        <v>-7.3446721639023327E-3</v>
      </c>
      <c r="AI61" s="75">
        <v>-5.9741061582600563E-2</v>
      </c>
      <c r="AJ61" s="75">
        <v>-2.2346644496095303E-2</v>
      </c>
      <c r="AK61" s="75">
        <v>3.135728498177115E-3</v>
      </c>
      <c r="AL61" s="75">
        <v>-6.0326736066952269E-2</v>
      </c>
      <c r="AM61" s="75">
        <v>-8.7648431682190109E-2</v>
      </c>
      <c r="AN61" s="75">
        <v>2.6374736715555624E-2</v>
      </c>
      <c r="AO61" s="75">
        <v>-4.7051390130881721E-2</v>
      </c>
      <c r="AP61" s="75">
        <v>0.13040747846813877</v>
      </c>
      <c r="AQ61" s="75">
        <v>-5.318433235837855E-2</v>
      </c>
      <c r="AR61" s="75">
        <v>0.11583373840367145</v>
      </c>
      <c r="AS61" s="75">
        <v>0.10967403068567777</v>
      </c>
      <c r="AT61" s="75">
        <v>4.5440523527451038E-2</v>
      </c>
      <c r="AU61" s="75">
        <v>5.431110174423226E-2</v>
      </c>
      <c r="AV61" s="75">
        <v>-4.5560005738528198E-2</v>
      </c>
      <c r="AW61" s="75">
        <v>-7.7268640701566582E-2</v>
      </c>
      <c r="AX61" s="75">
        <v>-2.0349320017633232E-2</v>
      </c>
      <c r="AY61" s="75">
        <v>4.831661431572104E-2</v>
      </c>
      <c r="AZ61" s="75">
        <v>-4.7899834569208155E-2</v>
      </c>
      <c r="BA61" s="75">
        <v>-4.9905257415396198E-2</v>
      </c>
      <c r="BB61" s="75">
        <v>-0.10969516149360725</v>
      </c>
      <c r="BC61" s="75">
        <v>-5.7736595645649424E-2</v>
      </c>
      <c r="BD61" s="75">
        <v>-9.075219006561619E-2</v>
      </c>
      <c r="BE61" s="75">
        <v>-3.1766490092719368E-2</v>
      </c>
      <c r="BF61" s="75">
        <v>-6.1490230874133855E-3</v>
      </c>
      <c r="BG61" s="75">
        <v>-6.745044881925466E-2</v>
      </c>
      <c r="BH61" s="75">
        <v>-4.0042760509196085E-2</v>
      </c>
      <c r="BI61" s="75">
        <v>-1.2951110953159928E-2</v>
      </c>
      <c r="BJ61" s="75">
        <v>7.5802065954070352E-3</v>
      </c>
      <c r="BK61" s="75">
        <v>1.3657716790491992E-2</v>
      </c>
      <c r="BL61" s="75">
        <v>-4.9283002466724679E-2</v>
      </c>
      <c r="BM61" s="75">
        <v>1.0262468520831569E-2</v>
      </c>
      <c r="BN61" s="75">
        <v>3.0497440460512948E-3</v>
      </c>
      <c r="BO61" s="75">
        <v>-4.1393026691435242E-2</v>
      </c>
      <c r="BP61" s="75">
        <v>0.12113424967119396</v>
      </c>
      <c r="BQ61" s="75">
        <v>-7.0336281220501506E-2</v>
      </c>
      <c r="BR61" s="75">
        <v>-6.9911629856957813E-2</v>
      </c>
      <c r="BS61" s="75">
        <v>-1.3429141360743024E-2</v>
      </c>
      <c r="BT61" s="75">
        <v>9.8240237288454157E-2</v>
      </c>
      <c r="BU61" s="75">
        <v>-4.7765510906797592E-3</v>
      </c>
      <c r="BV61" s="75">
        <v>9.2641723858869374E-2</v>
      </c>
      <c r="BW61" s="75">
        <v>-8.1929778748380255E-2</v>
      </c>
      <c r="BX61" s="75">
        <v>5.9879306856333248E-2</v>
      </c>
      <c r="BY61" s="75">
        <v>1.813483228980628E-2</v>
      </c>
      <c r="BZ61" s="75">
        <v>3.8182267700159978E-2</v>
      </c>
      <c r="CA61" s="75">
        <v>4.9210426831441278E-2</v>
      </c>
      <c r="CB61" s="75">
        <v>-1.4930951760575517E-2</v>
      </c>
      <c r="CC61" s="75">
        <v>8.4843001222147996E-2</v>
      </c>
      <c r="CD61" s="75">
        <v>1.5679333067024626E-2</v>
      </c>
      <c r="CE61" s="75">
        <v>0.10354516598097635</v>
      </c>
      <c r="CF61" s="75">
        <v>4.1490826482039223E-2</v>
      </c>
      <c r="CG61" s="75">
        <v>-7.7971646839165687E-2</v>
      </c>
      <c r="CH61" s="75">
        <v>3.9807128270307357E-2</v>
      </c>
      <c r="CI61" s="75">
        <v>5.068600582746885E-2</v>
      </c>
      <c r="CJ61" s="75">
        <v>-6.3173115709149963E-2</v>
      </c>
      <c r="CK61" s="75">
        <v>-1.6839506180184538E-2</v>
      </c>
      <c r="CL61" s="75">
        <v>-7.3443580903096606E-2</v>
      </c>
      <c r="CM61" s="75">
        <v>-6.3106574841121976E-2</v>
      </c>
      <c r="CN61" s="75">
        <v>3.8833010520608391E-2</v>
      </c>
      <c r="CO61" s="75">
        <v>-6.541752317898375E-2</v>
      </c>
      <c r="CP61" s="75">
        <v>-8.2041809979556291E-2</v>
      </c>
      <c r="CQ61" s="75">
        <v>-1.2478268400324455E-2</v>
      </c>
      <c r="CR61" s="75">
        <v>-4.7539424365378558E-2</v>
      </c>
      <c r="CS61" s="75">
        <v>-6.8212597184945545E-2</v>
      </c>
      <c r="CT61" s="75">
        <v>3.2410879243570778E-2</v>
      </c>
      <c r="CU61" s="75">
        <v>0.11923538889529672</v>
      </c>
      <c r="CV61" s="75">
        <v>0.13700150286764706</v>
      </c>
      <c r="CW61" s="75">
        <v>-4.4480449030659175E-2</v>
      </c>
      <c r="CX61" s="75">
        <v>1.1374195373681451E-2</v>
      </c>
      <c r="CY61" s="75">
        <v>-8.9544846068547568E-2</v>
      </c>
      <c r="CZ61" s="75">
        <v>1.0403629897845768E-2</v>
      </c>
      <c r="DA61" s="75">
        <v>-6.0052370727148807E-2</v>
      </c>
      <c r="DB61" s="75">
        <v>-2.9126205933752369E-2</v>
      </c>
      <c r="DC61" s="75">
        <v>-3.554101623064404E-2</v>
      </c>
      <c r="DD61" s="75">
        <v>-6.0605381145653336E-2</v>
      </c>
      <c r="DE61" s="75">
        <v>-3.9864183659250763E-2</v>
      </c>
      <c r="DF61" s="75">
        <v>-6.8526352976278959E-2</v>
      </c>
      <c r="DG61" s="75">
        <v>-2.286428697319598E-3</v>
      </c>
      <c r="DH61" s="75">
        <v>-5.1143212782967629E-2</v>
      </c>
      <c r="DI61" s="75">
        <v>4.7790089053017071E-2</v>
      </c>
      <c r="DJ61" s="75">
        <v>-6.8714524880488681E-2</v>
      </c>
      <c r="DK61" s="75">
        <v>-2.9447750828246022E-2</v>
      </c>
      <c r="DL61" s="75">
        <v>-2.6907522198900247E-2</v>
      </c>
      <c r="DM61" s="75">
        <v>0.10915704832704132</v>
      </c>
      <c r="DN61" s="75">
        <v>4.0924027852126621E-2</v>
      </c>
      <c r="DO61" s="75">
        <v>9.9576019500828117E-2</v>
      </c>
      <c r="DP61" s="75">
        <v>1.8498877092744892E-2</v>
      </c>
      <c r="DQ61" s="75">
        <v>-0.11976919931143026</v>
      </c>
      <c r="DR61" s="75">
        <v>-6.3040878054841543E-2</v>
      </c>
      <c r="DS61" s="75">
        <v>2.9635701661922031E-2</v>
      </c>
      <c r="DT61" s="75">
        <v>4.5260460526837576E-2</v>
      </c>
      <c r="DU61" s="75">
        <v>6.6368293840133874E-2</v>
      </c>
      <c r="DV61" s="75">
        <v>3.2257895847923712E-2</v>
      </c>
      <c r="DW61" s="75">
        <v>8.0542825646179317E-5</v>
      </c>
      <c r="DX61" s="75">
        <v>-8.5841817145898114E-2</v>
      </c>
      <c r="DY61" s="75">
        <v>-1.041147146051119E-2</v>
      </c>
      <c r="DZ61" s="75">
        <v>8.0169513826547523E-2</v>
      </c>
      <c r="EA61" s="75">
        <v>-6.9690164718391734E-2</v>
      </c>
      <c r="EB61" s="75">
        <v>8.7549642346192835E-2</v>
      </c>
      <c r="EC61" s="75">
        <v>0.1384740787279477</v>
      </c>
      <c r="ED61" s="75">
        <v>4.8937986245738974E-2</v>
      </c>
      <c r="EE61" s="75">
        <v>3.831354220737615E-2</v>
      </c>
      <c r="EF61" s="75">
        <v>3.8108824137768726E-2</v>
      </c>
      <c r="EG61" s="75">
        <v>1.5677852377481594E-2</v>
      </c>
      <c r="EH61" s="75">
        <v>-3.8526195592142876E-2</v>
      </c>
      <c r="EI61" s="75">
        <v>-1.9799761396665838E-2</v>
      </c>
      <c r="EJ61" s="75">
        <v>-8.5921773316464167E-2</v>
      </c>
      <c r="EK61" s="75">
        <v>-1.1048282902914375E-2</v>
      </c>
      <c r="EL61" s="75">
        <v>-7.6347065106093459E-2</v>
      </c>
      <c r="EM61" s="75">
        <v>3.763817421976845E-3</v>
      </c>
      <c r="EN61" s="75">
        <v>3.7628183566065954E-2</v>
      </c>
      <c r="EO61" s="75">
        <v>-1.3422792098204683E-2</v>
      </c>
      <c r="EP61" s="75">
        <v>2.9457012317894993E-2</v>
      </c>
      <c r="EQ61" s="75">
        <v>9.0890717824289369E-2</v>
      </c>
      <c r="ER61" s="75">
        <v>-0.10284555480351515</v>
      </c>
      <c r="ES61" s="75">
        <v>-3.867158430756179E-2</v>
      </c>
      <c r="ET61" s="75">
        <v>-1.8503132348123064E-2</v>
      </c>
      <c r="EU61" s="75">
        <v>-7.9527210897950618E-2</v>
      </c>
      <c r="EV61" s="75">
        <v>-6.4999578582199402E-2</v>
      </c>
      <c r="EW61" s="75">
        <v>-1.4930912010484798E-2</v>
      </c>
      <c r="EX61" s="75">
        <v>2.7395674963584082E-2</v>
      </c>
      <c r="EY61" s="75">
        <v>-2.7499952486622459E-2</v>
      </c>
      <c r="EZ61" s="75">
        <v>0.13384818399342058</v>
      </c>
      <c r="FA61" s="75">
        <v>-6.4298246029699468E-2</v>
      </c>
      <c r="FB61" s="75">
        <v>9.6116065456847477E-2</v>
      </c>
      <c r="FC61" s="75">
        <v>-3.4209723206682363E-3</v>
      </c>
      <c r="FD61" s="75">
        <v>-0.11331997015198908</v>
      </c>
      <c r="FE61" s="75">
        <v>4.1379371835427337E-2</v>
      </c>
      <c r="FF61" s="75">
        <v>4.2324957166458566E-3</v>
      </c>
      <c r="FG61" s="75">
        <v>-4.870498651401689E-2</v>
      </c>
      <c r="FH61" s="75">
        <v>6.157792640396581E-2</v>
      </c>
      <c r="FI61" s="75">
        <v>-4.2949357661041576E-2</v>
      </c>
      <c r="FJ61" s="75">
        <v>3.5537033691420694E-3</v>
      </c>
      <c r="FK61" s="75">
        <v>3.1630165318428882E-2</v>
      </c>
      <c r="FL61" s="75">
        <v>4.7809906376011735E-2</v>
      </c>
      <c r="FM61" s="75">
        <v>3.5490493717078686E-2</v>
      </c>
      <c r="FN61" s="75">
        <v>0.11013693014599391</v>
      </c>
      <c r="FO61" s="75">
        <v>7.1218788821376666E-2</v>
      </c>
      <c r="FP61" s="75">
        <v>9.2626244662917134E-2</v>
      </c>
      <c r="FQ61" s="75">
        <v>6.4677563272882377E-2</v>
      </c>
      <c r="FR61" s="75">
        <v>-2.6233693408734271E-2</v>
      </c>
      <c r="FS61" s="75">
        <v>-1.9505094170988779E-2</v>
      </c>
      <c r="FT61" s="75">
        <v>1.1809244499001448E-3</v>
      </c>
      <c r="FU61" s="75">
        <v>-8.2086072216739747E-2</v>
      </c>
      <c r="FV61" s="75">
        <v>7.7507345580760889E-2</v>
      </c>
      <c r="FW61" s="75">
        <v>5.6397325775518536E-2</v>
      </c>
      <c r="FX61" s="75">
        <v>-5.6935397120499665E-2</v>
      </c>
      <c r="FY61" s="75">
        <v>-5.8271642083118969E-2</v>
      </c>
      <c r="FZ61" s="75">
        <v>5.7763828555517593E-2</v>
      </c>
      <c r="GA61" s="75">
        <v>5.676880914574689E-2</v>
      </c>
      <c r="GB61" s="75">
        <v>7.3441566935580349E-3</v>
      </c>
      <c r="GC61" s="75">
        <v>9.3289618865481483E-2</v>
      </c>
      <c r="GD61" s="75">
        <v>-5.7012942485651197E-2</v>
      </c>
      <c r="GE61" s="75">
        <v>2.3768394579866903E-2</v>
      </c>
      <c r="GF61" s="75">
        <v>2.0458450895051272E-2</v>
      </c>
      <c r="GG61" s="75">
        <v>-5.6435855038422522E-2</v>
      </c>
      <c r="GH61" s="75">
        <v>-8.4107663939326116E-2</v>
      </c>
      <c r="GI61" s="75">
        <v>-6.4800338725892359E-2</v>
      </c>
      <c r="GJ61" s="75">
        <v>5.105429233403902E-3</v>
      </c>
      <c r="GK61" s="75">
        <v>7.7745390933753711E-2</v>
      </c>
      <c r="GL61" s="75">
        <v>5.5928862984321981E-2</v>
      </c>
      <c r="GM61" s="75">
        <v>3.8780994233956145E-2</v>
      </c>
      <c r="GN61" s="75">
        <v>-2.1608122504343352E-2</v>
      </c>
      <c r="GO61" s="75">
        <v>-0.15643982836441095</v>
      </c>
      <c r="GP61" s="75">
        <v>2.2560691187721194E-2</v>
      </c>
      <c r="GQ61" s="75">
        <v>3.8341972645008826E-2</v>
      </c>
      <c r="GR61" s="75">
        <v>7.0337695203842032E-2</v>
      </c>
      <c r="GS61" s="75">
        <v>1.0175909881435796E-2</v>
      </c>
      <c r="GT61" s="75">
        <v>5.0289454907980924E-2</v>
      </c>
      <c r="GU61" s="75">
        <v>5.358244395023587E-2</v>
      </c>
      <c r="GV61" s="75">
        <v>8.6380590589628437E-2</v>
      </c>
      <c r="GW61" s="75">
        <v>-1.8672222313907749E-2</v>
      </c>
      <c r="GX61" s="75">
        <v>4.4271500673825792E-2</v>
      </c>
      <c r="GY61" s="75">
        <v>5.2154603118423903E-2</v>
      </c>
      <c r="GZ61" s="75">
        <v>7.5721839328816154E-3</v>
      </c>
      <c r="HA61" s="75">
        <v>-1.5534142957837727E-2</v>
      </c>
      <c r="HB61" s="75">
        <v>2.4528653726329952E-2</v>
      </c>
      <c r="HC61" s="75">
        <v>8.1520772468551828E-3</v>
      </c>
      <c r="HD61" s="75">
        <v>-8.5949438525366018E-2</v>
      </c>
      <c r="HE61" s="75">
        <v>6.1463565622659089E-2</v>
      </c>
      <c r="HF61" s="75">
        <v>-2.4322777693873698E-3</v>
      </c>
      <c r="HG61" s="75">
        <v>-8.4484308312242518E-2</v>
      </c>
      <c r="HH61" s="75">
        <v>0.14034719162307313</v>
      </c>
      <c r="HI61" s="75">
        <v>-1.3002713716096737E-2</v>
      </c>
      <c r="HJ61" s="75">
        <v>4.584021050471182E-2</v>
      </c>
      <c r="HK61" s="75">
        <v>6.2589103979496075E-2</v>
      </c>
      <c r="HL61" s="75">
        <v>-5.9105840448886005E-2</v>
      </c>
      <c r="HM61" s="75">
        <v>2.0082152010252319E-3</v>
      </c>
      <c r="HN61" s="75">
        <v>2.718068353351083E-2</v>
      </c>
      <c r="HO61" s="75">
        <v>3.5091502190696788E-2</v>
      </c>
      <c r="HP61" s="75">
        <v>-1.7295169065116578E-2</v>
      </c>
      <c r="HQ61" s="75">
        <v>-1.2154728480891386E-2</v>
      </c>
      <c r="HR61" s="75">
        <v>6.1260501163969971E-3</v>
      </c>
      <c r="HS61" s="75">
        <v>6.1085693272874386E-2</v>
      </c>
      <c r="HT61" s="75">
        <v>4.537167539103687E-2</v>
      </c>
      <c r="HU61" s="75">
        <v>5.041966383276697E-2</v>
      </c>
      <c r="HV61" s="75">
        <v>-6.8899527408850914E-2</v>
      </c>
      <c r="HW61" s="75">
        <v>-1.4856624776942773E-2</v>
      </c>
      <c r="HX61" s="75">
        <v>-0.14423496434576105</v>
      </c>
      <c r="HY61" s="75">
        <v>8.0272545146991003E-3</v>
      </c>
      <c r="HZ61" s="75">
        <v>3.1129107217100493E-2</v>
      </c>
      <c r="IA61" s="75">
        <v>5.2303192882311111E-2</v>
      </c>
      <c r="IB61" s="75">
        <v>0.1455294469787245</v>
      </c>
      <c r="IC61" s="75">
        <v>9.3071958500967944E-2</v>
      </c>
      <c r="ID61" s="75">
        <v>-1.6841761622670981E-2</v>
      </c>
      <c r="IE61" s="75">
        <v>-0.12173266082346978</v>
      </c>
      <c r="IF61" s="75">
        <v>1.639474508306521E-2</v>
      </c>
      <c r="IG61" s="75">
        <v>-2.1606080148580842E-2</v>
      </c>
      <c r="IH61" s="75">
        <v>-3.572692858707055E-2</v>
      </c>
      <c r="II61" s="75">
        <v>7.0844481817378124E-4</v>
      </c>
      <c r="IJ61" s="75">
        <v>1.6105933361753699E-2</v>
      </c>
      <c r="IK61" s="75">
        <v>-3.4269957621652969E-2</v>
      </c>
      <c r="IL61" s="75">
        <v>-1.355512582513263E-2</v>
      </c>
      <c r="IM61" s="75">
        <v>-4.8296971866100491E-2</v>
      </c>
      <c r="IN61" s="75">
        <v>-0.10113769937415823</v>
      </c>
      <c r="IO61" s="75">
        <v>-1.542865849746361E-2</v>
      </c>
      <c r="IP61" s="75">
        <v>-3.2107750326922757E-2</v>
      </c>
      <c r="IQ61" s="75">
        <v>-6.8619815466933187E-2</v>
      </c>
      <c r="IR61" s="75">
        <v>-6.9890321252945031E-2</v>
      </c>
      <c r="IS61" s="75">
        <v>4.8851873484309583E-2</v>
      </c>
      <c r="IT61" s="75">
        <v>-7.5095040953923609E-2</v>
      </c>
      <c r="IU61" s="75">
        <v>-9.6261304116313173E-2</v>
      </c>
    </row>
    <row r="62" spans="1:255" s="74" customFormat="1" ht="14.5" x14ac:dyDescent="0.35">
      <c r="A62" s="73"/>
      <c r="B62" s="78">
        <v>2.25</v>
      </c>
      <c r="C62" s="77">
        <f t="shared" si="43"/>
        <v>2.4666181858987564E-2</v>
      </c>
      <c r="D62" s="76">
        <f t="shared" si="44"/>
        <v>8.8407158866419366E-2</v>
      </c>
      <c r="E62" s="75">
        <v>-3.473643756031386E-2</v>
      </c>
      <c r="F62" s="75">
        <v>-3.7270692763070601E-3</v>
      </c>
      <c r="G62" s="75">
        <v>0.16518426215633786</v>
      </c>
      <c r="H62" s="75">
        <v>-6.7134345622983926E-3</v>
      </c>
      <c r="I62" s="75">
        <v>8.9739492945017929E-2</v>
      </c>
      <c r="J62" s="75">
        <v>-9.9612549915896742E-2</v>
      </c>
      <c r="K62" s="75">
        <v>3.2770631099691139E-3</v>
      </c>
      <c r="L62" s="75">
        <v>-1.1349005720819261E-2</v>
      </c>
      <c r="M62" s="75">
        <v>5.6451654934278284E-2</v>
      </c>
      <c r="N62" s="75">
        <v>0.14614870721126116</v>
      </c>
      <c r="O62" s="75">
        <v>2.2622368866359321E-2</v>
      </c>
      <c r="P62" s="75">
        <v>-2.6261212492602271E-2</v>
      </c>
      <c r="Q62" s="75">
        <v>-8.9930254901939399E-2</v>
      </c>
      <c r="R62" s="75">
        <v>6.7977655886227173E-3</v>
      </c>
      <c r="S62" s="75">
        <v>-1.5144484013976722E-2</v>
      </c>
      <c r="T62" s="75">
        <v>-0.11730291798663511</v>
      </c>
      <c r="U62" s="75">
        <v>1.0974713539264436E-2</v>
      </c>
      <c r="V62" s="75">
        <v>1.9996792417468878E-2</v>
      </c>
      <c r="W62" s="75">
        <v>0.13928932486161527</v>
      </c>
      <c r="X62" s="75">
        <v>-7.3305546526175602E-3</v>
      </c>
      <c r="Y62" s="75">
        <v>3.0602291794276038E-2</v>
      </c>
      <c r="Z62" s="75">
        <v>3.7680511829575714E-2</v>
      </c>
      <c r="AA62" s="75">
        <v>-2.3984371360130985E-2</v>
      </c>
      <c r="AB62" s="75">
        <v>6.7515372455491773E-2</v>
      </c>
      <c r="AC62" s="75">
        <v>-4.6724538548201355E-2</v>
      </c>
      <c r="AD62" s="75">
        <v>-5.9785625027514E-2</v>
      </c>
      <c r="AE62" s="75">
        <v>-9.1437129058909106E-2</v>
      </c>
      <c r="AF62" s="75">
        <v>-0.1225096810891137</v>
      </c>
      <c r="AG62" s="75">
        <v>-0.13020870501616555</v>
      </c>
      <c r="AH62" s="75">
        <v>-1.0620821452480667E-2</v>
      </c>
      <c r="AI62" s="75">
        <v>-8.4605361586484906E-2</v>
      </c>
      <c r="AJ62" s="75">
        <v>-3.9406308417688884E-2</v>
      </c>
      <c r="AK62" s="75">
        <v>-5.2168191203222913E-3</v>
      </c>
      <c r="AL62" s="75">
        <v>-5.3312960177599455E-2</v>
      </c>
      <c r="AM62" s="75">
        <v>-0.10133668704028748</v>
      </c>
      <c r="AN62" s="75">
        <v>6.4617579657367141E-2</v>
      </c>
      <c r="AO62" s="75">
        <v>-1.4145951632126175E-2</v>
      </c>
      <c r="AP62" s="75">
        <v>0.12575212237825356</v>
      </c>
      <c r="AQ62" s="75">
        <v>-5.9249567863091657E-2</v>
      </c>
      <c r="AR62" s="75">
        <v>0.11673423770595137</v>
      </c>
      <c r="AS62" s="75">
        <v>0.11329689382902625</v>
      </c>
      <c r="AT62" s="75">
        <v>2.97581239186262E-2</v>
      </c>
      <c r="AU62" s="75">
        <v>-4.5795908018263498E-3</v>
      </c>
      <c r="AV62" s="75">
        <v>-4.2747429165550854E-2</v>
      </c>
      <c r="AW62" s="75">
        <v>-6.1540469423077337E-2</v>
      </c>
      <c r="AX62" s="75">
        <v>-4.4888607267567049E-2</v>
      </c>
      <c r="AY62" s="75">
        <v>7.4789411257995708E-2</v>
      </c>
      <c r="AZ62" s="75">
        <v>-9.2529879686902294E-3</v>
      </c>
      <c r="BA62" s="75">
        <v>-7.7503790330633426E-2</v>
      </c>
      <c r="BB62" s="75">
        <v>-0.15195640014155987</v>
      </c>
      <c r="BC62" s="75">
        <v>-4.7912805502750955E-2</v>
      </c>
      <c r="BD62" s="75">
        <v>-5.3107464532135107E-2</v>
      </c>
      <c r="BE62" s="75">
        <v>-5.4195755032619863E-2</v>
      </c>
      <c r="BF62" s="75">
        <v>-3.1292628964947611E-2</v>
      </c>
      <c r="BG62" s="75">
        <v>-9.5454035797586989E-2</v>
      </c>
      <c r="BH62" s="75">
        <v>-5.8601410206083782E-2</v>
      </c>
      <c r="BI62" s="75">
        <v>3.0955973449410257E-3</v>
      </c>
      <c r="BJ62" s="75">
        <v>-2.5649007503093291E-2</v>
      </c>
      <c r="BK62" s="75">
        <v>-1.7040527743664047E-2</v>
      </c>
      <c r="BL62" s="75">
        <v>-6.1171739198194741E-2</v>
      </c>
      <c r="BM62" s="75">
        <v>3.6180402767107545E-3</v>
      </c>
      <c r="BN62" s="75">
        <v>-1.6082865388690915E-2</v>
      </c>
      <c r="BO62" s="75">
        <v>-1.8261374836931132E-2</v>
      </c>
      <c r="BP62" s="75">
        <v>7.2393308141703472E-2</v>
      </c>
      <c r="BQ62" s="75">
        <v>-3.6428305723506749E-2</v>
      </c>
      <c r="BR62" s="75">
        <v>-8.9190040806189974E-2</v>
      </c>
      <c r="BS62" s="75">
        <v>5.2289310673928058E-3</v>
      </c>
      <c r="BT62" s="75">
        <v>9.1912426187158169E-2</v>
      </c>
      <c r="BU62" s="75">
        <v>7.3933396220093872E-4</v>
      </c>
      <c r="BV62" s="75">
        <v>4.7885589744495194E-2</v>
      </c>
      <c r="BW62" s="75">
        <v>-9.3518973451971299E-2</v>
      </c>
      <c r="BX62" s="75">
        <v>3.4577900311246301E-2</v>
      </c>
      <c r="BY62" s="75">
        <v>4.2014771241871696E-2</v>
      </c>
      <c r="BZ62" s="75">
        <v>2.9151547707966796E-3</v>
      </c>
      <c r="CA62" s="75">
        <v>5.1118590524398766E-2</v>
      </c>
      <c r="CB62" s="75">
        <v>-6.96989699564593E-3</v>
      </c>
      <c r="CC62" s="75">
        <v>0.12356523893694338</v>
      </c>
      <c r="CD62" s="75">
        <v>-2.4594718864778098E-2</v>
      </c>
      <c r="CE62" s="75">
        <v>0.10080321238212808</v>
      </c>
      <c r="CF62" s="75">
        <v>4.0421972587327659E-2</v>
      </c>
      <c r="CG62" s="75">
        <v>-5.2659811870774786E-2</v>
      </c>
      <c r="CH62" s="75">
        <v>2.5096414437392633E-2</v>
      </c>
      <c r="CI62" s="75">
        <v>5.995444099402425E-2</v>
      </c>
      <c r="CJ62" s="75">
        <v>-9.3200922565737698E-2</v>
      </c>
      <c r="CK62" s="75">
        <v>1.6460225068186618E-2</v>
      </c>
      <c r="CL62" s="75">
        <v>-4.8727400786094166E-2</v>
      </c>
      <c r="CM62" s="75">
        <v>-1.8990139693534247E-2</v>
      </c>
      <c r="CN62" s="75">
        <v>7.698301016396597E-2</v>
      </c>
      <c r="CO62" s="75">
        <v>-7.0623388749992244E-2</v>
      </c>
      <c r="CP62" s="75">
        <v>-8.950076706522464E-2</v>
      </c>
      <c r="CQ62" s="75">
        <v>1.2468923944317645E-3</v>
      </c>
      <c r="CR62" s="75">
        <v>3.177447798991484E-2</v>
      </c>
      <c r="CS62" s="75">
        <v>-8.9209680100640731E-2</v>
      </c>
      <c r="CT62" s="75">
        <v>4.8822611352461964E-2</v>
      </c>
      <c r="CU62" s="75">
        <v>0.15091040931504662</v>
      </c>
      <c r="CV62" s="75">
        <v>0.1223661592653541</v>
      </c>
      <c r="CW62" s="75">
        <v>-5.19678003813272E-2</v>
      </c>
      <c r="CX62" s="75">
        <v>3.779665923780251E-2</v>
      </c>
      <c r="CY62" s="75">
        <v>-9.1893117073069186E-2</v>
      </c>
      <c r="CZ62" s="75">
        <v>3.4737418117969932E-3</v>
      </c>
      <c r="DA62" s="75">
        <v>-7.7164398326958261E-2</v>
      </c>
      <c r="DB62" s="75">
        <v>-5.3217474490282246E-2</v>
      </c>
      <c r="DC62" s="75">
        <v>2.2197483904786208E-2</v>
      </c>
      <c r="DD62" s="75">
        <v>1.8758931329762474E-2</v>
      </c>
      <c r="DE62" s="75">
        <v>-1.6586195639312074E-2</v>
      </c>
      <c r="DF62" s="75">
        <v>-6.7118316140642453E-2</v>
      </c>
      <c r="DG62" s="75">
        <v>9.601200979884339E-2</v>
      </c>
      <c r="DH62" s="75">
        <v>-5.7759716726070109E-2</v>
      </c>
      <c r="DI62" s="75">
        <v>7.8627348448309098E-3</v>
      </c>
      <c r="DJ62" s="75">
        <v>-6.5773233937468312E-2</v>
      </c>
      <c r="DK62" s="75">
        <v>-5.4065214303624654E-3</v>
      </c>
      <c r="DL62" s="75">
        <v>-7.6347158179754016E-2</v>
      </c>
      <c r="DM62" s="75">
        <v>6.6441402979457831E-2</v>
      </c>
      <c r="DN62" s="75">
        <v>-9.7055156730996739E-2</v>
      </c>
      <c r="DO62" s="75">
        <v>0.11351332732622843</v>
      </c>
      <c r="DP62" s="75">
        <v>-3.0760515609426498E-3</v>
      </c>
      <c r="DQ62" s="75">
        <v>4.5782230391709811E-2</v>
      </c>
      <c r="DR62" s="75">
        <v>-4.5948930773875296E-2</v>
      </c>
      <c r="DS62" s="75">
        <v>6.0147121236484247E-2</v>
      </c>
      <c r="DT62" s="75">
        <v>4.1758862774345984E-2</v>
      </c>
      <c r="DU62" s="75">
        <v>-2.9218609960905195E-2</v>
      </c>
      <c r="DV62" s="75">
        <v>0.10563359257466748</v>
      </c>
      <c r="DW62" s="75">
        <v>-1.5716507912445055E-2</v>
      </c>
      <c r="DX62" s="75">
        <v>8.759068189729935E-2</v>
      </c>
      <c r="DY62" s="75">
        <v>-7.7758940077557348E-2</v>
      </c>
      <c r="DZ62" s="75">
        <v>-9.2723265752769346E-2</v>
      </c>
      <c r="EA62" s="75">
        <v>-5.6866214171754137E-2</v>
      </c>
      <c r="EB62" s="75">
        <v>-1.2932696632241392E-2</v>
      </c>
      <c r="EC62" s="75">
        <v>-7.492299775075284E-2</v>
      </c>
      <c r="ED62" s="75">
        <v>0.23698008932351494</v>
      </c>
      <c r="EE62" s="75">
        <v>6.0548872192007219E-2</v>
      </c>
      <c r="EF62" s="75">
        <v>3.1248972707752509E-2</v>
      </c>
      <c r="EG62" s="75">
        <v>-8.5110174518954196E-5</v>
      </c>
      <c r="EH62" s="75">
        <v>-4.2773548938637329E-2</v>
      </c>
      <c r="EI62" s="75">
        <v>6.2064250709449487E-2</v>
      </c>
      <c r="EJ62" s="75">
        <v>6.3121605042316564E-2</v>
      </c>
      <c r="EK62" s="75">
        <v>9.0636203141615246E-2</v>
      </c>
      <c r="EL62" s="75">
        <v>-3.7169599144114385E-2</v>
      </c>
      <c r="EM62" s="75">
        <v>-6.1430784141971895E-2</v>
      </c>
      <c r="EN62" s="75">
        <v>9.8927045093658517E-2</v>
      </c>
      <c r="EO62" s="75">
        <v>-2.7234475218184007E-2</v>
      </c>
      <c r="EP62" s="75">
        <v>-1.3655018538369035E-2</v>
      </c>
      <c r="EQ62" s="75">
        <v>0.13099569561895197</v>
      </c>
      <c r="ER62" s="75">
        <v>-8.9444389614708353E-2</v>
      </c>
      <c r="ES62" s="75">
        <v>-4.4642551655595275E-2</v>
      </c>
      <c r="ET62" s="75">
        <v>-1.6027126305242279E-2</v>
      </c>
      <c r="EU62" s="75">
        <v>1.1801556091592724E-2</v>
      </c>
      <c r="EV62" s="75">
        <v>1.7314638668263327E-2</v>
      </c>
      <c r="EW62" s="75">
        <v>-4.9156448751627169E-3</v>
      </c>
      <c r="EX62" s="75">
        <v>4.2201400097739705E-2</v>
      </c>
      <c r="EY62" s="75">
        <v>3.8479007231074447E-2</v>
      </c>
      <c r="EZ62" s="75">
        <v>-2.940327075287269E-2</v>
      </c>
      <c r="FA62" s="75">
        <v>-9.1749099372411158E-2</v>
      </c>
      <c r="FB62" s="75">
        <v>-8.8870035369445155E-2</v>
      </c>
      <c r="FC62" s="75">
        <v>-5.1571639826492377E-2</v>
      </c>
      <c r="FD62" s="75">
        <v>3.144761224297421E-2</v>
      </c>
      <c r="FE62" s="75">
        <v>-3.5713295380833676E-3</v>
      </c>
      <c r="FF62" s="75">
        <v>-5.8669164738737178E-3</v>
      </c>
      <c r="FG62" s="75">
        <v>-7.757972978125538E-2</v>
      </c>
      <c r="FH62" s="75">
        <v>5.6927464678540929E-2</v>
      </c>
      <c r="FI62" s="75">
        <v>-5.6311295820223428E-2</v>
      </c>
      <c r="FJ62" s="75">
        <v>-3.3363701600248596E-3</v>
      </c>
      <c r="FK62" s="75">
        <v>1.6646722860680141E-2</v>
      </c>
      <c r="FL62" s="75">
        <v>-5.7232581653816061E-2</v>
      </c>
      <c r="FM62" s="75">
        <v>0.13344552449558489</v>
      </c>
      <c r="FN62" s="75">
        <v>1.0402080385358836E-2</v>
      </c>
      <c r="FO62" s="75">
        <v>5.6936607561993702E-2</v>
      </c>
      <c r="FP62" s="75">
        <v>0.12313785531507188</v>
      </c>
      <c r="FQ62" s="75">
        <v>-1.8981962569151078E-2</v>
      </c>
      <c r="FR62" s="75">
        <v>-3.9212383139198614E-2</v>
      </c>
      <c r="FS62" s="75">
        <v>-6.4066187085247639E-2</v>
      </c>
      <c r="FT62" s="75">
        <v>-6.5739858197947865E-2</v>
      </c>
      <c r="FU62" s="75">
        <v>3.7018386253063251E-2</v>
      </c>
      <c r="FV62" s="75">
        <v>6.6174826983817769E-2</v>
      </c>
      <c r="FW62" s="75">
        <v>-7.2393344875506638E-2</v>
      </c>
      <c r="FX62" s="75">
        <v>-3.2150399165029875E-2</v>
      </c>
      <c r="FY62" s="75">
        <v>-2.6813169346655619E-2</v>
      </c>
      <c r="FZ62" s="75">
        <v>8.5151278940607256E-2</v>
      </c>
      <c r="GA62" s="75">
        <v>8.8620122581681893E-2</v>
      </c>
      <c r="GB62" s="75">
        <v>-1.5180074755230533E-3</v>
      </c>
      <c r="GC62" s="75">
        <v>0.11038694875803895</v>
      </c>
      <c r="GD62" s="75">
        <v>-8.2709987631454374E-2</v>
      </c>
      <c r="GE62" s="75">
        <v>5.6004173445262095E-3</v>
      </c>
      <c r="GF62" s="75">
        <v>3.5325687209564083E-2</v>
      </c>
      <c r="GG62" s="75">
        <v>7.6126318410185079E-2</v>
      </c>
      <c r="GH62" s="75">
        <v>-5.6477497589170811E-2</v>
      </c>
      <c r="GI62" s="75">
        <v>-4.1569381232994362E-2</v>
      </c>
      <c r="GJ62" s="75">
        <v>-3.1628175516831614E-2</v>
      </c>
      <c r="GK62" s="75">
        <v>8.8407158866419366E-2</v>
      </c>
      <c r="GL62" s="75">
        <v>6.3187834788738573E-2</v>
      </c>
      <c r="GM62" s="75">
        <v>2.9963202760944885E-2</v>
      </c>
      <c r="GN62" s="75">
        <v>-6.1801627240655577E-2</v>
      </c>
      <c r="GO62" s="75">
        <v>-3.6310434157120763E-2</v>
      </c>
      <c r="GP62" s="75">
        <v>-6.9886658354164799E-2</v>
      </c>
      <c r="GQ62" s="75">
        <v>-9.4080090721767207E-2</v>
      </c>
      <c r="GR62" s="75">
        <v>-2.2824274591748683E-2</v>
      </c>
      <c r="GS62" s="75">
        <v>-5.0607224671773365E-2</v>
      </c>
      <c r="GT62" s="75">
        <v>3.508761001019628E-2</v>
      </c>
      <c r="GU62" s="75">
        <v>2.0474903883265561E-2</v>
      </c>
      <c r="GV62" s="75">
        <v>-7.771741082999617E-2</v>
      </c>
      <c r="GW62" s="75">
        <v>-4.4796112467382243E-2</v>
      </c>
      <c r="GX62" s="75">
        <v>6.1340816244763063E-2</v>
      </c>
      <c r="GY62" s="75">
        <v>-0.14373269310033737</v>
      </c>
      <c r="GZ62" s="75">
        <v>-4.8057320633043743E-2</v>
      </c>
      <c r="HA62" s="75">
        <v>3.2679624050356848E-3</v>
      </c>
      <c r="HB62" s="75">
        <v>1.921701231867623E-2</v>
      </c>
      <c r="HC62" s="75">
        <v>-4.4091134329384107E-2</v>
      </c>
      <c r="HD62" s="75">
        <v>1.915112467650415E-2</v>
      </c>
      <c r="HE62" s="75">
        <v>-1.3428367724689694E-2</v>
      </c>
      <c r="HF62" s="75">
        <v>-1.0649557233067652E-2</v>
      </c>
      <c r="HG62" s="75">
        <v>-4.2902168247171912E-2</v>
      </c>
      <c r="HH62" s="75">
        <v>-3.4901250441178533E-2</v>
      </c>
      <c r="HI62" s="75">
        <v>3.5637625382893112E-2</v>
      </c>
      <c r="HJ62" s="75">
        <v>4.8454392700446491E-2</v>
      </c>
      <c r="HK62" s="75">
        <v>-1.2024842989585283E-3</v>
      </c>
      <c r="HL62" s="75">
        <v>-3.7987583236350708E-2</v>
      </c>
      <c r="HM62" s="75">
        <v>1.7066135698074691E-2</v>
      </c>
      <c r="HN62" s="75">
        <v>-5.390712649479773E-2</v>
      </c>
      <c r="HO62" s="75">
        <v>-1.4269652257490884E-2</v>
      </c>
      <c r="HP62" s="75">
        <v>1.0670458304682384E-3</v>
      </c>
      <c r="HQ62" s="75">
        <v>2.8926047963336032E-2</v>
      </c>
      <c r="HR62" s="75">
        <v>-4.19799863124804E-2</v>
      </c>
      <c r="HS62" s="75">
        <v>-9.6000081509766799E-2</v>
      </c>
      <c r="HT62" s="75">
        <v>-9.1250726713014318E-2</v>
      </c>
      <c r="HU62" s="75">
        <v>9.5197886511471319E-2</v>
      </c>
      <c r="HV62" s="75">
        <v>4.9227731455421975E-2</v>
      </c>
      <c r="HW62" s="75">
        <v>5.6682821210904177E-2</v>
      </c>
      <c r="HX62" s="75">
        <v>4.3662882845848128E-2</v>
      </c>
      <c r="HY62" s="75">
        <v>3.8749658280242294E-2</v>
      </c>
      <c r="HZ62" s="75">
        <v>-6.3313333863235399E-2</v>
      </c>
      <c r="IA62" s="75">
        <v>-3.9390445543077468E-2</v>
      </c>
      <c r="IB62" s="75">
        <v>4.342271726704594E-2</v>
      </c>
      <c r="IC62" s="75">
        <v>-3.7948428172992432E-2</v>
      </c>
      <c r="ID62" s="75">
        <v>-5.4577210792440267E-3</v>
      </c>
      <c r="IE62" s="75">
        <v>-0.14107520010058749</v>
      </c>
      <c r="IF62" s="75">
        <v>7.7577991869207663E-3</v>
      </c>
      <c r="IG62" s="75">
        <v>6.3268969571665279E-2</v>
      </c>
      <c r="IH62" s="75">
        <v>9.0714924233483263E-2</v>
      </c>
      <c r="II62" s="75">
        <v>-0.10462361440792395</v>
      </c>
      <c r="IJ62" s="75">
        <v>1.435857214498254E-2</v>
      </c>
      <c r="IK62" s="75">
        <v>-5.3754004112965492E-2</v>
      </c>
      <c r="IL62" s="75">
        <v>-1.7841933943837374E-3</v>
      </c>
      <c r="IM62" s="75">
        <v>-8.0111400068092864E-2</v>
      </c>
      <c r="IN62" s="75">
        <v>-0.12469027490908907</v>
      </c>
      <c r="IO62" s="75">
        <v>-4.1169366371767102E-2</v>
      </c>
      <c r="IP62" s="75">
        <v>-4.0325339008672745E-3</v>
      </c>
      <c r="IQ62" s="75">
        <v>-5.8605609523336044E-2</v>
      </c>
      <c r="IR62" s="75">
        <v>-5.4370456705288561E-2</v>
      </c>
      <c r="IS62" s="75">
        <v>8.2528972771120979E-2</v>
      </c>
      <c r="IT62" s="75">
        <v>0.10995428677352809</v>
      </c>
      <c r="IU62" s="75">
        <v>-7.7759239125930246E-2</v>
      </c>
    </row>
    <row r="63" spans="1:255" s="74" customFormat="1" ht="14.5" x14ac:dyDescent="0.35">
      <c r="A63" s="73"/>
      <c r="B63" s="78">
        <v>2.5</v>
      </c>
      <c r="C63" s="77">
        <f t="shared" si="43"/>
        <v>2.7540793511135597E-2</v>
      </c>
      <c r="D63" s="76">
        <f t="shared" si="44"/>
        <v>8.8795658115806642E-2</v>
      </c>
      <c r="E63" s="75">
        <v>-4.7926872381496732E-2</v>
      </c>
      <c r="F63" s="75">
        <v>1.7269080882869214E-2</v>
      </c>
      <c r="G63" s="75">
        <v>0.16780096169194547</v>
      </c>
      <c r="H63" s="75">
        <v>6.0459428429648909E-4</v>
      </c>
      <c r="I63" s="75">
        <v>8.6500517598168403E-2</v>
      </c>
      <c r="J63" s="75">
        <v>-8.7193369482939043E-2</v>
      </c>
      <c r="K63" s="75">
        <v>1.2587621738692822E-2</v>
      </c>
      <c r="L63" s="75">
        <v>-1.096053297622579E-2</v>
      </c>
      <c r="M63" s="75">
        <v>5.4137471575343543E-2</v>
      </c>
      <c r="N63" s="75">
        <v>0.10345145451933857</v>
      </c>
      <c r="O63" s="75">
        <v>1.4151977966910534E-2</v>
      </c>
      <c r="P63" s="75">
        <v>-4.39872683813749E-2</v>
      </c>
      <c r="Q63" s="75">
        <v>-9.2654072533076282E-2</v>
      </c>
      <c r="R63" s="75">
        <v>6.5964273499659609E-3</v>
      </c>
      <c r="S63" s="75">
        <v>-3.3936946733499396E-2</v>
      </c>
      <c r="T63" s="75">
        <v>-0.11190269019039117</v>
      </c>
      <c r="U63" s="75">
        <v>2.8503960119898197E-2</v>
      </c>
      <c r="V63" s="75">
        <v>1.0569445927513244E-2</v>
      </c>
      <c r="W63" s="75">
        <v>0.16422662203248417</v>
      </c>
      <c r="X63" s="75">
        <v>-1.1622272116873389E-2</v>
      </c>
      <c r="Y63" s="75">
        <v>1.2956047968740725E-2</v>
      </c>
      <c r="Z63" s="75">
        <v>5.3989041940620874E-2</v>
      </c>
      <c r="AA63" s="75">
        <v>-3.3723261050715492E-2</v>
      </c>
      <c r="AB63" s="75">
        <v>6.946537914642037E-2</v>
      </c>
      <c r="AC63" s="75">
        <v>-7.3467450302777015E-2</v>
      </c>
      <c r="AD63" s="75">
        <v>-7.1400864060817637E-2</v>
      </c>
      <c r="AE63" s="75">
        <v>-9.8064101563060557E-2</v>
      </c>
      <c r="AF63" s="75">
        <v>-0.12332367219235091</v>
      </c>
      <c r="AG63" s="75">
        <v>-0.11734887477892592</v>
      </c>
      <c r="AH63" s="75">
        <v>-3.555072512704055E-2</v>
      </c>
      <c r="AI63" s="75">
        <v>-7.9020533974894946E-2</v>
      </c>
      <c r="AJ63" s="75">
        <v>-6.9472651500287197E-2</v>
      </c>
      <c r="AK63" s="75">
        <v>7.1908872200812102E-3</v>
      </c>
      <c r="AL63" s="75">
        <v>-3.5333757080482087E-2</v>
      </c>
      <c r="AM63" s="75">
        <v>-9.6272024091857367E-2</v>
      </c>
      <c r="AN63" s="75">
        <v>7.8356899263874902E-2</v>
      </c>
      <c r="AO63" s="75">
        <v>7.9320320290131585E-3</v>
      </c>
      <c r="AP63" s="75">
        <v>0.10998714860643005</v>
      </c>
      <c r="AQ63" s="75">
        <v>-5.9162726647152997E-2</v>
      </c>
      <c r="AR63" s="75">
        <v>0.12885060549508576</v>
      </c>
      <c r="AS63" s="75">
        <v>0.12149117810362564</v>
      </c>
      <c r="AT63" s="75">
        <v>3.3628211552300835E-2</v>
      </c>
      <c r="AU63" s="75">
        <v>-1.208389159326545E-2</v>
      </c>
      <c r="AV63" s="75">
        <v>-5.2449853500307952E-2</v>
      </c>
      <c r="AW63" s="75">
        <v>-6.9715525602708606E-2</v>
      </c>
      <c r="AX63" s="75">
        <v>-8.7172673320106142E-3</v>
      </c>
      <c r="AY63" s="75">
        <v>9.1801839494170256E-2</v>
      </c>
      <c r="AZ63" s="75">
        <v>7.097169367860201E-3</v>
      </c>
      <c r="BA63" s="75">
        <v>-8.6088488518043627E-2</v>
      </c>
      <c r="BB63" s="75">
        <v>-0.16165895768623362</v>
      </c>
      <c r="BC63" s="75">
        <v>1.1056390710891872E-2</v>
      </c>
      <c r="BD63" s="75">
        <v>-4.7644882494619567E-2</v>
      </c>
      <c r="BE63" s="75">
        <v>-7.1956000506340212E-2</v>
      </c>
      <c r="BF63" s="75">
        <v>-6.645600722601841E-2</v>
      </c>
      <c r="BG63" s="75">
        <v>-0.12222088214142524</v>
      </c>
      <c r="BH63" s="75">
        <v>-6.8945374846395791E-2</v>
      </c>
      <c r="BI63" s="75">
        <v>-4.5769254038400486E-2</v>
      </c>
      <c r="BJ63" s="75">
        <v>-3.3969465352567785E-2</v>
      </c>
      <c r="BK63" s="75">
        <v>-4.3297862486359473E-3</v>
      </c>
      <c r="BL63" s="75">
        <v>-6.4634305512445145E-2</v>
      </c>
      <c r="BM63" s="75">
        <v>2.3896516396712086E-2</v>
      </c>
      <c r="BN63" s="75">
        <v>-2.986358580636056E-2</v>
      </c>
      <c r="BO63" s="75">
        <v>-2.6177637858505409E-2</v>
      </c>
      <c r="BP63" s="75">
        <v>8.5484365159805287E-2</v>
      </c>
      <c r="BQ63" s="75">
        <v>-4.605466401090752E-2</v>
      </c>
      <c r="BR63" s="75">
        <v>-7.0190257916246224E-2</v>
      </c>
      <c r="BS63" s="75">
        <v>-1.5305006117463493E-2</v>
      </c>
      <c r="BT63" s="75">
        <v>4.6105449560144895E-2</v>
      </c>
      <c r="BU63" s="75">
        <v>-5.6664152087759545E-2</v>
      </c>
      <c r="BV63" s="75">
        <v>5.0498715885099243E-2</v>
      </c>
      <c r="BW63" s="75">
        <v>-9.4994006837910983E-2</v>
      </c>
      <c r="BX63" s="75">
        <v>6.5150466270728624E-2</v>
      </c>
      <c r="BY63" s="75">
        <v>0.11024895819861175</v>
      </c>
      <c r="BZ63" s="75">
        <v>5.3360287241748239E-3</v>
      </c>
      <c r="CA63" s="75">
        <v>8.8259477367949257E-2</v>
      </c>
      <c r="CB63" s="75">
        <v>-8.1681133475471901E-3</v>
      </c>
      <c r="CC63" s="75">
        <v>0.13799127736378158</v>
      </c>
      <c r="CD63" s="75">
        <v>-3.646062067193151E-2</v>
      </c>
      <c r="CE63" s="75">
        <v>9.9635618735544718E-2</v>
      </c>
      <c r="CF63" s="75">
        <v>4.6006928768937416E-3</v>
      </c>
      <c r="CG63" s="75">
        <v>-5.7674167081640693E-2</v>
      </c>
      <c r="CH63" s="75">
        <v>2.2394111928886795E-2</v>
      </c>
      <c r="CI63" s="75">
        <v>8.7725041352171851E-3</v>
      </c>
      <c r="CJ63" s="75">
        <v>-9.5402123851731468E-2</v>
      </c>
      <c r="CK63" s="75">
        <v>5.1723357598888853E-2</v>
      </c>
      <c r="CL63" s="75">
        <v>-9.2337810877688165E-2</v>
      </c>
      <c r="CM63" s="75">
        <v>-4.142366783727558E-2</v>
      </c>
      <c r="CN63" s="75">
        <v>9.9782046227927634E-2</v>
      </c>
      <c r="CO63" s="75">
        <v>-8.747550181375735E-2</v>
      </c>
      <c r="CP63" s="75">
        <v>-8.2849650796122054E-2</v>
      </c>
      <c r="CQ63" s="75">
        <v>1.8163223586172839E-2</v>
      </c>
      <c r="CR63" s="75">
        <v>2.5409287635537459E-2</v>
      </c>
      <c r="CS63" s="75">
        <v>-6.0963852697212106E-2</v>
      </c>
      <c r="CT63" s="75">
        <v>6.0253121473300808E-2</v>
      </c>
      <c r="CU63" s="75">
        <v>0.14373396195937671</v>
      </c>
      <c r="CV63" s="75">
        <v>0.10375629653098828</v>
      </c>
      <c r="CW63" s="75">
        <v>-1.005557386552336E-3</v>
      </c>
      <c r="CX63" s="75">
        <v>7.2010628420066058E-2</v>
      </c>
      <c r="CY63" s="75">
        <v>-0.1311320551882792</v>
      </c>
      <c r="CZ63" s="75">
        <v>2.6358597746735324E-2</v>
      </c>
      <c r="DA63" s="75">
        <v>-4.4824489262720479E-2</v>
      </c>
      <c r="DB63" s="75">
        <v>-3.1443737178234121E-2</v>
      </c>
      <c r="DC63" s="75">
        <v>8.7457746424102201E-3</v>
      </c>
      <c r="DD63" s="75">
        <v>1.687204198321568E-2</v>
      </c>
      <c r="DE63" s="75">
        <v>-3.3372905194581415E-2</v>
      </c>
      <c r="DF63" s="75">
        <v>-1.0349765949816569E-2</v>
      </c>
      <c r="DG63" s="75">
        <v>3.4812486557591504E-2</v>
      </c>
      <c r="DH63" s="75">
        <v>-7.0314102134671264E-2</v>
      </c>
      <c r="DI63" s="75">
        <v>1.2894118803053356E-2</v>
      </c>
      <c r="DJ63" s="75">
        <v>0.15637262024149456</v>
      </c>
      <c r="DK63" s="75">
        <v>5.4101934847833377E-2</v>
      </c>
      <c r="DL63" s="75">
        <v>-7.3894645745613385E-2</v>
      </c>
      <c r="DM63" s="75">
        <v>4.6737050737477581E-2</v>
      </c>
      <c r="DN63" s="75">
        <v>1.6520712383991332E-2</v>
      </c>
      <c r="DO63" s="75">
        <v>0.15992692896874927</v>
      </c>
      <c r="DP63" s="75">
        <v>8.7746925261727116E-2</v>
      </c>
      <c r="DQ63" s="75">
        <v>-2.8569145920155359E-2</v>
      </c>
      <c r="DR63" s="75">
        <v>-7.931333251333228E-2</v>
      </c>
      <c r="DS63" s="75">
        <v>-2.639672763156542E-2</v>
      </c>
      <c r="DT63" s="75">
        <v>-1.080838918777649E-2</v>
      </c>
      <c r="DU63" s="75">
        <v>3.0532545404048927E-2</v>
      </c>
      <c r="DV63" s="75">
        <v>0.1061682639304995</v>
      </c>
      <c r="DW63" s="75">
        <v>-8.0800259016362508E-2</v>
      </c>
      <c r="DX63" s="75">
        <v>-1.2645689051343723E-2</v>
      </c>
      <c r="DY63" s="75">
        <v>-6.9894367325290196E-2</v>
      </c>
      <c r="DZ63" s="75">
        <v>-3.4554768745796438E-2</v>
      </c>
      <c r="EA63" s="75">
        <v>6.7417565154510639E-2</v>
      </c>
      <c r="EB63" s="75">
        <v>-3.6651660866265923E-2</v>
      </c>
      <c r="EC63" s="75">
        <v>-5.4069339484659029E-2</v>
      </c>
      <c r="ED63" s="75">
        <v>0.21544130584962728</v>
      </c>
      <c r="EE63" s="75">
        <v>9.9287279222122216E-3</v>
      </c>
      <c r="EF63" s="75">
        <v>-2.9482932171239318E-2</v>
      </c>
      <c r="EG63" s="75">
        <v>-7.2584571453070956E-3</v>
      </c>
      <c r="EH63" s="75">
        <v>-1.0627188019945666E-2</v>
      </c>
      <c r="EI63" s="75">
        <v>2.6379215895510011E-2</v>
      </c>
      <c r="EJ63" s="75">
        <v>5.5716132206024671E-2</v>
      </c>
      <c r="EK63" s="75">
        <v>2.7795338632013444E-3</v>
      </c>
      <c r="EL63" s="75">
        <v>-2.6475934926029621E-2</v>
      </c>
      <c r="EM63" s="75">
        <v>1.280012483848636E-2</v>
      </c>
      <c r="EN63" s="75">
        <v>0.11490785123319652</v>
      </c>
      <c r="EO63" s="75">
        <v>-7.0483320012744155E-3</v>
      </c>
      <c r="EP63" s="75">
        <v>7.7611994424690578E-3</v>
      </c>
      <c r="EQ63" s="75">
        <v>-1.6633493618807338E-2</v>
      </c>
      <c r="ER63" s="75">
        <v>3.2561914860046837E-2</v>
      </c>
      <c r="ES63" s="75">
        <v>-4.6067206376913528E-2</v>
      </c>
      <c r="ET63" s="75">
        <v>9.5234468999919275E-2</v>
      </c>
      <c r="EU63" s="75">
        <v>-5.0474898750146324E-3</v>
      </c>
      <c r="EV63" s="75">
        <v>-8.9382646393808829E-2</v>
      </c>
      <c r="EW63" s="75">
        <v>-3.5066696222560645E-2</v>
      </c>
      <c r="EX63" s="75">
        <v>-9.6974422210303224E-2</v>
      </c>
      <c r="EY63" s="75">
        <v>-7.5858641362312795E-2</v>
      </c>
      <c r="EZ63" s="75">
        <v>8.7471653192045973E-2</v>
      </c>
      <c r="FA63" s="75">
        <v>-9.0855233483042475E-2</v>
      </c>
      <c r="FB63" s="75">
        <v>-0.10218307177799962</v>
      </c>
      <c r="FC63" s="75">
        <v>-3.8814276135110515E-2</v>
      </c>
      <c r="FD63" s="75">
        <v>4.3664054573196887E-2</v>
      </c>
      <c r="FE63" s="75">
        <v>-5.121207277009443E-2</v>
      </c>
      <c r="FF63" s="75">
        <v>0.10342231904464128</v>
      </c>
      <c r="FG63" s="75">
        <v>-1.0358259557201877E-2</v>
      </c>
      <c r="FH63" s="75">
        <v>6.5507630048873777E-2</v>
      </c>
      <c r="FI63" s="75">
        <v>-2.1018394963616516E-2</v>
      </c>
      <c r="FJ63" s="75">
        <v>-2.2625880679254362E-2</v>
      </c>
      <c r="FK63" s="75">
        <v>-0.10283122323495325</v>
      </c>
      <c r="FL63" s="75">
        <v>-5.0045934650168211E-2</v>
      </c>
      <c r="FM63" s="75">
        <v>-7.8068761722681956E-2</v>
      </c>
      <c r="FN63" s="75">
        <v>-4.4315678714144657E-3</v>
      </c>
      <c r="FO63" s="75">
        <v>5.0824147468870873E-3</v>
      </c>
      <c r="FP63" s="75">
        <v>0.13248375576425642</v>
      </c>
      <c r="FQ63" s="75">
        <v>-9.9824706167390143E-3</v>
      </c>
      <c r="FR63" s="75">
        <v>-5.4304819012590433E-2</v>
      </c>
      <c r="FS63" s="75">
        <v>7.0495616586385701E-2</v>
      </c>
      <c r="FT63" s="75">
        <v>-4.9808119280604635E-2</v>
      </c>
      <c r="FU63" s="75">
        <v>5.826411134147208E-2</v>
      </c>
      <c r="FV63" s="75">
        <v>4.8638881384055088E-2</v>
      </c>
      <c r="FW63" s="75">
        <v>-9.5467764239174135E-2</v>
      </c>
      <c r="FX63" s="75">
        <v>-9.2108127789445049E-2</v>
      </c>
      <c r="FY63" s="75">
        <v>-4.1219920076315697E-2</v>
      </c>
      <c r="FZ63" s="75">
        <v>-5.1470084202847044E-3</v>
      </c>
      <c r="GA63" s="75">
        <v>5.6871822984901121E-2</v>
      </c>
      <c r="GB63" s="75">
        <v>1.7727084360251166E-2</v>
      </c>
      <c r="GC63" s="75">
        <v>-2.0522474292765602E-2</v>
      </c>
      <c r="GD63" s="75">
        <v>-4.4314467693603699E-2</v>
      </c>
      <c r="GE63" s="75">
        <v>-2.76099668006069E-3</v>
      </c>
      <c r="GF63" s="75">
        <v>-5.117419956548358E-2</v>
      </c>
      <c r="GG63" s="75">
        <v>6.4724112255514943E-2</v>
      </c>
      <c r="GH63" s="75">
        <v>-3.0540463197537504E-2</v>
      </c>
      <c r="GI63" s="75">
        <v>-1.092178874349431E-2</v>
      </c>
      <c r="GJ63" s="75">
        <v>-7.2446297937089843E-2</v>
      </c>
      <c r="GK63" s="75">
        <v>-0.10444232262137437</v>
      </c>
      <c r="GL63" s="75">
        <v>7.7353002827901418E-2</v>
      </c>
      <c r="GM63" s="75">
        <v>7.2028521162929793E-2</v>
      </c>
      <c r="GN63" s="75">
        <v>8.106904114702107E-3</v>
      </c>
      <c r="GO63" s="75">
        <v>0.13668126289952204</v>
      </c>
      <c r="GP63" s="75">
        <v>6.2753976222037322E-2</v>
      </c>
      <c r="GQ63" s="75">
        <v>-2.6230653608039278E-2</v>
      </c>
      <c r="GR63" s="75">
        <v>2.1041912181618272E-2</v>
      </c>
      <c r="GS63" s="75">
        <v>8.8795658115806642E-2</v>
      </c>
      <c r="GT63" s="75">
        <v>5.9466499057027389E-2</v>
      </c>
      <c r="GU63" s="75">
        <v>4.7486356042278743E-2</v>
      </c>
      <c r="GV63" s="75">
        <v>4.0488819314499658E-2</v>
      </c>
      <c r="GW63" s="75">
        <v>9.3856929687493096E-2</v>
      </c>
      <c r="GX63" s="75">
        <v>6.6707676730941579E-2</v>
      </c>
      <c r="GY63" s="75">
        <v>5.5634349508685843E-3</v>
      </c>
      <c r="GZ63" s="75">
        <v>6.2008708159921877E-2</v>
      </c>
      <c r="HA63" s="75">
        <v>-8.0102330708456071E-2</v>
      </c>
      <c r="HB63" s="75">
        <v>5.4389126945304622E-2</v>
      </c>
      <c r="HC63" s="75">
        <v>-5.2800265165704907E-2</v>
      </c>
      <c r="HD63" s="75">
        <v>9.6740656039155937E-3</v>
      </c>
      <c r="HE63" s="75">
        <v>9.0144469733499599E-2</v>
      </c>
      <c r="HF63" s="75">
        <v>7.2476037330879428E-2</v>
      </c>
      <c r="HG63" s="75">
        <v>-4.0719647743097998E-2</v>
      </c>
      <c r="HH63" s="75">
        <v>-3.359526457253903E-2</v>
      </c>
      <c r="HI63" s="75">
        <v>1.4175596333155349E-2</v>
      </c>
      <c r="HJ63" s="75">
        <v>3.1042213580724454E-2</v>
      </c>
      <c r="HK63" s="75">
        <v>0.10243398790024472</v>
      </c>
      <c r="HL63" s="75">
        <v>-2.989705167666129E-2</v>
      </c>
      <c r="HM63" s="75">
        <v>7.588235918445857E-2</v>
      </c>
      <c r="HN63" s="75">
        <v>7.4624659261253168E-3</v>
      </c>
      <c r="HO63" s="75">
        <v>-3.2583452394536527E-2</v>
      </c>
      <c r="HP63" s="75">
        <v>4.2285173091370143E-2</v>
      </c>
      <c r="HQ63" s="75">
        <v>-2.2165470029392731E-3</v>
      </c>
      <c r="HR63" s="75">
        <v>-6.3601797842448571E-3</v>
      </c>
      <c r="HS63" s="75">
        <v>3.2314941682068721E-2</v>
      </c>
      <c r="HT63" s="75">
        <v>-9.519929496923013E-2</v>
      </c>
      <c r="HU63" s="75">
        <v>-2.4470130988439975E-2</v>
      </c>
      <c r="HV63" s="75">
        <v>-1.8000719192604875E-2</v>
      </c>
      <c r="HW63" s="75">
        <v>0.15807742515184098</v>
      </c>
      <c r="HX63" s="75">
        <v>2.1657080061162071E-2</v>
      </c>
      <c r="HY63" s="75">
        <v>-5.4365507564459514E-2</v>
      </c>
      <c r="HZ63" s="75">
        <v>-6.4297922076349157E-2</v>
      </c>
      <c r="IA63" s="75">
        <v>-7.0877399406142128E-2</v>
      </c>
      <c r="IB63" s="75">
        <v>6.4401089754936303E-3</v>
      </c>
      <c r="IC63" s="75">
        <v>-3.9774789916571074E-2</v>
      </c>
      <c r="ID63" s="75">
        <v>-4.7430881715978923E-2</v>
      </c>
      <c r="IE63" s="75">
        <v>6.1070808538012999E-2</v>
      </c>
      <c r="IF63" s="75">
        <v>4.1111235126816692E-3</v>
      </c>
      <c r="IG63" s="75">
        <v>5.3669174984967927E-2</v>
      </c>
      <c r="IH63" s="75">
        <v>5.1324408682199119E-2</v>
      </c>
      <c r="II63" s="75">
        <v>6.1088646240484212E-2</v>
      </c>
      <c r="IJ63" s="75">
        <v>-3.1120064319403506E-2</v>
      </c>
      <c r="IK63" s="75">
        <v>-7.282628381434203E-2</v>
      </c>
      <c r="IL63" s="75">
        <v>-4.2731059661991977E-2</v>
      </c>
      <c r="IM63" s="75">
        <v>9.0456934104067854E-3</v>
      </c>
      <c r="IN63" s="75">
        <v>-6.5141943710791572E-2</v>
      </c>
      <c r="IO63" s="75">
        <v>-2.0208293116257492E-2</v>
      </c>
      <c r="IP63" s="75">
        <v>4.3937513383446369E-2</v>
      </c>
      <c r="IQ63" s="75">
        <v>3.9300311362958251E-2</v>
      </c>
      <c r="IR63" s="75">
        <v>5.1839016845542818E-2</v>
      </c>
      <c r="IS63" s="75">
        <v>5.1513799092446355E-3</v>
      </c>
      <c r="IT63" s="75">
        <v>6.7385017267296454E-2</v>
      </c>
      <c r="IU63" s="75">
        <v>-7.3025550334828104E-2</v>
      </c>
    </row>
    <row r="64" spans="1:255" s="74" customFormat="1" ht="14.5" x14ac:dyDescent="0.35">
      <c r="A64" s="73"/>
      <c r="B64" s="78">
        <v>2.75</v>
      </c>
      <c r="C64" s="77">
        <f t="shared" si="43"/>
        <v>2.8349301459977074E-2</v>
      </c>
      <c r="D64" s="76">
        <f t="shared" si="44"/>
        <v>8.766775297649404E-2</v>
      </c>
      <c r="E64" s="75">
        <v>-5.2501187806314187E-3</v>
      </c>
      <c r="F64" s="75">
        <v>-1.2958495590617014E-2</v>
      </c>
      <c r="G64" s="75">
        <v>0.16275043705369274</v>
      </c>
      <c r="H64" s="75">
        <v>1.6643199436000899E-2</v>
      </c>
      <c r="I64" s="75">
        <v>7.4664308926674083E-2</v>
      </c>
      <c r="J64" s="75">
        <v>-8.0729109277134448E-2</v>
      </c>
      <c r="K64" s="75">
        <v>1.4822880640145142E-3</v>
      </c>
      <c r="L64" s="75">
        <v>1.7019624308194259E-2</v>
      </c>
      <c r="M64" s="75">
        <v>4.8371529755950771E-2</v>
      </c>
      <c r="N64" s="75">
        <v>0.12533218665279683</v>
      </c>
      <c r="O64" s="75">
        <v>2.4367515774655013E-2</v>
      </c>
      <c r="P64" s="75">
        <v>-5.2682612620294167E-2</v>
      </c>
      <c r="Q64" s="75">
        <v>-6.4161964794302362E-2</v>
      </c>
      <c r="R64" s="75">
        <v>1.9344138751395512E-2</v>
      </c>
      <c r="S64" s="75">
        <v>-5.6094781551125739E-2</v>
      </c>
      <c r="T64" s="75">
        <v>-0.10908745729585956</v>
      </c>
      <c r="U64" s="75">
        <v>-1.3148611617831318E-2</v>
      </c>
      <c r="V64" s="75">
        <v>-3.37156699947605E-4</v>
      </c>
      <c r="W64" s="75">
        <v>0.19623013858251837</v>
      </c>
      <c r="X64" s="75">
        <v>-2.6563727390637892E-2</v>
      </c>
      <c r="Y64" s="75">
        <v>1.4458331899789845E-2</v>
      </c>
      <c r="Z64" s="75">
        <v>2.73027748856422E-2</v>
      </c>
      <c r="AA64" s="75">
        <v>-1.8960438271062585E-2</v>
      </c>
      <c r="AB64" s="75">
        <v>7.131180209422211E-2</v>
      </c>
      <c r="AC64" s="75">
        <v>-9.4959993133666099E-2</v>
      </c>
      <c r="AD64" s="75">
        <v>-3.2500009978954025E-2</v>
      </c>
      <c r="AE64" s="75">
        <v>-9.6554924140265341E-2</v>
      </c>
      <c r="AF64" s="75">
        <v>-8.6233713367594333E-2</v>
      </c>
      <c r="AG64" s="75">
        <v>-9.7610938047213935E-2</v>
      </c>
      <c r="AH64" s="75">
        <v>-4.0460546064454206E-2</v>
      </c>
      <c r="AI64" s="75">
        <v>-5.8694683752864629E-2</v>
      </c>
      <c r="AJ64" s="75">
        <v>-7.5244985899153904E-2</v>
      </c>
      <c r="AK64" s="75">
        <v>4.6408733893236298E-2</v>
      </c>
      <c r="AL64" s="75">
        <v>-2.6964740350391814E-2</v>
      </c>
      <c r="AM64" s="75">
        <v>-8.0305755026698622E-2</v>
      </c>
      <c r="AN64" s="75">
        <v>7.0618162324051825E-2</v>
      </c>
      <c r="AO64" s="75">
        <v>-1.5237171088606283E-2</v>
      </c>
      <c r="AP64" s="75">
        <v>0.13068339288502134</v>
      </c>
      <c r="AQ64" s="75">
        <v>-9.0944142707172493E-2</v>
      </c>
      <c r="AR64" s="75">
        <v>0.14089092431475159</v>
      </c>
      <c r="AS64" s="75">
        <v>0.11540689124529835</v>
      </c>
      <c r="AT64" s="75">
        <v>4.2643250834236146E-3</v>
      </c>
      <c r="AU64" s="75">
        <v>-7.5075032838491706E-2</v>
      </c>
      <c r="AV64" s="75">
        <v>-4.9530629468806431E-2</v>
      </c>
      <c r="AW64" s="75">
        <v>-7.5383444529865729E-2</v>
      </c>
      <c r="AX64" s="75">
        <v>9.5652112508106679E-3</v>
      </c>
      <c r="AY64" s="75">
        <v>7.0182558876789758E-2</v>
      </c>
      <c r="AZ64" s="75">
        <v>3.1902605321291189E-2</v>
      </c>
      <c r="BA64" s="75">
        <v>-8.1434536027740922E-2</v>
      </c>
      <c r="BB64" s="75">
        <v>-0.15459191905883723</v>
      </c>
      <c r="BC64" s="75">
        <v>2.278872981525909E-2</v>
      </c>
      <c r="BD64" s="75">
        <v>-7.7709752051319914E-2</v>
      </c>
      <c r="BE64" s="75">
        <v>-7.8476805735403943E-2</v>
      </c>
      <c r="BF64" s="75">
        <v>-9.6304100734268372E-2</v>
      </c>
      <c r="BG64" s="75">
        <v>-0.12308385293278645</v>
      </c>
      <c r="BH64" s="75">
        <v>-7.3636892350122107E-2</v>
      </c>
      <c r="BI64" s="75">
        <v>-4.6387562972333651E-2</v>
      </c>
      <c r="BJ64" s="75">
        <v>-3.0448859482715418E-2</v>
      </c>
      <c r="BK64" s="75">
        <v>-1.6696511455540353E-2</v>
      </c>
      <c r="BL64" s="75">
        <v>-7.104701183580836E-2</v>
      </c>
      <c r="BM64" s="75">
        <v>2.6001646920332688E-2</v>
      </c>
      <c r="BN64" s="75">
        <v>-1.9728524798804215E-2</v>
      </c>
      <c r="BO64" s="75">
        <v>-1.7440215512073698E-2</v>
      </c>
      <c r="BP64" s="75">
        <v>8.766775297649404E-2</v>
      </c>
      <c r="BQ64" s="75">
        <v>-2.7497346199194306E-2</v>
      </c>
      <c r="BR64" s="75">
        <v>-9.8044542873268969E-2</v>
      </c>
      <c r="BS64" s="75">
        <v>-2.3542905510477719E-2</v>
      </c>
      <c r="BT64" s="75">
        <v>4.4864612000623638E-2</v>
      </c>
      <c r="BU64" s="75">
        <v>-7.2416343734716393E-2</v>
      </c>
      <c r="BV64" s="75">
        <v>3.6713400779396332E-2</v>
      </c>
      <c r="BW64" s="75">
        <v>-0.11926601432090694</v>
      </c>
      <c r="BX64" s="75">
        <v>4.7855762594928464E-2</v>
      </c>
      <c r="BY64" s="75">
        <v>0.15224350032799572</v>
      </c>
      <c r="BZ64" s="75">
        <v>-2.4964372053391914E-2</v>
      </c>
      <c r="CA64" s="75">
        <v>8.7555907036915681E-2</v>
      </c>
      <c r="CB64" s="75">
        <v>4.7934906159265989E-3</v>
      </c>
      <c r="CC64" s="75">
        <v>0.13396592858633394</v>
      </c>
      <c r="CD64" s="75">
        <v>-2.4043614914251499E-2</v>
      </c>
      <c r="CE64" s="75">
        <v>0.10145350563871319</v>
      </c>
      <c r="CF64" s="75">
        <v>3.9543527361821484E-2</v>
      </c>
      <c r="CG64" s="75">
        <v>-6.3106889539868205E-2</v>
      </c>
      <c r="CH64" s="75">
        <v>4.0816968969808354E-2</v>
      </c>
      <c r="CI64" s="75">
        <v>-6.2408483197093356E-3</v>
      </c>
      <c r="CJ64" s="75">
        <v>-8.6214208250701085E-2</v>
      </c>
      <c r="CK64" s="75">
        <v>2.5645215667553511E-2</v>
      </c>
      <c r="CL64" s="75">
        <v>-6.4846333930205224E-2</v>
      </c>
      <c r="CM64" s="75">
        <v>-3.9255108236163294E-2</v>
      </c>
      <c r="CN64" s="75">
        <v>9.9477415828000459E-2</v>
      </c>
      <c r="CO64" s="75">
        <v>-0.12350872402238439</v>
      </c>
      <c r="CP64" s="75">
        <v>-4.0347740574316393E-2</v>
      </c>
      <c r="CQ64" s="75">
        <v>1.689420853560053E-3</v>
      </c>
      <c r="CR64" s="75">
        <v>4.0769749291935664E-2</v>
      </c>
      <c r="CS64" s="75">
        <v>-1.666988917095491E-2</v>
      </c>
      <c r="CT64" s="75">
        <v>5.7099596357302107E-2</v>
      </c>
      <c r="CU64" s="75">
        <v>0.15372598375570373</v>
      </c>
      <c r="CV64" s="75">
        <v>9.9037128857690893E-2</v>
      </c>
      <c r="CW64" s="75">
        <v>-1.8663443559497894E-3</v>
      </c>
      <c r="CX64" s="75">
        <v>7.6407162868208256E-2</v>
      </c>
      <c r="CY64" s="75">
        <v>-0.15060099637448865</v>
      </c>
      <c r="CZ64" s="75">
        <v>2.9786574296362056E-2</v>
      </c>
      <c r="DA64" s="75">
        <v>-4.5732148622653346E-2</v>
      </c>
      <c r="DB64" s="75">
        <v>-6.4644522450154618E-3</v>
      </c>
      <c r="DC64" s="75">
        <v>-6.0161412683517046E-2</v>
      </c>
      <c r="DD64" s="75">
        <v>5.1538102229043314E-2</v>
      </c>
      <c r="DE64" s="75">
        <v>3.9409339496688622E-2</v>
      </c>
      <c r="DF64" s="75">
        <v>-3.4839375102975911E-2</v>
      </c>
      <c r="DG64" s="75">
        <v>-4.8892015497282337E-2</v>
      </c>
      <c r="DH64" s="75">
        <v>9.1546774392212704E-2</v>
      </c>
      <c r="DI64" s="75">
        <v>6.926648911229244E-2</v>
      </c>
      <c r="DJ64" s="75">
        <v>0.15293796010686844</v>
      </c>
      <c r="DK64" s="75">
        <v>6.1498279944894763E-2</v>
      </c>
      <c r="DL64" s="75">
        <v>7.0721152208038096E-3</v>
      </c>
      <c r="DM64" s="75">
        <v>3.6854053064599823E-2</v>
      </c>
      <c r="DN64" s="75">
        <v>1.7445270438304905E-2</v>
      </c>
      <c r="DO64" s="75">
        <v>0.13462117660895478</v>
      </c>
      <c r="DP64" s="75">
        <v>8.4588710857757987E-2</v>
      </c>
      <c r="DQ64" s="75">
        <v>-4.3986250513902203E-2</v>
      </c>
      <c r="DR64" s="75">
        <v>-7.928806439728725E-2</v>
      </c>
      <c r="DS64" s="75">
        <v>-2.5668344224709816E-2</v>
      </c>
      <c r="DT64" s="75">
        <v>2.4547936067514708E-2</v>
      </c>
      <c r="DU64" s="75">
        <v>9.2717850284587122E-3</v>
      </c>
      <c r="DV64" s="75">
        <v>-6.156181448270831E-2</v>
      </c>
      <c r="DW64" s="75">
        <v>-2.0118267780076526E-3</v>
      </c>
      <c r="DX64" s="75">
        <v>-7.7528873123092867E-2</v>
      </c>
      <c r="DY64" s="75">
        <v>-3.2224685138643905E-2</v>
      </c>
      <c r="DZ64" s="75">
        <v>-6.9309989921990112E-2</v>
      </c>
      <c r="EA64" s="75">
        <v>-0.11803205259454669</v>
      </c>
      <c r="EB64" s="75">
        <v>-3.4533494923309926E-2</v>
      </c>
      <c r="EC64" s="75">
        <v>-8.2355861508924655E-2</v>
      </c>
      <c r="ED64" s="75">
        <v>3.6124772073238609E-2</v>
      </c>
      <c r="EE64" s="75">
        <v>-2.3163446500230445E-2</v>
      </c>
      <c r="EF64" s="75">
        <v>-6.9922122278093801E-3</v>
      </c>
      <c r="EG64" s="75">
        <v>1.644234869571326E-3</v>
      </c>
      <c r="EH64" s="75">
        <v>-2.069570671622778E-2</v>
      </c>
      <c r="EI64" s="75">
        <v>-5.6013851594938213E-3</v>
      </c>
      <c r="EJ64" s="75">
        <v>-4.8502061588484358E-2</v>
      </c>
      <c r="EK64" s="75">
        <v>6.3893537407567202E-3</v>
      </c>
      <c r="EL64" s="75">
        <v>8.4112680266111295E-2</v>
      </c>
      <c r="EM64" s="75">
        <v>4.6584220870070747E-2</v>
      </c>
      <c r="EN64" s="75">
        <v>-0.10565503493332157</v>
      </c>
      <c r="EO64" s="75">
        <v>3.4673995822447456E-2</v>
      </c>
      <c r="EP64" s="75">
        <v>1.6032582114748894E-2</v>
      </c>
      <c r="EQ64" s="75">
        <v>-3.7608924323932869E-2</v>
      </c>
      <c r="ER64" s="75">
        <v>1.4724691462795314E-2</v>
      </c>
      <c r="ES64" s="75">
        <v>-5.4477267073362978E-2</v>
      </c>
      <c r="ET64" s="75">
        <v>5.1384003277456347E-2</v>
      </c>
      <c r="EU64" s="75">
        <v>1.3723154466787402E-2</v>
      </c>
      <c r="EV64" s="75">
        <v>-5.1221493226345671E-2</v>
      </c>
      <c r="EW64" s="75">
        <v>-3.6945904448278111E-2</v>
      </c>
      <c r="EX64" s="75">
        <v>-6.6700157249000136E-2</v>
      </c>
      <c r="EY64" s="75">
        <v>-0.11901032376603393</v>
      </c>
      <c r="EZ64" s="75">
        <v>6.0420206661643661E-2</v>
      </c>
      <c r="FA64" s="75">
        <v>-0.1034737513334959</v>
      </c>
      <c r="FB64" s="75">
        <v>4.9216898787982521E-2</v>
      </c>
      <c r="FC64" s="75">
        <v>5.6025793859427186E-3</v>
      </c>
      <c r="FD64" s="75">
        <v>3.5511073401169824E-2</v>
      </c>
      <c r="FE64" s="75">
        <v>-0.12849718914731934</v>
      </c>
      <c r="FF64" s="75">
        <v>-3.7974928642725059E-2</v>
      </c>
      <c r="FG64" s="75">
        <v>-9.6009724901776061E-3</v>
      </c>
      <c r="FH64" s="75">
        <v>4.6131109152282801E-2</v>
      </c>
      <c r="FI64" s="75">
        <v>-7.8939168640965729E-3</v>
      </c>
      <c r="FJ64" s="75">
        <v>-5.8249458858470271E-2</v>
      </c>
      <c r="FK64" s="75">
        <v>-5.4090493653813243E-2</v>
      </c>
      <c r="FL64" s="75">
        <v>-8.7481417103708825E-2</v>
      </c>
      <c r="FM64" s="75">
        <v>7.7381167663129968E-2</v>
      </c>
      <c r="FN64" s="75">
        <v>-8.428200755028481E-3</v>
      </c>
      <c r="FO64" s="75">
        <v>3.7114772358580073E-2</v>
      </c>
      <c r="FP64" s="75">
        <v>-2.1561144713525549E-3</v>
      </c>
      <c r="FQ64" s="75">
        <v>5.6057184759431944E-2</v>
      </c>
      <c r="FR64" s="75">
        <v>2.8572917122122288E-2</v>
      </c>
      <c r="FS64" s="75">
        <v>-1.3732663287510161E-2</v>
      </c>
      <c r="FT64" s="75">
        <v>-6.5680918563952306E-3</v>
      </c>
      <c r="FU64" s="75">
        <v>-8.9983531690834007E-2</v>
      </c>
      <c r="FV64" s="75">
        <v>8.1534354449260826E-3</v>
      </c>
      <c r="FW64" s="75">
        <v>4.4700980497025367E-2</v>
      </c>
      <c r="FX64" s="75">
        <v>3.3245959815764503E-2</v>
      </c>
      <c r="FY64" s="75">
        <v>0.10362787763724796</v>
      </c>
      <c r="FZ64" s="75">
        <v>2.0195959697476507E-2</v>
      </c>
      <c r="GA64" s="75">
        <v>8.6677382176554851E-2</v>
      </c>
      <c r="GB64" s="75">
        <v>4.599400694503486E-2</v>
      </c>
      <c r="GC64" s="75">
        <v>-3.565626977965225E-2</v>
      </c>
      <c r="GD64" s="75">
        <v>-9.7585648021249916E-2</v>
      </c>
      <c r="GE64" s="75">
        <v>-6.5745655670693293E-2</v>
      </c>
      <c r="GF64" s="75">
        <v>-8.4210908102595905E-2</v>
      </c>
      <c r="GG64" s="75">
        <v>0.10078407892672681</v>
      </c>
      <c r="GH64" s="75">
        <v>8.3077320649510011E-3</v>
      </c>
      <c r="GI64" s="75">
        <v>1.140609348176197E-2</v>
      </c>
      <c r="GJ64" s="75">
        <v>-2.394892455346237E-2</v>
      </c>
      <c r="GK64" s="75">
        <v>-0.10603862975076972</v>
      </c>
      <c r="GL64" s="75">
        <v>9.6457882560828434E-2</v>
      </c>
      <c r="GM64" s="75">
        <v>0.15901613546245741</v>
      </c>
      <c r="GN64" s="75">
        <v>1.5159749886535623E-2</v>
      </c>
      <c r="GO64" s="75">
        <v>0.14785679178630923</v>
      </c>
      <c r="GP64" s="75">
        <v>4.7147081681818637E-2</v>
      </c>
      <c r="GQ64" s="75">
        <v>6.0898774391461297E-2</v>
      </c>
      <c r="GR64" s="75">
        <v>-6.0358938745407431E-2</v>
      </c>
      <c r="GS64" s="75">
        <v>-9.5370371864915149E-3</v>
      </c>
      <c r="GT64" s="75">
        <v>-8.3114728622007805E-2</v>
      </c>
      <c r="GU64" s="75">
        <v>8.5836546132279534E-2</v>
      </c>
      <c r="GV64" s="75">
        <v>4.2507342014812044E-2</v>
      </c>
      <c r="GW64" s="75">
        <v>3.1593652167840547E-2</v>
      </c>
      <c r="GX64" s="75">
        <v>8.6371409561178392E-3</v>
      </c>
      <c r="GY64" s="75">
        <v>2.2694647279883295E-2</v>
      </c>
      <c r="GZ64" s="75">
        <v>8.0018036161231543E-2</v>
      </c>
      <c r="HA64" s="75">
        <v>-7.8652999993908623E-2</v>
      </c>
      <c r="HB64" s="75">
        <v>7.6041993659129781E-2</v>
      </c>
      <c r="HC64" s="75">
        <v>9.9087862372384983E-2</v>
      </c>
      <c r="HD64" s="75">
        <v>-4.6521036354135736E-4</v>
      </c>
      <c r="HE64" s="75">
        <v>-0.13488098023269052</v>
      </c>
      <c r="HF64" s="75">
        <v>5.3061310139085771E-2</v>
      </c>
      <c r="HG64" s="75">
        <v>3.6890086624162766E-2</v>
      </c>
      <c r="HH64" s="75">
        <v>4.6648181520098031E-2</v>
      </c>
      <c r="HI64" s="75">
        <v>-4.1932672299259843E-2</v>
      </c>
      <c r="HJ64" s="75">
        <v>-5.7798600307806203E-2</v>
      </c>
      <c r="HK64" s="75">
        <v>9.5103966279121932E-2</v>
      </c>
      <c r="HL64" s="75">
        <v>-3.9129571645989014E-2</v>
      </c>
      <c r="HM64" s="75">
        <v>-2.6629428044644909E-2</v>
      </c>
      <c r="HN64" s="75">
        <v>-9.0944883853458947E-2</v>
      </c>
      <c r="HO64" s="75">
        <v>-8.0639587635402521E-2</v>
      </c>
      <c r="HP64" s="75">
        <v>0.10083026616216006</v>
      </c>
      <c r="HQ64" s="75">
        <v>4.4131025520309175E-2</v>
      </c>
      <c r="HR64" s="75">
        <v>-5.6203953731211953E-2</v>
      </c>
      <c r="HS64" s="75">
        <v>5.8858233551236427E-2</v>
      </c>
      <c r="HT64" s="75">
        <v>-0.10512184125794605</v>
      </c>
      <c r="HU64" s="75">
        <v>8.5642381441678461E-3</v>
      </c>
      <c r="HV64" s="75">
        <v>-4.6684708992462687E-3</v>
      </c>
      <c r="HW64" s="75">
        <v>0.12651566064015196</v>
      </c>
      <c r="HX64" s="75">
        <v>4.4911723431448336E-2</v>
      </c>
      <c r="HY64" s="75">
        <v>-3.290783288878496E-3</v>
      </c>
      <c r="HZ64" s="75">
        <v>0.19146202246984284</v>
      </c>
      <c r="IA64" s="75">
        <v>-4.0975530223638756E-2</v>
      </c>
      <c r="IB64" s="75">
        <v>-3.2891328356433103E-2</v>
      </c>
      <c r="IC64" s="75">
        <v>-1.8286366626047212E-2</v>
      </c>
      <c r="ID64" s="75">
        <v>2.3633755135990475E-2</v>
      </c>
      <c r="IE64" s="75">
        <v>7.6937031801587064E-2</v>
      </c>
      <c r="IF64" s="75">
        <v>6.6961226050100131E-3</v>
      </c>
      <c r="IG64" s="75">
        <v>5.0804109940961573E-2</v>
      </c>
      <c r="IH64" s="75">
        <v>7.7244742804309319E-2</v>
      </c>
      <c r="II64" s="75">
        <v>7.9723948950193413E-2</v>
      </c>
      <c r="IJ64" s="75">
        <v>-6.4688218730579727E-3</v>
      </c>
      <c r="IK64" s="75">
        <v>-8.0555649282206321E-2</v>
      </c>
      <c r="IL64" s="75">
        <v>-2.5241704934432396E-2</v>
      </c>
      <c r="IM64" s="75">
        <v>-1.0132352190609484E-2</v>
      </c>
      <c r="IN64" s="75">
        <v>-5.8304735790770001E-2</v>
      </c>
      <c r="IO64" s="75">
        <v>-1.2105568978335923E-2</v>
      </c>
      <c r="IP64" s="75">
        <v>3.0938401377170299E-2</v>
      </c>
      <c r="IQ64" s="75">
        <v>-7.6768600833247769E-2</v>
      </c>
      <c r="IR64" s="75">
        <v>-3.1700871272414832E-3</v>
      </c>
      <c r="IS64" s="75">
        <v>0.13272251142041358</v>
      </c>
      <c r="IT64" s="75">
        <v>5.4497229670536329E-2</v>
      </c>
      <c r="IU64" s="75">
        <v>-1.1566096775429691E-2</v>
      </c>
    </row>
    <row r="65" spans="1:255" s="74" customFormat="1" ht="14.5" x14ac:dyDescent="0.35">
      <c r="A65" s="73"/>
      <c r="B65" s="78">
        <v>3</v>
      </c>
      <c r="C65" s="77">
        <f t="shared" si="43"/>
        <v>2.7627327946862838E-2</v>
      </c>
      <c r="D65" s="76">
        <f t="shared" si="44"/>
        <v>8.6710094493837819E-2</v>
      </c>
      <c r="E65" s="75">
        <v>-5.7926441896639091E-2</v>
      </c>
      <c r="F65" s="75">
        <v>-9.9748423293057331E-3</v>
      </c>
      <c r="G65" s="75">
        <v>0.17902328587182825</v>
      </c>
      <c r="H65" s="75">
        <v>1.5217391013940429E-2</v>
      </c>
      <c r="I65" s="75">
        <v>6.6643933499894725E-2</v>
      </c>
      <c r="J65" s="75">
        <v>-8.4463525316749388E-2</v>
      </c>
      <c r="K65" s="75">
        <v>-3.2648940961138573E-4</v>
      </c>
      <c r="L65" s="75">
        <v>1.7037965437360358E-2</v>
      </c>
      <c r="M65" s="75">
        <v>4.8228899238571432E-2</v>
      </c>
      <c r="N65" s="75">
        <v>0.10385410434158981</v>
      </c>
      <c r="O65" s="75">
        <v>8.7961644028914932E-3</v>
      </c>
      <c r="P65" s="75">
        <v>-4.197790227381426E-2</v>
      </c>
      <c r="Q65" s="75">
        <v>-5.5666292576655174E-2</v>
      </c>
      <c r="R65" s="75">
        <v>-9.1806972277119758E-4</v>
      </c>
      <c r="S65" s="75">
        <v>-4.1535528993714321E-2</v>
      </c>
      <c r="T65" s="75">
        <v>-0.10751901323824126</v>
      </c>
      <c r="U65" s="75">
        <v>-1.0150528719064467E-2</v>
      </c>
      <c r="V65" s="75">
        <v>3.8419986005482742E-2</v>
      </c>
      <c r="W65" s="75">
        <v>0.17500289080209802</v>
      </c>
      <c r="X65" s="75">
        <v>-1.8753470176886389E-2</v>
      </c>
      <c r="Y65" s="75">
        <v>3.5343276777315191E-2</v>
      </c>
      <c r="Z65" s="75">
        <v>2.5556912477603E-2</v>
      </c>
      <c r="AA65" s="75">
        <v>-6.5267873015288858E-2</v>
      </c>
      <c r="AB65" s="75">
        <v>6.0378833558576983E-2</v>
      </c>
      <c r="AC65" s="75">
        <v>-7.6131641170758546E-2</v>
      </c>
      <c r="AD65" s="75">
        <v>-4.4948314515855237E-3</v>
      </c>
      <c r="AE65" s="75">
        <v>-0.13063273129231201</v>
      </c>
      <c r="AF65" s="75">
        <v>-6.1356119215922988E-2</v>
      </c>
      <c r="AG65" s="75">
        <v>-7.4519947182184798E-2</v>
      </c>
      <c r="AH65" s="75">
        <v>-2.3339985606699309E-2</v>
      </c>
      <c r="AI65" s="75">
        <v>-5.7068518394516932E-2</v>
      </c>
      <c r="AJ65" s="75">
        <v>-4.8778825257415337E-2</v>
      </c>
      <c r="AK65" s="75">
        <v>7.05417211701026E-3</v>
      </c>
      <c r="AL65" s="75">
        <v>-3.8793985659323404E-2</v>
      </c>
      <c r="AM65" s="75">
        <v>-9.0422537540075121E-2</v>
      </c>
      <c r="AN65" s="75">
        <v>8.7357420003948139E-2</v>
      </c>
      <c r="AO65" s="75">
        <v>-2.7540304907734514E-2</v>
      </c>
      <c r="AP65" s="75">
        <v>0.14250667295498737</v>
      </c>
      <c r="AQ65" s="75">
        <v>-5.9471354705455504E-2</v>
      </c>
      <c r="AR65" s="75">
        <v>0.18223534498141736</v>
      </c>
      <c r="AS65" s="75">
        <v>0.10854951760374321</v>
      </c>
      <c r="AT65" s="75">
        <v>4.4405144173724875E-2</v>
      </c>
      <c r="AU65" s="75">
        <v>-7.1840339267075559E-2</v>
      </c>
      <c r="AV65" s="75">
        <v>-7.6524408565994184E-2</v>
      </c>
      <c r="AW65" s="75">
        <v>-7.6776705376190524E-2</v>
      </c>
      <c r="AX65" s="75">
        <v>9.4420756049350962E-3</v>
      </c>
      <c r="AY65" s="75">
        <v>5.6144372871841486E-2</v>
      </c>
      <c r="AZ65" s="75">
        <v>1.1344271740251155E-2</v>
      </c>
      <c r="BA65" s="75">
        <v>-7.1437353375233659E-2</v>
      </c>
      <c r="BB65" s="75">
        <v>-0.15032508942580231</v>
      </c>
      <c r="BC65" s="75">
        <v>2.9005899693190063E-2</v>
      </c>
      <c r="BD65" s="75">
        <v>-9.5603204819993681E-2</v>
      </c>
      <c r="BE65" s="75">
        <v>-6.5458044801575854E-2</v>
      </c>
      <c r="BF65" s="75">
        <v>-9.2623903261774609E-2</v>
      </c>
      <c r="BG65" s="75">
        <v>-0.13880288289583531</v>
      </c>
      <c r="BH65" s="75">
        <v>-9.8506488437483108E-2</v>
      </c>
      <c r="BI65" s="75">
        <v>-6.5887610705515798E-2</v>
      </c>
      <c r="BJ65" s="75">
        <v>4.5446872283866346E-4</v>
      </c>
      <c r="BK65" s="75">
        <v>1.3572939429135067E-4</v>
      </c>
      <c r="BL65" s="75">
        <v>-5.2069794677718717E-2</v>
      </c>
      <c r="BM65" s="75">
        <v>-1.1195384649017037E-3</v>
      </c>
      <c r="BN65" s="75">
        <v>-2.2984418916469351E-2</v>
      </c>
      <c r="BO65" s="75">
        <v>-1.4456870007460432E-3</v>
      </c>
      <c r="BP65" s="75">
        <v>8.2288889356992911E-2</v>
      </c>
      <c r="BQ65" s="75">
        <v>-5.8898090902399503E-3</v>
      </c>
      <c r="BR65" s="75">
        <v>-8.6343277848337341E-2</v>
      </c>
      <c r="BS65" s="75">
        <v>1.734943234754921E-2</v>
      </c>
      <c r="BT65" s="75">
        <v>5.2905362780750087E-2</v>
      </c>
      <c r="BU65" s="75">
        <v>-7.999141185897779E-2</v>
      </c>
      <c r="BV65" s="75">
        <v>3.8443926034695264E-2</v>
      </c>
      <c r="BW65" s="75">
        <v>-0.117346534483316</v>
      </c>
      <c r="BX65" s="75">
        <v>1.8952657470070577E-2</v>
      </c>
      <c r="BY65" s="75">
        <v>0.13408586242847986</v>
      </c>
      <c r="BZ65" s="75">
        <v>1.0856446871170322E-2</v>
      </c>
      <c r="CA65" s="75">
        <v>0.1115730143157444</v>
      </c>
      <c r="CB65" s="75">
        <v>1.4998964159173456E-2</v>
      </c>
      <c r="CC65" s="75">
        <v>0.13902343944932671</v>
      </c>
      <c r="CD65" s="75">
        <v>-1.7772330738136166E-2</v>
      </c>
      <c r="CE65" s="75">
        <v>6.5003319461861442E-2</v>
      </c>
      <c r="CF65" s="75">
        <v>4.81732632703048E-2</v>
      </c>
      <c r="CG65" s="75">
        <v>-6.2136044651369682E-2</v>
      </c>
      <c r="CH65" s="75">
        <v>2.2948567998536784E-2</v>
      </c>
      <c r="CI65" s="75">
        <v>8.8845623673929341E-3</v>
      </c>
      <c r="CJ65" s="75">
        <v>-9.7770282410274967E-2</v>
      </c>
      <c r="CK65" s="75">
        <v>-2.875624545770894E-3</v>
      </c>
      <c r="CL65" s="75">
        <v>-8.4634744723863287E-2</v>
      </c>
      <c r="CM65" s="75">
        <v>-3.9690303862464527E-2</v>
      </c>
      <c r="CN65" s="75">
        <v>0.12357174648308861</v>
      </c>
      <c r="CO65" s="75">
        <v>-0.11871332708666554</v>
      </c>
      <c r="CP65" s="75">
        <v>-4.0035543923303163E-2</v>
      </c>
      <c r="CQ65" s="75">
        <v>1.0645324434854442E-2</v>
      </c>
      <c r="CR65" s="75">
        <v>3.782878633652581E-2</v>
      </c>
      <c r="CS65" s="75">
        <v>1.6067296717089785E-2</v>
      </c>
      <c r="CT65" s="75">
        <v>3.5965193221830949E-2</v>
      </c>
      <c r="CU65" s="75">
        <v>0.14029970179439444</v>
      </c>
      <c r="CV65" s="75">
        <v>0.11013081731513452</v>
      </c>
      <c r="CW65" s="75">
        <v>2.4290788996926549E-2</v>
      </c>
      <c r="CX65" s="75">
        <v>6.6547771063088845E-2</v>
      </c>
      <c r="CY65" s="75">
        <v>-0.13128077302365893</v>
      </c>
      <c r="CZ65" s="75">
        <v>3.1118032573373311E-2</v>
      </c>
      <c r="DA65" s="75">
        <v>-2.222694802228542E-2</v>
      </c>
      <c r="DB65" s="75">
        <v>0.1374787583223217</v>
      </c>
      <c r="DC65" s="75">
        <v>-7.5238514145415381E-3</v>
      </c>
      <c r="DD65" s="75">
        <v>9.9841545096136519E-3</v>
      </c>
      <c r="DE65" s="75">
        <v>3.4901155097946057E-2</v>
      </c>
      <c r="DF65" s="75">
        <v>-4.1629548125454996E-2</v>
      </c>
      <c r="DG65" s="75">
        <v>-7.0241110699365839E-2</v>
      </c>
      <c r="DH65" s="75">
        <v>0.1118199356040423</v>
      </c>
      <c r="DI65" s="75">
        <v>7.9700315306108049E-2</v>
      </c>
      <c r="DJ65" s="75">
        <v>-4.1441249016870352E-2</v>
      </c>
      <c r="DK65" s="75">
        <v>8.6710094493837819E-2</v>
      </c>
      <c r="DL65" s="75">
        <v>1.0870026672181177E-2</v>
      </c>
      <c r="DM65" s="75">
        <v>2.0536042153747047E-3</v>
      </c>
      <c r="DN65" s="75">
        <v>1.9330708697990862E-2</v>
      </c>
      <c r="DO65" s="75">
        <v>-2.3312468432784894E-2</v>
      </c>
      <c r="DP65" s="75">
        <v>0.12154494034984592</v>
      </c>
      <c r="DQ65" s="75">
        <v>-1.0843254432705451E-2</v>
      </c>
      <c r="DR65" s="75">
        <v>-6.5264174970993516E-2</v>
      </c>
      <c r="DS65" s="75">
        <v>-3.0854525200204153E-2</v>
      </c>
      <c r="DT65" s="75">
        <v>-2.013433792819197E-2</v>
      </c>
      <c r="DU65" s="75">
        <v>3.2050486517645527E-2</v>
      </c>
      <c r="DV65" s="75">
        <v>-5.359566991123127E-2</v>
      </c>
      <c r="DW65" s="75">
        <v>-1.5441651857442396E-2</v>
      </c>
      <c r="DX65" s="75">
        <v>-9.1460361559750236E-2</v>
      </c>
      <c r="DY65" s="75">
        <v>-2.6510769288361269E-2</v>
      </c>
      <c r="DZ65" s="75">
        <v>-9.8823938816888945E-2</v>
      </c>
      <c r="EA65" s="75">
        <v>-0.11621021656019437</v>
      </c>
      <c r="EB65" s="75">
        <v>-1.685824571617367E-3</v>
      </c>
      <c r="EC65" s="75">
        <v>-8.456816797158917E-2</v>
      </c>
      <c r="ED65" s="75">
        <v>5.7680802442509838E-2</v>
      </c>
      <c r="EE65" s="75">
        <v>-3.7430251868075193E-2</v>
      </c>
      <c r="EF65" s="75">
        <v>1.2176539531126018E-2</v>
      </c>
      <c r="EG65" s="75">
        <v>-4.0099730128061617E-2</v>
      </c>
      <c r="EH65" s="75">
        <v>-2.0272325821899695E-2</v>
      </c>
      <c r="EI65" s="75">
        <v>3.7270373539217694E-2</v>
      </c>
      <c r="EJ65" s="75">
        <v>-4.2213268030176054E-2</v>
      </c>
      <c r="EK65" s="75">
        <v>2.4002340336742978E-2</v>
      </c>
      <c r="EL65" s="75">
        <v>0.12993113389280364</v>
      </c>
      <c r="EM65" s="75">
        <v>5.3410139232409282E-2</v>
      </c>
      <c r="EN65" s="75">
        <v>-9.2438928475075344E-2</v>
      </c>
      <c r="EO65" s="75">
        <v>4.8109123657242292E-3</v>
      </c>
      <c r="EP65" s="75">
        <v>-5.9671117756596836E-2</v>
      </c>
      <c r="EQ65" s="75">
        <v>3.0214484453598867E-2</v>
      </c>
      <c r="ER65" s="75">
        <v>0.12842666610613462</v>
      </c>
      <c r="ES65" s="75">
        <v>1.0427182773234123E-2</v>
      </c>
      <c r="ET65" s="75">
        <v>4.290205663899771E-2</v>
      </c>
      <c r="EU65" s="75">
        <v>-0.10837005915687942</v>
      </c>
      <c r="EV65" s="75">
        <v>-8.4216475794763823E-2</v>
      </c>
      <c r="EW65" s="75">
        <v>0.12560464940090016</v>
      </c>
      <c r="EX65" s="75">
        <v>7.0101832793302843E-2</v>
      </c>
      <c r="EY65" s="75">
        <v>7.0880462193854299E-2</v>
      </c>
      <c r="EZ65" s="75">
        <v>-6.3031202440892442E-2</v>
      </c>
      <c r="FA65" s="75">
        <v>-0.11326009228427064</v>
      </c>
      <c r="FB65" s="75">
        <v>5.6596928474228703E-2</v>
      </c>
      <c r="FC65" s="75">
        <v>2.1183387640853923E-2</v>
      </c>
      <c r="FD65" s="75">
        <v>1.3559941285398946E-2</v>
      </c>
      <c r="FE65" s="75">
        <v>3.326826606588229E-3</v>
      </c>
      <c r="FF65" s="75">
        <v>0.11293481953831741</v>
      </c>
      <c r="FG65" s="75">
        <v>-5.9692724033609312E-2</v>
      </c>
      <c r="FH65" s="75">
        <v>9.9564354298488644E-3</v>
      </c>
      <c r="FI65" s="75">
        <v>-7.8971223121579892E-2</v>
      </c>
      <c r="FJ65" s="75">
        <v>9.3056293398146694E-2</v>
      </c>
      <c r="FK65" s="75">
        <v>-2.513747024635421E-2</v>
      </c>
      <c r="FL65" s="75">
        <v>-9.2996745402438019E-2</v>
      </c>
      <c r="FM65" s="75">
        <v>4.8859912028211272E-2</v>
      </c>
      <c r="FN65" s="75">
        <v>0.11288163489587216</v>
      </c>
      <c r="FO65" s="75">
        <v>2.9656303035846487E-2</v>
      </c>
      <c r="FP65" s="75">
        <v>-2.0474027776617998E-2</v>
      </c>
      <c r="FQ65" s="75">
        <v>6.0707441581660526E-2</v>
      </c>
      <c r="FR65" s="75">
        <v>8.4196230901897873E-3</v>
      </c>
      <c r="FS65" s="75">
        <v>-2.911600741902276E-3</v>
      </c>
      <c r="FT65" s="75">
        <v>3.9799747190377655E-2</v>
      </c>
      <c r="FU65" s="75">
        <v>-9.5963902497639586E-2</v>
      </c>
      <c r="FV65" s="75">
        <v>4.3115635458175761E-2</v>
      </c>
      <c r="FW65" s="75">
        <v>3.7800238663012353E-2</v>
      </c>
      <c r="FX65" s="75">
        <v>2.7347755817628383E-2</v>
      </c>
      <c r="FY65" s="75">
        <v>7.0713382856875562E-2</v>
      </c>
      <c r="FZ65" s="75">
        <v>2.5967119997391541E-2</v>
      </c>
      <c r="GA65" s="75">
        <v>-3.0352178710613686E-2</v>
      </c>
      <c r="GB65" s="75">
        <v>3.8465779052114235E-3</v>
      </c>
      <c r="GC65" s="75">
        <v>-3.0177019777286984E-2</v>
      </c>
      <c r="GD65" s="75">
        <v>2.7082427398661069E-2</v>
      </c>
      <c r="GE65" s="75">
        <v>-5.9190853127829346E-2</v>
      </c>
      <c r="GF65" s="75">
        <v>-3.1019314237250295E-2</v>
      </c>
      <c r="GG65" s="75">
        <v>-5.4028588310471692E-2</v>
      </c>
      <c r="GH65" s="75">
        <v>-5.2881528589598992E-2</v>
      </c>
      <c r="GI65" s="75">
        <v>2.8611844590363644E-2</v>
      </c>
      <c r="GJ65" s="75">
        <v>7.3654104911009877E-2</v>
      </c>
      <c r="GK65" s="75">
        <v>-2.1488148969773579E-2</v>
      </c>
      <c r="GL65" s="75">
        <v>-8.1810498387480113E-3</v>
      </c>
      <c r="GM65" s="75">
        <v>0.16699281777749697</v>
      </c>
      <c r="GN65" s="75">
        <v>5.3833702780508363E-2</v>
      </c>
      <c r="GO65" s="75">
        <v>-6.0897285584741334E-2</v>
      </c>
      <c r="GP65" s="75">
        <v>1.9845981375528565E-2</v>
      </c>
      <c r="GQ65" s="75">
        <v>7.2042704507150557E-2</v>
      </c>
      <c r="GR65" s="75">
        <v>-2.8200308502645932E-2</v>
      </c>
      <c r="GS65" s="75">
        <v>1.0397457153545342E-3</v>
      </c>
      <c r="GT65" s="75">
        <v>7.4929231417205588E-2</v>
      </c>
      <c r="GU65" s="75">
        <v>1.9801627428456814E-3</v>
      </c>
      <c r="GV65" s="75">
        <v>2.9765920443814542E-2</v>
      </c>
      <c r="GW65" s="75">
        <v>-8.6015625678810492E-2</v>
      </c>
      <c r="GX65" s="75">
        <v>-1.2643158453683467E-3</v>
      </c>
      <c r="GY65" s="75">
        <v>8.4979741655028918E-2</v>
      </c>
      <c r="GZ65" s="75">
        <v>-1.6207259453193401E-2</v>
      </c>
      <c r="HA65" s="75">
        <v>6.794459899207006E-2</v>
      </c>
      <c r="HB65" s="75">
        <v>-6.0499726696557177E-2</v>
      </c>
      <c r="HC65" s="75">
        <v>8.2059224969238342E-2</v>
      </c>
      <c r="HD65" s="75">
        <v>-4.6225061115430788E-3</v>
      </c>
      <c r="HE65" s="75">
        <v>-0.15216055580423704</v>
      </c>
      <c r="HF65" s="75">
        <v>3.5965326126711106E-2</v>
      </c>
      <c r="HG65" s="75">
        <v>0.1087017936900242</v>
      </c>
      <c r="HH65" s="75">
        <v>8.5242725040325373E-3</v>
      </c>
      <c r="HI65" s="75">
        <v>-0.11145729349487926</v>
      </c>
      <c r="HJ65" s="75">
        <v>8.9312491683647244E-2</v>
      </c>
      <c r="HK65" s="75">
        <v>-6.8569642195161762E-2</v>
      </c>
      <c r="HL65" s="75">
        <v>-4.6644216335060551E-3</v>
      </c>
      <c r="HM65" s="75">
        <v>8.8522572624295026E-2</v>
      </c>
      <c r="HN65" s="75">
        <v>-6.4117275101001903E-2</v>
      </c>
      <c r="HO65" s="75">
        <v>1.3247810031999208E-2</v>
      </c>
      <c r="HP65" s="75">
        <v>1.6056781001448972E-2</v>
      </c>
      <c r="HQ65" s="75">
        <v>-0.10960244770867311</v>
      </c>
      <c r="HR65" s="75">
        <v>-0.10425978455667978</v>
      </c>
      <c r="HS65" s="75">
        <v>-5.1177709925418258E-2</v>
      </c>
      <c r="HT65" s="75">
        <v>2.5403923527534789E-2</v>
      </c>
      <c r="HU65" s="75">
        <v>6.1603413307802057E-2</v>
      </c>
      <c r="HV65" s="75">
        <v>4.3804682702077158E-2</v>
      </c>
      <c r="HW65" s="75">
        <v>-1.4012787018930772E-2</v>
      </c>
      <c r="HX65" s="75">
        <v>-1.752109625897702E-2</v>
      </c>
      <c r="HY65" s="75">
        <v>9.5963401248483904E-3</v>
      </c>
      <c r="HZ65" s="75">
        <v>6.7904620806074734E-2</v>
      </c>
      <c r="IA65" s="75">
        <v>-6.4193528600133276E-2</v>
      </c>
      <c r="IB65" s="75">
        <v>-2.0549172286104533E-2</v>
      </c>
      <c r="IC65" s="75">
        <v>-2.5618158246267175E-2</v>
      </c>
      <c r="ID65" s="75">
        <v>-9.7073919321730096E-2</v>
      </c>
      <c r="IE65" s="75">
        <v>2.9885113947870523E-2</v>
      </c>
      <c r="IF65" s="75">
        <v>-1.582334455789941E-2</v>
      </c>
      <c r="IG65" s="75">
        <v>5.9937685832901322E-2</v>
      </c>
      <c r="IH65" s="75">
        <v>6.2607933047487241E-2</v>
      </c>
      <c r="II65" s="75">
        <v>6.6377877800846252E-2</v>
      </c>
      <c r="IJ65" s="75">
        <v>-4.3387849898486042E-2</v>
      </c>
      <c r="IK65" s="75">
        <v>-2.8958737746747509E-2</v>
      </c>
      <c r="IL65" s="75">
        <v>-2.8135041724053955E-2</v>
      </c>
      <c r="IM65" s="75">
        <v>-5.8074806331127549E-2</v>
      </c>
      <c r="IN65" s="75">
        <v>1.1099135786104608E-2</v>
      </c>
      <c r="IO65" s="75">
        <v>1.3404226024999411E-2</v>
      </c>
      <c r="IP65" s="75">
        <v>5.0641073959856842E-2</v>
      </c>
      <c r="IQ65" s="75">
        <v>6.3111425690547174E-2</v>
      </c>
      <c r="IR65" s="75">
        <v>-3.414932699673745E-2</v>
      </c>
      <c r="IS65" s="75">
        <v>3.1954695506834163E-2</v>
      </c>
      <c r="IT65" s="75">
        <v>5.4345107938458814E-2</v>
      </c>
      <c r="IU65" s="75">
        <v>3.1955812854043086E-2</v>
      </c>
    </row>
    <row r="66" spans="1:255" s="74" customFormat="1" ht="14.5" x14ac:dyDescent="0.35">
      <c r="A66" s="73"/>
      <c r="B66" s="78">
        <v>3.25</v>
      </c>
      <c r="C66" s="77">
        <f t="shared" si="43"/>
        <v>2.9775541318188051E-2</v>
      </c>
      <c r="D66" s="76">
        <f t="shared" si="44"/>
        <v>9.4457488026209235E-2</v>
      </c>
      <c r="E66" s="75">
        <v>-6.088674768095742E-2</v>
      </c>
      <c r="F66" s="75">
        <v>9.7623550390046887E-3</v>
      </c>
      <c r="G66" s="75">
        <v>0.21313911922168244</v>
      </c>
      <c r="H66" s="75">
        <v>6.208329724417827E-2</v>
      </c>
      <c r="I66" s="75">
        <v>6.313037339235622E-2</v>
      </c>
      <c r="J66" s="75">
        <v>-6.4231019520290367E-2</v>
      </c>
      <c r="K66" s="75">
        <v>-4.0979484153837897E-2</v>
      </c>
      <c r="L66" s="75">
        <v>5.0942330215328624E-2</v>
      </c>
      <c r="M66" s="75">
        <v>6.2721064838162255E-2</v>
      </c>
      <c r="N66" s="75">
        <v>9.7022857863444334E-2</v>
      </c>
      <c r="O66" s="75">
        <v>1.7394277181478179E-2</v>
      </c>
      <c r="P66" s="75">
        <v>-7.6515349762088791E-2</v>
      </c>
      <c r="Q66" s="75">
        <v>-4.7234666952434945E-2</v>
      </c>
      <c r="R66" s="75">
        <v>-5.6564265155197302E-3</v>
      </c>
      <c r="S66" s="75">
        <v>-5.6186709486293285E-2</v>
      </c>
      <c r="T66" s="75">
        <v>-8.1232418341929458E-2</v>
      </c>
      <c r="U66" s="75">
        <v>-3.5611597130608796E-2</v>
      </c>
      <c r="V66" s="75">
        <v>5.0224146559143257E-2</v>
      </c>
      <c r="W66" s="75">
        <v>0.17302916280334796</v>
      </c>
      <c r="X66" s="75">
        <v>3.1619396416399104E-3</v>
      </c>
      <c r="Y66" s="75">
        <v>4.2207917186615318E-2</v>
      </c>
      <c r="Z66" s="75">
        <v>1.0039612696925271E-2</v>
      </c>
      <c r="AA66" s="75">
        <v>-6.197585009869222E-2</v>
      </c>
      <c r="AB66" s="75">
        <v>7.0910567671806424E-2</v>
      </c>
      <c r="AC66" s="75">
        <v>-4.5598790395594557E-2</v>
      </c>
      <c r="AD66" s="75">
        <v>-5.5275695901297328E-3</v>
      </c>
      <c r="AE66" s="75">
        <v>-0.11179485756051044</v>
      </c>
      <c r="AF66" s="75">
        <v>-2.8463558400653732E-2</v>
      </c>
      <c r="AG66" s="75">
        <v>-0.11668300184976371</v>
      </c>
      <c r="AH66" s="75">
        <v>-3.596379610690309E-2</v>
      </c>
      <c r="AI66" s="75">
        <v>-7.0671199125723783E-2</v>
      </c>
      <c r="AJ66" s="75">
        <v>-7.1671232919053252E-2</v>
      </c>
      <c r="AK66" s="75">
        <v>1.0634793824090216E-2</v>
      </c>
      <c r="AL66" s="75">
        <v>1.3262572156756969E-2</v>
      </c>
      <c r="AM66" s="75">
        <v>-9.3357330911358172E-2</v>
      </c>
      <c r="AN66" s="75">
        <v>8.1866054747153971E-2</v>
      </c>
      <c r="AO66" s="75">
        <v>-2.4590292619309839E-2</v>
      </c>
      <c r="AP66" s="75">
        <v>0.17336320670500149</v>
      </c>
      <c r="AQ66" s="75">
        <v>-8.4592432435414977E-2</v>
      </c>
      <c r="AR66" s="75">
        <v>0.17024338851945814</v>
      </c>
      <c r="AS66" s="75">
        <v>7.218910258650918E-2</v>
      </c>
      <c r="AT66" s="75">
        <v>3.5559379374918321E-2</v>
      </c>
      <c r="AU66" s="75">
        <v>-6.9538058291689409E-2</v>
      </c>
      <c r="AV66" s="75">
        <v>-5.7234709157842734E-2</v>
      </c>
      <c r="AW66" s="75">
        <v>-5.4656273708931558E-2</v>
      </c>
      <c r="AX66" s="75">
        <v>-4.4522806245137492E-3</v>
      </c>
      <c r="AY66" s="75">
        <v>1.1817771462813598E-2</v>
      </c>
      <c r="AZ66" s="75">
        <v>5.6636868070910062E-3</v>
      </c>
      <c r="BA66" s="75">
        <v>-8.1210312123758122E-2</v>
      </c>
      <c r="BB66" s="75">
        <v>-0.14826058541880843</v>
      </c>
      <c r="BC66" s="75">
        <v>5.5972826603988057E-2</v>
      </c>
      <c r="BD66" s="75">
        <v>-0.10164039034062838</v>
      </c>
      <c r="BE66" s="75">
        <v>-6.0930384318078623E-2</v>
      </c>
      <c r="BF66" s="75">
        <v>-9.1587344351193811E-2</v>
      </c>
      <c r="BG66" s="75">
        <v>-0.11921120252265349</v>
      </c>
      <c r="BH66" s="75">
        <v>-0.10572578205565519</v>
      </c>
      <c r="BI66" s="75">
        <v>-5.2706746645647673E-2</v>
      </c>
      <c r="BJ66" s="75">
        <v>1.7661386499941811E-2</v>
      </c>
      <c r="BK66" s="75">
        <v>-6.9023393369396779E-3</v>
      </c>
      <c r="BL66" s="75">
        <v>-8.5567255954952237E-2</v>
      </c>
      <c r="BM66" s="75">
        <v>4.3970006108967619E-4</v>
      </c>
      <c r="BN66" s="75">
        <v>-1.5418157641132191E-2</v>
      </c>
      <c r="BO66" s="75">
        <v>-2.812657656876788E-2</v>
      </c>
      <c r="BP66" s="75">
        <v>7.4749441888019241E-2</v>
      </c>
      <c r="BQ66" s="75">
        <v>4.6102777944560525E-3</v>
      </c>
      <c r="BR66" s="75">
        <v>-6.2284366673436842E-2</v>
      </c>
      <c r="BS66" s="75">
        <v>5.0304430845081294E-2</v>
      </c>
      <c r="BT66" s="75">
        <v>2.6442387043846716E-2</v>
      </c>
      <c r="BU66" s="75">
        <v>-7.3545846688373995E-2</v>
      </c>
      <c r="BV66" s="75">
        <v>9.2931142661656918E-3</v>
      </c>
      <c r="BW66" s="75">
        <v>-0.13352684327678099</v>
      </c>
      <c r="BX66" s="75">
        <v>2.1865159840621706E-2</v>
      </c>
      <c r="BY66" s="75">
        <v>8.9921770517552513E-2</v>
      </c>
      <c r="BZ66" s="75">
        <v>-1.548716064094291E-3</v>
      </c>
      <c r="CA66" s="75">
        <v>0.10977294671388471</v>
      </c>
      <c r="CB66" s="75">
        <v>3.5001914644007093E-2</v>
      </c>
      <c r="CC66" s="75">
        <v>0.11354274624182603</v>
      </c>
      <c r="CD66" s="75">
        <v>-2.174902383890448E-2</v>
      </c>
      <c r="CE66" s="75">
        <v>1.9632271397041601E-2</v>
      </c>
      <c r="CF66" s="75">
        <v>7.2535456532045017E-2</v>
      </c>
      <c r="CG66" s="75">
        <v>-7.3689443922641262E-2</v>
      </c>
      <c r="CH66" s="75">
        <v>5.2104505088996222E-3</v>
      </c>
      <c r="CI66" s="75">
        <v>5.6287035108232242E-2</v>
      </c>
      <c r="CJ66" s="75">
        <v>-9.8140158932816246E-2</v>
      </c>
      <c r="CK66" s="75">
        <v>3.3829025155817649E-3</v>
      </c>
      <c r="CL66" s="75">
        <v>-8.7845920883394046E-2</v>
      </c>
      <c r="CM66" s="75">
        <v>-5.5091748909515681E-2</v>
      </c>
      <c r="CN66" s="75">
        <v>0.1178222365331883</v>
      </c>
      <c r="CO66" s="75">
        <v>-0.1323771836644449</v>
      </c>
      <c r="CP66" s="75">
        <v>-2.2805251985317188E-2</v>
      </c>
      <c r="CQ66" s="75">
        <v>-1.5216860814954436E-3</v>
      </c>
      <c r="CR66" s="75">
        <v>5.6491622707128375E-2</v>
      </c>
      <c r="CS66" s="75">
        <v>-3.8074223128780615E-3</v>
      </c>
      <c r="CT66" s="75">
        <v>3.4150883437136625E-2</v>
      </c>
      <c r="CU66" s="75">
        <v>0.10978467048098306</v>
      </c>
      <c r="CV66" s="75">
        <v>7.0115559540655514E-2</v>
      </c>
      <c r="CW66" s="75">
        <v>5.2623347139243881E-2</v>
      </c>
      <c r="CX66" s="75">
        <v>6.5920447572819951E-2</v>
      </c>
      <c r="CY66" s="75">
        <v>-0.1296483815992846</v>
      </c>
      <c r="CZ66" s="75">
        <v>2.4072654612619926E-2</v>
      </c>
      <c r="DA66" s="75">
        <v>-1.576042509618758E-2</v>
      </c>
      <c r="DB66" s="75">
        <v>0.10873571886225292</v>
      </c>
      <c r="DC66" s="75">
        <v>5.9637318988944921E-2</v>
      </c>
      <c r="DD66" s="75">
        <v>-1.0010821735571884E-2</v>
      </c>
      <c r="DE66" s="75">
        <v>0.18338032758447764</v>
      </c>
      <c r="DF66" s="75">
        <v>-3.0159963040325255E-2</v>
      </c>
      <c r="DG66" s="75">
        <v>7.2544785968763903E-3</v>
      </c>
      <c r="DH66" s="75">
        <v>0.15357955254980654</v>
      </c>
      <c r="DI66" s="75">
        <v>0.14415166830919635</v>
      </c>
      <c r="DJ66" s="75">
        <v>-3.8958530748277209E-2</v>
      </c>
      <c r="DK66" s="75">
        <v>2.4826733382924016E-2</v>
      </c>
      <c r="DL66" s="75">
        <v>-9.0497760821583728E-2</v>
      </c>
      <c r="DM66" s="75">
        <v>4.4252434565200893E-2</v>
      </c>
      <c r="DN66" s="75">
        <v>5.4213186641852928E-2</v>
      </c>
      <c r="DO66" s="75">
        <v>-7.2762559680075445E-2</v>
      </c>
      <c r="DP66" s="75">
        <v>-4.5739442806894126E-3</v>
      </c>
      <c r="DQ66" s="75">
        <v>-8.7644400079894602E-2</v>
      </c>
      <c r="DR66" s="75">
        <v>-4.4965465166068141E-2</v>
      </c>
      <c r="DS66" s="75">
        <v>-4.4380544684587742E-2</v>
      </c>
      <c r="DT66" s="75">
        <v>6.0768976135289088E-2</v>
      </c>
      <c r="DU66" s="75">
        <v>-7.5235423664495094E-2</v>
      </c>
      <c r="DV66" s="75">
        <v>9.396791470232696E-2</v>
      </c>
      <c r="DW66" s="75">
        <v>-3.0744030602495864E-3</v>
      </c>
      <c r="DX66" s="75">
        <v>9.3955200772808722E-2</v>
      </c>
      <c r="DY66" s="75">
        <v>2.2699346054216363E-2</v>
      </c>
      <c r="DZ66" s="75">
        <v>2.0933661076949883E-2</v>
      </c>
      <c r="EA66" s="75">
        <v>0.11972474263249155</v>
      </c>
      <c r="EB66" s="75">
        <v>-4.254456169287496E-2</v>
      </c>
      <c r="EC66" s="75">
        <v>-9.2501554520363738E-2</v>
      </c>
      <c r="ED66" s="75">
        <v>-3.7515282493383872E-3</v>
      </c>
      <c r="EE66" s="75">
        <v>-1.6347882434846639E-2</v>
      </c>
      <c r="EF66" s="75">
        <v>-2.1306326247730378E-2</v>
      </c>
      <c r="EG66" s="75">
        <v>-2.4997057349927576E-2</v>
      </c>
      <c r="EH66" s="75">
        <v>1.5136727580725151E-3</v>
      </c>
      <c r="EI66" s="75">
        <v>4.1985522196941683E-2</v>
      </c>
      <c r="EJ66" s="75">
        <v>-3.1666274017340179E-2</v>
      </c>
      <c r="EK66" s="75">
        <v>5.8801773464172646E-2</v>
      </c>
      <c r="EL66" s="75">
        <v>6.9971762196170073E-2</v>
      </c>
      <c r="EM66" s="75">
        <v>1.5949023919368033E-2</v>
      </c>
      <c r="EN66" s="75">
        <v>1.9748727523114518E-3</v>
      </c>
      <c r="EO66" s="75">
        <v>8.1648918844564433E-2</v>
      </c>
      <c r="EP66" s="75">
        <v>-8.6567923781934231E-2</v>
      </c>
      <c r="EQ66" s="75">
        <v>5.2361011456059814E-2</v>
      </c>
      <c r="ER66" s="75">
        <v>0.12680491744194433</v>
      </c>
      <c r="ES66" s="75">
        <v>-5.2521867144779688E-3</v>
      </c>
      <c r="ET66" s="75">
        <v>7.1919946144210323E-2</v>
      </c>
      <c r="EU66" s="75">
        <v>-9.1042894217821579E-2</v>
      </c>
      <c r="EV66" s="75">
        <v>-8.4224827758533849E-2</v>
      </c>
      <c r="EW66" s="75">
        <v>0.11011421381872732</v>
      </c>
      <c r="EX66" s="75">
        <v>5.894223151983019E-2</v>
      </c>
      <c r="EY66" s="75">
        <v>5.9433081288982559E-2</v>
      </c>
      <c r="EZ66" s="75">
        <v>7.4001973962485146E-2</v>
      </c>
      <c r="FA66" s="75">
        <v>-0.10778744639536059</v>
      </c>
      <c r="FB66" s="75">
        <v>0.161698406610364</v>
      </c>
      <c r="FC66" s="75">
        <v>5.9920808270877923E-2</v>
      </c>
      <c r="FD66" s="75">
        <v>-1.4171019190160561E-2</v>
      </c>
      <c r="FE66" s="75">
        <v>1.3504311597577534E-2</v>
      </c>
      <c r="FF66" s="75">
        <v>0.10077522157866659</v>
      </c>
      <c r="FG66" s="75">
        <v>-6.5237779318862377E-2</v>
      </c>
      <c r="FH66" s="75">
        <v>-2.7897053859931964E-2</v>
      </c>
      <c r="FI66" s="75">
        <v>-0.10350919576625722</v>
      </c>
      <c r="FJ66" s="75">
        <v>9.4457488026209235E-2</v>
      </c>
      <c r="FK66" s="75">
        <v>-6.3396419614005772E-3</v>
      </c>
      <c r="FL66" s="75">
        <v>3.7699485497453167E-2</v>
      </c>
      <c r="FM66" s="75">
        <v>2.4504349108085743E-2</v>
      </c>
      <c r="FN66" s="75">
        <v>-1.6815085075864267E-2</v>
      </c>
      <c r="FO66" s="75">
        <v>-7.9107278159214922E-2</v>
      </c>
      <c r="FP66" s="75">
        <v>-2.4364575994135218E-2</v>
      </c>
      <c r="FQ66" s="75">
        <v>-8.3852049409203322E-2</v>
      </c>
      <c r="FR66" s="75">
        <v>0.10251076132219655</v>
      </c>
      <c r="FS66" s="75">
        <v>5.0622221692788627E-2</v>
      </c>
      <c r="FT66" s="75">
        <v>9.6301605857989192E-2</v>
      </c>
      <c r="FU66" s="75">
        <v>-3.7104360467137221E-2</v>
      </c>
      <c r="FV66" s="75">
        <v>7.4781480292466229E-3</v>
      </c>
      <c r="FW66" s="75">
        <v>-7.1287469985711893E-2</v>
      </c>
      <c r="FX66" s="75">
        <v>4.1626106908219773E-2</v>
      </c>
      <c r="FY66" s="75">
        <v>4.6347839575526073E-2</v>
      </c>
      <c r="FZ66" s="75">
        <v>2.5512139313058735E-2</v>
      </c>
      <c r="GA66" s="75">
        <v>-5.0043577968157449E-2</v>
      </c>
      <c r="GB66" s="75">
        <v>-2.3494505168060731E-3</v>
      </c>
      <c r="GC66" s="75">
        <v>-5.2061140791007765E-2</v>
      </c>
      <c r="GD66" s="75">
        <v>-0.14544722938451093</v>
      </c>
      <c r="GE66" s="75">
        <v>-6.6500980167666923E-3</v>
      </c>
      <c r="GF66" s="75">
        <v>-2.0880860540023582E-2</v>
      </c>
      <c r="GG66" s="75">
        <v>6.0995405068691722E-3</v>
      </c>
      <c r="GH66" s="75">
        <v>2.6802312561688413E-3</v>
      </c>
      <c r="GI66" s="75">
        <v>1.83391761762286E-3</v>
      </c>
      <c r="GJ66" s="75">
        <v>6.2948274670944937E-2</v>
      </c>
      <c r="GK66" s="75">
        <v>-1.6057442506482777E-2</v>
      </c>
      <c r="GL66" s="75">
        <v>5.4059044457468619E-2</v>
      </c>
      <c r="GM66" s="75">
        <v>0.13138452432395631</v>
      </c>
      <c r="GN66" s="75">
        <v>1.8197896710247352E-2</v>
      </c>
      <c r="GO66" s="75">
        <v>-3.5875862082932697E-2</v>
      </c>
      <c r="GP66" s="75">
        <v>-1.2913792606392638E-2</v>
      </c>
      <c r="GQ66" s="75">
        <v>6.884874264084978E-2</v>
      </c>
      <c r="GR66" s="75">
        <v>7.8914298245824466E-2</v>
      </c>
      <c r="GS66" s="75">
        <v>-3.2354083075654128E-2</v>
      </c>
      <c r="GT66" s="75">
        <v>9.170862471423108E-2</v>
      </c>
      <c r="GU66" s="75">
        <v>1.89044723743928E-2</v>
      </c>
      <c r="GV66" s="75">
        <v>7.1259851047474176E-2</v>
      </c>
      <c r="GW66" s="75">
        <v>-9.6270788666871943E-2</v>
      </c>
      <c r="GX66" s="75">
        <v>5.0514338487160415E-2</v>
      </c>
      <c r="GY66" s="75">
        <v>0.10758696772986626</v>
      </c>
      <c r="GZ66" s="75">
        <v>0.10827544749020757</v>
      </c>
      <c r="HA66" s="75">
        <v>4.3044436156152666E-2</v>
      </c>
      <c r="HB66" s="75">
        <v>3.3465886980642789E-2</v>
      </c>
      <c r="HC66" s="75">
        <v>0.16772769622549788</v>
      </c>
      <c r="HD66" s="75">
        <v>6.9956743054891968E-2</v>
      </c>
      <c r="HE66" s="75">
        <v>4.4382689443798196E-3</v>
      </c>
      <c r="HF66" s="75">
        <v>5.5804207131362471E-3</v>
      </c>
      <c r="HG66" s="75">
        <v>-6.99895546514408E-2</v>
      </c>
      <c r="HH66" s="75">
        <v>6.0993408642114999E-2</v>
      </c>
      <c r="HI66" s="75">
        <v>-3.8399888047545294E-2</v>
      </c>
      <c r="HJ66" s="75">
        <v>0.13984526116073903</v>
      </c>
      <c r="HK66" s="75">
        <v>-5.6119568054376567E-2</v>
      </c>
      <c r="HL66" s="75">
        <v>2.7636047791328611E-2</v>
      </c>
      <c r="HM66" s="75">
        <v>-4.3614077783208527E-2</v>
      </c>
      <c r="HN66" s="75">
        <v>-1.0835825084579975E-2</v>
      </c>
      <c r="HO66" s="75">
        <v>2.241362587167256E-2</v>
      </c>
      <c r="HP66" s="75">
        <v>-4.0401615417457626E-2</v>
      </c>
      <c r="HQ66" s="75">
        <v>-7.4794028645786603E-2</v>
      </c>
      <c r="HR66" s="75">
        <v>-3.7696612122072592E-2</v>
      </c>
      <c r="HS66" s="75">
        <v>-5.1991715237766689E-2</v>
      </c>
      <c r="HT66" s="75">
        <v>3.2179715423487854E-2</v>
      </c>
      <c r="HU66" s="75">
        <v>-1.0004414847112619E-2</v>
      </c>
      <c r="HV66" s="75">
        <v>-3.7146638983566738E-3</v>
      </c>
      <c r="HW66" s="75">
        <v>-4.5745574687112711E-2</v>
      </c>
      <c r="HX66" s="75">
        <v>-2.443311348172128E-2</v>
      </c>
      <c r="HY66" s="75">
        <v>-3.2898425368872553E-2</v>
      </c>
      <c r="HZ66" s="75">
        <v>4.2673078764408068E-2</v>
      </c>
      <c r="IA66" s="75">
        <v>-2.1330124144163021E-2</v>
      </c>
      <c r="IB66" s="75">
        <v>-7.1945863822890088E-2</v>
      </c>
      <c r="IC66" s="75">
        <v>-6.7974197338609599E-2</v>
      </c>
      <c r="ID66" s="75">
        <v>-7.0368458747400997E-2</v>
      </c>
      <c r="IE66" s="75">
        <v>-4.4488784620893451E-2</v>
      </c>
      <c r="IF66" s="75">
        <v>-2.2580251453240496E-2</v>
      </c>
      <c r="IG66" s="75">
        <v>-2.0753635950004345E-3</v>
      </c>
      <c r="IH66" s="75">
        <v>-0.10471756959179707</v>
      </c>
      <c r="II66" s="75">
        <v>-9.2431238192916543E-3</v>
      </c>
      <c r="IJ66" s="75">
        <v>-0.11570535149579247</v>
      </c>
      <c r="IK66" s="75">
        <v>-5.0395695245680217E-3</v>
      </c>
      <c r="IL66" s="75">
        <v>-3.3624438280120961E-3</v>
      </c>
      <c r="IM66" s="75">
        <v>-8.0637751320769002E-2</v>
      </c>
      <c r="IN66" s="75">
        <v>-2.3276467446473659E-2</v>
      </c>
      <c r="IO66" s="75">
        <v>-2.7509316813095763E-4</v>
      </c>
      <c r="IP66" s="75">
        <v>6.9307382435257192E-2</v>
      </c>
      <c r="IQ66" s="75">
        <v>9.9390543609471305E-2</v>
      </c>
      <c r="IR66" s="75">
        <v>-1.5146156084894224E-2</v>
      </c>
      <c r="IS66" s="75">
        <v>1.4008573727991858E-2</v>
      </c>
      <c r="IT66" s="75">
        <v>-1.3889883932646063E-2</v>
      </c>
      <c r="IU66" s="75">
        <v>5.9568372979879103E-2</v>
      </c>
    </row>
    <row r="67" spans="1:255" s="74" customFormat="1" ht="14.5" x14ac:dyDescent="0.35">
      <c r="A67" s="73"/>
      <c r="B67" s="78">
        <v>3.5</v>
      </c>
      <c r="C67" s="77">
        <f t="shared" si="43"/>
        <v>3.0320154544833319E-2</v>
      </c>
      <c r="D67" s="76">
        <f t="shared" si="44"/>
        <v>9.7502460041184125E-2</v>
      </c>
      <c r="E67" s="75">
        <v>-8.9704743695913802E-2</v>
      </c>
      <c r="F67" s="75">
        <v>4.4718158823948584E-2</v>
      </c>
      <c r="G67" s="75">
        <v>0.21728725745996957</v>
      </c>
      <c r="H67" s="75">
        <v>2.2129130482386405E-2</v>
      </c>
      <c r="I67" s="75">
        <v>6.4648604804219301E-2</v>
      </c>
      <c r="J67" s="75">
        <v>-7.0708796066733137E-2</v>
      </c>
      <c r="K67" s="75">
        <v>-5.7257151655228933E-3</v>
      </c>
      <c r="L67" s="75">
        <v>9.7805858196843065E-2</v>
      </c>
      <c r="M67" s="75">
        <v>3.3209384703940137E-2</v>
      </c>
      <c r="N67" s="75">
        <v>7.4651704377638517E-2</v>
      </c>
      <c r="O67" s="75">
        <v>3.5121015568396752E-3</v>
      </c>
      <c r="P67" s="75">
        <v>-5.2973703666711891E-2</v>
      </c>
      <c r="Q67" s="75">
        <v>-3.9119409001300565E-2</v>
      </c>
      <c r="R67" s="75">
        <v>-3.4109542192034936E-2</v>
      </c>
      <c r="S67" s="75">
        <v>-7.6092829294157227E-2</v>
      </c>
      <c r="T67" s="75">
        <v>-0.10451278101523992</v>
      </c>
      <c r="U67" s="75">
        <v>-4.0018000892362737E-2</v>
      </c>
      <c r="V67" s="75">
        <v>9.2657690119765213E-2</v>
      </c>
      <c r="W67" s="75">
        <v>0.19334173966047485</v>
      </c>
      <c r="X67" s="75">
        <v>1.3023460892645333E-2</v>
      </c>
      <c r="Y67" s="75">
        <v>3.8856954426658652E-2</v>
      </c>
      <c r="Z67" s="75">
        <v>3.8726192956436034E-2</v>
      </c>
      <c r="AA67" s="75">
        <v>-5.3888504621987687E-2</v>
      </c>
      <c r="AB67" s="75">
        <v>4.9492237792350513E-2</v>
      </c>
      <c r="AC67" s="75">
        <v>-3.0994287003117016E-2</v>
      </c>
      <c r="AD67" s="75">
        <v>-2.2655723204709766E-3</v>
      </c>
      <c r="AE67" s="75">
        <v>-0.12714401030765471</v>
      </c>
      <c r="AF67" s="75">
        <v>-1.9164742367496712E-2</v>
      </c>
      <c r="AG67" s="75">
        <v>-8.1002508072496149E-2</v>
      </c>
      <c r="AH67" s="75">
        <v>-4.7346735376513904E-2</v>
      </c>
      <c r="AI67" s="75">
        <v>-6.2300091672942093E-2</v>
      </c>
      <c r="AJ67" s="75">
        <v>-0.10042855583041743</v>
      </c>
      <c r="AK67" s="75">
        <v>-4.3840940653453453E-3</v>
      </c>
      <c r="AL67" s="75">
        <v>7.5937510857986834E-3</v>
      </c>
      <c r="AM67" s="75">
        <v>-7.9301131057313456E-2</v>
      </c>
      <c r="AN67" s="75">
        <v>4.6286091838168453E-2</v>
      </c>
      <c r="AO67" s="75">
        <v>-4.636799133374242E-2</v>
      </c>
      <c r="AP67" s="75">
        <v>0.1420916392433777</v>
      </c>
      <c r="AQ67" s="75">
        <v>-6.8158658679277062E-2</v>
      </c>
      <c r="AR67" s="75">
        <v>0.16415638762442769</v>
      </c>
      <c r="AS67" s="75">
        <v>4.5455198439081024E-2</v>
      </c>
      <c r="AT67" s="75">
        <v>4.6464034118181619E-2</v>
      </c>
      <c r="AU67" s="75">
        <v>-4.7700371324596091E-2</v>
      </c>
      <c r="AV67" s="75">
        <v>-4.4347851970801488E-2</v>
      </c>
      <c r="AW67" s="75">
        <v>-5.0761284200712409E-2</v>
      </c>
      <c r="AX67" s="75">
        <v>2.5093254604232396E-2</v>
      </c>
      <c r="AY67" s="75">
        <v>1.8834568127269524E-2</v>
      </c>
      <c r="AZ67" s="75">
        <v>5.4317827512651573E-3</v>
      </c>
      <c r="BA67" s="75">
        <v>-4.8475418697049466E-2</v>
      </c>
      <c r="BB67" s="75">
        <v>-0.14151586598005378</v>
      </c>
      <c r="BC67" s="75">
        <v>4.0380332716200895E-2</v>
      </c>
      <c r="BD67" s="75">
        <v>-6.4422973306353326E-2</v>
      </c>
      <c r="BE67" s="75">
        <v>-6.3617235606698797E-2</v>
      </c>
      <c r="BF67" s="75">
        <v>-7.3802139082151219E-2</v>
      </c>
      <c r="BG67" s="75">
        <v>-0.11289455802249598</v>
      </c>
      <c r="BH67" s="75">
        <v>-0.10815938573886258</v>
      </c>
      <c r="BI67" s="75">
        <v>-6.4307561852147976E-2</v>
      </c>
      <c r="BJ67" s="75">
        <v>2.7139786133881461E-2</v>
      </c>
      <c r="BK67" s="75">
        <v>-5.1906496388177126E-3</v>
      </c>
      <c r="BL67" s="75">
        <v>-9.8124706074067536E-2</v>
      </c>
      <c r="BM67" s="75">
        <v>-2.006051173638107E-2</v>
      </c>
      <c r="BN67" s="75">
        <v>-3.8208458569235215E-2</v>
      </c>
      <c r="BO67" s="75">
        <v>-3.8279234670611118E-2</v>
      </c>
      <c r="BP67" s="75">
        <v>6.0287224849445487E-2</v>
      </c>
      <c r="BQ67" s="75">
        <v>1.3651447967378438E-2</v>
      </c>
      <c r="BR67" s="75">
        <v>-8.8469511247080856E-2</v>
      </c>
      <c r="BS67" s="75">
        <v>4.1011594202318924E-2</v>
      </c>
      <c r="BT67" s="75">
        <v>5.8576271260250057E-2</v>
      </c>
      <c r="BU67" s="75">
        <v>-5.3573651895496066E-2</v>
      </c>
      <c r="BV67" s="75">
        <v>-1.3916393139843386E-2</v>
      </c>
      <c r="BW67" s="75">
        <v>-0.11301704088638082</v>
      </c>
      <c r="BX67" s="75">
        <v>6.4968975005423313E-3</v>
      </c>
      <c r="BY67" s="75">
        <v>7.968654078313836E-2</v>
      </c>
      <c r="BZ67" s="75">
        <v>-4.1190067183623502E-3</v>
      </c>
      <c r="CA67" s="75">
        <v>0.101881202351217</v>
      </c>
      <c r="CB67" s="75">
        <v>5.4172898609163023E-2</v>
      </c>
      <c r="CC67" s="75">
        <v>0.11668888941242622</v>
      </c>
      <c r="CD67" s="75">
        <v>-4.3153834100187138E-2</v>
      </c>
      <c r="CE67" s="75">
        <v>3.2316298560708112E-2</v>
      </c>
      <c r="CF67" s="75">
        <v>5.5402910679190398E-2</v>
      </c>
      <c r="CG67" s="75">
        <v>-8.8385729580437167E-2</v>
      </c>
      <c r="CH67" s="75">
        <v>6.5282976878386911E-3</v>
      </c>
      <c r="CI67" s="75">
        <v>4.8739276338355009E-2</v>
      </c>
      <c r="CJ67" s="75">
        <v>-0.10104687033823229</v>
      </c>
      <c r="CK67" s="75">
        <v>4.9747647528733396E-3</v>
      </c>
      <c r="CL67" s="75">
        <v>-6.5461950164471538E-2</v>
      </c>
      <c r="CM67" s="75">
        <v>-5.0641157828694217E-2</v>
      </c>
      <c r="CN67" s="75">
        <v>0.1414520890271902</v>
      </c>
      <c r="CO67" s="75">
        <v>-0.16512921562263388</v>
      </c>
      <c r="CP67" s="75">
        <v>-3.0551711010599336E-2</v>
      </c>
      <c r="CQ67" s="75">
        <v>-1.6347938616165791E-3</v>
      </c>
      <c r="CR67" s="75">
        <v>2.5151398615112786E-2</v>
      </c>
      <c r="CS67" s="75">
        <v>-1.7400110398084201E-2</v>
      </c>
      <c r="CT67" s="75">
        <v>4.4718977593784903E-2</v>
      </c>
      <c r="CU67" s="75">
        <v>8.7088034633850675E-2</v>
      </c>
      <c r="CV67" s="75">
        <v>3.2656452861077601E-2</v>
      </c>
      <c r="CW67" s="75">
        <v>3.9813914907854075E-2</v>
      </c>
      <c r="CX67" s="75">
        <v>7.0733074706598953E-2</v>
      </c>
      <c r="CY67" s="75">
        <v>-0.14462470914876985</v>
      </c>
      <c r="CZ67" s="75">
        <v>-1.0966979640988916E-2</v>
      </c>
      <c r="DA67" s="75">
        <v>-4.0129200235058005E-2</v>
      </c>
      <c r="DB67" s="75">
        <v>0.10511457351341791</v>
      </c>
      <c r="DC67" s="75">
        <v>2.0273451420719069E-2</v>
      </c>
      <c r="DD67" s="75">
        <v>-8.5978600515033143E-3</v>
      </c>
      <c r="DE67" s="75">
        <v>1.6447207277104525E-2</v>
      </c>
      <c r="DF67" s="75">
        <v>-6.3829202158401432E-2</v>
      </c>
      <c r="DG67" s="75">
        <v>-4.3879936579541701E-3</v>
      </c>
      <c r="DH67" s="75">
        <v>0.14896678434775634</v>
      </c>
      <c r="DI67" s="75">
        <v>-8.3240089185898924E-2</v>
      </c>
      <c r="DJ67" s="75">
        <v>3.7572359540994804E-2</v>
      </c>
      <c r="DK67" s="75">
        <v>9.7763085832936747E-2</v>
      </c>
      <c r="DL67" s="75">
        <v>-9.7376148226373693E-2</v>
      </c>
      <c r="DM67" s="75">
        <v>-5.2162042524363461E-2</v>
      </c>
      <c r="DN67" s="75">
        <v>0.11344115847389258</v>
      </c>
      <c r="DO67" s="75">
        <v>-5.0851612712687067E-2</v>
      </c>
      <c r="DP67" s="75">
        <v>-0.10157129963741673</v>
      </c>
      <c r="DQ67" s="75">
        <v>0.12567485768537418</v>
      </c>
      <c r="DR67" s="75">
        <v>5.8121006089821459E-2</v>
      </c>
      <c r="DS67" s="75">
        <v>2.3102001483126244E-3</v>
      </c>
      <c r="DT67" s="75">
        <v>-0.12522700553408334</v>
      </c>
      <c r="DU67" s="75">
        <v>-8.8346631114332552E-2</v>
      </c>
      <c r="DV67" s="75">
        <v>0.10518705829700375</v>
      </c>
      <c r="DW67" s="75">
        <v>-5.5036873975228384E-2</v>
      </c>
      <c r="DX67" s="75">
        <v>0.18873807385083685</v>
      </c>
      <c r="DY67" s="75">
        <v>-1.7536476601164586E-2</v>
      </c>
      <c r="DZ67" s="75">
        <v>-9.3493921701242044E-3</v>
      </c>
      <c r="EA67" s="75">
        <v>0.11118722406837106</v>
      </c>
      <c r="EB67" s="75">
        <v>-4.2902422921855643E-2</v>
      </c>
      <c r="EC67" s="75">
        <v>-9.271020164304089E-2</v>
      </c>
      <c r="ED67" s="75">
        <v>-4.8519016162624995E-2</v>
      </c>
      <c r="EE67" s="75">
        <v>-3.4527226805431355E-2</v>
      </c>
      <c r="EF67" s="75">
        <v>-5.5585468241144409E-3</v>
      </c>
      <c r="EG67" s="75">
        <v>-9.706333966494185E-2</v>
      </c>
      <c r="EH67" s="75">
        <v>9.6236032304319152E-2</v>
      </c>
      <c r="EI67" s="75">
        <v>4.1235040681378732E-2</v>
      </c>
      <c r="EJ67" s="75">
        <v>2.8837095975113303E-3</v>
      </c>
      <c r="EK67" s="75">
        <v>5.8248262027294329E-2</v>
      </c>
      <c r="EL67" s="75">
        <v>8.6044530932589347E-2</v>
      </c>
      <c r="EM67" s="75">
        <v>5.1328938293750515E-2</v>
      </c>
      <c r="EN67" s="75">
        <v>1.1141088625995277E-2</v>
      </c>
      <c r="EO67" s="75">
        <v>-5.6294967544732899E-2</v>
      </c>
      <c r="EP67" s="75">
        <v>-4.3885849320270842E-2</v>
      </c>
      <c r="EQ67" s="75">
        <v>9.9233393748708765E-2</v>
      </c>
      <c r="ER67" s="75">
        <v>-0.14617481438432839</v>
      </c>
      <c r="ES67" s="75">
        <v>-3.5671861216434397E-2</v>
      </c>
      <c r="ET67" s="75">
        <v>-9.1701006761068349E-2</v>
      </c>
      <c r="EU67" s="75">
        <v>9.4683258799408032E-2</v>
      </c>
      <c r="EV67" s="75">
        <v>3.0198023378576411E-2</v>
      </c>
      <c r="EW67" s="75">
        <v>-0.10082365690398415</v>
      </c>
      <c r="EX67" s="75">
        <v>0.10000357320566045</v>
      </c>
      <c r="EY67" s="75">
        <v>5.2100846802706546E-2</v>
      </c>
      <c r="EZ67" s="75">
        <v>5.0759716414000344E-2</v>
      </c>
      <c r="FA67" s="75">
        <v>3.2004160919938074E-2</v>
      </c>
      <c r="FB67" s="75">
        <v>0.17095609839755499</v>
      </c>
      <c r="FC67" s="75">
        <v>-1.5961736044975694E-2</v>
      </c>
      <c r="FD67" s="75">
        <v>-9.4154695204748062E-2</v>
      </c>
      <c r="FE67" s="75">
        <v>9.4403175138626672E-2</v>
      </c>
      <c r="FF67" s="75">
        <v>-2.2586680198530273E-2</v>
      </c>
      <c r="FG67" s="75">
        <v>1.5118286573286288E-3</v>
      </c>
      <c r="FH67" s="75">
        <v>-5.4723322377184525E-2</v>
      </c>
      <c r="FI67" s="75">
        <v>-4.0020110863138003E-2</v>
      </c>
      <c r="FJ67" s="75">
        <v>-2.5806372976130865E-2</v>
      </c>
      <c r="FK67" s="75">
        <v>-2.0679461992055781E-2</v>
      </c>
      <c r="FL67" s="75">
        <v>3.5516571730349611E-3</v>
      </c>
      <c r="FM67" s="75">
        <v>2.6742988254043421E-2</v>
      </c>
      <c r="FN67" s="75">
        <v>-5.3034221835345507E-2</v>
      </c>
      <c r="FO67" s="75">
        <v>-6.8982301182332451E-2</v>
      </c>
      <c r="FP67" s="75">
        <v>-1.8635296578714711E-2</v>
      </c>
      <c r="FQ67" s="75">
        <v>-8.7798990775306396E-2</v>
      </c>
      <c r="FR67" s="75">
        <v>0.10442875833443138</v>
      </c>
      <c r="FS67" s="75">
        <v>5.4978515332167022E-2</v>
      </c>
      <c r="FT67" s="75">
        <v>7.3576255656684131E-2</v>
      </c>
      <c r="FU67" s="75">
        <v>-4.6169709702663986E-2</v>
      </c>
      <c r="FV67" s="75">
        <v>-1.7873489738100767E-2</v>
      </c>
      <c r="FW67" s="75">
        <v>-7.5636488941887681E-2</v>
      </c>
      <c r="FX67" s="75">
        <v>4.2863481932325032E-2</v>
      </c>
      <c r="FY67" s="75">
        <v>2.772528619867709E-2</v>
      </c>
      <c r="FZ67" s="75">
        <v>-6.0920351477345591E-2</v>
      </c>
      <c r="GA67" s="75">
        <v>-8.5010470209036959E-2</v>
      </c>
      <c r="GB67" s="75">
        <v>0.12990003117772675</v>
      </c>
      <c r="GC67" s="75">
        <v>0.13321116022209806</v>
      </c>
      <c r="GD67" s="75">
        <v>-0.10241612656527604</v>
      </c>
      <c r="GE67" s="75">
        <v>-4.4056131042186086E-3</v>
      </c>
      <c r="GF67" s="75">
        <v>-8.4733075815570436E-2</v>
      </c>
      <c r="GG67" s="75">
        <v>6.4945928925334295E-2</v>
      </c>
      <c r="GH67" s="75">
        <v>4.9258620164274569E-2</v>
      </c>
      <c r="GI67" s="75">
        <v>3.1582625947719767E-3</v>
      </c>
      <c r="GJ67" s="75">
        <v>7.3483804976750555E-2</v>
      </c>
      <c r="GK67" s="75">
        <v>0.15808777122060741</v>
      </c>
      <c r="GL67" s="75">
        <v>6.8637273603774307E-2</v>
      </c>
      <c r="GM67" s="75">
        <v>-3.3872866955179659E-3</v>
      </c>
      <c r="GN67" s="75">
        <v>-3.8496169470964958E-2</v>
      </c>
      <c r="GO67" s="75">
        <v>-3.3912797201776756E-2</v>
      </c>
      <c r="GP67" s="75">
        <v>5.4479735149792374E-2</v>
      </c>
      <c r="GQ67" s="75">
        <v>0.14153297841980378</v>
      </c>
      <c r="GR67" s="75">
        <v>9.3416956178025867E-2</v>
      </c>
      <c r="GS67" s="75">
        <v>-0.10479203648062335</v>
      </c>
      <c r="GT67" s="75">
        <v>7.1109778926185141E-2</v>
      </c>
      <c r="GU67" s="75">
        <v>-4.6445075528167179E-2</v>
      </c>
      <c r="GV67" s="75">
        <v>-3.4813972656109748E-2</v>
      </c>
      <c r="GW67" s="75">
        <v>-3.2179464877445718E-2</v>
      </c>
      <c r="GX67" s="75">
        <v>6.0645178623981499E-2</v>
      </c>
      <c r="GY67" s="75">
        <v>5.6505357668005796E-3</v>
      </c>
      <c r="GZ67" s="75">
        <v>2.8546157134725469E-2</v>
      </c>
      <c r="HA67" s="75">
        <v>3.7443619710795961E-2</v>
      </c>
      <c r="HB67" s="75">
        <v>-5.3800303836846919E-2</v>
      </c>
      <c r="HC67" s="75">
        <v>9.7502460041184125E-2</v>
      </c>
      <c r="HD67" s="75">
        <v>-5.0518615120543342E-3</v>
      </c>
      <c r="HE67" s="75">
        <v>2.3783992059394077E-2</v>
      </c>
      <c r="HF67" s="75">
        <v>4.0168442735737664E-2</v>
      </c>
      <c r="HG67" s="75">
        <v>-7.3703380396531182E-2</v>
      </c>
      <c r="HH67" s="75">
        <v>3.0767139468477367E-2</v>
      </c>
      <c r="HI67" s="75">
        <v>1.8992355257945681E-2</v>
      </c>
      <c r="HJ67" s="75">
        <v>-1.8895021796519085E-2</v>
      </c>
      <c r="HK67" s="75">
        <v>-4.1454658592749105E-2</v>
      </c>
      <c r="HL67" s="75">
        <v>9.1513950607272021E-2</v>
      </c>
      <c r="HM67" s="75">
        <v>-4.4456177521488893E-2</v>
      </c>
      <c r="HN67" s="75">
        <v>9.9614914622304374E-2</v>
      </c>
      <c r="HO67" s="75">
        <v>3.5701044967029805E-2</v>
      </c>
      <c r="HP67" s="75">
        <v>-1.9930725202689625E-2</v>
      </c>
      <c r="HQ67" s="75">
        <v>-8.2094563492148442E-2</v>
      </c>
      <c r="HR67" s="75">
        <v>-6.3808984100193589E-2</v>
      </c>
      <c r="HS67" s="75">
        <v>-7.7874676737108461E-2</v>
      </c>
      <c r="HT67" s="75">
        <v>-3.7703723479708018E-2</v>
      </c>
      <c r="HU67" s="75">
        <v>8.0909648490404329E-2</v>
      </c>
      <c r="HV67" s="75">
        <v>0.11940818229235328</v>
      </c>
      <c r="HW67" s="75">
        <v>-2.4366521902550065E-2</v>
      </c>
      <c r="HX67" s="75">
        <v>8.6048432265469987E-2</v>
      </c>
      <c r="HY67" s="75">
        <v>2.1528989244389729E-2</v>
      </c>
      <c r="HZ67" s="75">
        <v>4.3816533152989723E-2</v>
      </c>
      <c r="IA67" s="75">
        <v>6.9002858223045638E-3</v>
      </c>
      <c r="IB67" s="75">
        <v>5.3726676974785559E-2</v>
      </c>
      <c r="IC67" s="75">
        <v>-6.2704087126196406E-2</v>
      </c>
      <c r="ID67" s="75">
        <v>7.0643688420250317E-2</v>
      </c>
      <c r="IE67" s="75">
        <v>-1.1036234767009268E-2</v>
      </c>
      <c r="IF67" s="75">
        <v>-1.9186534160386237E-2</v>
      </c>
      <c r="IG67" s="75">
        <v>1.1161862269908507E-2</v>
      </c>
      <c r="IH67" s="75">
        <v>-0.11245208385440919</v>
      </c>
      <c r="II67" s="75">
        <v>-2.0708622625096318E-2</v>
      </c>
      <c r="IJ67" s="75">
        <v>-9.5973329271589247E-2</v>
      </c>
      <c r="IK67" s="75">
        <v>4.6518918796314424E-3</v>
      </c>
      <c r="IL67" s="75">
        <v>4.1838434192148111E-2</v>
      </c>
      <c r="IM67" s="75">
        <v>-8.9929999592147092E-3</v>
      </c>
      <c r="IN67" s="75">
        <v>9.0208707154396661E-2</v>
      </c>
      <c r="IO67" s="75">
        <v>1.4635361205495578E-3</v>
      </c>
      <c r="IP67" s="75">
        <v>-5.7437798528438111E-2</v>
      </c>
      <c r="IQ67" s="75">
        <v>-6.5445379134536019E-2</v>
      </c>
      <c r="IR67" s="75">
        <v>4.7094683754001665E-2</v>
      </c>
      <c r="IS67" s="75">
        <v>-2.058329455883845E-2</v>
      </c>
      <c r="IT67" s="75">
        <v>-6.5712950743957999E-3</v>
      </c>
      <c r="IU67" s="75">
        <v>7.6433570030382703E-2</v>
      </c>
    </row>
    <row r="68" spans="1:255" s="74" customFormat="1" ht="14.5" x14ac:dyDescent="0.35">
      <c r="A68" s="73"/>
      <c r="B68" s="78">
        <v>3.75</v>
      </c>
      <c r="C68" s="77">
        <f t="shared" si="43"/>
        <v>2.9950195433440543E-2</v>
      </c>
      <c r="D68" s="76">
        <f t="shared" si="44"/>
        <v>8.882983328724442E-2</v>
      </c>
      <c r="E68" s="75">
        <v>-9.5224207234834435E-2</v>
      </c>
      <c r="F68" s="75">
        <v>5.5210631627994999E-2</v>
      </c>
      <c r="G68" s="75">
        <v>0.17805597492602254</v>
      </c>
      <c r="H68" s="75">
        <v>-1.147290568408238E-2</v>
      </c>
      <c r="I68" s="75">
        <v>7.6722140530092464E-2</v>
      </c>
      <c r="J68" s="75">
        <v>-5.5514599409438703E-2</v>
      </c>
      <c r="K68" s="75">
        <v>1.1970305201499054E-2</v>
      </c>
      <c r="L68" s="75">
        <v>0.108971327547361</v>
      </c>
      <c r="M68" s="75">
        <v>2.5190937679382575E-2</v>
      </c>
      <c r="N68" s="75">
        <v>9.1754668950694229E-2</v>
      </c>
      <c r="O68" s="75">
        <v>4.0968723947182317E-3</v>
      </c>
      <c r="P68" s="75">
        <v>-4.2201491276152192E-2</v>
      </c>
      <c r="Q68" s="75">
        <v>-5.7744524692134147E-2</v>
      </c>
      <c r="R68" s="75">
        <v>-2.7734745578511799E-2</v>
      </c>
      <c r="S68" s="75">
        <v>-7.1390542373299004E-2</v>
      </c>
      <c r="T68" s="75">
        <v>-0.12238034451980176</v>
      </c>
      <c r="U68" s="75">
        <v>-4.2843987864178978E-3</v>
      </c>
      <c r="V68" s="75">
        <v>0.12719032431607008</v>
      </c>
      <c r="W68" s="75">
        <v>0.16296903059622175</v>
      </c>
      <c r="X68" s="75">
        <v>3.2143627182262824E-2</v>
      </c>
      <c r="Y68" s="75">
        <v>6.9512678390087956E-2</v>
      </c>
      <c r="Z68" s="75">
        <v>5.6028393093780549E-2</v>
      </c>
      <c r="AA68" s="75">
        <v>-5.3482127558898529E-2</v>
      </c>
      <c r="AB68" s="75">
        <v>4.5450970864735929E-2</v>
      </c>
      <c r="AC68" s="75">
        <v>-3.3484059465642535E-2</v>
      </c>
      <c r="AD68" s="75">
        <v>1.9179113730117603E-2</v>
      </c>
      <c r="AE68" s="75">
        <v>-0.12170559645568985</v>
      </c>
      <c r="AF68" s="75">
        <v>-1.6898098693833241E-2</v>
      </c>
      <c r="AG68" s="75">
        <v>-3.4356198038008712E-2</v>
      </c>
      <c r="AH68" s="75">
        <v>-7.6986269516767569E-2</v>
      </c>
      <c r="AI68" s="75">
        <v>-0.10192493871812566</v>
      </c>
      <c r="AJ68" s="75">
        <v>-0.10923391126103263</v>
      </c>
      <c r="AK68" s="75">
        <v>-4.3440862121307822E-4</v>
      </c>
      <c r="AL68" s="75">
        <v>4.7881045003355382E-2</v>
      </c>
      <c r="AM68" s="75">
        <v>-9.1983036362574599E-2</v>
      </c>
      <c r="AN68" s="75">
        <v>6.6519050976232896E-2</v>
      </c>
      <c r="AO68" s="75">
        <v>-5.6626737654917381E-2</v>
      </c>
      <c r="AP68" s="75">
        <v>0.14883714058104008</v>
      </c>
      <c r="AQ68" s="75">
        <v>-6.1971281911580411E-2</v>
      </c>
      <c r="AR68" s="75">
        <v>0.14007974182000388</v>
      </c>
      <c r="AS68" s="75">
        <v>1.1002440103754951E-2</v>
      </c>
      <c r="AT68" s="75">
        <v>8.7293099033703914E-2</v>
      </c>
      <c r="AU68" s="75">
        <v>-5.1152142276622514E-2</v>
      </c>
      <c r="AV68" s="75">
        <v>-5.2599356487910864E-2</v>
      </c>
      <c r="AW68" s="75">
        <v>-7.4105436294844951E-2</v>
      </c>
      <c r="AX68" s="75">
        <v>3.6452864288755715E-3</v>
      </c>
      <c r="AY68" s="75">
        <v>-5.8190825689525827E-3</v>
      </c>
      <c r="AZ68" s="75">
        <v>1.7605366978826475E-2</v>
      </c>
      <c r="BA68" s="75">
        <v>-5.7947101199975204E-2</v>
      </c>
      <c r="BB68" s="75">
        <v>-0.1359229472294993</v>
      </c>
      <c r="BC68" s="75">
        <v>1.8754399896335205E-2</v>
      </c>
      <c r="BD68" s="75">
        <v>-6.8081797492676011E-2</v>
      </c>
      <c r="BE68" s="75">
        <v>-5.9975548789312716E-2</v>
      </c>
      <c r="BF68" s="75">
        <v>-8.2774977503690284E-2</v>
      </c>
      <c r="BG68" s="75">
        <v>-6.5894433496187899E-2</v>
      </c>
      <c r="BH68" s="75">
        <v>-8.9881083590154509E-2</v>
      </c>
      <c r="BI68" s="75">
        <v>-6.2480444294335302E-2</v>
      </c>
      <c r="BJ68" s="75">
        <v>3.8331863462234883E-2</v>
      </c>
      <c r="BK68" s="75">
        <v>-2.6953283977979525E-2</v>
      </c>
      <c r="BL68" s="75">
        <v>-8.7230027781001807E-2</v>
      </c>
      <c r="BM68" s="75">
        <v>2.5083313594189804E-2</v>
      </c>
      <c r="BN68" s="75">
        <v>-3.2305752664108123E-2</v>
      </c>
      <c r="BO68" s="75">
        <v>1.8114194808563355E-3</v>
      </c>
      <c r="BP68" s="75">
        <v>6.217831415631031E-2</v>
      </c>
      <c r="BQ68" s="75">
        <v>-1.6700706233327367E-2</v>
      </c>
      <c r="BR68" s="75">
        <v>-6.4251811725841435E-2</v>
      </c>
      <c r="BS68" s="75">
        <v>8.0364039955949096E-2</v>
      </c>
      <c r="BT68" s="75">
        <v>6.5869851406952007E-2</v>
      </c>
      <c r="BU68" s="75">
        <v>-4.2693854140975873E-2</v>
      </c>
      <c r="BV68" s="75">
        <v>-2.753064721456705E-2</v>
      </c>
      <c r="BW68" s="75">
        <v>-0.1124179891367994</v>
      </c>
      <c r="BX68" s="75">
        <v>6.6273681920838157E-3</v>
      </c>
      <c r="BY68" s="75">
        <v>3.7219782414914138E-2</v>
      </c>
      <c r="BZ68" s="75">
        <v>-2.0011135238364008E-2</v>
      </c>
      <c r="CA68" s="75">
        <v>5.6593653451396553E-2</v>
      </c>
      <c r="CB68" s="75">
        <v>6.9805034310060354E-2</v>
      </c>
      <c r="CC68" s="75">
        <v>9.2538905120274073E-2</v>
      </c>
      <c r="CD68" s="75">
        <v>-1.8987429703278491E-2</v>
      </c>
      <c r="CE68" s="75">
        <v>7.8904239578802549E-3</v>
      </c>
      <c r="CF68" s="75">
        <v>3.5991784992006948E-2</v>
      </c>
      <c r="CG68" s="75">
        <v>-6.0735444690296569E-2</v>
      </c>
      <c r="CH68" s="75">
        <v>-1.8151097909764768E-2</v>
      </c>
      <c r="CI68" s="75">
        <v>6.1870057926070809E-2</v>
      </c>
      <c r="CJ68" s="75">
        <v>-9.3051159943339179E-2</v>
      </c>
      <c r="CK68" s="75">
        <v>-1.8030404163108138E-2</v>
      </c>
      <c r="CL68" s="75">
        <v>-6.125828560676172E-2</v>
      </c>
      <c r="CM68" s="75">
        <v>-4.3147937025734273E-2</v>
      </c>
      <c r="CN68" s="75">
        <v>0.14481298825500716</v>
      </c>
      <c r="CO68" s="75">
        <v>-0.15195541217265091</v>
      </c>
      <c r="CP68" s="75">
        <v>-3.1595115503652516E-2</v>
      </c>
      <c r="CQ68" s="75">
        <v>7.2729353081773529E-3</v>
      </c>
      <c r="CR68" s="75">
        <v>3.7610783284947436E-2</v>
      </c>
      <c r="CS68" s="75">
        <v>-7.9855296052182556E-3</v>
      </c>
      <c r="CT68" s="75">
        <v>2.7972577069470705E-2</v>
      </c>
      <c r="CU68" s="75">
        <v>9.3472812078197853E-2</v>
      </c>
      <c r="CV68" s="75">
        <v>2.2886662945209524E-2</v>
      </c>
      <c r="CW68" s="75">
        <v>4.5946682602682254E-2</v>
      </c>
      <c r="CX68" s="75">
        <v>3.083501121236415E-2</v>
      </c>
      <c r="CY68" s="75">
        <v>-0.17236683351900944</v>
      </c>
      <c r="CZ68" s="75">
        <v>1.3312930480452456E-4</v>
      </c>
      <c r="DA68" s="75">
        <v>-5.1612147271900277E-2</v>
      </c>
      <c r="DB68" s="75">
        <v>8.0409431391521513E-2</v>
      </c>
      <c r="DC68" s="75">
        <v>-7.3919548452040573E-2</v>
      </c>
      <c r="DD68" s="75">
        <v>-0.10772480037848245</v>
      </c>
      <c r="DE68" s="75">
        <v>3.1559552966837323E-2</v>
      </c>
      <c r="DF68" s="75">
        <v>4.1125739244679604E-2</v>
      </c>
      <c r="DG68" s="75">
        <v>3.2949251321865491E-2</v>
      </c>
      <c r="DH68" s="75">
        <v>7.4418471852017498E-2</v>
      </c>
      <c r="DI68" s="75">
        <v>-6.7889327640394237E-2</v>
      </c>
      <c r="DJ68" s="75">
        <v>2.668115100118662E-2</v>
      </c>
      <c r="DK68" s="75">
        <v>0.13908306480323285</v>
      </c>
      <c r="DL68" s="75">
        <v>0.1081784768570237</v>
      </c>
      <c r="DM68" s="75">
        <v>4.1473580462960458E-2</v>
      </c>
      <c r="DN68" s="75">
        <v>0.11924676153746955</v>
      </c>
      <c r="DO68" s="75">
        <v>-6.1501481331934504E-2</v>
      </c>
      <c r="DP68" s="75">
        <v>-8.3811666421240105E-2</v>
      </c>
      <c r="DQ68" s="75">
        <v>8.546161443783834E-2</v>
      </c>
      <c r="DR68" s="75">
        <v>3.8218203398686867E-2</v>
      </c>
      <c r="DS68" s="75">
        <v>1.4689738653934248E-2</v>
      </c>
      <c r="DT68" s="75">
        <v>-0.11657160102088784</v>
      </c>
      <c r="DU68" s="75">
        <v>4.5754285369876802E-2</v>
      </c>
      <c r="DV68" s="75">
        <v>-5.006535036985843E-2</v>
      </c>
      <c r="DW68" s="75">
        <v>-2.2150018440879826E-2</v>
      </c>
      <c r="DX68" s="75">
        <v>8.6319673846517619E-2</v>
      </c>
      <c r="DY68" s="75">
        <v>-1.1558110423986911E-2</v>
      </c>
      <c r="DZ68" s="75">
        <v>9.0735625489554994E-2</v>
      </c>
      <c r="EA68" s="75">
        <v>0.18133804307513818</v>
      </c>
      <c r="EB68" s="75">
        <v>-3.2130620000765775E-2</v>
      </c>
      <c r="EC68" s="75">
        <v>1.6453950701444675E-2</v>
      </c>
      <c r="ED68" s="75">
        <v>1.25009024375064E-2</v>
      </c>
      <c r="EE68" s="75">
        <v>-4.861404464240332E-2</v>
      </c>
      <c r="EF68" s="75">
        <v>-2.0497163003566354E-2</v>
      </c>
      <c r="EG68" s="75">
        <v>5.1343214282471628E-2</v>
      </c>
      <c r="EH68" s="75">
        <v>8.1467359548714702E-2</v>
      </c>
      <c r="EI68" s="75">
        <v>-8.818553686711772E-2</v>
      </c>
      <c r="EJ68" s="75">
        <v>-0.13605233215710066</v>
      </c>
      <c r="EK68" s="75">
        <v>-3.3182623636419217E-2</v>
      </c>
      <c r="EL68" s="75">
        <v>4.810105718433183E-2</v>
      </c>
      <c r="EM68" s="75">
        <v>8.1929090722409614E-3</v>
      </c>
      <c r="EN68" s="75">
        <v>-7.7860029758215488E-2</v>
      </c>
      <c r="EO68" s="75">
        <v>-7.0329085644626588E-2</v>
      </c>
      <c r="EP68" s="75">
        <v>-5.7259316862291465E-2</v>
      </c>
      <c r="EQ68" s="75">
        <v>9.3271030009139722E-2</v>
      </c>
      <c r="ER68" s="75">
        <v>7.2349602729251006E-2</v>
      </c>
      <c r="ES68" s="75">
        <v>-2.6643771657215376E-2</v>
      </c>
      <c r="ET68" s="75">
        <v>-5.7897211899637924E-2</v>
      </c>
      <c r="EU68" s="75">
        <v>7.3683598482134072E-2</v>
      </c>
      <c r="EV68" s="75">
        <v>4.4622331077389221E-2</v>
      </c>
      <c r="EW68" s="75">
        <v>-0.10650129314005741</v>
      </c>
      <c r="EX68" s="75">
        <v>-1.2910351107994211E-3</v>
      </c>
      <c r="EY68" s="75">
        <v>5.5779057586509084E-2</v>
      </c>
      <c r="EZ68" s="75">
        <v>4.2696873871336416E-2</v>
      </c>
      <c r="FA68" s="75">
        <v>0.11328391013074257</v>
      </c>
      <c r="FB68" s="75">
        <v>3.1679904625909638E-2</v>
      </c>
      <c r="FC68" s="75">
        <v>5.5923467112887759E-3</v>
      </c>
      <c r="FD68" s="75">
        <v>-8.8340515865877156E-2</v>
      </c>
      <c r="FE68" s="75">
        <v>6.9468693861522601E-2</v>
      </c>
      <c r="FF68" s="75">
        <v>-3.107002613507831E-2</v>
      </c>
      <c r="FG68" s="75">
        <v>5.1780419226746199E-2</v>
      </c>
      <c r="FH68" s="75">
        <v>-6.5261842080524157E-2</v>
      </c>
      <c r="FI68" s="75">
        <v>-2.9077718406583519E-2</v>
      </c>
      <c r="FJ68" s="75">
        <v>-4.0921485990917883E-2</v>
      </c>
      <c r="FK68" s="75">
        <v>-3.2179552759458774E-2</v>
      </c>
      <c r="FL68" s="75">
        <v>-4.7940887311737068E-2</v>
      </c>
      <c r="FM68" s="75">
        <v>-2.0081488815550774E-2</v>
      </c>
      <c r="FN68" s="75">
        <v>7.1314250681296598E-2</v>
      </c>
      <c r="FO68" s="75">
        <v>-4.9105270810438972E-2</v>
      </c>
      <c r="FP68" s="75">
        <v>-2.4539507834253349E-2</v>
      </c>
      <c r="FQ68" s="75">
        <v>-2.5077365295432474E-2</v>
      </c>
      <c r="FR68" s="75">
        <v>-2.5401149459692574E-2</v>
      </c>
      <c r="FS68" s="75">
        <v>8.882983328724442E-2</v>
      </c>
      <c r="FT68" s="75">
        <v>3.1086348093937677E-2</v>
      </c>
      <c r="FU68" s="75">
        <v>0.10791396304045148</v>
      </c>
      <c r="FV68" s="75">
        <v>-7.3418542907094098E-2</v>
      </c>
      <c r="FW68" s="75">
        <v>0.10377822452472629</v>
      </c>
      <c r="FX68" s="75">
        <v>4.8582250838821228E-2</v>
      </c>
      <c r="FY68" s="75">
        <v>8.8449356539011925E-2</v>
      </c>
      <c r="FZ68" s="75">
        <v>-6.2109033176667883E-2</v>
      </c>
      <c r="GA68" s="75">
        <v>-0.11436512752272901</v>
      </c>
      <c r="GB68" s="75">
        <v>4.197662750934289E-2</v>
      </c>
      <c r="GC68" s="75">
        <v>5.3021496474842111E-2</v>
      </c>
      <c r="GD68" s="75">
        <v>3.1144198665474798E-2</v>
      </c>
      <c r="GE68" s="75">
        <v>2.9301721395798064E-2</v>
      </c>
      <c r="GF68" s="75">
        <v>-9.6685735319709365E-2</v>
      </c>
      <c r="GG68" s="75">
        <v>-0.10243493972223272</v>
      </c>
      <c r="GH68" s="75">
        <v>-7.5317134240107331E-2</v>
      </c>
      <c r="GI68" s="75">
        <v>-8.5408596881278442E-3</v>
      </c>
      <c r="GJ68" s="75">
        <v>0.13723729342070368</v>
      </c>
      <c r="GK68" s="75">
        <v>0.13874997288170943</v>
      </c>
      <c r="GL68" s="75">
        <v>3.4798867147453894E-2</v>
      </c>
      <c r="GM68" s="75">
        <v>-3.1518279503912505E-2</v>
      </c>
      <c r="GN68" s="75">
        <v>0.17465168495906219</v>
      </c>
      <c r="GO68" s="75">
        <v>-4.4461230603149493E-2</v>
      </c>
      <c r="GP68" s="75">
        <v>2.5073589599193813E-2</v>
      </c>
      <c r="GQ68" s="75">
        <v>8.0142558861297508E-2</v>
      </c>
      <c r="GR68" s="75">
        <v>1.6924954739731934E-2</v>
      </c>
      <c r="GS68" s="75">
        <v>-1.3662771310099131E-2</v>
      </c>
      <c r="GT68" s="75">
        <v>-4.5592744592071299E-2</v>
      </c>
      <c r="GU68" s="75">
        <v>-6.3196781020188442E-2</v>
      </c>
      <c r="GV68" s="75">
        <v>0.1486158287715264</v>
      </c>
      <c r="GW68" s="75">
        <v>-8.8521321100860084E-3</v>
      </c>
      <c r="GX68" s="75">
        <v>5.481904347397476E-2</v>
      </c>
      <c r="GY68" s="75">
        <v>6.8883954516206769E-2</v>
      </c>
      <c r="GZ68" s="75">
        <v>4.1916620805187432E-2</v>
      </c>
      <c r="HA68" s="75">
        <v>8.5633491857803223E-2</v>
      </c>
      <c r="HB68" s="75">
        <v>-5.7983789191337731E-2</v>
      </c>
      <c r="HC68" s="75">
        <v>-6.2121105465788251E-2</v>
      </c>
      <c r="HD68" s="75">
        <v>-4.0345805209732188E-2</v>
      </c>
      <c r="HE68" s="75">
        <v>-2.1930762467463061E-3</v>
      </c>
      <c r="HF68" s="75">
        <v>3.4150463380009599E-2</v>
      </c>
      <c r="HG68" s="75">
        <v>6.7746479663031711E-3</v>
      </c>
      <c r="HH68" s="75">
        <v>-0.1222528347721876</v>
      </c>
      <c r="HI68" s="75">
        <v>-4.2888570895643907E-4</v>
      </c>
      <c r="HJ68" s="75">
        <v>-3.0894552722895541E-2</v>
      </c>
      <c r="HK68" s="75">
        <v>-3.7027101616230407E-2</v>
      </c>
      <c r="HL68" s="75">
        <v>-3.5196509474244575E-3</v>
      </c>
      <c r="HM68" s="75">
        <v>3.9038626383457453E-2</v>
      </c>
      <c r="HN68" s="75">
        <v>-0.16423075355020159</v>
      </c>
      <c r="HO68" s="75">
        <v>-7.4669161409818829E-3</v>
      </c>
      <c r="HP68" s="75">
        <v>-6.2348603259156699E-2</v>
      </c>
      <c r="HQ68" s="75">
        <v>-7.3769502122444097E-2</v>
      </c>
      <c r="HR68" s="75">
        <v>3.290969100585478E-2</v>
      </c>
      <c r="HS68" s="75">
        <v>-7.4510908296589851E-2</v>
      </c>
      <c r="HT68" s="75">
        <v>-3.2136241722158509E-2</v>
      </c>
      <c r="HU68" s="75">
        <v>8.837787244941081E-2</v>
      </c>
      <c r="HV68" s="75">
        <v>0.11766847207808645</v>
      </c>
      <c r="HW68" s="75">
        <v>-3.2720218408309798E-2</v>
      </c>
      <c r="HX68" s="75">
        <v>5.4924942526239529E-2</v>
      </c>
      <c r="HY68" s="75">
        <v>1.4703601756400064E-2</v>
      </c>
      <c r="HZ68" s="75">
        <v>-7.7671136188821044E-2</v>
      </c>
      <c r="IA68" s="75">
        <v>8.8376236917001916E-2</v>
      </c>
      <c r="IB68" s="75">
        <v>4.4006628161435579E-2</v>
      </c>
      <c r="IC68" s="75">
        <v>-4.3426665020842081E-2</v>
      </c>
      <c r="ID68" s="75">
        <v>7.4205350933725323E-2</v>
      </c>
      <c r="IE68" s="75">
        <v>4.1264792456725263E-2</v>
      </c>
      <c r="IF68" s="75">
        <v>-3.393312179128255E-2</v>
      </c>
      <c r="IG68" s="75">
        <v>-0.1621461328581395</v>
      </c>
      <c r="IH68" s="75">
        <v>4.8291000216759139E-3</v>
      </c>
      <c r="II68" s="75">
        <v>2.2789208041081477E-2</v>
      </c>
      <c r="IJ68" s="75">
        <v>-4.4581543827150238E-2</v>
      </c>
      <c r="IK68" s="75">
        <v>3.2784359328344392E-2</v>
      </c>
      <c r="IL68" s="75">
        <v>-1.1554072762609835E-2</v>
      </c>
      <c r="IM68" s="75">
        <v>-2.0885741707400929E-2</v>
      </c>
      <c r="IN68" s="75">
        <v>5.6650750298246177E-2</v>
      </c>
      <c r="IO68" s="75">
        <v>9.6217948152661603E-2</v>
      </c>
      <c r="IP68" s="75">
        <v>-6.7477681103014886E-2</v>
      </c>
      <c r="IQ68" s="75">
        <v>-6.385279350412798E-2</v>
      </c>
      <c r="IR68" s="75">
        <v>0.13823148334782881</v>
      </c>
      <c r="IS68" s="75">
        <v>-4.0100568399082548E-2</v>
      </c>
      <c r="IT68" s="75">
        <v>-1.0486345450934742E-2</v>
      </c>
      <c r="IU68" s="75">
        <v>2.7704761486618157E-2</v>
      </c>
    </row>
    <row r="69" spans="1:255" s="74" customFormat="1" ht="14.5" x14ac:dyDescent="0.35">
      <c r="A69" s="73"/>
      <c r="B69" s="78">
        <v>4</v>
      </c>
      <c r="C69" s="77">
        <f t="shared" si="43"/>
        <v>2.7422973915005498E-2</v>
      </c>
      <c r="D69" s="76">
        <f t="shared" si="44"/>
        <v>8.2634939360343163E-2</v>
      </c>
      <c r="E69" s="75">
        <v>-0.13328058592142256</v>
      </c>
      <c r="F69" s="75">
        <v>6.2162571647744802E-2</v>
      </c>
      <c r="G69" s="75">
        <v>0.20109932657844048</v>
      </c>
      <c r="H69" s="75">
        <v>-1.3054356310344961E-2</v>
      </c>
      <c r="I69" s="75">
        <v>3.9299247892760236E-2</v>
      </c>
      <c r="J69" s="75">
        <v>-5.626807580922924E-2</v>
      </c>
      <c r="K69" s="75">
        <v>3.1840434243947058E-2</v>
      </c>
      <c r="L69" s="75">
        <v>0.12406196526387825</v>
      </c>
      <c r="M69" s="75">
        <v>4.6074449184274224E-2</v>
      </c>
      <c r="N69" s="75">
        <v>8.2296366937057719E-2</v>
      </c>
      <c r="O69" s="75">
        <v>-1.7340720824549072E-4</v>
      </c>
      <c r="P69" s="75">
        <v>-5.1012763790295207E-2</v>
      </c>
      <c r="Q69" s="75">
        <v>-6.8840832476334129E-2</v>
      </c>
      <c r="R69" s="75">
        <v>-3.5406042373557489E-3</v>
      </c>
      <c r="S69" s="75">
        <v>-5.4933952883578052E-2</v>
      </c>
      <c r="T69" s="75">
        <v>-0.13543601563659796</v>
      </c>
      <c r="U69" s="75">
        <v>-2.9773565141873404E-2</v>
      </c>
      <c r="V69" s="75">
        <v>0.11369864232853716</v>
      </c>
      <c r="W69" s="75">
        <v>0.16142357171409161</v>
      </c>
      <c r="X69" s="75">
        <v>3.8910666922888582E-2</v>
      </c>
      <c r="Y69" s="75">
        <v>6.6372454936357794E-2</v>
      </c>
      <c r="Z69" s="75">
        <v>6.1833781587074255E-2</v>
      </c>
      <c r="AA69" s="75">
        <v>-6.9583236945248927E-2</v>
      </c>
      <c r="AB69" s="75">
        <v>2.153551473391202E-2</v>
      </c>
      <c r="AC69" s="75">
        <v>-1.7708747949094661E-2</v>
      </c>
      <c r="AD69" s="75">
        <v>4.5891287674633519E-2</v>
      </c>
      <c r="AE69" s="75">
        <v>-0.14473530325017453</v>
      </c>
      <c r="AF69" s="75">
        <v>-3.1333568573571002E-2</v>
      </c>
      <c r="AG69" s="75">
        <v>-2.8610295332460511E-2</v>
      </c>
      <c r="AH69" s="75">
        <v>-8.5186372308126979E-2</v>
      </c>
      <c r="AI69" s="75">
        <v>-0.13288665413172987</v>
      </c>
      <c r="AJ69" s="75">
        <v>-9.7214771058067528E-2</v>
      </c>
      <c r="AK69" s="75">
        <v>1.2711623539596928E-2</v>
      </c>
      <c r="AL69" s="75">
        <v>6.1648568553119343E-2</v>
      </c>
      <c r="AM69" s="75">
        <v>-8.3500439546917993E-2</v>
      </c>
      <c r="AN69" s="75">
        <v>3.2926263972790359E-2</v>
      </c>
      <c r="AO69" s="75">
        <v>-3.5893733629374869E-2</v>
      </c>
      <c r="AP69" s="75">
        <v>0.13053951609102177</v>
      </c>
      <c r="AQ69" s="75">
        <v>-8.1806923591194708E-2</v>
      </c>
      <c r="AR69" s="75">
        <v>0.12916183544911614</v>
      </c>
      <c r="AS69" s="75">
        <v>7.8379776595321471E-3</v>
      </c>
      <c r="AT69" s="75">
        <v>7.8679244632955392E-2</v>
      </c>
      <c r="AU69" s="75">
        <v>-3.396985441206779E-2</v>
      </c>
      <c r="AV69" s="75">
        <v>-2.9175097176220077E-2</v>
      </c>
      <c r="AW69" s="75">
        <v>-7.4295962194446286E-2</v>
      </c>
      <c r="AX69" s="75">
        <v>-1.3896871951386114E-2</v>
      </c>
      <c r="AY69" s="75">
        <v>3.9158780639423907E-3</v>
      </c>
      <c r="AZ69" s="75">
        <v>6.4608241318490134E-2</v>
      </c>
      <c r="BA69" s="75">
        <v>-6.4927720611756473E-2</v>
      </c>
      <c r="BB69" s="75">
        <v>-0.15167979514271021</v>
      </c>
      <c r="BC69" s="75">
        <v>3.3745220569719903E-2</v>
      </c>
      <c r="BD69" s="75">
        <v>-7.2393576015195416E-2</v>
      </c>
      <c r="BE69" s="75">
        <v>-9.6617148915370543E-3</v>
      </c>
      <c r="BF69" s="75">
        <v>-7.1833894571425305E-2</v>
      </c>
      <c r="BG69" s="75">
        <v>-7.4729465631068054E-2</v>
      </c>
      <c r="BH69" s="75">
        <v>-0.10008611461697164</v>
      </c>
      <c r="BI69" s="75">
        <v>-3.5498598131806225E-2</v>
      </c>
      <c r="BJ69" s="75">
        <v>4.7084158626513439E-2</v>
      </c>
      <c r="BK69" s="75">
        <v>-5.50159714913111E-2</v>
      </c>
      <c r="BL69" s="75">
        <v>-9.8921890040247762E-2</v>
      </c>
      <c r="BM69" s="75">
        <v>3.8707164280611217E-2</v>
      </c>
      <c r="BN69" s="75">
        <v>-2.0124858992955352E-2</v>
      </c>
      <c r="BO69" s="75">
        <v>-1.4446982518982965E-2</v>
      </c>
      <c r="BP69" s="75">
        <v>0.10107308579301233</v>
      </c>
      <c r="BQ69" s="75">
        <v>2.3111697561386979E-2</v>
      </c>
      <c r="BR69" s="75">
        <v>-6.8432208589842114E-2</v>
      </c>
      <c r="BS69" s="75">
        <v>6.4948998076601094E-2</v>
      </c>
      <c r="BT69" s="75">
        <v>2.6754508931878085E-2</v>
      </c>
      <c r="BU69" s="75">
        <v>-6.8917988838451294E-2</v>
      </c>
      <c r="BV69" s="75">
        <v>-5.0798853817618672E-2</v>
      </c>
      <c r="BW69" s="75">
        <v>-0.12024931353818802</v>
      </c>
      <c r="BX69" s="75">
        <v>-1.9488776135245134E-2</v>
      </c>
      <c r="BY69" s="75">
        <v>2.4209212322761631E-2</v>
      </c>
      <c r="BZ69" s="75">
        <v>4.3603442940432502E-3</v>
      </c>
      <c r="CA69" s="75">
        <v>8.4378350866097296E-2</v>
      </c>
      <c r="CB69" s="75">
        <v>7.3956180562533114E-2</v>
      </c>
      <c r="CC69" s="75">
        <v>9.3726344054859245E-2</v>
      </c>
      <c r="CD69" s="75">
        <v>-3.9862238045136056E-2</v>
      </c>
      <c r="CE69" s="75">
        <v>3.3300547851795481E-2</v>
      </c>
      <c r="CF69" s="75">
        <v>8.770236944631804E-3</v>
      </c>
      <c r="CG69" s="75">
        <v>-5.6388474848576814E-2</v>
      </c>
      <c r="CH69" s="75">
        <v>-6.1746822952494784E-3</v>
      </c>
      <c r="CI69" s="75">
        <v>7.3883177741795425E-2</v>
      </c>
      <c r="CJ69" s="75">
        <v>-6.9218225332010636E-2</v>
      </c>
      <c r="CK69" s="75">
        <v>-6.6343431702033384E-3</v>
      </c>
      <c r="CL69" s="75">
        <v>-7.4772424507257962E-2</v>
      </c>
      <c r="CM69" s="75">
        <v>-4.04102183399348E-2</v>
      </c>
      <c r="CN69" s="75">
        <v>0.15125461992842548</v>
      </c>
      <c r="CO69" s="75">
        <v>-0.15411656274154834</v>
      </c>
      <c r="CP69" s="75">
        <v>-3.8826462077715507E-2</v>
      </c>
      <c r="CQ69" s="75">
        <v>2.6451009055405927E-2</v>
      </c>
      <c r="CR69" s="75">
        <v>5.4133640223351931E-2</v>
      </c>
      <c r="CS69" s="75">
        <v>2.8723471897634856E-2</v>
      </c>
      <c r="CT69" s="75">
        <v>4.4952292598880728E-2</v>
      </c>
      <c r="CU69" s="75">
        <v>7.8579605726480151E-2</v>
      </c>
      <c r="CV69" s="75">
        <v>2.4069929811481372E-2</v>
      </c>
      <c r="CW69" s="75">
        <v>4.3643834724214958E-2</v>
      </c>
      <c r="CX69" s="75">
        <v>2.7928925049930442E-2</v>
      </c>
      <c r="CY69" s="75">
        <v>-0.1415479675012582</v>
      </c>
      <c r="CZ69" s="75">
        <v>-2.8159920801848481E-3</v>
      </c>
      <c r="DA69" s="75">
        <v>1.121060724364964E-3</v>
      </c>
      <c r="DB69" s="75">
        <v>-2.7346963152153569E-2</v>
      </c>
      <c r="DC69" s="75">
        <v>2.357211017312183E-2</v>
      </c>
      <c r="DD69" s="75">
        <v>-0.12046869742892075</v>
      </c>
      <c r="DE69" s="75">
        <v>-3.1591943788204513E-2</v>
      </c>
      <c r="DF69" s="75">
        <v>1.7629058772913542E-2</v>
      </c>
      <c r="DG69" s="75">
        <v>5.1754022595415783E-2</v>
      </c>
      <c r="DH69" s="75">
        <v>6.1788589199275601E-2</v>
      </c>
      <c r="DI69" s="75">
        <v>-1.1008469852363534E-2</v>
      </c>
      <c r="DJ69" s="75">
        <v>3.2840839873951033E-3</v>
      </c>
      <c r="DK69" s="75">
        <v>4.704329324729517E-2</v>
      </c>
      <c r="DL69" s="75">
        <v>6.9509008634194402E-2</v>
      </c>
      <c r="DM69" s="75">
        <v>-3.1199384380190542E-3</v>
      </c>
      <c r="DN69" s="75">
        <v>-7.0109540337076059E-2</v>
      </c>
      <c r="DO69" s="75">
        <v>5.1247318441334844E-2</v>
      </c>
      <c r="DP69" s="75">
        <v>1.5947075529000876E-3</v>
      </c>
      <c r="DQ69" s="75">
        <v>6.1654855412020648E-2</v>
      </c>
      <c r="DR69" s="75">
        <v>-5.8964146032299936E-2</v>
      </c>
      <c r="DS69" s="75">
        <v>-8.0507902158362815E-2</v>
      </c>
      <c r="DT69" s="75">
        <v>-8.6287837254118149E-2</v>
      </c>
      <c r="DU69" s="75">
        <v>2.7410276692770574E-2</v>
      </c>
      <c r="DV69" s="75">
        <v>0.1374151285069507</v>
      </c>
      <c r="DW69" s="75">
        <v>1.1049999241642239E-2</v>
      </c>
      <c r="DX69" s="75">
        <v>5.097105282105413E-2</v>
      </c>
      <c r="DY69" s="75">
        <v>9.3657728747029712E-3</v>
      </c>
      <c r="DZ69" s="75">
        <v>8.8089020066895174E-2</v>
      </c>
      <c r="EA69" s="75">
        <v>-3.2252958616103222E-2</v>
      </c>
      <c r="EB69" s="75">
        <v>-8.9949062297976973E-2</v>
      </c>
      <c r="EC69" s="75">
        <v>-1.9526182918075674E-2</v>
      </c>
      <c r="ED69" s="75">
        <v>-1.3431101805768786E-2</v>
      </c>
      <c r="EE69" s="75">
        <v>-1.9709292703846248E-2</v>
      </c>
      <c r="EF69" s="75">
        <v>8.0948227414212981E-2</v>
      </c>
      <c r="EG69" s="75">
        <v>-7.8214495998623956E-2</v>
      </c>
      <c r="EH69" s="75">
        <v>1.2478138083990065E-2</v>
      </c>
      <c r="EI69" s="75">
        <v>-6.3782510525426966E-2</v>
      </c>
      <c r="EJ69" s="75">
        <v>-0.11538427745716431</v>
      </c>
      <c r="EK69" s="75">
        <v>-3.2785215701904014E-2</v>
      </c>
      <c r="EL69" s="75">
        <v>9.1280517481771517E-2</v>
      </c>
      <c r="EM69" s="75">
        <v>-1.9075423800014812E-2</v>
      </c>
      <c r="EN69" s="75">
        <v>-6.7249070408108458E-2</v>
      </c>
      <c r="EO69" s="75">
        <v>2.2079215839716282E-2</v>
      </c>
      <c r="EP69" s="75">
        <v>-5.0893941427128886E-2</v>
      </c>
      <c r="EQ69" s="75">
        <v>2.0941733808865048E-2</v>
      </c>
      <c r="ER69" s="75">
        <v>-2.0621018434099303E-2</v>
      </c>
      <c r="ES69" s="75">
        <v>0.16882377655053998</v>
      </c>
      <c r="ET69" s="75">
        <v>-1.6685280103985123E-2</v>
      </c>
      <c r="EU69" s="75">
        <v>2.0096569483057936E-4</v>
      </c>
      <c r="EV69" s="75">
        <v>9.137797474195597E-2</v>
      </c>
      <c r="EW69" s="75">
        <v>-7.5952262115752345E-2</v>
      </c>
      <c r="EX69" s="75">
        <v>7.7464914384275663E-2</v>
      </c>
      <c r="EY69" s="75">
        <v>0.13120395478002428</v>
      </c>
      <c r="EZ69" s="75">
        <v>9.6822014811702772E-2</v>
      </c>
      <c r="FA69" s="75">
        <v>-3.1333082727563966E-2</v>
      </c>
      <c r="FB69" s="75">
        <v>5.6482949874713084E-2</v>
      </c>
      <c r="FC69" s="75">
        <v>1.4709378081375069E-3</v>
      </c>
      <c r="FD69" s="75">
        <v>6.9819969574661633E-2</v>
      </c>
      <c r="FE69" s="75">
        <v>-8.0607720684498257E-2</v>
      </c>
      <c r="FF69" s="75">
        <v>-5.6713258004746692E-2</v>
      </c>
      <c r="FG69" s="75">
        <v>-2.9655907691816918E-2</v>
      </c>
      <c r="FH69" s="75">
        <v>5.735435549922091E-2</v>
      </c>
      <c r="FI69" s="75">
        <v>-5.7890809345625072E-2</v>
      </c>
      <c r="FJ69" s="75">
        <v>-3.6234023331420173E-2</v>
      </c>
      <c r="FK69" s="75">
        <v>6.0427073025592359E-2</v>
      </c>
      <c r="FL69" s="75">
        <v>-8.1863260770330182E-2</v>
      </c>
      <c r="FM69" s="75">
        <v>-2.8682584024095625E-3</v>
      </c>
      <c r="FN69" s="75">
        <v>-9.1505421438453083E-3</v>
      </c>
      <c r="FO69" s="75">
        <v>-8.9829684451270903E-2</v>
      </c>
      <c r="FP69" s="75">
        <v>1.7544229182576143E-2</v>
      </c>
      <c r="FQ69" s="75">
        <v>-2.3147966113723717E-2</v>
      </c>
      <c r="FR69" s="75">
        <v>4.9728620212958208E-3</v>
      </c>
      <c r="FS69" s="75">
        <v>0.11548933622874985</v>
      </c>
      <c r="FT69" s="75">
        <v>2.2197991407473916E-2</v>
      </c>
      <c r="FU69" s="75">
        <v>8.2346287699774978E-2</v>
      </c>
      <c r="FV69" s="75">
        <v>-7.6430088267453455E-2</v>
      </c>
      <c r="FW69" s="75">
        <v>1.9616446611483096E-2</v>
      </c>
      <c r="FX69" s="75">
        <v>5.0951123488207906E-2</v>
      </c>
      <c r="FY69" s="75">
        <v>0.10045431181246317</v>
      </c>
      <c r="FZ69" s="75">
        <v>-3.1149329876797915E-2</v>
      </c>
      <c r="GA69" s="75">
        <v>-1.7888684075512307E-2</v>
      </c>
      <c r="GB69" s="75">
        <v>7.200203577741443E-2</v>
      </c>
      <c r="GC69" s="75">
        <v>-3.1800085718733828E-2</v>
      </c>
      <c r="GD69" s="75">
        <v>7.5151833934078982E-3</v>
      </c>
      <c r="GE69" s="75">
        <v>1.8207897999698408E-2</v>
      </c>
      <c r="GF69" s="75">
        <v>-2.7170098813333543E-2</v>
      </c>
      <c r="GG69" s="75">
        <v>-6.6387446507380043E-2</v>
      </c>
      <c r="GH69" s="75">
        <v>2.3287647489862728E-2</v>
      </c>
      <c r="GI69" s="75">
        <v>2.210307453545135E-2</v>
      </c>
      <c r="GJ69" s="75">
        <v>-1.9067285916120669E-2</v>
      </c>
      <c r="GK69" s="75">
        <v>-2.2281890434916518E-2</v>
      </c>
      <c r="GL69" s="75">
        <v>1.8646041707027661E-2</v>
      </c>
      <c r="GM69" s="75">
        <v>-5.3663906344692008E-2</v>
      </c>
      <c r="GN69" s="75">
        <v>3.0387984736787166E-2</v>
      </c>
      <c r="GO69" s="75">
        <v>-2.1162676108753165E-2</v>
      </c>
      <c r="GP69" s="75">
        <v>3.9678901731741212E-2</v>
      </c>
      <c r="GQ69" s="75">
        <v>5.7656515144244913E-2</v>
      </c>
      <c r="GR69" s="75">
        <v>-5.9623027564830178E-2</v>
      </c>
      <c r="GS69" s="75">
        <v>-3.6409250764536383E-2</v>
      </c>
      <c r="GT69" s="75">
        <v>0.10247136918439925</v>
      </c>
      <c r="GU69" s="75">
        <v>-2.0657036480821178E-3</v>
      </c>
      <c r="GV69" s="75">
        <v>1.2896185885711953E-2</v>
      </c>
      <c r="GW69" s="75">
        <v>-2.4055629780944665E-2</v>
      </c>
      <c r="GX69" s="75">
        <v>-1.8698202006435294E-2</v>
      </c>
      <c r="GY69" s="75">
        <v>-2.9283384542523883E-3</v>
      </c>
      <c r="GZ69" s="75">
        <v>-7.5701667926120375E-2</v>
      </c>
      <c r="HA69" s="75">
        <v>-0.15898474773651436</v>
      </c>
      <c r="HB69" s="75">
        <v>-0.1088353752615551</v>
      </c>
      <c r="HC69" s="75">
        <v>-6.0895393408226806E-2</v>
      </c>
      <c r="HD69" s="75">
        <v>-7.2178085313389845E-2</v>
      </c>
      <c r="HE69" s="75">
        <v>4.8843852222632711E-2</v>
      </c>
      <c r="HF69" s="75">
        <v>-1.7768401104248932E-3</v>
      </c>
      <c r="HG69" s="75">
        <v>-1.3950540422811741E-2</v>
      </c>
      <c r="HH69" s="75">
        <v>-3.8292862782149384E-3</v>
      </c>
      <c r="HI69" s="75">
        <v>-4.667198113476323E-3</v>
      </c>
      <c r="HJ69" s="75">
        <v>9.5472740260039435E-2</v>
      </c>
      <c r="HK69" s="75">
        <v>0.10727236706397708</v>
      </c>
      <c r="HL69" s="75">
        <v>0.14836955520044032</v>
      </c>
      <c r="HM69" s="75">
        <v>-6.5354539233945186E-2</v>
      </c>
      <c r="HN69" s="75">
        <v>-0.16712832439303857</v>
      </c>
      <c r="HO69" s="75">
        <v>0.11712042868178318</v>
      </c>
      <c r="HP69" s="75">
        <v>-4.9872460196822982E-2</v>
      </c>
      <c r="HQ69" s="75">
        <v>-6.0814375259116898E-2</v>
      </c>
      <c r="HR69" s="75">
        <v>-6.4471475004521633E-2</v>
      </c>
      <c r="HS69" s="75">
        <v>7.5646197993869513E-2</v>
      </c>
      <c r="HT69" s="75">
        <v>-6.0800889224643273E-2</v>
      </c>
      <c r="HU69" s="75">
        <v>7.3730007343336956E-2</v>
      </c>
      <c r="HV69" s="75">
        <v>-2.4163305593192741E-2</v>
      </c>
      <c r="HW69" s="75">
        <v>-7.260602492895063E-3</v>
      </c>
      <c r="HX69" s="75">
        <v>3.0225192834907599E-2</v>
      </c>
      <c r="HY69" s="75">
        <v>2.9409966756575368E-2</v>
      </c>
      <c r="HZ69" s="75">
        <v>-0.10607655113223638</v>
      </c>
      <c r="IA69" s="75">
        <v>7.8965380746871927E-2</v>
      </c>
      <c r="IB69" s="75">
        <v>8.2634939360343163E-2</v>
      </c>
      <c r="IC69" s="75">
        <v>-3.2967672828751959E-2</v>
      </c>
      <c r="ID69" s="75">
        <v>-5.2499490737068388E-2</v>
      </c>
      <c r="IE69" s="75">
        <v>-6.4725950614843208E-2</v>
      </c>
      <c r="IF69" s="75">
        <v>3.9951664917464158E-2</v>
      </c>
      <c r="IG69" s="75">
        <v>-0.15777137848724637</v>
      </c>
      <c r="IH69" s="75">
        <v>1.5575278674927251E-2</v>
      </c>
      <c r="II69" s="75">
        <v>-2.1433476509107374E-2</v>
      </c>
      <c r="IJ69" s="75">
        <v>-6.7415604750988734E-2</v>
      </c>
      <c r="IK69" s="75">
        <v>-3.2831550080595184E-2</v>
      </c>
      <c r="IL69" s="75">
        <v>0.24296867032519376</v>
      </c>
      <c r="IM69" s="75">
        <v>-2.3645628178542044E-2</v>
      </c>
      <c r="IN69" s="75">
        <v>4.0331764307925622E-2</v>
      </c>
      <c r="IO69" s="75">
        <v>-0.11048870557925453</v>
      </c>
      <c r="IP69" s="75">
        <v>1.9986106879510357E-2</v>
      </c>
      <c r="IQ69" s="75">
        <v>2.3624352826439765E-2</v>
      </c>
      <c r="IR69" s="75">
        <v>-0.11624749278347649</v>
      </c>
      <c r="IS69" s="75">
        <v>0.16747406074987259</v>
      </c>
      <c r="IT69" s="75">
        <v>-4.5467066881459739E-2</v>
      </c>
      <c r="IU69" s="75">
        <v>1.5763458828829346E-2</v>
      </c>
    </row>
    <row r="70" spans="1:255" s="74" customFormat="1" ht="14.5" x14ac:dyDescent="0.35">
      <c r="A70" s="73"/>
      <c r="B70" s="78">
        <v>4.25</v>
      </c>
      <c r="C70" s="77">
        <f t="shared" si="43"/>
        <v>2.6201039434702374E-2</v>
      </c>
      <c r="D70" s="76">
        <f t="shared" si="44"/>
        <v>8.8043485021352619E-2</v>
      </c>
      <c r="E70" s="75">
        <v>-0.12031797618034051</v>
      </c>
      <c r="F70" s="75">
        <v>6.2061961687591261E-2</v>
      </c>
      <c r="G70" s="75">
        <v>0.19163345791695585</v>
      </c>
      <c r="H70" s="75">
        <v>-2.6766721747665451E-2</v>
      </c>
      <c r="I70" s="75">
        <v>2.5083094798435179E-2</v>
      </c>
      <c r="J70" s="75">
        <v>-5.1857035638893628E-2</v>
      </c>
      <c r="K70" s="75">
        <v>2.5438400179956133E-2</v>
      </c>
      <c r="L70" s="75">
        <v>0.1020262357862744</v>
      </c>
      <c r="M70" s="75">
        <v>3.1676911549726128E-2</v>
      </c>
      <c r="N70" s="75">
        <v>6.4203978791666116E-2</v>
      </c>
      <c r="O70" s="75">
        <v>7.3719907516633654E-3</v>
      </c>
      <c r="P70" s="75">
        <v>-5.1756741661849209E-2</v>
      </c>
      <c r="Q70" s="75">
        <v>-6.3223720224416746E-2</v>
      </c>
      <c r="R70" s="75">
        <v>1.3069117489357129E-3</v>
      </c>
      <c r="S70" s="75">
        <v>-4.5749794125654664E-2</v>
      </c>
      <c r="T70" s="75">
        <v>-0.12416835616117355</v>
      </c>
      <c r="U70" s="75">
        <v>-3.8523725076259535E-2</v>
      </c>
      <c r="V70" s="75">
        <v>0.12342881911617548</v>
      </c>
      <c r="W70" s="75">
        <v>0.15769016187353913</v>
      </c>
      <c r="X70" s="75">
        <v>6.0447818756023841E-2</v>
      </c>
      <c r="Y70" s="75">
        <v>7.9614157870194047E-2</v>
      </c>
      <c r="Z70" s="75">
        <v>8.8059348085408773E-2</v>
      </c>
      <c r="AA70" s="75">
        <v>-6.2781964820704944E-2</v>
      </c>
      <c r="AB70" s="75">
        <v>4.2644226630207671E-2</v>
      </c>
      <c r="AC70" s="75">
        <v>8.9325469219755094E-3</v>
      </c>
      <c r="AD70" s="75">
        <v>7.6257739544499381E-2</v>
      </c>
      <c r="AE70" s="75">
        <v>-9.9658881466557325E-2</v>
      </c>
      <c r="AF70" s="75">
        <v>-2.4387361721870143E-2</v>
      </c>
      <c r="AG70" s="75">
        <v>-5.3996931798225845E-3</v>
      </c>
      <c r="AH70" s="75">
        <v>-6.0372738368736079E-2</v>
      </c>
      <c r="AI70" s="75">
        <v>-0.10451037912015515</v>
      </c>
      <c r="AJ70" s="75">
        <v>-0.10234976321596986</v>
      </c>
      <c r="AK70" s="75">
        <v>4.4367516348236546E-3</v>
      </c>
      <c r="AL70" s="75">
        <v>4.8949632494383777E-2</v>
      </c>
      <c r="AM70" s="75">
        <v>-8.1196002774921228E-2</v>
      </c>
      <c r="AN70" s="75">
        <v>1.1319168162971849E-2</v>
      </c>
      <c r="AO70" s="75">
        <v>-3.7416083983047771E-2</v>
      </c>
      <c r="AP70" s="75">
        <v>0.10798413633522885</v>
      </c>
      <c r="AQ70" s="75">
        <v>-7.2420889555845136E-2</v>
      </c>
      <c r="AR70" s="75">
        <v>0.12609764657250833</v>
      </c>
      <c r="AS70" s="75">
        <v>-1.5358274404201122E-2</v>
      </c>
      <c r="AT70" s="75">
        <v>8.39968245692162E-2</v>
      </c>
      <c r="AU70" s="75">
        <v>-5.3171571264391648E-2</v>
      </c>
      <c r="AV70" s="75">
        <v>-3.0757666579097842E-2</v>
      </c>
      <c r="AW70" s="75">
        <v>-6.1509847518765787E-2</v>
      </c>
      <c r="AX70" s="75">
        <v>-1.6549766586943793E-2</v>
      </c>
      <c r="AY70" s="75">
        <v>2.0214479564575449E-2</v>
      </c>
      <c r="AZ70" s="75">
        <v>7.471766664402496E-2</v>
      </c>
      <c r="BA70" s="75">
        <v>-8.1598754334480578E-2</v>
      </c>
      <c r="BB70" s="75">
        <v>-0.12920505774479987</v>
      </c>
      <c r="BC70" s="75">
        <v>2.2631562600813948E-2</v>
      </c>
      <c r="BD70" s="75">
        <v>-0.104255155755725</v>
      </c>
      <c r="BE70" s="75">
        <v>8.0327967284767876E-3</v>
      </c>
      <c r="BF70" s="75">
        <v>-8.8133753349888683E-2</v>
      </c>
      <c r="BG70" s="75">
        <v>-5.6189099372467438E-2</v>
      </c>
      <c r="BH70" s="75">
        <v>-8.8871735144759156E-2</v>
      </c>
      <c r="BI70" s="75">
        <v>-6.3560269113827339E-2</v>
      </c>
      <c r="BJ70" s="75">
        <v>4.9074025036970392E-2</v>
      </c>
      <c r="BK70" s="75">
        <v>-6.7510020810616994E-2</v>
      </c>
      <c r="BL70" s="75">
        <v>-7.3965699258883799E-2</v>
      </c>
      <c r="BM70" s="75">
        <v>4.1996711430496603E-2</v>
      </c>
      <c r="BN70" s="75">
        <v>-7.1881075849226095E-3</v>
      </c>
      <c r="BO70" s="75">
        <v>-4.2608413720895938E-2</v>
      </c>
      <c r="BP70" s="75">
        <v>8.3303468621751198E-2</v>
      </c>
      <c r="BQ70" s="75">
        <v>1.0317263692584955E-2</v>
      </c>
      <c r="BR70" s="75">
        <v>-2.9696470176893752E-2</v>
      </c>
      <c r="BS70" s="75">
        <v>8.7816842008323626E-2</v>
      </c>
      <c r="BT70" s="75">
        <v>8.2153977626562291E-3</v>
      </c>
      <c r="BU70" s="75">
        <v>-6.0092312774110007E-2</v>
      </c>
      <c r="BV70" s="75">
        <v>-4.565573539727999E-2</v>
      </c>
      <c r="BW70" s="75">
        <v>-0.12246486487042477</v>
      </c>
      <c r="BX70" s="75">
        <v>-1.6761677925663632E-2</v>
      </c>
      <c r="BY70" s="75">
        <v>1.5650412870077901E-2</v>
      </c>
      <c r="BZ70" s="75">
        <v>1.9466798556413756E-2</v>
      </c>
      <c r="CA70" s="75">
        <v>8.8186926803337118E-2</v>
      </c>
      <c r="CB70" s="75">
        <v>8.8157009744943837E-2</v>
      </c>
      <c r="CC70" s="75">
        <v>7.6960850085340815E-2</v>
      </c>
      <c r="CD70" s="75">
        <v>-8.8793349249921272E-3</v>
      </c>
      <c r="CE70" s="75">
        <v>8.0140208906063159E-2</v>
      </c>
      <c r="CF70" s="75">
        <v>4.1751490896025922E-3</v>
      </c>
      <c r="CG70" s="75">
        <v>-1.5083695297154393E-2</v>
      </c>
      <c r="CH70" s="75">
        <v>6.1671271622639745E-3</v>
      </c>
      <c r="CI70" s="75">
        <v>9.5443189193204048E-2</v>
      </c>
      <c r="CJ70" s="75">
        <v>-9.205741161469444E-2</v>
      </c>
      <c r="CK70" s="75">
        <v>4.7676671327750442E-3</v>
      </c>
      <c r="CL70" s="75">
        <v>-5.7011712166815248E-2</v>
      </c>
      <c r="CM70" s="75">
        <v>-4.2408018416223908E-2</v>
      </c>
      <c r="CN70" s="75">
        <v>0.11545512572155209</v>
      </c>
      <c r="CO70" s="75">
        <v>-0.12886784845729049</v>
      </c>
      <c r="CP70" s="75">
        <v>-3.4408124869789586E-2</v>
      </c>
      <c r="CQ70" s="75">
        <v>3.196977853255456E-2</v>
      </c>
      <c r="CR70" s="75">
        <v>2.3309512690307232E-2</v>
      </c>
      <c r="CS70" s="75">
        <v>1.4787551803373822E-2</v>
      </c>
      <c r="CT70" s="75">
        <v>4.8568440894169007E-2</v>
      </c>
      <c r="CU70" s="75">
        <v>6.2986280287872509E-2</v>
      </c>
      <c r="CV70" s="75">
        <v>2.5773896372500271E-2</v>
      </c>
      <c r="CW70" s="75">
        <v>2.6496136057063691E-2</v>
      </c>
      <c r="CX70" s="75">
        <v>4.6381928096577263E-2</v>
      </c>
      <c r="CY70" s="75">
        <v>-0.14787575626802757</v>
      </c>
      <c r="CZ70" s="75">
        <v>-1.4029763057924832E-2</v>
      </c>
      <c r="DA70" s="75">
        <v>1.8782292881986351E-2</v>
      </c>
      <c r="DB70" s="75">
        <v>-5.3247696114696375E-2</v>
      </c>
      <c r="DC70" s="75">
        <v>1.5316663854656409E-2</v>
      </c>
      <c r="DD70" s="75">
        <v>-9.9589458042793733E-2</v>
      </c>
      <c r="DE70" s="75">
        <v>-1.6673711003973024E-2</v>
      </c>
      <c r="DF70" s="75">
        <v>3.760164981643116E-2</v>
      </c>
      <c r="DG70" s="75">
        <v>5.2450260140588512E-2</v>
      </c>
      <c r="DH70" s="75">
        <v>-3.8558068131263057E-3</v>
      </c>
      <c r="DI70" s="75">
        <v>-2.0305300092060663E-2</v>
      </c>
      <c r="DJ70" s="75">
        <v>-3.1767497669906414E-2</v>
      </c>
      <c r="DK70" s="75">
        <v>6.705719583839892E-2</v>
      </c>
      <c r="DL70" s="75">
        <v>8.9505684723279189E-2</v>
      </c>
      <c r="DM70" s="75">
        <v>2.378030695738409E-2</v>
      </c>
      <c r="DN70" s="75">
        <v>8.1543732767041577E-2</v>
      </c>
      <c r="DO70" s="75">
        <v>1.1617896787743054E-2</v>
      </c>
      <c r="DP70" s="75">
        <v>-5.7228578197238145E-3</v>
      </c>
      <c r="DQ70" s="75">
        <v>5.8499481532707065E-2</v>
      </c>
      <c r="DR70" s="75">
        <v>-3.6638975220910974E-2</v>
      </c>
      <c r="DS70" s="75">
        <v>-7.2883481223378399E-2</v>
      </c>
      <c r="DT70" s="75">
        <v>-7.0228230473575598E-2</v>
      </c>
      <c r="DU70" s="75">
        <v>2.8956437006790292E-2</v>
      </c>
      <c r="DV70" s="75">
        <v>-7.3882146553621048E-2</v>
      </c>
      <c r="DW70" s="75">
        <v>2.710125890432058E-2</v>
      </c>
      <c r="DX70" s="75">
        <v>-3.3362264538051162E-2</v>
      </c>
      <c r="DY70" s="75">
        <v>5.5154391788416191E-3</v>
      </c>
      <c r="DZ70" s="75">
        <v>-7.288641090079892E-2</v>
      </c>
      <c r="EA70" s="75">
        <v>-5.010351589357312E-2</v>
      </c>
      <c r="EB70" s="75">
        <v>-3.0213093178898254E-2</v>
      </c>
      <c r="EC70" s="75">
        <v>-6.386216192366112E-2</v>
      </c>
      <c r="ED70" s="75">
        <v>-6.8232307336264897E-2</v>
      </c>
      <c r="EE70" s="75">
        <v>-1.2739766394668894E-2</v>
      </c>
      <c r="EF70" s="75">
        <v>-9.6499363081391648E-2</v>
      </c>
      <c r="EG70" s="75">
        <v>-8.111033063168066E-2</v>
      </c>
      <c r="EH70" s="75">
        <v>-3.7850984753367928E-2</v>
      </c>
      <c r="EI70" s="75">
        <v>-9.2410473171153029E-2</v>
      </c>
      <c r="EJ70" s="75">
        <v>-2.0444816840844149E-3</v>
      </c>
      <c r="EK70" s="75">
        <v>-9.7706989109677289E-2</v>
      </c>
      <c r="EL70" s="75">
        <v>7.1684211493435901E-2</v>
      </c>
      <c r="EM70" s="75">
        <v>-3.0014772228022013E-2</v>
      </c>
      <c r="EN70" s="75">
        <v>-2.2891112617961756E-2</v>
      </c>
      <c r="EO70" s="75">
        <v>2.1237446696350082E-2</v>
      </c>
      <c r="EP70" s="75">
        <v>-2.450822434700306E-2</v>
      </c>
      <c r="EQ70" s="75">
        <v>1.064940758928884E-2</v>
      </c>
      <c r="ER70" s="75">
        <v>-2.0384066266951467E-2</v>
      </c>
      <c r="ES70" s="75">
        <v>0.15597704565111487</v>
      </c>
      <c r="ET70" s="75">
        <v>-1.8016889831241889E-2</v>
      </c>
      <c r="EU70" s="75">
        <v>-2.7398528632545216E-2</v>
      </c>
      <c r="EV70" s="75">
        <v>7.2390163667334251E-2</v>
      </c>
      <c r="EW70" s="75">
        <v>-7.4023951988147624E-2</v>
      </c>
      <c r="EX70" s="75">
        <v>8.8043485021352619E-2</v>
      </c>
      <c r="EY70" s="75">
        <v>5.6636201156570476E-2</v>
      </c>
      <c r="EZ70" s="75">
        <v>1.1011264399192144E-2</v>
      </c>
      <c r="FA70" s="75">
        <v>-6.4910059252932639E-2</v>
      </c>
      <c r="FB70" s="75">
        <v>-8.4142274858435534E-2</v>
      </c>
      <c r="FC70" s="75">
        <v>0.13045002691465518</v>
      </c>
      <c r="FD70" s="75">
        <v>4.9300905640022485E-2</v>
      </c>
      <c r="FE70" s="75">
        <v>-0.11008367039475564</v>
      </c>
      <c r="FF70" s="75">
        <v>-4.8739316134726374E-2</v>
      </c>
      <c r="FG70" s="75">
        <v>-6.8437259967156772E-2</v>
      </c>
      <c r="FH70" s="75">
        <v>2.6946018835804664E-2</v>
      </c>
      <c r="FI70" s="75">
        <v>-5.6040070248180446E-2</v>
      </c>
      <c r="FJ70" s="75">
        <v>-2.849125527858587E-2</v>
      </c>
      <c r="FK70" s="75">
        <v>7.6548096786665742E-2</v>
      </c>
      <c r="FL70" s="75">
        <v>-3.980456463830942E-2</v>
      </c>
      <c r="FM70" s="75">
        <v>-0.10438574846501547</v>
      </c>
      <c r="FN70" s="75">
        <v>3.313801018435697E-2</v>
      </c>
      <c r="FO70" s="75">
        <v>-2.7491048095564907E-2</v>
      </c>
      <c r="FP70" s="75">
        <v>0.10947279038389818</v>
      </c>
      <c r="FQ70" s="75">
        <v>5.831731218899322E-3</v>
      </c>
      <c r="FR70" s="75">
        <v>-9.4642174535185863E-2</v>
      </c>
      <c r="FS70" s="75">
        <v>-1.6242363115377717E-2</v>
      </c>
      <c r="FT70" s="75">
        <v>7.0298977830907938E-3</v>
      </c>
      <c r="FU70" s="75">
        <v>-1.3096299420412238E-2</v>
      </c>
      <c r="FV70" s="75">
        <v>0.12474275448019961</v>
      </c>
      <c r="FW70" s="75">
        <v>-3.2230235204347285E-2</v>
      </c>
      <c r="FX70" s="75">
        <v>9.0525191174585518E-2</v>
      </c>
      <c r="FY70" s="75">
        <v>-9.9854652175594333E-2</v>
      </c>
      <c r="FZ70" s="75">
        <v>-4.2771645188773688E-2</v>
      </c>
      <c r="GA70" s="75">
        <v>2.0486344431490555E-2</v>
      </c>
      <c r="GB70" s="75">
        <v>-4.0497035360598649E-2</v>
      </c>
      <c r="GC70" s="75">
        <v>-6.4820407994598622E-2</v>
      </c>
      <c r="GD70" s="75">
        <v>-2.35059045094968E-3</v>
      </c>
      <c r="GE70" s="75">
        <v>-7.9618899681362543E-2</v>
      </c>
      <c r="GF70" s="75">
        <v>-4.3594479031336175E-2</v>
      </c>
      <c r="GG70" s="75">
        <v>7.8207301135863827E-2</v>
      </c>
      <c r="GH70" s="75">
        <v>8.1038474005430683E-3</v>
      </c>
      <c r="GI70" s="75">
        <v>1.0200470279683654E-2</v>
      </c>
      <c r="GJ70" s="75">
        <v>-4.0222344972507207E-2</v>
      </c>
      <c r="GK70" s="75">
        <v>-3.8653316590347653E-2</v>
      </c>
      <c r="GL70" s="75">
        <v>1.1951587901997851E-2</v>
      </c>
      <c r="GM70" s="75">
        <v>-6.6724513301536559E-2</v>
      </c>
      <c r="GN70" s="75">
        <v>3.6288004955377207E-2</v>
      </c>
      <c r="GO70" s="75">
        <v>1.9382569164706931E-2</v>
      </c>
      <c r="GP70" s="75">
        <v>-0.10611539838404013</v>
      </c>
      <c r="GQ70" s="75">
        <v>-2.9540879868402398E-2</v>
      </c>
      <c r="GR70" s="75">
        <v>0.11626051865170645</v>
      </c>
      <c r="GS70" s="75">
        <v>3.0014148248708739E-3</v>
      </c>
      <c r="GT70" s="75">
        <v>8.8181496796613468E-2</v>
      </c>
      <c r="GU70" s="75">
        <v>-1.8852618502969154E-2</v>
      </c>
      <c r="GV70" s="75">
        <v>-9.4214298934354179E-3</v>
      </c>
      <c r="GW70" s="75">
        <v>-1.7045556784779481E-2</v>
      </c>
      <c r="GX70" s="75">
        <v>-1.564886976880886E-2</v>
      </c>
      <c r="GY70" s="75">
        <v>-2.8877436448176419E-3</v>
      </c>
      <c r="GZ70" s="75">
        <v>-3.4075031438483061E-2</v>
      </c>
      <c r="HA70" s="75">
        <v>-0.13250957003260194</v>
      </c>
      <c r="HB70" s="75">
        <v>-0.113581478922231</v>
      </c>
      <c r="HC70" s="75">
        <v>7.4976097602080127E-2</v>
      </c>
      <c r="HD70" s="75">
        <v>-5.3427575606333377E-2</v>
      </c>
      <c r="HE70" s="75">
        <v>2.8689711169045951E-2</v>
      </c>
      <c r="HF70" s="75">
        <v>-8.9380301629809811E-2</v>
      </c>
      <c r="HG70" s="75">
        <v>1.1256442660032784E-2</v>
      </c>
      <c r="HH70" s="75">
        <v>3.8323849257962006E-2</v>
      </c>
      <c r="HI70" s="75">
        <v>0.14083644192610695</v>
      </c>
      <c r="HJ70" s="75">
        <v>0.15738919972133225</v>
      </c>
      <c r="HK70" s="75">
        <v>0.11529585519792668</v>
      </c>
      <c r="HL70" s="75">
        <v>0.1269791779262715</v>
      </c>
      <c r="HM70" s="75">
        <v>-5.1593138599194871E-2</v>
      </c>
      <c r="HN70" s="75">
        <v>3.6638935541470186E-2</v>
      </c>
      <c r="HO70" s="75">
        <v>-4.0853984088580542E-2</v>
      </c>
      <c r="HP70" s="75">
        <v>0.10202782603925081</v>
      </c>
      <c r="HQ70" s="75">
        <v>-0.11638770400386367</v>
      </c>
      <c r="HR70" s="75">
        <v>6.3582123654698786E-2</v>
      </c>
      <c r="HS70" s="75">
        <v>-8.426744363727226E-2</v>
      </c>
      <c r="HT70" s="75">
        <v>5.887292950395645E-2</v>
      </c>
      <c r="HU70" s="75">
        <v>-1.7462323958075371E-2</v>
      </c>
      <c r="HV70" s="75">
        <v>1.9055995964481709E-2</v>
      </c>
      <c r="HW70" s="75">
        <v>1.1861718177975655E-3</v>
      </c>
      <c r="HX70" s="75">
        <v>8.5472389002895111E-2</v>
      </c>
      <c r="HY70" s="75">
        <v>-7.3460329123111734E-2</v>
      </c>
      <c r="HZ70" s="75">
        <v>2.9943876471312136E-2</v>
      </c>
      <c r="IA70" s="75">
        <v>8.4744359513689083E-2</v>
      </c>
      <c r="IB70" s="75">
        <v>-0.13086786681240692</v>
      </c>
      <c r="IC70" s="75">
        <v>-0.1041323537753599</v>
      </c>
      <c r="ID70" s="75">
        <v>-5.8911430537337856E-2</v>
      </c>
      <c r="IE70" s="75">
        <v>2.5506109302605717E-2</v>
      </c>
      <c r="IF70" s="75">
        <v>4.1743292197385429E-2</v>
      </c>
      <c r="IG70" s="75">
        <v>-2.351065882112896E-3</v>
      </c>
      <c r="IH70" s="75">
        <v>2.1432522951902844E-2</v>
      </c>
      <c r="II70" s="75">
        <v>-4.9197305272244085E-2</v>
      </c>
      <c r="IJ70" s="75">
        <v>-4.5392295245313047E-2</v>
      </c>
      <c r="IK70" s="75">
        <v>-4.6070923867157332E-2</v>
      </c>
      <c r="IL70" s="75">
        <v>0.24706348079044738</v>
      </c>
      <c r="IM70" s="75">
        <v>6.981486783991242E-4</v>
      </c>
      <c r="IN70" s="75">
        <v>-5.878945007794309E-2</v>
      </c>
      <c r="IO70" s="75">
        <v>-9.4331646352649678E-2</v>
      </c>
      <c r="IP70" s="75">
        <v>-2.515502150337165E-2</v>
      </c>
      <c r="IQ70" s="75">
        <v>2.693098892598117E-2</v>
      </c>
      <c r="IR70" s="75">
        <v>-0.12124760123898656</v>
      </c>
      <c r="IS70" s="75">
        <v>0.14838130197969468</v>
      </c>
      <c r="IT70" s="75">
        <v>-0.15179671100154624</v>
      </c>
      <c r="IU70" s="75">
        <v>-9.0147298913302948E-2</v>
      </c>
    </row>
    <row r="71" spans="1:255" s="74" customFormat="1" ht="14.5" x14ac:dyDescent="0.35">
      <c r="A71" s="73"/>
      <c r="B71" s="78">
        <v>4.5</v>
      </c>
      <c r="C71" s="77">
        <f t="shared" si="43"/>
        <v>2.6388010311046452E-2</v>
      </c>
      <c r="D71" s="76">
        <f t="shared" si="44"/>
        <v>8.4513787879335223E-2</v>
      </c>
      <c r="E71" s="75">
        <v>-0.10461162206451421</v>
      </c>
      <c r="F71" s="75">
        <v>8.3655239063959774E-2</v>
      </c>
      <c r="G71" s="75">
        <v>0.1857846936223741</v>
      </c>
      <c r="H71" s="75">
        <v>-2.0554075192570548E-2</v>
      </c>
      <c r="I71" s="75">
        <v>9.3276493117692427E-3</v>
      </c>
      <c r="J71" s="75">
        <v>-7.1521840064148717E-2</v>
      </c>
      <c r="K71" s="75">
        <v>-4.1594846455411671E-3</v>
      </c>
      <c r="L71" s="75">
        <v>6.3133550570027536E-2</v>
      </c>
      <c r="M71" s="75">
        <v>2.0546793041482742E-2</v>
      </c>
      <c r="N71" s="75">
        <v>4.9315990321576658E-2</v>
      </c>
      <c r="O71" s="75">
        <v>3.3846516034009011E-2</v>
      </c>
      <c r="P71" s="75">
        <v>-4.9167514060782208E-2</v>
      </c>
      <c r="Q71" s="75">
        <v>-5.6754551329242009E-2</v>
      </c>
      <c r="R71" s="75">
        <v>1.292667823475091E-4</v>
      </c>
      <c r="S71" s="75">
        <v>-3.4458575482017861E-3</v>
      </c>
      <c r="T71" s="75">
        <v>-0.11300103289825941</v>
      </c>
      <c r="U71" s="75">
        <v>-4.880625132462163E-2</v>
      </c>
      <c r="V71" s="75">
        <v>0.13188004942540266</v>
      </c>
      <c r="W71" s="75">
        <v>0.16577277462560919</v>
      </c>
      <c r="X71" s="75">
        <v>8.4513787879335223E-2</v>
      </c>
      <c r="Y71" s="75">
        <v>9.0285880698891763E-2</v>
      </c>
      <c r="Z71" s="75">
        <v>8.6967546207774582E-2</v>
      </c>
      <c r="AA71" s="75">
        <v>-0.10628721304264022</v>
      </c>
      <c r="AB71" s="75">
        <v>5.2437120634211215E-2</v>
      </c>
      <c r="AC71" s="75">
        <v>1.2586777618996958E-3</v>
      </c>
      <c r="AD71" s="75">
        <v>0.12604388897860291</v>
      </c>
      <c r="AE71" s="75">
        <v>-8.967408368472024E-2</v>
      </c>
      <c r="AF71" s="75">
        <v>-1.1838015694653314E-2</v>
      </c>
      <c r="AG71" s="75">
        <v>-2.470241855840713E-2</v>
      </c>
      <c r="AH71" s="75">
        <v>-4.7372331778214455E-2</v>
      </c>
      <c r="AI71" s="75">
        <v>-0.13751708771176915</v>
      </c>
      <c r="AJ71" s="75">
        <v>-7.1869392665083465E-2</v>
      </c>
      <c r="AK71" s="75">
        <v>3.2231305886627815E-2</v>
      </c>
      <c r="AL71" s="75">
        <v>6.6729721333818826E-2</v>
      </c>
      <c r="AM71" s="75">
        <v>-7.5231226043971894E-2</v>
      </c>
      <c r="AN71" s="75">
        <v>1.3276707943444099E-2</v>
      </c>
      <c r="AO71" s="75">
        <v>-5.3169044530636339E-2</v>
      </c>
      <c r="AP71" s="75">
        <v>8.8922021112145866E-2</v>
      </c>
      <c r="AQ71" s="75">
        <v>-3.0956763133932585E-2</v>
      </c>
      <c r="AR71" s="75">
        <v>0.13338144919819134</v>
      </c>
      <c r="AS71" s="75">
        <v>1.2228809808536967E-2</v>
      </c>
      <c r="AT71" s="75">
        <v>8.7584356146757247E-2</v>
      </c>
      <c r="AU71" s="75">
        <v>-6.4353885821115536E-2</v>
      </c>
      <c r="AV71" s="75">
        <v>-1.9296496447337858E-2</v>
      </c>
      <c r="AW71" s="75">
        <v>-3.6827333535584622E-2</v>
      </c>
      <c r="AX71" s="75">
        <v>-5.4745224758352695E-3</v>
      </c>
      <c r="AY71" s="75">
        <v>-1.4323961043254674E-3</v>
      </c>
      <c r="AZ71" s="75">
        <v>5.7823950433839227E-2</v>
      </c>
      <c r="BA71" s="75">
        <v>-5.7800264916298805E-2</v>
      </c>
      <c r="BB71" s="75">
        <v>-0.10711032810870239</v>
      </c>
      <c r="BC71" s="75">
        <v>7.3234272615275431E-3</v>
      </c>
      <c r="BD71" s="75">
        <v>-9.216756651618685E-2</v>
      </c>
      <c r="BE71" s="75">
        <v>2.6285537679540255E-2</v>
      </c>
      <c r="BF71" s="75">
        <v>-0.10482779774305523</v>
      </c>
      <c r="BG71" s="75">
        <v>-4.8847292300715217E-2</v>
      </c>
      <c r="BH71" s="75">
        <v>-9.2885800457359835E-2</v>
      </c>
      <c r="BI71" s="75">
        <v>-7.3585086884055184E-2</v>
      </c>
      <c r="BJ71" s="75">
        <v>4.3414563103435999E-2</v>
      </c>
      <c r="BK71" s="75">
        <v>-7.7823080939384448E-2</v>
      </c>
      <c r="BL71" s="75">
        <v>-6.1865748977424806E-2</v>
      </c>
      <c r="BM71" s="75">
        <v>5.3520171208037232E-2</v>
      </c>
      <c r="BN71" s="75">
        <v>-2.1835721079119796E-3</v>
      </c>
      <c r="BO71" s="75">
        <v>-5.7845843488938897E-2</v>
      </c>
      <c r="BP71" s="75">
        <v>7.944660595867814E-2</v>
      </c>
      <c r="BQ71" s="75">
        <v>1.3844301112512891E-2</v>
      </c>
      <c r="BR71" s="75">
        <v>-2.6536906810195021E-2</v>
      </c>
      <c r="BS71" s="75">
        <v>8.7709652161568785E-2</v>
      </c>
      <c r="BT71" s="75">
        <v>3.458725300675064E-3</v>
      </c>
      <c r="BU71" s="75">
        <v>-7.9879309776677898E-2</v>
      </c>
      <c r="BV71" s="75">
        <v>-5.9452643083748924E-2</v>
      </c>
      <c r="BW71" s="75">
        <v>-0.11387155497133347</v>
      </c>
      <c r="BX71" s="75">
        <v>-5.9445575905626158E-3</v>
      </c>
      <c r="BY71" s="75">
        <v>9.3101366754546888E-3</v>
      </c>
      <c r="BZ71" s="75">
        <v>-1.4938675795459211E-2</v>
      </c>
      <c r="CA71" s="75">
        <v>8.4035952775971978E-2</v>
      </c>
      <c r="CB71" s="75">
        <v>5.6192727788262647E-2</v>
      </c>
      <c r="CC71" s="75">
        <v>6.8875890394234224E-2</v>
      </c>
      <c r="CD71" s="75">
        <v>-1.5078215095219422E-2</v>
      </c>
      <c r="CE71" s="75">
        <v>9.5017404055421251E-2</v>
      </c>
      <c r="CF71" s="75">
        <v>-1.4792100489646187E-3</v>
      </c>
      <c r="CG71" s="75">
        <v>-1.2990749573463939E-2</v>
      </c>
      <c r="CH71" s="75">
        <v>-2.5593728284486916E-2</v>
      </c>
      <c r="CI71" s="75">
        <v>7.3842294021324723E-2</v>
      </c>
      <c r="CJ71" s="75">
        <v>-0.11275889307299858</v>
      </c>
      <c r="CK71" s="75">
        <v>2.5587087121779872E-2</v>
      </c>
      <c r="CL71" s="75">
        <v>-5.2171898244736364E-2</v>
      </c>
      <c r="CM71" s="75">
        <v>-1.6962407532181256E-2</v>
      </c>
      <c r="CN71" s="75">
        <v>6.4690468934684026E-2</v>
      </c>
      <c r="CO71" s="75">
        <v>-0.1468381746652051</v>
      </c>
      <c r="CP71" s="75">
        <v>-2.7996314996428379E-2</v>
      </c>
      <c r="CQ71" s="75">
        <v>6.9554576779429306E-2</v>
      </c>
      <c r="CR71" s="75">
        <v>3.3880102697242398E-2</v>
      </c>
      <c r="CS71" s="75">
        <v>2.2062669237458615E-2</v>
      </c>
      <c r="CT71" s="75">
        <v>4.9227933243277011E-2</v>
      </c>
      <c r="CU71" s="75">
        <v>3.5927132192271644E-2</v>
      </c>
      <c r="CV71" s="75">
        <v>1.6697490607010979E-2</v>
      </c>
      <c r="CW71" s="75">
        <v>8.3253569761166935E-3</v>
      </c>
      <c r="CX71" s="75">
        <v>7.8712132160516035E-2</v>
      </c>
      <c r="CY71" s="75">
        <v>-0.14733950187045783</v>
      </c>
      <c r="CZ71" s="75">
        <v>-2.0109843162646412E-2</v>
      </c>
      <c r="DA71" s="75">
        <v>-3.0519174946001315E-2</v>
      </c>
      <c r="DB71" s="75">
        <v>-5.4721890514783877E-2</v>
      </c>
      <c r="DC71" s="75">
        <v>-4.451576837000612E-2</v>
      </c>
      <c r="DD71" s="75">
        <v>4.0967891677873763E-2</v>
      </c>
      <c r="DE71" s="75">
        <v>1.4910388694925059E-3</v>
      </c>
      <c r="DF71" s="75">
        <v>4.340603703488477E-2</v>
      </c>
      <c r="DG71" s="75">
        <v>6.7340653434536657E-3</v>
      </c>
      <c r="DH71" s="75">
        <v>1.7751915267498641E-2</v>
      </c>
      <c r="DI71" s="75">
        <v>-7.8280344362860743E-2</v>
      </c>
      <c r="DJ71" s="75">
        <v>3.2813680737251605E-2</v>
      </c>
      <c r="DK71" s="75">
        <v>-2.7149861467014036E-2</v>
      </c>
      <c r="DL71" s="75">
        <v>7.2478349674332337E-2</v>
      </c>
      <c r="DM71" s="75">
        <v>8.0546851801195529E-2</v>
      </c>
      <c r="DN71" s="75">
        <v>-2.7184863088154487E-2</v>
      </c>
      <c r="DO71" s="75">
        <v>0.12186056763040404</v>
      </c>
      <c r="DP71" s="75">
        <v>-7.0531862698354431E-2</v>
      </c>
      <c r="DQ71" s="75">
        <v>-9.0361431629031874E-2</v>
      </c>
      <c r="DR71" s="75">
        <v>2.1495896865646569E-2</v>
      </c>
      <c r="DS71" s="75">
        <v>4.9858081523544318E-2</v>
      </c>
      <c r="DT71" s="75">
        <v>2.4604248773841542E-2</v>
      </c>
      <c r="DU71" s="75">
        <v>-2.9576570979708311E-2</v>
      </c>
      <c r="DV71" s="75">
        <v>-5.2719106478512523E-2</v>
      </c>
      <c r="DW71" s="75">
        <v>5.1805400253121831E-2</v>
      </c>
      <c r="DX71" s="75">
        <v>-6.2204718711161622E-2</v>
      </c>
      <c r="DY71" s="75">
        <v>-3.2631602648780511E-3</v>
      </c>
      <c r="DZ71" s="75">
        <v>-7.2678699029607663E-2</v>
      </c>
      <c r="EA71" s="75">
        <v>-6.2622836150831751E-2</v>
      </c>
      <c r="EB71" s="75">
        <v>-4.032259939181515E-2</v>
      </c>
      <c r="EC71" s="75">
        <v>-6.241568564106989E-2</v>
      </c>
      <c r="ED71" s="75">
        <v>-3.1368244267130502E-2</v>
      </c>
      <c r="EE71" s="75">
        <v>1.911188677630668E-2</v>
      </c>
      <c r="EF71" s="75">
        <v>6.2700437853361185E-2</v>
      </c>
      <c r="EG71" s="75">
        <v>1.1388832341343358E-2</v>
      </c>
      <c r="EH71" s="75">
        <v>-2.1356340081468694E-4</v>
      </c>
      <c r="EI71" s="75">
        <v>-8.0158019354310689E-2</v>
      </c>
      <c r="EJ71" s="75">
        <v>-6.090387575409667E-3</v>
      </c>
      <c r="EK71" s="75">
        <v>-9.1043121806880317E-2</v>
      </c>
      <c r="EL71" s="75">
        <v>4.7592176420192422E-2</v>
      </c>
      <c r="EM71" s="75">
        <v>-2.2876978960260974E-2</v>
      </c>
      <c r="EN71" s="75">
        <v>-1.0688977214591944E-2</v>
      </c>
      <c r="EO71" s="75">
        <v>-4.4460486667104587E-2</v>
      </c>
      <c r="EP71" s="75">
        <v>-6.4765564979690438E-2</v>
      </c>
      <c r="EQ71" s="75">
        <v>-4.3406728637455427E-2</v>
      </c>
      <c r="ER71" s="75">
        <v>-8.4661218397363847E-2</v>
      </c>
      <c r="ES71" s="75">
        <v>4.9664497618113035E-2</v>
      </c>
      <c r="ET71" s="75">
        <v>1.7160426465068324E-2</v>
      </c>
      <c r="EU71" s="75">
        <v>-5.0168424560517622E-2</v>
      </c>
      <c r="EV71" s="75">
        <v>0.10924627564213274</v>
      </c>
      <c r="EW71" s="75">
        <v>4.179159122536194E-2</v>
      </c>
      <c r="EX71" s="75">
        <v>-4.1819528711703413E-2</v>
      </c>
      <c r="EY71" s="75">
        <v>-7.4771037969242976E-2</v>
      </c>
      <c r="EZ71" s="75">
        <v>-3.0568893743817965E-2</v>
      </c>
      <c r="FA71" s="75">
        <v>-8.3234342739986839E-2</v>
      </c>
      <c r="FB71" s="75">
        <v>-6.4341974356907916E-2</v>
      </c>
      <c r="FC71" s="75">
        <v>0.16879850375842964</v>
      </c>
      <c r="FD71" s="75">
        <v>-2.5135844829899057E-2</v>
      </c>
      <c r="FE71" s="75">
        <v>3.7886385238226267E-2</v>
      </c>
      <c r="FF71" s="75">
        <v>-3.0420542457225364E-2</v>
      </c>
      <c r="FG71" s="75">
        <v>-4.9242933663383837E-2</v>
      </c>
      <c r="FH71" s="75">
        <v>-4.4717886724057243E-2</v>
      </c>
      <c r="FI71" s="75">
        <v>-5.4064431787230527E-2</v>
      </c>
      <c r="FJ71" s="75">
        <v>1.3415450894398995E-3</v>
      </c>
      <c r="FK71" s="75">
        <v>-9.0233318757843683E-2</v>
      </c>
      <c r="FL71" s="75">
        <v>-2.8826320660645721E-2</v>
      </c>
      <c r="FM71" s="75">
        <v>0.11021705228130013</v>
      </c>
      <c r="FN71" s="75">
        <v>5.9750272911681584E-2</v>
      </c>
      <c r="FO71" s="75">
        <v>5.2575392106932434E-2</v>
      </c>
      <c r="FP71" s="75">
        <v>0.11143061329911608</v>
      </c>
      <c r="FQ71" s="75">
        <v>4.8185989121598105E-2</v>
      </c>
      <c r="FR71" s="75">
        <v>-0.1039728378587908</v>
      </c>
      <c r="FS71" s="75">
        <v>-5.7528426809680677E-2</v>
      </c>
      <c r="FT71" s="75">
        <v>-5.1808119836178029E-2</v>
      </c>
      <c r="FU71" s="75">
        <v>-5.9950941647345379E-3</v>
      </c>
      <c r="FV71" s="75">
        <v>0.10894704906706043</v>
      </c>
      <c r="FW71" s="75">
        <v>-2.9937264488834103E-2</v>
      </c>
      <c r="FX71" s="75">
        <v>0.12706757994084245</v>
      </c>
      <c r="FY71" s="75">
        <v>2.4303257388574306E-2</v>
      </c>
      <c r="FZ71" s="75">
        <v>-3.0890939091348824E-2</v>
      </c>
      <c r="GA71" s="75">
        <v>4.9750632296616026E-2</v>
      </c>
      <c r="GB71" s="75">
        <v>1.5779248606831664E-2</v>
      </c>
      <c r="GC71" s="75">
        <v>0.12146048354073563</v>
      </c>
      <c r="GD71" s="75">
        <v>-1.5977848266808758E-2</v>
      </c>
      <c r="GE71" s="75">
        <v>-8.6700329986270086E-2</v>
      </c>
      <c r="GF71" s="75">
        <v>-1.350582510183021E-2</v>
      </c>
      <c r="GG71" s="75">
        <v>5.2484161802769241E-2</v>
      </c>
      <c r="GH71" s="75">
        <v>-4.2300250993323546E-2</v>
      </c>
      <c r="GI71" s="75">
        <v>7.7448929212398154E-2</v>
      </c>
      <c r="GJ71" s="75">
        <v>-2.8524819048034555E-2</v>
      </c>
      <c r="GK71" s="75">
        <v>-4.1510300450184667E-2</v>
      </c>
      <c r="GL71" s="75">
        <v>2.7092989170741377E-3</v>
      </c>
      <c r="GM71" s="75">
        <v>-0.12088484415301148</v>
      </c>
      <c r="GN71" s="75">
        <v>-8.2214503939542077E-2</v>
      </c>
      <c r="GO71" s="75">
        <v>-5.2862286806326653E-4</v>
      </c>
      <c r="GP71" s="75">
        <v>-0.12535712231506463</v>
      </c>
      <c r="GQ71" s="75">
        <v>1.9084289513310648E-2</v>
      </c>
      <c r="GR71" s="75">
        <v>0.11195267624232652</v>
      </c>
      <c r="GS71" s="75">
        <v>-6.5620726109953953E-3</v>
      </c>
      <c r="GT71" s="75">
        <v>6.2370113650397047E-2</v>
      </c>
      <c r="GU71" s="75">
        <v>6.9135427874640332E-2</v>
      </c>
      <c r="GV71" s="75">
        <v>-2.8175366643344413E-2</v>
      </c>
      <c r="GW71" s="75">
        <v>-2.3940246207796778E-2</v>
      </c>
      <c r="GX71" s="75">
        <v>-3.5225634924388793E-2</v>
      </c>
      <c r="GY71" s="75">
        <v>8.6338352270807883E-2</v>
      </c>
      <c r="GZ71" s="75">
        <v>4.5547782723703856E-3</v>
      </c>
      <c r="HA71" s="75">
        <v>9.2457242560752328E-2</v>
      </c>
      <c r="HB71" s="75">
        <v>-6.5755701154270763E-2</v>
      </c>
      <c r="HC71" s="75">
        <v>2.00933183551113E-2</v>
      </c>
      <c r="HD71" s="75">
        <v>-3.2656975620860673E-2</v>
      </c>
      <c r="HE71" s="75">
        <v>7.9501974679409171E-2</v>
      </c>
      <c r="HF71" s="75">
        <v>-6.9021633758793749E-2</v>
      </c>
      <c r="HG71" s="75">
        <v>-5.0388961647861968E-2</v>
      </c>
      <c r="HH71" s="75">
        <v>5.558851660602096E-2</v>
      </c>
      <c r="HI71" s="75">
        <v>2.7339228754476974E-2</v>
      </c>
      <c r="HJ71" s="75">
        <v>-1.2746559118067213E-2</v>
      </c>
      <c r="HK71" s="75">
        <v>3.2870347388793658E-2</v>
      </c>
      <c r="HL71" s="75">
        <v>9.8639684864259891E-2</v>
      </c>
      <c r="HM71" s="75">
        <v>-2.5768059878893107E-2</v>
      </c>
      <c r="HN71" s="75">
        <v>4.3991936110887808E-2</v>
      </c>
      <c r="HO71" s="75">
        <v>-2.1386566795520923E-2</v>
      </c>
      <c r="HP71" s="75">
        <v>1.2304853686374545E-2</v>
      </c>
      <c r="HQ71" s="75">
        <v>-0.11805079290338355</v>
      </c>
      <c r="HR71" s="75">
        <v>7.1919797315132067E-2</v>
      </c>
      <c r="HS71" s="75">
        <v>4.0787792642251075E-2</v>
      </c>
      <c r="HT71" s="75">
        <v>4.3500829665997498E-2</v>
      </c>
      <c r="HU71" s="75">
        <v>-4.7825193388120441E-2</v>
      </c>
      <c r="HV71" s="75">
        <v>-5.3913010079183088E-2</v>
      </c>
      <c r="HW71" s="75">
        <v>2.2739063547546512E-2</v>
      </c>
      <c r="HX71" s="75">
        <v>0.14513291825842933</v>
      </c>
      <c r="HY71" s="75">
        <v>3.5671220281496024E-2</v>
      </c>
      <c r="HZ71" s="75">
        <v>-5.5307814396090671E-2</v>
      </c>
      <c r="IA71" s="75">
        <v>6.1723231263808048E-2</v>
      </c>
      <c r="IB71" s="75">
        <v>-0.11181977706269855</v>
      </c>
      <c r="IC71" s="75">
        <v>6.2003402241074812E-2</v>
      </c>
      <c r="ID71" s="75">
        <v>2.1145188655044833E-3</v>
      </c>
      <c r="IE71" s="75">
        <v>1.9383601259949867E-2</v>
      </c>
      <c r="IF71" s="75">
        <v>-9.726828822077449E-2</v>
      </c>
      <c r="IG71" s="75">
        <v>3.6775393269435463E-2</v>
      </c>
      <c r="IH71" s="75">
        <v>-4.2381332854865728E-2</v>
      </c>
      <c r="II71" s="75">
        <v>-3.0356649958496296E-2</v>
      </c>
      <c r="IJ71" s="75">
        <v>-5.0523253533719836E-2</v>
      </c>
      <c r="IK71" s="75">
        <v>-7.5740020435106581E-2</v>
      </c>
      <c r="IL71" s="75">
        <v>0.14224029967153989</v>
      </c>
      <c r="IM71" s="75">
        <v>2.2459012768339198E-2</v>
      </c>
      <c r="IN71" s="75">
        <v>-6.2663063790508261E-2</v>
      </c>
      <c r="IO71" s="75">
        <v>-9.6484268666060247E-3</v>
      </c>
      <c r="IP71" s="75">
        <v>0.14526527568028025</v>
      </c>
      <c r="IQ71" s="75">
        <v>4.3981504734786514E-2</v>
      </c>
      <c r="IR71" s="75">
        <v>6.4553448229889288E-3</v>
      </c>
      <c r="IS71" s="75">
        <v>-6.0713137595472949E-2</v>
      </c>
      <c r="IT71" s="75">
        <v>-0.11566706508025973</v>
      </c>
      <c r="IU71" s="75">
        <v>-7.0869172757634297E-2</v>
      </c>
    </row>
    <row r="72" spans="1:255" s="74" customFormat="1" ht="14.5" x14ac:dyDescent="0.35">
      <c r="A72" s="73"/>
      <c r="B72" s="78">
        <v>4.75</v>
      </c>
      <c r="C72" s="77">
        <f t="shared" si="43"/>
        <v>3.2125983469958909E-2</v>
      </c>
      <c r="D72" s="76">
        <f t="shared" si="44"/>
        <v>9.7711665590152125E-2</v>
      </c>
      <c r="E72" s="75">
        <v>-0.12378224929341036</v>
      </c>
      <c r="F72" s="75">
        <v>7.3159681503390639E-2</v>
      </c>
      <c r="G72" s="75">
        <v>0.1784957501230196</v>
      </c>
      <c r="H72" s="75">
        <v>-3.0452240863298591E-2</v>
      </c>
      <c r="I72" s="75">
        <v>2.0583784440075359E-2</v>
      </c>
      <c r="J72" s="75">
        <v>-5.9103927500611997E-2</v>
      </c>
      <c r="K72" s="75">
        <v>4.1132431346541237E-2</v>
      </c>
      <c r="L72" s="75">
        <v>1.7686625534033884E-2</v>
      </c>
      <c r="M72" s="75">
        <v>3.5215366219324473E-2</v>
      </c>
      <c r="N72" s="75">
        <v>6.3764829950153423E-2</v>
      </c>
      <c r="O72" s="75">
        <v>4.1986058571286483E-2</v>
      </c>
      <c r="P72" s="75">
        <v>-9.822418928069121E-3</v>
      </c>
      <c r="Q72" s="75">
        <v>-6.4424757728113374E-2</v>
      </c>
      <c r="R72" s="75">
        <v>-1.3916811062898438E-3</v>
      </c>
      <c r="S72" s="75">
        <v>-2.0082076223147949E-2</v>
      </c>
      <c r="T72" s="75">
        <v>-0.12212848361873282</v>
      </c>
      <c r="U72" s="75">
        <v>-4.3870606186445726E-2</v>
      </c>
      <c r="V72" s="75">
        <v>0.12565161160573923</v>
      </c>
      <c r="W72" s="75">
        <v>0.17634820994702227</v>
      </c>
      <c r="X72" s="75">
        <v>7.6297741356268739E-2</v>
      </c>
      <c r="Y72" s="75">
        <v>5.57229206753449E-2</v>
      </c>
      <c r="Z72" s="75">
        <v>7.8166465119983708E-2</v>
      </c>
      <c r="AA72" s="75">
        <v>-0.1059343055774204</v>
      </c>
      <c r="AB72" s="75">
        <v>4.4431678265634322E-2</v>
      </c>
      <c r="AC72" s="75">
        <v>-1.9256448453673691E-2</v>
      </c>
      <c r="AD72" s="75">
        <v>0.12469690124241783</v>
      </c>
      <c r="AE72" s="75">
        <v>-0.11428830174481977</v>
      </c>
      <c r="AF72" s="75">
        <v>2.1002791117937014E-2</v>
      </c>
      <c r="AG72" s="75">
        <v>9.7215604137114442E-3</v>
      </c>
      <c r="AH72" s="75">
        <v>-6.5022389856965068E-2</v>
      </c>
      <c r="AI72" s="75">
        <v>-0.13719068515407143</v>
      </c>
      <c r="AJ72" s="75">
        <v>-8.3429573281092739E-2</v>
      </c>
      <c r="AK72" s="75">
        <v>2.9913114030815091E-2</v>
      </c>
      <c r="AL72" s="75">
        <v>6.4736007827913861E-2</v>
      </c>
      <c r="AM72" s="75">
        <v>-7.9527906683050431E-2</v>
      </c>
      <c r="AN72" s="75">
        <v>4.9499565190142231E-2</v>
      </c>
      <c r="AO72" s="75">
        <v>-4.5888591282249647E-2</v>
      </c>
      <c r="AP72" s="75">
        <v>0.12163341690399981</v>
      </c>
      <c r="AQ72" s="75">
        <v>-3.7080770960568527E-2</v>
      </c>
      <c r="AR72" s="75">
        <v>0.12940473498028646</v>
      </c>
      <c r="AS72" s="75">
        <v>2.790643662554726E-2</v>
      </c>
      <c r="AT72" s="75">
        <v>5.1600179354480136E-2</v>
      </c>
      <c r="AU72" s="75">
        <v>-7.9057506671218497E-2</v>
      </c>
      <c r="AV72" s="75">
        <v>-2.4414208068936544E-2</v>
      </c>
      <c r="AW72" s="75">
        <v>-3.5336521574345386E-2</v>
      </c>
      <c r="AX72" s="75">
        <v>3.0988620143293011E-2</v>
      </c>
      <c r="AY72" s="75">
        <v>1.3298761212814592E-2</v>
      </c>
      <c r="AZ72" s="75">
        <v>7.1012100166204545E-2</v>
      </c>
      <c r="BA72" s="75">
        <v>-6.4157320123076317E-2</v>
      </c>
      <c r="BB72" s="75">
        <v>-8.4354745655626395E-2</v>
      </c>
      <c r="BC72" s="75">
        <v>9.7024819261736783E-3</v>
      </c>
      <c r="BD72" s="75">
        <v>-0.12720129199354802</v>
      </c>
      <c r="BE72" s="75">
        <v>3.3451690399373124E-3</v>
      </c>
      <c r="BF72" s="75">
        <v>-0.10237199766557206</v>
      </c>
      <c r="BG72" s="75">
        <v>-3.4270431832127468E-2</v>
      </c>
      <c r="BH72" s="75">
        <v>-6.3751967371516005E-2</v>
      </c>
      <c r="BI72" s="75">
        <v>-4.9816852935548772E-2</v>
      </c>
      <c r="BJ72" s="75">
        <v>3.7797785450156995E-2</v>
      </c>
      <c r="BK72" s="75">
        <v>-9.6228158919746981E-2</v>
      </c>
      <c r="BL72" s="75">
        <v>-5.3903582551956597E-2</v>
      </c>
      <c r="BM72" s="75">
        <v>6.2874402507858612E-2</v>
      </c>
      <c r="BN72" s="75">
        <v>-4.9545310650323249E-3</v>
      </c>
      <c r="BO72" s="75">
        <v>-5.9007472353821783E-2</v>
      </c>
      <c r="BP72" s="75">
        <v>5.7146994639551779E-2</v>
      </c>
      <c r="BQ72" s="75">
        <v>3.3999164564093631E-2</v>
      </c>
      <c r="BR72" s="75">
        <v>-4.1978763371837258E-2</v>
      </c>
      <c r="BS72" s="75">
        <v>8.5772172624693277E-2</v>
      </c>
      <c r="BT72" s="75">
        <v>-4.3753180940256375E-3</v>
      </c>
      <c r="BU72" s="75">
        <v>-8.2493238706509736E-2</v>
      </c>
      <c r="BV72" s="75">
        <v>-8.150324609505144E-2</v>
      </c>
      <c r="BW72" s="75">
        <v>-6.7487451107456048E-2</v>
      </c>
      <c r="BX72" s="75">
        <v>2.6671481571425931E-2</v>
      </c>
      <c r="BY72" s="75">
        <v>1.3671356827363979E-2</v>
      </c>
      <c r="BZ72" s="75">
        <v>-3.126684834010543E-2</v>
      </c>
      <c r="CA72" s="75">
        <v>0.10640921051758045</v>
      </c>
      <c r="CB72" s="75">
        <v>9.9147744360432555E-2</v>
      </c>
      <c r="CC72" s="75">
        <v>3.7687551457417173E-2</v>
      </c>
      <c r="CD72" s="75">
        <v>-2.4429931350142903E-2</v>
      </c>
      <c r="CE72" s="75">
        <v>8.9667424139301899E-2</v>
      </c>
      <c r="CF72" s="75">
        <v>3.1202507889530023E-2</v>
      </c>
      <c r="CG72" s="75">
        <v>-2.3284502321788414E-2</v>
      </c>
      <c r="CH72" s="75">
        <v>-7.9918256274360833E-3</v>
      </c>
      <c r="CI72" s="75">
        <v>6.6775942080558121E-2</v>
      </c>
      <c r="CJ72" s="75">
        <v>-8.842132200526262E-2</v>
      </c>
      <c r="CK72" s="75">
        <v>4.191552093870568E-2</v>
      </c>
      <c r="CL72" s="75">
        <v>-3.1668024864482835E-2</v>
      </c>
      <c r="CM72" s="75">
        <v>-2.3541668201007337E-2</v>
      </c>
      <c r="CN72" s="75">
        <v>6.2465864931957882E-2</v>
      </c>
      <c r="CO72" s="75">
        <v>-0.10307574240386991</v>
      </c>
      <c r="CP72" s="75">
        <v>-1.1032525043953717E-2</v>
      </c>
      <c r="CQ72" s="75">
        <v>5.2781459360814853E-2</v>
      </c>
      <c r="CR72" s="75">
        <v>3.8314881082404717E-2</v>
      </c>
      <c r="CS72" s="75">
        <v>-1.3528243240123472E-3</v>
      </c>
      <c r="CT72" s="75">
        <v>4.7733359182936752E-2</v>
      </c>
      <c r="CU72" s="75">
        <v>5.6044029757745473E-2</v>
      </c>
      <c r="CV72" s="75">
        <v>2.5183455022201096E-2</v>
      </c>
      <c r="CW72" s="75">
        <v>1.5210312364847489E-2</v>
      </c>
      <c r="CX72" s="75">
        <v>9.7711665590152125E-2</v>
      </c>
      <c r="CY72" s="75">
        <v>-0.11666682913723411</v>
      </c>
      <c r="CZ72" s="75">
        <v>-5.1896340431379639E-3</v>
      </c>
      <c r="DA72" s="75">
        <v>0.11133151121105297</v>
      </c>
      <c r="DB72" s="75">
        <v>-5.9901763338126218E-2</v>
      </c>
      <c r="DC72" s="75">
        <v>-6.3943763036159229E-2</v>
      </c>
      <c r="DD72" s="75">
        <v>4.2175439168660844E-2</v>
      </c>
      <c r="DE72" s="75">
        <v>-8.0060481879383194E-3</v>
      </c>
      <c r="DF72" s="75">
        <v>3.0758602086593312E-2</v>
      </c>
      <c r="DG72" s="75">
        <v>5.3261122089581336E-2</v>
      </c>
      <c r="DH72" s="75">
        <v>-4.1826728826051984E-2</v>
      </c>
      <c r="DI72" s="75">
        <v>-8.5841504093855547E-2</v>
      </c>
      <c r="DJ72" s="75">
        <v>2.3701757767634474E-2</v>
      </c>
      <c r="DK72" s="75">
        <v>-6.3968479101040587E-3</v>
      </c>
      <c r="DL72" s="75">
        <v>3.6678023610736021E-2</v>
      </c>
      <c r="DM72" s="75">
        <v>5.6334762683811435E-2</v>
      </c>
      <c r="DN72" s="75">
        <v>-7.0925758593365362E-4</v>
      </c>
      <c r="DO72" s="75">
        <v>0.11104159853613926</v>
      </c>
      <c r="DP72" s="75">
        <v>-8.2639039198239672E-2</v>
      </c>
      <c r="DQ72" s="75">
        <v>-9.4027961392059212E-2</v>
      </c>
      <c r="DR72" s="75">
        <v>2.4285928867653572E-2</v>
      </c>
      <c r="DS72" s="75">
        <v>6.8134881205807185E-2</v>
      </c>
      <c r="DT72" s="75">
        <v>-8.2853529211036614E-3</v>
      </c>
      <c r="DU72" s="75">
        <v>5.9236550196083898E-2</v>
      </c>
      <c r="DV72" s="75">
        <v>-2.4869374795727206E-2</v>
      </c>
      <c r="DW72" s="75">
        <v>3.3492654581600667E-2</v>
      </c>
      <c r="DX72" s="75">
        <v>-8.0930303554753447E-2</v>
      </c>
      <c r="DY72" s="75">
        <v>-3.7294804772961904E-2</v>
      </c>
      <c r="DZ72" s="75">
        <v>0.15277924183451014</v>
      </c>
      <c r="EA72" s="75">
        <v>0.17031193559258029</v>
      </c>
      <c r="EB72" s="75">
        <v>7.694668407865124E-2</v>
      </c>
      <c r="EC72" s="75">
        <v>-0.14880179845667318</v>
      </c>
      <c r="ED72" s="75">
        <v>2.0438734385786916E-2</v>
      </c>
      <c r="EE72" s="75">
        <v>2.3956505477160994E-2</v>
      </c>
      <c r="EF72" s="75">
        <v>4.4406423162846348E-2</v>
      </c>
      <c r="EG72" s="75">
        <v>-8.4821916687860544E-4</v>
      </c>
      <c r="EH72" s="75">
        <v>-1.2822306196646399E-2</v>
      </c>
      <c r="EI72" s="75">
        <v>8.2161013849614328E-2</v>
      </c>
      <c r="EJ72" s="75">
        <v>1.0405945546994144E-2</v>
      </c>
      <c r="EK72" s="75">
        <v>0.12016777826324773</v>
      </c>
      <c r="EL72" s="75">
        <v>3.542446641790134E-2</v>
      </c>
      <c r="EM72" s="75">
        <v>-2.5978624137598327E-2</v>
      </c>
      <c r="EN72" s="75">
        <v>9.9130293328913988E-3</v>
      </c>
      <c r="EO72" s="75">
        <v>0.29576451992906505</v>
      </c>
      <c r="EP72" s="75">
        <v>0.15354009999513174</v>
      </c>
      <c r="EQ72" s="75">
        <v>-3.9376539564857427E-2</v>
      </c>
      <c r="ER72" s="75">
        <v>-6.9529394605724604E-2</v>
      </c>
      <c r="ES72" s="75">
        <v>-8.6978011012335266E-3</v>
      </c>
      <c r="ET72" s="75">
        <v>2.0869308379542956E-2</v>
      </c>
      <c r="EU72" s="75">
        <v>-3.6635085770523296E-2</v>
      </c>
      <c r="EV72" s="75">
        <v>9.2628297795534303E-2</v>
      </c>
      <c r="EW72" s="75">
        <v>0.1037873959434033</v>
      </c>
      <c r="EX72" s="75">
        <v>-8.5571039608642596E-3</v>
      </c>
      <c r="EY72" s="75">
        <v>-7.4486391844346134E-2</v>
      </c>
      <c r="EZ72" s="75">
        <v>-2.7252570254948955E-2</v>
      </c>
      <c r="FA72" s="75">
        <v>-7.6908146969778407E-2</v>
      </c>
      <c r="FB72" s="75">
        <v>0.12498862050269943</v>
      </c>
      <c r="FC72" s="75">
        <v>-0.11382934607732931</v>
      </c>
      <c r="FD72" s="75">
        <v>-2.9147608104278161E-2</v>
      </c>
      <c r="FE72" s="75">
        <v>2.7498049407876257E-2</v>
      </c>
      <c r="FF72" s="75">
        <v>0.18682487637862183</v>
      </c>
      <c r="FG72" s="75">
        <v>4.2775085104246324E-4</v>
      </c>
      <c r="FH72" s="75">
        <v>-1.6023297320169383E-2</v>
      </c>
      <c r="FI72" s="75">
        <v>-5.7719981632786188E-2</v>
      </c>
      <c r="FJ72" s="75">
        <v>5.4045550567520834E-2</v>
      </c>
      <c r="FK72" s="75">
        <v>-8.6662062210999424E-2</v>
      </c>
      <c r="FL72" s="75">
        <v>-3.1411857546199351E-2</v>
      </c>
      <c r="FM72" s="75">
        <v>0.13447187850855855</v>
      </c>
      <c r="FN72" s="75">
        <v>-5.5830743294538299E-2</v>
      </c>
      <c r="FO72" s="75">
        <v>0.24536721184899263</v>
      </c>
      <c r="FP72" s="75">
        <v>-8.9937635706022867E-2</v>
      </c>
      <c r="FQ72" s="75">
        <v>-3.8674356351628414E-2</v>
      </c>
      <c r="FR72" s="75">
        <v>-6.4813440053884619E-2</v>
      </c>
      <c r="FS72" s="75">
        <v>-4.2890061806211882E-2</v>
      </c>
      <c r="FT72" s="75">
        <v>-0.16175741341076869</v>
      </c>
      <c r="FU72" s="75">
        <v>-6.0882386469959471E-2</v>
      </c>
      <c r="FV72" s="75">
        <v>2.9484180713311714E-3</v>
      </c>
      <c r="FW72" s="75">
        <v>4.8255809546719319E-2</v>
      </c>
      <c r="FX72" s="75">
        <v>-4.4782744025418542E-2</v>
      </c>
      <c r="FY72" s="75">
        <v>-5.3058947228222325E-2</v>
      </c>
      <c r="FZ72" s="75">
        <v>-3.2944607374368745E-2</v>
      </c>
      <c r="GA72" s="75">
        <v>1.0060511644944203E-2</v>
      </c>
      <c r="GB72" s="75">
        <v>2.0266618186171509E-2</v>
      </c>
      <c r="GC72" s="75">
        <v>0.11395598253574776</v>
      </c>
      <c r="GD72" s="75">
        <v>0.11970070904773192</v>
      </c>
      <c r="GE72" s="75">
        <v>6.8074072790187845E-2</v>
      </c>
      <c r="GF72" s="75">
        <v>7.9442864689690251E-2</v>
      </c>
      <c r="GG72" s="75">
        <v>4.5888983025267616E-2</v>
      </c>
      <c r="GH72" s="75">
        <v>-7.3240278302632855E-2</v>
      </c>
      <c r="GI72" s="75">
        <v>8.0329548388119565E-2</v>
      </c>
      <c r="GJ72" s="75">
        <v>-9.249028603126791E-3</v>
      </c>
      <c r="GK72" s="75">
        <v>0.2336754786618952</v>
      </c>
      <c r="GL72" s="75">
        <v>3.0464013744277679E-2</v>
      </c>
      <c r="GM72" s="75">
        <v>5.872999113038152E-3</v>
      </c>
      <c r="GN72" s="75">
        <v>-7.6300345012870252E-2</v>
      </c>
      <c r="GO72" s="75">
        <v>-5.6296370917346017E-2</v>
      </c>
      <c r="GP72" s="75">
        <v>-8.6377444503033252E-3</v>
      </c>
      <c r="GQ72" s="75">
        <v>4.2550994278761328E-2</v>
      </c>
      <c r="GR72" s="75">
        <v>5.2427806245714609E-2</v>
      </c>
      <c r="GS72" s="75">
        <v>-7.6494844075959439E-2</v>
      </c>
      <c r="GT72" s="75">
        <v>-0.10285252340979212</v>
      </c>
      <c r="GU72" s="75">
        <v>-2.7252496727922654E-2</v>
      </c>
      <c r="GV72" s="75">
        <v>-2.6863099592678213E-2</v>
      </c>
      <c r="GW72" s="75">
        <v>-6.170145784131631E-2</v>
      </c>
      <c r="GX72" s="75">
        <v>-4.6884765234984971E-2</v>
      </c>
      <c r="GY72" s="75">
        <v>-9.940383150177487E-2</v>
      </c>
      <c r="GZ72" s="75">
        <v>-3.8641581045037177E-2</v>
      </c>
      <c r="HA72" s="75">
        <v>0.16032525803431591</v>
      </c>
      <c r="HB72" s="75">
        <v>2.8765280951284722E-2</v>
      </c>
      <c r="HC72" s="75">
        <v>4.7392398889059134E-2</v>
      </c>
      <c r="HD72" s="75">
        <v>-7.3964782261566359E-2</v>
      </c>
      <c r="HE72" s="75">
        <v>5.8607183183118194E-2</v>
      </c>
      <c r="HF72" s="75">
        <v>3.9498220850490762E-2</v>
      </c>
      <c r="HG72" s="75">
        <v>1.1161683475673922E-2</v>
      </c>
      <c r="HH72" s="75">
        <v>-5.3385254996593551E-2</v>
      </c>
      <c r="HI72" s="75">
        <v>-2.424508482219026E-2</v>
      </c>
      <c r="HJ72" s="75">
        <v>-1.2331807058552302E-2</v>
      </c>
      <c r="HK72" s="75">
        <v>-5.8143703954493864E-2</v>
      </c>
      <c r="HL72" s="75">
        <v>5.4507062111268545E-2</v>
      </c>
      <c r="HM72" s="75">
        <v>-5.3831903931656822E-2</v>
      </c>
      <c r="HN72" s="75">
        <v>-3.2275540437688099E-2</v>
      </c>
      <c r="HO72" s="75">
        <v>-8.6008119263907834E-2</v>
      </c>
      <c r="HP72" s="75">
        <v>2.7514181516397923E-2</v>
      </c>
      <c r="HQ72" s="75">
        <v>7.7379173046464855E-3</v>
      </c>
      <c r="HR72" s="75">
        <v>-0.14591221067873505</v>
      </c>
      <c r="HS72" s="75">
        <v>1.1221358111167534E-2</v>
      </c>
      <c r="HT72" s="75">
        <v>5.4936788574436485E-2</v>
      </c>
      <c r="HU72" s="75">
        <v>-4.8090592380243047E-2</v>
      </c>
      <c r="HV72" s="75">
        <v>-1.8353724568430485E-2</v>
      </c>
      <c r="HW72" s="75">
        <v>2.4057359948116225E-2</v>
      </c>
      <c r="HX72" s="75">
        <v>9.9244572804698755E-2</v>
      </c>
      <c r="HY72" s="75">
        <v>3.0630252413941239E-3</v>
      </c>
      <c r="HZ72" s="75">
        <v>5.5655491530496648E-2</v>
      </c>
      <c r="IA72" s="75">
        <v>-0.1096846005298982</v>
      </c>
      <c r="IB72" s="75">
        <v>3.5538508575418348E-2</v>
      </c>
      <c r="IC72" s="75">
        <v>-7.6794522130561288E-2</v>
      </c>
      <c r="ID72" s="75">
        <v>2.5082003307458023E-2</v>
      </c>
      <c r="IE72" s="75">
        <v>-6.2508458449025972E-4</v>
      </c>
      <c r="IF72" s="75">
        <v>-3.4627917167575267E-2</v>
      </c>
      <c r="IG72" s="75">
        <v>3.4912455139738618E-2</v>
      </c>
      <c r="IH72" s="75">
        <v>6.7714543287386519E-2</v>
      </c>
      <c r="II72" s="75">
        <v>-2.9541106502157827E-2</v>
      </c>
      <c r="IJ72" s="75">
        <v>0.20281075966078449</v>
      </c>
      <c r="IK72" s="75">
        <v>-6.7731134109534019E-2</v>
      </c>
      <c r="IL72" s="75">
        <v>3.3449316530126783E-2</v>
      </c>
      <c r="IM72" s="75">
        <v>-2.1195815869300749E-2</v>
      </c>
      <c r="IN72" s="75">
        <v>5.4278543024463194E-2</v>
      </c>
      <c r="IO72" s="75">
        <v>2.6877723453738178E-2</v>
      </c>
      <c r="IP72" s="75">
        <v>-0.10071185416350434</v>
      </c>
      <c r="IQ72" s="75">
        <v>5.1734511452886628E-2</v>
      </c>
      <c r="IR72" s="75">
        <v>1.3997919147392596E-2</v>
      </c>
      <c r="IS72" s="75">
        <v>1.6310819804049304E-2</v>
      </c>
      <c r="IT72" s="75">
        <v>-4.5441402503318962E-3</v>
      </c>
      <c r="IU72" s="75">
        <v>2.03387398593734E-2</v>
      </c>
    </row>
    <row r="73" spans="1:255" s="74" customFormat="1" ht="14.5" x14ac:dyDescent="0.35">
      <c r="A73" s="73"/>
      <c r="B73" s="78">
        <v>5</v>
      </c>
      <c r="C73" s="77">
        <f t="shared" si="43"/>
        <v>3.1597832411967168E-2</v>
      </c>
      <c r="D73" s="76">
        <f t="shared" si="44"/>
        <v>9.2480893999923208E-2</v>
      </c>
      <c r="E73" s="75">
        <v>-0.13535195736759975</v>
      </c>
      <c r="F73" s="75">
        <v>4.8484566006742696E-2</v>
      </c>
      <c r="G73" s="75">
        <v>0.14733328880781693</v>
      </c>
      <c r="H73" s="75">
        <v>-4.0689074501681771E-2</v>
      </c>
      <c r="I73" s="75">
        <v>2.9641918546057078E-2</v>
      </c>
      <c r="J73" s="75">
        <v>-6.9683424685295037E-2</v>
      </c>
      <c r="K73" s="75">
        <v>5.4953409853478713E-2</v>
      </c>
      <c r="L73" s="75">
        <v>-6.7380522927771858E-3</v>
      </c>
      <c r="M73" s="75">
        <v>7.1626474409738933E-2</v>
      </c>
      <c r="N73" s="75">
        <v>7.4452879262056154E-2</v>
      </c>
      <c r="O73" s="75">
        <v>7.038486421627993E-2</v>
      </c>
      <c r="P73" s="75">
        <v>-1.0792893508749651E-2</v>
      </c>
      <c r="Q73" s="75">
        <v>-8.3910621275535946E-2</v>
      </c>
      <c r="R73" s="75">
        <v>-1.3310777338540969E-2</v>
      </c>
      <c r="S73" s="75">
        <v>-1.0241107140591899E-2</v>
      </c>
      <c r="T73" s="75">
        <v>-0.11174701645406013</v>
      </c>
      <c r="U73" s="75">
        <v>-5.5784793243796316E-2</v>
      </c>
      <c r="V73" s="75">
        <v>9.2480893999923208E-2</v>
      </c>
      <c r="W73" s="75">
        <v>0.15322535275575119</v>
      </c>
      <c r="X73" s="75">
        <v>6.5496864213035355E-2</v>
      </c>
      <c r="Y73" s="75">
        <v>3.7400239238623706E-2</v>
      </c>
      <c r="Z73" s="75">
        <v>6.6434629221373803E-2</v>
      </c>
      <c r="AA73" s="75">
        <v>-7.4095461131850004E-2</v>
      </c>
      <c r="AB73" s="75">
        <v>6.8686286896655818E-2</v>
      </c>
      <c r="AC73" s="75">
        <v>-1.0461572285230147E-2</v>
      </c>
      <c r="AD73" s="75">
        <v>9.8620981490900539E-2</v>
      </c>
      <c r="AE73" s="75">
        <v>-8.8303902855575322E-2</v>
      </c>
      <c r="AF73" s="75">
        <v>2.0720820072219343E-2</v>
      </c>
      <c r="AG73" s="75">
        <v>-1.4053548494157631E-2</v>
      </c>
      <c r="AH73" s="75">
        <v>-7.5069933646665643E-2</v>
      </c>
      <c r="AI73" s="75">
        <v>-0.13405711516930255</v>
      </c>
      <c r="AJ73" s="75">
        <v>-6.4670551400977161E-2</v>
      </c>
      <c r="AK73" s="75">
        <v>3.0339178067329331E-2</v>
      </c>
      <c r="AL73" s="75">
        <v>8.0627528268792326E-2</v>
      </c>
      <c r="AM73" s="75">
        <v>-6.0023840907730164E-2</v>
      </c>
      <c r="AN73" s="75">
        <v>6.5642202552002371E-2</v>
      </c>
      <c r="AO73" s="75">
        <v>-6.192236114621763E-2</v>
      </c>
      <c r="AP73" s="75">
        <v>0.11410990320849868</v>
      </c>
      <c r="AQ73" s="75">
        <v>-1.1858180979845701E-5</v>
      </c>
      <c r="AR73" s="75">
        <v>0.11634176503449642</v>
      </c>
      <c r="AS73" s="75">
        <v>3.9616872032152389E-2</v>
      </c>
      <c r="AT73" s="75">
        <v>4.5179878816927727E-2</v>
      </c>
      <c r="AU73" s="75">
        <v>-6.5485658528962709E-2</v>
      </c>
      <c r="AV73" s="75">
        <v>-5.9218844880862598E-2</v>
      </c>
      <c r="AW73" s="75">
        <v>-4.6878079434153341E-2</v>
      </c>
      <c r="AX73" s="75">
        <v>1.6615452897266791E-2</v>
      </c>
      <c r="AY73" s="75">
        <v>-6.4263129877337732E-3</v>
      </c>
      <c r="AZ73" s="75">
        <v>8.501479606352591E-2</v>
      </c>
      <c r="BA73" s="75">
        <v>-6.6250899030838611E-2</v>
      </c>
      <c r="BB73" s="75">
        <v>-6.3435937684343191E-2</v>
      </c>
      <c r="BC73" s="75">
        <v>1.912400350913307E-2</v>
      </c>
      <c r="BD73" s="75">
        <v>-9.9611428502853788E-2</v>
      </c>
      <c r="BE73" s="75">
        <v>1.1288226647431232E-3</v>
      </c>
      <c r="BF73" s="75">
        <v>-0.10367695106981512</v>
      </c>
      <c r="BG73" s="75">
        <v>-5.4533954195256251E-2</v>
      </c>
      <c r="BH73" s="75">
        <v>-6.2356162722448039E-2</v>
      </c>
      <c r="BI73" s="75">
        <v>-4.1439573614988345E-2</v>
      </c>
      <c r="BJ73" s="75">
        <v>7.4270227154749624E-3</v>
      </c>
      <c r="BK73" s="75">
        <v>-7.8773234079687449E-2</v>
      </c>
      <c r="BL73" s="75">
        <v>-6.5217047056781108E-2</v>
      </c>
      <c r="BM73" s="75">
        <v>6.7412036454401025E-2</v>
      </c>
      <c r="BN73" s="75">
        <v>-1.814364780504571E-2</v>
      </c>
      <c r="BO73" s="75">
        <v>-5.7423704787018165E-2</v>
      </c>
      <c r="BP73" s="75">
        <v>5.9001239089362195E-2</v>
      </c>
      <c r="BQ73" s="75">
        <v>2.4358769384190015E-2</v>
      </c>
      <c r="BR73" s="75">
        <v>-3.6394978811964324E-2</v>
      </c>
      <c r="BS73" s="75">
        <v>9.5193959453692689E-2</v>
      </c>
      <c r="BT73" s="75">
        <v>1.2463626858084331E-2</v>
      </c>
      <c r="BU73" s="75">
        <v>-7.3966021377210145E-2</v>
      </c>
      <c r="BV73" s="75">
        <v>-8.357067606425661E-2</v>
      </c>
      <c r="BW73" s="75">
        <v>-6.3675235039287792E-2</v>
      </c>
      <c r="BX73" s="75">
        <v>4.5832623983705578E-2</v>
      </c>
      <c r="BY73" s="75">
        <v>5.6082047651814793E-3</v>
      </c>
      <c r="BZ73" s="75">
        <v>-4.3089539630799784E-2</v>
      </c>
      <c r="CA73" s="75">
        <v>0.11978356749556407</v>
      </c>
      <c r="CB73" s="75">
        <v>0.10371523065777125</v>
      </c>
      <c r="CC73" s="75">
        <v>2.5009021223548311E-2</v>
      </c>
      <c r="CD73" s="75">
        <v>-3.0532626912668587E-2</v>
      </c>
      <c r="CE73" s="75">
        <v>6.6928723648622679E-2</v>
      </c>
      <c r="CF73" s="75">
        <v>3.8683570229025743E-2</v>
      </c>
      <c r="CG73" s="75">
        <v>-1.4996199282292566E-2</v>
      </c>
      <c r="CH73" s="75">
        <v>-3.4937255408632434E-2</v>
      </c>
      <c r="CI73" s="75">
        <v>5.3717761941332071E-2</v>
      </c>
      <c r="CJ73" s="75">
        <v>-5.3757134799333611E-2</v>
      </c>
      <c r="CK73" s="75">
        <v>2.3487803938730734E-2</v>
      </c>
      <c r="CL73" s="75">
        <v>-3.9447756596690198E-2</v>
      </c>
      <c r="CM73" s="75">
        <v>-1.4102796318449906E-2</v>
      </c>
      <c r="CN73" s="75">
        <v>8.1413039848345692E-2</v>
      </c>
      <c r="CO73" s="75">
        <v>-9.3263737633591415E-2</v>
      </c>
      <c r="CP73" s="75">
        <v>4.6133980316671874E-3</v>
      </c>
      <c r="CQ73" s="75">
        <v>5.7813623970846911E-2</v>
      </c>
      <c r="CR73" s="75">
        <v>6.9711267347041694E-2</v>
      </c>
      <c r="CS73" s="75">
        <v>1.5148654307202164E-2</v>
      </c>
      <c r="CT73" s="75">
        <v>7.3185234866483762E-2</v>
      </c>
      <c r="CU73" s="75">
        <v>5.122820174948764E-2</v>
      </c>
      <c r="CV73" s="75">
        <v>2.5888033573804342E-2</v>
      </c>
      <c r="CW73" s="75">
        <v>4.0991010156605778E-2</v>
      </c>
      <c r="CX73" s="75">
        <v>8.705223793561459E-2</v>
      </c>
      <c r="CY73" s="75">
        <v>-8.3784041223469941E-2</v>
      </c>
      <c r="CZ73" s="75">
        <v>-1.3207591065044766E-3</v>
      </c>
      <c r="DA73" s="75">
        <v>-1.5988607043981917E-2</v>
      </c>
      <c r="DB73" s="75">
        <v>-6.962334777308421E-2</v>
      </c>
      <c r="DC73" s="75">
        <v>7.2016776689230816E-2</v>
      </c>
      <c r="DD73" s="75">
        <v>-2.9637365916601849E-2</v>
      </c>
      <c r="DE73" s="75">
        <v>-2.142394307513823E-2</v>
      </c>
      <c r="DF73" s="75">
        <v>-8.3909408994310541E-2</v>
      </c>
      <c r="DG73" s="75">
        <v>4.8290320207292514E-2</v>
      </c>
      <c r="DH73" s="75">
        <v>-2.9600134424225377E-2</v>
      </c>
      <c r="DI73" s="75">
        <v>-4.7532397822392825E-2</v>
      </c>
      <c r="DJ73" s="75">
        <v>9.0423469234456322E-3</v>
      </c>
      <c r="DK73" s="75">
        <v>5.4947512026607082E-2</v>
      </c>
      <c r="DL73" s="75">
        <v>-0.10356756024040503</v>
      </c>
      <c r="DM73" s="75">
        <v>-1.8959523719451893E-2</v>
      </c>
      <c r="DN73" s="75">
        <v>-1.178444835864742E-2</v>
      </c>
      <c r="DO73" s="75">
        <v>8.700275817269279E-2</v>
      </c>
      <c r="DP73" s="75">
        <v>-5.0168358243527195E-2</v>
      </c>
      <c r="DQ73" s="75">
        <v>-0.10985205207543527</v>
      </c>
      <c r="DR73" s="75">
        <v>1.0870703485725497E-2</v>
      </c>
      <c r="DS73" s="75">
        <v>0.15430565701356722</v>
      </c>
      <c r="DT73" s="75">
        <v>-0.11785381560304375</v>
      </c>
      <c r="DU73" s="75">
        <v>9.9209922464842004E-2</v>
      </c>
      <c r="DV73" s="75">
        <v>-9.3100738223798524E-2</v>
      </c>
      <c r="DW73" s="75">
        <v>-1.132265849418862E-3</v>
      </c>
      <c r="DX73" s="75">
        <v>5.2702284715985148E-2</v>
      </c>
      <c r="DY73" s="75">
        <v>-7.6142354977277171E-3</v>
      </c>
      <c r="DZ73" s="75">
        <v>-1.9224058939139366E-2</v>
      </c>
      <c r="EA73" s="75">
        <v>0.19314712971433401</v>
      </c>
      <c r="EB73" s="75">
        <v>6.9359103207219497E-2</v>
      </c>
      <c r="EC73" s="75">
        <v>3.9378813010268549E-2</v>
      </c>
      <c r="ED73" s="75">
        <v>1.2011107263221382E-2</v>
      </c>
      <c r="EE73" s="75">
        <v>1.0187460004271787E-2</v>
      </c>
      <c r="EF73" s="75">
        <v>0.10475101305253756</v>
      </c>
      <c r="EG73" s="75">
        <v>-8.0703251016067984E-2</v>
      </c>
      <c r="EH73" s="75">
        <v>-0.10006014009787123</v>
      </c>
      <c r="EI73" s="75">
        <v>7.0200704004341141E-2</v>
      </c>
      <c r="EJ73" s="75">
        <v>2.766176158429659E-2</v>
      </c>
      <c r="EK73" s="75">
        <v>-5.4954290113331306E-2</v>
      </c>
      <c r="EL73" s="75">
        <v>3.0435054531794348E-2</v>
      </c>
      <c r="EM73" s="75">
        <v>-4.7225742007362098E-2</v>
      </c>
      <c r="EN73" s="75">
        <v>2.817557112536187E-2</v>
      </c>
      <c r="EO73" s="75">
        <v>0.17973395929682939</v>
      </c>
      <c r="EP73" s="75">
        <v>0.11137181910161834</v>
      </c>
      <c r="EQ73" s="75">
        <v>-1.1113389164687959E-2</v>
      </c>
      <c r="ER73" s="75">
        <v>-7.0070053213803052E-2</v>
      </c>
      <c r="ES73" s="75">
        <v>7.3487943392790023E-2</v>
      </c>
      <c r="ET73" s="75">
        <v>-5.856612145533549E-2</v>
      </c>
      <c r="EU73" s="75">
        <v>1.141861811477074E-2</v>
      </c>
      <c r="EV73" s="75">
        <v>7.5078930286088669E-2</v>
      </c>
      <c r="EW73" s="75">
        <v>-0.14493883447461095</v>
      </c>
      <c r="EX73" s="75">
        <v>9.2223647113529622E-2</v>
      </c>
      <c r="EY73" s="75">
        <v>-3.5333696782718055E-2</v>
      </c>
      <c r="EZ73" s="75">
        <v>-3.5660236670309875E-2</v>
      </c>
      <c r="FA73" s="75">
        <v>2.763948390431531E-2</v>
      </c>
      <c r="FB73" s="75">
        <v>0.10190072635879371</v>
      </c>
      <c r="FC73" s="75">
        <v>-9.5125252183498793E-2</v>
      </c>
      <c r="FD73" s="75">
        <v>6.4724423404917769E-2</v>
      </c>
      <c r="FE73" s="75">
        <v>0.16833728764849512</v>
      </c>
      <c r="FF73" s="75">
        <v>2.0769158054765841E-2</v>
      </c>
      <c r="FG73" s="75">
        <v>-0.1158748156521015</v>
      </c>
      <c r="FH73" s="75">
        <v>1.400896785555239E-2</v>
      </c>
      <c r="FI73" s="75">
        <v>3.6582581286747851E-2</v>
      </c>
      <c r="FJ73" s="75">
        <v>5.9562534038438697E-2</v>
      </c>
      <c r="FK73" s="75">
        <v>3.5802733432909351E-2</v>
      </c>
      <c r="FL73" s="75">
        <v>2.1418335196452531E-3</v>
      </c>
      <c r="FM73" s="75">
        <v>0.15160221790314746</v>
      </c>
      <c r="FN73" s="75">
        <v>-4.6205711551517176E-2</v>
      </c>
      <c r="FO73" s="75">
        <v>0.26002782210244407</v>
      </c>
      <c r="FP73" s="75">
        <v>0.18871208404672926</v>
      </c>
      <c r="FQ73" s="75">
        <v>-6.5130812102454971E-2</v>
      </c>
      <c r="FR73" s="75">
        <v>9.5746438375206161E-2</v>
      </c>
      <c r="FS73" s="75">
        <v>-4.3693376521867111E-2</v>
      </c>
      <c r="FT73" s="75">
        <v>-0.15273819493814936</v>
      </c>
      <c r="FU73" s="75">
        <v>5.8613215183529244E-2</v>
      </c>
      <c r="FV73" s="75">
        <v>-8.0068756479622916E-3</v>
      </c>
      <c r="FW73" s="75">
        <v>4.9433168367113867E-2</v>
      </c>
      <c r="FX73" s="75">
        <v>-2.6831075467908333E-2</v>
      </c>
      <c r="FY73" s="75">
        <v>-2.7495716795506026E-2</v>
      </c>
      <c r="FZ73" s="75">
        <v>-1.2354194040418071E-2</v>
      </c>
      <c r="GA73" s="75">
        <v>-2.5237506454097058E-2</v>
      </c>
      <c r="GB73" s="75">
        <v>0.10537049281048549</v>
      </c>
      <c r="GC73" s="75">
        <v>2.6708523177686627E-2</v>
      </c>
      <c r="GD73" s="75">
        <v>9.7843239818203614E-2</v>
      </c>
      <c r="GE73" s="75">
        <v>3.1924150363010578E-2</v>
      </c>
      <c r="GF73" s="75">
        <v>-8.5152015702643608E-2</v>
      </c>
      <c r="GG73" s="75">
        <v>-3.283196640162106E-3</v>
      </c>
      <c r="GH73" s="75">
        <v>5.0918923774384145E-2</v>
      </c>
      <c r="GI73" s="75">
        <v>6.5623448326167511E-2</v>
      </c>
      <c r="GJ73" s="75">
        <v>1.1014729281158264E-3</v>
      </c>
      <c r="GK73" s="75">
        <v>7.0850047532972638E-2</v>
      </c>
      <c r="GL73" s="75">
        <v>-8.7074290159178114E-3</v>
      </c>
      <c r="GM73" s="75">
        <v>-4.3766215005243581E-2</v>
      </c>
      <c r="GN73" s="75">
        <v>3.4692505204236834E-2</v>
      </c>
      <c r="GO73" s="75">
        <v>-5.5151794200656551E-2</v>
      </c>
      <c r="GP73" s="75">
        <v>-6.2736838449943821E-3</v>
      </c>
      <c r="GQ73" s="75">
        <v>4.1917047077530883E-2</v>
      </c>
      <c r="GR73" s="75">
        <v>-4.5816635076526141E-2</v>
      </c>
      <c r="GS73" s="75">
        <v>-7.3065476971820781E-2</v>
      </c>
      <c r="GT73" s="75">
        <v>2.6833321775376145E-2</v>
      </c>
      <c r="GU73" s="75">
        <v>-5.5033522998461093E-3</v>
      </c>
      <c r="GV73" s="75">
        <v>3.1457657925243215E-2</v>
      </c>
      <c r="GW73" s="75">
        <v>1.0243698240778643E-2</v>
      </c>
      <c r="GX73" s="75">
        <v>0.10697994659985866</v>
      </c>
      <c r="GY73" s="75">
        <v>-3.5428726899715268E-2</v>
      </c>
      <c r="GZ73" s="75">
        <v>1.0478374232626153E-3</v>
      </c>
      <c r="HA73" s="75">
        <v>-5.2563507470815091E-2</v>
      </c>
      <c r="HB73" s="75">
        <v>2.2995430172074005E-2</v>
      </c>
      <c r="HC73" s="75">
        <v>5.2350835458067374E-2</v>
      </c>
      <c r="HD73" s="75">
        <v>-7.800759173949387E-2</v>
      </c>
      <c r="HE73" s="75">
        <v>4.8467578886591145E-2</v>
      </c>
      <c r="HF73" s="75">
        <v>-4.2094812497531775E-2</v>
      </c>
      <c r="HG73" s="75">
        <v>1.9563510058995898E-2</v>
      </c>
      <c r="HH73" s="75">
        <v>4.5376473547381835E-2</v>
      </c>
      <c r="HI73" s="75">
        <v>-9.2171350621724601E-2</v>
      </c>
      <c r="HJ73" s="75">
        <v>-2.2387234133519895E-2</v>
      </c>
      <c r="HK73" s="75">
        <v>-7.7935595605036267E-2</v>
      </c>
      <c r="HL73" s="75">
        <v>-3.4004389949129243E-2</v>
      </c>
      <c r="HM73" s="75">
        <v>-0.11314757410104226</v>
      </c>
      <c r="HN73" s="75">
        <v>-5.6080598447277363E-2</v>
      </c>
      <c r="HO73" s="75">
        <v>-5.3483163620517138E-2</v>
      </c>
      <c r="HP73" s="75">
        <v>4.6169425936434472E-2</v>
      </c>
      <c r="HQ73" s="75">
        <v>1.0169129640133334E-2</v>
      </c>
      <c r="HR73" s="75">
        <v>-2.2963602902318192E-2</v>
      </c>
      <c r="HS73" s="75">
        <v>2.6782058644827494E-2</v>
      </c>
      <c r="HT73" s="75">
        <v>-6.5330199601727201E-3</v>
      </c>
      <c r="HU73" s="75">
        <v>-1.6734259147670821E-2</v>
      </c>
      <c r="HV73" s="75">
        <v>-5.3000823157479671E-3</v>
      </c>
      <c r="HW73" s="75">
        <v>-7.9564124752813381E-3</v>
      </c>
      <c r="HX73" s="75">
        <v>0.10301701726838156</v>
      </c>
      <c r="HY73" s="75">
        <v>-8.9076741976200635E-3</v>
      </c>
      <c r="HZ73" s="75">
        <v>4.8916806708935584E-2</v>
      </c>
      <c r="IA73" s="75">
        <v>-0.1112545742046831</v>
      </c>
      <c r="IB73" s="75">
        <v>8.4521155950049998E-2</v>
      </c>
      <c r="IC73" s="75">
        <v>-6.9574715891705247E-2</v>
      </c>
      <c r="ID73" s="75">
        <v>0.20878752275740176</v>
      </c>
      <c r="IE73" s="75">
        <v>1.3238251523045558E-2</v>
      </c>
      <c r="IF73" s="75">
        <v>-6.5398994517788495E-2</v>
      </c>
      <c r="IG73" s="75">
        <v>3.2933496641738391E-2</v>
      </c>
      <c r="IH73" s="75">
        <v>4.4979508139186941E-2</v>
      </c>
      <c r="II73" s="75">
        <v>-9.289688934405152E-2</v>
      </c>
      <c r="IJ73" s="75">
        <v>0.16959567263253639</v>
      </c>
      <c r="IK73" s="75">
        <v>-5.2327665082385288E-2</v>
      </c>
      <c r="IL73" s="75">
        <v>7.0751491292330909E-2</v>
      </c>
      <c r="IM73" s="75">
        <v>-6.0375010127353967E-3</v>
      </c>
      <c r="IN73" s="75">
        <v>1.4691944388935507E-2</v>
      </c>
      <c r="IO73" s="75">
        <v>-1.3218014060853711E-2</v>
      </c>
      <c r="IP73" s="75">
        <v>1.2573639487964389E-2</v>
      </c>
      <c r="IQ73" s="75">
        <v>-4.3764388131070558E-2</v>
      </c>
      <c r="IR73" s="75">
        <v>-8.0891963172852438E-2</v>
      </c>
      <c r="IS73" s="75">
        <v>7.4912380127708067E-2</v>
      </c>
      <c r="IT73" s="75">
        <v>-1.1829024031076441E-4</v>
      </c>
      <c r="IU73" s="75">
        <v>2.3185133035034666E-2</v>
      </c>
    </row>
    <row r="74" spans="1:255" s="74" customFormat="1" ht="14.5" x14ac:dyDescent="0.35">
      <c r="A74" s="73"/>
      <c r="B74" s="78">
        <v>5.25</v>
      </c>
      <c r="C74" s="77">
        <f t="shared" si="43"/>
        <v>2.8037336423274332E-2</v>
      </c>
      <c r="D74" s="76">
        <f t="shared" si="44"/>
        <v>8.3547035016832305E-2</v>
      </c>
      <c r="E74" s="75">
        <v>-0.10757479833438188</v>
      </c>
      <c r="F74" s="75">
        <v>4.6407026945169849E-2</v>
      </c>
      <c r="G74" s="75">
        <v>0.13185305388936513</v>
      </c>
      <c r="H74" s="75">
        <v>-2.1353387363500453E-2</v>
      </c>
      <c r="I74" s="75">
        <v>2.9435756843713995E-2</v>
      </c>
      <c r="J74" s="75">
        <v>-6.0609971630725401E-2</v>
      </c>
      <c r="K74" s="75">
        <v>4.2129569294076213E-2</v>
      </c>
      <c r="L74" s="75">
        <v>-2.3953461768099482E-2</v>
      </c>
      <c r="M74" s="75">
        <v>9.3508094940872227E-2</v>
      </c>
      <c r="N74" s="75">
        <v>4.8851781293578866E-2</v>
      </c>
      <c r="O74" s="75">
        <v>7.25940603907686E-2</v>
      </c>
      <c r="P74" s="75">
        <v>2.2603560305486964E-2</v>
      </c>
      <c r="Q74" s="75">
        <v>-8.127942365546198E-2</v>
      </c>
      <c r="R74" s="75">
        <v>-8.1858925569653629E-3</v>
      </c>
      <c r="S74" s="75">
        <v>8.3579934035160619E-3</v>
      </c>
      <c r="T74" s="75">
        <v>-9.5706446164082165E-2</v>
      </c>
      <c r="U74" s="75">
        <v>-4.3944694991477767E-2</v>
      </c>
      <c r="V74" s="75">
        <v>4.0285206508350657E-2</v>
      </c>
      <c r="W74" s="75">
        <v>0.13139784903112373</v>
      </c>
      <c r="X74" s="75">
        <v>5.2900094000327608E-2</v>
      </c>
      <c r="Y74" s="75">
        <v>7.3605705054496651E-3</v>
      </c>
      <c r="Z74" s="75">
        <v>6.1303808454169578E-2</v>
      </c>
      <c r="AA74" s="75">
        <v>-8.5577067689595693E-2</v>
      </c>
      <c r="AB74" s="75">
        <v>8.6823118579817199E-2</v>
      </c>
      <c r="AC74" s="75">
        <v>-1.3523104707056588E-2</v>
      </c>
      <c r="AD74" s="75">
        <v>8.3547035016832305E-2</v>
      </c>
      <c r="AE74" s="75">
        <v>-0.10466780180171503</v>
      </c>
      <c r="AF74" s="75">
        <v>3.5187112192130665E-2</v>
      </c>
      <c r="AG74" s="75">
        <v>1.4949569575932742E-3</v>
      </c>
      <c r="AH74" s="75">
        <v>-5.8776763311166436E-2</v>
      </c>
      <c r="AI74" s="75">
        <v>-0.14032100117538893</v>
      </c>
      <c r="AJ74" s="75">
        <v>-4.9988500194346946E-2</v>
      </c>
      <c r="AK74" s="75">
        <v>5.6745147654879979E-2</v>
      </c>
      <c r="AL74" s="75">
        <v>9.6789525178280045E-2</v>
      </c>
      <c r="AM74" s="75">
        <v>-4.8848530780336324E-2</v>
      </c>
      <c r="AN74" s="75">
        <v>3.774811863945654E-2</v>
      </c>
      <c r="AO74" s="75">
        <v>-4.8797863791222279E-2</v>
      </c>
      <c r="AP74" s="75">
        <v>0.11124022681030576</v>
      </c>
      <c r="AQ74" s="75">
        <v>2.0094730762329482E-2</v>
      </c>
      <c r="AR74" s="75">
        <v>0.11437429715881539</v>
      </c>
      <c r="AS74" s="75">
        <v>4.4270606986738958E-2</v>
      </c>
      <c r="AT74" s="75">
        <v>5.4870012120674216E-2</v>
      </c>
      <c r="AU74" s="75">
        <v>-7.4725800808578602E-2</v>
      </c>
      <c r="AV74" s="75">
        <v>-4.7712625317288759E-2</v>
      </c>
      <c r="AW74" s="75">
        <v>-4.9439725767497084E-2</v>
      </c>
      <c r="AX74" s="75">
        <v>2.7597020027452901E-2</v>
      </c>
      <c r="AY74" s="75">
        <v>1.4450127352387071E-2</v>
      </c>
      <c r="AZ74" s="75">
        <v>6.4700621266074315E-2</v>
      </c>
      <c r="BA74" s="75">
        <v>-7.6386007607836953E-2</v>
      </c>
      <c r="BB74" s="75">
        <v>-8.116799872022451E-2</v>
      </c>
      <c r="BC74" s="75">
        <v>2.7463399889935319E-2</v>
      </c>
      <c r="BD74" s="75">
        <v>-0.10596464591818344</v>
      </c>
      <c r="BE74" s="75">
        <v>2.4592183152339325E-2</v>
      </c>
      <c r="BF74" s="75">
        <v>-0.11859636613693486</v>
      </c>
      <c r="BG74" s="75">
        <v>-4.0683388759198941E-2</v>
      </c>
      <c r="BH74" s="75">
        <v>-5.7184406050792363E-2</v>
      </c>
      <c r="BI74" s="75">
        <v>-3.5309461429778283E-2</v>
      </c>
      <c r="BJ74" s="75">
        <v>4.200025882422409E-3</v>
      </c>
      <c r="BK74" s="75">
        <v>-6.6079409080511881E-2</v>
      </c>
      <c r="BL74" s="75">
        <v>-5.7622237851544106E-2</v>
      </c>
      <c r="BM74" s="75">
        <v>6.9437555577097076E-2</v>
      </c>
      <c r="BN74" s="75">
        <v>-1.9452451661627457E-2</v>
      </c>
      <c r="BO74" s="75">
        <v>-6.7232318939280361E-2</v>
      </c>
      <c r="BP74" s="75">
        <v>6.4048459933062518E-2</v>
      </c>
      <c r="BQ74" s="75">
        <v>1.4613710366840033E-2</v>
      </c>
      <c r="BR74" s="75">
        <v>-3.493848670483346E-2</v>
      </c>
      <c r="BS74" s="75">
        <v>7.1590289071522983E-2</v>
      </c>
      <c r="BT74" s="75">
        <v>2.3188221599843434E-2</v>
      </c>
      <c r="BU74" s="75">
        <v>-5.9957417837674942E-2</v>
      </c>
      <c r="BV74" s="75">
        <v>-6.9442461120084398E-2</v>
      </c>
      <c r="BW74" s="75">
        <v>-4.5477292450874396E-2</v>
      </c>
      <c r="BX74" s="75">
        <v>6.6430860840499817E-2</v>
      </c>
      <c r="BY74" s="75">
        <v>2.830701800598745E-3</v>
      </c>
      <c r="BZ74" s="75">
        <v>-5.3443571357395497E-2</v>
      </c>
      <c r="CA74" s="75">
        <v>0.13414026533557732</v>
      </c>
      <c r="CB74" s="75">
        <v>7.8583998956048839E-2</v>
      </c>
      <c r="CC74" s="75">
        <v>3.0592065047017558E-2</v>
      </c>
      <c r="CD74" s="75">
        <v>-3.1840235245024551E-2</v>
      </c>
      <c r="CE74" s="75">
        <v>5.0511899099248192E-2</v>
      </c>
      <c r="CF74" s="75">
        <v>4.946533103192613E-2</v>
      </c>
      <c r="CG74" s="75">
        <v>-7.9904234696196452E-3</v>
      </c>
      <c r="CH74" s="75">
        <v>-3.3913034517431606E-2</v>
      </c>
      <c r="CI74" s="75">
        <v>3.1643682654445726E-2</v>
      </c>
      <c r="CJ74" s="75">
        <v>-7.3333889191433105E-2</v>
      </c>
      <c r="CK74" s="75">
        <v>3.0112302233427646E-2</v>
      </c>
      <c r="CL74" s="75">
        <v>-2.4516830374102128E-2</v>
      </c>
      <c r="CM74" s="75">
        <v>-2.2199104013229859E-2</v>
      </c>
      <c r="CN74" s="75">
        <v>7.2457943847591494E-2</v>
      </c>
      <c r="CO74" s="75">
        <v>-8.804468480168115E-2</v>
      </c>
      <c r="CP74" s="75">
        <v>1.4747702833694615E-2</v>
      </c>
      <c r="CQ74" s="75">
        <v>5.9856728425999484E-2</v>
      </c>
      <c r="CR74" s="75">
        <v>5.5365301950300733E-2</v>
      </c>
      <c r="CS74" s="75">
        <v>8.9103902933856949E-3</v>
      </c>
      <c r="CT74" s="75">
        <v>8.1454233481903393E-2</v>
      </c>
      <c r="CU74" s="75">
        <v>5.0239041380373717E-2</v>
      </c>
      <c r="CV74" s="75">
        <v>3.1640828881630195E-2</v>
      </c>
      <c r="CW74" s="75">
        <v>3.2400844998919043E-2</v>
      </c>
      <c r="CX74" s="75">
        <v>7.9431231113288842E-2</v>
      </c>
      <c r="CY74" s="75">
        <v>-7.8857024666712627E-2</v>
      </c>
      <c r="CZ74" s="75">
        <v>3.4638617031962887E-2</v>
      </c>
      <c r="DA74" s="75">
        <v>1.9284891392354592E-2</v>
      </c>
      <c r="DB74" s="75">
        <v>-0.10716581344247539</v>
      </c>
      <c r="DC74" s="75">
        <v>0.16700226335422064</v>
      </c>
      <c r="DD74" s="75">
        <v>-2.8612769944682426E-2</v>
      </c>
      <c r="DE74" s="75">
        <v>-1.4042576062448964E-2</v>
      </c>
      <c r="DF74" s="75">
        <v>-7.4423215716580893E-2</v>
      </c>
      <c r="DG74" s="75">
        <v>0.13919286722230287</v>
      </c>
      <c r="DH74" s="75">
        <v>7.9560483202783916E-2</v>
      </c>
      <c r="DI74" s="75">
        <v>-6.432349892928807E-2</v>
      </c>
      <c r="DJ74" s="75">
        <v>-1.1863327234159782E-3</v>
      </c>
      <c r="DK74" s="75">
        <v>2.9401045753728927E-2</v>
      </c>
      <c r="DL74" s="75">
        <v>-0.11235492427045649</v>
      </c>
      <c r="DM74" s="75">
        <v>-1.1146178228577885E-2</v>
      </c>
      <c r="DN74" s="75">
        <v>-1.6227274094499339E-2</v>
      </c>
      <c r="DO74" s="75">
        <v>8.6354689741878071E-2</v>
      </c>
      <c r="DP74" s="75">
        <v>3.4777474445796819E-3</v>
      </c>
      <c r="DQ74" s="75">
        <v>-0.10144550240924508</v>
      </c>
      <c r="DR74" s="75">
        <v>3.2345808635194984E-2</v>
      </c>
      <c r="DS74" s="75">
        <v>0.14443295782434151</v>
      </c>
      <c r="DT74" s="75">
        <v>-0.11624978067583391</v>
      </c>
      <c r="DU74" s="75">
        <v>0.12797152110857204</v>
      </c>
      <c r="DV74" s="75">
        <v>-4.0797047858968427E-2</v>
      </c>
      <c r="DW74" s="75">
        <v>-3.2680150899320248E-2</v>
      </c>
      <c r="DX74" s="75">
        <v>3.2597776454482752E-2</v>
      </c>
      <c r="DY74" s="75">
        <v>1.2644747760166469E-2</v>
      </c>
      <c r="DZ74" s="75">
        <v>-6.3927356974103677E-2</v>
      </c>
      <c r="EA74" s="75">
        <v>6.2981585124101153E-2</v>
      </c>
      <c r="EB74" s="75">
        <v>-3.5625306517219402E-2</v>
      </c>
      <c r="EC74" s="75">
        <v>8.729844873368392E-3</v>
      </c>
      <c r="ED74" s="75">
        <v>-1.7207971111301568E-2</v>
      </c>
      <c r="EE74" s="75">
        <v>2.7445234294910553E-2</v>
      </c>
      <c r="EF74" s="75">
        <v>4.513186578536188E-2</v>
      </c>
      <c r="EG74" s="75">
        <v>0.12179556573352629</v>
      </c>
      <c r="EH74" s="75">
        <v>-0.11353499171393494</v>
      </c>
      <c r="EI74" s="75">
        <v>9.4490030801897495E-2</v>
      </c>
      <c r="EJ74" s="75">
        <v>-8.5640111086498216E-3</v>
      </c>
      <c r="EK74" s="75">
        <v>-8.070799312801169E-2</v>
      </c>
      <c r="EL74" s="75">
        <v>9.900245744883987E-2</v>
      </c>
      <c r="EM74" s="75">
        <v>-4.2934318777491653E-2</v>
      </c>
      <c r="EN74" s="75">
        <v>1.689136383046691E-2</v>
      </c>
      <c r="EO74" s="75">
        <v>0.15682794759688079</v>
      </c>
      <c r="EP74" s="75">
        <v>9.5931192070670274E-2</v>
      </c>
      <c r="EQ74" s="75">
        <v>-2.2666272555691508E-2</v>
      </c>
      <c r="ER74" s="75">
        <v>-6.6456784325232277E-2</v>
      </c>
      <c r="ES74" s="75">
        <v>8.2706187655920665E-2</v>
      </c>
      <c r="ET74" s="75">
        <v>-4.1635762539264543E-2</v>
      </c>
      <c r="EU74" s="75">
        <v>2.2683490759024788E-2</v>
      </c>
      <c r="EV74" s="75">
        <v>5.3519533028457356E-2</v>
      </c>
      <c r="EW74" s="75">
        <v>-0.16218438517411193</v>
      </c>
      <c r="EX74" s="75">
        <v>6.0559658048377707E-2</v>
      </c>
      <c r="EY74" s="75">
        <v>-4.416586837658204E-2</v>
      </c>
      <c r="EZ74" s="75">
        <v>-2.7328310577968806E-2</v>
      </c>
      <c r="FA74" s="75">
        <v>1.2590174005443933E-2</v>
      </c>
      <c r="FB74" s="75">
        <v>-6.5068854596624093E-3</v>
      </c>
      <c r="FC74" s="75">
        <v>-6.7980400739911656E-2</v>
      </c>
      <c r="FD74" s="75">
        <v>7.1196722368020771E-2</v>
      </c>
      <c r="FE74" s="75">
        <v>0.14107410588375766</v>
      </c>
      <c r="FF74" s="75">
        <v>2.2467155194254934E-2</v>
      </c>
      <c r="FG74" s="75">
        <v>-0.11346265100218955</v>
      </c>
      <c r="FH74" s="75">
        <v>1.7818720298271806E-2</v>
      </c>
      <c r="FI74" s="75">
        <v>8.4117682381378289E-3</v>
      </c>
      <c r="FJ74" s="75">
        <v>7.0380998204869039E-2</v>
      </c>
      <c r="FK74" s="75">
        <v>1.6561737459226844E-2</v>
      </c>
      <c r="FL74" s="75">
        <v>-3.6542678410023732E-2</v>
      </c>
      <c r="FM74" s="75">
        <v>-7.1847656698520196E-2</v>
      </c>
      <c r="FN74" s="75">
        <v>-8.8993157759516966E-2</v>
      </c>
      <c r="FO74" s="75">
        <v>-4.0491569555273554E-2</v>
      </c>
      <c r="FP74" s="75">
        <v>-7.0422716986389466E-2</v>
      </c>
      <c r="FQ74" s="75">
        <v>-2.3103477044287918E-2</v>
      </c>
      <c r="FR74" s="75">
        <v>-6.1018481673163899E-2</v>
      </c>
      <c r="FS74" s="75">
        <v>9.3960114095976432E-3</v>
      </c>
      <c r="FT74" s="75">
        <v>5.6317275204479461E-2</v>
      </c>
      <c r="FU74" s="75">
        <v>0.13144483012613956</v>
      </c>
      <c r="FV74" s="75">
        <v>0.10148698691887248</v>
      </c>
      <c r="FW74" s="75">
        <v>-1.9939417811005833E-2</v>
      </c>
      <c r="FX74" s="75">
        <v>-1.6841344251480705E-2</v>
      </c>
      <c r="FY74" s="75">
        <v>1.8241837547691125E-2</v>
      </c>
      <c r="FZ74" s="75">
        <v>-2.040501797829436E-2</v>
      </c>
      <c r="GA74" s="75">
        <v>-1.5833880932293681E-2</v>
      </c>
      <c r="GB74" s="75">
        <v>0.12675122730418584</v>
      </c>
      <c r="GC74" s="75">
        <v>2.8405356688781108E-2</v>
      </c>
      <c r="GD74" s="75">
        <v>-0.15425323586071421</v>
      </c>
      <c r="GE74" s="75">
        <v>4.4088314685397839E-2</v>
      </c>
      <c r="GF74" s="75">
        <v>-0.10424954436781927</v>
      </c>
      <c r="GG74" s="75">
        <v>7.7164240896303193E-2</v>
      </c>
      <c r="GH74" s="75">
        <v>4.3645249219709081E-2</v>
      </c>
      <c r="GI74" s="75">
        <v>-5.318750632401939E-2</v>
      </c>
      <c r="GJ74" s="75">
        <v>-1.0952777711833561E-2</v>
      </c>
      <c r="GK74" s="75">
        <v>9.1653831617474202E-2</v>
      </c>
      <c r="GL74" s="75">
        <v>-1.6999281965647484E-2</v>
      </c>
      <c r="GM74" s="75">
        <v>-4.427970822723315E-2</v>
      </c>
      <c r="GN74" s="75">
        <v>-1.4593360681886935E-2</v>
      </c>
      <c r="GO74" s="75">
        <v>-4.9661345307954574E-2</v>
      </c>
      <c r="GP74" s="75">
        <v>7.2277040719852859E-2</v>
      </c>
      <c r="GQ74" s="75">
        <v>-2.2570226507091951E-2</v>
      </c>
      <c r="GR74" s="75">
        <v>-0.11464673972520453</v>
      </c>
      <c r="GS74" s="75">
        <v>1.8857904486921928E-2</v>
      </c>
      <c r="GT74" s="75">
        <v>1.7378001683130195E-2</v>
      </c>
      <c r="GU74" s="75">
        <v>-2.3620000578702394E-2</v>
      </c>
      <c r="GV74" s="75">
        <v>5.7611311456792463E-2</v>
      </c>
      <c r="GW74" s="75">
        <v>4.1889232740208726E-3</v>
      </c>
      <c r="GX74" s="75">
        <v>-5.2426157514103844E-2</v>
      </c>
      <c r="GY74" s="75">
        <v>-9.5168596404893724E-3</v>
      </c>
      <c r="GZ74" s="75">
        <v>7.2225803509942149E-2</v>
      </c>
      <c r="HA74" s="75">
        <v>-3.4003390801554179E-2</v>
      </c>
      <c r="HB74" s="75">
        <v>-6.6953324634537181E-2</v>
      </c>
      <c r="HC74" s="75">
        <v>-2.9481170096810144E-2</v>
      </c>
      <c r="HD74" s="75">
        <v>-5.4615910645232191E-2</v>
      </c>
      <c r="HE74" s="75">
        <v>2.96845329360515E-2</v>
      </c>
      <c r="HF74" s="75">
        <v>4.0147101693039006E-2</v>
      </c>
      <c r="HG74" s="75">
        <v>7.0545585369203745E-2</v>
      </c>
      <c r="HH74" s="75">
        <v>1.6394298646985384E-2</v>
      </c>
      <c r="HI74" s="75">
        <v>-3.3673025191363837E-2</v>
      </c>
      <c r="HJ74" s="75">
        <v>-1.5442192556320899E-2</v>
      </c>
      <c r="HK74" s="75">
        <v>-6.5176178078393709E-2</v>
      </c>
      <c r="HL74" s="75">
        <v>4.6944359197992336E-4</v>
      </c>
      <c r="HM74" s="75">
        <v>-0.10964131108550262</v>
      </c>
      <c r="HN74" s="75">
        <v>1.6880764174032975E-2</v>
      </c>
      <c r="HO74" s="75">
        <v>-5.7917576992294384E-2</v>
      </c>
      <c r="HP74" s="75">
        <v>6.2106415465426279E-2</v>
      </c>
      <c r="HQ74" s="75">
        <v>-8.0976270861577576E-2</v>
      </c>
      <c r="HR74" s="75">
        <v>-8.5590876370994023E-2</v>
      </c>
      <c r="HS74" s="75">
        <v>-2.7556831679235283E-2</v>
      </c>
      <c r="HT74" s="75">
        <v>-4.7253752135666405E-3</v>
      </c>
      <c r="HU74" s="75">
        <v>-2.9460562335186097E-2</v>
      </c>
      <c r="HV74" s="75">
        <v>3.6076197452744596E-3</v>
      </c>
      <c r="HW74" s="75">
        <v>-0.14194836972623465</v>
      </c>
      <c r="HX74" s="75">
        <v>-5.1717420452921742E-2</v>
      </c>
      <c r="HY74" s="75">
        <v>-0.1111941545296945</v>
      </c>
      <c r="HZ74" s="75">
        <v>0.11448827688701058</v>
      </c>
      <c r="IA74" s="75">
        <v>-1.6714186582869495E-2</v>
      </c>
      <c r="IB74" s="75">
        <v>-3.5753261212389115E-2</v>
      </c>
      <c r="IC74" s="75">
        <v>8.0267640522798112E-2</v>
      </c>
      <c r="ID74" s="75">
        <v>0.20007544653667575</v>
      </c>
      <c r="IE74" s="75">
        <v>8.520073303828779E-2</v>
      </c>
      <c r="IF74" s="75">
        <v>2.2503341655543074E-2</v>
      </c>
      <c r="IG74" s="75">
        <v>-5.5280637168035607E-2</v>
      </c>
      <c r="IH74" s="75">
        <v>4.6947374868812619E-3</v>
      </c>
      <c r="II74" s="75">
        <v>6.0250678810344072E-3</v>
      </c>
      <c r="IJ74" s="75">
        <v>-8.9339095309215133E-2</v>
      </c>
      <c r="IK74" s="75">
        <v>3.1683705268618856E-2</v>
      </c>
      <c r="IL74" s="75">
        <v>5.1493376585911577E-2</v>
      </c>
      <c r="IM74" s="75">
        <v>1.1455241576913355E-2</v>
      </c>
      <c r="IN74" s="75">
        <v>-3.2771377109605565E-2</v>
      </c>
      <c r="IO74" s="75">
        <v>-2.7491182639960615E-2</v>
      </c>
      <c r="IP74" s="75">
        <v>1.5260073559333454E-2</v>
      </c>
      <c r="IQ74" s="75">
        <v>-5.8219900996820506E-2</v>
      </c>
      <c r="IR74" s="75">
        <v>-8.783931214244789E-2</v>
      </c>
      <c r="IS74" s="75">
        <v>5.8243518629251562E-2</v>
      </c>
      <c r="IT74" s="75">
        <v>-1.519870891748859E-2</v>
      </c>
      <c r="IU74" s="75">
        <v>-1.0216987575053738E-2</v>
      </c>
    </row>
    <row r="75" spans="1:255" s="74" customFormat="1" ht="14.5" x14ac:dyDescent="0.35">
      <c r="A75" s="73"/>
      <c r="B75" s="78">
        <v>5.5</v>
      </c>
      <c r="C75" s="77">
        <f t="shared" si="43"/>
        <v>2.5508660198504587E-2</v>
      </c>
      <c r="D75" s="76">
        <f t="shared" si="44"/>
        <v>7.1854900276193123E-2</v>
      </c>
      <c r="E75" s="75">
        <v>-8.9629628957222957E-2</v>
      </c>
      <c r="F75" s="75">
        <v>5.1213870392429584E-2</v>
      </c>
      <c r="G75" s="75">
        <v>0.13050039503119162</v>
      </c>
      <c r="H75" s="75">
        <v>-1.4789849999089888E-2</v>
      </c>
      <c r="I75" s="75">
        <v>3.3774255653626462E-2</v>
      </c>
      <c r="J75" s="75">
        <v>-4.7407133390555634E-2</v>
      </c>
      <c r="K75" s="75">
        <v>3.7981815283772896E-2</v>
      </c>
      <c r="L75" s="75">
        <v>4.9343283909930591E-5</v>
      </c>
      <c r="M75" s="75">
        <v>8.6151054681447015E-2</v>
      </c>
      <c r="N75" s="75">
        <v>4.9497702640048602E-2</v>
      </c>
      <c r="O75" s="75">
        <v>7.016476154776774E-2</v>
      </c>
      <c r="P75" s="75">
        <v>1.1027679439619548E-2</v>
      </c>
      <c r="Q75" s="75">
        <v>-6.389911824299932E-2</v>
      </c>
      <c r="R75" s="75">
        <v>-3.1847568012367822E-3</v>
      </c>
      <c r="S75" s="75">
        <v>3.5508186103914458E-2</v>
      </c>
      <c r="T75" s="75">
        <v>-8.1852369683049653E-2</v>
      </c>
      <c r="U75" s="75">
        <v>-5.1606125313862217E-2</v>
      </c>
      <c r="V75" s="75">
        <v>2.2703361984787895E-2</v>
      </c>
      <c r="W75" s="75">
        <v>0.12884931497618987</v>
      </c>
      <c r="X75" s="75">
        <v>8.9743918322608168E-2</v>
      </c>
      <c r="Y75" s="75">
        <v>1.6437553808735239E-2</v>
      </c>
      <c r="Z75" s="75">
        <v>5.5910954247272687E-2</v>
      </c>
      <c r="AA75" s="75">
        <v>-7.2299731449830484E-2</v>
      </c>
      <c r="AB75" s="75">
        <v>7.6581746844111731E-2</v>
      </c>
      <c r="AC75" s="75">
        <v>-3.1074342505071767E-2</v>
      </c>
      <c r="AD75" s="75">
        <v>7.5392120951791708E-2</v>
      </c>
      <c r="AE75" s="75">
        <v>-8.9801809601514238E-2</v>
      </c>
      <c r="AF75" s="75">
        <v>4.0376273628369708E-3</v>
      </c>
      <c r="AG75" s="75">
        <v>2.8029784050065731E-2</v>
      </c>
      <c r="AH75" s="75">
        <v>-3.6113177274667979E-2</v>
      </c>
      <c r="AI75" s="75">
        <v>-0.11847681068928551</v>
      </c>
      <c r="AJ75" s="75">
        <v>-2.8282892299856616E-2</v>
      </c>
      <c r="AK75" s="75">
        <v>6.5477207421449746E-2</v>
      </c>
      <c r="AL75" s="75">
        <v>9.0751744021462744E-2</v>
      </c>
      <c r="AM75" s="75">
        <v>-1.9829697853670836E-2</v>
      </c>
      <c r="AN75" s="75">
        <v>1.8989934285953636E-2</v>
      </c>
      <c r="AO75" s="75">
        <v>-3.9457895804530824E-2</v>
      </c>
      <c r="AP75" s="75">
        <v>8.6074487988338638E-2</v>
      </c>
      <c r="AQ75" s="75">
        <v>2.1141588508832132E-2</v>
      </c>
      <c r="AR75" s="75">
        <v>9.1396876594870169E-2</v>
      </c>
      <c r="AS75" s="75">
        <v>3.2927149757143059E-2</v>
      </c>
      <c r="AT75" s="75">
        <v>6.6934956060356821E-2</v>
      </c>
      <c r="AU75" s="75">
        <v>-5.8053912091889953E-2</v>
      </c>
      <c r="AV75" s="75">
        <v>-5.8865636135884108E-2</v>
      </c>
      <c r="AW75" s="75">
        <v>-6.5962746516149334E-2</v>
      </c>
      <c r="AX75" s="75">
        <v>3.2790549727088031E-2</v>
      </c>
      <c r="AY75" s="75">
        <v>2.1810585134788563E-3</v>
      </c>
      <c r="AZ75" s="75">
        <v>4.783217277351437E-2</v>
      </c>
      <c r="BA75" s="75">
        <v>-7.6439075977788595E-2</v>
      </c>
      <c r="BB75" s="75">
        <v>-8.0444217683517172E-2</v>
      </c>
      <c r="BC75" s="75">
        <v>1.1319921528509913E-2</v>
      </c>
      <c r="BD75" s="75">
        <v>-9.3417393099561846E-2</v>
      </c>
      <c r="BE75" s="75">
        <v>4.8980138127284412E-2</v>
      </c>
      <c r="BF75" s="75">
        <v>-0.13915535088060865</v>
      </c>
      <c r="BG75" s="75">
        <v>-5.3143277410559658E-2</v>
      </c>
      <c r="BH75" s="75">
        <v>-4.558596402899881E-2</v>
      </c>
      <c r="BI75" s="75">
        <v>-6.7332195090005736E-2</v>
      </c>
      <c r="BJ75" s="75">
        <v>4.5082178961050878E-2</v>
      </c>
      <c r="BK75" s="75">
        <v>-9.0200493951697797E-2</v>
      </c>
      <c r="BL75" s="75">
        <v>-3.2986904884363705E-2</v>
      </c>
      <c r="BM75" s="75">
        <v>6.0236317560928176E-2</v>
      </c>
      <c r="BN75" s="75">
        <v>-8.2556379818766734E-3</v>
      </c>
      <c r="BO75" s="75">
        <v>-3.9060215384845914E-2</v>
      </c>
      <c r="BP75" s="75">
        <v>5.9629852674811995E-2</v>
      </c>
      <c r="BQ75" s="75">
        <v>-2.1444816379785625E-2</v>
      </c>
      <c r="BR75" s="75">
        <v>-5.8628878796102374E-2</v>
      </c>
      <c r="BS75" s="75">
        <v>6.8329812461436656E-2</v>
      </c>
      <c r="BT75" s="75">
        <v>2.23853439135695E-2</v>
      </c>
      <c r="BU75" s="75">
        <v>-5.6438332426012677E-2</v>
      </c>
      <c r="BV75" s="75">
        <v>-7.3999649722800515E-2</v>
      </c>
      <c r="BW75" s="75">
        <v>-3.7278285504711434E-2</v>
      </c>
      <c r="BX75" s="75">
        <v>4.5479675574663037E-2</v>
      </c>
      <c r="BY75" s="75">
        <v>-9.60112593569179E-3</v>
      </c>
      <c r="BZ75" s="75">
        <v>-3.3213823031544021E-2</v>
      </c>
      <c r="CA75" s="75">
        <v>0.1107191031122183</v>
      </c>
      <c r="CB75" s="75">
        <v>4.3386915719049735E-2</v>
      </c>
      <c r="CC75" s="75">
        <v>1.6879203823058186E-2</v>
      </c>
      <c r="CD75" s="75">
        <v>-2.369703862122205E-2</v>
      </c>
      <c r="CE75" s="75">
        <v>3.9037065336431143E-2</v>
      </c>
      <c r="CF75" s="75">
        <v>5.9083002751860209E-2</v>
      </c>
      <c r="CG75" s="75">
        <v>2.3746489675073645E-2</v>
      </c>
      <c r="CH75" s="75">
        <v>-3.8990579742980591E-2</v>
      </c>
      <c r="CI75" s="75">
        <v>3.0146712787221724E-2</v>
      </c>
      <c r="CJ75" s="75">
        <v>-7.4790511149230687E-2</v>
      </c>
      <c r="CK75" s="75">
        <v>7.2774428899101684E-3</v>
      </c>
      <c r="CL75" s="75">
        <v>2.3945580259396443E-2</v>
      </c>
      <c r="CM75" s="75">
        <v>-2.2826491373274582E-2</v>
      </c>
      <c r="CN75" s="75">
        <v>6.3455190247144133E-2</v>
      </c>
      <c r="CO75" s="75">
        <v>-8.672508489851824E-2</v>
      </c>
      <c r="CP75" s="75">
        <v>1.7487891664656752E-3</v>
      </c>
      <c r="CQ75" s="75">
        <v>6.2554872923188953E-2</v>
      </c>
      <c r="CR75" s="75">
        <v>4.2320128729899015E-2</v>
      </c>
      <c r="CS75" s="75">
        <v>2.6811572672227335E-2</v>
      </c>
      <c r="CT75" s="75">
        <v>6.2046596776087093E-2</v>
      </c>
      <c r="CU75" s="75">
        <v>5.4698254228220944E-2</v>
      </c>
      <c r="CV75" s="75">
        <v>3.6996003796675586E-2</v>
      </c>
      <c r="CW75" s="75">
        <v>2.3422305379067559E-2</v>
      </c>
      <c r="CX75" s="75">
        <v>3.3130527750669603E-2</v>
      </c>
      <c r="CY75" s="75">
        <v>-8.5866353831217324E-2</v>
      </c>
      <c r="CZ75" s="75">
        <v>6.4997508421648642E-2</v>
      </c>
      <c r="DA75" s="75">
        <v>8.4636065912154779E-3</v>
      </c>
      <c r="DB75" s="75">
        <v>-7.1404162620670314E-2</v>
      </c>
      <c r="DC75" s="75">
        <v>1.6048438745878413E-3</v>
      </c>
      <c r="DD75" s="75">
        <v>-8.443890073466942E-2</v>
      </c>
      <c r="DE75" s="75">
        <v>-5.1292742273179037E-2</v>
      </c>
      <c r="DF75" s="75">
        <v>5.5995506006789597E-3</v>
      </c>
      <c r="DG75" s="75">
        <v>0.15041689387914875</v>
      </c>
      <c r="DH75" s="75">
        <v>5.9837722441296565E-2</v>
      </c>
      <c r="DI75" s="75">
        <v>0.1393216063663445</v>
      </c>
      <c r="DJ75" s="75">
        <v>3.6938718404658233E-3</v>
      </c>
      <c r="DK75" s="75">
        <v>-0.10483600040779123</v>
      </c>
      <c r="DL75" s="75">
        <v>-0.12543594967153862</v>
      </c>
      <c r="DM75" s="75">
        <v>4.0818633455792508E-3</v>
      </c>
      <c r="DN75" s="75">
        <v>0.13731784056457172</v>
      </c>
      <c r="DO75" s="75">
        <v>-8.9928104525321961E-3</v>
      </c>
      <c r="DP75" s="75">
        <v>-4.1184452468535304E-2</v>
      </c>
      <c r="DQ75" s="75">
        <v>-7.3475045751389051E-2</v>
      </c>
      <c r="DR75" s="75">
        <v>2.2102597302811389E-2</v>
      </c>
      <c r="DS75" s="75">
        <v>1.4820412234250679E-2</v>
      </c>
      <c r="DT75" s="75">
        <v>4.2602673294155236E-2</v>
      </c>
      <c r="DU75" s="75">
        <v>-3.1326571061609354E-2</v>
      </c>
      <c r="DV75" s="75">
        <v>-5.4410196002715627E-2</v>
      </c>
      <c r="DW75" s="75">
        <v>8.9447683873517758E-2</v>
      </c>
      <c r="DX75" s="75">
        <v>2.0317864320108486E-2</v>
      </c>
      <c r="DY75" s="75">
        <v>7.340768505986528E-3</v>
      </c>
      <c r="DZ75" s="75">
        <v>-6.921790892259494E-2</v>
      </c>
      <c r="EA75" s="75">
        <v>1.8308537992424434E-2</v>
      </c>
      <c r="EB75" s="75">
        <v>-2.4578202133197419E-2</v>
      </c>
      <c r="EC75" s="75">
        <v>1.4461157480145759E-2</v>
      </c>
      <c r="ED75" s="75">
        <v>-3.7137428024000774E-2</v>
      </c>
      <c r="EE75" s="75">
        <v>-5.9629992155444372E-2</v>
      </c>
      <c r="EF75" s="75">
        <v>0.10429618983275959</v>
      </c>
      <c r="EG75" s="75">
        <v>6.1879930654343662E-2</v>
      </c>
      <c r="EH75" s="75">
        <v>-3.1649132042118056E-2</v>
      </c>
      <c r="EI75" s="75">
        <v>8.6311820129271605E-2</v>
      </c>
      <c r="EJ75" s="75">
        <v>1.52464727870536E-2</v>
      </c>
      <c r="EK75" s="75">
        <v>-7.2389105770235357E-2</v>
      </c>
      <c r="EL75" s="75">
        <v>0.11188691479831547</v>
      </c>
      <c r="EM75" s="75">
        <v>-4.9489679017679145E-2</v>
      </c>
      <c r="EN75" s="75">
        <v>-3.397244608066699E-2</v>
      </c>
      <c r="EO75" s="75">
        <v>-1.1829558543112434E-2</v>
      </c>
      <c r="EP75" s="75">
        <v>-3.5774237413109061E-2</v>
      </c>
      <c r="EQ75" s="75">
        <v>-4.0788867693731357E-2</v>
      </c>
      <c r="ER75" s="75">
        <v>-4.077519249116332E-2</v>
      </c>
      <c r="ES75" s="75">
        <v>9.0015530082882378E-2</v>
      </c>
      <c r="ET75" s="75">
        <v>-4.2984915732134699E-2</v>
      </c>
      <c r="EU75" s="75">
        <v>-8.3732575134596421E-2</v>
      </c>
      <c r="EV75" s="75">
        <v>-9.7146751140150089E-2</v>
      </c>
      <c r="EW75" s="75">
        <v>0.27055896289601222</v>
      </c>
      <c r="EX75" s="75">
        <v>9.5472883017343468E-3</v>
      </c>
      <c r="EY75" s="75">
        <v>-6.1252825320056464E-2</v>
      </c>
      <c r="EZ75" s="75">
        <v>6.443506038799296E-2</v>
      </c>
      <c r="FA75" s="75">
        <v>9.7914497640785497E-2</v>
      </c>
      <c r="FB75" s="75">
        <v>-1.2624491688708717E-2</v>
      </c>
      <c r="FC75" s="75">
        <v>5.1827000347114405E-3</v>
      </c>
      <c r="FD75" s="75">
        <v>0.12678498214029049</v>
      </c>
      <c r="FE75" s="75">
        <v>3.6751955033855588E-2</v>
      </c>
      <c r="FF75" s="75">
        <v>8.6448292940316196E-2</v>
      </c>
      <c r="FG75" s="75">
        <v>8.5264826019818107E-2</v>
      </c>
      <c r="FH75" s="75">
        <v>-9.8653939755583148E-2</v>
      </c>
      <c r="FI75" s="75">
        <v>3.7716956658351647E-2</v>
      </c>
      <c r="FJ75" s="75">
        <v>-1.7104593216737962E-4</v>
      </c>
      <c r="FK75" s="75">
        <v>-7.6732604903103352E-3</v>
      </c>
      <c r="FL75" s="75">
        <v>-3.5230940432155522E-2</v>
      </c>
      <c r="FM75" s="75">
        <v>-1.0589477099005734E-2</v>
      </c>
      <c r="FN75" s="75">
        <v>-0.10417338289676736</v>
      </c>
      <c r="FO75" s="75">
        <v>-3.5093317555831671E-2</v>
      </c>
      <c r="FP75" s="75">
        <v>-4.1397171400543609E-2</v>
      </c>
      <c r="FQ75" s="75">
        <v>-7.3721137138697657E-2</v>
      </c>
      <c r="FR75" s="75">
        <v>-4.1109985225700196E-2</v>
      </c>
      <c r="FS75" s="75">
        <v>-9.507132156314213E-4</v>
      </c>
      <c r="FT75" s="75">
        <v>3.8311742411942795E-2</v>
      </c>
      <c r="FU75" s="75">
        <v>0.12661173487912508</v>
      </c>
      <c r="FV75" s="75">
        <v>5.3867543126926709E-3</v>
      </c>
      <c r="FW75" s="75">
        <v>-2.1608207792710776E-2</v>
      </c>
      <c r="FX75" s="75">
        <v>5.3802781370586888E-2</v>
      </c>
      <c r="FY75" s="75">
        <v>2.0058360884797954E-2</v>
      </c>
      <c r="FZ75" s="75">
        <v>2.5284798617451171E-2</v>
      </c>
      <c r="GA75" s="75">
        <v>-8.6444219140522582E-2</v>
      </c>
      <c r="GB75" s="75">
        <v>-2.5864197378122622E-4</v>
      </c>
      <c r="GC75" s="75">
        <v>7.0743574913731955E-3</v>
      </c>
      <c r="GD75" s="75">
        <v>-0.14843112836712435</v>
      </c>
      <c r="GE75" s="75">
        <v>3.8490240384134983E-2</v>
      </c>
      <c r="GF75" s="75">
        <v>2.4459854352007149E-2</v>
      </c>
      <c r="GG75" s="75">
        <v>5.6086977651335634E-2</v>
      </c>
      <c r="GH75" s="75">
        <v>9.2285301288956623E-2</v>
      </c>
      <c r="GI75" s="75">
        <v>-1.2874455687434672E-3</v>
      </c>
      <c r="GJ75" s="75">
        <v>-1.5393385172107032E-2</v>
      </c>
      <c r="GK75" s="75">
        <v>-1.8645189712083288E-2</v>
      </c>
      <c r="GL75" s="75">
        <v>6.4927897510802662E-2</v>
      </c>
      <c r="GM75" s="75">
        <v>2.7493567897782956E-2</v>
      </c>
      <c r="GN75" s="75">
        <v>7.1854900276193123E-2</v>
      </c>
      <c r="GO75" s="75">
        <v>-4.1958856877339218E-2</v>
      </c>
      <c r="GP75" s="75">
        <v>-3.3422487427104242E-2</v>
      </c>
      <c r="GQ75" s="75">
        <v>-5.3070941722328402E-2</v>
      </c>
      <c r="GR75" s="75">
        <v>-5.4821465516719708E-2</v>
      </c>
      <c r="GS75" s="75">
        <v>5.0712313376849671E-2</v>
      </c>
      <c r="GT75" s="75">
        <v>-5.66197987950951E-2</v>
      </c>
      <c r="GU75" s="75">
        <v>-8.2259567736501782E-3</v>
      </c>
      <c r="GV75" s="75">
        <v>2.8443450729152581E-2</v>
      </c>
      <c r="GW75" s="75">
        <v>-7.422312131938319E-2</v>
      </c>
      <c r="GX75" s="75">
        <v>4.0421609629198052E-2</v>
      </c>
      <c r="GY75" s="75">
        <v>3.9484821001450093E-2</v>
      </c>
      <c r="GZ75" s="75">
        <v>1.0055237165404185E-3</v>
      </c>
      <c r="HA75" s="75">
        <v>-3.930031079995705E-2</v>
      </c>
      <c r="HB75" s="75">
        <v>4.6925718136713479E-2</v>
      </c>
      <c r="HC75" s="75">
        <v>4.960151907105334E-2</v>
      </c>
      <c r="HD75" s="75">
        <v>-5.6368085431504761E-2</v>
      </c>
      <c r="HE75" s="75">
        <v>3.0506336312645099E-2</v>
      </c>
      <c r="HF75" s="75">
        <v>3.6965837381600308E-2</v>
      </c>
      <c r="HG75" s="75">
        <v>3.84635205130891E-2</v>
      </c>
      <c r="HH75" s="75">
        <v>-1.1145736273501794E-3</v>
      </c>
      <c r="HI75" s="75">
        <v>-5.6317319109672331E-2</v>
      </c>
      <c r="HJ75" s="75">
        <v>-1.079871249097003E-3</v>
      </c>
      <c r="HK75" s="75">
        <v>-1.745071687880001E-2</v>
      </c>
      <c r="HL75" s="75">
        <v>-2.0446291800584382E-2</v>
      </c>
      <c r="HM75" s="75">
        <v>-9.3555902727633589E-2</v>
      </c>
      <c r="HN75" s="75">
        <v>2.4417016799738844E-2</v>
      </c>
      <c r="HO75" s="75">
        <v>-5.674613175690113E-2</v>
      </c>
      <c r="HP75" s="75">
        <v>4.3929508287221558E-2</v>
      </c>
      <c r="HQ75" s="75">
        <v>-9.0574357114372034E-2</v>
      </c>
      <c r="HR75" s="75">
        <v>-5.7471710520623748E-2</v>
      </c>
      <c r="HS75" s="75">
        <v>-2.7977942381070958E-2</v>
      </c>
      <c r="HT75" s="75">
        <v>-7.2480805225892453E-2</v>
      </c>
      <c r="HU75" s="75">
        <v>4.4035849362774604E-3</v>
      </c>
      <c r="HV75" s="75">
        <v>-4.9296457595608606E-2</v>
      </c>
      <c r="HW75" s="75">
        <v>-1.9617582609180895E-2</v>
      </c>
      <c r="HX75" s="75">
        <v>8.4635324061390349E-3</v>
      </c>
      <c r="HY75" s="75">
        <v>-9.7996072619493502E-2</v>
      </c>
      <c r="HZ75" s="75">
        <v>-4.5863496947190552E-2</v>
      </c>
      <c r="IA75" s="75">
        <v>-3.6403994511990945E-3</v>
      </c>
      <c r="IB75" s="75">
        <v>-2.4705459686930525E-2</v>
      </c>
      <c r="IC75" s="75">
        <v>5.5447706334375124E-2</v>
      </c>
      <c r="ID75" s="75">
        <v>-2.7074729933636799E-2</v>
      </c>
      <c r="IE75" s="75">
        <v>5.9479908574714468E-2</v>
      </c>
      <c r="IF75" s="75">
        <v>1.11911552798582E-2</v>
      </c>
      <c r="IG75" s="75">
        <v>-6.328558997311548E-2</v>
      </c>
      <c r="IH75" s="75">
        <v>6.0787291313110559E-2</v>
      </c>
      <c r="II75" s="75">
        <v>1.8590000475843887E-2</v>
      </c>
      <c r="IJ75" s="75">
        <v>-6.7652026566526136E-2</v>
      </c>
      <c r="IK75" s="75">
        <v>5.3023687091687033E-2</v>
      </c>
      <c r="IL75" s="75">
        <v>3.7769735370131174E-3</v>
      </c>
      <c r="IM75" s="75">
        <v>-7.7011028014070587E-2</v>
      </c>
      <c r="IN75" s="75">
        <v>4.5176190046117698E-2</v>
      </c>
      <c r="IO75" s="75">
        <v>-2.3164167058026375E-2</v>
      </c>
      <c r="IP75" s="75">
        <v>8.6022042129931253E-3</v>
      </c>
      <c r="IQ75" s="75">
        <v>0.12143106920563651</v>
      </c>
      <c r="IR75" s="75">
        <v>-6.2404616723260226E-2</v>
      </c>
      <c r="IS75" s="75">
        <v>6.5903747575775051E-2</v>
      </c>
      <c r="IT75" s="75">
        <v>-8.07109010724813E-3</v>
      </c>
      <c r="IU75" s="75">
        <v>-2.7941080490856945E-2</v>
      </c>
    </row>
    <row r="76" spans="1:255" s="74" customFormat="1" ht="14.5" x14ac:dyDescent="0.35">
      <c r="A76" s="73"/>
      <c r="B76" s="78">
        <v>5.75</v>
      </c>
      <c r="C76" s="77">
        <f t="shared" si="43"/>
        <v>2.6186885743984995E-2</v>
      </c>
      <c r="D76" s="76">
        <f t="shared" si="44"/>
        <v>7.6786671835888248E-2</v>
      </c>
      <c r="E76" s="75">
        <v>-6.3683331754632144E-2</v>
      </c>
      <c r="F76" s="75">
        <v>7.1915124949451126E-2</v>
      </c>
      <c r="G76" s="75">
        <v>0.10004401202625143</v>
      </c>
      <c r="H76" s="75">
        <v>-1.5545225873527913E-2</v>
      </c>
      <c r="I76" s="75">
        <v>1.6668494974316772E-2</v>
      </c>
      <c r="J76" s="75">
        <v>-2.458066923326685E-2</v>
      </c>
      <c r="K76" s="75">
        <v>1.5240118182002077E-2</v>
      </c>
      <c r="L76" s="75">
        <v>1.7897651904160233E-2</v>
      </c>
      <c r="M76" s="75">
        <v>8.2255912749566701E-2</v>
      </c>
      <c r="N76" s="75">
        <v>7.8402778274454882E-2</v>
      </c>
      <c r="O76" s="75">
        <v>4.5862477059089024E-2</v>
      </c>
      <c r="P76" s="75">
        <v>5.7017981543842911E-3</v>
      </c>
      <c r="Q76" s="75">
        <v>-4.3272281614660124E-2</v>
      </c>
      <c r="R76" s="75">
        <v>5.9322706915060364E-3</v>
      </c>
      <c r="S76" s="75">
        <v>3.3939841410503824E-2</v>
      </c>
      <c r="T76" s="75">
        <v>-6.9961362815607886E-2</v>
      </c>
      <c r="U76" s="75">
        <v>-4.4715060846491017E-2</v>
      </c>
      <c r="V76" s="75">
        <v>1.2638880458841623E-2</v>
      </c>
      <c r="W76" s="75">
        <v>0.1273412847718294</v>
      </c>
      <c r="X76" s="75">
        <v>6.8518444211199347E-2</v>
      </c>
      <c r="Y76" s="75">
        <v>3.1307805907174663E-2</v>
      </c>
      <c r="Z76" s="75">
        <v>3.6977179222816264E-2</v>
      </c>
      <c r="AA76" s="75">
        <v>-8.3335974561180193E-2</v>
      </c>
      <c r="AB76" s="75">
        <v>8.2173051507916428E-2</v>
      </c>
      <c r="AC76" s="75">
        <v>-3.1148304272972771E-2</v>
      </c>
      <c r="AD76" s="75">
        <v>7.4347024995645938E-2</v>
      </c>
      <c r="AE76" s="75">
        <v>-0.11170872134317422</v>
      </c>
      <c r="AF76" s="75">
        <v>-1.0973795066443887E-2</v>
      </c>
      <c r="AG76" s="75">
        <v>4.9067173264444874E-2</v>
      </c>
      <c r="AH76" s="75">
        <v>-3.9663940322309743E-2</v>
      </c>
      <c r="AI76" s="75">
        <v>-0.12350499183311373</v>
      </c>
      <c r="AJ76" s="75">
        <v>-5.0681106450929297E-2</v>
      </c>
      <c r="AK76" s="75">
        <v>4.2808809543454951E-2</v>
      </c>
      <c r="AL76" s="75">
        <v>0.12374061283045312</v>
      </c>
      <c r="AM76" s="75">
        <v>-1.2005990504010189E-2</v>
      </c>
      <c r="AN76" s="75">
        <v>1.5961197880718342E-2</v>
      </c>
      <c r="AO76" s="75">
        <v>-2.6201546725993619E-2</v>
      </c>
      <c r="AP76" s="75">
        <v>0.10375441615493414</v>
      </c>
      <c r="AQ76" s="75">
        <v>2.4160036920974098E-2</v>
      </c>
      <c r="AR76" s="75">
        <v>8.3366174031697909E-2</v>
      </c>
      <c r="AS76" s="75">
        <v>3.4605265339560765E-2</v>
      </c>
      <c r="AT76" s="75">
        <v>6.528682106616146E-2</v>
      </c>
      <c r="AU76" s="75">
        <v>-6.6911540345437892E-2</v>
      </c>
      <c r="AV76" s="75">
        <v>-8.3378379502428379E-2</v>
      </c>
      <c r="AW76" s="75">
        <v>-6.3808109581869249E-2</v>
      </c>
      <c r="AX76" s="75">
        <v>1.1241773312943848E-2</v>
      </c>
      <c r="AY76" s="75">
        <v>7.8910319840675425E-3</v>
      </c>
      <c r="AZ76" s="75">
        <v>5.3953424585224785E-2</v>
      </c>
      <c r="BA76" s="75">
        <v>-8.3376313224280629E-2</v>
      </c>
      <c r="BB76" s="75">
        <v>-6.9517529558461022E-2</v>
      </c>
      <c r="BC76" s="75">
        <v>3.5260216282707951E-2</v>
      </c>
      <c r="BD76" s="75">
        <v>-7.1552652514989518E-2</v>
      </c>
      <c r="BE76" s="75">
        <v>3.5977973108162836E-2</v>
      </c>
      <c r="BF76" s="75">
        <v>-0.13942457772192862</v>
      </c>
      <c r="BG76" s="75">
        <v>-5.2482488186697984E-2</v>
      </c>
      <c r="BH76" s="75">
        <v>-2.4697108748782309E-2</v>
      </c>
      <c r="BI76" s="75">
        <v>-8.0816714594999978E-2</v>
      </c>
      <c r="BJ76" s="75">
        <v>1.9326030262616728E-2</v>
      </c>
      <c r="BK76" s="75">
        <v>-4.8911940048086744E-2</v>
      </c>
      <c r="BL76" s="75">
        <v>-3.8902221559147465E-2</v>
      </c>
      <c r="BM76" s="75">
        <v>2.4256476301300595E-2</v>
      </c>
      <c r="BN76" s="75">
        <v>-1.8946663908899153E-2</v>
      </c>
      <c r="BO76" s="75">
        <v>-1.6551572887826743E-2</v>
      </c>
      <c r="BP76" s="75">
        <v>6.9043931210422405E-2</v>
      </c>
      <c r="BQ76" s="75">
        <v>-5.1543549853962367E-2</v>
      </c>
      <c r="BR76" s="75">
        <v>-6.4074093878211807E-2</v>
      </c>
      <c r="BS76" s="75">
        <v>5.1773005014142504E-2</v>
      </c>
      <c r="BT76" s="75">
        <v>2.8326311564113249E-2</v>
      </c>
      <c r="BU76" s="75">
        <v>-2.9047676130182581E-2</v>
      </c>
      <c r="BV76" s="75">
        <v>-4.2565099074571483E-2</v>
      </c>
      <c r="BW76" s="75">
        <v>-2.1722845012592445E-2</v>
      </c>
      <c r="BX76" s="75">
        <v>5.0340727167592719E-2</v>
      </c>
      <c r="BY76" s="75">
        <v>-1.4750438201974969E-2</v>
      </c>
      <c r="BZ76" s="75">
        <v>-3.4082452226268822E-2</v>
      </c>
      <c r="CA76" s="75">
        <v>8.8407592642935628E-2</v>
      </c>
      <c r="CB76" s="75">
        <v>4.9646109641022756E-2</v>
      </c>
      <c r="CC76" s="75">
        <v>-8.6398150434102705E-3</v>
      </c>
      <c r="CD76" s="75">
        <v>-1.6305811669424825E-2</v>
      </c>
      <c r="CE76" s="75">
        <v>2.3398857162759579E-2</v>
      </c>
      <c r="CF76" s="75">
        <v>6.534549439957138E-2</v>
      </c>
      <c r="CG76" s="75">
        <v>1.4165616286599708E-2</v>
      </c>
      <c r="CH76" s="75">
        <v>-6.6657223473013394E-2</v>
      </c>
      <c r="CI76" s="75">
        <v>1.426707103176289E-2</v>
      </c>
      <c r="CJ76" s="75">
        <v>-7.9158893832833033E-2</v>
      </c>
      <c r="CK76" s="75">
        <v>-2.1292356132575935E-2</v>
      </c>
      <c r="CL76" s="75">
        <v>3.1650956286001591E-2</v>
      </c>
      <c r="CM76" s="75">
        <v>-1.8937527655235348E-2</v>
      </c>
      <c r="CN76" s="75">
        <v>4.5003810280734302E-2</v>
      </c>
      <c r="CO76" s="75">
        <v>-8.6164032158368542E-2</v>
      </c>
      <c r="CP76" s="75">
        <v>-3.1856292096229089E-2</v>
      </c>
      <c r="CQ76" s="75">
        <v>7.9027443011031928E-2</v>
      </c>
      <c r="CR76" s="75">
        <v>4.0851203797511892E-2</v>
      </c>
      <c r="CS76" s="75">
        <v>1.6150816193575501E-2</v>
      </c>
      <c r="CT76" s="75">
        <v>4.3032454463026004E-2</v>
      </c>
      <c r="CU76" s="75">
        <v>5.5544691874231833E-2</v>
      </c>
      <c r="CV76" s="75">
        <v>1.0150146108507396E-2</v>
      </c>
      <c r="CW76" s="75">
        <v>5.1051279833591867E-3</v>
      </c>
      <c r="CX76" s="75">
        <v>6.3975911437598731E-2</v>
      </c>
      <c r="CY76" s="75">
        <v>-7.149084252923299E-2</v>
      </c>
      <c r="CZ76" s="75">
        <v>7.2929404459806113E-2</v>
      </c>
      <c r="DA76" s="75">
        <v>-2.4382554993967326E-2</v>
      </c>
      <c r="DB76" s="75">
        <v>-3.8625367626123119E-2</v>
      </c>
      <c r="DC76" s="75">
        <v>-1.289873477456327E-2</v>
      </c>
      <c r="DD76" s="75">
        <v>-5.4125157284434788E-3</v>
      </c>
      <c r="DE76" s="75">
        <v>-4.2083437969542503E-2</v>
      </c>
      <c r="DF76" s="75">
        <v>8.2535593393749385E-3</v>
      </c>
      <c r="DG76" s="75">
        <v>-3.7950626804412274E-2</v>
      </c>
      <c r="DH76" s="75">
        <v>-9.0144909831570974E-3</v>
      </c>
      <c r="DI76" s="75">
        <v>0.13614743106429911</v>
      </c>
      <c r="DJ76" s="75">
        <v>2.1670616343587218E-2</v>
      </c>
      <c r="DK76" s="75">
        <v>3.3336006763333981E-3</v>
      </c>
      <c r="DL76" s="75">
        <v>-0.1277763321401727</v>
      </c>
      <c r="DM76" s="75">
        <v>-2.8215121080470446E-2</v>
      </c>
      <c r="DN76" s="75">
        <v>0.11078446708732867</v>
      </c>
      <c r="DO76" s="75">
        <v>-6.3671186593414197E-3</v>
      </c>
      <c r="DP76" s="75">
        <v>-2.6869113472655692E-2</v>
      </c>
      <c r="DQ76" s="75">
        <v>-6.7390160095854829E-2</v>
      </c>
      <c r="DR76" s="75">
        <v>3.1112672569014288E-2</v>
      </c>
      <c r="DS76" s="75">
        <v>1.9811377987566547E-2</v>
      </c>
      <c r="DT76" s="75">
        <v>2.7401352242732629E-2</v>
      </c>
      <c r="DU76" s="75">
        <v>5.8111531576212488E-2</v>
      </c>
      <c r="DV76" s="75">
        <v>7.8430667811633353E-2</v>
      </c>
      <c r="DW76" s="75">
        <v>0.11169216159619574</v>
      </c>
      <c r="DX76" s="75">
        <v>6.0000545450843379E-2</v>
      </c>
      <c r="DY76" s="75">
        <v>1.5368701971484655E-2</v>
      </c>
      <c r="DZ76" s="75">
        <v>-9.4993689722388419E-2</v>
      </c>
      <c r="EA76" s="75">
        <v>0.12375975050183033</v>
      </c>
      <c r="EB76" s="75">
        <v>3.9189757789761914E-2</v>
      </c>
      <c r="EC76" s="75">
        <v>-7.0848032245432652E-2</v>
      </c>
      <c r="ED76" s="75">
        <v>-2.9641545241418571E-2</v>
      </c>
      <c r="EE76" s="75">
        <v>-6.65644432366711E-2</v>
      </c>
      <c r="EF76" s="75">
        <v>9.7411928550999005E-2</v>
      </c>
      <c r="EG76" s="75">
        <v>3.6901619513164341E-2</v>
      </c>
      <c r="EH76" s="75">
        <v>-4.1773977899602771E-2</v>
      </c>
      <c r="EI76" s="75">
        <v>1.8746274952080866E-3</v>
      </c>
      <c r="EJ76" s="75">
        <v>-4.2370882339789195E-3</v>
      </c>
      <c r="EK76" s="75">
        <v>-4.4940024351549035E-2</v>
      </c>
      <c r="EL76" s="75">
        <v>2.7823124433701274E-3</v>
      </c>
      <c r="EM76" s="75">
        <v>5.40645004135617E-2</v>
      </c>
      <c r="EN76" s="75">
        <v>-3.5871914904882174E-2</v>
      </c>
      <c r="EO76" s="75">
        <v>-2.8843117844741278E-2</v>
      </c>
      <c r="EP76" s="75">
        <v>-2.7427095516019601E-2</v>
      </c>
      <c r="EQ76" s="75">
        <v>-3.7410187139204881E-2</v>
      </c>
      <c r="ER76" s="75">
        <v>0.1048119780799821</v>
      </c>
      <c r="ES76" s="75">
        <v>7.5997516441825952E-2</v>
      </c>
      <c r="ET76" s="75">
        <v>-5.8318947654371595E-2</v>
      </c>
      <c r="EU76" s="75">
        <v>2.8526275645541554E-2</v>
      </c>
      <c r="EV76" s="75">
        <v>0.11185564398010636</v>
      </c>
      <c r="EW76" s="75">
        <v>0.27148235259817421</v>
      </c>
      <c r="EX76" s="75">
        <v>2.854854219785416E-2</v>
      </c>
      <c r="EY76" s="75">
        <v>-4.8980093578077838E-2</v>
      </c>
      <c r="EZ76" s="75">
        <v>5.1027899955236794E-2</v>
      </c>
      <c r="FA76" s="75">
        <v>6.9305081020850423E-2</v>
      </c>
      <c r="FB76" s="75">
        <v>-3.4266525922741264E-2</v>
      </c>
      <c r="FC76" s="75">
        <v>7.8112964878271629E-2</v>
      </c>
      <c r="FD76" s="75">
        <v>1.7493194423644942E-2</v>
      </c>
      <c r="FE76" s="75">
        <v>1.8624113140254583E-2</v>
      </c>
      <c r="FF76" s="75">
        <v>0.10208196177817785</v>
      </c>
      <c r="FG76" s="75">
        <v>6.220280531611444E-2</v>
      </c>
      <c r="FH76" s="75">
        <v>-7.5379520628659186E-2</v>
      </c>
      <c r="FI76" s="75">
        <v>4.185148108526926E-2</v>
      </c>
      <c r="FJ76" s="75">
        <v>4.1085733834002658E-2</v>
      </c>
      <c r="FK76" s="75">
        <v>-2.9297540771940161E-2</v>
      </c>
      <c r="FL76" s="75">
        <v>2.0379791418742049E-2</v>
      </c>
      <c r="FM76" s="75">
        <v>6.0069477429946588E-2</v>
      </c>
      <c r="FN76" s="75">
        <v>-3.0383290233131632E-3</v>
      </c>
      <c r="FO76" s="75">
        <v>2.1551450897272395E-2</v>
      </c>
      <c r="FP76" s="75">
        <v>-3.8296427231050201E-2</v>
      </c>
      <c r="FQ76" s="75">
        <v>-9.7556546832344937E-2</v>
      </c>
      <c r="FR76" s="75">
        <v>-4.7682427487455464E-2</v>
      </c>
      <c r="FS76" s="75">
        <v>-5.698513227966151E-2</v>
      </c>
      <c r="FT76" s="75">
        <v>-5.3565580769056265E-2</v>
      </c>
      <c r="FU76" s="75">
        <v>0.10424080399683558</v>
      </c>
      <c r="FV76" s="75">
        <v>1.0798574640263126E-2</v>
      </c>
      <c r="FW76" s="75">
        <v>1.0777374004792506E-2</v>
      </c>
      <c r="FX76" s="75">
        <v>8.5835658563479827E-2</v>
      </c>
      <c r="FY76" s="75">
        <v>6.4698256747961813E-2</v>
      </c>
      <c r="FZ76" s="75">
        <v>7.6786671835888248E-2</v>
      </c>
      <c r="GA76" s="75">
        <v>-7.0241940011755211E-2</v>
      </c>
      <c r="GB76" s="75">
        <v>2.3894961541346071E-2</v>
      </c>
      <c r="GC76" s="75">
        <v>-9.6226002199074345E-3</v>
      </c>
      <c r="GD76" s="75">
        <v>-3.4675165162467714E-2</v>
      </c>
      <c r="GE76" s="75">
        <v>-1.6867058047916939E-2</v>
      </c>
      <c r="GF76" s="75">
        <v>3.2340374223502222E-2</v>
      </c>
      <c r="GG76" s="75">
        <v>-3.5841137036241838E-2</v>
      </c>
      <c r="GH76" s="75">
        <v>-2.1088266665074434E-2</v>
      </c>
      <c r="GI76" s="75">
        <v>1.1694224369101835E-2</v>
      </c>
      <c r="GJ76" s="75">
        <v>-1.6201906656133747E-2</v>
      </c>
      <c r="GK76" s="75">
        <v>-2.0571731355120249E-2</v>
      </c>
      <c r="GL76" s="75">
        <v>5.1296771339165492E-2</v>
      </c>
      <c r="GM76" s="75">
        <v>-1.2274648838067032E-2</v>
      </c>
      <c r="GN76" s="75">
        <v>0.10603057285289039</v>
      </c>
      <c r="GO76" s="75">
        <v>2.8038164776078012E-2</v>
      </c>
      <c r="GP76" s="75">
        <v>-9.6481832307071108E-2</v>
      </c>
      <c r="GQ76" s="75">
        <v>8.8116670188412294E-4</v>
      </c>
      <c r="GR76" s="75">
        <v>-5.8675473258227584E-3</v>
      </c>
      <c r="GS76" s="75">
        <v>3.7407018566563588E-2</v>
      </c>
      <c r="GT76" s="75">
        <v>-7.6885408098375796E-2</v>
      </c>
      <c r="GU76" s="75">
        <v>4.2911337539800198E-3</v>
      </c>
      <c r="GV76" s="75">
        <v>2.2338635180451094E-3</v>
      </c>
      <c r="GW76" s="75">
        <v>-4.797440544232659E-2</v>
      </c>
      <c r="GX76" s="75">
        <v>5.5939989045584504E-2</v>
      </c>
      <c r="GY76" s="75">
        <v>7.0786179291461582E-3</v>
      </c>
      <c r="GZ76" s="75">
        <v>2.0387728431069924E-2</v>
      </c>
      <c r="HA76" s="75">
        <v>-5.6290291190583541E-3</v>
      </c>
      <c r="HB76" s="75">
        <v>6.5004526506899224E-2</v>
      </c>
      <c r="HC76" s="75">
        <v>6.8641446674055862E-2</v>
      </c>
      <c r="HD76" s="75">
        <v>-1.5553571983272452E-2</v>
      </c>
      <c r="HE76" s="75">
        <v>-9.0906681293051461E-4</v>
      </c>
      <c r="HF76" s="75">
        <v>-4.1790900974084333E-2</v>
      </c>
      <c r="HG76" s="75">
        <v>-3.9016025774764873E-2</v>
      </c>
      <c r="HH76" s="75">
        <v>1.327928037347445E-2</v>
      </c>
      <c r="HI76" s="75">
        <v>1.706320993992283E-2</v>
      </c>
      <c r="HJ76" s="75">
        <v>1.1222719518027002E-3</v>
      </c>
      <c r="HK76" s="75">
        <v>-4.9973614861510973E-2</v>
      </c>
      <c r="HL76" s="75">
        <v>-2.7106874840586631E-2</v>
      </c>
      <c r="HM76" s="75">
        <v>4.6115234797335092E-2</v>
      </c>
      <c r="HN76" s="75">
        <v>-1.072803967821917E-2</v>
      </c>
      <c r="HO76" s="75">
        <v>6.0667629016486257E-2</v>
      </c>
      <c r="HP76" s="75">
        <v>-6.5803460859715529E-2</v>
      </c>
      <c r="HQ76" s="75">
        <v>-3.7408872503085916E-2</v>
      </c>
      <c r="HR76" s="75">
        <v>-2.3240047382569712E-2</v>
      </c>
      <c r="HS76" s="75">
        <v>-4.4257546719983387E-2</v>
      </c>
      <c r="HT76" s="75">
        <v>-5.5914240910637208E-2</v>
      </c>
      <c r="HU76" s="75">
        <v>4.8278787736698581E-3</v>
      </c>
      <c r="HV76" s="75">
        <v>-5.8329404486122893E-2</v>
      </c>
      <c r="HW76" s="75">
        <v>-2.1151812078206711E-2</v>
      </c>
      <c r="HX76" s="75">
        <v>-7.8087193685419665E-3</v>
      </c>
      <c r="HY76" s="75">
        <v>0.17150005326420364</v>
      </c>
      <c r="HZ76" s="75">
        <v>-3.6920367826555611E-3</v>
      </c>
      <c r="IA76" s="75">
        <v>-8.7358411355975885E-2</v>
      </c>
      <c r="IB76" s="75">
        <v>-3.0193397874880873E-2</v>
      </c>
      <c r="IC76" s="75">
        <v>-0.10531396146238201</v>
      </c>
      <c r="ID76" s="75">
        <v>-1.5073872458438858E-2</v>
      </c>
      <c r="IE76" s="75">
        <v>4.996988669587249E-2</v>
      </c>
      <c r="IF76" s="75">
        <v>3.308702905676969E-2</v>
      </c>
      <c r="IG76" s="75">
        <v>-8.7084638535893183E-2</v>
      </c>
      <c r="IH76" s="75">
        <v>-3.3766582589804917E-2</v>
      </c>
      <c r="II76" s="75">
        <v>7.6600227810321803E-2</v>
      </c>
      <c r="IJ76" s="75">
        <v>-5.8875027764720811E-2</v>
      </c>
      <c r="IK76" s="75">
        <v>2.694004764885044E-2</v>
      </c>
      <c r="IL76" s="75">
        <v>2.2534513663557965E-2</v>
      </c>
      <c r="IM76" s="75">
        <v>-9.5366799649205136E-2</v>
      </c>
      <c r="IN76" s="75">
        <v>4.7108847731611225E-2</v>
      </c>
      <c r="IO76" s="75">
        <v>3.4100268859228039E-2</v>
      </c>
      <c r="IP76" s="75">
        <v>5.5049380283192895E-2</v>
      </c>
      <c r="IQ76" s="75">
        <v>0.11254414542867133</v>
      </c>
      <c r="IR76" s="75">
        <v>-5.7059326050001302E-2</v>
      </c>
      <c r="IS76" s="75">
        <v>5.6469864894221872E-2</v>
      </c>
      <c r="IT76" s="75">
        <v>1.6461650452398557E-2</v>
      </c>
      <c r="IU76" s="75">
        <v>3.3912402453516233E-2</v>
      </c>
    </row>
    <row r="77" spans="1:255" s="74" customFormat="1" ht="14.5" x14ac:dyDescent="0.35">
      <c r="A77" s="73"/>
      <c r="B77" s="78">
        <v>6</v>
      </c>
      <c r="C77" s="77">
        <f t="shared" si="43"/>
        <v>2.226389964005563E-2</v>
      </c>
      <c r="D77" s="76">
        <f t="shared" si="44"/>
        <v>7.1249539278917362E-2</v>
      </c>
      <c r="E77" s="75">
        <v>-4.0024872873020839E-2</v>
      </c>
      <c r="F77" s="75">
        <v>8.8661899567003877E-2</v>
      </c>
      <c r="G77" s="75">
        <v>8.6913206571485047E-2</v>
      </c>
      <c r="H77" s="75">
        <v>-1.5011486349570724E-2</v>
      </c>
      <c r="I77" s="75">
        <v>7.5133965442337747E-3</v>
      </c>
      <c r="J77" s="75">
        <v>-1.8427198212425722E-2</v>
      </c>
      <c r="K77" s="75">
        <v>-1.4369396576555504E-2</v>
      </c>
      <c r="L77" s="75">
        <v>-5.8109671732642365E-5</v>
      </c>
      <c r="M77" s="75">
        <v>7.5641570134231922E-2</v>
      </c>
      <c r="N77" s="75">
        <v>4.8286339187790406E-2</v>
      </c>
      <c r="O77" s="75">
        <v>3.2745118073448959E-2</v>
      </c>
      <c r="P77" s="75">
        <v>4.9065438670280181E-3</v>
      </c>
      <c r="Q77" s="75">
        <v>-1.2365979876195171E-2</v>
      </c>
      <c r="R77" s="75">
        <v>9.2671926578511699E-3</v>
      </c>
      <c r="S77" s="75">
        <v>3.4469329815144362E-2</v>
      </c>
      <c r="T77" s="75">
        <v>-6.2787786497755849E-2</v>
      </c>
      <c r="U77" s="75">
        <v>-4.2126192584075517E-2</v>
      </c>
      <c r="V77" s="75">
        <v>6.5026095509220783E-3</v>
      </c>
      <c r="W77" s="75">
        <v>0.12095422268893194</v>
      </c>
      <c r="X77" s="75">
        <v>8.5556975455347545E-2</v>
      </c>
      <c r="Y77" s="75">
        <v>6.2942229750212464E-3</v>
      </c>
      <c r="Z77" s="75">
        <v>2.9816780720134273E-2</v>
      </c>
      <c r="AA77" s="75">
        <v>-8.6698931950870972E-2</v>
      </c>
      <c r="AB77" s="75">
        <v>8.5448256842431486E-2</v>
      </c>
      <c r="AC77" s="75">
        <v>-4.2130675273803764E-3</v>
      </c>
      <c r="AD77" s="75">
        <v>6.2194284084598289E-2</v>
      </c>
      <c r="AE77" s="75">
        <v>-9.6192142898512356E-2</v>
      </c>
      <c r="AF77" s="75">
        <v>-1.1118039505462141E-2</v>
      </c>
      <c r="AG77" s="75">
        <v>4.994820374449388E-2</v>
      </c>
      <c r="AH77" s="75">
        <v>-3.0533604704528067E-2</v>
      </c>
      <c r="AI77" s="75">
        <v>-0.13131495827453687</v>
      </c>
      <c r="AJ77" s="75">
        <v>-4.4122648387259711E-2</v>
      </c>
      <c r="AK77" s="75">
        <v>2.6366176896055971E-2</v>
      </c>
      <c r="AL77" s="75">
        <v>0.13161949880185031</v>
      </c>
      <c r="AM77" s="75">
        <v>-9.8572254315270891E-3</v>
      </c>
      <c r="AN77" s="75">
        <v>1.3776448600842039E-2</v>
      </c>
      <c r="AO77" s="75">
        <v>-1.522558799788562E-2</v>
      </c>
      <c r="AP77" s="75">
        <v>8.103456031557546E-2</v>
      </c>
      <c r="AQ77" s="75">
        <v>1.8155391147964356E-2</v>
      </c>
      <c r="AR77" s="75">
        <v>7.5450254569139896E-2</v>
      </c>
      <c r="AS77" s="75">
        <v>5.1184288146007284E-2</v>
      </c>
      <c r="AT77" s="75">
        <v>4.2000898084313149E-2</v>
      </c>
      <c r="AU77" s="75">
        <v>-5.7057191672761798E-2</v>
      </c>
      <c r="AV77" s="75">
        <v>-8.7878891330212205E-2</v>
      </c>
      <c r="AW77" s="75">
        <v>-0.10291686790692875</v>
      </c>
      <c r="AX77" s="75">
        <v>4.4224926105064788E-3</v>
      </c>
      <c r="AY77" s="75">
        <v>9.0533596987333043E-3</v>
      </c>
      <c r="AZ77" s="75">
        <v>4.2036959353584924E-2</v>
      </c>
      <c r="BA77" s="75">
        <v>-8.0216788208556128E-2</v>
      </c>
      <c r="BB77" s="75">
        <v>-5.0413420387788177E-2</v>
      </c>
      <c r="BC77" s="75">
        <v>3.5915794643058052E-2</v>
      </c>
      <c r="BD77" s="75">
        <v>-7.8933244273361236E-2</v>
      </c>
      <c r="BE77" s="75">
        <v>3.1753079592846206E-2</v>
      </c>
      <c r="BF77" s="75">
        <v>-0.14401217985976944</v>
      </c>
      <c r="BG77" s="75">
        <v>-3.8870494051869986E-2</v>
      </c>
      <c r="BH77" s="75">
        <v>-2.671254833798889E-2</v>
      </c>
      <c r="BI77" s="75">
        <v>-8.2193410321843297E-2</v>
      </c>
      <c r="BJ77" s="75">
        <v>3.4633617718959869E-2</v>
      </c>
      <c r="BK77" s="75">
        <v>-3.0931742983202115E-2</v>
      </c>
      <c r="BL77" s="75">
        <v>-2.074468926865608E-2</v>
      </c>
      <c r="BM77" s="75">
        <v>4.7646771924555464E-3</v>
      </c>
      <c r="BN77" s="75">
        <v>7.749652455231959E-3</v>
      </c>
      <c r="BO77" s="75">
        <v>-3.4801996996057544E-2</v>
      </c>
      <c r="BP77" s="75">
        <v>6.0849973323841594E-2</v>
      </c>
      <c r="BQ77" s="75">
        <v>-5.6164931252660533E-2</v>
      </c>
      <c r="BR77" s="75">
        <v>-3.9455459457542086E-2</v>
      </c>
      <c r="BS77" s="75">
        <v>6.5309022805678851E-2</v>
      </c>
      <c r="BT77" s="75">
        <v>4.8762957234373849E-2</v>
      </c>
      <c r="BU77" s="75">
        <v>-2.8820252357581455E-3</v>
      </c>
      <c r="BV77" s="75">
        <v>-5.9616555482216671E-2</v>
      </c>
      <c r="BW77" s="75">
        <v>-1.667446281826776E-2</v>
      </c>
      <c r="BX77" s="75">
        <v>2.2801026122828749E-2</v>
      </c>
      <c r="BY77" s="75">
        <v>-2.657871394743716E-3</v>
      </c>
      <c r="BZ77" s="75">
        <v>-4.2306541680434351E-2</v>
      </c>
      <c r="CA77" s="75">
        <v>8.1193662723013899E-2</v>
      </c>
      <c r="CB77" s="75">
        <v>5.7167734218889404E-2</v>
      </c>
      <c r="CC77" s="75">
        <v>-5.9513434188532E-3</v>
      </c>
      <c r="CD77" s="75">
        <v>-1.1625170213716562E-4</v>
      </c>
      <c r="CE77" s="75">
        <v>3.4837653213358188E-3</v>
      </c>
      <c r="CF77" s="75">
        <v>4.4255606834447736E-2</v>
      </c>
      <c r="CG77" s="75">
        <v>2.3053378370055638E-2</v>
      </c>
      <c r="CH77" s="75">
        <v>-6.0107860904692334E-2</v>
      </c>
      <c r="CI77" s="75">
        <v>-1.0725784299348173E-2</v>
      </c>
      <c r="CJ77" s="75">
        <v>-7.0211576742398668E-2</v>
      </c>
      <c r="CK77" s="75">
        <v>2.1796963183918772E-3</v>
      </c>
      <c r="CL77" s="75">
        <v>2.8367491365979686E-2</v>
      </c>
      <c r="CM77" s="75">
        <v>-2.1232091537278813E-2</v>
      </c>
      <c r="CN77" s="75">
        <v>4.0689809376492164E-2</v>
      </c>
      <c r="CO77" s="75">
        <v>-7.6500149675831464E-2</v>
      </c>
      <c r="CP77" s="75">
        <v>-4.2600242090719803E-2</v>
      </c>
      <c r="CQ77" s="75">
        <v>6.1451181475922489E-2</v>
      </c>
      <c r="CR77" s="75">
        <v>3.4516246863274314E-2</v>
      </c>
      <c r="CS77" s="75">
        <v>2.5857548991628926E-2</v>
      </c>
      <c r="CT77" s="75">
        <v>4.7012231949545874E-2</v>
      </c>
      <c r="CU77" s="75">
        <v>6.2763628827038481E-2</v>
      </c>
      <c r="CV77" s="75">
        <v>3.5757836540465937E-3</v>
      </c>
      <c r="CW77" s="75">
        <v>-2.7736933751778992E-2</v>
      </c>
      <c r="CX77" s="75">
        <v>3.8439043059431355E-2</v>
      </c>
      <c r="CY77" s="75">
        <v>-4.466996326641326E-2</v>
      </c>
      <c r="CZ77" s="75">
        <v>6.1732435635892369E-2</v>
      </c>
      <c r="DA77" s="75">
        <v>-3.9790878840727101E-2</v>
      </c>
      <c r="DB77" s="75">
        <v>-4.0557557986804382E-2</v>
      </c>
      <c r="DC77" s="75">
        <v>1.76409817986799E-2</v>
      </c>
      <c r="DD77" s="75">
        <v>8.251238201696709E-3</v>
      </c>
      <c r="DE77" s="75">
        <v>-6.5614964211141213E-2</v>
      </c>
      <c r="DF77" s="75">
        <v>2.6434972112464844E-2</v>
      </c>
      <c r="DG77" s="75">
        <v>-3.3723622574808515E-2</v>
      </c>
      <c r="DH77" s="75">
        <v>1.6778215447914135E-2</v>
      </c>
      <c r="DI77" s="75">
        <v>3.8846052096331185E-2</v>
      </c>
      <c r="DJ77" s="75">
        <v>-6.779302746757887E-2</v>
      </c>
      <c r="DK77" s="75">
        <v>-1.5211397030912455E-2</v>
      </c>
      <c r="DL77" s="75">
        <v>-0.13483326350936797</v>
      </c>
      <c r="DM77" s="75">
        <v>-3.7063526858441775E-2</v>
      </c>
      <c r="DN77" s="75">
        <v>-3.6898306030924727E-2</v>
      </c>
      <c r="DO77" s="75">
        <v>-2.0743444297565361E-2</v>
      </c>
      <c r="DP77" s="75">
        <v>-5.566451025735869E-2</v>
      </c>
      <c r="DQ77" s="75">
        <v>-2.8015574879428073E-4</v>
      </c>
      <c r="DR77" s="75">
        <v>-1.085005603923514E-2</v>
      </c>
      <c r="DS77" s="75">
        <v>3.8904974202774223E-2</v>
      </c>
      <c r="DT77" s="75">
        <v>6.9560904840778148E-2</v>
      </c>
      <c r="DU77" s="75">
        <v>1.3803099550621117E-2</v>
      </c>
      <c r="DV77" s="75">
        <v>0.13740946122487524</v>
      </c>
      <c r="DW77" s="75">
        <v>0.10977555436462905</v>
      </c>
      <c r="DX77" s="75">
        <v>1.5561244118578593E-2</v>
      </c>
      <c r="DY77" s="75">
        <v>2.9073886180589537E-2</v>
      </c>
      <c r="DZ77" s="75">
        <v>-4.9149177586620824E-2</v>
      </c>
      <c r="EA77" s="75">
        <v>0.10115200024800022</v>
      </c>
      <c r="EB77" s="75">
        <v>-5.0411276897796786E-2</v>
      </c>
      <c r="EC77" s="75">
        <v>-6.4662672795825715E-2</v>
      </c>
      <c r="ED77" s="75">
        <v>-3.8665949663910126E-2</v>
      </c>
      <c r="EE77" s="75">
        <v>3.9217491433266666E-2</v>
      </c>
      <c r="EF77" s="75">
        <v>0.12501236596623103</v>
      </c>
      <c r="EG77" s="75">
        <v>4.3950225598721915E-2</v>
      </c>
      <c r="EH77" s="75">
        <v>2.481056323920991E-2</v>
      </c>
      <c r="EI77" s="75">
        <v>2.0211511087161765E-2</v>
      </c>
      <c r="EJ77" s="75">
        <v>1.9091489525734806E-2</v>
      </c>
      <c r="EK77" s="75">
        <v>-4.9237012583363382E-2</v>
      </c>
      <c r="EL77" s="75">
        <v>-1.1571495780932084E-5</v>
      </c>
      <c r="EM77" s="75">
        <v>8.3551076873755875E-2</v>
      </c>
      <c r="EN77" s="75">
        <v>-4.5834135316027314E-2</v>
      </c>
      <c r="EO77" s="75">
        <v>-5.3827358995386987E-2</v>
      </c>
      <c r="EP77" s="75">
        <v>7.0830580517276809E-3</v>
      </c>
      <c r="EQ77" s="75">
        <v>3.0918883117921597E-2</v>
      </c>
      <c r="ER77" s="75">
        <v>2.2562584146523762E-2</v>
      </c>
      <c r="ES77" s="75">
        <v>-1.0516022150116017E-2</v>
      </c>
      <c r="ET77" s="75">
        <v>-3.8640696986813605E-3</v>
      </c>
      <c r="EU77" s="75">
        <v>7.8108180612331823E-3</v>
      </c>
      <c r="EV77" s="75">
        <v>3.7387268638026216E-2</v>
      </c>
      <c r="EW77" s="75">
        <v>4.0919918011371015E-2</v>
      </c>
      <c r="EX77" s="75">
        <v>9.702663539198822E-2</v>
      </c>
      <c r="EY77" s="75">
        <v>-5.1828816801582467E-2</v>
      </c>
      <c r="EZ77" s="75">
        <v>-4.5494468197405991E-2</v>
      </c>
      <c r="FA77" s="75">
        <v>7.3013043288659846E-2</v>
      </c>
      <c r="FB77" s="75">
        <v>-2.702337686319356E-2</v>
      </c>
      <c r="FC77" s="75">
        <v>5.817300856858415E-2</v>
      </c>
      <c r="FD77" s="75">
        <v>-1.1684461050424366E-2</v>
      </c>
      <c r="FE77" s="75">
        <v>-8.7354138221543698E-3</v>
      </c>
      <c r="FF77" s="75">
        <v>3.2896352788687411E-2</v>
      </c>
      <c r="FG77" s="75">
        <v>1.4494253963028392E-2</v>
      </c>
      <c r="FH77" s="75">
        <v>-2.8758134398852164E-3</v>
      </c>
      <c r="FI77" s="75">
        <v>5.1761950894392783E-2</v>
      </c>
      <c r="FJ77" s="75">
        <v>-4.3172727071102923E-2</v>
      </c>
      <c r="FK77" s="75">
        <v>-4.2465615174226146E-2</v>
      </c>
      <c r="FL77" s="75">
        <v>6.5630640145696584E-3</v>
      </c>
      <c r="FM77" s="75">
        <v>6.4304329844815405E-2</v>
      </c>
      <c r="FN77" s="75">
        <v>8.5788361180828554E-3</v>
      </c>
      <c r="FO77" s="75">
        <v>3.3063549602134951E-2</v>
      </c>
      <c r="FP77" s="75">
        <v>-6.7762831110496385E-2</v>
      </c>
      <c r="FQ77" s="75">
        <v>-0.1080866704571001</v>
      </c>
      <c r="FR77" s="75">
        <v>5.6234839118920771E-2</v>
      </c>
      <c r="FS77" s="75">
        <v>-2.0298939201755906E-2</v>
      </c>
      <c r="FT77" s="75">
        <v>-1.8678607888418325E-2</v>
      </c>
      <c r="FU77" s="75">
        <v>0.1135309781637617</v>
      </c>
      <c r="FV77" s="75">
        <v>1.3567628755821987E-2</v>
      </c>
      <c r="FW77" s="75">
        <v>-2.3777652997171328E-2</v>
      </c>
      <c r="FX77" s="75">
        <v>6.7070548673517971E-2</v>
      </c>
      <c r="FY77" s="75">
        <v>8.4444069566464774E-2</v>
      </c>
      <c r="FZ77" s="75">
        <v>3.6605795805662589E-2</v>
      </c>
      <c r="GA77" s="75">
        <v>0.11620325535353063</v>
      </c>
      <c r="GB77" s="75">
        <v>3.4931153868500625E-2</v>
      </c>
      <c r="GC77" s="75">
        <v>-4.9054907828730288E-2</v>
      </c>
      <c r="GD77" s="75">
        <v>-4.0730914666841089E-3</v>
      </c>
      <c r="GE77" s="75">
        <v>5.7820154869040685E-2</v>
      </c>
      <c r="GF77" s="75">
        <v>6.6632283938767967E-2</v>
      </c>
      <c r="GG77" s="75">
        <v>-2.4486144962278189E-2</v>
      </c>
      <c r="GH77" s="75">
        <v>3.349081376428753E-2</v>
      </c>
      <c r="GI77" s="75">
        <v>-2.7380345497643122E-2</v>
      </c>
      <c r="GJ77" s="75">
        <v>-1.1055470003106804E-2</v>
      </c>
      <c r="GK77" s="75">
        <v>0.10694533628415634</v>
      </c>
      <c r="GL77" s="75">
        <v>2.9498539535465218E-3</v>
      </c>
      <c r="GM77" s="75">
        <v>-3.7554796598873619E-2</v>
      </c>
      <c r="GN77" s="75">
        <v>-8.2303918867042497E-2</v>
      </c>
      <c r="GO77" s="75">
        <v>2.6322143991906133E-2</v>
      </c>
      <c r="GP77" s="75">
        <v>-7.0683515142849096E-2</v>
      </c>
      <c r="GQ77" s="75">
        <v>1.3442638780769983E-2</v>
      </c>
      <c r="GR77" s="75">
        <v>-8.451028770690594E-3</v>
      </c>
      <c r="GS77" s="75">
        <v>-8.4988552772159803E-2</v>
      </c>
      <c r="GT77" s="75">
        <v>-2.6491663215645417E-2</v>
      </c>
      <c r="GU77" s="75">
        <v>-2.4360086559045507E-2</v>
      </c>
      <c r="GV77" s="75">
        <v>-0.10366180100172262</v>
      </c>
      <c r="GW77" s="75">
        <v>-3.8407683451920416E-2</v>
      </c>
      <c r="GX77" s="75">
        <v>-1.1979894762366661E-2</v>
      </c>
      <c r="GY77" s="75">
        <v>1.2334804731865823E-2</v>
      </c>
      <c r="GZ77" s="75">
        <v>6.6886503880156017E-2</v>
      </c>
      <c r="HA77" s="75">
        <v>-2.3591807602855619E-2</v>
      </c>
      <c r="HB77" s="75">
        <v>0.11125312798268444</v>
      </c>
      <c r="HC77" s="75">
        <v>7.8831728274343205E-2</v>
      </c>
      <c r="HD77" s="75">
        <v>-3.2628361867972355E-3</v>
      </c>
      <c r="HE77" s="75">
        <v>-1.2331124254104375E-3</v>
      </c>
      <c r="HF77" s="75">
        <v>-3.7782402241291202E-2</v>
      </c>
      <c r="HG77" s="75">
        <v>-4.6275185928574492E-2</v>
      </c>
      <c r="HH77" s="75">
        <v>1.6704260852459796E-2</v>
      </c>
      <c r="HI77" s="75">
        <v>-3.4543537316181622E-2</v>
      </c>
      <c r="HJ77" s="75">
        <v>7.1249539278917362E-2</v>
      </c>
      <c r="HK77" s="75">
        <v>-4.1880064106805837E-2</v>
      </c>
      <c r="HL77" s="75">
        <v>-1.8612368385753086E-3</v>
      </c>
      <c r="HM77" s="75">
        <v>6.0681322190203724E-2</v>
      </c>
      <c r="HN77" s="75">
        <v>1.8791660150400485E-2</v>
      </c>
      <c r="HO77" s="75">
        <v>-0.16517760363113174</v>
      </c>
      <c r="HP77" s="75">
        <v>-7.8064149477602901E-2</v>
      </c>
      <c r="HQ77" s="75">
        <v>-4.7167302723513577E-2</v>
      </c>
      <c r="HR77" s="75">
        <v>-6.2900966038009209E-3</v>
      </c>
      <c r="HS77" s="75">
        <v>-0.11482532222440578</v>
      </c>
      <c r="HT77" s="75">
        <v>4.0949865635671878E-3</v>
      </c>
      <c r="HU77" s="75">
        <v>-7.1432500943574839E-2</v>
      </c>
      <c r="HV77" s="75">
        <v>-4.9330023210106516E-2</v>
      </c>
      <c r="HW77" s="75">
        <v>5.9402410482915113E-2</v>
      </c>
      <c r="HX77" s="75">
        <v>7.0167137653065481E-3</v>
      </c>
      <c r="HY77" s="75">
        <v>1.6616556097021173E-2</v>
      </c>
      <c r="HZ77" s="75">
        <v>7.0326925730417877E-3</v>
      </c>
      <c r="IA77" s="75">
        <v>-7.9898405679998757E-2</v>
      </c>
      <c r="IB77" s="75">
        <v>4.9290434351643847E-2</v>
      </c>
      <c r="IC77" s="75">
        <v>8.7952071534113996E-2</v>
      </c>
      <c r="ID77" s="75">
        <v>-4.2152083436546722E-2</v>
      </c>
      <c r="IE77" s="75">
        <v>-7.3731927673817366E-2</v>
      </c>
      <c r="IF77" s="75">
        <v>7.2351297169931328E-2</v>
      </c>
      <c r="IG77" s="75">
        <v>-8.3854151378944503E-2</v>
      </c>
      <c r="IH77" s="75">
        <v>-2.8745971474487597E-2</v>
      </c>
      <c r="II77" s="75">
        <v>3.2335041452447755E-2</v>
      </c>
      <c r="IJ77" s="75">
        <v>-4.9100838873750413E-2</v>
      </c>
      <c r="IK77" s="75">
        <v>7.4604227835132375E-2</v>
      </c>
      <c r="IL77" s="75">
        <v>-4.5883866287073555E-2</v>
      </c>
      <c r="IM77" s="75">
        <v>-0.11518925581044753</v>
      </c>
      <c r="IN77" s="75">
        <v>-8.5401729003025256E-2</v>
      </c>
      <c r="IO77" s="75">
        <v>-3.2782210703827502E-2</v>
      </c>
      <c r="IP77" s="75">
        <v>-4.3349151725166679E-2</v>
      </c>
      <c r="IQ77" s="75">
        <v>-2.0632270087927146E-2</v>
      </c>
      <c r="IR77" s="75">
        <v>-1.0070580169858484E-2</v>
      </c>
      <c r="IS77" s="75">
        <v>-1.8356553138156484E-2</v>
      </c>
      <c r="IT77" s="75">
        <v>6.4259646566005246E-2</v>
      </c>
      <c r="IU77" s="75">
        <v>-0.11790836929794818</v>
      </c>
    </row>
    <row r="78" spans="1:255" s="74" customFormat="1" ht="14.5" x14ac:dyDescent="0.35">
      <c r="A78" s="73"/>
      <c r="B78" s="78">
        <v>6.25</v>
      </c>
      <c r="C78" s="77">
        <f t="shared" si="43"/>
        <v>2.1231038607271678E-2</v>
      </c>
      <c r="D78" s="76">
        <f t="shared" si="44"/>
        <v>6.614334833500557E-2</v>
      </c>
      <c r="E78" s="75">
        <v>-2.522784443537196E-2</v>
      </c>
      <c r="F78" s="75">
        <v>8.4378680175129034E-2</v>
      </c>
      <c r="G78" s="75">
        <v>8.9723137484455762E-2</v>
      </c>
      <c r="H78" s="75">
        <v>-9.9380602591026823E-3</v>
      </c>
      <c r="I78" s="75">
        <v>4.7051614740737935E-3</v>
      </c>
      <c r="J78" s="75">
        <v>-1.7575166466475306E-2</v>
      </c>
      <c r="K78" s="75">
        <v>-2.3701298085665984E-2</v>
      </c>
      <c r="L78" s="75">
        <v>1.1538724062254063E-2</v>
      </c>
      <c r="M78" s="75">
        <v>5.2201274625654825E-2</v>
      </c>
      <c r="N78" s="75">
        <v>4.4992530540828302E-2</v>
      </c>
      <c r="O78" s="75">
        <v>3.2134481150865729E-2</v>
      </c>
      <c r="P78" s="75">
        <v>-2.3535597554746213E-2</v>
      </c>
      <c r="Q78" s="75">
        <v>-2.3142340131061534E-3</v>
      </c>
      <c r="R78" s="75">
        <v>2.7927168453329515E-2</v>
      </c>
      <c r="S78" s="75">
        <v>1.8239066984812452E-2</v>
      </c>
      <c r="T78" s="75">
        <v>-7.658502212257523E-2</v>
      </c>
      <c r="U78" s="75">
        <v>-3.7363477533281064E-2</v>
      </c>
      <c r="V78" s="75">
        <v>-3.3369135669264471E-3</v>
      </c>
      <c r="W78" s="75">
        <v>8.7950937738706575E-2</v>
      </c>
      <c r="X78" s="75">
        <v>7.7141553670163815E-2</v>
      </c>
      <c r="Y78" s="75">
        <v>-9.7258509351099143E-3</v>
      </c>
      <c r="Z78" s="75">
        <v>5.1007018844446361E-2</v>
      </c>
      <c r="AA78" s="75">
        <v>-6.1916213522183711E-2</v>
      </c>
      <c r="AB78" s="75">
        <v>6.95884381633948E-2</v>
      </c>
      <c r="AC78" s="75">
        <v>7.5835641860114711E-3</v>
      </c>
      <c r="AD78" s="75">
        <v>4.256409373072409E-2</v>
      </c>
      <c r="AE78" s="75">
        <v>-0.10223914479512633</v>
      </c>
      <c r="AF78" s="75">
        <v>6.3272528636317549E-3</v>
      </c>
      <c r="AG78" s="75">
        <v>3.9021895356107145E-2</v>
      </c>
      <c r="AH78" s="75">
        <v>-4.0291906563200586E-2</v>
      </c>
      <c r="AI78" s="75">
        <v>-0.12879089767713681</v>
      </c>
      <c r="AJ78" s="75">
        <v>-5.1897810287556911E-2</v>
      </c>
      <c r="AK78" s="75">
        <v>2.0570093401206524E-2</v>
      </c>
      <c r="AL78" s="75">
        <v>9.5835718565727146E-2</v>
      </c>
      <c r="AM78" s="75">
        <v>-1.0135753871090558E-2</v>
      </c>
      <c r="AN78" s="75">
        <v>1.5099064574075005E-2</v>
      </c>
      <c r="AO78" s="75">
        <v>5.6041523104466417E-4</v>
      </c>
      <c r="AP78" s="75">
        <v>6.9498549308650015E-2</v>
      </c>
      <c r="AQ78" s="75">
        <v>2.4169483342839915E-2</v>
      </c>
      <c r="AR78" s="75">
        <v>6.614334833500557E-2</v>
      </c>
      <c r="AS78" s="75">
        <v>6.3108920028774551E-2</v>
      </c>
      <c r="AT78" s="75">
        <v>4.8680993801529765E-2</v>
      </c>
      <c r="AU78" s="75">
        <v>-5.080573006987088E-2</v>
      </c>
      <c r="AV78" s="75">
        <v>-8.0335495992445938E-2</v>
      </c>
      <c r="AW78" s="75">
        <v>-0.10663962653517123</v>
      </c>
      <c r="AX78" s="75">
        <v>1.299475222773197E-2</v>
      </c>
      <c r="AY78" s="75">
        <v>-1.2574608527670339E-2</v>
      </c>
      <c r="AZ78" s="75">
        <v>4.7045127795742353E-2</v>
      </c>
      <c r="BA78" s="75">
        <v>-6.6811583065105817E-2</v>
      </c>
      <c r="BB78" s="75">
        <v>-6.723974377842834E-2</v>
      </c>
      <c r="BC78" s="75">
        <v>3.790559755719955E-2</v>
      </c>
      <c r="BD78" s="75">
        <v>-6.4396067285628217E-2</v>
      </c>
      <c r="BE78" s="75">
        <v>4.3121468310844985E-2</v>
      </c>
      <c r="BF78" s="75">
        <v>-0.12435044324111932</v>
      </c>
      <c r="BG78" s="75">
        <v>-3.7770024758814441E-2</v>
      </c>
      <c r="BH78" s="75">
        <v>-1.8049270417775404E-2</v>
      </c>
      <c r="BI78" s="75">
        <v>-7.1037654385304183E-2</v>
      </c>
      <c r="BJ78" s="75">
        <v>3.5475885754255837E-2</v>
      </c>
      <c r="BK78" s="75">
        <v>-2.618816234173213E-2</v>
      </c>
      <c r="BL78" s="75">
        <v>-1.4996056540306696E-2</v>
      </c>
      <c r="BM78" s="75">
        <v>-3.4529658691396459E-2</v>
      </c>
      <c r="BN78" s="75">
        <v>1.2523788835226257E-2</v>
      </c>
      <c r="BO78" s="75">
        <v>-3.2426730071981213E-2</v>
      </c>
      <c r="BP78" s="75">
        <v>5.3921170996763801E-2</v>
      </c>
      <c r="BQ78" s="75">
        <v>-5.3133986573416947E-2</v>
      </c>
      <c r="BR78" s="75">
        <v>-4.5225574297648036E-2</v>
      </c>
      <c r="BS78" s="75">
        <v>6.0847099192072429E-2</v>
      </c>
      <c r="BT78" s="75">
        <v>4.6628220743954119E-2</v>
      </c>
      <c r="BU78" s="75">
        <v>5.1747172094368799E-3</v>
      </c>
      <c r="BV78" s="75">
        <v>-4.6599006895293171E-2</v>
      </c>
      <c r="BW78" s="75">
        <v>-1.7647612908390953E-2</v>
      </c>
      <c r="BX78" s="75">
        <v>3.8813163553015895E-2</v>
      </c>
      <c r="BY78" s="75">
        <v>-3.0298423606806846E-3</v>
      </c>
      <c r="BZ78" s="75">
        <v>-3.4742193036683744E-2</v>
      </c>
      <c r="CA78" s="75">
        <v>7.8332018037404916E-2</v>
      </c>
      <c r="CB78" s="75">
        <v>7.2828276413531234E-2</v>
      </c>
      <c r="CC78" s="75">
        <v>-1.7953080125535426E-2</v>
      </c>
      <c r="CD78" s="75">
        <v>-2.3702660014670918E-2</v>
      </c>
      <c r="CE78" s="75">
        <v>7.7961927343449255E-3</v>
      </c>
      <c r="CF78" s="75">
        <v>2.2260422678399561E-2</v>
      </c>
      <c r="CG78" s="75">
        <v>1.7728823897102231E-2</v>
      </c>
      <c r="CH78" s="75">
        <v>-5.2180444538904941E-2</v>
      </c>
      <c r="CI78" s="75">
        <v>6.4775400538656935E-3</v>
      </c>
      <c r="CJ78" s="75">
        <v>-5.2941979584098187E-2</v>
      </c>
      <c r="CK78" s="75">
        <v>1.7062791294603724E-2</v>
      </c>
      <c r="CL78" s="75">
        <v>2.6311503895952187E-2</v>
      </c>
      <c r="CM78" s="75">
        <v>-1.5853177204041113E-2</v>
      </c>
      <c r="CN78" s="75">
        <v>4.1863274335426442E-2</v>
      </c>
      <c r="CO78" s="75">
        <v>-6.6631606531428966E-2</v>
      </c>
      <c r="CP78" s="75">
        <v>-3.3698724825408088E-2</v>
      </c>
      <c r="CQ78" s="75">
        <v>2.7311268535568201E-2</v>
      </c>
      <c r="CR78" s="75">
        <v>4.8970397297078666E-2</v>
      </c>
      <c r="CS78" s="75">
        <v>3.0541236260264948E-2</v>
      </c>
      <c r="CT78" s="75">
        <v>5.5686087816565144E-2</v>
      </c>
      <c r="CU78" s="75">
        <v>6.2733246292358047E-2</v>
      </c>
      <c r="CV78" s="75">
        <v>-8.2911026760308926E-3</v>
      </c>
      <c r="CW78" s="75">
        <v>-2.6834068191287058E-2</v>
      </c>
      <c r="CX78" s="75">
        <v>5.3995210157870677E-2</v>
      </c>
      <c r="CY78" s="75">
        <v>-2.7836189229224567E-2</v>
      </c>
      <c r="CZ78" s="75">
        <v>7.1756024891506037E-2</v>
      </c>
      <c r="DA78" s="75">
        <v>-5.0172185259017343E-2</v>
      </c>
      <c r="DB78" s="75">
        <v>-9.8818956924404455E-2</v>
      </c>
      <c r="DC78" s="75">
        <v>-0.10936944390545675</v>
      </c>
      <c r="DD78" s="75">
        <v>-2.7106452851560187E-2</v>
      </c>
      <c r="DE78" s="75">
        <v>-1.9053209201702614E-4</v>
      </c>
      <c r="DF78" s="75">
        <v>7.7109735920672773E-2</v>
      </c>
      <c r="DG78" s="75">
        <v>1.3656036205735744E-2</v>
      </c>
      <c r="DH78" s="75">
        <v>1.2090495896782738E-2</v>
      </c>
      <c r="DI78" s="75">
        <v>7.1197309455951374E-2</v>
      </c>
      <c r="DJ78" s="75">
        <v>-8.4141086728860476E-2</v>
      </c>
      <c r="DK78" s="75">
        <v>4.0347629347614072E-2</v>
      </c>
      <c r="DL78" s="75">
        <v>-0.11519128168184178</v>
      </c>
      <c r="DM78" s="75">
        <v>-2.6617855203639379E-2</v>
      </c>
      <c r="DN78" s="75">
        <v>4.2135181696522084E-3</v>
      </c>
      <c r="DO78" s="75">
        <v>-2.5942302724732802E-2</v>
      </c>
      <c r="DP78" s="75">
        <v>-5.9379815260438229E-2</v>
      </c>
      <c r="DQ78" s="75">
        <v>-5.4281190607340518E-2</v>
      </c>
      <c r="DR78" s="75">
        <v>-6.8504950512468521E-4</v>
      </c>
      <c r="DS78" s="75">
        <v>3.0784996406642617E-2</v>
      </c>
      <c r="DT78" s="75">
        <v>-2.5494444079923073E-2</v>
      </c>
      <c r="DU78" s="75">
        <v>1.9102806763252045E-4</v>
      </c>
      <c r="DV78" s="75">
        <v>1.0155528504027261E-2</v>
      </c>
      <c r="DW78" s="75">
        <v>3.1022267642581536E-2</v>
      </c>
      <c r="DX78" s="75">
        <v>-5.8989423498834292E-2</v>
      </c>
      <c r="DY78" s="75">
        <v>-1.02627633092367E-2</v>
      </c>
      <c r="DZ78" s="75">
        <v>5.7280779309715341E-2</v>
      </c>
      <c r="EA78" s="75">
        <v>-0.13172347172035179</v>
      </c>
      <c r="EB78" s="75">
        <v>-5.8958005740218755E-2</v>
      </c>
      <c r="EC78" s="75">
        <v>5.3128981953257992E-2</v>
      </c>
      <c r="ED78" s="75">
        <v>9.5621505004149232E-3</v>
      </c>
      <c r="EE78" s="75">
        <v>3.311655186161791E-2</v>
      </c>
      <c r="EF78" s="75">
        <v>0.13377457382129482</v>
      </c>
      <c r="EG78" s="75">
        <v>2.7021668620422545E-2</v>
      </c>
      <c r="EH78" s="75">
        <v>2.7863742454203616E-2</v>
      </c>
      <c r="EI78" s="75">
        <v>-6.348225117184858E-2</v>
      </c>
      <c r="EJ78" s="75">
        <v>0.1055173509113306</v>
      </c>
      <c r="EK78" s="75">
        <v>2.0019411295848055E-2</v>
      </c>
      <c r="EL78" s="75">
        <v>-3.399775692906809E-2</v>
      </c>
      <c r="EM78" s="75">
        <v>3.8524347366053868E-2</v>
      </c>
      <c r="EN78" s="75">
        <v>-9.6147023973575746E-2</v>
      </c>
      <c r="EO78" s="75">
        <v>-1.9589840138626552E-2</v>
      </c>
      <c r="EP78" s="75">
        <v>2.5555292377386934E-2</v>
      </c>
      <c r="EQ78" s="75">
        <v>1.871538644563342E-2</v>
      </c>
      <c r="ER78" s="75">
        <v>1.3585063115841789E-2</v>
      </c>
      <c r="ES78" s="75">
        <v>3.9004525257703981E-3</v>
      </c>
      <c r="ET78" s="75">
        <v>5.1760025331315795E-3</v>
      </c>
      <c r="EU78" s="75">
        <v>4.0473278344685393E-3</v>
      </c>
      <c r="EV78" s="75">
        <v>2.0451041462296843E-2</v>
      </c>
      <c r="EW78" s="75">
        <v>2.1659237119474817E-2</v>
      </c>
      <c r="EX78" s="75">
        <v>8.0342518301349974E-2</v>
      </c>
      <c r="EY78" s="75">
        <v>-3.6025978833706201E-2</v>
      </c>
      <c r="EZ78" s="75">
        <v>-3.3928349855366496E-2</v>
      </c>
      <c r="FA78" s="75">
        <v>-2.4291263504507221E-2</v>
      </c>
      <c r="FB78" s="75">
        <v>-8.2636143174440568E-2</v>
      </c>
      <c r="FC78" s="75">
        <v>1.5450402475115477E-2</v>
      </c>
      <c r="FD78" s="75">
        <v>-3.006168927182698E-2</v>
      </c>
      <c r="FE78" s="75">
        <v>-1.2677700458083474E-2</v>
      </c>
      <c r="FF78" s="75">
        <v>1.6854065211152292E-2</v>
      </c>
      <c r="FG78" s="75">
        <v>2.2090683647532222E-2</v>
      </c>
      <c r="FH78" s="75">
        <v>1.6977130198602614E-2</v>
      </c>
      <c r="FI78" s="75">
        <v>6.2411937912185883E-2</v>
      </c>
      <c r="FJ78" s="75">
        <v>-4.1400717078184268E-2</v>
      </c>
      <c r="FK78" s="75">
        <v>-1.7716191740915821E-2</v>
      </c>
      <c r="FL78" s="75">
        <v>-7.9699914982180209E-2</v>
      </c>
      <c r="FM78" s="75">
        <v>5.273801626167246E-2</v>
      </c>
      <c r="FN78" s="75">
        <v>4.8268513113680633E-3</v>
      </c>
      <c r="FO78" s="75">
        <v>-3.3035084350195587E-3</v>
      </c>
      <c r="FP78" s="75">
        <v>6.1060967990058834E-2</v>
      </c>
      <c r="FQ78" s="75">
        <v>3.6008098961042095E-2</v>
      </c>
      <c r="FR78" s="75">
        <v>3.9179332244317799E-2</v>
      </c>
      <c r="FS78" s="75">
        <v>6.176555124111166E-2</v>
      </c>
      <c r="FT78" s="75">
        <v>-5.2769488208914028E-2</v>
      </c>
      <c r="FU78" s="75">
        <v>1.5414923283229576E-3</v>
      </c>
      <c r="FV78" s="75">
        <v>-1.9756285376184929E-2</v>
      </c>
      <c r="FW78" s="75">
        <v>1.3048294057302012E-2</v>
      </c>
      <c r="FX78" s="75">
        <v>7.8033869354509761E-2</v>
      </c>
      <c r="FY78" s="75">
        <v>-2.2574498694881429E-3</v>
      </c>
      <c r="FZ78" s="75">
        <v>-1.7324759627787262E-2</v>
      </c>
      <c r="GA78" s="75">
        <v>0.1155063171624324</v>
      </c>
      <c r="GB78" s="75">
        <v>4.6953966260853769E-2</v>
      </c>
      <c r="GC78" s="75">
        <v>-4.1919226045876945E-2</v>
      </c>
      <c r="GD78" s="75">
        <v>3.2955550380597498E-2</v>
      </c>
      <c r="GE78" s="75">
        <v>-4.6580016063803409E-2</v>
      </c>
      <c r="GF78" s="75">
        <v>4.6044390536840119E-2</v>
      </c>
      <c r="GG78" s="75">
        <v>8.4226808977749812E-3</v>
      </c>
      <c r="GH78" s="75">
        <v>2.3051842316947319E-2</v>
      </c>
      <c r="GI78" s="75">
        <v>-5.3867664997052339E-2</v>
      </c>
      <c r="GJ78" s="75">
        <v>3.548539509826748E-2</v>
      </c>
      <c r="GK78" s="75">
        <v>-4.2261985073663216E-2</v>
      </c>
      <c r="GL78" s="75">
        <v>4.6103515958662689E-2</v>
      </c>
      <c r="GM78" s="75">
        <v>-3.5317838980314487E-2</v>
      </c>
      <c r="GN78" s="75">
        <v>1.2912008974786948E-3</v>
      </c>
      <c r="GO78" s="75">
        <v>1.0640036568598799E-2</v>
      </c>
      <c r="GP78" s="75">
        <v>-1.7554484100395562E-2</v>
      </c>
      <c r="GQ78" s="75">
        <v>-3.1951759525028572E-2</v>
      </c>
      <c r="GR78" s="75">
        <v>6.2408970787966978E-2</v>
      </c>
      <c r="GS78" s="75">
        <v>3.6942170394851676E-2</v>
      </c>
      <c r="GT78" s="75">
        <v>-2.9538093847417929E-2</v>
      </c>
      <c r="GU78" s="75">
        <v>4.6619930696247064E-2</v>
      </c>
      <c r="GV78" s="75">
        <v>1.6150573493319192E-2</v>
      </c>
      <c r="GW78" s="75">
        <v>-3.3383275966601067E-2</v>
      </c>
      <c r="GX78" s="75">
        <v>2.8546582283167948E-2</v>
      </c>
      <c r="GY78" s="75">
        <v>2.4622555414878011E-2</v>
      </c>
      <c r="GZ78" s="75">
        <v>9.0651044069864795E-2</v>
      </c>
      <c r="HA78" s="75">
        <v>-3.9054512405754638E-2</v>
      </c>
      <c r="HB78" s="75">
        <v>0.10639707864184855</v>
      </c>
      <c r="HC78" s="75">
        <v>-8.6618328717522897E-2</v>
      </c>
      <c r="HD78" s="75">
        <v>-7.5753440718394877E-2</v>
      </c>
      <c r="HE78" s="75">
        <v>9.6165904198088126E-2</v>
      </c>
      <c r="HF78" s="75">
        <v>-1.1118580071806328E-2</v>
      </c>
      <c r="HG78" s="75">
        <v>-3.7072661162276033E-2</v>
      </c>
      <c r="HH78" s="75">
        <v>-4.6149512687826522E-2</v>
      </c>
      <c r="HI78" s="75">
        <v>7.7135063098222462E-2</v>
      </c>
      <c r="HJ78" s="75">
        <v>1.8414728063905483E-2</v>
      </c>
      <c r="HK78" s="75">
        <v>-2.6737287222982631E-2</v>
      </c>
      <c r="HL78" s="75">
        <v>-2.3303061070802017E-2</v>
      </c>
      <c r="HM78" s="75">
        <v>1.3011773526906023E-2</v>
      </c>
      <c r="HN78" s="75">
        <v>2.464630213689939E-2</v>
      </c>
      <c r="HO78" s="75">
        <v>-7.5780138456252588E-3</v>
      </c>
      <c r="HP78" s="75">
        <v>3.0589259267970875E-2</v>
      </c>
      <c r="HQ78" s="75">
        <v>-8.3016361378821873E-2</v>
      </c>
      <c r="HR78" s="75">
        <v>-5.0271430164952835E-2</v>
      </c>
      <c r="HS78" s="75">
        <v>-0.12877457526155553</v>
      </c>
      <c r="HT78" s="75">
        <v>-3.1891342385211963E-2</v>
      </c>
      <c r="HU78" s="75">
        <v>-1.3087508380119905E-2</v>
      </c>
      <c r="HV78" s="75">
        <v>-9.8636354321027492E-2</v>
      </c>
      <c r="HW78" s="75">
        <v>0.12997415938964677</v>
      </c>
      <c r="HX78" s="75">
        <v>1.7045857005471121E-2</v>
      </c>
      <c r="HY78" s="75">
        <v>-2.4880565307394104E-2</v>
      </c>
      <c r="HZ78" s="75">
        <v>8.3639917671464198E-2</v>
      </c>
      <c r="IA78" s="75">
        <v>-4.1884116489992851E-2</v>
      </c>
      <c r="IB78" s="75">
        <v>4.8950446699399242E-3</v>
      </c>
      <c r="IC78" s="75">
        <v>-8.3887712662481517E-3</v>
      </c>
      <c r="ID78" s="75">
        <v>-3.1801934293232664E-2</v>
      </c>
      <c r="IE78" s="75">
        <v>-0.10216741834391996</v>
      </c>
      <c r="IF78" s="75">
        <v>-2.3478561533151865E-2</v>
      </c>
      <c r="IG78" s="75">
        <v>8.9502697212725524E-3</v>
      </c>
      <c r="IH78" s="75">
        <v>-9.4223938213446601E-3</v>
      </c>
      <c r="II78" s="75">
        <v>-5.018895620328559E-2</v>
      </c>
      <c r="IJ78" s="75">
        <v>0.1159440557721729</v>
      </c>
      <c r="IK78" s="75">
        <v>5.2529724542681899E-2</v>
      </c>
      <c r="IL78" s="75">
        <v>-4.4522094371782922E-2</v>
      </c>
      <c r="IM78" s="75">
        <v>-0.10916086762880189</v>
      </c>
      <c r="IN78" s="75">
        <v>-0.1095580479152426</v>
      </c>
      <c r="IO78" s="75">
        <v>-3.4141759866858246E-2</v>
      </c>
      <c r="IP78" s="75">
        <v>-4.0148021481637514E-2</v>
      </c>
      <c r="IQ78" s="75">
        <v>-2.2379851989264121E-2</v>
      </c>
      <c r="IR78" s="75">
        <v>-2.4423977372463324E-3</v>
      </c>
      <c r="IS78" s="75">
        <v>-4.2031864706555622E-2</v>
      </c>
      <c r="IT78" s="75">
        <v>6.9876032514016972E-2</v>
      </c>
      <c r="IU78" s="75">
        <v>0.12735376689603128</v>
      </c>
    </row>
    <row r="79" spans="1:255" s="74" customFormat="1" ht="14.5" x14ac:dyDescent="0.35">
      <c r="A79" s="73"/>
      <c r="B79" s="78">
        <v>6.5</v>
      </c>
      <c r="C79" s="77">
        <f t="shared" si="43"/>
        <v>2.2701896717519165E-2</v>
      </c>
      <c r="D79" s="76">
        <f t="shared" si="44"/>
        <v>6.5764349079641515E-2</v>
      </c>
      <c r="E79" s="75">
        <v>-3.6894371370968876E-2</v>
      </c>
      <c r="F79" s="75">
        <v>9.7652663227675102E-2</v>
      </c>
      <c r="G79" s="75">
        <v>0.10066554327629293</v>
      </c>
      <c r="H79" s="75">
        <v>-2.1901952430755572E-2</v>
      </c>
      <c r="I79" s="75">
        <v>1.3041083445938906E-2</v>
      </c>
      <c r="J79" s="75">
        <v>-2.5584847165826236E-2</v>
      </c>
      <c r="K79" s="75">
        <v>-2.344671394878009E-2</v>
      </c>
      <c r="L79" s="75">
        <v>2.3703202894488129E-2</v>
      </c>
      <c r="M79" s="75">
        <v>4.6770489074695165E-2</v>
      </c>
      <c r="N79" s="75">
        <v>5.7433150882920614E-2</v>
      </c>
      <c r="O79" s="75">
        <v>3.1007954697204965E-2</v>
      </c>
      <c r="P79" s="75">
        <v>-8.213473697999879E-3</v>
      </c>
      <c r="Q79" s="75">
        <v>-1.9877782434590541E-2</v>
      </c>
      <c r="R79" s="75">
        <v>2.7402168287567918E-2</v>
      </c>
      <c r="S79" s="75">
        <v>2.1625851920527767E-2</v>
      </c>
      <c r="T79" s="75">
        <v>-6.5868193190251945E-2</v>
      </c>
      <c r="U79" s="75">
        <v>-4.0619588019004671E-2</v>
      </c>
      <c r="V79" s="75">
        <v>2.0052879513361654E-2</v>
      </c>
      <c r="W79" s="75">
        <v>5.4632011357337945E-2</v>
      </c>
      <c r="X79" s="75">
        <v>6.4808543155501913E-2</v>
      </c>
      <c r="Y79" s="75">
        <v>-2.3478909390943326E-2</v>
      </c>
      <c r="Z79" s="75">
        <v>4.611012562628114E-2</v>
      </c>
      <c r="AA79" s="75">
        <v>-4.6801707394841074E-2</v>
      </c>
      <c r="AB79" s="75">
        <v>5.8203709516260027E-2</v>
      </c>
      <c r="AC79" s="75">
        <v>1.6212286072854826E-2</v>
      </c>
      <c r="AD79" s="75">
        <v>3.4280514926319644E-2</v>
      </c>
      <c r="AE79" s="75">
        <v>-8.6101429375824795E-2</v>
      </c>
      <c r="AF79" s="75">
        <v>1.6511174453281041E-2</v>
      </c>
      <c r="AG79" s="75">
        <v>3.9792692026128645E-2</v>
      </c>
      <c r="AH79" s="75">
        <v>-1.2314181777911187E-2</v>
      </c>
      <c r="AI79" s="75">
        <v>-0.11907895418388317</v>
      </c>
      <c r="AJ79" s="75">
        <v>-3.4809698423216351E-2</v>
      </c>
      <c r="AK79" s="75">
        <v>3.3953478326302133E-2</v>
      </c>
      <c r="AL79" s="75">
        <v>7.0295783340186713E-2</v>
      </c>
      <c r="AM79" s="75">
        <v>4.2162309122970587E-3</v>
      </c>
      <c r="AN79" s="75">
        <v>2.1223910993601103E-2</v>
      </c>
      <c r="AO79" s="75">
        <v>2.5899149913627656E-2</v>
      </c>
      <c r="AP79" s="75">
        <v>6.5712494105413494E-2</v>
      </c>
      <c r="AQ79" s="75">
        <v>3.1551477176360448E-2</v>
      </c>
      <c r="AR79" s="75">
        <v>4.758260360734981E-2</v>
      </c>
      <c r="AS79" s="75">
        <v>6.7166760106354279E-2</v>
      </c>
      <c r="AT79" s="75">
        <v>3.8953825084938276E-2</v>
      </c>
      <c r="AU79" s="75">
        <v>-2.6699611836287773E-2</v>
      </c>
      <c r="AV79" s="75">
        <v>-7.2973086605342602E-2</v>
      </c>
      <c r="AW79" s="75">
        <v>-9.475945565701771E-2</v>
      </c>
      <c r="AX79" s="75">
        <v>3.2686138632565837E-2</v>
      </c>
      <c r="AY79" s="75">
        <v>-1.5149168822388953E-2</v>
      </c>
      <c r="AZ79" s="75">
        <v>5.607381564284844E-2</v>
      </c>
      <c r="BA79" s="75">
        <v>-7.7210975515027369E-2</v>
      </c>
      <c r="BB79" s="75">
        <v>-6.3448263861809601E-2</v>
      </c>
      <c r="BC79" s="75">
        <v>1.9815069381779848E-2</v>
      </c>
      <c r="BD79" s="75">
        <v>-7.5056554014190341E-2</v>
      </c>
      <c r="BE79" s="75">
        <v>5.0509135095983093E-2</v>
      </c>
      <c r="BF79" s="75">
        <v>-0.12131325531036369</v>
      </c>
      <c r="BG79" s="75">
        <v>-2.8567226865727879E-2</v>
      </c>
      <c r="BH79" s="75">
        <v>-3.5655890280792496E-2</v>
      </c>
      <c r="BI79" s="75">
        <v>-7.4940711890953027E-2</v>
      </c>
      <c r="BJ79" s="75">
        <v>4.5650937473465047E-2</v>
      </c>
      <c r="BK79" s="75">
        <v>-2.1011575087983431E-2</v>
      </c>
      <c r="BL79" s="75">
        <v>-3.8257035868971001E-3</v>
      </c>
      <c r="BM79" s="75">
        <v>-4.5346446064261359E-2</v>
      </c>
      <c r="BN79" s="75">
        <v>-9.2665011272364539E-3</v>
      </c>
      <c r="BO79" s="75">
        <v>-2.6495909528414407E-2</v>
      </c>
      <c r="BP79" s="75">
        <v>5.8944956979606111E-2</v>
      </c>
      <c r="BQ79" s="75">
        <v>-6.1396370035498554E-2</v>
      </c>
      <c r="BR79" s="75">
        <v>-4.1219278829151246E-2</v>
      </c>
      <c r="BS79" s="75">
        <v>4.2775225154538632E-2</v>
      </c>
      <c r="BT79" s="75">
        <v>5.255175543169241E-2</v>
      </c>
      <c r="BU79" s="75">
        <v>2.3091139148680995E-2</v>
      </c>
      <c r="BV79" s="75">
        <v>-5.0372362251392994E-2</v>
      </c>
      <c r="BW79" s="75">
        <v>9.3536014292328051E-4</v>
      </c>
      <c r="BX79" s="75">
        <v>4.2684855525733506E-2</v>
      </c>
      <c r="BY79" s="75">
        <v>-3.5533498988760681E-3</v>
      </c>
      <c r="BZ79" s="75">
        <v>-4.5189535702759576E-2</v>
      </c>
      <c r="CA79" s="75">
        <v>6.7804347685178901E-2</v>
      </c>
      <c r="CB79" s="75">
        <v>5.604274313683838E-2</v>
      </c>
      <c r="CC79" s="75">
        <v>-5.8956879272428764E-3</v>
      </c>
      <c r="CD79" s="75">
        <v>-2.0633601649977074E-2</v>
      </c>
      <c r="CE79" s="75">
        <v>4.340104737348055E-3</v>
      </c>
      <c r="CF79" s="75">
        <v>3.5634372065792341E-2</v>
      </c>
      <c r="CG79" s="75">
        <v>2.3304125395127967E-2</v>
      </c>
      <c r="CH79" s="75">
        <v>-6.1655919930285574E-2</v>
      </c>
      <c r="CI79" s="75">
        <v>1.103295408723784E-2</v>
      </c>
      <c r="CJ79" s="75">
        <v>-5.7824277286102149E-2</v>
      </c>
      <c r="CK79" s="75">
        <v>4.683322551108815E-3</v>
      </c>
      <c r="CL79" s="75">
        <v>3.1416308730530834E-2</v>
      </c>
      <c r="CM79" s="75">
        <v>-7.0152081552030676E-3</v>
      </c>
      <c r="CN79" s="75">
        <v>4.3205532449689887E-2</v>
      </c>
      <c r="CO79" s="75">
        <v>-7.2474528666364391E-2</v>
      </c>
      <c r="CP79" s="75">
        <v>-2.2867970789513137E-2</v>
      </c>
      <c r="CQ79" s="75">
        <v>2.6901556744016564E-2</v>
      </c>
      <c r="CR79" s="75">
        <v>3.2991754879852064E-2</v>
      </c>
      <c r="CS79" s="75">
        <v>1.1696703502316219E-2</v>
      </c>
      <c r="CT79" s="75">
        <v>6.4270333078500441E-2</v>
      </c>
      <c r="CU79" s="75">
        <v>6.5764349079641515E-2</v>
      </c>
      <c r="CV79" s="75">
        <v>-3.3454959836094478E-3</v>
      </c>
      <c r="CW79" s="75">
        <v>-2.198895478063706E-2</v>
      </c>
      <c r="CX79" s="75">
        <v>6.6917850197319412E-2</v>
      </c>
      <c r="CY79" s="75">
        <v>-1.3316191989635101E-2</v>
      </c>
      <c r="CZ79" s="75">
        <v>9.1070470151460331E-2</v>
      </c>
      <c r="DA79" s="75">
        <v>-3.9154934800115088E-2</v>
      </c>
      <c r="DB79" s="75">
        <v>-8.6211388709324821E-2</v>
      </c>
      <c r="DC79" s="75">
        <v>-8.4070399035660992E-2</v>
      </c>
      <c r="DD79" s="75">
        <v>2.503227672779551E-2</v>
      </c>
      <c r="DE79" s="75">
        <v>9.9921213095239825E-3</v>
      </c>
      <c r="DF79" s="75">
        <v>6.6874653686917584E-2</v>
      </c>
      <c r="DG79" s="75">
        <v>2.2985295405768214E-2</v>
      </c>
      <c r="DH79" s="75">
        <v>2.0467543591149218E-2</v>
      </c>
      <c r="DI79" s="75">
        <v>-1.0156523452874294E-2</v>
      </c>
      <c r="DJ79" s="75">
        <v>-2.0305946659740226E-3</v>
      </c>
      <c r="DK79" s="75">
        <v>1.8745853551352387E-4</v>
      </c>
      <c r="DL79" s="75">
        <v>2.8503763723518372E-2</v>
      </c>
      <c r="DM79" s="75">
        <v>5.0072672315946143E-2</v>
      </c>
      <c r="DN79" s="75">
        <v>5.0516938048152382E-3</v>
      </c>
      <c r="DO79" s="75">
        <v>-2.3163859266739001E-2</v>
      </c>
      <c r="DP79" s="75">
        <v>6.6039667141132019E-3</v>
      </c>
      <c r="DQ79" s="75">
        <v>-1.1858773402897399E-2</v>
      </c>
      <c r="DR79" s="75">
        <v>8.8574435592982115E-3</v>
      </c>
      <c r="DS79" s="75">
        <v>1.6607382521066638E-3</v>
      </c>
      <c r="DT79" s="75">
        <v>6.4224952593893908E-2</v>
      </c>
      <c r="DU79" s="75">
        <v>6.5318467131015301E-3</v>
      </c>
      <c r="DV79" s="75">
        <v>-2.1951251014566714E-2</v>
      </c>
      <c r="DW79" s="75">
        <v>5.4436116815167662E-2</v>
      </c>
      <c r="DX79" s="75">
        <v>-7.0051082199705128E-2</v>
      </c>
      <c r="DY79" s="75">
        <v>-2.2891605933450077E-2</v>
      </c>
      <c r="DZ79" s="75">
        <v>5.3658644099815161E-2</v>
      </c>
      <c r="EA79" s="75">
        <v>-0.11843265890618443</v>
      </c>
      <c r="EB79" s="75">
        <v>-7.9652653636913651E-2</v>
      </c>
      <c r="EC79" s="75">
        <v>5.8552543783326638E-2</v>
      </c>
      <c r="ED79" s="75">
        <v>3.8218256214160307E-3</v>
      </c>
      <c r="EE79" s="75">
        <v>2.1552365688787323E-2</v>
      </c>
      <c r="EF79" s="75">
        <v>3.1094702271027008E-3</v>
      </c>
      <c r="EG79" s="75">
        <v>1.5165276474413347E-2</v>
      </c>
      <c r="EH79" s="75">
        <v>8.1138976591040857E-3</v>
      </c>
      <c r="EI79" s="75">
        <v>-6.0092530657795046E-2</v>
      </c>
      <c r="EJ79" s="75">
        <v>0.11922788990954081</v>
      </c>
      <c r="EK79" s="75">
        <v>1.8087357793301673E-2</v>
      </c>
      <c r="EL79" s="75">
        <v>-4.4912730699256304E-2</v>
      </c>
      <c r="EM79" s="75">
        <v>2.5920614596162128E-2</v>
      </c>
      <c r="EN79" s="75">
        <v>-5.9317173207924068E-2</v>
      </c>
      <c r="EO79" s="75">
        <v>6.3068897913430289E-3</v>
      </c>
      <c r="EP79" s="75">
        <v>-1.4189432671491725E-2</v>
      </c>
      <c r="EQ79" s="75">
        <v>-7.8018442670349186E-2</v>
      </c>
      <c r="ER79" s="75">
        <v>5.8161760538372437E-2</v>
      </c>
      <c r="ES79" s="75">
        <v>-2.6581076082671462E-2</v>
      </c>
      <c r="ET79" s="75">
        <v>5.3635222854012621E-2</v>
      </c>
      <c r="EU79" s="75">
        <v>4.8219095208151375E-2</v>
      </c>
      <c r="EV79" s="75">
        <v>5.5873997413698473E-2</v>
      </c>
      <c r="EW79" s="75">
        <v>1.5075576851204198E-2</v>
      </c>
      <c r="EX79" s="75">
        <v>3.1064072764087292E-2</v>
      </c>
      <c r="EY79" s="75">
        <v>3.6513191297729342E-2</v>
      </c>
      <c r="EZ79" s="75">
        <v>-4.7809404371914166E-2</v>
      </c>
      <c r="FA79" s="75">
        <v>-3.5122573684633507E-2</v>
      </c>
      <c r="FB79" s="75">
        <v>-7.2642984208961398E-2</v>
      </c>
      <c r="FC79" s="75">
        <v>3.1733252766794312E-2</v>
      </c>
      <c r="FD79" s="75">
        <v>9.3829847169246972E-2</v>
      </c>
      <c r="FE79" s="75">
        <v>5.7445013889312335E-2</v>
      </c>
      <c r="FF79" s="75">
        <v>-5.8323368913541063E-2</v>
      </c>
      <c r="FG79" s="75">
        <v>1.7987658129454465E-2</v>
      </c>
      <c r="FH79" s="75">
        <v>8.7670267659735679E-2</v>
      </c>
      <c r="FI79" s="75">
        <v>-1.9066908087023715E-3</v>
      </c>
      <c r="FJ79" s="75">
        <v>2.0356277559499425E-2</v>
      </c>
      <c r="FK79" s="75">
        <v>1.5213911047830292E-2</v>
      </c>
      <c r="FL79" s="75">
        <v>-6.6662133107921184E-2</v>
      </c>
      <c r="FM79" s="75">
        <v>3.976395508008479E-2</v>
      </c>
      <c r="FN79" s="75">
        <v>2.8254299915562137E-2</v>
      </c>
      <c r="FO79" s="75">
        <v>-1.4327069723548386E-2</v>
      </c>
      <c r="FP79" s="75">
        <v>5.3354805105488734E-2</v>
      </c>
      <c r="FQ79" s="75">
        <v>3.3676385531937525E-2</v>
      </c>
      <c r="FR79" s="75">
        <v>3.9644995150413309E-2</v>
      </c>
      <c r="FS79" s="75">
        <v>6.249924118067085E-2</v>
      </c>
      <c r="FT79" s="75">
        <v>-3.3638475605543006E-2</v>
      </c>
      <c r="FU79" s="75">
        <v>6.4094755823848881E-3</v>
      </c>
      <c r="FV79" s="75">
        <v>-3.0527689936870162E-2</v>
      </c>
      <c r="FW79" s="75">
        <v>2.2120228762169458E-2</v>
      </c>
      <c r="FX79" s="75">
        <v>7.3011914799234634E-2</v>
      </c>
      <c r="FY79" s="75">
        <v>-1.1080664043216698E-2</v>
      </c>
      <c r="FZ79" s="75">
        <v>2.12397365530895E-2</v>
      </c>
      <c r="GA79" s="75">
        <v>0.10794298986551512</v>
      </c>
      <c r="GB79" s="75">
        <v>9.023600305145249E-2</v>
      </c>
      <c r="GC79" s="75">
        <v>7.2931726935543589E-2</v>
      </c>
      <c r="GD79" s="75">
        <v>3.0253689378744036E-2</v>
      </c>
      <c r="GE79" s="75">
        <v>-2.2847322327420622E-2</v>
      </c>
      <c r="GF79" s="75">
        <v>-1.2206070629743548E-2</v>
      </c>
      <c r="GG79" s="75">
        <v>-9.35341126630998E-3</v>
      </c>
      <c r="GH79" s="75">
        <v>6.5746782791497177E-2</v>
      </c>
      <c r="GI79" s="75">
        <v>-4.999529049287238E-2</v>
      </c>
      <c r="GJ79" s="75">
        <v>-9.5654758044039223E-3</v>
      </c>
      <c r="GK79" s="75">
        <v>-1.2759444949667159E-2</v>
      </c>
      <c r="GL79" s="75">
        <v>-5.8653765611314301E-2</v>
      </c>
      <c r="GM79" s="75">
        <v>-5.9264158746629853E-2</v>
      </c>
      <c r="GN79" s="75">
        <v>-3.1408075151609482E-2</v>
      </c>
      <c r="GO79" s="75">
        <v>6.2463155402195381E-3</v>
      </c>
      <c r="GP79" s="75">
        <v>-9.4358768285116856E-3</v>
      </c>
      <c r="GQ79" s="75">
        <v>9.8446107373548752E-3</v>
      </c>
      <c r="GR79" s="75">
        <v>6.8850777197911911E-2</v>
      </c>
      <c r="GS79" s="75">
        <v>2.8970359317712774E-2</v>
      </c>
      <c r="GT79" s="75">
        <v>-7.2939307372652529E-2</v>
      </c>
      <c r="GU79" s="75">
        <v>-1.1893466836735755E-2</v>
      </c>
      <c r="GV79" s="75">
        <v>3.9124537628538597E-2</v>
      </c>
      <c r="GW79" s="75">
        <v>-9.5908454049480951E-2</v>
      </c>
      <c r="GX79" s="75">
        <v>8.9038539416699258E-3</v>
      </c>
      <c r="GY79" s="75">
        <v>-4.3523308286364248E-2</v>
      </c>
      <c r="GZ79" s="75">
        <v>2.7254607419383015E-3</v>
      </c>
      <c r="HA79" s="75">
        <v>9.6456002823825382E-2</v>
      </c>
      <c r="HB79" s="75">
        <v>1.0645243419471179E-2</v>
      </c>
      <c r="HC79" s="75">
        <v>-4.0196729946648468E-2</v>
      </c>
      <c r="HD79" s="75">
        <v>-5.7764893309319748E-2</v>
      </c>
      <c r="HE79" s="75">
        <v>6.5942533940122255E-2</v>
      </c>
      <c r="HF79" s="75">
        <v>4.9184392550208622E-3</v>
      </c>
      <c r="HG79" s="75">
        <v>4.7625492471470271E-2</v>
      </c>
      <c r="HH79" s="75">
        <v>-2.0471058215469962E-2</v>
      </c>
      <c r="HI79" s="75">
        <v>8.1390124977673506E-2</v>
      </c>
      <c r="HJ79" s="75">
        <v>2.8787700795583848E-2</v>
      </c>
      <c r="HK79" s="75">
        <v>-7.0678734924067843E-3</v>
      </c>
      <c r="HL79" s="75">
        <v>-1.6640305687293022E-2</v>
      </c>
      <c r="HM79" s="75">
        <v>-2.4500194735659814E-2</v>
      </c>
      <c r="HN79" s="75">
        <v>2.9676723653009274E-2</v>
      </c>
      <c r="HO79" s="75">
        <v>-2.2900036337137442E-2</v>
      </c>
      <c r="HP79" s="75">
        <v>1.5427858281688273E-2</v>
      </c>
      <c r="HQ79" s="75">
        <v>-1.9231160507715561E-4</v>
      </c>
      <c r="HR79" s="75">
        <v>-4.6582460763044842E-2</v>
      </c>
      <c r="HS79" s="75">
        <v>3.0030017823637373E-2</v>
      </c>
      <c r="HT79" s="75">
        <v>4.0281531006576166E-2</v>
      </c>
      <c r="HU79" s="75">
        <v>1.9161102764467475E-2</v>
      </c>
      <c r="HV79" s="75">
        <v>7.4536572671532186E-2</v>
      </c>
      <c r="HW79" s="75">
        <v>-3.8533788738217084E-2</v>
      </c>
      <c r="HX79" s="75">
        <v>-9.6571967582153057E-2</v>
      </c>
      <c r="HY79" s="75">
        <v>-4.2627813928957842E-2</v>
      </c>
      <c r="HZ79" s="75">
        <v>7.1348049212027476E-2</v>
      </c>
      <c r="IA79" s="75">
        <v>-5.2832122302452184E-2</v>
      </c>
      <c r="IB79" s="75">
        <v>-6.8672225175048229E-3</v>
      </c>
      <c r="IC79" s="75">
        <v>1.193666992201084E-2</v>
      </c>
      <c r="ID79" s="75">
        <v>4.4683443013437352E-2</v>
      </c>
      <c r="IE79" s="75">
        <v>1.0652457216157762E-2</v>
      </c>
      <c r="IF79" s="75">
        <v>6.6988948659155084E-2</v>
      </c>
      <c r="IG79" s="75">
        <v>-7.3756752383837415E-2</v>
      </c>
      <c r="IH79" s="75">
        <v>-3.7065715358686024E-2</v>
      </c>
      <c r="II79" s="75">
        <v>-5.824466856184557E-2</v>
      </c>
      <c r="IJ79" s="75">
        <v>0.11189580034937546</v>
      </c>
      <c r="IK79" s="75">
        <v>-8.8738465746235506E-2</v>
      </c>
      <c r="IL79" s="75">
        <v>-7.6893331118076114E-3</v>
      </c>
      <c r="IM79" s="75">
        <v>4.6002374969116494E-2</v>
      </c>
      <c r="IN79" s="75">
        <v>-6.6080992712559655E-2</v>
      </c>
      <c r="IO79" s="75">
        <v>1.786928923704853E-2</v>
      </c>
      <c r="IP79" s="75">
        <v>7.6975671821370079E-2</v>
      </c>
      <c r="IQ79" s="75">
        <v>-9.0104882326454194E-2</v>
      </c>
      <c r="IR79" s="75">
        <v>-2.8622452213377225E-2</v>
      </c>
      <c r="IS79" s="75">
        <v>-9.2430309117207954E-2</v>
      </c>
      <c r="IT79" s="75">
        <v>8.4138157098586713E-2</v>
      </c>
      <c r="IU79" s="75">
        <v>0.1093163896633749</v>
      </c>
    </row>
    <row r="80" spans="1:255" s="74" customFormat="1" ht="14.5" x14ac:dyDescent="0.35">
      <c r="A80" s="73"/>
      <c r="B80" s="78">
        <v>6.75</v>
      </c>
      <c r="C80" s="77">
        <f t="shared" si="43"/>
        <v>2.0846562174461153E-2</v>
      </c>
      <c r="D80" s="76">
        <f t="shared" si="44"/>
        <v>6.3360023835630885E-2</v>
      </c>
      <c r="E80" s="75">
        <v>-4.0324546266104322E-2</v>
      </c>
      <c r="F80" s="75">
        <v>7.3447677246131438E-2</v>
      </c>
      <c r="G80" s="75">
        <v>8.5293851837608653E-2</v>
      </c>
      <c r="H80" s="75">
        <v>-1.7432261211558969E-2</v>
      </c>
      <c r="I80" s="75">
        <v>1.1561583365366584E-2</v>
      </c>
      <c r="J80" s="75">
        <v>-2.976420574473318E-2</v>
      </c>
      <c r="K80" s="75">
        <v>-1.0308085377162185E-2</v>
      </c>
      <c r="L80" s="75">
        <v>1.7541815108687103E-2</v>
      </c>
      <c r="M80" s="75">
        <v>2.3017226284527431E-2</v>
      </c>
      <c r="N80" s="75">
        <v>5.5308594063149807E-2</v>
      </c>
      <c r="O80" s="75">
        <v>2.7334042653422985E-2</v>
      </c>
      <c r="P80" s="75">
        <v>1.1065326807292608E-2</v>
      </c>
      <c r="Q80" s="75">
        <v>-4.0782791123176426E-2</v>
      </c>
      <c r="R80" s="75">
        <v>1.9977038658537671E-2</v>
      </c>
      <c r="S80" s="75">
        <v>-1.0024422016183809E-3</v>
      </c>
      <c r="T80" s="75">
        <v>-5.6146441735118735E-2</v>
      </c>
      <c r="U80" s="75">
        <v>-1.3041633815904008E-2</v>
      </c>
      <c r="V80" s="75">
        <v>4.1523988384501803E-2</v>
      </c>
      <c r="W80" s="75">
        <v>6.8207614792382576E-2</v>
      </c>
      <c r="X80" s="75">
        <v>4.2847090109326136E-2</v>
      </c>
      <c r="Y80" s="75">
        <v>-2.5858323901802371E-2</v>
      </c>
      <c r="Z80" s="75">
        <v>4.9908963583580684E-2</v>
      </c>
      <c r="AA80" s="75">
        <v>-4.2627445364599115E-2</v>
      </c>
      <c r="AB80" s="75">
        <v>4.9805420927051619E-2</v>
      </c>
      <c r="AC80" s="75">
        <v>2.3782638310644727E-2</v>
      </c>
      <c r="AD80" s="75">
        <v>2.5606356249820689E-2</v>
      </c>
      <c r="AE80" s="75">
        <v>-6.7306742479066317E-2</v>
      </c>
      <c r="AF80" s="75">
        <v>-3.7513993982289107E-3</v>
      </c>
      <c r="AG80" s="75">
        <v>4.0830721746964893E-2</v>
      </c>
      <c r="AH80" s="75">
        <v>-8.191625638695077E-3</v>
      </c>
      <c r="AI80" s="75">
        <v>-9.1167774614967861E-2</v>
      </c>
      <c r="AJ80" s="75">
        <v>-4.6335798647948401E-2</v>
      </c>
      <c r="AK80" s="75">
        <v>4.4675509455325974E-2</v>
      </c>
      <c r="AL80" s="75">
        <v>8.680719965691186E-2</v>
      </c>
      <c r="AM80" s="75">
        <v>7.0465819720047507E-3</v>
      </c>
      <c r="AN80" s="75">
        <v>1.8255077768770278E-2</v>
      </c>
      <c r="AO80" s="75">
        <v>2.1754587953821847E-2</v>
      </c>
      <c r="AP80" s="75">
        <v>7.4388792876022264E-2</v>
      </c>
      <c r="AQ80" s="75">
        <v>4.0288327439435556E-2</v>
      </c>
      <c r="AR80" s="75">
        <v>5.3133233200042262E-2</v>
      </c>
      <c r="AS80" s="75">
        <v>4.900185825431333E-2</v>
      </c>
      <c r="AT80" s="75">
        <v>3.6735455629942404E-2</v>
      </c>
      <c r="AU80" s="75">
        <v>-2.4794223380453423E-2</v>
      </c>
      <c r="AV80" s="75">
        <v>-5.7590017600806065E-2</v>
      </c>
      <c r="AW80" s="75">
        <v>-7.2484370919008306E-2</v>
      </c>
      <c r="AX80" s="75">
        <v>3.9807157043804248E-2</v>
      </c>
      <c r="AY80" s="75">
        <v>-1.4179016877446965E-2</v>
      </c>
      <c r="AZ80" s="75">
        <v>7.2267247823409375E-2</v>
      </c>
      <c r="BA80" s="75">
        <v>-6.5070303214012221E-2</v>
      </c>
      <c r="BB80" s="75">
        <v>-7.1153288431335421E-2</v>
      </c>
      <c r="BC80" s="75">
        <v>8.5033837837078241E-3</v>
      </c>
      <c r="BD80" s="75">
        <v>-8.1812810833133603E-2</v>
      </c>
      <c r="BE80" s="75">
        <v>6.0459420251445573E-2</v>
      </c>
      <c r="BF80" s="75">
        <v>-0.11844804571380954</v>
      </c>
      <c r="BG80" s="75">
        <v>-5.3302517062484484E-2</v>
      </c>
      <c r="BH80" s="75">
        <v>-4.3592949723633423E-2</v>
      </c>
      <c r="BI80" s="75">
        <v>-6.7040201406166677E-2</v>
      </c>
      <c r="BJ80" s="75">
        <v>2.3949679379168587E-2</v>
      </c>
      <c r="BK80" s="75">
        <v>-3.6972505482196411E-2</v>
      </c>
      <c r="BL80" s="75">
        <v>-3.1935319546911256E-2</v>
      </c>
      <c r="BM80" s="75">
        <v>-3.3675222104741998E-2</v>
      </c>
      <c r="BN80" s="75">
        <v>-4.0806148903872741E-3</v>
      </c>
      <c r="BO80" s="75">
        <v>-3.5932201518390272E-2</v>
      </c>
      <c r="BP80" s="75">
        <v>4.78159365982323E-2</v>
      </c>
      <c r="BQ80" s="75">
        <v>-5.5827567837634234E-2</v>
      </c>
      <c r="BR80" s="75">
        <v>-3.6050766734457756E-2</v>
      </c>
      <c r="BS80" s="75">
        <v>4.7324246016067717E-2</v>
      </c>
      <c r="BT80" s="75">
        <v>4.955374931001022E-2</v>
      </c>
      <c r="BU80" s="75">
        <v>1.8644534086860731E-2</v>
      </c>
      <c r="BV80" s="75">
        <v>-4.4257395622492673E-2</v>
      </c>
      <c r="BW80" s="75">
        <v>1.4173493506984741E-2</v>
      </c>
      <c r="BX80" s="75">
        <v>2.9482773019282316E-3</v>
      </c>
      <c r="BY80" s="75">
        <v>1.5543646341445727E-2</v>
      </c>
      <c r="BZ80" s="75">
        <v>-3.9697261449249371E-2</v>
      </c>
      <c r="CA80" s="75">
        <v>5.6600135965278575E-2</v>
      </c>
      <c r="CB80" s="75">
        <v>5.674877981024834E-2</v>
      </c>
      <c r="CC80" s="75">
        <v>-2.2480098750287253E-2</v>
      </c>
      <c r="CD80" s="75">
        <v>-2.3071204116536237E-2</v>
      </c>
      <c r="CE80" s="75">
        <v>-7.3027253267934911E-4</v>
      </c>
      <c r="CF80" s="75">
        <v>4.3924606538286698E-2</v>
      </c>
      <c r="CG80" s="75">
        <v>3.167180652183052E-2</v>
      </c>
      <c r="CH80" s="75">
        <v>-7.1066831066603137E-2</v>
      </c>
      <c r="CI80" s="75">
        <v>-1.0988215850690569E-2</v>
      </c>
      <c r="CJ80" s="75">
        <v>-5.923338905873729E-2</v>
      </c>
      <c r="CK80" s="75">
        <v>1.0740737473238809E-2</v>
      </c>
      <c r="CL80" s="75">
        <v>2.0432328473650035E-2</v>
      </c>
      <c r="CM80" s="75">
        <v>-3.8380641552852868E-3</v>
      </c>
      <c r="CN80" s="75">
        <v>3.6126794489454217E-2</v>
      </c>
      <c r="CO80" s="75">
        <v>-3.5043236739005501E-2</v>
      </c>
      <c r="CP80" s="75">
        <v>-4.0337293313101902E-2</v>
      </c>
      <c r="CQ80" s="75">
        <v>4.0890403026419414E-2</v>
      </c>
      <c r="CR80" s="75">
        <v>2.9931687569754534E-2</v>
      </c>
      <c r="CS80" s="75">
        <v>-1.2915909950225096E-2</v>
      </c>
      <c r="CT80" s="75">
        <v>4.3527245154862393E-2</v>
      </c>
      <c r="CU80" s="75">
        <v>7.8417109111663497E-2</v>
      </c>
      <c r="CV80" s="75">
        <v>-3.9355245791999061E-3</v>
      </c>
      <c r="CW80" s="75">
        <v>-2.6443093371923659E-2</v>
      </c>
      <c r="CX80" s="75">
        <v>9.4539677382216691E-2</v>
      </c>
      <c r="CY80" s="75">
        <v>-1.3180721193690376E-2</v>
      </c>
      <c r="CZ80" s="75">
        <v>8.6644905411067397E-2</v>
      </c>
      <c r="DA80" s="75">
        <v>-4.2820278804415551E-2</v>
      </c>
      <c r="DB80" s="75">
        <v>1.978322484612155E-2</v>
      </c>
      <c r="DC80" s="75">
        <v>-7.0178442457018153E-3</v>
      </c>
      <c r="DD80" s="75">
        <v>1.5541822273888894E-2</v>
      </c>
      <c r="DE80" s="75">
        <v>-9.5891125474360239E-3</v>
      </c>
      <c r="DF80" s="75">
        <v>3.8556498838471065E-2</v>
      </c>
      <c r="DG80" s="75">
        <v>-9.4062213143137618E-3</v>
      </c>
      <c r="DH80" s="75">
        <v>-4.8167639349204788E-2</v>
      </c>
      <c r="DI80" s="75">
        <v>-3.5936101078254123E-3</v>
      </c>
      <c r="DJ80" s="75">
        <v>1.6787013391603545E-2</v>
      </c>
      <c r="DK80" s="75">
        <v>-3.9080783275605463E-2</v>
      </c>
      <c r="DL80" s="75">
        <v>2.3048864957483706E-2</v>
      </c>
      <c r="DM80" s="75">
        <v>6.6204132214195938E-2</v>
      </c>
      <c r="DN80" s="75">
        <v>5.894948225821206E-3</v>
      </c>
      <c r="DO80" s="75">
        <v>-2.6513654198245806E-3</v>
      </c>
      <c r="DP80" s="75">
        <v>2.1089677175407134E-2</v>
      </c>
      <c r="DQ80" s="75">
        <v>-3.3232532991936597E-2</v>
      </c>
      <c r="DR80" s="75">
        <v>-1.2535289600517363E-3</v>
      </c>
      <c r="DS80" s="75">
        <v>-6.4778618244674291E-2</v>
      </c>
      <c r="DT80" s="75">
        <v>6.3635636536391538E-2</v>
      </c>
      <c r="DU80" s="75">
        <v>8.5903767629984029E-2</v>
      </c>
      <c r="DV80" s="75">
        <v>6.3361427946341642E-2</v>
      </c>
      <c r="DW80" s="75">
        <v>6.3360023835630885E-2</v>
      </c>
      <c r="DX80" s="75">
        <v>4.1783625926888529E-2</v>
      </c>
      <c r="DY80" s="75">
        <v>-2.0407772771448451E-2</v>
      </c>
      <c r="DZ80" s="75">
        <v>6.0066840170316133E-2</v>
      </c>
      <c r="EA80" s="75">
        <v>7.7961114974886836E-3</v>
      </c>
      <c r="EB80" s="75">
        <v>4.3212633456093663E-3</v>
      </c>
      <c r="EC80" s="75">
        <v>-3.7387727419734063E-2</v>
      </c>
      <c r="ED80" s="75">
        <v>-0.14973213439720187</v>
      </c>
      <c r="EE80" s="75">
        <v>2.3897744255212211E-2</v>
      </c>
      <c r="EF80" s="75">
        <v>-1.2981782630756555E-3</v>
      </c>
      <c r="EG80" s="75">
        <v>9.3195100821807708E-2</v>
      </c>
      <c r="EH80" s="75">
        <v>6.2693483290927332E-3</v>
      </c>
      <c r="EI80" s="75">
        <v>-6.085705019501722E-2</v>
      </c>
      <c r="EJ80" s="75">
        <v>3.5482445868028734E-2</v>
      </c>
      <c r="EK80" s="75">
        <v>2.606619127098142E-2</v>
      </c>
      <c r="EL80" s="75">
        <v>3.1619642277668308E-2</v>
      </c>
      <c r="EM80" s="75">
        <v>0.11194142339358326</v>
      </c>
      <c r="EN80" s="75">
        <v>1.4088864352747033E-3</v>
      </c>
      <c r="EO80" s="75">
        <v>2.7651370171142831E-3</v>
      </c>
      <c r="EP80" s="75">
        <v>-1.9027441958056418E-2</v>
      </c>
      <c r="EQ80" s="75">
        <v>-6.9090412637458687E-2</v>
      </c>
      <c r="ER80" s="75">
        <v>6.2391715557559846E-2</v>
      </c>
      <c r="ES80" s="75">
        <v>-1.15021622049373E-2</v>
      </c>
      <c r="ET80" s="75">
        <v>1.7074547735763362E-2</v>
      </c>
      <c r="EU80" s="75">
        <v>2.1506596069768263E-2</v>
      </c>
      <c r="EV80" s="75">
        <v>5.1024069532393274E-2</v>
      </c>
      <c r="EW80" s="75">
        <v>1.2030910423383057E-2</v>
      </c>
      <c r="EX80" s="75">
        <v>1.1985410328371887E-2</v>
      </c>
      <c r="EY80" s="75">
        <v>2.9170360968505005E-2</v>
      </c>
      <c r="EZ80" s="75">
        <v>-3.6062532361289035E-2</v>
      </c>
      <c r="FA80" s="75">
        <v>9.8432826070770141E-2</v>
      </c>
      <c r="FB80" s="75">
        <v>-1.2632456805775238E-2</v>
      </c>
      <c r="FC80" s="75">
        <v>-2.5947266778772571E-2</v>
      </c>
      <c r="FD80" s="75">
        <v>6.8623520183891146E-2</v>
      </c>
      <c r="FE80" s="75">
        <v>3.5785263796934197E-2</v>
      </c>
      <c r="FF80" s="75">
        <v>-4.5835355866267885E-2</v>
      </c>
      <c r="FG80" s="75">
        <v>2.4340859731454612E-2</v>
      </c>
      <c r="FH80" s="75">
        <v>8.3473483563044154E-2</v>
      </c>
      <c r="FI80" s="75">
        <v>5.9789623263313552E-3</v>
      </c>
      <c r="FJ80" s="75">
        <v>3.1592475708778656E-2</v>
      </c>
      <c r="FK80" s="75">
        <v>3.294060228846063E-2</v>
      </c>
      <c r="FL80" s="75">
        <v>-5.7067327682180535E-2</v>
      </c>
      <c r="FM80" s="75">
        <v>-9.068253543880514E-2</v>
      </c>
      <c r="FN80" s="75">
        <v>-3.7569868802180578E-2</v>
      </c>
      <c r="FO80" s="75">
        <v>-7.036053615962079E-2</v>
      </c>
      <c r="FP80" s="75">
        <v>-5.7436674882526045E-2</v>
      </c>
      <c r="FQ80" s="75">
        <v>5.739381474841948E-2</v>
      </c>
      <c r="FR80" s="75">
        <v>-4.4352726608660437E-2</v>
      </c>
      <c r="FS80" s="75">
        <v>-1.6368615060171898E-3</v>
      </c>
      <c r="FT80" s="75">
        <v>-2.8567222759496302E-3</v>
      </c>
      <c r="FU80" s="75">
        <v>8.1724236630936059E-2</v>
      </c>
      <c r="FV80" s="75">
        <v>-9.3014934572041574E-3</v>
      </c>
      <c r="FW80" s="75">
        <v>-4.1911782258483327E-2</v>
      </c>
      <c r="FX80" s="75">
        <v>5.7931213445933105E-3</v>
      </c>
      <c r="FY80" s="75">
        <v>-8.609562442397356E-3</v>
      </c>
      <c r="FZ80" s="75">
        <v>2.9876911622980284E-2</v>
      </c>
      <c r="GA80" s="75">
        <v>-9.1643688961077135E-2</v>
      </c>
      <c r="GB80" s="75">
        <v>7.2447943745469118E-2</v>
      </c>
      <c r="GC80" s="75">
        <v>6.5626963292089863E-2</v>
      </c>
      <c r="GD80" s="75">
        <v>-6.3778234250263743E-2</v>
      </c>
      <c r="GE80" s="75">
        <v>-5.0658238121975563E-5</v>
      </c>
      <c r="GF80" s="75">
        <v>-2.3337051252435598E-2</v>
      </c>
      <c r="GG80" s="75">
        <v>-3.6800894434155712E-2</v>
      </c>
      <c r="GH80" s="75">
        <v>1.7068953973489842E-2</v>
      </c>
      <c r="GI80" s="75">
        <v>-3.2352844364580385E-2</v>
      </c>
      <c r="GJ80" s="75">
        <v>-2.2610358343321368E-2</v>
      </c>
      <c r="GK80" s="75">
        <v>-5.5822549738910043E-3</v>
      </c>
      <c r="GL80" s="75">
        <v>-4.6709040533361917E-2</v>
      </c>
      <c r="GM80" s="75">
        <v>-6.5830534369435229E-2</v>
      </c>
      <c r="GN80" s="75">
        <v>-4.5857273989355601E-2</v>
      </c>
      <c r="GO80" s="75">
        <v>-4.475519359420313E-2</v>
      </c>
      <c r="GP80" s="75">
        <v>3.734466024683275E-3</v>
      </c>
      <c r="GQ80" s="75">
        <v>-2.6405910000063815E-2</v>
      </c>
      <c r="GR80" s="75">
        <v>-8.8140484305176958E-3</v>
      </c>
      <c r="GS80" s="75">
        <v>-1.6358640950425135E-2</v>
      </c>
      <c r="GT80" s="75">
        <v>-5.213083754538414E-2</v>
      </c>
      <c r="GU80" s="75">
        <v>-3.6691510950504935E-2</v>
      </c>
      <c r="GV80" s="75">
        <v>2.6734932223641344E-2</v>
      </c>
      <c r="GW80" s="75">
        <v>-5.035841810796618E-2</v>
      </c>
      <c r="GX80" s="75">
        <v>-1.7138591741901771E-2</v>
      </c>
      <c r="GY80" s="75">
        <v>8.7188427418955133E-2</v>
      </c>
      <c r="GZ80" s="75">
        <v>1.1974589509925887E-2</v>
      </c>
      <c r="HA80" s="75">
        <v>-3.364278504576082E-2</v>
      </c>
      <c r="HB80" s="75">
        <v>9.7034793091011207E-3</v>
      </c>
      <c r="HC80" s="75">
        <v>1.2480553871807742E-2</v>
      </c>
      <c r="HD80" s="75">
        <v>5.65828585932171E-2</v>
      </c>
      <c r="HE80" s="75">
        <v>-8.0198674321294405E-2</v>
      </c>
      <c r="HF80" s="75">
        <v>5.4729237500921846E-2</v>
      </c>
      <c r="HG80" s="75">
        <v>4.8403948772877958E-2</v>
      </c>
      <c r="HH80" s="75">
        <v>-7.5752901543651163E-3</v>
      </c>
      <c r="HI80" s="75">
        <v>-9.4664870557367303E-2</v>
      </c>
      <c r="HJ80" s="75">
        <v>2.3766805402092805E-2</v>
      </c>
      <c r="HK80" s="75">
        <v>-1.4718595491696906E-2</v>
      </c>
      <c r="HL80" s="75">
        <v>9.8286068260515336E-2</v>
      </c>
      <c r="HM80" s="75">
        <v>4.1273218854271154E-2</v>
      </c>
      <c r="HN80" s="75">
        <v>1.17726513186798E-2</v>
      </c>
      <c r="HO80" s="75">
        <v>-2.4256844845531311E-3</v>
      </c>
      <c r="HP80" s="75">
        <v>-9.6386839418398929E-3</v>
      </c>
      <c r="HQ80" s="75">
        <v>-3.670951096240338E-2</v>
      </c>
      <c r="HR80" s="75">
        <v>1.6949363703790105E-2</v>
      </c>
      <c r="HS80" s="75">
        <v>3.6648985952191543E-2</v>
      </c>
      <c r="HT80" s="75">
        <v>2.9018799714470606E-2</v>
      </c>
      <c r="HU80" s="75">
        <v>1.1308159808412821E-2</v>
      </c>
      <c r="HV80" s="75">
        <v>8.1269523224450135E-2</v>
      </c>
      <c r="HW80" s="75">
        <v>-3.4162145879589823E-2</v>
      </c>
      <c r="HX80" s="75">
        <v>-9.7977554543809825E-2</v>
      </c>
      <c r="HY80" s="75">
        <v>2.4658773023567476E-2</v>
      </c>
      <c r="HZ80" s="75">
        <v>3.160016133586685E-2</v>
      </c>
      <c r="IA80" s="75">
        <v>4.9453471693341106E-2</v>
      </c>
      <c r="IB80" s="75">
        <v>-3.3709574991247715E-2</v>
      </c>
      <c r="IC80" s="75">
        <v>4.6546639564889636E-2</v>
      </c>
      <c r="ID80" s="75">
        <v>3.1516186457915984E-2</v>
      </c>
      <c r="IE80" s="75">
        <v>3.2826058068326197E-2</v>
      </c>
      <c r="IF80" s="75">
        <v>7.7390971030767419E-2</v>
      </c>
      <c r="IG80" s="75">
        <v>-1.6306546187465243E-2</v>
      </c>
      <c r="IH80" s="75">
        <v>2.9457858280685589E-2</v>
      </c>
      <c r="II80" s="75">
        <v>-4.388515909548571E-2</v>
      </c>
      <c r="IJ80" s="75">
        <v>2.4285236642998281E-2</v>
      </c>
      <c r="IK80" s="75">
        <v>-9.0174361814618853E-2</v>
      </c>
      <c r="IL80" s="75">
        <v>-3.5454218824890193E-3</v>
      </c>
      <c r="IM80" s="75">
        <v>4.8299710137723495E-2</v>
      </c>
      <c r="IN80" s="75">
        <v>-5.4139524822056639E-2</v>
      </c>
      <c r="IO80" s="75">
        <v>-2.6794414785243276E-2</v>
      </c>
      <c r="IP80" s="75">
        <v>8.3509849125498192E-2</v>
      </c>
      <c r="IQ80" s="75">
        <v>-0.1016960656273814</v>
      </c>
      <c r="IR80" s="75">
        <v>-3.3309763896513744E-2</v>
      </c>
      <c r="IS80" s="75">
        <v>4.4681374480554259E-2</v>
      </c>
      <c r="IT80" s="75">
        <v>-1.2912375672751525E-2</v>
      </c>
      <c r="IU80" s="75">
        <v>4.919027347873059E-2</v>
      </c>
    </row>
    <row r="81" spans="1:255" s="74" customFormat="1" ht="14.5" x14ac:dyDescent="0.35">
      <c r="A81" s="73"/>
      <c r="B81" s="78">
        <v>7</v>
      </c>
      <c r="C81" s="77">
        <f t="shared" si="43"/>
        <v>1.7306508230107626E-2</v>
      </c>
      <c r="D81" s="76">
        <f t="shared" si="44"/>
        <v>5.6611191330715072E-2</v>
      </c>
      <c r="E81" s="75">
        <v>-5.026445319637951E-2</v>
      </c>
      <c r="F81" s="75">
        <v>7.9116961807682407E-2</v>
      </c>
      <c r="G81" s="75">
        <v>9.1794549855295199E-2</v>
      </c>
      <c r="H81" s="75">
        <v>-2.065386264000027E-2</v>
      </c>
      <c r="I81" s="75">
        <v>2.1062127467907366E-2</v>
      </c>
      <c r="J81" s="75">
        <v>-2.6794791857063904E-2</v>
      </c>
      <c r="K81" s="75">
        <v>1.1892066021690906E-3</v>
      </c>
      <c r="L81" s="75">
        <v>6.7905584224241256E-3</v>
      </c>
      <c r="M81" s="75">
        <v>2.2072007365974089E-2</v>
      </c>
      <c r="N81" s="75">
        <v>7.5891407427956359E-2</v>
      </c>
      <c r="O81" s="75">
        <v>3.8978728549891289E-2</v>
      </c>
      <c r="P81" s="75">
        <v>1.9772755969983874E-2</v>
      </c>
      <c r="Q81" s="75">
        <v>-4.378121026106388E-2</v>
      </c>
      <c r="R81" s="75">
        <v>3.0126829125251747E-2</v>
      </c>
      <c r="S81" s="75">
        <v>-6.6182813430109289E-3</v>
      </c>
      <c r="T81" s="75">
        <v>-5.7110535441802474E-2</v>
      </c>
      <c r="U81" s="75">
        <v>-2.140186427127086E-2</v>
      </c>
      <c r="V81" s="75">
        <v>4.1552856959343493E-2</v>
      </c>
      <c r="W81" s="75">
        <v>3.7208119085575669E-2</v>
      </c>
      <c r="X81" s="75">
        <v>3.1372811737520684E-2</v>
      </c>
      <c r="Y81" s="75">
        <v>-2.4015357094576945E-2</v>
      </c>
      <c r="Z81" s="75">
        <v>4.6792742729754172E-2</v>
      </c>
      <c r="AA81" s="75">
        <v>-2.5098588779989606E-2</v>
      </c>
      <c r="AB81" s="75">
        <v>2.7600849298188207E-2</v>
      </c>
      <c r="AC81" s="75">
        <v>2.387396877377751E-2</v>
      </c>
      <c r="AD81" s="75">
        <v>1.141441746592764E-2</v>
      </c>
      <c r="AE81" s="75">
        <v>-6.8962728466495843E-2</v>
      </c>
      <c r="AF81" s="75">
        <v>-1.2165251640469554E-2</v>
      </c>
      <c r="AG81" s="75">
        <v>2.8532698717132932E-2</v>
      </c>
      <c r="AH81" s="75">
        <v>-2.1472031117891116E-2</v>
      </c>
      <c r="AI81" s="75">
        <v>-9.2010259767729502E-2</v>
      </c>
      <c r="AJ81" s="75">
        <v>-6.3969121870972395E-2</v>
      </c>
      <c r="AK81" s="75">
        <v>4.1117585748755098E-2</v>
      </c>
      <c r="AL81" s="75">
        <v>7.3153283922119089E-2</v>
      </c>
      <c r="AM81" s="75">
        <v>4.7090997120509404E-3</v>
      </c>
      <c r="AN81" s="75">
        <v>2.021454396373859E-2</v>
      </c>
      <c r="AO81" s="75">
        <v>2.8089156224520101E-2</v>
      </c>
      <c r="AP81" s="75">
        <v>7.3386990548583525E-2</v>
      </c>
      <c r="AQ81" s="75">
        <v>3.888706904107847E-2</v>
      </c>
      <c r="AR81" s="75">
        <v>4.6347307161972495E-2</v>
      </c>
      <c r="AS81" s="75">
        <v>2.8181402113220871E-2</v>
      </c>
      <c r="AT81" s="75">
        <v>4.0902029656198435E-2</v>
      </c>
      <c r="AU81" s="75">
        <v>-4.6415669767584933E-2</v>
      </c>
      <c r="AV81" s="75">
        <v>-5.1576020054817429E-2</v>
      </c>
      <c r="AW81" s="75">
        <v>-7.9250501454057515E-2</v>
      </c>
      <c r="AX81" s="75">
        <v>5.3998617864364884E-2</v>
      </c>
      <c r="AY81" s="75">
        <v>-7.9724141395872972E-3</v>
      </c>
      <c r="AZ81" s="75">
        <v>7.8242158414479707E-2</v>
      </c>
      <c r="BA81" s="75">
        <v>-7.6650645101779408E-2</v>
      </c>
      <c r="BB81" s="75">
        <v>-6.6219414066927079E-2</v>
      </c>
      <c r="BC81" s="75">
        <v>1.0245286628178446E-2</v>
      </c>
      <c r="BD81" s="75">
        <v>-5.2079120095727405E-2</v>
      </c>
      <c r="BE81" s="75">
        <v>5.6611191330715072E-2</v>
      </c>
      <c r="BF81" s="75">
        <v>-0.10396372206246951</v>
      </c>
      <c r="BG81" s="75">
        <v>-4.8404443625427229E-2</v>
      </c>
      <c r="BH81" s="75">
        <v>-2.6252677617010667E-2</v>
      </c>
      <c r="BI81" s="75">
        <v>-7.1750558536624126E-2</v>
      </c>
      <c r="BJ81" s="75">
        <v>3.8101378979282341E-2</v>
      </c>
      <c r="BK81" s="75">
        <v>-3.2619036522783307E-2</v>
      </c>
      <c r="BL81" s="75">
        <v>-2.1363273424881479E-2</v>
      </c>
      <c r="BM81" s="75">
        <v>-2.0533720669982575E-2</v>
      </c>
      <c r="BN81" s="75">
        <v>-3.2946419576594943E-3</v>
      </c>
      <c r="BO81" s="75">
        <v>-1.0919776717067897E-2</v>
      </c>
      <c r="BP81" s="75">
        <v>3.5528981921210179E-2</v>
      </c>
      <c r="BQ81" s="75">
        <v>-4.7930252169345017E-2</v>
      </c>
      <c r="BR81" s="75">
        <v>-3.0781984304473875E-2</v>
      </c>
      <c r="BS81" s="75">
        <v>3.6491353598789772E-2</v>
      </c>
      <c r="BT81" s="75">
        <v>5.8408678978244449E-2</v>
      </c>
      <c r="BU81" s="75">
        <v>1.4520642123787536E-2</v>
      </c>
      <c r="BV81" s="75">
        <v>-3.7220923777744691E-2</v>
      </c>
      <c r="BW81" s="75">
        <v>7.231090448253652E-5</v>
      </c>
      <c r="BX81" s="75">
        <v>9.8913867568156677E-3</v>
      </c>
      <c r="BY81" s="75">
        <v>1.5890112440775428E-2</v>
      </c>
      <c r="BZ81" s="75">
        <v>-4.2218518341540806E-2</v>
      </c>
      <c r="CA81" s="75">
        <v>5.9661385112361354E-2</v>
      </c>
      <c r="CB81" s="75">
        <v>3.8006308566987473E-2</v>
      </c>
      <c r="CC81" s="75">
        <v>-5.8187430529783868E-3</v>
      </c>
      <c r="CD81" s="75">
        <v>-4.0917190367360662E-2</v>
      </c>
      <c r="CE81" s="75">
        <v>-2.3295902926754708E-2</v>
      </c>
      <c r="CF81" s="75">
        <v>4.9543482032384706E-2</v>
      </c>
      <c r="CG81" s="75">
        <v>3.431213321473045E-2</v>
      </c>
      <c r="CH81" s="75">
        <v>-8.39230743656183E-2</v>
      </c>
      <c r="CI81" s="75">
        <v>3.6137612197544855E-3</v>
      </c>
      <c r="CJ81" s="75">
        <v>-4.3507101395231756E-2</v>
      </c>
      <c r="CK81" s="75">
        <v>5.4629562149479394E-3</v>
      </c>
      <c r="CL81" s="75">
        <v>1.6944744145880736E-2</v>
      </c>
      <c r="CM81" s="75">
        <v>-6.6011257760731634E-3</v>
      </c>
      <c r="CN81" s="75">
        <v>1.9656424968247682E-2</v>
      </c>
      <c r="CO81" s="75">
        <v>-2.3006477988055135E-2</v>
      </c>
      <c r="CP81" s="75">
        <v>-2.569472588463978E-2</v>
      </c>
      <c r="CQ81" s="75">
        <v>3.8481927903242619E-2</v>
      </c>
      <c r="CR81" s="75">
        <v>3.5201303821087576E-2</v>
      </c>
      <c r="CS81" s="75">
        <v>-1.6799347420149435E-2</v>
      </c>
      <c r="CT81" s="75">
        <v>4.8288078537885637E-2</v>
      </c>
      <c r="CU81" s="75">
        <v>5.7387933120665896E-2</v>
      </c>
      <c r="CV81" s="75">
        <v>-2.1004871735002151E-2</v>
      </c>
      <c r="CW81" s="75">
        <v>-2.7418096768630884E-2</v>
      </c>
      <c r="CX81" s="75">
        <v>8.0023490474861902E-2</v>
      </c>
      <c r="CY81" s="75">
        <v>-1.1513894888477816E-2</v>
      </c>
      <c r="CZ81" s="75">
        <v>0.1028178456846883</v>
      </c>
      <c r="DA81" s="75">
        <v>6.634635654659965E-3</v>
      </c>
      <c r="DB81" s="75">
        <v>1.9943650330341289E-2</v>
      </c>
      <c r="DC81" s="75">
        <v>-3.3022583741766059E-2</v>
      </c>
      <c r="DD81" s="75">
        <v>3.8362111137206223E-3</v>
      </c>
      <c r="DE81" s="75">
        <v>-2.8933917898260331E-2</v>
      </c>
      <c r="DF81" s="75">
        <v>1.2881880190920375E-2</v>
      </c>
      <c r="DG81" s="75">
        <v>7.5092140375905281E-3</v>
      </c>
      <c r="DH81" s="75">
        <v>-4.8296972094203777E-2</v>
      </c>
      <c r="DI81" s="75">
        <v>-2.0848321134046915E-2</v>
      </c>
      <c r="DJ81" s="75">
        <v>4.3947074781524681E-2</v>
      </c>
      <c r="DK81" s="75">
        <v>-4.3513048080807276E-2</v>
      </c>
      <c r="DL81" s="75">
        <v>-2.4326915664852677E-2</v>
      </c>
      <c r="DM81" s="75">
        <v>4.2057410681422741E-2</v>
      </c>
      <c r="DN81" s="75">
        <v>1.6130191934583454E-2</v>
      </c>
      <c r="DO81" s="75">
        <v>-4.9762201273680917E-3</v>
      </c>
      <c r="DP81" s="75">
        <v>3.7258144457308018E-2</v>
      </c>
      <c r="DQ81" s="75">
        <v>-4.193018889966918E-2</v>
      </c>
      <c r="DR81" s="75">
        <v>-3.3005008403527075E-2</v>
      </c>
      <c r="DS81" s="75">
        <v>3.3252008653974235E-2</v>
      </c>
      <c r="DT81" s="75">
        <v>-3.4513524890618819E-2</v>
      </c>
      <c r="DU81" s="75">
        <v>-5.4556835669945125E-2</v>
      </c>
      <c r="DV81" s="75">
        <v>4.7248192670048206E-2</v>
      </c>
      <c r="DW81" s="75">
        <v>5.6683590824523233E-2</v>
      </c>
      <c r="DX81" s="75">
        <v>-3.9345954082028761E-2</v>
      </c>
      <c r="DY81" s="75">
        <v>-1.5929097884267218E-2</v>
      </c>
      <c r="DZ81" s="75">
        <v>7.7826319435495089E-2</v>
      </c>
      <c r="EA81" s="75">
        <v>-7.4434904561065662E-2</v>
      </c>
      <c r="EB81" s="75">
        <v>2.4846638110725211E-2</v>
      </c>
      <c r="EC81" s="75">
        <v>-3.0272330151382587E-2</v>
      </c>
      <c r="ED81" s="75">
        <v>-0.14376185336876435</v>
      </c>
      <c r="EE81" s="75">
        <v>7.1705433424202325E-3</v>
      </c>
      <c r="EF81" s="75">
        <v>-1.3657055003546248E-2</v>
      </c>
      <c r="EG81" s="75">
        <v>2.325092372544052E-3</v>
      </c>
      <c r="EH81" s="75">
        <v>6.3902690728645239E-3</v>
      </c>
      <c r="EI81" s="75">
        <v>-6.1801877771222424E-2</v>
      </c>
      <c r="EJ81" s="75">
        <v>3.3084575878997602E-2</v>
      </c>
      <c r="EK81" s="75">
        <v>7.3010981429578459E-3</v>
      </c>
      <c r="EL81" s="75">
        <v>7.6057371166880217E-3</v>
      </c>
      <c r="EM81" s="75">
        <v>0.11214906416707165</v>
      </c>
      <c r="EN81" s="75">
        <v>-1.3722275508950527E-2</v>
      </c>
      <c r="EO81" s="75">
        <v>-1.2133039084348179E-2</v>
      </c>
      <c r="EP81" s="75">
        <v>6.7915464877628756E-2</v>
      </c>
      <c r="EQ81" s="75">
        <v>-7.2504108550336954E-3</v>
      </c>
      <c r="ER81" s="75">
        <v>5.8863131985169126E-2</v>
      </c>
      <c r="ES81" s="75">
        <v>-6.8772938186177912E-3</v>
      </c>
      <c r="ET81" s="75">
        <v>-1.2314054172864686E-2</v>
      </c>
      <c r="EU81" s="75">
        <v>2.0865141327670145E-2</v>
      </c>
      <c r="EV81" s="75">
        <v>7.812897471836841E-2</v>
      </c>
      <c r="EW81" s="75">
        <v>-4.3906293056524659E-2</v>
      </c>
      <c r="EX81" s="75">
        <v>1.5430512117272838E-2</v>
      </c>
      <c r="EY81" s="75">
        <v>7.2240414286650345E-3</v>
      </c>
      <c r="EZ81" s="75">
        <v>-3.2958798116822868E-2</v>
      </c>
      <c r="FA81" s="75">
        <v>0.10129471599222836</v>
      </c>
      <c r="FB81" s="75">
        <v>-3.1482927241118258E-2</v>
      </c>
      <c r="FC81" s="75">
        <v>-4.3181686964596427E-2</v>
      </c>
      <c r="FD81" s="75">
        <v>6.5223474412373833E-2</v>
      </c>
      <c r="FE81" s="75">
        <v>-2.6749898881804623E-2</v>
      </c>
      <c r="FF81" s="75">
        <v>6.3847783545521314E-2</v>
      </c>
      <c r="FG81" s="75">
        <v>-3.5051126312599129E-2</v>
      </c>
      <c r="FH81" s="75">
        <v>4.3592333040589154E-2</v>
      </c>
      <c r="FI81" s="75">
        <v>-5.9983854328956171E-2</v>
      </c>
      <c r="FJ81" s="75">
        <v>7.3567442020834289E-2</v>
      </c>
      <c r="FK81" s="75">
        <v>3.1744088125844117E-2</v>
      </c>
      <c r="FL81" s="75">
        <v>-7.3168674277677759E-2</v>
      </c>
      <c r="FM81" s="75">
        <v>-5.2548151354325473E-2</v>
      </c>
      <c r="FN81" s="75">
        <v>-2.611384952209192E-2</v>
      </c>
      <c r="FO81" s="75">
        <v>-7.1513910360388788E-2</v>
      </c>
      <c r="FP81" s="75">
        <v>-1.4031403046801838E-2</v>
      </c>
      <c r="FQ81" s="75">
        <v>3.2892435247254187E-2</v>
      </c>
      <c r="FR81" s="75">
        <v>-7.3324212609287481E-2</v>
      </c>
      <c r="FS81" s="75">
        <v>-2.1054184119649239E-2</v>
      </c>
      <c r="FT81" s="75">
        <v>-6.0571856041088945E-4</v>
      </c>
      <c r="FU81" s="75">
        <v>6.3865783006914562E-2</v>
      </c>
      <c r="FV81" s="75">
        <v>-4.208484851479094E-3</v>
      </c>
      <c r="FW81" s="75">
        <v>-2.920696101362999E-2</v>
      </c>
      <c r="FX81" s="75">
        <v>1.2942571947588272E-2</v>
      </c>
      <c r="FY81" s="75">
        <v>-9.5254160077456185E-3</v>
      </c>
      <c r="FZ81" s="75">
        <v>1.3319500177436383E-2</v>
      </c>
      <c r="GA81" s="75">
        <v>-8.0884035905950113E-3</v>
      </c>
      <c r="GB81" s="75">
        <v>-1.8213183046408926E-2</v>
      </c>
      <c r="GC81" s="75">
        <v>-1.5922924606725064E-2</v>
      </c>
      <c r="GD81" s="75">
        <v>-5.8273712256816546E-2</v>
      </c>
      <c r="GE81" s="75">
        <v>9.6046212004887443E-3</v>
      </c>
      <c r="GF81" s="75">
        <v>-2.5060786864033124E-2</v>
      </c>
      <c r="GG81" s="75">
        <v>-1.4766989848148476E-2</v>
      </c>
      <c r="GH81" s="75">
        <v>1.3865232642402636E-2</v>
      </c>
      <c r="GI81" s="75">
        <v>1.6608672211335079E-2</v>
      </c>
      <c r="GJ81" s="75">
        <v>-3.0415637305273024E-3</v>
      </c>
      <c r="GK81" s="75">
        <v>1.2287783011155989E-2</v>
      </c>
      <c r="GL81" s="75">
        <v>-7.8404742365433516E-2</v>
      </c>
      <c r="GM81" s="75">
        <v>-1.6384927782115033E-2</v>
      </c>
      <c r="GN81" s="75">
        <v>2.1223702551095708E-2</v>
      </c>
      <c r="GO81" s="75">
        <v>1.1302630308664963E-2</v>
      </c>
      <c r="GP81" s="75">
        <v>1.3458814103483874E-3</v>
      </c>
      <c r="GQ81" s="75">
        <v>-1.9079518150522529E-2</v>
      </c>
      <c r="GR81" s="75">
        <v>-2.9956979087421287E-3</v>
      </c>
      <c r="GS81" s="75">
        <v>-1.4090166843044039E-3</v>
      </c>
      <c r="GT81" s="75">
        <v>-6.5124652325660143E-2</v>
      </c>
      <c r="GU81" s="75">
        <v>-2.5395899631921542E-2</v>
      </c>
      <c r="GV81" s="75">
        <v>-5.2942000831912556E-2</v>
      </c>
      <c r="GW81" s="75">
        <v>-1.0219954761085781E-2</v>
      </c>
      <c r="GX81" s="75">
        <v>4.6424025475633374E-2</v>
      </c>
      <c r="GY81" s="75">
        <v>9.1606054713785467E-2</v>
      </c>
      <c r="GZ81" s="75">
        <v>-7.6636266146502346E-2</v>
      </c>
      <c r="HA81" s="75">
        <v>-1.2851199369965288E-2</v>
      </c>
      <c r="HB81" s="75">
        <v>3.2932376220033976E-2</v>
      </c>
      <c r="HC81" s="75">
        <v>1.8549661454414806E-2</v>
      </c>
      <c r="HD81" s="75">
        <v>4.8078894540635436E-2</v>
      </c>
      <c r="HE81" s="75">
        <v>-8.413263366614851E-2</v>
      </c>
      <c r="HF81" s="75">
        <v>5.1372676850406057E-2</v>
      </c>
      <c r="HG81" s="75">
        <v>4.2596432870289913E-2</v>
      </c>
      <c r="HH81" s="75">
        <v>-2.7192085697926471E-2</v>
      </c>
      <c r="HI81" s="75">
        <v>-4.1664803508789011E-2</v>
      </c>
      <c r="HJ81" s="75">
        <v>-1.7280782983344234E-2</v>
      </c>
      <c r="HK81" s="75">
        <v>3.3508518155886402E-4</v>
      </c>
      <c r="HL81" s="75">
        <v>-2.7193642956211073E-2</v>
      </c>
      <c r="HM81" s="75">
        <v>4.8095657564966338E-2</v>
      </c>
      <c r="HN81" s="75">
        <v>3.4030608997613204E-2</v>
      </c>
      <c r="HO81" s="75">
        <v>-2.9367519454482627E-3</v>
      </c>
      <c r="HP81" s="75">
        <v>-1.276760687533815E-2</v>
      </c>
      <c r="HQ81" s="75">
        <v>-2.6933924627970868E-2</v>
      </c>
      <c r="HR81" s="75">
        <v>1.8563051218417698E-2</v>
      </c>
      <c r="HS81" s="75">
        <v>-2.4861984168513707E-2</v>
      </c>
      <c r="HT81" s="75">
        <v>3.4848589460258456E-2</v>
      </c>
      <c r="HU81" s="75">
        <v>-3.2297730688112591E-2</v>
      </c>
      <c r="HV81" s="75">
        <v>-1.0494746443604819E-2</v>
      </c>
      <c r="HW81" s="75">
        <v>-7.2896086770871726E-2</v>
      </c>
      <c r="HX81" s="75">
        <v>3.7282621490201645E-2</v>
      </c>
      <c r="HY81" s="75">
        <v>3.3702399564776997E-3</v>
      </c>
      <c r="HZ81" s="75">
        <v>3.0696453666694906E-2</v>
      </c>
      <c r="IA81" s="75">
        <v>5.8549304629071985E-2</v>
      </c>
      <c r="IB81" s="75">
        <v>-3.5950399785729392E-2</v>
      </c>
      <c r="IC81" s="75">
        <v>2.9333242188775921E-2</v>
      </c>
      <c r="ID81" s="75">
        <v>-5.3093239153686744E-3</v>
      </c>
      <c r="IE81" s="75">
        <v>5.529087476522429E-2</v>
      </c>
      <c r="IF81" s="75">
        <v>-2.4228191278480304E-4</v>
      </c>
      <c r="IG81" s="75">
        <v>-8.3978501249141191E-3</v>
      </c>
      <c r="IH81" s="75">
        <v>6.4551596731417638E-2</v>
      </c>
      <c r="II81" s="75">
        <v>-2.743475696839992E-2</v>
      </c>
      <c r="IJ81" s="75">
        <v>9.6647152114044954E-3</v>
      </c>
      <c r="IK81" s="75">
        <v>-5.6979802281261205E-3</v>
      </c>
      <c r="IL81" s="75">
        <v>2.3845605328703584E-2</v>
      </c>
      <c r="IM81" s="75">
        <v>8.074698939630226E-3</v>
      </c>
      <c r="IN81" s="75">
        <v>-3.4763806060418262E-2</v>
      </c>
      <c r="IO81" s="75">
        <v>-7.0648111530551533E-2</v>
      </c>
      <c r="IP81" s="75">
        <v>-1.9362512283903455E-2</v>
      </c>
      <c r="IQ81" s="75">
        <v>-4.6524758353199053E-2</v>
      </c>
      <c r="IR81" s="75">
        <v>5.8568436456875872E-3</v>
      </c>
      <c r="IS81" s="75">
        <v>-3.2648147466044691E-2</v>
      </c>
      <c r="IT81" s="75">
        <v>-2.9503652069305941E-3</v>
      </c>
      <c r="IU81" s="75">
        <v>6.2104345735524591E-2</v>
      </c>
    </row>
    <row r="82" spans="1:255" s="74" customFormat="1" ht="14.5" x14ac:dyDescent="0.35">
      <c r="A82" s="73"/>
      <c r="B82" s="78">
        <v>7.25</v>
      </c>
      <c r="C82" s="77">
        <f t="shared" si="43"/>
        <v>1.664979592400017E-2</v>
      </c>
      <c r="D82" s="76">
        <f t="shared" si="44"/>
        <v>5.589954972458186E-2</v>
      </c>
      <c r="E82" s="75">
        <v>-6.5556865437269018E-2</v>
      </c>
      <c r="F82" s="75">
        <v>7.3223498306430906E-2</v>
      </c>
      <c r="G82" s="75">
        <v>0.11268380690265201</v>
      </c>
      <c r="H82" s="75">
        <v>-2.9342624917393811E-2</v>
      </c>
      <c r="I82" s="75">
        <v>6.147375914431874E-3</v>
      </c>
      <c r="J82" s="75">
        <v>-2.9802721574123919E-2</v>
      </c>
      <c r="K82" s="75">
        <v>3.2436411055505598E-2</v>
      </c>
      <c r="L82" s="75">
        <v>-1.8572627909403672E-3</v>
      </c>
      <c r="M82" s="75">
        <v>-1.1805626365259891E-2</v>
      </c>
      <c r="N82" s="75">
        <v>8.1965239459571321E-2</v>
      </c>
      <c r="O82" s="75">
        <v>2.5629692763566414E-2</v>
      </c>
      <c r="P82" s="75">
        <v>1.7255326944935589E-2</v>
      </c>
      <c r="Q82" s="75">
        <v>-3.0927989447198684E-2</v>
      </c>
      <c r="R82" s="75">
        <v>2.7479497142695486E-2</v>
      </c>
      <c r="S82" s="75">
        <v>-1.3103934704104314E-2</v>
      </c>
      <c r="T82" s="75">
        <v>-4.23215810181823E-2</v>
      </c>
      <c r="U82" s="75">
        <v>-1.1241020656682421E-2</v>
      </c>
      <c r="V82" s="75">
        <v>5.0721914354927233E-2</v>
      </c>
      <c r="W82" s="75">
        <v>4.4944259185963314E-2</v>
      </c>
      <c r="X82" s="75">
        <v>3.0756289438313295E-2</v>
      </c>
      <c r="Y82" s="75">
        <v>-1.5418168106507674E-2</v>
      </c>
      <c r="Z82" s="75">
        <v>6.1016368477859878E-2</v>
      </c>
      <c r="AA82" s="75">
        <v>-3.1463022814095382E-2</v>
      </c>
      <c r="AB82" s="75">
        <v>2.4527932962581406E-2</v>
      </c>
      <c r="AC82" s="75">
        <v>2.1297663967071306E-2</v>
      </c>
      <c r="AD82" s="75">
        <v>1.5800968053217374E-2</v>
      </c>
      <c r="AE82" s="75">
        <v>-8.2319974423248565E-2</v>
      </c>
      <c r="AF82" s="75">
        <v>3.862925536627676E-3</v>
      </c>
      <c r="AG82" s="75">
        <v>4.7038751225282588E-2</v>
      </c>
      <c r="AH82" s="75">
        <v>-1.9484539835507603E-2</v>
      </c>
      <c r="AI82" s="75">
        <v>-8.4896047537832434E-2</v>
      </c>
      <c r="AJ82" s="75">
        <v>-5.487631289971566E-2</v>
      </c>
      <c r="AK82" s="75">
        <v>3.951008694538477E-2</v>
      </c>
      <c r="AL82" s="75">
        <v>6.1863684981039058E-2</v>
      </c>
      <c r="AM82" s="75">
        <v>-1.4695997447404907E-2</v>
      </c>
      <c r="AN82" s="75">
        <v>1.0608208599956287E-2</v>
      </c>
      <c r="AO82" s="75">
        <v>2.0939454756091047E-2</v>
      </c>
      <c r="AP82" s="75">
        <v>6.0302667003001187E-2</v>
      </c>
      <c r="AQ82" s="75">
        <v>4.6073019598752568E-2</v>
      </c>
      <c r="AR82" s="75">
        <v>3.1406769034924453E-2</v>
      </c>
      <c r="AS82" s="75">
        <v>2.3794181992743052E-2</v>
      </c>
      <c r="AT82" s="75">
        <v>3.0249172718451928E-2</v>
      </c>
      <c r="AU82" s="75">
        <v>-5.442139555933502E-2</v>
      </c>
      <c r="AV82" s="75">
        <v>-5.1402189050337499E-2</v>
      </c>
      <c r="AW82" s="75">
        <v>-5.890529134896906E-2</v>
      </c>
      <c r="AX82" s="75">
        <v>5.372800901434871E-2</v>
      </c>
      <c r="AY82" s="75">
        <v>-2.2657339652761621E-2</v>
      </c>
      <c r="AZ82" s="75">
        <v>7.3875059937133031E-2</v>
      </c>
      <c r="BA82" s="75">
        <v>-5.3543623464654397E-2</v>
      </c>
      <c r="BB82" s="75">
        <v>-6.3555543134155915E-2</v>
      </c>
      <c r="BC82" s="75">
        <v>2.1085698389268936E-2</v>
      </c>
      <c r="BD82" s="75">
        <v>-5.865975957059455E-2</v>
      </c>
      <c r="BE82" s="75">
        <v>5.8329638690094499E-2</v>
      </c>
      <c r="BF82" s="75">
        <v>-8.0154483757174488E-2</v>
      </c>
      <c r="BG82" s="75">
        <v>-3.4761973351783187E-2</v>
      </c>
      <c r="BH82" s="75">
        <v>-1.3914768147369111E-2</v>
      </c>
      <c r="BI82" s="75">
        <v>-6.1215161713100708E-2</v>
      </c>
      <c r="BJ82" s="75">
        <v>2.800371907813845E-2</v>
      </c>
      <c r="BK82" s="75">
        <v>-2.1720498351457729E-2</v>
      </c>
      <c r="BL82" s="75">
        <v>-8.9856145225043482E-3</v>
      </c>
      <c r="BM82" s="75">
        <v>-3.3534328990693862E-2</v>
      </c>
      <c r="BN82" s="75">
        <v>-1.0116344979203801E-2</v>
      </c>
      <c r="BO82" s="75">
        <v>-9.8878130512989049E-3</v>
      </c>
      <c r="BP82" s="75">
        <v>2.8259645895818503E-2</v>
      </c>
      <c r="BQ82" s="75">
        <v>-2.9076412053816253E-2</v>
      </c>
      <c r="BR82" s="75">
        <v>-3.4821652025320421E-2</v>
      </c>
      <c r="BS82" s="75">
        <v>5.7994756092744043E-2</v>
      </c>
      <c r="BT82" s="75">
        <v>5.6241824851047117E-2</v>
      </c>
      <c r="BU82" s="75">
        <v>1.4332109243866686E-2</v>
      </c>
      <c r="BV82" s="75">
        <v>-5.5097460445331758E-2</v>
      </c>
      <c r="BW82" s="75">
        <v>-1.140983788981445E-2</v>
      </c>
      <c r="BX82" s="75">
        <v>2.4156181606948268E-3</v>
      </c>
      <c r="BY82" s="75">
        <v>2.2337948724982987E-2</v>
      </c>
      <c r="BZ82" s="75">
        <v>-3.7123894854940873E-2</v>
      </c>
      <c r="CA82" s="75">
        <v>4.4419541118518396E-2</v>
      </c>
      <c r="CB82" s="75">
        <v>4.152402067078767E-2</v>
      </c>
      <c r="CC82" s="75">
        <v>1.3753801449157554E-2</v>
      </c>
      <c r="CD82" s="75">
        <v>-3.9776652112034044E-2</v>
      </c>
      <c r="CE82" s="75">
        <v>-2.1065773228700901E-2</v>
      </c>
      <c r="CF82" s="75">
        <v>5.589954972458186E-2</v>
      </c>
      <c r="CG82" s="75">
        <v>4.5523689556047742E-2</v>
      </c>
      <c r="CH82" s="75">
        <v>-8.3244792766412515E-2</v>
      </c>
      <c r="CI82" s="75">
        <v>2.4750479463087061E-4</v>
      </c>
      <c r="CJ82" s="75">
        <v>-5.1663703682574891E-2</v>
      </c>
      <c r="CK82" s="75">
        <v>5.0065157972946916E-3</v>
      </c>
      <c r="CL82" s="75">
        <v>1.6108244630993585E-2</v>
      </c>
      <c r="CM82" s="75">
        <v>-1.130682774219563E-2</v>
      </c>
      <c r="CN82" s="75">
        <v>1.542032270464519E-2</v>
      </c>
      <c r="CO82" s="75">
        <v>-1.0360957548912919E-2</v>
      </c>
      <c r="CP82" s="75">
        <v>-2.3012501905851496E-2</v>
      </c>
      <c r="CQ82" s="75">
        <v>6.6690363881501624E-2</v>
      </c>
      <c r="CR82" s="75">
        <v>2.748802015049176E-2</v>
      </c>
      <c r="CS82" s="75">
        <v>-1.8723212181361581E-2</v>
      </c>
      <c r="CT82" s="75">
        <v>2.9796257512264168E-2</v>
      </c>
      <c r="CU82" s="75">
        <v>5.9106689626864245E-2</v>
      </c>
      <c r="CV82" s="75">
        <v>-8.8518072705934814E-3</v>
      </c>
      <c r="CW82" s="75">
        <v>-3.6026991915907414E-2</v>
      </c>
      <c r="CX82" s="75">
        <v>9.7412398886283752E-2</v>
      </c>
      <c r="CY82" s="75">
        <v>-2.6357060625470663E-3</v>
      </c>
      <c r="CZ82" s="75">
        <v>7.7399999017179727E-2</v>
      </c>
      <c r="DA82" s="75">
        <v>6.4408711907963934E-3</v>
      </c>
      <c r="DB82" s="75">
        <v>4.740145611771357E-3</v>
      </c>
      <c r="DC82" s="75">
        <v>-3.4080175417384867E-2</v>
      </c>
      <c r="DD82" s="75">
        <v>-6.1166398594744709E-3</v>
      </c>
      <c r="DE82" s="75">
        <v>1.858086218278418E-2</v>
      </c>
      <c r="DF82" s="75">
        <v>1.3380977340584549E-2</v>
      </c>
      <c r="DG82" s="75">
        <v>9.460164719598238E-2</v>
      </c>
      <c r="DH82" s="75">
        <v>3.0584350514959308E-2</v>
      </c>
      <c r="DI82" s="75">
        <v>-1.5502801048547982E-2</v>
      </c>
      <c r="DJ82" s="75">
        <v>4.2731805885840912E-2</v>
      </c>
      <c r="DK82" s="75">
        <v>-4.5136739793736613E-3</v>
      </c>
      <c r="DL82" s="75">
        <v>-3.1199410627732155E-2</v>
      </c>
      <c r="DM82" s="75">
        <v>1.66811648198609E-2</v>
      </c>
      <c r="DN82" s="75">
        <v>1.6727258374649362E-2</v>
      </c>
      <c r="DO82" s="75">
        <v>-2.5863896960191535E-3</v>
      </c>
      <c r="DP82" s="75">
        <v>2.5320986210409235E-2</v>
      </c>
      <c r="DQ82" s="75">
        <v>-3.6654674532780041E-2</v>
      </c>
      <c r="DR82" s="75">
        <v>4.8169297378229059E-2</v>
      </c>
      <c r="DS82" s="75">
        <v>1.9451162199387029E-2</v>
      </c>
      <c r="DT82" s="75">
        <v>-1.1092087331713213E-2</v>
      </c>
      <c r="DU82" s="75">
        <v>1.5501043280376492E-3</v>
      </c>
      <c r="DV82" s="75">
        <v>-4.0868046718452872E-2</v>
      </c>
      <c r="DW82" s="75">
        <v>2.7447023892079286E-2</v>
      </c>
      <c r="DX82" s="75">
        <v>3.551388790523749E-2</v>
      </c>
      <c r="DY82" s="75">
        <v>-3.4388469847763364E-2</v>
      </c>
      <c r="DZ82" s="75">
        <v>-6.662149580412606E-2</v>
      </c>
      <c r="EA82" s="75">
        <v>1.7819232368315452E-3</v>
      </c>
      <c r="EB82" s="75">
        <v>3.1780048366130131E-2</v>
      </c>
      <c r="EC82" s="75">
        <v>-8.678507706617386E-2</v>
      </c>
      <c r="ED82" s="75">
        <v>2.8772598632355734E-2</v>
      </c>
      <c r="EE82" s="75">
        <v>1.197517565992362E-2</v>
      </c>
      <c r="EF82" s="75">
        <v>-2.3802436095063162E-2</v>
      </c>
      <c r="EG82" s="75">
        <v>-8.6263018269418512E-3</v>
      </c>
      <c r="EH82" s="75">
        <v>-7.1294210828762306E-3</v>
      </c>
      <c r="EI82" s="75">
        <v>7.6296881649355053E-3</v>
      </c>
      <c r="EJ82" s="75">
        <v>-6.2809435727142968E-2</v>
      </c>
      <c r="EK82" s="75">
        <v>-8.0621080708865769E-2</v>
      </c>
      <c r="EL82" s="75">
        <v>-3.9789765185838405E-2</v>
      </c>
      <c r="EM82" s="75">
        <v>-7.6656644943186372E-2</v>
      </c>
      <c r="EN82" s="75">
        <v>3.3381548697472202E-2</v>
      </c>
      <c r="EO82" s="75">
        <v>-1.5357618416397628E-2</v>
      </c>
      <c r="EP82" s="75">
        <v>3.542465134828518E-2</v>
      </c>
      <c r="EQ82" s="75">
        <v>5.3570224578569636E-4</v>
      </c>
      <c r="ER82" s="75">
        <v>6.4568203125857954E-2</v>
      </c>
      <c r="ES82" s="75">
        <v>3.1907821603381986E-2</v>
      </c>
      <c r="ET82" s="75">
        <v>-6.1570844198707189E-2</v>
      </c>
      <c r="EU82" s="75">
        <v>-8.8302770737570258E-3</v>
      </c>
      <c r="EV82" s="75">
        <v>9.0820874135075502E-3</v>
      </c>
      <c r="EW82" s="75">
        <v>-4.2765042249383975E-2</v>
      </c>
      <c r="EX82" s="75">
        <v>1.276706652641707E-3</v>
      </c>
      <c r="EY82" s="75">
        <v>6.3881331758987303E-3</v>
      </c>
      <c r="EZ82" s="75">
        <v>-6.7058995140736932E-2</v>
      </c>
      <c r="FA82" s="75">
        <v>0.126276950943149</v>
      </c>
      <c r="FB82" s="75">
        <v>-7.4483282388066757E-2</v>
      </c>
      <c r="FC82" s="75">
        <v>8.2412267664151995E-3</v>
      </c>
      <c r="FD82" s="75">
        <v>-5.279454689467146E-2</v>
      </c>
      <c r="FE82" s="75">
        <v>-1.1747831402670689E-2</v>
      </c>
      <c r="FF82" s="75">
        <v>6.5795218577896664E-2</v>
      </c>
      <c r="FG82" s="75">
        <v>-2.6887664052245158E-2</v>
      </c>
      <c r="FH82" s="75">
        <v>-2.6821408985523432E-2</v>
      </c>
      <c r="FI82" s="75">
        <v>-2.8871434572648874E-2</v>
      </c>
      <c r="FJ82" s="75">
        <v>-8.6970433192452068E-2</v>
      </c>
      <c r="FK82" s="75">
        <v>3.0590957321549761E-2</v>
      </c>
      <c r="FL82" s="75">
        <v>3.0443765449355509E-2</v>
      </c>
      <c r="FM82" s="75">
        <v>-6.632201291192158E-3</v>
      </c>
      <c r="FN82" s="75">
        <v>-8.2405142420188537E-3</v>
      </c>
      <c r="FO82" s="75">
        <v>-6.7530795379575181E-2</v>
      </c>
      <c r="FP82" s="75">
        <v>-1.0058062590842187E-2</v>
      </c>
      <c r="FQ82" s="75">
        <v>5.955692837517762E-3</v>
      </c>
      <c r="FR82" s="75">
        <v>4.2380058643700397E-2</v>
      </c>
      <c r="FS82" s="75">
        <v>4.0510519385261096E-2</v>
      </c>
      <c r="FT82" s="75">
        <v>6.3258193170224519E-2</v>
      </c>
      <c r="FU82" s="75">
        <v>4.1405917657225511E-2</v>
      </c>
      <c r="FV82" s="75">
        <v>-7.6789783663661348E-3</v>
      </c>
      <c r="FW82" s="75">
        <v>6.4554025008195237E-3</v>
      </c>
      <c r="FX82" s="75">
        <v>3.0821329534758968E-2</v>
      </c>
      <c r="FY82" s="75">
        <v>-2.4042147737235342E-2</v>
      </c>
      <c r="FZ82" s="75">
        <v>1.7020507991932665E-2</v>
      </c>
      <c r="GA82" s="75">
        <v>2.9821230541737326E-2</v>
      </c>
      <c r="GB82" s="75">
        <v>-1.3907777329515564E-2</v>
      </c>
      <c r="GC82" s="75">
        <v>-0.15914279671494611</v>
      </c>
      <c r="GD82" s="75">
        <v>1.9717231048408973E-2</v>
      </c>
      <c r="GE82" s="75">
        <v>-2.5999504485862107E-2</v>
      </c>
      <c r="GF82" s="75">
        <v>-6.3826429279708025E-2</v>
      </c>
      <c r="GG82" s="75">
        <v>-3.0152338380776966E-3</v>
      </c>
      <c r="GH82" s="75">
        <v>-4.818258723831205E-2</v>
      </c>
      <c r="GI82" s="75">
        <v>1.8017241372023207E-2</v>
      </c>
      <c r="GJ82" s="75">
        <v>-0.10779788441014726</v>
      </c>
      <c r="GK82" s="75">
        <v>1.8289703329413654E-2</v>
      </c>
      <c r="GL82" s="75">
        <v>-9.1017898451270035E-2</v>
      </c>
      <c r="GM82" s="75">
        <v>5.9424692656253608E-3</v>
      </c>
      <c r="GN82" s="75">
        <v>-1.6039576496882785E-2</v>
      </c>
      <c r="GO82" s="75">
        <v>-2.3294481767991621E-2</v>
      </c>
      <c r="GP82" s="75">
        <v>-2.991796923017645E-2</v>
      </c>
      <c r="GQ82" s="75">
        <v>1.1393394833514175E-2</v>
      </c>
      <c r="GR82" s="75">
        <v>5.0788634109939029E-2</v>
      </c>
      <c r="GS82" s="75">
        <v>-9.1927352483426594E-3</v>
      </c>
      <c r="GT82" s="75">
        <v>5.7837545444062916E-2</v>
      </c>
      <c r="GU82" s="75">
        <v>-3.946413028510487E-2</v>
      </c>
      <c r="GV82" s="75">
        <v>-5.9904832543320879E-2</v>
      </c>
      <c r="GW82" s="75">
        <v>-6.5474338702764812E-3</v>
      </c>
      <c r="GX82" s="75">
        <v>-3.7020794895329223E-2</v>
      </c>
      <c r="GY82" s="75">
        <v>9.5481196131374207E-2</v>
      </c>
      <c r="GZ82" s="75">
        <v>-7.704288838690232E-2</v>
      </c>
      <c r="HA82" s="75">
        <v>1.0246588399394324E-2</v>
      </c>
      <c r="HB82" s="75">
        <v>3.2879114768086443E-2</v>
      </c>
      <c r="HC82" s="75">
        <v>6.2746382802758266E-2</v>
      </c>
      <c r="HD82" s="75">
        <v>2.5624845924574258E-2</v>
      </c>
      <c r="HE82" s="75">
        <v>2.2394174472903178E-2</v>
      </c>
      <c r="HF82" s="75">
        <v>8.3653683613219787E-2</v>
      </c>
      <c r="HG82" s="75">
        <v>2.6434016548699035E-2</v>
      </c>
      <c r="HH82" s="75">
        <v>-3.3999243662639012E-2</v>
      </c>
      <c r="HI82" s="75">
        <v>6.8694004849751938E-2</v>
      </c>
      <c r="HJ82" s="75">
        <v>-1.0675844832360698E-2</v>
      </c>
      <c r="HK82" s="75">
        <v>4.4872072130988927E-3</v>
      </c>
      <c r="HL82" s="75">
        <v>-2.5636551087910825E-2</v>
      </c>
      <c r="HM82" s="75">
        <v>-2.3750303393057198E-2</v>
      </c>
      <c r="HN82" s="75">
        <v>-7.9062062033979918E-4</v>
      </c>
      <c r="HO82" s="75">
        <v>3.8899982494335628E-3</v>
      </c>
      <c r="HP82" s="75">
        <v>-2.7768794834452937E-3</v>
      </c>
      <c r="HQ82" s="75">
        <v>-5.7729223354460069E-2</v>
      </c>
      <c r="HR82" s="75">
        <v>-3.4039492623479856E-2</v>
      </c>
      <c r="HS82" s="75">
        <v>-2.3268530451748454E-2</v>
      </c>
      <c r="HT82" s="75">
        <v>1.2381010531886283E-2</v>
      </c>
      <c r="HU82" s="75">
        <v>-1.8577558998227467E-2</v>
      </c>
      <c r="HV82" s="75">
        <v>-3.3389331425330071E-2</v>
      </c>
      <c r="HW82" s="75">
        <v>-5.49784375761104E-2</v>
      </c>
      <c r="HX82" s="75">
        <v>1.1466747725037252E-2</v>
      </c>
      <c r="HY82" s="75">
        <v>-5.0043704030622582E-2</v>
      </c>
      <c r="HZ82" s="75">
        <v>1.7210376294123086E-3</v>
      </c>
      <c r="IA82" s="75">
        <v>-9.1455157582077951E-3</v>
      </c>
      <c r="IB82" s="75">
        <v>8.6755569529156834E-2</v>
      </c>
      <c r="IC82" s="75">
        <v>-2.380457056322971E-2</v>
      </c>
      <c r="ID82" s="75">
        <v>-1.6543419052072017E-2</v>
      </c>
      <c r="IE82" s="75">
        <v>3.9967980668048353E-2</v>
      </c>
      <c r="IF82" s="75">
        <v>7.0189914183233892E-2</v>
      </c>
      <c r="IG82" s="75">
        <v>4.2516135162202401E-2</v>
      </c>
      <c r="IH82" s="75">
        <v>-3.0786811132501174E-2</v>
      </c>
      <c r="II82" s="75">
        <v>2.747483744918483E-2</v>
      </c>
      <c r="IJ82" s="75">
        <v>-3.557381938606366E-2</v>
      </c>
      <c r="IK82" s="75">
        <v>-2.8168127337783178E-2</v>
      </c>
      <c r="IL82" s="75">
        <v>3.0729799360204008E-2</v>
      </c>
      <c r="IM82" s="75">
        <v>1.3895967888766791E-3</v>
      </c>
      <c r="IN82" s="75">
        <v>-2.4471010694199158E-2</v>
      </c>
      <c r="IO82" s="75">
        <v>-4.9716489948215398E-2</v>
      </c>
      <c r="IP82" s="75">
        <v>-1.4822989304373729E-2</v>
      </c>
      <c r="IQ82" s="75">
        <v>-5.2604306184175151E-2</v>
      </c>
      <c r="IR82" s="75">
        <v>-1.2216144049509547E-2</v>
      </c>
      <c r="IS82" s="75">
        <v>-2.609761292515192E-2</v>
      </c>
      <c r="IT82" s="75">
        <v>-8.9071388487414471E-3</v>
      </c>
      <c r="IU82" s="75">
        <v>-3.5628203869996294E-2</v>
      </c>
    </row>
    <row r="83" spans="1:255" s="74" customFormat="1" ht="14.5" x14ac:dyDescent="0.35">
      <c r="A83" s="73"/>
      <c r="B83" s="78">
        <v>7.5</v>
      </c>
      <c r="C83" s="77">
        <f t="shared" si="43"/>
        <v>1.6298591286225485E-2</v>
      </c>
      <c r="D83" s="76">
        <f t="shared" si="44"/>
        <v>5.1441268652325081E-2</v>
      </c>
      <c r="E83" s="75">
        <v>-6.8081311593139515E-2</v>
      </c>
      <c r="F83" s="75">
        <v>9.09186844278011E-2</v>
      </c>
      <c r="G83" s="75">
        <v>0.1139875446993433</v>
      </c>
      <c r="H83" s="75">
        <v>-2.5114880988376262E-2</v>
      </c>
      <c r="I83" s="75">
        <v>8.8911638302135859E-3</v>
      </c>
      <c r="J83" s="75">
        <v>-1.4244806020635686E-2</v>
      </c>
      <c r="K83" s="75">
        <v>2.6304469060026134E-2</v>
      </c>
      <c r="L83" s="75">
        <v>-9.3352769587597001E-3</v>
      </c>
      <c r="M83" s="75">
        <v>-6.9825032370360168E-3</v>
      </c>
      <c r="N83" s="75">
        <v>6.6346567449237337E-2</v>
      </c>
      <c r="O83" s="75">
        <v>1.7616898821841837E-2</v>
      </c>
      <c r="P83" s="75">
        <v>2.875533539576669E-2</v>
      </c>
      <c r="Q83" s="75">
        <v>-4.0629425514860637E-2</v>
      </c>
      <c r="R83" s="75">
        <v>1.9800419939739425E-2</v>
      </c>
      <c r="S83" s="75">
        <v>-1.0893239121830017E-2</v>
      </c>
      <c r="T83" s="75">
        <v>-3.9356236309608952E-2</v>
      </c>
      <c r="U83" s="75">
        <v>-3.3120423458029846E-2</v>
      </c>
      <c r="V83" s="75">
        <v>5.0094504748605204E-2</v>
      </c>
      <c r="W83" s="75">
        <v>5.8684660761131865E-2</v>
      </c>
      <c r="X83" s="75">
        <v>1.1778605156166522E-2</v>
      </c>
      <c r="Y83" s="75">
        <v>-2.2651123720052235E-2</v>
      </c>
      <c r="Z83" s="75">
        <v>6.5450973671152338E-2</v>
      </c>
      <c r="AA83" s="75">
        <v>-1.3737878185764232E-2</v>
      </c>
      <c r="AB83" s="75">
        <v>3.0373853475323828E-2</v>
      </c>
      <c r="AC83" s="75">
        <v>9.1251261225533675E-3</v>
      </c>
      <c r="AD83" s="75">
        <v>1.9784166793480121E-2</v>
      </c>
      <c r="AE83" s="75">
        <v>-9.1304602146443703E-2</v>
      </c>
      <c r="AF83" s="75">
        <v>8.5450494666378107E-5</v>
      </c>
      <c r="AG83" s="75">
        <v>3.1555066450641309E-2</v>
      </c>
      <c r="AH83" s="75">
        <v>5.4564362060121607E-3</v>
      </c>
      <c r="AI83" s="75">
        <v>-8.3484803759774157E-2</v>
      </c>
      <c r="AJ83" s="75">
        <v>-4.8580472736736532E-2</v>
      </c>
      <c r="AK83" s="75">
        <v>2.2271070622040104E-2</v>
      </c>
      <c r="AL83" s="75">
        <v>6.5780813697330409E-2</v>
      </c>
      <c r="AM83" s="75">
        <v>-2.1438942337044103E-2</v>
      </c>
      <c r="AN83" s="75">
        <v>1.5722142491394128E-2</v>
      </c>
      <c r="AO83" s="75">
        <v>1.5026210556924172E-2</v>
      </c>
      <c r="AP83" s="75">
        <v>3.9429534100301644E-2</v>
      </c>
      <c r="AQ83" s="75">
        <v>4.9794199859442945E-2</v>
      </c>
      <c r="AR83" s="75">
        <v>4.2402579482037434E-2</v>
      </c>
      <c r="AS83" s="75">
        <v>-7.6390970562181804E-3</v>
      </c>
      <c r="AT83" s="75">
        <v>3.4323014708879024E-2</v>
      </c>
      <c r="AU83" s="75">
        <v>-4.112246133149805E-2</v>
      </c>
      <c r="AV83" s="75">
        <v>-5.6529162967410562E-2</v>
      </c>
      <c r="AW83" s="75">
        <v>-5.425807022926285E-2</v>
      </c>
      <c r="AX83" s="75">
        <v>5.6711091444291706E-2</v>
      </c>
      <c r="AY83" s="75">
        <v>-1.6106074429693695E-2</v>
      </c>
      <c r="AZ83" s="75">
        <v>6.5243117094620592E-2</v>
      </c>
      <c r="BA83" s="75">
        <v>-6.2801914909477258E-2</v>
      </c>
      <c r="BB83" s="75">
        <v>-5.1758747701508248E-2</v>
      </c>
      <c r="BC83" s="75">
        <v>1.5937028147735177E-2</v>
      </c>
      <c r="BD83" s="75">
        <v>-4.76524387065132E-2</v>
      </c>
      <c r="BE83" s="75">
        <v>4.45282456046628E-2</v>
      </c>
      <c r="BF83" s="75">
        <v>-7.9544296183344035E-2</v>
      </c>
      <c r="BG83" s="75">
        <v>-3.6689021134186706E-2</v>
      </c>
      <c r="BH83" s="75">
        <v>-4.9363525626737875E-3</v>
      </c>
      <c r="BI83" s="75">
        <v>-3.9736695335376215E-2</v>
      </c>
      <c r="BJ83" s="75">
        <v>1.7211766457045766E-2</v>
      </c>
      <c r="BK83" s="75">
        <v>-1.980418834903469E-2</v>
      </c>
      <c r="BL83" s="75">
        <v>-1.3495325357500657E-2</v>
      </c>
      <c r="BM83" s="75">
        <v>-3.6202367658390217E-2</v>
      </c>
      <c r="BN83" s="75">
        <v>2.0419635165752209E-3</v>
      </c>
      <c r="BO83" s="75">
        <v>-2.2251831078641399E-3</v>
      </c>
      <c r="BP83" s="75">
        <v>1.9077448352294551E-2</v>
      </c>
      <c r="BQ83" s="75">
        <v>-3.3657064853363228E-2</v>
      </c>
      <c r="BR83" s="75">
        <v>-2.9266678683681754E-2</v>
      </c>
      <c r="BS83" s="75">
        <v>4.3497528647438014E-2</v>
      </c>
      <c r="BT83" s="75">
        <v>3.6795745702864396E-2</v>
      </c>
      <c r="BU83" s="75">
        <v>1.5266632673404112E-2</v>
      </c>
      <c r="BV83" s="75">
        <v>-5.360681113882676E-2</v>
      </c>
      <c r="BW83" s="75">
        <v>-1.354884264230187E-2</v>
      </c>
      <c r="BX83" s="75">
        <v>-1.4269574075020539E-2</v>
      </c>
      <c r="BY83" s="75">
        <v>-1.744025534430621E-3</v>
      </c>
      <c r="BZ83" s="75">
        <v>-3.3234328605838248E-2</v>
      </c>
      <c r="CA83" s="75">
        <v>5.1699210482065439E-2</v>
      </c>
      <c r="CB83" s="75">
        <v>3.6736196612678559E-2</v>
      </c>
      <c r="CC83" s="75">
        <v>2.2387115102518618E-2</v>
      </c>
      <c r="CD83" s="75">
        <v>-4.2811036913634984E-2</v>
      </c>
      <c r="CE83" s="75">
        <v>-2.5903457443036251E-2</v>
      </c>
      <c r="CF83" s="75">
        <v>3.9482536559066639E-2</v>
      </c>
      <c r="CG83" s="75">
        <v>5.1441268652325081E-2</v>
      </c>
      <c r="CH83" s="75">
        <v>-5.8786080246780933E-2</v>
      </c>
      <c r="CI83" s="75">
        <v>3.5773451647918286E-3</v>
      </c>
      <c r="CJ83" s="75">
        <v>-6.0235299009324228E-2</v>
      </c>
      <c r="CK83" s="75">
        <v>-1.000795122150247E-3</v>
      </c>
      <c r="CL83" s="75">
        <v>8.1271390454495385E-3</v>
      </c>
      <c r="CM83" s="75">
        <v>-2.4419400462626376E-2</v>
      </c>
      <c r="CN83" s="75">
        <v>9.3077784593441071E-3</v>
      </c>
      <c r="CO83" s="75">
        <v>-1.2264236829562375E-3</v>
      </c>
      <c r="CP83" s="75">
        <v>-1.5777851975901758E-2</v>
      </c>
      <c r="CQ83" s="75">
        <v>4.60446510860298E-2</v>
      </c>
      <c r="CR83" s="75">
        <v>1.4262973641609056E-2</v>
      </c>
      <c r="CS83" s="75">
        <v>-1.6163910073273155E-2</v>
      </c>
      <c r="CT83" s="75">
        <v>3.3391223240571144E-2</v>
      </c>
      <c r="CU83" s="75">
        <v>6.1724220069647714E-2</v>
      </c>
      <c r="CV83" s="75">
        <v>-1.6973571870497431E-2</v>
      </c>
      <c r="CW83" s="75">
        <v>-3.6979154729660041E-2</v>
      </c>
      <c r="CX83" s="75">
        <v>7.2606486483928645E-2</v>
      </c>
      <c r="CY83" s="75">
        <v>7.131870018103767E-3</v>
      </c>
      <c r="CZ83" s="75">
        <v>7.0545266149259364E-2</v>
      </c>
      <c r="DA83" s="75">
        <v>2.0755930923665511E-2</v>
      </c>
      <c r="DB83" s="75">
        <v>1.8442912702602038E-2</v>
      </c>
      <c r="DC83" s="75">
        <v>-3.5314997914769122E-2</v>
      </c>
      <c r="DD83" s="75">
        <v>-1.1824354210678775E-2</v>
      </c>
      <c r="DE83" s="75">
        <v>-3.5936150916591747E-3</v>
      </c>
      <c r="DF83" s="75">
        <v>2.1750648391634375E-4</v>
      </c>
      <c r="DG83" s="75">
        <v>8.1259935360946278E-2</v>
      </c>
      <c r="DH83" s="75">
        <v>2.7980481543085023E-2</v>
      </c>
      <c r="DI83" s="75">
        <v>-1.6956737117161877E-2</v>
      </c>
      <c r="DJ83" s="75">
        <v>3.0546277643305114E-2</v>
      </c>
      <c r="DK83" s="75">
        <v>-1.0404217345793554E-3</v>
      </c>
      <c r="DL83" s="75">
        <v>6.5764307081504769E-2</v>
      </c>
      <c r="DM83" s="75">
        <v>-5.6365719864695352E-2</v>
      </c>
      <c r="DN83" s="75">
        <v>-1.1248769916371443E-3</v>
      </c>
      <c r="DO83" s="75">
        <v>3.4217188191310088E-2</v>
      </c>
      <c r="DP83" s="75">
        <v>1.4420509704651432E-2</v>
      </c>
      <c r="DQ83" s="75">
        <v>-1.0680722469021409E-3</v>
      </c>
      <c r="DR83" s="75">
        <v>3.7040465271960213E-2</v>
      </c>
      <c r="DS83" s="75">
        <v>1.2270633270260886E-2</v>
      </c>
      <c r="DT83" s="75">
        <v>3.7754057961537288E-2</v>
      </c>
      <c r="DU83" s="75">
        <v>2.1671211182101968E-2</v>
      </c>
      <c r="DV83" s="75">
        <v>-2.9480268822405231E-2</v>
      </c>
      <c r="DW83" s="75">
        <v>2.7353500093176927E-2</v>
      </c>
      <c r="DX83" s="75">
        <v>2.7257753733996443E-2</v>
      </c>
      <c r="DY83" s="75">
        <v>-3.56361375566141E-2</v>
      </c>
      <c r="DZ83" s="75">
        <v>-6.0394153848882637E-2</v>
      </c>
      <c r="EA83" s="75">
        <v>1.0533918875982859E-2</v>
      </c>
      <c r="EB83" s="75">
        <v>2.73086579885536E-2</v>
      </c>
      <c r="EC83" s="75">
        <v>-7.777687635021921E-2</v>
      </c>
      <c r="ED83" s="75">
        <v>2.0476269198664021E-2</v>
      </c>
      <c r="EE83" s="75">
        <v>1.0287540347367743E-2</v>
      </c>
      <c r="EF83" s="75">
        <v>4.1278063464143977E-2</v>
      </c>
      <c r="EG83" s="75">
        <v>2.7564410818589499E-2</v>
      </c>
      <c r="EH83" s="75">
        <v>3.2375291237171089E-3</v>
      </c>
      <c r="EI83" s="75">
        <v>-8.5462716341179606E-3</v>
      </c>
      <c r="EJ83" s="75">
        <v>-4.6495230946203239E-2</v>
      </c>
      <c r="EK83" s="75">
        <v>-7.6181237810518221E-2</v>
      </c>
      <c r="EL83" s="75">
        <v>-5.244220763971863E-2</v>
      </c>
      <c r="EM83" s="75">
        <v>-7.5222999990992523E-2</v>
      </c>
      <c r="EN83" s="75">
        <v>4.0009986182364121E-2</v>
      </c>
      <c r="EO83" s="75">
        <v>3.3827547615674594E-2</v>
      </c>
      <c r="EP83" s="75">
        <v>2.2753746538048514E-2</v>
      </c>
      <c r="EQ83" s="75">
        <v>6.5219037905259736E-3</v>
      </c>
      <c r="ER83" s="75">
        <v>7.4258228100070184E-3</v>
      </c>
      <c r="ES83" s="75">
        <v>2.7833243917344236E-2</v>
      </c>
      <c r="ET83" s="75">
        <v>-0.10755216578632099</v>
      </c>
      <c r="EU83" s="75">
        <v>-2.8282606499492741E-2</v>
      </c>
      <c r="EV83" s="75">
        <v>4.2363659243329077E-3</v>
      </c>
      <c r="EW83" s="75">
        <v>9.3988445531469067E-3</v>
      </c>
      <c r="EX83" s="75">
        <v>-2.3983145472890877E-3</v>
      </c>
      <c r="EY83" s="75">
        <v>6.8762694074118447E-3</v>
      </c>
      <c r="EZ83" s="75">
        <v>-4.4742955639458154E-2</v>
      </c>
      <c r="FA83" s="75">
        <v>9.4834297120019742E-2</v>
      </c>
      <c r="FB83" s="75">
        <v>-7.6923073754412583E-2</v>
      </c>
      <c r="FC83" s="75">
        <v>1.130092793459847E-2</v>
      </c>
      <c r="FD83" s="75">
        <v>-2.8571753661359611E-2</v>
      </c>
      <c r="FE83" s="75">
        <v>-5.0105218724605993E-2</v>
      </c>
      <c r="FF83" s="75">
        <v>-5.5904345801864874E-3</v>
      </c>
      <c r="FG83" s="75">
        <v>-2.7054410252882882E-3</v>
      </c>
      <c r="FH83" s="75">
        <v>-8.8555783095218665E-2</v>
      </c>
      <c r="FI83" s="75">
        <v>-8.0790846319313964E-2</v>
      </c>
      <c r="FJ83" s="75">
        <v>-1.229073812105845E-2</v>
      </c>
      <c r="FK83" s="75">
        <v>4.0860581648539965E-2</v>
      </c>
      <c r="FL83" s="75">
        <v>2.7888591957652101E-2</v>
      </c>
      <c r="FM83" s="75">
        <v>-1.9056439399800257E-2</v>
      </c>
      <c r="FN83" s="75">
        <v>3.5043100816092576E-3</v>
      </c>
      <c r="FO83" s="75">
        <v>-5.4634240286430061E-2</v>
      </c>
      <c r="FP83" s="75">
        <v>-6.6598900860146554E-3</v>
      </c>
      <c r="FQ83" s="75">
        <v>-1.1469851502102196E-2</v>
      </c>
      <c r="FR83" s="75">
        <v>1.8603941972826846E-2</v>
      </c>
      <c r="FS83" s="75">
        <v>4.7199732928984883E-2</v>
      </c>
      <c r="FT83" s="75">
        <v>5.3623075558488428E-2</v>
      </c>
      <c r="FU83" s="75">
        <v>2.6646044228159707E-2</v>
      </c>
      <c r="FV83" s="75">
        <v>-1.2870021305623341E-3</v>
      </c>
      <c r="FW83" s="75">
        <v>-2.1601902152125346E-3</v>
      </c>
      <c r="FX83" s="75">
        <v>2.9583818671311088E-2</v>
      </c>
      <c r="FY83" s="75">
        <v>-1.9540677643742385E-2</v>
      </c>
      <c r="FZ83" s="75">
        <v>-3.2788303294651142E-2</v>
      </c>
      <c r="GA83" s="75">
        <v>3.1743658421706372E-2</v>
      </c>
      <c r="GB83" s="75">
        <v>-6.5872040141793903E-2</v>
      </c>
      <c r="GC83" s="75">
        <v>6.3242710272545202E-2</v>
      </c>
      <c r="GD83" s="75">
        <v>2.5674923272632488E-2</v>
      </c>
      <c r="GE83" s="75">
        <v>-1.6280645216591241E-2</v>
      </c>
      <c r="GF83" s="75">
        <v>9.1009722725518688E-3</v>
      </c>
      <c r="GG83" s="75">
        <v>-1.2090496937195813E-2</v>
      </c>
      <c r="GH83" s="75">
        <v>4.1140365688589947E-2</v>
      </c>
      <c r="GI83" s="75">
        <v>-3.5524134678352179E-2</v>
      </c>
      <c r="GJ83" s="75">
        <v>4.1394455981980993E-2</v>
      </c>
      <c r="GK83" s="75">
        <v>-3.9802805275884479E-3</v>
      </c>
      <c r="GL83" s="75">
        <v>6.2719962385373362E-2</v>
      </c>
      <c r="GM83" s="75">
        <v>-5.4734108189035138E-2</v>
      </c>
      <c r="GN83" s="75">
        <v>3.4264615894724071E-3</v>
      </c>
      <c r="GO83" s="75">
        <v>-9.8628064380321678E-3</v>
      </c>
      <c r="GP83" s="75">
        <v>-1.5537723599084896E-2</v>
      </c>
      <c r="GQ83" s="75">
        <v>1.0478607720607824E-2</v>
      </c>
      <c r="GR83" s="75">
        <v>4.1787421760969529E-2</v>
      </c>
      <c r="GS83" s="75">
        <v>7.3082728961207377E-4</v>
      </c>
      <c r="GT83" s="75">
        <v>-2.757989546808115E-2</v>
      </c>
      <c r="GU83" s="75">
        <v>-6.4816711139869476E-2</v>
      </c>
      <c r="GV83" s="75">
        <v>3.2076318219126515E-2</v>
      </c>
      <c r="GW83" s="75">
        <v>4.4258844594399077E-3</v>
      </c>
      <c r="GX83" s="75">
        <v>-1.5419447210869186E-2</v>
      </c>
      <c r="GY83" s="75">
        <v>3.5909422879656649E-3</v>
      </c>
      <c r="GZ83" s="75">
        <v>-7.6189358413923061E-2</v>
      </c>
      <c r="HA83" s="75">
        <v>-8.858445107787935E-2</v>
      </c>
      <c r="HB83" s="75">
        <v>-8.0407294605167462E-3</v>
      </c>
      <c r="HC83" s="75">
        <v>-3.9211341517006948E-2</v>
      </c>
      <c r="HD83" s="75">
        <v>7.7571951176601373E-2</v>
      </c>
      <c r="HE83" s="75">
        <v>1.7856461874167007E-2</v>
      </c>
      <c r="HF83" s="75">
        <v>-4.068874184641337E-2</v>
      </c>
      <c r="HG83" s="75">
        <v>6.0911941894149946E-2</v>
      </c>
      <c r="HH83" s="75">
        <v>-1.6371272520853186E-2</v>
      </c>
      <c r="HI83" s="75">
        <v>5.9831279452116998E-2</v>
      </c>
      <c r="HJ83" s="75">
        <v>-1.0804567781336843E-2</v>
      </c>
      <c r="HK83" s="75">
        <v>-3.2821007098919455E-2</v>
      </c>
      <c r="HL83" s="75">
        <v>1.412918637841365E-2</v>
      </c>
      <c r="HM83" s="75">
        <v>1.1052461595428276E-3</v>
      </c>
      <c r="HN83" s="75">
        <v>-2.1922014057003558E-2</v>
      </c>
      <c r="HO83" s="75">
        <v>8.8259377116944038E-3</v>
      </c>
      <c r="HP83" s="75">
        <v>5.5865477901701627E-3</v>
      </c>
      <c r="HQ83" s="75">
        <v>-4.5747033971403339E-2</v>
      </c>
      <c r="HR83" s="75">
        <v>-5.2776366668754335E-2</v>
      </c>
      <c r="HS83" s="75">
        <v>2.5222023103166208E-3</v>
      </c>
      <c r="HT83" s="75">
        <v>-3.1926138407140231E-3</v>
      </c>
      <c r="HU83" s="75">
        <v>7.3763184034364715E-3</v>
      </c>
      <c r="HV83" s="75">
        <v>-1.3724171324473497E-2</v>
      </c>
      <c r="HW83" s="75">
        <v>0.10138725746909544</v>
      </c>
      <c r="HX83" s="75">
        <v>5.9488497462880832E-2</v>
      </c>
      <c r="HY83" s="75">
        <v>3.861878807734459E-2</v>
      </c>
      <c r="HZ83" s="75">
        <v>-1.6896005456247393E-3</v>
      </c>
      <c r="IA83" s="75">
        <v>-3.3913330363792987E-3</v>
      </c>
      <c r="IB83" s="75">
        <v>-4.6500043401964675E-2</v>
      </c>
      <c r="IC83" s="75">
        <v>1.9552376808631936E-2</v>
      </c>
      <c r="ID83" s="75">
        <v>-2.3288294023555756E-2</v>
      </c>
      <c r="IE83" s="75">
        <v>-3.4510542056634924E-2</v>
      </c>
      <c r="IF83" s="75">
        <v>7.3275383646751222E-2</v>
      </c>
      <c r="IG83" s="75">
        <v>4.3477066464546743E-2</v>
      </c>
      <c r="IH83" s="75">
        <v>-2.4179326384967462E-2</v>
      </c>
      <c r="II83" s="75">
        <v>2.3830788039751805E-2</v>
      </c>
      <c r="IJ83" s="75">
        <v>-2.4532725042236747E-2</v>
      </c>
      <c r="IK83" s="75">
        <v>5.2876461200403346E-2</v>
      </c>
      <c r="IL83" s="75">
        <v>-3.6170107466378387E-3</v>
      </c>
      <c r="IM83" s="75">
        <v>-1.8320918427670294E-2</v>
      </c>
      <c r="IN83" s="75">
        <v>2.6286133010115134E-2</v>
      </c>
      <c r="IO83" s="75">
        <v>3.7568143971624696E-2</v>
      </c>
      <c r="IP83" s="75">
        <v>-1.7164001049943242E-2</v>
      </c>
      <c r="IQ83" s="75">
        <v>1.0996162405949653E-2</v>
      </c>
      <c r="IR83" s="75">
        <v>5.366280342309647E-2</v>
      </c>
      <c r="IS83" s="75">
        <v>1.1273919566535881E-2</v>
      </c>
      <c r="IT83" s="75">
        <v>-1.2776439510040927E-2</v>
      </c>
      <c r="IU83" s="75">
        <v>-3.2571810441591978E-2</v>
      </c>
    </row>
    <row r="84" spans="1:255" s="74" customFormat="1" ht="14.5" x14ac:dyDescent="0.35">
      <c r="A84" s="73"/>
      <c r="B84" s="78">
        <v>7.75</v>
      </c>
      <c r="C84" s="77">
        <f t="shared" si="43"/>
        <v>1.2791296356283132E-2</v>
      </c>
      <c r="D84" s="76">
        <f t="shared" si="44"/>
        <v>4.3256805223672756E-2</v>
      </c>
      <c r="E84" s="75">
        <v>-6.4733927813131115E-2</v>
      </c>
      <c r="F84" s="75">
        <v>8.0938829908867527E-2</v>
      </c>
      <c r="G84" s="75">
        <v>8.2890525251353986E-2</v>
      </c>
      <c r="H84" s="75">
        <v>-2.3875028397472908E-2</v>
      </c>
      <c r="I84" s="75">
        <v>1.6426117682473595E-2</v>
      </c>
      <c r="J84" s="75">
        <v>-2.1417110626597902E-2</v>
      </c>
      <c r="K84" s="75">
        <v>2.4176943802815209E-2</v>
      </c>
      <c r="L84" s="75">
        <v>-1.5078321427662578E-2</v>
      </c>
      <c r="M84" s="75">
        <v>-1.3517990877921909E-2</v>
      </c>
      <c r="N84" s="75">
        <v>4.9346417638891582E-2</v>
      </c>
      <c r="O84" s="75">
        <v>1.7040810155840858E-2</v>
      </c>
      <c r="P84" s="75">
        <v>1.5389220691269634E-2</v>
      </c>
      <c r="Q84" s="75">
        <v>-3.8810646649789671E-2</v>
      </c>
      <c r="R84" s="75">
        <v>1.7249762592105602E-2</v>
      </c>
      <c r="S84" s="75">
        <v>-6.1555284377873276E-6</v>
      </c>
      <c r="T84" s="75">
        <v>-3.2086797453194774E-2</v>
      </c>
      <c r="U84" s="75">
        <v>-2.4486668562838321E-2</v>
      </c>
      <c r="V84" s="75">
        <v>2.9869556251193696E-2</v>
      </c>
      <c r="W84" s="75">
        <v>4.4387565423901792E-2</v>
      </c>
      <c r="X84" s="75">
        <v>2.1496336126570426E-2</v>
      </c>
      <c r="Y84" s="75">
        <v>-3.0500263558713533E-2</v>
      </c>
      <c r="Z84" s="75">
        <v>6.5752273059153946E-2</v>
      </c>
      <c r="AA84" s="75">
        <v>-3.971488779480753E-4</v>
      </c>
      <c r="AB84" s="75">
        <v>2.6168735575443927E-2</v>
      </c>
      <c r="AC84" s="75">
        <v>6.6221548048313317E-4</v>
      </c>
      <c r="AD84" s="75">
        <v>1.3180138464488622E-2</v>
      </c>
      <c r="AE84" s="75">
        <v>-8.7381178578312485E-2</v>
      </c>
      <c r="AF84" s="75">
        <v>1.2588673301548961E-2</v>
      </c>
      <c r="AG84" s="75">
        <v>1.9031060754040874E-2</v>
      </c>
      <c r="AH84" s="75">
        <v>9.666561569935006E-3</v>
      </c>
      <c r="AI84" s="75">
        <v>-8.6861452269296729E-2</v>
      </c>
      <c r="AJ84" s="75">
        <v>-2.9243592623187764E-2</v>
      </c>
      <c r="AK84" s="75">
        <v>1.8397094295228067E-2</v>
      </c>
      <c r="AL84" s="75">
        <v>3.4498447812842392E-2</v>
      </c>
      <c r="AM84" s="75">
        <v>-2.7954848689967712E-2</v>
      </c>
      <c r="AN84" s="75">
        <v>2.4909988752441062E-2</v>
      </c>
      <c r="AO84" s="75">
        <v>1.369828797768316E-2</v>
      </c>
      <c r="AP84" s="75">
        <v>2.5331127946517207E-2</v>
      </c>
      <c r="AQ84" s="75">
        <v>4.3256805223672756E-2</v>
      </c>
      <c r="AR84" s="75">
        <v>3.66228641572936E-2</v>
      </c>
      <c r="AS84" s="75">
        <v>-1.393728483264367E-2</v>
      </c>
      <c r="AT84" s="75">
        <v>3.6962232792841457E-2</v>
      </c>
      <c r="AU84" s="75">
        <v>-3.9682697102462125E-2</v>
      </c>
      <c r="AV84" s="75">
        <v>-4.7473503574429365E-2</v>
      </c>
      <c r="AW84" s="75">
        <v>-5.161006857028809E-2</v>
      </c>
      <c r="AX84" s="75">
        <v>4.7572588313290878E-2</v>
      </c>
      <c r="AY84" s="75">
        <v>-2.2406978197133193E-2</v>
      </c>
      <c r="AZ84" s="75">
        <v>5.9240841409747308E-2</v>
      </c>
      <c r="BA84" s="75">
        <v>-4.839451747025636E-2</v>
      </c>
      <c r="BB84" s="75">
        <v>-4.8761744054943088E-2</v>
      </c>
      <c r="BC84" s="75">
        <v>1.185911226879853E-2</v>
      </c>
      <c r="BD84" s="75">
        <v>-5.9461153631027552E-2</v>
      </c>
      <c r="BE84" s="75">
        <v>3.4265494161707724E-2</v>
      </c>
      <c r="BF84" s="75">
        <v>-8.2210558673716849E-2</v>
      </c>
      <c r="BG84" s="75">
        <v>-2.8398623609384832E-2</v>
      </c>
      <c r="BH84" s="75">
        <v>-4.7189935158861163E-3</v>
      </c>
      <c r="BI84" s="75">
        <v>-2.7545695134465156E-2</v>
      </c>
      <c r="BJ84" s="75">
        <v>1.746536137773276E-2</v>
      </c>
      <c r="BK84" s="75">
        <v>-2.2815254877287014E-2</v>
      </c>
      <c r="BL84" s="75">
        <v>-1.1233087188865815E-2</v>
      </c>
      <c r="BM84" s="75">
        <v>-4.0592353207838244E-2</v>
      </c>
      <c r="BN84" s="75">
        <v>-1.0178076561915689E-3</v>
      </c>
      <c r="BO84" s="75">
        <v>7.3725747486416693E-3</v>
      </c>
      <c r="BP84" s="75">
        <v>1.6054748731361479E-2</v>
      </c>
      <c r="BQ84" s="75">
        <v>-3.2846318616535808E-2</v>
      </c>
      <c r="BR84" s="75">
        <v>-2.4159161861253525E-2</v>
      </c>
      <c r="BS84" s="75">
        <v>3.1933880247973001E-2</v>
      </c>
      <c r="BT84" s="75">
        <v>1.3041471507359195E-2</v>
      </c>
      <c r="BU84" s="75">
        <v>1.1007949073086845E-2</v>
      </c>
      <c r="BV84" s="75">
        <v>-3.9947341812570883E-2</v>
      </c>
      <c r="BW84" s="75">
        <v>-2.7002737499916454E-2</v>
      </c>
      <c r="BX84" s="75">
        <v>-2.4847830974363688E-2</v>
      </c>
      <c r="BY84" s="75">
        <v>7.6707469132276107E-3</v>
      </c>
      <c r="BZ84" s="75">
        <v>-2.9515214511602342E-2</v>
      </c>
      <c r="CA84" s="75">
        <v>5.0028758559211475E-2</v>
      </c>
      <c r="CB84" s="75">
        <v>2.5306516002731178E-2</v>
      </c>
      <c r="CC84" s="75">
        <v>2.4358596346961428E-2</v>
      </c>
      <c r="CD84" s="75">
        <v>-4.1368101768767096E-2</v>
      </c>
      <c r="CE84" s="75">
        <v>-2.8848096030262366E-2</v>
      </c>
      <c r="CF84" s="75">
        <v>2.5849767236135968E-2</v>
      </c>
      <c r="CG84" s="75">
        <v>4.0757054239088597E-2</v>
      </c>
      <c r="CH84" s="75">
        <v>-6.0420777057587416E-2</v>
      </c>
      <c r="CI84" s="75">
        <v>1.186473709515018E-2</v>
      </c>
      <c r="CJ84" s="75">
        <v>-5.6357674501932242E-2</v>
      </c>
      <c r="CK84" s="75">
        <v>-1.6406294564568213E-3</v>
      </c>
      <c r="CL84" s="75">
        <v>2.0197312433953354E-2</v>
      </c>
      <c r="CM84" s="75">
        <v>-2.0528755947143151E-2</v>
      </c>
      <c r="CN84" s="75">
        <v>1.4993781251922481E-2</v>
      </c>
      <c r="CO84" s="75">
        <v>-7.1967743111260585E-3</v>
      </c>
      <c r="CP84" s="75">
        <v>-9.371090355361919E-3</v>
      </c>
      <c r="CQ84" s="75">
        <v>4.3777501899856172E-2</v>
      </c>
      <c r="CR84" s="75">
        <v>2.0870946575587218E-2</v>
      </c>
      <c r="CS84" s="75">
        <v>-2.9361478468125438E-2</v>
      </c>
      <c r="CT84" s="75">
        <v>2.4205738189925177E-2</v>
      </c>
      <c r="CU84" s="75">
        <v>5.1848940153360598E-2</v>
      </c>
      <c r="CV84" s="75">
        <v>-1.4947466843206109E-2</v>
      </c>
      <c r="CW84" s="75">
        <v>-3.0246815570384014E-2</v>
      </c>
      <c r="CX84" s="75">
        <v>6.2476333108326232E-2</v>
      </c>
      <c r="CY84" s="75">
        <v>1.556092002968433E-2</v>
      </c>
      <c r="CZ84" s="75">
        <v>6.510015852048677E-2</v>
      </c>
      <c r="DA84" s="75">
        <v>2.4382291618811697E-2</v>
      </c>
      <c r="DB84" s="75">
        <v>3.4283119191433453E-2</v>
      </c>
      <c r="DC84" s="75">
        <v>7.9743323529288396E-3</v>
      </c>
      <c r="DD84" s="75">
        <v>6.2835457806038886E-4</v>
      </c>
      <c r="DE84" s="75">
        <v>2.7161139126296724E-3</v>
      </c>
      <c r="DF84" s="75">
        <v>1.9999481636321648E-3</v>
      </c>
      <c r="DG84" s="75">
        <v>1.722444279020155E-2</v>
      </c>
      <c r="DH84" s="75">
        <v>-1.5952656847709495E-2</v>
      </c>
      <c r="DI84" s="75">
        <v>-2.0038616078282653E-2</v>
      </c>
      <c r="DJ84" s="75">
        <v>1.6465168856020618E-2</v>
      </c>
      <c r="DK84" s="75">
        <v>-3.8531870897505205E-3</v>
      </c>
      <c r="DL84" s="75">
        <v>4.5938219328398061E-2</v>
      </c>
      <c r="DM84" s="75">
        <v>-1.5866664892675755E-2</v>
      </c>
      <c r="DN84" s="75">
        <v>-1.0216394355064273E-3</v>
      </c>
      <c r="DO84" s="75">
        <v>2.7805383641006556E-2</v>
      </c>
      <c r="DP84" s="75">
        <v>-4.8714194656560572E-3</v>
      </c>
      <c r="DQ84" s="75">
        <v>-4.3626911685929054E-3</v>
      </c>
      <c r="DR84" s="75">
        <v>3.3228997561411788E-2</v>
      </c>
      <c r="DS84" s="75">
        <v>-3.0979933129642354E-2</v>
      </c>
      <c r="DT84" s="75">
        <v>3.0064878362392009E-2</v>
      </c>
      <c r="DU84" s="75">
        <v>1.9986215461799128E-3</v>
      </c>
      <c r="DV84" s="75">
        <v>-1.2874281320144787E-2</v>
      </c>
      <c r="DW84" s="75">
        <v>1.4833272141978257E-2</v>
      </c>
      <c r="DX84" s="75">
        <v>-9.5536253942184873E-3</v>
      </c>
      <c r="DY84" s="75">
        <v>-9.4311946848283784E-3</v>
      </c>
      <c r="DZ84" s="75">
        <v>-1.7217901347425291E-2</v>
      </c>
      <c r="EA84" s="75">
        <v>6.1691363548149178E-2</v>
      </c>
      <c r="EB84" s="75">
        <v>1.9233122746719164E-2</v>
      </c>
      <c r="EC84" s="75">
        <v>-1.618260364941701E-2</v>
      </c>
      <c r="ED84" s="75">
        <v>4.9620482275104377E-3</v>
      </c>
      <c r="EE84" s="75">
        <v>1.6032596073430952E-2</v>
      </c>
      <c r="EF84" s="75">
        <v>5.3190535429138749E-2</v>
      </c>
      <c r="EG84" s="75">
        <v>1.3849409250790881E-2</v>
      </c>
      <c r="EH84" s="75">
        <v>6.6385224545406907E-3</v>
      </c>
      <c r="EI84" s="75">
        <v>-4.8102420202073143E-3</v>
      </c>
      <c r="EJ84" s="75">
        <v>-4.797515601473723E-2</v>
      </c>
      <c r="EK84" s="75">
        <v>-6.3830184546176394E-2</v>
      </c>
      <c r="EL84" s="75">
        <v>2.4213756682528217E-2</v>
      </c>
      <c r="EM84" s="75">
        <v>-3.8076306929824527E-2</v>
      </c>
      <c r="EN84" s="75">
        <v>-7.1811309536540302E-2</v>
      </c>
      <c r="EO84" s="75">
        <v>3.4559774281114453E-2</v>
      </c>
      <c r="EP84" s="75">
        <v>2.708047401887248E-2</v>
      </c>
      <c r="EQ84" s="75">
        <v>-6.060152773827425E-2</v>
      </c>
      <c r="ER84" s="75">
        <v>2.3373477368845708E-3</v>
      </c>
      <c r="ES84" s="75">
        <v>8.1941940895911003E-3</v>
      </c>
      <c r="ET84" s="75">
        <v>-8.4999817967480948E-2</v>
      </c>
      <c r="EU84" s="75">
        <v>-4.6339899059214776E-2</v>
      </c>
      <c r="EV84" s="75">
        <v>1.2659175312776827E-2</v>
      </c>
      <c r="EW84" s="75">
        <v>1.9547328419990698E-2</v>
      </c>
      <c r="EX84" s="75">
        <v>-5.2915895556060466E-4</v>
      </c>
      <c r="EY84" s="75">
        <v>-9.7373914394253136E-3</v>
      </c>
      <c r="EZ84" s="75">
        <v>-6.6740142825201965E-2</v>
      </c>
      <c r="FA84" s="75">
        <v>-5.3709961772689219E-2</v>
      </c>
      <c r="FB84" s="75">
        <v>-1.068237363742465E-2</v>
      </c>
      <c r="FC84" s="75">
        <v>-2.8058791126707991E-2</v>
      </c>
      <c r="FD84" s="75">
        <v>-3.1653343044920124E-2</v>
      </c>
      <c r="FE84" s="75">
        <v>-6.368650881820645E-2</v>
      </c>
      <c r="FF84" s="75">
        <v>-6.9064805726514009E-2</v>
      </c>
      <c r="FG84" s="75">
        <v>-1.0796433723291907E-2</v>
      </c>
      <c r="FH84" s="75">
        <v>-8.7635889390094895E-2</v>
      </c>
      <c r="FI84" s="75">
        <v>-6.3245923120813674E-2</v>
      </c>
      <c r="FJ84" s="75">
        <v>-2.6906731401749234E-2</v>
      </c>
      <c r="FK84" s="75">
        <v>4.6625294996563232E-2</v>
      </c>
      <c r="FL84" s="75">
        <v>-4.4442824868342612E-2</v>
      </c>
      <c r="FM84" s="75">
        <v>-6.0230426963188283E-3</v>
      </c>
      <c r="FN84" s="75">
        <v>5.5216495037564012E-3</v>
      </c>
      <c r="FO84" s="75">
        <v>-1.3230920192287332E-2</v>
      </c>
      <c r="FP84" s="75">
        <v>-2.5545367400832061E-2</v>
      </c>
      <c r="FQ84" s="75">
        <v>4.0590004975822325E-3</v>
      </c>
      <c r="FR84" s="75">
        <v>-4.4067259403994363E-2</v>
      </c>
      <c r="FS84" s="75">
        <v>-7.0527755063056058E-2</v>
      </c>
      <c r="FT84" s="75">
        <v>3.8772280597938871E-2</v>
      </c>
      <c r="FU84" s="75">
        <v>-1.4889091081354278E-3</v>
      </c>
      <c r="FV84" s="75">
        <v>-2.4007883934099777E-2</v>
      </c>
      <c r="FW84" s="75">
        <v>-2.8731243111747032E-2</v>
      </c>
      <c r="FX84" s="75">
        <v>4.3180751251058122E-2</v>
      </c>
      <c r="FY84" s="75">
        <v>-2.6967503150788011E-2</v>
      </c>
      <c r="FZ84" s="75">
        <v>-3.7288204435489428E-2</v>
      </c>
      <c r="GA84" s="75">
        <v>-5.8635257533138599E-2</v>
      </c>
      <c r="GB84" s="75">
        <v>-6.8367889715639021E-2</v>
      </c>
      <c r="GC84" s="75">
        <v>4.3630268838844022E-3</v>
      </c>
      <c r="GD84" s="75">
        <v>5.1592880374213487E-2</v>
      </c>
      <c r="GE84" s="75">
        <v>-3.3721417944485105E-2</v>
      </c>
      <c r="GF84" s="75">
        <v>1.4865215737323453E-2</v>
      </c>
      <c r="GG84" s="75">
        <v>-1.6084640990111435E-2</v>
      </c>
      <c r="GH84" s="75">
        <v>2.4632067693537901E-2</v>
      </c>
      <c r="GI84" s="75">
        <v>4.1625187739075517E-2</v>
      </c>
      <c r="GJ84" s="75">
        <v>2.4036907705277555E-2</v>
      </c>
      <c r="GK84" s="75">
        <v>-1.9061374080657417E-2</v>
      </c>
      <c r="GL84" s="75">
        <v>5.8395372561226497E-2</v>
      </c>
      <c r="GM84" s="75">
        <v>-6.3160208116171082E-2</v>
      </c>
      <c r="GN84" s="75">
        <v>-2.4711061888388342E-4</v>
      </c>
      <c r="GO84" s="75">
        <v>-9.454880622957676E-2</v>
      </c>
      <c r="GP84" s="75">
        <v>9.8221470514744252E-3</v>
      </c>
      <c r="GQ84" s="75">
        <v>-3.3447954986488559E-3</v>
      </c>
      <c r="GR84" s="75">
        <v>-4.5391984623574383E-3</v>
      </c>
      <c r="GS84" s="75">
        <v>-6.5620973325824061E-2</v>
      </c>
      <c r="GT84" s="75">
        <v>-9.4557878255054628E-3</v>
      </c>
      <c r="GU84" s="75">
        <v>-6.3452250220341219E-2</v>
      </c>
      <c r="GV84" s="75">
        <v>2.1915827744610789E-2</v>
      </c>
      <c r="GW84" s="75">
        <v>-2.8585723815354319E-3</v>
      </c>
      <c r="GX84" s="75">
        <v>-1.5395753025457967E-2</v>
      </c>
      <c r="GY84" s="75">
        <v>-3.4415441849055817E-3</v>
      </c>
      <c r="GZ84" s="75">
        <v>-2.463331290619486E-3</v>
      </c>
      <c r="HA84" s="75">
        <v>8.4756694561434476E-3</v>
      </c>
      <c r="HB84" s="75">
        <v>-3.8837683487265434E-3</v>
      </c>
      <c r="HC84" s="75">
        <v>4.4983611645348504E-2</v>
      </c>
      <c r="HD84" s="75">
        <v>1.0920784465794281E-2</v>
      </c>
      <c r="HE84" s="75">
        <v>-4.884387458256749E-2</v>
      </c>
      <c r="HF84" s="75">
        <v>1.8231820984766278E-2</v>
      </c>
      <c r="HG84" s="75">
        <v>-3.2005832156720149E-4</v>
      </c>
      <c r="HH84" s="75">
        <v>-9.5948669647335227E-3</v>
      </c>
      <c r="HI84" s="75">
        <v>-5.18197805343516E-2</v>
      </c>
      <c r="HJ84" s="75">
        <v>-6.6091851181020872E-3</v>
      </c>
      <c r="HK84" s="75">
        <v>-1.7828346659129926E-2</v>
      </c>
      <c r="HL84" s="75">
        <v>-5.6116252136418632E-2</v>
      </c>
      <c r="HM84" s="75">
        <v>1.5221707724676736E-2</v>
      </c>
      <c r="HN84" s="75">
        <v>-4.1222554178201809E-2</v>
      </c>
      <c r="HO84" s="75">
        <v>-7.8064127356702998E-2</v>
      </c>
      <c r="HP84" s="75">
        <v>-7.2827912052703558E-2</v>
      </c>
      <c r="HQ84" s="75">
        <v>4.9796412383275729E-3</v>
      </c>
      <c r="HR84" s="75">
        <v>-1.8699808813530061E-2</v>
      </c>
      <c r="HS84" s="75">
        <v>-1.5716958172113063E-2</v>
      </c>
      <c r="HT84" s="75">
        <v>2.8290767762598756E-3</v>
      </c>
      <c r="HU84" s="75">
        <v>1.0832896076842458E-2</v>
      </c>
      <c r="HV84" s="75">
        <v>2.9158440179888889E-3</v>
      </c>
      <c r="HW84" s="75">
        <v>0.10401493552227022</v>
      </c>
      <c r="HX84" s="75">
        <v>-9.3961608156806764E-3</v>
      </c>
      <c r="HY84" s="75">
        <v>-6.1412365767906776E-2</v>
      </c>
      <c r="HZ84" s="75">
        <v>6.5244312663815501E-2</v>
      </c>
      <c r="IA84" s="75">
        <v>1.1367319333536186E-3</v>
      </c>
      <c r="IB84" s="75">
        <v>4.4347508861123139E-2</v>
      </c>
      <c r="IC84" s="75">
        <v>4.6326904939000491E-2</v>
      </c>
      <c r="ID84" s="75">
        <v>-2.4640504289458937E-2</v>
      </c>
      <c r="IE84" s="75">
        <v>4.784554468639593E-2</v>
      </c>
      <c r="IF84" s="75">
        <v>6.1223905761875405E-2</v>
      </c>
      <c r="IG84" s="75">
        <v>-1.7630290520137953E-2</v>
      </c>
      <c r="IH84" s="75">
        <v>2.2257546929298627E-2</v>
      </c>
      <c r="II84" s="75">
        <v>-2.2923979552559884E-2</v>
      </c>
      <c r="IJ84" s="75">
        <v>1.0519923489807959E-2</v>
      </c>
      <c r="IK84" s="75">
        <v>4.3979684048665951E-2</v>
      </c>
      <c r="IL84" s="75">
        <v>2.9407284541634743E-3</v>
      </c>
      <c r="IM84" s="75">
        <v>3.7614505713858895E-2</v>
      </c>
      <c r="IN84" s="75">
        <v>1.987643154292483E-2</v>
      </c>
      <c r="IO84" s="75">
        <v>2.8565861489636718E-2</v>
      </c>
      <c r="IP84" s="75">
        <v>-2.1008812900106477E-2</v>
      </c>
      <c r="IQ84" s="75">
        <v>1.7087976845542335E-2</v>
      </c>
      <c r="IR84" s="75">
        <v>2.0354979600967077E-3</v>
      </c>
      <c r="IS84" s="75">
        <v>3.2468070236541954E-2</v>
      </c>
      <c r="IT84" s="75">
        <v>-1.1082273136556187E-3</v>
      </c>
      <c r="IU84" s="75">
        <v>3.1861398674116193E-3</v>
      </c>
    </row>
    <row r="85" spans="1:255" s="74" customFormat="1" ht="14.5" x14ac:dyDescent="0.35">
      <c r="A85" s="73"/>
      <c r="B85" s="78">
        <v>8</v>
      </c>
      <c r="C85" s="77">
        <f t="shared" si="43"/>
        <v>1.2629721482426831E-2</v>
      </c>
      <c r="D85" s="76">
        <f t="shared" si="44"/>
        <v>4.0730864776684528E-2</v>
      </c>
      <c r="E85" s="75">
        <v>-4.8581990745384718E-2</v>
      </c>
      <c r="F85" s="75">
        <v>5.9863503224769507E-2</v>
      </c>
      <c r="G85" s="75">
        <v>7.8320766611810089E-2</v>
      </c>
      <c r="H85" s="75">
        <v>-1.1090667208667734E-2</v>
      </c>
      <c r="I85" s="75">
        <v>-3.6609596789305698E-3</v>
      </c>
      <c r="J85" s="75">
        <v>-1.6716732985986194E-2</v>
      </c>
      <c r="K85" s="75">
        <v>2.8129136582682221E-2</v>
      </c>
      <c r="L85" s="75">
        <v>-7.0366310659716325E-3</v>
      </c>
      <c r="M85" s="75">
        <v>-1.4798631413061328E-2</v>
      </c>
      <c r="N85" s="75">
        <v>4.8350455503950007E-2</v>
      </c>
      <c r="O85" s="75">
        <v>1.3565380481462649E-2</v>
      </c>
      <c r="P85" s="75">
        <v>2.514612414946843E-2</v>
      </c>
      <c r="Q85" s="75">
        <v>-4.1992784513615738E-2</v>
      </c>
      <c r="R85" s="75">
        <v>-1.1591914266687042E-2</v>
      </c>
      <c r="S85" s="75">
        <v>-5.063417184301422E-4</v>
      </c>
      <c r="T85" s="75">
        <v>-2.9683466376930701E-2</v>
      </c>
      <c r="U85" s="75">
        <v>-2.7597213641749552E-2</v>
      </c>
      <c r="V85" s="75">
        <v>2.1102435938679873E-2</v>
      </c>
      <c r="W85" s="75">
        <v>4.0872514393590353E-2</v>
      </c>
      <c r="X85" s="75">
        <v>2.7245303732069764E-2</v>
      </c>
      <c r="Y85" s="75">
        <v>-2.5419134482585481E-2</v>
      </c>
      <c r="Z85" s="75">
        <v>4.9364615231942202E-2</v>
      </c>
      <c r="AA85" s="75">
        <v>-2.674973616828849E-3</v>
      </c>
      <c r="AB85" s="75">
        <v>3.4936726848205063E-2</v>
      </c>
      <c r="AC85" s="75">
        <v>6.4997185065750196E-3</v>
      </c>
      <c r="AD85" s="75">
        <v>2.8947462513621916E-2</v>
      </c>
      <c r="AE85" s="75">
        <v>-8.5024103033722709E-2</v>
      </c>
      <c r="AF85" s="75">
        <v>1.7284364112342146E-2</v>
      </c>
      <c r="AG85" s="75">
        <v>2.3743552733233225E-2</v>
      </c>
      <c r="AH85" s="75">
        <v>9.6609401202687739E-3</v>
      </c>
      <c r="AI85" s="75">
        <v>-7.6606159798888823E-2</v>
      </c>
      <c r="AJ85" s="75">
        <v>-2.0245448893496734E-2</v>
      </c>
      <c r="AK85" s="75">
        <v>1.1554034776637037E-2</v>
      </c>
      <c r="AL85" s="75">
        <v>4.5278899329321012E-2</v>
      </c>
      <c r="AM85" s="75">
        <v>-3.558035680928158E-2</v>
      </c>
      <c r="AN85" s="75">
        <v>3.5383512768161637E-2</v>
      </c>
      <c r="AO85" s="75">
        <v>-3.4801359522049213E-4</v>
      </c>
      <c r="AP85" s="75">
        <v>1.3873971014780273E-2</v>
      </c>
      <c r="AQ85" s="75">
        <v>3.8645538716906749E-2</v>
      </c>
      <c r="AR85" s="75">
        <v>2.2343569653626438E-2</v>
      </c>
      <c r="AS85" s="75">
        <v>-1.1675215201708944E-2</v>
      </c>
      <c r="AT85" s="75">
        <v>4.0730864776684528E-2</v>
      </c>
      <c r="AU85" s="75">
        <v>-2.2648944606822818E-2</v>
      </c>
      <c r="AV85" s="75">
        <v>-4.2946005313050026E-2</v>
      </c>
      <c r="AW85" s="75">
        <v>-3.9156719405364027E-2</v>
      </c>
      <c r="AX85" s="75">
        <v>4.8393840235408714E-2</v>
      </c>
      <c r="AY85" s="75">
        <v>-3.0003180160276477E-2</v>
      </c>
      <c r="AZ85" s="75">
        <v>4.9156999101585455E-2</v>
      </c>
      <c r="BA85" s="75">
        <v>-3.9155845359312436E-2</v>
      </c>
      <c r="BB85" s="75">
        <v>-2.796244027055883E-2</v>
      </c>
      <c r="BC85" s="75">
        <v>1.1114581194225315E-2</v>
      </c>
      <c r="BD85" s="75">
        <v>-5.6120779621338934E-2</v>
      </c>
      <c r="BE85" s="75">
        <v>3.4003368436345632E-2</v>
      </c>
      <c r="BF85" s="75">
        <v>-7.2039388462697668E-2</v>
      </c>
      <c r="BG85" s="75">
        <v>-2.8833477573065994E-2</v>
      </c>
      <c r="BH85" s="75">
        <v>2.8085052019986706E-3</v>
      </c>
      <c r="BI85" s="75">
        <v>-2.9608692980466353E-2</v>
      </c>
      <c r="BJ85" s="75">
        <v>1.7044385856015407E-2</v>
      </c>
      <c r="BK85" s="75">
        <v>-4.4184218123502483E-3</v>
      </c>
      <c r="BL85" s="75">
        <v>-1.0448637101750563E-2</v>
      </c>
      <c r="BM85" s="75">
        <v>-4.944601000284371E-2</v>
      </c>
      <c r="BN85" s="75">
        <v>3.5498983915116522E-3</v>
      </c>
      <c r="BO85" s="75">
        <v>1.1085990827205919E-2</v>
      </c>
      <c r="BP85" s="75">
        <v>6.0793672726041914E-3</v>
      </c>
      <c r="BQ85" s="75">
        <v>-4.4579648798911492E-2</v>
      </c>
      <c r="BR85" s="75">
        <v>-3.4962972279602766E-2</v>
      </c>
      <c r="BS85" s="75">
        <v>2.3445003119070662E-2</v>
      </c>
      <c r="BT85" s="75">
        <v>6.1295203840657647E-3</v>
      </c>
      <c r="BU85" s="75">
        <v>1.5959706733802329E-2</v>
      </c>
      <c r="BV85" s="75">
        <v>-5.1324673423388867E-2</v>
      </c>
      <c r="BW85" s="75">
        <v>-3.2989021530368021E-2</v>
      </c>
      <c r="BX85" s="75">
        <v>-2.6362440223292927E-2</v>
      </c>
      <c r="BY85" s="75">
        <v>8.1677159486317208E-3</v>
      </c>
      <c r="BZ85" s="75">
        <v>-2.3998802932724592E-2</v>
      </c>
      <c r="CA85" s="75">
        <v>3.9165996103554257E-2</v>
      </c>
      <c r="CB85" s="75">
        <v>2.2556723748817786E-2</v>
      </c>
      <c r="CC85" s="75">
        <v>3.737686685083734E-2</v>
      </c>
      <c r="CD85" s="75">
        <v>-4.6826894624526161E-2</v>
      </c>
      <c r="CE85" s="75">
        <v>-2.5475162129045131E-2</v>
      </c>
      <c r="CF85" s="75">
        <v>2.1348511501926681E-2</v>
      </c>
      <c r="CG85" s="75">
        <v>3.9775271001136883E-2</v>
      </c>
      <c r="CH85" s="75">
        <v>-8.2488444882835021E-2</v>
      </c>
      <c r="CI85" s="75">
        <v>1.1712844928634114E-3</v>
      </c>
      <c r="CJ85" s="75">
        <v>-7.2435540628589826E-2</v>
      </c>
      <c r="CK85" s="75">
        <v>-1.0139085463890696E-2</v>
      </c>
      <c r="CL85" s="75">
        <v>2.2428270290350272E-3</v>
      </c>
      <c r="CM85" s="75">
        <v>-1.6901030701991726E-2</v>
      </c>
      <c r="CN85" s="75">
        <v>7.4171817284737762E-4</v>
      </c>
      <c r="CO85" s="75">
        <v>-4.3154446530379031E-3</v>
      </c>
      <c r="CP85" s="75">
        <v>-1.1396080223647742E-2</v>
      </c>
      <c r="CQ85" s="75">
        <v>4.2117710513951745E-2</v>
      </c>
      <c r="CR85" s="75">
        <v>1.2264512831810237E-2</v>
      </c>
      <c r="CS85" s="75">
        <v>-3.7716753543207943E-2</v>
      </c>
      <c r="CT85" s="75">
        <v>1.6723016925633299E-2</v>
      </c>
      <c r="CU85" s="75">
        <v>5.5664314494743086E-2</v>
      </c>
      <c r="CV85" s="75">
        <v>-2.1743485147561525E-2</v>
      </c>
      <c r="CW85" s="75">
        <v>-2.0106433287288686E-2</v>
      </c>
      <c r="CX85" s="75">
        <v>4.9996594012076748E-2</v>
      </c>
      <c r="CY85" s="75">
        <v>1.696436442562671E-2</v>
      </c>
      <c r="CZ85" s="75">
        <v>4.9165666276900249E-2</v>
      </c>
      <c r="DA85" s="75">
        <v>1.4958780152724782E-2</v>
      </c>
      <c r="DB85" s="75">
        <v>2.5184148624637456E-2</v>
      </c>
      <c r="DC85" s="75">
        <v>1.7175905066315056E-3</v>
      </c>
      <c r="DD85" s="75">
        <v>2.8818061120039234E-2</v>
      </c>
      <c r="DE85" s="75">
        <v>-2.6066746436661237E-2</v>
      </c>
      <c r="DF85" s="75">
        <v>2.7337863510513705E-2</v>
      </c>
      <c r="DG85" s="75">
        <v>1.2376657698127957E-2</v>
      </c>
      <c r="DH85" s="75">
        <v>-2.9172092156505347E-2</v>
      </c>
      <c r="DI85" s="75">
        <v>2.3119231240794361E-2</v>
      </c>
      <c r="DJ85" s="75">
        <v>-5.69936702635436E-3</v>
      </c>
      <c r="DK85" s="75">
        <v>-2.4061099081546383E-3</v>
      </c>
      <c r="DL85" s="75">
        <v>2.1392687736521018E-2</v>
      </c>
      <c r="DM85" s="75">
        <v>-6.2519481245063874E-2</v>
      </c>
      <c r="DN85" s="75">
        <v>-6.9721146583977822E-3</v>
      </c>
      <c r="DO85" s="75">
        <v>-6.4065517126982996E-3</v>
      </c>
      <c r="DP85" s="75">
        <v>7.3064524168174189E-3</v>
      </c>
      <c r="DQ85" s="75">
        <v>1.9914434498845876E-2</v>
      </c>
      <c r="DR85" s="75">
        <v>8.4328081319888309E-2</v>
      </c>
      <c r="DS85" s="75">
        <v>-1.9858231041979535E-2</v>
      </c>
      <c r="DT85" s="75">
        <v>3.7500406203710354E-2</v>
      </c>
      <c r="DU85" s="75">
        <v>-5.9543405536926636E-3</v>
      </c>
      <c r="DV85" s="75">
        <v>-4.1325963563933477E-3</v>
      </c>
      <c r="DW85" s="75">
        <v>1.4340203269832708E-2</v>
      </c>
      <c r="DX85" s="75">
        <v>-1.6474827318151142E-2</v>
      </c>
      <c r="DY85" s="75">
        <v>6.259972574882991E-3</v>
      </c>
      <c r="DZ85" s="75">
        <v>-1.2303792860169332E-2</v>
      </c>
      <c r="EA85" s="75">
        <v>6.6967452609520736E-2</v>
      </c>
      <c r="EB85" s="75">
        <v>4.9511196813386421E-3</v>
      </c>
      <c r="EC85" s="75">
        <v>-4.9383960084214001E-3</v>
      </c>
      <c r="ED85" s="75">
        <v>8.9351066198698342E-3</v>
      </c>
      <c r="EE85" s="75">
        <v>-5.201705058191064E-3</v>
      </c>
      <c r="EF85" s="75">
        <v>1.5533952673412066E-2</v>
      </c>
      <c r="EG85" s="75">
        <v>-2.3231295252194736E-2</v>
      </c>
      <c r="EH85" s="75">
        <v>-4.5372803314770074E-2</v>
      </c>
      <c r="EI85" s="75">
        <v>2.5439876428382246E-3</v>
      </c>
      <c r="EJ85" s="75">
        <v>-5.2850888288895059E-2</v>
      </c>
      <c r="EK85" s="75">
        <v>-7.2444132361102753E-2</v>
      </c>
      <c r="EL85" s="75">
        <v>1.6994499768760163E-2</v>
      </c>
      <c r="EM85" s="75">
        <v>-2.6154910557874028E-2</v>
      </c>
      <c r="EN85" s="75">
        <v>-1.8577498956059646E-2</v>
      </c>
      <c r="EO85" s="75">
        <v>-5.4253776122102623E-2</v>
      </c>
      <c r="EP85" s="75">
        <v>-2.1859620726735973E-2</v>
      </c>
      <c r="EQ85" s="75">
        <v>-5.3534107707663092E-2</v>
      </c>
      <c r="ER85" s="75">
        <v>4.5432470117339863E-2</v>
      </c>
      <c r="ES85" s="75">
        <v>3.4070478660563785E-2</v>
      </c>
      <c r="ET85" s="75">
        <v>1.4229365251887074E-2</v>
      </c>
      <c r="EU85" s="75">
        <v>-4.6861691730533117E-2</v>
      </c>
      <c r="EV85" s="75">
        <v>1.1546458883556321E-2</v>
      </c>
      <c r="EW85" s="75">
        <v>1.0367426059308349E-2</v>
      </c>
      <c r="EX85" s="75">
        <v>-4.100296620447047E-2</v>
      </c>
      <c r="EY85" s="75">
        <v>-4.1547999356401549E-2</v>
      </c>
      <c r="EZ85" s="75">
        <v>4.4003857394767074E-2</v>
      </c>
      <c r="FA85" s="75">
        <v>-4.2694459653640229E-2</v>
      </c>
      <c r="FB85" s="75">
        <v>-1.793472667584535E-2</v>
      </c>
      <c r="FC85" s="75">
        <v>-4.160594343206904E-2</v>
      </c>
      <c r="FD85" s="75">
        <v>-2.5528897935116951E-2</v>
      </c>
      <c r="FE85" s="75">
        <v>7.5433710053606703E-2</v>
      </c>
      <c r="FF85" s="75">
        <v>1.6230100164883549E-2</v>
      </c>
      <c r="FG85" s="75">
        <v>-1.6072219347756378E-2</v>
      </c>
      <c r="FH85" s="75">
        <v>2.4109797139925726E-2</v>
      </c>
      <c r="FI85" s="75">
        <v>3.4215532017853739E-3</v>
      </c>
      <c r="FJ85" s="75">
        <v>-6.1175446375741432E-2</v>
      </c>
      <c r="FK85" s="75">
        <v>-5.3077941491925559E-2</v>
      </c>
      <c r="FL85" s="75">
        <v>-4.9164528788774531E-2</v>
      </c>
      <c r="FM85" s="75">
        <v>-1.1270847689535124E-3</v>
      </c>
      <c r="FN85" s="75">
        <v>1.8082858971685919E-2</v>
      </c>
      <c r="FO85" s="75">
        <v>-3.0238015331222501E-2</v>
      </c>
      <c r="FP85" s="75">
        <v>-1.7714792659836345E-2</v>
      </c>
      <c r="FQ85" s="75">
        <v>2.0625251767293629E-3</v>
      </c>
      <c r="FR85" s="75">
        <v>-3.8071748229558458E-2</v>
      </c>
      <c r="FS85" s="75">
        <v>-6.2586267057553158E-2</v>
      </c>
      <c r="FT85" s="75">
        <v>3.8320742345457182E-2</v>
      </c>
      <c r="FU85" s="75">
        <v>-9.7266064056034246E-3</v>
      </c>
      <c r="FV85" s="75">
        <v>-1.6323489264783067E-2</v>
      </c>
      <c r="FW85" s="75">
        <v>-1.6336400260861694E-2</v>
      </c>
      <c r="FX85" s="75">
        <v>3.4754701037634908E-2</v>
      </c>
      <c r="FY85" s="75">
        <v>-1.7982038077838505E-2</v>
      </c>
      <c r="FZ85" s="75">
        <v>8.4499411355899764E-2</v>
      </c>
      <c r="GA85" s="75">
        <v>-5.4393810498762254E-2</v>
      </c>
      <c r="GB85" s="75">
        <v>-4.7333403551662157E-2</v>
      </c>
      <c r="GC85" s="75">
        <v>2.6407925036525337E-2</v>
      </c>
      <c r="GD85" s="75">
        <v>3.3387650450583894E-2</v>
      </c>
      <c r="GE85" s="75">
        <v>-4.519149988532753E-2</v>
      </c>
      <c r="GF85" s="75">
        <v>2.6702490707487758E-2</v>
      </c>
      <c r="GG85" s="75">
        <v>7.0362406322610788E-2</v>
      </c>
      <c r="GH85" s="75">
        <v>2.6962024110785687E-3</v>
      </c>
      <c r="GI85" s="75">
        <v>4.2644578161001256E-2</v>
      </c>
      <c r="GJ85" s="75">
        <v>-9.686309011479155E-3</v>
      </c>
      <c r="GK85" s="75">
        <v>4.3939816859758452E-2</v>
      </c>
      <c r="GL85" s="75">
        <v>1.6084773143142647E-2</v>
      </c>
      <c r="GM85" s="75">
        <v>2.3333471626302088E-2</v>
      </c>
      <c r="GN85" s="75">
        <v>-4.2614969742337652E-2</v>
      </c>
      <c r="GO85" s="75">
        <v>-7.3422223181164911E-2</v>
      </c>
      <c r="GP85" s="75">
        <v>9.2516012907751244E-3</v>
      </c>
      <c r="GQ85" s="75">
        <v>4.0186136652094473E-3</v>
      </c>
      <c r="GR85" s="75">
        <v>3.9577758493146153E-3</v>
      </c>
      <c r="GS85" s="75">
        <v>-5.0046796244074834E-2</v>
      </c>
      <c r="GT85" s="75">
        <v>-1.6648315226854477E-2</v>
      </c>
      <c r="GU85" s="75">
        <v>-1.3743251023394312E-2</v>
      </c>
      <c r="GV85" s="75">
        <v>3.607519116056232E-2</v>
      </c>
      <c r="GW85" s="75">
        <v>3.2273136649938999E-2</v>
      </c>
      <c r="GX85" s="75">
        <v>-4.2393267225049491E-2</v>
      </c>
      <c r="GY85" s="75">
        <v>-6.5504396072321169E-2</v>
      </c>
      <c r="GZ85" s="75">
        <v>3.2682958880997662E-2</v>
      </c>
      <c r="HA85" s="75">
        <v>-1.3701924435356061E-2</v>
      </c>
      <c r="HB85" s="75">
        <v>-5.496088287112455E-3</v>
      </c>
      <c r="HC85" s="75">
        <v>3.4368333318280972E-2</v>
      </c>
      <c r="HD85" s="75">
        <v>1.8953265021433019E-3</v>
      </c>
      <c r="HE85" s="75">
        <v>-5.3666291356620321E-2</v>
      </c>
      <c r="HF85" s="75">
        <v>1.4721483910571542E-2</v>
      </c>
      <c r="HG85" s="75">
        <v>6.3989450439815021E-4</v>
      </c>
      <c r="HH85" s="75">
        <v>-5.2905264501822563E-3</v>
      </c>
      <c r="HI85" s="75">
        <v>-5.7640847305519272E-2</v>
      </c>
      <c r="HJ85" s="75">
        <v>-4.0560532727389187E-4</v>
      </c>
      <c r="HK85" s="75">
        <v>-8.5282879241135034E-3</v>
      </c>
      <c r="HL85" s="75">
        <v>8.3501657798143447E-4</v>
      </c>
      <c r="HM85" s="75">
        <v>9.4960746472157881E-3</v>
      </c>
      <c r="HN85" s="75">
        <v>-4.2145731336799705E-2</v>
      </c>
      <c r="HO85" s="75">
        <v>-6.8598661589963417E-2</v>
      </c>
      <c r="HP85" s="75">
        <v>-6.9497585163645403E-2</v>
      </c>
      <c r="HQ85" s="75">
        <v>2.716005607992289E-3</v>
      </c>
      <c r="HR85" s="75">
        <v>-1.315324942185446E-2</v>
      </c>
      <c r="HS85" s="75">
        <v>-1.7620148228031929E-3</v>
      </c>
      <c r="HT85" s="75">
        <v>-2.12781796459941E-2</v>
      </c>
      <c r="HU85" s="75">
        <v>2.6492784819303616E-2</v>
      </c>
      <c r="HV85" s="75">
        <v>-2.7195320248527277E-3</v>
      </c>
      <c r="HW85" s="75">
        <v>3.3373161086993577E-2</v>
      </c>
      <c r="HX85" s="75">
        <v>4.0782976015762695E-3</v>
      </c>
      <c r="HY85" s="75">
        <v>-4.3319004595865726E-2</v>
      </c>
      <c r="HZ85" s="75">
        <v>4.8649153689496863E-2</v>
      </c>
      <c r="IA85" s="75">
        <v>-9.6564556743020113E-4</v>
      </c>
      <c r="IB85" s="75">
        <v>4.6247517990016224E-2</v>
      </c>
      <c r="IC85" s="75">
        <v>3.846517533208027E-2</v>
      </c>
      <c r="ID85" s="75">
        <v>-1.3989924696625411E-2</v>
      </c>
      <c r="IE85" s="75">
        <v>-1.7522291351570463E-3</v>
      </c>
      <c r="IF85" s="75">
        <v>4.2508142634914231E-2</v>
      </c>
      <c r="IG85" s="75">
        <v>-2.7424175833732689E-2</v>
      </c>
      <c r="IH85" s="75">
        <v>7.9860992898755784E-3</v>
      </c>
      <c r="II85" s="75">
        <v>2.4916344525904841E-2</v>
      </c>
      <c r="IJ85" s="75">
        <v>-1.8390072262308821E-2</v>
      </c>
      <c r="IK85" s="75">
        <v>9.7872537560405592E-3</v>
      </c>
      <c r="IL85" s="75">
        <v>1.1823505684798646E-2</v>
      </c>
      <c r="IM85" s="75">
        <v>-2.4574643649807049E-3</v>
      </c>
      <c r="IN85" s="75">
        <v>-1.792507689272696E-2</v>
      </c>
      <c r="IO85" s="75">
        <v>-6.9986712654459549E-3</v>
      </c>
      <c r="IP85" s="75">
        <v>1.3191093741193205E-2</v>
      </c>
      <c r="IQ85" s="75">
        <v>-6.9897559325190206E-3</v>
      </c>
      <c r="IR85" s="75">
        <v>4.7265938937013835E-2</v>
      </c>
      <c r="IS85" s="75">
        <v>4.5635420763753654E-2</v>
      </c>
      <c r="IT85" s="75">
        <v>2.6338871217474288E-2</v>
      </c>
      <c r="IU85" s="75">
        <v>7.7083762639512665E-5</v>
      </c>
    </row>
    <row r="86" spans="1:255" s="74" customFormat="1" ht="14.5" x14ac:dyDescent="0.35">
      <c r="A86" s="73"/>
      <c r="B86" s="78">
        <v>8.25</v>
      </c>
      <c r="C86" s="77">
        <f t="shared" si="43"/>
        <v>1.1967764968207756E-2</v>
      </c>
      <c r="D86" s="76">
        <f t="shared" si="44"/>
        <v>3.6004308723979375E-2</v>
      </c>
      <c r="E86" s="75">
        <v>-3.1161752004473742E-2</v>
      </c>
      <c r="F86" s="75">
        <v>4.7148311226006406E-2</v>
      </c>
      <c r="G86" s="75">
        <v>6.2629718042502502E-2</v>
      </c>
      <c r="H86" s="75">
        <v>-3.9052210673584664E-3</v>
      </c>
      <c r="I86" s="75">
        <v>-5.3232236779143793E-3</v>
      </c>
      <c r="J86" s="75">
        <v>-1.4756539116741782E-2</v>
      </c>
      <c r="K86" s="75">
        <v>2.5677587381157108E-2</v>
      </c>
      <c r="L86" s="75">
        <v>-4.5669788334833372E-3</v>
      </c>
      <c r="M86" s="75">
        <v>-7.7648270354765681E-3</v>
      </c>
      <c r="N86" s="75">
        <v>2.0385948270551846E-2</v>
      </c>
      <c r="O86" s="75">
        <v>1.5188824543525922E-2</v>
      </c>
      <c r="P86" s="75">
        <v>1.9381785755913525E-2</v>
      </c>
      <c r="Q86" s="75">
        <v>-3.5341803709819944E-2</v>
      </c>
      <c r="R86" s="75">
        <v>-2.1077452678130201E-2</v>
      </c>
      <c r="S86" s="75">
        <v>-6.3520780117440612E-3</v>
      </c>
      <c r="T86" s="75">
        <v>-3.7648917618188685E-2</v>
      </c>
      <c r="U86" s="75">
        <v>-3.4357603993198052E-2</v>
      </c>
      <c r="V86" s="75">
        <v>1.2021435049087037E-2</v>
      </c>
      <c r="W86" s="75">
        <v>2.5982229691626724E-2</v>
      </c>
      <c r="X86" s="75">
        <v>3.4148769682825666E-2</v>
      </c>
      <c r="Y86" s="75">
        <v>-1.6611583683729725E-2</v>
      </c>
      <c r="Z86" s="75">
        <v>4.0877164948206327E-2</v>
      </c>
      <c r="AA86" s="75">
        <v>1.2592722615523827E-3</v>
      </c>
      <c r="AB86" s="75">
        <v>3.0901371918328008E-2</v>
      </c>
      <c r="AC86" s="75">
        <v>2.5368833619837591E-2</v>
      </c>
      <c r="AD86" s="75">
        <v>3.3230605390218493E-2</v>
      </c>
      <c r="AE86" s="75">
        <v>-6.8304488791538845E-2</v>
      </c>
      <c r="AF86" s="75">
        <v>3.4683397724691312E-4</v>
      </c>
      <c r="AG86" s="75">
        <v>3.7930872368529212E-2</v>
      </c>
      <c r="AH86" s="75">
        <v>5.7754649951254344E-3</v>
      </c>
      <c r="AI86" s="75">
        <v>-6.5645741227251364E-2</v>
      </c>
      <c r="AJ86" s="75">
        <v>-2.812347713463538E-2</v>
      </c>
      <c r="AK86" s="75">
        <v>3.8296153302576352E-4</v>
      </c>
      <c r="AL86" s="75">
        <v>5.6300876566483027E-2</v>
      </c>
      <c r="AM86" s="75">
        <v>-1.7919706719363993E-2</v>
      </c>
      <c r="AN86" s="75">
        <v>2.1990937995293502E-2</v>
      </c>
      <c r="AO86" s="75">
        <v>1.0046658839948777E-2</v>
      </c>
      <c r="AP86" s="75">
        <v>-2.7768488660953883E-3</v>
      </c>
      <c r="AQ86" s="75">
        <v>4.9741887635085746E-2</v>
      </c>
      <c r="AR86" s="75">
        <v>2.0399508579207706E-2</v>
      </c>
      <c r="AS86" s="75">
        <v>-8.8783924806043329E-3</v>
      </c>
      <c r="AT86" s="75">
        <v>3.5086304925588757E-2</v>
      </c>
      <c r="AU86" s="75">
        <v>-1.7650871158278389E-2</v>
      </c>
      <c r="AV86" s="75">
        <v>-4.8536024323865765E-2</v>
      </c>
      <c r="AW86" s="75">
        <v>-3.336435837412749E-2</v>
      </c>
      <c r="AX86" s="75">
        <v>4.7329055301722711E-2</v>
      </c>
      <c r="AY86" s="75">
        <v>-1.3353047689625641E-2</v>
      </c>
      <c r="AZ86" s="75">
        <v>4.0693676681649457E-2</v>
      </c>
      <c r="BA86" s="75">
        <v>-3.6024129837574262E-2</v>
      </c>
      <c r="BB86" s="75">
        <v>-1.877304784862259E-2</v>
      </c>
      <c r="BC86" s="75">
        <v>7.5134453185731198E-3</v>
      </c>
      <c r="BD86" s="75">
        <v>-3.6067907448920092E-2</v>
      </c>
      <c r="BE86" s="75">
        <v>2.4264916685486387E-2</v>
      </c>
      <c r="BF86" s="75">
        <v>-7.3811410366190378E-2</v>
      </c>
      <c r="BG86" s="75">
        <v>-3.6107456917619185E-2</v>
      </c>
      <c r="BH86" s="75">
        <v>-4.7157676334518006E-3</v>
      </c>
      <c r="BI86" s="75">
        <v>-3.0851207570183337E-2</v>
      </c>
      <c r="BJ86" s="75">
        <v>2.3407149721507536E-2</v>
      </c>
      <c r="BK86" s="75">
        <v>7.2533691191509625E-3</v>
      </c>
      <c r="BL86" s="75">
        <v>-5.9562734567359388E-3</v>
      </c>
      <c r="BM86" s="75">
        <v>-4.5604281081802117E-2</v>
      </c>
      <c r="BN86" s="75">
        <v>8.0873968488765352E-3</v>
      </c>
      <c r="BO86" s="75">
        <v>1.0857053226902155E-2</v>
      </c>
      <c r="BP86" s="75">
        <v>-6.8358086291745307E-3</v>
      </c>
      <c r="BQ86" s="75">
        <v>-2.8459439020352389E-2</v>
      </c>
      <c r="BR86" s="75">
        <v>-3.848922450630872E-2</v>
      </c>
      <c r="BS86" s="75">
        <v>2.3251759598946348E-2</v>
      </c>
      <c r="BT86" s="75">
        <v>8.3381265045452263E-3</v>
      </c>
      <c r="BU86" s="75">
        <v>5.650138564965046E-3</v>
      </c>
      <c r="BV86" s="75">
        <v>-4.3690994174268583E-2</v>
      </c>
      <c r="BW86" s="75">
        <v>-3.6288071364755939E-2</v>
      </c>
      <c r="BX86" s="75">
        <v>-1.7706724429791904E-2</v>
      </c>
      <c r="BY86" s="75">
        <v>-2.5745961638436732E-3</v>
      </c>
      <c r="BZ86" s="75">
        <v>-2.1809273637514587E-2</v>
      </c>
      <c r="CA86" s="75">
        <v>3.2507940710004485E-2</v>
      </c>
      <c r="CB86" s="75">
        <v>2.1568412072969695E-2</v>
      </c>
      <c r="CC86" s="75">
        <v>3.3516887710324211E-2</v>
      </c>
      <c r="CD86" s="75">
        <v>-5.8883295983752582E-2</v>
      </c>
      <c r="CE86" s="75">
        <v>-3.1540495375451241E-2</v>
      </c>
      <c r="CF86" s="75">
        <v>1.8110254319152572E-2</v>
      </c>
      <c r="CG86" s="75">
        <v>3.9805855124678019E-2</v>
      </c>
      <c r="CH86" s="75">
        <v>-5.8145213994363454E-2</v>
      </c>
      <c r="CI86" s="75">
        <v>5.0586069661964772E-4</v>
      </c>
      <c r="CJ86" s="75">
        <v>-6.3035674850599896E-2</v>
      </c>
      <c r="CK86" s="75">
        <v>-1.0204067883093845E-2</v>
      </c>
      <c r="CL86" s="75">
        <v>1.16368597706481E-2</v>
      </c>
      <c r="CM86" s="75">
        <v>-2.1861993705478561E-3</v>
      </c>
      <c r="CN86" s="75">
        <v>-7.0710722669878601E-3</v>
      </c>
      <c r="CO86" s="75">
        <v>3.3267455705277699E-3</v>
      </c>
      <c r="CP86" s="75">
        <v>-8.1544621498131076E-3</v>
      </c>
      <c r="CQ86" s="75">
        <v>3.1508461322633852E-2</v>
      </c>
      <c r="CR86" s="75">
        <v>1.0088085025300966E-2</v>
      </c>
      <c r="CS86" s="75">
        <v>-1.716927615386965E-2</v>
      </c>
      <c r="CT86" s="75">
        <v>8.0219882558646149E-3</v>
      </c>
      <c r="CU86" s="75">
        <v>3.3563506897576811E-2</v>
      </c>
      <c r="CV86" s="75">
        <v>-1.2703524126757584E-2</v>
      </c>
      <c r="CW86" s="75">
        <v>-1.780714990692997E-2</v>
      </c>
      <c r="CX86" s="75">
        <v>3.1390355425855943E-2</v>
      </c>
      <c r="CY86" s="75">
        <v>6.6274885226211E-3</v>
      </c>
      <c r="CZ86" s="75">
        <v>3.452262600361812E-2</v>
      </c>
      <c r="DA86" s="75">
        <v>1.3184560596429445E-2</v>
      </c>
      <c r="DB86" s="75">
        <v>1.1560795407878438E-2</v>
      </c>
      <c r="DC86" s="75">
        <v>3.3407324583739351E-2</v>
      </c>
      <c r="DD86" s="75">
        <v>4.1009537268033913E-2</v>
      </c>
      <c r="DE86" s="75">
        <v>6.3518209613575294E-3</v>
      </c>
      <c r="DF86" s="75">
        <v>3.6004308723979375E-2</v>
      </c>
      <c r="DG86" s="75">
        <v>-3.4846214925692662E-2</v>
      </c>
      <c r="DH86" s="75">
        <v>1.2557987102559218E-2</v>
      </c>
      <c r="DI86" s="75">
        <v>3.6025811810633801E-3</v>
      </c>
      <c r="DJ86" s="75">
        <v>4.3384845274670875E-3</v>
      </c>
      <c r="DK86" s="75">
        <v>4.6947717969289676E-3</v>
      </c>
      <c r="DL86" s="75">
        <v>1.46010400270698E-2</v>
      </c>
      <c r="DM86" s="75">
        <v>-5.2893372260864213E-2</v>
      </c>
      <c r="DN86" s="75">
        <v>-8.0009785871128086E-3</v>
      </c>
      <c r="DO86" s="75">
        <v>3.4256515660127385E-3</v>
      </c>
      <c r="DP86" s="75">
        <v>1.5653670935074027E-2</v>
      </c>
      <c r="DQ86" s="75">
        <v>2.7003074167614036E-2</v>
      </c>
      <c r="DR86" s="75">
        <v>6.9008888862298279E-2</v>
      </c>
      <c r="DS86" s="75">
        <v>-5.819283834163802E-3</v>
      </c>
      <c r="DT86" s="75">
        <v>4.091720356241009E-2</v>
      </c>
      <c r="DU86" s="75">
        <v>2.6027598911935027E-2</v>
      </c>
      <c r="DV86" s="75">
        <v>4.1858848332734774E-2</v>
      </c>
      <c r="DW86" s="75">
        <v>4.1128479475717517E-2</v>
      </c>
      <c r="DX86" s="75">
        <v>-1.9117207083634818E-2</v>
      </c>
      <c r="DY86" s="75">
        <v>8.6799803340238957E-3</v>
      </c>
      <c r="DZ86" s="75">
        <v>-1.4076982855105169E-3</v>
      </c>
      <c r="EA86" s="75">
        <v>3.7014511875299083E-2</v>
      </c>
      <c r="EB86" s="75">
        <v>3.2929146204210835E-2</v>
      </c>
      <c r="EC86" s="75">
        <v>-3.8440303094750938E-2</v>
      </c>
      <c r="ED86" s="75">
        <v>1.8854741943770098E-2</v>
      </c>
      <c r="EE86" s="75">
        <v>-5.5835449823607441E-3</v>
      </c>
      <c r="EF86" s="75">
        <v>3.2566581265876693E-2</v>
      </c>
      <c r="EG86" s="75">
        <v>-2.4825622755840521E-2</v>
      </c>
      <c r="EH86" s="75">
        <v>-1.7288662686717859E-2</v>
      </c>
      <c r="EI86" s="75">
        <v>3.0589172220460425E-3</v>
      </c>
      <c r="EJ86" s="75">
        <v>-4.6893065815846458E-2</v>
      </c>
      <c r="EK86" s="75">
        <v>3.4507045996402558E-2</v>
      </c>
      <c r="EL86" s="75">
        <v>1.9155921540790488E-2</v>
      </c>
      <c r="EM86" s="75">
        <v>-4.3496700680582617E-2</v>
      </c>
      <c r="EN86" s="75">
        <v>-2.0369025792469186E-2</v>
      </c>
      <c r="EO86" s="75">
        <v>-4.7834057328365584E-2</v>
      </c>
      <c r="EP86" s="75">
        <v>-8.5134644797612569E-3</v>
      </c>
      <c r="EQ86" s="75">
        <v>-5.3508286511334047E-2</v>
      </c>
      <c r="ER86" s="75">
        <v>4.2038489546543101E-2</v>
      </c>
      <c r="ES86" s="75">
        <v>4.1420224249424847E-2</v>
      </c>
      <c r="ET86" s="75">
        <v>1.9561392452866047E-2</v>
      </c>
      <c r="EU86" s="75">
        <v>-4.0360834290252778E-2</v>
      </c>
      <c r="EV86" s="75">
        <v>1.5957846723597735E-2</v>
      </c>
      <c r="EW86" s="75">
        <v>1.8545500916307162E-2</v>
      </c>
      <c r="EX86" s="75">
        <v>-4.9942538609006409E-2</v>
      </c>
      <c r="EY86" s="75">
        <v>-3.5462895959644275E-2</v>
      </c>
      <c r="EZ86" s="75">
        <v>-7.0693526828053313E-2</v>
      </c>
      <c r="FA86" s="75">
        <v>1.6888667772081312E-2</v>
      </c>
      <c r="FB86" s="75">
        <v>-6.5770481872285264E-3</v>
      </c>
      <c r="FC86" s="75">
        <v>4.8332261028162238E-3</v>
      </c>
      <c r="FD86" s="75">
        <v>-1.6911555290856597E-2</v>
      </c>
      <c r="FE86" s="75">
        <v>7.1301346900356458E-2</v>
      </c>
      <c r="FF86" s="75">
        <v>1.3648239792268868E-2</v>
      </c>
      <c r="FG86" s="75">
        <v>-1.8884371632511693E-3</v>
      </c>
      <c r="FH86" s="75">
        <v>2.535134855416088E-2</v>
      </c>
      <c r="FI86" s="75">
        <v>-5.4674406648979046E-3</v>
      </c>
      <c r="FJ86" s="75">
        <v>-5.0057414712313592E-2</v>
      </c>
      <c r="FK86" s="75">
        <v>-4.4952774017002761E-2</v>
      </c>
      <c r="FL86" s="75">
        <v>-1.6128569622790995E-2</v>
      </c>
      <c r="FM86" s="75">
        <v>1.6718162920991333E-2</v>
      </c>
      <c r="FN86" s="75">
        <v>-1.4266247793858849E-2</v>
      </c>
      <c r="FO86" s="75">
        <v>2.0027833499439762E-2</v>
      </c>
      <c r="FP86" s="75">
        <v>-1.8209031795834441E-3</v>
      </c>
      <c r="FQ86" s="75">
        <v>1.2028197319426351E-2</v>
      </c>
      <c r="FR86" s="75">
        <v>1.1189792958974723E-2</v>
      </c>
      <c r="FS86" s="75">
        <v>2.6165122092724119E-2</v>
      </c>
      <c r="FT86" s="75">
        <v>-2.0412940339679733E-2</v>
      </c>
      <c r="FU86" s="75">
        <v>4.1116297368172794E-3</v>
      </c>
      <c r="FV86" s="75">
        <v>-2.7738074554219949E-3</v>
      </c>
      <c r="FW86" s="75">
        <v>-8.8130322883490098E-3</v>
      </c>
      <c r="FX86" s="75">
        <v>2.9298751547433541E-2</v>
      </c>
      <c r="FY86" s="75">
        <v>3.1409201978012238E-2</v>
      </c>
      <c r="FZ86" s="75">
        <v>6.5142076526519904E-2</v>
      </c>
      <c r="GA86" s="75">
        <v>-1.6470182160496769E-2</v>
      </c>
      <c r="GB86" s="75">
        <v>-4.676098418145469E-2</v>
      </c>
      <c r="GC86" s="75">
        <v>3.2102773503206949E-2</v>
      </c>
      <c r="GD86" s="75">
        <v>-1.1534577712883493E-2</v>
      </c>
      <c r="GE86" s="75">
        <v>1.5157696425590866E-2</v>
      </c>
      <c r="GF86" s="75">
        <v>2.1305276607442775E-2</v>
      </c>
      <c r="GG86" s="75">
        <v>-4.6206445289927095E-2</v>
      </c>
      <c r="GH86" s="75">
        <v>5.0894049193160124E-2</v>
      </c>
      <c r="GI86" s="75">
        <v>4.5186197265694145E-2</v>
      </c>
      <c r="GJ86" s="75">
        <v>-1.8454850621816149E-2</v>
      </c>
      <c r="GK86" s="75">
        <v>4.6738997604870727E-2</v>
      </c>
      <c r="GL86" s="75">
        <v>4.0205862044470228E-2</v>
      </c>
      <c r="GM86" s="75">
        <v>2.7343648658272546E-2</v>
      </c>
      <c r="GN86" s="75">
        <v>-4.4884658835326538E-2</v>
      </c>
      <c r="GO86" s="75">
        <v>4.3294213683138238E-2</v>
      </c>
      <c r="GP86" s="75">
        <v>-2.1155407322275332E-2</v>
      </c>
      <c r="GQ86" s="75">
        <v>-7.2290434945839241E-2</v>
      </c>
      <c r="GR86" s="75">
        <v>-1.1611704794655273E-2</v>
      </c>
      <c r="GS86" s="75">
        <v>-2.9747305514953082E-2</v>
      </c>
      <c r="GT86" s="75">
        <v>6.9408418899030155E-3</v>
      </c>
      <c r="GU86" s="75">
        <v>-5.9069033428453627E-2</v>
      </c>
      <c r="GV86" s="75">
        <v>2.3352459406970838E-2</v>
      </c>
      <c r="GW86" s="75">
        <v>3.2149637517924323E-2</v>
      </c>
      <c r="GX86" s="75">
        <v>-3.7989287114262971E-2</v>
      </c>
      <c r="GY86" s="75">
        <v>-6.5306641325599726E-2</v>
      </c>
      <c r="GZ86" s="75">
        <v>3.5245488015544613E-2</v>
      </c>
      <c r="HA86" s="75">
        <v>-1.1742612354507354E-2</v>
      </c>
      <c r="HB86" s="75">
        <v>3.8046418153666037E-2</v>
      </c>
      <c r="HC86" s="75">
        <v>8.6717221771692721E-3</v>
      </c>
      <c r="HD86" s="75">
        <v>1.7085147155080971E-2</v>
      </c>
      <c r="HE86" s="75">
        <v>-2.050277858834515E-2</v>
      </c>
      <c r="HF86" s="75">
        <v>-3.1287989313895634E-2</v>
      </c>
      <c r="HG86" s="75">
        <v>1.8845657178815242E-2</v>
      </c>
      <c r="HH86" s="75">
        <v>-3.1365202043927287E-3</v>
      </c>
      <c r="HI86" s="75">
        <v>-7.5217179993481431E-3</v>
      </c>
      <c r="HJ86" s="75">
        <v>-5.0844886285680346E-2</v>
      </c>
      <c r="HK86" s="75">
        <v>-1.3236778642219338E-2</v>
      </c>
      <c r="HL86" s="75">
        <v>5.4627271999789784E-3</v>
      </c>
      <c r="HM86" s="75">
        <v>-3.7087509477264496E-2</v>
      </c>
      <c r="HN86" s="75">
        <v>-7.0314214461064672E-3</v>
      </c>
      <c r="HO86" s="75">
        <v>-7.2337690148537026E-4</v>
      </c>
      <c r="HP86" s="75">
        <v>-5.7099063079313894E-3</v>
      </c>
      <c r="HQ86" s="75">
        <v>-1.9142137670298681E-2</v>
      </c>
      <c r="HR86" s="75">
        <v>1.2195360150849363E-2</v>
      </c>
      <c r="HS86" s="75">
        <v>1.934383513908719E-3</v>
      </c>
      <c r="HT86" s="75">
        <v>-1.9704253805234384E-2</v>
      </c>
      <c r="HU86" s="75">
        <v>2.0518853236828616E-2</v>
      </c>
      <c r="HV86" s="75">
        <v>8.2341335233748203E-3</v>
      </c>
      <c r="HW86" s="75">
        <v>1.4916876744582974E-2</v>
      </c>
      <c r="HX86" s="75">
        <v>1.0512657270159861E-2</v>
      </c>
      <c r="HY86" s="75">
        <v>-2.4104430174991254E-2</v>
      </c>
      <c r="HZ86" s="75">
        <v>-1.1676044189198209E-2</v>
      </c>
      <c r="IA86" s="75">
        <v>-7.4611632656401305E-2</v>
      </c>
      <c r="IB86" s="75">
        <v>-7.7994204743232765E-2</v>
      </c>
      <c r="IC86" s="75">
        <v>9.6156493492705608E-3</v>
      </c>
      <c r="ID86" s="75">
        <v>-3.5424640212284558E-2</v>
      </c>
      <c r="IE86" s="75">
        <v>-1.2262958241733624E-2</v>
      </c>
      <c r="IF86" s="75">
        <v>-4.5456196557319847E-2</v>
      </c>
      <c r="IG86" s="75">
        <v>1.0405757792691581E-2</v>
      </c>
      <c r="IH86" s="75">
        <v>-9.8495675606731364E-3</v>
      </c>
      <c r="II86" s="75">
        <v>-4.9380363543637326E-2</v>
      </c>
      <c r="IJ86" s="75">
        <v>-1.7600827103724903E-2</v>
      </c>
      <c r="IK86" s="75">
        <v>4.292007818401139E-3</v>
      </c>
      <c r="IL86" s="75">
        <v>4.5091824198351116E-4</v>
      </c>
      <c r="IM86" s="75">
        <v>1.3492816211014697E-3</v>
      </c>
      <c r="IN86" s="75">
        <v>-1.9179937819577456E-2</v>
      </c>
      <c r="IO86" s="75">
        <v>4.5223022768017818E-3</v>
      </c>
      <c r="IP86" s="75">
        <v>2.3713143379028995E-3</v>
      </c>
      <c r="IQ86" s="75">
        <v>-1.8358718249614214E-2</v>
      </c>
      <c r="IR86" s="75">
        <v>5.5004217485248003E-2</v>
      </c>
      <c r="IS86" s="75">
        <v>2.6984242900297092E-2</v>
      </c>
      <c r="IT86" s="75">
        <v>-4.4612665951437327E-2</v>
      </c>
      <c r="IU86" s="75">
        <v>2.6312365946557503E-2</v>
      </c>
    </row>
    <row r="87" spans="1:255" s="74" customFormat="1" ht="14.5" x14ac:dyDescent="0.35">
      <c r="A87" s="73"/>
      <c r="B87" s="78">
        <v>8.5</v>
      </c>
      <c r="C87" s="77">
        <f t="shared" si="43"/>
        <v>1.0567758877449047E-2</v>
      </c>
      <c r="D87" s="76">
        <f t="shared" si="44"/>
        <v>3.0895423764008653E-2</v>
      </c>
      <c r="E87" s="75">
        <v>-2.4878670241061246E-2</v>
      </c>
      <c r="F87" s="75">
        <v>4.0214288951990806E-2</v>
      </c>
      <c r="G87" s="75">
        <v>4.4249988529527315E-2</v>
      </c>
      <c r="H87" s="75">
        <v>-6.9694232275939044E-3</v>
      </c>
      <c r="I87" s="75">
        <v>-9.1136098141238325E-3</v>
      </c>
      <c r="J87" s="75">
        <v>-1.2522782153585085E-2</v>
      </c>
      <c r="K87" s="75">
        <v>2.1222169671895261E-2</v>
      </c>
      <c r="L87" s="75">
        <v>-3.979099681375789E-3</v>
      </c>
      <c r="M87" s="75">
        <v>6.7673126120276067E-3</v>
      </c>
      <c r="N87" s="75">
        <v>1.8329479057860629E-2</v>
      </c>
      <c r="O87" s="75">
        <v>7.1969585885652693E-3</v>
      </c>
      <c r="P87" s="75">
        <v>1.970989130077512E-2</v>
      </c>
      <c r="Q87" s="75">
        <v>-1.490627340373657E-2</v>
      </c>
      <c r="R87" s="75">
        <v>-1.3646784015455674E-2</v>
      </c>
      <c r="S87" s="75">
        <v>8.7973377196952224E-3</v>
      </c>
      <c r="T87" s="75">
        <v>-2.9092265082653557E-2</v>
      </c>
      <c r="U87" s="75">
        <v>-2.9135202023226892E-2</v>
      </c>
      <c r="V87" s="75">
        <v>9.8422013928443214E-3</v>
      </c>
      <c r="W87" s="75">
        <v>2.2020239617930162E-2</v>
      </c>
      <c r="X87" s="75">
        <v>2.1287857563300441E-2</v>
      </c>
      <c r="Y87" s="75">
        <v>-1.7861804745793033E-2</v>
      </c>
      <c r="Z87" s="75">
        <v>4.0120820660947978E-2</v>
      </c>
      <c r="AA87" s="75">
        <v>-2.4690724871208464E-3</v>
      </c>
      <c r="AB87" s="75">
        <v>2.0577204697612969E-2</v>
      </c>
      <c r="AC87" s="75">
        <v>2.1340451251576784E-2</v>
      </c>
      <c r="AD87" s="75">
        <v>2.5074190920280057E-2</v>
      </c>
      <c r="AE87" s="75">
        <v>-6.7273813002506094E-2</v>
      </c>
      <c r="AF87" s="75">
        <v>-5.1985611104691382E-3</v>
      </c>
      <c r="AG87" s="75">
        <v>3.5301119911712184E-2</v>
      </c>
      <c r="AH87" s="75">
        <v>6.2222431772263054E-4</v>
      </c>
      <c r="AI87" s="75">
        <v>-5.6608332467591338E-2</v>
      </c>
      <c r="AJ87" s="75">
        <v>-2.6313662123353523E-2</v>
      </c>
      <c r="AK87" s="75">
        <v>2.4191253530121415E-3</v>
      </c>
      <c r="AL87" s="75">
        <v>4.253315629738251E-2</v>
      </c>
      <c r="AM87" s="75">
        <v>-2.0571621634384238E-2</v>
      </c>
      <c r="AN87" s="75">
        <v>2.1851265184018198E-2</v>
      </c>
      <c r="AO87" s="75">
        <v>2.0075153604828672E-3</v>
      </c>
      <c r="AP87" s="75">
        <v>-3.431418428111857E-3</v>
      </c>
      <c r="AQ87" s="75">
        <v>4.5183657603466751E-2</v>
      </c>
      <c r="AR87" s="75">
        <v>2.2353677920203152E-2</v>
      </c>
      <c r="AS87" s="75">
        <v>-1.3053579668426449E-2</v>
      </c>
      <c r="AT87" s="75">
        <v>4.2972794770263917E-2</v>
      </c>
      <c r="AU87" s="75">
        <v>-1.4404636914809948E-2</v>
      </c>
      <c r="AV87" s="75">
        <v>-3.9913129371045949E-2</v>
      </c>
      <c r="AW87" s="75">
        <v>-2.0843347233848827E-2</v>
      </c>
      <c r="AX87" s="75">
        <v>4.8938172583132017E-2</v>
      </c>
      <c r="AY87" s="75">
        <v>-1.5953591091504252E-2</v>
      </c>
      <c r="AZ87" s="75">
        <v>3.2718400243382614E-2</v>
      </c>
      <c r="BA87" s="75">
        <v>-3.7461387687438091E-2</v>
      </c>
      <c r="BB87" s="75">
        <v>-2.5634310020143505E-2</v>
      </c>
      <c r="BC87" s="75">
        <v>2.5160392353590771E-3</v>
      </c>
      <c r="BD87" s="75">
        <v>-2.6728913912936067E-2</v>
      </c>
      <c r="BE87" s="75">
        <v>2.0128006995301526E-2</v>
      </c>
      <c r="BF87" s="75">
        <v>-7.5514736491892581E-2</v>
      </c>
      <c r="BG87" s="75">
        <v>-2.6339437216892594E-2</v>
      </c>
      <c r="BH87" s="75">
        <v>-5.852394690148921E-3</v>
      </c>
      <c r="BI87" s="75">
        <v>-3.1097240990508881E-2</v>
      </c>
      <c r="BJ87" s="75">
        <v>2.3192518007243881E-2</v>
      </c>
      <c r="BK87" s="75">
        <v>3.445226956920025E-3</v>
      </c>
      <c r="BL87" s="75">
        <v>4.9482324723951338E-3</v>
      </c>
      <c r="BM87" s="75">
        <v>-2.9858671725438518E-2</v>
      </c>
      <c r="BN87" s="75">
        <v>1.6379007326875208E-2</v>
      </c>
      <c r="BO87" s="75">
        <v>1.4119736572071565E-2</v>
      </c>
      <c r="BP87" s="75">
        <v>2.6267267929688809E-5</v>
      </c>
      <c r="BQ87" s="75">
        <v>-2.3488906463142875E-2</v>
      </c>
      <c r="BR87" s="75">
        <v>-3.332542659970919E-2</v>
      </c>
      <c r="BS87" s="75">
        <v>2.0250683710505687E-2</v>
      </c>
      <c r="BT87" s="75">
        <v>9.0710321765269386E-4</v>
      </c>
      <c r="BU87" s="75">
        <v>1.3262819182728439E-2</v>
      </c>
      <c r="BV87" s="75">
        <v>-2.8849634932012355E-2</v>
      </c>
      <c r="BW87" s="75">
        <v>-2.8211116075973139E-2</v>
      </c>
      <c r="BX87" s="75">
        <v>-7.8697276594657806E-3</v>
      </c>
      <c r="BY87" s="75">
        <v>-9.1310528314844652E-4</v>
      </c>
      <c r="BZ87" s="75">
        <v>-1.9614260685086829E-2</v>
      </c>
      <c r="CA87" s="75">
        <v>2.7150600853717635E-2</v>
      </c>
      <c r="CB87" s="75">
        <v>2.1652318094989173E-2</v>
      </c>
      <c r="CC87" s="75">
        <v>2.7535717326147166E-2</v>
      </c>
      <c r="CD87" s="75">
        <v>-5.2153240716383789E-2</v>
      </c>
      <c r="CE87" s="75">
        <v>-1.9825761485400009E-2</v>
      </c>
      <c r="CF87" s="75">
        <v>1.7347760681999877E-2</v>
      </c>
      <c r="CG87" s="75">
        <v>2.8404260317698618E-2</v>
      </c>
      <c r="CH87" s="75">
        <v>-4.6284278873156212E-2</v>
      </c>
      <c r="CI87" s="75">
        <v>-1.1691165547688898E-2</v>
      </c>
      <c r="CJ87" s="75">
        <v>-4.2573075751425674E-2</v>
      </c>
      <c r="CK87" s="75">
        <v>-2.2325407443052753E-3</v>
      </c>
      <c r="CL87" s="75">
        <v>1.7023504978319448E-2</v>
      </c>
      <c r="CM87" s="75">
        <v>-6.1761332944461206E-3</v>
      </c>
      <c r="CN87" s="75">
        <v>5.2848347895111114E-4</v>
      </c>
      <c r="CO87" s="75">
        <v>1.4619526900524246E-2</v>
      </c>
      <c r="CP87" s="75">
        <v>-1.4369377498795424E-2</v>
      </c>
      <c r="CQ87" s="75">
        <v>4.4536623370394393E-2</v>
      </c>
      <c r="CR87" s="75">
        <v>9.6498155341031844E-3</v>
      </c>
      <c r="CS87" s="75">
        <v>-1.3274025584351853E-2</v>
      </c>
      <c r="CT87" s="75">
        <v>6.8723698842549225E-3</v>
      </c>
      <c r="CU87" s="75">
        <v>3.4190164004140211E-2</v>
      </c>
      <c r="CV87" s="75">
        <v>-1.7406817105976233E-2</v>
      </c>
      <c r="CW87" s="75">
        <v>-1.195720819282077E-2</v>
      </c>
      <c r="CX87" s="75">
        <v>2.8105480785729414E-2</v>
      </c>
      <c r="CY87" s="75">
        <v>1.4681316261912811E-2</v>
      </c>
      <c r="CZ87" s="75">
        <v>3.8699076747395728E-2</v>
      </c>
      <c r="DA87" s="75">
        <v>-2.6066301081571888E-2</v>
      </c>
      <c r="DB87" s="75">
        <v>-1.6151198572703793E-2</v>
      </c>
      <c r="DC87" s="75">
        <v>-1.5566218804094617E-3</v>
      </c>
      <c r="DD87" s="75">
        <v>1.2428838910317319E-2</v>
      </c>
      <c r="DE87" s="75">
        <v>3.4637032071847013E-2</v>
      </c>
      <c r="DF87" s="75">
        <v>-1.9908662613371E-2</v>
      </c>
      <c r="DG87" s="75">
        <v>-3.17772653760382E-2</v>
      </c>
      <c r="DH87" s="75">
        <v>1.7672559712377744E-2</v>
      </c>
      <c r="DI87" s="75">
        <v>-1.4942105888782489E-2</v>
      </c>
      <c r="DJ87" s="75">
        <v>1.1091081529188099E-2</v>
      </c>
      <c r="DK87" s="75">
        <v>6.9057461282136939E-3</v>
      </c>
      <c r="DL87" s="75">
        <v>8.7800102357628307E-4</v>
      </c>
      <c r="DM87" s="75">
        <v>2.3489801923813156E-2</v>
      </c>
      <c r="DN87" s="75">
        <v>1.6954377700326165E-2</v>
      </c>
      <c r="DO87" s="75">
        <v>4.1234771259264252E-2</v>
      </c>
      <c r="DP87" s="75">
        <v>3.1234310462311815E-3</v>
      </c>
      <c r="DQ87" s="75">
        <v>-4.3180483495875999E-3</v>
      </c>
      <c r="DR87" s="75">
        <v>2.5444862678478217E-2</v>
      </c>
      <c r="DS87" s="75">
        <v>1.477141545730179E-2</v>
      </c>
      <c r="DT87" s="75">
        <v>-3.8001939684824459E-2</v>
      </c>
      <c r="DU87" s="75">
        <v>2.2375808166464298E-2</v>
      </c>
      <c r="DV87" s="75">
        <v>7.1689704972235924E-4</v>
      </c>
      <c r="DW87" s="75">
        <v>4.3191368263587715E-2</v>
      </c>
      <c r="DX87" s="75">
        <v>1.4229968640302737E-3</v>
      </c>
      <c r="DY87" s="75">
        <v>1.0912653164291672E-2</v>
      </c>
      <c r="DZ87" s="75">
        <v>1.775531699129243E-2</v>
      </c>
      <c r="EA87" s="75">
        <v>2.1499287757554927E-2</v>
      </c>
      <c r="EB87" s="75">
        <v>3.2228040073999903E-2</v>
      </c>
      <c r="EC87" s="75">
        <v>-3.4041896475811767E-2</v>
      </c>
      <c r="ED87" s="75">
        <v>1.1848209436901902E-2</v>
      </c>
      <c r="EE87" s="75">
        <v>5.1722759824567865E-3</v>
      </c>
      <c r="EF87" s="75">
        <v>1.1664337093850022E-2</v>
      </c>
      <c r="EG87" s="75">
        <v>-8.3615986754119465E-3</v>
      </c>
      <c r="EH87" s="75">
        <v>-9.7054041674730224E-3</v>
      </c>
      <c r="EI87" s="75">
        <v>2.1031618345834779E-3</v>
      </c>
      <c r="EJ87" s="75">
        <v>-4.121462569200092E-2</v>
      </c>
      <c r="EK87" s="75">
        <v>2.7250506588117659E-2</v>
      </c>
      <c r="EL87" s="75">
        <v>2.9228329285919508E-2</v>
      </c>
      <c r="EM87" s="75">
        <v>-3.6019340719608675E-2</v>
      </c>
      <c r="EN87" s="75">
        <v>-9.0814029961209242E-3</v>
      </c>
      <c r="EO87" s="75">
        <v>-6.8019418221363495E-2</v>
      </c>
      <c r="EP87" s="75">
        <v>-4.4792784374504485E-2</v>
      </c>
      <c r="EQ87" s="75">
        <v>-1.5555463335223382E-2</v>
      </c>
      <c r="ER87" s="75">
        <v>-9.7093539333273221E-3</v>
      </c>
      <c r="ES87" s="75">
        <v>2.0803377732804759E-2</v>
      </c>
      <c r="ET87" s="75">
        <v>-3.1832402302956919E-2</v>
      </c>
      <c r="EU87" s="75">
        <v>4.9890699410500144E-2</v>
      </c>
      <c r="EV87" s="75">
        <v>1.9956970362070253E-2</v>
      </c>
      <c r="EW87" s="75">
        <v>-3.4081622307927772E-2</v>
      </c>
      <c r="EX87" s="75">
        <v>4.6161907828503462E-3</v>
      </c>
      <c r="EY87" s="75">
        <v>-3.2045366467335495E-3</v>
      </c>
      <c r="EZ87" s="75">
        <v>1.7513104752166248E-2</v>
      </c>
      <c r="FA87" s="75">
        <v>1.3427924725993454E-2</v>
      </c>
      <c r="FB87" s="75">
        <v>4.0862761696067451E-3</v>
      </c>
      <c r="FC87" s="75">
        <v>-1.6656458039248229E-3</v>
      </c>
      <c r="FD87" s="75">
        <v>-2.7914925701588364E-2</v>
      </c>
      <c r="FE87" s="75">
        <v>-1.4934629089360774E-2</v>
      </c>
      <c r="FF87" s="75">
        <v>-4.6469793006397489E-2</v>
      </c>
      <c r="FG87" s="75">
        <v>-2.6264548374324251E-2</v>
      </c>
      <c r="FH87" s="75">
        <v>-2.4313865873026558E-2</v>
      </c>
      <c r="FI87" s="75">
        <v>-1.8557108654231338E-2</v>
      </c>
      <c r="FJ87" s="75">
        <v>1.5167921267086867E-2</v>
      </c>
      <c r="FK87" s="75">
        <v>-1.7755919547358542E-2</v>
      </c>
      <c r="FL87" s="75">
        <v>4.6148659184900784E-2</v>
      </c>
      <c r="FM87" s="75">
        <v>2.7260318864790689E-2</v>
      </c>
      <c r="FN87" s="75">
        <v>-2.2619932265515647E-2</v>
      </c>
      <c r="FO87" s="75">
        <v>-9.4462734604940091E-4</v>
      </c>
      <c r="FP87" s="75">
        <v>-9.5309420684907692E-3</v>
      </c>
      <c r="FQ87" s="75">
        <v>1.554033979261131E-2</v>
      </c>
      <c r="FR87" s="75">
        <v>3.2268262778469656E-2</v>
      </c>
      <c r="FS87" s="75">
        <v>1.347909276265527E-2</v>
      </c>
      <c r="FT87" s="75">
        <v>6.3082965636463151E-3</v>
      </c>
      <c r="FU87" s="75">
        <v>5.6206697940798661E-3</v>
      </c>
      <c r="FV87" s="75">
        <v>1.5313135065330483E-2</v>
      </c>
      <c r="FW87" s="75">
        <v>-7.5217999387943574E-3</v>
      </c>
      <c r="FX87" s="75">
        <v>3.1846798780817115E-2</v>
      </c>
      <c r="FY87" s="75">
        <v>3.0468436910447566E-2</v>
      </c>
      <c r="FZ87" s="75">
        <v>3.8918300690065952E-2</v>
      </c>
      <c r="GA87" s="75">
        <v>5.7005405321803468E-2</v>
      </c>
      <c r="GB87" s="75">
        <v>3.0895423764008653E-2</v>
      </c>
      <c r="GC87" s="75">
        <v>2.8156762696731674E-2</v>
      </c>
      <c r="GD87" s="75">
        <v>-8.2514882036298226E-3</v>
      </c>
      <c r="GE87" s="75">
        <v>9.744167696130443E-3</v>
      </c>
      <c r="GF87" s="75">
        <v>2.4116288825472926E-2</v>
      </c>
      <c r="GG87" s="75">
        <v>-3.6215590699378922E-2</v>
      </c>
      <c r="GH87" s="75">
        <v>5.7329290187918575E-2</v>
      </c>
      <c r="GI87" s="75">
        <v>-2.7174858113023032E-2</v>
      </c>
      <c r="GJ87" s="75">
        <v>2.9400437164485649E-2</v>
      </c>
      <c r="GK87" s="75">
        <v>1.2894648480716128E-2</v>
      </c>
      <c r="GL87" s="75">
        <v>1.8204249947824089E-2</v>
      </c>
      <c r="GM87" s="75">
        <v>1.4251428236373945E-2</v>
      </c>
      <c r="GN87" s="75">
        <v>-1.0626613088888265E-2</v>
      </c>
      <c r="GO87" s="75">
        <v>-1.9338925428397727E-2</v>
      </c>
      <c r="GP87" s="75">
        <v>-1.7620756858454503E-2</v>
      </c>
      <c r="GQ87" s="75">
        <v>-6.1881087476522212E-2</v>
      </c>
      <c r="GR87" s="75">
        <v>-1.7179784690930303E-2</v>
      </c>
      <c r="GS87" s="75">
        <v>1.3380510407192042E-2</v>
      </c>
      <c r="GT87" s="75">
        <v>5.0582284023402396E-2</v>
      </c>
      <c r="GU87" s="75">
        <v>5.1889100143738334E-2</v>
      </c>
      <c r="GV87" s="75">
        <v>-2.9461006255157712E-3</v>
      </c>
      <c r="GW87" s="75">
        <v>3.232986690713209E-2</v>
      </c>
      <c r="GX87" s="75">
        <v>-5.0497090988361928E-2</v>
      </c>
      <c r="GY87" s="75">
        <v>-4.5019310869873069E-3</v>
      </c>
      <c r="GZ87" s="75">
        <v>2.1126648403322346E-2</v>
      </c>
      <c r="HA87" s="75">
        <v>-2.461527627767704E-3</v>
      </c>
      <c r="HB87" s="75">
        <v>-2.7457271867427482E-2</v>
      </c>
      <c r="HC87" s="75">
        <v>4.1394824333905594E-3</v>
      </c>
      <c r="HD87" s="75">
        <v>9.2788012318179708E-3</v>
      </c>
      <c r="HE87" s="75">
        <v>2.2526951071982992E-2</v>
      </c>
      <c r="HF87" s="75">
        <v>-3.3216001988676483E-2</v>
      </c>
      <c r="HG87" s="75">
        <v>1.3063198360256434E-2</v>
      </c>
      <c r="HH87" s="75">
        <v>-7.7906411067972942E-3</v>
      </c>
      <c r="HI87" s="75">
        <v>2.4648977588517959E-2</v>
      </c>
      <c r="HJ87" s="75">
        <v>4.7551693416268276E-3</v>
      </c>
      <c r="HK87" s="75">
        <v>-3.4078098467692122E-2</v>
      </c>
      <c r="HL87" s="75">
        <v>1.0654159607873234E-2</v>
      </c>
      <c r="HM87" s="75">
        <v>-2.7349706798868181E-2</v>
      </c>
      <c r="HN87" s="75">
        <v>1.9150909991032361E-2</v>
      </c>
      <c r="HO87" s="75">
        <v>-7.6961126598140001E-3</v>
      </c>
      <c r="HP87" s="75">
        <v>2.5544345775942862E-3</v>
      </c>
      <c r="HQ87" s="75">
        <v>-4.4962887471695356E-2</v>
      </c>
      <c r="HR87" s="75">
        <v>1.702802525951333E-2</v>
      </c>
      <c r="HS87" s="75">
        <v>2.8846980649407203E-2</v>
      </c>
      <c r="HT87" s="75">
        <v>2.3273246127911859E-2</v>
      </c>
      <c r="HU87" s="75">
        <v>-3.9934364453296373E-3</v>
      </c>
      <c r="HV87" s="75">
        <v>7.1072906438461314E-3</v>
      </c>
      <c r="HW87" s="75">
        <v>-4.4162621003414046E-2</v>
      </c>
      <c r="HX87" s="75">
        <v>-2.9508529262194508E-2</v>
      </c>
      <c r="HY87" s="75">
        <v>-2.4377117836078654E-2</v>
      </c>
      <c r="HZ87" s="75">
        <v>-3.5375821056425477E-3</v>
      </c>
      <c r="IA87" s="75">
        <v>-6.4425366608472506E-2</v>
      </c>
      <c r="IB87" s="75">
        <v>-7.2685521942873768E-2</v>
      </c>
      <c r="IC87" s="75">
        <v>7.2078069584564225E-3</v>
      </c>
      <c r="ID87" s="75">
        <v>1.3973524974260854E-2</v>
      </c>
      <c r="IE87" s="75">
        <v>-9.5149269806216324E-3</v>
      </c>
      <c r="IF87" s="75">
        <v>-4.3152228737179485E-2</v>
      </c>
      <c r="IG87" s="75">
        <v>3.4160520675908107E-3</v>
      </c>
      <c r="IH87" s="75">
        <v>-4.0356138883513859E-3</v>
      </c>
      <c r="II87" s="75">
        <v>-4.5841492576896639E-2</v>
      </c>
      <c r="IJ87" s="75">
        <v>-8.0077941505685146E-3</v>
      </c>
      <c r="IK87" s="75">
        <v>2.5960511255429891E-2</v>
      </c>
      <c r="IL87" s="75">
        <v>-3.3882321618877595E-2</v>
      </c>
      <c r="IM87" s="75">
        <v>3.352471596573578E-3</v>
      </c>
      <c r="IN87" s="75">
        <v>-1.8817817212122681E-2</v>
      </c>
      <c r="IO87" s="75">
        <v>-1.7122655885581858E-2</v>
      </c>
      <c r="IP87" s="75">
        <v>-2.1441300966615992E-2</v>
      </c>
      <c r="IQ87" s="75">
        <v>9.6307112386801313E-3</v>
      </c>
      <c r="IR87" s="75">
        <v>-2.6951887479300066E-2</v>
      </c>
      <c r="IS87" s="75">
        <v>-7.8604866354009956E-3</v>
      </c>
      <c r="IT87" s="75">
        <v>-3.6755076964789246E-2</v>
      </c>
      <c r="IU87" s="75">
        <v>1.1604455548775233E-2</v>
      </c>
    </row>
    <row r="88" spans="1:255" s="74" customFormat="1" ht="14.5" x14ac:dyDescent="0.35">
      <c r="A88" s="73"/>
      <c r="B88" s="78">
        <v>8.75</v>
      </c>
      <c r="C88" s="77">
        <f t="shared" si="43"/>
        <v>8.7813854477591154E-3</v>
      </c>
      <c r="D88" s="76">
        <f t="shared" si="44"/>
        <v>2.8753027308125317E-2</v>
      </c>
      <c r="E88" s="75">
        <v>-2.2347678825150603E-2</v>
      </c>
      <c r="F88" s="75">
        <v>3.2957693687864491E-2</v>
      </c>
      <c r="G88" s="75">
        <v>3.6442406588709321E-2</v>
      </c>
      <c r="H88" s="75">
        <v>-5.4544191862046787E-3</v>
      </c>
      <c r="I88" s="75">
        <v>-5.8990298810380343E-4</v>
      </c>
      <c r="J88" s="75">
        <v>-8.9075093438688649E-3</v>
      </c>
      <c r="K88" s="75">
        <v>1.0624542861053937E-2</v>
      </c>
      <c r="L88" s="75">
        <v>-3.6378009519827462E-3</v>
      </c>
      <c r="M88" s="75">
        <v>2.5889186006764417E-3</v>
      </c>
      <c r="N88" s="75">
        <v>8.2311022404883694E-3</v>
      </c>
      <c r="O88" s="75">
        <v>-1.602952617338671E-3</v>
      </c>
      <c r="P88" s="75">
        <v>3.8238517547958747E-3</v>
      </c>
      <c r="Q88" s="75">
        <v>-9.3578972731005669E-3</v>
      </c>
      <c r="R88" s="75">
        <v>-1.2343207590424898E-2</v>
      </c>
      <c r="S88" s="75">
        <v>1.3402085592239599E-2</v>
      </c>
      <c r="T88" s="75">
        <v>-3.107936157950953E-2</v>
      </c>
      <c r="U88" s="75">
        <v>-2.4937809547975316E-2</v>
      </c>
      <c r="V88" s="75">
        <v>5.4744480127618816E-3</v>
      </c>
      <c r="W88" s="75">
        <v>1.676685099443137E-2</v>
      </c>
      <c r="X88" s="75">
        <v>1.0061438445367471E-2</v>
      </c>
      <c r="Y88" s="75">
        <v>-1.4671699977129159E-2</v>
      </c>
      <c r="Z88" s="75">
        <v>3.667546335942759E-2</v>
      </c>
      <c r="AA88" s="75">
        <v>3.0747781259724341E-3</v>
      </c>
      <c r="AB88" s="75">
        <v>2.846247961124182E-2</v>
      </c>
      <c r="AC88" s="75">
        <v>1.9908508539480119E-2</v>
      </c>
      <c r="AD88" s="75">
        <v>2.8921221541266723E-2</v>
      </c>
      <c r="AE88" s="75">
        <v>-5.1584366322997871E-2</v>
      </c>
      <c r="AF88" s="75">
        <v>-1.2972643264281339E-3</v>
      </c>
      <c r="AG88" s="75">
        <v>1.8381292337086276E-2</v>
      </c>
      <c r="AH88" s="75">
        <v>-1.0816659818361614E-2</v>
      </c>
      <c r="AI88" s="75">
        <v>-4.5325490321528106E-2</v>
      </c>
      <c r="AJ88" s="75">
        <v>-1.9553685207625515E-2</v>
      </c>
      <c r="AK88" s="75">
        <v>-1.308797206717921E-3</v>
      </c>
      <c r="AL88" s="75">
        <v>2.4683626678664666E-2</v>
      </c>
      <c r="AM88" s="75">
        <v>-8.2743786018452739E-3</v>
      </c>
      <c r="AN88" s="75">
        <v>1.5522754393962016E-2</v>
      </c>
      <c r="AO88" s="75">
        <v>1.1434237054950627E-3</v>
      </c>
      <c r="AP88" s="75">
        <v>-7.2357148922162565E-3</v>
      </c>
      <c r="AQ88" s="75">
        <v>4.3461380460881244E-2</v>
      </c>
      <c r="AR88" s="75">
        <v>1.8914491876758803E-2</v>
      </c>
      <c r="AS88" s="75">
        <v>-3.846937703525663E-3</v>
      </c>
      <c r="AT88" s="75">
        <v>4.0282319632136292E-2</v>
      </c>
      <c r="AU88" s="75">
        <v>-1.8611457697609218E-2</v>
      </c>
      <c r="AV88" s="75">
        <v>-2.572258122480095E-2</v>
      </c>
      <c r="AW88" s="75">
        <v>-1.9642815933921649E-2</v>
      </c>
      <c r="AX88" s="75">
        <v>4.4676925098726533E-2</v>
      </c>
      <c r="AY88" s="75">
        <v>-8.5459602471121901E-3</v>
      </c>
      <c r="AZ88" s="75">
        <v>2.2980911000188176E-2</v>
      </c>
      <c r="BA88" s="75">
        <v>-2.1068070085132971E-2</v>
      </c>
      <c r="BB88" s="75">
        <v>-2.420393275305191E-2</v>
      </c>
      <c r="BC88" s="75">
        <v>5.3755293470451049E-3</v>
      </c>
      <c r="BD88" s="75">
        <v>-1.9789149001736138E-2</v>
      </c>
      <c r="BE88" s="75">
        <v>1.9025329648286043E-2</v>
      </c>
      <c r="BF88" s="75">
        <v>-6.7612087628979217E-2</v>
      </c>
      <c r="BG88" s="75">
        <v>-1.784273562389662E-2</v>
      </c>
      <c r="BH88" s="75">
        <v>-1.177904590199038E-2</v>
      </c>
      <c r="BI88" s="75">
        <v>-1.9971868394535214E-2</v>
      </c>
      <c r="BJ88" s="75">
        <v>1.699137237907964E-2</v>
      </c>
      <c r="BK88" s="75">
        <v>1.5138152008226033E-3</v>
      </c>
      <c r="BL88" s="75">
        <v>-7.7313645006880857E-3</v>
      </c>
      <c r="BM88" s="75">
        <v>-2.1957856288994979E-2</v>
      </c>
      <c r="BN88" s="75">
        <v>4.7937309116496546E-3</v>
      </c>
      <c r="BO88" s="75">
        <v>9.321175342885582E-3</v>
      </c>
      <c r="BP88" s="75">
        <v>1.5973759001108173E-4</v>
      </c>
      <c r="BQ88" s="75">
        <v>-2.0836938229135536E-2</v>
      </c>
      <c r="BR88" s="75">
        <v>-3.7712930227378448E-2</v>
      </c>
      <c r="BS88" s="75">
        <v>1.6485635037360474E-2</v>
      </c>
      <c r="BT88" s="75">
        <v>-9.3250469302381678E-3</v>
      </c>
      <c r="BU88" s="75">
        <v>3.912469781439977E-3</v>
      </c>
      <c r="BV88" s="75">
        <v>-2.0110901089285545E-2</v>
      </c>
      <c r="BW88" s="75">
        <v>-3.188780511040637E-2</v>
      </c>
      <c r="BX88" s="75">
        <v>-1.5730199461568291E-2</v>
      </c>
      <c r="BY88" s="75">
        <v>6.6358984917051084E-4</v>
      </c>
      <c r="BZ88" s="75">
        <v>-5.9559898372737521E-3</v>
      </c>
      <c r="CA88" s="75">
        <v>1.8877449863898388E-2</v>
      </c>
      <c r="CB88" s="75">
        <v>1.8813705112734627E-2</v>
      </c>
      <c r="CC88" s="75">
        <v>2.4049866667706282E-2</v>
      </c>
      <c r="CD88" s="75">
        <v>-3.6172951761089596E-2</v>
      </c>
      <c r="CE88" s="75">
        <v>-1.2799064625659447E-2</v>
      </c>
      <c r="CF88" s="75">
        <v>1.6764754470372401E-2</v>
      </c>
      <c r="CG88" s="75">
        <v>1.9529715148162236E-2</v>
      </c>
      <c r="CH88" s="75">
        <v>-3.352340325430303E-2</v>
      </c>
      <c r="CI88" s="75">
        <v>-9.4183213540732988E-3</v>
      </c>
      <c r="CJ88" s="75">
        <v>-5.021574825238042E-2</v>
      </c>
      <c r="CK88" s="75">
        <v>-3.3768852547162026E-4</v>
      </c>
      <c r="CL88" s="75">
        <v>2.0347618166644189E-2</v>
      </c>
      <c r="CM88" s="75">
        <v>-5.1673136896085159E-3</v>
      </c>
      <c r="CN88" s="75">
        <v>1.1138525382707112E-3</v>
      </c>
      <c r="CO88" s="75">
        <v>1.6235282190926938E-2</v>
      </c>
      <c r="CP88" s="75">
        <v>-1.3587666840378806E-2</v>
      </c>
      <c r="CQ88" s="75">
        <v>3.2816859017073041E-2</v>
      </c>
      <c r="CR88" s="75">
        <v>3.4275608924784901E-3</v>
      </c>
      <c r="CS88" s="75">
        <v>-1.4450388865974002E-2</v>
      </c>
      <c r="CT88" s="75">
        <v>-4.4565915330467137E-3</v>
      </c>
      <c r="CU88" s="75">
        <v>2.7787592064907288E-2</v>
      </c>
      <c r="CV88" s="75">
        <v>-8.4969778272083601E-3</v>
      </c>
      <c r="CW88" s="75">
        <v>-1.5274283014496778E-2</v>
      </c>
      <c r="CX88" s="75">
        <v>2.4242512320129188E-2</v>
      </c>
      <c r="CY88" s="75">
        <v>1.68359994831132E-2</v>
      </c>
      <c r="CZ88" s="75">
        <v>2.8753027308125317E-2</v>
      </c>
      <c r="DA88" s="75">
        <v>-2.5814681191216569E-2</v>
      </c>
      <c r="DB88" s="75">
        <v>1.5090576435598739E-2</v>
      </c>
      <c r="DC88" s="75">
        <v>3.1498339582800454E-2</v>
      </c>
      <c r="DD88" s="75">
        <v>6.6393507633388943E-3</v>
      </c>
      <c r="DE88" s="75">
        <v>1.3613610132238087E-2</v>
      </c>
      <c r="DF88" s="75">
        <v>-1.4084709503341161E-2</v>
      </c>
      <c r="DG88" s="75">
        <v>2.431544185158778E-3</v>
      </c>
      <c r="DH88" s="75">
        <v>-1.1031493782957313E-2</v>
      </c>
      <c r="DI88" s="75">
        <v>-1.2281549583806624E-2</v>
      </c>
      <c r="DJ88" s="75">
        <v>3.6770032851184686E-3</v>
      </c>
      <c r="DK88" s="75">
        <v>-8.6562378928697545E-3</v>
      </c>
      <c r="DL88" s="75">
        <v>6.8433894958881206E-3</v>
      </c>
      <c r="DM88" s="75">
        <v>1.9345816735913547E-2</v>
      </c>
      <c r="DN88" s="75">
        <v>7.1506120672219509E-3</v>
      </c>
      <c r="DO88" s="75">
        <v>3.2604393007069576E-2</v>
      </c>
      <c r="DP88" s="75">
        <v>2.8880695492530042E-3</v>
      </c>
      <c r="DQ88" s="75">
        <v>-2.6917533123360857E-3</v>
      </c>
      <c r="DR88" s="75">
        <v>1.8615957061690447E-2</v>
      </c>
      <c r="DS88" s="75">
        <v>1.8796860113469642E-2</v>
      </c>
      <c r="DT88" s="75">
        <v>-3.6726980296368027E-2</v>
      </c>
      <c r="DU88" s="75">
        <v>2.9946124563512214E-3</v>
      </c>
      <c r="DV88" s="75">
        <v>3.6727853407094863E-3</v>
      </c>
      <c r="DW88" s="75">
        <v>-1.7565638868900141E-2</v>
      </c>
      <c r="DX88" s="75">
        <v>-1.0061657382765085E-2</v>
      </c>
      <c r="DY88" s="75">
        <v>-2.7157005257044564E-2</v>
      </c>
      <c r="DZ88" s="75">
        <v>-9.4677384336618042E-3</v>
      </c>
      <c r="EA88" s="75">
        <v>-2.6126702795948371E-2</v>
      </c>
      <c r="EB88" s="75">
        <v>-7.9893801404292766E-3</v>
      </c>
      <c r="EC88" s="75">
        <v>-8.0380314871299763E-3</v>
      </c>
      <c r="ED88" s="75">
        <v>-8.0800477913656743E-3</v>
      </c>
      <c r="EE88" s="75">
        <v>5.0219105794199748E-4</v>
      </c>
      <c r="EF88" s="75">
        <v>-1.2886970889348433E-2</v>
      </c>
      <c r="EG88" s="75">
        <v>-1.223511348833007E-2</v>
      </c>
      <c r="EH88" s="75">
        <v>4.202332602455075E-3</v>
      </c>
      <c r="EI88" s="75">
        <v>-2.3604352012842895E-2</v>
      </c>
      <c r="EJ88" s="75">
        <v>-1.0559095511607358E-2</v>
      </c>
      <c r="EK88" s="75">
        <v>5.7330167037378602E-2</v>
      </c>
      <c r="EL88" s="75">
        <v>-1.0924468702591734E-2</v>
      </c>
      <c r="EM88" s="75">
        <v>-3.3074106994746541E-2</v>
      </c>
      <c r="EN88" s="75">
        <v>5.5279209092123707E-3</v>
      </c>
      <c r="EO88" s="75">
        <v>-6.1744188400565281E-2</v>
      </c>
      <c r="EP88" s="75">
        <v>-3.1733235072809451E-2</v>
      </c>
      <c r="EQ88" s="75">
        <v>-5.5110788877331882E-3</v>
      </c>
      <c r="ER88" s="75">
        <v>-5.645428552013762E-4</v>
      </c>
      <c r="ES88" s="75">
        <v>1.2446897550025759E-2</v>
      </c>
      <c r="ET88" s="75">
        <v>-1.8771069890888913E-2</v>
      </c>
      <c r="EU88" s="75">
        <v>-8.5737878085718477E-3</v>
      </c>
      <c r="EV88" s="75">
        <v>9.0053447539043818E-3</v>
      </c>
      <c r="EW88" s="75">
        <v>-2.9127515367587585E-2</v>
      </c>
      <c r="EX88" s="75">
        <v>9.9545344542209882E-3</v>
      </c>
      <c r="EY88" s="75">
        <v>-5.8987804536872329E-3</v>
      </c>
      <c r="EZ88" s="75">
        <v>1.3964103191376524E-2</v>
      </c>
      <c r="FA88" s="75">
        <v>1.5235260885790761E-2</v>
      </c>
      <c r="FB88" s="75">
        <v>1.9297675577182032E-2</v>
      </c>
      <c r="FC88" s="75">
        <v>1.2526070916560134E-2</v>
      </c>
      <c r="FD88" s="75">
        <v>4.5134635940643791E-2</v>
      </c>
      <c r="FE88" s="75">
        <v>-3.6678223704141907E-2</v>
      </c>
      <c r="FF88" s="75">
        <v>-3.0353182486749404E-2</v>
      </c>
      <c r="FG88" s="75">
        <v>-2.5185963505189521E-2</v>
      </c>
      <c r="FH88" s="75">
        <v>-2.6918686754833318E-2</v>
      </c>
      <c r="FI88" s="75">
        <v>1.8835487255724474E-2</v>
      </c>
      <c r="FJ88" s="75">
        <v>1.3779548513699759E-2</v>
      </c>
      <c r="FK88" s="75">
        <v>-1.3399645231393871E-2</v>
      </c>
      <c r="FL88" s="75">
        <v>-3.6777440149322181E-2</v>
      </c>
      <c r="FM88" s="75">
        <v>5.9299712705206953E-3</v>
      </c>
      <c r="FN88" s="75">
        <v>2.0065472530246153E-2</v>
      </c>
      <c r="FO88" s="75">
        <v>-3.2587454393013054E-2</v>
      </c>
      <c r="FP88" s="75">
        <v>-1.8492653891627929E-2</v>
      </c>
      <c r="FQ88" s="75">
        <v>-4.4249232876769698E-3</v>
      </c>
      <c r="FR88" s="75">
        <v>7.8346816725061164E-4</v>
      </c>
      <c r="FS88" s="75">
        <v>-2.9662963215914218E-2</v>
      </c>
      <c r="FT88" s="75">
        <v>1.4895720559679172E-2</v>
      </c>
      <c r="FU88" s="75">
        <v>-2.2084609149729817E-2</v>
      </c>
      <c r="FV88" s="75">
        <v>-4.121329392012428E-2</v>
      </c>
      <c r="FW88" s="75">
        <v>-4.457205677064667E-3</v>
      </c>
      <c r="FX88" s="75">
        <v>-1.5210627492015225E-2</v>
      </c>
      <c r="FY88" s="75">
        <v>-1.5040465863502557E-2</v>
      </c>
      <c r="FZ88" s="75">
        <v>2.576505398313899E-2</v>
      </c>
      <c r="GA88" s="75">
        <v>-4.4728938074212174E-2</v>
      </c>
      <c r="GB88" s="75">
        <v>2.7559118520388462E-2</v>
      </c>
      <c r="GC88" s="75">
        <v>-2.5476422376007252E-2</v>
      </c>
      <c r="GD88" s="75">
        <v>-3.6027200311797535E-2</v>
      </c>
      <c r="GE88" s="75">
        <v>1.9335103045520011E-3</v>
      </c>
      <c r="GF88" s="75">
        <v>2.4888914217070582E-2</v>
      </c>
      <c r="GG88" s="75">
        <v>3.4620774887597974E-3</v>
      </c>
      <c r="GH88" s="75">
        <v>2.3663493910683744E-2</v>
      </c>
      <c r="GI88" s="75">
        <v>-3.3986138496403258E-2</v>
      </c>
      <c r="GJ88" s="75">
        <v>1.0651189314420696E-2</v>
      </c>
      <c r="GK88" s="75">
        <v>-2.54770869723547E-2</v>
      </c>
      <c r="GL88" s="75">
        <v>1.8781069778019445E-2</v>
      </c>
      <c r="GM88" s="75">
        <v>1.5619340551255426E-2</v>
      </c>
      <c r="GN88" s="75">
        <v>2.5101914644288729E-2</v>
      </c>
      <c r="GO88" s="75">
        <v>-4.7171477301778467E-3</v>
      </c>
      <c r="GP88" s="75">
        <v>1.1112623990174444E-2</v>
      </c>
      <c r="GQ88" s="75">
        <v>3.4989462647000785E-2</v>
      </c>
      <c r="GR88" s="75">
        <v>5.3143143366689752E-2</v>
      </c>
      <c r="GS88" s="75">
        <v>1.548446792378514E-2</v>
      </c>
      <c r="GT88" s="75">
        <v>4.0217824013691929E-2</v>
      </c>
      <c r="GU88" s="75">
        <v>3.5537478816860382E-2</v>
      </c>
      <c r="GV88" s="75">
        <v>-1.1089795958107551E-2</v>
      </c>
      <c r="GW88" s="75">
        <v>-3.4683110072546292E-2</v>
      </c>
      <c r="GX88" s="75">
        <v>-3.8825300570399554E-2</v>
      </c>
      <c r="GY88" s="75">
        <v>-4.9988466121876421E-3</v>
      </c>
      <c r="GZ88" s="75">
        <v>3.4140944824785982E-2</v>
      </c>
      <c r="HA88" s="75">
        <v>4.9355276360253664E-3</v>
      </c>
      <c r="HB88" s="75">
        <v>1.0607767686924757E-2</v>
      </c>
      <c r="HC88" s="75">
        <v>1.3473037376638457E-2</v>
      </c>
      <c r="HD88" s="75">
        <v>2.9370231911365667E-2</v>
      </c>
      <c r="HE88" s="75">
        <v>1.8471020812367081E-2</v>
      </c>
      <c r="HF88" s="75">
        <v>-3.0879903012771548E-2</v>
      </c>
      <c r="HG88" s="75">
        <v>-3.0119382973157999E-2</v>
      </c>
      <c r="HH88" s="75">
        <v>1.7894838738316814E-2</v>
      </c>
      <c r="HI88" s="75">
        <v>1.8487723411412187E-2</v>
      </c>
      <c r="HJ88" s="75">
        <v>-9.7815241666775188E-4</v>
      </c>
      <c r="HK88" s="75">
        <v>-3.3659149052833168E-2</v>
      </c>
      <c r="HL88" s="75">
        <v>-8.6829753298036313E-3</v>
      </c>
      <c r="HM88" s="75">
        <v>5.4528650171371089E-2</v>
      </c>
      <c r="HN88" s="75">
        <v>-4.8432989664516438E-3</v>
      </c>
      <c r="HO88" s="75">
        <v>-8.8846658941452439E-3</v>
      </c>
      <c r="HP88" s="75">
        <v>8.4656991208491572E-3</v>
      </c>
      <c r="HQ88" s="75">
        <v>3.2452979758158022E-2</v>
      </c>
      <c r="HR88" s="75">
        <v>5.0638452130442102E-2</v>
      </c>
      <c r="HS88" s="75">
        <v>2.3252360971102171E-3</v>
      </c>
      <c r="HT88" s="75">
        <v>-2.236729440751889E-2</v>
      </c>
      <c r="HU88" s="75">
        <v>-6.8352687330197615E-4</v>
      </c>
      <c r="HV88" s="75">
        <v>1.5284734304971542E-2</v>
      </c>
      <c r="HW88" s="75">
        <v>-3.2946873015329677E-2</v>
      </c>
      <c r="HX88" s="75">
        <v>-1.376106198399317E-2</v>
      </c>
      <c r="HY88" s="75">
        <v>-1.795077405091796E-2</v>
      </c>
      <c r="HZ88" s="75">
        <v>-1.8870347733653765E-2</v>
      </c>
      <c r="IA88" s="75">
        <v>-2.2811446613840519E-2</v>
      </c>
      <c r="IB88" s="75">
        <v>3.1890363942148683E-2</v>
      </c>
      <c r="IC88" s="75">
        <v>-1.8699110547889738E-3</v>
      </c>
      <c r="ID88" s="75">
        <v>1.857723211768058E-2</v>
      </c>
      <c r="IE88" s="75">
        <v>-1.1178540693864258E-2</v>
      </c>
      <c r="IF88" s="75">
        <v>3.7290013736210048E-2</v>
      </c>
      <c r="IG88" s="75">
        <v>3.173215154820707E-2</v>
      </c>
      <c r="IH88" s="75">
        <v>-7.094842225053577E-4</v>
      </c>
      <c r="II88" s="75">
        <v>-2.0059213973546083E-2</v>
      </c>
      <c r="IJ88" s="75">
        <v>2.9974529959215436E-2</v>
      </c>
      <c r="IK88" s="75">
        <v>3.2628649727786445E-2</v>
      </c>
      <c r="IL88" s="75">
        <v>-2.151786281805413E-2</v>
      </c>
      <c r="IM88" s="75">
        <v>2.5694901156452787E-3</v>
      </c>
      <c r="IN88" s="75">
        <v>-1.0826485541427178E-2</v>
      </c>
      <c r="IO88" s="75">
        <v>1.257753297659301E-2</v>
      </c>
      <c r="IP88" s="75">
        <v>-1.0506799610246753E-2</v>
      </c>
      <c r="IQ88" s="75">
        <v>6.9370974198729451E-3</v>
      </c>
      <c r="IR88" s="75">
        <v>-2.2247430243768636E-2</v>
      </c>
      <c r="IS88" s="75">
        <v>1.3636637506957913E-3</v>
      </c>
      <c r="IT88" s="75">
        <v>-3.1862641929784968E-2</v>
      </c>
      <c r="IU88" s="75">
        <v>1.0237290336601368E-2</v>
      </c>
    </row>
    <row r="89" spans="1:255" s="74" customFormat="1" ht="14.5" x14ac:dyDescent="0.35">
      <c r="A89" s="73"/>
      <c r="B89" s="78">
        <v>9</v>
      </c>
      <c r="C89" s="77">
        <f t="shared" si="43"/>
        <v>6.8140340608646554E-3</v>
      </c>
      <c r="D89" s="76">
        <f t="shared" si="44"/>
        <v>2.3290341757208552E-2</v>
      </c>
      <c r="E89" s="75">
        <v>-1.5013327803688414E-2</v>
      </c>
      <c r="F89" s="75">
        <v>2.6358247233423407E-2</v>
      </c>
      <c r="G89" s="75">
        <v>1.6940782498784432E-2</v>
      </c>
      <c r="H89" s="75">
        <v>-7.4997072639264584E-3</v>
      </c>
      <c r="I89" s="75">
        <v>1.8258640797231274E-3</v>
      </c>
      <c r="J89" s="75">
        <v>-1.8400168522627117E-3</v>
      </c>
      <c r="K89" s="75">
        <v>7.4346327741635493E-3</v>
      </c>
      <c r="L89" s="75">
        <v>-7.3936223268526308E-3</v>
      </c>
      <c r="M89" s="75">
        <v>7.5278416575187967E-3</v>
      </c>
      <c r="N89" s="75">
        <v>3.0187301828315111E-3</v>
      </c>
      <c r="O89" s="75">
        <v>-3.5316725526459702E-3</v>
      </c>
      <c r="P89" s="75">
        <v>-2.3784425762916894E-4</v>
      </c>
      <c r="Q89" s="75">
        <v>-4.1477138687322848E-3</v>
      </c>
      <c r="R89" s="75">
        <v>-1.0058523473333802E-2</v>
      </c>
      <c r="S89" s="75">
        <v>7.6861875759874909E-3</v>
      </c>
      <c r="T89" s="75">
        <v>-2.5217013765570624E-2</v>
      </c>
      <c r="U89" s="75">
        <v>-9.9790133660856706E-3</v>
      </c>
      <c r="V89" s="75">
        <v>-4.4613380657957877E-3</v>
      </c>
      <c r="W89" s="75">
        <v>1.4546659627729851E-2</v>
      </c>
      <c r="X89" s="75">
        <v>8.6702455063413925E-3</v>
      </c>
      <c r="Y89" s="75">
        <v>-9.5718445595292523E-3</v>
      </c>
      <c r="Z89" s="75">
        <v>2.9331239339377424E-2</v>
      </c>
      <c r="AA89" s="75">
        <v>-1.5482321370859017E-3</v>
      </c>
      <c r="AB89" s="75">
        <v>1.8586522971210169E-2</v>
      </c>
      <c r="AC89" s="75">
        <v>1.1706102497778419E-2</v>
      </c>
      <c r="AD89" s="75">
        <v>1.1952744383704139E-2</v>
      </c>
      <c r="AE89" s="75">
        <v>-4.559044781533908E-2</v>
      </c>
      <c r="AF89" s="75">
        <v>-3.3519409836376343E-3</v>
      </c>
      <c r="AG89" s="75">
        <v>1.5350740018554458E-2</v>
      </c>
      <c r="AH89" s="75">
        <v>-1.1369151167666458E-2</v>
      </c>
      <c r="AI89" s="75">
        <v>-2.8748384242179098E-2</v>
      </c>
      <c r="AJ89" s="75">
        <v>-1.5368000285951276E-2</v>
      </c>
      <c r="AK89" s="75">
        <v>-3.1941291685787243E-5</v>
      </c>
      <c r="AL89" s="75">
        <v>1.7735794203659873E-2</v>
      </c>
      <c r="AM89" s="75">
        <v>-4.6723105947045554E-3</v>
      </c>
      <c r="AN89" s="75">
        <v>1.8939771545680932E-2</v>
      </c>
      <c r="AO89" s="75">
        <v>1.0873577187028305E-3</v>
      </c>
      <c r="AP89" s="75">
        <v>-7.1067496906492139E-3</v>
      </c>
      <c r="AQ89" s="75">
        <v>3.277662531778245E-2</v>
      </c>
      <c r="AR89" s="75">
        <v>1.9283248641364999E-2</v>
      </c>
      <c r="AS89" s="75">
        <v>-9.7728994569143759E-3</v>
      </c>
      <c r="AT89" s="75">
        <v>3.3738094063455439E-2</v>
      </c>
      <c r="AU89" s="75">
        <v>-2.0056360965869616E-2</v>
      </c>
      <c r="AV89" s="75">
        <v>-2.4155321778220662E-2</v>
      </c>
      <c r="AW89" s="75">
        <v>-1.8491680453137371E-2</v>
      </c>
      <c r="AX89" s="75">
        <v>3.9733955226438966E-2</v>
      </c>
      <c r="AY89" s="75">
        <v>-8.6345341146110213E-3</v>
      </c>
      <c r="AZ89" s="75">
        <v>2.0478197135832391E-2</v>
      </c>
      <c r="BA89" s="75">
        <v>-1.3927562284158701E-2</v>
      </c>
      <c r="BB89" s="75">
        <v>-2.7426788544225172E-2</v>
      </c>
      <c r="BC89" s="75">
        <v>8.6817044722903788E-3</v>
      </c>
      <c r="BD89" s="75">
        <v>-9.6281935514420658E-3</v>
      </c>
      <c r="BE89" s="75">
        <v>1.4892679995140296E-2</v>
      </c>
      <c r="BF89" s="75">
        <v>-4.9779317153093035E-2</v>
      </c>
      <c r="BG89" s="75">
        <v>-9.1039009905465318E-3</v>
      </c>
      <c r="BH89" s="75">
        <v>-1.685255942259329E-2</v>
      </c>
      <c r="BI89" s="75">
        <v>-1.9525557285727163E-2</v>
      </c>
      <c r="BJ89" s="75">
        <v>1.4200620267682214E-2</v>
      </c>
      <c r="BK89" s="75">
        <v>8.8180809865208987E-3</v>
      </c>
      <c r="BL89" s="75">
        <v>-9.2309550552536132E-3</v>
      </c>
      <c r="BM89" s="75">
        <v>-9.1075575841627551E-3</v>
      </c>
      <c r="BN89" s="75">
        <v>1.2542120069439777E-3</v>
      </c>
      <c r="BO89" s="75">
        <v>5.3099086154570069E-3</v>
      </c>
      <c r="BP89" s="75">
        <v>-5.9267237832395375E-3</v>
      </c>
      <c r="BQ89" s="75">
        <v>-1.5109315412846519E-2</v>
      </c>
      <c r="BR89" s="75">
        <v>-3.4201669191110749E-2</v>
      </c>
      <c r="BS89" s="75">
        <v>1.2687639164286599E-2</v>
      </c>
      <c r="BT89" s="75">
        <v>-4.6194980696143556E-3</v>
      </c>
      <c r="BU89" s="75">
        <v>-1.7150199061580496E-3</v>
      </c>
      <c r="BV89" s="75">
        <v>-1.0751570754183655E-2</v>
      </c>
      <c r="BW89" s="75">
        <v>-2.1841294909383351E-2</v>
      </c>
      <c r="BX89" s="75">
        <v>-1.4474258183808958E-2</v>
      </c>
      <c r="BY89" s="75">
        <v>-5.8378275612580854E-3</v>
      </c>
      <c r="BZ89" s="75">
        <v>-4.5164587794479932E-3</v>
      </c>
      <c r="CA89" s="75">
        <v>1.5107517619249569E-2</v>
      </c>
      <c r="CB89" s="75">
        <v>2.402068599978726E-2</v>
      </c>
      <c r="CC89" s="75">
        <v>2.6083854781150551E-2</v>
      </c>
      <c r="CD89" s="75">
        <v>-2.0960348888870592E-2</v>
      </c>
      <c r="CE89" s="75">
        <v>-7.0345606513852604E-3</v>
      </c>
      <c r="CF89" s="75">
        <v>1.2825535151474096E-2</v>
      </c>
      <c r="CG89" s="75">
        <v>9.9968423157948266E-3</v>
      </c>
      <c r="CH89" s="75">
        <v>-2.5679925074253894E-2</v>
      </c>
      <c r="CI89" s="75">
        <v>-7.9081884428851765E-3</v>
      </c>
      <c r="CJ89" s="75">
        <v>-4.4526245690142262E-2</v>
      </c>
      <c r="CK89" s="75">
        <v>-5.3803898485303425E-3</v>
      </c>
      <c r="CL89" s="75">
        <v>1.7187498033777553E-2</v>
      </c>
      <c r="CM89" s="75">
        <v>-4.8836930101399181E-3</v>
      </c>
      <c r="CN89" s="75">
        <v>-7.8610169976654487E-3</v>
      </c>
      <c r="CO89" s="75">
        <v>1.2347336498351374E-2</v>
      </c>
      <c r="CP89" s="75">
        <v>-3.8295655414710694E-3</v>
      </c>
      <c r="CQ89" s="75">
        <v>3.2079679765257621E-2</v>
      </c>
      <c r="CR89" s="75">
        <v>-8.4450078585199262E-4</v>
      </c>
      <c r="CS89" s="75">
        <v>-8.007522668862524E-3</v>
      </c>
      <c r="CT89" s="75">
        <v>1.1676080351173818E-3</v>
      </c>
      <c r="CU89" s="75">
        <v>2.1152598696869286E-2</v>
      </c>
      <c r="CV89" s="75">
        <v>3.5362297824756972E-3</v>
      </c>
      <c r="CW89" s="75">
        <v>-7.3426203909907062E-3</v>
      </c>
      <c r="CX89" s="75">
        <v>1.5504286505634207E-2</v>
      </c>
      <c r="CY89" s="75">
        <v>1.0987435062041744E-2</v>
      </c>
      <c r="CZ89" s="75">
        <v>2.9698858673511082E-2</v>
      </c>
      <c r="DA89" s="75">
        <v>2.6725132786979966E-3</v>
      </c>
      <c r="DB89" s="75">
        <v>-1.4736972880540489E-2</v>
      </c>
      <c r="DC89" s="75">
        <v>3.8617684952409061E-2</v>
      </c>
      <c r="DD89" s="75">
        <v>-2.5210892026139298E-3</v>
      </c>
      <c r="DE89" s="75">
        <v>7.63671916965869E-3</v>
      </c>
      <c r="DF89" s="75">
        <v>1.7473427391249942E-2</v>
      </c>
      <c r="DG89" s="75">
        <v>5.9154162710572944E-4</v>
      </c>
      <c r="DH89" s="75">
        <v>-1.2796925158063049E-2</v>
      </c>
      <c r="DI89" s="75">
        <v>4.104365107103769E-2</v>
      </c>
      <c r="DJ89" s="75">
        <v>-4.1569078870181686E-3</v>
      </c>
      <c r="DK89" s="75">
        <v>-8.6825920422361966E-3</v>
      </c>
      <c r="DL89" s="75">
        <v>2.2423491041805757E-2</v>
      </c>
      <c r="DM89" s="75">
        <v>-1.3580496000868997E-2</v>
      </c>
      <c r="DN89" s="75">
        <v>-4.5636904771520978E-3</v>
      </c>
      <c r="DO89" s="75">
        <v>1.9695865495973644E-2</v>
      </c>
      <c r="DP89" s="75">
        <v>-1.5221660991343269E-2</v>
      </c>
      <c r="DQ89" s="75">
        <v>-3.1560986192981533E-2</v>
      </c>
      <c r="DR89" s="75">
        <v>-1.6010668746462509E-2</v>
      </c>
      <c r="DS89" s="75">
        <v>-1.8205879147202834E-2</v>
      </c>
      <c r="DT89" s="75">
        <v>-2.0495129808725504E-2</v>
      </c>
      <c r="DU89" s="75">
        <v>9.718834740807869E-3</v>
      </c>
      <c r="DV89" s="75">
        <v>2.081860997982965E-3</v>
      </c>
      <c r="DW89" s="75">
        <v>-2.9718448353688393E-2</v>
      </c>
      <c r="DX89" s="75">
        <v>-9.0515232140166713E-3</v>
      </c>
      <c r="DY89" s="75">
        <v>-1.6738702757693236E-2</v>
      </c>
      <c r="DZ89" s="75">
        <v>-7.4831634037851175E-3</v>
      </c>
      <c r="EA89" s="75">
        <v>-1.808855341015031E-2</v>
      </c>
      <c r="EB89" s="75">
        <v>-1.3507380612681384E-2</v>
      </c>
      <c r="EC89" s="75">
        <v>-6.8590876424810474E-3</v>
      </c>
      <c r="ED89" s="75">
        <v>-3.5078794922292073E-4</v>
      </c>
      <c r="EE89" s="75">
        <v>-1.6894950896130523E-3</v>
      </c>
      <c r="EF89" s="75">
        <v>-1.3998936447154893E-2</v>
      </c>
      <c r="EG89" s="75">
        <v>-1.5127853404526118E-2</v>
      </c>
      <c r="EH89" s="75">
        <v>1.2385712232521891E-2</v>
      </c>
      <c r="EI89" s="75">
        <v>-9.6238764240832997E-3</v>
      </c>
      <c r="EJ89" s="75">
        <v>-1.4825437531383434E-2</v>
      </c>
      <c r="EK89" s="75">
        <v>4.4678958202335348E-2</v>
      </c>
      <c r="EL89" s="75">
        <v>-1.1332603074380082E-2</v>
      </c>
      <c r="EM89" s="75">
        <v>-1.7731729673537248E-2</v>
      </c>
      <c r="EN89" s="75">
        <v>2.1004327848818456E-2</v>
      </c>
      <c r="EO89" s="75">
        <v>2.4946957945992575E-2</v>
      </c>
      <c r="EP89" s="75">
        <v>8.7652515303631579E-4</v>
      </c>
      <c r="EQ89" s="75">
        <v>-1.7971601700346847E-2</v>
      </c>
      <c r="ER89" s="75">
        <v>2.0788059156963912E-2</v>
      </c>
      <c r="ES89" s="75">
        <v>2.5617242344868028E-2</v>
      </c>
      <c r="ET89" s="75">
        <v>9.3280249188336592E-3</v>
      </c>
      <c r="EU89" s="75">
        <v>-3.7694117772985383E-3</v>
      </c>
      <c r="EV89" s="75">
        <v>-1.3772632723920437E-2</v>
      </c>
      <c r="EW89" s="75">
        <v>-2.3298223790561873E-2</v>
      </c>
      <c r="EX89" s="75">
        <v>-8.8898182316235266E-3</v>
      </c>
      <c r="EY89" s="75">
        <v>2.7116057892757964E-3</v>
      </c>
      <c r="EZ89" s="75">
        <v>-1.9712172740584261E-2</v>
      </c>
      <c r="FA89" s="75">
        <v>-3.0555149193591119E-3</v>
      </c>
      <c r="FB89" s="75">
        <v>2.7505021229232533E-2</v>
      </c>
      <c r="FC89" s="75">
        <v>8.3648241820865471E-3</v>
      </c>
      <c r="FD89" s="75">
        <v>1.0612214155392777E-3</v>
      </c>
      <c r="FE89" s="75">
        <v>1.3865721416859329E-2</v>
      </c>
      <c r="FF89" s="75">
        <v>4.3044843728351177E-2</v>
      </c>
      <c r="FG89" s="75">
        <v>-3.2366631113278636E-2</v>
      </c>
      <c r="FH89" s="75">
        <v>3.2687780909352454E-4</v>
      </c>
      <c r="FI89" s="75">
        <v>-9.7103056278352445E-3</v>
      </c>
      <c r="FJ89" s="75">
        <v>1.7892181595924594E-3</v>
      </c>
      <c r="FK89" s="75">
        <v>4.4253961476024908E-3</v>
      </c>
      <c r="FL89" s="75">
        <v>-2.8716283771618216E-2</v>
      </c>
      <c r="FM89" s="75">
        <v>-1.5650347027402145E-2</v>
      </c>
      <c r="FN89" s="75">
        <v>2.3445434245170926E-2</v>
      </c>
      <c r="FO89" s="75">
        <v>-2.9780375229425414E-2</v>
      </c>
      <c r="FP89" s="75">
        <v>-1.7359763126660661E-2</v>
      </c>
      <c r="FQ89" s="75">
        <v>-7.880833419722795E-3</v>
      </c>
      <c r="FR89" s="75">
        <v>5.9467010409030574E-3</v>
      </c>
      <c r="FS89" s="75">
        <v>-2.6447751398854018E-2</v>
      </c>
      <c r="FT89" s="75">
        <v>1.1538256856484269E-2</v>
      </c>
      <c r="FU89" s="75">
        <v>-2.3834502009807176E-2</v>
      </c>
      <c r="FV89" s="75">
        <v>-2.8008065656742367E-2</v>
      </c>
      <c r="FW89" s="75">
        <v>-3.456865492012462E-3</v>
      </c>
      <c r="FX89" s="75">
        <v>1.2640911643269338E-2</v>
      </c>
      <c r="FY89" s="75">
        <v>-1.7648012592708429E-2</v>
      </c>
      <c r="FZ89" s="75">
        <v>2.9047160798057678E-2</v>
      </c>
      <c r="GA89" s="75">
        <v>-4.3828854044823562E-2</v>
      </c>
      <c r="GB89" s="75">
        <v>7.0677583582645781E-3</v>
      </c>
      <c r="GC89" s="75">
        <v>-2.948444299721404E-2</v>
      </c>
      <c r="GD89" s="75">
        <v>-3.1795031612958442E-2</v>
      </c>
      <c r="GE89" s="75">
        <v>1.6514900785822781E-3</v>
      </c>
      <c r="GF89" s="75">
        <v>-4.1927577149187295E-2</v>
      </c>
      <c r="GG89" s="75">
        <v>1.860972989961851E-4</v>
      </c>
      <c r="GH89" s="75">
        <v>-2.9700919823192631E-2</v>
      </c>
      <c r="GI89" s="75">
        <v>2.2212718992935643E-2</v>
      </c>
      <c r="GJ89" s="75">
        <v>-1.3829899885734742E-3</v>
      </c>
      <c r="GK89" s="75">
        <v>2.3682182234491062E-2</v>
      </c>
      <c r="GL89" s="75">
        <v>-1.4975795374655619E-2</v>
      </c>
      <c r="GM89" s="75">
        <v>-5.2228670005586841E-3</v>
      </c>
      <c r="GN89" s="75">
        <v>7.458666339798331E-3</v>
      </c>
      <c r="GO89" s="75">
        <v>-1.0178722831026832E-2</v>
      </c>
      <c r="GP89" s="75">
        <v>3.7458449641993991E-3</v>
      </c>
      <c r="GQ89" s="75">
        <v>2.1079640362051025E-2</v>
      </c>
      <c r="GR89" s="75">
        <v>3.6555217760990112E-2</v>
      </c>
      <c r="GS89" s="75">
        <v>7.92836012310974E-3</v>
      </c>
      <c r="GT89" s="75">
        <v>1.0457249855695967E-2</v>
      </c>
      <c r="GU89" s="75">
        <v>1.5072072547101439E-2</v>
      </c>
      <c r="GV89" s="75">
        <v>-4.3059951821560957E-3</v>
      </c>
      <c r="GW89" s="75">
        <v>1.8036715128544517E-2</v>
      </c>
      <c r="GX89" s="75">
        <v>6.285128311983898E-3</v>
      </c>
      <c r="GY89" s="75">
        <v>1.0325805770120995E-2</v>
      </c>
      <c r="GZ89" s="75">
        <v>-1.637974348379409E-3</v>
      </c>
      <c r="HA89" s="75">
        <v>-2.4615753026513372E-2</v>
      </c>
      <c r="HB89" s="75">
        <v>8.3412449229875799E-3</v>
      </c>
      <c r="HC89" s="75">
        <v>-1.7956202846507868E-4</v>
      </c>
      <c r="HD89" s="75">
        <v>1.7417127219109291E-2</v>
      </c>
      <c r="HE89" s="75">
        <v>-2.3404288053400044E-2</v>
      </c>
      <c r="HF89" s="75">
        <v>-8.6051719237608057E-3</v>
      </c>
      <c r="HG89" s="75">
        <v>-2.5110296019970071E-2</v>
      </c>
      <c r="HH89" s="75">
        <v>2.1448768776875987E-2</v>
      </c>
      <c r="HI89" s="75">
        <v>-3.8281815669920137E-2</v>
      </c>
      <c r="HJ89" s="75">
        <v>-2.5531638511336635E-2</v>
      </c>
      <c r="HK89" s="75">
        <v>-4.5886859969725774E-2</v>
      </c>
      <c r="HL89" s="75">
        <v>-2.9836063593864634E-2</v>
      </c>
      <c r="HM89" s="75">
        <v>4.0973249564405519E-2</v>
      </c>
      <c r="HN89" s="75">
        <v>-1.336627569220989E-2</v>
      </c>
      <c r="HO89" s="75">
        <v>2.0195406716352476E-3</v>
      </c>
      <c r="HP89" s="75">
        <v>6.030268908202796E-3</v>
      </c>
      <c r="HQ89" s="75">
        <v>2.5286953654772508E-2</v>
      </c>
      <c r="HR89" s="75">
        <v>4.2449601470628623E-2</v>
      </c>
      <c r="HS89" s="75">
        <v>1.9068702919873393E-2</v>
      </c>
      <c r="HT89" s="75">
        <v>-9.0747773493254497E-3</v>
      </c>
      <c r="HU89" s="75">
        <v>5.0270848316967473E-3</v>
      </c>
      <c r="HV89" s="75">
        <v>-3.7645805632479379E-3</v>
      </c>
      <c r="HW89" s="75">
        <v>-1.1543717050945784E-2</v>
      </c>
      <c r="HX89" s="75">
        <v>2.3290341757208552E-2</v>
      </c>
      <c r="HY89" s="75">
        <v>-1.735252514648359E-2</v>
      </c>
      <c r="HZ89" s="75">
        <v>-2.005027123224512E-2</v>
      </c>
      <c r="IA89" s="75">
        <v>-2.321106944503068E-2</v>
      </c>
      <c r="IB89" s="75">
        <v>2.7719119648342408E-2</v>
      </c>
      <c r="IC89" s="75">
        <v>-4.2953125316486304E-3</v>
      </c>
      <c r="ID89" s="75">
        <v>-2.6137661904008562E-2</v>
      </c>
      <c r="IE89" s="75">
        <v>1.6743978237225829E-2</v>
      </c>
      <c r="IF89" s="75">
        <v>2.8523488138809151E-2</v>
      </c>
      <c r="IG89" s="75">
        <v>-2.7011687985368689E-2</v>
      </c>
      <c r="IH89" s="75">
        <v>-4.5868582201443117E-3</v>
      </c>
      <c r="II89" s="75">
        <v>-1.9161711363817335E-4</v>
      </c>
      <c r="IJ89" s="75">
        <v>-4.0249856275982217E-2</v>
      </c>
      <c r="IK89" s="75">
        <v>-1.909872998437466E-2</v>
      </c>
      <c r="IL89" s="75">
        <v>-1.4845045434027239E-2</v>
      </c>
      <c r="IM89" s="75">
        <v>-8.7445895441340821E-3</v>
      </c>
      <c r="IN89" s="75">
        <v>5.4609858363809591E-3</v>
      </c>
      <c r="IO89" s="75">
        <v>4.8098070893920694E-3</v>
      </c>
      <c r="IP89" s="75">
        <v>-9.6375408314116548E-3</v>
      </c>
      <c r="IQ89" s="75">
        <v>-9.2364169859081025E-3</v>
      </c>
      <c r="IR89" s="75">
        <v>1.7390465532174312E-2</v>
      </c>
      <c r="IS89" s="75">
        <v>-2.1491159154474082E-2</v>
      </c>
      <c r="IT89" s="75">
        <v>-8.5686856376029491E-3</v>
      </c>
      <c r="IU89" s="75">
        <v>3.0217849249100426E-2</v>
      </c>
    </row>
    <row r="90" spans="1:255" s="74" customFormat="1" ht="14.5" x14ac:dyDescent="0.35">
      <c r="A90" s="73"/>
      <c r="B90" s="78">
        <v>9.25</v>
      </c>
      <c r="C90" s="77">
        <f t="shared" si="43"/>
        <v>5.4207851271312604E-3</v>
      </c>
      <c r="D90" s="76">
        <f t="shared" si="44"/>
        <v>1.7308457511733495E-2</v>
      </c>
      <c r="E90" s="75">
        <v>-9.6466690110548342E-3</v>
      </c>
      <c r="F90" s="75">
        <v>2.1636867675292708E-2</v>
      </c>
      <c r="G90" s="75">
        <v>1.5076035053692649E-2</v>
      </c>
      <c r="H90" s="75">
        <v>-8.4607207232815992E-3</v>
      </c>
      <c r="I90" s="75">
        <v>-6.4885070785101334E-4</v>
      </c>
      <c r="J90" s="75">
        <v>-4.5678057119751883E-3</v>
      </c>
      <c r="K90" s="75">
        <v>-1.3961023229541736E-4</v>
      </c>
      <c r="L90" s="75">
        <v>-9.7585837752700438E-3</v>
      </c>
      <c r="M90" s="75">
        <v>5.2058937316395784E-3</v>
      </c>
      <c r="N90" s="75">
        <v>1.1001026703868627E-3</v>
      </c>
      <c r="O90" s="75">
        <v>-4.1875290606600904E-3</v>
      </c>
      <c r="P90" s="75">
        <v>-5.2317007906004659E-4</v>
      </c>
      <c r="Q90" s="75">
        <v>1.452918849142476E-3</v>
      </c>
      <c r="R90" s="75">
        <v>-6.5698348367396603E-3</v>
      </c>
      <c r="S90" s="75">
        <v>8.8950897941511772E-3</v>
      </c>
      <c r="T90" s="75">
        <v>-2.4978196554985704E-2</v>
      </c>
      <c r="U90" s="75">
        <v>-2.9884158131477725E-3</v>
      </c>
      <c r="V90" s="75">
        <v>-4.0294005969811267E-3</v>
      </c>
      <c r="W90" s="75">
        <v>8.3757940981077569E-3</v>
      </c>
      <c r="X90" s="75">
        <v>3.7419320098952755E-3</v>
      </c>
      <c r="Y90" s="75">
        <v>-5.0777460730119586E-3</v>
      </c>
      <c r="Z90" s="75">
        <v>2.1192845837335272E-2</v>
      </c>
      <c r="AA90" s="75">
        <v>-1.771244874645507E-3</v>
      </c>
      <c r="AB90" s="75">
        <v>1.6133372140252948E-2</v>
      </c>
      <c r="AC90" s="75">
        <v>7.6949600388547396E-3</v>
      </c>
      <c r="AD90" s="75">
        <v>1.9727912156219871E-3</v>
      </c>
      <c r="AE90" s="75">
        <v>-2.9212484854081018E-2</v>
      </c>
      <c r="AF90" s="75">
        <v>-5.1990533294240873E-3</v>
      </c>
      <c r="AG90" s="75">
        <v>6.4067737446839232E-3</v>
      </c>
      <c r="AH90" s="75">
        <v>-7.0088918777409803E-3</v>
      </c>
      <c r="AI90" s="75">
        <v>-2.0699538096075172E-2</v>
      </c>
      <c r="AJ90" s="75">
        <v>-1.0843858078727155E-2</v>
      </c>
      <c r="AK90" s="75">
        <v>-1.1704011393873226E-6</v>
      </c>
      <c r="AL90" s="75">
        <v>2.0250046520720363E-2</v>
      </c>
      <c r="AM90" s="75">
        <v>-6.750256719414191E-3</v>
      </c>
      <c r="AN90" s="75">
        <v>1.1056368304582009E-2</v>
      </c>
      <c r="AO90" s="75">
        <v>2.3002336182863514E-3</v>
      </c>
      <c r="AP90" s="75">
        <v>-5.659916410805467E-3</v>
      </c>
      <c r="AQ90" s="75">
        <v>2.2726282837636412E-2</v>
      </c>
      <c r="AR90" s="75">
        <v>1.6494948921689422E-2</v>
      </c>
      <c r="AS90" s="75">
        <v>-6.8072538741220864E-3</v>
      </c>
      <c r="AT90" s="75">
        <v>2.2038997103299776E-2</v>
      </c>
      <c r="AU90" s="75">
        <v>-1.8501107431647582E-2</v>
      </c>
      <c r="AV90" s="75">
        <v>-1.0552950447978993E-2</v>
      </c>
      <c r="AW90" s="75">
        <v>-1.4098171738465691E-2</v>
      </c>
      <c r="AX90" s="75">
        <v>3.1471854698247093E-2</v>
      </c>
      <c r="AY90" s="75">
        <v>-2.7448461081796757E-3</v>
      </c>
      <c r="AZ90" s="75">
        <v>1.7917180828095736E-2</v>
      </c>
      <c r="BA90" s="75">
        <v>-1.0534399708038523E-2</v>
      </c>
      <c r="BB90" s="75">
        <v>-1.5533256631840513E-2</v>
      </c>
      <c r="BC90" s="75">
        <v>6.0810582745452826E-3</v>
      </c>
      <c r="BD90" s="75">
        <v>-5.1618156227442452E-3</v>
      </c>
      <c r="BE90" s="75">
        <v>1.5138777005235908E-2</v>
      </c>
      <c r="BF90" s="75">
        <v>-3.0184709439855795E-2</v>
      </c>
      <c r="BG90" s="75">
        <v>-1.0614656570379466E-2</v>
      </c>
      <c r="BH90" s="75">
        <v>-5.9057482361380073E-3</v>
      </c>
      <c r="BI90" s="75">
        <v>-1.148380512910218E-2</v>
      </c>
      <c r="BJ90" s="75">
        <v>1.6380242919000934E-2</v>
      </c>
      <c r="BK90" s="75">
        <v>7.4781923741879044E-3</v>
      </c>
      <c r="BL90" s="75">
        <v>-1.5060111093464834E-2</v>
      </c>
      <c r="BM90" s="75">
        <v>-4.6777090859152701E-3</v>
      </c>
      <c r="BN90" s="75">
        <v>1.2574640765448883E-3</v>
      </c>
      <c r="BO90" s="75">
        <v>5.7455607929659119E-3</v>
      </c>
      <c r="BP90" s="75">
        <v>-2.1933963790635794E-3</v>
      </c>
      <c r="BQ90" s="75">
        <v>-1.6646981730610411E-2</v>
      </c>
      <c r="BR90" s="75">
        <v>-2.7274850483905939E-2</v>
      </c>
      <c r="BS90" s="75">
        <v>1.0882000586644361E-2</v>
      </c>
      <c r="BT90" s="75">
        <v>-4.6823818888062502E-3</v>
      </c>
      <c r="BU90" s="75">
        <v>-3.8444295890235208E-4</v>
      </c>
      <c r="BV90" s="75">
        <v>-5.8216348163471279E-3</v>
      </c>
      <c r="BW90" s="75">
        <v>-1.1210784514505086E-2</v>
      </c>
      <c r="BX90" s="75">
        <v>-1.0434373207255876E-2</v>
      </c>
      <c r="BY90" s="75">
        <v>-2.2897812307934515E-3</v>
      </c>
      <c r="BZ90" s="75">
        <v>-1.7388305373977411E-3</v>
      </c>
      <c r="CA90" s="75">
        <v>6.1880146931318977E-3</v>
      </c>
      <c r="CB90" s="75">
        <v>2.166591020823274E-2</v>
      </c>
      <c r="CC90" s="75">
        <v>1.6924293557916213E-2</v>
      </c>
      <c r="CD90" s="75">
        <v>-1.6782536916833984E-2</v>
      </c>
      <c r="CE90" s="75">
        <v>1.2034474389210487E-3</v>
      </c>
      <c r="CF90" s="75">
        <v>7.35227233007342E-3</v>
      </c>
      <c r="CG90" s="75">
        <v>2.2175946511052286E-3</v>
      </c>
      <c r="CH90" s="75">
        <v>-1.6110792811136199E-2</v>
      </c>
      <c r="CI90" s="75">
        <v>-1.2999422204667752E-3</v>
      </c>
      <c r="CJ90" s="75">
        <v>-3.9119578687004448E-2</v>
      </c>
      <c r="CK90" s="75">
        <v>-2.0952640502266764E-3</v>
      </c>
      <c r="CL90" s="75">
        <v>9.0087152717634317E-3</v>
      </c>
      <c r="CM90" s="75">
        <v>-3.4807628957092551E-4</v>
      </c>
      <c r="CN90" s="75">
        <v>-8.9033557075510333E-3</v>
      </c>
      <c r="CO90" s="75">
        <v>7.02561566834628E-3</v>
      </c>
      <c r="CP90" s="75">
        <v>-6.8505989915424864E-3</v>
      </c>
      <c r="CQ90" s="75">
        <v>1.7308457511733495E-2</v>
      </c>
      <c r="CR90" s="75">
        <v>-7.3409127573856106E-3</v>
      </c>
      <c r="CS90" s="75">
        <v>-6.0533519499047297E-3</v>
      </c>
      <c r="CT90" s="75">
        <v>-2.0784948161403013E-3</v>
      </c>
      <c r="CU90" s="75">
        <v>2.2918299829612569E-2</v>
      </c>
      <c r="CV90" s="75">
        <v>1.1556747146973453E-3</v>
      </c>
      <c r="CW90" s="75">
        <v>-8.9636683304402179E-3</v>
      </c>
      <c r="CX90" s="75">
        <v>1.2778055168709994E-2</v>
      </c>
      <c r="CY90" s="75">
        <v>8.0182088917315486E-3</v>
      </c>
      <c r="CZ90" s="75">
        <v>2.3698263337210763E-2</v>
      </c>
      <c r="DA90" s="75">
        <v>-1.4655033028121552E-2</v>
      </c>
      <c r="DB90" s="75">
        <v>1.9544927947394E-2</v>
      </c>
      <c r="DC90" s="75">
        <v>-4.7278925044381484E-3</v>
      </c>
      <c r="DD90" s="75">
        <v>-4.1508424920927434E-5</v>
      </c>
      <c r="DE90" s="75">
        <v>1.7627858497263352E-2</v>
      </c>
      <c r="DF90" s="75">
        <v>1.7819123165567226E-2</v>
      </c>
      <c r="DG90" s="75">
        <v>4.6385595502869831E-3</v>
      </c>
      <c r="DH90" s="75">
        <v>2.3761856106270796E-3</v>
      </c>
      <c r="DI90" s="75">
        <v>2.646414723801481E-2</v>
      </c>
      <c r="DJ90" s="75">
        <v>-9.6122728212645336E-3</v>
      </c>
      <c r="DK90" s="75">
        <v>-9.281930382679264E-3</v>
      </c>
      <c r="DL90" s="75">
        <v>1.5695057072450495E-2</v>
      </c>
      <c r="DM90" s="75">
        <v>-3.7170785999802516E-3</v>
      </c>
      <c r="DN90" s="75">
        <v>-2.1460099827034569E-2</v>
      </c>
      <c r="DO90" s="75">
        <v>1.3594156774313686E-2</v>
      </c>
      <c r="DP90" s="75">
        <v>-1.0741102982926347E-2</v>
      </c>
      <c r="DQ90" s="75">
        <v>-1.528825600521596E-2</v>
      </c>
      <c r="DR90" s="75">
        <v>-1.436264846286673E-2</v>
      </c>
      <c r="DS90" s="75">
        <v>-1.6844214891331935E-2</v>
      </c>
      <c r="DT90" s="75">
        <v>-3.6002006859598146E-3</v>
      </c>
      <c r="DU90" s="75">
        <v>3.0825343756096989E-2</v>
      </c>
      <c r="DV90" s="75">
        <v>-2.492629643947674E-2</v>
      </c>
      <c r="DW90" s="75">
        <v>1.6207857692332427E-2</v>
      </c>
      <c r="DX90" s="75">
        <v>1.3587401211333852E-3</v>
      </c>
      <c r="DY90" s="75">
        <v>1.1919546742493702E-2</v>
      </c>
      <c r="DZ90" s="75">
        <v>-5.8264364687267214E-3</v>
      </c>
      <c r="EA90" s="75">
        <v>-3.6332506383143781E-4</v>
      </c>
      <c r="EB90" s="75">
        <v>-5.5634914364816671E-3</v>
      </c>
      <c r="EC90" s="75">
        <v>1.2388797087286657E-2</v>
      </c>
      <c r="ED90" s="75">
        <v>-2.3965119444691263E-2</v>
      </c>
      <c r="EE90" s="75">
        <v>-2.0005404116147249E-2</v>
      </c>
      <c r="EF90" s="75">
        <v>-8.9110284901807724E-3</v>
      </c>
      <c r="EG90" s="75">
        <v>-1.0923023594675764E-2</v>
      </c>
      <c r="EH90" s="75">
        <v>1.2278980086851687E-2</v>
      </c>
      <c r="EI90" s="75">
        <v>-1.3581860484648163E-2</v>
      </c>
      <c r="EJ90" s="75">
        <v>2.0589157122334049E-2</v>
      </c>
      <c r="EK90" s="75">
        <v>1.2399231727823957E-2</v>
      </c>
      <c r="EL90" s="75">
        <v>-1.1693958921676663E-2</v>
      </c>
      <c r="EM90" s="75">
        <v>-2.0861093770466674E-3</v>
      </c>
      <c r="EN90" s="75">
        <v>1.9451772243432808E-2</v>
      </c>
      <c r="EO90" s="75">
        <v>1.8293693439796498E-2</v>
      </c>
      <c r="EP90" s="75">
        <v>7.1076218900757021E-4</v>
      </c>
      <c r="EQ90" s="75">
        <v>-1.3891588728079905E-2</v>
      </c>
      <c r="ER90" s="75">
        <v>2.6191733106049289E-2</v>
      </c>
      <c r="ES90" s="75">
        <v>-4.3965942116551554E-3</v>
      </c>
      <c r="ET90" s="75">
        <v>4.5421994626345316E-3</v>
      </c>
      <c r="EU90" s="75">
        <v>-6.6084346947041864E-3</v>
      </c>
      <c r="EV90" s="75">
        <v>-2.1889593891036445E-2</v>
      </c>
      <c r="EW90" s="75">
        <v>-1.3459874968017253E-2</v>
      </c>
      <c r="EX90" s="75">
        <v>-3.2735042559409108E-3</v>
      </c>
      <c r="EY90" s="75">
        <v>8.8773203876775994E-3</v>
      </c>
      <c r="EZ90" s="75">
        <v>-1.6157509187506247E-2</v>
      </c>
      <c r="FA90" s="75">
        <v>1.4755410568776238E-2</v>
      </c>
      <c r="FB90" s="75">
        <v>1.6689481043301639E-2</v>
      </c>
      <c r="FC90" s="75">
        <v>-1.219026698890463E-2</v>
      </c>
      <c r="FD90" s="75">
        <v>9.2244187092354463E-4</v>
      </c>
      <c r="FE90" s="75">
        <v>1.0280584964498872E-2</v>
      </c>
      <c r="FF90" s="75">
        <v>4.1807137402820674E-2</v>
      </c>
      <c r="FG90" s="75">
        <v>-1.10020737759082E-2</v>
      </c>
      <c r="FH90" s="75">
        <v>3.6821063501419546E-3</v>
      </c>
      <c r="FI90" s="75">
        <v>-2.855373235323741E-3</v>
      </c>
      <c r="FJ90" s="75">
        <v>6.7097667531913624E-3</v>
      </c>
      <c r="FK90" s="75">
        <v>2.4080634290944911E-3</v>
      </c>
      <c r="FL90" s="75">
        <v>1.3882933738486494E-2</v>
      </c>
      <c r="FM90" s="75">
        <v>-1.1261953780103286E-2</v>
      </c>
      <c r="FN90" s="75">
        <v>1.2700859275934145E-2</v>
      </c>
      <c r="FO90" s="75">
        <v>1.8590718811097966E-2</v>
      </c>
      <c r="FP90" s="75">
        <v>1.2248470984865895E-2</v>
      </c>
      <c r="FQ90" s="75">
        <v>5.0409559904837087E-3</v>
      </c>
      <c r="FR90" s="75">
        <v>1.0480528311769884E-2</v>
      </c>
      <c r="FS90" s="75">
        <v>4.6070322827058696E-3</v>
      </c>
      <c r="FT90" s="75">
        <v>1.4816621134087778E-2</v>
      </c>
      <c r="FU90" s="75">
        <v>5.9341506969381522E-3</v>
      </c>
      <c r="FV90" s="75">
        <v>-2.9728722588614337E-3</v>
      </c>
      <c r="FW90" s="75">
        <v>1.9962822416090473E-3</v>
      </c>
      <c r="FX90" s="75">
        <v>-8.041158631832343E-3</v>
      </c>
      <c r="FY90" s="75">
        <v>1.9975236969934473E-2</v>
      </c>
      <c r="FZ90" s="75">
        <v>1.1991557875213658E-2</v>
      </c>
      <c r="GA90" s="75">
        <v>-1.9274489169126108E-2</v>
      </c>
      <c r="GB90" s="75">
        <v>5.5734207164014893E-3</v>
      </c>
      <c r="GC90" s="75">
        <v>1.7166700475223555E-2</v>
      </c>
      <c r="GD90" s="75">
        <v>3.3119618899860939E-3</v>
      </c>
      <c r="GE90" s="75">
        <v>1.7156496828937599E-2</v>
      </c>
      <c r="GF90" s="75">
        <v>-2.654091142385695E-2</v>
      </c>
      <c r="GG90" s="75">
        <v>2.9713881356019593E-2</v>
      </c>
      <c r="GH90" s="75">
        <v>-2.7669502706964243E-2</v>
      </c>
      <c r="GI90" s="75">
        <v>1.395187051537846E-2</v>
      </c>
      <c r="GJ90" s="75">
        <v>-3.4080262296453459E-3</v>
      </c>
      <c r="GK90" s="75">
        <v>1.5249203070131473E-2</v>
      </c>
      <c r="GL90" s="75">
        <v>8.5948809114681987E-3</v>
      </c>
      <c r="GM90" s="75">
        <v>-7.1907426904349037E-3</v>
      </c>
      <c r="GN90" s="75">
        <v>-8.6641103358465338E-4</v>
      </c>
      <c r="GO90" s="75">
        <v>-1.28943869356275E-2</v>
      </c>
      <c r="GP90" s="75">
        <v>6.5025237592169424E-3</v>
      </c>
      <c r="GQ90" s="75">
        <v>-9.3032485581907784E-3</v>
      </c>
      <c r="GR90" s="75">
        <v>-2.0508464605970562E-2</v>
      </c>
      <c r="GS90" s="75">
        <v>-7.7358071494118275E-3</v>
      </c>
      <c r="GT90" s="75">
        <v>1.5665761160067737E-4</v>
      </c>
      <c r="GU90" s="75">
        <v>9.9039591282631331E-3</v>
      </c>
      <c r="GV90" s="75">
        <v>-1.7244798045777672E-2</v>
      </c>
      <c r="GW90" s="75">
        <v>2.1521207512951543E-2</v>
      </c>
      <c r="GX90" s="75">
        <v>5.2010026695580025E-3</v>
      </c>
      <c r="GY90" s="75">
        <v>-1.2408555256761995E-2</v>
      </c>
      <c r="GZ90" s="75">
        <v>-3.9776905338123128E-3</v>
      </c>
      <c r="HA90" s="75">
        <v>-1.7061331402720342E-2</v>
      </c>
      <c r="HB90" s="75">
        <v>2.025025137797562E-2</v>
      </c>
      <c r="HC90" s="75">
        <v>1.1115798871749231E-2</v>
      </c>
      <c r="HD90" s="75">
        <v>-3.0420076771151966E-2</v>
      </c>
      <c r="HE90" s="75">
        <v>-4.993300999476466E-3</v>
      </c>
      <c r="HF90" s="75">
        <v>-8.8248411027161619E-3</v>
      </c>
      <c r="HG90" s="75">
        <v>1.284451378561071E-2</v>
      </c>
      <c r="HH90" s="75">
        <v>-8.2795516709616435E-3</v>
      </c>
      <c r="HI90" s="75">
        <v>-2.4154716228261056E-2</v>
      </c>
      <c r="HJ90" s="75">
        <v>-2.6593805643679969E-2</v>
      </c>
      <c r="HK90" s="75">
        <v>-3.7834684668775174E-2</v>
      </c>
      <c r="HL90" s="75">
        <v>8.7999847377960572E-3</v>
      </c>
      <c r="HM90" s="75">
        <v>-6.342486892800682E-3</v>
      </c>
      <c r="HN90" s="75">
        <v>-1.6029023524602844E-2</v>
      </c>
      <c r="HO90" s="75">
        <v>1.2249347865202313E-2</v>
      </c>
      <c r="HP90" s="75">
        <v>-1.443051458651573E-2</v>
      </c>
      <c r="HQ90" s="75">
        <v>-3.675604398657141E-3</v>
      </c>
      <c r="HR90" s="75">
        <v>1.1916610444658804E-2</v>
      </c>
      <c r="HS90" s="75">
        <v>1.0637034437377166E-2</v>
      </c>
      <c r="HT90" s="75">
        <v>-4.8632267959051317E-3</v>
      </c>
      <c r="HU90" s="75">
        <v>3.9557736211704025E-3</v>
      </c>
      <c r="HV90" s="75">
        <v>-2.3172479885175214E-2</v>
      </c>
      <c r="HW90" s="75">
        <v>2.696197583316487E-2</v>
      </c>
      <c r="HX90" s="75">
        <v>-5.3136926192177067E-3</v>
      </c>
      <c r="HY90" s="75">
        <v>3.4542456495899182E-3</v>
      </c>
      <c r="HZ90" s="75">
        <v>-3.9487969861903005E-3</v>
      </c>
      <c r="IA90" s="75">
        <v>-4.0390297997713112E-3</v>
      </c>
      <c r="IB90" s="75">
        <v>-2.3169459967979852E-3</v>
      </c>
      <c r="IC90" s="75">
        <v>-1.7529597966016559E-2</v>
      </c>
      <c r="ID90" s="75">
        <v>-1.2981997133977873E-2</v>
      </c>
      <c r="IE90" s="75">
        <v>1.0345330156936033E-2</v>
      </c>
      <c r="IF90" s="75">
        <v>-2.5310864957370678E-2</v>
      </c>
      <c r="IG90" s="75">
        <v>-2.2292101621654771E-2</v>
      </c>
      <c r="IH90" s="75">
        <v>7.545892128064377E-3</v>
      </c>
      <c r="II90" s="75">
        <v>-1.1366449917889279E-2</v>
      </c>
      <c r="IJ90" s="75">
        <v>-1.7736808884426206E-2</v>
      </c>
      <c r="IK90" s="75">
        <v>5.2725242054873153E-3</v>
      </c>
      <c r="IL90" s="75">
        <v>-3.2370029463107519E-2</v>
      </c>
      <c r="IM90" s="75">
        <v>1.2902129126097332E-2</v>
      </c>
      <c r="IN90" s="75">
        <v>2.1361272622611241E-3</v>
      </c>
      <c r="IO90" s="75">
        <v>3.7570491048247376E-3</v>
      </c>
      <c r="IP90" s="75">
        <v>-6.172965770205617E-3</v>
      </c>
      <c r="IQ90" s="75">
        <v>-1.3275334769405997E-2</v>
      </c>
      <c r="IR90" s="75">
        <v>8.8902493373080801E-3</v>
      </c>
      <c r="IS90" s="75">
        <v>-1.5544750808893788E-2</v>
      </c>
      <c r="IT90" s="75">
        <v>-6.0518328497234791E-3</v>
      </c>
      <c r="IU90" s="75">
        <v>1.2747766817338968E-3</v>
      </c>
    </row>
    <row r="91" spans="1:255" s="74" customFormat="1" ht="14.5" x14ac:dyDescent="0.35">
      <c r="A91" s="73"/>
      <c r="B91" s="78">
        <v>9.5</v>
      </c>
      <c r="C91" s="77">
        <f t="shared" si="43"/>
        <v>3.6912164751554156E-3</v>
      </c>
      <c r="D91" s="76">
        <f t="shared" si="44"/>
        <v>1.2202506405188319E-2</v>
      </c>
      <c r="E91" s="75">
        <v>-4.5698547714126785E-3</v>
      </c>
      <c r="F91" s="75">
        <v>1.3854171637307192E-2</v>
      </c>
      <c r="G91" s="75">
        <v>1.0433386624811542E-2</v>
      </c>
      <c r="H91" s="75">
        <v>-7.7789282705528345E-3</v>
      </c>
      <c r="I91" s="75">
        <v>-4.6969294887012486E-3</v>
      </c>
      <c r="J91" s="75">
        <v>-4.9721661242762422E-3</v>
      </c>
      <c r="K91" s="75">
        <v>2.8872943148716967E-3</v>
      </c>
      <c r="L91" s="75">
        <v>-7.1405958689089791E-3</v>
      </c>
      <c r="M91" s="75">
        <v>-1.1124070522183227E-3</v>
      </c>
      <c r="N91" s="75">
        <v>1.8501888613836996E-3</v>
      </c>
      <c r="O91" s="75">
        <v>-3.3530913414850129E-3</v>
      </c>
      <c r="P91" s="75">
        <v>1.3566008401576131E-3</v>
      </c>
      <c r="Q91" s="75">
        <v>1.7008809128062422E-4</v>
      </c>
      <c r="R91" s="75">
        <v>-1.0109931355862904E-3</v>
      </c>
      <c r="S91" s="75">
        <v>7.2165156036099048E-3</v>
      </c>
      <c r="T91" s="75">
        <v>-1.6061455951621555E-2</v>
      </c>
      <c r="U91" s="75">
        <v>-8.8202866494552223E-5</v>
      </c>
      <c r="V91" s="75">
        <v>-7.2048016160348727E-3</v>
      </c>
      <c r="W91" s="75">
        <v>6.3716973908431312E-3</v>
      </c>
      <c r="X91" s="75">
        <v>8.30263797235287E-3</v>
      </c>
      <c r="Y91" s="75">
        <v>-3.2946796837718256E-3</v>
      </c>
      <c r="Z91" s="75">
        <v>1.5366588165545109E-2</v>
      </c>
      <c r="AA91" s="75">
        <v>-1.3863036492630966E-3</v>
      </c>
      <c r="AB91" s="75">
        <v>9.1984625133790243E-3</v>
      </c>
      <c r="AC91" s="75">
        <v>5.6806357607551428E-3</v>
      </c>
      <c r="AD91" s="75">
        <v>-7.8512751072069148E-4</v>
      </c>
      <c r="AE91" s="75">
        <v>-2.0599923331794959E-2</v>
      </c>
      <c r="AF91" s="75">
        <v>-4.9132825729234844E-3</v>
      </c>
      <c r="AG91" s="75">
        <v>5.45676563429787E-3</v>
      </c>
      <c r="AH91" s="75">
        <v>-3.2199126995496874E-3</v>
      </c>
      <c r="AI91" s="75">
        <v>-1.2247330301027509E-2</v>
      </c>
      <c r="AJ91" s="75">
        <v>-4.1767376317876984E-3</v>
      </c>
      <c r="AK91" s="75">
        <v>-4.6014561742957136E-4</v>
      </c>
      <c r="AL91" s="75">
        <v>1.4629068160993866E-2</v>
      </c>
      <c r="AM91" s="75">
        <v>-4.1196356202853647E-3</v>
      </c>
      <c r="AN91" s="75">
        <v>1.1558108618856575E-2</v>
      </c>
      <c r="AO91" s="75">
        <v>4.7741586284990173E-3</v>
      </c>
      <c r="AP91" s="75">
        <v>-3.7363035350827835E-3</v>
      </c>
      <c r="AQ91" s="75">
        <v>1.4096991969065026E-2</v>
      </c>
      <c r="AR91" s="75">
        <v>1.2202506405188319E-2</v>
      </c>
      <c r="AS91" s="75">
        <v>-2.9895495635414854E-3</v>
      </c>
      <c r="AT91" s="75">
        <v>1.1985487439457161E-2</v>
      </c>
      <c r="AU91" s="75">
        <v>-1.2783929849548181E-2</v>
      </c>
      <c r="AV91" s="75">
        <v>-6.5499169119938028E-3</v>
      </c>
      <c r="AW91" s="75">
        <v>-1.0790553316007631E-2</v>
      </c>
      <c r="AX91" s="75">
        <v>1.9285405530748853E-2</v>
      </c>
      <c r="AY91" s="75">
        <v>-2.9567612851424951E-3</v>
      </c>
      <c r="AZ91" s="75">
        <v>1.7912668986470072E-2</v>
      </c>
      <c r="BA91" s="75">
        <v>-6.9523478721918545E-3</v>
      </c>
      <c r="BB91" s="75">
        <v>-1.1146422250002071E-2</v>
      </c>
      <c r="BC91" s="75">
        <v>-5.4885158234050865E-4</v>
      </c>
      <c r="BD91" s="75">
        <v>-5.8940108191122415E-4</v>
      </c>
      <c r="BE91" s="75">
        <v>8.6862651542535876E-3</v>
      </c>
      <c r="BF91" s="75">
        <v>-1.9431954175964834E-2</v>
      </c>
      <c r="BG91" s="75">
        <v>-2.4362823656220965E-3</v>
      </c>
      <c r="BH91" s="75">
        <v>-2.5554524334771775E-3</v>
      </c>
      <c r="BI91" s="75">
        <v>-7.5074349319147332E-3</v>
      </c>
      <c r="BJ91" s="75">
        <v>9.8997456441310278E-3</v>
      </c>
      <c r="BK91" s="75">
        <v>5.9161660115666301E-3</v>
      </c>
      <c r="BL91" s="75">
        <v>-8.7126055794779778E-3</v>
      </c>
      <c r="BM91" s="75">
        <v>-8.6003083687774921E-3</v>
      </c>
      <c r="BN91" s="75">
        <v>2.0851440508762864E-3</v>
      </c>
      <c r="BO91" s="75">
        <v>2.2338494842614187E-3</v>
      </c>
      <c r="BP91" s="75">
        <v>-1.8751480361681692E-3</v>
      </c>
      <c r="BQ91" s="75">
        <v>-1.1994303981659564E-2</v>
      </c>
      <c r="BR91" s="75">
        <v>-1.7051859170800168E-2</v>
      </c>
      <c r="BS91" s="75">
        <v>1.068554620386182E-2</v>
      </c>
      <c r="BT91" s="75">
        <v>-4.189991813700434E-3</v>
      </c>
      <c r="BU91" s="75">
        <v>-6.511055555284001E-4</v>
      </c>
      <c r="BV91" s="75">
        <v>-8.1956077593427906E-4</v>
      </c>
      <c r="BW91" s="75">
        <v>-6.4160882581294348E-3</v>
      </c>
      <c r="BX91" s="75">
        <v>-5.5590314671495056E-3</v>
      </c>
      <c r="BY91" s="75">
        <v>-4.960776318092934E-4</v>
      </c>
      <c r="BZ91" s="75">
        <v>-2.1865010813743729E-3</v>
      </c>
      <c r="CA91" s="75">
        <v>1.7920304702896232E-3</v>
      </c>
      <c r="CB91" s="75">
        <v>1.5869123371331277E-2</v>
      </c>
      <c r="CC91" s="75">
        <v>1.2467977537253729E-2</v>
      </c>
      <c r="CD91" s="75">
        <v>-1.31108834364537E-2</v>
      </c>
      <c r="CE91" s="75">
        <v>3.7896539153648157E-3</v>
      </c>
      <c r="CF91" s="75">
        <v>3.9229858241536866E-3</v>
      </c>
      <c r="CG91" s="75">
        <v>-2.6060934029190075E-4</v>
      </c>
      <c r="CH91" s="75">
        <v>-1.2635836016076318E-2</v>
      </c>
      <c r="CI91" s="75">
        <v>-1.0063324984514316E-3</v>
      </c>
      <c r="CJ91" s="75">
        <v>-2.47067595207872E-2</v>
      </c>
      <c r="CK91" s="75">
        <v>-4.371350700933356E-4</v>
      </c>
      <c r="CL91" s="75">
        <v>6.7718811368215129E-3</v>
      </c>
      <c r="CM91" s="75">
        <v>5.0806945151822269E-3</v>
      </c>
      <c r="CN91" s="75">
        <v>-5.7863010076345707E-3</v>
      </c>
      <c r="CO91" s="75">
        <v>4.0127061190196635E-3</v>
      </c>
      <c r="CP91" s="75">
        <v>-3.6684181566918328E-3</v>
      </c>
      <c r="CQ91" s="75">
        <v>1.3802481141819235E-2</v>
      </c>
      <c r="CR91" s="75">
        <v>-8.3499238372800391E-3</v>
      </c>
      <c r="CS91" s="75">
        <v>-3.3393625390805703E-3</v>
      </c>
      <c r="CT91" s="75">
        <v>-4.319086277415958E-3</v>
      </c>
      <c r="CU91" s="75">
        <v>8.7933409638953353E-3</v>
      </c>
      <c r="CV91" s="75">
        <v>-3.0717107656885526E-3</v>
      </c>
      <c r="CW91" s="75">
        <v>-1.0050220688739224E-2</v>
      </c>
      <c r="CX91" s="75">
        <v>1.1172470181015894E-2</v>
      </c>
      <c r="CY91" s="75">
        <v>4.8878883230413367E-3</v>
      </c>
      <c r="CZ91" s="75">
        <v>1.5904570640198762E-2</v>
      </c>
      <c r="DA91" s="75">
        <v>-5.8297369028390035E-3</v>
      </c>
      <c r="DB91" s="75">
        <v>9.5719211767703108E-3</v>
      </c>
      <c r="DC91" s="75">
        <v>6.1217569610905985E-3</v>
      </c>
      <c r="DD91" s="75">
        <v>3.0076072124752967E-3</v>
      </c>
      <c r="DE91" s="75">
        <v>1.244828421150217E-2</v>
      </c>
      <c r="DF91" s="75">
        <v>3.817042119443545E-3</v>
      </c>
      <c r="DG91" s="75">
        <v>-1.9651183339137769E-3</v>
      </c>
      <c r="DH91" s="75">
        <v>4.6614186698253138E-3</v>
      </c>
      <c r="DI91" s="75">
        <v>-9.6774460611929666E-3</v>
      </c>
      <c r="DJ91" s="75">
        <v>-7.1455916788477278E-3</v>
      </c>
      <c r="DK91" s="75">
        <v>-3.9245675777390132E-3</v>
      </c>
      <c r="DL91" s="75">
        <v>5.0087800793488409E-3</v>
      </c>
      <c r="DM91" s="75">
        <v>5.1350734800104797E-3</v>
      </c>
      <c r="DN91" s="75">
        <v>-1.0402702954640242E-3</v>
      </c>
      <c r="DO91" s="75">
        <v>-6.014678413408539E-3</v>
      </c>
      <c r="DP91" s="75">
        <v>-1.1719331635380859E-3</v>
      </c>
      <c r="DQ91" s="75">
        <v>-1.7591144461403425E-3</v>
      </c>
      <c r="DR91" s="75">
        <v>6.7187892719638952E-3</v>
      </c>
      <c r="DS91" s="75">
        <v>1.4563226870869736E-4</v>
      </c>
      <c r="DT91" s="75">
        <v>-6.6031201161276254E-4</v>
      </c>
      <c r="DU91" s="75">
        <v>1.6576448327677337E-2</v>
      </c>
      <c r="DV91" s="75">
        <v>-1.0753087093905937E-2</v>
      </c>
      <c r="DW91" s="75">
        <v>1.2489135837279033E-2</v>
      </c>
      <c r="DX91" s="75">
        <v>9.4675824083066684E-4</v>
      </c>
      <c r="DY91" s="75">
        <v>4.841594499616797E-3</v>
      </c>
      <c r="DZ91" s="75">
        <v>-3.4997186386382904E-3</v>
      </c>
      <c r="EA91" s="75">
        <v>-5.4929544807803335E-3</v>
      </c>
      <c r="EB91" s="75">
        <v>-2.9063868956629643E-3</v>
      </c>
      <c r="EC91" s="75">
        <v>-1.2715655133796938E-2</v>
      </c>
      <c r="ED91" s="75">
        <v>-1.9882549017205268E-2</v>
      </c>
      <c r="EE91" s="75">
        <v>-5.2642540117608522E-3</v>
      </c>
      <c r="EF91" s="75">
        <v>1.1253491029390682E-2</v>
      </c>
      <c r="EG91" s="75">
        <v>-7.1718854253576547E-3</v>
      </c>
      <c r="EH91" s="75">
        <v>2.1452520304148237E-3</v>
      </c>
      <c r="EI91" s="75">
        <v>-1.046200153964541E-2</v>
      </c>
      <c r="EJ91" s="75">
        <v>1.5527354819252756E-2</v>
      </c>
      <c r="EK91" s="75">
        <v>8.6854961698983879E-3</v>
      </c>
      <c r="EL91" s="75">
        <v>-8.5390803261202533E-3</v>
      </c>
      <c r="EM91" s="75">
        <v>-2.3693762704472959E-3</v>
      </c>
      <c r="EN91" s="75">
        <v>-1.6041341876715763E-2</v>
      </c>
      <c r="EO91" s="75">
        <v>8.3943431460670459E-3</v>
      </c>
      <c r="EP91" s="75">
        <v>4.5120177183260168E-3</v>
      </c>
      <c r="EQ91" s="75">
        <v>5.5585256157153484E-3</v>
      </c>
      <c r="ER91" s="75">
        <v>-2.4504761740571299E-3</v>
      </c>
      <c r="ES91" s="75">
        <v>1.0169727899270682E-2</v>
      </c>
      <c r="ET91" s="75">
        <v>1.1855898789690528E-2</v>
      </c>
      <c r="EU91" s="75">
        <v>-2.0842705952292161E-2</v>
      </c>
      <c r="EV91" s="75">
        <v>1.4717300956435947E-3</v>
      </c>
      <c r="EW91" s="75">
        <v>-2.0099819400353377E-2</v>
      </c>
      <c r="EX91" s="75">
        <v>-3.4466077608209696E-3</v>
      </c>
      <c r="EY91" s="75">
        <v>-1.4076485416191723E-2</v>
      </c>
      <c r="EZ91" s="75">
        <v>-6.7456010702392211E-3</v>
      </c>
      <c r="FA91" s="75">
        <v>8.6515055528641159E-3</v>
      </c>
      <c r="FB91" s="75">
        <v>-1.2458730426716268E-2</v>
      </c>
      <c r="FC91" s="75">
        <v>-5.7412485245679629E-3</v>
      </c>
      <c r="FD91" s="75">
        <v>1.2678611230567599E-2</v>
      </c>
      <c r="FE91" s="75">
        <v>-5.7654631399034692E-3</v>
      </c>
      <c r="FF91" s="75">
        <v>-3.7273854455109161E-3</v>
      </c>
      <c r="FG91" s="75">
        <v>1.7523728955718496E-2</v>
      </c>
      <c r="FH91" s="75">
        <v>3.5049807113696659E-3</v>
      </c>
      <c r="FI91" s="75">
        <v>-9.0095007257325818E-3</v>
      </c>
      <c r="FJ91" s="75">
        <v>2.7269922295344098E-3</v>
      </c>
      <c r="FK91" s="75">
        <v>6.563204113700559E-3</v>
      </c>
      <c r="FL91" s="75">
        <v>1.6942220572979325E-2</v>
      </c>
      <c r="FM91" s="75">
        <v>-7.3548442880986553E-3</v>
      </c>
      <c r="FN91" s="75">
        <v>1.0196700645185849E-2</v>
      </c>
      <c r="FO91" s="75">
        <v>1.5871187476325505E-2</v>
      </c>
      <c r="FP91" s="75">
        <v>-8.2198004029730917E-3</v>
      </c>
      <c r="FQ91" s="75">
        <v>1.931794514875268E-3</v>
      </c>
      <c r="FR91" s="75">
        <v>6.0776257670653901E-3</v>
      </c>
      <c r="FS91" s="75">
        <v>5.5308271439315528E-3</v>
      </c>
      <c r="FT91" s="75">
        <v>1.0461707695554115E-2</v>
      </c>
      <c r="FU91" s="75">
        <v>7.494717222394854E-3</v>
      </c>
      <c r="FV91" s="75">
        <v>-3.3504394013889049E-3</v>
      </c>
      <c r="FW91" s="75">
        <v>5.9499487278159152E-4</v>
      </c>
      <c r="FX91" s="75">
        <v>-4.9577164247827099E-3</v>
      </c>
      <c r="FY91" s="75">
        <v>8.3841897133245594E-3</v>
      </c>
      <c r="FZ91" s="75">
        <v>6.7013404557994538E-4</v>
      </c>
      <c r="GA91" s="75">
        <v>-1.2301396340838589E-2</v>
      </c>
      <c r="GB91" s="75">
        <v>1.7962847365047704E-2</v>
      </c>
      <c r="GC91" s="75">
        <v>1.2382373670449587E-2</v>
      </c>
      <c r="GD91" s="75">
        <v>5.6564175699648847E-4</v>
      </c>
      <c r="GE91" s="75">
        <v>1.0944334254758149E-2</v>
      </c>
      <c r="GF91" s="75">
        <v>7.5267248629451965E-3</v>
      </c>
      <c r="GG91" s="75">
        <v>-6.0792293073674009E-3</v>
      </c>
      <c r="GH91" s="75">
        <v>-1.1659768775761092E-2</v>
      </c>
      <c r="GI91" s="75">
        <v>-6.9847131142386637E-3</v>
      </c>
      <c r="GJ91" s="75">
        <v>-6.96534434944137E-3</v>
      </c>
      <c r="GK91" s="75">
        <v>7.0588804294659593E-4</v>
      </c>
      <c r="GL91" s="75">
        <v>4.7347961267652783E-3</v>
      </c>
      <c r="GM91" s="75">
        <v>-1.6139820524307357E-2</v>
      </c>
      <c r="GN91" s="75">
        <v>1.8809813767438233E-2</v>
      </c>
      <c r="GO91" s="75">
        <v>-1.0785227787330796E-2</v>
      </c>
      <c r="GP91" s="75">
        <v>3.6973841120954351E-4</v>
      </c>
      <c r="GQ91" s="75">
        <v>-7.4903109757755507E-3</v>
      </c>
      <c r="GR91" s="75">
        <v>-1.0214491473420573E-2</v>
      </c>
      <c r="GS91" s="75">
        <v>-4.8479235449516295E-3</v>
      </c>
      <c r="GT91" s="75">
        <v>3.2112768614691728E-3</v>
      </c>
      <c r="GU91" s="75">
        <v>-5.4216028304955588E-4</v>
      </c>
      <c r="GV91" s="75">
        <v>2.0334184655640283E-2</v>
      </c>
      <c r="GW91" s="75">
        <v>-3.0051622091106442E-3</v>
      </c>
      <c r="GX91" s="75">
        <v>-3.7455580535047141E-3</v>
      </c>
      <c r="GY91" s="75">
        <v>-4.7846084315389115E-3</v>
      </c>
      <c r="GZ91" s="75">
        <v>1.0924573902940646E-2</v>
      </c>
      <c r="HA91" s="75">
        <v>-2.8222349240965804E-3</v>
      </c>
      <c r="HB91" s="75">
        <v>1.5561856667587359E-2</v>
      </c>
      <c r="HC91" s="75">
        <v>7.6561947042014314E-3</v>
      </c>
      <c r="HD91" s="75">
        <v>-1.9999549699496303E-2</v>
      </c>
      <c r="HE91" s="75">
        <v>-2.1089723959047887E-3</v>
      </c>
      <c r="HF91" s="75">
        <v>4.1324622745332953E-4</v>
      </c>
      <c r="HG91" s="75">
        <v>1.0629707737674653E-2</v>
      </c>
      <c r="HH91" s="75">
        <v>-6.0283790134867607E-3</v>
      </c>
      <c r="HI91" s="75">
        <v>-4.0131965842386853E-3</v>
      </c>
      <c r="HJ91" s="75">
        <v>5.2056376838891458E-3</v>
      </c>
      <c r="HK91" s="75">
        <v>1.4309979947467508E-2</v>
      </c>
      <c r="HL91" s="75">
        <v>4.9745455617673656E-3</v>
      </c>
      <c r="HM91" s="75">
        <v>-2.6534270795717046E-2</v>
      </c>
      <c r="HN91" s="75">
        <v>-8.3499762283168605E-3</v>
      </c>
      <c r="HO91" s="75">
        <v>8.5265715507071432E-3</v>
      </c>
      <c r="HP91" s="75">
        <v>-8.6206126620524404E-3</v>
      </c>
      <c r="HQ91" s="75">
        <v>3.4929258580191878E-3</v>
      </c>
      <c r="HR91" s="75">
        <v>1.1859829732080371E-2</v>
      </c>
      <c r="HS91" s="75">
        <v>-4.2325275669339406E-3</v>
      </c>
      <c r="HT91" s="75">
        <v>7.8867059599879406E-3</v>
      </c>
      <c r="HU91" s="75">
        <v>-9.7182071982127374E-4</v>
      </c>
      <c r="HV91" s="75">
        <v>-2.164350144866576E-2</v>
      </c>
      <c r="HW91" s="75">
        <v>1.5201186952026425E-2</v>
      </c>
      <c r="HX91" s="75">
        <v>-3.8187628098627288E-3</v>
      </c>
      <c r="HY91" s="75">
        <v>2.0170461084415905E-3</v>
      </c>
      <c r="HZ91" s="75">
        <v>-3.0342083307486889E-3</v>
      </c>
      <c r="IA91" s="75">
        <v>-2.7890252253576601E-3</v>
      </c>
      <c r="IB91" s="75">
        <v>-3.3159953067931659E-3</v>
      </c>
      <c r="IC91" s="75">
        <v>-1.345104497788932E-2</v>
      </c>
      <c r="ID91" s="75">
        <v>6.0735847356168243E-3</v>
      </c>
      <c r="IE91" s="75">
        <v>2.1223714570640873E-2</v>
      </c>
      <c r="IF91" s="75">
        <v>-1.0810117313111739E-2</v>
      </c>
      <c r="IG91" s="75">
        <v>-1.6395365421031625E-2</v>
      </c>
      <c r="IH91" s="75">
        <v>5.9090032415253027E-3</v>
      </c>
      <c r="II91" s="75">
        <v>-1.0174707336725524E-2</v>
      </c>
      <c r="IJ91" s="75">
        <v>-1.724799093751896E-2</v>
      </c>
      <c r="IK91" s="75">
        <v>6.3256391819391869E-3</v>
      </c>
      <c r="IL91" s="75">
        <v>9.4382835969228362E-5</v>
      </c>
      <c r="IM91" s="75">
        <v>2.962791471092404E-3</v>
      </c>
      <c r="IN91" s="75">
        <v>-6.8468429115216035E-3</v>
      </c>
      <c r="IO91" s="75">
        <v>-1.0442298595688449E-2</v>
      </c>
      <c r="IP91" s="75">
        <v>1.8075202726069162E-3</v>
      </c>
      <c r="IQ91" s="75">
        <v>-7.471477000252285E-3</v>
      </c>
      <c r="IR91" s="75">
        <v>4.9756852974141459E-3</v>
      </c>
      <c r="IS91" s="75">
        <v>-1.4845384166127049E-2</v>
      </c>
      <c r="IT91" s="75">
        <v>-8.2413612803690951E-3</v>
      </c>
      <c r="IU91" s="75">
        <v>7.9910168399611806E-3</v>
      </c>
    </row>
    <row r="92" spans="1:255" s="74" customFormat="1" ht="14.5" x14ac:dyDescent="0.35">
      <c r="A92" s="73"/>
      <c r="B92" s="78">
        <v>9.75</v>
      </c>
      <c r="C92" s="77">
        <f t="shared" si="43"/>
        <v>2.0527444042608379E-3</v>
      </c>
      <c r="D92" s="76">
        <f t="shared" si="44"/>
        <v>6.4450110740795052E-3</v>
      </c>
      <c r="E92" s="75">
        <v>-1.0011343260668496E-3</v>
      </c>
      <c r="F92" s="75">
        <v>8.2035460686916053E-3</v>
      </c>
      <c r="G92" s="75">
        <v>3.5018355991532826E-3</v>
      </c>
      <c r="H92" s="75">
        <v>-4.1343890126546486E-3</v>
      </c>
      <c r="I92" s="75">
        <v>-2.0516943689535879E-3</v>
      </c>
      <c r="J92" s="75">
        <v>-2.2136963030443997E-3</v>
      </c>
      <c r="K92" s="75">
        <v>3.0746346412843274E-4</v>
      </c>
      <c r="L92" s="75">
        <v>-4.5300731616973178E-3</v>
      </c>
      <c r="M92" s="75">
        <v>1.0864213134604943E-4</v>
      </c>
      <c r="N92" s="75">
        <v>2.0295964517309788E-3</v>
      </c>
      <c r="O92" s="75">
        <v>6.7816912424083914E-4</v>
      </c>
      <c r="P92" s="75">
        <v>6.0800577428239688E-4</v>
      </c>
      <c r="Q92" s="75">
        <v>-4.0593742867267232E-4</v>
      </c>
      <c r="R92" s="75">
        <v>-2.1190504638032969E-3</v>
      </c>
      <c r="S92" s="75">
        <v>4.61527790311601E-3</v>
      </c>
      <c r="T92" s="75">
        <v>-8.2680048251578125E-3</v>
      </c>
      <c r="U92" s="75">
        <v>7.307241769996739E-4</v>
      </c>
      <c r="V92" s="75">
        <v>-2.2453426323187416E-3</v>
      </c>
      <c r="W92" s="75">
        <v>2.632836078749248E-3</v>
      </c>
      <c r="X92" s="75">
        <v>4.5061736745760968E-3</v>
      </c>
      <c r="Y92" s="75">
        <v>-1.3174627475880003E-3</v>
      </c>
      <c r="Z92" s="75">
        <v>8.355370217850263E-3</v>
      </c>
      <c r="AA92" s="75">
        <v>-3.0739643954623905E-3</v>
      </c>
      <c r="AB92" s="75">
        <v>4.8031665789239029E-3</v>
      </c>
      <c r="AC92" s="75">
        <v>4.985663956251208E-3</v>
      </c>
      <c r="AD92" s="75">
        <v>-1.1645958354468185E-3</v>
      </c>
      <c r="AE92" s="75">
        <v>-1.2065739728270247E-2</v>
      </c>
      <c r="AF92" s="75">
        <v>-1.8329172083087208E-3</v>
      </c>
      <c r="AG92" s="75">
        <v>5.0364218648486433E-3</v>
      </c>
      <c r="AH92" s="75">
        <v>-1.4126489022367808E-3</v>
      </c>
      <c r="AI92" s="75">
        <v>-5.268819440910821E-3</v>
      </c>
      <c r="AJ92" s="75">
        <v>2.4914955516278092E-4</v>
      </c>
      <c r="AK92" s="75">
        <v>1.7900229384334217E-3</v>
      </c>
      <c r="AL92" s="75">
        <v>7.729827620440213E-3</v>
      </c>
      <c r="AM92" s="75">
        <v>-9.3663746134670101E-4</v>
      </c>
      <c r="AN92" s="75">
        <v>7.2938873397261333E-3</v>
      </c>
      <c r="AO92" s="75">
        <v>3.3805280505903972E-3</v>
      </c>
      <c r="AP92" s="75">
        <v>-2.9709691027119938E-3</v>
      </c>
      <c r="AQ92" s="75">
        <v>5.4639572593434688E-3</v>
      </c>
      <c r="AR92" s="75">
        <v>4.7900928766386047E-3</v>
      </c>
      <c r="AS92" s="75">
        <v>-1.8380864421636833E-5</v>
      </c>
      <c r="AT92" s="75">
        <v>7.3579244693830637E-3</v>
      </c>
      <c r="AU92" s="75">
        <v>-6.766998045108186E-3</v>
      </c>
      <c r="AV92" s="75">
        <v>-2.8985557207422911E-3</v>
      </c>
      <c r="AW92" s="75">
        <v>-3.8473662790630952E-3</v>
      </c>
      <c r="AX92" s="75">
        <v>9.5290286531183616E-3</v>
      </c>
      <c r="AY92" s="75">
        <v>-8.6533873303105101E-4</v>
      </c>
      <c r="AZ92" s="75">
        <v>7.2413189889934029E-3</v>
      </c>
      <c r="BA92" s="75">
        <v>-4.1934055690029653E-3</v>
      </c>
      <c r="BB92" s="75">
        <v>-6.1296717754220041E-3</v>
      </c>
      <c r="BC92" s="75">
        <v>3.6624326592433684E-4</v>
      </c>
      <c r="BD92" s="75">
        <v>5.3461931631412773E-4</v>
      </c>
      <c r="BE92" s="75">
        <v>3.7926741029829913E-3</v>
      </c>
      <c r="BF92" s="75">
        <v>-9.6846603822547152E-3</v>
      </c>
      <c r="BG92" s="75">
        <v>-2.464602151442865E-4</v>
      </c>
      <c r="BH92" s="75">
        <v>2.9013632575615456E-4</v>
      </c>
      <c r="BI92" s="75">
        <v>-2.9629863776918994E-3</v>
      </c>
      <c r="BJ92" s="75">
        <v>3.5838001790226282E-3</v>
      </c>
      <c r="BK92" s="75">
        <v>4.2740642438381174E-3</v>
      </c>
      <c r="BL92" s="75">
        <v>-5.9583092029630511E-3</v>
      </c>
      <c r="BM92" s="75">
        <v>-4.9256530991462714E-3</v>
      </c>
      <c r="BN92" s="75">
        <v>-5.7498667168493639E-4</v>
      </c>
      <c r="BO92" s="75">
        <v>4.7617951917293053E-4</v>
      </c>
      <c r="BP92" s="75">
        <v>1.5010927913897583E-3</v>
      </c>
      <c r="BQ92" s="75">
        <v>-5.7786504010160708E-3</v>
      </c>
      <c r="BR92" s="75">
        <v>-8.4343976362772823E-3</v>
      </c>
      <c r="BS92" s="75">
        <v>5.0446202340708179E-3</v>
      </c>
      <c r="BT92" s="75">
        <v>-1.1110176881004106E-3</v>
      </c>
      <c r="BU92" s="75">
        <v>-4.1915046776019177E-4</v>
      </c>
      <c r="BV92" s="75">
        <v>2.1402048053697151E-3</v>
      </c>
      <c r="BW92" s="75">
        <v>-3.3424325567737913E-3</v>
      </c>
      <c r="BX92" s="75">
        <v>-3.3187970408378523E-3</v>
      </c>
      <c r="BY92" s="75">
        <v>3.287173127338415E-5</v>
      </c>
      <c r="BZ92" s="75">
        <v>4.3505529058616987E-4</v>
      </c>
      <c r="CA92" s="75">
        <v>2.5720393964947623E-3</v>
      </c>
      <c r="CB92" s="75">
        <v>8.3563609577107893E-3</v>
      </c>
      <c r="CC92" s="75">
        <v>4.5756826921439578E-3</v>
      </c>
      <c r="CD92" s="75">
        <v>-6.2770287818331265E-3</v>
      </c>
      <c r="CE92" s="75">
        <v>3.2298644665410287E-3</v>
      </c>
      <c r="CF92" s="75">
        <v>4.2814389655085154E-4</v>
      </c>
      <c r="CG92" s="75">
        <v>5.4849345097095908E-4</v>
      </c>
      <c r="CH92" s="75">
        <v>-3.8392511088313902E-3</v>
      </c>
      <c r="CI92" s="75">
        <v>1.1364340801272733E-3</v>
      </c>
      <c r="CJ92" s="75">
        <v>-1.2463283979334515E-2</v>
      </c>
      <c r="CK92" s="75">
        <v>8.2907514972832032E-4</v>
      </c>
      <c r="CL92" s="75">
        <v>4.0911907499834015E-3</v>
      </c>
      <c r="CM92" s="75">
        <v>1.3950520714118859E-3</v>
      </c>
      <c r="CN92" s="75">
        <v>-5.7338536823703865E-3</v>
      </c>
      <c r="CO92" s="75">
        <v>1.7553131323242224E-3</v>
      </c>
      <c r="CP92" s="75">
        <v>-3.931281367522672E-3</v>
      </c>
      <c r="CQ92" s="75">
        <v>4.4974080302711255E-3</v>
      </c>
      <c r="CR92" s="75">
        <v>-2.2882703549790724E-3</v>
      </c>
      <c r="CS92" s="75">
        <v>-3.2753976460619429E-3</v>
      </c>
      <c r="CT92" s="75">
        <v>-2.7662080028485608E-3</v>
      </c>
      <c r="CU92" s="75">
        <v>4.5214760580763718E-3</v>
      </c>
      <c r="CV92" s="75">
        <v>-5.7659141359597474E-5</v>
      </c>
      <c r="CW92" s="75">
        <v>-4.4742880384964299E-3</v>
      </c>
      <c r="CX92" s="75">
        <v>6.342232924853931E-3</v>
      </c>
      <c r="CY92" s="75">
        <v>2.4598845923445301E-3</v>
      </c>
      <c r="CZ92" s="75">
        <v>7.3343460615652722E-3</v>
      </c>
      <c r="DA92" s="75">
        <v>-2.5433870546234926E-3</v>
      </c>
      <c r="DB92" s="75">
        <v>2.251689324524065E-3</v>
      </c>
      <c r="DC92" s="75">
        <v>4.5075736652565677E-3</v>
      </c>
      <c r="DD92" s="75">
        <v>1.7008695182747988E-3</v>
      </c>
      <c r="DE92" s="75">
        <v>1.2347281891679877E-3</v>
      </c>
      <c r="DF92" s="75">
        <v>-6.7709067407831398E-4</v>
      </c>
      <c r="DG92" s="75">
        <v>-1.7629614664893059E-3</v>
      </c>
      <c r="DH92" s="75">
        <v>4.8454923230301546E-3</v>
      </c>
      <c r="DI92" s="75">
        <v>-7.8904296643350462E-3</v>
      </c>
      <c r="DJ92" s="75">
        <v>-2.8349891936939927E-3</v>
      </c>
      <c r="DK92" s="75">
        <v>3.5932722406316654E-3</v>
      </c>
      <c r="DL92" s="75">
        <v>6.8326502067686534E-4</v>
      </c>
      <c r="DM92" s="75">
        <v>2.8667050506352848E-3</v>
      </c>
      <c r="DN92" s="75">
        <v>-1.1478480634935437E-3</v>
      </c>
      <c r="DO92" s="75">
        <v>-4.1498013193170084E-3</v>
      </c>
      <c r="DP92" s="75">
        <v>-2.6115928768598307E-3</v>
      </c>
      <c r="DQ92" s="75">
        <v>4.4609134687997876E-5</v>
      </c>
      <c r="DR92" s="75">
        <v>4.3276868412468802E-3</v>
      </c>
      <c r="DS92" s="75">
        <v>1.4886448808006866E-3</v>
      </c>
      <c r="DT92" s="75">
        <v>3.2011846432906423E-4</v>
      </c>
      <c r="DU92" s="75">
        <v>3.6772276176051423E-3</v>
      </c>
      <c r="DV92" s="75">
        <v>-1.9834268963781782E-3</v>
      </c>
      <c r="DW92" s="75">
        <v>2.0078957177073718E-3</v>
      </c>
      <c r="DX92" s="75">
        <v>3.7678512947609769E-3</v>
      </c>
      <c r="DY92" s="75">
        <v>7.7381502148744438E-3</v>
      </c>
      <c r="DZ92" s="75">
        <v>-7.549677730657069E-3</v>
      </c>
      <c r="EA92" s="75">
        <v>-6.5300690784404584E-4</v>
      </c>
      <c r="EB92" s="75">
        <v>-1.3216876597841832E-2</v>
      </c>
      <c r="EC92" s="75">
        <v>1.7128131208200073E-3</v>
      </c>
      <c r="ED92" s="75">
        <v>-5.7248960866901587E-3</v>
      </c>
      <c r="EE92" s="75">
        <v>-1.3177349745720802E-3</v>
      </c>
      <c r="EF92" s="75">
        <v>6.1535091822250334E-3</v>
      </c>
      <c r="EG92" s="75">
        <v>-3.1537992392455631E-3</v>
      </c>
      <c r="EH92" s="75">
        <v>4.1536708649386623E-3</v>
      </c>
      <c r="EI92" s="75">
        <v>-2.7946174870821516E-3</v>
      </c>
      <c r="EJ92" s="75">
        <v>-3.4404456291273582E-3</v>
      </c>
      <c r="EK92" s="75">
        <v>-6.8229872044976072E-3</v>
      </c>
      <c r="EL92" s="75">
        <v>-5.3669744727375766E-3</v>
      </c>
      <c r="EM92" s="75">
        <v>1.2042790572725519E-2</v>
      </c>
      <c r="EN92" s="75">
        <v>-8.5647416191112265E-3</v>
      </c>
      <c r="EO92" s="75">
        <v>2.2168480010050402E-3</v>
      </c>
      <c r="EP92" s="75">
        <v>3.5430261759723768E-3</v>
      </c>
      <c r="EQ92" s="75">
        <v>2.902971952330604E-3</v>
      </c>
      <c r="ER92" s="75">
        <v>-2.5566933082380588E-3</v>
      </c>
      <c r="ES92" s="75">
        <v>4.5526988133900818E-3</v>
      </c>
      <c r="ET92" s="75">
        <v>5.8841213718301213E-3</v>
      </c>
      <c r="EU92" s="75">
        <v>-8.8945631937618445E-3</v>
      </c>
      <c r="EV92" s="75">
        <v>-2.2351566059499069E-4</v>
      </c>
      <c r="EW92" s="75">
        <v>-1.131467720517652E-2</v>
      </c>
      <c r="EX92" s="75">
        <v>-1.9509370572880907E-3</v>
      </c>
      <c r="EY92" s="75">
        <v>-7.3915155115932638E-3</v>
      </c>
      <c r="EZ92" s="75">
        <v>-2.2512814980937355E-3</v>
      </c>
      <c r="FA92" s="75">
        <v>2.775966720445347E-3</v>
      </c>
      <c r="FB92" s="75">
        <v>-2.3599486062156252E-3</v>
      </c>
      <c r="FC92" s="75">
        <v>4.1481449582256025E-3</v>
      </c>
      <c r="FD92" s="75">
        <v>5.4412506524046875E-3</v>
      </c>
      <c r="FE92" s="75">
        <v>-3.348573053679452E-3</v>
      </c>
      <c r="FF92" s="75">
        <v>-1.3517397285181774E-3</v>
      </c>
      <c r="FG92" s="75">
        <v>7.8928114932496352E-3</v>
      </c>
      <c r="FH92" s="75">
        <v>5.807666436959992E-4</v>
      </c>
      <c r="FI92" s="75">
        <v>-3.8551249853297151E-3</v>
      </c>
      <c r="FJ92" s="75">
        <v>5.9484691819688788E-4</v>
      </c>
      <c r="FK92" s="75">
        <v>4.4050450721704604E-3</v>
      </c>
      <c r="FL92" s="75">
        <v>-5.1636652314117626E-3</v>
      </c>
      <c r="FM92" s="75">
        <v>-8.3374074659197713E-3</v>
      </c>
      <c r="FN92" s="75">
        <v>3.088469346588461E-3</v>
      </c>
      <c r="FO92" s="75">
        <v>5.5300420603558633E-3</v>
      </c>
      <c r="FP92" s="75">
        <v>1.0930688263429082E-2</v>
      </c>
      <c r="FQ92" s="75">
        <v>7.5897988664680102E-4</v>
      </c>
      <c r="FR92" s="75">
        <v>-3.605808412010636E-3</v>
      </c>
      <c r="FS92" s="75">
        <v>-7.5331266357071408E-3</v>
      </c>
      <c r="FT92" s="75">
        <v>8.7422534330621107E-3</v>
      </c>
      <c r="FU92" s="75">
        <v>-2.5713779917713071E-3</v>
      </c>
      <c r="FV92" s="75">
        <v>-7.5697496554307311E-4</v>
      </c>
      <c r="FW92" s="75">
        <v>-1.4295194961996566E-3</v>
      </c>
      <c r="FX92" s="75">
        <v>-2.9028608679742881E-3</v>
      </c>
      <c r="FY92" s="75">
        <v>6.6915816241966686E-3</v>
      </c>
      <c r="FZ92" s="75">
        <v>1.098559692243645E-3</v>
      </c>
      <c r="GA92" s="75">
        <v>-3.391451354033086E-3</v>
      </c>
      <c r="GB92" s="75">
        <v>7.8865985002056702E-3</v>
      </c>
      <c r="GC92" s="75">
        <v>-2.3373963686691146E-3</v>
      </c>
      <c r="GD92" s="75">
        <v>3.982014820164137E-4</v>
      </c>
      <c r="GE92" s="75">
        <v>3.5758924732167009E-3</v>
      </c>
      <c r="GF92" s="75">
        <v>3.141873837036506E-3</v>
      </c>
      <c r="GG92" s="75">
        <v>1.1497162495415823E-2</v>
      </c>
      <c r="GH92" s="75">
        <v>1.6599448166693606E-3</v>
      </c>
      <c r="GI92" s="75">
        <v>2.1004478941466474E-3</v>
      </c>
      <c r="GJ92" s="75">
        <v>3.3535516409133274E-3</v>
      </c>
      <c r="GK92" s="75">
        <v>-1.1890902780365593E-3</v>
      </c>
      <c r="GL92" s="75">
        <v>2.4685654859372269E-3</v>
      </c>
      <c r="GM92" s="75">
        <v>-5.5484833087923301E-3</v>
      </c>
      <c r="GN92" s="75">
        <v>9.8027708834068326E-3</v>
      </c>
      <c r="GO92" s="75">
        <v>-8.9238578988752593E-4</v>
      </c>
      <c r="GP92" s="75">
        <v>-7.2608320206268007E-3</v>
      </c>
      <c r="GQ92" s="75">
        <v>8.9470932551468721E-3</v>
      </c>
      <c r="GR92" s="75">
        <v>-4.2895781253756721E-3</v>
      </c>
      <c r="GS92" s="75">
        <v>-4.2210548927479642E-3</v>
      </c>
      <c r="GT92" s="75">
        <v>6.2755305954902661E-4</v>
      </c>
      <c r="GU92" s="75">
        <v>-1.5083655235214044E-3</v>
      </c>
      <c r="GV92" s="75">
        <v>1.2200076004087507E-2</v>
      </c>
      <c r="GW92" s="75">
        <v>-6.1211911840836769E-4</v>
      </c>
      <c r="GX92" s="75">
        <v>-2.5167052753152248E-3</v>
      </c>
      <c r="GY92" s="75">
        <v>-6.6583962169719513E-4</v>
      </c>
      <c r="GZ92" s="75">
        <v>4.1742721334951747E-3</v>
      </c>
      <c r="HA92" s="75">
        <v>-2.0785908973092997E-3</v>
      </c>
      <c r="HB92" s="75">
        <v>4.8083053132884947E-3</v>
      </c>
      <c r="HC92" s="75">
        <v>-2.8628965344967613E-3</v>
      </c>
      <c r="HD92" s="75">
        <v>-4.6114951396913212E-4</v>
      </c>
      <c r="HE92" s="75">
        <v>1.2403313758190971E-3</v>
      </c>
      <c r="HF92" s="75">
        <v>-7.4093056076722369E-3</v>
      </c>
      <c r="HG92" s="75">
        <v>-1.0254703226605672E-3</v>
      </c>
      <c r="HH92" s="75">
        <v>-3.4990051767673364E-3</v>
      </c>
      <c r="HI92" s="75">
        <v>-9.4823533305226498E-4</v>
      </c>
      <c r="HJ92" s="75">
        <v>1.9108075103221895E-3</v>
      </c>
      <c r="HK92" s="75">
        <v>6.5467972351588161E-3</v>
      </c>
      <c r="HL92" s="75">
        <v>1.7608441253790935E-3</v>
      </c>
      <c r="HM92" s="75">
        <v>-4.6240639964885422E-3</v>
      </c>
      <c r="HN92" s="75">
        <v>1.0721786769224306E-2</v>
      </c>
      <c r="HO92" s="75">
        <v>-3.8498724420856535E-3</v>
      </c>
      <c r="HP92" s="75">
        <v>4.4165841937423428E-3</v>
      </c>
      <c r="HQ92" s="75">
        <v>-3.4362738589048241E-3</v>
      </c>
      <c r="HR92" s="75">
        <v>5.6217915933013448E-3</v>
      </c>
      <c r="HS92" s="75">
        <v>-4.03945968378004E-3</v>
      </c>
      <c r="HT92" s="75">
        <v>2.2955244137535143E-3</v>
      </c>
      <c r="HU92" s="75">
        <v>-6.6182857350111091E-4</v>
      </c>
      <c r="HV92" s="75">
        <v>-1.0801497779964069E-2</v>
      </c>
      <c r="HW92" s="75">
        <v>8.4472548739031473E-3</v>
      </c>
      <c r="HX92" s="75">
        <v>-5.5624808493699371E-4</v>
      </c>
      <c r="HY92" s="75">
        <v>-7.7592575621837079E-3</v>
      </c>
      <c r="HZ92" s="75">
        <v>-6.8461273351971899E-3</v>
      </c>
      <c r="IA92" s="75">
        <v>9.7195818508408506E-3</v>
      </c>
      <c r="IB92" s="75">
        <v>-5.4403363548680417E-3</v>
      </c>
      <c r="IC92" s="75">
        <v>2.8520833022036909E-3</v>
      </c>
      <c r="ID92" s="75">
        <v>4.7569638610643148E-3</v>
      </c>
      <c r="IE92" s="75">
        <v>1.1032585841017049E-2</v>
      </c>
      <c r="IF92" s="75">
        <v>7.7487697926582368E-3</v>
      </c>
      <c r="IG92" s="75">
        <v>4.4859011541142305E-3</v>
      </c>
      <c r="IH92" s="75">
        <v>-1.9928714089153532E-3</v>
      </c>
      <c r="II92" s="75">
        <v>6.4450110740795052E-3</v>
      </c>
      <c r="IJ92" s="75">
        <v>3.0995465853494199E-3</v>
      </c>
      <c r="IK92" s="75">
        <v>4.941773625442885E-3</v>
      </c>
      <c r="IL92" s="75">
        <v>1.6194837912342219E-4</v>
      </c>
      <c r="IM92" s="75">
        <v>4.1800694204642379E-4</v>
      </c>
      <c r="IN92" s="75">
        <v>-6.7804518635927631E-3</v>
      </c>
      <c r="IO92" s="75">
        <v>-4.9451762207510554E-3</v>
      </c>
      <c r="IP92" s="75">
        <v>7.986701974699098E-4</v>
      </c>
      <c r="IQ92" s="75">
        <v>-2.0278894416310422E-4</v>
      </c>
      <c r="IR92" s="75">
        <v>1.6244142965904547E-4</v>
      </c>
      <c r="IS92" s="75">
        <v>-7.9505193885715045E-3</v>
      </c>
      <c r="IT92" s="75">
        <v>-2.7951907179416327E-3</v>
      </c>
      <c r="IU92" s="75">
        <v>3.5879590131279726E-3</v>
      </c>
    </row>
    <row r="93" spans="1:255" s="74" customFormat="1" ht="14.5" x14ac:dyDescent="0.35">
      <c r="A93" s="73"/>
      <c r="B93" s="78">
        <v>10</v>
      </c>
      <c r="C93" s="77">
        <f t="shared" si="43"/>
        <v>0</v>
      </c>
      <c r="D93" s="76">
        <f t="shared" si="44"/>
        <v>0</v>
      </c>
      <c r="E93" s="75">
        <v>0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0</v>
      </c>
      <c r="V93" s="75">
        <v>0</v>
      </c>
      <c r="W93" s="75">
        <v>0</v>
      </c>
      <c r="X93" s="75">
        <v>0</v>
      </c>
      <c r="Y93" s="75">
        <v>0</v>
      </c>
      <c r="Z93" s="75">
        <v>0</v>
      </c>
      <c r="AA93" s="75">
        <v>0</v>
      </c>
      <c r="AB93" s="75">
        <v>0</v>
      </c>
      <c r="AC93" s="75">
        <v>0</v>
      </c>
      <c r="AD93" s="75">
        <v>0</v>
      </c>
      <c r="AE93" s="75">
        <v>0</v>
      </c>
      <c r="AF93" s="75">
        <v>0</v>
      </c>
      <c r="AG93" s="75">
        <v>0</v>
      </c>
      <c r="AH93" s="75">
        <v>0</v>
      </c>
      <c r="AI93" s="75">
        <v>0</v>
      </c>
      <c r="AJ93" s="75">
        <v>0</v>
      </c>
      <c r="AK93" s="75">
        <v>0</v>
      </c>
      <c r="AL93" s="75">
        <v>0</v>
      </c>
      <c r="AM93" s="75">
        <v>0</v>
      </c>
      <c r="AN93" s="75">
        <v>0</v>
      </c>
      <c r="AO93" s="75">
        <v>0</v>
      </c>
      <c r="AP93" s="75">
        <v>0</v>
      </c>
      <c r="AQ93" s="75">
        <v>0</v>
      </c>
      <c r="AR93" s="75">
        <v>0</v>
      </c>
      <c r="AS93" s="75">
        <v>0</v>
      </c>
      <c r="AT93" s="75">
        <v>0</v>
      </c>
      <c r="AU93" s="75">
        <v>0</v>
      </c>
      <c r="AV93" s="75">
        <v>0</v>
      </c>
      <c r="AW93" s="75">
        <v>0</v>
      </c>
      <c r="AX93" s="75">
        <v>0</v>
      </c>
      <c r="AY93" s="75">
        <v>0</v>
      </c>
      <c r="AZ93" s="75">
        <v>0</v>
      </c>
      <c r="BA93" s="75">
        <v>0</v>
      </c>
      <c r="BB93" s="75">
        <v>0</v>
      </c>
      <c r="BC93" s="75">
        <v>0</v>
      </c>
      <c r="BD93" s="75">
        <v>0</v>
      </c>
      <c r="BE93" s="75">
        <v>0</v>
      </c>
      <c r="BF93" s="75">
        <v>0</v>
      </c>
      <c r="BG93" s="75">
        <v>0</v>
      </c>
      <c r="BH93" s="75">
        <v>0</v>
      </c>
      <c r="BI93" s="75">
        <v>0</v>
      </c>
      <c r="BJ93" s="75">
        <v>0</v>
      </c>
      <c r="BK93" s="75">
        <v>0</v>
      </c>
      <c r="BL93" s="75">
        <v>0</v>
      </c>
      <c r="BM93" s="75">
        <v>0</v>
      </c>
      <c r="BN93" s="75">
        <v>0</v>
      </c>
      <c r="BO93" s="75">
        <v>0</v>
      </c>
      <c r="BP93" s="75">
        <v>0</v>
      </c>
      <c r="BQ93" s="75">
        <v>0</v>
      </c>
      <c r="BR93" s="75">
        <v>0</v>
      </c>
      <c r="BS93" s="75">
        <v>0</v>
      </c>
      <c r="BT93" s="75">
        <v>0</v>
      </c>
      <c r="BU93" s="75">
        <v>0</v>
      </c>
      <c r="BV93" s="75">
        <v>0</v>
      </c>
      <c r="BW93" s="75">
        <v>0</v>
      </c>
      <c r="BX93" s="75">
        <v>0</v>
      </c>
      <c r="BY93" s="75">
        <v>0</v>
      </c>
      <c r="BZ93" s="75">
        <v>0</v>
      </c>
      <c r="CA93" s="75">
        <v>0</v>
      </c>
      <c r="CB93" s="75">
        <v>0</v>
      </c>
      <c r="CC93" s="75">
        <v>0</v>
      </c>
      <c r="CD93" s="75">
        <v>0</v>
      </c>
      <c r="CE93" s="75">
        <v>0</v>
      </c>
      <c r="CF93" s="75">
        <v>0</v>
      </c>
      <c r="CG93" s="75">
        <v>0</v>
      </c>
      <c r="CH93" s="75">
        <v>0</v>
      </c>
      <c r="CI93" s="75">
        <v>0</v>
      </c>
      <c r="CJ93" s="75">
        <v>0</v>
      </c>
      <c r="CK93" s="75">
        <v>0</v>
      </c>
      <c r="CL93" s="75">
        <v>0</v>
      </c>
      <c r="CM93" s="75">
        <v>0</v>
      </c>
      <c r="CN93" s="75">
        <v>0</v>
      </c>
      <c r="CO93" s="75">
        <v>0</v>
      </c>
      <c r="CP93" s="75">
        <v>0</v>
      </c>
      <c r="CQ93" s="75">
        <v>0</v>
      </c>
      <c r="CR93" s="75">
        <v>0</v>
      </c>
      <c r="CS93" s="75">
        <v>0</v>
      </c>
      <c r="CT93" s="75">
        <v>0</v>
      </c>
      <c r="CU93" s="75">
        <v>0</v>
      </c>
      <c r="CV93" s="75">
        <v>0</v>
      </c>
      <c r="CW93" s="75">
        <v>0</v>
      </c>
      <c r="CX93" s="75">
        <v>0</v>
      </c>
      <c r="CY93" s="75">
        <v>0</v>
      </c>
      <c r="CZ93" s="75">
        <v>0</v>
      </c>
      <c r="DA93" s="75">
        <v>0</v>
      </c>
      <c r="DB93" s="75">
        <v>0</v>
      </c>
      <c r="DC93" s="75">
        <v>0</v>
      </c>
      <c r="DD93" s="75">
        <v>0</v>
      </c>
      <c r="DE93" s="75">
        <v>0</v>
      </c>
      <c r="DF93" s="75">
        <v>0</v>
      </c>
      <c r="DG93" s="75">
        <v>0</v>
      </c>
      <c r="DH93" s="75">
        <v>0</v>
      </c>
      <c r="DI93" s="75">
        <v>0</v>
      </c>
      <c r="DJ93" s="75">
        <v>0</v>
      </c>
      <c r="DK93" s="75">
        <v>0</v>
      </c>
      <c r="DL93" s="75">
        <v>0</v>
      </c>
      <c r="DM93" s="75">
        <v>0</v>
      </c>
      <c r="DN93" s="75">
        <v>0</v>
      </c>
      <c r="DO93" s="75">
        <v>0</v>
      </c>
      <c r="DP93" s="75">
        <v>0</v>
      </c>
      <c r="DQ93" s="75">
        <v>0</v>
      </c>
      <c r="DR93" s="75">
        <v>0</v>
      </c>
      <c r="DS93" s="75">
        <v>0</v>
      </c>
      <c r="DT93" s="75">
        <v>0</v>
      </c>
      <c r="DU93" s="75">
        <v>0</v>
      </c>
      <c r="DV93" s="75">
        <v>0</v>
      </c>
      <c r="DW93" s="75">
        <v>0</v>
      </c>
      <c r="DX93" s="75">
        <v>0</v>
      </c>
      <c r="DY93" s="75">
        <v>0</v>
      </c>
      <c r="DZ93" s="75">
        <v>0</v>
      </c>
      <c r="EA93" s="75">
        <v>0</v>
      </c>
      <c r="EB93" s="75">
        <v>0</v>
      </c>
      <c r="EC93" s="75">
        <v>0</v>
      </c>
      <c r="ED93" s="75">
        <v>0</v>
      </c>
      <c r="EE93" s="75">
        <v>0</v>
      </c>
      <c r="EF93" s="75">
        <v>0</v>
      </c>
      <c r="EG93" s="75">
        <v>0</v>
      </c>
      <c r="EH93" s="75">
        <v>0</v>
      </c>
      <c r="EI93" s="75">
        <v>0</v>
      </c>
      <c r="EJ93" s="75">
        <v>0</v>
      </c>
      <c r="EK93" s="75">
        <v>0</v>
      </c>
      <c r="EL93" s="75">
        <v>0</v>
      </c>
      <c r="EM93" s="75">
        <v>0</v>
      </c>
      <c r="EN93" s="75">
        <v>0</v>
      </c>
      <c r="EO93" s="75">
        <v>0</v>
      </c>
      <c r="EP93" s="75">
        <v>0</v>
      </c>
      <c r="EQ93" s="75">
        <v>0</v>
      </c>
      <c r="ER93" s="75">
        <v>0</v>
      </c>
      <c r="ES93" s="75">
        <v>0</v>
      </c>
      <c r="ET93" s="75">
        <v>0</v>
      </c>
      <c r="EU93" s="75">
        <v>0</v>
      </c>
      <c r="EV93" s="75">
        <v>0</v>
      </c>
      <c r="EW93" s="75">
        <v>0</v>
      </c>
      <c r="EX93" s="75">
        <v>0</v>
      </c>
      <c r="EY93" s="75">
        <v>0</v>
      </c>
      <c r="EZ93" s="75">
        <v>0</v>
      </c>
      <c r="FA93" s="75">
        <v>0</v>
      </c>
      <c r="FB93" s="75">
        <v>0</v>
      </c>
      <c r="FC93" s="75">
        <v>0</v>
      </c>
      <c r="FD93" s="75">
        <v>0</v>
      </c>
      <c r="FE93" s="75">
        <v>0</v>
      </c>
      <c r="FF93" s="75">
        <v>0</v>
      </c>
      <c r="FG93" s="75">
        <v>0</v>
      </c>
      <c r="FH93" s="75">
        <v>0</v>
      </c>
      <c r="FI93" s="75">
        <v>0</v>
      </c>
      <c r="FJ93" s="75">
        <v>0</v>
      </c>
      <c r="FK93" s="75">
        <v>0</v>
      </c>
      <c r="FL93" s="75">
        <v>0</v>
      </c>
      <c r="FM93" s="75">
        <v>0</v>
      </c>
      <c r="FN93" s="75">
        <v>0</v>
      </c>
      <c r="FO93" s="75">
        <v>0</v>
      </c>
      <c r="FP93" s="75">
        <v>0</v>
      </c>
      <c r="FQ93" s="75">
        <v>0</v>
      </c>
      <c r="FR93" s="75">
        <v>0</v>
      </c>
      <c r="FS93" s="75">
        <v>0</v>
      </c>
      <c r="FT93" s="75">
        <v>0</v>
      </c>
      <c r="FU93" s="75">
        <v>0</v>
      </c>
      <c r="FV93" s="75">
        <v>0</v>
      </c>
      <c r="FW93" s="75">
        <v>0</v>
      </c>
      <c r="FX93" s="75">
        <v>0</v>
      </c>
      <c r="FY93" s="75">
        <v>0</v>
      </c>
      <c r="FZ93" s="75">
        <v>0</v>
      </c>
      <c r="GA93" s="75">
        <v>0</v>
      </c>
      <c r="GB93" s="75">
        <v>0</v>
      </c>
      <c r="GC93" s="75">
        <v>0</v>
      </c>
      <c r="GD93" s="75">
        <v>0</v>
      </c>
      <c r="GE93" s="75">
        <v>0</v>
      </c>
      <c r="GF93" s="75">
        <v>0</v>
      </c>
      <c r="GG93" s="75">
        <v>0</v>
      </c>
      <c r="GH93" s="75">
        <v>0</v>
      </c>
      <c r="GI93" s="75">
        <v>0</v>
      </c>
      <c r="GJ93" s="75">
        <v>0</v>
      </c>
      <c r="GK93" s="75">
        <v>0</v>
      </c>
      <c r="GL93" s="75">
        <v>0</v>
      </c>
      <c r="GM93" s="75">
        <v>0</v>
      </c>
      <c r="GN93" s="75">
        <v>0</v>
      </c>
      <c r="GO93" s="75">
        <v>0</v>
      </c>
      <c r="GP93" s="75">
        <v>0</v>
      </c>
      <c r="GQ93" s="75">
        <v>0</v>
      </c>
      <c r="GR93" s="75">
        <v>0</v>
      </c>
      <c r="GS93" s="75">
        <v>0</v>
      </c>
      <c r="GT93" s="75">
        <v>0</v>
      </c>
      <c r="GU93" s="75">
        <v>0</v>
      </c>
      <c r="GV93" s="75">
        <v>0</v>
      </c>
      <c r="GW93" s="75">
        <v>0</v>
      </c>
      <c r="GX93" s="75">
        <v>0</v>
      </c>
      <c r="GY93" s="75">
        <v>0</v>
      </c>
      <c r="GZ93" s="75">
        <v>0</v>
      </c>
      <c r="HA93" s="75">
        <v>0</v>
      </c>
      <c r="HB93" s="75">
        <v>0</v>
      </c>
      <c r="HC93" s="75">
        <v>0</v>
      </c>
      <c r="HD93" s="75">
        <v>0</v>
      </c>
      <c r="HE93" s="75">
        <v>0</v>
      </c>
      <c r="HF93" s="75">
        <v>0</v>
      </c>
      <c r="HG93" s="75">
        <v>0</v>
      </c>
      <c r="HH93" s="75">
        <v>0</v>
      </c>
      <c r="HI93" s="75">
        <v>0</v>
      </c>
      <c r="HJ93" s="75">
        <v>0</v>
      </c>
      <c r="HK93" s="75">
        <v>0</v>
      </c>
      <c r="HL93" s="75">
        <v>0</v>
      </c>
      <c r="HM93" s="75">
        <v>0</v>
      </c>
      <c r="HN93" s="75">
        <v>0</v>
      </c>
      <c r="HO93" s="75">
        <v>0</v>
      </c>
      <c r="HP93" s="75">
        <v>0</v>
      </c>
      <c r="HQ93" s="75">
        <v>0</v>
      </c>
      <c r="HR93" s="75">
        <v>0</v>
      </c>
      <c r="HS93" s="75">
        <v>0</v>
      </c>
      <c r="HT93" s="75">
        <v>0</v>
      </c>
      <c r="HU93" s="75">
        <v>0</v>
      </c>
      <c r="HV93" s="75">
        <v>0</v>
      </c>
      <c r="HW93" s="75">
        <v>0</v>
      </c>
      <c r="HX93" s="75">
        <v>0</v>
      </c>
      <c r="HY93" s="75">
        <v>0</v>
      </c>
      <c r="HZ93" s="75">
        <v>0</v>
      </c>
      <c r="IA93" s="75">
        <v>0</v>
      </c>
      <c r="IB93" s="75">
        <v>0</v>
      </c>
      <c r="IC93" s="75">
        <v>0</v>
      </c>
      <c r="ID93" s="75">
        <v>0</v>
      </c>
      <c r="IE93" s="75">
        <v>0</v>
      </c>
      <c r="IF93" s="75">
        <v>0</v>
      </c>
      <c r="IG93" s="75">
        <v>0</v>
      </c>
      <c r="IH93" s="75">
        <v>0</v>
      </c>
      <c r="II93" s="75">
        <v>0</v>
      </c>
      <c r="IJ93" s="75">
        <v>0</v>
      </c>
      <c r="IK93" s="75">
        <v>0</v>
      </c>
      <c r="IL93" s="75">
        <v>0</v>
      </c>
      <c r="IM93" s="75">
        <v>0</v>
      </c>
      <c r="IN93" s="75">
        <v>0</v>
      </c>
      <c r="IO93" s="75">
        <v>0</v>
      </c>
      <c r="IP93" s="75">
        <v>0</v>
      </c>
      <c r="IQ93" s="75">
        <v>0</v>
      </c>
      <c r="IR93" s="75">
        <v>0</v>
      </c>
      <c r="IS93" s="75">
        <v>0</v>
      </c>
      <c r="IT93" s="75">
        <v>0</v>
      </c>
      <c r="IU93" s="75">
        <v>0</v>
      </c>
    </row>
  </sheetData>
  <mergeCells count="1">
    <mergeCell ref="B9:C9"/>
  </mergeCell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RunSimulation_PFE">
                <anchor moveWithCells="1" sizeWithCells="1">
                  <from>
                    <xdr:col>8</xdr:col>
                    <xdr:colOff>577850</xdr:colOff>
                    <xdr:row>2</xdr:row>
                    <xdr:rowOff>57150</xdr:rowOff>
                  </from>
                  <to>
                    <xdr:col>10</xdr:col>
                    <xdr:colOff>222250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B4E-ED9D-4519-BE5B-AC28374DB39C}">
  <sheetPr codeName="Sheet2"/>
  <dimension ref="A1:AH23"/>
  <sheetViews>
    <sheetView topLeftCell="A7" zoomScale="55" zoomScaleNormal="55" workbookViewId="0">
      <selection activeCell="H11" sqref="H11"/>
    </sheetView>
  </sheetViews>
  <sheetFormatPr defaultRowHeight="14.5" x14ac:dyDescent="0.35"/>
  <cols>
    <col min="1" max="7" width="14.453125" style="1" customWidth="1"/>
    <col min="8" max="11" width="15.1796875" style="1" customWidth="1"/>
    <col min="12" max="15" width="10.6328125" style="1" customWidth="1"/>
    <col min="16" max="16" width="18.54296875" style="1" bestFit="1" customWidth="1"/>
    <col min="17" max="17" width="18.08984375" style="1" bestFit="1" customWidth="1"/>
    <col min="18" max="18" width="19.1796875" style="1" bestFit="1" customWidth="1"/>
    <col min="19" max="19" width="18.7265625" style="1" bestFit="1" customWidth="1"/>
    <col min="20" max="20" width="14.90625" style="1" bestFit="1" customWidth="1"/>
    <col min="21" max="21" width="14.453125" style="1" bestFit="1" customWidth="1"/>
    <col min="22" max="22" width="13.7265625" style="1" bestFit="1" customWidth="1"/>
    <col min="23" max="23" width="13.26953125" style="1" customWidth="1"/>
    <col min="24" max="24" width="17.81640625" style="1" bestFit="1" customWidth="1"/>
    <col min="25" max="25" width="17.36328125" style="1" bestFit="1" customWidth="1"/>
    <col min="26" max="26" width="14.453125" style="1" customWidth="1"/>
    <col min="27" max="27" width="10.6328125" style="1" bestFit="1" customWidth="1"/>
    <col min="28" max="28" width="12.1796875" style="1" bestFit="1" customWidth="1"/>
    <col min="29" max="29" width="11.81640625" style="1" customWidth="1"/>
    <col min="30" max="16384" width="8.7265625" style="1"/>
  </cols>
  <sheetData>
    <row r="1" spans="1:34" ht="40" customHeight="1" x14ac:dyDescent="0.35"/>
    <row r="2" spans="1:34" ht="15" thickBot="1" x14ac:dyDescent="0.4"/>
    <row r="3" spans="1:34" ht="15" thickBot="1" x14ac:dyDescent="0.4">
      <c r="A3" s="2" t="s">
        <v>0</v>
      </c>
      <c r="B3" s="3">
        <v>43811</v>
      </c>
      <c r="H3" s="4"/>
      <c r="I3" s="5"/>
      <c r="J3" s="5"/>
      <c r="K3" s="6"/>
    </row>
    <row r="4" spans="1:34" x14ac:dyDescent="0.35">
      <c r="H4" s="7"/>
      <c r="I4" s="8"/>
      <c r="J4" s="8"/>
      <c r="K4" s="9"/>
    </row>
    <row r="5" spans="1:34" x14ac:dyDescent="0.35">
      <c r="H5" s="7" t="s">
        <v>23</v>
      </c>
      <c r="I5" s="8"/>
      <c r="J5" s="8" t="s">
        <v>9</v>
      </c>
      <c r="K5" s="11">
        <v>1</v>
      </c>
    </row>
    <row r="6" spans="1:34" x14ac:dyDescent="0.35">
      <c r="B6" s="10"/>
      <c r="H6" s="7" t="s">
        <v>3</v>
      </c>
      <c r="I6" s="8"/>
      <c r="J6" s="8" t="s">
        <v>4</v>
      </c>
      <c r="K6" s="11">
        <v>0.35</v>
      </c>
    </row>
    <row r="7" spans="1:34" ht="15" thickBot="1" x14ac:dyDescent="0.4">
      <c r="H7" s="12" t="s">
        <v>5</v>
      </c>
      <c r="I7" s="13"/>
      <c r="J7" s="13" t="s">
        <v>6</v>
      </c>
      <c r="K7" s="14">
        <v>0.65</v>
      </c>
    </row>
    <row r="8" spans="1:3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34" ht="14.5" customHeight="1" x14ac:dyDescent="0.35">
      <c r="A9" s="26" t="s">
        <v>7</v>
      </c>
      <c r="B9" s="26" t="s">
        <v>8</v>
      </c>
      <c r="C9" s="33" t="s">
        <v>13</v>
      </c>
      <c r="D9" s="37" t="s">
        <v>46</v>
      </c>
      <c r="E9" s="37" t="s">
        <v>47</v>
      </c>
      <c r="F9" s="38" t="s">
        <v>10</v>
      </c>
      <c r="G9" s="17" t="s">
        <v>12</v>
      </c>
      <c r="H9" s="27" t="s">
        <v>18</v>
      </c>
      <c r="I9" s="27" t="s">
        <v>19</v>
      </c>
      <c r="J9" s="27" t="s">
        <v>20</v>
      </c>
      <c r="K9" s="27" t="s">
        <v>21</v>
      </c>
      <c r="L9" s="27" t="s">
        <v>48</v>
      </c>
      <c r="M9" s="27" t="s">
        <v>49</v>
      </c>
      <c r="N9" s="27" t="s">
        <v>31</v>
      </c>
      <c r="O9" s="27" t="s">
        <v>32</v>
      </c>
      <c r="P9" s="27" t="s">
        <v>52</v>
      </c>
      <c r="Q9" s="27" t="s">
        <v>53</v>
      </c>
      <c r="R9" s="27" t="s">
        <v>54</v>
      </c>
      <c r="S9" s="27" t="s">
        <v>55</v>
      </c>
      <c r="T9" s="27" t="s">
        <v>56</v>
      </c>
      <c r="U9" s="27" t="s">
        <v>57</v>
      </c>
      <c r="V9" s="27" t="s">
        <v>58</v>
      </c>
      <c r="W9" s="27" t="s">
        <v>59</v>
      </c>
      <c r="X9" s="27" t="s">
        <v>60</v>
      </c>
      <c r="Y9" s="27" t="s">
        <v>61</v>
      </c>
      <c r="Z9" s="27" t="s">
        <v>33</v>
      </c>
      <c r="AA9" s="27" t="s">
        <v>39</v>
      </c>
      <c r="AB9" s="27" t="s">
        <v>36</v>
      </c>
      <c r="AC9" s="27" t="s">
        <v>38</v>
      </c>
      <c r="AD9" s="27" t="s">
        <v>38</v>
      </c>
      <c r="AE9" s="27" t="s">
        <v>37</v>
      </c>
      <c r="AF9" s="27" t="s">
        <v>40</v>
      </c>
      <c r="AG9" s="27" t="s">
        <v>45</v>
      </c>
      <c r="AH9" s="27" t="s">
        <v>80</v>
      </c>
    </row>
    <row r="10" spans="1:34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0">
        <v>0.35</v>
      </c>
      <c r="G10" s="23">
        <f>(B10-$B$3)/365</f>
        <v>3.0136986301369864E-2</v>
      </c>
      <c r="H10" s="28">
        <f>DAY(EOMONTH(B10,0))</f>
        <v>31</v>
      </c>
      <c r="I10" s="29" t="s">
        <v>9</v>
      </c>
      <c r="J10" s="30">
        <v>1</v>
      </c>
      <c r="K10" s="31">
        <v>0</v>
      </c>
      <c r="L10" s="1">
        <v>1</v>
      </c>
      <c r="M10" s="1">
        <v>-1</v>
      </c>
      <c r="N10" s="32">
        <v>0.30659208897466961</v>
      </c>
      <c r="O10" s="32">
        <v>0.16789259319931293</v>
      </c>
      <c r="P10" s="32">
        <v>-2.2000000000000028</v>
      </c>
      <c r="Q10" s="32">
        <v>2.7999999999999972</v>
      </c>
      <c r="R10" s="32">
        <v>2.5065920889746724</v>
      </c>
      <c r="S10" s="32">
        <v>-2.6321074068006842</v>
      </c>
      <c r="T10" s="32">
        <v>0.21439072444878801</v>
      </c>
      <c r="U10" s="32">
        <v>-0.12745423589817001</v>
      </c>
      <c r="V10" s="32">
        <v>2.1617026537832378</v>
      </c>
      <c r="W10" s="32">
        <v>1.5407771766814247</v>
      </c>
      <c r="X10" s="32">
        <v>0.21439072444878801</v>
      </c>
      <c r="Y10" s="32">
        <v>-0.12745423589817001</v>
      </c>
      <c r="Z10" s="32"/>
    </row>
    <row r="11" spans="1:34" x14ac:dyDescent="0.35">
      <c r="A11" s="19">
        <v>43862</v>
      </c>
      <c r="B11" s="20">
        <f t="shared" ref="B11:B21" si="0">WORKDAY(A11,-7)</f>
        <v>43853</v>
      </c>
      <c r="C11" s="35">
        <v>45.75</v>
      </c>
      <c r="D11" s="42">
        <v>45</v>
      </c>
      <c r="E11" s="42">
        <v>40</v>
      </c>
      <c r="F11" s="40">
        <f>20%+(F10-20%)*0.95</f>
        <v>0.34249999999999997</v>
      </c>
      <c r="G11" s="23">
        <f t="shared" ref="G11:G21" si="1">(B11-$B$3)/365</f>
        <v>0.11506849315068493</v>
      </c>
      <c r="H11" s="28">
        <f t="shared" ref="H10:H21" si="2">DAY(EOMONTH(B11,0))</f>
        <v>31</v>
      </c>
      <c r="I11" s="29" t="s">
        <v>9</v>
      </c>
      <c r="J11" s="30">
        <v>1</v>
      </c>
      <c r="K11" s="31">
        <v>0</v>
      </c>
      <c r="L11" s="1">
        <v>1</v>
      </c>
      <c r="M11" s="1">
        <v>-1</v>
      </c>
      <c r="N11" s="32">
        <v>2.4981571281570432</v>
      </c>
      <c r="O11" s="32">
        <v>0.30457507903773351</v>
      </c>
      <c r="P11" s="32">
        <v>0.75</v>
      </c>
      <c r="Q11" s="32">
        <v>5.75</v>
      </c>
      <c r="R11" s="32">
        <v>1.7481571281570432</v>
      </c>
      <c r="S11" s="32">
        <v>-5.4454249209622665</v>
      </c>
      <c r="T11" s="32">
        <v>0.5792485665200483</v>
      </c>
      <c r="U11" s="32">
        <v>-0.11266014240186796</v>
      </c>
      <c r="V11" s="32">
        <v>6.0682235801890245</v>
      </c>
      <c r="W11" s="32">
        <v>2.9624935746856438</v>
      </c>
      <c r="X11" s="32">
        <v>0.5792485665200483</v>
      </c>
      <c r="Y11" s="32">
        <v>-0.11266014240186796</v>
      </c>
      <c r="Z11" s="32"/>
    </row>
    <row r="12" spans="1:34" x14ac:dyDescent="0.35">
      <c r="A12" s="19">
        <v>43891</v>
      </c>
      <c r="B12" s="20">
        <f t="shared" si="0"/>
        <v>43881</v>
      </c>
      <c r="C12" s="35">
        <v>41.9</v>
      </c>
      <c r="D12" s="42">
        <v>45</v>
      </c>
      <c r="E12" s="42">
        <v>40</v>
      </c>
      <c r="F12" s="40">
        <f t="shared" ref="F12:F21" si="3">20%+(F11-20%)*0.95</f>
        <v>0.33537499999999998</v>
      </c>
      <c r="G12" s="23">
        <f t="shared" si="1"/>
        <v>0.19178082191780821</v>
      </c>
      <c r="H12" s="28">
        <f t="shared" si="2"/>
        <v>29</v>
      </c>
      <c r="I12" s="29" t="s">
        <v>9</v>
      </c>
      <c r="J12" s="30">
        <v>1</v>
      </c>
      <c r="K12" s="31">
        <v>0</v>
      </c>
      <c r="L12" s="1">
        <v>1</v>
      </c>
      <c r="M12" s="1">
        <v>-1</v>
      </c>
      <c r="N12" s="32">
        <v>1.2874771742439801</v>
      </c>
      <c r="O12" s="32">
        <v>1.5656545160049546</v>
      </c>
      <c r="P12" s="32">
        <v>-3.1000000000000014</v>
      </c>
      <c r="Q12" s="32">
        <v>1.8999999999999986</v>
      </c>
      <c r="R12" s="32">
        <v>4.3874771742439815</v>
      </c>
      <c r="S12" s="32">
        <v>-0.33434548399504394</v>
      </c>
      <c r="T12" s="32">
        <v>0.34004332970466283</v>
      </c>
      <c r="U12" s="32">
        <v>-0.34864179635661507</v>
      </c>
      <c r="V12" s="32">
        <v>6.7230131573909446</v>
      </c>
      <c r="W12" s="32">
        <v>6.7857416211819954</v>
      </c>
      <c r="X12" s="32">
        <v>0.34004332970466283</v>
      </c>
      <c r="Y12" s="32">
        <v>-0.34864179635661507</v>
      </c>
      <c r="Z12" s="32"/>
    </row>
    <row r="13" spans="1:34" x14ac:dyDescent="0.35">
      <c r="A13" s="19">
        <v>43922</v>
      </c>
      <c r="B13" s="20">
        <f t="shared" si="0"/>
        <v>43913</v>
      </c>
      <c r="C13" s="35">
        <v>39.75</v>
      </c>
      <c r="D13" s="42">
        <v>45</v>
      </c>
      <c r="E13" s="42">
        <v>40</v>
      </c>
      <c r="F13" s="40">
        <f t="shared" si="3"/>
        <v>0.32860624999999999</v>
      </c>
      <c r="G13" s="23">
        <f t="shared" si="1"/>
        <v>0.27945205479452057</v>
      </c>
      <c r="H13" s="28">
        <f t="shared" si="2"/>
        <v>31</v>
      </c>
      <c r="I13" s="29" t="s">
        <v>9</v>
      </c>
      <c r="J13" s="30">
        <v>1</v>
      </c>
      <c r="K13" s="31">
        <v>0</v>
      </c>
      <c r="L13" s="1">
        <v>1</v>
      </c>
      <c r="M13" s="1">
        <v>-1</v>
      </c>
      <c r="N13" s="32">
        <v>1.0226367095337494</v>
      </c>
      <c r="O13" s="32">
        <v>2.8866999331369065</v>
      </c>
      <c r="P13" s="32">
        <v>-5.25</v>
      </c>
      <c r="Q13" s="32">
        <v>-0.25</v>
      </c>
      <c r="R13" s="32">
        <v>6.2726367095337494</v>
      </c>
      <c r="S13" s="32">
        <v>3.1366999331369065</v>
      </c>
      <c r="T13" s="32">
        <v>0.26532224718325781</v>
      </c>
      <c r="U13" s="32">
        <v>-0.47980618329574559</v>
      </c>
      <c r="V13" s="32">
        <v>6.8857356286948477</v>
      </c>
      <c r="W13" s="32">
        <v>8.3722307015409161</v>
      </c>
      <c r="X13" s="32">
        <v>0.26532224718325781</v>
      </c>
      <c r="Y13" s="32">
        <v>-0.47980618329574559</v>
      </c>
      <c r="Z13" s="32"/>
    </row>
    <row r="14" spans="1:34" x14ac:dyDescent="0.35">
      <c r="A14" s="19">
        <v>43952</v>
      </c>
      <c r="B14" s="20">
        <f t="shared" si="0"/>
        <v>43943</v>
      </c>
      <c r="C14" s="35">
        <v>39.75</v>
      </c>
      <c r="D14" s="42">
        <v>45</v>
      </c>
      <c r="E14" s="42">
        <v>40</v>
      </c>
      <c r="F14" s="40">
        <f t="shared" si="3"/>
        <v>0.32217593749999995</v>
      </c>
      <c r="G14" s="23">
        <f t="shared" si="1"/>
        <v>0.36164383561643837</v>
      </c>
      <c r="H14" s="28">
        <f t="shared" si="2"/>
        <v>30</v>
      </c>
      <c r="I14" s="29" t="s">
        <v>9</v>
      </c>
      <c r="J14" s="30">
        <v>1</v>
      </c>
      <c r="K14" s="31">
        <v>0</v>
      </c>
      <c r="L14" s="1">
        <v>1</v>
      </c>
      <c r="M14" s="1">
        <v>-1</v>
      </c>
      <c r="N14" s="32">
        <v>1.2904818593643768</v>
      </c>
      <c r="O14" s="32">
        <v>3.203875676036489</v>
      </c>
      <c r="P14" s="32">
        <v>-5.25</v>
      </c>
      <c r="Q14" s="32">
        <v>-0.25</v>
      </c>
      <c r="R14" s="32">
        <v>6.5404818593643768</v>
      </c>
      <c r="S14" s="32">
        <v>3.453875676036489</v>
      </c>
      <c r="T14" s="32">
        <v>0.2934770428139023</v>
      </c>
      <c r="U14" s="32">
        <v>-0.47432637746805884</v>
      </c>
      <c r="V14" s="32">
        <v>8.227302160599919</v>
      </c>
      <c r="W14" s="32">
        <v>9.5166452939922799</v>
      </c>
      <c r="X14" s="32">
        <v>0.2934770428139023</v>
      </c>
      <c r="Y14" s="32">
        <v>-0.47432637746805884</v>
      </c>
      <c r="Z14" s="32"/>
    </row>
    <row r="15" spans="1:34" x14ac:dyDescent="0.35">
      <c r="A15" s="19">
        <v>43983</v>
      </c>
      <c r="B15" s="20">
        <f t="shared" si="0"/>
        <v>43972</v>
      </c>
      <c r="C15" s="35">
        <v>39.75</v>
      </c>
      <c r="D15" s="42">
        <v>45</v>
      </c>
      <c r="E15" s="42">
        <v>40</v>
      </c>
      <c r="F15" s="40">
        <f>20%+(F14-20%)*0.95</f>
        <v>0.31606714062499996</v>
      </c>
      <c r="G15" s="23">
        <f t="shared" si="1"/>
        <v>0.44109589041095892</v>
      </c>
      <c r="H15" s="28">
        <f t="shared" si="2"/>
        <v>31</v>
      </c>
      <c r="I15" s="29" t="s">
        <v>9</v>
      </c>
      <c r="J15" s="30">
        <v>1</v>
      </c>
      <c r="K15" s="31">
        <v>0</v>
      </c>
      <c r="L15" s="1">
        <v>1</v>
      </c>
      <c r="M15" s="1">
        <v>-1</v>
      </c>
      <c r="N15" s="32">
        <v>1.5151422182784557</v>
      </c>
      <c r="O15" s="32">
        <v>3.4596692118041048</v>
      </c>
      <c r="P15" s="32">
        <v>-5.25</v>
      </c>
      <c r="Q15" s="32">
        <v>-0.25</v>
      </c>
      <c r="R15" s="32">
        <v>6.7651422182784557</v>
      </c>
      <c r="S15" s="32">
        <v>3.7096692118041048</v>
      </c>
      <c r="T15" s="32">
        <v>0.31351890258855569</v>
      </c>
      <c r="U15" s="32">
        <v>-0.47011407475246569</v>
      </c>
      <c r="V15" s="32">
        <v>9.3587220485344247</v>
      </c>
      <c r="W15" s="32">
        <v>10.502415404645745</v>
      </c>
      <c r="X15" s="32">
        <v>0.31351890258855569</v>
      </c>
      <c r="Y15" s="32">
        <v>-0.47011407475246569</v>
      </c>
      <c r="Z15" s="32"/>
    </row>
    <row r="16" spans="1:34" x14ac:dyDescent="0.35">
      <c r="A16" s="19">
        <v>44013</v>
      </c>
      <c r="B16" s="20">
        <f t="shared" si="0"/>
        <v>44004</v>
      </c>
      <c r="C16" s="35">
        <v>43.1</v>
      </c>
      <c r="D16" s="42">
        <v>45</v>
      </c>
      <c r="E16" s="42">
        <v>40</v>
      </c>
      <c r="F16" s="40">
        <f t="shared" si="3"/>
        <v>0.31026378359374995</v>
      </c>
      <c r="G16" s="23">
        <f t="shared" si="1"/>
        <v>0.52876712328767128</v>
      </c>
      <c r="H16" s="28">
        <f t="shared" si="2"/>
        <v>30</v>
      </c>
      <c r="I16" s="29" t="s">
        <v>9</v>
      </c>
      <c r="J16" s="30">
        <v>1</v>
      </c>
      <c r="K16" s="31">
        <v>0</v>
      </c>
      <c r="L16" s="1">
        <v>1</v>
      </c>
      <c r="M16" s="1">
        <v>-1</v>
      </c>
      <c r="N16" s="32">
        <v>3.0781758184662245</v>
      </c>
      <c r="O16" s="32">
        <v>2.3832778107217063</v>
      </c>
      <c r="P16" s="32">
        <v>-1.8999999999999986</v>
      </c>
      <c r="Q16" s="32">
        <v>3.1000000000000014</v>
      </c>
      <c r="R16" s="32">
        <v>4.978175818466223</v>
      </c>
      <c r="S16" s="32">
        <v>-0.71672218927829512</v>
      </c>
      <c r="T16" s="32">
        <v>0.46873410718507225</v>
      </c>
      <c r="U16" s="32">
        <v>-0.32872536427950477</v>
      </c>
      <c r="V16" s="32">
        <v>12.464757232774957</v>
      </c>
      <c r="W16" s="32">
        <v>11.331207494849327</v>
      </c>
      <c r="X16" s="32">
        <v>0.46873410718507225</v>
      </c>
      <c r="Y16" s="32">
        <v>-0.32872536427950477</v>
      </c>
      <c r="Z16" s="32"/>
    </row>
    <row r="17" spans="1:26" x14ac:dyDescent="0.35">
      <c r="A17" s="19">
        <v>44044</v>
      </c>
      <c r="B17" s="20">
        <f t="shared" si="0"/>
        <v>44035</v>
      </c>
      <c r="C17" s="35">
        <v>43.1</v>
      </c>
      <c r="D17" s="42">
        <v>45</v>
      </c>
      <c r="E17" s="42">
        <v>40</v>
      </c>
      <c r="F17" s="40">
        <f t="shared" si="3"/>
        <v>0.30475059441406244</v>
      </c>
      <c r="G17" s="23">
        <f t="shared" si="1"/>
        <v>0.61369863013698633</v>
      </c>
      <c r="H17" s="28">
        <f t="shared" si="2"/>
        <v>31</v>
      </c>
      <c r="I17" s="29" t="s">
        <v>9</v>
      </c>
      <c r="J17" s="30">
        <v>1</v>
      </c>
      <c r="K17" s="31">
        <v>0</v>
      </c>
      <c r="L17" s="1">
        <v>1</v>
      </c>
      <c r="M17" s="1">
        <v>-1</v>
      </c>
      <c r="N17" s="32">
        <v>3.3033139746544222</v>
      </c>
      <c r="O17" s="32">
        <v>2.5883532991878813</v>
      </c>
      <c r="P17" s="32">
        <v>-1.8999999999999986</v>
      </c>
      <c r="Q17" s="32">
        <v>3.1000000000000014</v>
      </c>
      <c r="R17" s="32">
        <v>5.2033139746544208</v>
      </c>
      <c r="S17" s="32">
        <v>-0.51164670081212016</v>
      </c>
      <c r="T17" s="32">
        <v>0.47552809161115983</v>
      </c>
      <c r="U17" s="32">
        <v>-0.33293194840412843</v>
      </c>
      <c r="V17" s="32">
        <v>13.444583977985713</v>
      </c>
      <c r="W17" s="32">
        <v>12.269664250152307</v>
      </c>
      <c r="X17" s="32">
        <v>0.47552809161115983</v>
      </c>
      <c r="Y17" s="32">
        <v>-0.33293194840412843</v>
      </c>
      <c r="Z17" s="32"/>
    </row>
    <row r="18" spans="1:26" x14ac:dyDescent="0.35">
      <c r="A18" s="19">
        <v>44075</v>
      </c>
      <c r="B18" s="20">
        <f t="shared" si="0"/>
        <v>44064</v>
      </c>
      <c r="C18" s="35">
        <v>43.1</v>
      </c>
      <c r="D18" s="42">
        <v>45</v>
      </c>
      <c r="E18" s="42">
        <v>40</v>
      </c>
      <c r="F18" s="40">
        <f t="shared" si="3"/>
        <v>0.29951306469335931</v>
      </c>
      <c r="G18" s="23">
        <f t="shared" si="1"/>
        <v>0.69315068493150689</v>
      </c>
      <c r="H18" s="28">
        <f t="shared" si="2"/>
        <v>31</v>
      </c>
      <c r="I18" s="29" t="s">
        <v>9</v>
      </c>
      <c r="J18" s="30">
        <v>1</v>
      </c>
      <c r="K18" s="31">
        <v>0</v>
      </c>
      <c r="L18" s="1">
        <v>1</v>
      </c>
      <c r="M18" s="1">
        <v>-1</v>
      </c>
      <c r="N18" s="32">
        <v>3.4857001904894105</v>
      </c>
      <c r="O18" s="32">
        <v>2.7550324037789373</v>
      </c>
      <c r="P18" s="32">
        <v>-1.8999999999999986</v>
      </c>
      <c r="Q18" s="32">
        <v>3.1000000000000014</v>
      </c>
      <c r="R18" s="32">
        <v>5.3857001904894091</v>
      </c>
      <c r="S18" s="32">
        <v>-0.3449675962210641</v>
      </c>
      <c r="T18" s="32">
        <v>0.4807095740588409</v>
      </c>
      <c r="U18" s="32">
        <v>-0.3358416475640309</v>
      </c>
      <c r="V18" s="32">
        <v>14.298596990583455</v>
      </c>
      <c r="W18" s="32">
        <v>13.084517710862134</v>
      </c>
      <c r="X18" s="32">
        <v>0.4807095740588409</v>
      </c>
      <c r="Y18" s="32">
        <v>-0.3358416475640309</v>
      </c>
      <c r="Z18" s="32"/>
    </row>
    <row r="19" spans="1:26" x14ac:dyDescent="0.35">
      <c r="A19" s="19">
        <v>44105</v>
      </c>
      <c r="B19" s="20">
        <f t="shared" si="0"/>
        <v>44096</v>
      </c>
      <c r="C19" s="35">
        <v>48.75</v>
      </c>
      <c r="D19" s="42">
        <v>45</v>
      </c>
      <c r="E19" s="42">
        <v>40</v>
      </c>
      <c r="F19" s="40">
        <f t="shared" si="3"/>
        <v>0.29453741145869133</v>
      </c>
      <c r="G19" s="23">
        <f t="shared" si="1"/>
        <v>0.78082191780821919</v>
      </c>
      <c r="H19" s="28">
        <f t="shared" si="2"/>
        <v>30</v>
      </c>
      <c r="I19" s="29" t="s">
        <v>9</v>
      </c>
      <c r="J19" s="30">
        <v>1</v>
      </c>
      <c r="K19" s="31">
        <v>0</v>
      </c>
      <c r="L19" s="1">
        <v>1</v>
      </c>
      <c r="M19" s="1">
        <v>-1</v>
      </c>
      <c r="N19" s="32">
        <v>6.9546666185615855</v>
      </c>
      <c r="O19" s="32">
        <v>1.4741341449103658</v>
      </c>
      <c r="P19" s="32">
        <v>3.75</v>
      </c>
      <c r="Q19" s="32">
        <v>8.75</v>
      </c>
      <c r="R19" s="32">
        <v>3.2046666185615855</v>
      </c>
      <c r="S19" s="32">
        <v>-7.2758658550896342</v>
      </c>
      <c r="T19" s="32">
        <v>0.66912693350901653</v>
      </c>
      <c r="U19" s="32">
        <v>-0.186748511027792</v>
      </c>
      <c r="V19" s="32">
        <v>15.615715646919092</v>
      </c>
      <c r="W19" s="32">
        <v>11.562745682854926</v>
      </c>
      <c r="X19" s="32">
        <v>0.66912693350901653</v>
      </c>
      <c r="Y19" s="32">
        <v>-0.186748511027792</v>
      </c>
      <c r="Z19" s="32"/>
    </row>
    <row r="20" spans="1:26" x14ac:dyDescent="0.35">
      <c r="A20" s="19">
        <v>44136</v>
      </c>
      <c r="B20" s="20">
        <f t="shared" si="0"/>
        <v>44126</v>
      </c>
      <c r="C20" s="35">
        <v>48.75</v>
      </c>
      <c r="D20" s="42">
        <v>45</v>
      </c>
      <c r="E20" s="42">
        <v>40</v>
      </c>
      <c r="F20" s="40">
        <f t="shared" si="3"/>
        <v>0.28981054088575675</v>
      </c>
      <c r="G20" s="23">
        <f t="shared" si="1"/>
        <v>0.86301369863013699</v>
      </c>
      <c r="H20" s="28">
        <f t="shared" si="2"/>
        <v>31</v>
      </c>
      <c r="I20" s="29" t="s">
        <v>9</v>
      </c>
      <c r="J20" s="30">
        <v>1</v>
      </c>
      <c r="K20" s="31">
        <v>0</v>
      </c>
      <c r="L20" s="1">
        <v>1</v>
      </c>
      <c r="M20" s="1">
        <v>-1</v>
      </c>
      <c r="N20" s="32">
        <v>7.1132877769238547</v>
      </c>
      <c r="O20" s="32">
        <v>1.5925385148809177</v>
      </c>
      <c r="P20" s="32">
        <v>3.75</v>
      </c>
      <c r="Q20" s="32">
        <v>8.75</v>
      </c>
      <c r="R20" s="32">
        <v>3.3632877769238547</v>
      </c>
      <c r="S20" s="32">
        <v>-7.1574614851190823</v>
      </c>
      <c r="T20" s="32">
        <v>0.66704073423731702</v>
      </c>
      <c r="U20" s="32">
        <v>-0.19238602681094599</v>
      </c>
      <c r="V20" s="32">
        <v>16.458191317128684</v>
      </c>
      <c r="W20" s="32">
        <v>12.380890728335002</v>
      </c>
      <c r="X20" s="32">
        <v>0.66704073423731702</v>
      </c>
      <c r="Y20" s="32">
        <v>-0.19238602681094599</v>
      </c>
      <c r="Z20" s="32"/>
    </row>
    <row r="21" spans="1:26" x14ac:dyDescent="0.35">
      <c r="A21" s="19">
        <v>44166</v>
      </c>
      <c r="B21" s="20">
        <f t="shared" si="0"/>
        <v>44155</v>
      </c>
      <c r="C21" s="35">
        <v>48.75</v>
      </c>
      <c r="D21" s="42">
        <v>45</v>
      </c>
      <c r="E21" s="42">
        <v>40</v>
      </c>
      <c r="F21" s="40">
        <f t="shared" si="3"/>
        <v>0.28532001384146888</v>
      </c>
      <c r="G21" s="23">
        <f t="shared" si="1"/>
        <v>0.94246575342465755</v>
      </c>
      <c r="H21" s="28">
        <f t="shared" si="2"/>
        <v>30</v>
      </c>
      <c r="I21" s="29" t="s">
        <v>9</v>
      </c>
      <c r="J21" s="30">
        <v>1</v>
      </c>
      <c r="K21" s="31">
        <v>0</v>
      </c>
      <c r="L21" s="1">
        <v>1</v>
      </c>
      <c r="M21" s="1">
        <v>-1</v>
      </c>
      <c r="N21" s="32">
        <v>7.2509163417181135</v>
      </c>
      <c r="O21" s="32">
        <v>1.6967311490158483</v>
      </c>
      <c r="P21" s="32">
        <v>3.75</v>
      </c>
      <c r="Q21" s="32">
        <v>8.75</v>
      </c>
      <c r="R21" s="32">
        <v>3.5009163417181135</v>
      </c>
      <c r="S21" s="32">
        <v>-7.0532688509841517</v>
      </c>
      <c r="T21" s="32">
        <v>0.66542502994653396</v>
      </c>
      <c r="U21" s="32">
        <v>-0.19698314670080938</v>
      </c>
      <c r="V21" s="32">
        <v>17.232031783448225</v>
      </c>
      <c r="W21" s="32">
        <v>13.125741045581824</v>
      </c>
      <c r="X21" s="32">
        <v>0.66542502994653396</v>
      </c>
      <c r="Y21" s="32">
        <v>-0.19698314670080938</v>
      </c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1"/>
      <c r="I22" s="22"/>
      <c r="J22" s="22"/>
      <c r="K22" s="22"/>
      <c r="L22" s="23"/>
      <c r="M22" s="23"/>
      <c r="N22" s="18"/>
      <c r="O22" s="18"/>
      <c r="P22" s="24"/>
      <c r="Q22" s="24"/>
      <c r="R22" s="25"/>
      <c r="S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</sheetData>
  <dataValidations count="1">
    <dataValidation type="list" allowBlank="1" showInputMessage="1" showErrorMessage="1" sqref="I10:I21" xr:uid="{0AD6AC8A-5067-4CEB-B2AF-9C5A720709D8}">
      <formula1>$J$5:$J$7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DD219-5BA2-4794-8D7B-E6E44C09AE29}">
  <sheetPr codeName="Sheet5"/>
  <dimension ref="A1:BB23"/>
  <sheetViews>
    <sheetView zoomScale="55" zoomScaleNormal="55" workbookViewId="0">
      <selection activeCell="B3" sqref="A3:B3"/>
    </sheetView>
  </sheetViews>
  <sheetFormatPr defaultRowHeight="14.5" x14ac:dyDescent="0.35"/>
  <cols>
    <col min="1" max="4" width="14.453125" style="1" customWidth="1"/>
    <col min="5" max="5" width="16.08984375" style="1" bestFit="1" customWidth="1"/>
    <col min="6" max="6" width="15.7265625" style="1" bestFit="1" customWidth="1"/>
    <col min="7" max="8" width="14.453125" style="1" customWidth="1"/>
    <col min="9" max="9" width="15.1796875" style="1" customWidth="1"/>
    <col min="10" max="10" width="18" style="1" customWidth="1"/>
    <col min="11" max="12" width="15.1796875" style="1" customWidth="1"/>
    <col min="13" max="13" width="12.54296875" style="1" customWidth="1"/>
    <col min="14" max="14" width="14" style="1" bestFit="1" customWidth="1"/>
    <col min="15" max="15" width="14.81640625" style="1" customWidth="1"/>
    <col min="16" max="16" width="10.7265625" style="1" bestFit="1" customWidth="1"/>
    <col min="17" max="18" width="14.1796875" style="1" customWidth="1"/>
    <col min="19" max="19" width="13.81640625" style="1" bestFit="1" customWidth="1"/>
    <col min="20" max="21" width="13.81640625" style="1" customWidth="1"/>
    <col min="22" max="22" width="15.453125" style="1" bestFit="1" customWidth="1"/>
    <col min="23" max="24" width="15.453125" style="1" customWidth="1"/>
    <col min="25" max="33" width="13.26953125" style="1" customWidth="1"/>
    <col min="34" max="40" width="18.453125" style="1" customWidth="1"/>
    <col min="41" max="41" width="22.1796875" style="1" bestFit="1" customWidth="1"/>
    <col min="42" max="42" width="18.453125" style="1" customWidth="1"/>
    <col min="43" max="46" width="20.6328125" style="1" customWidth="1"/>
    <col min="47" max="54" width="21.81640625" style="1" customWidth="1"/>
    <col min="55" max="16384" width="8.7265625" style="1"/>
  </cols>
  <sheetData>
    <row r="1" spans="1:54" ht="40" customHeight="1" thickBot="1" x14ac:dyDescent="0.4">
      <c r="AF1" s="110" t="s">
        <v>101</v>
      </c>
      <c r="AG1" s="110"/>
      <c r="AH1" s="110"/>
      <c r="AI1" s="110"/>
      <c r="AJ1" s="110"/>
      <c r="AK1" s="110"/>
      <c r="AL1" s="110"/>
    </row>
    <row r="2" spans="1:54" ht="16" thickBot="1" x14ac:dyDescent="0.4">
      <c r="I2" s="4" t="s">
        <v>144</v>
      </c>
      <c r="J2" s="5"/>
      <c r="K2" s="5"/>
      <c r="L2" s="111" t="s">
        <v>142</v>
      </c>
      <c r="N2" s="53" t="s">
        <v>116</v>
      </c>
      <c r="O2" s="53"/>
      <c r="Q2" s="53" t="s">
        <v>117</v>
      </c>
      <c r="R2" s="53"/>
      <c r="T2" s="53" t="s">
        <v>112</v>
      </c>
      <c r="U2" s="53"/>
      <c r="V2" s="53"/>
      <c r="X2" s="53" t="s">
        <v>93</v>
      </c>
      <c r="Y2" s="27"/>
      <c r="Z2" s="27"/>
      <c r="AB2" s="27" t="s">
        <v>97</v>
      </c>
      <c r="AC2" s="27"/>
      <c r="AD2" s="27"/>
      <c r="AF2" s="27" t="s">
        <v>102</v>
      </c>
      <c r="AG2" s="27" t="s">
        <v>100</v>
      </c>
      <c r="AH2" s="27" t="s">
        <v>103</v>
      </c>
      <c r="AI2" s="27" t="s">
        <v>104</v>
      </c>
      <c r="AJ2" s="27" t="s">
        <v>105</v>
      </c>
      <c r="AK2" s="27" t="s">
        <v>106</v>
      </c>
      <c r="AL2" s="27" t="s">
        <v>107</v>
      </c>
    </row>
    <row r="3" spans="1:54" ht="15" thickBot="1" x14ac:dyDescent="0.4">
      <c r="A3" s="2" t="s">
        <v>0</v>
      </c>
      <c r="B3" s="3">
        <v>43811</v>
      </c>
      <c r="I3" s="7" t="s">
        <v>140</v>
      </c>
      <c r="J3" s="112"/>
      <c r="K3" s="112"/>
      <c r="L3" s="9"/>
      <c r="N3" s="72" t="s">
        <v>83</v>
      </c>
      <c r="O3" s="71">
        <f>(SUM(K10:K21)-SUM(C10:C21))*$L$4*12</f>
        <v>-569398.20000000007</v>
      </c>
      <c r="Q3" s="72" t="s">
        <v>92</v>
      </c>
      <c r="R3" s="69">
        <f>(Z4*AD6)+(Z3*V5)</f>
        <v>7.2330759199353001E-2</v>
      </c>
      <c r="T3" s="1" t="s">
        <v>112</v>
      </c>
      <c r="V3" s="52">
        <v>0.05</v>
      </c>
      <c r="X3" s="54" t="s">
        <v>94</v>
      </c>
      <c r="Y3" s="54"/>
      <c r="Z3" s="55">
        <v>0.28999999999999998</v>
      </c>
      <c r="AB3" s="54" t="s">
        <v>98</v>
      </c>
      <c r="AC3" s="54"/>
      <c r="AD3" s="55">
        <v>0.01</v>
      </c>
      <c r="AF3" s="56" t="s">
        <v>108</v>
      </c>
      <c r="AG3" s="57">
        <v>1.23</v>
      </c>
      <c r="AH3" s="58">
        <v>520</v>
      </c>
      <c r="AI3" s="58">
        <v>1125</v>
      </c>
      <c r="AJ3" s="59">
        <f>AH3/AI3</f>
        <v>0.4622222222222222</v>
      </c>
      <c r="AK3" s="60">
        <v>0.31</v>
      </c>
      <c r="AL3" s="61">
        <f>AG3/((1+(1-AK3)*AJ3))</f>
        <v>0.93257177517185608</v>
      </c>
    </row>
    <row r="4" spans="1:54" x14ac:dyDescent="0.35">
      <c r="I4" s="7" t="s">
        <v>90</v>
      </c>
      <c r="J4" s="112"/>
      <c r="K4" s="112" t="s">
        <v>91</v>
      </c>
      <c r="L4" s="9">
        <v>100</v>
      </c>
      <c r="N4" s="72" t="s">
        <v>82</v>
      </c>
      <c r="O4" s="71">
        <f>O5-O3</f>
        <v>569394.05134020047</v>
      </c>
      <c r="Q4" s="72" t="s">
        <v>120</v>
      </c>
      <c r="R4" s="70">
        <f>NPV($R$3/12,AL10:AL21)</f>
        <v>-3.9972555544444135</v>
      </c>
      <c r="T4" s="1" t="s">
        <v>89</v>
      </c>
      <c r="V4" s="52">
        <v>0.17</v>
      </c>
      <c r="X4" s="54" t="s">
        <v>95</v>
      </c>
      <c r="Y4" s="62"/>
      <c r="Z4" s="55">
        <v>0.71</v>
      </c>
      <c r="AB4" s="54" t="s">
        <v>99</v>
      </c>
      <c r="AC4" s="54"/>
      <c r="AD4" s="55">
        <v>0.06</v>
      </c>
      <c r="AF4" s="56" t="s">
        <v>109</v>
      </c>
      <c r="AG4" s="57">
        <v>1.31</v>
      </c>
      <c r="AH4" s="58">
        <v>500</v>
      </c>
      <c r="AI4" s="58">
        <v>868</v>
      </c>
      <c r="AJ4" s="59">
        <f>AH4/AI4</f>
        <v>0.57603686635944695</v>
      </c>
      <c r="AK4" s="60">
        <v>0.3</v>
      </c>
      <c r="AL4" s="61">
        <f>AG4/((1+(1-AK4)*AJ4))</f>
        <v>0.93356321839080469</v>
      </c>
    </row>
    <row r="5" spans="1:54" x14ac:dyDescent="0.35">
      <c r="I5" s="7" t="s">
        <v>23</v>
      </c>
      <c r="J5" s="112"/>
      <c r="K5" s="112" t="s">
        <v>9</v>
      </c>
      <c r="L5" s="11">
        <v>1</v>
      </c>
      <c r="N5" s="72" t="s">
        <v>81</v>
      </c>
      <c r="O5" s="71">
        <f>SUM(AL10:AL21)</f>
        <v>-4.1486597995737213</v>
      </c>
      <c r="Q5" s="72" t="s">
        <v>114</v>
      </c>
      <c r="R5" s="69">
        <v>7.1988E-3</v>
      </c>
      <c r="T5" s="63" t="s">
        <v>113</v>
      </c>
      <c r="U5" s="63"/>
      <c r="V5" s="64">
        <f>V3*(1-V4)</f>
        <v>4.1500000000000002E-2</v>
      </c>
      <c r="X5" s="63" t="s">
        <v>96</v>
      </c>
      <c r="Y5" s="63"/>
      <c r="Z5" s="64">
        <f>Z3/Z4</f>
        <v>0.40845070422535212</v>
      </c>
      <c r="AB5" s="62" t="s">
        <v>100</v>
      </c>
      <c r="AC5" s="62"/>
      <c r="AD5" s="65">
        <f>AL6*(1+(1-V4)*Z5)</f>
        <v>1.2487267417688501</v>
      </c>
      <c r="AF5" s="56" t="s">
        <v>110</v>
      </c>
      <c r="AG5" s="57">
        <v>1.1499999999999999</v>
      </c>
      <c r="AH5" s="58">
        <v>460</v>
      </c>
      <c r="AI5" s="58">
        <v>787.5</v>
      </c>
      <c r="AJ5" s="59">
        <f>AH5/AI5</f>
        <v>0.58412698412698416</v>
      </c>
      <c r="AK5" s="60">
        <v>0.28999999999999998</v>
      </c>
      <c r="AL5" s="61">
        <f>AG5/((1+(1-AK5)*AJ5))</f>
        <v>0.81287586392603883</v>
      </c>
    </row>
    <row r="6" spans="1:54" x14ac:dyDescent="0.35">
      <c r="B6" s="10"/>
      <c r="I6" s="7" t="s">
        <v>3</v>
      </c>
      <c r="J6" s="112"/>
      <c r="K6" s="112" t="s">
        <v>4</v>
      </c>
      <c r="L6" s="11">
        <v>0.35</v>
      </c>
      <c r="N6" s="72" t="s">
        <v>84</v>
      </c>
      <c r="O6" s="31">
        <f>O5/(SUM(AO10:AO21)*$L$4*12)</f>
        <v>1.2165641057078737E-6</v>
      </c>
      <c r="Q6" s="72" t="s">
        <v>121</v>
      </c>
      <c r="R6" s="70">
        <f>NPV($R$5/12,AL10:AL21)</f>
        <v>-4.1332371053791883</v>
      </c>
      <c r="AB6" s="63" t="s">
        <v>97</v>
      </c>
      <c r="AC6" s="63"/>
      <c r="AD6" s="64">
        <f>AD3+AD4*AD5</f>
        <v>8.4923604506130998E-2</v>
      </c>
      <c r="AF6" s="66" t="s">
        <v>111</v>
      </c>
      <c r="AG6" s="67">
        <f>MEDIAN(AG3:AG5)</f>
        <v>1.23</v>
      </c>
      <c r="AH6" s="66"/>
      <c r="AI6" s="66"/>
      <c r="AJ6" s="64">
        <f>MEDIAN(AJ3:AJ5)</f>
        <v>0.57603686635944695</v>
      </c>
      <c r="AK6" s="66"/>
      <c r="AL6" s="68">
        <f>MEDIAN(AL3:AL5)</f>
        <v>0.93257177517185608</v>
      </c>
    </row>
    <row r="7" spans="1:54" ht="15" thickBot="1" x14ac:dyDescent="0.4">
      <c r="I7" s="12" t="s">
        <v>5</v>
      </c>
      <c r="J7" s="13"/>
      <c r="K7" s="13" t="s">
        <v>6</v>
      </c>
      <c r="L7" s="14">
        <v>0.65</v>
      </c>
      <c r="N7" s="72" t="s">
        <v>122</v>
      </c>
    </row>
    <row r="8" spans="1:5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54" ht="14.5" customHeight="1" x14ac:dyDescent="0.35">
      <c r="A9" s="26" t="s">
        <v>7</v>
      </c>
      <c r="B9" s="26" t="s">
        <v>8</v>
      </c>
      <c r="C9" s="33" t="s">
        <v>13</v>
      </c>
      <c r="D9" s="37" t="s">
        <v>148</v>
      </c>
      <c r="E9" s="37" t="s">
        <v>149</v>
      </c>
      <c r="F9" s="37" t="s">
        <v>46</v>
      </c>
      <c r="G9" s="37" t="s">
        <v>47</v>
      </c>
      <c r="H9" s="37" t="s">
        <v>62</v>
      </c>
      <c r="I9" s="38" t="s">
        <v>10</v>
      </c>
      <c r="J9" s="17" t="s">
        <v>12</v>
      </c>
      <c r="K9" s="104" t="s">
        <v>150</v>
      </c>
      <c r="L9" s="104" t="s">
        <v>85</v>
      </c>
      <c r="M9" s="104" t="s">
        <v>123</v>
      </c>
      <c r="N9" s="104" t="s">
        <v>79</v>
      </c>
      <c r="O9" s="104" t="s">
        <v>86</v>
      </c>
      <c r="P9" s="104" t="s">
        <v>21</v>
      </c>
      <c r="Q9" s="104" t="s">
        <v>48</v>
      </c>
      <c r="R9" s="104" t="s">
        <v>49</v>
      </c>
      <c r="S9" s="104" t="s">
        <v>63</v>
      </c>
      <c r="T9" s="104" t="s">
        <v>50</v>
      </c>
      <c r="U9" s="104" t="s">
        <v>51</v>
      </c>
      <c r="V9" s="104" t="s">
        <v>64</v>
      </c>
      <c r="W9" s="104" t="s">
        <v>119</v>
      </c>
      <c r="X9" s="104" t="s">
        <v>52</v>
      </c>
      <c r="Y9" s="104" t="s">
        <v>53</v>
      </c>
      <c r="Z9" s="104" t="s">
        <v>65</v>
      </c>
      <c r="AA9" s="104" t="s">
        <v>54</v>
      </c>
      <c r="AB9" s="104" t="s">
        <v>55</v>
      </c>
      <c r="AC9" s="104" t="s">
        <v>66</v>
      </c>
      <c r="AD9" s="104" t="s">
        <v>56</v>
      </c>
      <c r="AE9" s="104" t="s">
        <v>57</v>
      </c>
      <c r="AF9" s="104" t="s">
        <v>67</v>
      </c>
      <c r="AG9" s="104" t="s">
        <v>58</v>
      </c>
      <c r="AH9" s="104" t="s">
        <v>59</v>
      </c>
      <c r="AI9" s="104" t="s">
        <v>68</v>
      </c>
      <c r="AJ9" s="104" t="s">
        <v>60</v>
      </c>
      <c r="AK9" s="104" t="s">
        <v>61</v>
      </c>
      <c r="AL9" s="104" t="s">
        <v>69</v>
      </c>
      <c r="AM9" s="104" t="s">
        <v>118</v>
      </c>
      <c r="AN9" s="104" t="s">
        <v>115</v>
      </c>
      <c r="AO9" s="104" t="s">
        <v>81</v>
      </c>
      <c r="AP9" s="104" t="s">
        <v>87</v>
      </c>
      <c r="AQ9" s="104" t="s">
        <v>88</v>
      </c>
      <c r="AR9" s="104" t="s">
        <v>147</v>
      </c>
      <c r="AS9" s="104" t="s">
        <v>151</v>
      </c>
      <c r="AT9" s="104" t="s">
        <v>152</v>
      </c>
      <c r="AU9" s="104" t="s">
        <v>153</v>
      </c>
      <c r="AV9" s="104" t="s">
        <v>154</v>
      </c>
      <c r="AW9" s="104" t="s">
        <v>155</v>
      </c>
      <c r="AX9" s="104" t="s">
        <v>156</v>
      </c>
      <c r="AY9" s="104" t="s">
        <v>157</v>
      </c>
      <c r="AZ9" s="104" t="s">
        <v>158</v>
      </c>
      <c r="BA9" s="104" t="s">
        <v>160</v>
      </c>
      <c r="BB9" s="104" t="s">
        <v>145</v>
      </c>
    </row>
    <row r="10" spans="1:54" x14ac:dyDescent="0.35">
      <c r="A10" s="19">
        <v>43831</v>
      </c>
      <c r="B10" s="20">
        <f>WORKDAY(A10,-7)</f>
        <v>43822</v>
      </c>
      <c r="C10" s="35">
        <f>L10*M10</f>
        <v>41.087999999999994</v>
      </c>
      <c r="D10" s="42">
        <v>43</v>
      </c>
      <c r="E10" s="42">
        <v>42</v>
      </c>
      <c r="F10" s="42">
        <v>43</v>
      </c>
      <c r="G10" s="42">
        <v>42</v>
      </c>
      <c r="H10" s="42">
        <v>41</v>
      </c>
      <c r="I10" s="40">
        <v>0.35</v>
      </c>
      <c r="J10" s="23">
        <f>(B10-$B$3)/365</f>
        <v>3.0136986301369864E-2</v>
      </c>
      <c r="K10" s="35"/>
      <c r="L10" s="35">
        <v>42.8</v>
      </c>
      <c r="M10" s="52">
        <v>0.96</v>
      </c>
      <c r="N10" s="51">
        <v>39.5</v>
      </c>
      <c r="O10" s="1">
        <v>1</v>
      </c>
      <c r="P10" s="31">
        <v>0</v>
      </c>
      <c r="Q10" s="1">
        <v>1</v>
      </c>
      <c r="R10" s="1">
        <v>-1</v>
      </c>
      <c r="S10" s="1">
        <v>-1</v>
      </c>
      <c r="T10" s="46">
        <v>0.94278316250645844</v>
      </c>
      <c r="U10" s="46">
        <v>0.67674476218737389</v>
      </c>
      <c r="V10" s="46">
        <v>0.35919191957667174</v>
      </c>
      <c r="W10" s="46">
        <f t="shared" ref="W10:W21" si="0">F10-N10</f>
        <v>3.5</v>
      </c>
      <c r="X10" s="46">
        <v>-0.20000000000000284</v>
      </c>
      <c r="Y10" s="46">
        <v>0.79999999999999716</v>
      </c>
      <c r="Z10" s="46">
        <v>1.7999999999999972</v>
      </c>
      <c r="AA10" s="46">
        <v>1.1427831625064613</v>
      </c>
      <c r="AB10" s="46">
        <v>-1.1232552378126233</v>
      </c>
      <c r="AC10" s="46">
        <v>-1.4408080804233254</v>
      </c>
      <c r="AD10" s="46">
        <v>0.48149094728640646</v>
      </c>
      <c r="AE10" s="46">
        <v>-0.36726113187488985</v>
      </c>
      <c r="AF10" s="46">
        <v>-0.23149390516978136</v>
      </c>
      <c r="AG10" s="46">
        <v>2.9609913805422092</v>
      </c>
      <c r="AH10" s="46">
        <v>2.7968121402506902</v>
      </c>
      <c r="AI10" s="46">
        <v>2.2582890333741852</v>
      </c>
      <c r="AJ10" s="46">
        <v>0.48149094728640646</v>
      </c>
      <c r="AK10" s="46">
        <v>-0.36726113187488985</v>
      </c>
      <c r="AL10" s="46">
        <v>-0.23149390516978136</v>
      </c>
      <c r="AM10" s="46">
        <f t="shared" ref="AM10:AM21" si="1">-T10+U10+V10</f>
        <v>9.3153519257587192E-2</v>
      </c>
      <c r="AN10" s="46">
        <f t="shared" ref="AN10:AN21" si="2">N10-F10+AM10</f>
        <v>-3.4068464807424128</v>
      </c>
      <c r="AO10" s="46">
        <f>AN10*$L$4</f>
        <v>-340.6846480742413</v>
      </c>
      <c r="AP10" s="70">
        <f t="shared" ref="AP10:AP21" si="3">NPV($R$3/12,AO10)</f>
        <v>-338.6434532350429</v>
      </c>
      <c r="AQ10" s="70">
        <f t="shared" ref="AQ10:AQ21" si="4">NPV($R$5/12,AO10)</f>
        <v>-340.48039388594907</v>
      </c>
      <c r="AR10" s="24">
        <f t="shared" ref="AR10:AR21" si="5">F10*J10/SQRT(365)*NORMSINV(0.95)</f>
        <v>0.11157042844936611</v>
      </c>
      <c r="AS10" s="24">
        <f t="shared" ref="AS10:AS21" si="6">I10*M10/SQRT(365)*NORMSINV(0.95)</f>
        <v>2.8928112780190821E-2</v>
      </c>
      <c r="AT10" s="24">
        <f t="shared" ref="AT10:AT21" si="7">J10*N10/SQRT(365)*NORMSINV(0.95)</f>
        <v>0.10248911450581306</v>
      </c>
      <c r="AU10" s="24">
        <f t="shared" ref="AU10:AU21" si="8">K10*O10/SQRT(365)*NORMSINV(0.95)</f>
        <v>0</v>
      </c>
      <c r="AV10" s="24">
        <f t="shared" ref="AV10:AV21" si="9">L10*P10/SQRT(365)*NORMSINV(0.95)</f>
        <v>0</v>
      </c>
      <c r="BA10" s="1">
        <f>DAY(EOMONTH(B10,0))</f>
        <v>31</v>
      </c>
    </row>
    <row r="11" spans="1:54" x14ac:dyDescent="0.35">
      <c r="A11" s="19">
        <v>43862</v>
      </c>
      <c r="B11" s="20">
        <f t="shared" ref="B11:B21" si="10">WORKDAY(A11,-7)</f>
        <v>43853</v>
      </c>
      <c r="C11" s="35">
        <f t="shared" ref="C11:C21" si="11">L11*M11</f>
        <v>43.462499999999999</v>
      </c>
      <c r="D11" s="42">
        <v>43</v>
      </c>
      <c r="E11" s="42">
        <v>42</v>
      </c>
      <c r="F11" s="42">
        <v>43</v>
      </c>
      <c r="G11" s="42">
        <v>42</v>
      </c>
      <c r="H11" s="42">
        <v>41</v>
      </c>
      <c r="I11" s="40">
        <f>20%+(I10-20%)*0.95</f>
        <v>0.34249999999999997</v>
      </c>
      <c r="J11" s="23">
        <f t="shared" ref="J11:J21" si="12">(B11-$B$3)/365</f>
        <v>0.11506849315068493</v>
      </c>
      <c r="K11" s="35"/>
      <c r="L11" s="35">
        <v>45.75</v>
      </c>
      <c r="M11" s="52">
        <v>0.95</v>
      </c>
      <c r="N11" s="51">
        <v>39.5</v>
      </c>
      <c r="O11" s="1">
        <v>1</v>
      </c>
      <c r="P11" s="31">
        <v>0</v>
      </c>
      <c r="Q11" s="1">
        <v>1</v>
      </c>
      <c r="R11" s="1">
        <v>-1</v>
      </c>
      <c r="S11" s="1">
        <v>-1</v>
      </c>
      <c r="T11" s="46">
        <v>3.7160546147892539</v>
      </c>
      <c r="U11" s="46">
        <v>0.68353335756679456</v>
      </c>
      <c r="V11" s="46">
        <v>0.46581021297874514</v>
      </c>
      <c r="W11" s="46">
        <f t="shared" si="0"/>
        <v>3.5</v>
      </c>
      <c r="X11" s="46">
        <v>2.75</v>
      </c>
      <c r="Y11" s="46">
        <v>3.75</v>
      </c>
      <c r="Z11" s="46">
        <v>4.75</v>
      </c>
      <c r="AA11" s="46">
        <v>0.96605461478925392</v>
      </c>
      <c r="AB11" s="46">
        <v>-4.0664666424332054</v>
      </c>
      <c r="AC11" s="46">
        <v>-4.2841897870212549</v>
      </c>
      <c r="AD11" s="46">
        <v>0.72267010638770346</v>
      </c>
      <c r="AE11" s="46">
        <v>-0.21386746101898643</v>
      </c>
      <c r="AF11" s="46">
        <v>-0.15859959960008205</v>
      </c>
      <c r="AG11" s="46">
        <v>5.1970582110216448</v>
      </c>
      <c r="AH11" s="46">
        <v>4.5165264039782711</v>
      </c>
      <c r="AI11" s="46">
        <v>3.7490340966497171</v>
      </c>
      <c r="AJ11" s="46">
        <v>0.72267010638770346</v>
      </c>
      <c r="AK11" s="46">
        <v>-0.21386746101898643</v>
      </c>
      <c r="AL11" s="46">
        <v>-0.15859959960008205</v>
      </c>
      <c r="AM11" s="46">
        <f t="shared" si="1"/>
        <v>-2.5667110442437142</v>
      </c>
      <c r="AN11" s="46">
        <f t="shared" si="2"/>
        <v>-6.0667110442437142</v>
      </c>
      <c r="AO11" s="46">
        <f t="shared" ref="AO11:AO21" si="13">AN11*$L$4</f>
        <v>-606.67110442437138</v>
      </c>
      <c r="AP11" s="70">
        <f t="shared" si="3"/>
        <v>-603.03626518391354</v>
      </c>
      <c r="AQ11" s="70">
        <f t="shared" si="4"/>
        <v>-606.30738062673333</v>
      </c>
      <c r="AR11" s="24">
        <f t="shared" si="5"/>
        <v>0.42599618135212514</v>
      </c>
      <c r="AS11" s="24">
        <f t="shared" si="6"/>
        <v>2.8013347309091035E-2</v>
      </c>
      <c r="AT11" s="24">
        <f t="shared" si="7"/>
        <v>0.39132207356764986</v>
      </c>
      <c r="AU11" s="24">
        <f t="shared" si="8"/>
        <v>0</v>
      </c>
      <c r="AV11" s="24">
        <f t="shared" si="9"/>
        <v>0</v>
      </c>
      <c r="BA11" s="1">
        <f>DAY(EOMONTH(B11,0))+BA10</f>
        <v>62</v>
      </c>
    </row>
    <row r="12" spans="1:54" x14ac:dyDescent="0.35">
      <c r="A12" s="19">
        <v>43891</v>
      </c>
      <c r="B12" s="20">
        <f t="shared" si="10"/>
        <v>43881</v>
      </c>
      <c r="C12" s="35">
        <f t="shared" si="11"/>
        <v>39.385999999999996</v>
      </c>
      <c r="D12" s="42">
        <v>43</v>
      </c>
      <c r="E12" s="42">
        <v>42</v>
      </c>
      <c r="F12" s="42">
        <v>43</v>
      </c>
      <c r="G12" s="42">
        <v>42</v>
      </c>
      <c r="H12" s="42">
        <v>41</v>
      </c>
      <c r="I12" s="40">
        <f t="shared" ref="I12:I21" si="14">20%+(I11-20%)*0.95</f>
        <v>0.33537499999999998</v>
      </c>
      <c r="J12" s="23">
        <f t="shared" si="12"/>
        <v>0.19178082191780821</v>
      </c>
      <c r="K12" s="35"/>
      <c r="L12" s="35">
        <v>41.9</v>
      </c>
      <c r="M12" s="52">
        <v>0.94</v>
      </c>
      <c r="N12" s="51">
        <v>39.5</v>
      </c>
      <c r="O12" s="1">
        <v>1</v>
      </c>
      <c r="P12" s="31">
        <v>0</v>
      </c>
      <c r="Q12" s="1">
        <v>1</v>
      </c>
      <c r="R12" s="1">
        <v>-1</v>
      </c>
      <c r="S12" s="1">
        <v>-1</v>
      </c>
      <c r="T12" s="46">
        <v>1.9735357402629106</v>
      </c>
      <c r="U12" s="46">
        <v>2.5060782758529569</v>
      </c>
      <c r="V12" s="46">
        <v>2.0029069668187418</v>
      </c>
      <c r="W12" s="46">
        <f t="shared" si="0"/>
        <v>3.5</v>
      </c>
      <c r="X12" s="46">
        <v>-1.1000000000000014</v>
      </c>
      <c r="Y12" s="46">
        <v>-0.10000000000000142</v>
      </c>
      <c r="Z12" s="46">
        <v>0.89999999999999858</v>
      </c>
      <c r="AA12" s="46">
        <v>3.073535740262912</v>
      </c>
      <c r="AB12" s="46">
        <v>1.6060782758529584</v>
      </c>
      <c r="AC12" s="46">
        <v>1.1029069668187432</v>
      </c>
      <c r="AD12" s="46">
        <v>0.45896465895125904</v>
      </c>
      <c r="AE12" s="46">
        <v>-0.47725390946078561</v>
      </c>
      <c r="AF12" s="46">
        <v>-0.41254848100229408</v>
      </c>
      <c r="AG12" s="46">
        <v>7.2815169664343662</v>
      </c>
      <c r="AH12" s="46">
        <v>7.3082946955581312</v>
      </c>
      <c r="AI12" s="46">
        <v>7.1432153286391618</v>
      </c>
      <c r="AJ12" s="46">
        <v>0.45896465895125904</v>
      </c>
      <c r="AK12" s="46">
        <v>-0.47725390946078561</v>
      </c>
      <c r="AL12" s="46">
        <v>-0.41254848100229408</v>
      </c>
      <c r="AM12" s="46">
        <f t="shared" si="1"/>
        <v>2.5354495024087882</v>
      </c>
      <c r="AN12" s="46">
        <f t="shared" si="2"/>
        <v>-0.96455049759121181</v>
      </c>
      <c r="AO12" s="46">
        <f t="shared" si="13"/>
        <v>-96.455049759121181</v>
      </c>
      <c r="AP12" s="70">
        <f t="shared" si="3"/>
        <v>-95.877144206593783</v>
      </c>
      <c r="AQ12" s="70">
        <f t="shared" si="4"/>
        <v>-96.397221066203556</v>
      </c>
      <c r="AR12" s="24">
        <f t="shared" si="5"/>
        <v>0.70999363558687534</v>
      </c>
      <c r="AS12" s="24">
        <f t="shared" si="6"/>
        <v>2.7141844863800915E-2</v>
      </c>
      <c r="AT12" s="24">
        <f t="shared" si="7"/>
        <v>0.65220345594608309</v>
      </c>
      <c r="AU12" s="24">
        <f t="shared" si="8"/>
        <v>0</v>
      </c>
      <c r="AV12" s="24">
        <f t="shared" si="9"/>
        <v>0</v>
      </c>
      <c r="BA12" s="1">
        <f t="shared" ref="BA12:BA21" si="15">DAY(EOMONTH(B12,0))+BA11</f>
        <v>91</v>
      </c>
    </row>
    <row r="13" spans="1:54" x14ac:dyDescent="0.35">
      <c r="A13" s="19">
        <v>43922</v>
      </c>
      <c r="B13" s="20">
        <f t="shared" si="10"/>
        <v>43913</v>
      </c>
      <c r="C13" s="35">
        <f t="shared" si="11"/>
        <v>36.967500000000001</v>
      </c>
      <c r="D13" s="42">
        <v>43</v>
      </c>
      <c r="E13" s="42">
        <v>42</v>
      </c>
      <c r="F13" s="42">
        <v>43</v>
      </c>
      <c r="G13" s="42">
        <v>42</v>
      </c>
      <c r="H13" s="42">
        <v>41</v>
      </c>
      <c r="I13" s="40">
        <f t="shared" si="14"/>
        <v>0.32860624999999999</v>
      </c>
      <c r="J13" s="23">
        <f t="shared" si="12"/>
        <v>0.27945205479452057</v>
      </c>
      <c r="K13" s="35"/>
      <c r="L13" s="35">
        <v>39.75</v>
      </c>
      <c r="M13" s="52">
        <v>0.93</v>
      </c>
      <c r="N13" s="51">
        <v>39.5</v>
      </c>
      <c r="O13" s="1">
        <v>1</v>
      </c>
      <c r="P13" s="31">
        <v>0</v>
      </c>
      <c r="Q13" s="1">
        <v>1</v>
      </c>
      <c r="R13" s="1">
        <v>-1</v>
      </c>
      <c r="S13" s="1">
        <v>-1</v>
      </c>
      <c r="T13" s="46">
        <v>1.5259973080731406</v>
      </c>
      <c r="U13" s="46">
        <v>4.0946569913331992</v>
      </c>
      <c r="V13" s="46">
        <v>3.4636709368339496</v>
      </c>
      <c r="W13" s="46">
        <f t="shared" si="0"/>
        <v>3.5</v>
      </c>
      <c r="X13" s="46">
        <v>-3.25</v>
      </c>
      <c r="Y13" s="46">
        <v>-2.25</v>
      </c>
      <c r="Z13" s="46">
        <v>-1.25</v>
      </c>
      <c r="AA13" s="46">
        <v>4.7759973080731406</v>
      </c>
      <c r="AB13" s="46">
        <v>5.3446569913331992</v>
      </c>
      <c r="AC13" s="46">
        <v>4.7136709368339496</v>
      </c>
      <c r="AD13" s="46">
        <v>0.35738569093574224</v>
      </c>
      <c r="AE13" s="46">
        <v>-0.59098258195815656</v>
      </c>
      <c r="AF13" s="46">
        <v>-0.5364239240321832</v>
      </c>
      <c r="AG13" s="46">
        <v>7.84112028801521</v>
      </c>
      <c r="AH13" s="46">
        <v>8.1639653754695303</v>
      </c>
      <c r="AI13" s="46">
        <v>8.3480827519735623</v>
      </c>
      <c r="AJ13" s="46">
        <v>0.35738569093574224</v>
      </c>
      <c r="AK13" s="46">
        <v>-0.59098258195815656</v>
      </c>
      <c r="AL13" s="46">
        <v>-0.5364239240321832</v>
      </c>
      <c r="AM13" s="46">
        <f t="shared" si="1"/>
        <v>6.0323306200940081</v>
      </c>
      <c r="AN13" s="46">
        <f t="shared" si="2"/>
        <v>2.5323306200940081</v>
      </c>
      <c r="AO13" s="46">
        <f t="shared" si="13"/>
        <v>253.23306200940081</v>
      </c>
      <c r="AP13" s="70">
        <f t="shared" si="3"/>
        <v>251.71582892534545</v>
      </c>
      <c r="AQ13" s="70">
        <f t="shared" si="4"/>
        <v>253.08123857438002</v>
      </c>
      <c r="AR13" s="24">
        <f t="shared" si="5"/>
        <v>1.0345621547123041</v>
      </c>
      <c r="AS13" s="24">
        <f t="shared" si="6"/>
        <v>2.6311135577548484E-2</v>
      </c>
      <c r="AT13" s="24">
        <f t="shared" si="7"/>
        <v>0.95035360723572126</v>
      </c>
      <c r="AU13" s="24">
        <f t="shared" si="8"/>
        <v>0</v>
      </c>
      <c r="AV13" s="24">
        <f t="shared" si="9"/>
        <v>0</v>
      </c>
      <c r="BA13" s="1">
        <f t="shared" si="15"/>
        <v>122</v>
      </c>
    </row>
    <row r="14" spans="1:54" x14ac:dyDescent="0.35">
      <c r="A14" s="19">
        <v>43952</v>
      </c>
      <c r="B14" s="20">
        <f t="shared" si="10"/>
        <v>43943</v>
      </c>
      <c r="C14" s="35">
        <f t="shared" si="11"/>
        <v>36.57</v>
      </c>
      <c r="D14" s="42">
        <v>43</v>
      </c>
      <c r="E14" s="42">
        <v>42</v>
      </c>
      <c r="F14" s="42">
        <v>43</v>
      </c>
      <c r="G14" s="42">
        <v>42</v>
      </c>
      <c r="H14" s="42">
        <v>41</v>
      </c>
      <c r="I14" s="40">
        <f t="shared" si="14"/>
        <v>0.32217593749999995</v>
      </c>
      <c r="J14" s="23">
        <f t="shared" si="12"/>
        <v>0.36164383561643837</v>
      </c>
      <c r="K14" s="35"/>
      <c r="L14" s="35">
        <v>39.75</v>
      </c>
      <c r="M14" s="52">
        <v>0.92</v>
      </c>
      <c r="N14" s="51">
        <v>39.5</v>
      </c>
      <c r="O14" s="1">
        <v>1</v>
      </c>
      <c r="P14" s="31">
        <v>0</v>
      </c>
      <c r="Q14" s="1">
        <v>1</v>
      </c>
      <c r="R14" s="1">
        <v>-1</v>
      </c>
      <c r="S14" s="1">
        <v>-1</v>
      </c>
      <c r="T14" s="46">
        <v>1.8261998534073651</v>
      </c>
      <c r="U14" s="46">
        <v>4.4055350350764755</v>
      </c>
      <c r="V14" s="46">
        <v>3.7804309570840786</v>
      </c>
      <c r="W14" s="46">
        <f t="shared" si="0"/>
        <v>3.5</v>
      </c>
      <c r="X14" s="46">
        <v>-3.25</v>
      </c>
      <c r="Y14" s="46">
        <v>-2.25</v>
      </c>
      <c r="Z14" s="46">
        <v>-1.25</v>
      </c>
      <c r="AA14" s="46">
        <v>5.0761998534073651</v>
      </c>
      <c r="AB14" s="46">
        <v>5.6555350350764755</v>
      </c>
      <c r="AC14" s="46">
        <v>5.0304309570840786</v>
      </c>
      <c r="AD14" s="46">
        <v>0.37877088217337873</v>
      </c>
      <c r="AE14" s="46">
        <v>-0.57429293474094978</v>
      </c>
      <c r="AF14" s="46">
        <v>-0.52511389429793165</v>
      </c>
      <c r="AG14" s="46">
        <v>9.0924896197676528</v>
      </c>
      <c r="AH14" s="46">
        <v>9.3705956873770688</v>
      </c>
      <c r="AI14" s="46">
        <v>9.5175909774201806</v>
      </c>
      <c r="AJ14" s="46">
        <v>0.37877088217337873</v>
      </c>
      <c r="AK14" s="46">
        <v>-0.57429293474094978</v>
      </c>
      <c r="AL14" s="46">
        <v>-0.52511389429793165</v>
      </c>
      <c r="AM14" s="46">
        <f t="shared" si="1"/>
        <v>6.359766138753189</v>
      </c>
      <c r="AN14" s="46">
        <f t="shared" si="2"/>
        <v>2.859766138753189</v>
      </c>
      <c r="AO14" s="46">
        <f t="shared" si="13"/>
        <v>285.97661387531889</v>
      </c>
      <c r="AP14" s="70">
        <f t="shared" si="3"/>
        <v>284.26319945622674</v>
      </c>
      <c r="AQ14" s="70">
        <f t="shared" si="4"/>
        <v>285.80515936021868</v>
      </c>
      <c r="AR14" s="24">
        <f t="shared" si="5"/>
        <v>1.3388451413923936</v>
      </c>
      <c r="AS14" s="24">
        <f t="shared" si="6"/>
        <v>2.551888841267444E-2</v>
      </c>
      <c r="AT14" s="24">
        <f t="shared" si="7"/>
        <v>1.2298693740697566</v>
      </c>
      <c r="AU14" s="24">
        <f t="shared" si="8"/>
        <v>0</v>
      </c>
      <c r="AV14" s="24">
        <f t="shared" si="9"/>
        <v>0</v>
      </c>
      <c r="BA14" s="1">
        <f t="shared" si="15"/>
        <v>152</v>
      </c>
    </row>
    <row r="15" spans="1:54" x14ac:dyDescent="0.35">
      <c r="A15" s="19">
        <v>43983</v>
      </c>
      <c r="B15" s="20">
        <f t="shared" si="10"/>
        <v>43972</v>
      </c>
      <c r="C15" s="35">
        <f t="shared" si="11"/>
        <v>36.172499999999999</v>
      </c>
      <c r="D15" s="42">
        <v>43</v>
      </c>
      <c r="E15" s="42">
        <v>42</v>
      </c>
      <c r="F15" s="42">
        <v>43</v>
      </c>
      <c r="G15" s="42">
        <v>42</v>
      </c>
      <c r="H15" s="42">
        <v>41</v>
      </c>
      <c r="I15" s="40">
        <f>20%+(I14-20%)*0.95</f>
        <v>0.31606714062499996</v>
      </c>
      <c r="J15" s="23">
        <f t="shared" si="12"/>
        <v>0.44109589041095892</v>
      </c>
      <c r="K15" s="35"/>
      <c r="L15" s="35">
        <v>39.75</v>
      </c>
      <c r="M15" s="52">
        <v>0.91</v>
      </c>
      <c r="N15" s="51">
        <v>39.5</v>
      </c>
      <c r="O15" s="1">
        <v>1</v>
      </c>
      <c r="P15" s="31">
        <v>0</v>
      </c>
      <c r="Q15" s="1">
        <v>1</v>
      </c>
      <c r="R15" s="1">
        <v>-1</v>
      </c>
      <c r="S15" s="1">
        <v>-1</v>
      </c>
      <c r="T15" s="46">
        <v>2.0721396997322152</v>
      </c>
      <c r="U15" s="46">
        <v>4.6581786946333779</v>
      </c>
      <c r="V15" s="46">
        <v>4.0364916541451805</v>
      </c>
      <c r="W15" s="46">
        <f t="shared" si="0"/>
        <v>3.5</v>
      </c>
      <c r="X15" s="46">
        <v>-3.25</v>
      </c>
      <c r="Y15" s="46">
        <v>-2.25</v>
      </c>
      <c r="Z15" s="46">
        <v>-1.25</v>
      </c>
      <c r="AA15" s="46">
        <v>5.3221396997322152</v>
      </c>
      <c r="AB15" s="46">
        <v>5.9081786946333779</v>
      </c>
      <c r="AC15" s="46">
        <v>5.2864916541451805</v>
      </c>
      <c r="AD15" s="46">
        <v>0.39380775548595726</v>
      </c>
      <c r="AE15" s="46">
        <v>-0.5625178258061081</v>
      </c>
      <c r="AF15" s="46">
        <v>-0.51699109681137667</v>
      </c>
      <c r="AG15" s="46">
        <v>10.156576401086253</v>
      </c>
      <c r="AH15" s="46">
        <v>10.402476741068403</v>
      </c>
      <c r="AI15" s="46">
        <v>10.522530484504699</v>
      </c>
      <c r="AJ15" s="46">
        <v>0.39380775548595726</v>
      </c>
      <c r="AK15" s="46">
        <v>-0.5625178258061081</v>
      </c>
      <c r="AL15" s="46">
        <v>-0.51699109681137667</v>
      </c>
      <c r="AM15" s="46">
        <f t="shared" si="1"/>
        <v>6.6225306490463431</v>
      </c>
      <c r="AN15" s="46">
        <f t="shared" si="2"/>
        <v>3.1225306490463431</v>
      </c>
      <c r="AO15" s="46">
        <f t="shared" si="13"/>
        <v>312.2530649046343</v>
      </c>
      <c r="AP15" s="70">
        <f t="shared" si="3"/>
        <v>310.3822164581016</v>
      </c>
      <c r="AQ15" s="70">
        <f t="shared" si="4"/>
        <v>312.06585659726159</v>
      </c>
      <c r="AR15" s="24">
        <f t="shared" si="5"/>
        <v>1.6329853618498134</v>
      </c>
      <c r="AS15" s="24">
        <f t="shared" si="6"/>
        <v>2.4762903452387838E-2</v>
      </c>
      <c r="AT15" s="24">
        <f t="shared" si="7"/>
        <v>1.5000679486759911</v>
      </c>
      <c r="AU15" s="24">
        <f t="shared" si="8"/>
        <v>0</v>
      </c>
      <c r="AV15" s="24">
        <f t="shared" si="9"/>
        <v>0</v>
      </c>
      <c r="BA15" s="1">
        <f t="shared" si="15"/>
        <v>183</v>
      </c>
    </row>
    <row r="16" spans="1:54" x14ac:dyDescent="0.35">
      <c r="A16" s="19">
        <v>44013</v>
      </c>
      <c r="B16" s="20">
        <f t="shared" si="10"/>
        <v>44004</v>
      </c>
      <c r="C16" s="35">
        <f t="shared" si="11"/>
        <v>38.79</v>
      </c>
      <c r="D16" s="42">
        <v>43</v>
      </c>
      <c r="E16" s="42">
        <v>42</v>
      </c>
      <c r="F16" s="42">
        <v>43</v>
      </c>
      <c r="G16" s="42">
        <v>42</v>
      </c>
      <c r="H16" s="42">
        <v>41</v>
      </c>
      <c r="I16" s="40">
        <f t="shared" si="14"/>
        <v>0.31026378359374995</v>
      </c>
      <c r="J16" s="23">
        <f t="shared" si="12"/>
        <v>0.52876712328767128</v>
      </c>
      <c r="K16" s="35"/>
      <c r="L16" s="35">
        <v>43.1</v>
      </c>
      <c r="M16" s="52">
        <v>0.9</v>
      </c>
      <c r="N16" s="51">
        <v>39.5</v>
      </c>
      <c r="O16" s="1">
        <v>1</v>
      </c>
      <c r="P16" s="31">
        <v>0</v>
      </c>
      <c r="Q16" s="1">
        <v>1</v>
      </c>
      <c r="R16" s="1">
        <v>-1</v>
      </c>
      <c r="S16" s="1">
        <v>-1</v>
      </c>
      <c r="T16" s="46">
        <v>3.9167771611253066</v>
      </c>
      <c r="U16" s="46">
        <v>3.2966215958476646</v>
      </c>
      <c r="V16" s="46">
        <v>2.8185323289914113</v>
      </c>
      <c r="W16" s="46">
        <f t="shared" si="0"/>
        <v>3.5</v>
      </c>
      <c r="X16" s="46">
        <v>0.10000000000000142</v>
      </c>
      <c r="Y16" s="46">
        <v>1.1000000000000014</v>
      </c>
      <c r="Z16" s="46">
        <v>2.1000000000000014</v>
      </c>
      <c r="AA16" s="46">
        <v>3.8167771611253052</v>
      </c>
      <c r="AB16" s="46">
        <v>1.1966215958476631</v>
      </c>
      <c r="AC16" s="46">
        <v>0.71853232899140984</v>
      </c>
      <c r="AD16" s="46">
        <v>0.54894171768193911</v>
      </c>
      <c r="AE16" s="46">
        <v>-0.41011469882311452</v>
      </c>
      <c r="AF16" s="46">
        <v>-0.3691805703721322</v>
      </c>
      <c r="AG16" s="46">
        <v>12.408771407483988</v>
      </c>
      <c r="AH16" s="46">
        <v>12.184017352322009</v>
      </c>
      <c r="AI16" s="46">
        <v>11.823994104372904</v>
      </c>
      <c r="AJ16" s="46">
        <v>0.54894171768193911</v>
      </c>
      <c r="AK16" s="46">
        <v>-0.41011469882311452</v>
      </c>
      <c r="AL16" s="46">
        <v>-0.3691805703721322</v>
      </c>
      <c r="AM16" s="46">
        <f t="shared" si="1"/>
        <v>2.1983767637137692</v>
      </c>
      <c r="AN16" s="46">
        <f t="shared" si="2"/>
        <v>-1.3016232362862308</v>
      </c>
      <c r="AO16" s="46">
        <f t="shared" si="13"/>
        <v>-130.16232362862308</v>
      </c>
      <c r="AP16" s="70">
        <f t="shared" si="3"/>
        <v>-129.38246264941358</v>
      </c>
      <c r="AQ16" s="70">
        <f t="shared" si="4"/>
        <v>-130.08428606541244</v>
      </c>
      <c r="AR16" s="24">
        <f t="shared" si="5"/>
        <v>1.957553880975242</v>
      </c>
      <c r="AS16" s="24">
        <f t="shared" si="6"/>
        <v>2.4041104616273352E-2</v>
      </c>
      <c r="AT16" s="24">
        <f t="shared" si="7"/>
        <v>1.7982180999656292</v>
      </c>
      <c r="AU16" s="24">
        <f t="shared" si="8"/>
        <v>0</v>
      </c>
      <c r="AV16" s="24">
        <f t="shared" si="9"/>
        <v>0</v>
      </c>
      <c r="BA16" s="1">
        <f t="shared" si="15"/>
        <v>213</v>
      </c>
    </row>
    <row r="17" spans="1:53" x14ac:dyDescent="0.35">
      <c r="A17" s="19">
        <v>44044</v>
      </c>
      <c r="B17" s="20">
        <f t="shared" si="10"/>
        <v>44035</v>
      </c>
      <c r="C17" s="35">
        <f t="shared" si="11"/>
        <v>38.359000000000002</v>
      </c>
      <c r="D17" s="42">
        <v>43</v>
      </c>
      <c r="E17" s="42">
        <v>42</v>
      </c>
      <c r="F17" s="42">
        <v>43</v>
      </c>
      <c r="G17" s="42">
        <v>42</v>
      </c>
      <c r="H17" s="42">
        <v>41</v>
      </c>
      <c r="I17" s="40">
        <f t="shared" si="14"/>
        <v>0.30475059441406244</v>
      </c>
      <c r="J17" s="23">
        <f t="shared" si="12"/>
        <v>0.61369863013698633</v>
      </c>
      <c r="K17" s="35"/>
      <c r="L17" s="35">
        <v>43.1</v>
      </c>
      <c r="M17" s="52">
        <v>0.89</v>
      </c>
      <c r="N17" s="51">
        <v>39.5</v>
      </c>
      <c r="O17" s="1">
        <v>1</v>
      </c>
      <c r="P17" s="31">
        <v>0</v>
      </c>
      <c r="Q17" s="1">
        <v>1</v>
      </c>
      <c r="R17" s="1">
        <v>-1</v>
      </c>
      <c r="S17" s="1">
        <v>-1</v>
      </c>
      <c r="T17" s="46">
        <v>4.140679190951186</v>
      </c>
      <c r="U17" s="46">
        <v>3.5165470685518443</v>
      </c>
      <c r="V17" s="46">
        <v>3.0321703312861317</v>
      </c>
      <c r="W17" s="46">
        <f t="shared" si="0"/>
        <v>3.5</v>
      </c>
      <c r="X17" s="46">
        <v>0.10000000000000142</v>
      </c>
      <c r="Y17" s="46">
        <v>1.1000000000000014</v>
      </c>
      <c r="Z17" s="46">
        <v>2.1000000000000014</v>
      </c>
      <c r="AA17" s="46">
        <v>4.0406791909511846</v>
      </c>
      <c r="AB17" s="46">
        <v>1.4165470685518429</v>
      </c>
      <c r="AC17" s="46">
        <v>0.93217033128613025</v>
      </c>
      <c r="AD17" s="46">
        <v>0.55131779831844274</v>
      </c>
      <c r="AE17" s="46">
        <v>-0.41000795008175384</v>
      </c>
      <c r="AF17" s="46">
        <v>-0.37129248540738041</v>
      </c>
      <c r="AG17" s="46">
        <v>13.358131498025283</v>
      </c>
      <c r="AH17" s="46">
        <v>13.125320869120138</v>
      </c>
      <c r="AI17" s="46">
        <v>12.761950084769984</v>
      </c>
      <c r="AJ17" s="46">
        <v>0.55131779831844274</v>
      </c>
      <c r="AK17" s="46">
        <v>-0.41000795008175384</v>
      </c>
      <c r="AL17" s="46">
        <v>-0.37129248540738041</v>
      </c>
      <c r="AM17" s="46">
        <f t="shared" si="1"/>
        <v>2.40803820888679</v>
      </c>
      <c r="AN17" s="46">
        <f t="shared" si="2"/>
        <v>-1.09196179111321</v>
      </c>
      <c r="AO17" s="46">
        <f t="shared" si="13"/>
        <v>-109.196179111321</v>
      </c>
      <c r="AP17" s="70">
        <f t="shared" si="3"/>
        <v>-108.54193572664802</v>
      </c>
      <c r="AQ17" s="70">
        <f t="shared" si="4"/>
        <v>-109.13071159743369</v>
      </c>
      <c r="AR17" s="24">
        <f t="shared" si="5"/>
        <v>2.2719796338780012</v>
      </c>
      <c r="AS17" s="24">
        <f t="shared" si="6"/>
        <v>2.3351532776445742E-2</v>
      </c>
      <c r="AT17" s="24">
        <f t="shared" si="7"/>
        <v>2.0870510590274658</v>
      </c>
      <c r="AU17" s="24">
        <f t="shared" si="8"/>
        <v>0</v>
      </c>
      <c r="AV17" s="24">
        <f t="shared" si="9"/>
        <v>0</v>
      </c>
      <c r="BA17" s="1">
        <f t="shared" si="15"/>
        <v>244</v>
      </c>
    </row>
    <row r="18" spans="1:53" x14ac:dyDescent="0.35">
      <c r="A18" s="19">
        <v>44075</v>
      </c>
      <c r="B18" s="20">
        <f t="shared" si="10"/>
        <v>44064</v>
      </c>
      <c r="C18" s="35">
        <f t="shared" si="11"/>
        <v>37.928000000000004</v>
      </c>
      <c r="D18" s="42">
        <v>43</v>
      </c>
      <c r="E18" s="42">
        <v>42</v>
      </c>
      <c r="F18" s="42">
        <v>43</v>
      </c>
      <c r="G18" s="42">
        <v>42</v>
      </c>
      <c r="H18" s="42">
        <v>41</v>
      </c>
      <c r="I18" s="40">
        <f t="shared" si="14"/>
        <v>0.29951306469335931</v>
      </c>
      <c r="J18" s="23">
        <f t="shared" si="12"/>
        <v>0.69315068493150689</v>
      </c>
      <c r="K18" s="35"/>
      <c r="L18" s="35">
        <v>43.1</v>
      </c>
      <c r="M18" s="52">
        <v>0.88</v>
      </c>
      <c r="N18" s="51">
        <v>39.5</v>
      </c>
      <c r="O18" s="1">
        <v>1</v>
      </c>
      <c r="P18" s="31">
        <v>0</v>
      </c>
      <c r="Q18" s="1">
        <v>1</v>
      </c>
      <c r="R18" s="1">
        <v>-1</v>
      </c>
      <c r="S18" s="1">
        <v>-1</v>
      </c>
      <c r="T18" s="46">
        <v>4.3217666893978191</v>
      </c>
      <c r="U18" s="46">
        <v>3.6945226996313139</v>
      </c>
      <c r="V18" s="46">
        <v>3.2053372206969577</v>
      </c>
      <c r="W18" s="46">
        <f t="shared" si="0"/>
        <v>3.5</v>
      </c>
      <c r="X18" s="46">
        <v>0.10000000000000142</v>
      </c>
      <c r="Y18" s="46">
        <v>1.1000000000000014</v>
      </c>
      <c r="Z18" s="46">
        <v>2.1000000000000014</v>
      </c>
      <c r="AA18" s="46">
        <v>4.2217666893978176</v>
      </c>
      <c r="AB18" s="46">
        <v>1.5945226996313124</v>
      </c>
      <c r="AC18" s="46">
        <v>1.1053372206969563</v>
      </c>
      <c r="AD18" s="46">
        <v>0.55325656677831714</v>
      </c>
      <c r="AE18" s="46">
        <v>-0.40973330593158042</v>
      </c>
      <c r="AF18" s="46">
        <v>-0.37265027418384844</v>
      </c>
      <c r="AG18" s="46">
        <v>14.187379360988817</v>
      </c>
      <c r="AH18" s="46">
        <v>13.946879660577915</v>
      </c>
      <c r="AI18" s="46">
        <v>13.578899249643436</v>
      </c>
      <c r="AJ18" s="46">
        <v>0.55325656677831714</v>
      </c>
      <c r="AK18" s="46">
        <v>-0.40973330593158042</v>
      </c>
      <c r="AL18" s="46">
        <v>-0.37265027418384844</v>
      </c>
      <c r="AM18" s="46">
        <f t="shared" si="1"/>
        <v>2.5780932309304525</v>
      </c>
      <c r="AN18" s="46">
        <f t="shared" si="2"/>
        <v>-0.92190676906954749</v>
      </c>
      <c r="AO18" s="46">
        <f t="shared" si="13"/>
        <v>-92.190676906954749</v>
      </c>
      <c r="AP18" s="70">
        <f t="shared" si="3"/>
        <v>-91.638321128705314</v>
      </c>
      <c r="AQ18" s="70">
        <f t="shared" si="4"/>
        <v>-92.135404877568689</v>
      </c>
      <c r="AR18" s="24">
        <f t="shared" si="5"/>
        <v>2.5661198543354211</v>
      </c>
      <c r="AS18" s="24">
        <f t="shared" si="6"/>
        <v>2.2692339252497851E-2</v>
      </c>
      <c r="AT18" s="24">
        <f t="shared" si="7"/>
        <v>2.3572496336337005</v>
      </c>
      <c r="AU18" s="24">
        <f t="shared" si="8"/>
        <v>0</v>
      </c>
      <c r="AV18" s="24">
        <f t="shared" si="9"/>
        <v>0</v>
      </c>
      <c r="BA18" s="1">
        <f t="shared" si="15"/>
        <v>275</v>
      </c>
    </row>
    <row r="19" spans="1:53" x14ac:dyDescent="0.35">
      <c r="A19" s="19">
        <v>44105</v>
      </c>
      <c r="B19" s="20">
        <f t="shared" si="10"/>
        <v>44096</v>
      </c>
      <c r="C19" s="35">
        <f t="shared" si="11"/>
        <v>42.412500000000001</v>
      </c>
      <c r="D19" s="42">
        <v>43</v>
      </c>
      <c r="E19" s="42">
        <v>42</v>
      </c>
      <c r="F19" s="42">
        <v>43</v>
      </c>
      <c r="G19" s="42">
        <v>42</v>
      </c>
      <c r="H19" s="42">
        <v>41</v>
      </c>
      <c r="I19" s="40">
        <f t="shared" si="14"/>
        <v>0.29453741145869133</v>
      </c>
      <c r="J19" s="23">
        <f t="shared" si="12"/>
        <v>0.78082191780821919</v>
      </c>
      <c r="K19" s="35"/>
      <c r="L19" s="35">
        <v>48.75</v>
      </c>
      <c r="M19" s="52">
        <v>0.87</v>
      </c>
      <c r="N19" s="51">
        <v>39.5</v>
      </c>
      <c r="O19" s="1">
        <v>1</v>
      </c>
      <c r="P19" s="31">
        <v>0</v>
      </c>
      <c r="Q19" s="1">
        <v>1</v>
      </c>
      <c r="R19" s="1">
        <v>-1</v>
      </c>
      <c r="S19" s="1">
        <v>-1</v>
      </c>
      <c r="T19" s="46">
        <v>8.1626948382461855</v>
      </c>
      <c r="U19" s="46">
        <v>2.0670034338574794</v>
      </c>
      <c r="V19" s="46">
        <v>1.7543808836359265</v>
      </c>
      <c r="W19" s="46">
        <f t="shared" si="0"/>
        <v>3.5</v>
      </c>
      <c r="X19" s="46">
        <v>5.75</v>
      </c>
      <c r="Y19" s="46">
        <v>6.75</v>
      </c>
      <c r="Z19" s="46">
        <v>7.75</v>
      </c>
      <c r="AA19" s="46">
        <v>2.4126948382461855</v>
      </c>
      <c r="AB19" s="46">
        <v>-5.6829965661425206</v>
      </c>
      <c r="AC19" s="46">
        <v>-5.9956191163640735</v>
      </c>
      <c r="AD19" s="46">
        <v>0.72977665296361072</v>
      </c>
      <c r="AE19" s="46">
        <v>-0.24117590143404391</v>
      </c>
      <c r="AF19" s="46">
        <v>-0.21328039571017873</v>
      </c>
      <c r="AG19" s="46">
        <v>14.247248141942013</v>
      </c>
      <c r="AH19" s="46">
        <v>13.424888774363525</v>
      </c>
      <c r="AI19" s="46">
        <v>12.525319372065253</v>
      </c>
      <c r="AJ19" s="46">
        <v>0.72977665296361072</v>
      </c>
      <c r="AK19" s="46">
        <v>-0.24117590143404391</v>
      </c>
      <c r="AL19" s="46">
        <v>-0.21328039571017873</v>
      </c>
      <c r="AM19" s="46">
        <f t="shared" si="1"/>
        <v>-4.3413105207527796</v>
      </c>
      <c r="AN19" s="46">
        <f t="shared" si="2"/>
        <v>-7.8413105207527796</v>
      </c>
      <c r="AO19" s="46">
        <f t="shared" si="13"/>
        <v>-784.13105207527792</v>
      </c>
      <c r="AP19" s="70">
        <f t="shared" si="3"/>
        <v>-779.43297053330457</v>
      </c>
      <c r="AQ19" s="70">
        <f t="shared" si="4"/>
        <v>-783.66093388104264</v>
      </c>
      <c r="AR19" s="24">
        <f t="shared" si="5"/>
        <v>2.8906883734608493</v>
      </c>
      <c r="AS19" s="24">
        <f t="shared" si="6"/>
        <v>2.2061779664572526E-2</v>
      </c>
      <c r="AT19" s="24">
        <f t="shared" si="7"/>
        <v>2.6553997849233384</v>
      </c>
      <c r="AU19" s="24">
        <f t="shared" si="8"/>
        <v>0</v>
      </c>
      <c r="AV19" s="24">
        <f t="shared" si="9"/>
        <v>0</v>
      </c>
      <c r="BA19" s="1">
        <f t="shared" si="15"/>
        <v>305</v>
      </c>
    </row>
    <row r="20" spans="1:53" x14ac:dyDescent="0.35">
      <c r="A20" s="19">
        <v>44136</v>
      </c>
      <c r="B20" s="20">
        <f t="shared" si="10"/>
        <v>44126</v>
      </c>
      <c r="C20" s="35">
        <f t="shared" si="11"/>
        <v>41.924999999999997</v>
      </c>
      <c r="D20" s="42">
        <v>43</v>
      </c>
      <c r="E20" s="42">
        <v>42</v>
      </c>
      <c r="F20" s="42">
        <v>43</v>
      </c>
      <c r="G20" s="42">
        <v>42</v>
      </c>
      <c r="H20" s="42">
        <v>41</v>
      </c>
      <c r="I20" s="40">
        <f t="shared" si="14"/>
        <v>0.28981054088575675</v>
      </c>
      <c r="J20" s="23">
        <f t="shared" si="12"/>
        <v>0.86301369863013699</v>
      </c>
      <c r="K20" s="35"/>
      <c r="L20" s="35">
        <v>48.75</v>
      </c>
      <c r="M20" s="52">
        <v>0.86</v>
      </c>
      <c r="N20" s="51">
        <v>39.5</v>
      </c>
      <c r="O20" s="1">
        <v>1</v>
      </c>
      <c r="P20" s="31">
        <v>0</v>
      </c>
      <c r="Q20" s="1">
        <v>1</v>
      </c>
      <c r="R20" s="1">
        <v>-1</v>
      </c>
      <c r="S20" s="1">
        <v>-1</v>
      </c>
      <c r="T20" s="46">
        <v>8.3077493094455903</v>
      </c>
      <c r="U20" s="46">
        <v>2.2039033037320817</v>
      </c>
      <c r="V20" s="46">
        <v>1.8823523977511947</v>
      </c>
      <c r="W20" s="46">
        <f t="shared" si="0"/>
        <v>3.5</v>
      </c>
      <c r="X20" s="46">
        <v>5.75</v>
      </c>
      <c r="Y20" s="46">
        <v>6.75</v>
      </c>
      <c r="Z20" s="46">
        <v>7.75</v>
      </c>
      <c r="AA20" s="46">
        <v>2.5577493094455903</v>
      </c>
      <c r="AB20" s="46">
        <v>-5.5460966962679183</v>
      </c>
      <c r="AC20" s="46">
        <v>-5.8676476022488053</v>
      </c>
      <c r="AD20" s="46">
        <v>0.72593958309692308</v>
      </c>
      <c r="AE20" s="46">
        <v>-0.24573973328027493</v>
      </c>
      <c r="AF20" s="46">
        <v>-0.21844884841963419</v>
      </c>
      <c r="AG20" s="46">
        <v>15.083877555340413</v>
      </c>
      <c r="AH20" s="46">
        <v>14.257681037322287</v>
      </c>
      <c r="AI20" s="46">
        <v>13.352322114927121</v>
      </c>
      <c r="AJ20" s="46">
        <v>0.72593958309692308</v>
      </c>
      <c r="AK20" s="46">
        <v>-0.24573973328027493</v>
      </c>
      <c r="AL20" s="46">
        <v>-0.21844884841963419</v>
      </c>
      <c r="AM20" s="46">
        <f t="shared" si="1"/>
        <v>-4.221493607962314</v>
      </c>
      <c r="AN20" s="46">
        <f t="shared" si="2"/>
        <v>-7.721493607962314</v>
      </c>
      <c r="AO20" s="46">
        <f t="shared" si="13"/>
        <v>-772.14936079623135</v>
      </c>
      <c r="AP20" s="70">
        <f t="shared" si="3"/>
        <v>-767.52306695159598</v>
      </c>
      <c r="AQ20" s="70">
        <f t="shared" si="4"/>
        <v>-771.68642610920836</v>
      </c>
      <c r="AR20" s="24">
        <f t="shared" si="5"/>
        <v>3.1949713601409386</v>
      </c>
      <c r="AS20" s="24">
        <f t="shared" si="6"/>
        <v>2.1458208125008621E-2</v>
      </c>
      <c r="AT20" s="24">
        <f t="shared" si="7"/>
        <v>2.9349155517573737</v>
      </c>
      <c r="AU20" s="24">
        <f t="shared" si="8"/>
        <v>0</v>
      </c>
      <c r="AV20" s="24">
        <f t="shared" si="9"/>
        <v>0</v>
      </c>
      <c r="BA20" s="1">
        <f t="shared" si="15"/>
        <v>336</v>
      </c>
    </row>
    <row r="21" spans="1:53" x14ac:dyDescent="0.35">
      <c r="A21" s="19">
        <v>44166</v>
      </c>
      <c r="B21" s="20">
        <f t="shared" si="10"/>
        <v>44155</v>
      </c>
      <c r="C21" s="35">
        <f t="shared" si="11"/>
        <v>41.4375</v>
      </c>
      <c r="D21" s="42">
        <v>43</v>
      </c>
      <c r="E21" s="42">
        <v>42</v>
      </c>
      <c r="F21" s="42">
        <v>43</v>
      </c>
      <c r="G21" s="42">
        <v>42</v>
      </c>
      <c r="H21" s="42">
        <v>41</v>
      </c>
      <c r="I21" s="40">
        <f t="shared" si="14"/>
        <v>0.28532001384146888</v>
      </c>
      <c r="J21" s="23">
        <f t="shared" si="12"/>
        <v>0.94246575342465755</v>
      </c>
      <c r="K21" s="35"/>
      <c r="L21" s="35">
        <v>48.75</v>
      </c>
      <c r="M21" s="52">
        <v>0.85</v>
      </c>
      <c r="N21" s="51">
        <v>39.5</v>
      </c>
      <c r="O21" s="1">
        <v>1</v>
      </c>
      <c r="P21" s="31">
        <v>0</v>
      </c>
      <c r="Q21" s="1">
        <v>1</v>
      </c>
      <c r="R21" s="1">
        <v>-1</v>
      </c>
      <c r="S21" s="1">
        <v>-1</v>
      </c>
      <c r="T21" s="46">
        <v>8.4341143269609979</v>
      </c>
      <c r="U21" s="46">
        <v>2.3234967045430697</v>
      </c>
      <c r="V21" s="46">
        <v>1.9945205506593862</v>
      </c>
      <c r="W21" s="46">
        <f t="shared" si="0"/>
        <v>3.5</v>
      </c>
      <c r="X21" s="46">
        <v>5.75</v>
      </c>
      <c r="Y21" s="46">
        <v>6.75</v>
      </c>
      <c r="Z21" s="46">
        <v>7.75</v>
      </c>
      <c r="AA21" s="46">
        <v>2.6841143269609979</v>
      </c>
      <c r="AB21" s="46">
        <v>-5.4265032954569303</v>
      </c>
      <c r="AC21" s="46">
        <v>-5.7554794493406138</v>
      </c>
      <c r="AD21" s="46">
        <v>0.72287678550853673</v>
      </c>
      <c r="AE21" s="46">
        <v>-0.2494120675291866</v>
      </c>
      <c r="AF21" s="46">
        <v>-0.22263632456689864</v>
      </c>
      <c r="AG21" s="46">
        <v>15.849452183953439</v>
      </c>
      <c r="AH21" s="46">
        <v>15.018256206190545</v>
      </c>
      <c r="AI21" s="46">
        <v>14.106280350659009</v>
      </c>
      <c r="AJ21" s="46">
        <v>0.72287678550853673</v>
      </c>
      <c r="AK21" s="46">
        <v>-0.2494120675291866</v>
      </c>
      <c r="AL21" s="46">
        <v>-0.22263632456689864</v>
      </c>
      <c r="AM21" s="46">
        <f t="shared" si="1"/>
        <v>-4.1160970717585421</v>
      </c>
      <c r="AN21" s="46">
        <f t="shared" si="2"/>
        <v>-7.6160970717585421</v>
      </c>
      <c r="AO21" s="46">
        <f t="shared" si="13"/>
        <v>-761.60970717585417</v>
      </c>
      <c r="AP21" s="70">
        <f t="shared" si="3"/>
        <v>-757.04656113285432</v>
      </c>
      <c r="AQ21" s="70">
        <f t="shared" si="4"/>
        <v>-761.15309143630145</v>
      </c>
      <c r="AR21" s="24">
        <f t="shared" si="5"/>
        <v>3.4891115805983586</v>
      </c>
      <c r="AS21" s="24">
        <f t="shared" si="6"/>
        <v>2.0880071750071057E-2</v>
      </c>
      <c r="AT21" s="24">
        <f t="shared" si="7"/>
        <v>3.2051141263636085</v>
      </c>
      <c r="AU21" s="24">
        <f t="shared" si="8"/>
        <v>0</v>
      </c>
      <c r="AV21" s="24">
        <f t="shared" si="9"/>
        <v>0</v>
      </c>
      <c r="BA21" s="1">
        <f t="shared" si="15"/>
        <v>366</v>
      </c>
    </row>
    <row r="22" spans="1:53" x14ac:dyDescent="0.35">
      <c r="A22" s="19"/>
      <c r="B22" s="20"/>
      <c r="C22" s="21"/>
      <c r="D22" s="21"/>
      <c r="E22" s="21"/>
      <c r="F22" s="21"/>
      <c r="G22" s="21"/>
      <c r="H22" s="21"/>
      <c r="I22" s="21"/>
      <c r="K22" s="22"/>
      <c r="L22" s="22"/>
      <c r="M22" s="23"/>
      <c r="N22" s="23"/>
      <c r="O22" s="23"/>
      <c r="P22" s="18"/>
      <c r="Q22" s="18"/>
      <c r="R22" s="18"/>
      <c r="S22" s="24"/>
      <c r="T22" s="24"/>
      <c r="U22" s="24"/>
      <c r="V22" s="25"/>
      <c r="W22" s="25"/>
      <c r="X22" s="25"/>
    </row>
    <row r="23" spans="1:53" x14ac:dyDescent="0.35">
      <c r="C23" s="18"/>
      <c r="D23" s="18"/>
      <c r="E23" s="18"/>
      <c r="F23" s="18"/>
      <c r="G23" s="18"/>
      <c r="H23" s="18"/>
      <c r="I23" s="18"/>
      <c r="K23" s="18"/>
      <c r="L23" s="18"/>
      <c r="M23" s="18"/>
      <c r="N23" s="18"/>
      <c r="O23" s="18"/>
      <c r="P23" s="18"/>
      <c r="Q23" s="18"/>
      <c r="R23" s="18"/>
    </row>
  </sheetData>
  <mergeCells count="1">
    <mergeCell ref="AF1:AL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4B9372-BEA9-4277-97A5-9C8EA84168EE}">
          <x14:formula1>
            <xm:f>Legend!$B$2:$B$4</xm:f>
          </x14:formula1>
          <xm:sqref>L2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0BEDF-06E9-48EE-B338-C3998F9DA683}">
  <sheetPr codeName="Sheet13"/>
  <dimension ref="A2:GM378"/>
  <sheetViews>
    <sheetView zoomScale="55" zoomScaleNormal="55" workbookViewId="0">
      <selection activeCell="A23" sqref="A23"/>
    </sheetView>
  </sheetViews>
  <sheetFormatPr defaultRowHeight="14.5" x14ac:dyDescent="0.35"/>
  <cols>
    <col min="1" max="1" width="16.453125" style="113" bestFit="1" customWidth="1"/>
    <col min="2" max="2" width="16.36328125" style="113" customWidth="1"/>
    <col min="3" max="3" width="13.1796875" style="113" customWidth="1"/>
    <col min="4" max="9" width="13.26953125" style="113" customWidth="1"/>
    <col min="10" max="10" width="8.7265625" style="113"/>
    <col min="11" max="11" width="15.6328125" style="113" bestFit="1" customWidth="1"/>
    <col min="12" max="16384" width="8.7265625" style="113"/>
  </cols>
  <sheetData>
    <row r="2" spans="1:195" ht="15" thickBot="1" x14ac:dyDescent="0.4"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EI2" s="115"/>
      <c r="EJ2" s="115"/>
      <c r="EK2" s="115"/>
      <c r="EL2" s="115"/>
      <c r="EM2" s="115"/>
      <c r="EN2" s="115"/>
      <c r="EO2" s="115"/>
      <c r="EP2" s="115"/>
      <c r="EQ2" s="115"/>
      <c r="ER2" s="115"/>
      <c r="ES2" s="115"/>
      <c r="ET2" s="115"/>
      <c r="EU2" s="115"/>
      <c r="EV2" s="115"/>
      <c r="EW2" s="115"/>
      <c r="EX2" s="115"/>
      <c r="EY2" s="115"/>
      <c r="EZ2" s="115"/>
      <c r="FA2" s="115"/>
      <c r="FB2" s="115"/>
      <c r="FC2" s="115"/>
      <c r="FD2" s="115"/>
      <c r="FE2" s="115"/>
      <c r="FF2" s="115"/>
      <c r="FG2" s="115"/>
      <c r="FH2" s="115"/>
      <c r="FI2" s="115"/>
      <c r="FJ2" s="115"/>
      <c r="FK2" s="115"/>
      <c r="FL2" s="115"/>
      <c r="FM2" s="115"/>
      <c r="FN2" s="115"/>
      <c r="FO2" s="115"/>
      <c r="FP2" s="115"/>
      <c r="FQ2" s="115"/>
      <c r="FR2" s="115"/>
      <c r="FS2" s="115"/>
      <c r="FT2" s="115"/>
      <c r="FU2" s="115"/>
      <c r="FV2" s="115"/>
      <c r="FW2" s="115"/>
      <c r="FX2" s="115"/>
      <c r="FY2" s="115"/>
      <c r="FZ2" s="115"/>
      <c r="GA2" s="115"/>
      <c r="GB2" s="115"/>
      <c r="GC2" s="115"/>
      <c r="GD2" s="115"/>
      <c r="GE2" s="115"/>
      <c r="GF2" s="115"/>
      <c r="GG2" s="115"/>
      <c r="GH2" s="115"/>
      <c r="GI2" s="115"/>
      <c r="GJ2" s="115"/>
      <c r="GK2" s="115"/>
      <c r="GL2" s="115"/>
      <c r="GM2" s="115"/>
    </row>
    <row r="3" spans="1:195" ht="15" thickBot="1" x14ac:dyDescent="0.4">
      <c r="A3" s="2" t="s">
        <v>161</v>
      </c>
      <c r="B3" s="121"/>
    </row>
    <row r="4" spans="1:195" x14ac:dyDescent="0.35">
      <c r="B4" s="106"/>
      <c r="C4" s="116"/>
    </row>
    <row r="5" spans="1:195" x14ac:dyDescent="0.35">
      <c r="B5" s="106"/>
      <c r="C5" s="117"/>
    </row>
    <row r="6" spans="1:195" ht="15" thickBot="1" x14ac:dyDescent="0.4">
      <c r="B6" s="106"/>
      <c r="C6" s="118"/>
      <c r="E6" s="113" t="s">
        <v>168</v>
      </c>
      <c r="F6" s="113" t="s">
        <v>169</v>
      </c>
      <c r="G6" s="113" t="s">
        <v>150</v>
      </c>
      <c r="H6" s="122" t="s">
        <v>146</v>
      </c>
    </row>
    <row r="7" spans="1:195" ht="15" thickBot="1" x14ac:dyDescent="0.4">
      <c r="A7" s="2" t="s">
        <v>162</v>
      </c>
      <c r="B7" s="106"/>
      <c r="C7" s="116"/>
    </row>
    <row r="8" spans="1:195" ht="15" thickBot="1" x14ac:dyDescent="0.4">
      <c r="A8" s="2" t="s">
        <v>163</v>
      </c>
      <c r="B8" s="106"/>
      <c r="C8" s="117"/>
    </row>
    <row r="9" spans="1:195" ht="15" thickBot="1" x14ac:dyDescent="0.4">
      <c r="A9" s="2" t="s">
        <v>150</v>
      </c>
    </row>
    <row r="10" spans="1:195" ht="15" thickBot="1" x14ac:dyDescent="0.4">
      <c r="A10" s="2" t="s">
        <v>164</v>
      </c>
    </row>
    <row r="11" spans="1:195" ht="15" thickBot="1" x14ac:dyDescent="0.4">
      <c r="A11" s="2" t="s">
        <v>165</v>
      </c>
      <c r="B11" s="106"/>
      <c r="C11" s="106"/>
      <c r="D11" s="106"/>
      <c r="E11" s="106"/>
      <c r="F11" s="106"/>
      <c r="G11" s="106"/>
      <c r="H11" s="106"/>
      <c r="I11" s="106"/>
    </row>
    <row r="12" spans="1:195" ht="15" thickBot="1" x14ac:dyDescent="0.4">
      <c r="A12" s="2" t="s">
        <v>166</v>
      </c>
      <c r="B12" s="106"/>
      <c r="C12" s="114"/>
      <c r="D12" s="105"/>
      <c r="E12" s="119"/>
      <c r="F12" s="105"/>
      <c r="G12" s="105"/>
      <c r="H12" s="105"/>
      <c r="I12" s="107"/>
    </row>
    <row r="13" spans="1:195" ht="15" thickBot="1" x14ac:dyDescent="0.4">
      <c r="A13" s="2" t="s">
        <v>167</v>
      </c>
      <c r="B13" s="106"/>
      <c r="C13" s="114"/>
      <c r="D13" s="105"/>
      <c r="E13" s="119"/>
      <c r="F13" s="105"/>
      <c r="G13" s="105"/>
      <c r="H13" s="105"/>
      <c r="I13" s="107"/>
    </row>
    <row r="14" spans="1:195" ht="15" thickBot="1" x14ac:dyDescent="0.4">
      <c r="A14" s="2" t="s">
        <v>122</v>
      </c>
      <c r="B14" s="106"/>
      <c r="C14" s="114"/>
      <c r="D14" s="105"/>
      <c r="E14" s="119"/>
      <c r="F14" s="105"/>
      <c r="G14" s="105"/>
      <c r="H14" s="105"/>
      <c r="I14" s="107"/>
    </row>
    <row r="15" spans="1:195" x14ac:dyDescent="0.35">
      <c r="B15" s="106"/>
      <c r="C15" s="114"/>
      <c r="D15" s="105"/>
      <c r="E15" s="119"/>
      <c r="F15" s="105"/>
      <c r="G15" s="105"/>
      <c r="H15" s="105"/>
      <c r="I15" s="107"/>
    </row>
    <row r="16" spans="1:195" x14ac:dyDescent="0.35">
      <c r="B16" s="106"/>
      <c r="C16" s="114"/>
      <c r="D16" s="105"/>
      <c r="E16" s="119"/>
      <c r="F16" s="105"/>
      <c r="G16" s="105"/>
      <c r="H16" s="105"/>
      <c r="I16" s="107"/>
    </row>
    <row r="17" spans="1:9" x14ac:dyDescent="0.35">
      <c r="B17" s="106"/>
      <c r="C17" s="114"/>
      <c r="D17" s="105"/>
      <c r="E17" s="119"/>
      <c r="F17" s="105"/>
      <c r="G17" s="105"/>
      <c r="H17" s="105"/>
      <c r="I17" s="107"/>
    </row>
    <row r="18" spans="1:9" x14ac:dyDescent="0.35">
      <c r="B18" s="106"/>
      <c r="C18" s="114"/>
      <c r="D18" s="105"/>
      <c r="E18" s="119"/>
      <c r="F18" s="105"/>
      <c r="G18" s="105"/>
      <c r="H18" s="105"/>
      <c r="I18" s="107"/>
    </row>
    <row r="19" spans="1:9" x14ac:dyDescent="0.35">
      <c r="B19" s="106"/>
      <c r="C19" s="114"/>
      <c r="D19" s="105"/>
      <c r="E19" s="119"/>
      <c r="F19" s="105"/>
      <c r="G19" s="105"/>
      <c r="H19" s="105"/>
      <c r="I19" s="107"/>
    </row>
    <row r="20" spans="1:9" x14ac:dyDescent="0.35">
      <c r="B20" s="106"/>
      <c r="C20" s="114"/>
      <c r="D20" s="105"/>
      <c r="E20" s="119"/>
      <c r="F20" s="105"/>
      <c r="G20" s="105"/>
      <c r="H20" s="105"/>
      <c r="I20" s="107"/>
    </row>
    <row r="21" spans="1:9" x14ac:dyDescent="0.35">
      <c r="B21" s="106"/>
      <c r="C21" s="114"/>
      <c r="D21" s="105"/>
      <c r="E21" s="119"/>
      <c r="F21" s="105"/>
      <c r="G21" s="105"/>
      <c r="H21" s="105"/>
      <c r="I21" s="107"/>
    </row>
    <row r="22" spans="1:9" x14ac:dyDescent="0.35">
      <c r="B22" s="106"/>
      <c r="C22" s="114"/>
      <c r="D22" s="105"/>
      <c r="E22" s="119"/>
      <c r="F22" s="105"/>
      <c r="G22" s="105"/>
      <c r="H22" s="105"/>
      <c r="I22" s="107"/>
    </row>
    <row r="23" spans="1:9" x14ac:dyDescent="0.35">
      <c r="B23" s="106"/>
      <c r="C23" s="114"/>
      <c r="D23" s="105"/>
      <c r="E23" s="119"/>
      <c r="F23" s="105"/>
      <c r="G23" s="105"/>
      <c r="H23" s="105"/>
      <c r="I23" s="107"/>
    </row>
    <row r="24" spans="1:9" x14ac:dyDescent="0.35">
      <c r="B24" s="106"/>
      <c r="C24" s="114"/>
      <c r="D24" s="105"/>
      <c r="E24" s="119"/>
      <c r="F24" s="105"/>
      <c r="G24" s="105"/>
      <c r="H24" s="105"/>
      <c r="I24" s="107"/>
    </row>
    <row r="25" spans="1:9" x14ac:dyDescent="0.35">
      <c r="B25" s="106"/>
      <c r="C25" s="114"/>
      <c r="D25" s="105"/>
      <c r="E25" s="119"/>
      <c r="F25" s="105"/>
      <c r="G25" s="105"/>
      <c r="H25" s="105"/>
      <c r="I25" s="107"/>
    </row>
    <row r="26" spans="1:9" x14ac:dyDescent="0.35">
      <c r="B26" s="106"/>
      <c r="C26" s="114"/>
      <c r="D26" s="105"/>
      <c r="E26" s="119"/>
      <c r="F26" s="105"/>
      <c r="G26" s="105"/>
      <c r="H26" s="105"/>
      <c r="I26" s="107"/>
    </row>
    <row r="27" spans="1:9" x14ac:dyDescent="0.35">
      <c r="B27" s="106"/>
      <c r="C27" s="114"/>
      <c r="D27" s="105"/>
      <c r="E27" s="119"/>
      <c r="F27" s="105"/>
      <c r="G27" s="105"/>
      <c r="H27" s="105"/>
      <c r="I27" s="107"/>
    </row>
    <row r="28" spans="1:9" x14ac:dyDescent="0.35">
      <c r="B28" s="106"/>
      <c r="C28" s="114"/>
      <c r="D28" s="105"/>
      <c r="E28" s="119"/>
      <c r="F28" s="105"/>
      <c r="G28" s="105"/>
      <c r="H28" s="105"/>
      <c r="I28" s="107"/>
    </row>
    <row r="29" spans="1:9" x14ac:dyDescent="0.35">
      <c r="B29" s="106"/>
      <c r="C29" s="114"/>
      <c r="D29" s="105"/>
      <c r="E29" s="119"/>
      <c r="F29" s="105"/>
      <c r="G29" s="105"/>
      <c r="H29" s="105"/>
      <c r="I29" s="107"/>
    </row>
    <row r="30" spans="1:9" x14ac:dyDescent="0.35">
      <c r="A30" s="113" t="s">
        <v>159</v>
      </c>
      <c r="B30" s="106" t="s">
        <v>168</v>
      </c>
      <c r="C30" s="114" t="s">
        <v>170</v>
      </c>
      <c r="D30" s="105" t="s">
        <v>135</v>
      </c>
      <c r="E30" s="119" t="s">
        <v>171</v>
      </c>
      <c r="F30" s="105"/>
      <c r="G30" s="105"/>
      <c r="H30" s="105"/>
      <c r="I30" s="107"/>
    </row>
    <row r="31" spans="1:9" x14ac:dyDescent="0.35">
      <c r="B31" s="106"/>
      <c r="C31" s="114"/>
      <c r="D31" s="105"/>
      <c r="E31" s="119"/>
      <c r="F31" s="105"/>
      <c r="G31" s="105"/>
      <c r="H31" s="105"/>
      <c r="I31" s="107"/>
    </row>
    <row r="32" spans="1:9" x14ac:dyDescent="0.35">
      <c r="B32" s="106"/>
      <c r="C32" s="114"/>
      <c r="D32" s="105"/>
      <c r="E32" s="119"/>
      <c r="F32" s="105"/>
      <c r="G32" s="105"/>
      <c r="H32" s="105"/>
      <c r="I32" s="107"/>
    </row>
    <row r="33" spans="2:9" x14ac:dyDescent="0.35">
      <c r="B33" s="106"/>
      <c r="C33" s="114"/>
      <c r="D33" s="105"/>
      <c r="E33" s="119"/>
      <c r="F33" s="105"/>
      <c r="G33" s="105"/>
      <c r="H33" s="105"/>
      <c r="I33" s="107"/>
    </row>
    <row r="34" spans="2:9" x14ac:dyDescent="0.35">
      <c r="B34" s="106"/>
      <c r="C34" s="114"/>
      <c r="D34" s="105"/>
      <c r="E34" s="119"/>
      <c r="F34" s="105"/>
      <c r="G34" s="105"/>
      <c r="H34" s="105"/>
      <c r="I34" s="107"/>
    </row>
    <row r="35" spans="2:9" x14ac:dyDescent="0.35">
      <c r="B35" s="106"/>
      <c r="C35" s="114"/>
      <c r="D35" s="105"/>
      <c r="E35" s="119"/>
      <c r="F35" s="105"/>
      <c r="G35" s="105"/>
      <c r="H35" s="105"/>
      <c r="I35" s="107"/>
    </row>
    <row r="36" spans="2:9" x14ac:dyDescent="0.35">
      <c r="B36" s="106"/>
      <c r="C36" s="114"/>
      <c r="D36" s="105"/>
      <c r="E36" s="119"/>
      <c r="F36" s="105"/>
      <c r="G36" s="105"/>
      <c r="H36" s="105"/>
      <c r="I36" s="107"/>
    </row>
    <row r="37" spans="2:9" x14ac:dyDescent="0.35">
      <c r="B37" s="106"/>
      <c r="C37" s="114"/>
      <c r="D37" s="105"/>
      <c r="E37" s="119"/>
      <c r="F37" s="105"/>
      <c r="G37" s="105"/>
      <c r="H37" s="105"/>
      <c r="I37" s="107"/>
    </row>
    <row r="38" spans="2:9" x14ac:dyDescent="0.35">
      <c r="B38" s="106"/>
      <c r="C38" s="114"/>
      <c r="D38" s="105"/>
      <c r="E38" s="119"/>
      <c r="F38" s="105"/>
      <c r="G38" s="105"/>
      <c r="H38" s="105"/>
      <c r="I38" s="107"/>
    </row>
    <row r="39" spans="2:9" x14ac:dyDescent="0.35">
      <c r="B39" s="106"/>
      <c r="C39" s="114"/>
      <c r="D39" s="105"/>
      <c r="E39" s="119"/>
      <c r="F39" s="105"/>
      <c r="G39" s="105"/>
      <c r="H39" s="105"/>
      <c r="I39" s="107"/>
    </row>
    <row r="40" spans="2:9" x14ac:dyDescent="0.35">
      <c r="B40" s="106"/>
      <c r="C40" s="114"/>
      <c r="D40" s="105"/>
      <c r="E40" s="119"/>
      <c r="F40" s="105"/>
      <c r="G40" s="105"/>
      <c r="H40" s="105"/>
      <c r="I40" s="107"/>
    </row>
    <row r="41" spans="2:9" x14ac:dyDescent="0.35">
      <c r="B41" s="106"/>
      <c r="C41" s="114"/>
      <c r="D41" s="105"/>
      <c r="E41" s="119"/>
      <c r="F41" s="105"/>
      <c r="G41" s="105"/>
      <c r="H41" s="105"/>
      <c r="I41" s="107"/>
    </row>
    <row r="42" spans="2:9" x14ac:dyDescent="0.35">
      <c r="B42" s="106"/>
      <c r="C42" s="114"/>
      <c r="D42" s="105"/>
      <c r="E42" s="119"/>
      <c r="F42" s="105"/>
      <c r="G42" s="105"/>
      <c r="H42" s="105"/>
      <c r="I42" s="107"/>
    </row>
    <row r="43" spans="2:9" x14ac:dyDescent="0.35">
      <c r="B43" s="106"/>
      <c r="C43" s="114"/>
      <c r="D43" s="105"/>
      <c r="E43" s="119"/>
      <c r="F43" s="105"/>
      <c r="G43" s="105"/>
      <c r="H43" s="105"/>
      <c r="I43" s="107"/>
    </row>
    <row r="44" spans="2:9" x14ac:dyDescent="0.35">
      <c r="B44" s="106"/>
      <c r="C44" s="114"/>
      <c r="D44" s="105"/>
      <c r="E44" s="119"/>
      <c r="F44" s="105"/>
      <c r="G44" s="105"/>
      <c r="H44" s="105"/>
      <c r="I44" s="107"/>
    </row>
    <row r="45" spans="2:9" x14ac:dyDescent="0.35">
      <c r="B45" s="106"/>
      <c r="C45" s="114"/>
      <c r="D45" s="105"/>
      <c r="E45" s="119"/>
      <c r="F45" s="105"/>
      <c r="G45" s="105"/>
      <c r="H45" s="105"/>
      <c r="I45" s="107"/>
    </row>
    <row r="46" spans="2:9" x14ac:dyDescent="0.35">
      <c r="B46" s="106"/>
      <c r="C46" s="114"/>
      <c r="D46" s="105"/>
      <c r="E46" s="119"/>
      <c r="F46" s="105"/>
      <c r="G46" s="105"/>
      <c r="H46" s="105"/>
      <c r="I46" s="107"/>
    </row>
    <row r="47" spans="2:9" x14ac:dyDescent="0.35">
      <c r="B47" s="106"/>
      <c r="C47" s="114"/>
      <c r="D47" s="105"/>
      <c r="E47" s="119"/>
      <c r="F47" s="105"/>
      <c r="G47" s="105"/>
      <c r="H47" s="105"/>
      <c r="I47" s="107"/>
    </row>
    <row r="48" spans="2:9" x14ac:dyDescent="0.35">
      <c r="B48" s="106"/>
      <c r="C48" s="114"/>
      <c r="D48" s="105"/>
      <c r="E48" s="119"/>
      <c r="F48" s="105"/>
      <c r="G48" s="105"/>
      <c r="H48" s="105"/>
      <c r="I48" s="107"/>
    </row>
    <row r="49" spans="2:9" x14ac:dyDescent="0.35">
      <c r="B49" s="106"/>
      <c r="C49" s="114"/>
      <c r="D49" s="105"/>
      <c r="E49" s="119"/>
      <c r="F49" s="105"/>
      <c r="G49" s="105"/>
      <c r="H49" s="105"/>
      <c r="I49" s="107"/>
    </row>
    <row r="50" spans="2:9" x14ac:dyDescent="0.35">
      <c r="B50" s="106"/>
      <c r="C50" s="114"/>
      <c r="D50" s="105"/>
      <c r="E50" s="119"/>
      <c r="F50" s="105"/>
      <c r="G50" s="105"/>
      <c r="H50" s="105"/>
      <c r="I50" s="107"/>
    </row>
    <row r="51" spans="2:9" x14ac:dyDescent="0.35">
      <c r="B51" s="106"/>
      <c r="C51" s="114"/>
      <c r="D51" s="105"/>
      <c r="E51" s="119"/>
      <c r="F51" s="105"/>
      <c r="G51" s="105"/>
      <c r="H51" s="105"/>
      <c r="I51" s="107"/>
    </row>
    <row r="52" spans="2:9" x14ac:dyDescent="0.35">
      <c r="B52" s="106"/>
      <c r="C52" s="114"/>
      <c r="D52" s="105"/>
      <c r="E52" s="119"/>
      <c r="F52" s="105"/>
      <c r="G52" s="105"/>
      <c r="H52" s="105"/>
      <c r="I52" s="107"/>
    </row>
    <row r="53" spans="2:9" x14ac:dyDescent="0.35">
      <c r="D53" s="105"/>
    </row>
    <row r="54" spans="2:9" x14ac:dyDescent="0.35">
      <c r="D54" s="105"/>
    </row>
    <row r="55" spans="2:9" x14ac:dyDescent="0.35">
      <c r="D55" s="105"/>
    </row>
    <row r="56" spans="2:9" x14ac:dyDescent="0.35">
      <c r="D56" s="105"/>
    </row>
    <row r="57" spans="2:9" x14ac:dyDescent="0.35">
      <c r="D57" s="105"/>
    </row>
    <row r="58" spans="2:9" x14ac:dyDescent="0.35">
      <c r="D58" s="105"/>
    </row>
    <row r="59" spans="2:9" x14ac:dyDescent="0.35">
      <c r="D59" s="120"/>
    </row>
    <row r="60" spans="2:9" x14ac:dyDescent="0.35">
      <c r="D60" s="120"/>
    </row>
    <row r="61" spans="2:9" x14ac:dyDescent="0.35">
      <c r="D61" s="120"/>
    </row>
    <row r="62" spans="2:9" x14ac:dyDescent="0.35">
      <c r="D62" s="120"/>
    </row>
    <row r="63" spans="2:9" x14ac:dyDescent="0.35">
      <c r="D63" s="120"/>
    </row>
    <row r="64" spans="2:9" x14ac:dyDescent="0.35">
      <c r="D64" s="120"/>
    </row>
    <row r="65" spans="4:4" x14ac:dyDescent="0.35">
      <c r="D65" s="120"/>
    </row>
    <row r="66" spans="4:4" x14ac:dyDescent="0.35">
      <c r="D66" s="120"/>
    </row>
    <row r="67" spans="4:4" x14ac:dyDescent="0.35">
      <c r="D67" s="120"/>
    </row>
    <row r="68" spans="4:4" x14ac:dyDescent="0.35">
      <c r="D68" s="120"/>
    </row>
    <row r="69" spans="4:4" x14ac:dyDescent="0.35">
      <c r="D69" s="120"/>
    </row>
    <row r="70" spans="4:4" x14ac:dyDescent="0.35">
      <c r="D70" s="120"/>
    </row>
    <row r="71" spans="4:4" x14ac:dyDescent="0.35">
      <c r="D71" s="120"/>
    </row>
    <row r="72" spans="4:4" x14ac:dyDescent="0.35">
      <c r="D72" s="120"/>
    </row>
    <row r="73" spans="4:4" x14ac:dyDescent="0.35">
      <c r="D73" s="120"/>
    </row>
    <row r="74" spans="4:4" x14ac:dyDescent="0.35">
      <c r="D74" s="120"/>
    </row>
    <row r="75" spans="4:4" x14ac:dyDescent="0.35">
      <c r="D75" s="120"/>
    </row>
    <row r="76" spans="4:4" x14ac:dyDescent="0.35">
      <c r="D76" s="120"/>
    </row>
    <row r="77" spans="4:4" x14ac:dyDescent="0.35">
      <c r="D77" s="120"/>
    </row>
    <row r="78" spans="4:4" x14ac:dyDescent="0.35">
      <c r="D78" s="120"/>
    </row>
    <row r="79" spans="4:4" x14ac:dyDescent="0.35">
      <c r="D79" s="120"/>
    </row>
    <row r="80" spans="4:4" x14ac:dyDescent="0.35">
      <c r="D80" s="120"/>
    </row>
    <row r="81" spans="4:4" x14ac:dyDescent="0.35">
      <c r="D81" s="120"/>
    </row>
    <row r="82" spans="4:4" x14ac:dyDescent="0.35">
      <c r="D82" s="120"/>
    </row>
    <row r="83" spans="4:4" x14ac:dyDescent="0.35">
      <c r="D83" s="120"/>
    </row>
    <row r="84" spans="4:4" x14ac:dyDescent="0.35">
      <c r="D84" s="120"/>
    </row>
    <row r="85" spans="4:4" x14ac:dyDescent="0.35">
      <c r="D85" s="120"/>
    </row>
    <row r="86" spans="4:4" x14ac:dyDescent="0.35">
      <c r="D86" s="120"/>
    </row>
    <row r="87" spans="4:4" x14ac:dyDescent="0.35">
      <c r="D87" s="120"/>
    </row>
    <row r="88" spans="4:4" x14ac:dyDescent="0.35">
      <c r="D88" s="120"/>
    </row>
    <row r="89" spans="4:4" x14ac:dyDescent="0.35">
      <c r="D89" s="120"/>
    </row>
    <row r="90" spans="4:4" x14ac:dyDescent="0.35">
      <c r="D90" s="120"/>
    </row>
    <row r="91" spans="4:4" x14ac:dyDescent="0.35">
      <c r="D91" s="120"/>
    </row>
    <row r="92" spans="4:4" x14ac:dyDescent="0.35">
      <c r="D92" s="120"/>
    </row>
    <row r="93" spans="4:4" x14ac:dyDescent="0.35">
      <c r="D93" s="120"/>
    </row>
    <row r="94" spans="4:4" x14ac:dyDescent="0.35">
      <c r="D94" s="120"/>
    </row>
    <row r="95" spans="4:4" x14ac:dyDescent="0.35">
      <c r="D95" s="120"/>
    </row>
    <row r="96" spans="4:4" x14ac:dyDescent="0.35">
      <c r="D96" s="120"/>
    </row>
    <row r="97" spans="4:4" x14ac:dyDescent="0.35">
      <c r="D97" s="120"/>
    </row>
    <row r="98" spans="4:4" x14ac:dyDescent="0.35">
      <c r="D98" s="120"/>
    </row>
    <row r="99" spans="4:4" x14ac:dyDescent="0.35">
      <c r="D99" s="120"/>
    </row>
    <row r="100" spans="4:4" x14ac:dyDescent="0.35">
      <c r="D100" s="120"/>
    </row>
    <row r="101" spans="4:4" x14ac:dyDescent="0.35">
      <c r="D101" s="120"/>
    </row>
    <row r="102" spans="4:4" x14ac:dyDescent="0.35">
      <c r="D102" s="120"/>
    </row>
    <row r="103" spans="4:4" x14ac:dyDescent="0.35">
      <c r="D103" s="120"/>
    </row>
    <row r="104" spans="4:4" x14ac:dyDescent="0.35">
      <c r="D104" s="120"/>
    </row>
    <row r="105" spans="4:4" x14ac:dyDescent="0.35">
      <c r="D105" s="120"/>
    </row>
    <row r="106" spans="4:4" x14ac:dyDescent="0.35">
      <c r="D106" s="120"/>
    </row>
    <row r="107" spans="4:4" x14ac:dyDescent="0.35">
      <c r="D107" s="120"/>
    </row>
    <row r="108" spans="4:4" x14ac:dyDescent="0.35">
      <c r="D108" s="120"/>
    </row>
    <row r="109" spans="4:4" x14ac:dyDescent="0.35">
      <c r="D109" s="120"/>
    </row>
    <row r="110" spans="4:4" x14ac:dyDescent="0.35">
      <c r="D110" s="120"/>
    </row>
    <row r="111" spans="4:4" x14ac:dyDescent="0.35">
      <c r="D111" s="120"/>
    </row>
    <row r="112" spans="4:4" x14ac:dyDescent="0.35">
      <c r="D112" s="120"/>
    </row>
    <row r="113" spans="4:4" x14ac:dyDescent="0.35">
      <c r="D113" s="120"/>
    </row>
    <row r="114" spans="4:4" x14ac:dyDescent="0.35">
      <c r="D114" s="120"/>
    </row>
    <row r="115" spans="4:4" x14ac:dyDescent="0.35">
      <c r="D115" s="120"/>
    </row>
    <row r="116" spans="4:4" x14ac:dyDescent="0.35">
      <c r="D116" s="120"/>
    </row>
    <row r="117" spans="4:4" x14ac:dyDescent="0.35">
      <c r="D117" s="120"/>
    </row>
    <row r="118" spans="4:4" x14ac:dyDescent="0.35">
      <c r="D118" s="120"/>
    </row>
    <row r="119" spans="4:4" x14ac:dyDescent="0.35">
      <c r="D119" s="120"/>
    </row>
    <row r="120" spans="4:4" x14ac:dyDescent="0.35">
      <c r="D120" s="120"/>
    </row>
    <row r="121" spans="4:4" x14ac:dyDescent="0.35">
      <c r="D121" s="120"/>
    </row>
    <row r="122" spans="4:4" x14ac:dyDescent="0.35">
      <c r="D122" s="120"/>
    </row>
    <row r="123" spans="4:4" x14ac:dyDescent="0.35">
      <c r="D123" s="120"/>
    </row>
    <row r="124" spans="4:4" x14ac:dyDescent="0.35">
      <c r="D124" s="120"/>
    </row>
    <row r="125" spans="4:4" x14ac:dyDescent="0.35">
      <c r="D125" s="120"/>
    </row>
    <row r="126" spans="4:4" x14ac:dyDescent="0.35">
      <c r="D126" s="120"/>
    </row>
    <row r="127" spans="4:4" x14ac:dyDescent="0.35">
      <c r="D127" s="120"/>
    </row>
    <row r="128" spans="4:4" x14ac:dyDescent="0.35">
      <c r="D128" s="120"/>
    </row>
    <row r="129" spans="4:4" x14ac:dyDescent="0.35">
      <c r="D129" s="120"/>
    </row>
    <row r="130" spans="4:4" x14ac:dyDescent="0.35">
      <c r="D130" s="120"/>
    </row>
    <row r="131" spans="4:4" x14ac:dyDescent="0.35">
      <c r="D131" s="120"/>
    </row>
    <row r="132" spans="4:4" x14ac:dyDescent="0.35">
      <c r="D132" s="120"/>
    </row>
    <row r="133" spans="4:4" x14ac:dyDescent="0.35">
      <c r="D133" s="120"/>
    </row>
    <row r="134" spans="4:4" x14ac:dyDescent="0.35">
      <c r="D134" s="120"/>
    </row>
    <row r="135" spans="4:4" x14ac:dyDescent="0.35">
      <c r="D135" s="120"/>
    </row>
    <row r="136" spans="4:4" x14ac:dyDescent="0.35">
      <c r="D136" s="120"/>
    </row>
    <row r="137" spans="4:4" x14ac:dyDescent="0.35">
      <c r="D137" s="120"/>
    </row>
    <row r="138" spans="4:4" x14ac:dyDescent="0.35">
      <c r="D138" s="120"/>
    </row>
    <row r="139" spans="4:4" x14ac:dyDescent="0.35">
      <c r="D139" s="120"/>
    </row>
    <row r="140" spans="4:4" x14ac:dyDescent="0.35">
      <c r="D140" s="120"/>
    </row>
    <row r="141" spans="4:4" x14ac:dyDescent="0.35">
      <c r="D141" s="120"/>
    </row>
    <row r="142" spans="4:4" x14ac:dyDescent="0.35">
      <c r="D142" s="120"/>
    </row>
    <row r="143" spans="4:4" x14ac:dyDescent="0.35">
      <c r="D143" s="120"/>
    </row>
    <row r="144" spans="4:4" x14ac:dyDescent="0.35">
      <c r="D144" s="120"/>
    </row>
    <row r="145" spans="4:4" x14ac:dyDescent="0.35">
      <c r="D145" s="120"/>
    </row>
    <row r="146" spans="4:4" x14ac:dyDescent="0.35">
      <c r="D146" s="120"/>
    </row>
    <row r="147" spans="4:4" x14ac:dyDescent="0.35">
      <c r="D147" s="120"/>
    </row>
    <row r="148" spans="4:4" x14ac:dyDescent="0.35">
      <c r="D148" s="120"/>
    </row>
    <row r="149" spans="4:4" x14ac:dyDescent="0.35">
      <c r="D149" s="120"/>
    </row>
    <row r="150" spans="4:4" x14ac:dyDescent="0.35">
      <c r="D150" s="120"/>
    </row>
    <row r="151" spans="4:4" x14ac:dyDescent="0.35">
      <c r="D151" s="120"/>
    </row>
    <row r="152" spans="4:4" x14ac:dyDescent="0.35">
      <c r="D152" s="120"/>
    </row>
    <row r="153" spans="4:4" x14ac:dyDescent="0.35">
      <c r="D153" s="120"/>
    </row>
    <row r="154" spans="4:4" x14ac:dyDescent="0.35">
      <c r="D154" s="120"/>
    </row>
    <row r="155" spans="4:4" x14ac:dyDescent="0.35">
      <c r="D155" s="120"/>
    </row>
    <row r="156" spans="4:4" x14ac:dyDescent="0.35">
      <c r="D156" s="120"/>
    </row>
    <row r="157" spans="4:4" x14ac:dyDescent="0.35">
      <c r="D157" s="120"/>
    </row>
    <row r="158" spans="4:4" x14ac:dyDescent="0.35">
      <c r="D158" s="120"/>
    </row>
    <row r="159" spans="4:4" x14ac:dyDescent="0.35">
      <c r="D159" s="120"/>
    </row>
    <row r="160" spans="4:4" x14ac:dyDescent="0.35">
      <c r="D160" s="120"/>
    </row>
    <row r="161" spans="4:4" x14ac:dyDescent="0.35">
      <c r="D161" s="120"/>
    </row>
    <row r="162" spans="4:4" x14ac:dyDescent="0.35">
      <c r="D162" s="120"/>
    </row>
    <row r="163" spans="4:4" x14ac:dyDescent="0.35">
      <c r="D163" s="120"/>
    </row>
    <row r="164" spans="4:4" x14ac:dyDescent="0.35">
      <c r="D164" s="120"/>
    </row>
    <row r="165" spans="4:4" x14ac:dyDescent="0.35">
      <c r="D165" s="120"/>
    </row>
    <row r="166" spans="4:4" x14ac:dyDescent="0.35">
      <c r="D166" s="120"/>
    </row>
    <row r="167" spans="4:4" x14ac:dyDescent="0.35">
      <c r="D167" s="120"/>
    </row>
    <row r="168" spans="4:4" x14ac:dyDescent="0.35">
      <c r="D168" s="120"/>
    </row>
    <row r="169" spans="4:4" x14ac:dyDescent="0.35">
      <c r="D169" s="120"/>
    </row>
    <row r="170" spans="4:4" x14ac:dyDescent="0.35">
      <c r="D170" s="120"/>
    </row>
    <row r="171" spans="4:4" x14ac:dyDescent="0.35">
      <c r="D171" s="120"/>
    </row>
    <row r="172" spans="4:4" x14ac:dyDescent="0.35">
      <c r="D172" s="120"/>
    </row>
    <row r="173" spans="4:4" x14ac:dyDescent="0.35">
      <c r="D173" s="120"/>
    </row>
    <row r="174" spans="4:4" x14ac:dyDescent="0.35">
      <c r="D174" s="120"/>
    </row>
    <row r="175" spans="4:4" x14ac:dyDescent="0.35">
      <c r="D175" s="120"/>
    </row>
    <row r="176" spans="4:4" x14ac:dyDescent="0.35">
      <c r="D176" s="120"/>
    </row>
    <row r="177" spans="4:4" x14ac:dyDescent="0.35">
      <c r="D177" s="120"/>
    </row>
    <row r="178" spans="4:4" x14ac:dyDescent="0.35">
      <c r="D178" s="120"/>
    </row>
    <row r="179" spans="4:4" x14ac:dyDescent="0.35">
      <c r="D179" s="120"/>
    </row>
    <row r="180" spans="4:4" x14ac:dyDescent="0.35">
      <c r="D180" s="120"/>
    </row>
    <row r="181" spans="4:4" x14ac:dyDescent="0.35">
      <c r="D181" s="120"/>
    </row>
    <row r="182" spans="4:4" x14ac:dyDescent="0.35">
      <c r="D182" s="120"/>
    </row>
    <row r="183" spans="4:4" x14ac:dyDescent="0.35">
      <c r="D183" s="120"/>
    </row>
    <row r="184" spans="4:4" x14ac:dyDescent="0.35">
      <c r="D184" s="120"/>
    </row>
    <row r="185" spans="4:4" x14ac:dyDescent="0.35">
      <c r="D185" s="120"/>
    </row>
    <row r="186" spans="4:4" x14ac:dyDescent="0.35">
      <c r="D186" s="120"/>
    </row>
    <row r="187" spans="4:4" x14ac:dyDescent="0.35">
      <c r="D187" s="120"/>
    </row>
    <row r="188" spans="4:4" x14ac:dyDescent="0.35">
      <c r="D188" s="120"/>
    </row>
    <row r="189" spans="4:4" x14ac:dyDescent="0.35">
      <c r="D189" s="120"/>
    </row>
    <row r="190" spans="4:4" x14ac:dyDescent="0.35">
      <c r="D190" s="120"/>
    </row>
    <row r="191" spans="4:4" x14ac:dyDescent="0.35">
      <c r="D191" s="120"/>
    </row>
    <row r="192" spans="4:4" x14ac:dyDescent="0.35">
      <c r="D192" s="120"/>
    </row>
    <row r="193" spans="4:4" x14ac:dyDescent="0.35">
      <c r="D193" s="120"/>
    </row>
    <row r="194" spans="4:4" x14ac:dyDescent="0.35">
      <c r="D194" s="120"/>
    </row>
    <row r="195" spans="4:4" x14ac:dyDescent="0.35">
      <c r="D195" s="120"/>
    </row>
    <row r="196" spans="4:4" x14ac:dyDescent="0.35">
      <c r="D196" s="120"/>
    </row>
    <row r="197" spans="4:4" x14ac:dyDescent="0.35">
      <c r="D197" s="120"/>
    </row>
    <row r="198" spans="4:4" x14ac:dyDescent="0.35">
      <c r="D198" s="120"/>
    </row>
    <row r="199" spans="4:4" x14ac:dyDescent="0.35">
      <c r="D199" s="120"/>
    </row>
    <row r="200" spans="4:4" x14ac:dyDescent="0.35">
      <c r="D200" s="120"/>
    </row>
    <row r="201" spans="4:4" x14ac:dyDescent="0.35">
      <c r="D201" s="120"/>
    </row>
    <row r="202" spans="4:4" x14ac:dyDescent="0.35">
      <c r="D202" s="120"/>
    </row>
    <row r="203" spans="4:4" x14ac:dyDescent="0.35">
      <c r="D203" s="120"/>
    </row>
    <row r="204" spans="4:4" x14ac:dyDescent="0.35">
      <c r="D204" s="120"/>
    </row>
    <row r="205" spans="4:4" x14ac:dyDescent="0.35">
      <c r="D205" s="120"/>
    </row>
    <row r="206" spans="4:4" x14ac:dyDescent="0.35">
      <c r="D206" s="120"/>
    </row>
    <row r="207" spans="4:4" x14ac:dyDescent="0.35">
      <c r="D207" s="120"/>
    </row>
    <row r="208" spans="4:4" x14ac:dyDescent="0.35">
      <c r="D208" s="120"/>
    </row>
    <row r="209" spans="4:4" x14ac:dyDescent="0.35">
      <c r="D209" s="120"/>
    </row>
    <row r="210" spans="4:4" x14ac:dyDescent="0.35">
      <c r="D210" s="120"/>
    </row>
    <row r="211" spans="4:4" x14ac:dyDescent="0.35">
      <c r="D211" s="120"/>
    </row>
    <row r="212" spans="4:4" x14ac:dyDescent="0.35">
      <c r="D212" s="120"/>
    </row>
    <row r="213" spans="4:4" x14ac:dyDescent="0.35">
      <c r="D213" s="120"/>
    </row>
    <row r="214" spans="4:4" x14ac:dyDescent="0.35">
      <c r="D214" s="120"/>
    </row>
    <row r="215" spans="4:4" x14ac:dyDescent="0.35">
      <c r="D215" s="120"/>
    </row>
    <row r="216" spans="4:4" x14ac:dyDescent="0.35">
      <c r="D216" s="120"/>
    </row>
    <row r="217" spans="4:4" x14ac:dyDescent="0.35">
      <c r="D217" s="120"/>
    </row>
    <row r="218" spans="4:4" x14ac:dyDescent="0.35">
      <c r="D218" s="120"/>
    </row>
    <row r="219" spans="4:4" x14ac:dyDescent="0.35">
      <c r="D219" s="120"/>
    </row>
    <row r="220" spans="4:4" x14ac:dyDescent="0.35">
      <c r="D220" s="120"/>
    </row>
    <row r="221" spans="4:4" x14ac:dyDescent="0.35">
      <c r="D221" s="120"/>
    </row>
    <row r="222" spans="4:4" x14ac:dyDescent="0.35">
      <c r="D222" s="120"/>
    </row>
    <row r="223" spans="4:4" x14ac:dyDescent="0.35">
      <c r="D223" s="120"/>
    </row>
    <row r="224" spans="4:4" x14ac:dyDescent="0.35">
      <c r="D224" s="120"/>
    </row>
    <row r="225" spans="4:4" x14ac:dyDescent="0.35">
      <c r="D225" s="120"/>
    </row>
    <row r="226" spans="4:4" x14ac:dyDescent="0.35">
      <c r="D226" s="120"/>
    </row>
    <row r="227" spans="4:4" x14ac:dyDescent="0.35">
      <c r="D227" s="120"/>
    </row>
    <row r="228" spans="4:4" x14ac:dyDescent="0.35">
      <c r="D228" s="120"/>
    </row>
    <row r="229" spans="4:4" x14ac:dyDescent="0.35">
      <c r="D229" s="120"/>
    </row>
    <row r="230" spans="4:4" x14ac:dyDescent="0.35">
      <c r="D230" s="120"/>
    </row>
    <row r="231" spans="4:4" x14ac:dyDescent="0.35">
      <c r="D231" s="120"/>
    </row>
    <row r="232" spans="4:4" x14ac:dyDescent="0.35">
      <c r="D232" s="120"/>
    </row>
    <row r="233" spans="4:4" x14ac:dyDescent="0.35">
      <c r="D233" s="120"/>
    </row>
    <row r="234" spans="4:4" x14ac:dyDescent="0.35">
      <c r="D234" s="120"/>
    </row>
    <row r="235" spans="4:4" x14ac:dyDescent="0.35">
      <c r="D235" s="120"/>
    </row>
    <row r="236" spans="4:4" x14ac:dyDescent="0.35">
      <c r="D236" s="120"/>
    </row>
    <row r="237" spans="4:4" x14ac:dyDescent="0.35">
      <c r="D237" s="120"/>
    </row>
    <row r="238" spans="4:4" x14ac:dyDescent="0.35">
      <c r="D238" s="120"/>
    </row>
    <row r="239" spans="4:4" x14ac:dyDescent="0.35">
      <c r="D239" s="120"/>
    </row>
    <row r="240" spans="4:4" x14ac:dyDescent="0.35">
      <c r="D240" s="120"/>
    </row>
    <row r="241" spans="4:4" x14ac:dyDescent="0.35">
      <c r="D241" s="120"/>
    </row>
    <row r="242" spans="4:4" x14ac:dyDescent="0.35">
      <c r="D242" s="120"/>
    </row>
    <row r="243" spans="4:4" x14ac:dyDescent="0.35">
      <c r="D243" s="120"/>
    </row>
    <row r="244" spans="4:4" x14ac:dyDescent="0.35">
      <c r="D244" s="120"/>
    </row>
    <row r="245" spans="4:4" x14ac:dyDescent="0.35">
      <c r="D245" s="120"/>
    </row>
    <row r="246" spans="4:4" x14ac:dyDescent="0.35">
      <c r="D246" s="120"/>
    </row>
    <row r="247" spans="4:4" x14ac:dyDescent="0.35">
      <c r="D247" s="120"/>
    </row>
    <row r="248" spans="4:4" x14ac:dyDescent="0.35">
      <c r="D248" s="120"/>
    </row>
    <row r="249" spans="4:4" x14ac:dyDescent="0.35">
      <c r="D249" s="120"/>
    </row>
    <row r="250" spans="4:4" x14ac:dyDescent="0.35">
      <c r="D250" s="120"/>
    </row>
    <row r="251" spans="4:4" x14ac:dyDescent="0.35">
      <c r="D251" s="120"/>
    </row>
    <row r="252" spans="4:4" x14ac:dyDescent="0.35">
      <c r="D252" s="120"/>
    </row>
    <row r="253" spans="4:4" x14ac:dyDescent="0.35">
      <c r="D253" s="120"/>
    </row>
    <row r="254" spans="4:4" x14ac:dyDescent="0.35">
      <c r="D254" s="120"/>
    </row>
    <row r="255" spans="4:4" x14ac:dyDescent="0.35">
      <c r="D255" s="120"/>
    </row>
    <row r="256" spans="4:4" x14ac:dyDescent="0.35">
      <c r="D256" s="120"/>
    </row>
    <row r="257" spans="4:4" x14ac:dyDescent="0.35">
      <c r="D257" s="120"/>
    </row>
    <row r="258" spans="4:4" x14ac:dyDescent="0.35">
      <c r="D258" s="120"/>
    </row>
    <row r="259" spans="4:4" x14ac:dyDescent="0.35">
      <c r="D259" s="120"/>
    </row>
    <row r="260" spans="4:4" x14ac:dyDescent="0.35">
      <c r="D260" s="120"/>
    </row>
    <row r="261" spans="4:4" x14ac:dyDescent="0.35">
      <c r="D261" s="120"/>
    </row>
    <row r="262" spans="4:4" x14ac:dyDescent="0.35">
      <c r="D262" s="120"/>
    </row>
    <row r="263" spans="4:4" x14ac:dyDescent="0.35">
      <c r="D263" s="120"/>
    </row>
    <row r="264" spans="4:4" x14ac:dyDescent="0.35">
      <c r="D264" s="120"/>
    </row>
    <row r="265" spans="4:4" x14ac:dyDescent="0.35">
      <c r="D265" s="120"/>
    </row>
    <row r="266" spans="4:4" x14ac:dyDescent="0.35">
      <c r="D266" s="120"/>
    </row>
    <row r="267" spans="4:4" x14ac:dyDescent="0.35">
      <c r="D267" s="120"/>
    </row>
    <row r="268" spans="4:4" x14ac:dyDescent="0.35">
      <c r="D268" s="120"/>
    </row>
    <row r="269" spans="4:4" x14ac:dyDescent="0.35">
      <c r="D269" s="120"/>
    </row>
    <row r="270" spans="4:4" x14ac:dyDescent="0.35">
      <c r="D270" s="120"/>
    </row>
    <row r="271" spans="4:4" x14ac:dyDescent="0.35">
      <c r="D271" s="120"/>
    </row>
    <row r="272" spans="4:4" x14ac:dyDescent="0.35">
      <c r="D272" s="120"/>
    </row>
    <row r="273" spans="4:4" x14ac:dyDescent="0.35">
      <c r="D273" s="120"/>
    </row>
    <row r="274" spans="4:4" x14ac:dyDescent="0.35">
      <c r="D274" s="120"/>
    </row>
    <row r="275" spans="4:4" x14ac:dyDescent="0.35">
      <c r="D275" s="120"/>
    </row>
    <row r="276" spans="4:4" x14ac:dyDescent="0.35">
      <c r="D276" s="120"/>
    </row>
    <row r="277" spans="4:4" x14ac:dyDescent="0.35">
      <c r="D277" s="120"/>
    </row>
    <row r="278" spans="4:4" x14ac:dyDescent="0.35">
      <c r="D278" s="120"/>
    </row>
    <row r="279" spans="4:4" x14ac:dyDescent="0.35">
      <c r="D279" s="120"/>
    </row>
    <row r="280" spans="4:4" x14ac:dyDescent="0.35">
      <c r="D280" s="120"/>
    </row>
    <row r="281" spans="4:4" x14ac:dyDescent="0.35">
      <c r="D281" s="120"/>
    </row>
    <row r="282" spans="4:4" x14ac:dyDescent="0.35">
      <c r="D282" s="120"/>
    </row>
    <row r="283" spans="4:4" x14ac:dyDescent="0.35">
      <c r="D283" s="120"/>
    </row>
    <row r="284" spans="4:4" x14ac:dyDescent="0.35">
      <c r="D284" s="120"/>
    </row>
    <row r="285" spans="4:4" x14ac:dyDescent="0.35">
      <c r="D285" s="120"/>
    </row>
    <row r="286" spans="4:4" x14ac:dyDescent="0.35">
      <c r="D286" s="120"/>
    </row>
    <row r="287" spans="4:4" x14ac:dyDescent="0.35">
      <c r="D287" s="120"/>
    </row>
    <row r="288" spans="4:4" x14ac:dyDescent="0.35">
      <c r="D288" s="120"/>
    </row>
    <row r="289" spans="4:4" x14ac:dyDescent="0.35">
      <c r="D289" s="120"/>
    </row>
    <row r="290" spans="4:4" x14ac:dyDescent="0.35">
      <c r="D290" s="120"/>
    </row>
    <row r="291" spans="4:4" x14ac:dyDescent="0.35">
      <c r="D291" s="120"/>
    </row>
    <row r="292" spans="4:4" x14ac:dyDescent="0.35">
      <c r="D292" s="120"/>
    </row>
    <row r="293" spans="4:4" x14ac:dyDescent="0.35">
      <c r="D293" s="120"/>
    </row>
    <row r="294" spans="4:4" x14ac:dyDescent="0.35">
      <c r="D294" s="120"/>
    </row>
    <row r="295" spans="4:4" x14ac:dyDescent="0.35">
      <c r="D295" s="120"/>
    </row>
    <row r="296" spans="4:4" x14ac:dyDescent="0.35">
      <c r="D296" s="120"/>
    </row>
    <row r="297" spans="4:4" x14ac:dyDescent="0.35">
      <c r="D297" s="120"/>
    </row>
    <row r="298" spans="4:4" x14ac:dyDescent="0.35">
      <c r="D298" s="120"/>
    </row>
    <row r="299" spans="4:4" x14ac:dyDescent="0.35">
      <c r="D299" s="120"/>
    </row>
    <row r="300" spans="4:4" x14ac:dyDescent="0.35">
      <c r="D300" s="120"/>
    </row>
    <row r="301" spans="4:4" x14ac:dyDescent="0.35">
      <c r="D301" s="120"/>
    </row>
    <row r="302" spans="4:4" x14ac:dyDescent="0.35">
      <c r="D302" s="120"/>
    </row>
    <row r="303" spans="4:4" x14ac:dyDescent="0.35">
      <c r="D303" s="120"/>
    </row>
    <row r="304" spans="4:4" x14ac:dyDescent="0.35">
      <c r="D304" s="120"/>
    </row>
    <row r="305" spans="4:4" x14ac:dyDescent="0.35">
      <c r="D305" s="120"/>
    </row>
    <row r="306" spans="4:4" x14ac:dyDescent="0.35">
      <c r="D306" s="120"/>
    </row>
    <row r="307" spans="4:4" x14ac:dyDescent="0.35">
      <c r="D307" s="120"/>
    </row>
    <row r="308" spans="4:4" x14ac:dyDescent="0.35">
      <c r="D308" s="120"/>
    </row>
    <row r="309" spans="4:4" x14ac:dyDescent="0.35">
      <c r="D309" s="120"/>
    </row>
    <row r="310" spans="4:4" x14ac:dyDescent="0.35">
      <c r="D310" s="120"/>
    </row>
    <row r="311" spans="4:4" x14ac:dyDescent="0.35">
      <c r="D311" s="120"/>
    </row>
    <row r="312" spans="4:4" x14ac:dyDescent="0.35">
      <c r="D312" s="120"/>
    </row>
    <row r="313" spans="4:4" x14ac:dyDescent="0.35">
      <c r="D313" s="120"/>
    </row>
    <row r="314" spans="4:4" x14ac:dyDescent="0.35">
      <c r="D314" s="120"/>
    </row>
    <row r="315" spans="4:4" x14ac:dyDescent="0.35">
      <c r="D315" s="120"/>
    </row>
    <row r="316" spans="4:4" x14ac:dyDescent="0.35">
      <c r="D316" s="120"/>
    </row>
    <row r="317" spans="4:4" x14ac:dyDescent="0.35">
      <c r="D317" s="120"/>
    </row>
    <row r="318" spans="4:4" x14ac:dyDescent="0.35">
      <c r="D318" s="120"/>
    </row>
    <row r="319" spans="4:4" x14ac:dyDescent="0.35">
      <c r="D319" s="120"/>
    </row>
    <row r="320" spans="4:4" x14ac:dyDescent="0.35">
      <c r="D320" s="120"/>
    </row>
    <row r="321" spans="4:4" x14ac:dyDescent="0.35">
      <c r="D321" s="120"/>
    </row>
    <row r="322" spans="4:4" x14ac:dyDescent="0.35">
      <c r="D322" s="120"/>
    </row>
    <row r="323" spans="4:4" x14ac:dyDescent="0.35">
      <c r="D323" s="120"/>
    </row>
    <row r="324" spans="4:4" x14ac:dyDescent="0.35">
      <c r="D324" s="120"/>
    </row>
    <row r="325" spans="4:4" x14ac:dyDescent="0.35">
      <c r="D325" s="120"/>
    </row>
    <row r="326" spans="4:4" x14ac:dyDescent="0.35">
      <c r="D326" s="120"/>
    </row>
    <row r="327" spans="4:4" x14ac:dyDescent="0.35">
      <c r="D327" s="120"/>
    </row>
    <row r="328" spans="4:4" x14ac:dyDescent="0.35">
      <c r="D328" s="120"/>
    </row>
    <row r="329" spans="4:4" x14ac:dyDescent="0.35">
      <c r="D329" s="120"/>
    </row>
    <row r="330" spans="4:4" x14ac:dyDescent="0.35">
      <c r="D330" s="120"/>
    </row>
    <row r="331" spans="4:4" x14ac:dyDescent="0.35">
      <c r="D331" s="120"/>
    </row>
    <row r="332" spans="4:4" x14ac:dyDescent="0.35">
      <c r="D332" s="120"/>
    </row>
    <row r="333" spans="4:4" x14ac:dyDescent="0.35">
      <c r="D333" s="120"/>
    </row>
    <row r="334" spans="4:4" x14ac:dyDescent="0.35">
      <c r="D334" s="120"/>
    </row>
    <row r="335" spans="4:4" x14ac:dyDescent="0.35">
      <c r="D335" s="120"/>
    </row>
    <row r="336" spans="4:4" x14ac:dyDescent="0.35">
      <c r="D336" s="120"/>
    </row>
    <row r="337" spans="4:4" x14ac:dyDescent="0.35">
      <c r="D337" s="120"/>
    </row>
    <row r="338" spans="4:4" x14ac:dyDescent="0.35">
      <c r="D338" s="120"/>
    </row>
    <row r="339" spans="4:4" x14ac:dyDescent="0.35">
      <c r="D339" s="120"/>
    </row>
    <row r="340" spans="4:4" x14ac:dyDescent="0.35">
      <c r="D340" s="120"/>
    </row>
    <row r="341" spans="4:4" x14ac:dyDescent="0.35">
      <c r="D341" s="120"/>
    </row>
    <row r="342" spans="4:4" x14ac:dyDescent="0.35">
      <c r="D342" s="120"/>
    </row>
    <row r="343" spans="4:4" x14ac:dyDescent="0.35">
      <c r="D343" s="120"/>
    </row>
    <row r="344" spans="4:4" x14ac:dyDescent="0.35">
      <c r="D344" s="120"/>
    </row>
    <row r="345" spans="4:4" x14ac:dyDescent="0.35">
      <c r="D345" s="120"/>
    </row>
    <row r="346" spans="4:4" x14ac:dyDescent="0.35">
      <c r="D346" s="120"/>
    </row>
    <row r="347" spans="4:4" x14ac:dyDescent="0.35">
      <c r="D347" s="120"/>
    </row>
    <row r="348" spans="4:4" x14ac:dyDescent="0.35">
      <c r="D348" s="120"/>
    </row>
    <row r="349" spans="4:4" x14ac:dyDescent="0.35">
      <c r="D349" s="120"/>
    </row>
    <row r="350" spans="4:4" x14ac:dyDescent="0.35">
      <c r="D350" s="120"/>
    </row>
    <row r="351" spans="4:4" x14ac:dyDescent="0.35">
      <c r="D351" s="120"/>
    </row>
    <row r="352" spans="4:4" x14ac:dyDescent="0.35">
      <c r="D352" s="120"/>
    </row>
    <row r="353" spans="4:4" x14ac:dyDescent="0.35">
      <c r="D353" s="120"/>
    </row>
    <row r="354" spans="4:4" x14ac:dyDescent="0.35">
      <c r="D354" s="120"/>
    </row>
    <row r="355" spans="4:4" x14ac:dyDescent="0.35">
      <c r="D355" s="120"/>
    </row>
    <row r="356" spans="4:4" x14ac:dyDescent="0.35">
      <c r="D356" s="120"/>
    </row>
    <row r="357" spans="4:4" x14ac:dyDescent="0.35">
      <c r="D357" s="120"/>
    </row>
    <row r="358" spans="4:4" x14ac:dyDescent="0.35">
      <c r="D358" s="120"/>
    </row>
    <row r="359" spans="4:4" x14ac:dyDescent="0.35">
      <c r="D359" s="120"/>
    </row>
    <row r="360" spans="4:4" x14ac:dyDescent="0.35">
      <c r="D360" s="120"/>
    </row>
    <row r="361" spans="4:4" x14ac:dyDescent="0.35">
      <c r="D361" s="120"/>
    </row>
    <row r="362" spans="4:4" x14ac:dyDescent="0.35">
      <c r="D362" s="120"/>
    </row>
    <row r="363" spans="4:4" x14ac:dyDescent="0.35">
      <c r="D363" s="120"/>
    </row>
    <row r="364" spans="4:4" x14ac:dyDescent="0.35">
      <c r="D364" s="120"/>
    </row>
    <row r="365" spans="4:4" x14ac:dyDescent="0.35">
      <c r="D365" s="120"/>
    </row>
    <row r="366" spans="4:4" x14ac:dyDescent="0.35">
      <c r="D366" s="120"/>
    </row>
    <row r="367" spans="4:4" x14ac:dyDescent="0.35">
      <c r="D367" s="120"/>
    </row>
    <row r="368" spans="4:4" x14ac:dyDescent="0.35">
      <c r="D368" s="120"/>
    </row>
    <row r="369" spans="4:4" x14ac:dyDescent="0.35">
      <c r="D369" s="120"/>
    </row>
    <row r="370" spans="4:4" x14ac:dyDescent="0.35">
      <c r="D370" s="120"/>
    </row>
    <row r="371" spans="4:4" x14ac:dyDescent="0.35">
      <c r="D371" s="120"/>
    </row>
    <row r="372" spans="4:4" x14ac:dyDescent="0.35">
      <c r="D372" s="120"/>
    </row>
    <row r="373" spans="4:4" x14ac:dyDescent="0.35">
      <c r="D373" s="120"/>
    </row>
    <row r="374" spans="4:4" x14ac:dyDescent="0.35">
      <c r="D374" s="120"/>
    </row>
    <row r="375" spans="4:4" x14ac:dyDescent="0.35">
      <c r="D375" s="120"/>
    </row>
    <row r="376" spans="4:4" x14ac:dyDescent="0.35">
      <c r="D376" s="120"/>
    </row>
    <row r="377" spans="4:4" x14ac:dyDescent="0.35">
      <c r="D377" s="120"/>
    </row>
    <row r="378" spans="4:4" x14ac:dyDescent="0.35">
      <c r="D378" s="12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957C1-7AC1-49D5-BC5C-C423808A35C7}">
  <sheetPr codeName="Sheet3"/>
  <dimension ref="A1:AQ23"/>
  <sheetViews>
    <sheetView zoomScale="55" zoomScaleNormal="55" workbookViewId="0">
      <selection activeCell="A9" sqref="A9"/>
    </sheetView>
  </sheetViews>
  <sheetFormatPr defaultRowHeight="14.5" x14ac:dyDescent="0.35"/>
  <cols>
    <col min="1" max="4" width="14.453125" style="1" customWidth="1"/>
    <col min="5" max="5" width="16.08984375" style="1" bestFit="1" customWidth="1"/>
    <col min="6" max="6" width="15.7265625" style="1" bestFit="1" customWidth="1"/>
    <col min="7" max="8" width="14.453125" style="1" customWidth="1"/>
    <col min="9" max="12" width="15.1796875" style="1" customWidth="1"/>
    <col min="13" max="13" width="7.36328125" style="1" bestFit="1" customWidth="1"/>
    <col min="14" max="15" width="7.36328125" style="1" customWidth="1"/>
    <col min="16" max="16" width="10.7265625" style="1" bestFit="1" customWidth="1"/>
    <col min="17" max="18" width="10.7265625" style="1" customWidth="1"/>
    <col min="19" max="19" width="13.81640625" style="1" bestFit="1" customWidth="1"/>
    <col min="20" max="21" width="13.81640625" style="1" customWidth="1"/>
    <col min="22" max="22" width="15.453125" style="1" bestFit="1" customWidth="1"/>
    <col min="23" max="24" width="15.453125" style="1" customWidth="1"/>
    <col min="25" max="33" width="13.26953125" style="1" customWidth="1"/>
    <col min="34" max="34" width="21.54296875" style="1" bestFit="1" customWidth="1"/>
    <col min="35" max="42" width="18.453125" style="1" customWidth="1"/>
    <col min="43" max="43" width="14" style="1" customWidth="1"/>
    <col min="44" max="16384" width="8.7265625" style="1"/>
  </cols>
  <sheetData>
    <row r="1" spans="1:43" ht="40" customHeight="1" x14ac:dyDescent="0.35"/>
    <row r="2" spans="1:43" ht="15" thickBot="1" x14ac:dyDescent="0.4"/>
    <row r="3" spans="1:43" ht="15" thickBot="1" x14ac:dyDescent="0.4">
      <c r="A3" s="2" t="s">
        <v>0</v>
      </c>
      <c r="B3" s="3">
        <v>43811</v>
      </c>
      <c r="I3" s="4"/>
      <c r="J3" s="5"/>
      <c r="K3" s="5"/>
      <c r="L3" s="6"/>
    </row>
    <row r="4" spans="1:43" x14ac:dyDescent="0.35">
      <c r="I4" s="7"/>
      <c r="J4" s="8"/>
      <c r="K4" s="8"/>
      <c r="L4" s="9"/>
    </row>
    <row r="5" spans="1:43" x14ac:dyDescent="0.35">
      <c r="I5" s="7" t="s">
        <v>23</v>
      </c>
      <c r="J5" s="8"/>
      <c r="K5" s="8" t="s">
        <v>9</v>
      </c>
      <c r="L5" s="11">
        <v>1</v>
      </c>
    </row>
    <row r="6" spans="1:43" x14ac:dyDescent="0.35">
      <c r="B6" s="10"/>
      <c r="I6" s="7" t="s">
        <v>3</v>
      </c>
      <c r="J6" s="8"/>
      <c r="K6" s="8" t="s">
        <v>4</v>
      </c>
      <c r="L6" s="11">
        <v>0.35</v>
      </c>
    </row>
    <row r="7" spans="1:43" ht="15" thickBot="1" x14ac:dyDescent="0.4">
      <c r="I7" s="12" t="s">
        <v>5</v>
      </c>
      <c r="J7" s="13"/>
      <c r="K7" s="13" t="s">
        <v>6</v>
      </c>
      <c r="L7" s="14">
        <v>0.65</v>
      </c>
    </row>
    <row r="8" spans="1:43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43" ht="14.5" customHeight="1" x14ac:dyDescent="0.35">
      <c r="A9" s="26" t="s">
        <v>7</v>
      </c>
      <c r="B9" s="26" t="s">
        <v>8</v>
      </c>
      <c r="C9" s="33" t="s">
        <v>13</v>
      </c>
      <c r="D9" s="37" t="s">
        <v>46</v>
      </c>
      <c r="E9" s="37" t="s">
        <v>47</v>
      </c>
      <c r="F9" s="37" t="s">
        <v>62</v>
      </c>
      <c r="G9" s="38" t="s">
        <v>10</v>
      </c>
      <c r="H9" s="17" t="s">
        <v>12</v>
      </c>
      <c r="I9" s="27" t="s">
        <v>18</v>
      </c>
      <c r="J9" s="27" t="s">
        <v>19</v>
      </c>
      <c r="K9" s="27" t="s">
        <v>20</v>
      </c>
      <c r="L9" s="27" t="s">
        <v>21</v>
      </c>
      <c r="M9" s="27" t="s">
        <v>48</v>
      </c>
      <c r="N9" s="27" t="s">
        <v>49</v>
      </c>
      <c r="O9" s="27" t="s">
        <v>63</v>
      </c>
      <c r="P9" s="27" t="s">
        <v>50</v>
      </c>
      <c r="Q9" s="27" t="s">
        <v>51</v>
      </c>
      <c r="R9" s="27" t="s">
        <v>64</v>
      </c>
      <c r="S9" s="27" t="s">
        <v>52</v>
      </c>
      <c r="T9" s="27" t="s">
        <v>53</v>
      </c>
      <c r="U9" s="27" t="s">
        <v>65</v>
      </c>
      <c r="V9" s="27" t="s">
        <v>54</v>
      </c>
      <c r="W9" s="27" t="s">
        <v>55</v>
      </c>
      <c r="X9" s="27" t="s">
        <v>66</v>
      </c>
      <c r="Y9" s="27" t="s">
        <v>56</v>
      </c>
      <c r="Z9" s="27" t="s">
        <v>57</v>
      </c>
      <c r="AA9" s="27" t="s">
        <v>67</v>
      </c>
      <c r="AB9" s="27" t="s">
        <v>58</v>
      </c>
      <c r="AC9" s="27" t="s">
        <v>59</v>
      </c>
      <c r="AD9" s="27" t="s">
        <v>68</v>
      </c>
      <c r="AE9" s="27" t="s">
        <v>60</v>
      </c>
      <c r="AF9" s="27" t="s">
        <v>61</v>
      </c>
      <c r="AG9" s="27" t="s">
        <v>69</v>
      </c>
      <c r="AH9" s="27" t="s">
        <v>34</v>
      </c>
      <c r="AI9" s="27" t="s">
        <v>35</v>
      </c>
      <c r="AJ9" s="27" t="s">
        <v>39</v>
      </c>
      <c r="AK9" s="27" t="s">
        <v>36</v>
      </c>
      <c r="AL9" s="27" t="s">
        <v>38</v>
      </c>
      <c r="AM9" s="27" t="s">
        <v>38</v>
      </c>
      <c r="AN9" s="27" t="s">
        <v>37</v>
      </c>
      <c r="AO9" s="27" t="s">
        <v>40</v>
      </c>
      <c r="AP9" s="27" t="s">
        <v>45</v>
      </c>
      <c r="AQ9" s="27" t="s">
        <v>80</v>
      </c>
    </row>
    <row r="10" spans="1:43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2">
        <v>35</v>
      </c>
      <c r="G10" s="40">
        <v>0.35</v>
      </c>
      <c r="H10" s="23">
        <f>(B10-$B$3)/365</f>
        <v>3.0136986301369864E-2</v>
      </c>
      <c r="I10" s="28">
        <f t="shared" ref="I10:I21" si="0">DAY(EOMONTH(B10,0))</f>
        <v>31</v>
      </c>
      <c r="J10" s="29" t="s">
        <v>9</v>
      </c>
      <c r="K10" s="30">
        <v>1</v>
      </c>
      <c r="L10" s="31">
        <v>0</v>
      </c>
      <c r="M10" s="1">
        <v>1</v>
      </c>
      <c r="N10" s="1">
        <v>-1</v>
      </c>
      <c r="O10" s="1">
        <v>-1</v>
      </c>
      <c r="P10" s="46">
        <v>0.30659208897466961</v>
      </c>
      <c r="Q10" s="46">
        <v>0.16789259319931293</v>
      </c>
      <c r="R10" s="46">
        <v>2.8666922948871604E-4</v>
      </c>
      <c r="S10" s="46">
        <v>-2.2000000000000028</v>
      </c>
      <c r="T10" s="46">
        <v>2.7999999999999972</v>
      </c>
      <c r="U10" s="46">
        <v>7.7999999999999972</v>
      </c>
      <c r="V10" s="46">
        <v>2.5065920889746724</v>
      </c>
      <c r="W10" s="46">
        <v>-7.6321074068006842</v>
      </c>
      <c r="X10" s="46">
        <v>-7.7997133307705084</v>
      </c>
      <c r="Y10" s="46">
        <v>0.21439072444878801</v>
      </c>
      <c r="Z10" s="46">
        <v>-0.12745423589817001</v>
      </c>
      <c r="AA10" s="46">
        <v>-4.3981053068749385E-4</v>
      </c>
      <c r="AB10" s="46">
        <v>2.1617026537832378</v>
      </c>
      <c r="AC10" s="46">
        <v>1.5407771766814247</v>
      </c>
      <c r="AD10" s="46">
        <v>1.1163504313584491E-2</v>
      </c>
      <c r="AE10" s="46">
        <v>0.21439072444878801</v>
      </c>
      <c r="AF10" s="46">
        <v>-0.12745423589817001</v>
      </c>
      <c r="AG10" s="46">
        <v>-4.3981053068749385E-4</v>
      </c>
    </row>
    <row r="11" spans="1:43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2">
        <v>35</v>
      </c>
      <c r="G11" s="40">
        <f>20%+(G10-20%)*0.95</f>
        <v>0.34249999999999997</v>
      </c>
      <c r="H11" s="23">
        <f t="shared" ref="H11:H21" si="2">(B11-$B$3)/365</f>
        <v>0.11506849315068493</v>
      </c>
      <c r="I11" s="28">
        <f t="shared" si="0"/>
        <v>31</v>
      </c>
      <c r="J11" s="29" t="s">
        <v>9</v>
      </c>
      <c r="K11" s="30">
        <v>1</v>
      </c>
      <c r="L11" s="31">
        <v>0</v>
      </c>
      <c r="M11" s="1">
        <v>1</v>
      </c>
      <c r="N11" s="1">
        <v>-1</v>
      </c>
      <c r="O11" s="1">
        <v>-1</v>
      </c>
      <c r="P11" s="46">
        <v>2.4981571281570432</v>
      </c>
      <c r="Q11" s="46">
        <v>0.30457507903773351</v>
      </c>
      <c r="R11" s="46">
        <v>1.6733620591898257E-2</v>
      </c>
      <c r="S11" s="46">
        <v>0.75</v>
      </c>
      <c r="T11" s="46">
        <v>5.75</v>
      </c>
      <c r="U11" s="46">
        <v>10.75</v>
      </c>
      <c r="V11" s="46">
        <v>1.7481571281570432</v>
      </c>
      <c r="W11" s="46">
        <v>-10.445424920962267</v>
      </c>
      <c r="X11" s="46">
        <v>-10.733266379408102</v>
      </c>
      <c r="Y11" s="46">
        <v>0.5792485665200483</v>
      </c>
      <c r="Z11" s="46">
        <v>-0.11266014240186796</v>
      </c>
      <c r="AA11" s="46">
        <v>-9.1272049702718731E-3</v>
      </c>
      <c r="AB11" s="46">
        <v>6.0682235801890245</v>
      </c>
      <c r="AC11" s="46">
        <v>2.9624935746856438</v>
      </c>
      <c r="AD11" s="46">
        <v>0.3792134622312921</v>
      </c>
      <c r="AE11" s="46">
        <v>0.5792485665200483</v>
      </c>
      <c r="AF11" s="46">
        <v>-0.11266014240186796</v>
      </c>
      <c r="AG11" s="46">
        <v>-9.1272049702718731E-3</v>
      </c>
    </row>
    <row r="12" spans="1:43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2">
        <v>35</v>
      </c>
      <c r="G12" s="40">
        <f t="shared" ref="G12:G21" si="3">20%+(G11-20%)*0.95</f>
        <v>0.33537499999999998</v>
      </c>
      <c r="H12" s="23">
        <f t="shared" si="2"/>
        <v>0.19178082191780821</v>
      </c>
      <c r="I12" s="28">
        <f t="shared" si="0"/>
        <v>29</v>
      </c>
      <c r="J12" s="29" t="s">
        <v>9</v>
      </c>
      <c r="K12" s="30">
        <v>1</v>
      </c>
      <c r="L12" s="31">
        <v>0</v>
      </c>
      <c r="M12" s="1">
        <v>1</v>
      </c>
      <c r="N12" s="1">
        <v>-1</v>
      </c>
      <c r="O12" s="1">
        <v>-1</v>
      </c>
      <c r="P12" s="46">
        <v>1.2874771742439801</v>
      </c>
      <c r="Q12" s="46">
        <v>1.5656545160049546</v>
      </c>
      <c r="R12" s="46">
        <v>0.29905920700099209</v>
      </c>
      <c r="S12" s="46">
        <v>-3.1000000000000014</v>
      </c>
      <c r="T12" s="46">
        <v>1.8999999999999986</v>
      </c>
      <c r="U12" s="46">
        <v>6.8999999999999986</v>
      </c>
      <c r="V12" s="46">
        <v>4.3874771742439815</v>
      </c>
      <c r="W12" s="46">
        <v>-5.3343454839950439</v>
      </c>
      <c r="X12" s="46">
        <v>-6.6009407929990065</v>
      </c>
      <c r="Y12" s="46">
        <v>0.34004332970466283</v>
      </c>
      <c r="Z12" s="46">
        <v>-0.34864179635661507</v>
      </c>
      <c r="AA12" s="46">
        <v>-9.7235011030876506E-2</v>
      </c>
      <c r="AB12" s="46">
        <v>6.7230131573909446</v>
      </c>
      <c r="AC12" s="46">
        <v>6.7857416211819954</v>
      </c>
      <c r="AD12" s="46">
        <v>3.1501423019726507</v>
      </c>
      <c r="AE12" s="46">
        <v>0.34004332970466283</v>
      </c>
      <c r="AF12" s="46">
        <v>-0.34864179635661507</v>
      </c>
      <c r="AG12" s="46">
        <v>-9.7235011030876506E-2</v>
      </c>
    </row>
    <row r="13" spans="1:43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2">
        <v>35</v>
      </c>
      <c r="G13" s="40">
        <f t="shared" si="3"/>
        <v>0.32860624999999999</v>
      </c>
      <c r="H13" s="23">
        <f t="shared" si="2"/>
        <v>0.27945205479452057</v>
      </c>
      <c r="I13" s="28">
        <f t="shared" si="0"/>
        <v>31</v>
      </c>
      <c r="J13" s="29" t="s">
        <v>9</v>
      </c>
      <c r="K13" s="30">
        <v>1</v>
      </c>
      <c r="L13" s="31">
        <v>0</v>
      </c>
      <c r="M13" s="1">
        <v>1</v>
      </c>
      <c r="N13" s="1">
        <v>-1</v>
      </c>
      <c r="O13" s="1">
        <v>-1</v>
      </c>
      <c r="P13" s="46">
        <v>1.0226367095337494</v>
      </c>
      <c r="Q13" s="46">
        <v>2.8866999331369065</v>
      </c>
      <c r="R13" s="46">
        <v>0.87382859607414076</v>
      </c>
      <c r="S13" s="46">
        <v>-5.25</v>
      </c>
      <c r="T13" s="46">
        <v>-0.25</v>
      </c>
      <c r="U13" s="46">
        <v>4.75</v>
      </c>
      <c r="V13" s="46">
        <v>6.2726367095337494</v>
      </c>
      <c r="W13" s="46">
        <v>-1.8633000668630935</v>
      </c>
      <c r="X13" s="46">
        <v>-3.8761714039258592</v>
      </c>
      <c r="Y13" s="46">
        <v>0.26532224718325781</v>
      </c>
      <c r="Z13" s="46">
        <v>-0.47980618329574559</v>
      </c>
      <c r="AA13" s="46">
        <v>-0.20641877017765536</v>
      </c>
      <c r="AB13" s="46">
        <v>6.8857356286948477</v>
      </c>
      <c r="AC13" s="46">
        <v>8.3722307015409161</v>
      </c>
      <c r="AD13" s="46">
        <v>5.9920315581774775</v>
      </c>
      <c r="AE13" s="46">
        <v>0.26532224718325781</v>
      </c>
      <c r="AF13" s="46">
        <v>-0.47980618329574559</v>
      </c>
      <c r="AG13" s="46">
        <v>-0.20641877017765536</v>
      </c>
    </row>
    <row r="14" spans="1:43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2">
        <v>35</v>
      </c>
      <c r="G14" s="40">
        <f t="shared" si="3"/>
        <v>0.32217593749999995</v>
      </c>
      <c r="H14" s="23">
        <f t="shared" si="2"/>
        <v>0.36164383561643837</v>
      </c>
      <c r="I14" s="28">
        <f t="shared" si="0"/>
        <v>30</v>
      </c>
      <c r="J14" s="29" t="s">
        <v>9</v>
      </c>
      <c r="K14" s="30">
        <v>1</v>
      </c>
      <c r="L14" s="31">
        <v>0</v>
      </c>
      <c r="M14" s="1">
        <v>1</v>
      </c>
      <c r="N14" s="1">
        <v>-1</v>
      </c>
      <c r="O14" s="1">
        <v>-1</v>
      </c>
      <c r="P14" s="46">
        <v>1.2904818593643768</v>
      </c>
      <c r="Q14" s="46">
        <v>3.203875676036489</v>
      </c>
      <c r="R14" s="46">
        <v>1.1072350215530697</v>
      </c>
      <c r="S14" s="46">
        <v>-5.25</v>
      </c>
      <c r="T14" s="46">
        <v>-0.25</v>
      </c>
      <c r="U14" s="46">
        <v>4.75</v>
      </c>
      <c r="V14" s="46">
        <v>6.5404818593643768</v>
      </c>
      <c r="W14" s="46">
        <v>-1.546124323963511</v>
      </c>
      <c r="X14" s="46">
        <v>-3.6427649784469303</v>
      </c>
      <c r="Y14" s="46">
        <v>0.2934770428139023</v>
      </c>
      <c r="Z14" s="46">
        <v>-0.47432637746805884</v>
      </c>
      <c r="AA14" s="46">
        <v>-0.22563485478157017</v>
      </c>
      <c r="AB14" s="46">
        <v>8.227302160599919</v>
      </c>
      <c r="AC14" s="46">
        <v>9.5166452939922799</v>
      </c>
      <c r="AD14" s="46">
        <v>7.1782642529285248</v>
      </c>
      <c r="AE14" s="46">
        <v>0.2934770428139023</v>
      </c>
      <c r="AF14" s="46">
        <v>-0.47432637746805884</v>
      </c>
      <c r="AG14" s="46">
        <v>-0.22563485478157017</v>
      </c>
    </row>
    <row r="15" spans="1:43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2">
        <v>35</v>
      </c>
      <c r="G15" s="40">
        <f>20%+(G14-20%)*0.95</f>
        <v>0.31606714062499996</v>
      </c>
      <c r="H15" s="23">
        <f t="shared" si="2"/>
        <v>0.44109589041095892</v>
      </c>
      <c r="I15" s="28">
        <f t="shared" si="0"/>
        <v>31</v>
      </c>
      <c r="J15" s="29" t="s">
        <v>9</v>
      </c>
      <c r="K15" s="30">
        <v>1</v>
      </c>
      <c r="L15" s="31">
        <v>0</v>
      </c>
      <c r="M15" s="1">
        <v>1</v>
      </c>
      <c r="N15" s="1">
        <v>-1</v>
      </c>
      <c r="O15" s="1">
        <v>-1</v>
      </c>
      <c r="P15" s="46">
        <v>1.5151422182784557</v>
      </c>
      <c r="Q15" s="46">
        <v>3.4596692118041048</v>
      </c>
      <c r="R15" s="46">
        <v>1.3034128403136922</v>
      </c>
      <c r="S15" s="46">
        <v>-5.25</v>
      </c>
      <c r="T15" s="46">
        <v>-0.25</v>
      </c>
      <c r="U15" s="46">
        <v>4.75</v>
      </c>
      <c r="V15" s="46">
        <v>6.7651422182784557</v>
      </c>
      <c r="W15" s="46">
        <v>-1.2903307881958952</v>
      </c>
      <c r="X15" s="46">
        <v>-3.4465871596863078</v>
      </c>
      <c r="Y15" s="46">
        <v>0.31351890258855569</v>
      </c>
      <c r="Z15" s="46">
        <v>-0.47011407475246569</v>
      </c>
      <c r="AA15" s="46">
        <v>-0.23858539028799342</v>
      </c>
      <c r="AB15" s="46">
        <v>9.3587220485344247</v>
      </c>
      <c r="AC15" s="46">
        <v>10.502415404645745</v>
      </c>
      <c r="AD15" s="46">
        <v>8.1784244563433113</v>
      </c>
      <c r="AE15" s="46">
        <v>0.31351890258855569</v>
      </c>
      <c r="AF15" s="46">
        <v>-0.47011407475246569</v>
      </c>
      <c r="AG15" s="46">
        <v>-0.23858539028799342</v>
      </c>
    </row>
    <row r="16" spans="1:43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2">
        <v>35</v>
      </c>
      <c r="G16" s="40">
        <f t="shared" si="3"/>
        <v>0.31026378359374995</v>
      </c>
      <c r="H16" s="23">
        <f t="shared" si="2"/>
        <v>0.52876712328767128</v>
      </c>
      <c r="I16" s="28">
        <f t="shared" si="0"/>
        <v>30</v>
      </c>
      <c r="J16" s="29" t="s">
        <v>9</v>
      </c>
      <c r="K16" s="30">
        <v>1</v>
      </c>
      <c r="L16" s="31">
        <v>0</v>
      </c>
      <c r="M16" s="1">
        <v>1</v>
      </c>
      <c r="N16" s="1">
        <v>-1</v>
      </c>
      <c r="O16" s="1">
        <v>-1</v>
      </c>
      <c r="P16" s="46">
        <v>3.0781758184662245</v>
      </c>
      <c r="Q16" s="46">
        <v>2.3832778107217063</v>
      </c>
      <c r="R16" s="46">
        <v>0.84070111730627328</v>
      </c>
      <c r="S16" s="46">
        <v>-1.8999999999999986</v>
      </c>
      <c r="T16" s="46">
        <v>3.1000000000000014</v>
      </c>
      <c r="U16" s="46">
        <v>8.1000000000000014</v>
      </c>
      <c r="V16" s="46">
        <v>4.978175818466223</v>
      </c>
      <c r="W16" s="46">
        <v>-5.7167221892782951</v>
      </c>
      <c r="X16" s="46">
        <v>-7.2592988826937281</v>
      </c>
      <c r="Y16" s="46">
        <v>0.46873410718507225</v>
      </c>
      <c r="Z16" s="46">
        <v>-0.32872536427950477</v>
      </c>
      <c r="AA16" s="46">
        <v>-0.15031034035184695</v>
      </c>
      <c r="AB16" s="46">
        <v>12.464757232774957</v>
      </c>
      <c r="AC16" s="46">
        <v>11.331207494849327</v>
      </c>
      <c r="AD16" s="46">
        <v>7.3140930242872537</v>
      </c>
      <c r="AE16" s="46">
        <v>0.46873410718507225</v>
      </c>
      <c r="AF16" s="46">
        <v>-0.32872536427950477</v>
      </c>
      <c r="AG16" s="46">
        <v>-0.15031034035184695</v>
      </c>
    </row>
    <row r="17" spans="1:33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2">
        <v>35</v>
      </c>
      <c r="G17" s="40">
        <f t="shared" si="3"/>
        <v>0.30475059441406244</v>
      </c>
      <c r="H17" s="23">
        <f t="shared" si="2"/>
        <v>0.61369863013698633</v>
      </c>
      <c r="I17" s="28">
        <f t="shared" si="0"/>
        <v>31</v>
      </c>
      <c r="J17" s="29" t="s">
        <v>9</v>
      </c>
      <c r="K17" s="30">
        <v>1</v>
      </c>
      <c r="L17" s="31">
        <v>0</v>
      </c>
      <c r="M17" s="1">
        <v>1</v>
      </c>
      <c r="N17" s="1">
        <v>-1</v>
      </c>
      <c r="O17" s="1">
        <v>-1</v>
      </c>
      <c r="P17" s="46">
        <v>3.3033139746544222</v>
      </c>
      <c r="Q17" s="46">
        <v>2.5883532991878813</v>
      </c>
      <c r="R17" s="46">
        <v>0.97581580806622537</v>
      </c>
      <c r="S17" s="46">
        <v>-1.8999999999999986</v>
      </c>
      <c r="T17" s="46">
        <v>3.1000000000000014</v>
      </c>
      <c r="U17" s="46">
        <v>8.1000000000000014</v>
      </c>
      <c r="V17" s="46">
        <v>5.2033139746544208</v>
      </c>
      <c r="W17" s="46">
        <v>-5.5116467008121202</v>
      </c>
      <c r="X17" s="46">
        <v>-7.1241841919337761</v>
      </c>
      <c r="Y17" s="46">
        <v>0.47552809161115983</v>
      </c>
      <c r="Z17" s="46">
        <v>-0.33293194840412843</v>
      </c>
      <c r="AA17" s="46">
        <v>-0.16084544862080968</v>
      </c>
      <c r="AB17" s="46">
        <v>13.444583977985713</v>
      </c>
      <c r="AC17" s="46">
        <v>12.269664250152307</v>
      </c>
      <c r="AD17" s="46">
        <v>8.240357254484767</v>
      </c>
      <c r="AE17" s="46">
        <v>0.47552809161115983</v>
      </c>
      <c r="AF17" s="46">
        <v>-0.33293194840412843</v>
      </c>
      <c r="AG17" s="46">
        <v>-0.16084544862080968</v>
      </c>
    </row>
    <row r="18" spans="1:33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2">
        <v>35</v>
      </c>
      <c r="G18" s="40">
        <f t="shared" si="3"/>
        <v>0.29951306469335931</v>
      </c>
      <c r="H18" s="23">
        <f t="shared" si="2"/>
        <v>0.69315068493150689</v>
      </c>
      <c r="I18" s="28">
        <f t="shared" si="0"/>
        <v>31</v>
      </c>
      <c r="J18" s="29" t="s">
        <v>9</v>
      </c>
      <c r="K18" s="30">
        <v>1</v>
      </c>
      <c r="L18" s="31">
        <v>0</v>
      </c>
      <c r="M18" s="1">
        <v>1</v>
      </c>
      <c r="N18" s="1">
        <v>-1</v>
      </c>
      <c r="O18" s="1">
        <v>-1</v>
      </c>
      <c r="P18" s="46">
        <v>3.4857001904894105</v>
      </c>
      <c r="Q18" s="46">
        <v>2.7550324037789373</v>
      </c>
      <c r="R18" s="46">
        <v>1.0893565523680246</v>
      </c>
      <c r="S18" s="46">
        <v>-1.8999999999999986</v>
      </c>
      <c r="T18" s="46">
        <v>3.1000000000000014</v>
      </c>
      <c r="U18" s="46">
        <v>8.1000000000000014</v>
      </c>
      <c r="V18" s="46">
        <v>5.3857001904894091</v>
      </c>
      <c r="W18" s="46">
        <v>-5.3449675962210641</v>
      </c>
      <c r="X18" s="46">
        <v>-7.0106434476319768</v>
      </c>
      <c r="Y18" s="46">
        <v>0.4807095740588409</v>
      </c>
      <c r="Z18" s="46">
        <v>-0.3358416475640309</v>
      </c>
      <c r="AA18" s="46">
        <v>-0.16873192391158406</v>
      </c>
      <c r="AB18" s="46">
        <v>14.298596990583455</v>
      </c>
      <c r="AC18" s="46">
        <v>13.084517710862134</v>
      </c>
      <c r="AD18" s="46">
        <v>9.0337829093214097</v>
      </c>
      <c r="AE18" s="46">
        <v>0.4807095740588409</v>
      </c>
      <c r="AF18" s="46">
        <v>-0.3358416475640309</v>
      </c>
      <c r="AG18" s="46">
        <v>-0.16873192391158406</v>
      </c>
    </row>
    <row r="19" spans="1:33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2">
        <v>35</v>
      </c>
      <c r="G19" s="40">
        <f t="shared" si="3"/>
        <v>0.29453741145869133</v>
      </c>
      <c r="H19" s="23">
        <f t="shared" si="2"/>
        <v>0.78082191780821919</v>
      </c>
      <c r="I19" s="28">
        <f t="shared" si="0"/>
        <v>30</v>
      </c>
      <c r="J19" s="29" t="s">
        <v>9</v>
      </c>
      <c r="K19" s="30">
        <v>1</v>
      </c>
      <c r="L19" s="31">
        <v>0</v>
      </c>
      <c r="M19" s="1">
        <v>1</v>
      </c>
      <c r="N19" s="1">
        <v>-1</v>
      </c>
      <c r="O19" s="1">
        <v>-1</v>
      </c>
      <c r="P19" s="46">
        <v>6.9546666185615855</v>
      </c>
      <c r="Q19" s="46">
        <v>1.4741341449103658</v>
      </c>
      <c r="R19" s="46">
        <v>0.5150687372258882</v>
      </c>
      <c r="S19" s="46">
        <v>3.75</v>
      </c>
      <c r="T19" s="46">
        <v>8.75</v>
      </c>
      <c r="U19" s="46">
        <v>13.75</v>
      </c>
      <c r="V19" s="46">
        <v>3.2046666185615855</v>
      </c>
      <c r="W19" s="46">
        <v>-12.275865855089634</v>
      </c>
      <c r="X19" s="46">
        <v>-13.234931262774111</v>
      </c>
      <c r="Y19" s="46">
        <v>0.66912693350901653</v>
      </c>
      <c r="Z19" s="46">
        <v>-0.186748511027792</v>
      </c>
      <c r="AA19" s="46">
        <v>-8.0327156284866058E-2</v>
      </c>
      <c r="AB19" s="46">
        <v>15.615715646919092</v>
      </c>
      <c r="AC19" s="46">
        <v>11.562745682854926</v>
      </c>
      <c r="AD19" s="46">
        <v>6.4200233732249421</v>
      </c>
      <c r="AE19" s="46">
        <v>0.66912693350901653</v>
      </c>
      <c r="AF19" s="46">
        <v>-0.186748511027792</v>
      </c>
      <c r="AG19" s="46">
        <v>-8.0327156284866058E-2</v>
      </c>
    </row>
    <row r="20" spans="1:33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2">
        <v>35</v>
      </c>
      <c r="G20" s="40">
        <f t="shared" si="3"/>
        <v>0.28981054088575675</v>
      </c>
      <c r="H20" s="23">
        <f t="shared" si="2"/>
        <v>0.86301369863013699</v>
      </c>
      <c r="I20" s="28">
        <f t="shared" si="0"/>
        <v>31</v>
      </c>
      <c r="J20" s="29" t="s">
        <v>9</v>
      </c>
      <c r="K20" s="30">
        <v>1</v>
      </c>
      <c r="L20" s="31">
        <v>0</v>
      </c>
      <c r="M20" s="1">
        <v>1</v>
      </c>
      <c r="N20" s="1">
        <v>-1</v>
      </c>
      <c r="O20" s="1">
        <v>-1</v>
      </c>
      <c r="P20" s="46">
        <v>7.1132877769238547</v>
      </c>
      <c r="Q20" s="46">
        <v>1.5925385148809177</v>
      </c>
      <c r="R20" s="46">
        <v>0.58197021734250143</v>
      </c>
      <c r="S20" s="46">
        <v>3.75</v>
      </c>
      <c r="T20" s="46">
        <v>8.75</v>
      </c>
      <c r="U20" s="46">
        <v>13.75</v>
      </c>
      <c r="V20" s="46">
        <v>3.3632877769238547</v>
      </c>
      <c r="W20" s="46">
        <v>-12.157461485119082</v>
      </c>
      <c r="X20" s="46">
        <v>-13.168029782657499</v>
      </c>
      <c r="Y20" s="46">
        <v>0.66704073423731702</v>
      </c>
      <c r="Z20" s="46">
        <v>-0.19238602681094599</v>
      </c>
      <c r="AA20" s="46">
        <v>-8.6126697098146604E-2</v>
      </c>
      <c r="AB20" s="46">
        <v>16.458191317128684</v>
      </c>
      <c r="AC20" s="46">
        <v>12.380890728335002</v>
      </c>
      <c r="AD20" s="46">
        <v>7.1131244904906836</v>
      </c>
      <c r="AE20" s="46">
        <v>0.66704073423731702</v>
      </c>
      <c r="AF20" s="46">
        <v>-0.19238602681094599</v>
      </c>
      <c r="AG20" s="46">
        <v>-8.6126697098146604E-2</v>
      </c>
    </row>
    <row r="21" spans="1:33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2">
        <v>35</v>
      </c>
      <c r="G21" s="40">
        <f t="shared" si="3"/>
        <v>0.28532001384146888</v>
      </c>
      <c r="H21" s="23">
        <f t="shared" si="2"/>
        <v>0.94246575342465755</v>
      </c>
      <c r="I21" s="28">
        <f t="shared" si="0"/>
        <v>30</v>
      </c>
      <c r="J21" s="29" t="s">
        <v>9</v>
      </c>
      <c r="K21" s="30">
        <v>1</v>
      </c>
      <c r="L21" s="31">
        <v>0</v>
      </c>
      <c r="M21" s="1">
        <v>1</v>
      </c>
      <c r="N21" s="1">
        <v>-1</v>
      </c>
      <c r="O21" s="1">
        <v>-1</v>
      </c>
      <c r="P21" s="46">
        <v>7.2509163417181135</v>
      </c>
      <c r="Q21" s="46">
        <v>1.6967311490158483</v>
      </c>
      <c r="R21" s="46">
        <v>0.64265933120129048</v>
      </c>
      <c r="S21" s="46">
        <v>3.75</v>
      </c>
      <c r="T21" s="46">
        <v>8.75</v>
      </c>
      <c r="U21" s="46">
        <v>13.75</v>
      </c>
      <c r="V21" s="46">
        <v>3.5009163417181135</v>
      </c>
      <c r="W21" s="46">
        <v>-12.053268850984152</v>
      </c>
      <c r="X21" s="46">
        <v>-13.10734066879871</v>
      </c>
      <c r="Y21" s="46">
        <v>0.66542502994653396</v>
      </c>
      <c r="Z21" s="46">
        <v>-0.19698314670080938</v>
      </c>
      <c r="AA21" s="46">
        <v>-9.1032960171528565E-2</v>
      </c>
      <c r="AB21" s="46">
        <v>17.232031783448225</v>
      </c>
      <c r="AC21" s="46">
        <v>13.125741045581824</v>
      </c>
      <c r="AD21" s="46">
        <v>7.7469040050865097</v>
      </c>
      <c r="AE21" s="46">
        <v>0.66542502994653396</v>
      </c>
      <c r="AF21" s="46">
        <v>-0.19698314670080938</v>
      </c>
      <c r="AG21" s="46">
        <v>-9.1032960171528565E-2</v>
      </c>
    </row>
    <row r="22" spans="1:33" x14ac:dyDescent="0.35">
      <c r="A22" s="19"/>
      <c r="B22" s="20"/>
      <c r="C22" s="21"/>
      <c r="D22" s="21"/>
      <c r="E22" s="21"/>
      <c r="F22" s="21"/>
      <c r="G22" s="21"/>
      <c r="H22" s="21"/>
      <c r="I22" s="21"/>
      <c r="J22" s="22"/>
      <c r="K22" s="22"/>
      <c r="L22" s="22"/>
      <c r="M22" s="23"/>
      <c r="N22" s="23"/>
      <c r="O22" s="23"/>
      <c r="P22" s="18"/>
      <c r="Q22" s="18"/>
      <c r="R22" s="18"/>
      <c r="S22" s="24"/>
      <c r="T22" s="24"/>
      <c r="U22" s="24"/>
      <c r="V22" s="25"/>
      <c r="W22" s="25"/>
      <c r="X22" s="25"/>
    </row>
    <row r="23" spans="1:33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</sheetData>
  <phoneticPr fontId="7" type="noConversion"/>
  <dataValidations count="1">
    <dataValidation type="list" allowBlank="1" showInputMessage="1" showErrorMessage="1" sqref="J10:J21" xr:uid="{E7FF0A8A-F283-4BC7-837D-53DF1FDC6633}">
      <formula1>$K$5:$K$7</formula1>
    </dataValidation>
  </dataValidation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FED91-9E3F-433B-AF00-267E3920B661}">
  <sheetPr codeName="Sheet10"/>
  <dimension ref="A1:Y23"/>
  <sheetViews>
    <sheetView topLeftCell="F1" zoomScale="55" zoomScaleNormal="55" workbookViewId="0">
      <selection activeCell="Y9" sqref="Y9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7.36328125" style="1" bestFit="1" customWidth="1"/>
    <col min="12" max="12" width="10.7265625" style="1" bestFit="1" customWidth="1"/>
    <col min="13" max="13" width="13.81640625" style="1" bestFit="1" customWidth="1"/>
    <col min="14" max="14" width="15.453125" style="1" bestFit="1" customWidth="1"/>
    <col min="15" max="24" width="16.90625" style="1" customWidth="1"/>
    <col min="25" max="16384" width="8.7265625" style="1"/>
  </cols>
  <sheetData>
    <row r="1" spans="1:25" ht="40" customHeight="1" x14ac:dyDescent="0.35"/>
    <row r="2" spans="1:25" ht="15" thickBot="1" x14ac:dyDescent="0.4"/>
    <row r="3" spans="1:25" ht="15" thickBot="1" x14ac:dyDescent="0.4">
      <c r="A3" s="2" t="s">
        <v>0</v>
      </c>
      <c r="B3" s="3">
        <v>43811</v>
      </c>
      <c r="G3" s="4"/>
      <c r="H3" s="5"/>
      <c r="I3" s="5"/>
      <c r="J3" s="6"/>
    </row>
    <row r="4" spans="1:25" x14ac:dyDescent="0.35">
      <c r="G4" s="7"/>
      <c r="H4" s="8"/>
      <c r="I4" s="8"/>
      <c r="J4" s="9"/>
    </row>
    <row r="5" spans="1:25" x14ac:dyDescent="0.35">
      <c r="G5" s="7" t="s">
        <v>23</v>
      </c>
      <c r="H5" s="8"/>
      <c r="I5" s="8" t="s">
        <v>9</v>
      </c>
      <c r="J5" s="11">
        <v>1</v>
      </c>
    </row>
    <row r="6" spans="1:25" x14ac:dyDescent="0.35">
      <c r="B6" s="10"/>
      <c r="G6" s="7" t="s">
        <v>3</v>
      </c>
      <c r="H6" s="8"/>
      <c r="I6" s="8" t="s">
        <v>4</v>
      </c>
      <c r="J6" s="11">
        <v>0.35</v>
      </c>
    </row>
    <row r="7" spans="1:25" ht="15" thickBot="1" x14ac:dyDescent="0.4">
      <c r="G7" s="12" t="s">
        <v>5</v>
      </c>
      <c r="H7" s="13"/>
      <c r="I7" s="13" t="s">
        <v>6</v>
      </c>
      <c r="J7" s="14">
        <v>0.65</v>
      </c>
    </row>
    <row r="8" spans="1:25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25" ht="14.5" customHeight="1" x14ac:dyDescent="0.35">
      <c r="A9" s="26" t="s">
        <v>7</v>
      </c>
      <c r="B9" s="26" t="s">
        <v>8</v>
      </c>
      <c r="C9" s="33" t="s">
        <v>13</v>
      </c>
      <c r="D9" s="37" t="s">
        <v>30</v>
      </c>
      <c r="E9" s="38" t="s">
        <v>10</v>
      </c>
      <c r="F9" s="17" t="s">
        <v>12</v>
      </c>
      <c r="G9" s="27" t="s">
        <v>18</v>
      </c>
      <c r="H9" s="27" t="s">
        <v>19</v>
      </c>
      <c r="I9" s="27" t="s">
        <v>20</v>
      </c>
      <c r="J9" s="27" t="s">
        <v>21</v>
      </c>
      <c r="K9" s="27" t="s">
        <v>22</v>
      </c>
      <c r="L9" s="27" t="s">
        <v>24</v>
      </c>
      <c r="M9" s="27" t="s">
        <v>25</v>
      </c>
      <c r="N9" s="27" t="s">
        <v>26</v>
      </c>
      <c r="O9" s="27" t="s">
        <v>27</v>
      </c>
      <c r="P9" s="27" t="s">
        <v>28</v>
      </c>
      <c r="Q9" s="27" t="s">
        <v>29</v>
      </c>
      <c r="R9" s="27" t="s">
        <v>39</v>
      </c>
      <c r="S9" s="27" t="s">
        <v>36</v>
      </c>
      <c r="T9" s="27" t="s">
        <v>38</v>
      </c>
      <c r="U9" s="27" t="s">
        <v>38</v>
      </c>
      <c r="V9" s="27" t="s">
        <v>37</v>
      </c>
      <c r="W9" s="27" t="s">
        <v>40</v>
      </c>
      <c r="X9" s="27" t="s">
        <v>45</v>
      </c>
      <c r="Y9" s="27" t="s">
        <v>80</v>
      </c>
    </row>
    <row r="10" spans="1:25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0">
        <v>0.35</v>
      </c>
      <c r="F10" s="23">
        <f>(B10-$B$3)/365</f>
        <v>3.0136986301369864E-2</v>
      </c>
      <c r="G10" s="28">
        <f t="shared" ref="G10:G21" si="0">DAY(EOMONTH(B10,0))</f>
        <v>31</v>
      </c>
      <c r="H10" s="29" t="s">
        <v>9</v>
      </c>
      <c r="I10" s="30">
        <v>1</v>
      </c>
      <c r="J10" s="31">
        <v>0</v>
      </c>
      <c r="K10" s="1">
        <v>1</v>
      </c>
      <c r="L10" s="32">
        <v>5.7329001814654834E-2</v>
      </c>
      <c r="M10" s="32">
        <v>-2.2000000000000028</v>
      </c>
      <c r="N10" s="32">
        <v>2.2573290018146577</v>
      </c>
      <c r="O10" s="32">
        <v>8.288794759763185E-2</v>
      </c>
      <c r="P10" s="32">
        <v>6.6437529302214582E-3</v>
      </c>
      <c r="Q10" s="32">
        <v>9.9293531548028113E-2</v>
      </c>
    </row>
    <row r="11" spans="1:25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0">
        <f>20%+(E10-20%)*0.95</f>
        <v>0.34249999999999997</v>
      </c>
      <c r="F11" s="23">
        <f t="shared" ref="F11:F21" si="2">(B11-$B$3)/365</f>
        <v>0.11506849315068493</v>
      </c>
      <c r="G11" s="28">
        <f t="shared" si="0"/>
        <v>31</v>
      </c>
      <c r="H11" s="29" t="s">
        <v>9</v>
      </c>
      <c r="I11" s="30">
        <v>1</v>
      </c>
      <c r="J11" s="31">
        <v>0</v>
      </c>
      <c r="K11" s="1">
        <v>1</v>
      </c>
      <c r="L11" s="32">
        <v>1.6230423494048836</v>
      </c>
      <c r="M11" s="32">
        <v>0.75</v>
      </c>
      <c r="N11" s="32">
        <v>0.87304234940488357</v>
      </c>
      <c r="O11" s="32">
        <v>0.60135141927784019</v>
      </c>
      <c r="P11" s="32">
        <v>3.3559239965665455E-2</v>
      </c>
      <c r="Q11" s="32">
        <v>0.12262033596499577</v>
      </c>
    </row>
    <row r="12" spans="1:25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0">
        <f t="shared" ref="E12:E21" si="3">20%+(E11-20%)*0.95</f>
        <v>0.33537499999999998</v>
      </c>
      <c r="F12" s="23">
        <f t="shared" si="2"/>
        <v>0.19178082191780821</v>
      </c>
      <c r="G12" s="28">
        <f t="shared" si="0"/>
        <v>29</v>
      </c>
      <c r="H12" s="29" t="s">
        <v>9</v>
      </c>
      <c r="I12" s="30">
        <v>1</v>
      </c>
      <c r="J12" s="31">
        <v>0</v>
      </c>
      <c r="K12" s="1">
        <v>1</v>
      </c>
      <c r="L12" s="32">
        <v>0.42136837983376019</v>
      </c>
      <c r="M12" s="32">
        <v>-3.1000000000000014</v>
      </c>
      <c r="N12" s="32">
        <v>3.5213683798337616</v>
      </c>
      <c r="O12" s="32">
        <v>0.21213925456393667</v>
      </c>
      <c r="P12" s="32">
        <v>3.0524190664332984E-2</v>
      </c>
      <c r="Q12" s="32">
        <v>7.948608288899095E-2</v>
      </c>
    </row>
    <row r="13" spans="1:25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0">
        <f t="shared" si="3"/>
        <v>0.32860624999999999</v>
      </c>
      <c r="F13" s="23">
        <f t="shared" si="2"/>
        <v>0.27945205479452057</v>
      </c>
      <c r="G13" s="28">
        <f t="shared" si="0"/>
        <v>31</v>
      </c>
      <c r="H13" s="29" t="s">
        <v>9</v>
      </c>
      <c r="I13" s="30">
        <v>1</v>
      </c>
      <c r="J13" s="31">
        <v>0</v>
      </c>
      <c r="K13" s="1">
        <v>1</v>
      </c>
      <c r="L13" s="32">
        <v>0.22757480237186467</v>
      </c>
      <c r="M13" s="32">
        <v>-5.25</v>
      </c>
      <c r="N13" s="32">
        <v>5.4775748023718647</v>
      </c>
      <c r="O13" s="32">
        <v>0.11853823069816194</v>
      </c>
      <c r="P13" s="32">
        <v>2.3893530461567281E-2</v>
      </c>
      <c r="Q13" s="32">
        <v>4.8536215393468751E-2</v>
      </c>
    </row>
    <row r="14" spans="1:25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0">
        <f t="shared" si="3"/>
        <v>0.32217593749999995</v>
      </c>
      <c r="F14" s="23">
        <f t="shared" si="2"/>
        <v>0.36164383561643837</v>
      </c>
      <c r="G14" s="28">
        <f t="shared" si="0"/>
        <v>30</v>
      </c>
      <c r="H14" s="29" t="s">
        <v>9</v>
      </c>
      <c r="I14" s="30">
        <v>1</v>
      </c>
      <c r="J14" s="31">
        <v>0</v>
      </c>
      <c r="K14" s="1">
        <v>1</v>
      </c>
      <c r="L14" s="32">
        <v>0.32584188983005902</v>
      </c>
      <c r="M14" s="32">
        <v>-5.25</v>
      </c>
      <c r="N14" s="32">
        <v>5.575841889830059</v>
      </c>
      <c r="O14" s="32">
        <v>0.14596197057650251</v>
      </c>
      <c r="P14" s="32">
        <v>3.1214816806645729E-2</v>
      </c>
      <c r="Q14" s="32">
        <v>5.0182593946956899E-2</v>
      </c>
    </row>
    <row r="15" spans="1:25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0">
        <f>20%+(E14-20%)*0.95</f>
        <v>0.31606714062499996</v>
      </c>
      <c r="F15" s="23">
        <f t="shared" si="2"/>
        <v>0.44109589041095892</v>
      </c>
      <c r="G15" s="28">
        <f t="shared" si="0"/>
        <v>31</v>
      </c>
      <c r="H15" s="29" t="s">
        <v>9</v>
      </c>
      <c r="I15" s="30">
        <v>1</v>
      </c>
      <c r="J15" s="31">
        <v>0</v>
      </c>
      <c r="K15" s="1">
        <v>1</v>
      </c>
      <c r="L15" s="32">
        <v>0.41249689718847637</v>
      </c>
      <c r="M15" s="32">
        <v>-5.25</v>
      </c>
      <c r="N15" s="32">
        <v>5.6624968971884764</v>
      </c>
      <c r="O15" s="32">
        <v>0.16618115499764663</v>
      </c>
      <c r="P15" s="32">
        <v>3.7331676084806364E-2</v>
      </c>
      <c r="Q15" s="32">
        <v>5.0478575319701235E-2</v>
      </c>
    </row>
    <row r="16" spans="1:25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0">
        <f t="shared" si="3"/>
        <v>0.31026378359374995</v>
      </c>
      <c r="F16" s="23">
        <f t="shared" si="2"/>
        <v>0.52876712328767128</v>
      </c>
      <c r="G16" s="28">
        <f t="shared" si="0"/>
        <v>30</v>
      </c>
      <c r="H16" s="29" t="s">
        <v>9</v>
      </c>
      <c r="I16" s="30">
        <v>1</v>
      </c>
      <c r="J16" s="31">
        <v>0</v>
      </c>
      <c r="K16" s="1">
        <v>1</v>
      </c>
      <c r="L16" s="32">
        <v>1.4440396159920823</v>
      </c>
      <c r="M16" s="32">
        <v>-1.8999999999999986</v>
      </c>
      <c r="N16" s="32">
        <v>3.3440396159920809</v>
      </c>
      <c r="O16" s="32">
        <v>0.38500026208350135</v>
      </c>
      <c r="P16" s="32">
        <v>6.6145321889200304E-2</v>
      </c>
      <c r="Q16" s="32">
        <v>6.6230305044712168E-2</v>
      </c>
    </row>
    <row r="17" spans="1:17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0">
        <f t="shared" si="3"/>
        <v>0.30475059441406244</v>
      </c>
      <c r="F17" s="23">
        <f t="shared" si="2"/>
        <v>0.61369863013698633</v>
      </c>
      <c r="G17" s="28">
        <f t="shared" si="0"/>
        <v>31</v>
      </c>
      <c r="H17" s="29" t="s">
        <v>9</v>
      </c>
      <c r="I17" s="30">
        <v>1</v>
      </c>
      <c r="J17" s="31">
        <v>0</v>
      </c>
      <c r="K17" s="1">
        <v>1</v>
      </c>
      <c r="L17" s="32">
        <v>1.5616166109280982</v>
      </c>
      <c r="M17" s="32">
        <v>-1.8999999999999986</v>
      </c>
      <c r="N17" s="32">
        <v>3.4616166109280968</v>
      </c>
      <c r="O17" s="32">
        <v>0.39224478050448042</v>
      </c>
      <c r="P17" s="32">
        <v>7.1193452287725556E-2</v>
      </c>
      <c r="Q17" s="32">
        <v>6.294672507678456E-2</v>
      </c>
    </row>
    <row r="18" spans="1:17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0">
        <f t="shared" si="3"/>
        <v>0.29951306469335931</v>
      </c>
      <c r="F18" s="23">
        <f t="shared" si="2"/>
        <v>0.69315068493150689</v>
      </c>
      <c r="G18" s="28">
        <f t="shared" si="0"/>
        <v>31</v>
      </c>
      <c r="H18" s="29" t="s">
        <v>9</v>
      </c>
      <c r="I18" s="30">
        <v>1</v>
      </c>
      <c r="J18" s="31">
        <v>0</v>
      </c>
      <c r="K18" s="1">
        <v>1</v>
      </c>
      <c r="L18" s="32">
        <v>1.658135612258274</v>
      </c>
      <c r="M18" s="32">
        <v>-1.8999999999999986</v>
      </c>
      <c r="N18" s="32">
        <v>3.5581356122582726</v>
      </c>
      <c r="O18" s="32">
        <v>0.39770004854116081</v>
      </c>
      <c r="P18" s="32">
        <v>7.560842574816995E-2</v>
      </c>
      <c r="Q18" s="32">
        <v>6.0470318246075294E-2</v>
      </c>
    </row>
    <row r="19" spans="1:17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0">
        <f t="shared" si="3"/>
        <v>0.29453741145869133</v>
      </c>
      <c r="F19" s="23">
        <f t="shared" si="2"/>
        <v>0.78082191780821919</v>
      </c>
      <c r="G19" s="28">
        <f t="shared" si="0"/>
        <v>30</v>
      </c>
      <c r="H19" s="29" t="s">
        <v>9</v>
      </c>
      <c r="I19" s="30">
        <v>1</v>
      </c>
      <c r="J19" s="31">
        <v>0</v>
      </c>
      <c r="K19" s="1">
        <v>1</v>
      </c>
      <c r="L19" s="32">
        <v>4.9344235403491901</v>
      </c>
      <c r="M19" s="32">
        <v>3.75</v>
      </c>
      <c r="N19" s="32">
        <v>1.1844235403491901</v>
      </c>
      <c r="O19" s="32">
        <v>0.70828998248693154</v>
      </c>
      <c r="P19" s="32">
        <v>7.3211901952319636E-2</v>
      </c>
      <c r="Q19" s="32">
        <v>4.516469509496801E-2</v>
      </c>
    </row>
    <row r="20" spans="1:17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0">
        <f t="shared" si="3"/>
        <v>0.28981054088575675</v>
      </c>
      <c r="F20" s="23">
        <f t="shared" si="2"/>
        <v>0.86301369863013699</v>
      </c>
      <c r="G20" s="28">
        <f t="shared" si="0"/>
        <v>31</v>
      </c>
      <c r="H20" s="29" t="s">
        <v>9</v>
      </c>
      <c r="I20" s="30">
        <v>1</v>
      </c>
      <c r="J20" s="31">
        <v>0</v>
      </c>
      <c r="K20" s="1">
        <v>1</v>
      </c>
      <c r="L20" s="32">
        <v>5.0068095489748217</v>
      </c>
      <c r="M20" s="32">
        <v>3.75</v>
      </c>
      <c r="N20" s="32">
        <v>1.2568095489748217</v>
      </c>
      <c r="O20" s="32">
        <v>0.70269444504909018</v>
      </c>
      <c r="P20" s="32">
        <v>7.728174828510781E-2</v>
      </c>
      <c r="Q20" s="32">
        <v>4.4056159111960369E-2</v>
      </c>
    </row>
    <row r="21" spans="1:17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0">
        <f t="shared" si="3"/>
        <v>0.28532001384146888</v>
      </c>
      <c r="F21" s="23">
        <f t="shared" si="2"/>
        <v>0.94246575342465755</v>
      </c>
      <c r="G21" s="28">
        <f t="shared" si="0"/>
        <v>30</v>
      </c>
      <c r="H21" s="29" t="s">
        <v>9</v>
      </c>
      <c r="I21" s="30">
        <v>1</v>
      </c>
      <c r="J21" s="31">
        <v>0</v>
      </c>
      <c r="K21" s="1">
        <v>1</v>
      </c>
      <c r="L21" s="32">
        <v>5.0736811380351483</v>
      </c>
      <c r="M21" s="32">
        <v>3.75</v>
      </c>
      <c r="N21" s="32">
        <v>1.3236811380351483</v>
      </c>
      <c r="O21" s="32">
        <v>0.69792889072868292</v>
      </c>
      <c r="P21" s="32">
        <v>8.1158379512221046E-2</v>
      </c>
      <c r="Q21" s="32">
        <v>4.3077213440767537E-2</v>
      </c>
    </row>
    <row r="22" spans="1:17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24"/>
      <c r="N22" s="25"/>
    </row>
    <row r="23" spans="1:17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</row>
  </sheetData>
  <dataValidations count="1">
    <dataValidation type="list" allowBlank="1" showInputMessage="1" showErrorMessage="1" sqref="H10:H21" xr:uid="{A024C9A3-D795-4AF6-A570-4AA8237C4597}">
      <formula1>$I$5:$I$7</formula1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C1A46-0C88-40A0-BAF2-46E6A9A409A7}">
  <sheetPr codeName="Sheet11"/>
  <dimension ref="A1:AH23"/>
  <sheetViews>
    <sheetView topLeftCell="L1" zoomScale="55" zoomScaleNormal="55" workbookViewId="0">
      <selection activeCell="AH9" sqref="AH9"/>
    </sheetView>
  </sheetViews>
  <sheetFormatPr defaultRowHeight="14.5" x14ac:dyDescent="0.35"/>
  <cols>
    <col min="1" max="7" width="14.453125" style="1" customWidth="1"/>
    <col min="8" max="11" width="15.1796875" style="1" customWidth="1"/>
    <col min="12" max="12" width="7.36328125" style="1" bestFit="1" customWidth="1"/>
    <col min="13" max="13" width="7.36328125" style="1" customWidth="1"/>
    <col min="14" max="14" width="10.7265625" style="1" bestFit="1" customWidth="1"/>
    <col min="15" max="15" width="10.7265625" style="1" customWidth="1"/>
    <col min="16" max="16" width="18.54296875" style="1" bestFit="1" customWidth="1"/>
    <col min="17" max="17" width="18.08984375" style="1" bestFit="1" customWidth="1"/>
    <col min="18" max="18" width="19.1796875" style="1" bestFit="1" customWidth="1"/>
    <col min="19" max="19" width="18.7265625" style="1" bestFit="1" customWidth="1"/>
    <col min="20" max="20" width="14.90625" style="1" bestFit="1" customWidth="1"/>
    <col min="21" max="21" width="14.453125" style="1" bestFit="1" customWidth="1"/>
    <col min="22" max="22" width="13.7265625" style="1" bestFit="1" customWidth="1"/>
    <col min="23" max="23" width="13.26953125" style="1" customWidth="1"/>
    <col min="24" max="24" width="17.81640625" style="1" bestFit="1" customWidth="1"/>
    <col min="25" max="25" width="17.36328125" style="1" bestFit="1" customWidth="1"/>
    <col min="26" max="26" width="14.453125" style="1" customWidth="1"/>
    <col min="27" max="27" width="10.6328125" style="1" bestFit="1" customWidth="1"/>
    <col min="28" max="28" width="12.1796875" style="1" bestFit="1" customWidth="1"/>
    <col min="29" max="29" width="11.81640625" style="1" customWidth="1"/>
    <col min="30" max="16384" width="8.7265625" style="1"/>
  </cols>
  <sheetData>
    <row r="1" spans="1:34" ht="40" customHeight="1" x14ac:dyDescent="0.35"/>
    <row r="2" spans="1:34" ht="15" thickBot="1" x14ac:dyDescent="0.4"/>
    <row r="3" spans="1:34" ht="15" thickBot="1" x14ac:dyDescent="0.4">
      <c r="A3" s="2" t="s">
        <v>0</v>
      </c>
      <c r="B3" s="3">
        <v>43811</v>
      </c>
      <c r="H3" s="4"/>
      <c r="I3" s="5"/>
      <c r="J3" s="5"/>
      <c r="K3" s="6"/>
    </row>
    <row r="4" spans="1:34" x14ac:dyDescent="0.35">
      <c r="H4" s="7"/>
      <c r="I4" s="8"/>
      <c r="J4" s="8"/>
      <c r="K4" s="9"/>
    </row>
    <row r="5" spans="1:34" x14ac:dyDescent="0.35">
      <c r="H5" s="7" t="s">
        <v>23</v>
      </c>
      <c r="I5" s="8"/>
      <c r="J5" s="8" t="s">
        <v>9</v>
      </c>
      <c r="K5" s="11">
        <v>1</v>
      </c>
    </row>
    <row r="6" spans="1:34" x14ac:dyDescent="0.35">
      <c r="B6" s="10"/>
      <c r="H6" s="7" t="s">
        <v>3</v>
      </c>
      <c r="I6" s="8"/>
      <c r="J6" s="8" t="s">
        <v>4</v>
      </c>
      <c r="K6" s="11">
        <v>0.35</v>
      </c>
    </row>
    <row r="7" spans="1:34" ht="15" thickBot="1" x14ac:dyDescent="0.4">
      <c r="H7" s="12" t="s">
        <v>5</v>
      </c>
      <c r="I7" s="13"/>
      <c r="J7" s="13" t="s">
        <v>6</v>
      </c>
      <c r="K7" s="14">
        <v>0.65</v>
      </c>
    </row>
    <row r="8" spans="1:3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</row>
    <row r="9" spans="1:34" ht="14.5" customHeight="1" x14ac:dyDescent="0.35">
      <c r="A9" s="26" t="s">
        <v>7</v>
      </c>
      <c r="B9" s="26" t="s">
        <v>8</v>
      </c>
      <c r="C9" s="33" t="s">
        <v>13</v>
      </c>
      <c r="D9" s="37" t="s">
        <v>46</v>
      </c>
      <c r="E9" s="37" t="s">
        <v>47</v>
      </c>
      <c r="F9" s="38" t="s">
        <v>10</v>
      </c>
      <c r="G9" s="17" t="s">
        <v>12</v>
      </c>
      <c r="H9" s="27" t="s">
        <v>18</v>
      </c>
      <c r="I9" s="27" t="s">
        <v>19</v>
      </c>
      <c r="J9" s="27" t="s">
        <v>20</v>
      </c>
      <c r="K9" s="27" t="s">
        <v>21</v>
      </c>
      <c r="L9" s="27" t="s">
        <v>48</v>
      </c>
      <c r="M9" s="27" t="s">
        <v>49</v>
      </c>
      <c r="N9" s="27" t="s">
        <v>50</v>
      </c>
      <c r="O9" s="27" t="s">
        <v>51</v>
      </c>
      <c r="P9" s="27" t="s">
        <v>52</v>
      </c>
      <c r="Q9" s="27" t="s">
        <v>53</v>
      </c>
      <c r="R9" s="27" t="s">
        <v>54</v>
      </c>
      <c r="S9" s="27" t="s">
        <v>55</v>
      </c>
      <c r="T9" s="27" t="s">
        <v>56</v>
      </c>
      <c r="U9" s="27" t="s">
        <v>57</v>
      </c>
      <c r="V9" s="27" t="s">
        <v>58</v>
      </c>
      <c r="W9" s="27" t="s">
        <v>59</v>
      </c>
      <c r="X9" s="27" t="s">
        <v>60</v>
      </c>
      <c r="Y9" s="27" t="s">
        <v>61</v>
      </c>
      <c r="Z9" s="27" t="s">
        <v>33</v>
      </c>
      <c r="AA9" s="27" t="s">
        <v>39</v>
      </c>
      <c r="AB9" s="27" t="s">
        <v>36</v>
      </c>
      <c r="AC9" s="27" t="s">
        <v>38</v>
      </c>
      <c r="AD9" s="27" t="s">
        <v>38</v>
      </c>
      <c r="AE9" s="27" t="s">
        <v>37</v>
      </c>
      <c r="AF9" s="27" t="s">
        <v>40</v>
      </c>
      <c r="AG9" s="27" t="s">
        <v>45</v>
      </c>
      <c r="AH9" s="27" t="s">
        <v>80</v>
      </c>
    </row>
    <row r="10" spans="1:34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0">
        <v>0.35</v>
      </c>
      <c r="G10" s="23">
        <f>(B10-$B$3)/365</f>
        <v>3.0136986301369864E-2</v>
      </c>
      <c r="H10" s="28">
        <f t="shared" ref="H10:H21" si="0">DAY(EOMONTH(B10,0))</f>
        <v>31</v>
      </c>
      <c r="I10" s="29" t="s">
        <v>9</v>
      </c>
      <c r="J10" s="30">
        <v>1</v>
      </c>
      <c r="K10" s="31">
        <v>0</v>
      </c>
      <c r="L10" s="1">
        <v>1</v>
      </c>
      <c r="M10" s="1">
        <v>-1</v>
      </c>
      <c r="N10" s="32">
        <v>5.7329001814654834E-2</v>
      </c>
      <c r="O10" s="32">
        <v>4.3902655814136438E-3</v>
      </c>
      <c r="P10" s="32">
        <v>-2.2000000000000028</v>
      </c>
      <c r="Q10" s="32">
        <v>2.7999999999999972</v>
      </c>
      <c r="R10" s="32">
        <v>2.2573290018146577</v>
      </c>
      <c r="S10" s="32">
        <v>-2.7956097344185835</v>
      </c>
      <c r="T10" s="32">
        <v>8.288794759763185E-2</v>
      </c>
      <c r="U10" s="32">
        <v>-2.9503836264765937E-2</v>
      </c>
      <c r="V10" s="32">
        <v>6.6437529302214582E-3</v>
      </c>
      <c r="W10" s="32">
        <v>2.1938877898826092E-3</v>
      </c>
      <c r="X10" s="32">
        <v>9.9293531548028113E-2</v>
      </c>
      <c r="Y10" s="32">
        <v>4.326060782489094E-2</v>
      </c>
      <c r="Z10" s="32"/>
    </row>
    <row r="11" spans="1:34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0">
        <f>20%+(F10-20%)*0.95</f>
        <v>0.34249999999999997</v>
      </c>
      <c r="G11" s="23">
        <f t="shared" ref="G11:G21" si="2">(B11-$B$3)/365</f>
        <v>0.11506849315068493</v>
      </c>
      <c r="H11" s="28">
        <f t="shared" si="0"/>
        <v>31</v>
      </c>
      <c r="I11" s="29" t="s">
        <v>9</v>
      </c>
      <c r="J11" s="30">
        <v>1</v>
      </c>
      <c r="K11" s="31">
        <v>0</v>
      </c>
      <c r="L11" s="1">
        <v>1</v>
      </c>
      <c r="M11" s="1">
        <v>-1</v>
      </c>
      <c r="N11" s="32">
        <v>1.6230423494048836</v>
      </c>
      <c r="O11" s="32">
        <v>-2.2051447333048202E-2</v>
      </c>
      <c r="P11" s="32">
        <v>0.75</v>
      </c>
      <c r="Q11" s="32">
        <v>5.75</v>
      </c>
      <c r="R11" s="32">
        <v>0.87304234940488357</v>
      </c>
      <c r="S11" s="32">
        <v>-5.7720514473330482</v>
      </c>
      <c r="T11" s="32">
        <v>0.60135141927784019</v>
      </c>
      <c r="U11" s="32">
        <v>-2.5338487979453816E-2</v>
      </c>
      <c r="V11" s="32">
        <v>3.3559239965665455E-2</v>
      </c>
      <c r="W11" s="32">
        <v>2.2972475929456948E-3</v>
      </c>
      <c r="X11" s="32">
        <v>0.12262033596499577</v>
      </c>
      <c r="Y11" s="32">
        <v>1.8101313727925117E-2</v>
      </c>
      <c r="Z11" s="32"/>
    </row>
    <row r="12" spans="1:34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0">
        <f t="shared" ref="F12:F21" si="3">20%+(F11-20%)*0.95</f>
        <v>0.33537499999999998</v>
      </c>
      <c r="G12" s="23">
        <f t="shared" si="2"/>
        <v>0.19178082191780821</v>
      </c>
      <c r="H12" s="28">
        <f t="shared" si="0"/>
        <v>29</v>
      </c>
      <c r="I12" s="29" t="s">
        <v>9</v>
      </c>
      <c r="J12" s="30">
        <v>1</v>
      </c>
      <c r="K12" s="31">
        <v>0</v>
      </c>
      <c r="L12" s="1">
        <v>1</v>
      </c>
      <c r="M12" s="1">
        <v>-1</v>
      </c>
      <c r="N12" s="32">
        <v>0.42136837983376019</v>
      </c>
      <c r="O12" s="32">
        <v>0.61423486081020684</v>
      </c>
      <c r="P12" s="32">
        <v>-3.1000000000000014</v>
      </c>
      <c r="Q12" s="32">
        <v>1.8999999999999986</v>
      </c>
      <c r="R12" s="32">
        <v>3.5213683798337616</v>
      </c>
      <c r="S12" s="32">
        <v>-1.2857651391897917</v>
      </c>
      <c r="T12" s="32">
        <v>0.21213925456393667</v>
      </c>
      <c r="U12" s="32">
        <v>-0.29026209087810173</v>
      </c>
      <c r="V12" s="32">
        <v>3.0524190664332984E-2</v>
      </c>
      <c r="W12" s="32">
        <v>3.388384216474094E-2</v>
      </c>
      <c r="X12" s="32">
        <v>7.948608288899095E-2</v>
      </c>
      <c r="Y12" s="32">
        <v>9.3596090451342207E-2</v>
      </c>
      <c r="Z12" s="32"/>
    </row>
    <row r="13" spans="1:34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0">
        <f t="shared" si="3"/>
        <v>0.32860624999999999</v>
      </c>
      <c r="G13" s="23">
        <f t="shared" si="2"/>
        <v>0.27945205479452057</v>
      </c>
      <c r="H13" s="28">
        <f t="shared" si="0"/>
        <v>31</v>
      </c>
      <c r="I13" s="29" t="s">
        <v>9</v>
      </c>
      <c r="J13" s="30">
        <v>1</v>
      </c>
      <c r="K13" s="31">
        <v>0</v>
      </c>
      <c r="L13" s="1">
        <v>1</v>
      </c>
      <c r="M13" s="1">
        <v>-1</v>
      </c>
      <c r="N13" s="32">
        <v>0.22757480237186467</v>
      </c>
      <c r="O13" s="32">
        <v>1.7123136288191674</v>
      </c>
      <c r="P13" s="32">
        <v>-5.25</v>
      </c>
      <c r="Q13" s="32">
        <v>-0.25</v>
      </c>
      <c r="R13" s="32">
        <v>5.4775748023718647</v>
      </c>
      <c r="S13" s="32">
        <v>1.9623136288191674</v>
      </c>
      <c r="T13" s="32">
        <v>0.11853823069816194</v>
      </c>
      <c r="U13" s="32">
        <v>-0.51483621884216291</v>
      </c>
      <c r="V13" s="32">
        <v>2.3893530461567281E-2</v>
      </c>
      <c r="W13" s="32">
        <v>4.6467011567731475E-2</v>
      </c>
      <c r="X13" s="32">
        <v>4.8536215393468751E-2</v>
      </c>
      <c r="Y13" s="32">
        <v>9.7407252610537398E-2</v>
      </c>
      <c r="Z13" s="32"/>
    </row>
    <row r="14" spans="1:34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0">
        <f t="shared" si="3"/>
        <v>0.32217593749999995</v>
      </c>
      <c r="G14" s="23">
        <f t="shared" si="2"/>
        <v>0.36164383561643837</v>
      </c>
      <c r="H14" s="28">
        <f t="shared" si="0"/>
        <v>30</v>
      </c>
      <c r="I14" s="29" t="s">
        <v>9</v>
      </c>
      <c r="J14" s="30">
        <v>1</v>
      </c>
      <c r="K14" s="31">
        <v>0</v>
      </c>
      <c r="L14" s="1">
        <v>1</v>
      </c>
      <c r="M14" s="1">
        <v>-1</v>
      </c>
      <c r="N14" s="32">
        <v>0.32584188983005902</v>
      </c>
      <c r="O14" s="32">
        <v>1.8891281152612152</v>
      </c>
      <c r="P14" s="32">
        <v>-5.25</v>
      </c>
      <c r="Q14" s="32">
        <v>-0.25</v>
      </c>
      <c r="R14" s="32">
        <v>5.575841889830059</v>
      </c>
      <c r="S14" s="32">
        <v>2.1391281152612152</v>
      </c>
      <c r="T14" s="32">
        <v>0.14596197057650251</v>
      </c>
      <c r="U14" s="32">
        <v>-0.51134668072521094</v>
      </c>
      <c r="V14" s="32">
        <v>3.1214816806645729E-2</v>
      </c>
      <c r="W14" s="32">
        <v>5.247247768108565E-2</v>
      </c>
      <c r="X14" s="32">
        <v>5.0182593946956899E-2</v>
      </c>
      <c r="Y14" s="32">
        <v>8.723719474801328E-2</v>
      </c>
      <c r="Z14" s="32"/>
    </row>
    <row r="15" spans="1:34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0">
        <f>20%+(F14-20%)*0.95</f>
        <v>0.31606714062499996</v>
      </c>
      <c r="G15" s="23">
        <f t="shared" si="2"/>
        <v>0.44109589041095892</v>
      </c>
      <c r="H15" s="28">
        <f t="shared" si="0"/>
        <v>31</v>
      </c>
      <c r="I15" s="29" t="s">
        <v>9</v>
      </c>
      <c r="J15" s="30">
        <v>1</v>
      </c>
      <c r="K15" s="31">
        <v>0</v>
      </c>
      <c r="L15" s="1">
        <v>1</v>
      </c>
      <c r="M15" s="1">
        <v>-1</v>
      </c>
      <c r="N15" s="32">
        <v>0.41249689718847637</v>
      </c>
      <c r="O15" s="32">
        <v>2.0281944073519256</v>
      </c>
      <c r="P15" s="32">
        <v>-5.25</v>
      </c>
      <c r="Q15" s="32">
        <v>-0.25</v>
      </c>
      <c r="R15" s="32">
        <v>5.6624968971884764</v>
      </c>
      <c r="S15" s="32">
        <v>2.2781944073519256</v>
      </c>
      <c r="T15" s="32">
        <v>0.16618115499764663</v>
      </c>
      <c r="U15" s="32">
        <v>-0.50898610340723849</v>
      </c>
      <c r="V15" s="32">
        <v>3.7331676084806364E-2</v>
      </c>
      <c r="W15" s="32">
        <v>5.7507431969668232E-2</v>
      </c>
      <c r="X15" s="32">
        <v>5.0478575319701235E-2</v>
      </c>
      <c r="Y15" s="32">
        <v>8.0548139891334358E-2</v>
      </c>
      <c r="Z15" s="32"/>
    </row>
    <row r="16" spans="1:34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0">
        <f t="shared" si="3"/>
        <v>0.31026378359374995</v>
      </c>
      <c r="G16" s="23">
        <f t="shared" si="2"/>
        <v>0.52876712328767128</v>
      </c>
      <c r="H16" s="28">
        <f t="shared" si="0"/>
        <v>30</v>
      </c>
      <c r="I16" s="29" t="s">
        <v>9</v>
      </c>
      <c r="J16" s="30">
        <v>1</v>
      </c>
      <c r="K16" s="31">
        <v>0</v>
      </c>
      <c r="L16" s="1">
        <v>1</v>
      </c>
      <c r="M16" s="1">
        <v>-1</v>
      </c>
      <c r="N16" s="32">
        <v>1.4440396159920823</v>
      </c>
      <c r="O16" s="32">
        <v>0.86475992699529769</v>
      </c>
      <c r="P16" s="32">
        <v>-1.8999999999999986</v>
      </c>
      <c r="Q16" s="32">
        <v>3.1000000000000014</v>
      </c>
      <c r="R16" s="32">
        <v>3.3440396159920809</v>
      </c>
      <c r="S16" s="32">
        <v>-2.2352400730047037</v>
      </c>
      <c r="T16" s="32">
        <v>0.38500026208350135</v>
      </c>
      <c r="U16" s="32">
        <v>-0.27928068014269058</v>
      </c>
      <c r="V16" s="32">
        <v>6.6145321889200304E-2</v>
      </c>
      <c r="W16" s="32">
        <v>5.3263460005467778E-2</v>
      </c>
      <c r="X16" s="32">
        <v>6.6230305044712168E-2</v>
      </c>
      <c r="Y16" s="32">
        <v>5.7867609015715971E-2</v>
      </c>
      <c r="Z16" s="32"/>
    </row>
    <row r="17" spans="1:26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0">
        <f t="shared" si="3"/>
        <v>0.30475059441406244</v>
      </c>
      <c r="G17" s="23">
        <f t="shared" si="2"/>
        <v>0.61369863013698633</v>
      </c>
      <c r="H17" s="28">
        <f t="shared" si="0"/>
        <v>31</v>
      </c>
      <c r="I17" s="29" t="s">
        <v>9</v>
      </c>
      <c r="J17" s="30">
        <v>1</v>
      </c>
      <c r="K17" s="31">
        <v>0</v>
      </c>
      <c r="L17" s="1">
        <v>1</v>
      </c>
      <c r="M17" s="1">
        <v>-1</v>
      </c>
      <c r="N17" s="32">
        <v>1.5616166109280982</v>
      </c>
      <c r="O17" s="32">
        <v>0.95989052819748366</v>
      </c>
      <c r="P17" s="32">
        <v>-1.8999999999999986</v>
      </c>
      <c r="Q17" s="32">
        <v>3.1000000000000014</v>
      </c>
      <c r="R17" s="32">
        <v>3.4616166109280968</v>
      </c>
      <c r="S17" s="32">
        <v>-2.1401094718025178</v>
      </c>
      <c r="T17" s="32">
        <v>0.39224478050448042</v>
      </c>
      <c r="U17" s="32">
        <v>-0.28916732332362471</v>
      </c>
      <c r="V17" s="32">
        <v>7.1193452287725556E-2</v>
      </c>
      <c r="W17" s="32">
        <v>5.7998840780470573E-2</v>
      </c>
      <c r="X17" s="32">
        <v>6.294672507678456E-2</v>
      </c>
      <c r="Y17" s="32">
        <v>5.5608659721428921E-2</v>
      </c>
      <c r="Z17" s="32"/>
    </row>
    <row r="18" spans="1:26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0">
        <f t="shared" si="3"/>
        <v>0.29951306469335931</v>
      </c>
      <c r="G18" s="23">
        <f t="shared" si="2"/>
        <v>0.69315068493150689</v>
      </c>
      <c r="H18" s="28">
        <f t="shared" si="0"/>
        <v>31</v>
      </c>
      <c r="I18" s="29" t="s">
        <v>9</v>
      </c>
      <c r="J18" s="30">
        <v>1</v>
      </c>
      <c r="K18" s="31">
        <v>0</v>
      </c>
      <c r="L18" s="1">
        <v>1</v>
      </c>
      <c r="M18" s="1">
        <v>-1</v>
      </c>
      <c r="N18" s="32">
        <v>1.658135612258274</v>
      </c>
      <c r="O18" s="32">
        <v>1.038861117693493</v>
      </c>
      <c r="P18" s="32">
        <v>-1.8999999999999986</v>
      </c>
      <c r="Q18" s="32">
        <v>3.1000000000000014</v>
      </c>
      <c r="R18" s="32">
        <v>3.5581356122582726</v>
      </c>
      <c r="S18" s="32">
        <v>-2.0611388823065084</v>
      </c>
      <c r="T18" s="32">
        <v>0.39770004854116081</v>
      </c>
      <c r="U18" s="32">
        <v>-0.29657728555676499</v>
      </c>
      <c r="V18" s="32">
        <v>7.560842574816995E-2</v>
      </c>
      <c r="W18" s="32">
        <v>6.2104427066930867E-2</v>
      </c>
      <c r="X18" s="32">
        <v>6.0470318246075294E-2</v>
      </c>
      <c r="Y18" s="32">
        <v>5.3837298565895253E-2</v>
      </c>
      <c r="Z18" s="32"/>
    </row>
    <row r="19" spans="1:26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0">
        <f t="shared" si="3"/>
        <v>0.29453741145869133</v>
      </c>
      <c r="G19" s="23">
        <f t="shared" si="2"/>
        <v>0.78082191780821919</v>
      </c>
      <c r="H19" s="28">
        <f t="shared" si="0"/>
        <v>30</v>
      </c>
      <c r="I19" s="29" t="s">
        <v>9</v>
      </c>
      <c r="J19" s="30">
        <v>1</v>
      </c>
      <c r="K19" s="31">
        <v>0</v>
      </c>
      <c r="L19" s="1">
        <v>1</v>
      </c>
      <c r="M19" s="1">
        <v>-1</v>
      </c>
      <c r="N19" s="32">
        <v>4.9344235403491901</v>
      </c>
      <c r="O19" s="32">
        <v>6.9827590650938021E-2</v>
      </c>
      <c r="P19" s="32">
        <v>3.75</v>
      </c>
      <c r="Q19" s="32">
        <v>8.75</v>
      </c>
      <c r="R19" s="32">
        <v>1.1844235403491901</v>
      </c>
      <c r="S19" s="32">
        <v>-8.680172409349062</v>
      </c>
      <c r="T19" s="32">
        <v>0.70828998248693154</v>
      </c>
      <c r="U19" s="32">
        <v>-9.7712778876157813E-2</v>
      </c>
      <c r="V19" s="32">
        <v>7.3211901952319636E-2</v>
      </c>
      <c r="W19" s="32">
        <v>2.518688555623072E-2</v>
      </c>
      <c r="X19" s="32">
        <v>4.516469509496801E-2</v>
      </c>
      <c r="Y19" s="32">
        <v>2.1967443828430078E-2</v>
      </c>
      <c r="Z19" s="32"/>
    </row>
    <row r="20" spans="1:26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0">
        <f t="shared" si="3"/>
        <v>0.28981054088575675</v>
      </c>
      <c r="G20" s="23">
        <f t="shared" si="2"/>
        <v>0.86301369863013699</v>
      </c>
      <c r="H20" s="28">
        <f t="shared" si="0"/>
        <v>31</v>
      </c>
      <c r="I20" s="29" t="s">
        <v>9</v>
      </c>
      <c r="J20" s="30">
        <v>1</v>
      </c>
      <c r="K20" s="31">
        <v>0</v>
      </c>
      <c r="L20" s="1">
        <v>1</v>
      </c>
      <c r="M20" s="1">
        <v>-1</v>
      </c>
      <c r="N20" s="32">
        <v>5.0068095489748217</v>
      </c>
      <c r="O20" s="32">
        <v>9.5278325206741954E-2</v>
      </c>
      <c r="P20" s="32">
        <v>3.75</v>
      </c>
      <c r="Q20" s="32">
        <v>8.75</v>
      </c>
      <c r="R20" s="32">
        <v>1.2568095489748217</v>
      </c>
      <c r="S20" s="32">
        <v>-8.654721674793258</v>
      </c>
      <c r="T20" s="32">
        <v>0.70269444504909018</v>
      </c>
      <c r="U20" s="32">
        <v>-0.10492664832746357</v>
      </c>
      <c r="V20" s="32">
        <v>7.728174828510781E-2</v>
      </c>
      <c r="W20" s="32">
        <v>2.835587202293155E-2</v>
      </c>
      <c r="X20" s="32">
        <v>4.4056159111960369E-2</v>
      </c>
      <c r="Y20" s="32">
        <v>2.2396810308578097E-2</v>
      </c>
      <c r="Z20" s="32"/>
    </row>
    <row r="21" spans="1:26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0">
        <f t="shared" si="3"/>
        <v>0.28532001384146888</v>
      </c>
      <c r="G21" s="23">
        <f t="shared" si="2"/>
        <v>0.94246575342465755</v>
      </c>
      <c r="H21" s="28">
        <f t="shared" si="0"/>
        <v>30</v>
      </c>
      <c r="I21" s="29" t="s">
        <v>9</v>
      </c>
      <c r="J21" s="30">
        <v>1</v>
      </c>
      <c r="K21" s="31">
        <v>0</v>
      </c>
      <c r="L21" s="1">
        <v>1</v>
      </c>
      <c r="M21" s="1">
        <v>-1</v>
      </c>
      <c r="N21" s="32">
        <v>5.0736811380351483</v>
      </c>
      <c r="O21" s="32">
        <v>0.12082194878772867</v>
      </c>
      <c r="P21" s="32">
        <v>3.75</v>
      </c>
      <c r="Q21" s="32">
        <v>8.75</v>
      </c>
      <c r="R21" s="32">
        <v>1.3236811380351483</v>
      </c>
      <c r="S21" s="32">
        <v>-8.6291780512122713</v>
      </c>
      <c r="T21" s="32">
        <v>0.69792889072868292</v>
      </c>
      <c r="U21" s="32">
        <v>-0.11136396123490044</v>
      </c>
      <c r="V21" s="32">
        <v>8.1158379512221046E-2</v>
      </c>
      <c r="W21" s="32">
        <v>3.1418525898345706E-2</v>
      </c>
      <c r="X21" s="32">
        <v>4.3077213440767537E-2</v>
      </c>
      <c r="Y21" s="32">
        <v>2.2715209979651263E-2</v>
      </c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1"/>
      <c r="I22" s="22"/>
      <c r="J22" s="22"/>
      <c r="K22" s="22"/>
      <c r="L22" s="23"/>
      <c r="M22" s="23"/>
      <c r="N22" s="18"/>
      <c r="O22" s="18"/>
      <c r="P22" s="24"/>
      <c r="Q22" s="24"/>
      <c r="R22" s="25"/>
      <c r="S22" s="25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</row>
  </sheetData>
  <phoneticPr fontId="7" type="noConversion"/>
  <dataValidations count="1">
    <dataValidation type="list" allowBlank="1" showInputMessage="1" showErrorMessage="1" sqref="I10:I21" xr:uid="{46DC3ACC-1F1D-43C8-9AA1-FE8516F81021}">
      <formula1>$J$5:$J$7</formula1>
    </dataValidation>
  </dataValidation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4715-6A61-4E60-9E3E-714E9DCA645A}">
  <sheetPr codeName="Sheet12"/>
  <dimension ref="A1:AP23"/>
  <sheetViews>
    <sheetView topLeftCell="S1" zoomScale="55" zoomScaleNormal="55" workbookViewId="0">
      <selection activeCell="AP9" sqref="AP9"/>
    </sheetView>
  </sheetViews>
  <sheetFormatPr defaultRowHeight="14.5" x14ac:dyDescent="0.35"/>
  <cols>
    <col min="1" max="4" width="14.453125" style="1" customWidth="1"/>
    <col min="5" max="5" width="16.08984375" style="1" bestFit="1" customWidth="1"/>
    <col min="6" max="6" width="15.7265625" style="1" bestFit="1" customWidth="1"/>
    <col min="7" max="8" width="14.453125" style="1" customWidth="1"/>
    <col min="9" max="12" width="15.1796875" style="1" customWidth="1"/>
    <col min="13" max="13" width="7.36328125" style="1" bestFit="1" customWidth="1"/>
    <col min="14" max="15" width="7.36328125" style="1" customWidth="1"/>
    <col min="16" max="16" width="10.7265625" style="1" bestFit="1" customWidth="1"/>
    <col min="17" max="18" width="10.7265625" style="1" customWidth="1"/>
    <col min="19" max="19" width="13.81640625" style="1" bestFit="1" customWidth="1"/>
    <col min="20" max="21" width="13.81640625" style="1" customWidth="1"/>
    <col min="22" max="22" width="15.453125" style="1" bestFit="1" customWidth="1"/>
    <col min="23" max="24" width="15.453125" style="1" customWidth="1"/>
    <col min="25" max="33" width="13.26953125" style="1" customWidth="1"/>
    <col min="34" max="34" width="21.54296875" style="1" bestFit="1" customWidth="1"/>
    <col min="35" max="35" width="9.1796875" style="1" bestFit="1" customWidth="1"/>
    <col min="36" max="36" width="12.1796875" style="1" bestFit="1" customWidth="1"/>
    <col min="37" max="37" width="11.81640625" style="1" customWidth="1"/>
    <col min="38" max="16384" width="8.7265625" style="1"/>
  </cols>
  <sheetData>
    <row r="1" spans="1:42" ht="40" customHeight="1" x14ac:dyDescent="0.35"/>
    <row r="2" spans="1:42" ht="15" thickBot="1" x14ac:dyDescent="0.4"/>
    <row r="3" spans="1:42" ht="15" thickBot="1" x14ac:dyDescent="0.4">
      <c r="A3" s="2" t="s">
        <v>0</v>
      </c>
      <c r="B3" s="3">
        <v>43811</v>
      </c>
      <c r="I3" s="4"/>
      <c r="J3" s="5"/>
      <c r="K3" s="5"/>
      <c r="L3" s="6"/>
    </row>
    <row r="4" spans="1:42" x14ac:dyDescent="0.35">
      <c r="I4" s="7"/>
      <c r="J4" s="8"/>
      <c r="K4" s="8"/>
      <c r="L4" s="9"/>
    </row>
    <row r="5" spans="1:42" x14ac:dyDescent="0.35">
      <c r="I5" s="7" t="s">
        <v>23</v>
      </c>
      <c r="J5" s="8"/>
      <c r="K5" s="8" t="s">
        <v>9</v>
      </c>
      <c r="L5" s="11">
        <v>1</v>
      </c>
    </row>
    <row r="6" spans="1:42" x14ac:dyDescent="0.35">
      <c r="B6" s="10"/>
      <c r="I6" s="7" t="s">
        <v>3</v>
      </c>
      <c r="J6" s="8"/>
      <c r="K6" s="8" t="s">
        <v>4</v>
      </c>
      <c r="L6" s="11">
        <v>0.35</v>
      </c>
    </row>
    <row r="7" spans="1:42" ht="15" thickBot="1" x14ac:dyDescent="0.4">
      <c r="I7" s="12" t="s">
        <v>5</v>
      </c>
      <c r="J7" s="13"/>
      <c r="K7" s="13" t="s">
        <v>6</v>
      </c>
      <c r="L7" s="14">
        <v>0.65</v>
      </c>
    </row>
    <row r="8" spans="1:42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</row>
    <row r="9" spans="1:42" ht="14.5" customHeight="1" x14ac:dyDescent="0.35">
      <c r="A9" s="26" t="s">
        <v>7</v>
      </c>
      <c r="B9" s="26" t="s">
        <v>8</v>
      </c>
      <c r="C9" s="33" t="s">
        <v>13</v>
      </c>
      <c r="D9" s="37" t="s">
        <v>46</v>
      </c>
      <c r="E9" s="37" t="s">
        <v>47</v>
      </c>
      <c r="F9" s="37" t="s">
        <v>62</v>
      </c>
      <c r="G9" s="38" t="s">
        <v>10</v>
      </c>
      <c r="H9" s="17" t="s">
        <v>12</v>
      </c>
      <c r="I9" s="27" t="s">
        <v>18</v>
      </c>
      <c r="J9" s="27" t="s">
        <v>19</v>
      </c>
      <c r="K9" s="27" t="s">
        <v>20</v>
      </c>
      <c r="L9" s="27" t="s">
        <v>21</v>
      </c>
      <c r="M9" s="27" t="s">
        <v>48</v>
      </c>
      <c r="N9" s="27" t="s">
        <v>49</v>
      </c>
      <c r="O9" s="27" t="s">
        <v>63</v>
      </c>
      <c r="P9" s="27" t="s">
        <v>50</v>
      </c>
      <c r="Q9" s="27" t="s">
        <v>51</v>
      </c>
      <c r="R9" s="27" t="s">
        <v>64</v>
      </c>
      <c r="S9" s="27" t="s">
        <v>52</v>
      </c>
      <c r="T9" s="27" t="s">
        <v>53</v>
      </c>
      <c r="U9" s="27" t="s">
        <v>65</v>
      </c>
      <c r="V9" s="27" t="s">
        <v>54</v>
      </c>
      <c r="W9" s="27" t="s">
        <v>55</v>
      </c>
      <c r="X9" s="27" t="s">
        <v>66</v>
      </c>
      <c r="Y9" s="27" t="s">
        <v>56</v>
      </c>
      <c r="Z9" s="27" t="s">
        <v>57</v>
      </c>
      <c r="AA9" s="27" t="s">
        <v>67</v>
      </c>
      <c r="AB9" s="27" t="s">
        <v>58</v>
      </c>
      <c r="AC9" s="27" t="s">
        <v>59</v>
      </c>
      <c r="AD9" s="27" t="s">
        <v>68</v>
      </c>
      <c r="AE9" s="27" t="s">
        <v>60</v>
      </c>
      <c r="AF9" s="27" t="s">
        <v>61</v>
      </c>
      <c r="AG9" s="27" t="s">
        <v>69</v>
      </c>
      <c r="AH9" s="27" t="s">
        <v>34</v>
      </c>
      <c r="AI9" s="27" t="s">
        <v>39</v>
      </c>
      <c r="AJ9" s="27" t="s">
        <v>36</v>
      </c>
      <c r="AK9" s="27" t="s">
        <v>38</v>
      </c>
      <c r="AL9" s="27" t="s">
        <v>38</v>
      </c>
      <c r="AM9" s="27" t="s">
        <v>37</v>
      </c>
      <c r="AN9" s="27" t="s">
        <v>40</v>
      </c>
      <c r="AO9" s="27" t="s">
        <v>45</v>
      </c>
      <c r="AP9" s="27" t="s">
        <v>80</v>
      </c>
    </row>
    <row r="10" spans="1:42" x14ac:dyDescent="0.35">
      <c r="A10" s="19">
        <v>43831</v>
      </c>
      <c r="B10" s="20">
        <f>WORKDAY(A10,-7)</f>
        <v>43822</v>
      </c>
      <c r="C10" s="35">
        <v>42.8</v>
      </c>
      <c r="D10" s="42">
        <v>45</v>
      </c>
      <c r="E10" s="42">
        <v>40</v>
      </c>
      <c r="F10" s="42">
        <v>35</v>
      </c>
      <c r="G10" s="40">
        <v>0.35</v>
      </c>
      <c r="H10" s="23">
        <f>(B10-$B$3)/365</f>
        <v>3.0136986301369864E-2</v>
      </c>
      <c r="I10" s="28">
        <f t="shared" ref="I10:I21" si="0">DAY(EOMONTH(B10,0))</f>
        <v>31</v>
      </c>
      <c r="J10" s="29" t="s">
        <v>9</v>
      </c>
      <c r="K10" s="30">
        <v>1</v>
      </c>
      <c r="L10" s="31">
        <v>0</v>
      </c>
      <c r="M10" s="1">
        <v>1</v>
      </c>
      <c r="N10" s="1">
        <v>-1</v>
      </c>
      <c r="O10" s="1">
        <v>-1</v>
      </c>
      <c r="P10" s="46">
        <v>5.7329001814654834E-2</v>
      </c>
      <c r="Q10" s="46">
        <v>4.3902655814136438E-3</v>
      </c>
      <c r="R10" s="46">
        <v>-1.315162619732746E-2</v>
      </c>
      <c r="S10" s="46">
        <v>-2.2000000000000028</v>
      </c>
      <c r="T10" s="46">
        <v>2.7999999999999972</v>
      </c>
      <c r="U10" s="46">
        <v>7.7999999999999972</v>
      </c>
      <c r="V10" s="46">
        <v>2.2573290018146577</v>
      </c>
      <c r="W10" s="46">
        <v>-7.7956097344185835</v>
      </c>
      <c r="X10" s="46">
        <v>-7.8131516261973246</v>
      </c>
      <c r="Y10" s="46">
        <v>8.288794759763185E-2</v>
      </c>
      <c r="Z10" s="46">
        <v>-2.9503836264765937E-2</v>
      </c>
      <c r="AA10" s="46">
        <v>-3.0729120332750881E-4</v>
      </c>
      <c r="AB10" s="46">
        <v>6.6437529302214582E-3</v>
      </c>
      <c r="AC10" s="46">
        <v>2.1938877898826092E-3</v>
      </c>
      <c r="AD10" s="46">
        <v>-7.5140307882648472E-4</v>
      </c>
      <c r="AE10" s="46">
        <v>9.9293531548028113E-2</v>
      </c>
      <c r="AF10" s="46">
        <v>4.326060782489094E-2</v>
      </c>
      <c r="AG10" s="46">
        <v>3.801403636316536E-8</v>
      </c>
    </row>
    <row r="11" spans="1:42" x14ac:dyDescent="0.35">
      <c r="A11" s="19">
        <v>43862</v>
      </c>
      <c r="B11" s="20">
        <f t="shared" ref="B11:B21" si="1">WORKDAY(A11,-7)</f>
        <v>43853</v>
      </c>
      <c r="C11" s="35">
        <v>45.75</v>
      </c>
      <c r="D11" s="42">
        <v>45</v>
      </c>
      <c r="E11" s="42">
        <v>40</v>
      </c>
      <c r="F11" s="42">
        <v>35</v>
      </c>
      <c r="G11" s="40">
        <f>20%+(G10-20%)*0.95</f>
        <v>0.34249999999999997</v>
      </c>
      <c r="H11" s="23">
        <f t="shared" ref="H11:H21" si="2">(B11-$B$3)/365</f>
        <v>0.11506849315068493</v>
      </c>
      <c r="I11" s="28">
        <f t="shared" si="0"/>
        <v>31</v>
      </c>
      <c r="J11" s="29" t="s">
        <v>9</v>
      </c>
      <c r="K11" s="30">
        <v>1</v>
      </c>
      <c r="L11" s="31">
        <v>0</v>
      </c>
      <c r="M11" s="1">
        <v>1</v>
      </c>
      <c r="N11" s="1">
        <v>-1</v>
      </c>
      <c r="O11" s="1">
        <v>-1</v>
      </c>
      <c r="P11" s="46">
        <v>1.6230423494048836</v>
      </c>
      <c r="Q11" s="46">
        <v>-2.2051447333048202E-2</v>
      </c>
      <c r="R11" s="46">
        <v>-5.1346843090065875E-2</v>
      </c>
      <c r="S11" s="46">
        <v>0.75</v>
      </c>
      <c r="T11" s="46">
        <v>5.75</v>
      </c>
      <c r="U11" s="46">
        <v>10.75</v>
      </c>
      <c r="V11" s="46">
        <v>0.87304234940488357</v>
      </c>
      <c r="W11" s="46">
        <v>-10.772051447333048</v>
      </c>
      <c r="X11" s="46">
        <v>-10.801346843090066</v>
      </c>
      <c r="Y11" s="46">
        <v>0.60135141927784019</v>
      </c>
      <c r="Z11" s="46">
        <v>-2.5338487979453816E-2</v>
      </c>
      <c r="AA11" s="46">
        <v>-1.1678648558444138E-3</v>
      </c>
      <c r="AB11" s="46">
        <v>3.3559239965665455E-2</v>
      </c>
      <c r="AC11" s="46">
        <v>2.2972475929456948E-3</v>
      </c>
      <c r="AD11" s="46">
        <v>-2.9809452195550534E-3</v>
      </c>
      <c r="AE11" s="46">
        <v>0.12262033596499577</v>
      </c>
      <c r="AF11" s="46">
        <v>1.8101313727925117E-2</v>
      </c>
      <c r="AG11" s="46">
        <v>5.9117937212249672E-5</v>
      </c>
    </row>
    <row r="12" spans="1:42" x14ac:dyDescent="0.35">
      <c r="A12" s="19">
        <v>43891</v>
      </c>
      <c r="B12" s="20">
        <f t="shared" si="1"/>
        <v>43881</v>
      </c>
      <c r="C12" s="35">
        <v>41.9</v>
      </c>
      <c r="D12" s="42">
        <v>45</v>
      </c>
      <c r="E12" s="42">
        <v>40</v>
      </c>
      <c r="F12" s="42">
        <v>35</v>
      </c>
      <c r="G12" s="40">
        <f t="shared" ref="G12:G21" si="3">20%+(G11-20%)*0.95</f>
        <v>0.33537499999999998</v>
      </c>
      <c r="H12" s="23">
        <f t="shared" si="2"/>
        <v>0.19178082191780821</v>
      </c>
      <c r="I12" s="28">
        <f t="shared" si="0"/>
        <v>29</v>
      </c>
      <c r="J12" s="29" t="s">
        <v>9</v>
      </c>
      <c r="K12" s="30">
        <v>1</v>
      </c>
      <c r="L12" s="31">
        <v>0</v>
      </c>
      <c r="M12" s="1">
        <v>1</v>
      </c>
      <c r="N12" s="1">
        <v>-1</v>
      </c>
      <c r="O12" s="1">
        <v>-1</v>
      </c>
      <c r="P12" s="46">
        <v>0.42136837983376019</v>
      </c>
      <c r="Q12" s="46">
        <v>0.61423486081020684</v>
      </c>
      <c r="R12" s="46">
        <v>-5.0352565548806183E-2</v>
      </c>
      <c r="S12" s="46">
        <v>-3.1000000000000014</v>
      </c>
      <c r="T12" s="46">
        <v>1.8999999999999986</v>
      </c>
      <c r="U12" s="46">
        <v>6.8999999999999986</v>
      </c>
      <c r="V12" s="46">
        <v>3.5213683798337616</v>
      </c>
      <c r="W12" s="46">
        <v>-6.2857651391897917</v>
      </c>
      <c r="X12" s="46">
        <v>-6.9503525655488048</v>
      </c>
      <c r="Y12" s="46">
        <v>0.21213925456393667</v>
      </c>
      <c r="Z12" s="46">
        <v>-0.29026209087810173</v>
      </c>
      <c r="AA12" s="46">
        <v>-2.0005096526887201E-2</v>
      </c>
      <c r="AB12" s="46">
        <v>3.0524190664332984E-2</v>
      </c>
      <c r="AC12" s="46">
        <v>3.388384216474094E-2</v>
      </c>
      <c r="AD12" s="46">
        <v>4.6530126588351095E-4</v>
      </c>
      <c r="AE12" s="46">
        <v>7.948608288899095E-2</v>
      </c>
      <c r="AF12" s="46">
        <v>9.3596090451342207E-2</v>
      </c>
      <c r="AG12" s="46">
        <v>1.2264047342114281E-2</v>
      </c>
    </row>
    <row r="13" spans="1:42" x14ac:dyDescent="0.35">
      <c r="A13" s="19">
        <v>43922</v>
      </c>
      <c r="B13" s="20">
        <f t="shared" si="1"/>
        <v>43913</v>
      </c>
      <c r="C13" s="35">
        <v>39.75</v>
      </c>
      <c r="D13" s="42">
        <v>45</v>
      </c>
      <c r="E13" s="42">
        <v>40</v>
      </c>
      <c r="F13" s="42">
        <v>35</v>
      </c>
      <c r="G13" s="40">
        <f t="shared" si="3"/>
        <v>0.32860624999999999</v>
      </c>
      <c r="H13" s="23">
        <f t="shared" si="2"/>
        <v>0.27945205479452057</v>
      </c>
      <c r="I13" s="28">
        <f t="shared" si="0"/>
        <v>31</v>
      </c>
      <c r="J13" s="29" t="s">
        <v>9</v>
      </c>
      <c r="K13" s="30">
        <v>1</v>
      </c>
      <c r="L13" s="31">
        <v>0</v>
      </c>
      <c r="M13" s="1">
        <v>1</v>
      </c>
      <c r="N13" s="1">
        <v>-1</v>
      </c>
      <c r="O13" s="1">
        <v>-1</v>
      </c>
      <c r="P13" s="46">
        <v>0.22757480237186467</v>
      </c>
      <c r="Q13" s="46">
        <v>1.7123136288191674</v>
      </c>
      <c r="R13" s="46">
        <v>0.10844618062191103</v>
      </c>
      <c r="S13" s="46">
        <v>-5.25</v>
      </c>
      <c r="T13" s="46">
        <v>-0.25</v>
      </c>
      <c r="U13" s="46">
        <v>4.75</v>
      </c>
      <c r="V13" s="46">
        <v>5.4775748023718647</v>
      </c>
      <c r="W13" s="46">
        <v>-3.0376863711808326</v>
      </c>
      <c r="X13" s="46">
        <v>-4.641553819378089</v>
      </c>
      <c r="Y13" s="46">
        <v>0.11853823069816194</v>
      </c>
      <c r="Z13" s="46">
        <v>-0.51483621884216291</v>
      </c>
      <c r="AA13" s="46">
        <v>-0.10503087255138155</v>
      </c>
      <c r="AB13" s="46">
        <v>2.3893530461567281E-2</v>
      </c>
      <c r="AC13" s="46">
        <v>4.6467011567731475E-2</v>
      </c>
      <c r="AD13" s="46">
        <v>1.6743324099230961E-2</v>
      </c>
      <c r="AE13" s="46">
        <v>4.8536215393468751E-2</v>
      </c>
      <c r="AF13" s="46">
        <v>9.7407252610537398E-2</v>
      </c>
      <c r="AG13" s="46">
        <v>4.3740281014947868E-2</v>
      </c>
    </row>
    <row r="14" spans="1:42" x14ac:dyDescent="0.35">
      <c r="A14" s="19">
        <v>43952</v>
      </c>
      <c r="B14" s="20">
        <f t="shared" si="1"/>
        <v>43943</v>
      </c>
      <c r="C14" s="35">
        <v>39.75</v>
      </c>
      <c r="D14" s="42">
        <v>45</v>
      </c>
      <c r="E14" s="42">
        <v>40</v>
      </c>
      <c r="F14" s="42">
        <v>35</v>
      </c>
      <c r="G14" s="40">
        <f t="shared" si="3"/>
        <v>0.32217593749999995</v>
      </c>
      <c r="H14" s="23">
        <f t="shared" si="2"/>
        <v>0.36164383561643837</v>
      </c>
      <c r="I14" s="28">
        <f t="shared" si="0"/>
        <v>30</v>
      </c>
      <c r="J14" s="29" t="s">
        <v>9</v>
      </c>
      <c r="K14" s="30">
        <v>1</v>
      </c>
      <c r="L14" s="31">
        <v>0</v>
      </c>
      <c r="M14" s="1">
        <v>1</v>
      </c>
      <c r="N14" s="1">
        <v>-1</v>
      </c>
      <c r="O14" s="1">
        <v>-1</v>
      </c>
      <c r="P14" s="46">
        <v>0.32584188983005902</v>
      </c>
      <c r="Q14" s="46">
        <v>1.8891281152612152</v>
      </c>
      <c r="R14" s="46">
        <v>0.17880015286263529</v>
      </c>
      <c r="S14" s="46">
        <v>-5.25</v>
      </c>
      <c r="T14" s="46">
        <v>-0.25</v>
      </c>
      <c r="U14" s="46">
        <v>4.75</v>
      </c>
      <c r="V14" s="46">
        <v>5.575841889830059</v>
      </c>
      <c r="W14" s="46">
        <v>-2.8608718847387848</v>
      </c>
      <c r="X14" s="46">
        <v>-4.5711998471373647</v>
      </c>
      <c r="Y14" s="46">
        <v>0.14596197057650251</v>
      </c>
      <c r="Z14" s="46">
        <v>-0.51134668072521094</v>
      </c>
      <c r="AA14" s="46">
        <v>-0.12985537021705795</v>
      </c>
      <c r="AB14" s="46">
        <v>3.1214816806645729E-2</v>
      </c>
      <c r="AC14" s="46">
        <v>5.247247768108565E-2</v>
      </c>
      <c r="AD14" s="46">
        <v>2.2653800826464732E-2</v>
      </c>
      <c r="AE14" s="46">
        <v>5.0182593946956899E-2</v>
      </c>
      <c r="AF14" s="46">
        <v>8.723719474801328E-2</v>
      </c>
      <c r="AG14" s="46">
        <v>4.5561966004470378E-2</v>
      </c>
    </row>
    <row r="15" spans="1:42" x14ac:dyDescent="0.35">
      <c r="A15" s="19">
        <v>43983</v>
      </c>
      <c r="B15" s="20">
        <f t="shared" si="1"/>
        <v>43972</v>
      </c>
      <c r="C15" s="35">
        <v>39.75</v>
      </c>
      <c r="D15" s="42">
        <v>45</v>
      </c>
      <c r="E15" s="42">
        <v>40</v>
      </c>
      <c r="F15" s="42">
        <v>35</v>
      </c>
      <c r="G15" s="40">
        <f>20%+(G14-20%)*0.95</f>
        <v>0.31606714062499996</v>
      </c>
      <c r="H15" s="23">
        <f t="shared" si="2"/>
        <v>0.44109589041095892</v>
      </c>
      <c r="I15" s="28">
        <f t="shared" si="0"/>
        <v>31</v>
      </c>
      <c r="J15" s="29" t="s">
        <v>9</v>
      </c>
      <c r="K15" s="30">
        <v>1</v>
      </c>
      <c r="L15" s="31">
        <v>0</v>
      </c>
      <c r="M15" s="1">
        <v>1</v>
      </c>
      <c r="N15" s="1">
        <v>-1</v>
      </c>
      <c r="O15" s="1">
        <v>-1</v>
      </c>
      <c r="P15" s="46">
        <v>0.41249689718847637</v>
      </c>
      <c r="Q15" s="46">
        <v>2.0281944073519256</v>
      </c>
      <c r="R15" s="46">
        <v>0.24214312212140499</v>
      </c>
      <c r="S15" s="46">
        <v>-5.25</v>
      </c>
      <c r="T15" s="46">
        <v>-0.25</v>
      </c>
      <c r="U15" s="46">
        <v>4.75</v>
      </c>
      <c r="V15" s="46">
        <v>5.6624968971884764</v>
      </c>
      <c r="W15" s="46">
        <v>-2.7218055926480744</v>
      </c>
      <c r="X15" s="46">
        <v>-4.507856877878595</v>
      </c>
      <c r="Y15" s="46">
        <v>0.16618115499764663</v>
      </c>
      <c r="Z15" s="46">
        <v>-0.50898610340723849</v>
      </c>
      <c r="AA15" s="46">
        <v>-0.14820552750869354</v>
      </c>
      <c r="AB15" s="46">
        <v>3.7331676084806364E-2</v>
      </c>
      <c r="AC15" s="46">
        <v>5.7507431969668232E-2</v>
      </c>
      <c r="AD15" s="46">
        <v>2.7590340321957285E-2</v>
      </c>
      <c r="AE15" s="46">
        <v>5.0478575319701235E-2</v>
      </c>
      <c r="AF15" s="46">
        <v>8.0548139891334358E-2</v>
      </c>
      <c r="AG15" s="46">
        <v>4.6042046975003359E-2</v>
      </c>
    </row>
    <row r="16" spans="1:42" x14ac:dyDescent="0.35">
      <c r="A16" s="19">
        <v>44013</v>
      </c>
      <c r="B16" s="20">
        <f t="shared" si="1"/>
        <v>44004</v>
      </c>
      <c r="C16" s="35">
        <v>43.1</v>
      </c>
      <c r="D16" s="42">
        <v>45</v>
      </c>
      <c r="E16" s="42">
        <v>40</v>
      </c>
      <c r="F16" s="42">
        <v>35</v>
      </c>
      <c r="G16" s="40">
        <f t="shared" si="3"/>
        <v>0.31026378359374995</v>
      </c>
      <c r="H16" s="23">
        <f t="shared" si="2"/>
        <v>0.52876712328767128</v>
      </c>
      <c r="I16" s="28">
        <f t="shared" si="0"/>
        <v>30</v>
      </c>
      <c r="J16" s="29" t="s">
        <v>9</v>
      </c>
      <c r="K16" s="30">
        <v>1</v>
      </c>
      <c r="L16" s="31">
        <v>0</v>
      </c>
      <c r="M16" s="1">
        <v>1</v>
      </c>
      <c r="N16" s="1">
        <v>-1</v>
      </c>
      <c r="O16" s="1">
        <v>-1</v>
      </c>
      <c r="P16" s="46">
        <v>1.4440396159920823</v>
      </c>
      <c r="Q16" s="46">
        <v>0.86475992699529769</v>
      </c>
      <c r="R16" s="46">
        <v>-4.0075602279053157E-2</v>
      </c>
      <c r="S16" s="46">
        <v>-1.8999999999999986</v>
      </c>
      <c r="T16" s="46">
        <v>3.1000000000000014</v>
      </c>
      <c r="U16" s="46">
        <v>8.1000000000000014</v>
      </c>
      <c r="V16" s="46">
        <v>3.3440396159920809</v>
      </c>
      <c r="W16" s="46">
        <v>-7.2352400730047037</v>
      </c>
      <c r="X16" s="46">
        <v>-8.1400756022790546</v>
      </c>
      <c r="Y16" s="46">
        <v>0.38500026208350135</v>
      </c>
      <c r="Z16" s="46">
        <v>-0.27928068014269058</v>
      </c>
      <c r="AA16" s="46">
        <v>-5.9431490886652227E-2</v>
      </c>
      <c r="AB16" s="46">
        <v>6.6145321889200304E-2</v>
      </c>
      <c r="AC16" s="46">
        <v>5.3263460005467778E-2</v>
      </c>
      <c r="AD16" s="46">
        <v>9.5967402273835489E-3</v>
      </c>
      <c r="AE16" s="46">
        <v>6.6230305044712168E-2</v>
      </c>
      <c r="AF16" s="46">
        <v>5.7867609015715971E-2</v>
      </c>
      <c r="AG16" s="46">
        <v>1.9371257167222211E-2</v>
      </c>
    </row>
    <row r="17" spans="1:33" x14ac:dyDescent="0.35">
      <c r="A17" s="19">
        <v>44044</v>
      </c>
      <c r="B17" s="20">
        <f t="shared" si="1"/>
        <v>44035</v>
      </c>
      <c r="C17" s="35">
        <v>43.1</v>
      </c>
      <c r="D17" s="42">
        <v>45</v>
      </c>
      <c r="E17" s="42">
        <v>40</v>
      </c>
      <c r="F17" s="42">
        <v>35</v>
      </c>
      <c r="G17" s="40">
        <f t="shared" si="3"/>
        <v>0.30475059441406244</v>
      </c>
      <c r="H17" s="23">
        <f t="shared" si="2"/>
        <v>0.61369863013698633</v>
      </c>
      <c r="I17" s="28">
        <f t="shared" si="0"/>
        <v>31</v>
      </c>
      <c r="J17" s="29" t="s">
        <v>9</v>
      </c>
      <c r="K17" s="30">
        <v>1</v>
      </c>
      <c r="L17" s="31">
        <v>0</v>
      </c>
      <c r="M17" s="1">
        <v>1</v>
      </c>
      <c r="N17" s="1">
        <v>-1</v>
      </c>
      <c r="O17" s="1">
        <v>-1</v>
      </c>
      <c r="P17" s="46">
        <v>1.5616166109280982</v>
      </c>
      <c r="Q17" s="46">
        <v>0.95989052819748366</v>
      </c>
      <c r="R17" s="46">
        <v>-2.1235199204603816E-2</v>
      </c>
      <c r="S17" s="46">
        <v>-1.8999999999999986</v>
      </c>
      <c r="T17" s="46">
        <v>3.1000000000000014</v>
      </c>
      <c r="U17" s="46">
        <v>8.1000000000000014</v>
      </c>
      <c r="V17" s="46">
        <v>3.4616166109280968</v>
      </c>
      <c r="W17" s="46">
        <v>-7.1401094718025178</v>
      </c>
      <c r="X17" s="46">
        <v>-8.1212351992046052</v>
      </c>
      <c r="Y17" s="46">
        <v>0.39224478050448042</v>
      </c>
      <c r="Z17" s="46">
        <v>-0.28916732332362471</v>
      </c>
      <c r="AA17" s="46">
        <v>-6.9735388186842329E-2</v>
      </c>
      <c r="AB17" s="46">
        <v>7.1193452287725556E-2</v>
      </c>
      <c r="AC17" s="46">
        <v>5.7998840780470573E-2</v>
      </c>
      <c r="AD17" s="46">
        <v>1.2795550201566641E-2</v>
      </c>
      <c r="AE17" s="46">
        <v>6.294672507678456E-2</v>
      </c>
      <c r="AF17" s="46">
        <v>5.5608659721428921E-2</v>
      </c>
      <c r="AG17" s="46">
        <v>2.0818030179725611E-2</v>
      </c>
    </row>
    <row r="18" spans="1:33" x14ac:dyDescent="0.35">
      <c r="A18" s="19">
        <v>44075</v>
      </c>
      <c r="B18" s="20">
        <f t="shared" si="1"/>
        <v>44064</v>
      </c>
      <c r="C18" s="35">
        <v>43.1</v>
      </c>
      <c r="D18" s="42">
        <v>45</v>
      </c>
      <c r="E18" s="42">
        <v>40</v>
      </c>
      <c r="F18" s="42">
        <v>35</v>
      </c>
      <c r="G18" s="40">
        <f t="shared" si="3"/>
        <v>0.29951306469335931</v>
      </c>
      <c r="H18" s="23">
        <f t="shared" si="2"/>
        <v>0.69315068493150689</v>
      </c>
      <c r="I18" s="28">
        <f t="shared" si="0"/>
        <v>31</v>
      </c>
      <c r="J18" s="29" t="s">
        <v>9</v>
      </c>
      <c r="K18" s="30">
        <v>1</v>
      </c>
      <c r="L18" s="31">
        <v>0</v>
      </c>
      <c r="M18" s="1">
        <v>1</v>
      </c>
      <c r="N18" s="1">
        <v>-1</v>
      </c>
      <c r="O18" s="1">
        <v>-1</v>
      </c>
      <c r="P18" s="46">
        <v>1.658135612258274</v>
      </c>
      <c r="Q18" s="46">
        <v>1.038861117693493</v>
      </c>
      <c r="R18" s="46">
        <v>-2.5412537741473784E-3</v>
      </c>
      <c r="S18" s="46">
        <v>-1.8999999999999986</v>
      </c>
      <c r="T18" s="46">
        <v>3.1000000000000014</v>
      </c>
      <c r="U18" s="46">
        <v>8.1000000000000014</v>
      </c>
      <c r="V18" s="46">
        <v>3.5581356122582726</v>
      </c>
      <c r="W18" s="46">
        <v>-7.0611388823065084</v>
      </c>
      <c r="X18" s="46">
        <v>-8.1025412537741488</v>
      </c>
      <c r="Y18" s="46">
        <v>0.39770004854116081</v>
      </c>
      <c r="Z18" s="46">
        <v>-0.29657728555676499</v>
      </c>
      <c r="AA18" s="46">
        <v>-7.824688219884024E-2</v>
      </c>
      <c r="AB18" s="46">
        <v>7.560842574816995E-2</v>
      </c>
      <c r="AC18" s="46">
        <v>6.2104427066930867E-2</v>
      </c>
      <c r="AD18" s="46">
        <v>1.5668883894925045E-2</v>
      </c>
      <c r="AE18" s="46">
        <v>6.0470318246075294E-2</v>
      </c>
      <c r="AF18" s="46">
        <v>5.3837298565895253E-2</v>
      </c>
      <c r="AG18" s="46">
        <v>2.1812036550272751E-2</v>
      </c>
    </row>
    <row r="19" spans="1:33" x14ac:dyDescent="0.35">
      <c r="A19" s="19">
        <v>44105</v>
      </c>
      <c r="B19" s="20">
        <f t="shared" si="1"/>
        <v>44096</v>
      </c>
      <c r="C19" s="35">
        <v>48.75</v>
      </c>
      <c r="D19" s="42">
        <v>45</v>
      </c>
      <c r="E19" s="42">
        <v>40</v>
      </c>
      <c r="F19" s="42">
        <v>35</v>
      </c>
      <c r="G19" s="40">
        <f t="shared" si="3"/>
        <v>0.29453741145869133</v>
      </c>
      <c r="H19" s="23">
        <f t="shared" si="2"/>
        <v>0.78082191780821919</v>
      </c>
      <c r="I19" s="28">
        <f t="shared" si="0"/>
        <v>30</v>
      </c>
      <c r="J19" s="29" t="s">
        <v>9</v>
      </c>
      <c r="K19" s="30">
        <v>1</v>
      </c>
      <c r="L19" s="31">
        <v>0</v>
      </c>
      <c r="M19" s="1">
        <v>1</v>
      </c>
      <c r="N19" s="1">
        <v>-1</v>
      </c>
      <c r="O19" s="1">
        <v>-1</v>
      </c>
      <c r="P19" s="46">
        <v>4.9344235403491901</v>
      </c>
      <c r="Q19" s="46">
        <v>6.9827590650938021E-2</v>
      </c>
      <c r="R19" s="46">
        <v>-0.23481614705019638</v>
      </c>
      <c r="S19" s="46">
        <v>3.75</v>
      </c>
      <c r="T19" s="46">
        <v>8.75</v>
      </c>
      <c r="U19" s="46">
        <v>13.75</v>
      </c>
      <c r="V19" s="46">
        <v>1.1844235403491901</v>
      </c>
      <c r="W19" s="46">
        <v>-13.680172409349062</v>
      </c>
      <c r="X19" s="46">
        <v>-13.984816147050196</v>
      </c>
      <c r="Y19" s="46">
        <v>0.70828998248693154</v>
      </c>
      <c r="Z19" s="46">
        <v>-9.7712778876157813E-2</v>
      </c>
      <c r="AA19" s="46">
        <v>-1.9738216865050617E-2</v>
      </c>
      <c r="AB19" s="46">
        <v>7.3211901952319636E-2</v>
      </c>
      <c r="AC19" s="46">
        <v>2.518688555623072E-2</v>
      </c>
      <c r="AD19" s="46">
        <v>-9.1277099840105791E-3</v>
      </c>
      <c r="AE19" s="46">
        <v>4.516469509496801E-2</v>
      </c>
      <c r="AF19" s="46">
        <v>2.1967443828430078E-2</v>
      </c>
      <c r="AG19" s="46">
        <v>4.7830513949520537E-3</v>
      </c>
    </row>
    <row r="20" spans="1:33" x14ac:dyDescent="0.35">
      <c r="A20" s="19">
        <v>44136</v>
      </c>
      <c r="B20" s="20">
        <f t="shared" si="1"/>
        <v>44126</v>
      </c>
      <c r="C20" s="35">
        <v>48.75</v>
      </c>
      <c r="D20" s="42">
        <v>45</v>
      </c>
      <c r="E20" s="42">
        <v>40</v>
      </c>
      <c r="F20" s="42">
        <v>35</v>
      </c>
      <c r="G20" s="40">
        <f t="shared" si="3"/>
        <v>0.28981054088575675</v>
      </c>
      <c r="H20" s="23">
        <f t="shared" si="2"/>
        <v>0.86301369863013699</v>
      </c>
      <c r="I20" s="28">
        <f t="shared" si="0"/>
        <v>31</v>
      </c>
      <c r="J20" s="29" t="s">
        <v>9</v>
      </c>
      <c r="K20" s="30">
        <v>1</v>
      </c>
      <c r="L20" s="31">
        <v>0</v>
      </c>
      <c r="M20" s="1">
        <v>1</v>
      </c>
      <c r="N20" s="1">
        <v>-1</v>
      </c>
      <c r="O20" s="1">
        <v>-1</v>
      </c>
      <c r="P20" s="46">
        <v>5.0068095489748217</v>
      </c>
      <c r="Q20" s="46">
        <v>9.5278325206741954E-2</v>
      </c>
      <c r="R20" s="46">
        <v>-0.2439037006482323</v>
      </c>
      <c r="S20" s="46">
        <v>3.75</v>
      </c>
      <c r="T20" s="46">
        <v>8.75</v>
      </c>
      <c r="U20" s="46">
        <v>13.75</v>
      </c>
      <c r="V20" s="46">
        <v>1.2568095489748217</v>
      </c>
      <c r="W20" s="46">
        <v>-13.654721674793258</v>
      </c>
      <c r="X20" s="46">
        <v>-13.993903700648232</v>
      </c>
      <c r="Y20" s="46">
        <v>0.70269444504909018</v>
      </c>
      <c r="Z20" s="46">
        <v>-0.10492664832746357</v>
      </c>
      <c r="AA20" s="46">
        <v>-2.2785479815823351E-2</v>
      </c>
      <c r="AB20" s="46">
        <v>7.728174828510781E-2</v>
      </c>
      <c r="AC20" s="46">
        <v>2.835587202293155E-2</v>
      </c>
      <c r="AD20" s="46">
        <v>-8.6745858626535721E-3</v>
      </c>
      <c r="AE20" s="46">
        <v>4.4056159111960369E-2</v>
      </c>
      <c r="AF20" s="46">
        <v>2.2396810308578097E-2</v>
      </c>
      <c r="AG20" s="46">
        <v>5.364675317309775E-3</v>
      </c>
    </row>
    <row r="21" spans="1:33" x14ac:dyDescent="0.35">
      <c r="A21" s="19">
        <v>44166</v>
      </c>
      <c r="B21" s="20">
        <f t="shared" si="1"/>
        <v>44155</v>
      </c>
      <c r="C21" s="35">
        <v>48.75</v>
      </c>
      <c r="D21" s="42">
        <v>45</v>
      </c>
      <c r="E21" s="42">
        <v>40</v>
      </c>
      <c r="F21" s="42">
        <v>35</v>
      </c>
      <c r="G21" s="40">
        <f t="shared" si="3"/>
        <v>0.28532001384146888</v>
      </c>
      <c r="H21" s="23">
        <f t="shared" si="2"/>
        <v>0.94246575342465755</v>
      </c>
      <c r="I21" s="28">
        <f t="shared" si="0"/>
        <v>30</v>
      </c>
      <c r="J21" s="29" t="s">
        <v>9</v>
      </c>
      <c r="K21" s="30">
        <v>1</v>
      </c>
      <c r="L21" s="31">
        <v>0</v>
      </c>
      <c r="M21" s="1">
        <v>1</v>
      </c>
      <c r="N21" s="1">
        <v>-1</v>
      </c>
      <c r="O21" s="1">
        <v>-1</v>
      </c>
      <c r="P21" s="46">
        <v>5.0736811380351483</v>
      </c>
      <c r="Q21" s="46">
        <v>0.12082194878772867</v>
      </c>
      <c r="R21" s="46">
        <v>-0.25047390073603282</v>
      </c>
      <c r="S21" s="46">
        <v>3.75</v>
      </c>
      <c r="T21" s="46">
        <v>8.75</v>
      </c>
      <c r="U21" s="46">
        <v>13.75</v>
      </c>
      <c r="V21" s="46">
        <v>1.3236811380351483</v>
      </c>
      <c r="W21" s="46">
        <v>-13.629178051212271</v>
      </c>
      <c r="X21" s="46">
        <v>-14.000473900736033</v>
      </c>
      <c r="Y21" s="46">
        <v>0.69792889072868292</v>
      </c>
      <c r="Z21" s="46">
        <v>-0.11136396123490044</v>
      </c>
      <c r="AA21" s="46">
        <v>-2.5725743047289029E-2</v>
      </c>
      <c r="AB21" s="46">
        <v>8.1158379512221046E-2</v>
      </c>
      <c r="AC21" s="46">
        <v>3.1418525898345706E-2</v>
      </c>
      <c r="AD21" s="46">
        <v>-8.071403076343131E-3</v>
      </c>
      <c r="AE21" s="46">
        <v>4.3077213440767537E-2</v>
      </c>
      <c r="AF21" s="46">
        <v>2.2715209979651263E-2</v>
      </c>
      <c r="AG21" s="46">
        <v>5.8884544529291816E-3</v>
      </c>
    </row>
    <row r="22" spans="1:33" x14ac:dyDescent="0.35">
      <c r="A22" s="19"/>
      <c r="B22" s="20"/>
      <c r="C22" s="21"/>
      <c r="D22" s="21"/>
      <c r="E22" s="21"/>
      <c r="F22" s="21"/>
      <c r="G22" s="21"/>
      <c r="H22" s="21"/>
      <c r="I22" s="21"/>
      <c r="J22" s="22"/>
      <c r="K22" s="22"/>
      <c r="L22" s="22"/>
      <c r="M22" s="23"/>
      <c r="N22" s="23"/>
      <c r="O22" s="23"/>
      <c r="P22" s="18"/>
      <c r="Q22" s="18"/>
      <c r="R22" s="18"/>
      <c r="S22" s="24"/>
      <c r="T22" s="24"/>
      <c r="U22" s="24"/>
      <c r="V22" s="25"/>
      <c r="W22" s="25"/>
      <c r="X22" s="25"/>
    </row>
    <row r="23" spans="1:33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</row>
  </sheetData>
  <phoneticPr fontId="7" type="noConversion"/>
  <dataValidations count="1">
    <dataValidation type="list" allowBlank="1" showInputMessage="1" showErrorMessage="1" sqref="J10:J21" xr:uid="{01E61A51-BC31-4FD2-8C44-C7F015F763DC}">
      <formula1>$K$5:$K$7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D0D0A-0E33-434B-8A60-147191C2C185}">
  <sheetPr codeName="Sheet4"/>
  <dimension ref="A1:AH25"/>
  <sheetViews>
    <sheetView tabSelected="1" topLeftCell="N1" zoomScale="55" zoomScaleNormal="55" workbookViewId="0">
      <selection activeCell="P24" sqref="P24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30.81640625" style="1" bestFit="1" customWidth="1"/>
    <col min="12" max="12" width="6.453125" style="1" bestFit="1" customWidth="1"/>
    <col min="13" max="13" width="15.08984375" style="1" bestFit="1" customWidth="1"/>
    <col min="14" max="14" width="20.54296875" style="1" bestFit="1" customWidth="1"/>
    <col min="15" max="15" width="23.26953125" style="1" bestFit="1" customWidth="1"/>
    <col min="16" max="16" width="18.26953125" style="1" bestFit="1" customWidth="1"/>
    <col min="17" max="17" width="11" style="1" bestFit="1" customWidth="1"/>
    <col min="18" max="18" width="9.90625" style="1" customWidth="1"/>
    <col min="19" max="19" width="11.90625" style="1" bestFit="1" customWidth="1"/>
    <col min="20" max="20" width="12.6328125" style="1" bestFit="1" customWidth="1"/>
    <col min="21" max="21" width="13.7265625" style="1" bestFit="1" customWidth="1"/>
    <col min="22" max="22" width="14.1796875" style="1" bestFit="1" customWidth="1"/>
    <col min="23" max="23" width="13.7265625" style="1" bestFit="1" customWidth="1"/>
    <col min="24" max="24" width="14.1796875" style="1" bestFit="1" customWidth="1"/>
    <col min="25" max="25" width="16.7265625" style="1" bestFit="1" customWidth="1"/>
    <col min="26" max="26" width="17.1796875" style="1" bestFit="1" customWidth="1"/>
    <col min="27" max="28" width="12.36328125" style="1" bestFit="1" customWidth="1"/>
    <col min="29" max="30" width="11.453125" style="1" bestFit="1" customWidth="1"/>
    <col min="31" max="32" width="12.6328125" style="1" bestFit="1" customWidth="1"/>
    <col min="33" max="33" width="16" style="1" bestFit="1" customWidth="1"/>
    <col min="34" max="16384" width="8.7265625" style="1"/>
  </cols>
  <sheetData>
    <row r="1" spans="1:34" ht="40" customHeight="1" x14ac:dyDescent="0.35"/>
    <row r="2" spans="1:34" ht="15" thickBot="1" x14ac:dyDescent="0.4"/>
    <row r="3" spans="1:34" ht="15" thickBot="1" x14ac:dyDescent="0.4">
      <c r="A3" s="2" t="s">
        <v>0</v>
      </c>
      <c r="B3" s="3">
        <f ca="1">TODAY()</f>
        <v>43945</v>
      </c>
      <c r="G3" s="4" t="s">
        <v>1</v>
      </c>
      <c r="H3" s="5"/>
      <c r="I3" s="5"/>
      <c r="J3" s="6">
        <f>1/1.9</f>
        <v>0.52631578947368418</v>
      </c>
      <c r="Q3" s="1" t="s">
        <v>71</v>
      </c>
    </row>
    <row r="4" spans="1:34" x14ac:dyDescent="0.35">
      <c r="G4" s="7" t="s">
        <v>2</v>
      </c>
      <c r="H4" s="8"/>
      <c r="I4" s="8"/>
      <c r="J4" s="9">
        <v>0.35099999999999998</v>
      </c>
      <c r="Q4" s="1" t="s">
        <v>72</v>
      </c>
      <c r="R4" s="45">
        <f>SUMPRODUCT(M10:M12,R10:R12)/SUM(M10:M12)</f>
        <v>3.5765369148738593</v>
      </c>
    </row>
    <row r="5" spans="1:34" x14ac:dyDescent="0.35">
      <c r="G5" s="7" t="s">
        <v>23</v>
      </c>
      <c r="H5" s="8"/>
      <c r="I5" s="8" t="s">
        <v>9</v>
      </c>
      <c r="J5" s="11">
        <v>1</v>
      </c>
      <c r="Q5" s="1" t="s">
        <v>72</v>
      </c>
      <c r="R5" s="45">
        <f>SUMPRODUCT(M13:M15,R13:R15)/SUM(M13:M15)</f>
        <v>3.9015752768051288</v>
      </c>
    </row>
    <row r="6" spans="1:34" x14ac:dyDescent="0.35">
      <c r="B6" s="10"/>
      <c r="G6" s="7" t="s">
        <v>3</v>
      </c>
      <c r="H6" s="8"/>
      <c r="I6" s="8" t="s">
        <v>4</v>
      </c>
      <c r="J6" s="11">
        <v>0.35</v>
      </c>
      <c r="Q6" s="1" t="s">
        <v>73</v>
      </c>
      <c r="R6" s="45">
        <f>SUMPRODUCT(M10:M15,R10:R15)/SUM(M10:M15)</f>
        <v>3.7399345778987683</v>
      </c>
    </row>
    <row r="7" spans="1:34" ht="15" thickBot="1" x14ac:dyDescent="0.4">
      <c r="G7" s="12" t="s">
        <v>5</v>
      </c>
      <c r="H7" s="13"/>
      <c r="I7" s="13" t="s">
        <v>6</v>
      </c>
      <c r="J7" s="14">
        <v>0.65</v>
      </c>
    </row>
    <row r="8" spans="1:3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  <c r="R8" s="1">
        <f>KirkModel(F10/J3+G10*J4,C10,H10,L10,P10,I10,J10,K10,Q10)</f>
        <v>0</v>
      </c>
    </row>
    <row r="9" spans="1:34" ht="14.5" customHeight="1" x14ac:dyDescent="0.35">
      <c r="A9" s="26" t="s">
        <v>7</v>
      </c>
      <c r="B9" s="26" t="s">
        <v>8</v>
      </c>
      <c r="C9" s="33" t="s">
        <v>13</v>
      </c>
      <c r="D9" s="34" t="s">
        <v>14</v>
      </c>
      <c r="E9" s="34" t="s">
        <v>15</v>
      </c>
      <c r="F9" s="34" t="s">
        <v>16</v>
      </c>
      <c r="G9" s="37" t="s">
        <v>17</v>
      </c>
      <c r="H9" s="37" t="s">
        <v>30</v>
      </c>
      <c r="I9" s="38" t="s">
        <v>74</v>
      </c>
      <c r="J9" s="34" t="s">
        <v>75</v>
      </c>
      <c r="K9" s="39" t="s">
        <v>11</v>
      </c>
      <c r="L9" s="17" t="s">
        <v>12</v>
      </c>
      <c r="M9" s="27" t="s">
        <v>18</v>
      </c>
      <c r="N9" s="27" t="s">
        <v>19</v>
      </c>
      <c r="O9" s="27" t="s">
        <v>20</v>
      </c>
      <c r="P9" s="27" t="s">
        <v>21</v>
      </c>
      <c r="Q9" s="27" t="s">
        <v>22</v>
      </c>
      <c r="R9" s="27" t="s">
        <v>24</v>
      </c>
      <c r="S9" s="27" t="s">
        <v>25</v>
      </c>
      <c r="T9" s="27" t="s">
        <v>26</v>
      </c>
      <c r="U9" s="27" t="s">
        <v>27</v>
      </c>
      <c r="V9" s="27" t="s">
        <v>76</v>
      </c>
      <c r="W9" s="27" t="s">
        <v>28</v>
      </c>
      <c r="X9" s="27" t="s">
        <v>77</v>
      </c>
      <c r="Y9" s="27" t="s">
        <v>29</v>
      </c>
      <c r="Z9" s="27" t="s">
        <v>78</v>
      </c>
      <c r="AA9" s="27" t="s">
        <v>39</v>
      </c>
      <c r="AB9" s="27" t="s">
        <v>36</v>
      </c>
      <c r="AC9" s="27" t="s">
        <v>38</v>
      </c>
      <c r="AD9" s="27" t="s">
        <v>38</v>
      </c>
      <c r="AE9" s="27" t="s">
        <v>37</v>
      </c>
      <c r="AF9" s="27" t="s">
        <v>40</v>
      </c>
      <c r="AG9" s="27" t="s">
        <v>45</v>
      </c>
      <c r="AH9" s="27" t="s">
        <v>80</v>
      </c>
    </row>
    <row r="10" spans="1:34" x14ac:dyDescent="0.35">
      <c r="A10" s="19">
        <v>44287</v>
      </c>
      <c r="B10" s="20">
        <v>44281</v>
      </c>
      <c r="C10" s="35">
        <v>34.35</v>
      </c>
      <c r="D10" s="36"/>
      <c r="E10" s="36">
        <f t="shared" ref="E10:E15" si="0">F10/$J$3+G10*$J$4</f>
        <v>30.771520000000002</v>
      </c>
      <c r="F10" s="36">
        <v>12.22</v>
      </c>
      <c r="G10" s="36">
        <v>21.52</v>
      </c>
      <c r="H10" s="42">
        <v>3.58</v>
      </c>
      <c r="I10" s="40">
        <v>0.4</v>
      </c>
      <c r="J10" s="40">
        <v>0.22</v>
      </c>
      <c r="K10" s="41">
        <v>0.7</v>
      </c>
      <c r="L10" s="23">
        <f t="shared" ref="L10:L15" ca="1" si="1">(B10-$B$3)/365</f>
        <v>0.92054794520547945</v>
      </c>
      <c r="M10" s="28">
        <f t="shared" ref="M10:M15" si="2">DAY(EOMONTH(B10,0))</f>
        <v>31</v>
      </c>
      <c r="N10" s="29" t="s">
        <v>9</v>
      </c>
      <c r="O10" s="30">
        <v>1</v>
      </c>
      <c r="P10" s="31">
        <v>0</v>
      </c>
      <c r="Q10" s="1">
        <v>-1</v>
      </c>
      <c r="R10" s="48">
        <v>3.4306102169813393</v>
      </c>
      <c r="S10" s="32">
        <v>-3.9750400000000008</v>
      </c>
      <c r="T10" s="32">
        <v>7.4056502169813401</v>
      </c>
      <c r="U10" s="32">
        <v>0.74494117943083438</v>
      </c>
      <c r="V10" s="32">
        <v>-0.64747927831039032</v>
      </c>
      <c r="W10" s="32">
        <v>7.2658663641869126</v>
      </c>
      <c r="X10" s="32">
        <v>-0.26063802478695014</v>
      </c>
      <c r="Y10" s="32">
        <v>0.74494117943083438</v>
      </c>
      <c r="Z10" s="32">
        <v>-0.64747927831039032</v>
      </c>
    </row>
    <row r="11" spans="1:34" x14ac:dyDescent="0.35">
      <c r="A11" s="19">
        <v>44317</v>
      </c>
      <c r="B11" s="20">
        <v>44313</v>
      </c>
      <c r="C11" s="35">
        <v>34.35</v>
      </c>
      <c r="D11" s="36"/>
      <c r="E11" s="36">
        <f t="shared" si="0"/>
        <v>30.771520000000002</v>
      </c>
      <c r="F11" s="36">
        <v>12.22</v>
      </c>
      <c r="G11" s="36">
        <v>21.52</v>
      </c>
      <c r="H11" s="42">
        <v>3.58</v>
      </c>
      <c r="I11" s="40">
        <v>0.4</v>
      </c>
      <c r="J11" s="40">
        <v>0.22</v>
      </c>
      <c r="K11" s="41">
        <v>0.7</v>
      </c>
      <c r="L11" s="23">
        <f t="shared" ca="1" si="1"/>
        <v>1.0082191780821919</v>
      </c>
      <c r="M11" s="28">
        <f t="shared" si="2"/>
        <v>30</v>
      </c>
      <c r="N11" s="29" t="s">
        <v>9</v>
      </c>
      <c r="O11" s="30">
        <v>1</v>
      </c>
      <c r="P11" s="31">
        <v>0</v>
      </c>
      <c r="Q11" s="1">
        <v>-1</v>
      </c>
      <c r="R11" s="48">
        <v>3.5848412820414133</v>
      </c>
      <c r="S11" s="32">
        <v>-3.9750400000000008</v>
      </c>
      <c r="T11" s="32">
        <v>7.5598812820414141</v>
      </c>
      <c r="U11" s="32">
        <v>0.74057078181831848</v>
      </c>
      <c r="V11" s="32">
        <v>-0.63768546776575186</v>
      </c>
      <c r="W11" s="32">
        <v>7.6676632060155292</v>
      </c>
      <c r="X11" s="32">
        <v>-0.27505086683164071</v>
      </c>
      <c r="Y11" s="32">
        <v>0.74057078181831848</v>
      </c>
      <c r="Z11" s="32">
        <v>-0.63768546776575186</v>
      </c>
    </row>
    <row r="12" spans="1:34" x14ac:dyDescent="0.35">
      <c r="A12" s="19">
        <v>44348</v>
      </c>
      <c r="B12" s="20">
        <v>44341</v>
      </c>
      <c r="C12" s="35">
        <v>34.35</v>
      </c>
      <c r="D12" s="36"/>
      <c r="E12" s="36">
        <f t="shared" si="0"/>
        <v>30.771520000000002</v>
      </c>
      <c r="F12" s="36">
        <v>12.22</v>
      </c>
      <c r="G12" s="36">
        <v>21.52</v>
      </c>
      <c r="H12" s="42">
        <v>3.58</v>
      </c>
      <c r="I12" s="40">
        <v>0.4</v>
      </c>
      <c r="J12" s="40">
        <v>0.22</v>
      </c>
      <c r="K12" s="41">
        <v>0.7</v>
      </c>
      <c r="L12" s="23">
        <f t="shared" ca="1" si="1"/>
        <v>1.0849315068493151</v>
      </c>
      <c r="M12" s="28">
        <f t="shared" si="2"/>
        <v>31</v>
      </c>
      <c r="N12" s="29" t="s">
        <v>9</v>
      </c>
      <c r="O12" s="30">
        <v>1</v>
      </c>
      <c r="P12" s="31">
        <v>0</v>
      </c>
      <c r="Q12" s="1">
        <v>-1</v>
      </c>
      <c r="R12" s="48">
        <v>3.7144271284106818</v>
      </c>
      <c r="S12" s="32">
        <v>-3.9750400000000008</v>
      </c>
      <c r="T12" s="32">
        <v>7.6894671284106826</v>
      </c>
      <c r="U12" s="32">
        <v>0.73731368141410125</v>
      </c>
      <c r="V12" s="32">
        <v>-0.62989712743581894</v>
      </c>
      <c r="W12" s="32">
        <v>8.0030516753017977</v>
      </c>
      <c r="X12" s="32">
        <v>-0.28708157729262496</v>
      </c>
      <c r="Y12" s="32">
        <v>0.73731368141410125</v>
      </c>
      <c r="Z12" s="32">
        <v>-0.62989712743581894</v>
      </c>
    </row>
    <row r="13" spans="1:34" x14ac:dyDescent="0.35">
      <c r="A13" s="19">
        <v>44378</v>
      </c>
      <c r="B13" s="20">
        <v>44341</v>
      </c>
      <c r="C13" s="35">
        <v>35.799999999999997</v>
      </c>
      <c r="D13" s="36"/>
      <c r="E13" s="36">
        <f t="shared" si="0"/>
        <v>30.600520000000003</v>
      </c>
      <c r="F13" s="36">
        <v>12.13</v>
      </c>
      <c r="G13" s="36">
        <v>21.52</v>
      </c>
      <c r="H13" s="42">
        <v>5.2</v>
      </c>
      <c r="I13" s="40">
        <v>0.4</v>
      </c>
      <c r="J13" s="40">
        <v>0.22</v>
      </c>
      <c r="K13" s="41">
        <v>0.7</v>
      </c>
      <c r="L13" s="23">
        <f t="shared" ca="1" si="1"/>
        <v>1.0849315068493151</v>
      </c>
      <c r="M13" s="28">
        <f t="shared" si="2"/>
        <v>31</v>
      </c>
      <c r="N13" s="29" t="s">
        <v>9</v>
      </c>
      <c r="O13" s="30">
        <v>1</v>
      </c>
      <c r="P13" s="31">
        <v>0</v>
      </c>
      <c r="Q13" s="1">
        <v>-1</v>
      </c>
      <c r="R13" s="48">
        <v>3.6794140479807211</v>
      </c>
      <c r="S13" s="32">
        <v>-2.3540400000000057</v>
      </c>
      <c r="T13" s="32">
        <v>6.0334540479807268</v>
      </c>
      <c r="U13" s="32">
        <v>0.67211481516016536</v>
      </c>
      <c r="V13" s="32">
        <v>-0.55673512246039292</v>
      </c>
      <c r="W13" s="32">
        <v>8.7048376015381734</v>
      </c>
      <c r="X13" s="32">
        <v>-0.29716691903093234</v>
      </c>
      <c r="Y13" s="32">
        <v>0.67211481516016536</v>
      </c>
      <c r="Z13" s="32">
        <v>-0.55673512246039292</v>
      </c>
    </row>
    <row r="14" spans="1:34" x14ac:dyDescent="0.35">
      <c r="A14" s="19">
        <v>44409</v>
      </c>
      <c r="B14" s="20">
        <v>44404</v>
      </c>
      <c r="C14" s="35">
        <v>35.799999999999997</v>
      </c>
      <c r="D14" s="36"/>
      <c r="E14" s="36">
        <f t="shared" si="0"/>
        <v>30.600520000000003</v>
      </c>
      <c r="F14" s="36">
        <v>12.13</v>
      </c>
      <c r="G14" s="36">
        <v>21.52</v>
      </c>
      <c r="H14" s="42">
        <v>5.2</v>
      </c>
      <c r="I14" s="40">
        <v>0.4</v>
      </c>
      <c r="J14" s="40">
        <v>0.22</v>
      </c>
      <c r="K14" s="41">
        <v>0.7</v>
      </c>
      <c r="L14" s="23">
        <f t="shared" ca="1" si="1"/>
        <v>1.2575342465753425</v>
      </c>
      <c r="M14" s="28">
        <f t="shared" si="2"/>
        <v>31</v>
      </c>
      <c r="N14" s="29" t="s">
        <v>9</v>
      </c>
      <c r="O14" s="30">
        <v>1</v>
      </c>
      <c r="P14" s="31">
        <v>0</v>
      </c>
      <c r="Q14" s="1">
        <v>-1</v>
      </c>
      <c r="R14" s="48">
        <v>3.9528744509011506</v>
      </c>
      <c r="S14" s="32">
        <v>-2.3540400000000057</v>
      </c>
      <c r="T14" s="32">
        <v>6.3069144509011563</v>
      </c>
      <c r="U14" s="32">
        <v>0.67043928688814292</v>
      </c>
      <c r="V14" s="32">
        <v>-0.54590838597423641</v>
      </c>
      <c r="W14" s="32">
        <v>9.3889579555535008</v>
      </c>
      <c r="X14" s="32">
        <v>-0.32052137558221971</v>
      </c>
      <c r="Y14" s="32">
        <v>0.67043928688814292</v>
      </c>
      <c r="Z14" s="32">
        <v>-0.54590838597423641</v>
      </c>
    </row>
    <row r="15" spans="1:34" x14ac:dyDescent="0.35">
      <c r="A15" s="19">
        <v>44440</v>
      </c>
      <c r="B15" s="20">
        <v>44433</v>
      </c>
      <c r="C15" s="35">
        <v>35.799999999999997</v>
      </c>
      <c r="D15" s="36"/>
      <c r="E15" s="36">
        <f t="shared" si="0"/>
        <v>30.600520000000003</v>
      </c>
      <c r="F15" s="36">
        <v>12.13</v>
      </c>
      <c r="G15" s="36">
        <v>21.52</v>
      </c>
      <c r="H15" s="42">
        <v>5.2</v>
      </c>
      <c r="I15" s="40">
        <v>0.4</v>
      </c>
      <c r="J15" s="40">
        <v>0.22</v>
      </c>
      <c r="K15" s="41">
        <v>0.7</v>
      </c>
      <c r="L15" s="23">
        <f t="shared" ca="1" si="1"/>
        <v>1.3369863013698631</v>
      </c>
      <c r="M15" s="28">
        <f t="shared" si="2"/>
        <v>31</v>
      </c>
      <c r="N15" s="29" t="s">
        <v>9</v>
      </c>
      <c r="O15" s="30">
        <v>1</v>
      </c>
      <c r="P15" s="31">
        <v>0</v>
      </c>
      <c r="Q15" s="1">
        <v>-1</v>
      </c>
      <c r="R15" s="48">
        <v>4.0724373315335143</v>
      </c>
      <c r="S15" s="32">
        <v>-2.3540400000000057</v>
      </c>
      <c r="T15" s="32">
        <v>6.42647733153352</v>
      </c>
      <c r="U15" s="32">
        <v>0.66998785050318743</v>
      </c>
      <c r="V15" s="32">
        <v>-0.54146773024991368</v>
      </c>
      <c r="W15" s="32">
        <v>9.6867751758127341</v>
      </c>
      <c r="X15" s="32">
        <v>-0.33068824367952421</v>
      </c>
      <c r="Y15" s="32">
        <v>0.66998785050318743</v>
      </c>
      <c r="Z15" s="32">
        <v>-0.54146773024991368</v>
      </c>
    </row>
    <row r="16" spans="1:34" x14ac:dyDescent="0.35">
      <c r="A16" s="19"/>
      <c r="B16" s="20"/>
      <c r="C16" s="35"/>
      <c r="D16" s="36"/>
      <c r="E16" s="36"/>
      <c r="F16" s="36"/>
      <c r="G16" s="36"/>
      <c r="H16" s="42"/>
      <c r="I16" s="40"/>
      <c r="J16" s="40"/>
      <c r="K16" s="41"/>
      <c r="L16" s="23"/>
      <c r="M16" s="28"/>
      <c r="N16" s="29"/>
      <c r="O16" s="30"/>
      <c r="P16" s="31"/>
      <c r="R16" s="32"/>
      <c r="S16" s="32"/>
      <c r="T16" s="32"/>
      <c r="U16" s="32"/>
      <c r="V16" s="32"/>
      <c r="W16" s="32"/>
      <c r="X16" s="32"/>
      <c r="Y16" s="32"/>
      <c r="Z16" s="32"/>
    </row>
    <row r="17" spans="1:26" x14ac:dyDescent="0.35">
      <c r="A17" s="19"/>
      <c r="B17" s="20"/>
      <c r="C17" s="35"/>
      <c r="D17" s="36"/>
      <c r="E17" s="36"/>
      <c r="F17" s="36"/>
      <c r="G17" s="36"/>
      <c r="H17" s="42"/>
      <c r="I17" s="40"/>
      <c r="J17" s="40"/>
      <c r="K17" s="41"/>
      <c r="L17" s="23"/>
      <c r="M17" s="28"/>
      <c r="N17" s="29"/>
      <c r="O17" s="30"/>
      <c r="P17" s="31"/>
      <c r="R17" s="32"/>
      <c r="S17" s="32"/>
      <c r="T17" s="32"/>
      <c r="U17" s="32"/>
      <c r="V17" s="32"/>
      <c r="W17" s="32"/>
      <c r="X17" s="32"/>
      <c r="Y17" s="32"/>
      <c r="Z17" s="32"/>
    </row>
    <row r="18" spans="1:26" x14ac:dyDescent="0.35">
      <c r="A18" s="19"/>
      <c r="B18" s="20"/>
      <c r="C18" s="35"/>
      <c r="D18" s="36"/>
      <c r="E18" s="36"/>
      <c r="F18" s="36"/>
      <c r="G18" s="36"/>
      <c r="H18" s="42"/>
      <c r="I18" s="40"/>
      <c r="J18" s="40"/>
      <c r="K18" s="41"/>
      <c r="L18" s="23"/>
      <c r="M18" s="28"/>
      <c r="N18" s="29"/>
      <c r="O18" s="30"/>
      <c r="P18" s="31"/>
      <c r="R18" s="32"/>
      <c r="S18" s="32"/>
      <c r="T18" s="32"/>
      <c r="U18" s="32"/>
      <c r="V18" s="32"/>
      <c r="W18" s="32"/>
      <c r="X18" s="32"/>
      <c r="Y18" s="32"/>
      <c r="Z18" s="32"/>
    </row>
    <row r="19" spans="1:26" x14ac:dyDescent="0.35">
      <c r="A19" s="19"/>
      <c r="B19" s="20"/>
      <c r="C19" s="35"/>
      <c r="D19" s="36"/>
      <c r="E19" s="36"/>
      <c r="F19" s="36"/>
      <c r="G19" s="36"/>
      <c r="H19" s="42"/>
      <c r="I19" s="40"/>
      <c r="J19" s="40"/>
      <c r="K19" s="41"/>
      <c r="L19" s="23"/>
      <c r="M19" s="28"/>
      <c r="N19" s="29"/>
      <c r="O19" s="30"/>
      <c r="P19" s="31"/>
      <c r="R19" s="32"/>
      <c r="S19" s="32"/>
      <c r="T19" s="32"/>
      <c r="U19" s="32"/>
      <c r="V19" s="32"/>
      <c r="W19" s="32"/>
      <c r="X19" s="32"/>
      <c r="Y19" s="32"/>
      <c r="Z19" s="32"/>
    </row>
    <row r="20" spans="1:26" x14ac:dyDescent="0.35">
      <c r="A20" s="19"/>
      <c r="B20" s="20"/>
      <c r="C20" s="35"/>
      <c r="D20" s="36"/>
      <c r="E20" s="36"/>
      <c r="F20" s="36"/>
      <c r="G20" s="36"/>
      <c r="H20" s="42"/>
      <c r="I20" s="40"/>
      <c r="J20" s="40"/>
      <c r="K20" s="41"/>
      <c r="L20" s="23"/>
      <c r="M20" s="49"/>
      <c r="N20" s="29"/>
      <c r="O20" s="50"/>
      <c r="P20" s="31"/>
      <c r="R20" s="32"/>
      <c r="S20" s="32"/>
      <c r="T20" s="32"/>
      <c r="U20" s="32"/>
      <c r="V20" s="32"/>
      <c r="W20" s="32"/>
      <c r="X20" s="32"/>
      <c r="Y20" s="32"/>
      <c r="Z20" s="32"/>
    </row>
    <row r="21" spans="1:26" x14ac:dyDescent="0.35">
      <c r="A21" s="19"/>
      <c r="B21" s="20"/>
      <c r="C21" s="35"/>
      <c r="D21" s="36"/>
      <c r="E21" s="36"/>
      <c r="F21" s="36"/>
      <c r="G21" s="36"/>
      <c r="H21" s="42"/>
      <c r="I21" s="40"/>
      <c r="J21" s="40"/>
      <c r="K21" s="41"/>
      <c r="L21" s="23"/>
      <c r="M21" s="49"/>
      <c r="N21" s="29"/>
      <c r="O21" s="50"/>
      <c r="P21" s="31"/>
      <c r="R21" s="32"/>
      <c r="S21" s="32"/>
      <c r="T21" s="32"/>
      <c r="U21" s="32"/>
      <c r="V21" s="32"/>
      <c r="W21" s="32"/>
      <c r="X21" s="32"/>
      <c r="Y21" s="32"/>
      <c r="Z21" s="32"/>
    </row>
    <row r="22" spans="1:26" x14ac:dyDescent="0.35">
      <c r="A22" s="19"/>
      <c r="B22" s="20"/>
      <c r="C22" s="21"/>
      <c r="D22" s="21"/>
      <c r="E22" s="21"/>
      <c r="F22" s="21"/>
      <c r="G22" s="21"/>
      <c r="H22" s="22"/>
      <c r="I22" s="22"/>
      <c r="J22" s="22"/>
      <c r="K22" s="23"/>
      <c r="L22" s="18"/>
      <c r="M22" s="47"/>
      <c r="N22" s="25"/>
      <c r="O22" s="50"/>
    </row>
    <row r="23" spans="1:26" x14ac:dyDescent="0.35"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47"/>
      <c r="O23" s="50"/>
    </row>
    <row r="24" spans="1:26" x14ac:dyDescent="0.35">
      <c r="M24" s="47"/>
      <c r="O24" s="50"/>
    </row>
    <row r="25" spans="1:26" x14ac:dyDescent="0.35">
      <c r="M25" s="47"/>
      <c r="O25" s="50"/>
    </row>
  </sheetData>
  <dataValidations count="1">
    <dataValidation type="list" allowBlank="1" showInputMessage="1" showErrorMessage="1" sqref="N10:N21" xr:uid="{B3206E77-3DCC-4FE9-9738-AE071B319A1F}">
      <formula1>$I$5:$I$7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5C8AC8-8ECD-4C11-9F0E-341A50587358}">
  <sheetPr codeName="Sheet6"/>
  <dimension ref="A1:AH376"/>
  <sheetViews>
    <sheetView topLeftCell="B338" zoomScale="55" zoomScaleNormal="55" workbookViewId="0">
      <selection activeCell="C10" sqref="C10:C376"/>
    </sheetView>
  </sheetViews>
  <sheetFormatPr defaultRowHeight="14.5" x14ac:dyDescent="0.35"/>
  <cols>
    <col min="1" max="6" width="14.453125" style="1" customWidth="1"/>
    <col min="7" max="10" width="15.1796875" style="1" customWidth="1"/>
    <col min="11" max="11" width="30.81640625" style="1" bestFit="1" customWidth="1"/>
    <col min="12" max="12" width="6.453125" style="1" bestFit="1" customWidth="1"/>
    <col min="13" max="13" width="15.08984375" style="1" bestFit="1" customWidth="1"/>
    <col min="14" max="14" width="20.54296875" style="1" bestFit="1" customWidth="1"/>
    <col min="15" max="15" width="23.26953125" style="1" bestFit="1" customWidth="1"/>
    <col min="16" max="16" width="18.26953125" style="1" bestFit="1" customWidth="1"/>
    <col min="17" max="17" width="11" style="1" bestFit="1" customWidth="1"/>
    <col min="18" max="18" width="5.81640625" style="1" bestFit="1" customWidth="1"/>
    <col min="19" max="19" width="11.90625" style="1" bestFit="1" customWidth="1"/>
    <col min="20" max="20" width="12.6328125" style="1" bestFit="1" customWidth="1"/>
    <col min="21" max="21" width="13.7265625" style="1" bestFit="1" customWidth="1"/>
    <col min="22" max="22" width="14.1796875" style="1" bestFit="1" customWidth="1"/>
    <col min="23" max="23" width="13.7265625" style="1" bestFit="1" customWidth="1"/>
    <col min="24" max="24" width="14.1796875" style="1" bestFit="1" customWidth="1"/>
    <col min="25" max="25" width="16.7265625" style="1" bestFit="1" customWidth="1"/>
    <col min="26" max="26" width="17.1796875" style="1" bestFit="1" customWidth="1"/>
    <col min="27" max="16384" width="8.7265625" style="1"/>
  </cols>
  <sheetData>
    <row r="1" spans="1:34" ht="40" customHeight="1" x14ac:dyDescent="0.35"/>
    <row r="2" spans="1:34" ht="15" thickBot="1" x14ac:dyDescent="0.4"/>
    <row r="3" spans="1:34" ht="15" thickBot="1" x14ac:dyDescent="0.4">
      <c r="A3" s="2" t="s">
        <v>0</v>
      </c>
      <c r="B3" s="3">
        <v>43811</v>
      </c>
      <c r="G3" s="4" t="s">
        <v>1</v>
      </c>
      <c r="H3" s="5"/>
      <c r="I3" s="5"/>
      <c r="J3" s="6">
        <v>0.5</v>
      </c>
    </row>
    <row r="4" spans="1:34" x14ac:dyDescent="0.35">
      <c r="G4" s="7" t="s">
        <v>2</v>
      </c>
      <c r="H4" s="8"/>
      <c r="I4" s="8"/>
      <c r="J4" s="9">
        <v>0.37</v>
      </c>
    </row>
    <row r="5" spans="1:34" x14ac:dyDescent="0.35">
      <c r="G5" s="7" t="s">
        <v>23</v>
      </c>
      <c r="H5" s="8"/>
      <c r="I5" s="8" t="s">
        <v>9</v>
      </c>
      <c r="J5" s="11">
        <v>1</v>
      </c>
    </row>
    <row r="6" spans="1:34" x14ac:dyDescent="0.35">
      <c r="B6" s="10"/>
      <c r="G6" s="7" t="s">
        <v>3</v>
      </c>
      <c r="H6" s="8"/>
      <c r="I6" s="8" t="s">
        <v>4</v>
      </c>
      <c r="J6" s="11">
        <v>0.35</v>
      </c>
    </row>
    <row r="7" spans="1:34" ht="15" thickBot="1" x14ac:dyDescent="0.4">
      <c r="G7" s="12" t="s">
        <v>5</v>
      </c>
      <c r="H7" s="13"/>
      <c r="I7" s="13" t="s">
        <v>6</v>
      </c>
      <c r="J7" s="14">
        <v>0.65</v>
      </c>
    </row>
    <row r="8" spans="1:34" x14ac:dyDescent="0.35">
      <c r="A8" s="15"/>
      <c r="B8" s="15"/>
      <c r="C8" s="16"/>
      <c r="D8" s="15"/>
      <c r="E8" s="15"/>
      <c r="F8" s="15"/>
      <c r="G8" s="15"/>
      <c r="H8" s="15"/>
      <c r="I8" s="15"/>
      <c r="J8" s="15"/>
      <c r="K8" s="15"/>
    </row>
    <row r="9" spans="1:34" ht="14.5" customHeight="1" x14ac:dyDescent="0.35">
      <c r="A9" s="26" t="s">
        <v>70</v>
      </c>
      <c r="B9" s="26" t="s">
        <v>8</v>
      </c>
      <c r="C9" s="33" t="s">
        <v>13</v>
      </c>
      <c r="D9" s="34" t="s">
        <v>14</v>
      </c>
      <c r="E9" s="34" t="s">
        <v>15</v>
      </c>
      <c r="F9" s="34" t="s">
        <v>16</v>
      </c>
      <c r="G9" s="37" t="s">
        <v>17</v>
      </c>
      <c r="H9" s="37" t="s">
        <v>30</v>
      </c>
      <c r="I9" s="38" t="s">
        <v>74</v>
      </c>
      <c r="J9" s="34" t="s">
        <v>75</v>
      </c>
      <c r="K9" s="39" t="s">
        <v>11</v>
      </c>
      <c r="L9" s="17" t="s">
        <v>12</v>
      </c>
      <c r="M9" s="27" t="s">
        <v>18</v>
      </c>
      <c r="N9" s="27" t="s">
        <v>19</v>
      </c>
      <c r="O9" s="27" t="s">
        <v>20</v>
      </c>
      <c r="P9" s="27" t="s">
        <v>21</v>
      </c>
      <c r="Q9" s="27" t="s">
        <v>22</v>
      </c>
      <c r="R9" s="27" t="s">
        <v>24</v>
      </c>
      <c r="S9" s="27" t="s">
        <v>25</v>
      </c>
      <c r="T9" s="27" t="s">
        <v>26</v>
      </c>
      <c r="U9" s="27" t="s">
        <v>27</v>
      </c>
      <c r="V9" s="27" t="s">
        <v>76</v>
      </c>
      <c r="W9" s="27" t="s">
        <v>28</v>
      </c>
      <c r="X9" s="27" t="s">
        <v>77</v>
      </c>
      <c r="Y9" s="27" t="s">
        <v>29</v>
      </c>
      <c r="Z9" s="27" t="s">
        <v>78</v>
      </c>
      <c r="AA9" s="27" t="s">
        <v>39</v>
      </c>
      <c r="AB9" s="27" t="s">
        <v>36</v>
      </c>
      <c r="AC9" s="27" t="s">
        <v>38</v>
      </c>
      <c r="AD9" s="27" t="s">
        <v>38</v>
      </c>
      <c r="AE9" s="27" t="s">
        <v>37</v>
      </c>
      <c r="AF9" s="27" t="s">
        <v>40</v>
      </c>
      <c r="AG9" s="27" t="s">
        <v>45</v>
      </c>
      <c r="AH9" s="27" t="s">
        <v>80</v>
      </c>
    </row>
    <row r="10" spans="1:34" x14ac:dyDescent="0.35">
      <c r="A10" s="44">
        <v>44197</v>
      </c>
      <c r="B10" s="20">
        <f>WORKDAY(A10,-7)</f>
        <v>44188</v>
      </c>
      <c r="C10" s="35">
        <v>42.8</v>
      </c>
      <c r="D10" s="36"/>
      <c r="E10" s="36"/>
      <c r="F10" s="36">
        <v>15.585000000000001</v>
      </c>
      <c r="G10" s="36">
        <v>25.3</v>
      </c>
      <c r="H10" s="42">
        <v>0</v>
      </c>
      <c r="I10" s="40">
        <v>0.35</v>
      </c>
      <c r="J10" s="40">
        <v>0.42</v>
      </c>
      <c r="K10" s="41">
        <v>0.6</v>
      </c>
      <c r="L10" s="23">
        <f>(B10-$B$3)/365</f>
        <v>1.0328767123287672</v>
      </c>
      <c r="M10" s="28">
        <f t="shared" ref="M10:M21" si="0">DAY(EOMONTH(B10,0))</f>
        <v>31</v>
      </c>
      <c r="N10" s="29" t="s">
        <v>9</v>
      </c>
      <c r="O10" s="30">
        <v>1</v>
      </c>
      <c r="P10" s="31">
        <v>0</v>
      </c>
      <c r="Q10" s="1">
        <v>1</v>
      </c>
      <c r="R10" s="46">
        <v>3.3784780118639599</v>
      </c>
      <c r="S10" s="46">
        <v>-7.0920000000000094</v>
      </c>
      <c r="T10" s="46">
        <v>10.470478011863969</v>
      </c>
      <c r="U10" s="46">
        <v>-0.2660601265608587</v>
      </c>
      <c r="V10" s="46">
        <v>0.39149931149521877</v>
      </c>
      <c r="W10" s="46">
        <v>1.2999671921650906</v>
      </c>
      <c r="X10" s="46">
        <v>12.343827589027418</v>
      </c>
      <c r="Y10" s="46">
        <v>-0.2660601265608587</v>
      </c>
      <c r="Z10" s="46">
        <v>0.39149931149521877</v>
      </c>
    </row>
    <row r="11" spans="1:34" x14ac:dyDescent="0.35">
      <c r="A11" s="44">
        <v>44198</v>
      </c>
      <c r="B11" s="20">
        <f>WORKDAY(A11,-7)</f>
        <v>44189</v>
      </c>
      <c r="C11" s="35">
        <v>45.75</v>
      </c>
      <c r="D11" s="36"/>
      <c r="E11" s="36"/>
      <c r="F11" s="36">
        <v>15.8</v>
      </c>
      <c r="G11" s="36">
        <v>25.3</v>
      </c>
      <c r="H11" s="42">
        <v>0</v>
      </c>
      <c r="I11" s="40">
        <f>20%+(I10-20%)*0.95</f>
        <v>0.34249999999999997</v>
      </c>
      <c r="J11" s="40">
        <f>20%+(J10-20%)*0.95</f>
        <v>0.40899999999999997</v>
      </c>
      <c r="K11" s="41">
        <f>80%+(K10-80%)*0.9</f>
        <v>0.62</v>
      </c>
      <c r="L11" s="23">
        <f t="shared" ref="L11:L21" si="1">(B11-$B$3)/365</f>
        <v>1.0356164383561643</v>
      </c>
      <c r="M11" s="28">
        <f t="shared" si="0"/>
        <v>31</v>
      </c>
      <c r="N11" s="29" t="s">
        <v>9</v>
      </c>
      <c r="O11" s="30">
        <v>1</v>
      </c>
      <c r="P11" s="31">
        <v>0</v>
      </c>
      <c r="Q11" s="1">
        <v>1</v>
      </c>
      <c r="R11" s="46">
        <v>4.2232905852060263</v>
      </c>
      <c r="S11" s="46">
        <v>-4.5719999999999992</v>
      </c>
      <c r="T11" s="46">
        <v>8.7952905852060255</v>
      </c>
      <c r="U11" s="46">
        <v>-0.32291466696453336</v>
      </c>
      <c r="V11" s="46">
        <v>0.44946168597135816</v>
      </c>
      <c r="W11" s="46">
        <v>1.1744022492133772</v>
      </c>
      <c r="X11" s="46">
        <v>13.516511922028753</v>
      </c>
      <c r="Y11" s="46">
        <v>-0.32291466696453336</v>
      </c>
      <c r="Z11" s="46">
        <v>0.44946168597135816</v>
      </c>
    </row>
    <row r="12" spans="1:34" x14ac:dyDescent="0.35">
      <c r="A12" s="44">
        <v>44199</v>
      </c>
      <c r="B12" s="20">
        <f t="shared" ref="B12:B20" si="2">WORKDAY(A12,-7)</f>
        <v>44189</v>
      </c>
      <c r="C12" s="35">
        <v>41.9</v>
      </c>
      <c r="D12" s="36"/>
      <c r="E12" s="36"/>
      <c r="F12" s="36">
        <v>15.455</v>
      </c>
      <c r="G12" s="36">
        <v>25.3</v>
      </c>
      <c r="H12" s="42">
        <v>0</v>
      </c>
      <c r="I12" s="40">
        <f t="shared" ref="I12:J21" si="3">20%+(I11-20%)*0.95</f>
        <v>0.33537499999999998</v>
      </c>
      <c r="J12" s="40">
        <f t="shared" si="3"/>
        <v>0.39854999999999996</v>
      </c>
      <c r="K12" s="41">
        <f t="shared" ref="K12:K75" si="4">80%+(K11-80%)*0.9</f>
        <v>0.63800000000000001</v>
      </c>
      <c r="L12" s="23">
        <f t="shared" si="1"/>
        <v>1.0356164383561643</v>
      </c>
      <c r="M12" s="28">
        <f t="shared" si="0"/>
        <v>31</v>
      </c>
      <c r="N12" s="29" t="s">
        <v>9</v>
      </c>
      <c r="O12" s="30">
        <v>1</v>
      </c>
      <c r="P12" s="31">
        <v>0</v>
      </c>
      <c r="Q12" s="1">
        <v>1</v>
      </c>
      <c r="R12" s="46">
        <v>2.6273806320435469</v>
      </c>
      <c r="S12" s="46">
        <v>-7.7320000000000029</v>
      </c>
      <c r="T12" s="46">
        <v>10.35938063204355</v>
      </c>
      <c r="U12" s="46">
        <v>-0.24153499447194407</v>
      </c>
      <c r="V12" s="46">
        <v>0.35015877744794721</v>
      </c>
      <c r="W12" s="46">
        <v>0.74400566089830655</v>
      </c>
      <c r="X12" s="46">
        <v>11.557640076889401</v>
      </c>
      <c r="Y12" s="46">
        <v>-0.24153499447194407</v>
      </c>
      <c r="Z12" s="46">
        <v>0.35015877744794721</v>
      </c>
    </row>
    <row r="13" spans="1:34" x14ac:dyDescent="0.35">
      <c r="A13" s="44">
        <v>44200</v>
      </c>
      <c r="B13" s="20">
        <f t="shared" si="2"/>
        <v>44189</v>
      </c>
      <c r="C13" s="35">
        <v>39.75</v>
      </c>
      <c r="D13" s="36"/>
      <c r="E13" s="36"/>
      <c r="F13" s="36">
        <v>14.753</v>
      </c>
      <c r="G13" s="36">
        <v>25.3</v>
      </c>
      <c r="H13" s="42">
        <v>0</v>
      </c>
      <c r="I13" s="40">
        <f t="shared" si="3"/>
        <v>0.32860624999999999</v>
      </c>
      <c r="J13" s="40">
        <f t="shared" si="3"/>
        <v>0.38862249999999998</v>
      </c>
      <c r="K13" s="41">
        <f t="shared" si="4"/>
        <v>0.6542</v>
      </c>
      <c r="L13" s="23">
        <f t="shared" si="1"/>
        <v>1.0356164383561643</v>
      </c>
      <c r="M13" s="28">
        <f t="shared" si="0"/>
        <v>31</v>
      </c>
      <c r="N13" s="29" t="s">
        <v>9</v>
      </c>
      <c r="O13" s="30">
        <v>1</v>
      </c>
      <c r="P13" s="31">
        <v>0</v>
      </c>
      <c r="Q13" s="1">
        <v>1</v>
      </c>
      <c r="R13" s="46">
        <v>2.0373358414656337</v>
      </c>
      <c r="S13" s="46">
        <v>-8.4780000000000051</v>
      </c>
      <c r="T13" s="46">
        <v>10.515335841465639</v>
      </c>
      <c r="U13" s="46">
        <v>-0.21249773744486941</v>
      </c>
      <c r="V13" s="46">
        <v>0.30986339865586393</v>
      </c>
      <c r="W13" s="46">
        <v>0.41391070216688441</v>
      </c>
      <c r="X13" s="46">
        <v>10.447828206524671</v>
      </c>
      <c r="Y13" s="46">
        <v>-0.21249773744486941</v>
      </c>
      <c r="Z13" s="46">
        <v>0.30986339865586393</v>
      </c>
    </row>
    <row r="14" spans="1:34" x14ac:dyDescent="0.35">
      <c r="A14" s="44">
        <v>44201</v>
      </c>
      <c r="B14" s="20">
        <f t="shared" si="2"/>
        <v>44190</v>
      </c>
      <c r="C14" s="35">
        <v>39.75</v>
      </c>
      <c r="D14" s="36"/>
      <c r="E14" s="36"/>
      <c r="F14" s="36">
        <v>14.484999999999999</v>
      </c>
      <c r="G14" s="36">
        <v>25.3</v>
      </c>
      <c r="H14" s="42">
        <v>0</v>
      </c>
      <c r="I14" s="40">
        <f t="shared" si="3"/>
        <v>0.32217593749999995</v>
      </c>
      <c r="J14" s="40">
        <f t="shared" si="3"/>
        <v>0.379191375</v>
      </c>
      <c r="K14" s="41">
        <f t="shared" si="4"/>
        <v>0.66878000000000004</v>
      </c>
      <c r="L14" s="23">
        <f t="shared" si="1"/>
        <v>1.0383561643835617</v>
      </c>
      <c r="M14" s="28">
        <f t="shared" si="0"/>
        <v>31</v>
      </c>
      <c r="N14" s="29" t="s">
        <v>9</v>
      </c>
      <c r="O14" s="30">
        <v>1</v>
      </c>
      <c r="P14" s="31">
        <v>0</v>
      </c>
      <c r="Q14" s="1">
        <v>1</v>
      </c>
      <c r="R14" s="46">
        <v>1.9846896210316167</v>
      </c>
      <c r="S14" s="46">
        <v>-7.9420000000000037</v>
      </c>
      <c r="T14" s="46">
        <v>9.9266896210316204</v>
      </c>
      <c r="U14" s="46">
        <v>-0.21807392520353172</v>
      </c>
      <c r="V14" s="46">
        <v>0.311970849590336</v>
      </c>
      <c r="W14" s="46">
        <v>0.21824529664182779</v>
      </c>
      <c r="X14" s="46">
        <v>10.469089073355658</v>
      </c>
      <c r="Y14" s="46">
        <v>-0.21807392520353172</v>
      </c>
      <c r="Z14" s="46">
        <v>0.311970849590336</v>
      </c>
    </row>
    <row r="15" spans="1:34" x14ac:dyDescent="0.35">
      <c r="A15" s="44">
        <v>44202</v>
      </c>
      <c r="B15" s="20">
        <f t="shared" si="2"/>
        <v>44193</v>
      </c>
      <c r="C15" s="35">
        <v>39.75</v>
      </c>
      <c r="D15" s="36"/>
      <c r="E15" s="36"/>
      <c r="F15" s="36">
        <v>14.353</v>
      </c>
      <c r="G15" s="36">
        <v>25.3</v>
      </c>
      <c r="H15" s="42">
        <v>0</v>
      </c>
      <c r="I15" s="40">
        <f>20%+(I14-20%)*0.95</f>
        <v>0.31606714062499996</v>
      </c>
      <c r="J15" s="40">
        <f t="shared" si="3"/>
        <v>0.37023180624999996</v>
      </c>
      <c r="K15" s="41">
        <f t="shared" si="4"/>
        <v>0.68190200000000001</v>
      </c>
      <c r="L15" s="23">
        <f t="shared" si="1"/>
        <v>1.0465753424657533</v>
      </c>
      <c r="M15" s="28">
        <f t="shared" si="0"/>
        <v>31</v>
      </c>
      <c r="N15" s="29" t="s">
        <v>9</v>
      </c>
      <c r="O15" s="30">
        <v>1</v>
      </c>
      <c r="P15" s="31">
        <v>0</v>
      </c>
      <c r="Q15" s="1">
        <v>1</v>
      </c>
      <c r="R15" s="46">
        <v>1.8981613540491971</v>
      </c>
      <c r="S15" s="46">
        <v>-7.6780000000000008</v>
      </c>
      <c r="T15" s="46">
        <v>9.5761613540491979</v>
      </c>
      <c r="U15" s="46">
        <v>-0.21883889309448837</v>
      </c>
      <c r="V15" s="46">
        <v>0.30892760482557419</v>
      </c>
      <c r="W15" s="46">
        <v>5.1889660783712065E-2</v>
      </c>
      <c r="X15" s="46">
        <v>10.432805157558732</v>
      </c>
      <c r="Y15" s="46">
        <v>-0.21883889309448837</v>
      </c>
      <c r="Z15" s="46">
        <v>0.30892760482557419</v>
      </c>
    </row>
    <row r="16" spans="1:34" x14ac:dyDescent="0.35">
      <c r="A16" s="44">
        <v>44203</v>
      </c>
      <c r="B16" s="20">
        <f t="shared" si="2"/>
        <v>44194</v>
      </c>
      <c r="C16" s="35">
        <v>43.1</v>
      </c>
      <c r="D16" s="36"/>
      <c r="E16" s="36"/>
      <c r="F16" s="36">
        <v>14.363</v>
      </c>
      <c r="G16" s="36">
        <v>25.3</v>
      </c>
      <c r="H16" s="42">
        <v>0</v>
      </c>
      <c r="I16" s="40">
        <f t="shared" si="3"/>
        <v>0.31026378359374995</v>
      </c>
      <c r="J16" s="40">
        <f t="shared" si="3"/>
        <v>0.36172021593749992</v>
      </c>
      <c r="K16" s="41">
        <f t="shared" si="4"/>
        <v>0.69371179999999999</v>
      </c>
      <c r="L16" s="23">
        <f t="shared" si="1"/>
        <v>1.0493150684931507</v>
      </c>
      <c r="M16" s="28">
        <f t="shared" si="0"/>
        <v>31</v>
      </c>
      <c r="N16" s="29" t="s">
        <v>9</v>
      </c>
      <c r="O16" s="30">
        <v>1</v>
      </c>
      <c r="P16" s="31">
        <v>0</v>
      </c>
      <c r="Q16" s="1">
        <v>1</v>
      </c>
      <c r="R16" s="46">
        <v>2.9383139390115307</v>
      </c>
      <c r="S16" s="46">
        <v>-4.3480000000000025</v>
      </c>
      <c r="T16" s="46">
        <v>7.2863139390115332</v>
      </c>
      <c r="U16" s="46">
        <v>-0.31100670974872741</v>
      </c>
      <c r="V16" s="46">
        <v>0.41033151664069428</v>
      </c>
      <c r="W16" s="46">
        <v>-9.930380753244869E-2</v>
      </c>
      <c r="X16" s="46">
        <v>12.449142831381026</v>
      </c>
      <c r="Y16" s="46">
        <v>-0.31100670974872741</v>
      </c>
      <c r="Z16" s="46">
        <v>0.41033151664069428</v>
      </c>
    </row>
    <row r="17" spans="1:26" x14ac:dyDescent="0.35">
      <c r="A17" s="44">
        <v>44204</v>
      </c>
      <c r="B17" s="20">
        <f t="shared" si="2"/>
        <v>44195</v>
      </c>
      <c r="C17" s="35">
        <v>43.1</v>
      </c>
      <c r="D17" s="36"/>
      <c r="E17" s="36"/>
      <c r="F17" s="36">
        <v>14.583</v>
      </c>
      <c r="G17" s="36">
        <v>25.3</v>
      </c>
      <c r="H17" s="42">
        <v>0</v>
      </c>
      <c r="I17" s="40">
        <f t="shared" si="3"/>
        <v>0.30475059441406244</v>
      </c>
      <c r="J17" s="40">
        <f t="shared" si="3"/>
        <v>0.35363420514062494</v>
      </c>
      <c r="K17" s="41">
        <f t="shared" si="4"/>
        <v>0.70434061999999997</v>
      </c>
      <c r="L17" s="23">
        <f t="shared" si="1"/>
        <v>1.0520547945205478</v>
      </c>
      <c r="M17" s="28">
        <f t="shared" si="0"/>
        <v>31</v>
      </c>
      <c r="N17" s="29" t="s">
        <v>9</v>
      </c>
      <c r="O17" s="30">
        <v>1</v>
      </c>
      <c r="P17" s="31">
        <v>0</v>
      </c>
      <c r="Q17" s="1">
        <v>1</v>
      </c>
      <c r="R17" s="46">
        <v>2.6489192853286418</v>
      </c>
      <c r="S17" s="46">
        <v>-4.7880000000000003</v>
      </c>
      <c r="T17" s="46">
        <v>7.4369192853286421</v>
      </c>
      <c r="U17" s="46">
        <v>-0.29571983515463929</v>
      </c>
      <c r="V17" s="46">
        <v>0.3896193885950161</v>
      </c>
      <c r="W17" s="46">
        <v>-0.21191159204509716</v>
      </c>
      <c r="X17" s="46">
        <v>12.2204625465512</v>
      </c>
      <c r="Y17" s="46">
        <v>-0.29571983515463929</v>
      </c>
      <c r="Z17" s="46">
        <v>0.3896193885950161</v>
      </c>
    </row>
    <row r="18" spans="1:26" x14ac:dyDescent="0.35">
      <c r="A18" s="44">
        <v>44205</v>
      </c>
      <c r="B18" s="20">
        <f t="shared" si="2"/>
        <v>44196</v>
      </c>
      <c r="C18" s="35">
        <v>43.1</v>
      </c>
      <c r="D18" s="36"/>
      <c r="E18" s="36"/>
      <c r="F18" s="36">
        <v>14.77</v>
      </c>
      <c r="G18" s="36">
        <v>25.3</v>
      </c>
      <c r="H18" s="42">
        <v>0</v>
      </c>
      <c r="I18" s="40">
        <f t="shared" si="3"/>
        <v>0.29951306469335931</v>
      </c>
      <c r="J18" s="40">
        <f t="shared" si="3"/>
        <v>0.3459524948835937</v>
      </c>
      <c r="K18" s="41">
        <f t="shared" si="4"/>
        <v>0.71390655800000002</v>
      </c>
      <c r="L18" s="23">
        <f t="shared" si="1"/>
        <v>1.0547945205479452</v>
      </c>
      <c r="M18" s="28">
        <f t="shared" si="0"/>
        <v>31</v>
      </c>
      <c r="N18" s="29" t="s">
        <v>9</v>
      </c>
      <c r="O18" s="30">
        <v>1</v>
      </c>
      <c r="P18" s="31">
        <v>0</v>
      </c>
      <c r="Q18" s="1">
        <v>1</v>
      </c>
      <c r="R18" s="46">
        <v>2.3991168208616802</v>
      </c>
      <c r="S18" s="46">
        <v>-5.1619999999999955</v>
      </c>
      <c r="T18" s="46">
        <v>7.5611168208616757</v>
      </c>
      <c r="U18" s="46">
        <v>-0.28181120106446883</v>
      </c>
      <c r="V18" s="46">
        <v>0.37066317764072604</v>
      </c>
      <c r="W18" s="46">
        <v>-0.30921024199213892</v>
      </c>
      <c r="X18" s="46">
        <v>11.980122006215318</v>
      </c>
      <c r="Y18" s="46">
        <v>-0.28181120106446883</v>
      </c>
      <c r="Z18" s="46">
        <v>0.37066317764072604</v>
      </c>
    </row>
    <row r="19" spans="1:26" x14ac:dyDescent="0.35">
      <c r="A19" s="44">
        <v>44206</v>
      </c>
      <c r="B19" s="20">
        <f t="shared" si="2"/>
        <v>44196</v>
      </c>
      <c r="C19" s="35">
        <v>48.75</v>
      </c>
      <c r="D19" s="36"/>
      <c r="E19" s="36"/>
      <c r="F19" s="36">
        <v>16.026</v>
      </c>
      <c r="G19" s="36">
        <v>25.3</v>
      </c>
      <c r="H19" s="42">
        <v>0</v>
      </c>
      <c r="I19" s="40">
        <f t="shared" si="3"/>
        <v>0.29453741145869133</v>
      </c>
      <c r="J19" s="40">
        <f t="shared" si="3"/>
        <v>0.33865487013941398</v>
      </c>
      <c r="K19" s="41">
        <f t="shared" si="4"/>
        <v>0.72251590220000006</v>
      </c>
      <c r="L19" s="23">
        <f t="shared" si="1"/>
        <v>1.0547945205479452</v>
      </c>
      <c r="M19" s="28">
        <f t="shared" si="0"/>
        <v>31</v>
      </c>
      <c r="N19" s="29" t="s">
        <v>9</v>
      </c>
      <c r="O19" s="30">
        <v>1</v>
      </c>
      <c r="P19" s="31">
        <v>0</v>
      </c>
      <c r="Q19" s="1">
        <v>1</v>
      </c>
      <c r="R19" s="46">
        <v>3.818653748413503</v>
      </c>
      <c r="S19" s="46">
        <v>-2.0239999999999974</v>
      </c>
      <c r="T19" s="46">
        <v>5.8426537484135004</v>
      </c>
      <c r="U19" s="46">
        <v>-0.38658440937309052</v>
      </c>
      <c r="V19" s="46">
        <v>0.4804811497664383</v>
      </c>
      <c r="W19" s="46">
        <v>-0.30912167503736748</v>
      </c>
      <c r="X19" s="46">
        <v>14.063331597110675</v>
      </c>
      <c r="Y19" s="46">
        <v>-0.38658440937309052</v>
      </c>
      <c r="Z19" s="46">
        <v>0.4804811497664383</v>
      </c>
    </row>
    <row r="20" spans="1:26" x14ac:dyDescent="0.35">
      <c r="A20" s="44">
        <v>44207</v>
      </c>
      <c r="B20" s="20">
        <f t="shared" si="2"/>
        <v>44196</v>
      </c>
      <c r="C20" s="35">
        <v>48.75</v>
      </c>
      <c r="D20" s="36"/>
      <c r="E20" s="36"/>
      <c r="F20" s="36">
        <v>17.968</v>
      </c>
      <c r="G20" s="36">
        <v>25.3</v>
      </c>
      <c r="H20" s="42">
        <v>0</v>
      </c>
      <c r="I20" s="40">
        <f t="shared" si="3"/>
        <v>0.28981054088575675</v>
      </c>
      <c r="J20" s="40">
        <f t="shared" si="3"/>
        <v>0.33172212663244327</v>
      </c>
      <c r="K20" s="41">
        <f t="shared" si="4"/>
        <v>0.73026431198000008</v>
      </c>
      <c r="L20" s="23">
        <f t="shared" si="1"/>
        <v>1.0547945205479452</v>
      </c>
      <c r="M20" s="28">
        <f t="shared" si="0"/>
        <v>31</v>
      </c>
      <c r="N20" s="29" t="s">
        <v>9</v>
      </c>
      <c r="O20" s="30">
        <v>1</v>
      </c>
      <c r="P20" s="31">
        <v>0</v>
      </c>
      <c r="Q20" s="1">
        <v>1</v>
      </c>
      <c r="R20" s="46">
        <v>2.4000402765236011</v>
      </c>
      <c r="S20" s="46">
        <v>-5.9079999999999977</v>
      </c>
      <c r="T20" s="46">
        <v>8.3080402765235988</v>
      </c>
      <c r="U20" s="46">
        <v>-0.27186119425125888</v>
      </c>
      <c r="V20" s="46">
        <v>0.35381634682464708</v>
      </c>
      <c r="W20" s="46">
        <v>-0.14082870183299426</v>
      </c>
      <c r="X20" s="46">
        <v>12.841616561607506</v>
      </c>
      <c r="Y20" s="46">
        <v>-0.27186119425125888</v>
      </c>
      <c r="Z20" s="46">
        <v>0.35381634682464708</v>
      </c>
    </row>
    <row r="21" spans="1:26" x14ac:dyDescent="0.35">
      <c r="A21" s="44">
        <v>44208</v>
      </c>
      <c r="B21" s="20">
        <f>WORKDAY(A21,-7)</f>
        <v>44197</v>
      </c>
      <c r="C21" s="35">
        <v>48.75</v>
      </c>
      <c r="D21" s="36"/>
      <c r="E21" s="36"/>
      <c r="F21" s="36">
        <v>18.376000000000001</v>
      </c>
      <c r="G21" s="36">
        <v>25.3</v>
      </c>
      <c r="H21" s="42">
        <v>0</v>
      </c>
      <c r="I21" s="40">
        <f t="shared" si="3"/>
        <v>0.28532001384146888</v>
      </c>
      <c r="J21" s="40">
        <f t="shared" si="3"/>
        <v>0.32513602030082112</v>
      </c>
      <c r="K21" s="41">
        <f t="shared" si="4"/>
        <v>0.73723788078200003</v>
      </c>
      <c r="L21" s="23">
        <f t="shared" si="1"/>
        <v>1.0575342465753426</v>
      </c>
      <c r="M21" s="28">
        <f t="shared" si="0"/>
        <v>31</v>
      </c>
      <c r="N21" s="29" t="s">
        <v>9</v>
      </c>
      <c r="O21" s="30">
        <v>1</v>
      </c>
      <c r="P21" s="31">
        <v>0</v>
      </c>
      <c r="Q21" s="1">
        <v>1</v>
      </c>
      <c r="R21" s="46">
        <v>2.0666538039466147</v>
      </c>
      <c r="S21" s="46">
        <v>-6.7240000000000002</v>
      </c>
      <c r="T21" s="46">
        <v>8.7906538039466149</v>
      </c>
      <c r="U21" s="46">
        <v>-0.2469525854280876</v>
      </c>
      <c r="V21" s="46">
        <v>0.32315560102166713</v>
      </c>
      <c r="W21" s="46">
        <v>-0.17225358537141375</v>
      </c>
      <c r="X21" s="46">
        <v>12.313160948314433</v>
      </c>
      <c r="Y21" s="46">
        <v>-0.2469525854280876</v>
      </c>
      <c r="Z21" s="46">
        <v>0.32315560102166713</v>
      </c>
    </row>
    <row r="22" spans="1:26" x14ac:dyDescent="0.35">
      <c r="A22" s="44">
        <v>44209</v>
      </c>
      <c r="B22" s="20">
        <f t="shared" ref="B22:B85" si="5">WORKDAY(A22,-7)</f>
        <v>44200</v>
      </c>
      <c r="C22" s="35">
        <v>48.75</v>
      </c>
      <c r="D22" s="36"/>
      <c r="E22" s="36"/>
      <c r="F22" s="36">
        <v>18.376000000000001</v>
      </c>
      <c r="G22" s="36">
        <v>25.3</v>
      </c>
      <c r="H22" s="42">
        <v>0</v>
      </c>
      <c r="I22" s="40">
        <f t="shared" ref="I22:I85" si="6">20%+(I21-20%)*0.95</f>
        <v>0.28105401314939543</v>
      </c>
      <c r="J22" s="40">
        <f t="shared" ref="J22:J85" si="7">20%+(J21-20%)*0.95</f>
        <v>0.31887921928578006</v>
      </c>
      <c r="K22" s="41">
        <f t="shared" si="4"/>
        <v>0.74351409270379998</v>
      </c>
      <c r="L22" s="23">
        <f t="shared" ref="L22:L85" si="8">(B22-$B$3)/365</f>
        <v>1.0657534246575342</v>
      </c>
      <c r="M22" s="28">
        <f t="shared" ref="M22:M85" si="9">DAY(EOMONTH(B22,0))</f>
        <v>31</v>
      </c>
      <c r="N22" s="29" t="s">
        <v>9</v>
      </c>
      <c r="O22" s="30">
        <v>1</v>
      </c>
      <c r="P22" s="31">
        <v>0</v>
      </c>
      <c r="Q22" s="1">
        <v>1</v>
      </c>
      <c r="R22" s="46">
        <v>1.9664247748022632</v>
      </c>
      <c r="S22" s="46">
        <v>-6.7240000000000002</v>
      </c>
      <c r="T22" s="46">
        <v>8.6904247748022634</v>
      </c>
      <c r="U22" s="46">
        <v>-0.24323503127875293</v>
      </c>
      <c r="V22" s="46">
        <v>0.31679112066998694</v>
      </c>
      <c r="W22" s="46">
        <v>-0.24193463663731252</v>
      </c>
      <c r="X22" s="46">
        <v>12.197980207533552</v>
      </c>
      <c r="Y22" s="46">
        <v>-0.24323503127875293</v>
      </c>
      <c r="Z22" s="46">
        <v>0.31679112066998694</v>
      </c>
    </row>
    <row r="23" spans="1:26" x14ac:dyDescent="0.35">
      <c r="A23" s="44">
        <v>44210</v>
      </c>
      <c r="B23" s="20">
        <f t="shared" si="5"/>
        <v>44201</v>
      </c>
      <c r="C23" s="35">
        <v>48.75</v>
      </c>
      <c r="D23" s="36"/>
      <c r="E23" s="36"/>
      <c r="F23" s="36">
        <v>18.376000000000001</v>
      </c>
      <c r="G23" s="36">
        <v>25.3</v>
      </c>
      <c r="H23" s="42">
        <v>0</v>
      </c>
      <c r="I23" s="40">
        <f t="shared" si="6"/>
        <v>0.27700131249192567</v>
      </c>
      <c r="J23" s="40">
        <f t="shared" si="7"/>
        <v>0.31293525832149105</v>
      </c>
      <c r="K23" s="41">
        <f t="shared" si="4"/>
        <v>0.74916268343341996</v>
      </c>
      <c r="L23" s="23">
        <f t="shared" si="8"/>
        <v>1.0684931506849316</v>
      </c>
      <c r="M23" s="28">
        <f t="shared" si="9"/>
        <v>31</v>
      </c>
      <c r="N23" s="29" t="s">
        <v>9</v>
      </c>
      <c r="O23" s="30">
        <v>1</v>
      </c>
      <c r="P23" s="31">
        <v>0</v>
      </c>
      <c r="Q23" s="1">
        <v>1</v>
      </c>
      <c r="R23" s="46">
        <v>1.8651564446571616</v>
      </c>
      <c r="S23" s="46">
        <v>-6.7240000000000002</v>
      </c>
      <c r="T23" s="46">
        <v>8.5891564446571618</v>
      </c>
      <c r="U23" s="46">
        <v>-0.23920594917493654</v>
      </c>
      <c r="V23" s="46">
        <v>0.31006884083545572</v>
      </c>
      <c r="W23" s="46">
        <v>-0.29801114414876845</v>
      </c>
      <c r="X23" s="46">
        <v>12.041903518004414</v>
      </c>
      <c r="Y23" s="46">
        <v>-0.23920594917493654</v>
      </c>
      <c r="Z23" s="46">
        <v>0.31006884083545572</v>
      </c>
    </row>
    <row r="24" spans="1:26" x14ac:dyDescent="0.35">
      <c r="A24" s="44">
        <v>44211</v>
      </c>
      <c r="B24" s="20">
        <f t="shared" si="5"/>
        <v>44202</v>
      </c>
      <c r="C24" s="35">
        <v>48.75</v>
      </c>
      <c r="D24" s="36"/>
      <c r="E24" s="36"/>
      <c r="F24" s="36">
        <v>18.376000000000001</v>
      </c>
      <c r="G24" s="36">
        <v>25.3</v>
      </c>
      <c r="H24" s="42">
        <v>0</v>
      </c>
      <c r="I24" s="40">
        <f t="shared" si="6"/>
        <v>0.27315124686732939</v>
      </c>
      <c r="J24" s="40">
        <f t="shared" si="7"/>
        <v>0.30728849540541647</v>
      </c>
      <c r="K24" s="41">
        <f t="shared" si="4"/>
        <v>0.75424641509007795</v>
      </c>
      <c r="L24" s="23">
        <f t="shared" si="8"/>
        <v>1.0712328767123287</v>
      </c>
      <c r="M24" s="28">
        <f t="shared" si="9"/>
        <v>31</v>
      </c>
      <c r="N24" s="29" t="s">
        <v>9</v>
      </c>
      <c r="O24" s="30">
        <v>1</v>
      </c>
      <c r="P24" s="31">
        <v>0</v>
      </c>
      <c r="Q24" s="1">
        <v>1</v>
      </c>
      <c r="R24" s="46">
        <v>1.7722529839076451</v>
      </c>
      <c r="S24" s="46">
        <v>-6.7240000000000002</v>
      </c>
      <c r="T24" s="46">
        <v>8.4962529839076453</v>
      </c>
      <c r="U24" s="46">
        <v>-0.23525347324039469</v>
      </c>
      <c r="V24" s="46">
        <v>0.30362033829524065</v>
      </c>
      <c r="W24" s="46">
        <v>-0.3423663717360223</v>
      </c>
      <c r="X24" s="46">
        <v>11.887197495470975</v>
      </c>
      <c r="Y24" s="46">
        <v>-0.23525347324039469</v>
      </c>
      <c r="Z24" s="46">
        <v>0.30362033829524065</v>
      </c>
    </row>
    <row r="25" spans="1:26" x14ac:dyDescent="0.35">
      <c r="A25" s="44">
        <v>44212</v>
      </c>
      <c r="B25" s="20">
        <f t="shared" si="5"/>
        <v>44203</v>
      </c>
      <c r="C25" s="35">
        <v>48.75</v>
      </c>
      <c r="D25" s="36"/>
      <c r="E25" s="36"/>
      <c r="F25" s="36">
        <v>18.376000000000001</v>
      </c>
      <c r="G25" s="36">
        <v>25.3</v>
      </c>
      <c r="H25" s="42">
        <v>0</v>
      </c>
      <c r="I25" s="40">
        <f t="shared" si="6"/>
        <v>0.26949368452396294</v>
      </c>
      <c r="J25" s="40">
        <f t="shared" si="7"/>
        <v>0.30192407063514565</v>
      </c>
      <c r="K25" s="41">
        <f t="shared" si="4"/>
        <v>0.75882177358107017</v>
      </c>
      <c r="L25" s="23">
        <f t="shared" si="8"/>
        <v>1.0739726027397261</v>
      </c>
      <c r="M25" s="28">
        <f t="shared" si="9"/>
        <v>31</v>
      </c>
      <c r="N25" s="29" t="s">
        <v>9</v>
      </c>
      <c r="O25" s="30">
        <v>1</v>
      </c>
      <c r="P25" s="31">
        <v>0</v>
      </c>
      <c r="Q25" s="1">
        <v>1</v>
      </c>
      <c r="R25" s="46">
        <v>1.6869606630056051</v>
      </c>
      <c r="S25" s="46">
        <v>-6.7240000000000002</v>
      </c>
      <c r="T25" s="46">
        <v>8.4109606630056053</v>
      </c>
      <c r="U25" s="46">
        <v>-0.23138947867570375</v>
      </c>
      <c r="V25" s="46">
        <v>0.29744161661453788</v>
      </c>
      <c r="W25" s="46">
        <v>-0.37622945857462137</v>
      </c>
      <c r="X25" s="46">
        <v>11.734254144646762</v>
      </c>
      <c r="Y25" s="46">
        <v>-0.23138947867570375</v>
      </c>
      <c r="Z25" s="46">
        <v>0.29744161661453788</v>
      </c>
    </row>
    <row r="26" spans="1:26" x14ac:dyDescent="0.35">
      <c r="A26" s="44">
        <v>44213</v>
      </c>
      <c r="B26" s="20">
        <f t="shared" si="5"/>
        <v>44203</v>
      </c>
      <c r="C26" s="35">
        <v>48.75</v>
      </c>
      <c r="D26" s="36"/>
      <c r="E26" s="36"/>
      <c r="F26" s="36">
        <v>18.376000000000001</v>
      </c>
      <c r="G26" s="36">
        <v>25.3</v>
      </c>
      <c r="H26" s="42">
        <v>0</v>
      </c>
      <c r="I26" s="40">
        <f t="shared" si="6"/>
        <v>0.26601900029776482</v>
      </c>
      <c r="J26" s="40">
        <f t="shared" si="7"/>
        <v>0.29682786710338838</v>
      </c>
      <c r="K26" s="41">
        <f t="shared" si="4"/>
        <v>0.76293959622296315</v>
      </c>
      <c r="L26" s="23">
        <f t="shared" si="8"/>
        <v>1.0739726027397261</v>
      </c>
      <c r="M26" s="28">
        <f t="shared" si="9"/>
        <v>31</v>
      </c>
      <c r="N26" s="29" t="s">
        <v>9</v>
      </c>
      <c r="O26" s="30">
        <v>1</v>
      </c>
      <c r="P26" s="31">
        <v>0</v>
      </c>
      <c r="Q26" s="1">
        <v>1</v>
      </c>
      <c r="R26" s="46">
        <v>1.6043560341652459</v>
      </c>
      <c r="S26" s="46">
        <v>-6.7240000000000002</v>
      </c>
      <c r="T26" s="46">
        <v>8.3283560341652461</v>
      </c>
      <c r="U26" s="46">
        <v>-0.22741218617978307</v>
      </c>
      <c r="V26" s="46">
        <v>0.29120107613248702</v>
      </c>
      <c r="W26" s="46">
        <v>-0.40003574421592691</v>
      </c>
      <c r="X26" s="46">
        <v>11.562637800992594</v>
      </c>
      <c r="Y26" s="46">
        <v>-0.22741218617978307</v>
      </c>
      <c r="Z26" s="46">
        <v>0.29120107613248702</v>
      </c>
    </row>
    <row r="27" spans="1:26" x14ac:dyDescent="0.35">
      <c r="A27" s="44">
        <v>44214</v>
      </c>
      <c r="B27" s="20">
        <f t="shared" si="5"/>
        <v>44203</v>
      </c>
      <c r="C27" s="35">
        <v>48.75</v>
      </c>
      <c r="D27" s="36"/>
      <c r="E27" s="36"/>
      <c r="F27" s="36">
        <v>18.376000000000001</v>
      </c>
      <c r="G27" s="36">
        <v>25.3</v>
      </c>
      <c r="H27" s="42">
        <v>0</v>
      </c>
      <c r="I27" s="40">
        <f t="shared" si="6"/>
        <v>0.26271805028287659</v>
      </c>
      <c r="J27" s="40">
        <f t="shared" si="7"/>
        <v>0.29198647374821896</v>
      </c>
      <c r="K27" s="41">
        <f t="shared" si="4"/>
        <v>0.76664563660066687</v>
      </c>
      <c r="L27" s="23">
        <f t="shared" si="8"/>
        <v>1.0739726027397261</v>
      </c>
      <c r="M27" s="28">
        <f t="shared" si="9"/>
        <v>31</v>
      </c>
      <c r="N27" s="29" t="s">
        <v>9</v>
      </c>
      <c r="O27" s="30">
        <v>1</v>
      </c>
      <c r="P27" s="31">
        <v>0</v>
      </c>
      <c r="Q27" s="1">
        <v>1</v>
      </c>
      <c r="R27" s="46">
        <v>1.5283398580744372</v>
      </c>
      <c r="S27" s="46">
        <v>-6.7240000000000002</v>
      </c>
      <c r="T27" s="46">
        <v>8.2523398580744374</v>
      </c>
      <c r="U27" s="46">
        <v>-0.22353247475623664</v>
      </c>
      <c r="V27" s="46">
        <v>0.28521630162788081</v>
      </c>
      <c r="W27" s="46">
        <v>-0.41550669595990536</v>
      </c>
      <c r="X27" s="46">
        <v>11.393547044027539</v>
      </c>
      <c r="Y27" s="46">
        <v>-0.22353247475623664</v>
      </c>
      <c r="Z27" s="46">
        <v>0.28521630162788081</v>
      </c>
    </row>
    <row r="28" spans="1:26" x14ac:dyDescent="0.35">
      <c r="A28" s="44">
        <v>44215</v>
      </c>
      <c r="B28" s="20">
        <f t="shared" si="5"/>
        <v>44204</v>
      </c>
      <c r="C28" s="35">
        <v>48.75</v>
      </c>
      <c r="D28" s="36"/>
      <c r="E28" s="36"/>
      <c r="F28" s="36">
        <v>18.376000000000001</v>
      </c>
      <c r="G28" s="36">
        <v>25.3</v>
      </c>
      <c r="H28" s="42">
        <v>0</v>
      </c>
      <c r="I28" s="40">
        <f t="shared" si="6"/>
        <v>0.25958214776873278</v>
      </c>
      <c r="J28" s="40">
        <f t="shared" si="7"/>
        <v>0.28738715006080801</v>
      </c>
      <c r="K28" s="41">
        <f t="shared" si="4"/>
        <v>0.76998107294060014</v>
      </c>
      <c r="L28" s="23">
        <f t="shared" si="8"/>
        <v>1.0767123287671232</v>
      </c>
      <c r="M28" s="28">
        <f t="shared" si="9"/>
        <v>31</v>
      </c>
      <c r="N28" s="29" t="s">
        <v>9</v>
      </c>
      <c r="O28" s="30">
        <v>1</v>
      </c>
      <c r="P28" s="31">
        <v>0</v>
      </c>
      <c r="Q28" s="1">
        <v>1</v>
      </c>
      <c r="R28" s="46">
        <v>1.4622986176210429</v>
      </c>
      <c r="S28" s="46">
        <v>-6.7240000000000002</v>
      </c>
      <c r="T28" s="46">
        <v>8.1862986176210431</v>
      </c>
      <c r="U28" s="46">
        <v>-0.21997789860912279</v>
      </c>
      <c r="V28" s="46">
        <v>0.27981330666069681</v>
      </c>
      <c r="W28" s="46">
        <v>-0.42446408263936258</v>
      </c>
      <c r="X28" s="46">
        <v>11.248104478566319</v>
      </c>
      <c r="Y28" s="46">
        <v>-0.21997789860912279</v>
      </c>
      <c r="Z28" s="46">
        <v>0.27981330666069681</v>
      </c>
    </row>
    <row r="29" spans="1:26" x14ac:dyDescent="0.35">
      <c r="A29" s="44">
        <v>44216</v>
      </c>
      <c r="B29" s="20">
        <f t="shared" si="5"/>
        <v>44207</v>
      </c>
      <c r="C29" s="35">
        <v>48.75</v>
      </c>
      <c r="D29" s="36"/>
      <c r="E29" s="36"/>
      <c r="F29" s="36">
        <v>18.376000000000001</v>
      </c>
      <c r="G29" s="36">
        <v>25.3</v>
      </c>
      <c r="H29" s="42">
        <v>0</v>
      </c>
      <c r="I29" s="40">
        <f t="shared" si="6"/>
        <v>0.25660304038029613</v>
      </c>
      <c r="J29" s="40">
        <f t="shared" si="7"/>
        <v>0.2830177925577676</v>
      </c>
      <c r="K29" s="41">
        <f t="shared" si="4"/>
        <v>0.77298296564654012</v>
      </c>
      <c r="L29" s="23">
        <f t="shared" si="8"/>
        <v>1.0849315068493151</v>
      </c>
      <c r="M29" s="28">
        <f t="shared" si="9"/>
        <v>31</v>
      </c>
      <c r="N29" s="29" t="s">
        <v>9</v>
      </c>
      <c r="O29" s="30">
        <v>1</v>
      </c>
      <c r="P29" s="31">
        <v>0</v>
      </c>
      <c r="Q29" s="1">
        <v>1</v>
      </c>
      <c r="R29" s="46">
        <v>1.4091776764099926</v>
      </c>
      <c r="S29" s="46">
        <v>-6.7240000000000002</v>
      </c>
      <c r="T29" s="46">
        <v>8.1331776764099928</v>
      </c>
      <c r="U29" s="46">
        <v>-0.21698552107877001</v>
      </c>
      <c r="V29" s="46">
        <v>0.27532001730101652</v>
      </c>
      <c r="W29" s="46">
        <v>-0.42869578888055127</v>
      </c>
      <c r="X29" s="46">
        <v>11.147143624376969</v>
      </c>
      <c r="Y29" s="46">
        <v>-0.21698552107877001</v>
      </c>
      <c r="Z29" s="46">
        <v>0.27532001730101652</v>
      </c>
    </row>
    <row r="30" spans="1:26" x14ac:dyDescent="0.35">
      <c r="A30" s="44">
        <v>44217</v>
      </c>
      <c r="B30" s="20">
        <f t="shared" si="5"/>
        <v>44208</v>
      </c>
      <c r="C30" s="35">
        <v>48.75</v>
      </c>
      <c r="D30" s="36"/>
      <c r="E30" s="36"/>
      <c r="F30" s="36">
        <v>18.376000000000001</v>
      </c>
      <c r="G30" s="36">
        <v>25.3</v>
      </c>
      <c r="H30" s="42">
        <v>0</v>
      </c>
      <c r="I30" s="40">
        <f t="shared" si="6"/>
        <v>0.25377288836128131</v>
      </c>
      <c r="J30" s="40">
        <f t="shared" si="7"/>
        <v>0.2788669029298792</v>
      </c>
      <c r="K30" s="41">
        <f t="shared" si="4"/>
        <v>0.77568466908188616</v>
      </c>
      <c r="L30" s="23">
        <f t="shared" si="8"/>
        <v>1.0876712328767124</v>
      </c>
      <c r="M30" s="28">
        <f t="shared" si="9"/>
        <v>31</v>
      </c>
      <c r="N30" s="29" t="s">
        <v>9</v>
      </c>
      <c r="O30" s="30">
        <v>1</v>
      </c>
      <c r="P30" s="31">
        <v>0</v>
      </c>
      <c r="Q30" s="1">
        <v>1</v>
      </c>
      <c r="R30" s="46">
        <v>1.3529011637774317</v>
      </c>
      <c r="S30" s="46">
        <v>-6.7240000000000002</v>
      </c>
      <c r="T30" s="46">
        <v>8.0769011637774319</v>
      </c>
      <c r="U30" s="46">
        <v>-0.21367447589086108</v>
      </c>
      <c r="V30" s="46">
        <v>0.27040682282714396</v>
      </c>
      <c r="W30" s="46">
        <v>-0.42586325934228741</v>
      </c>
      <c r="X30" s="46">
        <v>11.008035595141868</v>
      </c>
      <c r="Y30" s="46">
        <v>-0.21367447589086108</v>
      </c>
      <c r="Z30" s="46">
        <v>0.27040682282714396</v>
      </c>
    </row>
    <row r="31" spans="1:26" x14ac:dyDescent="0.35">
      <c r="A31" s="44">
        <v>44218</v>
      </c>
      <c r="B31" s="20">
        <f t="shared" si="5"/>
        <v>44209</v>
      </c>
      <c r="C31" s="35">
        <v>48.75</v>
      </c>
      <c r="D31" s="36"/>
      <c r="E31" s="36"/>
      <c r="F31" s="36">
        <v>18.376000000000001</v>
      </c>
      <c r="G31" s="36">
        <v>25.3</v>
      </c>
      <c r="H31" s="42">
        <v>0</v>
      </c>
      <c r="I31" s="40">
        <f t="shared" si="6"/>
        <v>0.25108424394321727</v>
      </c>
      <c r="J31" s="40">
        <f t="shared" si="7"/>
        <v>0.27492355778338523</v>
      </c>
      <c r="K31" s="41">
        <f t="shared" si="4"/>
        <v>0.77811620217369759</v>
      </c>
      <c r="L31" s="23">
        <f t="shared" si="8"/>
        <v>1.0904109589041096</v>
      </c>
      <c r="M31" s="28">
        <f t="shared" si="9"/>
        <v>31</v>
      </c>
      <c r="N31" s="29" t="s">
        <v>9</v>
      </c>
      <c r="O31" s="30">
        <v>1</v>
      </c>
      <c r="P31" s="31">
        <v>0</v>
      </c>
      <c r="Q31" s="1">
        <v>1</v>
      </c>
      <c r="R31" s="46">
        <v>1.3009936049113655</v>
      </c>
      <c r="S31" s="46">
        <v>-6.7240000000000002</v>
      </c>
      <c r="T31" s="46">
        <v>8.0249936049113657</v>
      </c>
      <c r="U31" s="46">
        <v>-0.21048526943193357</v>
      </c>
      <c r="V31" s="46">
        <v>0.26572655567768233</v>
      </c>
      <c r="W31" s="46">
        <v>-0.41829790078410622</v>
      </c>
      <c r="X31" s="46">
        <v>10.872483315709895</v>
      </c>
      <c r="Y31" s="46">
        <v>-0.21048526943193357</v>
      </c>
      <c r="Z31" s="46">
        <v>0.26572655567768233</v>
      </c>
    </row>
    <row r="32" spans="1:26" x14ac:dyDescent="0.35">
      <c r="A32" s="44">
        <v>44219</v>
      </c>
      <c r="B32" s="20">
        <f t="shared" si="5"/>
        <v>44210</v>
      </c>
      <c r="C32" s="35">
        <v>48.75</v>
      </c>
      <c r="D32" s="36"/>
      <c r="E32" s="36"/>
      <c r="F32" s="36">
        <v>18.376000000000001</v>
      </c>
      <c r="G32" s="36">
        <v>25.3</v>
      </c>
      <c r="H32" s="42">
        <v>0</v>
      </c>
      <c r="I32" s="40">
        <f t="shared" si="6"/>
        <v>0.2485300317460564</v>
      </c>
      <c r="J32" s="40">
        <f t="shared" si="7"/>
        <v>0.27117737989421598</v>
      </c>
      <c r="K32" s="41">
        <f t="shared" si="4"/>
        <v>0.78030458195632779</v>
      </c>
      <c r="L32" s="23">
        <f t="shared" si="8"/>
        <v>1.0931506849315069</v>
      </c>
      <c r="M32" s="28">
        <f t="shared" si="9"/>
        <v>31</v>
      </c>
      <c r="N32" s="29" t="s">
        <v>9</v>
      </c>
      <c r="O32" s="30">
        <v>1</v>
      </c>
      <c r="P32" s="31">
        <v>0</v>
      </c>
      <c r="Q32" s="1">
        <v>1</v>
      </c>
      <c r="R32" s="46">
        <v>1.2530788769862919</v>
      </c>
      <c r="S32" s="46">
        <v>-6.7240000000000002</v>
      </c>
      <c r="T32" s="46">
        <v>7.9770788769862921</v>
      </c>
      <c r="U32" s="46">
        <v>-0.20741884926600065</v>
      </c>
      <c r="V32" s="46">
        <v>0.2612717203890651</v>
      </c>
      <c r="W32" s="46">
        <v>-0.40669298024740191</v>
      </c>
      <c r="X32" s="46">
        <v>10.740672299335246</v>
      </c>
      <c r="Y32" s="46">
        <v>-0.20741884926600065</v>
      </c>
      <c r="Z32" s="46">
        <v>0.2612717203890651</v>
      </c>
    </row>
    <row r="33" spans="1:26" x14ac:dyDescent="0.35">
      <c r="A33" s="44">
        <v>44220</v>
      </c>
      <c r="B33" s="20">
        <f t="shared" si="5"/>
        <v>44210</v>
      </c>
      <c r="C33" s="35">
        <v>48.75</v>
      </c>
      <c r="D33" s="36"/>
      <c r="E33" s="36"/>
      <c r="F33" s="36">
        <v>18.376000000000001</v>
      </c>
      <c r="G33" s="36">
        <v>25.3</v>
      </c>
      <c r="H33" s="42">
        <v>0</v>
      </c>
      <c r="I33" s="40">
        <f t="shared" si="6"/>
        <v>0.24610353015875358</v>
      </c>
      <c r="J33" s="40">
        <f t="shared" si="7"/>
        <v>0.26761851089950517</v>
      </c>
      <c r="K33" s="41">
        <f t="shared" si="4"/>
        <v>0.78227412376069505</v>
      </c>
      <c r="L33" s="23">
        <f t="shared" si="8"/>
        <v>1.0931506849315069</v>
      </c>
      <c r="M33" s="28">
        <f t="shared" si="9"/>
        <v>31</v>
      </c>
      <c r="N33" s="29" t="s">
        <v>9</v>
      </c>
      <c r="O33" s="30">
        <v>1</v>
      </c>
      <c r="P33" s="31">
        <v>0</v>
      </c>
      <c r="Q33" s="1">
        <v>1</v>
      </c>
      <c r="R33" s="46">
        <v>1.2053854133592221</v>
      </c>
      <c r="S33" s="46">
        <v>-6.7240000000000002</v>
      </c>
      <c r="T33" s="46">
        <v>7.9293854133592223</v>
      </c>
      <c r="U33" s="46">
        <v>-0.20424328476997206</v>
      </c>
      <c r="V33" s="46">
        <v>0.25670113825063151</v>
      </c>
      <c r="W33" s="46">
        <v>-0.39091817184789501</v>
      </c>
      <c r="X33" s="46">
        <v>10.592310425361909</v>
      </c>
      <c r="Y33" s="46">
        <v>-0.20424328476997206</v>
      </c>
      <c r="Z33" s="46">
        <v>0.25670113825063151</v>
      </c>
    </row>
    <row r="34" spans="1:26" x14ac:dyDescent="0.35">
      <c r="A34" s="44">
        <v>44221</v>
      </c>
      <c r="B34" s="20">
        <f t="shared" si="5"/>
        <v>44210</v>
      </c>
      <c r="C34" s="35">
        <v>48.75</v>
      </c>
      <c r="D34" s="36"/>
      <c r="E34" s="36"/>
      <c r="F34" s="36">
        <v>18.376000000000001</v>
      </c>
      <c r="G34" s="36">
        <v>25.3</v>
      </c>
      <c r="H34" s="42">
        <v>0</v>
      </c>
      <c r="I34" s="40">
        <f t="shared" si="6"/>
        <v>0.2437983536508159</v>
      </c>
      <c r="J34" s="40">
        <f t="shared" si="7"/>
        <v>0.2642375853545299</v>
      </c>
      <c r="K34" s="41">
        <f t="shared" si="4"/>
        <v>0.78404671138462556</v>
      </c>
      <c r="L34" s="23">
        <f t="shared" si="8"/>
        <v>1.0931506849315069</v>
      </c>
      <c r="M34" s="28">
        <f t="shared" si="9"/>
        <v>31</v>
      </c>
      <c r="N34" s="29" t="s">
        <v>9</v>
      </c>
      <c r="O34" s="30">
        <v>1</v>
      </c>
      <c r="P34" s="31">
        <v>0</v>
      </c>
      <c r="Q34" s="1">
        <v>1</v>
      </c>
      <c r="R34" s="46">
        <v>1.1612088925154733</v>
      </c>
      <c r="S34" s="46">
        <v>-6.7240000000000002</v>
      </c>
      <c r="T34" s="46">
        <v>7.8852088925154735</v>
      </c>
      <c r="U34" s="46">
        <v>-0.2011853085476262</v>
      </c>
      <c r="V34" s="46">
        <v>0.25233886226806101</v>
      </c>
      <c r="W34" s="46">
        <v>-0.37234275958463636</v>
      </c>
      <c r="X34" s="46">
        <v>10.448068119947971</v>
      </c>
      <c r="Y34" s="46">
        <v>-0.2011853085476262</v>
      </c>
      <c r="Z34" s="46">
        <v>0.25233886226806101</v>
      </c>
    </row>
    <row r="35" spans="1:26" x14ac:dyDescent="0.35">
      <c r="A35" s="44">
        <v>44222</v>
      </c>
      <c r="B35" s="20">
        <f t="shared" si="5"/>
        <v>44211</v>
      </c>
      <c r="C35" s="35">
        <v>48.75</v>
      </c>
      <c r="D35" s="36"/>
      <c r="E35" s="36"/>
      <c r="F35" s="36">
        <v>18.376000000000001</v>
      </c>
      <c r="G35" s="36">
        <v>25.3</v>
      </c>
      <c r="H35" s="42">
        <v>0</v>
      </c>
      <c r="I35" s="40">
        <f t="shared" si="6"/>
        <v>0.24160843596827511</v>
      </c>
      <c r="J35" s="40">
        <f t="shared" si="7"/>
        <v>0.26102570608680342</v>
      </c>
      <c r="K35" s="41">
        <f t="shared" si="4"/>
        <v>0.78564204024616302</v>
      </c>
      <c r="L35" s="23">
        <f t="shared" si="8"/>
        <v>1.095890410958904</v>
      </c>
      <c r="M35" s="28">
        <f t="shared" si="9"/>
        <v>31</v>
      </c>
      <c r="N35" s="29" t="s">
        <v>9</v>
      </c>
      <c r="O35" s="30">
        <v>1</v>
      </c>
      <c r="P35" s="31">
        <v>0</v>
      </c>
      <c r="Q35" s="1">
        <v>1</v>
      </c>
      <c r="R35" s="46">
        <v>1.1235179405424311</v>
      </c>
      <c r="S35" s="46">
        <v>-6.7240000000000002</v>
      </c>
      <c r="T35" s="46">
        <v>7.8475179405424313</v>
      </c>
      <c r="U35" s="46">
        <v>-0.19848133104391741</v>
      </c>
      <c r="V35" s="46">
        <v>0.24851344889846236</v>
      </c>
      <c r="W35" s="46">
        <v>-0.35217627460661199</v>
      </c>
      <c r="X35" s="46">
        <v>10.328415375317698</v>
      </c>
      <c r="Y35" s="46">
        <v>-0.19848133104391741</v>
      </c>
      <c r="Z35" s="46">
        <v>0.24851344889846236</v>
      </c>
    </row>
    <row r="36" spans="1:26" x14ac:dyDescent="0.35">
      <c r="A36" s="44">
        <v>44223</v>
      </c>
      <c r="B36" s="20">
        <f t="shared" si="5"/>
        <v>44214</v>
      </c>
      <c r="C36" s="35">
        <v>48.75</v>
      </c>
      <c r="D36" s="36"/>
      <c r="E36" s="36"/>
      <c r="F36" s="36">
        <v>18.376000000000001</v>
      </c>
      <c r="G36" s="36">
        <v>25.3</v>
      </c>
      <c r="H36" s="42">
        <v>0</v>
      </c>
      <c r="I36" s="40">
        <f t="shared" si="6"/>
        <v>0.23952801416986136</v>
      </c>
      <c r="J36" s="40">
        <f t="shared" si="7"/>
        <v>0.25797442078246324</v>
      </c>
      <c r="K36" s="41">
        <f t="shared" si="4"/>
        <v>0.7870778362215467</v>
      </c>
      <c r="L36" s="23">
        <f t="shared" si="8"/>
        <v>1.1041095890410959</v>
      </c>
      <c r="M36" s="28">
        <f t="shared" si="9"/>
        <v>31</v>
      </c>
      <c r="N36" s="29" t="s">
        <v>9</v>
      </c>
      <c r="O36" s="30">
        <v>1</v>
      </c>
      <c r="P36" s="31">
        <v>0</v>
      </c>
      <c r="Q36" s="1">
        <v>1</v>
      </c>
      <c r="R36" s="46">
        <v>1.0949969905514116</v>
      </c>
      <c r="S36" s="46">
        <v>-6.7240000000000002</v>
      </c>
      <c r="T36" s="46">
        <v>7.8189969905514118</v>
      </c>
      <c r="U36" s="46">
        <v>-0.19637151632240493</v>
      </c>
      <c r="V36" s="46">
        <v>0.24555214195023414</v>
      </c>
      <c r="W36" s="46">
        <v>-0.33141305031772494</v>
      </c>
      <c r="X36" s="46">
        <v>10.253446641690376</v>
      </c>
      <c r="Y36" s="46">
        <v>-0.19637151632240493</v>
      </c>
      <c r="Z36" s="46">
        <v>0.24555214195023414</v>
      </c>
    </row>
    <row r="37" spans="1:26" x14ac:dyDescent="0.35">
      <c r="A37" s="44">
        <v>44224</v>
      </c>
      <c r="B37" s="20">
        <f t="shared" si="5"/>
        <v>44215</v>
      </c>
      <c r="C37" s="35">
        <v>48.75</v>
      </c>
      <c r="D37" s="36"/>
      <c r="E37" s="36"/>
      <c r="F37" s="36">
        <v>18.376000000000001</v>
      </c>
      <c r="G37" s="36">
        <v>25.3</v>
      </c>
      <c r="H37" s="42">
        <v>0</v>
      </c>
      <c r="I37" s="40">
        <f t="shared" si="6"/>
        <v>0.2375516134613683</v>
      </c>
      <c r="J37" s="40">
        <f t="shared" si="7"/>
        <v>0.2550756997433401</v>
      </c>
      <c r="K37" s="41">
        <f t="shared" si="4"/>
        <v>0.78837005259939208</v>
      </c>
      <c r="L37" s="23">
        <f t="shared" si="8"/>
        <v>1.106849315068493</v>
      </c>
      <c r="M37" s="28">
        <f t="shared" si="9"/>
        <v>31</v>
      </c>
      <c r="N37" s="29" t="s">
        <v>9</v>
      </c>
      <c r="O37" s="30">
        <v>1</v>
      </c>
      <c r="P37" s="31">
        <v>0</v>
      </c>
      <c r="Q37" s="1">
        <v>1</v>
      </c>
      <c r="R37" s="46">
        <v>1.0625317899380615</v>
      </c>
      <c r="S37" s="46">
        <v>-6.7240000000000002</v>
      </c>
      <c r="T37" s="46">
        <v>7.7865317899380617</v>
      </c>
      <c r="U37" s="46">
        <v>-0.19390645364303072</v>
      </c>
      <c r="V37" s="46">
        <v>0.24210823880726853</v>
      </c>
      <c r="W37" s="46">
        <v>-0.30773934019200189</v>
      </c>
      <c r="X37" s="46">
        <v>10.142044352576276</v>
      </c>
      <c r="Y37" s="46">
        <v>-0.19390645364303072</v>
      </c>
      <c r="Z37" s="46">
        <v>0.24210823880726853</v>
      </c>
    </row>
    <row r="38" spans="1:26" x14ac:dyDescent="0.35">
      <c r="A38" s="44">
        <v>44225</v>
      </c>
      <c r="B38" s="20">
        <f t="shared" si="5"/>
        <v>44216</v>
      </c>
      <c r="C38" s="35">
        <v>48.75</v>
      </c>
      <c r="D38" s="36"/>
      <c r="E38" s="36"/>
      <c r="F38" s="36">
        <v>18.376000000000001</v>
      </c>
      <c r="G38" s="36">
        <v>25.3</v>
      </c>
      <c r="H38" s="42">
        <v>0</v>
      </c>
      <c r="I38" s="40">
        <f t="shared" si="6"/>
        <v>0.23567403278829988</v>
      </c>
      <c r="J38" s="40">
        <f t="shared" si="7"/>
        <v>0.2523219147561731</v>
      </c>
      <c r="K38" s="41">
        <f t="shared" si="4"/>
        <v>0.78953304733945284</v>
      </c>
      <c r="L38" s="23">
        <f t="shared" si="8"/>
        <v>1.1095890410958904</v>
      </c>
      <c r="M38" s="28">
        <f t="shared" si="9"/>
        <v>31</v>
      </c>
      <c r="N38" s="29" t="s">
        <v>9</v>
      </c>
      <c r="O38" s="30">
        <v>1</v>
      </c>
      <c r="P38" s="31">
        <v>0</v>
      </c>
      <c r="Q38" s="1">
        <v>1</v>
      </c>
      <c r="R38" s="46">
        <v>1.0324374933800371</v>
      </c>
      <c r="S38" s="46">
        <v>-6.7240000000000002</v>
      </c>
      <c r="T38" s="46">
        <v>7.7564374933800373</v>
      </c>
      <c r="U38" s="46">
        <v>-0.19155536612311713</v>
      </c>
      <c r="V38" s="46">
        <v>0.23884330923958502</v>
      </c>
      <c r="W38" s="46">
        <v>-0.28288455670681306</v>
      </c>
      <c r="X38" s="46">
        <v>10.03487437651742</v>
      </c>
      <c r="Y38" s="46">
        <v>-0.19155536612311713</v>
      </c>
      <c r="Z38" s="46">
        <v>0.23884330923958502</v>
      </c>
    </row>
    <row r="39" spans="1:26" x14ac:dyDescent="0.35">
      <c r="A39" s="44">
        <v>44226</v>
      </c>
      <c r="B39" s="20">
        <f t="shared" si="5"/>
        <v>44217</v>
      </c>
      <c r="C39" s="35">
        <v>48.75</v>
      </c>
      <c r="D39" s="36"/>
      <c r="E39" s="36"/>
      <c r="F39" s="36">
        <v>18.376000000000001</v>
      </c>
      <c r="G39" s="36">
        <v>25.3</v>
      </c>
      <c r="H39" s="42">
        <v>0</v>
      </c>
      <c r="I39" s="40">
        <f t="shared" si="6"/>
        <v>0.23389033114888488</v>
      </c>
      <c r="J39" s="40">
        <f t="shared" si="7"/>
        <v>0.24970581901836444</v>
      </c>
      <c r="K39" s="41">
        <f t="shared" si="4"/>
        <v>0.79057974260550756</v>
      </c>
      <c r="L39" s="23">
        <f t="shared" si="8"/>
        <v>1.1123287671232878</v>
      </c>
      <c r="M39" s="28">
        <f t="shared" si="9"/>
        <v>31</v>
      </c>
      <c r="N39" s="29" t="s">
        <v>9</v>
      </c>
      <c r="O39" s="30">
        <v>1</v>
      </c>
      <c r="P39" s="31">
        <v>0</v>
      </c>
      <c r="Q39" s="1">
        <v>1</v>
      </c>
      <c r="R39" s="46">
        <v>1.0045241979297739</v>
      </c>
      <c r="S39" s="46">
        <v>-6.7240000000000002</v>
      </c>
      <c r="T39" s="46">
        <v>7.7285241979297741</v>
      </c>
      <c r="U39" s="46">
        <v>-0.18931532040704058</v>
      </c>
      <c r="V39" s="46">
        <v>0.23574983181571604</v>
      </c>
      <c r="W39" s="46">
        <v>-0.25714913791505467</v>
      </c>
      <c r="X39" s="46">
        <v>9.9319337261141154</v>
      </c>
      <c r="Y39" s="46">
        <v>-0.18931532040704058</v>
      </c>
      <c r="Z39" s="46">
        <v>0.23574983181571604</v>
      </c>
    </row>
    <row r="40" spans="1:26" x14ac:dyDescent="0.35">
      <c r="A40" s="44">
        <v>44227</v>
      </c>
      <c r="B40" s="20">
        <f t="shared" si="5"/>
        <v>44217</v>
      </c>
      <c r="C40" s="35">
        <v>48.75</v>
      </c>
      <c r="D40" s="36"/>
      <c r="E40" s="36"/>
      <c r="F40" s="36">
        <v>18.376000000000001</v>
      </c>
      <c r="G40" s="36">
        <v>25.3</v>
      </c>
      <c r="H40" s="42">
        <v>0</v>
      </c>
      <c r="I40" s="40">
        <f t="shared" si="6"/>
        <v>0.23219581459144065</v>
      </c>
      <c r="J40" s="40">
        <f t="shared" si="7"/>
        <v>0.24722052806744621</v>
      </c>
      <c r="K40" s="41">
        <f t="shared" si="4"/>
        <v>0.7915217683449568</v>
      </c>
      <c r="L40" s="23">
        <f t="shared" si="8"/>
        <v>1.1123287671232878</v>
      </c>
      <c r="M40" s="28">
        <f t="shared" si="9"/>
        <v>31</v>
      </c>
      <c r="N40" s="29" t="s">
        <v>9</v>
      </c>
      <c r="O40" s="30">
        <v>1</v>
      </c>
      <c r="P40" s="31">
        <v>0</v>
      </c>
      <c r="Q40" s="1">
        <v>1</v>
      </c>
      <c r="R40" s="46">
        <v>0.97569782105558822</v>
      </c>
      <c r="S40" s="46">
        <v>-6.7240000000000002</v>
      </c>
      <c r="T40" s="46">
        <v>7.6996978210555884</v>
      </c>
      <c r="U40" s="46">
        <v>-0.18694182825894479</v>
      </c>
      <c r="V40" s="46">
        <v>0.23248644902713669</v>
      </c>
      <c r="W40" s="46">
        <v>-0.23032668788943242</v>
      </c>
      <c r="X40" s="46">
        <v>9.8132638206377099</v>
      </c>
      <c r="Y40" s="46">
        <v>-0.18694182825894479</v>
      </c>
      <c r="Z40" s="46">
        <v>0.23248644902713669</v>
      </c>
    </row>
    <row r="41" spans="1:26" x14ac:dyDescent="0.35">
      <c r="A41" s="44">
        <v>44228</v>
      </c>
      <c r="B41" s="20">
        <f t="shared" si="5"/>
        <v>44217</v>
      </c>
      <c r="C41" s="35">
        <v>48.75</v>
      </c>
      <c r="D41" s="36"/>
      <c r="E41" s="36"/>
      <c r="F41" s="36">
        <v>18.376000000000001</v>
      </c>
      <c r="G41" s="36">
        <v>25.3</v>
      </c>
      <c r="H41" s="42">
        <v>0</v>
      </c>
      <c r="I41" s="40">
        <f t="shared" si="6"/>
        <v>0.23058602386186861</v>
      </c>
      <c r="J41" s="40">
        <f t="shared" si="7"/>
        <v>0.24485950166407389</v>
      </c>
      <c r="K41" s="41">
        <f t="shared" si="4"/>
        <v>0.79236959151046116</v>
      </c>
      <c r="L41" s="23">
        <f t="shared" si="8"/>
        <v>1.1123287671232878</v>
      </c>
      <c r="M41" s="28">
        <f t="shared" si="9"/>
        <v>31</v>
      </c>
      <c r="N41" s="29" t="s">
        <v>9</v>
      </c>
      <c r="O41" s="30">
        <v>1</v>
      </c>
      <c r="P41" s="31">
        <v>0</v>
      </c>
      <c r="Q41" s="1">
        <v>1</v>
      </c>
      <c r="R41" s="46">
        <v>0.94883348045789973</v>
      </c>
      <c r="S41" s="46">
        <v>-6.7240000000000002</v>
      </c>
      <c r="T41" s="46">
        <v>7.6728334804578999</v>
      </c>
      <c r="U41" s="46">
        <v>-0.18467070114940529</v>
      </c>
      <c r="V41" s="46">
        <v>0.22937961472244148</v>
      </c>
      <c r="W41" s="46">
        <v>-0.20321472943847566</v>
      </c>
      <c r="X41" s="46">
        <v>9.6988910357776668</v>
      </c>
      <c r="Y41" s="46">
        <v>-0.18467070114940529</v>
      </c>
      <c r="Z41" s="46">
        <v>0.22937961472244148</v>
      </c>
    </row>
    <row r="42" spans="1:26" x14ac:dyDescent="0.35">
      <c r="A42" s="44">
        <v>44229</v>
      </c>
      <c r="B42" s="20">
        <f t="shared" si="5"/>
        <v>44218</v>
      </c>
      <c r="C42" s="35">
        <v>48.75</v>
      </c>
      <c r="D42" s="36"/>
      <c r="E42" s="36"/>
      <c r="F42" s="36">
        <v>18.376000000000001</v>
      </c>
      <c r="G42" s="36">
        <v>25.3</v>
      </c>
      <c r="H42" s="42">
        <v>0</v>
      </c>
      <c r="I42" s="40">
        <f t="shared" si="6"/>
        <v>0.22905672266877516</v>
      </c>
      <c r="J42" s="40">
        <f t="shared" si="7"/>
        <v>0.24261652658087018</v>
      </c>
      <c r="K42" s="41">
        <f t="shared" si="4"/>
        <v>0.793132632359415</v>
      </c>
      <c r="L42" s="23">
        <f t="shared" si="8"/>
        <v>1.1150684931506849</v>
      </c>
      <c r="M42" s="28">
        <f t="shared" si="9"/>
        <v>31</v>
      </c>
      <c r="N42" s="29" t="s">
        <v>9</v>
      </c>
      <c r="O42" s="30">
        <v>1</v>
      </c>
      <c r="P42" s="31">
        <v>0</v>
      </c>
      <c r="Q42" s="1">
        <v>1</v>
      </c>
      <c r="R42" s="46">
        <v>0.92659313056167569</v>
      </c>
      <c r="S42" s="46">
        <v>-6.7240000000000002</v>
      </c>
      <c r="T42" s="46">
        <v>7.6505931305616759</v>
      </c>
      <c r="U42" s="46">
        <v>-0.18274308407765227</v>
      </c>
      <c r="V42" s="46">
        <v>0.22675770677827756</v>
      </c>
      <c r="W42" s="46">
        <v>-0.17637619701431717</v>
      </c>
      <c r="X42" s="46">
        <v>9.608603564619095</v>
      </c>
      <c r="Y42" s="46">
        <v>-0.18274308407765227</v>
      </c>
      <c r="Z42" s="46">
        <v>0.22675770677827756</v>
      </c>
    </row>
    <row r="43" spans="1:26" x14ac:dyDescent="0.35">
      <c r="A43" s="44">
        <v>44230</v>
      </c>
      <c r="B43" s="20">
        <f t="shared" si="5"/>
        <v>44221</v>
      </c>
      <c r="C43" s="35">
        <v>48.75</v>
      </c>
      <c r="D43" s="36"/>
      <c r="E43" s="36"/>
      <c r="F43" s="36">
        <v>18.376000000000001</v>
      </c>
      <c r="G43" s="36">
        <v>25.3</v>
      </c>
      <c r="H43" s="42">
        <v>0</v>
      </c>
      <c r="I43" s="40">
        <f t="shared" si="6"/>
        <v>0.22760388653533642</v>
      </c>
      <c r="J43" s="40">
        <f t="shared" si="7"/>
        <v>0.24048570025182667</v>
      </c>
      <c r="K43" s="41">
        <f t="shared" si="4"/>
        <v>0.79381936912347351</v>
      </c>
      <c r="L43" s="23">
        <f t="shared" si="8"/>
        <v>1.1232876712328768</v>
      </c>
      <c r="M43" s="28">
        <f t="shared" si="9"/>
        <v>31</v>
      </c>
      <c r="N43" s="29" t="s">
        <v>9</v>
      </c>
      <c r="O43" s="30">
        <v>1</v>
      </c>
      <c r="P43" s="31">
        <v>0</v>
      </c>
      <c r="Q43" s="1">
        <v>1</v>
      </c>
      <c r="R43" s="46">
        <v>0.91145162837970339</v>
      </c>
      <c r="S43" s="46">
        <v>-6.7240000000000002</v>
      </c>
      <c r="T43" s="46">
        <v>7.6354516283797036</v>
      </c>
      <c r="U43" s="46">
        <v>-0.18140052827893724</v>
      </c>
      <c r="V43" s="46">
        <v>0.22494596159644287</v>
      </c>
      <c r="W43" s="46">
        <v>-0.15012793750941103</v>
      </c>
      <c r="X43" s="46">
        <v>9.5618088462204405</v>
      </c>
      <c r="Y43" s="46">
        <v>-0.18140052827893724</v>
      </c>
      <c r="Z43" s="46">
        <v>0.22494596159644287</v>
      </c>
    </row>
    <row r="44" spans="1:26" x14ac:dyDescent="0.35">
      <c r="A44" s="44">
        <v>44231</v>
      </c>
      <c r="B44" s="20">
        <f t="shared" si="5"/>
        <v>44222</v>
      </c>
      <c r="C44" s="35">
        <v>48.75</v>
      </c>
      <c r="D44" s="36"/>
      <c r="E44" s="36"/>
      <c r="F44" s="36">
        <v>18.376000000000001</v>
      </c>
      <c r="G44" s="36">
        <v>25.3</v>
      </c>
      <c r="H44" s="42">
        <v>0</v>
      </c>
      <c r="I44" s="40">
        <f t="shared" si="6"/>
        <v>0.22622369220856958</v>
      </c>
      <c r="J44" s="40">
        <f t="shared" si="7"/>
        <v>0.23846141523923534</v>
      </c>
      <c r="K44" s="41">
        <f t="shared" si="4"/>
        <v>0.79443743221112617</v>
      </c>
      <c r="L44" s="23">
        <f t="shared" si="8"/>
        <v>1.1260273972602739</v>
      </c>
      <c r="M44" s="28">
        <f t="shared" si="9"/>
        <v>31</v>
      </c>
      <c r="N44" s="29" t="s">
        <v>9</v>
      </c>
      <c r="O44" s="30">
        <v>1</v>
      </c>
      <c r="P44" s="31">
        <v>0</v>
      </c>
      <c r="Q44" s="1">
        <v>1</v>
      </c>
      <c r="R44" s="46">
        <v>0.89214209003048062</v>
      </c>
      <c r="S44" s="46">
        <v>-6.7240000000000002</v>
      </c>
      <c r="T44" s="46">
        <v>7.6161420900304808</v>
      </c>
      <c r="U44" s="46">
        <v>-0.17966600277026049</v>
      </c>
      <c r="V44" s="46">
        <v>0.22260311887429671</v>
      </c>
      <c r="W44" s="46">
        <v>-0.12326460516185551</v>
      </c>
      <c r="X44" s="46">
        <v>9.4794029228354937</v>
      </c>
      <c r="Y44" s="46">
        <v>-0.17966600277026049</v>
      </c>
      <c r="Z44" s="46">
        <v>0.22260311887429671</v>
      </c>
    </row>
    <row r="45" spans="1:26" x14ac:dyDescent="0.35">
      <c r="A45" s="44">
        <v>44232</v>
      </c>
      <c r="B45" s="20">
        <f t="shared" si="5"/>
        <v>44223</v>
      </c>
      <c r="C45" s="35">
        <v>48.75</v>
      </c>
      <c r="D45" s="36"/>
      <c r="E45" s="36"/>
      <c r="F45" s="36">
        <v>18.376000000000001</v>
      </c>
      <c r="G45" s="36">
        <v>25.3</v>
      </c>
      <c r="H45" s="42">
        <v>0</v>
      </c>
      <c r="I45" s="40">
        <f t="shared" si="6"/>
        <v>0.2249125075981411</v>
      </c>
      <c r="J45" s="40">
        <f t="shared" si="7"/>
        <v>0.23653834447727357</v>
      </c>
      <c r="K45" s="41">
        <f t="shared" si="4"/>
        <v>0.79499368899001355</v>
      </c>
      <c r="L45" s="23">
        <f t="shared" si="8"/>
        <v>1.1287671232876713</v>
      </c>
      <c r="M45" s="28">
        <f t="shared" si="9"/>
        <v>31</v>
      </c>
      <c r="N45" s="29" t="s">
        <v>9</v>
      </c>
      <c r="O45" s="30">
        <v>1</v>
      </c>
      <c r="P45" s="31">
        <v>0</v>
      </c>
      <c r="Q45" s="1">
        <v>1</v>
      </c>
      <c r="R45" s="46">
        <v>0.87418240415571269</v>
      </c>
      <c r="S45" s="46">
        <v>-6.7240000000000002</v>
      </c>
      <c r="T45" s="46">
        <v>7.5981824041557129</v>
      </c>
      <c r="U45" s="46">
        <v>-0.17802212054015457</v>
      </c>
      <c r="V45" s="46">
        <v>0.22039053184930169</v>
      </c>
      <c r="W45" s="46">
        <v>-9.6632944201862442E-2</v>
      </c>
      <c r="X45" s="46">
        <v>9.4008957977334813</v>
      </c>
      <c r="Y45" s="46">
        <v>-0.17802212054015457</v>
      </c>
      <c r="Z45" s="46">
        <v>0.22039053184930169</v>
      </c>
    </row>
    <row r="46" spans="1:26" x14ac:dyDescent="0.35">
      <c r="A46" s="44">
        <v>44233</v>
      </c>
      <c r="B46" s="20">
        <f t="shared" si="5"/>
        <v>44224</v>
      </c>
      <c r="C46" s="35">
        <v>48.75</v>
      </c>
      <c r="D46" s="36"/>
      <c r="E46" s="36"/>
      <c r="F46" s="36">
        <v>18.376000000000001</v>
      </c>
      <c r="G46" s="36">
        <v>25.3</v>
      </c>
      <c r="H46" s="42">
        <v>0</v>
      </c>
      <c r="I46" s="40">
        <f t="shared" si="6"/>
        <v>0.22366688221823405</v>
      </c>
      <c r="J46" s="40">
        <f t="shared" si="7"/>
        <v>0.23471142725340988</v>
      </c>
      <c r="K46" s="41">
        <f t="shared" si="4"/>
        <v>0.79549432009101217</v>
      </c>
      <c r="L46" s="23">
        <f t="shared" si="8"/>
        <v>1.1315068493150684</v>
      </c>
      <c r="M46" s="28">
        <f t="shared" si="9"/>
        <v>31</v>
      </c>
      <c r="N46" s="29" t="s">
        <v>9</v>
      </c>
      <c r="O46" s="30">
        <v>1</v>
      </c>
      <c r="P46" s="31">
        <v>0</v>
      </c>
      <c r="Q46" s="1">
        <v>1</v>
      </c>
      <c r="R46" s="46">
        <v>0.85747318791447569</v>
      </c>
      <c r="S46" s="46">
        <v>-6.7240000000000002</v>
      </c>
      <c r="T46" s="46">
        <v>7.5814731879144759</v>
      </c>
      <c r="U46" s="46">
        <v>-0.17646537273816917</v>
      </c>
      <c r="V46" s="46">
        <v>0.21830210217063295</v>
      </c>
      <c r="W46" s="46">
        <v>-7.03334237138796E-2</v>
      </c>
      <c r="X46" s="46">
        <v>9.3261976134458404</v>
      </c>
      <c r="Y46" s="46">
        <v>-0.17646537273816917</v>
      </c>
      <c r="Z46" s="46">
        <v>0.21830210217063295</v>
      </c>
    </row>
    <row r="47" spans="1:26" x14ac:dyDescent="0.35">
      <c r="A47" s="44">
        <v>44234</v>
      </c>
      <c r="B47" s="20">
        <f t="shared" si="5"/>
        <v>44224</v>
      </c>
      <c r="C47" s="35">
        <v>48.75</v>
      </c>
      <c r="D47" s="36"/>
      <c r="E47" s="36"/>
      <c r="F47" s="36">
        <v>18.376000000000001</v>
      </c>
      <c r="G47" s="36">
        <v>25.3</v>
      </c>
      <c r="H47" s="42">
        <v>0</v>
      </c>
      <c r="I47" s="40">
        <f t="shared" si="6"/>
        <v>0.22248353810732235</v>
      </c>
      <c r="J47" s="40">
        <f t="shared" si="7"/>
        <v>0.23297585589073938</v>
      </c>
      <c r="K47" s="41">
        <f t="shared" si="4"/>
        <v>0.795944888081911</v>
      </c>
      <c r="L47" s="23">
        <f t="shared" si="8"/>
        <v>1.1315068493150684</v>
      </c>
      <c r="M47" s="28">
        <f t="shared" si="9"/>
        <v>31</v>
      </c>
      <c r="N47" s="29" t="s">
        <v>9</v>
      </c>
      <c r="O47" s="30">
        <v>1</v>
      </c>
      <c r="P47" s="31">
        <v>0</v>
      </c>
      <c r="Q47" s="1">
        <v>1</v>
      </c>
      <c r="R47" s="46">
        <v>0.83933073958546878</v>
      </c>
      <c r="S47" s="46">
        <v>-6.7240000000000002</v>
      </c>
      <c r="T47" s="46">
        <v>7.563330739585469</v>
      </c>
      <c r="U47" s="46">
        <v>-0.17474791230949016</v>
      </c>
      <c r="V47" s="46">
        <v>0.21600091420541737</v>
      </c>
      <c r="W47" s="46">
        <v>-4.4356169535516042E-2</v>
      </c>
      <c r="X47" s="46">
        <v>9.2358145943757535</v>
      </c>
      <c r="Y47" s="46">
        <v>-0.17474791230949016</v>
      </c>
      <c r="Z47" s="46">
        <v>0.21600091420541737</v>
      </c>
    </row>
    <row r="48" spans="1:26" x14ac:dyDescent="0.35">
      <c r="A48" s="44">
        <v>44235</v>
      </c>
      <c r="B48" s="20">
        <f t="shared" si="5"/>
        <v>44224</v>
      </c>
      <c r="C48" s="35">
        <v>48.75</v>
      </c>
      <c r="D48" s="36"/>
      <c r="E48" s="36"/>
      <c r="F48" s="36">
        <v>18.376000000000001</v>
      </c>
      <c r="G48" s="36">
        <v>25.3</v>
      </c>
      <c r="H48" s="42">
        <v>0</v>
      </c>
      <c r="I48" s="40">
        <f t="shared" si="6"/>
        <v>0.22135936120195623</v>
      </c>
      <c r="J48" s="40">
        <f t="shared" si="7"/>
        <v>0.23132706309620241</v>
      </c>
      <c r="K48" s="41">
        <f t="shared" si="4"/>
        <v>0.79635039927371987</v>
      </c>
      <c r="L48" s="23">
        <f t="shared" si="8"/>
        <v>1.1315068493150684</v>
      </c>
      <c r="M48" s="28">
        <f t="shared" si="9"/>
        <v>31</v>
      </c>
      <c r="N48" s="29" t="s">
        <v>9</v>
      </c>
      <c r="O48" s="30">
        <v>1</v>
      </c>
      <c r="P48" s="31">
        <v>0</v>
      </c>
      <c r="Q48" s="1">
        <v>1</v>
      </c>
      <c r="R48" s="46">
        <v>0.82233693881517134</v>
      </c>
      <c r="S48" s="46">
        <v>-6.7240000000000002</v>
      </c>
      <c r="T48" s="46">
        <v>7.5463369388151715</v>
      </c>
      <c r="U48" s="46">
        <v>-0.17310975836885778</v>
      </c>
      <c r="V48" s="46">
        <v>0.21381270657506582</v>
      </c>
      <c r="W48" s="46">
        <v>-1.896869952449096E-2</v>
      </c>
      <c r="X48" s="46">
        <v>9.149168279050734</v>
      </c>
      <c r="Y48" s="46">
        <v>-0.17310975836885778</v>
      </c>
      <c r="Z48" s="46">
        <v>0.21381270657506582</v>
      </c>
    </row>
    <row r="49" spans="1:26" x14ac:dyDescent="0.35">
      <c r="A49" s="44">
        <v>44236</v>
      </c>
      <c r="B49" s="20">
        <f t="shared" si="5"/>
        <v>44225</v>
      </c>
      <c r="C49" s="35">
        <v>48.75</v>
      </c>
      <c r="D49" s="36"/>
      <c r="E49" s="36"/>
      <c r="F49" s="36">
        <v>18.376000000000001</v>
      </c>
      <c r="G49" s="36">
        <v>25.3</v>
      </c>
      <c r="H49" s="42">
        <v>0</v>
      </c>
      <c r="I49" s="40">
        <f t="shared" si="6"/>
        <v>0.22029139314185842</v>
      </c>
      <c r="J49" s="40">
        <f t="shared" si="7"/>
        <v>0.22976070994139228</v>
      </c>
      <c r="K49" s="41">
        <f t="shared" si="4"/>
        <v>0.79671535934634785</v>
      </c>
      <c r="L49" s="23">
        <f t="shared" si="8"/>
        <v>1.1342465753424658</v>
      </c>
      <c r="M49" s="28">
        <f t="shared" si="9"/>
        <v>31</v>
      </c>
      <c r="N49" s="29" t="s">
        <v>9</v>
      </c>
      <c r="O49" s="30">
        <v>1</v>
      </c>
      <c r="P49" s="31">
        <v>0</v>
      </c>
      <c r="Q49" s="1">
        <v>1</v>
      </c>
      <c r="R49" s="46">
        <v>0.80893236421937331</v>
      </c>
      <c r="S49" s="46">
        <v>-6.7240000000000002</v>
      </c>
      <c r="T49" s="46">
        <v>7.5329323642193735</v>
      </c>
      <c r="U49" s="46">
        <v>-0.17179372415057068</v>
      </c>
      <c r="V49" s="46">
        <v>0.21206369781535564</v>
      </c>
      <c r="W49" s="46">
        <v>5.7883488206520372E-3</v>
      </c>
      <c r="X49" s="46">
        <v>9.0854539008107924</v>
      </c>
      <c r="Y49" s="46">
        <v>-0.17179372415057068</v>
      </c>
      <c r="Z49" s="46">
        <v>0.21206369781535564</v>
      </c>
    </row>
    <row r="50" spans="1:26" x14ac:dyDescent="0.35">
      <c r="A50" s="44">
        <v>44237</v>
      </c>
      <c r="B50" s="20">
        <f t="shared" si="5"/>
        <v>44228</v>
      </c>
      <c r="C50" s="35">
        <v>48.75</v>
      </c>
      <c r="D50" s="36"/>
      <c r="E50" s="36"/>
      <c r="F50" s="36">
        <v>18.376000000000001</v>
      </c>
      <c r="G50" s="36">
        <v>25.3</v>
      </c>
      <c r="H50" s="42">
        <v>0</v>
      </c>
      <c r="I50" s="40">
        <f t="shared" si="6"/>
        <v>0.21927682348476549</v>
      </c>
      <c r="J50" s="40">
        <f t="shared" si="7"/>
        <v>0.22827267444432267</v>
      </c>
      <c r="K50" s="41">
        <f t="shared" si="4"/>
        <v>0.79704382341171309</v>
      </c>
      <c r="L50" s="23">
        <f t="shared" si="8"/>
        <v>1.1424657534246576</v>
      </c>
      <c r="M50" s="28">
        <f t="shared" si="9"/>
        <v>28</v>
      </c>
      <c r="N50" s="29" t="s">
        <v>9</v>
      </c>
      <c r="O50" s="30">
        <v>1</v>
      </c>
      <c r="P50" s="31">
        <v>0</v>
      </c>
      <c r="Q50" s="1">
        <v>1</v>
      </c>
      <c r="R50" s="46">
        <v>0.80143258692187125</v>
      </c>
      <c r="S50" s="46">
        <v>-6.7240000000000002</v>
      </c>
      <c r="T50" s="46">
        <v>7.5254325869218714</v>
      </c>
      <c r="U50" s="46">
        <v>-0.17104118785855391</v>
      </c>
      <c r="V50" s="46">
        <v>0.21107610032607282</v>
      </c>
      <c r="W50" s="46">
        <v>3.0092407621393619E-2</v>
      </c>
      <c r="X50" s="46">
        <v>9.0635189827400939</v>
      </c>
      <c r="Y50" s="46">
        <v>-0.17104118785855391</v>
      </c>
      <c r="Z50" s="46">
        <v>0.21107610032607282</v>
      </c>
    </row>
    <row r="51" spans="1:26" x14ac:dyDescent="0.35">
      <c r="A51" s="44">
        <v>44238</v>
      </c>
      <c r="B51" s="20">
        <f t="shared" si="5"/>
        <v>44229</v>
      </c>
      <c r="C51" s="35">
        <v>48.75</v>
      </c>
      <c r="D51" s="36"/>
      <c r="E51" s="36"/>
      <c r="F51" s="36">
        <v>18.376000000000001</v>
      </c>
      <c r="G51" s="36">
        <v>25.3</v>
      </c>
      <c r="H51" s="42">
        <v>0</v>
      </c>
      <c r="I51" s="40">
        <f t="shared" si="6"/>
        <v>0.2183129823105272</v>
      </c>
      <c r="J51" s="40">
        <f t="shared" si="7"/>
        <v>0.22685904072210653</v>
      </c>
      <c r="K51" s="41">
        <f t="shared" si="4"/>
        <v>0.79733944107054178</v>
      </c>
      <c r="L51" s="23">
        <f t="shared" si="8"/>
        <v>1.1452054794520548</v>
      </c>
      <c r="M51" s="28">
        <f t="shared" si="9"/>
        <v>28</v>
      </c>
      <c r="N51" s="29" t="s">
        <v>9</v>
      </c>
      <c r="O51" s="30">
        <v>1</v>
      </c>
      <c r="P51" s="31">
        <v>0</v>
      </c>
      <c r="Q51" s="1">
        <v>1</v>
      </c>
      <c r="R51" s="46">
        <v>0.78975408470794406</v>
      </c>
      <c r="S51" s="46">
        <v>-6.7240000000000002</v>
      </c>
      <c r="T51" s="46">
        <v>7.5137540847079443</v>
      </c>
      <c r="U51" s="46">
        <v>-0.16986930482916254</v>
      </c>
      <c r="V51" s="46">
        <v>0.20952506653662395</v>
      </c>
      <c r="W51" s="46">
        <v>5.375605886133223E-2</v>
      </c>
      <c r="X51" s="46">
        <v>9.0063549762834949</v>
      </c>
      <c r="Y51" s="46">
        <v>-0.16986930482916254</v>
      </c>
      <c r="Z51" s="46">
        <v>0.20952506653662395</v>
      </c>
    </row>
    <row r="52" spans="1:26" x14ac:dyDescent="0.35">
      <c r="A52" s="44">
        <v>44239</v>
      </c>
      <c r="B52" s="20">
        <f t="shared" si="5"/>
        <v>44230</v>
      </c>
      <c r="C52" s="35">
        <v>48.75</v>
      </c>
      <c r="D52" s="36"/>
      <c r="E52" s="36"/>
      <c r="F52" s="36">
        <v>18.376000000000001</v>
      </c>
      <c r="G52" s="36">
        <v>25.3</v>
      </c>
      <c r="H52" s="42">
        <v>0</v>
      </c>
      <c r="I52" s="40">
        <f t="shared" si="6"/>
        <v>0.21739733319500085</v>
      </c>
      <c r="J52" s="40">
        <f t="shared" si="7"/>
        <v>0.2255160886860012</v>
      </c>
      <c r="K52" s="41">
        <f t="shared" si="4"/>
        <v>0.79760549696348759</v>
      </c>
      <c r="L52" s="23">
        <f t="shared" si="8"/>
        <v>1.1479452054794521</v>
      </c>
      <c r="M52" s="28">
        <f t="shared" si="9"/>
        <v>28</v>
      </c>
      <c r="N52" s="29" t="s">
        <v>9</v>
      </c>
      <c r="O52" s="30">
        <v>1</v>
      </c>
      <c r="P52" s="31">
        <v>0</v>
      </c>
      <c r="Q52" s="1">
        <v>1</v>
      </c>
      <c r="R52" s="46">
        <v>0.77888169844188582</v>
      </c>
      <c r="S52" s="46">
        <v>-6.7240000000000002</v>
      </c>
      <c r="T52" s="46">
        <v>7.502881698441886</v>
      </c>
      <c r="U52" s="46">
        <v>-0.16876476267075924</v>
      </c>
      <c r="V52" s="46">
        <v>0.2080664141563332</v>
      </c>
      <c r="W52" s="46">
        <v>7.6778846428753295E-2</v>
      </c>
      <c r="X52" s="46">
        <v>8.9523776386477909</v>
      </c>
      <c r="Y52" s="46">
        <v>-0.16876476267075924</v>
      </c>
      <c r="Z52" s="46">
        <v>0.2080664141563332</v>
      </c>
    </row>
    <row r="53" spans="1:26" x14ac:dyDescent="0.35">
      <c r="A53" s="44">
        <v>44240</v>
      </c>
      <c r="B53" s="20">
        <f t="shared" si="5"/>
        <v>44231</v>
      </c>
      <c r="C53" s="35">
        <v>48.75</v>
      </c>
      <c r="D53" s="36"/>
      <c r="E53" s="36"/>
      <c r="F53" s="36">
        <v>18.376000000000001</v>
      </c>
      <c r="G53" s="36">
        <v>25.3</v>
      </c>
      <c r="H53" s="42">
        <v>0</v>
      </c>
      <c r="I53" s="40">
        <f t="shared" si="6"/>
        <v>0.21652746653525079</v>
      </c>
      <c r="J53" s="40">
        <f t="shared" si="7"/>
        <v>0.22424028425170114</v>
      </c>
      <c r="K53" s="41">
        <f t="shared" si="4"/>
        <v>0.79784494726713884</v>
      </c>
      <c r="L53" s="23">
        <f t="shared" si="8"/>
        <v>1.1506849315068493</v>
      </c>
      <c r="M53" s="28">
        <f t="shared" si="9"/>
        <v>28</v>
      </c>
      <c r="N53" s="29" t="s">
        <v>9</v>
      </c>
      <c r="O53" s="30">
        <v>1</v>
      </c>
      <c r="P53" s="31">
        <v>0</v>
      </c>
      <c r="Q53" s="1">
        <v>1</v>
      </c>
      <c r="R53" s="46">
        <v>0.76876089639894829</v>
      </c>
      <c r="S53" s="46">
        <v>-6.7240000000000002</v>
      </c>
      <c r="T53" s="46">
        <v>7.4927608963989485</v>
      </c>
      <c r="U53" s="46">
        <v>-0.16772456210549352</v>
      </c>
      <c r="V53" s="46">
        <v>0.20669561617414189</v>
      </c>
      <c r="W53" s="46">
        <v>9.9143187805318458E-2</v>
      </c>
      <c r="X53" s="46">
        <v>8.9014780842614236</v>
      </c>
      <c r="Y53" s="46">
        <v>-0.16772456210549352</v>
      </c>
      <c r="Z53" s="46">
        <v>0.20669561617414189</v>
      </c>
    </row>
    <row r="54" spans="1:26" x14ac:dyDescent="0.35">
      <c r="A54" s="44">
        <v>44241</v>
      </c>
      <c r="B54" s="20">
        <f t="shared" si="5"/>
        <v>44231</v>
      </c>
      <c r="C54" s="35">
        <v>48.75</v>
      </c>
      <c r="D54" s="36"/>
      <c r="E54" s="36"/>
      <c r="F54" s="36">
        <v>18.376000000000001</v>
      </c>
      <c r="G54" s="36">
        <v>25.3</v>
      </c>
      <c r="H54" s="42">
        <v>0</v>
      </c>
      <c r="I54" s="40">
        <f t="shared" si="6"/>
        <v>0.21570109320848824</v>
      </c>
      <c r="J54" s="40">
        <f t="shared" si="7"/>
        <v>0.22302827003911607</v>
      </c>
      <c r="K54" s="41">
        <f t="shared" si="4"/>
        <v>0.7980604525404249</v>
      </c>
      <c r="L54" s="23">
        <f t="shared" si="8"/>
        <v>1.1506849315068493</v>
      </c>
      <c r="M54" s="28">
        <f t="shared" si="9"/>
        <v>28</v>
      </c>
      <c r="N54" s="29" t="s">
        <v>9</v>
      </c>
      <c r="O54" s="30">
        <v>1</v>
      </c>
      <c r="P54" s="31">
        <v>0</v>
      </c>
      <c r="Q54" s="1">
        <v>1</v>
      </c>
      <c r="R54" s="46">
        <v>0.75696494974689621</v>
      </c>
      <c r="S54" s="46">
        <v>-6.7240000000000002</v>
      </c>
      <c r="T54" s="46">
        <v>7.4809649497468964</v>
      </c>
      <c r="U54" s="46">
        <v>-0.16650175979222717</v>
      </c>
      <c r="V54" s="46">
        <v>0.20508181221341551</v>
      </c>
      <c r="W54" s="46">
        <v>0.12057994700912585</v>
      </c>
      <c r="X54" s="46">
        <v>8.8346505145334042</v>
      </c>
      <c r="Y54" s="46">
        <v>-0.16650175979222717</v>
      </c>
      <c r="Z54" s="46">
        <v>0.20508181221341551</v>
      </c>
    </row>
    <row r="55" spans="1:26" x14ac:dyDescent="0.35">
      <c r="A55" s="44">
        <v>44242</v>
      </c>
      <c r="B55" s="20">
        <f t="shared" si="5"/>
        <v>44231</v>
      </c>
      <c r="C55" s="35">
        <v>48.75</v>
      </c>
      <c r="D55" s="36"/>
      <c r="E55" s="36"/>
      <c r="F55" s="36">
        <v>18.376000000000001</v>
      </c>
      <c r="G55" s="36">
        <v>25.3</v>
      </c>
      <c r="H55" s="42">
        <v>0</v>
      </c>
      <c r="I55" s="40">
        <f t="shared" si="6"/>
        <v>0.21491603854806382</v>
      </c>
      <c r="J55" s="40">
        <f t="shared" si="7"/>
        <v>0.22187685653716027</v>
      </c>
      <c r="K55" s="41">
        <f t="shared" si="4"/>
        <v>0.79825440728638242</v>
      </c>
      <c r="L55" s="23">
        <f t="shared" si="8"/>
        <v>1.1506849315068493</v>
      </c>
      <c r="M55" s="28">
        <f t="shared" si="9"/>
        <v>28</v>
      </c>
      <c r="N55" s="29" t="s">
        <v>9</v>
      </c>
      <c r="O55" s="30">
        <v>1</v>
      </c>
      <c r="P55" s="31">
        <v>0</v>
      </c>
      <c r="Q55" s="1">
        <v>1</v>
      </c>
      <c r="R55" s="46">
        <v>0.74587209431918211</v>
      </c>
      <c r="S55" s="46">
        <v>-6.7240000000000002</v>
      </c>
      <c r="T55" s="46">
        <v>7.4698720943191823</v>
      </c>
      <c r="U55" s="46">
        <v>-0.16533734280807835</v>
      </c>
      <c r="V55" s="46">
        <v>0.20354803571910141</v>
      </c>
      <c r="W55" s="46">
        <v>0.14125016673257573</v>
      </c>
      <c r="X55" s="46">
        <v>8.7707927960088892</v>
      </c>
      <c r="Y55" s="46">
        <v>-0.16533734280807835</v>
      </c>
      <c r="Z55" s="46">
        <v>0.20354803571910141</v>
      </c>
    </row>
    <row r="56" spans="1:26" x14ac:dyDescent="0.35">
      <c r="A56" s="44">
        <v>44243</v>
      </c>
      <c r="B56" s="20">
        <f t="shared" si="5"/>
        <v>44232</v>
      </c>
      <c r="C56" s="35">
        <v>48.75</v>
      </c>
      <c r="D56" s="36"/>
      <c r="E56" s="36"/>
      <c r="F56" s="36">
        <v>18.376000000000001</v>
      </c>
      <c r="G56" s="36">
        <v>25.3</v>
      </c>
      <c r="H56" s="42">
        <v>0</v>
      </c>
      <c r="I56" s="40">
        <f t="shared" si="6"/>
        <v>0.21417023662066062</v>
      </c>
      <c r="J56" s="40">
        <f t="shared" si="7"/>
        <v>0.22078301371030226</v>
      </c>
      <c r="K56" s="41">
        <f t="shared" si="4"/>
        <v>0.7984289665577442</v>
      </c>
      <c r="L56" s="23">
        <f t="shared" si="8"/>
        <v>1.1534246575342466</v>
      </c>
      <c r="M56" s="28">
        <f t="shared" si="9"/>
        <v>28</v>
      </c>
      <c r="N56" s="29" t="s">
        <v>9</v>
      </c>
      <c r="O56" s="30">
        <v>1</v>
      </c>
      <c r="P56" s="31">
        <v>0</v>
      </c>
      <c r="Q56" s="1">
        <v>1</v>
      </c>
      <c r="R56" s="46">
        <v>0.73776573932348199</v>
      </c>
      <c r="S56" s="46">
        <v>-6.7240000000000002</v>
      </c>
      <c r="T56" s="46">
        <v>7.4617657393234822</v>
      </c>
      <c r="U56" s="46">
        <v>-0.16447366652477921</v>
      </c>
      <c r="V56" s="46">
        <v>0.20241708922187721</v>
      </c>
      <c r="W56" s="46">
        <v>0.1615047728796998</v>
      </c>
      <c r="X56" s="46">
        <v>8.728609501642385</v>
      </c>
      <c r="Y56" s="46">
        <v>-0.16447366652477921</v>
      </c>
      <c r="Z56" s="46">
        <v>0.20241708922187721</v>
      </c>
    </row>
    <row r="57" spans="1:26" x14ac:dyDescent="0.35">
      <c r="A57" s="44">
        <v>44244</v>
      </c>
      <c r="B57" s="20">
        <f t="shared" si="5"/>
        <v>44235</v>
      </c>
      <c r="C57" s="35">
        <v>48.75</v>
      </c>
      <c r="D57" s="36"/>
      <c r="E57" s="36"/>
      <c r="F57" s="36">
        <v>18.376000000000001</v>
      </c>
      <c r="G57" s="36">
        <v>25.3</v>
      </c>
      <c r="H57" s="42">
        <v>0</v>
      </c>
      <c r="I57" s="40">
        <f t="shared" si="6"/>
        <v>0.21346172478962758</v>
      </c>
      <c r="J57" s="40">
        <f t="shared" si="7"/>
        <v>0.21974386302478716</v>
      </c>
      <c r="K57" s="41">
        <f t="shared" si="4"/>
        <v>0.79858606990196979</v>
      </c>
      <c r="L57" s="23">
        <f t="shared" si="8"/>
        <v>1.1616438356164382</v>
      </c>
      <c r="M57" s="28">
        <f t="shared" si="9"/>
        <v>28</v>
      </c>
      <c r="N57" s="29" t="s">
        <v>9</v>
      </c>
      <c r="O57" s="30">
        <v>1</v>
      </c>
      <c r="P57" s="31">
        <v>0</v>
      </c>
      <c r="Q57" s="1">
        <v>1</v>
      </c>
      <c r="R57" s="46">
        <v>0.73484482253286565</v>
      </c>
      <c r="S57" s="46">
        <v>-6.7240000000000002</v>
      </c>
      <c r="T57" s="46">
        <v>7.4588448225328658</v>
      </c>
      <c r="U57" s="46">
        <v>-0.16415068939564736</v>
      </c>
      <c r="V57" s="46">
        <v>0.20200746056321334</v>
      </c>
      <c r="W57" s="46">
        <v>0.18186831236877646</v>
      </c>
      <c r="X57" s="46">
        <v>8.7265024607940287</v>
      </c>
      <c r="Y57" s="46">
        <v>-0.16415068939564736</v>
      </c>
      <c r="Z57" s="46">
        <v>0.20200746056321334</v>
      </c>
    </row>
    <row r="58" spans="1:26" x14ac:dyDescent="0.35">
      <c r="A58" s="44">
        <v>44245</v>
      </c>
      <c r="B58" s="20">
        <f t="shared" si="5"/>
        <v>44236</v>
      </c>
      <c r="C58" s="35">
        <v>48.75</v>
      </c>
      <c r="D58" s="36"/>
      <c r="E58" s="36"/>
      <c r="F58" s="36">
        <v>18.376000000000001</v>
      </c>
      <c r="G58" s="36">
        <v>25.3</v>
      </c>
      <c r="H58" s="42">
        <v>0</v>
      </c>
      <c r="I58" s="40">
        <f t="shared" si="6"/>
        <v>0.21278863855014621</v>
      </c>
      <c r="J58" s="40">
        <f t="shared" si="7"/>
        <v>0.2187566698735478</v>
      </c>
      <c r="K58" s="41">
        <f t="shared" si="4"/>
        <v>0.79872746291177277</v>
      </c>
      <c r="L58" s="23">
        <f t="shared" si="8"/>
        <v>1.1643835616438356</v>
      </c>
      <c r="M58" s="28">
        <f t="shared" si="9"/>
        <v>28</v>
      </c>
      <c r="N58" s="29" t="s">
        <v>9</v>
      </c>
      <c r="O58" s="30">
        <v>1</v>
      </c>
      <c r="P58" s="31">
        <v>0</v>
      </c>
      <c r="Q58" s="1">
        <v>1</v>
      </c>
      <c r="R58" s="46">
        <v>0.72780104349648589</v>
      </c>
      <c r="S58" s="46">
        <v>-6.7240000000000002</v>
      </c>
      <c r="T58" s="46">
        <v>7.4518010434964861</v>
      </c>
      <c r="U58" s="46">
        <v>-0.16339071905999603</v>
      </c>
      <c r="V58" s="46">
        <v>0.20101496599710236</v>
      </c>
      <c r="W58" s="46">
        <v>0.20086902593349637</v>
      </c>
      <c r="X58" s="46">
        <v>8.6893868859046091</v>
      </c>
      <c r="Y58" s="46">
        <v>-0.16339071905999603</v>
      </c>
      <c r="Z58" s="46">
        <v>0.20101496599710236</v>
      </c>
    </row>
    <row r="59" spans="1:26" x14ac:dyDescent="0.35">
      <c r="A59" s="44">
        <v>44246</v>
      </c>
      <c r="B59" s="20">
        <f t="shared" si="5"/>
        <v>44237</v>
      </c>
      <c r="C59" s="35">
        <v>48.75</v>
      </c>
      <c r="D59" s="36"/>
      <c r="E59" s="36"/>
      <c r="F59" s="36">
        <v>18.376000000000001</v>
      </c>
      <c r="G59" s="36">
        <v>25.3</v>
      </c>
      <c r="H59" s="42">
        <v>0</v>
      </c>
      <c r="I59" s="40">
        <f t="shared" si="6"/>
        <v>0.21214920662263889</v>
      </c>
      <c r="J59" s="40">
        <f t="shared" si="7"/>
        <v>0.21781883637987043</v>
      </c>
      <c r="K59" s="41">
        <f t="shared" si="4"/>
        <v>0.79885471662059548</v>
      </c>
      <c r="L59" s="23">
        <f t="shared" si="8"/>
        <v>1.167123287671233</v>
      </c>
      <c r="M59" s="28">
        <f t="shared" si="9"/>
        <v>28</v>
      </c>
      <c r="N59" s="29" t="s">
        <v>9</v>
      </c>
      <c r="O59" s="30">
        <v>1</v>
      </c>
      <c r="P59" s="31">
        <v>0</v>
      </c>
      <c r="Q59" s="1">
        <v>1</v>
      </c>
      <c r="R59" s="46">
        <v>0.72125933145926524</v>
      </c>
      <c r="S59" s="46">
        <v>-6.7240000000000002</v>
      </c>
      <c r="T59" s="46">
        <v>7.4452593314592654</v>
      </c>
      <c r="U59" s="46">
        <v>-0.16267920710191705</v>
      </c>
      <c r="V59" s="46">
        <v>0.20008722872860976</v>
      </c>
      <c r="W59" s="46">
        <v>0.21921049280862231</v>
      </c>
      <c r="X59" s="46">
        <v>8.6547181290546416</v>
      </c>
      <c r="Y59" s="46">
        <v>-0.16267920710191705</v>
      </c>
      <c r="Z59" s="46">
        <v>0.20008722872860976</v>
      </c>
    </row>
    <row r="60" spans="1:26" x14ac:dyDescent="0.35">
      <c r="A60" s="44">
        <v>44247</v>
      </c>
      <c r="B60" s="20">
        <f t="shared" si="5"/>
        <v>44238</v>
      </c>
      <c r="C60" s="35">
        <v>48.75</v>
      </c>
      <c r="D60" s="36"/>
      <c r="E60" s="36"/>
      <c r="F60" s="36">
        <v>18.376000000000001</v>
      </c>
      <c r="G60" s="36">
        <v>25.3</v>
      </c>
      <c r="H60" s="42">
        <v>0</v>
      </c>
      <c r="I60" s="40">
        <f t="shared" si="6"/>
        <v>0.21154174629150696</v>
      </c>
      <c r="J60" s="40">
        <f t="shared" si="7"/>
        <v>0.21692789456087691</v>
      </c>
      <c r="K60" s="41">
        <f t="shared" si="4"/>
        <v>0.79896924495853594</v>
      </c>
      <c r="L60" s="23">
        <f t="shared" si="8"/>
        <v>1.1698630136986301</v>
      </c>
      <c r="M60" s="28">
        <f t="shared" si="9"/>
        <v>28</v>
      </c>
      <c r="N60" s="29" t="s">
        <v>9</v>
      </c>
      <c r="O60" s="30">
        <v>1</v>
      </c>
      <c r="P60" s="31">
        <v>0</v>
      </c>
      <c r="Q60" s="1">
        <v>1</v>
      </c>
      <c r="R60" s="46">
        <v>0.71518825211255432</v>
      </c>
      <c r="S60" s="46">
        <v>-6.7240000000000002</v>
      </c>
      <c r="T60" s="46">
        <v>7.4391882521125545</v>
      </c>
      <c r="U60" s="46">
        <v>-0.16201385628126078</v>
      </c>
      <c r="V60" s="46">
        <v>0.1992210114937584</v>
      </c>
      <c r="W60" s="46">
        <v>0.23690364710267706</v>
      </c>
      <c r="X60" s="46">
        <v>8.6223978210573762</v>
      </c>
      <c r="Y60" s="46">
        <v>-0.16201385628126078</v>
      </c>
      <c r="Z60" s="46">
        <v>0.1992210114937584</v>
      </c>
    </row>
    <row r="61" spans="1:26" x14ac:dyDescent="0.35">
      <c r="A61" s="44">
        <v>44248</v>
      </c>
      <c r="B61" s="20">
        <f t="shared" si="5"/>
        <v>44238</v>
      </c>
      <c r="C61" s="35">
        <v>48.75</v>
      </c>
      <c r="D61" s="36"/>
      <c r="E61" s="36"/>
      <c r="F61" s="36">
        <v>18.376000000000001</v>
      </c>
      <c r="G61" s="36">
        <v>25.3</v>
      </c>
      <c r="H61" s="42">
        <v>0</v>
      </c>
      <c r="I61" s="40">
        <f t="shared" si="6"/>
        <v>0.21096465897693162</v>
      </c>
      <c r="J61" s="40">
        <f t="shared" si="7"/>
        <v>0.21608149983283306</v>
      </c>
      <c r="K61" s="41">
        <f t="shared" si="4"/>
        <v>0.7990723204626824</v>
      </c>
      <c r="L61" s="23">
        <f t="shared" si="8"/>
        <v>1.1698630136986301</v>
      </c>
      <c r="M61" s="28">
        <f t="shared" si="9"/>
        <v>28</v>
      </c>
      <c r="N61" s="29" t="s">
        <v>9</v>
      </c>
      <c r="O61" s="30">
        <v>1</v>
      </c>
      <c r="P61" s="31">
        <v>0</v>
      </c>
      <c r="Q61" s="1">
        <v>1</v>
      </c>
      <c r="R61" s="46">
        <v>0.7073267661943401</v>
      </c>
      <c r="S61" s="46">
        <v>-6.7240000000000002</v>
      </c>
      <c r="T61" s="46">
        <v>7.4313267661943403</v>
      </c>
      <c r="U61" s="46">
        <v>-0.16115048167625884</v>
      </c>
      <c r="V61" s="46">
        <v>0.198091765076119</v>
      </c>
      <c r="W61" s="46">
        <v>0.25341557001651949</v>
      </c>
      <c r="X61" s="46">
        <v>8.5738677756791937</v>
      </c>
      <c r="Y61" s="46">
        <v>-0.16115048167625884</v>
      </c>
      <c r="Z61" s="46">
        <v>0.198091765076119</v>
      </c>
    </row>
    <row r="62" spans="1:26" x14ac:dyDescent="0.35">
      <c r="A62" s="44">
        <v>44249</v>
      </c>
      <c r="B62" s="20">
        <f t="shared" si="5"/>
        <v>44238</v>
      </c>
      <c r="C62" s="35">
        <v>48.75</v>
      </c>
      <c r="D62" s="36"/>
      <c r="E62" s="36"/>
      <c r="F62" s="36">
        <v>18.376000000000001</v>
      </c>
      <c r="G62" s="36">
        <v>25.3</v>
      </c>
      <c r="H62" s="42">
        <v>0</v>
      </c>
      <c r="I62" s="40">
        <f t="shared" si="6"/>
        <v>0.21041642602808502</v>
      </c>
      <c r="J62" s="40">
        <f t="shared" si="7"/>
        <v>0.21527742484119142</v>
      </c>
      <c r="K62" s="41">
        <f t="shared" si="4"/>
        <v>0.7991650884164142</v>
      </c>
      <c r="L62" s="23">
        <f t="shared" si="8"/>
        <v>1.1698630136986301</v>
      </c>
      <c r="M62" s="28">
        <f t="shared" si="9"/>
        <v>28</v>
      </c>
      <c r="N62" s="29" t="s">
        <v>9</v>
      </c>
      <c r="O62" s="30">
        <v>1</v>
      </c>
      <c r="P62" s="31">
        <v>0</v>
      </c>
      <c r="Q62" s="1">
        <v>1</v>
      </c>
      <c r="R62" s="46">
        <v>0.69991204946481034</v>
      </c>
      <c r="S62" s="46">
        <v>-6.7240000000000002</v>
      </c>
      <c r="T62" s="46">
        <v>7.4239120494648105</v>
      </c>
      <c r="U62" s="46">
        <v>-0.16032906005152361</v>
      </c>
      <c r="V62" s="46">
        <v>0.19701874749443321</v>
      </c>
      <c r="W62" s="46">
        <v>0.26923456659435019</v>
      </c>
      <c r="X62" s="46">
        <v>8.5275866516371917</v>
      </c>
      <c r="Y62" s="46">
        <v>-0.16032906005152361</v>
      </c>
      <c r="Z62" s="46">
        <v>0.19701874749443321</v>
      </c>
    </row>
    <row r="63" spans="1:26" x14ac:dyDescent="0.35">
      <c r="A63" s="44">
        <v>44250</v>
      </c>
      <c r="B63" s="20">
        <f t="shared" si="5"/>
        <v>44239</v>
      </c>
      <c r="C63" s="35">
        <v>48.75</v>
      </c>
      <c r="D63" s="36"/>
      <c r="E63" s="36"/>
      <c r="F63" s="36">
        <v>18.376000000000001</v>
      </c>
      <c r="G63" s="36">
        <v>25.3</v>
      </c>
      <c r="H63" s="42">
        <v>0</v>
      </c>
      <c r="I63" s="40">
        <f t="shared" si="6"/>
        <v>0.20989560472668078</v>
      </c>
      <c r="J63" s="40">
        <f t="shared" si="7"/>
        <v>0.21451355359913185</v>
      </c>
      <c r="K63" s="41">
        <f t="shared" si="4"/>
        <v>0.7992485795747728</v>
      </c>
      <c r="L63" s="23">
        <f t="shared" si="8"/>
        <v>1.1726027397260275</v>
      </c>
      <c r="M63" s="28">
        <f t="shared" si="9"/>
        <v>28</v>
      </c>
      <c r="N63" s="29" t="s">
        <v>9</v>
      </c>
      <c r="O63" s="30">
        <v>1</v>
      </c>
      <c r="P63" s="31">
        <v>0</v>
      </c>
      <c r="Q63" s="1">
        <v>1</v>
      </c>
      <c r="R63" s="46">
        <v>0.69511704474406955</v>
      </c>
      <c r="S63" s="46">
        <v>-6.7240000000000002</v>
      </c>
      <c r="T63" s="46">
        <v>7.4191170447440697</v>
      </c>
      <c r="U63" s="46">
        <v>-0.1597901481964564</v>
      </c>
      <c r="V63" s="46">
        <v>0.19632067727421906</v>
      </c>
      <c r="W63" s="46">
        <v>0.28499674984038148</v>
      </c>
      <c r="X63" s="46">
        <v>8.5018573033061084</v>
      </c>
      <c r="Y63" s="46">
        <v>-0.1597901481964564</v>
      </c>
      <c r="Z63" s="46">
        <v>0.19632067727421906</v>
      </c>
    </row>
    <row r="64" spans="1:26" x14ac:dyDescent="0.35">
      <c r="A64" s="44">
        <v>44251</v>
      </c>
      <c r="B64" s="20">
        <f t="shared" si="5"/>
        <v>44242</v>
      </c>
      <c r="C64" s="35">
        <v>48.75</v>
      </c>
      <c r="D64" s="36"/>
      <c r="E64" s="36"/>
      <c r="F64" s="36">
        <v>18.376000000000001</v>
      </c>
      <c r="G64" s="36">
        <v>25.3</v>
      </c>
      <c r="H64" s="42">
        <v>0</v>
      </c>
      <c r="I64" s="40">
        <f t="shared" si="6"/>
        <v>0.20940082449034675</v>
      </c>
      <c r="J64" s="40">
        <f t="shared" si="7"/>
        <v>0.21378787591917525</v>
      </c>
      <c r="K64" s="41">
        <f t="shared" si="4"/>
        <v>0.79932372161729548</v>
      </c>
      <c r="L64" s="23">
        <f t="shared" si="8"/>
        <v>1.1808219178082191</v>
      </c>
      <c r="M64" s="28">
        <f t="shared" si="9"/>
        <v>28</v>
      </c>
      <c r="N64" s="29" t="s">
        <v>9</v>
      </c>
      <c r="O64" s="30">
        <v>1</v>
      </c>
      <c r="P64" s="31">
        <v>0</v>
      </c>
      <c r="Q64" s="1">
        <v>1</v>
      </c>
      <c r="R64" s="46">
        <v>0.69505706982258353</v>
      </c>
      <c r="S64" s="46">
        <v>-6.7240000000000002</v>
      </c>
      <c r="T64" s="46">
        <v>7.4190570698225837</v>
      </c>
      <c r="U64" s="46">
        <v>-0.15977142704791492</v>
      </c>
      <c r="V64" s="46">
        <v>0.19631192507903941</v>
      </c>
      <c r="W64" s="46">
        <v>0.30146839217625188</v>
      </c>
      <c r="X64" s="46">
        <v>8.514723575643778</v>
      </c>
      <c r="Y64" s="46">
        <v>-0.15977142704791492</v>
      </c>
      <c r="Z64" s="46">
        <v>0.19631192507903941</v>
      </c>
    </row>
    <row r="65" spans="1:26" x14ac:dyDescent="0.35">
      <c r="A65" s="44">
        <v>44252</v>
      </c>
      <c r="B65" s="20">
        <f t="shared" si="5"/>
        <v>44243</v>
      </c>
      <c r="C65" s="35">
        <v>48.75</v>
      </c>
      <c r="D65" s="36"/>
      <c r="E65" s="36"/>
      <c r="F65" s="36">
        <v>18.376000000000001</v>
      </c>
      <c r="G65" s="36">
        <v>25.3</v>
      </c>
      <c r="H65" s="42">
        <v>0</v>
      </c>
      <c r="I65" s="40">
        <f t="shared" si="6"/>
        <v>0.20893078326582942</v>
      </c>
      <c r="J65" s="40">
        <f t="shared" si="7"/>
        <v>0.2130984821232165</v>
      </c>
      <c r="K65" s="41">
        <f t="shared" si="4"/>
        <v>0.79939134945556589</v>
      </c>
      <c r="L65" s="23">
        <f t="shared" si="8"/>
        <v>1.1835616438356165</v>
      </c>
      <c r="M65" s="28">
        <f t="shared" si="9"/>
        <v>28</v>
      </c>
      <c r="N65" s="29" t="s">
        <v>9</v>
      </c>
      <c r="O65" s="30">
        <v>1</v>
      </c>
      <c r="P65" s="31">
        <v>0</v>
      </c>
      <c r="Q65" s="1">
        <v>1</v>
      </c>
      <c r="R65" s="46">
        <v>0.69094073179789639</v>
      </c>
      <c r="S65" s="46">
        <v>-6.7240000000000002</v>
      </c>
      <c r="T65" s="46">
        <v>7.4149407317978966</v>
      </c>
      <c r="U65" s="46">
        <v>-0.15930569537810604</v>
      </c>
      <c r="V65" s="46">
        <v>0.19570998390702718</v>
      </c>
      <c r="W65" s="46">
        <v>0.31613617523258997</v>
      </c>
      <c r="X65" s="46">
        <v>8.4927611141070507</v>
      </c>
      <c r="Y65" s="46">
        <v>-0.15930569537810604</v>
      </c>
      <c r="Z65" s="46">
        <v>0.19570998390702718</v>
      </c>
    </row>
    <row r="66" spans="1:26" x14ac:dyDescent="0.35">
      <c r="A66" s="44">
        <v>44253</v>
      </c>
      <c r="B66" s="20">
        <f t="shared" si="5"/>
        <v>44244</v>
      </c>
      <c r="C66" s="35">
        <v>48.75</v>
      </c>
      <c r="D66" s="36"/>
      <c r="E66" s="36"/>
      <c r="F66" s="36">
        <v>18.376000000000001</v>
      </c>
      <c r="G66" s="36">
        <v>25.3</v>
      </c>
      <c r="H66" s="42">
        <v>0</v>
      </c>
      <c r="I66" s="40">
        <f t="shared" si="6"/>
        <v>0.20848424410253796</v>
      </c>
      <c r="J66" s="40">
        <f t="shared" si="7"/>
        <v>0.21244355801705567</v>
      </c>
      <c r="K66" s="41">
        <f t="shared" si="4"/>
        <v>0.79945221451000936</v>
      </c>
      <c r="L66" s="23">
        <f t="shared" si="8"/>
        <v>1.1863013698630136</v>
      </c>
      <c r="M66" s="28">
        <f t="shared" si="9"/>
        <v>28</v>
      </c>
      <c r="N66" s="29" t="s">
        <v>9</v>
      </c>
      <c r="O66" s="30">
        <v>1</v>
      </c>
      <c r="P66" s="31">
        <v>0</v>
      </c>
      <c r="Q66" s="1">
        <v>1</v>
      </c>
      <c r="R66" s="46">
        <v>0.68714800357796513</v>
      </c>
      <c r="S66" s="46">
        <v>-6.7240000000000002</v>
      </c>
      <c r="T66" s="46">
        <v>7.4111480035779653</v>
      </c>
      <c r="U66" s="46">
        <v>-0.1588742680005554</v>
      </c>
      <c r="V66" s="46">
        <v>0.1951531890470703</v>
      </c>
      <c r="W66" s="46">
        <v>0.33024851708914738</v>
      </c>
      <c r="X66" s="46">
        <v>8.4726126096218355</v>
      </c>
      <c r="Y66" s="46">
        <v>-0.1588742680005554</v>
      </c>
      <c r="Z66" s="46">
        <v>0.1951531890470703</v>
      </c>
    </row>
    <row r="67" spans="1:26" x14ac:dyDescent="0.35">
      <c r="A67" s="44">
        <v>44254</v>
      </c>
      <c r="B67" s="20">
        <f t="shared" si="5"/>
        <v>44245</v>
      </c>
      <c r="C67" s="35">
        <v>48.75</v>
      </c>
      <c r="D67" s="36"/>
      <c r="E67" s="36"/>
      <c r="F67" s="36">
        <v>18.376000000000001</v>
      </c>
      <c r="G67" s="36">
        <v>25.3</v>
      </c>
      <c r="H67" s="42">
        <v>0</v>
      </c>
      <c r="I67" s="40">
        <f t="shared" si="6"/>
        <v>0.20806003189741107</v>
      </c>
      <c r="J67" s="40">
        <f t="shared" si="7"/>
        <v>0.21182138011620288</v>
      </c>
      <c r="K67" s="41">
        <f t="shared" si="4"/>
        <v>0.79950699305900841</v>
      </c>
      <c r="L67" s="23">
        <f t="shared" si="8"/>
        <v>1.189041095890411</v>
      </c>
      <c r="M67" s="28">
        <f t="shared" si="9"/>
        <v>28</v>
      </c>
      <c r="N67" s="29" t="s">
        <v>9</v>
      </c>
      <c r="O67" s="30">
        <v>1</v>
      </c>
      <c r="P67" s="31">
        <v>0</v>
      </c>
      <c r="Q67" s="1">
        <v>1</v>
      </c>
      <c r="R67" s="46">
        <v>0.68365991711282348</v>
      </c>
      <c r="S67" s="46">
        <v>-6.7240000000000002</v>
      </c>
      <c r="T67" s="46">
        <v>7.4076599171128237</v>
      </c>
      <c r="U67" s="46">
        <v>-0.1584754644720259</v>
      </c>
      <c r="V67" s="46">
        <v>0.19463926079668481</v>
      </c>
      <c r="W67" s="46">
        <v>0.34382306704764554</v>
      </c>
      <c r="X67" s="46">
        <v>8.4541987620075716</v>
      </c>
      <c r="Y67" s="46">
        <v>-0.1584754644720259</v>
      </c>
      <c r="Z67" s="46">
        <v>0.19463926079668481</v>
      </c>
    </row>
    <row r="68" spans="1:26" x14ac:dyDescent="0.35">
      <c r="A68" s="44">
        <v>44255</v>
      </c>
      <c r="B68" s="20">
        <f t="shared" si="5"/>
        <v>44245</v>
      </c>
      <c r="C68" s="35">
        <v>48.75</v>
      </c>
      <c r="D68" s="36"/>
      <c r="E68" s="36"/>
      <c r="F68" s="36">
        <v>18.376000000000001</v>
      </c>
      <c r="G68" s="36">
        <v>25.3</v>
      </c>
      <c r="H68" s="42">
        <v>0</v>
      </c>
      <c r="I68" s="40">
        <f t="shared" si="6"/>
        <v>0.20765703030254051</v>
      </c>
      <c r="J68" s="40">
        <f t="shared" si="7"/>
        <v>0.21123031111039275</v>
      </c>
      <c r="K68" s="41">
        <f t="shared" si="4"/>
        <v>0.79955629375310755</v>
      </c>
      <c r="L68" s="23">
        <f t="shared" si="8"/>
        <v>1.189041095890411</v>
      </c>
      <c r="M68" s="28">
        <f t="shared" si="9"/>
        <v>28</v>
      </c>
      <c r="N68" s="29" t="s">
        <v>9</v>
      </c>
      <c r="O68" s="30">
        <v>1</v>
      </c>
      <c r="P68" s="31">
        <v>0</v>
      </c>
      <c r="Q68" s="1">
        <v>1</v>
      </c>
      <c r="R68" s="46">
        <v>0.67832477693024984</v>
      </c>
      <c r="S68" s="46">
        <v>-6.7240000000000002</v>
      </c>
      <c r="T68" s="46">
        <v>7.40232477693025</v>
      </c>
      <c r="U68" s="46">
        <v>-0.15786862071012689</v>
      </c>
      <c r="V68" s="46">
        <v>0.19384971965726785</v>
      </c>
      <c r="W68" s="46">
        <v>0.35611224146294945</v>
      </c>
      <c r="X68" s="46">
        <v>8.4193474187573383</v>
      </c>
      <c r="Y68" s="46">
        <v>-0.15786862071012689</v>
      </c>
      <c r="Z68" s="46">
        <v>0.19384971965726785</v>
      </c>
    </row>
    <row r="69" spans="1:26" x14ac:dyDescent="0.35">
      <c r="A69" s="44">
        <v>44256</v>
      </c>
      <c r="B69" s="20">
        <f t="shared" si="5"/>
        <v>44245</v>
      </c>
      <c r="C69" s="35">
        <v>48.75</v>
      </c>
      <c r="D69" s="36"/>
      <c r="E69" s="36"/>
      <c r="F69" s="36">
        <v>18.376000000000001</v>
      </c>
      <c r="G69" s="36">
        <v>25.3</v>
      </c>
      <c r="H69" s="42">
        <v>0</v>
      </c>
      <c r="I69" s="40">
        <f t="shared" si="6"/>
        <v>0.2072741787874135</v>
      </c>
      <c r="J69" s="40">
        <f t="shared" si="7"/>
        <v>0.21066879555487311</v>
      </c>
      <c r="K69" s="41">
        <f t="shared" si="4"/>
        <v>0.79960066437779675</v>
      </c>
      <c r="L69" s="23">
        <f t="shared" si="8"/>
        <v>1.189041095890411</v>
      </c>
      <c r="M69" s="28">
        <f t="shared" si="9"/>
        <v>28</v>
      </c>
      <c r="N69" s="29" t="s">
        <v>9</v>
      </c>
      <c r="O69" s="30">
        <v>1</v>
      </c>
      <c r="P69" s="31">
        <v>0</v>
      </c>
      <c r="Q69" s="1">
        <v>1</v>
      </c>
      <c r="R69" s="46">
        <v>0.67328205196009705</v>
      </c>
      <c r="S69" s="46">
        <v>-6.7240000000000002</v>
      </c>
      <c r="T69" s="46">
        <v>7.3972820519600972</v>
      </c>
      <c r="U69" s="46">
        <v>-0.15729155571645215</v>
      </c>
      <c r="V69" s="46">
        <v>0.19309955615056559</v>
      </c>
      <c r="W69" s="46">
        <v>0.36784570732805538</v>
      </c>
      <c r="X69" s="46">
        <v>8.3861528139934798</v>
      </c>
      <c r="Y69" s="46">
        <v>-0.15729155571645215</v>
      </c>
      <c r="Z69" s="46">
        <v>0.19309955615056559</v>
      </c>
    </row>
    <row r="70" spans="1:26" x14ac:dyDescent="0.35">
      <c r="A70" s="44">
        <v>44257</v>
      </c>
      <c r="B70" s="20">
        <f t="shared" si="5"/>
        <v>44246</v>
      </c>
      <c r="C70" s="35">
        <v>48.75</v>
      </c>
      <c r="D70" s="36"/>
      <c r="E70" s="36"/>
      <c r="F70" s="36">
        <v>18.376000000000001</v>
      </c>
      <c r="G70" s="36">
        <v>25.3</v>
      </c>
      <c r="H70" s="42">
        <v>0</v>
      </c>
      <c r="I70" s="40">
        <f t="shared" si="6"/>
        <v>0.20691046984804282</v>
      </c>
      <c r="J70" s="40">
        <f t="shared" si="7"/>
        <v>0.21013535577712947</v>
      </c>
      <c r="K70" s="41">
        <f t="shared" si="4"/>
        <v>0.79964059794001707</v>
      </c>
      <c r="L70" s="23">
        <f t="shared" si="8"/>
        <v>1.1917808219178083</v>
      </c>
      <c r="M70" s="28">
        <f t="shared" si="9"/>
        <v>28</v>
      </c>
      <c r="N70" s="29" t="s">
        <v>9</v>
      </c>
      <c r="O70" s="30">
        <v>1</v>
      </c>
      <c r="P70" s="31">
        <v>0</v>
      </c>
      <c r="Q70" s="1">
        <v>1</v>
      </c>
      <c r="R70" s="46">
        <v>0.67062738998300908</v>
      </c>
      <c r="S70" s="46">
        <v>-6.7240000000000002</v>
      </c>
      <c r="T70" s="46">
        <v>7.3946273899830093</v>
      </c>
      <c r="U70" s="46">
        <v>-0.15698223018513971</v>
      </c>
      <c r="V70" s="46">
        <v>0.19270310922464409</v>
      </c>
      <c r="W70" s="46">
        <v>0.37986340465253843</v>
      </c>
      <c r="X70" s="46">
        <v>8.3725873828048183</v>
      </c>
      <c r="Y70" s="46">
        <v>-0.15698223018513971</v>
      </c>
      <c r="Z70" s="46">
        <v>0.19270310922464409</v>
      </c>
    </row>
    <row r="71" spans="1:26" x14ac:dyDescent="0.35">
      <c r="A71" s="44">
        <v>44258</v>
      </c>
      <c r="B71" s="20">
        <f t="shared" si="5"/>
        <v>44249</v>
      </c>
      <c r="C71" s="35">
        <v>48.75</v>
      </c>
      <c r="D71" s="36"/>
      <c r="E71" s="36"/>
      <c r="F71" s="36">
        <v>18.376000000000001</v>
      </c>
      <c r="G71" s="36">
        <v>25.3</v>
      </c>
      <c r="H71" s="42">
        <v>0</v>
      </c>
      <c r="I71" s="40">
        <f t="shared" si="6"/>
        <v>0.20656494635564068</v>
      </c>
      <c r="J71" s="40">
        <f t="shared" si="7"/>
        <v>0.209628587988273</v>
      </c>
      <c r="K71" s="41">
        <f t="shared" si="4"/>
        <v>0.79967653814601536</v>
      </c>
      <c r="L71" s="23">
        <f t="shared" si="8"/>
        <v>1.2</v>
      </c>
      <c r="M71" s="28">
        <f t="shared" si="9"/>
        <v>28</v>
      </c>
      <c r="N71" s="29" t="s">
        <v>9</v>
      </c>
      <c r="O71" s="30">
        <v>1</v>
      </c>
      <c r="P71" s="31">
        <v>0</v>
      </c>
      <c r="Q71" s="1">
        <v>1</v>
      </c>
      <c r="R71" s="46">
        <v>0.67241678085574286</v>
      </c>
      <c r="S71" s="46">
        <v>-6.7240000000000002</v>
      </c>
      <c r="T71" s="46">
        <v>7.3964167808557431</v>
      </c>
      <c r="U71" s="46">
        <v>-0.1571755052233422</v>
      </c>
      <c r="V71" s="46">
        <v>0.19297045347521191</v>
      </c>
      <c r="W71" s="46">
        <v>0.39309895614196211</v>
      </c>
      <c r="X71" s="46">
        <v>8.3964017737125864</v>
      </c>
      <c r="Y71" s="46">
        <v>-0.1571755052233422</v>
      </c>
      <c r="Z71" s="46">
        <v>0.19297045347521191</v>
      </c>
    </row>
    <row r="72" spans="1:26" x14ac:dyDescent="0.35">
      <c r="A72" s="44">
        <v>44259</v>
      </c>
      <c r="B72" s="20">
        <f t="shared" si="5"/>
        <v>44250</v>
      </c>
      <c r="C72" s="35">
        <v>48.75</v>
      </c>
      <c r="D72" s="36"/>
      <c r="E72" s="36"/>
      <c r="F72" s="36">
        <v>18.376000000000001</v>
      </c>
      <c r="G72" s="36">
        <v>25.3</v>
      </c>
      <c r="H72" s="42">
        <v>0</v>
      </c>
      <c r="I72" s="40">
        <f t="shared" si="6"/>
        <v>0.20623669903785866</v>
      </c>
      <c r="J72" s="40">
        <f t="shared" si="7"/>
        <v>0.20914715858885935</v>
      </c>
      <c r="K72" s="41">
        <f t="shared" si="4"/>
        <v>0.79970888433141385</v>
      </c>
      <c r="L72" s="23">
        <f t="shared" si="8"/>
        <v>1.2027397260273973</v>
      </c>
      <c r="M72" s="28">
        <f t="shared" si="9"/>
        <v>28</v>
      </c>
      <c r="N72" s="29" t="s">
        <v>9</v>
      </c>
      <c r="O72" s="30">
        <v>1</v>
      </c>
      <c r="P72" s="31">
        <v>0</v>
      </c>
      <c r="Q72" s="1">
        <v>1</v>
      </c>
      <c r="R72" s="46">
        <v>0.67020829417856653</v>
      </c>
      <c r="S72" s="46">
        <v>-6.7240000000000002</v>
      </c>
      <c r="T72" s="46">
        <v>7.3942082941785667</v>
      </c>
      <c r="U72" s="46">
        <v>-0.15691719897392009</v>
      </c>
      <c r="V72" s="46">
        <v>0.19264042416179833</v>
      </c>
      <c r="W72" s="46">
        <v>0.40425046865512959</v>
      </c>
      <c r="X72" s="46">
        <v>8.3855690372976301</v>
      </c>
      <c r="Y72" s="46">
        <v>-0.15691719897392009</v>
      </c>
      <c r="Z72" s="46">
        <v>0.19264042416179833</v>
      </c>
    </row>
    <row r="73" spans="1:26" x14ac:dyDescent="0.35">
      <c r="A73" s="44">
        <v>44260</v>
      </c>
      <c r="B73" s="20">
        <f t="shared" si="5"/>
        <v>44251</v>
      </c>
      <c r="C73" s="35">
        <v>48.75</v>
      </c>
      <c r="D73" s="36"/>
      <c r="E73" s="36"/>
      <c r="F73" s="36">
        <v>18.376000000000001</v>
      </c>
      <c r="G73" s="36">
        <v>25.3</v>
      </c>
      <c r="H73" s="42">
        <v>0</v>
      </c>
      <c r="I73" s="40">
        <f t="shared" si="6"/>
        <v>0.20592486408596572</v>
      </c>
      <c r="J73" s="40">
        <f t="shared" si="7"/>
        <v>0.20868980065941639</v>
      </c>
      <c r="K73" s="41">
        <f t="shared" si="4"/>
        <v>0.79973799589827244</v>
      </c>
      <c r="L73" s="23">
        <f t="shared" si="8"/>
        <v>1.2054794520547945</v>
      </c>
      <c r="M73" s="28">
        <f t="shared" si="9"/>
        <v>28</v>
      </c>
      <c r="N73" s="29" t="s">
        <v>9</v>
      </c>
      <c r="O73" s="30">
        <v>1</v>
      </c>
      <c r="P73" s="31">
        <v>0</v>
      </c>
      <c r="Q73" s="1">
        <v>1</v>
      </c>
      <c r="R73" s="46">
        <v>0.6682140094125959</v>
      </c>
      <c r="S73" s="46">
        <v>-6.7240000000000002</v>
      </c>
      <c r="T73" s="46">
        <v>7.3922140094125961</v>
      </c>
      <c r="U73" s="46">
        <v>-0.15668294454696216</v>
      </c>
      <c r="V73" s="46">
        <v>0.19234176970568065</v>
      </c>
      <c r="W73" s="46">
        <v>0.41496949111195303</v>
      </c>
      <c r="X73" s="46">
        <v>8.3760529770733161</v>
      </c>
      <c r="Y73" s="46">
        <v>-0.15668294454696216</v>
      </c>
      <c r="Z73" s="46">
        <v>0.19234176970568065</v>
      </c>
    </row>
    <row r="74" spans="1:26" x14ac:dyDescent="0.35">
      <c r="A74" s="44">
        <v>44261</v>
      </c>
      <c r="B74" s="20">
        <f t="shared" si="5"/>
        <v>44252</v>
      </c>
      <c r="C74" s="35">
        <v>48.75</v>
      </c>
      <c r="D74" s="36"/>
      <c r="E74" s="36"/>
      <c r="F74" s="36">
        <v>18.376000000000001</v>
      </c>
      <c r="G74" s="36">
        <v>25.3</v>
      </c>
      <c r="H74" s="42">
        <v>0</v>
      </c>
      <c r="I74" s="40">
        <f t="shared" si="6"/>
        <v>0.20562862088166745</v>
      </c>
      <c r="J74" s="40">
        <f t="shared" si="7"/>
        <v>0.20825531062644556</v>
      </c>
      <c r="K74" s="41">
        <f t="shared" si="4"/>
        <v>0.7997641963084452</v>
      </c>
      <c r="L74" s="23">
        <f t="shared" si="8"/>
        <v>1.2082191780821918</v>
      </c>
      <c r="M74" s="28">
        <f t="shared" si="9"/>
        <v>28</v>
      </c>
      <c r="N74" s="29" t="s">
        <v>9</v>
      </c>
      <c r="O74" s="30">
        <v>1</v>
      </c>
      <c r="P74" s="31">
        <v>0</v>
      </c>
      <c r="Q74" s="1">
        <v>1</v>
      </c>
      <c r="R74" s="46">
        <v>0.66642202076895352</v>
      </c>
      <c r="S74" s="46">
        <v>-6.7240000000000002</v>
      </c>
      <c r="T74" s="46">
        <v>7.3904220207689537</v>
      </c>
      <c r="U74" s="46">
        <v>-0.15647153870298688</v>
      </c>
      <c r="V74" s="46">
        <v>0.19207289408626502</v>
      </c>
      <c r="W74" s="46">
        <v>0.42527272955051065</v>
      </c>
      <c r="X74" s="46">
        <v>8.3677931203277236</v>
      </c>
      <c r="Y74" s="46">
        <v>-0.15647153870298688</v>
      </c>
      <c r="Z74" s="46">
        <v>0.19207289408626502</v>
      </c>
    </row>
    <row r="75" spans="1:26" x14ac:dyDescent="0.35">
      <c r="A75" s="44">
        <v>44262</v>
      </c>
      <c r="B75" s="20">
        <f t="shared" si="5"/>
        <v>44252</v>
      </c>
      <c r="C75" s="35">
        <v>48.75</v>
      </c>
      <c r="D75" s="36"/>
      <c r="E75" s="36"/>
      <c r="F75" s="36">
        <v>18.376000000000001</v>
      </c>
      <c r="G75" s="36">
        <v>25.3</v>
      </c>
      <c r="H75" s="42">
        <v>0</v>
      </c>
      <c r="I75" s="40">
        <f t="shared" si="6"/>
        <v>0.20534718983758407</v>
      </c>
      <c r="J75" s="40">
        <f t="shared" si="7"/>
        <v>0.20784254509512329</v>
      </c>
      <c r="K75" s="41">
        <f t="shared" si="4"/>
        <v>0.7997877766776007</v>
      </c>
      <c r="L75" s="23">
        <f t="shared" si="8"/>
        <v>1.2082191780821918</v>
      </c>
      <c r="M75" s="28">
        <f t="shared" si="9"/>
        <v>28</v>
      </c>
      <c r="N75" s="29" t="s">
        <v>9</v>
      </c>
      <c r="O75" s="30">
        <v>1</v>
      </c>
      <c r="P75" s="31">
        <v>0</v>
      </c>
      <c r="Q75" s="1">
        <v>1</v>
      </c>
      <c r="R75" s="46">
        <v>0.66275410849327621</v>
      </c>
      <c r="S75" s="46">
        <v>-6.7240000000000002</v>
      </c>
      <c r="T75" s="46">
        <v>7.3867541084932764</v>
      </c>
      <c r="U75" s="46">
        <v>-0.1560461190105511</v>
      </c>
      <c r="V75" s="46">
        <v>0.19152101776222197</v>
      </c>
      <c r="W75" s="46">
        <v>0.43425063190086199</v>
      </c>
      <c r="X75" s="46">
        <v>8.3429428678525781</v>
      </c>
      <c r="Y75" s="46">
        <v>-0.1560461190105511</v>
      </c>
      <c r="Z75" s="46">
        <v>0.19152101776222197</v>
      </c>
    </row>
    <row r="76" spans="1:26" x14ac:dyDescent="0.35">
      <c r="A76" s="44">
        <v>44263</v>
      </c>
      <c r="B76" s="20">
        <f t="shared" si="5"/>
        <v>44252</v>
      </c>
      <c r="C76" s="35">
        <v>48.75</v>
      </c>
      <c r="D76" s="36"/>
      <c r="E76" s="36"/>
      <c r="F76" s="36">
        <v>18.376000000000001</v>
      </c>
      <c r="G76" s="36">
        <v>25.3</v>
      </c>
      <c r="H76" s="42">
        <v>0</v>
      </c>
      <c r="I76" s="40">
        <f t="shared" si="6"/>
        <v>0.20507983034570487</v>
      </c>
      <c r="J76" s="40">
        <f t="shared" si="7"/>
        <v>0.20745041784036714</v>
      </c>
      <c r="K76" s="41">
        <f t="shared" ref="K76:K139" si="10">80%+(K75-80%)*0.9</f>
        <v>0.79980899900984059</v>
      </c>
      <c r="L76" s="23">
        <f t="shared" si="8"/>
        <v>1.2082191780821918</v>
      </c>
      <c r="M76" s="28">
        <f t="shared" si="9"/>
        <v>28</v>
      </c>
      <c r="N76" s="29" t="s">
        <v>9</v>
      </c>
      <c r="O76" s="30">
        <v>1</v>
      </c>
      <c r="P76" s="31">
        <v>0</v>
      </c>
      <c r="Q76" s="1">
        <v>1</v>
      </c>
      <c r="R76" s="46">
        <v>0.65928192729651336</v>
      </c>
      <c r="S76" s="46">
        <v>-6.7240000000000002</v>
      </c>
      <c r="T76" s="46">
        <v>7.3832819272965136</v>
      </c>
      <c r="U76" s="46">
        <v>-0.15564169851023485</v>
      </c>
      <c r="V76" s="46">
        <v>0.19099668366034342</v>
      </c>
      <c r="W76" s="46">
        <v>0.44280623682563114</v>
      </c>
      <c r="X76" s="46">
        <v>8.3192931851520395</v>
      </c>
      <c r="Y76" s="46">
        <v>-0.15564169851023485</v>
      </c>
      <c r="Z76" s="46">
        <v>0.19099668366034342</v>
      </c>
    </row>
    <row r="77" spans="1:26" x14ac:dyDescent="0.35">
      <c r="A77" s="44">
        <v>44264</v>
      </c>
      <c r="B77" s="20">
        <f t="shared" si="5"/>
        <v>44253</v>
      </c>
      <c r="C77" s="35">
        <v>48.75</v>
      </c>
      <c r="D77" s="36"/>
      <c r="E77" s="36"/>
      <c r="F77" s="36">
        <v>18.376000000000001</v>
      </c>
      <c r="G77" s="36">
        <v>25.3</v>
      </c>
      <c r="H77" s="42">
        <v>0</v>
      </c>
      <c r="I77" s="40">
        <f t="shared" si="6"/>
        <v>0.20482583882841962</v>
      </c>
      <c r="J77" s="40">
        <f t="shared" si="7"/>
        <v>0.20707789694834877</v>
      </c>
      <c r="K77" s="41">
        <f t="shared" si="10"/>
        <v>0.79982809910885655</v>
      </c>
      <c r="L77" s="23">
        <f t="shared" si="8"/>
        <v>1.210958904109589</v>
      </c>
      <c r="M77" s="28">
        <f t="shared" si="9"/>
        <v>28</v>
      </c>
      <c r="N77" s="29" t="s">
        <v>9</v>
      </c>
      <c r="O77" s="30">
        <v>1</v>
      </c>
      <c r="P77" s="31">
        <v>0</v>
      </c>
      <c r="Q77" s="1">
        <v>1</v>
      </c>
      <c r="R77" s="46">
        <v>0.65804706816344449</v>
      </c>
      <c r="S77" s="46">
        <v>-6.7240000000000002</v>
      </c>
      <c r="T77" s="46">
        <v>7.3820470681634447</v>
      </c>
      <c r="U77" s="46">
        <v>-0.15549318306602938</v>
      </c>
      <c r="V77" s="46">
        <v>0.19080975766328742</v>
      </c>
      <c r="W77" s="46">
        <v>0.45192264156544931</v>
      </c>
      <c r="X77" s="46">
        <v>8.3145409942488229</v>
      </c>
      <c r="Y77" s="46">
        <v>-0.15549318306602938</v>
      </c>
      <c r="Z77" s="46">
        <v>0.19080975766328742</v>
      </c>
    </row>
    <row r="78" spans="1:26" x14ac:dyDescent="0.35">
      <c r="A78" s="44">
        <v>44265</v>
      </c>
      <c r="B78" s="20">
        <f t="shared" si="5"/>
        <v>44256</v>
      </c>
      <c r="C78" s="35">
        <v>48.75</v>
      </c>
      <c r="D78" s="36"/>
      <c r="E78" s="36"/>
      <c r="F78" s="36">
        <v>18.376000000000001</v>
      </c>
      <c r="G78" s="36">
        <v>25.3</v>
      </c>
      <c r="H78" s="42">
        <v>0</v>
      </c>
      <c r="I78" s="40">
        <f t="shared" si="6"/>
        <v>0.20458454688699865</v>
      </c>
      <c r="J78" s="40">
        <f t="shared" si="7"/>
        <v>0.20672400210093134</v>
      </c>
      <c r="K78" s="41">
        <f t="shared" si="10"/>
        <v>0.79984528919797093</v>
      </c>
      <c r="L78" s="23">
        <f t="shared" si="8"/>
        <v>1.2191780821917808</v>
      </c>
      <c r="M78" s="28">
        <f t="shared" si="9"/>
        <v>31</v>
      </c>
      <c r="N78" s="29" t="s">
        <v>9</v>
      </c>
      <c r="O78" s="30">
        <v>1</v>
      </c>
      <c r="P78" s="31">
        <v>0</v>
      </c>
      <c r="Q78" s="1">
        <v>1</v>
      </c>
      <c r="R78" s="46">
        <v>0.66106357888251566</v>
      </c>
      <c r="S78" s="46">
        <v>-6.7240000000000002</v>
      </c>
      <c r="T78" s="46">
        <v>7.3850635788825159</v>
      </c>
      <c r="U78" s="46">
        <v>-0.15583228799744633</v>
      </c>
      <c r="V78" s="46">
        <v>0.19126596351154235</v>
      </c>
      <c r="W78" s="46">
        <v>0.46264819307011557</v>
      </c>
      <c r="X78" s="46">
        <v>8.3461909966731191</v>
      </c>
      <c r="Y78" s="46">
        <v>-0.15583228799744633</v>
      </c>
      <c r="Z78" s="46">
        <v>0.19126596351154235</v>
      </c>
    </row>
    <row r="79" spans="1:26" x14ac:dyDescent="0.35">
      <c r="A79" s="44">
        <v>44266</v>
      </c>
      <c r="B79" s="20">
        <f t="shared" si="5"/>
        <v>44257</v>
      </c>
      <c r="C79" s="35">
        <v>48.75</v>
      </c>
      <c r="D79" s="36"/>
      <c r="E79" s="36"/>
      <c r="F79" s="36">
        <v>18.376000000000001</v>
      </c>
      <c r="G79" s="36">
        <v>25.3</v>
      </c>
      <c r="H79" s="42">
        <v>0</v>
      </c>
      <c r="I79" s="40">
        <f t="shared" si="6"/>
        <v>0.20435531954264871</v>
      </c>
      <c r="J79" s="40">
        <f t="shared" si="7"/>
        <v>0.20638780199588477</v>
      </c>
      <c r="K79" s="41">
        <f t="shared" si="10"/>
        <v>0.79986076027817388</v>
      </c>
      <c r="L79" s="23">
        <f t="shared" si="8"/>
        <v>1.2219178082191782</v>
      </c>
      <c r="M79" s="28">
        <f t="shared" si="9"/>
        <v>31</v>
      </c>
      <c r="N79" s="29" t="s">
        <v>9</v>
      </c>
      <c r="O79" s="30">
        <v>1</v>
      </c>
      <c r="P79" s="31">
        <v>0</v>
      </c>
      <c r="Q79" s="1">
        <v>1</v>
      </c>
      <c r="R79" s="46">
        <v>0.6601284795966702</v>
      </c>
      <c r="S79" s="46">
        <v>-6.7240000000000002</v>
      </c>
      <c r="T79" s="46">
        <v>7.3841284795966704</v>
      </c>
      <c r="U79" s="46">
        <v>-0.15571899406696793</v>
      </c>
      <c r="V79" s="46">
        <v>0.1911246933211011</v>
      </c>
      <c r="W79" s="46">
        <v>0.47110900980325215</v>
      </c>
      <c r="X79" s="46">
        <v>8.3433887934030988</v>
      </c>
      <c r="Y79" s="46">
        <v>-0.15571899406696793</v>
      </c>
      <c r="Z79" s="46">
        <v>0.1911246933211011</v>
      </c>
    </row>
    <row r="80" spans="1:26" x14ac:dyDescent="0.35">
      <c r="A80" s="44">
        <v>44267</v>
      </c>
      <c r="B80" s="20">
        <f t="shared" si="5"/>
        <v>44258</v>
      </c>
      <c r="C80" s="35">
        <v>48.75</v>
      </c>
      <c r="D80" s="36"/>
      <c r="E80" s="36"/>
      <c r="F80" s="36">
        <v>18.376000000000001</v>
      </c>
      <c r="G80" s="36">
        <v>25.3</v>
      </c>
      <c r="H80" s="42">
        <v>0</v>
      </c>
      <c r="I80" s="40">
        <f t="shared" si="6"/>
        <v>0.20413755356551627</v>
      </c>
      <c r="J80" s="40">
        <f t="shared" si="7"/>
        <v>0.20606841189609054</v>
      </c>
      <c r="K80" s="41">
        <f t="shared" si="10"/>
        <v>0.79987468425035646</v>
      </c>
      <c r="L80" s="23">
        <f t="shared" si="8"/>
        <v>1.2246575342465753</v>
      </c>
      <c r="M80" s="28">
        <f t="shared" si="9"/>
        <v>31</v>
      </c>
      <c r="N80" s="29" t="s">
        <v>9</v>
      </c>
      <c r="O80" s="30">
        <v>1</v>
      </c>
      <c r="P80" s="31">
        <v>0</v>
      </c>
      <c r="Q80" s="1">
        <v>1</v>
      </c>
      <c r="R80" s="46">
        <v>0.65933799897299572</v>
      </c>
      <c r="S80" s="46">
        <v>-6.7240000000000002</v>
      </c>
      <c r="T80" s="46">
        <v>7.3833379989729959</v>
      </c>
      <c r="U80" s="46">
        <v>-0.15562244650366547</v>
      </c>
      <c r="V80" s="46">
        <v>0.1910051658573709</v>
      </c>
      <c r="W80" s="46">
        <v>0.4792455504773902</v>
      </c>
      <c r="X80" s="46">
        <v>8.3415291878627364</v>
      </c>
      <c r="Y80" s="46">
        <v>-0.15562244650366547</v>
      </c>
      <c r="Z80" s="46">
        <v>0.1910051658573709</v>
      </c>
    </row>
    <row r="81" spans="1:26" x14ac:dyDescent="0.35">
      <c r="A81" s="44">
        <v>44268</v>
      </c>
      <c r="B81" s="20">
        <f t="shared" si="5"/>
        <v>44259</v>
      </c>
      <c r="C81" s="35">
        <v>48.75</v>
      </c>
      <c r="D81" s="36"/>
      <c r="E81" s="36"/>
      <c r="F81" s="36">
        <v>18.376000000000001</v>
      </c>
      <c r="G81" s="36">
        <v>25.3</v>
      </c>
      <c r="H81" s="42">
        <v>0</v>
      </c>
      <c r="I81" s="40">
        <f t="shared" si="6"/>
        <v>0.20393067588724045</v>
      </c>
      <c r="J81" s="40">
        <f t="shared" si="7"/>
        <v>0.205764991301286</v>
      </c>
      <c r="K81" s="41">
        <f t="shared" si="10"/>
        <v>0.79988721582532085</v>
      </c>
      <c r="L81" s="23">
        <f t="shared" si="8"/>
        <v>1.2273972602739727</v>
      </c>
      <c r="M81" s="28">
        <f t="shared" si="9"/>
        <v>31</v>
      </c>
      <c r="N81" s="29" t="s">
        <v>9</v>
      </c>
      <c r="O81" s="30">
        <v>1</v>
      </c>
      <c r="P81" s="31">
        <v>0</v>
      </c>
      <c r="Q81" s="1">
        <v>1</v>
      </c>
      <c r="R81" s="46">
        <v>0.65868441986219572</v>
      </c>
      <c r="S81" s="46">
        <v>-6.7240000000000002</v>
      </c>
      <c r="T81" s="46">
        <v>7.3826844198621959</v>
      </c>
      <c r="U81" s="46">
        <v>-0.1555417929610397</v>
      </c>
      <c r="V81" s="46">
        <v>0.19090626592422666</v>
      </c>
      <c r="W81" s="46">
        <v>0.48707147322698768</v>
      </c>
      <c r="X81" s="46">
        <v>8.3405674408145654</v>
      </c>
      <c r="Y81" s="46">
        <v>-0.1555417929610397</v>
      </c>
      <c r="Z81" s="46">
        <v>0.19090626592422666</v>
      </c>
    </row>
    <row r="82" spans="1:26" x14ac:dyDescent="0.35">
      <c r="A82" s="44">
        <v>44269</v>
      </c>
      <c r="B82" s="20">
        <f t="shared" si="5"/>
        <v>44259</v>
      </c>
      <c r="C82" s="35">
        <v>48.75</v>
      </c>
      <c r="D82" s="36"/>
      <c r="E82" s="36"/>
      <c r="F82" s="36">
        <v>18.376000000000001</v>
      </c>
      <c r="G82" s="36">
        <v>25.3</v>
      </c>
      <c r="H82" s="42">
        <v>0</v>
      </c>
      <c r="I82" s="40">
        <f t="shared" si="6"/>
        <v>0.20373414209287843</v>
      </c>
      <c r="J82" s="40">
        <f t="shared" si="7"/>
        <v>0.20547674173622171</v>
      </c>
      <c r="K82" s="41">
        <f t="shared" si="10"/>
        <v>0.7998984942427888</v>
      </c>
      <c r="L82" s="23">
        <f t="shared" si="8"/>
        <v>1.2273972602739727</v>
      </c>
      <c r="M82" s="28">
        <f t="shared" si="9"/>
        <v>31</v>
      </c>
      <c r="N82" s="29" t="s">
        <v>9</v>
      </c>
      <c r="O82" s="30">
        <v>1</v>
      </c>
      <c r="P82" s="31">
        <v>0</v>
      </c>
      <c r="Q82" s="1">
        <v>1</v>
      </c>
      <c r="R82" s="46">
        <v>0.65613962690284566</v>
      </c>
      <c r="S82" s="46">
        <v>-6.7240000000000002</v>
      </c>
      <c r="T82" s="46">
        <v>7.3801396269028459</v>
      </c>
      <c r="U82" s="46">
        <v>-0.15524404424044211</v>
      </c>
      <c r="V82" s="46">
        <v>0.19052055385317729</v>
      </c>
      <c r="W82" s="46">
        <v>0.49356047790642077</v>
      </c>
      <c r="X82" s="46">
        <v>8.3229315042000902</v>
      </c>
      <c r="Y82" s="46">
        <v>-0.15524404424044211</v>
      </c>
      <c r="Z82" s="46">
        <v>0.19052055385317729</v>
      </c>
    </row>
    <row r="83" spans="1:26" x14ac:dyDescent="0.35">
      <c r="A83" s="44">
        <v>44270</v>
      </c>
      <c r="B83" s="20">
        <f t="shared" si="5"/>
        <v>44259</v>
      </c>
      <c r="C83" s="35">
        <v>48.75</v>
      </c>
      <c r="D83" s="36"/>
      <c r="E83" s="36"/>
      <c r="F83" s="36">
        <v>18.376000000000001</v>
      </c>
      <c r="G83" s="36">
        <v>25.3</v>
      </c>
      <c r="H83" s="42">
        <v>0</v>
      </c>
      <c r="I83" s="40">
        <f t="shared" si="6"/>
        <v>0.20354743498823452</v>
      </c>
      <c r="J83" s="40">
        <f t="shared" si="7"/>
        <v>0.20520290464941063</v>
      </c>
      <c r="K83" s="41">
        <f t="shared" si="10"/>
        <v>0.79990864481850998</v>
      </c>
      <c r="L83" s="23">
        <f t="shared" si="8"/>
        <v>1.2273972602739727</v>
      </c>
      <c r="M83" s="28">
        <f t="shared" si="9"/>
        <v>31</v>
      </c>
      <c r="N83" s="29" t="s">
        <v>9</v>
      </c>
      <c r="O83" s="30">
        <v>1</v>
      </c>
      <c r="P83" s="31">
        <v>0</v>
      </c>
      <c r="Q83" s="1">
        <v>1</v>
      </c>
      <c r="R83" s="46">
        <v>0.65372802951470987</v>
      </c>
      <c r="S83" s="46">
        <v>-6.7240000000000002</v>
      </c>
      <c r="T83" s="46">
        <v>7.3777280295147101</v>
      </c>
      <c r="U83" s="46">
        <v>-0.15496104799866198</v>
      </c>
      <c r="V83" s="46">
        <v>0.19015409728063595</v>
      </c>
      <c r="W83" s="46">
        <v>0.49973733341413584</v>
      </c>
      <c r="X83" s="46">
        <v>8.3061566820179511</v>
      </c>
      <c r="Y83" s="46">
        <v>-0.15496104799866198</v>
      </c>
      <c r="Z83" s="46">
        <v>0.19015409728063595</v>
      </c>
    </row>
    <row r="84" spans="1:26" x14ac:dyDescent="0.35">
      <c r="A84" s="44">
        <v>44271</v>
      </c>
      <c r="B84" s="20">
        <f t="shared" si="5"/>
        <v>44260</v>
      </c>
      <c r="C84" s="35">
        <v>48.75</v>
      </c>
      <c r="D84" s="36"/>
      <c r="E84" s="36"/>
      <c r="F84" s="36">
        <v>18.376000000000001</v>
      </c>
      <c r="G84" s="36">
        <v>25.3</v>
      </c>
      <c r="H84" s="42">
        <v>0</v>
      </c>
      <c r="I84" s="40">
        <f t="shared" si="6"/>
        <v>0.20337006323882278</v>
      </c>
      <c r="J84" s="40">
        <f t="shared" si="7"/>
        <v>0.2049427594169401</v>
      </c>
      <c r="K84" s="41">
        <f t="shared" si="10"/>
        <v>0.79991778033665895</v>
      </c>
      <c r="L84" s="23">
        <f t="shared" si="8"/>
        <v>1.2301369863013698</v>
      </c>
      <c r="M84" s="28">
        <f t="shared" si="9"/>
        <v>31</v>
      </c>
      <c r="N84" s="29" t="s">
        <v>9</v>
      </c>
      <c r="O84" s="30">
        <v>1</v>
      </c>
      <c r="P84" s="31">
        <v>0</v>
      </c>
      <c r="Q84" s="1">
        <v>1</v>
      </c>
      <c r="R84" s="46">
        <v>0.65345331531365858</v>
      </c>
      <c r="S84" s="46">
        <v>-6.7240000000000002</v>
      </c>
      <c r="T84" s="46">
        <v>7.3774533153136588</v>
      </c>
      <c r="U84" s="46">
        <v>-0.15492439940542341</v>
      </c>
      <c r="V84" s="46">
        <v>0.19011229501357774</v>
      </c>
      <c r="W84" s="46">
        <v>0.50668384585595549</v>
      </c>
      <c r="X84" s="46">
        <v>8.3077055841757836</v>
      </c>
      <c r="Y84" s="46">
        <v>-0.15492439940542341</v>
      </c>
      <c r="Z84" s="46">
        <v>0.19011229501357774</v>
      </c>
    </row>
    <row r="85" spans="1:26" x14ac:dyDescent="0.35">
      <c r="A85" s="44">
        <v>44272</v>
      </c>
      <c r="B85" s="20">
        <f t="shared" si="5"/>
        <v>44263</v>
      </c>
      <c r="C85" s="35">
        <v>48.75</v>
      </c>
      <c r="D85" s="36"/>
      <c r="E85" s="36"/>
      <c r="F85" s="36">
        <v>18.376000000000001</v>
      </c>
      <c r="G85" s="36">
        <v>25.3</v>
      </c>
      <c r="H85" s="42">
        <v>0</v>
      </c>
      <c r="I85" s="40">
        <f t="shared" si="6"/>
        <v>0.20320156007688164</v>
      </c>
      <c r="J85" s="40">
        <f t="shared" si="7"/>
        <v>0.2046956214460931</v>
      </c>
      <c r="K85" s="41">
        <f t="shared" si="10"/>
        <v>0.79992600230299304</v>
      </c>
      <c r="L85" s="23">
        <f t="shared" si="8"/>
        <v>1.2383561643835617</v>
      </c>
      <c r="M85" s="28">
        <f t="shared" si="9"/>
        <v>31</v>
      </c>
      <c r="N85" s="29" t="s">
        <v>9</v>
      </c>
      <c r="O85" s="30">
        <v>1</v>
      </c>
      <c r="P85" s="31">
        <v>0</v>
      </c>
      <c r="Q85" s="1">
        <v>1</v>
      </c>
      <c r="R85" s="46">
        <v>0.65729983721336183</v>
      </c>
      <c r="S85" s="46">
        <v>-6.7240000000000002</v>
      </c>
      <c r="T85" s="46">
        <v>7.381299837213362</v>
      </c>
      <c r="U85" s="46">
        <v>-0.15536248155033497</v>
      </c>
      <c r="V85" s="46">
        <v>0.19069653097744504</v>
      </c>
      <c r="W85" s="46">
        <v>0.51552582655534962</v>
      </c>
      <c r="X85" s="46">
        <v>8.3448712065934139</v>
      </c>
      <c r="Y85" s="46">
        <v>-0.15536248155033497</v>
      </c>
      <c r="Z85" s="46">
        <v>0.19069653097744504</v>
      </c>
    </row>
    <row r="86" spans="1:26" x14ac:dyDescent="0.35">
      <c r="A86" s="44">
        <v>44273</v>
      </c>
      <c r="B86" s="20">
        <f t="shared" ref="B86:B149" si="11">WORKDAY(A86,-7)</f>
        <v>44264</v>
      </c>
      <c r="C86" s="35">
        <v>48.75</v>
      </c>
      <c r="D86" s="36"/>
      <c r="E86" s="36"/>
      <c r="F86" s="36">
        <v>18.376000000000001</v>
      </c>
      <c r="G86" s="36">
        <v>25.3</v>
      </c>
      <c r="H86" s="42">
        <v>0</v>
      </c>
      <c r="I86" s="40">
        <f t="shared" ref="I86:I149" si="12">20%+(I85-20%)*0.95</f>
        <v>0.20304148207303757</v>
      </c>
      <c r="J86" s="40">
        <f t="shared" ref="J86:J149" si="13">20%+(J85-20%)*0.95</f>
        <v>0.20446084037378845</v>
      </c>
      <c r="K86" s="41">
        <f t="shared" si="10"/>
        <v>0.7999334020726937</v>
      </c>
      <c r="L86" s="23">
        <f t="shared" ref="L86:L149" si="14">(B86-$B$3)/365</f>
        <v>1.2410958904109588</v>
      </c>
      <c r="M86" s="28">
        <f t="shared" ref="M86:M149" si="15">DAY(EOMONTH(B86,0))</f>
        <v>31</v>
      </c>
      <c r="N86" s="29" t="s">
        <v>9</v>
      </c>
      <c r="O86" s="30">
        <v>1</v>
      </c>
      <c r="P86" s="31">
        <v>0</v>
      </c>
      <c r="Q86" s="1">
        <v>1</v>
      </c>
      <c r="R86" s="46">
        <v>0.65722968947617311</v>
      </c>
      <c r="S86" s="46">
        <v>-6.7240000000000002</v>
      </c>
      <c r="T86" s="46">
        <v>7.3812296894761733</v>
      </c>
      <c r="U86" s="46">
        <v>-0.15534989649743791</v>
      </c>
      <c r="V86" s="46">
        <v>0.19068589714343248</v>
      </c>
      <c r="W86" s="46">
        <v>0.52198727067099793</v>
      </c>
      <c r="X86" s="46">
        <v>8.3477936259300893</v>
      </c>
      <c r="Y86" s="46">
        <v>-0.15534989649743791</v>
      </c>
      <c r="Z86" s="46">
        <v>0.19068589714343248</v>
      </c>
    </row>
    <row r="87" spans="1:26" x14ac:dyDescent="0.35">
      <c r="A87" s="44">
        <v>44274</v>
      </c>
      <c r="B87" s="20">
        <f t="shared" si="11"/>
        <v>44265</v>
      </c>
      <c r="C87" s="35">
        <v>48.75</v>
      </c>
      <c r="D87" s="36"/>
      <c r="E87" s="36"/>
      <c r="F87" s="36">
        <v>18.376000000000001</v>
      </c>
      <c r="G87" s="36">
        <v>25.3</v>
      </c>
      <c r="H87" s="42">
        <v>0</v>
      </c>
      <c r="I87" s="40">
        <f t="shared" si="12"/>
        <v>0.2028894079693857</v>
      </c>
      <c r="J87" s="40">
        <f t="shared" si="13"/>
        <v>0.20423779835509903</v>
      </c>
      <c r="K87" s="41">
        <f t="shared" si="10"/>
        <v>0.79994006186542432</v>
      </c>
      <c r="L87" s="23">
        <f t="shared" si="14"/>
        <v>1.2438356164383562</v>
      </c>
      <c r="M87" s="28">
        <f t="shared" si="15"/>
        <v>31</v>
      </c>
      <c r="N87" s="29" t="s">
        <v>9</v>
      </c>
      <c r="O87" s="30">
        <v>1</v>
      </c>
      <c r="P87" s="31">
        <v>0</v>
      </c>
      <c r="Q87" s="1">
        <v>1</v>
      </c>
      <c r="R87" s="46">
        <v>0.65725858498512935</v>
      </c>
      <c r="S87" s="46">
        <v>-6.7240000000000002</v>
      </c>
      <c r="T87" s="46">
        <v>7.3812585849851295</v>
      </c>
      <c r="U87" s="46">
        <v>-0.15534889628747384</v>
      </c>
      <c r="V87" s="46">
        <v>0.19069027756351431</v>
      </c>
      <c r="W87" s="46">
        <v>0.52821036369717322</v>
      </c>
      <c r="X87" s="46">
        <v>8.3513840656973439</v>
      </c>
      <c r="Y87" s="46">
        <v>-0.15534889628747384</v>
      </c>
      <c r="Z87" s="46">
        <v>0.19069027756351431</v>
      </c>
    </row>
    <row r="88" spans="1:26" x14ac:dyDescent="0.35">
      <c r="A88" s="44">
        <v>44275</v>
      </c>
      <c r="B88" s="20">
        <f t="shared" si="11"/>
        <v>44266</v>
      </c>
      <c r="C88" s="35">
        <v>48.75</v>
      </c>
      <c r="D88" s="36"/>
      <c r="E88" s="36"/>
      <c r="F88" s="36">
        <v>18.376000000000001</v>
      </c>
      <c r="G88" s="36">
        <v>25.3</v>
      </c>
      <c r="H88" s="42">
        <v>0</v>
      </c>
      <c r="I88" s="40">
        <f t="shared" si="12"/>
        <v>0.20274493757091641</v>
      </c>
      <c r="J88" s="40">
        <f t="shared" si="13"/>
        <v>0.20402590843734408</v>
      </c>
      <c r="K88" s="41">
        <f t="shared" si="10"/>
        <v>0.79994605567888188</v>
      </c>
      <c r="L88" s="23">
        <f t="shared" si="14"/>
        <v>1.2465753424657535</v>
      </c>
      <c r="M88" s="28">
        <f t="shared" si="15"/>
        <v>31</v>
      </c>
      <c r="N88" s="29" t="s">
        <v>9</v>
      </c>
      <c r="O88" s="30">
        <v>1</v>
      </c>
      <c r="P88" s="31">
        <v>0</v>
      </c>
      <c r="Q88" s="1">
        <v>1</v>
      </c>
      <c r="R88" s="46">
        <v>0.6573813944213196</v>
      </c>
      <c r="S88" s="46">
        <v>-6.7240000000000002</v>
      </c>
      <c r="T88" s="46">
        <v>7.3813813944213198</v>
      </c>
      <c r="U88" s="46">
        <v>-0.1553588806788106</v>
      </c>
      <c r="V88" s="46">
        <v>0.19070889343237352</v>
      </c>
      <c r="W88" s="46">
        <v>0.5342055989303599</v>
      </c>
      <c r="X88" s="46">
        <v>8.3556100111026037</v>
      </c>
      <c r="Y88" s="46">
        <v>-0.1553588806788106</v>
      </c>
      <c r="Z88" s="46">
        <v>0.19070889343237352</v>
      </c>
    </row>
    <row r="89" spans="1:26" x14ac:dyDescent="0.35">
      <c r="A89" s="44">
        <v>44276</v>
      </c>
      <c r="B89" s="20">
        <f t="shared" si="11"/>
        <v>44266</v>
      </c>
      <c r="C89" s="35">
        <v>48.75</v>
      </c>
      <c r="D89" s="36"/>
      <c r="E89" s="36"/>
      <c r="F89" s="36">
        <v>18.376000000000001</v>
      </c>
      <c r="G89" s="36">
        <v>25.3</v>
      </c>
      <c r="H89" s="42">
        <v>0</v>
      </c>
      <c r="I89" s="40">
        <f t="shared" si="12"/>
        <v>0.20260769069237058</v>
      </c>
      <c r="J89" s="40">
        <f t="shared" si="13"/>
        <v>0.20382461301547689</v>
      </c>
      <c r="K89" s="41">
        <f t="shared" si="10"/>
        <v>0.79995145011099367</v>
      </c>
      <c r="L89" s="23">
        <f t="shared" si="14"/>
        <v>1.2465753424657535</v>
      </c>
      <c r="M89" s="28">
        <f t="shared" si="15"/>
        <v>31</v>
      </c>
      <c r="N89" s="29" t="s">
        <v>9</v>
      </c>
      <c r="O89" s="30">
        <v>1</v>
      </c>
      <c r="P89" s="31">
        <v>0</v>
      </c>
      <c r="Q89" s="1">
        <v>1</v>
      </c>
      <c r="R89" s="46">
        <v>0.65560462311086987</v>
      </c>
      <c r="S89" s="46">
        <v>-6.7240000000000002</v>
      </c>
      <c r="T89" s="46">
        <v>7.3796046231108701</v>
      </c>
      <c r="U89" s="46">
        <v>-0.15515071564133998</v>
      </c>
      <c r="V89" s="46">
        <v>0.19043933537078536</v>
      </c>
      <c r="W89" s="46">
        <v>0.53886528109898846</v>
      </c>
      <c r="X89" s="46">
        <v>8.3431339378996334</v>
      </c>
      <c r="Y89" s="46">
        <v>-0.15515071564133998</v>
      </c>
      <c r="Z89" s="46">
        <v>0.19043933537078536</v>
      </c>
    </row>
    <row r="90" spans="1:26" x14ac:dyDescent="0.35">
      <c r="A90" s="44">
        <v>44277</v>
      </c>
      <c r="B90" s="20">
        <f t="shared" si="11"/>
        <v>44266</v>
      </c>
      <c r="C90" s="35">
        <v>48.75</v>
      </c>
      <c r="D90" s="36"/>
      <c r="E90" s="36"/>
      <c r="F90" s="36">
        <v>18.376000000000001</v>
      </c>
      <c r="G90" s="36">
        <v>25.3</v>
      </c>
      <c r="H90" s="42">
        <v>0</v>
      </c>
      <c r="I90" s="40">
        <f t="shared" si="12"/>
        <v>0.20247730615775206</v>
      </c>
      <c r="J90" s="40">
        <f t="shared" si="13"/>
        <v>0.20363338236470305</v>
      </c>
      <c r="K90" s="41">
        <f t="shared" si="10"/>
        <v>0.79995630509989435</v>
      </c>
      <c r="L90" s="23">
        <f t="shared" si="14"/>
        <v>1.2465753424657535</v>
      </c>
      <c r="M90" s="28">
        <f t="shared" si="15"/>
        <v>31</v>
      </c>
      <c r="N90" s="29" t="s">
        <v>9</v>
      </c>
      <c r="O90" s="30">
        <v>1</v>
      </c>
      <c r="P90" s="31">
        <v>0</v>
      </c>
      <c r="Q90" s="1">
        <v>1</v>
      </c>
      <c r="R90" s="46">
        <v>0.65391957454703942</v>
      </c>
      <c r="S90" s="46">
        <v>-6.7240000000000002</v>
      </c>
      <c r="T90" s="46">
        <v>7.3779195745470396</v>
      </c>
      <c r="U90" s="46">
        <v>-0.15495289058585252</v>
      </c>
      <c r="V90" s="46">
        <v>0.19018323698856895</v>
      </c>
      <c r="W90" s="46">
        <v>0.54329777400360091</v>
      </c>
      <c r="X90" s="46">
        <v>8.3312714023968972</v>
      </c>
      <c r="Y90" s="46">
        <v>-0.15495289058585252</v>
      </c>
      <c r="Z90" s="46">
        <v>0.19018323698856895</v>
      </c>
    </row>
    <row r="91" spans="1:26" x14ac:dyDescent="0.35">
      <c r="A91" s="44">
        <v>44278</v>
      </c>
      <c r="B91" s="20">
        <f t="shared" si="11"/>
        <v>44267</v>
      </c>
      <c r="C91" s="35">
        <v>48.75</v>
      </c>
      <c r="D91" s="36"/>
      <c r="E91" s="36"/>
      <c r="F91" s="36">
        <v>18.376000000000001</v>
      </c>
      <c r="G91" s="36">
        <v>25.3</v>
      </c>
      <c r="H91" s="42">
        <v>0</v>
      </c>
      <c r="I91" s="40">
        <f t="shared" si="12"/>
        <v>0.20235344084986445</v>
      </c>
      <c r="J91" s="40">
        <f t="shared" si="13"/>
        <v>0.20345171324646791</v>
      </c>
      <c r="K91" s="41">
        <f t="shared" si="10"/>
        <v>0.79996067458990494</v>
      </c>
      <c r="L91" s="23">
        <f t="shared" si="14"/>
        <v>1.2493150684931507</v>
      </c>
      <c r="M91" s="28">
        <f t="shared" si="15"/>
        <v>31</v>
      </c>
      <c r="N91" s="29" t="s">
        <v>9</v>
      </c>
      <c r="O91" s="30">
        <v>1</v>
      </c>
      <c r="P91" s="31">
        <v>0</v>
      </c>
      <c r="Q91" s="1">
        <v>1</v>
      </c>
      <c r="R91" s="46">
        <v>0.65430320774528461</v>
      </c>
      <c r="S91" s="46">
        <v>-6.7240000000000002</v>
      </c>
      <c r="T91" s="46">
        <v>7.3783032077452848</v>
      </c>
      <c r="U91" s="46">
        <v>-0.15499355533612771</v>
      </c>
      <c r="V91" s="46">
        <v>0.1902415817287999</v>
      </c>
      <c r="W91" s="46">
        <v>0.54865150280741182</v>
      </c>
      <c r="X91" s="46">
        <v>8.3372811117386245</v>
      </c>
      <c r="Y91" s="46">
        <v>-0.15499355533612771</v>
      </c>
      <c r="Z91" s="46">
        <v>0.1902415817287999</v>
      </c>
    </row>
    <row r="92" spans="1:26" x14ac:dyDescent="0.35">
      <c r="A92" s="44">
        <v>44279</v>
      </c>
      <c r="B92" s="20">
        <f t="shared" si="11"/>
        <v>44270</v>
      </c>
      <c r="C92" s="35">
        <v>48.75</v>
      </c>
      <c r="D92" s="36"/>
      <c r="E92" s="36"/>
      <c r="F92" s="36">
        <v>18.376000000000001</v>
      </c>
      <c r="G92" s="36">
        <v>25.3</v>
      </c>
      <c r="H92" s="42">
        <v>0</v>
      </c>
      <c r="I92" s="40">
        <f t="shared" si="12"/>
        <v>0.20223576880737124</v>
      </c>
      <c r="J92" s="40">
        <f t="shared" si="13"/>
        <v>0.20327912758414451</v>
      </c>
      <c r="K92" s="41">
        <f t="shared" si="10"/>
        <v>0.79996460713091444</v>
      </c>
      <c r="L92" s="23">
        <f t="shared" si="14"/>
        <v>1.2575342465753425</v>
      </c>
      <c r="M92" s="28">
        <f t="shared" si="15"/>
        <v>31</v>
      </c>
      <c r="N92" s="29" t="s">
        <v>9</v>
      </c>
      <c r="O92" s="30">
        <v>1</v>
      </c>
      <c r="P92" s="31">
        <v>0</v>
      </c>
      <c r="Q92" s="1">
        <v>1</v>
      </c>
      <c r="R92" s="46">
        <v>0.65871872301599588</v>
      </c>
      <c r="S92" s="46">
        <v>-6.7240000000000002</v>
      </c>
      <c r="T92" s="46">
        <v>7.3827187230159961</v>
      </c>
      <c r="U92" s="46">
        <v>-0.15549766320907593</v>
      </c>
      <c r="V92" s="46">
        <v>0.19091145834362777</v>
      </c>
      <c r="W92" s="46">
        <v>0.5561034402809546</v>
      </c>
      <c r="X92" s="46">
        <v>8.3782691102237834</v>
      </c>
      <c r="Y92" s="46">
        <v>-0.15549766320907593</v>
      </c>
      <c r="Z92" s="46">
        <v>0.19091145834362777</v>
      </c>
    </row>
    <row r="93" spans="1:26" x14ac:dyDescent="0.35">
      <c r="A93" s="44">
        <v>44280</v>
      </c>
      <c r="B93" s="20">
        <f t="shared" si="11"/>
        <v>44271</v>
      </c>
      <c r="C93" s="35">
        <v>48.75</v>
      </c>
      <c r="D93" s="36"/>
      <c r="E93" s="36"/>
      <c r="F93" s="36">
        <v>18.376000000000001</v>
      </c>
      <c r="G93" s="36">
        <v>25.3</v>
      </c>
      <c r="H93" s="42">
        <v>0</v>
      </c>
      <c r="I93" s="40">
        <f t="shared" si="12"/>
        <v>0.20212398036700269</v>
      </c>
      <c r="J93" s="40">
        <f t="shared" si="13"/>
        <v>0.2031151712049373</v>
      </c>
      <c r="K93" s="41">
        <f t="shared" si="10"/>
        <v>0.79996814641782299</v>
      </c>
      <c r="L93" s="23">
        <f t="shared" si="14"/>
        <v>1.2602739726027397</v>
      </c>
      <c r="M93" s="28">
        <f t="shared" si="15"/>
        <v>31</v>
      </c>
      <c r="N93" s="29" t="s">
        <v>9</v>
      </c>
      <c r="O93" s="30">
        <v>1</v>
      </c>
      <c r="P93" s="31">
        <v>0</v>
      </c>
      <c r="Q93" s="1">
        <v>1</v>
      </c>
      <c r="R93" s="46">
        <v>0.65924347489684543</v>
      </c>
      <c r="S93" s="46">
        <v>-6.7240000000000002</v>
      </c>
      <c r="T93" s="46">
        <v>7.3832434748968456</v>
      </c>
      <c r="U93" s="46">
        <v>-0.15555455184546546</v>
      </c>
      <c r="V93" s="46">
        <v>0.19099086652324432</v>
      </c>
      <c r="W93" s="46">
        <v>0.56110256085147869</v>
      </c>
      <c r="X93" s="46">
        <v>8.3852345878459627</v>
      </c>
      <c r="Y93" s="46">
        <v>-0.15555455184546546</v>
      </c>
      <c r="Z93" s="46">
        <v>0.19099086652324432</v>
      </c>
    </row>
    <row r="94" spans="1:26" x14ac:dyDescent="0.35">
      <c r="A94" s="44">
        <v>44281</v>
      </c>
      <c r="B94" s="20">
        <f t="shared" si="11"/>
        <v>44272</v>
      </c>
      <c r="C94" s="35">
        <v>48.75</v>
      </c>
      <c r="D94" s="36"/>
      <c r="E94" s="36"/>
      <c r="F94" s="36">
        <v>18.376000000000001</v>
      </c>
      <c r="G94" s="36">
        <v>25.3</v>
      </c>
      <c r="H94" s="42">
        <v>0</v>
      </c>
      <c r="I94" s="40">
        <f t="shared" si="12"/>
        <v>0.20201778134865256</v>
      </c>
      <c r="J94" s="40">
        <f t="shared" si="13"/>
        <v>0.20295941264469045</v>
      </c>
      <c r="K94" s="41">
        <f t="shared" si="10"/>
        <v>0.79997133177604074</v>
      </c>
      <c r="L94" s="23">
        <f t="shared" si="14"/>
        <v>1.263013698630137</v>
      </c>
      <c r="M94" s="28">
        <f t="shared" si="15"/>
        <v>31</v>
      </c>
      <c r="N94" s="29" t="s">
        <v>9</v>
      </c>
      <c r="O94" s="30">
        <v>1</v>
      </c>
      <c r="P94" s="31">
        <v>0</v>
      </c>
      <c r="Q94" s="1">
        <v>1</v>
      </c>
      <c r="R94" s="46">
        <v>0.65983673609778215</v>
      </c>
      <c r="S94" s="46">
        <v>-6.7240000000000002</v>
      </c>
      <c r="T94" s="46">
        <v>7.3838367360977823</v>
      </c>
      <c r="U94" s="46">
        <v>-0.15561939614171022</v>
      </c>
      <c r="V94" s="46">
        <v>0.19108059046555689</v>
      </c>
      <c r="W94" s="46">
        <v>0.56592841297813035</v>
      </c>
      <c r="X94" s="46">
        <v>8.392669502726978</v>
      </c>
      <c r="Y94" s="46">
        <v>-0.15561939614171022</v>
      </c>
      <c r="Z94" s="46">
        <v>0.19108059046555689</v>
      </c>
    </row>
    <row r="95" spans="1:26" x14ac:dyDescent="0.35">
      <c r="A95" s="44">
        <v>44282</v>
      </c>
      <c r="B95" s="20">
        <f t="shared" si="11"/>
        <v>44273</v>
      </c>
      <c r="C95" s="35">
        <v>48.75</v>
      </c>
      <c r="D95" s="36"/>
      <c r="E95" s="36"/>
      <c r="F95" s="36">
        <v>18.376000000000001</v>
      </c>
      <c r="G95" s="36">
        <v>25.3</v>
      </c>
      <c r="H95" s="42">
        <v>0</v>
      </c>
      <c r="I95" s="40">
        <f t="shared" si="12"/>
        <v>0.20191689228121992</v>
      </c>
      <c r="J95" s="40">
        <f t="shared" si="13"/>
        <v>0.20281144201245593</v>
      </c>
      <c r="K95" s="41">
        <f t="shared" si="10"/>
        <v>0.79997419859843666</v>
      </c>
      <c r="L95" s="23">
        <f t="shared" si="14"/>
        <v>1.2657534246575342</v>
      </c>
      <c r="M95" s="28">
        <f t="shared" si="15"/>
        <v>31</v>
      </c>
      <c r="N95" s="29" t="s">
        <v>9</v>
      </c>
      <c r="O95" s="30">
        <v>1</v>
      </c>
      <c r="P95" s="31">
        <v>0</v>
      </c>
      <c r="Q95" s="1">
        <v>1</v>
      </c>
      <c r="R95" s="46">
        <v>0.6604950321810481</v>
      </c>
      <c r="S95" s="46">
        <v>-6.7240000000000002</v>
      </c>
      <c r="T95" s="46">
        <v>7.3844950321810483</v>
      </c>
      <c r="U95" s="46">
        <v>-0.15569177491704911</v>
      </c>
      <c r="V95" s="46">
        <v>0.19118008639128156</v>
      </c>
      <c r="W95" s="46">
        <v>0.57058881120481886</v>
      </c>
      <c r="X95" s="46">
        <v>8.4005504860210642</v>
      </c>
      <c r="Y95" s="46">
        <v>-0.15569177491704911</v>
      </c>
      <c r="Z95" s="46">
        <v>0.19118008639128156</v>
      </c>
    </row>
    <row r="96" spans="1:26" x14ac:dyDescent="0.35">
      <c r="A96" s="44">
        <v>44283</v>
      </c>
      <c r="B96" s="20">
        <f t="shared" si="11"/>
        <v>44273</v>
      </c>
      <c r="C96" s="35">
        <v>48.75</v>
      </c>
      <c r="D96" s="36"/>
      <c r="E96" s="36"/>
      <c r="F96" s="36">
        <v>18.376000000000001</v>
      </c>
      <c r="G96" s="36">
        <v>25.3</v>
      </c>
      <c r="H96" s="42">
        <v>0</v>
      </c>
      <c r="I96" s="40">
        <f t="shared" si="12"/>
        <v>0.20182104766715891</v>
      </c>
      <c r="J96" s="40">
        <f t="shared" si="13"/>
        <v>0.20267086991183314</v>
      </c>
      <c r="K96" s="41">
        <f t="shared" si="10"/>
        <v>0.79997677873859296</v>
      </c>
      <c r="L96" s="23">
        <f t="shared" si="14"/>
        <v>1.2657534246575342</v>
      </c>
      <c r="M96" s="28">
        <f t="shared" si="15"/>
        <v>31</v>
      </c>
      <c r="N96" s="29" t="s">
        <v>9</v>
      </c>
      <c r="O96" s="30">
        <v>1</v>
      </c>
      <c r="P96" s="31">
        <v>0</v>
      </c>
      <c r="Q96" s="1">
        <v>1</v>
      </c>
      <c r="R96" s="46">
        <v>0.65924911505916839</v>
      </c>
      <c r="S96" s="46">
        <v>-6.7240000000000002</v>
      </c>
      <c r="T96" s="46">
        <v>7.3832491150591686</v>
      </c>
      <c r="U96" s="46">
        <v>-0.15554635357342089</v>
      </c>
      <c r="V96" s="46">
        <v>0.19099171978986362</v>
      </c>
      <c r="W96" s="46">
        <v>0.5739210141154254</v>
      </c>
      <c r="X96" s="46">
        <v>8.3917442569476677</v>
      </c>
      <c r="Y96" s="46">
        <v>-0.15554635357342089</v>
      </c>
      <c r="Z96" s="46">
        <v>0.19099171978986362</v>
      </c>
    </row>
    <row r="97" spans="1:26" x14ac:dyDescent="0.35">
      <c r="A97" s="44">
        <v>44284</v>
      </c>
      <c r="B97" s="20">
        <f t="shared" si="11"/>
        <v>44273</v>
      </c>
      <c r="C97" s="35">
        <v>48.75</v>
      </c>
      <c r="D97" s="36"/>
      <c r="E97" s="36"/>
      <c r="F97" s="36">
        <v>18.376000000000001</v>
      </c>
      <c r="G97" s="36">
        <v>25.3</v>
      </c>
      <c r="H97" s="42">
        <v>0</v>
      </c>
      <c r="I97" s="40">
        <f t="shared" si="12"/>
        <v>0.20172999528380098</v>
      </c>
      <c r="J97" s="40">
        <f t="shared" si="13"/>
        <v>0.20253732641624148</v>
      </c>
      <c r="K97" s="41">
        <f t="shared" si="10"/>
        <v>0.79997910086473367</v>
      </c>
      <c r="L97" s="23">
        <f t="shared" si="14"/>
        <v>1.2657534246575342</v>
      </c>
      <c r="M97" s="28">
        <f t="shared" si="15"/>
        <v>31</v>
      </c>
      <c r="N97" s="29" t="s">
        <v>9</v>
      </c>
      <c r="O97" s="30">
        <v>1</v>
      </c>
      <c r="P97" s="31">
        <v>0</v>
      </c>
      <c r="Q97" s="1">
        <v>1</v>
      </c>
      <c r="R97" s="46">
        <v>0.65806689323353496</v>
      </c>
      <c r="S97" s="46">
        <v>-6.7240000000000002</v>
      </c>
      <c r="T97" s="46">
        <v>7.3820668932335352</v>
      </c>
      <c r="U97" s="46">
        <v>-0.15540816839305938</v>
      </c>
      <c r="V97" s="46">
        <v>0.19081276054110619</v>
      </c>
      <c r="W97" s="46">
        <v>0.5770893773128255</v>
      </c>
      <c r="X97" s="46">
        <v>8.3833732213460177</v>
      </c>
      <c r="Y97" s="46">
        <v>-0.15540816839305938</v>
      </c>
      <c r="Z97" s="46">
        <v>0.19081276054110619</v>
      </c>
    </row>
    <row r="98" spans="1:26" x14ac:dyDescent="0.35">
      <c r="A98" s="44">
        <v>44285</v>
      </c>
      <c r="B98" s="20">
        <f t="shared" si="11"/>
        <v>44274</v>
      </c>
      <c r="C98" s="35">
        <v>48.75</v>
      </c>
      <c r="D98" s="36"/>
      <c r="E98" s="36"/>
      <c r="F98" s="36">
        <v>18.376000000000001</v>
      </c>
      <c r="G98" s="36">
        <v>25.3</v>
      </c>
      <c r="H98" s="42">
        <v>0</v>
      </c>
      <c r="I98" s="40">
        <f t="shared" si="12"/>
        <v>0.20164349551961092</v>
      </c>
      <c r="J98" s="40">
        <f t="shared" si="13"/>
        <v>0.2024104600954294</v>
      </c>
      <c r="K98" s="41">
        <f t="shared" si="10"/>
        <v>0.79998119077826035</v>
      </c>
      <c r="L98" s="23">
        <f t="shared" si="14"/>
        <v>1.2684931506849315</v>
      </c>
      <c r="M98" s="28">
        <f t="shared" si="15"/>
        <v>31</v>
      </c>
      <c r="N98" s="29" t="s">
        <v>9</v>
      </c>
      <c r="O98" s="30">
        <v>1</v>
      </c>
      <c r="P98" s="31">
        <v>0</v>
      </c>
      <c r="Q98" s="1">
        <v>1</v>
      </c>
      <c r="R98" s="46">
        <v>0.65890629994370364</v>
      </c>
      <c r="S98" s="46">
        <v>-6.7240000000000002</v>
      </c>
      <c r="T98" s="46">
        <v>7.3829062999437038</v>
      </c>
      <c r="U98" s="46">
        <v>-0.15550186305501082</v>
      </c>
      <c r="V98" s="46">
        <v>0.19093984836511588</v>
      </c>
      <c r="W98" s="46">
        <v>0.58128605664475363</v>
      </c>
      <c r="X98" s="46">
        <v>8.3925144416993103</v>
      </c>
      <c r="Y98" s="46">
        <v>-0.15550186305501082</v>
      </c>
      <c r="Z98" s="46">
        <v>0.19093984836511588</v>
      </c>
    </row>
    <row r="99" spans="1:26" x14ac:dyDescent="0.35">
      <c r="A99" s="44">
        <v>44286</v>
      </c>
      <c r="B99" s="20">
        <f t="shared" si="11"/>
        <v>44277</v>
      </c>
      <c r="C99" s="35">
        <v>48.75</v>
      </c>
      <c r="D99" s="36"/>
      <c r="E99" s="36"/>
      <c r="F99" s="36">
        <v>18.376000000000001</v>
      </c>
      <c r="G99" s="36">
        <v>25.3</v>
      </c>
      <c r="H99" s="42">
        <v>0</v>
      </c>
      <c r="I99" s="40">
        <f t="shared" si="12"/>
        <v>0.20156132074363037</v>
      </c>
      <c r="J99" s="40">
        <f t="shared" si="13"/>
        <v>0.20228993709065793</v>
      </c>
      <c r="K99" s="41">
        <f t="shared" si="10"/>
        <v>0.79998307170043437</v>
      </c>
      <c r="L99" s="23">
        <f t="shared" si="14"/>
        <v>1.2767123287671234</v>
      </c>
      <c r="M99" s="28">
        <f t="shared" si="15"/>
        <v>31</v>
      </c>
      <c r="N99" s="29" t="s">
        <v>9</v>
      </c>
      <c r="O99" s="30">
        <v>1</v>
      </c>
      <c r="P99" s="31">
        <v>0</v>
      </c>
      <c r="Q99" s="1">
        <v>1</v>
      </c>
      <c r="R99" s="46">
        <v>0.66371529907909554</v>
      </c>
      <c r="S99" s="46">
        <v>-6.7240000000000002</v>
      </c>
      <c r="T99" s="46">
        <v>7.3877152990790957</v>
      </c>
      <c r="U99" s="46">
        <v>-0.15604892082323146</v>
      </c>
      <c r="V99" s="46">
        <v>0.19166583864229819</v>
      </c>
      <c r="W99" s="46">
        <v>0.58772070633565954</v>
      </c>
      <c r="X99" s="46">
        <v>8.4361049447850238</v>
      </c>
      <c r="Y99" s="46">
        <v>-0.15604892082323146</v>
      </c>
      <c r="Z99" s="46">
        <v>0.19166583864229819</v>
      </c>
    </row>
    <row r="100" spans="1:26" x14ac:dyDescent="0.35">
      <c r="A100" s="44">
        <v>44287</v>
      </c>
      <c r="B100" s="20">
        <f t="shared" si="11"/>
        <v>44278</v>
      </c>
      <c r="C100" s="35">
        <v>48.75</v>
      </c>
      <c r="D100" s="36"/>
      <c r="E100" s="36"/>
      <c r="F100" s="36">
        <v>18.376000000000001</v>
      </c>
      <c r="G100" s="36">
        <v>25.3</v>
      </c>
      <c r="H100" s="42">
        <v>0</v>
      </c>
      <c r="I100" s="40">
        <f t="shared" si="12"/>
        <v>0.20148325470644884</v>
      </c>
      <c r="J100" s="40">
        <f t="shared" si="13"/>
        <v>0.20217544023612502</v>
      </c>
      <c r="K100" s="41">
        <f t="shared" si="10"/>
        <v>0.79998476453039091</v>
      </c>
      <c r="L100" s="23">
        <f t="shared" si="14"/>
        <v>1.2794520547945205</v>
      </c>
      <c r="M100" s="28">
        <f t="shared" si="15"/>
        <v>31</v>
      </c>
      <c r="N100" s="29" t="s">
        <v>9</v>
      </c>
      <c r="O100" s="30">
        <v>1</v>
      </c>
      <c r="P100" s="31">
        <v>0</v>
      </c>
      <c r="Q100" s="1">
        <v>1</v>
      </c>
      <c r="R100" s="46">
        <v>0.66465273664378621</v>
      </c>
      <c r="S100" s="46">
        <v>-6.7240000000000002</v>
      </c>
      <c r="T100" s="46">
        <v>7.3886527366437864</v>
      </c>
      <c r="U100" s="46">
        <v>-0.15615335034731315</v>
      </c>
      <c r="V100" s="46">
        <v>0.19180694400612053</v>
      </c>
      <c r="W100" s="46">
        <v>0.5916597697581899</v>
      </c>
      <c r="X100" s="46">
        <v>8.4459023084237881</v>
      </c>
      <c r="Y100" s="46">
        <v>-0.15615335034731315</v>
      </c>
      <c r="Z100" s="46">
        <v>0.19180694400612053</v>
      </c>
    </row>
    <row r="101" spans="1:26" x14ac:dyDescent="0.35">
      <c r="A101" s="44">
        <v>44288</v>
      </c>
      <c r="B101" s="20">
        <f t="shared" si="11"/>
        <v>44279</v>
      </c>
      <c r="C101" s="35">
        <v>48.75</v>
      </c>
      <c r="D101" s="36"/>
      <c r="E101" s="36"/>
      <c r="F101" s="36">
        <v>18.376000000000001</v>
      </c>
      <c r="G101" s="36">
        <v>25.3</v>
      </c>
      <c r="H101" s="42">
        <v>0</v>
      </c>
      <c r="I101" s="40">
        <f t="shared" si="12"/>
        <v>0.20140909197112641</v>
      </c>
      <c r="J101" s="40">
        <f t="shared" si="13"/>
        <v>0.20206666822431876</v>
      </c>
      <c r="K101" s="41">
        <f t="shared" si="10"/>
        <v>0.79998628807735184</v>
      </c>
      <c r="L101" s="23">
        <f t="shared" si="14"/>
        <v>1.2821917808219179</v>
      </c>
      <c r="M101" s="28">
        <f t="shared" si="15"/>
        <v>31</v>
      </c>
      <c r="N101" s="29" t="s">
        <v>9</v>
      </c>
      <c r="O101" s="30">
        <v>1</v>
      </c>
      <c r="P101" s="31">
        <v>0</v>
      </c>
      <c r="Q101" s="1">
        <v>1</v>
      </c>
      <c r="R101" s="46">
        <v>0.66563787901109706</v>
      </c>
      <c r="S101" s="46">
        <v>-6.7240000000000002</v>
      </c>
      <c r="T101" s="46">
        <v>7.3896378790110973</v>
      </c>
      <c r="U101" s="46">
        <v>-0.15626319172083125</v>
      </c>
      <c r="V101" s="46">
        <v>0.19195508484975277</v>
      </c>
      <c r="W101" s="46">
        <v>0.59547366092691079</v>
      </c>
      <c r="X101" s="46">
        <v>8.4560268374369389</v>
      </c>
      <c r="Y101" s="46">
        <v>-0.15626319172083125</v>
      </c>
      <c r="Z101" s="46">
        <v>0.19195508484975277</v>
      </c>
    </row>
    <row r="102" spans="1:26" x14ac:dyDescent="0.35">
      <c r="A102" s="44">
        <v>44289</v>
      </c>
      <c r="B102" s="20">
        <f t="shared" si="11"/>
        <v>44280</v>
      </c>
      <c r="C102" s="35">
        <v>48.75</v>
      </c>
      <c r="D102" s="36"/>
      <c r="E102" s="36"/>
      <c r="F102" s="36">
        <v>18.376000000000001</v>
      </c>
      <c r="G102" s="36">
        <v>25.3</v>
      </c>
      <c r="H102" s="42">
        <v>0</v>
      </c>
      <c r="I102" s="40">
        <f t="shared" si="12"/>
        <v>0.2013386373725701</v>
      </c>
      <c r="J102" s="40">
        <f t="shared" si="13"/>
        <v>0.20196333481310283</v>
      </c>
      <c r="K102" s="41">
        <f t="shared" si="10"/>
        <v>0.79998765926961668</v>
      </c>
      <c r="L102" s="23">
        <f t="shared" si="14"/>
        <v>1.284931506849315</v>
      </c>
      <c r="M102" s="28">
        <f t="shared" si="15"/>
        <v>31</v>
      </c>
      <c r="N102" s="29" t="s">
        <v>9</v>
      </c>
      <c r="O102" s="30">
        <v>1</v>
      </c>
      <c r="P102" s="31">
        <v>0</v>
      </c>
      <c r="Q102" s="1">
        <v>1</v>
      </c>
      <c r="R102" s="46">
        <v>0.66666833979333795</v>
      </c>
      <c r="S102" s="46">
        <v>-6.7240000000000002</v>
      </c>
      <c r="T102" s="46">
        <v>7.3906683397933381</v>
      </c>
      <c r="U102" s="46">
        <v>-0.15637815016049922</v>
      </c>
      <c r="V102" s="46">
        <v>0.19210988159827572</v>
      </c>
      <c r="W102" s="46">
        <v>0.59916810025750644</v>
      </c>
      <c r="X102" s="46">
        <v>8.4664618592526608</v>
      </c>
      <c r="Y102" s="46">
        <v>-0.15637815016049922</v>
      </c>
      <c r="Z102" s="46">
        <v>0.19210988159827572</v>
      </c>
    </row>
    <row r="103" spans="1:26" x14ac:dyDescent="0.35">
      <c r="A103" s="44">
        <v>44290</v>
      </c>
      <c r="B103" s="20">
        <f t="shared" si="11"/>
        <v>44280</v>
      </c>
      <c r="C103" s="35">
        <v>48.75</v>
      </c>
      <c r="D103" s="36"/>
      <c r="E103" s="36"/>
      <c r="F103" s="36">
        <v>18.376000000000001</v>
      </c>
      <c r="G103" s="36">
        <v>25.3</v>
      </c>
      <c r="H103" s="42">
        <v>0</v>
      </c>
      <c r="I103" s="40">
        <f t="shared" si="12"/>
        <v>0.20127170550394161</v>
      </c>
      <c r="J103" s="40">
        <f t="shared" si="13"/>
        <v>0.2018651680724477</v>
      </c>
      <c r="K103" s="41">
        <f t="shared" si="10"/>
        <v>0.79998889334265499</v>
      </c>
      <c r="L103" s="23">
        <f t="shared" si="14"/>
        <v>1.284931506849315</v>
      </c>
      <c r="M103" s="28">
        <f t="shared" si="15"/>
        <v>31</v>
      </c>
      <c r="N103" s="29" t="s">
        <v>9</v>
      </c>
      <c r="O103" s="30">
        <v>1</v>
      </c>
      <c r="P103" s="31">
        <v>0</v>
      </c>
      <c r="Q103" s="1">
        <v>1</v>
      </c>
      <c r="R103" s="46">
        <v>0.66579211751705003</v>
      </c>
      <c r="S103" s="46">
        <v>-6.7240000000000002</v>
      </c>
      <c r="T103" s="46">
        <v>7.3897921175170502</v>
      </c>
      <c r="U103" s="46">
        <v>-0.15627661944647991</v>
      </c>
      <c r="V103" s="46">
        <v>0.19197826502539747</v>
      </c>
      <c r="W103" s="46">
        <v>0.60154440776280627</v>
      </c>
      <c r="X103" s="46">
        <v>8.4602558316670446</v>
      </c>
      <c r="Y103" s="46">
        <v>-0.15627661944647991</v>
      </c>
      <c r="Z103" s="46">
        <v>0.19197826502539747</v>
      </c>
    </row>
    <row r="104" spans="1:26" x14ac:dyDescent="0.35">
      <c r="A104" s="44">
        <v>44291</v>
      </c>
      <c r="B104" s="20">
        <f t="shared" si="11"/>
        <v>44280</v>
      </c>
      <c r="C104" s="35">
        <v>48.75</v>
      </c>
      <c r="D104" s="36"/>
      <c r="E104" s="36"/>
      <c r="F104" s="36">
        <v>18.376000000000001</v>
      </c>
      <c r="G104" s="36">
        <v>25.3</v>
      </c>
      <c r="H104" s="42">
        <v>0</v>
      </c>
      <c r="I104" s="40">
        <f t="shared" si="12"/>
        <v>0.20120812022874451</v>
      </c>
      <c r="J104" s="40">
        <f t="shared" si="13"/>
        <v>0.2017719096688253</v>
      </c>
      <c r="K104" s="41">
        <f t="shared" si="10"/>
        <v>0.79999000400838949</v>
      </c>
      <c r="L104" s="23">
        <f t="shared" si="14"/>
        <v>1.284931506849315</v>
      </c>
      <c r="M104" s="28">
        <f t="shared" si="15"/>
        <v>31</v>
      </c>
      <c r="N104" s="29" t="s">
        <v>9</v>
      </c>
      <c r="O104" s="30">
        <v>1</v>
      </c>
      <c r="P104" s="31">
        <v>0</v>
      </c>
      <c r="Q104" s="1">
        <v>1</v>
      </c>
      <c r="R104" s="46">
        <v>0.66496038626111442</v>
      </c>
      <c r="S104" s="46">
        <v>-6.7240000000000002</v>
      </c>
      <c r="T104" s="46">
        <v>7.3889603862611146</v>
      </c>
      <c r="U104" s="46">
        <v>-0.15618014733179045</v>
      </c>
      <c r="V104" s="46">
        <v>0.19185322279668071</v>
      </c>
      <c r="W104" s="46">
        <v>0.60380323928094026</v>
      </c>
      <c r="X104" s="46">
        <v>8.4543575471727337</v>
      </c>
      <c r="Y104" s="46">
        <v>-0.15618014733179045</v>
      </c>
      <c r="Z104" s="46">
        <v>0.19185322279668071</v>
      </c>
    </row>
    <row r="105" spans="1:26" x14ac:dyDescent="0.35">
      <c r="A105" s="44">
        <v>44292</v>
      </c>
      <c r="B105" s="20">
        <f t="shared" si="11"/>
        <v>44281</v>
      </c>
      <c r="C105" s="35">
        <v>48.75</v>
      </c>
      <c r="D105" s="36"/>
      <c r="E105" s="36"/>
      <c r="F105" s="36">
        <v>18.376000000000001</v>
      </c>
      <c r="G105" s="36">
        <v>25.3</v>
      </c>
      <c r="H105" s="42">
        <v>0</v>
      </c>
      <c r="I105" s="40">
        <f t="shared" si="12"/>
        <v>0.20114771421730729</v>
      </c>
      <c r="J105" s="40">
        <f t="shared" si="13"/>
        <v>0.20168331418538404</v>
      </c>
      <c r="K105" s="41">
        <f t="shared" si="10"/>
        <v>0.7999910036075506</v>
      </c>
      <c r="L105" s="23">
        <f t="shared" si="14"/>
        <v>1.2876712328767124</v>
      </c>
      <c r="M105" s="28">
        <f t="shared" si="15"/>
        <v>31</v>
      </c>
      <c r="N105" s="29" t="s">
        <v>9</v>
      </c>
      <c r="O105" s="30">
        <v>1</v>
      </c>
      <c r="P105" s="31">
        <v>0</v>
      </c>
      <c r="Q105" s="1">
        <v>1</v>
      </c>
      <c r="R105" s="46">
        <v>0.66611734506338571</v>
      </c>
      <c r="S105" s="46">
        <v>-6.7240000000000002</v>
      </c>
      <c r="T105" s="46">
        <v>7.3901173450633859</v>
      </c>
      <c r="U105" s="46">
        <v>-0.15630985685143964</v>
      </c>
      <c r="V105" s="46">
        <v>0.1920271308573053</v>
      </c>
      <c r="W105" s="46">
        <v>0.60716431518784097</v>
      </c>
      <c r="X105" s="46">
        <v>8.4656787045953141</v>
      </c>
      <c r="Y105" s="46">
        <v>-0.15630985685143964</v>
      </c>
      <c r="Z105" s="46">
        <v>0.1920271308573053</v>
      </c>
    </row>
    <row r="106" spans="1:26" x14ac:dyDescent="0.35">
      <c r="A106" s="44">
        <v>44293</v>
      </c>
      <c r="B106" s="20">
        <f t="shared" si="11"/>
        <v>44284</v>
      </c>
      <c r="C106" s="35">
        <v>48.75</v>
      </c>
      <c r="D106" s="36"/>
      <c r="E106" s="36"/>
      <c r="F106" s="36">
        <v>18.376000000000001</v>
      </c>
      <c r="G106" s="36">
        <v>25.3</v>
      </c>
      <c r="H106" s="42">
        <v>0</v>
      </c>
      <c r="I106" s="40">
        <f t="shared" si="12"/>
        <v>0.20109032850644193</v>
      </c>
      <c r="J106" s="40">
        <f t="shared" si="13"/>
        <v>0.20159914847611485</v>
      </c>
      <c r="K106" s="41">
        <f t="shared" si="10"/>
        <v>0.79999190324679559</v>
      </c>
      <c r="L106" s="23">
        <f t="shared" si="14"/>
        <v>1.295890410958904</v>
      </c>
      <c r="M106" s="28">
        <f t="shared" si="15"/>
        <v>31</v>
      </c>
      <c r="N106" s="29" t="s">
        <v>9</v>
      </c>
      <c r="O106" s="30">
        <v>1</v>
      </c>
      <c r="P106" s="31">
        <v>0</v>
      </c>
      <c r="Q106" s="1">
        <v>1</v>
      </c>
      <c r="R106" s="46">
        <v>0.67119979446542999</v>
      </c>
      <c r="S106" s="46">
        <v>-6.7240000000000002</v>
      </c>
      <c r="T106" s="46">
        <v>7.3951997944654302</v>
      </c>
      <c r="U106" s="46">
        <v>-0.15688375847839459</v>
      </c>
      <c r="V106" s="46">
        <v>0.19278868204858979</v>
      </c>
      <c r="W106" s="46">
        <v>0.61285705524068945</v>
      </c>
      <c r="X106" s="46">
        <v>8.5110004060016298</v>
      </c>
      <c r="Y106" s="46">
        <v>-0.15688375847839459</v>
      </c>
      <c r="Z106" s="46">
        <v>0.19278868204858979</v>
      </c>
    </row>
    <row r="107" spans="1:26" x14ac:dyDescent="0.35">
      <c r="A107" s="44">
        <v>44294</v>
      </c>
      <c r="B107" s="20">
        <f t="shared" si="11"/>
        <v>44285</v>
      </c>
      <c r="C107" s="35">
        <v>48.75</v>
      </c>
      <c r="D107" s="36"/>
      <c r="E107" s="36"/>
      <c r="F107" s="36">
        <v>18.376000000000001</v>
      </c>
      <c r="G107" s="36">
        <v>25.3</v>
      </c>
      <c r="H107" s="42">
        <v>0</v>
      </c>
      <c r="I107" s="40">
        <f t="shared" si="12"/>
        <v>0.20103581208111984</v>
      </c>
      <c r="J107" s="40">
        <f t="shared" si="13"/>
        <v>0.20151919105230912</v>
      </c>
      <c r="K107" s="41">
        <f t="shared" si="10"/>
        <v>0.79999271292211604</v>
      </c>
      <c r="L107" s="23">
        <f t="shared" si="14"/>
        <v>1.2986301369863014</v>
      </c>
      <c r="M107" s="28">
        <f t="shared" si="15"/>
        <v>31</v>
      </c>
      <c r="N107" s="29" t="s">
        <v>9</v>
      </c>
      <c r="O107" s="30">
        <v>1</v>
      </c>
      <c r="P107" s="31">
        <v>0</v>
      </c>
      <c r="Q107" s="1">
        <v>1</v>
      </c>
      <c r="R107" s="46">
        <v>0.67242511811466876</v>
      </c>
      <c r="S107" s="46">
        <v>-6.7240000000000002</v>
      </c>
      <c r="T107" s="46">
        <v>7.396425118114669</v>
      </c>
      <c r="U107" s="46">
        <v>-0.15702037043347261</v>
      </c>
      <c r="V107" s="46">
        <v>0.19297169797332606</v>
      </c>
      <c r="W107" s="46">
        <v>0.61603148969909349</v>
      </c>
      <c r="X107" s="46">
        <v>8.5227643006572329</v>
      </c>
      <c r="Y107" s="46">
        <v>-0.15702037043347261</v>
      </c>
      <c r="Z107" s="46">
        <v>0.19297169797332606</v>
      </c>
    </row>
    <row r="108" spans="1:26" x14ac:dyDescent="0.35">
      <c r="A108" s="44">
        <v>44295</v>
      </c>
      <c r="B108" s="20">
        <f t="shared" si="11"/>
        <v>44286</v>
      </c>
      <c r="C108" s="35">
        <v>48.75</v>
      </c>
      <c r="D108" s="36"/>
      <c r="E108" s="36"/>
      <c r="F108" s="36">
        <v>18.376000000000001</v>
      </c>
      <c r="G108" s="36">
        <v>25.3</v>
      </c>
      <c r="H108" s="42">
        <v>0</v>
      </c>
      <c r="I108" s="40">
        <f t="shared" si="12"/>
        <v>0.20098402147706385</v>
      </c>
      <c r="J108" s="40">
        <f t="shared" si="13"/>
        <v>0.20144323149969365</v>
      </c>
      <c r="K108" s="41">
        <f t="shared" si="10"/>
        <v>0.79999344162990449</v>
      </c>
      <c r="L108" s="23">
        <f t="shared" si="14"/>
        <v>1.3013698630136987</v>
      </c>
      <c r="M108" s="28">
        <f t="shared" si="15"/>
        <v>31</v>
      </c>
      <c r="N108" s="29" t="s">
        <v>9</v>
      </c>
      <c r="O108" s="30">
        <v>1</v>
      </c>
      <c r="P108" s="31">
        <v>0</v>
      </c>
      <c r="Q108" s="1">
        <v>1</v>
      </c>
      <c r="R108" s="46">
        <v>0.67368379640065079</v>
      </c>
      <c r="S108" s="46">
        <v>-6.7240000000000002</v>
      </c>
      <c r="T108" s="46">
        <v>7.397683796400651</v>
      </c>
      <c r="U108" s="46">
        <v>-0.15716061536095755</v>
      </c>
      <c r="V108" s="46">
        <v>0.19315946006176415</v>
      </c>
      <c r="W108" s="46">
        <v>0.61911580137738909</v>
      </c>
      <c r="X108" s="46">
        <v>8.5347540778166486</v>
      </c>
      <c r="Y108" s="46">
        <v>-0.15716061536095755</v>
      </c>
      <c r="Z108" s="46">
        <v>0.19315946006176415</v>
      </c>
    </row>
    <row r="109" spans="1:26" x14ac:dyDescent="0.35">
      <c r="A109" s="44">
        <v>44296</v>
      </c>
      <c r="B109" s="20">
        <f t="shared" si="11"/>
        <v>44287</v>
      </c>
      <c r="C109" s="35">
        <v>48.75</v>
      </c>
      <c r="D109" s="36"/>
      <c r="E109" s="36"/>
      <c r="F109" s="36">
        <v>18.376000000000001</v>
      </c>
      <c r="G109" s="36">
        <v>25.3</v>
      </c>
      <c r="H109" s="42">
        <v>0</v>
      </c>
      <c r="I109" s="40">
        <f t="shared" si="12"/>
        <v>0.20093482040321065</v>
      </c>
      <c r="J109" s="40">
        <f t="shared" si="13"/>
        <v>0.20137106992470896</v>
      </c>
      <c r="K109" s="41">
        <f t="shared" si="10"/>
        <v>0.79999409746691408</v>
      </c>
      <c r="L109" s="23">
        <f t="shared" si="14"/>
        <v>1.3041095890410959</v>
      </c>
      <c r="M109" s="28">
        <f t="shared" si="15"/>
        <v>30</v>
      </c>
      <c r="N109" s="29" t="s">
        <v>9</v>
      </c>
      <c r="O109" s="30">
        <v>1</v>
      </c>
      <c r="P109" s="31">
        <v>0</v>
      </c>
      <c r="Q109" s="1">
        <v>1</v>
      </c>
      <c r="R109" s="46">
        <v>0.67497417381483515</v>
      </c>
      <c r="S109" s="46">
        <v>-6.7240000000000002</v>
      </c>
      <c r="T109" s="46">
        <v>7.3989741738148354</v>
      </c>
      <c r="U109" s="46">
        <v>-0.15730428737600877</v>
      </c>
      <c r="V109" s="46">
        <v>0.19335170349708419</v>
      </c>
      <c r="W109" s="46">
        <v>0.62211413536269788</v>
      </c>
      <c r="X109" s="46">
        <v>8.5469579029682201</v>
      </c>
      <c r="Y109" s="46">
        <v>-0.15730428737600877</v>
      </c>
      <c r="Z109" s="46">
        <v>0.19335170349708419</v>
      </c>
    </row>
    <row r="110" spans="1:26" x14ac:dyDescent="0.35">
      <c r="A110" s="44">
        <v>44297</v>
      </c>
      <c r="B110" s="20">
        <f t="shared" si="11"/>
        <v>44287</v>
      </c>
      <c r="C110" s="35">
        <v>48.75</v>
      </c>
      <c r="D110" s="36"/>
      <c r="E110" s="36"/>
      <c r="F110" s="36">
        <v>18.376000000000001</v>
      </c>
      <c r="G110" s="36">
        <v>25.3</v>
      </c>
      <c r="H110" s="42">
        <v>0</v>
      </c>
      <c r="I110" s="40">
        <f t="shared" si="12"/>
        <v>0.20088807938305012</v>
      </c>
      <c r="J110" s="40">
        <f t="shared" si="13"/>
        <v>0.20130251642847352</v>
      </c>
      <c r="K110" s="41">
        <f t="shared" si="10"/>
        <v>0.79999468772022264</v>
      </c>
      <c r="L110" s="23">
        <f t="shared" si="14"/>
        <v>1.3041095890410959</v>
      </c>
      <c r="M110" s="28">
        <f t="shared" si="15"/>
        <v>30</v>
      </c>
      <c r="N110" s="29" t="s">
        <v>9</v>
      </c>
      <c r="O110" s="30">
        <v>1</v>
      </c>
      <c r="P110" s="31">
        <v>0</v>
      </c>
      <c r="Q110" s="1">
        <v>1</v>
      </c>
      <c r="R110" s="46">
        <v>0.67435675446970755</v>
      </c>
      <c r="S110" s="46">
        <v>-6.7240000000000002</v>
      </c>
      <c r="T110" s="46">
        <v>7.3983567544697078</v>
      </c>
      <c r="U110" s="46">
        <v>-0.1572334317766102</v>
      </c>
      <c r="V110" s="46">
        <v>0.19325975012540433</v>
      </c>
      <c r="W110" s="46">
        <v>0.62380549515461059</v>
      </c>
      <c r="X110" s="46">
        <v>8.5425893379414859</v>
      </c>
      <c r="Y110" s="46">
        <v>-0.1572334317766102</v>
      </c>
      <c r="Z110" s="46">
        <v>0.19325975012540433</v>
      </c>
    </row>
    <row r="111" spans="1:26" x14ac:dyDescent="0.35">
      <c r="A111" s="44">
        <v>44298</v>
      </c>
      <c r="B111" s="20">
        <f t="shared" si="11"/>
        <v>44287</v>
      </c>
      <c r="C111" s="35">
        <v>48.75</v>
      </c>
      <c r="D111" s="36"/>
      <c r="E111" s="36"/>
      <c r="F111" s="36">
        <v>18.376000000000001</v>
      </c>
      <c r="G111" s="36">
        <v>25.3</v>
      </c>
      <c r="H111" s="42">
        <v>0</v>
      </c>
      <c r="I111" s="40">
        <f t="shared" si="12"/>
        <v>0.20084367541389761</v>
      </c>
      <c r="J111" s="40">
        <f t="shared" si="13"/>
        <v>0.20123739060704984</v>
      </c>
      <c r="K111" s="41">
        <f t="shared" si="10"/>
        <v>0.79999521894820036</v>
      </c>
      <c r="L111" s="23">
        <f t="shared" si="14"/>
        <v>1.3041095890410959</v>
      </c>
      <c r="M111" s="28">
        <f t="shared" si="15"/>
        <v>30</v>
      </c>
      <c r="N111" s="29" t="s">
        <v>9</v>
      </c>
      <c r="O111" s="30">
        <v>1</v>
      </c>
      <c r="P111" s="31">
        <v>0</v>
      </c>
      <c r="Q111" s="1">
        <v>1</v>
      </c>
      <c r="R111" s="46">
        <v>0.67377053669288678</v>
      </c>
      <c r="S111" s="46">
        <v>-6.7240000000000002</v>
      </c>
      <c r="T111" s="46">
        <v>7.397770536692887</v>
      </c>
      <c r="U111" s="46">
        <v>-0.15716610972554756</v>
      </c>
      <c r="V111" s="46">
        <v>0.19317239067610706</v>
      </c>
      <c r="W111" s="46">
        <v>0.62541293977540779</v>
      </c>
      <c r="X111" s="46">
        <v>8.5384379205879899</v>
      </c>
      <c r="Y111" s="46">
        <v>-0.15716610972554756</v>
      </c>
      <c r="Z111" s="46">
        <v>0.19317239067610706</v>
      </c>
    </row>
    <row r="112" spans="1:26" x14ac:dyDescent="0.35">
      <c r="A112" s="44">
        <v>44299</v>
      </c>
      <c r="B112" s="20">
        <f t="shared" si="11"/>
        <v>44288</v>
      </c>
      <c r="C112" s="35">
        <v>48.75</v>
      </c>
      <c r="D112" s="36"/>
      <c r="E112" s="36"/>
      <c r="F112" s="36">
        <v>18.376000000000001</v>
      </c>
      <c r="G112" s="36">
        <v>25.3</v>
      </c>
      <c r="H112" s="42">
        <v>0</v>
      </c>
      <c r="I112" s="40">
        <f t="shared" si="12"/>
        <v>0.20080149164320274</v>
      </c>
      <c r="J112" s="40">
        <f t="shared" si="13"/>
        <v>0.20117552107669734</v>
      </c>
      <c r="K112" s="41">
        <f t="shared" si="10"/>
        <v>0.79999569705338036</v>
      </c>
      <c r="L112" s="23">
        <f t="shared" si="14"/>
        <v>1.3068493150684932</v>
      </c>
      <c r="M112" s="28">
        <f t="shared" si="15"/>
        <v>30</v>
      </c>
      <c r="N112" s="29" t="s">
        <v>9</v>
      </c>
      <c r="O112" s="30">
        <v>1</v>
      </c>
      <c r="P112" s="31">
        <v>0</v>
      </c>
      <c r="Q112" s="1">
        <v>1</v>
      </c>
      <c r="R112" s="46">
        <v>0.6751496064411544</v>
      </c>
      <c r="S112" s="46">
        <v>-6.7240000000000002</v>
      </c>
      <c r="T112" s="46">
        <v>7.3991496064411546</v>
      </c>
      <c r="U112" s="46">
        <v>-0.15731993894470359</v>
      </c>
      <c r="V112" s="46">
        <v>0.19337782055872074</v>
      </c>
      <c r="W112" s="46">
        <v>0.6281724263338424</v>
      </c>
      <c r="X112" s="46">
        <v>8.5512619742105009</v>
      </c>
      <c r="Y112" s="46">
        <v>-0.15731993894470359</v>
      </c>
      <c r="Z112" s="46">
        <v>0.19337782055872074</v>
      </c>
    </row>
    <row r="113" spans="1:26" x14ac:dyDescent="0.35">
      <c r="A113" s="44">
        <v>44300</v>
      </c>
      <c r="B113" s="20">
        <f t="shared" si="11"/>
        <v>44291</v>
      </c>
      <c r="C113" s="35">
        <v>48.75</v>
      </c>
      <c r="D113" s="36"/>
      <c r="E113" s="36"/>
      <c r="F113" s="36">
        <v>18.376000000000001</v>
      </c>
      <c r="G113" s="36">
        <v>25.3</v>
      </c>
      <c r="H113" s="42">
        <v>0</v>
      </c>
      <c r="I113" s="40">
        <f t="shared" si="12"/>
        <v>0.20076141706104261</v>
      </c>
      <c r="J113" s="40">
        <f t="shared" si="13"/>
        <v>0.20111674502286248</v>
      </c>
      <c r="K113" s="41">
        <f t="shared" si="10"/>
        <v>0.79999612734804237</v>
      </c>
      <c r="L113" s="23">
        <f t="shared" si="14"/>
        <v>1.3150684931506849</v>
      </c>
      <c r="M113" s="28">
        <f t="shared" si="15"/>
        <v>30</v>
      </c>
      <c r="N113" s="29" t="s">
        <v>9</v>
      </c>
      <c r="O113" s="30">
        <v>1</v>
      </c>
      <c r="P113" s="31">
        <v>0</v>
      </c>
      <c r="Q113" s="1">
        <v>1</v>
      </c>
      <c r="R113" s="46">
        <v>0.68042238841298719</v>
      </c>
      <c r="S113" s="46">
        <v>-6.7240000000000002</v>
      </c>
      <c r="T113" s="46">
        <v>7.4044223884129874</v>
      </c>
      <c r="U113" s="46">
        <v>-0.15790947936058536</v>
      </c>
      <c r="V113" s="46">
        <v>0.19416064585953471</v>
      </c>
      <c r="W113" s="46">
        <v>0.6333241598008239</v>
      </c>
      <c r="X113" s="46">
        <v>8.5976963656659287</v>
      </c>
      <c r="Y113" s="46">
        <v>-0.15790947936058536</v>
      </c>
      <c r="Z113" s="46">
        <v>0.19416064585953471</v>
      </c>
    </row>
    <row r="114" spans="1:26" x14ac:dyDescent="0.35">
      <c r="A114" s="44">
        <v>44301</v>
      </c>
      <c r="B114" s="20">
        <f t="shared" si="11"/>
        <v>44292</v>
      </c>
      <c r="C114" s="35">
        <v>48.75</v>
      </c>
      <c r="D114" s="36"/>
      <c r="E114" s="36"/>
      <c r="F114" s="36">
        <v>18.376000000000001</v>
      </c>
      <c r="G114" s="36">
        <v>25.3</v>
      </c>
      <c r="H114" s="42">
        <v>0</v>
      </c>
      <c r="I114" s="40">
        <f t="shared" si="12"/>
        <v>0.20072334620799048</v>
      </c>
      <c r="J114" s="40">
        <f t="shared" si="13"/>
        <v>0.20106090777171937</v>
      </c>
      <c r="K114" s="41">
        <f t="shared" si="10"/>
        <v>0.79999651461323817</v>
      </c>
      <c r="L114" s="23">
        <f t="shared" si="14"/>
        <v>1.3178082191780822</v>
      </c>
      <c r="M114" s="28">
        <f t="shared" si="15"/>
        <v>30</v>
      </c>
      <c r="N114" s="29" t="s">
        <v>9</v>
      </c>
      <c r="O114" s="30">
        <v>1</v>
      </c>
      <c r="P114" s="31">
        <v>0</v>
      </c>
      <c r="Q114" s="1">
        <v>1</v>
      </c>
      <c r="R114" s="46">
        <v>0.68184919461195292</v>
      </c>
      <c r="S114" s="46">
        <v>-6.7240000000000002</v>
      </c>
      <c r="T114" s="46">
        <v>7.4058491946119531</v>
      </c>
      <c r="U114" s="46">
        <v>-0.15806754248759602</v>
      </c>
      <c r="V114" s="46">
        <v>0.19437176644160287</v>
      </c>
      <c r="W114" s="46">
        <v>0.63594845503350239</v>
      </c>
      <c r="X114" s="46">
        <v>8.6108119293376451</v>
      </c>
      <c r="Y114" s="46">
        <v>-0.15806754248759602</v>
      </c>
      <c r="Z114" s="46">
        <v>0.19437176644160287</v>
      </c>
    </row>
    <row r="115" spans="1:26" x14ac:dyDescent="0.35">
      <c r="A115" s="44">
        <v>44302</v>
      </c>
      <c r="B115" s="20">
        <f t="shared" si="11"/>
        <v>44293</v>
      </c>
      <c r="C115" s="35">
        <v>48.75</v>
      </c>
      <c r="D115" s="36"/>
      <c r="E115" s="36"/>
      <c r="F115" s="36">
        <v>18.376000000000001</v>
      </c>
      <c r="G115" s="36">
        <v>25.3</v>
      </c>
      <c r="H115" s="42">
        <v>0</v>
      </c>
      <c r="I115" s="40">
        <f t="shared" si="12"/>
        <v>0.20068717889759097</v>
      </c>
      <c r="J115" s="40">
        <f t="shared" si="13"/>
        <v>0.2010078623831334</v>
      </c>
      <c r="K115" s="41">
        <f t="shared" si="10"/>
        <v>0.79999686315191432</v>
      </c>
      <c r="L115" s="23">
        <f t="shared" si="14"/>
        <v>1.3205479452054794</v>
      </c>
      <c r="M115" s="28">
        <f t="shared" si="15"/>
        <v>30</v>
      </c>
      <c r="N115" s="29" t="s">
        <v>9</v>
      </c>
      <c r="O115" s="30">
        <v>1</v>
      </c>
      <c r="P115" s="31">
        <v>0</v>
      </c>
      <c r="Q115" s="1">
        <v>1</v>
      </c>
      <c r="R115" s="46">
        <v>0.68329937023105458</v>
      </c>
      <c r="S115" s="46">
        <v>-6.7240000000000002</v>
      </c>
      <c r="T115" s="46">
        <v>7.4072993702310548</v>
      </c>
      <c r="U115" s="46">
        <v>-0.15822799715864524</v>
      </c>
      <c r="V115" s="46">
        <v>0.19458603650462328</v>
      </c>
      <c r="W115" s="46">
        <v>0.6385079544054042</v>
      </c>
      <c r="X115" s="46">
        <v>8.6240815969076632</v>
      </c>
      <c r="Y115" s="46">
        <v>-0.15822799715864524</v>
      </c>
      <c r="Z115" s="46">
        <v>0.19458603650462328</v>
      </c>
    </row>
    <row r="116" spans="1:26" x14ac:dyDescent="0.35">
      <c r="A116" s="44">
        <v>44303</v>
      </c>
      <c r="B116" s="20">
        <f t="shared" si="11"/>
        <v>44294</v>
      </c>
      <c r="C116" s="35">
        <v>48.75</v>
      </c>
      <c r="D116" s="36"/>
      <c r="E116" s="36"/>
      <c r="F116" s="36">
        <v>18.376000000000001</v>
      </c>
      <c r="G116" s="36">
        <v>25.3</v>
      </c>
      <c r="H116" s="42">
        <v>0</v>
      </c>
      <c r="I116" s="40">
        <f t="shared" si="12"/>
        <v>0.20065281995271142</v>
      </c>
      <c r="J116" s="40">
        <f t="shared" si="13"/>
        <v>0.20095746926397673</v>
      </c>
      <c r="K116" s="41">
        <f t="shared" si="10"/>
        <v>0.79999717683672289</v>
      </c>
      <c r="L116" s="23">
        <f t="shared" si="14"/>
        <v>1.3232876712328767</v>
      </c>
      <c r="M116" s="28">
        <f t="shared" si="15"/>
        <v>30</v>
      </c>
      <c r="N116" s="29" t="s">
        <v>9</v>
      </c>
      <c r="O116" s="30">
        <v>1</v>
      </c>
      <c r="P116" s="31">
        <v>0</v>
      </c>
      <c r="Q116" s="1">
        <v>1</v>
      </c>
      <c r="R116" s="46">
        <v>0.68477175864834905</v>
      </c>
      <c r="S116" s="46">
        <v>-6.7240000000000002</v>
      </c>
      <c r="T116" s="46">
        <v>7.4087717586483492</v>
      </c>
      <c r="U116" s="46">
        <v>-0.1583906998654222</v>
      </c>
      <c r="V116" s="46">
        <v>0.19480327145201451</v>
      </c>
      <c r="W116" s="46">
        <v>0.64100564252075964</v>
      </c>
      <c r="X116" s="46">
        <v>8.6374969994835098</v>
      </c>
      <c r="Y116" s="46">
        <v>-0.1583906998654222</v>
      </c>
      <c r="Z116" s="46">
        <v>0.19480327145201451</v>
      </c>
    </row>
    <row r="117" spans="1:26" x14ac:dyDescent="0.35">
      <c r="A117" s="44">
        <v>44304</v>
      </c>
      <c r="B117" s="20">
        <f t="shared" si="11"/>
        <v>44294</v>
      </c>
      <c r="C117" s="35">
        <v>48.75</v>
      </c>
      <c r="D117" s="36"/>
      <c r="E117" s="36"/>
      <c r="F117" s="36">
        <v>18.376000000000001</v>
      </c>
      <c r="G117" s="36">
        <v>25.3</v>
      </c>
      <c r="H117" s="42">
        <v>0</v>
      </c>
      <c r="I117" s="40">
        <f t="shared" si="12"/>
        <v>0.20062017895507586</v>
      </c>
      <c r="J117" s="40">
        <f t="shared" si="13"/>
        <v>0.20090959580077788</v>
      </c>
      <c r="K117" s="41">
        <f t="shared" si="10"/>
        <v>0.79999745915305065</v>
      </c>
      <c r="L117" s="23">
        <f t="shared" si="14"/>
        <v>1.3232876712328767</v>
      </c>
      <c r="M117" s="28">
        <f t="shared" si="15"/>
        <v>30</v>
      </c>
      <c r="N117" s="29" t="s">
        <v>9</v>
      </c>
      <c r="O117" s="30">
        <v>1</v>
      </c>
      <c r="P117" s="31">
        <v>0</v>
      </c>
      <c r="Q117" s="1">
        <v>1</v>
      </c>
      <c r="R117" s="46">
        <v>0.68433615545248294</v>
      </c>
      <c r="S117" s="46">
        <v>-6.7240000000000002</v>
      </c>
      <c r="T117" s="46">
        <v>7.4083361554524831</v>
      </c>
      <c r="U117" s="46">
        <v>-0.15834126877464483</v>
      </c>
      <c r="V117" s="46">
        <v>0.19473903615265023</v>
      </c>
      <c r="W117" s="46">
        <v>0.64220780645682773</v>
      </c>
      <c r="X117" s="46">
        <v>8.6344244636187746</v>
      </c>
      <c r="Y117" s="46">
        <v>-0.15834126877464483</v>
      </c>
      <c r="Z117" s="46">
        <v>0.19473903615265023</v>
      </c>
    </row>
    <row r="118" spans="1:26" x14ac:dyDescent="0.35">
      <c r="A118" s="44">
        <v>44305</v>
      </c>
      <c r="B118" s="20">
        <f t="shared" si="11"/>
        <v>44294</v>
      </c>
      <c r="C118" s="35">
        <v>48.75</v>
      </c>
      <c r="D118" s="36"/>
      <c r="E118" s="36"/>
      <c r="F118" s="36">
        <v>18.376000000000001</v>
      </c>
      <c r="G118" s="36">
        <v>25.3</v>
      </c>
      <c r="H118" s="42">
        <v>0</v>
      </c>
      <c r="I118" s="40">
        <f t="shared" si="12"/>
        <v>0.20058917000732207</v>
      </c>
      <c r="J118" s="40">
        <f t="shared" si="13"/>
        <v>0.200864116010739</v>
      </c>
      <c r="K118" s="41">
        <f t="shared" si="10"/>
        <v>0.7999977132377456</v>
      </c>
      <c r="L118" s="23">
        <f t="shared" si="14"/>
        <v>1.3232876712328767</v>
      </c>
      <c r="M118" s="28">
        <f t="shared" si="15"/>
        <v>30</v>
      </c>
      <c r="N118" s="29" t="s">
        <v>9</v>
      </c>
      <c r="O118" s="30">
        <v>1</v>
      </c>
      <c r="P118" s="31">
        <v>0</v>
      </c>
      <c r="Q118" s="1">
        <v>1</v>
      </c>
      <c r="R118" s="46">
        <v>0.68392249325184729</v>
      </c>
      <c r="S118" s="46">
        <v>-6.7240000000000002</v>
      </c>
      <c r="T118" s="46">
        <v>7.4079224932518475</v>
      </c>
      <c r="U118" s="46">
        <v>-0.15829430448963713</v>
      </c>
      <c r="V118" s="46">
        <v>0.19467801049834393</v>
      </c>
      <c r="W118" s="46">
        <v>0.64335018219958851</v>
      </c>
      <c r="X118" s="46">
        <v>8.631504913197718</v>
      </c>
      <c r="Y118" s="46">
        <v>-0.15829430448963713</v>
      </c>
      <c r="Z118" s="46">
        <v>0.19467801049834393</v>
      </c>
    </row>
    <row r="119" spans="1:26" x14ac:dyDescent="0.35">
      <c r="A119" s="44">
        <v>44306</v>
      </c>
      <c r="B119" s="20">
        <f t="shared" si="11"/>
        <v>44295</v>
      </c>
      <c r="C119" s="35">
        <v>48.75</v>
      </c>
      <c r="D119" s="36"/>
      <c r="E119" s="36"/>
      <c r="F119" s="36">
        <v>18.376000000000001</v>
      </c>
      <c r="G119" s="36">
        <v>25.3</v>
      </c>
      <c r="H119" s="42">
        <v>0</v>
      </c>
      <c r="I119" s="40">
        <f t="shared" si="12"/>
        <v>0.20055971150695598</v>
      </c>
      <c r="J119" s="40">
        <f t="shared" si="13"/>
        <v>0.20082091021020204</v>
      </c>
      <c r="K119" s="41">
        <f t="shared" si="10"/>
        <v>0.799997941913971</v>
      </c>
      <c r="L119" s="23">
        <f t="shared" si="14"/>
        <v>1.3260273972602741</v>
      </c>
      <c r="M119" s="28">
        <f t="shared" si="15"/>
        <v>30</v>
      </c>
      <c r="N119" s="29" t="s">
        <v>9</v>
      </c>
      <c r="O119" s="30">
        <v>1</v>
      </c>
      <c r="P119" s="31">
        <v>0</v>
      </c>
      <c r="Q119" s="1">
        <v>1</v>
      </c>
      <c r="R119" s="46">
        <v>0.68545721085598288</v>
      </c>
      <c r="S119" s="46">
        <v>-6.7240000000000002</v>
      </c>
      <c r="T119" s="46">
        <v>7.4094572108559831</v>
      </c>
      <c r="U119" s="46">
        <v>-0.15846395434010932</v>
      </c>
      <c r="V119" s="46">
        <v>0.19490429375011695</v>
      </c>
      <c r="W119" s="46">
        <v>0.64567707928876161</v>
      </c>
      <c r="X119" s="46">
        <v>8.6453522439145303</v>
      </c>
      <c r="Y119" s="46">
        <v>-0.15846395434010932</v>
      </c>
      <c r="Z119" s="46">
        <v>0.19490429375011695</v>
      </c>
    </row>
    <row r="120" spans="1:26" x14ac:dyDescent="0.35">
      <c r="A120" s="44">
        <v>44307</v>
      </c>
      <c r="B120" s="20">
        <f t="shared" si="11"/>
        <v>44298</v>
      </c>
      <c r="C120" s="35">
        <v>48.75</v>
      </c>
      <c r="D120" s="36"/>
      <c r="E120" s="36"/>
      <c r="F120" s="36">
        <v>18.376000000000001</v>
      </c>
      <c r="G120" s="36">
        <v>25.3</v>
      </c>
      <c r="H120" s="42">
        <v>0</v>
      </c>
      <c r="I120" s="40">
        <f t="shared" si="12"/>
        <v>0.20053172593160817</v>
      </c>
      <c r="J120" s="40">
        <f t="shared" si="13"/>
        <v>0.20077986469969195</v>
      </c>
      <c r="K120" s="41">
        <f t="shared" si="10"/>
        <v>0.79999814772257394</v>
      </c>
      <c r="L120" s="23">
        <f t="shared" si="14"/>
        <v>1.3342465753424657</v>
      </c>
      <c r="M120" s="28">
        <f t="shared" si="15"/>
        <v>30</v>
      </c>
      <c r="N120" s="29" t="s">
        <v>9</v>
      </c>
      <c r="O120" s="30">
        <v>1</v>
      </c>
      <c r="P120" s="31">
        <v>0</v>
      </c>
      <c r="Q120" s="1">
        <v>1</v>
      </c>
      <c r="R120" s="46">
        <v>0.69086225179711924</v>
      </c>
      <c r="S120" s="46">
        <v>-6.7240000000000002</v>
      </c>
      <c r="T120" s="46">
        <v>7.4148622517971194</v>
      </c>
      <c r="U120" s="46">
        <v>-0.15906136668854387</v>
      </c>
      <c r="V120" s="46">
        <v>0.19569848378488167</v>
      </c>
      <c r="W120" s="46">
        <v>0.65043327627536118</v>
      </c>
      <c r="X120" s="46">
        <v>8.6924624003491608</v>
      </c>
      <c r="Y120" s="46">
        <v>-0.15906136668854387</v>
      </c>
      <c r="Z120" s="46">
        <v>0.19569848378488167</v>
      </c>
    </row>
    <row r="121" spans="1:26" x14ac:dyDescent="0.35">
      <c r="A121" s="44">
        <v>44308</v>
      </c>
      <c r="B121" s="20">
        <f t="shared" si="11"/>
        <v>44299</v>
      </c>
      <c r="C121" s="35">
        <v>48.75</v>
      </c>
      <c r="D121" s="36"/>
      <c r="E121" s="36"/>
      <c r="F121" s="36">
        <v>18.376000000000001</v>
      </c>
      <c r="G121" s="36">
        <v>25.3</v>
      </c>
      <c r="H121" s="42">
        <v>0</v>
      </c>
      <c r="I121" s="40">
        <f t="shared" si="12"/>
        <v>0.20050513963502775</v>
      </c>
      <c r="J121" s="40">
        <f t="shared" si="13"/>
        <v>0.20074087146470734</v>
      </c>
      <c r="K121" s="41">
        <f t="shared" si="10"/>
        <v>0.79999833295031653</v>
      </c>
      <c r="L121" s="23">
        <f t="shared" si="14"/>
        <v>1.3369863013698631</v>
      </c>
      <c r="M121" s="28">
        <f t="shared" si="15"/>
        <v>30</v>
      </c>
      <c r="N121" s="29" t="s">
        <v>9</v>
      </c>
      <c r="O121" s="30">
        <v>1</v>
      </c>
      <c r="P121" s="31">
        <v>0</v>
      </c>
      <c r="Q121" s="1">
        <v>1</v>
      </c>
      <c r="R121" s="46">
        <v>0.69243025989761975</v>
      </c>
      <c r="S121" s="46">
        <v>-6.7240000000000002</v>
      </c>
      <c r="T121" s="46">
        <v>7.4164302598976199</v>
      </c>
      <c r="U121" s="46">
        <v>-0.15923339797001468</v>
      </c>
      <c r="V121" s="46">
        <v>0.19592808366803582</v>
      </c>
      <c r="W121" s="46">
        <v>0.65266206165453577</v>
      </c>
      <c r="X121" s="46">
        <v>8.7064945051721203</v>
      </c>
      <c r="Y121" s="46">
        <v>-0.15923339797001468</v>
      </c>
      <c r="Z121" s="46">
        <v>0.19592808366803582</v>
      </c>
    </row>
    <row r="122" spans="1:26" x14ac:dyDescent="0.35">
      <c r="A122" s="44">
        <v>44309</v>
      </c>
      <c r="B122" s="20">
        <f t="shared" si="11"/>
        <v>44300</v>
      </c>
      <c r="C122" s="35">
        <v>48.75</v>
      </c>
      <c r="D122" s="36"/>
      <c r="E122" s="36"/>
      <c r="F122" s="36">
        <v>18.376000000000001</v>
      </c>
      <c r="G122" s="36">
        <v>25.3</v>
      </c>
      <c r="H122" s="42">
        <v>0</v>
      </c>
      <c r="I122" s="40">
        <f t="shared" si="12"/>
        <v>0.20047988265327638</v>
      </c>
      <c r="J122" s="40">
        <f t="shared" si="13"/>
        <v>0.20070382789147198</v>
      </c>
      <c r="K122" s="41">
        <f t="shared" si="10"/>
        <v>0.79999849965528491</v>
      </c>
      <c r="L122" s="23">
        <f t="shared" si="14"/>
        <v>1.3397260273972602</v>
      </c>
      <c r="M122" s="28">
        <f t="shared" si="15"/>
        <v>30</v>
      </c>
      <c r="N122" s="29" t="s">
        <v>9</v>
      </c>
      <c r="O122" s="30">
        <v>1</v>
      </c>
      <c r="P122" s="31">
        <v>0</v>
      </c>
      <c r="Q122" s="1">
        <v>1</v>
      </c>
      <c r="R122" s="46">
        <v>0.69401464640515087</v>
      </c>
      <c r="S122" s="46">
        <v>-6.7240000000000002</v>
      </c>
      <c r="T122" s="46">
        <v>7.4180146464051511</v>
      </c>
      <c r="U122" s="46">
        <v>-0.15940695620468126</v>
      </c>
      <c r="V122" s="46">
        <v>0.19615972054683703</v>
      </c>
      <c r="W122" s="46">
        <v>0.65484425475915609</v>
      </c>
      <c r="X122" s="46">
        <v>8.7206300172802678</v>
      </c>
      <c r="Y122" s="46">
        <v>-0.15940695620468126</v>
      </c>
      <c r="Z122" s="46">
        <v>0.19615972054683703</v>
      </c>
    </row>
    <row r="123" spans="1:26" x14ac:dyDescent="0.35">
      <c r="A123" s="44">
        <v>44310</v>
      </c>
      <c r="B123" s="20">
        <f t="shared" si="11"/>
        <v>44301</v>
      </c>
      <c r="C123" s="35">
        <v>48.75</v>
      </c>
      <c r="D123" s="36"/>
      <c r="E123" s="36"/>
      <c r="F123" s="36">
        <v>18.376000000000001</v>
      </c>
      <c r="G123" s="36">
        <v>25.3</v>
      </c>
      <c r="H123" s="42">
        <v>0</v>
      </c>
      <c r="I123" s="40">
        <f t="shared" si="12"/>
        <v>0.20045588852061255</v>
      </c>
      <c r="J123" s="40">
        <f t="shared" si="13"/>
        <v>0.20066863649689839</v>
      </c>
      <c r="K123" s="41">
        <f t="shared" si="10"/>
        <v>0.79999864968975642</v>
      </c>
      <c r="L123" s="23">
        <f t="shared" si="14"/>
        <v>1.3424657534246576</v>
      </c>
      <c r="M123" s="28">
        <f t="shared" si="15"/>
        <v>30</v>
      </c>
      <c r="N123" s="29" t="s">
        <v>9</v>
      </c>
      <c r="O123" s="30">
        <v>1</v>
      </c>
      <c r="P123" s="31">
        <v>0</v>
      </c>
      <c r="Q123" s="1">
        <v>1</v>
      </c>
      <c r="R123" s="46">
        <v>0.69561459922057978</v>
      </c>
      <c r="S123" s="46">
        <v>-6.7240000000000002</v>
      </c>
      <c r="T123" s="46">
        <v>7.41961459922058</v>
      </c>
      <c r="U123" s="46">
        <v>-0.15958194157756664</v>
      </c>
      <c r="V123" s="46">
        <v>0.19639326590578141</v>
      </c>
      <c r="W123" s="46">
        <v>0.65698199576945027</v>
      </c>
      <c r="X123" s="46">
        <v>8.7348630359851622</v>
      </c>
      <c r="Y123" s="46">
        <v>-0.15958194157756664</v>
      </c>
      <c r="Z123" s="46">
        <v>0.19639326590578141</v>
      </c>
    </row>
    <row r="124" spans="1:26" x14ac:dyDescent="0.35">
      <c r="A124" s="44">
        <v>44311</v>
      </c>
      <c r="B124" s="20">
        <f t="shared" si="11"/>
        <v>44301</v>
      </c>
      <c r="C124" s="35">
        <v>48.75</v>
      </c>
      <c r="D124" s="36"/>
      <c r="E124" s="36"/>
      <c r="F124" s="36">
        <v>18.376000000000001</v>
      </c>
      <c r="G124" s="36">
        <v>25.3</v>
      </c>
      <c r="H124" s="42">
        <v>0</v>
      </c>
      <c r="I124" s="40">
        <f t="shared" si="12"/>
        <v>0.20043309409458193</v>
      </c>
      <c r="J124" s="40">
        <f t="shared" si="13"/>
        <v>0.20063520467205348</v>
      </c>
      <c r="K124" s="41">
        <f t="shared" si="10"/>
        <v>0.79999878472078079</v>
      </c>
      <c r="L124" s="23">
        <f t="shared" si="14"/>
        <v>1.3424657534246576</v>
      </c>
      <c r="M124" s="28">
        <f t="shared" si="15"/>
        <v>30</v>
      </c>
      <c r="N124" s="29" t="s">
        <v>9</v>
      </c>
      <c r="O124" s="30">
        <v>1</v>
      </c>
      <c r="P124" s="31">
        <v>0</v>
      </c>
      <c r="Q124" s="1">
        <v>1</v>
      </c>
      <c r="R124" s="46">
        <v>0.69530703011545114</v>
      </c>
      <c r="S124" s="46">
        <v>-6.7240000000000002</v>
      </c>
      <c r="T124" s="46">
        <v>7.4193070301154513</v>
      </c>
      <c r="U124" s="46">
        <v>-0.15954746639995959</v>
      </c>
      <c r="V124" s="46">
        <v>0.19634839859758102</v>
      </c>
      <c r="W124" s="46">
        <v>0.65783556302209545</v>
      </c>
      <c r="X124" s="46">
        <v>8.7327033979700399</v>
      </c>
      <c r="Y124" s="46">
        <v>-0.15954746639995959</v>
      </c>
      <c r="Z124" s="46">
        <v>0.19634839859758102</v>
      </c>
    </row>
    <row r="125" spans="1:26" x14ac:dyDescent="0.35">
      <c r="A125" s="44">
        <v>44312</v>
      </c>
      <c r="B125" s="20">
        <f t="shared" si="11"/>
        <v>44301</v>
      </c>
      <c r="C125" s="35">
        <v>48.75</v>
      </c>
      <c r="D125" s="36"/>
      <c r="E125" s="36"/>
      <c r="F125" s="36">
        <v>18.376000000000001</v>
      </c>
      <c r="G125" s="36">
        <v>25.3</v>
      </c>
      <c r="H125" s="42">
        <v>0</v>
      </c>
      <c r="I125" s="40">
        <f t="shared" si="12"/>
        <v>0.20041143938985284</v>
      </c>
      <c r="J125" s="40">
        <f t="shared" si="13"/>
        <v>0.2006034444384508</v>
      </c>
      <c r="K125" s="41">
        <f t="shared" si="10"/>
        <v>0.79999890624870273</v>
      </c>
      <c r="L125" s="23">
        <f t="shared" si="14"/>
        <v>1.3424657534246576</v>
      </c>
      <c r="M125" s="28">
        <f t="shared" si="15"/>
        <v>30</v>
      </c>
      <c r="N125" s="29" t="s">
        <v>9</v>
      </c>
      <c r="O125" s="30">
        <v>1</v>
      </c>
      <c r="P125" s="31">
        <v>0</v>
      </c>
      <c r="Q125" s="1">
        <v>1</v>
      </c>
      <c r="R125" s="46">
        <v>0.69501491773451818</v>
      </c>
      <c r="S125" s="46">
        <v>-6.7240000000000002</v>
      </c>
      <c r="T125" s="46">
        <v>7.4190149177345184</v>
      </c>
      <c r="U125" s="46">
        <v>-0.15951471254267963</v>
      </c>
      <c r="V125" s="46">
        <v>0.19630577347656641</v>
      </c>
      <c r="W125" s="46">
        <v>0.65864660938794595</v>
      </c>
      <c r="X125" s="46">
        <v>8.7306514206583277</v>
      </c>
      <c r="Y125" s="46">
        <v>-0.15951471254267963</v>
      </c>
      <c r="Z125" s="46">
        <v>0.19630577347656641</v>
      </c>
    </row>
    <row r="126" spans="1:26" x14ac:dyDescent="0.35">
      <c r="A126" s="44">
        <v>44313</v>
      </c>
      <c r="B126" s="20">
        <f t="shared" si="11"/>
        <v>44302</v>
      </c>
      <c r="C126" s="35">
        <v>48.75</v>
      </c>
      <c r="D126" s="36"/>
      <c r="E126" s="36"/>
      <c r="F126" s="36">
        <v>18.376000000000001</v>
      </c>
      <c r="G126" s="36">
        <v>25.3</v>
      </c>
      <c r="H126" s="42">
        <v>0</v>
      </c>
      <c r="I126" s="40">
        <f t="shared" si="12"/>
        <v>0.20039086742036019</v>
      </c>
      <c r="J126" s="40">
        <f t="shared" si="13"/>
        <v>0.20057327221652826</v>
      </c>
      <c r="K126" s="41">
        <f t="shared" si="10"/>
        <v>0.79999901562383247</v>
      </c>
      <c r="L126" s="23">
        <f t="shared" si="14"/>
        <v>1.3452054794520547</v>
      </c>
      <c r="M126" s="28">
        <f t="shared" si="15"/>
        <v>30</v>
      </c>
      <c r="N126" s="29" t="s">
        <v>9</v>
      </c>
      <c r="O126" s="30">
        <v>1</v>
      </c>
      <c r="P126" s="31">
        <v>0</v>
      </c>
      <c r="Q126" s="1">
        <v>1</v>
      </c>
      <c r="R126" s="46">
        <v>0.69665872207197133</v>
      </c>
      <c r="S126" s="46">
        <v>-6.7240000000000002</v>
      </c>
      <c r="T126" s="46">
        <v>7.4206587220719715</v>
      </c>
      <c r="U126" s="46">
        <v>-0.1596944048188125</v>
      </c>
      <c r="V126" s="46">
        <v>0.19654547821607829</v>
      </c>
      <c r="W126" s="46">
        <v>0.66066234300322813</v>
      </c>
      <c r="X126" s="46">
        <v>8.7451833858818979</v>
      </c>
      <c r="Y126" s="46">
        <v>-0.1596944048188125</v>
      </c>
      <c r="Z126" s="46">
        <v>0.19654547821607829</v>
      </c>
    </row>
    <row r="127" spans="1:26" x14ac:dyDescent="0.35">
      <c r="A127" s="44">
        <v>44314</v>
      </c>
      <c r="B127" s="20">
        <f t="shared" si="11"/>
        <v>44305</v>
      </c>
      <c r="C127" s="35">
        <v>48.75</v>
      </c>
      <c r="D127" s="36"/>
      <c r="E127" s="36"/>
      <c r="F127" s="36">
        <v>18.376000000000001</v>
      </c>
      <c r="G127" s="36">
        <v>25.3</v>
      </c>
      <c r="H127" s="42">
        <v>0</v>
      </c>
      <c r="I127" s="40">
        <f t="shared" si="12"/>
        <v>0.20037132404934219</v>
      </c>
      <c r="J127" s="40">
        <f t="shared" si="13"/>
        <v>0.20054460860570186</v>
      </c>
      <c r="K127" s="41">
        <f t="shared" si="10"/>
        <v>0.79999911406144919</v>
      </c>
      <c r="L127" s="23">
        <f t="shared" si="14"/>
        <v>1.3534246575342466</v>
      </c>
      <c r="M127" s="28">
        <f t="shared" si="15"/>
        <v>30</v>
      </c>
      <c r="N127" s="29" t="s">
        <v>9</v>
      </c>
      <c r="O127" s="30">
        <v>1</v>
      </c>
      <c r="P127" s="31">
        <v>0</v>
      </c>
      <c r="Q127" s="1">
        <v>1</v>
      </c>
      <c r="R127" s="46">
        <v>0.70215518218493145</v>
      </c>
      <c r="S127" s="46">
        <v>-6.7240000000000002</v>
      </c>
      <c r="T127" s="46">
        <v>7.4261551821849316</v>
      </c>
      <c r="U127" s="46">
        <v>-0.16029433017477032</v>
      </c>
      <c r="V127" s="46">
        <v>0.19734418247842803</v>
      </c>
      <c r="W127" s="46">
        <v>0.6651278431716372</v>
      </c>
      <c r="X127" s="46">
        <v>8.7926619755149531</v>
      </c>
      <c r="Y127" s="46">
        <v>-0.16029433017477032</v>
      </c>
      <c r="Z127" s="46">
        <v>0.19734418247842803</v>
      </c>
    </row>
    <row r="128" spans="1:26" x14ac:dyDescent="0.35">
      <c r="A128" s="44">
        <v>44315</v>
      </c>
      <c r="B128" s="20">
        <f t="shared" si="11"/>
        <v>44306</v>
      </c>
      <c r="C128" s="35">
        <v>48.75</v>
      </c>
      <c r="D128" s="36"/>
      <c r="E128" s="36"/>
      <c r="F128" s="36">
        <v>18.376000000000001</v>
      </c>
      <c r="G128" s="36">
        <v>25.3</v>
      </c>
      <c r="H128" s="42">
        <v>0</v>
      </c>
      <c r="I128" s="40">
        <f t="shared" si="12"/>
        <v>0.20035275784687509</v>
      </c>
      <c r="J128" s="40">
        <f t="shared" si="13"/>
        <v>0.20051737817541676</v>
      </c>
      <c r="K128" s="41">
        <f t="shared" si="10"/>
        <v>0.79999920265530422</v>
      </c>
      <c r="L128" s="23">
        <f t="shared" si="14"/>
        <v>1.3561643835616439</v>
      </c>
      <c r="M128" s="28">
        <f t="shared" si="15"/>
        <v>30</v>
      </c>
      <c r="N128" s="29" t="s">
        <v>9</v>
      </c>
      <c r="O128" s="30">
        <v>1</v>
      </c>
      <c r="P128" s="31">
        <v>0</v>
      </c>
      <c r="Q128" s="1">
        <v>1</v>
      </c>
      <c r="R128" s="46">
        <v>0.7038221091394874</v>
      </c>
      <c r="S128" s="46">
        <v>-6.7240000000000002</v>
      </c>
      <c r="T128" s="46">
        <v>7.4278221091394876</v>
      </c>
      <c r="U128" s="46">
        <v>-0.16047512267769765</v>
      </c>
      <c r="V128" s="46">
        <v>0.19758555883732845</v>
      </c>
      <c r="W128" s="46">
        <v>0.66707208816419539</v>
      </c>
      <c r="X128" s="46">
        <v>8.807303644552908</v>
      </c>
      <c r="Y128" s="46">
        <v>-0.16047512267769765</v>
      </c>
      <c r="Z128" s="46">
        <v>0.19758555883732845</v>
      </c>
    </row>
    <row r="129" spans="1:26" x14ac:dyDescent="0.35">
      <c r="A129" s="44">
        <v>44316</v>
      </c>
      <c r="B129" s="20">
        <f t="shared" si="11"/>
        <v>44307</v>
      </c>
      <c r="C129" s="35">
        <v>48.75</v>
      </c>
      <c r="D129" s="36"/>
      <c r="E129" s="36"/>
      <c r="F129" s="36">
        <v>18.376000000000001</v>
      </c>
      <c r="G129" s="36">
        <v>25.3</v>
      </c>
      <c r="H129" s="42">
        <v>0</v>
      </c>
      <c r="I129" s="40">
        <f t="shared" si="12"/>
        <v>0.20033511995453135</v>
      </c>
      <c r="J129" s="40">
        <f t="shared" si="13"/>
        <v>0.20049150926664591</v>
      </c>
      <c r="K129" s="41">
        <f t="shared" si="10"/>
        <v>0.7999992823897738</v>
      </c>
      <c r="L129" s="23">
        <f t="shared" si="14"/>
        <v>1.3589041095890411</v>
      </c>
      <c r="M129" s="28">
        <f t="shared" si="15"/>
        <v>30</v>
      </c>
      <c r="N129" s="29" t="s">
        <v>9</v>
      </c>
      <c r="O129" s="30">
        <v>1</v>
      </c>
      <c r="P129" s="31">
        <v>0</v>
      </c>
      <c r="Q129" s="1">
        <v>1</v>
      </c>
      <c r="R129" s="46">
        <v>0.70550049855796182</v>
      </c>
      <c r="S129" s="46">
        <v>-6.7240000000000002</v>
      </c>
      <c r="T129" s="46">
        <v>7.429500498557962</v>
      </c>
      <c r="U129" s="46">
        <v>-0.16065684136608546</v>
      </c>
      <c r="V129" s="46">
        <v>0.19782819819572622</v>
      </c>
      <c r="W129" s="46">
        <v>0.66898277865498568</v>
      </c>
      <c r="X129" s="46">
        <v>8.8220130129558303</v>
      </c>
      <c r="Y129" s="46">
        <v>-0.16065684136608546</v>
      </c>
      <c r="Z129" s="46">
        <v>0.19782819819572622</v>
      </c>
    </row>
    <row r="130" spans="1:26" x14ac:dyDescent="0.35">
      <c r="A130" s="44">
        <v>44317</v>
      </c>
      <c r="B130" s="20">
        <f t="shared" si="11"/>
        <v>44308</v>
      </c>
      <c r="C130" s="35">
        <v>48.75</v>
      </c>
      <c r="D130" s="36"/>
      <c r="E130" s="36"/>
      <c r="F130" s="36">
        <v>18.376000000000001</v>
      </c>
      <c r="G130" s="36">
        <v>25.3</v>
      </c>
      <c r="H130" s="42">
        <v>0</v>
      </c>
      <c r="I130" s="40">
        <f t="shared" si="12"/>
        <v>0.20031836395680477</v>
      </c>
      <c r="J130" s="40">
        <f t="shared" si="13"/>
        <v>0.20046693380331362</v>
      </c>
      <c r="K130" s="41">
        <f t="shared" si="10"/>
        <v>0.79999935415079637</v>
      </c>
      <c r="L130" s="23">
        <f t="shared" si="14"/>
        <v>1.3616438356164384</v>
      </c>
      <c r="M130" s="28">
        <f t="shared" si="15"/>
        <v>30</v>
      </c>
      <c r="N130" s="29" t="s">
        <v>9</v>
      </c>
      <c r="O130" s="30">
        <v>1</v>
      </c>
      <c r="P130" s="31">
        <v>0</v>
      </c>
      <c r="Q130" s="1">
        <v>1</v>
      </c>
      <c r="R130" s="46">
        <v>0.70718977824346929</v>
      </c>
      <c r="S130" s="46">
        <v>-6.7240000000000002</v>
      </c>
      <c r="T130" s="46">
        <v>7.4311897782434695</v>
      </c>
      <c r="U130" s="46">
        <v>-0.16083941699151708</v>
      </c>
      <c r="V130" s="46">
        <v>0.19807201124035345</v>
      </c>
      <c r="W130" s="46">
        <v>0.67086144509147372</v>
      </c>
      <c r="X130" s="46">
        <v>8.8367859308294108</v>
      </c>
      <c r="Y130" s="46">
        <v>-0.16083941699151708</v>
      </c>
      <c r="Z130" s="46">
        <v>0.19807201124035345</v>
      </c>
    </row>
    <row r="131" spans="1:26" x14ac:dyDescent="0.35">
      <c r="A131" s="44">
        <v>44318</v>
      </c>
      <c r="B131" s="20">
        <f t="shared" si="11"/>
        <v>44308</v>
      </c>
      <c r="C131" s="35">
        <v>48.75</v>
      </c>
      <c r="D131" s="36"/>
      <c r="E131" s="36"/>
      <c r="F131" s="36">
        <v>18.376000000000001</v>
      </c>
      <c r="G131" s="36">
        <v>25.3</v>
      </c>
      <c r="H131" s="42">
        <v>0</v>
      </c>
      <c r="I131" s="40">
        <f t="shared" si="12"/>
        <v>0.20030244575896453</v>
      </c>
      <c r="J131" s="40">
        <f t="shared" si="13"/>
        <v>0.20044358711314794</v>
      </c>
      <c r="K131" s="41">
        <f t="shared" si="10"/>
        <v>0.79999941873571678</v>
      </c>
      <c r="L131" s="23">
        <f t="shared" si="14"/>
        <v>1.3616438356164384</v>
      </c>
      <c r="M131" s="28">
        <f t="shared" si="15"/>
        <v>30</v>
      </c>
      <c r="N131" s="29" t="s">
        <v>9</v>
      </c>
      <c r="O131" s="30">
        <v>1</v>
      </c>
      <c r="P131" s="31">
        <v>0</v>
      </c>
      <c r="Q131" s="1">
        <v>1</v>
      </c>
      <c r="R131" s="46">
        <v>0.70697251051878673</v>
      </c>
      <c r="S131" s="46">
        <v>-6.7240000000000002</v>
      </c>
      <c r="T131" s="46">
        <v>7.4309725105187869</v>
      </c>
      <c r="U131" s="46">
        <v>-0.16081537797757556</v>
      </c>
      <c r="V131" s="46">
        <v>0.19804067555671787</v>
      </c>
      <c r="W131" s="46">
        <v>0.67146700962479489</v>
      </c>
      <c r="X131" s="46">
        <v>8.8352686815224875</v>
      </c>
      <c r="Y131" s="46">
        <v>-0.16081537797757556</v>
      </c>
      <c r="Z131" s="46">
        <v>0.19804067555671787</v>
      </c>
    </row>
    <row r="132" spans="1:26" x14ac:dyDescent="0.35">
      <c r="A132" s="44">
        <v>44319</v>
      </c>
      <c r="B132" s="20">
        <f t="shared" si="11"/>
        <v>44308</v>
      </c>
      <c r="C132" s="35">
        <v>48.75</v>
      </c>
      <c r="D132" s="36"/>
      <c r="E132" s="36"/>
      <c r="F132" s="36">
        <v>18.376000000000001</v>
      </c>
      <c r="G132" s="36">
        <v>25.3</v>
      </c>
      <c r="H132" s="42">
        <v>0</v>
      </c>
      <c r="I132" s="40">
        <f t="shared" si="12"/>
        <v>0.2002873234710163</v>
      </c>
      <c r="J132" s="40">
        <f t="shared" si="13"/>
        <v>0.20042140775749054</v>
      </c>
      <c r="K132" s="41">
        <f t="shared" si="10"/>
        <v>0.79999947686214512</v>
      </c>
      <c r="L132" s="23">
        <f t="shared" si="14"/>
        <v>1.3616438356164384</v>
      </c>
      <c r="M132" s="28">
        <f t="shared" si="15"/>
        <v>30</v>
      </c>
      <c r="N132" s="29" t="s">
        <v>9</v>
      </c>
      <c r="O132" s="30">
        <v>1</v>
      </c>
      <c r="P132" s="31">
        <v>0</v>
      </c>
      <c r="Q132" s="1">
        <v>1</v>
      </c>
      <c r="R132" s="46">
        <v>0.70676614427517848</v>
      </c>
      <c r="S132" s="46">
        <v>-6.7240000000000002</v>
      </c>
      <c r="T132" s="46">
        <v>7.4307661442751787</v>
      </c>
      <c r="U132" s="46">
        <v>-0.16079253966504739</v>
      </c>
      <c r="V132" s="46">
        <v>0.19801090601234797</v>
      </c>
      <c r="W132" s="46">
        <v>0.67204237362307651</v>
      </c>
      <c r="X132" s="46">
        <v>8.8338271338893239</v>
      </c>
      <c r="Y132" s="46">
        <v>-0.16079253966504739</v>
      </c>
      <c r="Z132" s="46">
        <v>0.19801090601234797</v>
      </c>
    </row>
    <row r="133" spans="1:26" x14ac:dyDescent="0.35">
      <c r="A133" s="44">
        <v>44320</v>
      </c>
      <c r="B133" s="20">
        <f t="shared" si="11"/>
        <v>44309</v>
      </c>
      <c r="C133" s="35">
        <v>48.75</v>
      </c>
      <c r="D133" s="36"/>
      <c r="E133" s="36"/>
      <c r="F133" s="36">
        <v>18.376000000000001</v>
      </c>
      <c r="G133" s="36">
        <v>25.3</v>
      </c>
      <c r="H133" s="42">
        <v>0</v>
      </c>
      <c r="I133" s="40">
        <f t="shared" si="12"/>
        <v>0.20027295729746547</v>
      </c>
      <c r="J133" s="40">
        <f t="shared" si="13"/>
        <v>0.20040033736961602</v>
      </c>
      <c r="K133" s="41">
        <f t="shared" si="10"/>
        <v>0.79999952917593065</v>
      </c>
      <c r="L133" s="23">
        <f t="shared" si="14"/>
        <v>1.3643835616438356</v>
      </c>
      <c r="M133" s="28">
        <f t="shared" si="15"/>
        <v>30</v>
      </c>
      <c r="N133" s="29" t="s">
        <v>9</v>
      </c>
      <c r="O133" s="30">
        <v>1</v>
      </c>
      <c r="P133" s="31">
        <v>0</v>
      </c>
      <c r="Q133" s="1">
        <v>1</v>
      </c>
      <c r="R133" s="46">
        <v>0.70848627922898011</v>
      </c>
      <c r="S133" s="46">
        <v>-6.7240000000000002</v>
      </c>
      <c r="T133" s="46">
        <v>7.4324862792289803</v>
      </c>
      <c r="U133" s="46">
        <v>-0.16097826072340723</v>
      </c>
      <c r="V133" s="46">
        <v>0.19825886290139677</v>
      </c>
      <c r="W133" s="46">
        <v>0.67383389510012937</v>
      </c>
      <c r="X133" s="46">
        <v>8.848805278595604</v>
      </c>
      <c r="Y133" s="46">
        <v>-0.16097826072340723</v>
      </c>
      <c r="Z133" s="46">
        <v>0.19825886290139677</v>
      </c>
    </row>
    <row r="134" spans="1:26" x14ac:dyDescent="0.35">
      <c r="A134" s="44">
        <v>44321</v>
      </c>
      <c r="B134" s="20">
        <f t="shared" si="11"/>
        <v>44312</v>
      </c>
      <c r="C134" s="35">
        <v>48.75</v>
      </c>
      <c r="D134" s="36"/>
      <c r="E134" s="36"/>
      <c r="F134" s="36">
        <v>18.376000000000001</v>
      </c>
      <c r="G134" s="36">
        <v>25.3</v>
      </c>
      <c r="H134" s="42">
        <v>0</v>
      </c>
      <c r="I134" s="40">
        <f t="shared" si="12"/>
        <v>0.20025930943259221</v>
      </c>
      <c r="J134" s="40">
        <f t="shared" si="13"/>
        <v>0.20038032050113522</v>
      </c>
      <c r="K134" s="41">
        <f t="shared" si="10"/>
        <v>0.79999957625833762</v>
      </c>
      <c r="L134" s="23">
        <f t="shared" si="14"/>
        <v>1.3726027397260274</v>
      </c>
      <c r="M134" s="28">
        <f t="shared" si="15"/>
        <v>30</v>
      </c>
      <c r="N134" s="29" t="s">
        <v>9</v>
      </c>
      <c r="O134" s="30">
        <v>1</v>
      </c>
      <c r="P134" s="31">
        <v>0</v>
      </c>
      <c r="Q134" s="1">
        <v>1</v>
      </c>
      <c r="R134" s="46">
        <v>0.71404530018806689</v>
      </c>
      <c r="S134" s="46">
        <v>-6.7240000000000002</v>
      </c>
      <c r="T134" s="46">
        <v>7.4380453001880671</v>
      </c>
      <c r="U134" s="46">
        <v>-0.16157702414469488</v>
      </c>
      <c r="V134" s="46">
        <v>0.19905736823210929</v>
      </c>
      <c r="W134" s="46">
        <v>0.6780840339439792</v>
      </c>
      <c r="X134" s="46">
        <v>8.8964370450798143</v>
      </c>
      <c r="Y134" s="46">
        <v>-0.16157702414469488</v>
      </c>
      <c r="Z134" s="46">
        <v>0.19905736823210929</v>
      </c>
    </row>
    <row r="135" spans="1:26" x14ac:dyDescent="0.35">
      <c r="A135" s="44">
        <v>44322</v>
      </c>
      <c r="B135" s="20">
        <f t="shared" si="11"/>
        <v>44313</v>
      </c>
      <c r="C135" s="35">
        <v>48.75</v>
      </c>
      <c r="D135" s="36"/>
      <c r="E135" s="36"/>
      <c r="F135" s="36">
        <v>18.376000000000001</v>
      </c>
      <c r="G135" s="36">
        <v>25.3</v>
      </c>
      <c r="H135" s="42">
        <v>0</v>
      </c>
      <c r="I135" s="40">
        <f t="shared" si="12"/>
        <v>0.20024634396096261</v>
      </c>
      <c r="J135" s="40">
        <f t="shared" si="13"/>
        <v>0.20036130447607844</v>
      </c>
      <c r="K135" s="41">
        <f t="shared" si="10"/>
        <v>0.79999961863250391</v>
      </c>
      <c r="L135" s="23">
        <f t="shared" si="14"/>
        <v>1.3753424657534246</v>
      </c>
      <c r="M135" s="28">
        <f t="shared" si="15"/>
        <v>30</v>
      </c>
      <c r="N135" s="29" t="s">
        <v>9</v>
      </c>
      <c r="O135" s="30">
        <v>1</v>
      </c>
      <c r="P135" s="31">
        <v>0</v>
      </c>
      <c r="Q135" s="1">
        <v>1</v>
      </c>
      <c r="R135" s="46">
        <v>0.7157813744330479</v>
      </c>
      <c r="S135" s="46">
        <v>-6.7240000000000002</v>
      </c>
      <c r="T135" s="46">
        <v>7.4397813744330481</v>
      </c>
      <c r="U135" s="46">
        <v>-0.16176296362418524</v>
      </c>
      <c r="V135" s="46">
        <v>0.19930586120820384</v>
      </c>
      <c r="W135" s="46">
        <v>0.6798231359749467</v>
      </c>
      <c r="X135" s="46">
        <v>8.9114722760749618</v>
      </c>
      <c r="Y135" s="46">
        <v>-0.16176296362418524</v>
      </c>
      <c r="Z135" s="46">
        <v>0.19930586120820384</v>
      </c>
    </row>
    <row r="136" spans="1:26" x14ac:dyDescent="0.35">
      <c r="A136" s="44">
        <v>44323</v>
      </c>
      <c r="B136" s="20">
        <f t="shared" si="11"/>
        <v>44314</v>
      </c>
      <c r="C136" s="35">
        <v>48.75</v>
      </c>
      <c r="D136" s="36"/>
      <c r="E136" s="36"/>
      <c r="F136" s="36">
        <v>18.376000000000001</v>
      </c>
      <c r="G136" s="36">
        <v>25.3</v>
      </c>
      <c r="H136" s="42">
        <v>0</v>
      </c>
      <c r="I136" s="40">
        <f t="shared" si="12"/>
        <v>0.20023402676291449</v>
      </c>
      <c r="J136" s="40">
        <f t="shared" si="13"/>
        <v>0.20034323925227451</v>
      </c>
      <c r="K136" s="41">
        <f t="shared" si="10"/>
        <v>0.79999965676925355</v>
      </c>
      <c r="L136" s="23">
        <f t="shared" si="14"/>
        <v>1.3780821917808219</v>
      </c>
      <c r="M136" s="28">
        <f t="shared" si="15"/>
        <v>30</v>
      </c>
      <c r="N136" s="29" t="s">
        <v>9</v>
      </c>
      <c r="O136" s="30">
        <v>1</v>
      </c>
      <c r="P136" s="31">
        <v>0</v>
      </c>
      <c r="Q136" s="1">
        <v>1</v>
      </c>
      <c r="R136" s="46">
        <v>0.71752544372822946</v>
      </c>
      <c r="S136" s="46">
        <v>-6.7240000000000002</v>
      </c>
      <c r="T136" s="46">
        <v>7.4415254437282297</v>
      </c>
      <c r="U136" s="46">
        <v>-0.16194941300196591</v>
      </c>
      <c r="V136" s="46">
        <v>0.19955507978231424</v>
      </c>
      <c r="W136" s="46">
        <v>0.68153799940589055</v>
      </c>
      <c r="X136" s="46">
        <v>8.9265501176229805</v>
      </c>
      <c r="Y136" s="46">
        <v>-0.16194941300196591</v>
      </c>
      <c r="Z136" s="46">
        <v>0.19955507978231424</v>
      </c>
    </row>
    <row r="137" spans="1:26" x14ac:dyDescent="0.35">
      <c r="A137" s="44">
        <v>44324</v>
      </c>
      <c r="B137" s="20">
        <f t="shared" si="11"/>
        <v>44315</v>
      </c>
      <c r="C137" s="35">
        <v>48.75</v>
      </c>
      <c r="D137" s="36"/>
      <c r="E137" s="36"/>
      <c r="F137" s="36">
        <v>18.376000000000001</v>
      </c>
      <c r="G137" s="36">
        <v>25.3</v>
      </c>
      <c r="H137" s="42">
        <v>0</v>
      </c>
      <c r="I137" s="40">
        <f t="shared" si="12"/>
        <v>0.20022232542476875</v>
      </c>
      <c r="J137" s="40">
        <f t="shared" si="13"/>
        <v>0.20032607728966079</v>
      </c>
      <c r="K137" s="41">
        <f t="shared" si="10"/>
        <v>0.79999969109232816</v>
      </c>
      <c r="L137" s="23">
        <f t="shared" si="14"/>
        <v>1.3808219178082193</v>
      </c>
      <c r="M137" s="28">
        <f t="shared" si="15"/>
        <v>30</v>
      </c>
      <c r="N137" s="29" t="s">
        <v>9</v>
      </c>
      <c r="O137" s="30">
        <v>1</v>
      </c>
      <c r="P137" s="31">
        <v>0</v>
      </c>
      <c r="Q137" s="1">
        <v>1</v>
      </c>
      <c r="R137" s="46">
        <v>0.71927710389960531</v>
      </c>
      <c r="S137" s="46">
        <v>-6.7240000000000002</v>
      </c>
      <c r="T137" s="46">
        <v>7.4432771038996055</v>
      </c>
      <c r="U137" s="46">
        <v>-0.16213632438998474</v>
      </c>
      <c r="V137" s="46">
        <v>0.19980496203853176</v>
      </c>
      <c r="W137" s="46">
        <v>0.6832297166419613</v>
      </c>
      <c r="X137" s="46">
        <v>8.9416676581840733</v>
      </c>
      <c r="Y137" s="46">
        <v>-0.16213632438998474</v>
      </c>
      <c r="Z137" s="46">
        <v>0.19980496203853176</v>
      </c>
    </row>
    <row r="138" spans="1:26" x14ac:dyDescent="0.35">
      <c r="A138" s="44">
        <v>44325</v>
      </c>
      <c r="B138" s="20">
        <f t="shared" si="11"/>
        <v>44315</v>
      </c>
      <c r="C138" s="35">
        <v>48.75</v>
      </c>
      <c r="D138" s="36"/>
      <c r="E138" s="36"/>
      <c r="F138" s="36">
        <v>18.376000000000001</v>
      </c>
      <c r="G138" s="36">
        <v>25.3</v>
      </c>
      <c r="H138" s="42">
        <v>0</v>
      </c>
      <c r="I138" s="40">
        <f t="shared" si="12"/>
        <v>0.20021120915353033</v>
      </c>
      <c r="J138" s="40">
        <f t="shared" si="13"/>
        <v>0.20030977342517775</v>
      </c>
      <c r="K138" s="41">
        <f t="shared" si="10"/>
        <v>0.79999972198309532</v>
      </c>
      <c r="L138" s="23">
        <f t="shared" si="14"/>
        <v>1.3808219178082193</v>
      </c>
      <c r="M138" s="28">
        <f t="shared" si="15"/>
        <v>30</v>
      </c>
      <c r="N138" s="29" t="s">
        <v>9</v>
      </c>
      <c r="O138" s="30">
        <v>1</v>
      </c>
      <c r="P138" s="31">
        <v>0</v>
      </c>
      <c r="Q138" s="1">
        <v>1</v>
      </c>
      <c r="R138" s="46">
        <v>0.71912358809833599</v>
      </c>
      <c r="S138" s="46">
        <v>-6.7240000000000002</v>
      </c>
      <c r="T138" s="46">
        <v>7.4431235880983362</v>
      </c>
      <c r="U138" s="46">
        <v>-0.16211956536836383</v>
      </c>
      <c r="V138" s="46">
        <v>0.19978307914553212</v>
      </c>
      <c r="W138" s="46">
        <v>0.68365905743585176</v>
      </c>
      <c r="X138" s="46">
        <v>8.9406021115898398</v>
      </c>
      <c r="Y138" s="46">
        <v>-0.16211956536836383</v>
      </c>
      <c r="Z138" s="46">
        <v>0.19978307914553212</v>
      </c>
    </row>
    <row r="139" spans="1:26" x14ac:dyDescent="0.35">
      <c r="A139" s="44">
        <v>44326</v>
      </c>
      <c r="B139" s="20">
        <f t="shared" si="11"/>
        <v>44315</v>
      </c>
      <c r="C139" s="35">
        <v>48.75</v>
      </c>
      <c r="D139" s="36"/>
      <c r="E139" s="36"/>
      <c r="F139" s="36">
        <v>18.376000000000001</v>
      </c>
      <c r="G139" s="36">
        <v>25.3</v>
      </c>
      <c r="H139" s="42">
        <v>0</v>
      </c>
      <c r="I139" s="40">
        <f t="shared" si="12"/>
        <v>0.2002006486958538</v>
      </c>
      <c r="J139" s="40">
        <f t="shared" si="13"/>
        <v>0.20029428475391886</v>
      </c>
      <c r="K139" s="41">
        <f t="shared" si="10"/>
        <v>0.79999974978478583</v>
      </c>
      <c r="L139" s="23">
        <f t="shared" si="14"/>
        <v>1.3808219178082193</v>
      </c>
      <c r="M139" s="28">
        <f t="shared" si="15"/>
        <v>30</v>
      </c>
      <c r="N139" s="29" t="s">
        <v>9</v>
      </c>
      <c r="O139" s="30">
        <v>1</v>
      </c>
      <c r="P139" s="31">
        <v>0</v>
      </c>
      <c r="Q139" s="1">
        <v>1</v>
      </c>
      <c r="R139" s="46">
        <v>0.71897776662976476</v>
      </c>
      <c r="S139" s="46">
        <v>-6.7240000000000002</v>
      </c>
      <c r="T139" s="46">
        <v>7.442977766629765</v>
      </c>
      <c r="U139" s="46">
        <v>-0.16210364365947558</v>
      </c>
      <c r="V139" s="46">
        <v>0.19976229004866533</v>
      </c>
      <c r="W139" s="46">
        <v>0.68406696958452451</v>
      </c>
      <c r="X139" s="46">
        <v>8.9395897618753253</v>
      </c>
      <c r="Y139" s="46">
        <v>-0.16210364365947558</v>
      </c>
      <c r="Z139" s="46">
        <v>0.19976229004866533</v>
      </c>
    </row>
    <row r="140" spans="1:26" x14ac:dyDescent="0.35">
      <c r="A140" s="44">
        <v>44327</v>
      </c>
      <c r="B140" s="20">
        <f t="shared" si="11"/>
        <v>44316</v>
      </c>
      <c r="C140" s="35">
        <v>48.75</v>
      </c>
      <c r="D140" s="36"/>
      <c r="E140" s="36"/>
      <c r="F140" s="36">
        <v>18.376000000000001</v>
      </c>
      <c r="G140" s="36">
        <v>25.3</v>
      </c>
      <c r="H140" s="42">
        <v>0</v>
      </c>
      <c r="I140" s="40">
        <f t="shared" si="12"/>
        <v>0.20019061626106111</v>
      </c>
      <c r="J140" s="40">
        <f t="shared" si="13"/>
        <v>0.20027957051622292</v>
      </c>
      <c r="K140" s="41">
        <f t="shared" ref="K140:K203" si="16">80%+(K139-80%)*0.9</f>
        <v>0.79999977480630724</v>
      </c>
      <c r="L140" s="23">
        <f t="shared" si="14"/>
        <v>1.3835616438356164</v>
      </c>
      <c r="M140" s="28">
        <f t="shared" si="15"/>
        <v>30</v>
      </c>
      <c r="N140" s="29" t="s">
        <v>9</v>
      </c>
      <c r="O140" s="30">
        <v>1</v>
      </c>
      <c r="P140" s="31">
        <v>0</v>
      </c>
      <c r="Q140" s="1">
        <v>1</v>
      </c>
      <c r="R140" s="46">
        <v>0.72075111923435919</v>
      </c>
      <c r="S140" s="46">
        <v>-6.7240000000000002</v>
      </c>
      <c r="T140" s="46">
        <v>7.4447511192343594</v>
      </c>
      <c r="U140" s="46">
        <v>-0.16229261358672656</v>
      </c>
      <c r="V140" s="46">
        <v>0.20001491116244752</v>
      </c>
      <c r="W140" s="46">
        <v>0.68569640314216074</v>
      </c>
      <c r="X140" s="46">
        <v>8.9548465908483603</v>
      </c>
      <c r="Y140" s="46">
        <v>-0.16229261358672656</v>
      </c>
      <c r="Z140" s="46">
        <v>0.20001491116244752</v>
      </c>
    </row>
    <row r="141" spans="1:26" x14ac:dyDescent="0.35">
      <c r="A141" s="44">
        <v>44328</v>
      </c>
      <c r="B141" s="20">
        <f t="shared" si="11"/>
        <v>44319</v>
      </c>
      <c r="C141" s="35">
        <v>48.75</v>
      </c>
      <c r="D141" s="36"/>
      <c r="E141" s="36"/>
      <c r="F141" s="36">
        <v>18.376000000000001</v>
      </c>
      <c r="G141" s="36">
        <v>25.3</v>
      </c>
      <c r="H141" s="42">
        <v>0</v>
      </c>
      <c r="I141" s="40">
        <f t="shared" si="12"/>
        <v>0.20018108544800806</v>
      </c>
      <c r="J141" s="40">
        <f t="shared" si="13"/>
        <v>0.20026559199041177</v>
      </c>
      <c r="K141" s="41">
        <f t="shared" si="16"/>
        <v>0.7999997973256765</v>
      </c>
      <c r="L141" s="23">
        <f t="shared" si="14"/>
        <v>1.3917808219178083</v>
      </c>
      <c r="M141" s="28">
        <f t="shared" si="15"/>
        <v>31</v>
      </c>
      <c r="N141" s="29" t="s">
        <v>9</v>
      </c>
      <c r="O141" s="30">
        <v>1</v>
      </c>
      <c r="P141" s="31">
        <v>0</v>
      </c>
      <c r="Q141" s="1">
        <v>1</v>
      </c>
      <c r="R141" s="46">
        <v>0.72635223329981713</v>
      </c>
      <c r="S141" s="46">
        <v>-6.7240000000000002</v>
      </c>
      <c r="T141" s="46">
        <v>7.4503522332998173</v>
      </c>
      <c r="U141" s="46">
        <v>-0.16288771626027285</v>
      </c>
      <c r="V141" s="46">
        <v>0.20080999732098548</v>
      </c>
      <c r="W141" s="46">
        <v>0.68978521946270033</v>
      </c>
      <c r="X141" s="46">
        <v>9.0024814853268289</v>
      </c>
      <c r="Y141" s="46">
        <v>-0.16288771626027285</v>
      </c>
      <c r="Z141" s="46">
        <v>0.20080999732098548</v>
      </c>
    </row>
    <row r="142" spans="1:26" x14ac:dyDescent="0.35">
      <c r="A142" s="44">
        <v>44329</v>
      </c>
      <c r="B142" s="20">
        <f t="shared" si="11"/>
        <v>44320</v>
      </c>
      <c r="C142" s="35">
        <v>48.75</v>
      </c>
      <c r="D142" s="36"/>
      <c r="E142" s="36"/>
      <c r="F142" s="36">
        <v>18.376000000000001</v>
      </c>
      <c r="G142" s="36">
        <v>25.3</v>
      </c>
      <c r="H142" s="42">
        <v>0</v>
      </c>
      <c r="I142" s="40">
        <f t="shared" si="12"/>
        <v>0.20017203117560767</v>
      </c>
      <c r="J142" s="40">
        <f t="shared" si="13"/>
        <v>0.2002523123908912</v>
      </c>
      <c r="K142" s="41">
        <f t="shared" si="16"/>
        <v>0.7999998175931089</v>
      </c>
      <c r="L142" s="23">
        <f t="shared" si="14"/>
        <v>1.3945205479452054</v>
      </c>
      <c r="M142" s="28">
        <f t="shared" si="15"/>
        <v>31</v>
      </c>
      <c r="N142" s="29" t="s">
        <v>9</v>
      </c>
      <c r="O142" s="30">
        <v>1</v>
      </c>
      <c r="P142" s="31">
        <v>0</v>
      </c>
      <c r="Q142" s="1">
        <v>1</v>
      </c>
      <c r="R142" s="46">
        <v>0.72813643594766475</v>
      </c>
      <c r="S142" s="46">
        <v>-6.7240000000000002</v>
      </c>
      <c r="T142" s="46">
        <v>7.4521364359476649</v>
      </c>
      <c r="U142" s="46">
        <v>-0.16307630170745724</v>
      </c>
      <c r="V142" s="46">
        <v>0.20106237489361597</v>
      </c>
      <c r="W142" s="46">
        <v>0.6913758716389814</v>
      </c>
      <c r="X142" s="46">
        <v>9.0177586598620678</v>
      </c>
      <c r="Y142" s="46">
        <v>-0.16307630170745724</v>
      </c>
      <c r="Z142" s="46">
        <v>0.20106237489361597</v>
      </c>
    </row>
    <row r="143" spans="1:26" x14ac:dyDescent="0.35">
      <c r="A143" s="44">
        <v>44330</v>
      </c>
      <c r="B143" s="20">
        <f t="shared" si="11"/>
        <v>44321</v>
      </c>
      <c r="C143" s="35">
        <v>48.75</v>
      </c>
      <c r="D143" s="36"/>
      <c r="E143" s="36"/>
      <c r="F143" s="36">
        <v>18.376000000000001</v>
      </c>
      <c r="G143" s="36">
        <v>25.3</v>
      </c>
      <c r="H143" s="42">
        <v>0</v>
      </c>
      <c r="I143" s="40">
        <f t="shared" si="12"/>
        <v>0.20016342961682729</v>
      </c>
      <c r="J143" s="40">
        <f t="shared" si="13"/>
        <v>0.20023969677134665</v>
      </c>
      <c r="K143" s="41">
        <f t="shared" si="16"/>
        <v>0.79999983583379797</v>
      </c>
      <c r="L143" s="23">
        <f t="shared" si="14"/>
        <v>1.3972602739726028</v>
      </c>
      <c r="M143" s="28">
        <f t="shared" si="15"/>
        <v>31</v>
      </c>
      <c r="N143" s="29" t="s">
        <v>9</v>
      </c>
      <c r="O143" s="30">
        <v>1</v>
      </c>
      <c r="P143" s="31">
        <v>0</v>
      </c>
      <c r="Q143" s="1">
        <v>1</v>
      </c>
      <c r="R143" s="46">
        <v>0.72992618249966057</v>
      </c>
      <c r="S143" s="46">
        <v>-6.7240000000000002</v>
      </c>
      <c r="T143" s="46">
        <v>7.4539261824996608</v>
      </c>
      <c r="U143" s="46">
        <v>-0.16326510963408669</v>
      </c>
      <c r="V143" s="46">
        <v>0.20131510599160315</v>
      </c>
      <c r="W143" s="46">
        <v>0.69294893120913637</v>
      </c>
      <c r="X143" s="46">
        <v>9.0330608604649463</v>
      </c>
      <c r="Y143" s="46">
        <v>-0.16326510963408669</v>
      </c>
      <c r="Z143" s="46">
        <v>0.20131510599160315</v>
      </c>
    </row>
    <row r="144" spans="1:26" x14ac:dyDescent="0.35">
      <c r="A144" s="44">
        <v>44331</v>
      </c>
      <c r="B144" s="20">
        <f t="shared" si="11"/>
        <v>44322</v>
      </c>
      <c r="C144" s="35">
        <v>48.75</v>
      </c>
      <c r="D144" s="36"/>
      <c r="E144" s="36"/>
      <c r="F144" s="36">
        <v>18.376000000000001</v>
      </c>
      <c r="G144" s="36">
        <v>25.3</v>
      </c>
      <c r="H144" s="42">
        <v>0</v>
      </c>
      <c r="I144" s="40">
        <f t="shared" si="12"/>
        <v>0.20015525813598592</v>
      </c>
      <c r="J144" s="40">
        <f t="shared" si="13"/>
        <v>0.20022771193277933</v>
      </c>
      <c r="K144" s="41">
        <f t="shared" si="16"/>
        <v>0.79999985225041814</v>
      </c>
      <c r="L144" s="23">
        <f t="shared" si="14"/>
        <v>1.4</v>
      </c>
      <c r="M144" s="28">
        <f t="shared" si="15"/>
        <v>31</v>
      </c>
      <c r="N144" s="29" t="s">
        <v>9</v>
      </c>
      <c r="O144" s="30">
        <v>1</v>
      </c>
      <c r="P144" s="31">
        <v>0</v>
      </c>
      <c r="Q144" s="1">
        <v>1</v>
      </c>
      <c r="R144" s="46">
        <v>0.73172118693371324</v>
      </c>
      <c r="S144" s="46">
        <v>-6.7240000000000002</v>
      </c>
      <c r="T144" s="46">
        <v>7.4557211869337134</v>
      </c>
      <c r="U144" s="46">
        <v>-0.16345410706493338</v>
      </c>
      <c r="V144" s="46">
        <v>0.20156814783985347</v>
      </c>
      <c r="W144" s="46">
        <v>0.69450517696762581</v>
      </c>
      <c r="X144" s="46">
        <v>9.0483860496713895</v>
      </c>
      <c r="Y144" s="46">
        <v>-0.16345410706493338</v>
      </c>
      <c r="Z144" s="46">
        <v>0.20156814783985347</v>
      </c>
    </row>
    <row r="145" spans="1:26" x14ac:dyDescent="0.35">
      <c r="A145" s="44">
        <v>44332</v>
      </c>
      <c r="B145" s="20">
        <f t="shared" si="11"/>
        <v>44322</v>
      </c>
      <c r="C145" s="35">
        <v>48.75</v>
      </c>
      <c r="D145" s="36"/>
      <c r="E145" s="36"/>
      <c r="F145" s="36">
        <v>18.376000000000001</v>
      </c>
      <c r="G145" s="36">
        <v>25.3</v>
      </c>
      <c r="H145" s="42">
        <v>0</v>
      </c>
      <c r="I145" s="40">
        <f t="shared" si="12"/>
        <v>0.20014749522918662</v>
      </c>
      <c r="J145" s="40">
        <f t="shared" si="13"/>
        <v>0.20021632633614037</v>
      </c>
      <c r="K145" s="41">
        <f t="shared" si="16"/>
        <v>0.79999986702537629</v>
      </c>
      <c r="L145" s="23">
        <f t="shared" si="14"/>
        <v>1.4</v>
      </c>
      <c r="M145" s="28">
        <f t="shared" si="15"/>
        <v>31</v>
      </c>
      <c r="N145" s="29" t="s">
        <v>9</v>
      </c>
      <c r="O145" s="30">
        <v>1</v>
      </c>
      <c r="P145" s="31">
        <v>0</v>
      </c>
      <c r="Q145" s="1">
        <v>1</v>
      </c>
      <c r="R145" s="46">
        <v>0.73161270646073184</v>
      </c>
      <c r="S145" s="46">
        <v>-6.7240000000000002</v>
      </c>
      <c r="T145" s="46">
        <v>7.455612706460732</v>
      </c>
      <c r="U145" s="46">
        <v>-0.16344242508355533</v>
      </c>
      <c r="V145" s="46">
        <v>0.20155286759026908</v>
      </c>
      <c r="W145" s="46">
        <v>0.69480941418108166</v>
      </c>
      <c r="X145" s="46">
        <v>9.0476379458714948</v>
      </c>
      <c r="Y145" s="46">
        <v>-0.16344242508355533</v>
      </c>
      <c r="Z145" s="46">
        <v>0.20155286759026908</v>
      </c>
    </row>
    <row r="146" spans="1:26" x14ac:dyDescent="0.35">
      <c r="A146" s="44">
        <v>44333</v>
      </c>
      <c r="B146" s="20">
        <f t="shared" si="11"/>
        <v>44322</v>
      </c>
      <c r="C146" s="35">
        <v>48.75</v>
      </c>
      <c r="D146" s="36"/>
      <c r="E146" s="36"/>
      <c r="F146" s="36">
        <v>18.376000000000001</v>
      </c>
      <c r="G146" s="36">
        <v>25.3</v>
      </c>
      <c r="H146" s="42">
        <v>0</v>
      </c>
      <c r="I146" s="40">
        <f t="shared" si="12"/>
        <v>0.20014012046772728</v>
      </c>
      <c r="J146" s="40">
        <f t="shared" si="13"/>
        <v>0.20020551001933334</v>
      </c>
      <c r="K146" s="41">
        <f t="shared" si="16"/>
        <v>0.79999988032283864</v>
      </c>
      <c r="L146" s="23">
        <f t="shared" si="14"/>
        <v>1.4</v>
      </c>
      <c r="M146" s="28">
        <f t="shared" si="15"/>
        <v>31</v>
      </c>
      <c r="N146" s="29" t="s">
        <v>9</v>
      </c>
      <c r="O146" s="30">
        <v>1</v>
      </c>
      <c r="P146" s="31">
        <v>0</v>
      </c>
      <c r="Q146" s="1">
        <v>1</v>
      </c>
      <c r="R146" s="46">
        <v>0.7315096590370711</v>
      </c>
      <c r="S146" s="46">
        <v>-6.7240000000000002</v>
      </c>
      <c r="T146" s="46">
        <v>7.4555096590370713</v>
      </c>
      <c r="U146" s="46">
        <v>-0.16343132687594855</v>
      </c>
      <c r="V146" s="46">
        <v>0.20153835116686172</v>
      </c>
      <c r="W146" s="46">
        <v>0.69509845852539409</v>
      </c>
      <c r="X146" s="46">
        <v>9.0469272070430513</v>
      </c>
      <c r="Y146" s="46">
        <v>-0.16343132687594855</v>
      </c>
      <c r="Z146" s="46">
        <v>0.20153835116686172</v>
      </c>
    </row>
    <row r="147" spans="1:26" x14ac:dyDescent="0.35">
      <c r="A147" s="44">
        <v>44334</v>
      </c>
      <c r="B147" s="20">
        <f t="shared" si="11"/>
        <v>44323</v>
      </c>
      <c r="C147" s="35">
        <v>48.75</v>
      </c>
      <c r="D147" s="36"/>
      <c r="E147" s="36"/>
      <c r="F147" s="36">
        <v>18.376000000000001</v>
      </c>
      <c r="G147" s="36">
        <v>25.3</v>
      </c>
      <c r="H147" s="42">
        <v>0</v>
      </c>
      <c r="I147" s="40">
        <f t="shared" si="12"/>
        <v>0.20013311444434093</v>
      </c>
      <c r="J147" s="40">
        <f t="shared" si="13"/>
        <v>0.20019523451836668</v>
      </c>
      <c r="K147" s="41">
        <f t="shared" si="16"/>
        <v>0.79999989229055479</v>
      </c>
      <c r="L147" s="23">
        <f t="shared" si="14"/>
        <v>1.4027397260273973</v>
      </c>
      <c r="M147" s="28">
        <f t="shared" si="15"/>
        <v>31</v>
      </c>
      <c r="N147" s="29" t="s">
        <v>9</v>
      </c>
      <c r="O147" s="30">
        <v>1</v>
      </c>
      <c r="P147" s="31">
        <v>0</v>
      </c>
      <c r="Q147" s="1">
        <v>1</v>
      </c>
      <c r="R147" s="46">
        <v>0.73331988516661184</v>
      </c>
      <c r="S147" s="46">
        <v>-6.7240000000000002</v>
      </c>
      <c r="T147" s="46">
        <v>7.457319885166612</v>
      </c>
      <c r="U147" s="46">
        <v>-0.16362162748731637</v>
      </c>
      <c r="V147" s="46">
        <v>0.20179315361239231</v>
      </c>
      <c r="W147" s="46">
        <v>0.69661012331848426</v>
      </c>
      <c r="X147" s="46">
        <v>9.0623453610240912</v>
      </c>
      <c r="Y147" s="46">
        <v>-0.16362162748731637</v>
      </c>
      <c r="Z147" s="46">
        <v>0.20179315361239231</v>
      </c>
    </row>
    <row r="148" spans="1:26" x14ac:dyDescent="0.35">
      <c r="A148" s="44">
        <v>44335</v>
      </c>
      <c r="B148" s="20">
        <f t="shared" si="11"/>
        <v>44326</v>
      </c>
      <c r="C148" s="35">
        <v>48.75</v>
      </c>
      <c r="D148" s="36"/>
      <c r="E148" s="36"/>
      <c r="F148" s="36">
        <v>18.376000000000001</v>
      </c>
      <c r="G148" s="36">
        <v>25.3</v>
      </c>
      <c r="H148" s="42">
        <v>0</v>
      </c>
      <c r="I148" s="40">
        <f t="shared" si="12"/>
        <v>0.20012645872212387</v>
      </c>
      <c r="J148" s="40">
        <f t="shared" si="13"/>
        <v>0.20018547279244836</v>
      </c>
      <c r="K148" s="41">
        <f t="shared" si="16"/>
        <v>0.79999990306149926</v>
      </c>
      <c r="L148" s="23">
        <f t="shared" si="14"/>
        <v>1.4109589041095891</v>
      </c>
      <c r="M148" s="28">
        <f t="shared" si="15"/>
        <v>31</v>
      </c>
      <c r="N148" s="29" t="s">
        <v>9</v>
      </c>
      <c r="O148" s="30">
        <v>1</v>
      </c>
      <c r="P148" s="31">
        <v>0</v>
      </c>
      <c r="Q148" s="1">
        <v>1</v>
      </c>
      <c r="R148" s="46">
        <v>0.73894853050514087</v>
      </c>
      <c r="S148" s="46">
        <v>-6.7240000000000002</v>
      </c>
      <c r="T148" s="46">
        <v>7.4629485305051411</v>
      </c>
      <c r="U148" s="46">
        <v>-0.16421139091800985</v>
      </c>
      <c r="V148" s="46">
        <v>0.20258264249390434</v>
      </c>
      <c r="W148" s="46">
        <v>0.70057634538046509</v>
      </c>
      <c r="X148" s="46">
        <v>9.1098794015715772</v>
      </c>
      <c r="Y148" s="46">
        <v>-0.16421139091800985</v>
      </c>
      <c r="Z148" s="46">
        <v>0.20258264249390434</v>
      </c>
    </row>
    <row r="149" spans="1:26" x14ac:dyDescent="0.35">
      <c r="A149" s="44">
        <v>44336</v>
      </c>
      <c r="B149" s="20">
        <f t="shared" si="11"/>
        <v>44327</v>
      </c>
      <c r="C149" s="35">
        <v>48.75</v>
      </c>
      <c r="D149" s="36"/>
      <c r="E149" s="36"/>
      <c r="F149" s="36">
        <v>18.376000000000001</v>
      </c>
      <c r="G149" s="36">
        <v>25.3</v>
      </c>
      <c r="H149" s="42">
        <v>0</v>
      </c>
      <c r="I149" s="40">
        <f t="shared" si="12"/>
        <v>0.20012013578601767</v>
      </c>
      <c r="J149" s="40">
        <f t="shared" si="13"/>
        <v>0.20017619915282595</v>
      </c>
      <c r="K149" s="41">
        <f t="shared" si="16"/>
        <v>0.79999991275534932</v>
      </c>
      <c r="L149" s="23">
        <f t="shared" si="14"/>
        <v>1.4136986301369863</v>
      </c>
      <c r="M149" s="28">
        <f t="shared" si="15"/>
        <v>31</v>
      </c>
      <c r="N149" s="29" t="s">
        <v>9</v>
      </c>
      <c r="O149" s="30">
        <v>1</v>
      </c>
      <c r="P149" s="31">
        <v>0</v>
      </c>
      <c r="Q149" s="1">
        <v>1</v>
      </c>
      <c r="R149" s="46">
        <v>0.74076599256577147</v>
      </c>
      <c r="S149" s="46">
        <v>-6.7240000000000002</v>
      </c>
      <c r="T149" s="46">
        <v>7.4647659925657717</v>
      </c>
      <c r="U149" s="46">
        <v>-0.1644008986811164</v>
      </c>
      <c r="V149" s="46">
        <v>0.20283667025154092</v>
      </c>
      <c r="W149" s="46">
        <v>0.70205897471082279</v>
      </c>
      <c r="X149" s="46">
        <v>9.1252923639978416</v>
      </c>
      <c r="Y149" s="46">
        <v>-0.1644008986811164</v>
      </c>
      <c r="Z149" s="46">
        <v>0.20283667025154092</v>
      </c>
    </row>
    <row r="150" spans="1:26" x14ac:dyDescent="0.35">
      <c r="A150" s="44">
        <v>44337</v>
      </c>
      <c r="B150" s="20">
        <f t="shared" ref="B150:B213" si="17">WORKDAY(A150,-7)</f>
        <v>44328</v>
      </c>
      <c r="C150" s="35">
        <v>48.75</v>
      </c>
      <c r="D150" s="36"/>
      <c r="E150" s="36"/>
      <c r="F150" s="36">
        <v>18.376000000000001</v>
      </c>
      <c r="G150" s="36">
        <v>25.3</v>
      </c>
      <c r="H150" s="42">
        <v>0</v>
      </c>
      <c r="I150" s="40">
        <f t="shared" ref="I150:I213" si="18">20%+(I149-20%)*0.95</f>
        <v>0.20011412899671679</v>
      </c>
      <c r="J150" s="40">
        <f t="shared" ref="J150:J213" si="19">20%+(J149-20%)*0.95</f>
        <v>0.20016738919518465</v>
      </c>
      <c r="K150" s="41">
        <f t="shared" si="16"/>
        <v>0.79999992147981436</v>
      </c>
      <c r="L150" s="23">
        <f t="shared" ref="L150:L213" si="20">(B150-$B$3)/365</f>
        <v>1.4164383561643836</v>
      </c>
      <c r="M150" s="28">
        <f t="shared" ref="M150:M213" si="21">DAY(EOMONTH(B150,0))</f>
        <v>31</v>
      </c>
      <c r="N150" s="29" t="s">
        <v>9</v>
      </c>
      <c r="O150" s="30">
        <v>1</v>
      </c>
      <c r="P150" s="31">
        <v>0</v>
      </c>
      <c r="Q150" s="1">
        <v>1</v>
      </c>
      <c r="R150" s="46">
        <v>0.74258726285539645</v>
      </c>
      <c r="S150" s="46">
        <v>-6.7240000000000002</v>
      </c>
      <c r="T150" s="46">
        <v>7.4665872628553966</v>
      </c>
      <c r="U150" s="46">
        <v>-0.16459043144215316</v>
      </c>
      <c r="V150" s="46">
        <v>0.20309079494726398</v>
      </c>
      <c r="W150" s="46">
        <v>0.70352874790434961</v>
      </c>
      <c r="X150" s="46">
        <v>9.1407180612432768</v>
      </c>
      <c r="Y150" s="46">
        <v>-0.16459043144215316</v>
      </c>
      <c r="Z150" s="46">
        <v>0.20309079494726398</v>
      </c>
    </row>
    <row r="151" spans="1:26" x14ac:dyDescent="0.35">
      <c r="A151" s="44">
        <v>44338</v>
      </c>
      <c r="B151" s="20">
        <f t="shared" si="17"/>
        <v>44329</v>
      </c>
      <c r="C151" s="35">
        <v>48.75</v>
      </c>
      <c r="D151" s="36"/>
      <c r="E151" s="36"/>
      <c r="F151" s="36">
        <v>18.376000000000001</v>
      </c>
      <c r="G151" s="36">
        <v>25.3</v>
      </c>
      <c r="H151" s="42">
        <v>0</v>
      </c>
      <c r="I151" s="40">
        <f t="shared" si="18"/>
        <v>0.20010842254688097</v>
      </c>
      <c r="J151" s="40">
        <f t="shared" si="19"/>
        <v>0.20015901973542541</v>
      </c>
      <c r="K151" s="41">
        <f t="shared" si="16"/>
        <v>0.79999992933183295</v>
      </c>
      <c r="L151" s="23">
        <f t="shared" si="20"/>
        <v>1.4191780821917808</v>
      </c>
      <c r="M151" s="28">
        <f t="shared" si="21"/>
        <v>31</v>
      </c>
      <c r="N151" s="29" t="s">
        <v>9</v>
      </c>
      <c r="O151" s="30">
        <v>1</v>
      </c>
      <c r="P151" s="31">
        <v>0</v>
      </c>
      <c r="Q151" s="1">
        <v>1</v>
      </c>
      <c r="R151" s="46">
        <v>0.74441213866278666</v>
      </c>
      <c r="S151" s="46">
        <v>-6.7240000000000002</v>
      </c>
      <c r="T151" s="46">
        <v>7.4684121386627869</v>
      </c>
      <c r="U151" s="46">
        <v>-0.16477996662787675</v>
      </c>
      <c r="V151" s="46">
        <v>0.20334498717257149</v>
      </c>
      <c r="W151" s="46">
        <v>0.70498621976528453</v>
      </c>
      <c r="X151" s="46">
        <v>9.1561550718004803</v>
      </c>
      <c r="Y151" s="46">
        <v>-0.16477996662787675</v>
      </c>
      <c r="Z151" s="46">
        <v>0.20334498717257149</v>
      </c>
    </row>
    <row r="152" spans="1:26" x14ac:dyDescent="0.35">
      <c r="A152" s="44">
        <v>44339</v>
      </c>
      <c r="B152" s="20">
        <f t="shared" si="17"/>
        <v>44329</v>
      </c>
      <c r="C152" s="35">
        <v>48.75</v>
      </c>
      <c r="D152" s="36"/>
      <c r="E152" s="36"/>
      <c r="F152" s="36">
        <v>18.376000000000001</v>
      </c>
      <c r="G152" s="36">
        <v>25.3</v>
      </c>
      <c r="H152" s="42">
        <v>0</v>
      </c>
      <c r="I152" s="40">
        <f t="shared" si="18"/>
        <v>0.20010300141953691</v>
      </c>
      <c r="J152" s="40">
        <f t="shared" si="19"/>
        <v>0.20015106874865413</v>
      </c>
      <c r="K152" s="41">
        <f t="shared" si="16"/>
        <v>0.79999993639864964</v>
      </c>
      <c r="L152" s="23">
        <f t="shared" si="20"/>
        <v>1.4191780821917808</v>
      </c>
      <c r="M152" s="28">
        <f t="shared" si="21"/>
        <v>31</v>
      </c>
      <c r="N152" s="29" t="s">
        <v>9</v>
      </c>
      <c r="O152" s="30">
        <v>1</v>
      </c>
      <c r="P152" s="31">
        <v>0</v>
      </c>
      <c r="Q152" s="1">
        <v>1</v>
      </c>
      <c r="R152" s="46">
        <v>0.74433548248910419</v>
      </c>
      <c r="S152" s="46">
        <v>-6.7240000000000002</v>
      </c>
      <c r="T152" s="46">
        <v>7.4683354824891044</v>
      </c>
      <c r="U152" s="46">
        <v>-0.16477182462900189</v>
      </c>
      <c r="V152" s="46">
        <v>0.20333431826483406</v>
      </c>
      <c r="W152" s="46">
        <v>0.70520170935097259</v>
      </c>
      <c r="X152" s="46">
        <v>9.1556299618610559</v>
      </c>
      <c r="Y152" s="46">
        <v>-0.16477182462900189</v>
      </c>
      <c r="Z152" s="46">
        <v>0.20333431826483406</v>
      </c>
    </row>
    <row r="153" spans="1:26" x14ac:dyDescent="0.35">
      <c r="A153" s="44">
        <v>44340</v>
      </c>
      <c r="B153" s="20">
        <f t="shared" si="17"/>
        <v>44329</v>
      </c>
      <c r="C153" s="35">
        <v>48.75</v>
      </c>
      <c r="D153" s="36"/>
      <c r="E153" s="36"/>
      <c r="F153" s="36">
        <v>18.376000000000001</v>
      </c>
      <c r="G153" s="36">
        <v>25.3</v>
      </c>
      <c r="H153" s="42">
        <v>0</v>
      </c>
      <c r="I153" s="40">
        <f t="shared" si="18"/>
        <v>0.20009785134856006</v>
      </c>
      <c r="J153" s="40">
        <f t="shared" si="19"/>
        <v>0.20014351531122143</v>
      </c>
      <c r="K153" s="41">
        <f t="shared" si="16"/>
        <v>0.79999994275878472</v>
      </c>
      <c r="L153" s="23">
        <f t="shared" si="20"/>
        <v>1.4191780821917808</v>
      </c>
      <c r="M153" s="28">
        <f t="shared" si="21"/>
        <v>31</v>
      </c>
      <c r="N153" s="29" t="s">
        <v>9</v>
      </c>
      <c r="O153" s="30">
        <v>1</v>
      </c>
      <c r="P153" s="31">
        <v>0</v>
      </c>
      <c r="Q153" s="1">
        <v>1</v>
      </c>
      <c r="R153" s="46">
        <v>0.74426266351724024</v>
      </c>
      <c r="S153" s="46">
        <v>-6.7240000000000002</v>
      </c>
      <c r="T153" s="46">
        <v>7.4682626635172404</v>
      </c>
      <c r="U153" s="46">
        <v>-0.16476408956472238</v>
      </c>
      <c r="V153" s="46">
        <v>0.20332418270381589</v>
      </c>
      <c r="W153" s="46">
        <v>0.70540643386014834</v>
      </c>
      <c r="X153" s="46">
        <v>9.1551310873287104</v>
      </c>
      <c r="Y153" s="46">
        <v>-0.16476408956472238</v>
      </c>
      <c r="Z153" s="46">
        <v>0.20332418270381589</v>
      </c>
    </row>
    <row r="154" spans="1:26" x14ac:dyDescent="0.35">
      <c r="A154" s="44">
        <v>44341</v>
      </c>
      <c r="B154" s="20">
        <f t="shared" si="17"/>
        <v>44330</v>
      </c>
      <c r="C154" s="35">
        <v>48.75</v>
      </c>
      <c r="D154" s="36"/>
      <c r="E154" s="36"/>
      <c r="F154" s="36">
        <v>18.376000000000001</v>
      </c>
      <c r="G154" s="36">
        <v>25.3</v>
      </c>
      <c r="H154" s="42">
        <v>0</v>
      </c>
      <c r="I154" s="40">
        <f t="shared" si="18"/>
        <v>0.20009295878113206</v>
      </c>
      <c r="J154" s="40">
        <f t="shared" si="19"/>
        <v>0.20013633954566035</v>
      </c>
      <c r="K154" s="41">
        <f t="shared" si="16"/>
        <v>0.79999994848290623</v>
      </c>
      <c r="L154" s="23">
        <f t="shared" si="20"/>
        <v>1.4219178082191781</v>
      </c>
      <c r="M154" s="28">
        <f t="shared" si="21"/>
        <v>31</v>
      </c>
      <c r="N154" s="29" t="s">
        <v>9</v>
      </c>
      <c r="O154" s="30">
        <v>1</v>
      </c>
      <c r="P154" s="31">
        <v>0</v>
      </c>
      <c r="Q154" s="1">
        <v>1</v>
      </c>
      <c r="R154" s="46">
        <v>0.74609818621667223</v>
      </c>
      <c r="S154" s="46">
        <v>-6.7240000000000002</v>
      </c>
      <c r="T154" s="46">
        <v>7.4700981862166724</v>
      </c>
      <c r="U154" s="46">
        <v>-0.16495440401803105</v>
      </c>
      <c r="V154" s="46">
        <v>0.20357945544167078</v>
      </c>
      <c r="W154" s="46">
        <v>0.70683191673375445</v>
      </c>
      <c r="X154" s="46">
        <v>9.1706285657595306</v>
      </c>
      <c r="Y154" s="46">
        <v>-0.16495440401803105</v>
      </c>
      <c r="Z154" s="46">
        <v>0.20357945544167078</v>
      </c>
    </row>
    <row r="155" spans="1:26" x14ac:dyDescent="0.35">
      <c r="A155" s="44">
        <v>44342</v>
      </c>
      <c r="B155" s="20">
        <f t="shared" si="17"/>
        <v>44333</v>
      </c>
      <c r="C155" s="35">
        <v>48.75</v>
      </c>
      <c r="D155" s="36"/>
      <c r="E155" s="36"/>
      <c r="F155" s="36">
        <v>18.376000000000001</v>
      </c>
      <c r="G155" s="36">
        <v>25.3</v>
      </c>
      <c r="H155" s="42">
        <v>0</v>
      </c>
      <c r="I155" s="40">
        <f t="shared" si="18"/>
        <v>0.20008831084207546</v>
      </c>
      <c r="J155" s="40">
        <f t="shared" si="19"/>
        <v>0.20012952256837732</v>
      </c>
      <c r="K155" s="41">
        <f t="shared" si="16"/>
        <v>0.79999995363461562</v>
      </c>
      <c r="L155" s="23">
        <f t="shared" si="20"/>
        <v>1.4301369863013698</v>
      </c>
      <c r="M155" s="28">
        <f t="shared" si="21"/>
        <v>31</v>
      </c>
      <c r="N155" s="29" t="s">
        <v>9</v>
      </c>
      <c r="O155" s="30">
        <v>1</v>
      </c>
      <c r="P155" s="31">
        <v>0</v>
      </c>
      <c r="Q155" s="1">
        <v>1</v>
      </c>
      <c r="R155" s="46">
        <v>0.75174397290851758</v>
      </c>
      <c r="S155" s="46">
        <v>-6.7240000000000002</v>
      </c>
      <c r="T155" s="46">
        <v>7.4757439729085178</v>
      </c>
      <c r="U155" s="46">
        <v>-0.16553772099746675</v>
      </c>
      <c r="V155" s="46">
        <v>0.20436189573555835</v>
      </c>
      <c r="W155" s="46">
        <v>0.71070329669353538</v>
      </c>
      <c r="X155" s="46">
        <v>9.2179902520240535</v>
      </c>
      <c r="Y155" s="46">
        <v>-0.16553772099746675</v>
      </c>
      <c r="Z155" s="46">
        <v>0.20436189573555835</v>
      </c>
    </row>
    <row r="156" spans="1:26" x14ac:dyDescent="0.35">
      <c r="A156" s="44">
        <v>44343</v>
      </c>
      <c r="B156" s="20">
        <f t="shared" si="17"/>
        <v>44334</v>
      </c>
      <c r="C156" s="35">
        <v>48.75</v>
      </c>
      <c r="D156" s="36"/>
      <c r="E156" s="36"/>
      <c r="F156" s="36">
        <v>18.376000000000001</v>
      </c>
      <c r="G156" s="36">
        <v>25.3</v>
      </c>
      <c r="H156" s="42">
        <v>0</v>
      </c>
      <c r="I156" s="40">
        <f t="shared" si="18"/>
        <v>0.20008389529997167</v>
      </c>
      <c r="J156" s="40">
        <f t="shared" si="19"/>
        <v>0.20012304643995846</v>
      </c>
      <c r="K156" s="41">
        <f t="shared" si="16"/>
        <v>0.79999995827115411</v>
      </c>
      <c r="L156" s="23">
        <f t="shared" si="20"/>
        <v>1.4328767123287671</v>
      </c>
      <c r="M156" s="28">
        <f t="shared" si="21"/>
        <v>31</v>
      </c>
      <c r="N156" s="29" t="s">
        <v>9</v>
      </c>
      <c r="O156" s="30">
        <v>1</v>
      </c>
      <c r="P156" s="31">
        <v>0</v>
      </c>
      <c r="Q156" s="1">
        <v>1</v>
      </c>
      <c r="R156" s="46">
        <v>0.75358415943731316</v>
      </c>
      <c r="S156" s="46">
        <v>-6.7240000000000002</v>
      </c>
      <c r="T156" s="46">
        <v>7.4775841594373134</v>
      </c>
      <c r="U156" s="46">
        <v>-0.16572696974693277</v>
      </c>
      <c r="V156" s="46">
        <v>0.20461603598562669</v>
      </c>
      <c r="W156" s="46">
        <v>0.71210670721537561</v>
      </c>
      <c r="X156" s="46">
        <v>9.2334648948048965</v>
      </c>
      <c r="Y156" s="46">
        <v>-0.16572696974693277</v>
      </c>
      <c r="Z156" s="46">
        <v>0.20461603598562669</v>
      </c>
    </row>
    <row r="157" spans="1:26" x14ac:dyDescent="0.35">
      <c r="A157" s="44">
        <v>44344</v>
      </c>
      <c r="B157" s="20">
        <f t="shared" si="17"/>
        <v>44335</v>
      </c>
      <c r="C157" s="35">
        <v>48.75</v>
      </c>
      <c r="D157" s="36"/>
      <c r="E157" s="36"/>
      <c r="F157" s="36">
        <v>18.376000000000001</v>
      </c>
      <c r="G157" s="36">
        <v>25.3</v>
      </c>
      <c r="H157" s="42">
        <v>0</v>
      </c>
      <c r="I157" s="40">
        <f t="shared" si="18"/>
        <v>0.20007970053497309</v>
      </c>
      <c r="J157" s="40">
        <f t="shared" si="19"/>
        <v>0.20011689411796055</v>
      </c>
      <c r="K157" s="41">
        <f t="shared" si="16"/>
        <v>0.7999999624440387</v>
      </c>
      <c r="L157" s="23">
        <f t="shared" si="20"/>
        <v>1.4356164383561645</v>
      </c>
      <c r="M157" s="28">
        <f t="shared" si="21"/>
        <v>31</v>
      </c>
      <c r="N157" s="29" t="s">
        <v>9</v>
      </c>
      <c r="O157" s="30">
        <v>1</v>
      </c>
      <c r="P157" s="31">
        <v>0</v>
      </c>
      <c r="Q157" s="1">
        <v>1</v>
      </c>
      <c r="R157" s="46">
        <v>0.75542692341596407</v>
      </c>
      <c r="S157" s="46">
        <v>-6.7240000000000002</v>
      </c>
      <c r="T157" s="46">
        <v>7.4794269234159643</v>
      </c>
      <c r="U157" s="46">
        <v>-0.1659161087231337</v>
      </c>
      <c r="V157" s="46">
        <v>0.20487009721557972</v>
      </c>
      <c r="W157" s="46">
        <v>0.71350063528197549</v>
      </c>
      <c r="X157" s="46">
        <v>9.248943709397718</v>
      </c>
      <c r="Y157" s="46">
        <v>-0.1659161087231337</v>
      </c>
      <c r="Z157" s="46">
        <v>0.20487009721557972</v>
      </c>
    </row>
    <row r="158" spans="1:26" x14ac:dyDescent="0.35">
      <c r="A158" s="44">
        <v>44345</v>
      </c>
      <c r="B158" s="20">
        <f t="shared" si="17"/>
        <v>44336</v>
      </c>
      <c r="C158" s="35">
        <v>48.75</v>
      </c>
      <c r="D158" s="36"/>
      <c r="E158" s="36"/>
      <c r="F158" s="36">
        <v>18.376000000000001</v>
      </c>
      <c r="G158" s="36">
        <v>25.3</v>
      </c>
      <c r="H158" s="42">
        <v>0</v>
      </c>
      <c r="I158" s="40">
        <f t="shared" si="18"/>
        <v>0.20007571550822445</v>
      </c>
      <c r="J158" s="40">
        <f t="shared" si="19"/>
        <v>0.20011104941206251</v>
      </c>
      <c r="K158" s="41">
        <f t="shared" si="16"/>
        <v>0.79999996619963487</v>
      </c>
      <c r="L158" s="23">
        <f t="shared" si="20"/>
        <v>1.4383561643835616</v>
      </c>
      <c r="M158" s="28">
        <f t="shared" si="21"/>
        <v>31</v>
      </c>
      <c r="N158" s="29" t="s">
        <v>9</v>
      </c>
      <c r="O158" s="30">
        <v>1</v>
      </c>
      <c r="P158" s="31">
        <v>0</v>
      </c>
      <c r="Q158" s="1">
        <v>1</v>
      </c>
      <c r="R158" s="46">
        <v>0.75727212098689911</v>
      </c>
      <c r="S158" s="46">
        <v>-6.7240000000000002</v>
      </c>
      <c r="T158" s="46">
        <v>7.4812721209868993</v>
      </c>
      <c r="U158" s="46">
        <v>-0.16610512260170879</v>
      </c>
      <c r="V158" s="46">
        <v>0.20512405934580941</v>
      </c>
      <c r="W158" s="46">
        <v>0.71488547600412045</v>
      </c>
      <c r="X158" s="46">
        <v>9.264425707827467</v>
      </c>
      <c r="Y158" s="46">
        <v>-0.16610512260170879</v>
      </c>
      <c r="Z158" s="46">
        <v>0.20512405934580941</v>
      </c>
    </row>
    <row r="159" spans="1:26" x14ac:dyDescent="0.35">
      <c r="A159" s="44">
        <v>44346</v>
      </c>
      <c r="B159" s="20">
        <f t="shared" si="17"/>
        <v>44336</v>
      </c>
      <c r="C159" s="35">
        <v>48.75</v>
      </c>
      <c r="D159" s="36"/>
      <c r="E159" s="36"/>
      <c r="F159" s="36">
        <v>18.376000000000001</v>
      </c>
      <c r="G159" s="36">
        <v>25.3</v>
      </c>
      <c r="H159" s="42">
        <v>0</v>
      </c>
      <c r="I159" s="40">
        <f t="shared" si="18"/>
        <v>0.20007192973281324</v>
      </c>
      <c r="J159" s="40">
        <f t="shared" si="19"/>
        <v>0.20010549694145938</v>
      </c>
      <c r="K159" s="41">
        <f t="shared" si="16"/>
        <v>0.79999996957967134</v>
      </c>
      <c r="L159" s="23">
        <f t="shared" si="20"/>
        <v>1.4383561643835616</v>
      </c>
      <c r="M159" s="28">
        <f t="shared" si="21"/>
        <v>31</v>
      </c>
      <c r="N159" s="29" t="s">
        <v>9</v>
      </c>
      <c r="O159" s="30">
        <v>1</v>
      </c>
      <c r="P159" s="31">
        <v>0</v>
      </c>
      <c r="Q159" s="1">
        <v>1</v>
      </c>
      <c r="R159" s="46">
        <v>0.757217956974225</v>
      </c>
      <c r="S159" s="46">
        <v>-6.7240000000000002</v>
      </c>
      <c r="T159" s="46">
        <v>7.4812179569742252</v>
      </c>
      <c r="U159" s="46">
        <v>-0.1660994484531132</v>
      </c>
      <c r="V159" s="46">
        <v>0.20511661071146375</v>
      </c>
      <c r="W159" s="46">
        <v>0.71503804620300371</v>
      </c>
      <c r="X159" s="46">
        <v>9.2640571921799371</v>
      </c>
      <c r="Y159" s="46">
        <v>-0.1660994484531132</v>
      </c>
      <c r="Z159" s="46">
        <v>0.20511661071146375</v>
      </c>
    </row>
    <row r="160" spans="1:26" x14ac:dyDescent="0.35">
      <c r="A160" s="44">
        <v>44347</v>
      </c>
      <c r="B160" s="20">
        <f t="shared" si="17"/>
        <v>44336</v>
      </c>
      <c r="C160" s="35">
        <v>48.75</v>
      </c>
      <c r="D160" s="36"/>
      <c r="E160" s="36"/>
      <c r="F160" s="36">
        <v>18.376000000000001</v>
      </c>
      <c r="G160" s="36">
        <v>25.3</v>
      </c>
      <c r="H160" s="42">
        <v>0</v>
      </c>
      <c r="I160" s="40">
        <f t="shared" si="18"/>
        <v>0.20006833324617257</v>
      </c>
      <c r="J160" s="40">
        <f t="shared" si="19"/>
        <v>0.20010022209438641</v>
      </c>
      <c r="K160" s="41">
        <f t="shared" si="16"/>
        <v>0.79999997262170419</v>
      </c>
      <c r="L160" s="23">
        <f t="shared" si="20"/>
        <v>1.4383561643835616</v>
      </c>
      <c r="M160" s="28">
        <f t="shared" si="21"/>
        <v>31</v>
      </c>
      <c r="N160" s="29" t="s">
        <v>9</v>
      </c>
      <c r="O160" s="30">
        <v>1</v>
      </c>
      <c r="P160" s="31">
        <v>0</v>
      </c>
      <c r="Q160" s="1">
        <v>1</v>
      </c>
      <c r="R160" s="46">
        <v>0.75716650330037716</v>
      </c>
      <c r="S160" s="46">
        <v>-6.7240000000000002</v>
      </c>
      <c r="T160" s="46">
        <v>7.4811665033003774</v>
      </c>
      <c r="U160" s="46">
        <v>-0.16609405792811002</v>
      </c>
      <c r="V160" s="46">
        <v>0.20510953445697402</v>
      </c>
      <c r="W160" s="46">
        <v>0.71518299254261075</v>
      </c>
      <c r="X160" s="46">
        <v>9.2637070922866691</v>
      </c>
      <c r="Y160" s="46">
        <v>-0.16609405792811002</v>
      </c>
      <c r="Z160" s="46">
        <v>0.20510953445697402</v>
      </c>
    </row>
    <row r="161" spans="1:26" x14ac:dyDescent="0.35">
      <c r="A161" s="44">
        <v>44348</v>
      </c>
      <c r="B161" s="20">
        <f t="shared" si="17"/>
        <v>44337</v>
      </c>
      <c r="C161" s="35">
        <v>48.75</v>
      </c>
      <c r="D161" s="36"/>
      <c r="E161" s="36"/>
      <c r="F161" s="36">
        <v>18.376000000000001</v>
      </c>
      <c r="G161" s="36">
        <v>25.3</v>
      </c>
      <c r="H161" s="42">
        <v>0</v>
      </c>
      <c r="I161" s="40">
        <f t="shared" si="18"/>
        <v>0.20006491658386394</v>
      </c>
      <c r="J161" s="40">
        <f t="shared" si="19"/>
        <v>0.20009521098966709</v>
      </c>
      <c r="K161" s="41">
        <f t="shared" si="16"/>
        <v>0.79999997535953382</v>
      </c>
      <c r="L161" s="23">
        <f t="shared" si="20"/>
        <v>1.441095890410959</v>
      </c>
      <c r="M161" s="28">
        <f t="shared" si="21"/>
        <v>31</v>
      </c>
      <c r="N161" s="29" t="s">
        <v>9</v>
      </c>
      <c r="O161" s="30">
        <v>1</v>
      </c>
      <c r="P161" s="31">
        <v>0</v>
      </c>
      <c r="Q161" s="1">
        <v>1</v>
      </c>
      <c r="R161" s="46">
        <v>0.75901911071385086</v>
      </c>
      <c r="S161" s="46">
        <v>-6.7240000000000002</v>
      </c>
      <c r="T161" s="46">
        <v>7.4830191107138511</v>
      </c>
      <c r="U161" s="46">
        <v>-0.16628348863447057</v>
      </c>
      <c r="V161" s="46">
        <v>0.2053641053053431</v>
      </c>
      <c r="W161" s="46">
        <v>0.71654479432357021</v>
      </c>
      <c r="X161" s="46">
        <v>9.2792267966638651</v>
      </c>
      <c r="Y161" s="46">
        <v>-0.16628348863447057</v>
      </c>
      <c r="Z161" s="46">
        <v>0.2053641053053431</v>
      </c>
    </row>
    <row r="162" spans="1:26" x14ac:dyDescent="0.35">
      <c r="A162" s="44">
        <v>44349</v>
      </c>
      <c r="B162" s="20">
        <f t="shared" si="17"/>
        <v>44340</v>
      </c>
      <c r="C162" s="35">
        <v>48.75</v>
      </c>
      <c r="D162" s="36"/>
      <c r="E162" s="36"/>
      <c r="F162" s="36">
        <v>18.376000000000001</v>
      </c>
      <c r="G162" s="36">
        <v>25.3</v>
      </c>
      <c r="H162" s="42">
        <v>0</v>
      </c>
      <c r="I162" s="40">
        <f t="shared" si="18"/>
        <v>0.20006167075467074</v>
      </c>
      <c r="J162" s="40">
        <f t="shared" si="19"/>
        <v>0.20009045044018375</v>
      </c>
      <c r="K162" s="41">
        <f t="shared" si="16"/>
        <v>0.79999997782358045</v>
      </c>
      <c r="L162" s="23">
        <f t="shared" si="20"/>
        <v>1.4493150684931506</v>
      </c>
      <c r="M162" s="28">
        <f t="shared" si="21"/>
        <v>31</v>
      </c>
      <c r="N162" s="29" t="s">
        <v>9</v>
      </c>
      <c r="O162" s="30">
        <v>1</v>
      </c>
      <c r="P162" s="31">
        <v>0</v>
      </c>
      <c r="Q162" s="1">
        <v>1</v>
      </c>
      <c r="R162" s="46">
        <v>0.76467460342927751</v>
      </c>
      <c r="S162" s="46">
        <v>-6.7240000000000002</v>
      </c>
      <c r="T162" s="46">
        <v>7.4886746034292777</v>
      </c>
      <c r="U162" s="46">
        <v>-0.16685964909684178</v>
      </c>
      <c r="V162" s="46">
        <v>0.20613855192654212</v>
      </c>
      <c r="W162" s="46">
        <v>0.72034123139661077</v>
      </c>
      <c r="X162" s="46">
        <v>9.3263674930275204</v>
      </c>
      <c r="Y162" s="46">
        <v>-0.16685964909684178</v>
      </c>
      <c r="Z162" s="46">
        <v>0.20613855192654212</v>
      </c>
    </row>
    <row r="163" spans="1:26" x14ac:dyDescent="0.35">
      <c r="A163" s="44">
        <v>44350</v>
      </c>
      <c r="B163" s="20">
        <f t="shared" si="17"/>
        <v>44341</v>
      </c>
      <c r="C163" s="35">
        <v>48.75</v>
      </c>
      <c r="D163" s="36"/>
      <c r="E163" s="36"/>
      <c r="F163" s="36">
        <v>18.376000000000001</v>
      </c>
      <c r="G163" s="36">
        <v>25.3</v>
      </c>
      <c r="H163" s="42">
        <v>0</v>
      </c>
      <c r="I163" s="40">
        <f t="shared" si="18"/>
        <v>0.2000585872169372</v>
      </c>
      <c r="J163" s="40">
        <f t="shared" si="19"/>
        <v>0.20008592791817456</v>
      </c>
      <c r="K163" s="41">
        <f t="shared" si="16"/>
        <v>0.79999998004122241</v>
      </c>
      <c r="L163" s="23">
        <f t="shared" si="20"/>
        <v>1.452054794520548</v>
      </c>
      <c r="M163" s="28">
        <f t="shared" si="21"/>
        <v>31</v>
      </c>
      <c r="N163" s="29" t="s">
        <v>9</v>
      </c>
      <c r="O163" s="30">
        <v>1</v>
      </c>
      <c r="P163" s="31">
        <v>0</v>
      </c>
      <c r="Q163" s="1">
        <v>1</v>
      </c>
      <c r="R163" s="46">
        <v>0.76653004007117076</v>
      </c>
      <c r="S163" s="46">
        <v>-6.7240000000000002</v>
      </c>
      <c r="T163" s="46">
        <v>7.490530040071171</v>
      </c>
      <c r="U163" s="46">
        <v>-0.16704783550341337</v>
      </c>
      <c r="V163" s="46">
        <v>0.20639175329206474</v>
      </c>
      <c r="W163" s="46">
        <v>0.72168593761651945</v>
      </c>
      <c r="X163" s="46">
        <v>9.3418522706565508</v>
      </c>
      <c r="Y163" s="46">
        <v>-0.16704783550341337</v>
      </c>
      <c r="Z163" s="46">
        <v>0.20639175329206474</v>
      </c>
    </row>
    <row r="164" spans="1:26" x14ac:dyDescent="0.35">
      <c r="A164" s="44">
        <v>44351</v>
      </c>
      <c r="B164" s="20">
        <f t="shared" si="17"/>
        <v>44342</v>
      </c>
      <c r="C164" s="35">
        <v>48.75</v>
      </c>
      <c r="D164" s="36"/>
      <c r="E164" s="36"/>
      <c r="F164" s="36">
        <v>18.376000000000001</v>
      </c>
      <c r="G164" s="36">
        <v>25.3</v>
      </c>
      <c r="H164" s="42">
        <v>0</v>
      </c>
      <c r="I164" s="40">
        <f t="shared" si="18"/>
        <v>0.20005565785609034</v>
      </c>
      <c r="J164" s="40">
        <f t="shared" si="19"/>
        <v>0.20008163152226582</v>
      </c>
      <c r="K164" s="41">
        <f t="shared" si="16"/>
        <v>0.79999998203710021</v>
      </c>
      <c r="L164" s="23">
        <f t="shared" si="20"/>
        <v>1.4547945205479451</v>
      </c>
      <c r="M164" s="28">
        <f t="shared" si="21"/>
        <v>31</v>
      </c>
      <c r="N164" s="29" t="s">
        <v>9</v>
      </c>
      <c r="O164" s="30">
        <v>1</v>
      </c>
      <c r="P164" s="31">
        <v>0</v>
      </c>
      <c r="Q164" s="1">
        <v>1</v>
      </c>
      <c r="R164" s="46">
        <v>0.76838718025651254</v>
      </c>
      <c r="S164" s="46">
        <v>-6.7240000000000002</v>
      </c>
      <c r="T164" s="46">
        <v>7.4923871802565127</v>
      </c>
      <c r="U164" s="46">
        <v>-0.16723582104905652</v>
      </c>
      <c r="V164" s="46">
        <v>0.20664475593708886</v>
      </c>
      <c r="W164" s="46">
        <v>0.72302356398897949</v>
      </c>
      <c r="X164" s="46">
        <v>9.3573352800221183</v>
      </c>
      <c r="Y164" s="46">
        <v>-0.16723582104905652</v>
      </c>
      <c r="Z164" s="46">
        <v>0.20664475593708886</v>
      </c>
    </row>
    <row r="165" spans="1:26" x14ac:dyDescent="0.35">
      <c r="A165" s="44">
        <v>44352</v>
      </c>
      <c r="B165" s="20">
        <f t="shared" si="17"/>
        <v>44343</v>
      </c>
      <c r="C165" s="35">
        <v>48.75</v>
      </c>
      <c r="D165" s="36"/>
      <c r="E165" s="36"/>
      <c r="F165" s="36">
        <v>18.376000000000001</v>
      </c>
      <c r="G165" s="36">
        <v>25.3</v>
      </c>
      <c r="H165" s="42">
        <v>0</v>
      </c>
      <c r="I165" s="40">
        <f t="shared" si="18"/>
        <v>0.20005287496328583</v>
      </c>
      <c r="J165" s="40">
        <f t="shared" si="19"/>
        <v>0.20007754994615254</v>
      </c>
      <c r="K165" s="41">
        <f t="shared" si="16"/>
        <v>0.79999998383339022</v>
      </c>
      <c r="L165" s="23">
        <f t="shared" si="20"/>
        <v>1.4575342465753425</v>
      </c>
      <c r="M165" s="28">
        <f t="shared" si="21"/>
        <v>31</v>
      </c>
      <c r="N165" s="29" t="s">
        <v>9</v>
      </c>
      <c r="O165" s="30">
        <v>1</v>
      </c>
      <c r="P165" s="31">
        <v>0</v>
      </c>
      <c r="Q165" s="1">
        <v>1</v>
      </c>
      <c r="R165" s="46">
        <v>0.77024592175748197</v>
      </c>
      <c r="S165" s="46">
        <v>-6.7240000000000002</v>
      </c>
      <c r="T165" s="46">
        <v>7.4942459217574822</v>
      </c>
      <c r="U165" s="46">
        <v>-0.16742359545573657</v>
      </c>
      <c r="V165" s="46">
        <v>0.20689754628814211</v>
      </c>
      <c r="W165" s="46">
        <v>0.72435439192159379</v>
      </c>
      <c r="X165" s="46">
        <v>9.3728158379731639</v>
      </c>
      <c r="Y165" s="46">
        <v>-0.16742359545573657</v>
      </c>
      <c r="Z165" s="46">
        <v>0.20689754628814211</v>
      </c>
    </row>
    <row r="166" spans="1:26" x14ac:dyDescent="0.35">
      <c r="A166" s="44">
        <v>44353</v>
      </c>
      <c r="B166" s="20">
        <f t="shared" si="17"/>
        <v>44343</v>
      </c>
      <c r="C166" s="35">
        <v>48.75</v>
      </c>
      <c r="D166" s="36"/>
      <c r="E166" s="36"/>
      <c r="F166" s="36">
        <v>18.376000000000001</v>
      </c>
      <c r="G166" s="36">
        <v>25.3</v>
      </c>
      <c r="H166" s="42">
        <v>0</v>
      </c>
      <c r="I166" s="40">
        <f t="shared" si="18"/>
        <v>0.20005023121512155</v>
      </c>
      <c r="J166" s="40">
        <f t="shared" si="19"/>
        <v>0.20007367244884491</v>
      </c>
      <c r="K166" s="41">
        <f t="shared" si="16"/>
        <v>0.79999998545005124</v>
      </c>
      <c r="L166" s="23">
        <f t="shared" si="20"/>
        <v>1.4575342465753425</v>
      </c>
      <c r="M166" s="28">
        <f t="shared" si="21"/>
        <v>31</v>
      </c>
      <c r="N166" s="29" t="s">
        <v>9</v>
      </c>
      <c r="O166" s="30">
        <v>1</v>
      </c>
      <c r="P166" s="31">
        <v>0</v>
      </c>
      <c r="Q166" s="1">
        <v>1</v>
      </c>
      <c r="R166" s="46">
        <v>0.77020765482042819</v>
      </c>
      <c r="S166" s="46">
        <v>-6.7240000000000002</v>
      </c>
      <c r="T166" s="46">
        <v>7.4942076548204284</v>
      </c>
      <c r="U166" s="46">
        <v>-0.16741964149695657</v>
      </c>
      <c r="V166" s="46">
        <v>0.2068923462852541</v>
      </c>
      <c r="W166" s="46">
        <v>0.72446237647288769</v>
      </c>
      <c r="X166" s="46">
        <v>9.3725572594287954</v>
      </c>
      <c r="Y166" s="46">
        <v>-0.16741964149695657</v>
      </c>
      <c r="Z166" s="46">
        <v>0.2068923462852541</v>
      </c>
    </row>
    <row r="167" spans="1:26" x14ac:dyDescent="0.35">
      <c r="A167" s="44">
        <v>44354</v>
      </c>
      <c r="B167" s="20">
        <f t="shared" si="17"/>
        <v>44343</v>
      </c>
      <c r="C167" s="35">
        <v>48.75</v>
      </c>
      <c r="D167" s="36"/>
      <c r="E167" s="36"/>
      <c r="F167" s="36">
        <v>18.376000000000001</v>
      </c>
      <c r="G167" s="36">
        <v>25.3</v>
      </c>
      <c r="H167" s="42">
        <v>0</v>
      </c>
      <c r="I167" s="40">
        <f t="shared" si="18"/>
        <v>0.20004771965436546</v>
      </c>
      <c r="J167" s="40">
        <f t="shared" si="19"/>
        <v>0.20006998882640267</v>
      </c>
      <c r="K167" s="41">
        <f t="shared" si="16"/>
        <v>0.79999998690504615</v>
      </c>
      <c r="L167" s="23">
        <f t="shared" si="20"/>
        <v>1.4575342465753425</v>
      </c>
      <c r="M167" s="28">
        <f t="shared" si="21"/>
        <v>31</v>
      </c>
      <c r="N167" s="29" t="s">
        <v>9</v>
      </c>
      <c r="O167" s="30">
        <v>1</v>
      </c>
      <c r="P167" s="31">
        <v>0</v>
      </c>
      <c r="Q167" s="1">
        <v>1</v>
      </c>
      <c r="R167" s="46">
        <v>0.77017130227084074</v>
      </c>
      <c r="S167" s="46">
        <v>-6.7240000000000002</v>
      </c>
      <c r="T167" s="46">
        <v>7.4941713022708409</v>
      </c>
      <c r="U167" s="46">
        <v>-0.16741588519369255</v>
      </c>
      <c r="V167" s="46">
        <v>0.20688740625544164</v>
      </c>
      <c r="W167" s="46">
        <v>0.72456496409888016</v>
      </c>
      <c r="X167" s="46">
        <v>9.3723116048089494</v>
      </c>
      <c r="Y167" s="46">
        <v>-0.16741588519369255</v>
      </c>
      <c r="Z167" s="46">
        <v>0.20688740625544164</v>
      </c>
    </row>
    <row r="168" spans="1:26" x14ac:dyDescent="0.35">
      <c r="A168" s="44">
        <v>44355</v>
      </c>
      <c r="B168" s="20">
        <f t="shared" si="17"/>
        <v>44344</v>
      </c>
      <c r="C168" s="35">
        <v>48.75</v>
      </c>
      <c r="D168" s="36"/>
      <c r="E168" s="36"/>
      <c r="F168" s="36">
        <v>18.376000000000001</v>
      </c>
      <c r="G168" s="36">
        <v>25.3</v>
      </c>
      <c r="H168" s="42">
        <v>0</v>
      </c>
      <c r="I168" s="40">
        <f t="shared" si="18"/>
        <v>0.2000453336716472</v>
      </c>
      <c r="J168" s="40">
        <f t="shared" si="19"/>
        <v>0.20006648938508254</v>
      </c>
      <c r="K168" s="41">
        <f t="shared" si="16"/>
        <v>0.79999998821454155</v>
      </c>
      <c r="L168" s="23">
        <f t="shared" si="20"/>
        <v>1.4602739726027398</v>
      </c>
      <c r="M168" s="28">
        <f t="shared" si="21"/>
        <v>31</v>
      </c>
      <c r="N168" s="29" t="s">
        <v>9</v>
      </c>
      <c r="O168" s="30">
        <v>1</v>
      </c>
      <c r="P168" s="31">
        <v>0</v>
      </c>
      <c r="Q168" s="1">
        <v>1</v>
      </c>
      <c r="R168" s="46">
        <v>0.77203516164590802</v>
      </c>
      <c r="S168" s="46">
        <v>-6.7240000000000002</v>
      </c>
      <c r="T168" s="46">
        <v>7.4960351616459082</v>
      </c>
      <c r="U168" s="46">
        <v>-0.16760382657780956</v>
      </c>
      <c r="V168" s="46">
        <v>0.20714047898253832</v>
      </c>
      <c r="W168" s="46">
        <v>0.72587911145137018</v>
      </c>
      <c r="X168" s="46">
        <v>9.3878139545339145</v>
      </c>
      <c r="Y168" s="46">
        <v>-0.16760382657780956</v>
      </c>
      <c r="Z168" s="46">
        <v>0.20714047898253832</v>
      </c>
    </row>
    <row r="169" spans="1:26" x14ac:dyDescent="0.35">
      <c r="A169" s="44">
        <v>44356</v>
      </c>
      <c r="B169" s="20">
        <f t="shared" si="17"/>
        <v>44347</v>
      </c>
      <c r="C169" s="35">
        <v>48.75</v>
      </c>
      <c r="D169" s="36"/>
      <c r="E169" s="36"/>
      <c r="F169" s="36">
        <v>18.376000000000001</v>
      </c>
      <c r="G169" s="36">
        <v>25.3</v>
      </c>
      <c r="H169" s="42">
        <v>0</v>
      </c>
      <c r="I169" s="40">
        <f t="shared" si="18"/>
        <v>0.20004306698806484</v>
      </c>
      <c r="J169" s="40">
        <f t="shared" si="19"/>
        <v>0.2000631649158284</v>
      </c>
      <c r="K169" s="41">
        <f t="shared" si="16"/>
        <v>0.79999998939308736</v>
      </c>
      <c r="L169" s="23">
        <f t="shared" si="20"/>
        <v>1.4684931506849315</v>
      </c>
      <c r="M169" s="28">
        <f t="shared" si="21"/>
        <v>31</v>
      </c>
      <c r="N169" s="29" t="s">
        <v>9</v>
      </c>
      <c r="O169" s="30">
        <v>1</v>
      </c>
      <c r="P169" s="31">
        <v>0</v>
      </c>
      <c r="Q169" s="1">
        <v>1</v>
      </c>
      <c r="R169" s="46">
        <v>0.77769502155561021</v>
      </c>
      <c r="S169" s="46">
        <v>-6.7240000000000002</v>
      </c>
      <c r="T169" s="46">
        <v>7.5016950215556104</v>
      </c>
      <c r="U169" s="46">
        <v>-0.16817239591748628</v>
      </c>
      <c r="V169" s="46">
        <v>0.20790633882851986</v>
      </c>
      <c r="W169" s="46">
        <v>0.7296148946615566</v>
      </c>
      <c r="X169" s="46">
        <v>9.4347010958049999</v>
      </c>
      <c r="Y169" s="46">
        <v>-0.16817239591748628</v>
      </c>
      <c r="Z169" s="46">
        <v>0.20790633882851986</v>
      </c>
    </row>
    <row r="170" spans="1:26" x14ac:dyDescent="0.35">
      <c r="A170" s="44">
        <v>44357</v>
      </c>
      <c r="B170" s="20">
        <f t="shared" si="17"/>
        <v>44348</v>
      </c>
      <c r="C170" s="35">
        <v>48.75</v>
      </c>
      <c r="D170" s="36"/>
      <c r="E170" s="36"/>
      <c r="F170" s="36">
        <v>18.376000000000001</v>
      </c>
      <c r="G170" s="36">
        <v>25.3</v>
      </c>
      <c r="H170" s="42">
        <v>0</v>
      </c>
      <c r="I170" s="40">
        <f t="shared" si="18"/>
        <v>0.20004091363866161</v>
      </c>
      <c r="J170" s="40">
        <f t="shared" si="19"/>
        <v>0.20006000667003698</v>
      </c>
      <c r="K170" s="41">
        <f t="shared" si="16"/>
        <v>0.79999999045377868</v>
      </c>
      <c r="L170" s="23">
        <f t="shared" si="20"/>
        <v>1.4712328767123288</v>
      </c>
      <c r="M170" s="28">
        <f t="shared" si="21"/>
        <v>30</v>
      </c>
      <c r="N170" s="29" t="s">
        <v>9</v>
      </c>
      <c r="O170" s="30">
        <v>1</v>
      </c>
      <c r="P170" s="31">
        <v>0</v>
      </c>
      <c r="Q170" s="1">
        <v>1</v>
      </c>
      <c r="R170" s="46">
        <v>0.77956039829457779</v>
      </c>
      <c r="S170" s="46">
        <v>-6.7240000000000002</v>
      </c>
      <c r="T170" s="46">
        <v>7.503560398294578</v>
      </c>
      <c r="U170" s="46">
        <v>-0.16835897985140841</v>
      </c>
      <c r="V170" s="46">
        <v>0.2081578891486548</v>
      </c>
      <c r="W170" s="46">
        <v>0.73091550719902021</v>
      </c>
      <c r="X170" s="46">
        <v>9.4501603294408749</v>
      </c>
      <c r="Y170" s="46">
        <v>-0.16835897985140841</v>
      </c>
      <c r="Z170" s="46">
        <v>0.2081578891486548</v>
      </c>
    </row>
    <row r="171" spans="1:26" x14ac:dyDescent="0.35">
      <c r="A171" s="44">
        <v>44358</v>
      </c>
      <c r="B171" s="20">
        <f t="shared" si="17"/>
        <v>44349</v>
      </c>
      <c r="C171" s="35">
        <v>48.75</v>
      </c>
      <c r="D171" s="36"/>
      <c r="E171" s="36"/>
      <c r="F171" s="36">
        <v>18.376000000000001</v>
      </c>
      <c r="G171" s="36">
        <v>25.3</v>
      </c>
      <c r="H171" s="42">
        <v>0</v>
      </c>
      <c r="I171" s="40">
        <f t="shared" si="18"/>
        <v>0.20003886795672854</v>
      </c>
      <c r="J171" s="40">
        <f t="shared" si="19"/>
        <v>0.20005700633653514</v>
      </c>
      <c r="K171" s="41">
        <f t="shared" si="16"/>
        <v>0.79999999140840083</v>
      </c>
      <c r="L171" s="23">
        <f t="shared" si="20"/>
        <v>1.473972602739726</v>
      </c>
      <c r="M171" s="28">
        <f t="shared" si="21"/>
        <v>30</v>
      </c>
      <c r="N171" s="29" t="s">
        <v>9</v>
      </c>
      <c r="O171" s="30">
        <v>1</v>
      </c>
      <c r="P171" s="31">
        <v>0</v>
      </c>
      <c r="Q171" s="1">
        <v>1</v>
      </c>
      <c r="R171" s="46">
        <v>0.78142685720054672</v>
      </c>
      <c r="S171" s="46">
        <v>-6.7240000000000002</v>
      </c>
      <c r="T171" s="46">
        <v>7.5054268572005469</v>
      </c>
      <c r="U171" s="46">
        <v>-0.16854530223257991</v>
      </c>
      <c r="V171" s="46">
        <v>0.20840916026930045</v>
      </c>
      <c r="W171" s="46">
        <v>0.73221075136406533</v>
      </c>
      <c r="X171" s="46">
        <v>9.4656136982398884</v>
      </c>
      <c r="Y171" s="46">
        <v>-0.16854530223257991</v>
      </c>
      <c r="Z171" s="46">
        <v>0.20840916026930045</v>
      </c>
    </row>
    <row r="172" spans="1:26" x14ac:dyDescent="0.35">
      <c r="A172" s="44">
        <v>44359</v>
      </c>
      <c r="B172" s="20">
        <f t="shared" si="17"/>
        <v>44350</v>
      </c>
      <c r="C172" s="35">
        <v>48.75</v>
      </c>
      <c r="D172" s="36"/>
      <c r="E172" s="36"/>
      <c r="F172" s="36">
        <v>18.376000000000001</v>
      </c>
      <c r="G172" s="36">
        <v>25.3</v>
      </c>
      <c r="H172" s="42">
        <v>0</v>
      </c>
      <c r="I172" s="40">
        <f t="shared" si="18"/>
        <v>0.2000369245588921</v>
      </c>
      <c r="J172" s="40">
        <f t="shared" si="19"/>
        <v>0.20005415601970838</v>
      </c>
      <c r="K172" s="41">
        <f t="shared" si="16"/>
        <v>0.7999999922675608</v>
      </c>
      <c r="L172" s="23">
        <f t="shared" si="20"/>
        <v>1.4767123287671233</v>
      </c>
      <c r="M172" s="28">
        <f t="shared" si="21"/>
        <v>30</v>
      </c>
      <c r="N172" s="29" t="s">
        <v>9</v>
      </c>
      <c r="O172" s="30">
        <v>1</v>
      </c>
      <c r="P172" s="31">
        <v>0</v>
      </c>
      <c r="Q172" s="1">
        <v>1</v>
      </c>
      <c r="R172" s="46">
        <v>0.78329432551926992</v>
      </c>
      <c r="S172" s="46">
        <v>-6.7240000000000002</v>
      </c>
      <c r="T172" s="46">
        <v>7.5072943255192701</v>
      </c>
      <c r="U172" s="46">
        <v>-0.16873135629161465</v>
      </c>
      <c r="V172" s="46">
        <v>0.20866014315024892</v>
      </c>
      <c r="W172" s="46">
        <v>0.7335008276833096</v>
      </c>
      <c r="X172" s="46">
        <v>9.4810607331601737</v>
      </c>
      <c r="Y172" s="46">
        <v>-0.16873135629161465</v>
      </c>
      <c r="Z172" s="46">
        <v>0.20866014315024892</v>
      </c>
    </row>
    <row r="173" spans="1:26" x14ac:dyDescent="0.35">
      <c r="A173" s="44">
        <v>44360</v>
      </c>
      <c r="B173" s="20">
        <f t="shared" si="17"/>
        <v>44350</v>
      </c>
      <c r="C173" s="35">
        <v>48.75</v>
      </c>
      <c r="D173" s="36"/>
      <c r="E173" s="36"/>
      <c r="F173" s="36">
        <v>18.376000000000001</v>
      </c>
      <c r="G173" s="36">
        <v>25.3</v>
      </c>
      <c r="H173" s="42">
        <v>0</v>
      </c>
      <c r="I173" s="40">
        <f t="shared" si="18"/>
        <v>0.2000350783309475</v>
      </c>
      <c r="J173" s="40">
        <f t="shared" si="19"/>
        <v>0.20005144821872298</v>
      </c>
      <c r="K173" s="41">
        <f t="shared" si="16"/>
        <v>0.79999999304080471</v>
      </c>
      <c r="L173" s="23">
        <f t="shared" si="20"/>
        <v>1.4767123287671233</v>
      </c>
      <c r="M173" s="28">
        <f t="shared" si="21"/>
        <v>30</v>
      </c>
      <c r="N173" s="29" t="s">
        <v>9</v>
      </c>
      <c r="O173" s="30">
        <v>1</v>
      </c>
      <c r="P173" s="31">
        <v>0</v>
      </c>
      <c r="Q173" s="1">
        <v>1</v>
      </c>
      <c r="R173" s="46">
        <v>0.78326729380115445</v>
      </c>
      <c r="S173" s="46">
        <v>-6.7240000000000002</v>
      </c>
      <c r="T173" s="46">
        <v>7.5072672938011547</v>
      </c>
      <c r="U173" s="46">
        <v>-0.16872860123477229</v>
      </c>
      <c r="V173" s="46">
        <v>0.20865651317684261</v>
      </c>
      <c r="W173" s="46">
        <v>0.73357723173816713</v>
      </c>
      <c r="X173" s="46">
        <v>9.4808793195073235</v>
      </c>
      <c r="Y173" s="46">
        <v>-0.16872860123477229</v>
      </c>
      <c r="Z173" s="46">
        <v>0.20865651317684261</v>
      </c>
    </row>
    <row r="174" spans="1:26" x14ac:dyDescent="0.35">
      <c r="A174" s="44">
        <v>44361</v>
      </c>
      <c r="B174" s="20">
        <f t="shared" si="17"/>
        <v>44350</v>
      </c>
      <c r="C174" s="35">
        <v>48.75</v>
      </c>
      <c r="D174" s="36"/>
      <c r="E174" s="36"/>
      <c r="F174" s="36">
        <v>18.376000000000001</v>
      </c>
      <c r="G174" s="36">
        <v>25.3</v>
      </c>
      <c r="H174" s="42">
        <v>0</v>
      </c>
      <c r="I174" s="40">
        <f t="shared" si="18"/>
        <v>0.20003332441440011</v>
      </c>
      <c r="J174" s="40">
        <f t="shared" si="19"/>
        <v>0.20004887580778682</v>
      </c>
      <c r="K174" s="41">
        <f t="shared" si="16"/>
        <v>0.79999999373672426</v>
      </c>
      <c r="L174" s="23">
        <f t="shared" si="20"/>
        <v>1.4767123287671233</v>
      </c>
      <c r="M174" s="28">
        <f t="shared" si="21"/>
        <v>30</v>
      </c>
      <c r="N174" s="29" t="s">
        <v>9</v>
      </c>
      <c r="O174" s="30">
        <v>1</v>
      </c>
      <c r="P174" s="31">
        <v>0</v>
      </c>
      <c r="Q174" s="1">
        <v>1</v>
      </c>
      <c r="R174" s="46">
        <v>0.78324161417534377</v>
      </c>
      <c r="S174" s="46">
        <v>-6.7240000000000002</v>
      </c>
      <c r="T174" s="46">
        <v>7.507241614175344</v>
      </c>
      <c r="U174" s="46">
        <v>-0.16872598390935981</v>
      </c>
      <c r="V174" s="46">
        <v>0.20865306468804098</v>
      </c>
      <c r="W174" s="46">
        <v>0.73364981672714558</v>
      </c>
      <c r="X174" s="46">
        <v>9.4807069740452903</v>
      </c>
      <c r="Y174" s="46">
        <v>-0.16872598390935981</v>
      </c>
      <c r="Z174" s="46">
        <v>0.20865306468804098</v>
      </c>
    </row>
    <row r="175" spans="1:26" x14ac:dyDescent="0.35">
      <c r="A175" s="44">
        <v>44362</v>
      </c>
      <c r="B175" s="20">
        <f t="shared" si="17"/>
        <v>44351</v>
      </c>
      <c r="C175" s="35">
        <v>48.75</v>
      </c>
      <c r="D175" s="36"/>
      <c r="E175" s="36"/>
      <c r="F175" s="36">
        <v>18.376000000000001</v>
      </c>
      <c r="G175" s="36">
        <v>25.3</v>
      </c>
      <c r="H175" s="42">
        <v>0</v>
      </c>
      <c r="I175" s="40">
        <f t="shared" si="18"/>
        <v>0.2000316581936801</v>
      </c>
      <c r="J175" s="40">
        <f t="shared" si="19"/>
        <v>0.2000464320173975</v>
      </c>
      <c r="K175" s="41">
        <f t="shared" si="16"/>
        <v>0.7999999943630518</v>
      </c>
      <c r="L175" s="23">
        <f t="shared" si="20"/>
        <v>1.4794520547945205</v>
      </c>
      <c r="M175" s="28">
        <f t="shared" si="21"/>
        <v>30</v>
      </c>
      <c r="N175" s="29" t="s">
        <v>9</v>
      </c>
      <c r="O175" s="30">
        <v>1</v>
      </c>
      <c r="P175" s="31">
        <v>0</v>
      </c>
      <c r="Q175" s="1">
        <v>1</v>
      </c>
      <c r="R175" s="46">
        <v>0.78511257660876055</v>
      </c>
      <c r="S175" s="46">
        <v>-6.7240000000000002</v>
      </c>
      <c r="T175" s="46">
        <v>7.5091125766087607</v>
      </c>
      <c r="U175" s="46">
        <v>-0.16891203355321191</v>
      </c>
      <c r="V175" s="46">
        <v>0.20890410513434887</v>
      </c>
      <c r="W175" s="46">
        <v>0.73492772846613608</v>
      </c>
      <c r="X175" s="46">
        <v>9.4961646998296274</v>
      </c>
      <c r="Y175" s="46">
        <v>-0.16891203355321191</v>
      </c>
      <c r="Z175" s="46">
        <v>0.20890410513434887</v>
      </c>
    </row>
    <row r="176" spans="1:26" x14ac:dyDescent="0.35">
      <c r="A176" s="44">
        <v>44363</v>
      </c>
      <c r="B176" s="20">
        <f t="shared" si="17"/>
        <v>44354</v>
      </c>
      <c r="C176" s="35">
        <v>48.75</v>
      </c>
      <c r="D176" s="36"/>
      <c r="E176" s="36"/>
      <c r="F176" s="36">
        <v>18.376000000000001</v>
      </c>
      <c r="G176" s="36">
        <v>25.3</v>
      </c>
      <c r="H176" s="42">
        <v>0</v>
      </c>
      <c r="I176" s="40">
        <f t="shared" si="18"/>
        <v>0.20003007528399611</v>
      </c>
      <c r="J176" s="40">
        <f t="shared" si="19"/>
        <v>0.20004411041652762</v>
      </c>
      <c r="K176" s="41">
        <f t="shared" si="16"/>
        <v>0.79999999492674667</v>
      </c>
      <c r="L176" s="23">
        <f t="shared" si="20"/>
        <v>1.4876712328767123</v>
      </c>
      <c r="M176" s="28">
        <f t="shared" si="21"/>
        <v>30</v>
      </c>
      <c r="N176" s="29" t="s">
        <v>9</v>
      </c>
      <c r="O176" s="30">
        <v>1</v>
      </c>
      <c r="P176" s="31">
        <v>0</v>
      </c>
      <c r="Q176" s="1">
        <v>1</v>
      </c>
      <c r="R176" s="46">
        <v>0.79077295485131316</v>
      </c>
      <c r="S176" s="46">
        <v>-6.7240000000000002</v>
      </c>
      <c r="T176" s="46">
        <v>7.5147729548513134</v>
      </c>
      <c r="U176" s="46">
        <v>-0.16947276766077995</v>
      </c>
      <c r="V176" s="46">
        <v>0.20966102925803454</v>
      </c>
      <c r="W176" s="46">
        <v>0.73861314311783455</v>
      </c>
      <c r="X176" s="46">
        <v>9.5427769980651185</v>
      </c>
      <c r="Y176" s="46">
        <v>-0.16947276766077995</v>
      </c>
      <c r="Z176" s="46">
        <v>0.20966102925803454</v>
      </c>
    </row>
    <row r="177" spans="1:26" x14ac:dyDescent="0.35">
      <c r="A177" s="44">
        <v>44364</v>
      </c>
      <c r="B177" s="20">
        <f t="shared" si="17"/>
        <v>44355</v>
      </c>
      <c r="C177" s="35">
        <v>48.75</v>
      </c>
      <c r="D177" s="36"/>
      <c r="E177" s="36"/>
      <c r="F177" s="36">
        <v>18.376000000000001</v>
      </c>
      <c r="G177" s="36">
        <v>25.3</v>
      </c>
      <c r="H177" s="42">
        <v>0</v>
      </c>
      <c r="I177" s="40">
        <f t="shared" si="18"/>
        <v>0.20002857151979631</v>
      </c>
      <c r="J177" s="40">
        <f t="shared" si="19"/>
        <v>0.20004190489570123</v>
      </c>
      <c r="K177" s="41">
        <f t="shared" si="16"/>
        <v>0.79999999543407196</v>
      </c>
      <c r="L177" s="23">
        <f t="shared" si="20"/>
        <v>1.4904109589041097</v>
      </c>
      <c r="M177" s="28">
        <f t="shared" si="21"/>
        <v>30</v>
      </c>
      <c r="N177" s="29" t="s">
        <v>9</v>
      </c>
      <c r="O177" s="30">
        <v>1</v>
      </c>
      <c r="P177" s="31">
        <v>0</v>
      </c>
      <c r="Q177" s="1">
        <v>1</v>
      </c>
      <c r="R177" s="46">
        <v>0.79264449373076218</v>
      </c>
      <c r="S177" s="46">
        <v>-6.7240000000000002</v>
      </c>
      <c r="T177" s="46">
        <v>7.5166444937307624</v>
      </c>
      <c r="U177" s="46">
        <v>-0.16965739203657654</v>
      </c>
      <c r="V177" s="46">
        <v>0.20991045277008369</v>
      </c>
      <c r="W177" s="46">
        <v>0.73988007221947605</v>
      </c>
      <c r="X177" s="46">
        <v>9.5581861564445347</v>
      </c>
      <c r="Y177" s="46">
        <v>-0.16965739203657654</v>
      </c>
      <c r="Z177" s="46">
        <v>0.20991045277008369</v>
      </c>
    </row>
    <row r="178" spans="1:26" x14ac:dyDescent="0.35">
      <c r="A178" s="44">
        <v>44365</v>
      </c>
      <c r="B178" s="20">
        <f t="shared" si="17"/>
        <v>44356</v>
      </c>
      <c r="C178" s="35">
        <v>48.75</v>
      </c>
      <c r="D178" s="36"/>
      <c r="E178" s="36"/>
      <c r="F178" s="36">
        <v>18.376000000000001</v>
      </c>
      <c r="G178" s="36">
        <v>25.3</v>
      </c>
      <c r="H178" s="42">
        <v>0</v>
      </c>
      <c r="I178" s="40">
        <f t="shared" si="18"/>
        <v>0.2000271429438065</v>
      </c>
      <c r="J178" s="40">
        <f t="shared" si="19"/>
        <v>0.20003980965091617</v>
      </c>
      <c r="K178" s="41">
        <f t="shared" si="16"/>
        <v>0.79999999589066473</v>
      </c>
      <c r="L178" s="23">
        <f t="shared" si="20"/>
        <v>1.4931506849315068</v>
      </c>
      <c r="M178" s="28">
        <f t="shared" si="21"/>
        <v>30</v>
      </c>
      <c r="N178" s="29" t="s">
        <v>9</v>
      </c>
      <c r="O178" s="30">
        <v>1</v>
      </c>
      <c r="P178" s="31">
        <v>0</v>
      </c>
      <c r="Q178" s="1">
        <v>1</v>
      </c>
      <c r="R178" s="46">
        <v>0.79451667224284606</v>
      </c>
      <c r="S178" s="46">
        <v>-6.7240000000000002</v>
      </c>
      <c r="T178" s="46">
        <v>7.5185166722428463</v>
      </c>
      <c r="U178" s="46">
        <v>-0.16984171528903286</v>
      </c>
      <c r="V178" s="46">
        <v>0.21015954391889963</v>
      </c>
      <c r="W178" s="46">
        <v>0.74114285295309623</v>
      </c>
      <c r="X178" s="46">
        <v>9.5735866478991962</v>
      </c>
      <c r="Y178" s="46">
        <v>-0.16984171528903286</v>
      </c>
      <c r="Z178" s="46">
        <v>0.21015954391889963</v>
      </c>
    </row>
    <row r="179" spans="1:26" x14ac:dyDescent="0.35">
      <c r="A179" s="44">
        <v>44366</v>
      </c>
      <c r="B179" s="20">
        <f t="shared" si="17"/>
        <v>44357</v>
      </c>
      <c r="C179" s="35">
        <v>48.75</v>
      </c>
      <c r="D179" s="36"/>
      <c r="E179" s="36"/>
      <c r="F179" s="36">
        <v>18.376000000000001</v>
      </c>
      <c r="G179" s="36">
        <v>25.3</v>
      </c>
      <c r="H179" s="42">
        <v>0</v>
      </c>
      <c r="I179" s="40">
        <f t="shared" si="18"/>
        <v>0.20002578579661617</v>
      </c>
      <c r="J179" s="40">
        <f t="shared" si="19"/>
        <v>0.20003781916837035</v>
      </c>
      <c r="K179" s="41">
        <f t="shared" si="16"/>
        <v>0.79999999630159824</v>
      </c>
      <c r="L179" s="23">
        <f t="shared" si="20"/>
        <v>1.4958904109589042</v>
      </c>
      <c r="M179" s="28">
        <f t="shared" si="21"/>
        <v>30</v>
      </c>
      <c r="N179" s="29" t="s">
        <v>9</v>
      </c>
      <c r="O179" s="30">
        <v>1</v>
      </c>
      <c r="P179" s="31">
        <v>0</v>
      </c>
      <c r="Q179" s="1">
        <v>1</v>
      </c>
      <c r="R179" s="46">
        <v>0.79638943851513666</v>
      </c>
      <c r="S179" s="46">
        <v>-6.7240000000000002</v>
      </c>
      <c r="T179" s="46">
        <v>7.5203894385151369</v>
      </c>
      <c r="U179" s="46">
        <v>-0.17002573308444571</v>
      </c>
      <c r="V179" s="46">
        <v>0.21040829681898762</v>
      </c>
      <c r="W179" s="46">
        <v>0.74240162835808832</v>
      </c>
      <c r="X179" s="46">
        <v>9.5889781536527519</v>
      </c>
      <c r="Y179" s="46">
        <v>-0.17002573308444571</v>
      </c>
      <c r="Z179" s="46">
        <v>0.21040829681898762</v>
      </c>
    </row>
    <row r="180" spans="1:26" x14ac:dyDescent="0.35">
      <c r="A180" s="44">
        <v>44367</v>
      </c>
      <c r="B180" s="20">
        <f t="shared" si="17"/>
        <v>44357</v>
      </c>
      <c r="C180" s="35">
        <v>48.75</v>
      </c>
      <c r="D180" s="36"/>
      <c r="E180" s="36"/>
      <c r="F180" s="36">
        <v>18.376000000000001</v>
      </c>
      <c r="G180" s="36">
        <v>25.3</v>
      </c>
      <c r="H180" s="42">
        <v>0</v>
      </c>
      <c r="I180" s="40">
        <f t="shared" si="18"/>
        <v>0.20002449650678536</v>
      </c>
      <c r="J180" s="40">
        <f t="shared" si="19"/>
        <v>0.20003592820995184</v>
      </c>
      <c r="K180" s="41">
        <f t="shared" si="16"/>
        <v>0.7999999966714384</v>
      </c>
      <c r="L180" s="23">
        <f t="shared" si="20"/>
        <v>1.4958904109589042</v>
      </c>
      <c r="M180" s="28">
        <f t="shared" si="21"/>
        <v>30</v>
      </c>
      <c r="N180" s="29" t="s">
        <v>9</v>
      </c>
      <c r="O180" s="30">
        <v>1</v>
      </c>
      <c r="P180" s="31">
        <v>0</v>
      </c>
      <c r="Q180" s="1">
        <v>1</v>
      </c>
      <c r="R180" s="46">
        <v>0.79637034643500115</v>
      </c>
      <c r="S180" s="46">
        <v>-6.7240000000000002</v>
      </c>
      <c r="T180" s="46">
        <v>7.5203703464350014</v>
      </c>
      <c r="U180" s="46">
        <v>-0.17002381353132423</v>
      </c>
      <c r="V180" s="46">
        <v>0.2104057629824205</v>
      </c>
      <c r="W180" s="46">
        <v>0.7424556720610882</v>
      </c>
      <c r="X180" s="46">
        <v>9.5888508924750795</v>
      </c>
      <c r="Y180" s="46">
        <v>-0.17002381353132423</v>
      </c>
      <c r="Z180" s="46">
        <v>0.2104057629824205</v>
      </c>
    </row>
    <row r="181" spans="1:26" x14ac:dyDescent="0.35">
      <c r="A181" s="44">
        <v>44368</v>
      </c>
      <c r="B181" s="20">
        <f t="shared" si="17"/>
        <v>44357</v>
      </c>
      <c r="C181" s="35">
        <v>48.75</v>
      </c>
      <c r="D181" s="36"/>
      <c r="E181" s="36"/>
      <c r="F181" s="36">
        <v>18.376000000000001</v>
      </c>
      <c r="G181" s="36">
        <v>25.3</v>
      </c>
      <c r="H181" s="42">
        <v>0</v>
      </c>
      <c r="I181" s="40">
        <f t="shared" si="18"/>
        <v>0.2000232716814461</v>
      </c>
      <c r="J181" s="40">
        <f t="shared" si="19"/>
        <v>0.20003413179945426</v>
      </c>
      <c r="K181" s="41">
        <f t="shared" si="16"/>
        <v>0.79999999700429458</v>
      </c>
      <c r="L181" s="23">
        <f t="shared" si="20"/>
        <v>1.4958904109589042</v>
      </c>
      <c r="M181" s="28">
        <f t="shared" si="21"/>
        <v>30</v>
      </c>
      <c r="N181" s="29" t="s">
        <v>9</v>
      </c>
      <c r="O181" s="30">
        <v>1</v>
      </c>
      <c r="P181" s="31">
        <v>0</v>
      </c>
      <c r="Q181" s="1">
        <v>1</v>
      </c>
      <c r="R181" s="46">
        <v>0.79635220920527772</v>
      </c>
      <c r="S181" s="46">
        <v>-6.7240000000000002</v>
      </c>
      <c r="T181" s="46">
        <v>7.5203522092052779</v>
      </c>
      <c r="U181" s="46">
        <v>-0.17002198994508452</v>
      </c>
      <c r="V181" s="46">
        <v>0.21040335583041253</v>
      </c>
      <c r="W181" s="46">
        <v>0.74250701414699305</v>
      </c>
      <c r="X181" s="46">
        <v>9.5887299931101175</v>
      </c>
      <c r="Y181" s="46">
        <v>-0.17002198994508452</v>
      </c>
      <c r="Z181" s="46">
        <v>0.21040335583041253</v>
      </c>
    </row>
    <row r="182" spans="1:26" x14ac:dyDescent="0.35">
      <c r="A182" s="44">
        <v>44369</v>
      </c>
      <c r="B182" s="20">
        <f t="shared" si="17"/>
        <v>44358</v>
      </c>
      <c r="C182" s="35">
        <v>48.75</v>
      </c>
      <c r="D182" s="36"/>
      <c r="E182" s="36"/>
      <c r="F182" s="36">
        <v>18.376000000000001</v>
      </c>
      <c r="G182" s="36">
        <v>25.3</v>
      </c>
      <c r="H182" s="42">
        <v>0</v>
      </c>
      <c r="I182" s="40">
        <f t="shared" si="18"/>
        <v>0.20002210809737378</v>
      </c>
      <c r="J182" s="40">
        <f t="shared" si="19"/>
        <v>0.20003242520948156</v>
      </c>
      <c r="K182" s="41">
        <f t="shared" si="16"/>
        <v>0.79999999730386517</v>
      </c>
      <c r="L182" s="23">
        <f t="shared" si="20"/>
        <v>1.4986301369863013</v>
      </c>
      <c r="M182" s="28">
        <f t="shared" si="21"/>
        <v>30</v>
      </c>
      <c r="N182" s="29" t="s">
        <v>9</v>
      </c>
      <c r="O182" s="30">
        <v>1</v>
      </c>
      <c r="P182" s="31">
        <v>0</v>
      </c>
      <c r="Q182" s="1">
        <v>1</v>
      </c>
      <c r="R182" s="46">
        <v>0.7982273185290385</v>
      </c>
      <c r="S182" s="46">
        <v>-6.7240000000000002</v>
      </c>
      <c r="T182" s="46">
        <v>7.5222273185290387</v>
      </c>
      <c r="U182" s="46">
        <v>-0.17020588656989216</v>
      </c>
      <c r="V182" s="46">
        <v>0.21065201232407124</v>
      </c>
      <c r="W182" s="46">
        <v>0.74375683234853973</v>
      </c>
      <c r="X182" s="46">
        <v>9.6041244699109285</v>
      </c>
      <c r="Y182" s="46">
        <v>-0.17020588656989216</v>
      </c>
      <c r="Z182" s="46">
        <v>0.21065201232407124</v>
      </c>
    </row>
    <row r="183" spans="1:26" x14ac:dyDescent="0.35">
      <c r="A183" s="44">
        <v>44370</v>
      </c>
      <c r="B183" s="20">
        <f t="shared" si="17"/>
        <v>44361</v>
      </c>
      <c r="C183" s="35">
        <v>48.75</v>
      </c>
      <c r="D183" s="36"/>
      <c r="E183" s="36"/>
      <c r="F183" s="36">
        <v>18.376000000000001</v>
      </c>
      <c r="G183" s="36">
        <v>25.3</v>
      </c>
      <c r="H183" s="42">
        <v>0</v>
      </c>
      <c r="I183" s="40">
        <f t="shared" si="18"/>
        <v>0.20002100269250508</v>
      </c>
      <c r="J183" s="40">
        <f t="shared" si="19"/>
        <v>0.20003080394900749</v>
      </c>
      <c r="K183" s="41">
        <f t="shared" si="16"/>
        <v>0.79999999757347862</v>
      </c>
      <c r="L183" s="23">
        <f t="shared" si="20"/>
        <v>1.5068493150684932</v>
      </c>
      <c r="M183" s="28">
        <f t="shared" si="21"/>
        <v>30</v>
      </c>
      <c r="N183" s="29" t="s">
        <v>9</v>
      </c>
      <c r="O183" s="30">
        <v>1</v>
      </c>
      <c r="P183" s="31">
        <v>0</v>
      </c>
      <c r="Q183" s="1">
        <v>1</v>
      </c>
      <c r="R183" s="46">
        <v>0.80388542669762408</v>
      </c>
      <c r="S183" s="46">
        <v>-6.7240000000000002</v>
      </c>
      <c r="T183" s="46">
        <v>7.5278854266976243</v>
      </c>
      <c r="U183" s="46">
        <v>-0.17075867254840571</v>
      </c>
      <c r="V183" s="46">
        <v>0.21139982058518314</v>
      </c>
      <c r="W183" s="46">
        <v>0.74739930868178717</v>
      </c>
      <c r="X183" s="46">
        <v>9.6504485368018837</v>
      </c>
      <c r="Y183" s="46">
        <v>-0.17075867254840571</v>
      </c>
      <c r="Z183" s="46">
        <v>0.21139982058518314</v>
      </c>
    </row>
    <row r="184" spans="1:26" x14ac:dyDescent="0.35">
      <c r="A184" s="44">
        <v>44371</v>
      </c>
      <c r="B184" s="20">
        <f t="shared" si="17"/>
        <v>44362</v>
      </c>
      <c r="C184" s="35">
        <v>48.75</v>
      </c>
      <c r="D184" s="36"/>
      <c r="E184" s="36"/>
      <c r="F184" s="36">
        <v>18.376000000000001</v>
      </c>
      <c r="G184" s="36">
        <v>25.3</v>
      </c>
      <c r="H184" s="42">
        <v>0</v>
      </c>
      <c r="I184" s="40">
        <f t="shared" si="18"/>
        <v>0.20001995255787983</v>
      </c>
      <c r="J184" s="40">
        <f t="shared" si="19"/>
        <v>0.20002926375155711</v>
      </c>
      <c r="K184" s="41">
        <f t="shared" si="16"/>
        <v>0.79999999781613074</v>
      </c>
      <c r="L184" s="23">
        <f t="shared" si="20"/>
        <v>1.5095890410958903</v>
      </c>
      <c r="M184" s="28">
        <f t="shared" si="21"/>
        <v>30</v>
      </c>
      <c r="N184" s="29" t="s">
        <v>9</v>
      </c>
      <c r="O184" s="30">
        <v>1</v>
      </c>
      <c r="P184" s="31">
        <v>0</v>
      </c>
      <c r="Q184" s="1">
        <v>1</v>
      </c>
      <c r="R184" s="46">
        <v>0.80576043506478001</v>
      </c>
      <c r="S184" s="46">
        <v>-6.7240000000000002</v>
      </c>
      <c r="T184" s="46">
        <v>7.5297604350647802</v>
      </c>
      <c r="U184" s="46">
        <v>-0.17094110738893467</v>
      </c>
      <c r="V184" s="46">
        <v>0.21164680607617617</v>
      </c>
      <c r="W184" s="46">
        <v>0.74863997855354969</v>
      </c>
      <c r="X184" s="46">
        <v>9.6657909135222368</v>
      </c>
      <c r="Y184" s="46">
        <v>-0.17094110738893467</v>
      </c>
      <c r="Z184" s="46">
        <v>0.21164680607617617</v>
      </c>
    </row>
    <row r="185" spans="1:26" x14ac:dyDescent="0.35">
      <c r="A185" s="44">
        <v>44372</v>
      </c>
      <c r="B185" s="20">
        <f t="shared" si="17"/>
        <v>44363</v>
      </c>
      <c r="C185" s="35">
        <v>48.75</v>
      </c>
      <c r="D185" s="36"/>
      <c r="E185" s="36"/>
      <c r="F185" s="36">
        <v>18.376000000000001</v>
      </c>
      <c r="G185" s="36">
        <v>25.3</v>
      </c>
      <c r="H185" s="42">
        <v>0</v>
      </c>
      <c r="I185" s="40">
        <f t="shared" si="18"/>
        <v>0.20001895492998584</v>
      </c>
      <c r="J185" s="40">
        <f t="shared" si="19"/>
        <v>0.20002780056397926</v>
      </c>
      <c r="K185" s="41">
        <f t="shared" si="16"/>
        <v>0.79999999803451771</v>
      </c>
      <c r="L185" s="23">
        <f t="shared" si="20"/>
        <v>1.5123287671232877</v>
      </c>
      <c r="M185" s="28">
        <f t="shared" si="21"/>
        <v>30</v>
      </c>
      <c r="N185" s="29" t="s">
        <v>9</v>
      </c>
      <c r="O185" s="30">
        <v>1</v>
      </c>
      <c r="P185" s="31">
        <v>0</v>
      </c>
      <c r="Q185" s="1">
        <v>1</v>
      </c>
      <c r="R185" s="46">
        <v>0.80763576727059139</v>
      </c>
      <c r="S185" s="46">
        <v>-6.7240000000000002</v>
      </c>
      <c r="T185" s="46">
        <v>7.5316357672705916</v>
      </c>
      <c r="U185" s="46">
        <v>-0.17112321618644447</v>
      </c>
      <c r="V185" s="46">
        <v>0.21189342503691461</v>
      </c>
      <c r="W185" s="46">
        <v>0.74987737081785888</v>
      </c>
      <c r="X185" s="46">
        <v>9.6811227293527793</v>
      </c>
      <c r="Y185" s="46">
        <v>-0.17112321618644447</v>
      </c>
      <c r="Z185" s="46">
        <v>0.21189342503691461</v>
      </c>
    </row>
    <row r="186" spans="1:26" x14ac:dyDescent="0.35">
      <c r="A186" s="44">
        <v>44373</v>
      </c>
      <c r="B186" s="20">
        <f t="shared" si="17"/>
        <v>44364</v>
      </c>
      <c r="C186" s="35">
        <v>48.75</v>
      </c>
      <c r="D186" s="36"/>
      <c r="E186" s="36"/>
      <c r="F186" s="36">
        <v>18.376000000000001</v>
      </c>
      <c r="G186" s="36">
        <v>25.3</v>
      </c>
      <c r="H186" s="42">
        <v>0</v>
      </c>
      <c r="I186" s="40">
        <f t="shared" si="18"/>
        <v>0.20001800718348656</v>
      </c>
      <c r="J186" s="40">
        <f t="shared" si="19"/>
        <v>0.2000264105357803</v>
      </c>
      <c r="K186" s="41">
        <f t="shared" si="16"/>
        <v>0.79999999823106593</v>
      </c>
      <c r="L186" s="23">
        <f t="shared" si="20"/>
        <v>1.515068493150685</v>
      </c>
      <c r="M186" s="28">
        <f t="shared" si="21"/>
        <v>30</v>
      </c>
      <c r="N186" s="29" t="s">
        <v>9</v>
      </c>
      <c r="O186" s="30">
        <v>1</v>
      </c>
      <c r="P186" s="31">
        <v>0</v>
      </c>
      <c r="Q186" s="1">
        <v>1</v>
      </c>
      <c r="R186" s="46">
        <v>0.80951138624652863</v>
      </c>
      <c r="S186" s="46">
        <v>-6.7240000000000002</v>
      </c>
      <c r="T186" s="46">
        <v>7.5335113862465288</v>
      </c>
      <c r="U186" s="46">
        <v>-0.17130499629452628</v>
      </c>
      <c r="V186" s="46">
        <v>0.21213967377354365</v>
      </c>
      <c r="W186" s="46">
        <v>0.75111158767169728</v>
      </c>
      <c r="X186" s="46">
        <v>9.6964437708869067</v>
      </c>
      <c r="Y186" s="46">
        <v>-0.17130499629452628</v>
      </c>
      <c r="Z186" s="46">
        <v>0.21213967377354365</v>
      </c>
    </row>
    <row r="187" spans="1:26" x14ac:dyDescent="0.35">
      <c r="A187" s="44">
        <v>44374</v>
      </c>
      <c r="B187" s="20">
        <f t="shared" si="17"/>
        <v>44364</v>
      </c>
      <c r="C187" s="35">
        <v>48.75</v>
      </c>
      <c r="D187" s="36"/>
      <c r="E187" s="36"/>
      <c r="F187" s="36">
        <v>18.376000000000001</v>
      </c>
      <c r="G187" s="36">
        <v>25.3</v>
      </c>
      <c r="H187" s="42">
        <v>0</v>
      </c>
      <c r="I187" s="40">
        <f t="shared" si="18"/>
        <v>0.20001710682431223</v>
      </c>
      <c r="J187" s="40">
        <f t="shared" si="19"/>
        <v>0.20002509000899127</v>
      </c>
      <c r="K187" s="41">
        <f t="shared" si="16"/>
        <v>0.79999999840795932</v>
      </c>
      <c r="L187" s="23">
        <f t="shared" si="20"/>
        <v>1.515068493150685</v>
      </c>
      <c r="M187" s="28">
        <f t="shared" si="21"/>
        <v>30</v>
      </c>
      <c r="N187" s="29" t="s">
        <v>9</v>
      </c>
      <c r="O187" s="30">
        <v>1</v>
      </c>
      <c r="P187" s="31">
        <v>0</v>
      </c>
      <c r="Q187" s="1">
        <v>1</v>
      </c>
      <c r="R187" s="46">
        <v>0.80949790412465816</v>
      </c>
      <c r="S187" s="46">
        <v>-6.7240000000000002</v>
      </c>
      <c r="T187" s="46">
        <v>7.5334979041246584</v>
      </c>
      <c r="U187" s="46">
        <v>-0.17130365894728969</v>
      </c>
      <c r="V187" s="46">
        <v>0.21213790516741007</v>
      </c>
      <c r="W187" s="46">
        <v>0.7511498046656403</v>
      </c>
      <c r="X187" s="46">
        <v>9.6963545069180714</v>
      </c>
      <c r="Y187" s="46">
        <v>-0.17130365894728969</v>
      </c>
      <c r="Z187" s="46">
        <v>0.21213790516741007</v>
      </c>
    </row>
    <row r="188" spans="1:26" x14ac:dyDescent="0.35">
      <c r="A188" s="44">
        <v>44375</v>
      </c>
      <c r="B188" s="20">
        <f t="shared" si="17"/>
        <v>44364</v>
      </c>
      <c r="C188" s="35">
        <v>48.75</v>
      </c>
      <c r="D188" s="36"/>
      <c r="E188" s="36"/>
      <c r="F188" s="36">
        <v>18.376000000000001</v>
      </c>
      <c r="G188" s="36">
        <v>25.3</v>
      </c>
      <c r="H188" s="42">
        <v>0</v>
      </c>
      <c r="I188" s="40">
        <f t="shared" si="18"/>
        <v>0.20001625148309662</v>
      </c>
      <c r="J188" s="40">
        <f t="shared" si="19"/>
        <v>0.20002383550854169</v>
      </c>
      <c r="K188" s="41">
        <f t="shared" si="16"/>
        <v>0.79999999856716342</v>
      </c>
      <c r="L188" s="23">
        <f t="shared" si="20"/>
        <v>1.515068493150685</v>
      </c>
      <c r="M188" s="28">
        <f t="shared" si="21"/>
        <v>30</v>
      </c>
      <c r="N188" s="29" t="s">
        <v>9</v>
      </c>
      <c r="O188" s="30">
        <v>1</v>
      </c>
      <c r="P188" s="31">
        <v>0</v>
      </c>
      <c r="Q188" s="1">
        <v>1</v>
      </c>
      <c r="R188" s="46">
        <v>0.80948509622878539</v>
      </c>
      <c r="S188" s="46">
        <v>-6.7240000000000002</v>
      </c>
      <c r="T188" s="46">
        <v>7.5334850962287856</v>
      </c>
      <c r="U188" s="46">
        <v>-0.17130238846199469</v>
      </c>
      <c r="V188" s="46">
        <v>0.21213622498784993</v>
      </c>
      <c r="W188" s="46">
        <v>0.75118611108716582</v>
      </c>
      <c r="X188" s="46">
        <v>9.6962697055322806</v>
      </c>
      <c r="Y188" s="46">
        <v>-0.17130238846199469</v>
      </c>
      <c r="Z188" s="46">
        <v>0.21213622498784993</v>
      </c>
    </row>
    <row r="189" spans="1:26" x14ac:dyDescent="0.35">
      <c r="A189" s="44">
        <v>44376</v>
      </c>
      <c r="B189" s="20">
        <f t="shared" si="17"/>
        <v>44365</v>
      </c>
      <c r="C189" s="35">
        <v>48.75</v>
      </c>
      <c r="D189" s="36"/>
      <c r="E189" s="36"/>
      <c r="F189" s="36">
        <v>18.376000000000001</v>
      </c>
      <c r="G189" s="36">
        <v>25.3</v>
      </c>
      <c r="H189" s="42">
        <v>0</v>
      </c>
      <c r="I189" s="40">
        <f t="shared" si="18"/>
        <v>0.2000154389089418</v>
      </c>
      <c r="J189" s="40">
        <f t="shared" si="19"/>
        <v>0.2000226437331146</v>
      </c>
      <c r="K189" s="41">
        <f t="shared" si="16"/>
        <v>0.79999999871044714</v>
      </c>
      <c r="L189" s="23">
        <f t="shared" si="20"/>
        <v>1.5178082191780822</v>
      </c>
      <c r="M189" s="28">
        <f t="shared" si="21"/>
        <v>30</v>
      </c>
      <c r="N189" s="29" t="s">
        <v>9</v>
      </c>
      <c r="O189" s="30">
        <v>1</v>
      </c>
      <c r="P189" s="31">
        <v>0</v>
      </c>
      <c r="Q189" s="1">
        <v>1</v>
      </c>
      <c r="R189" s="46">
        <v>0.81136224169723015</v>
      </c>
      <c r="S189" s="46">
        <v>-6.7240000000000002</v>
      </c>
      <c r="T189" s="46">
        <v>7.5353622416972303</v>
      </c>
      <c r="U189" s="46">
        <v>-0.17148396866329702</v>
      </c>
      <c r="V189" s="46">
        <v>0.21238227274100935</v>
      </c>
      <c r="W189" s="46">
        <v>0.75241364921846177</v>
      </c>
      <c r="X189" s="46">
        <v>9.7115883719870073</v>
      </c>
      <c r="Y189" s="46">
        <v>-0.17148396866329702</v>
      </c>
      <c r="Z189" s="46">
        <v>0.21238227274100935</v>
      </c>
    </row>
    <row r="190" spans="1:26" x14ac:dyDescent="0.35">
      <c r="A190" s="44">
        <v>44377</v>
      </c>
      <c r="B190" s="20">
        <f t="shared" si="17"/>
        <v>44368</v>
      </c>
      <c r="C190" s="35">
        <v>48.75</v>
      </c>
      <c r="D190" s="36"/>
      <c r="E190" s="36"/>
      <c r="F190" s="36">
        <v>18.376000000000001</v>
      </c>
      <c r="G190" s="36">
        <v>25.3</v>
      </c>
      <c r="H190" s="42">
        <v>0</v>
      </c>
      <c r="I190" s="40">
        <f t="shared" si="18"/>
        <v>0.20001466696349471</v>
      </c>
      <c r="J190" s="40">
        <f t="shared" si="19"/>
        <v>0.20002151154645886</v>
      </c>
      <c r="K190" s="41">
        <f t="shared" si="16"/>
        <v>0.79999999883940243</v>
      </c>
      <c r="L190" s="23">
        <f t="shared" si="20"/>
        <v>1.526027397260274</v>
      </c>
      <c r="M190" s="28">
        <f t="shared" si="21"/>
        <v>30</v>
      </c>
      <c r="N190" s="29" t="s">
        <v>9</v>
      </c>
      <c r="O190" s="30">
        <v>1</v>
      </c>
      <c r="P190" s="31">
        <v>0</v>
      </c>
      <c r="Q190" s="1">
        <v>1</v>
      </c>
      <c r="R190" s="46">
        <v>0.81701604730398536</v>
      </c>
      <c r="S190" s="46">
        <v>-6.7240000000000002</v>
      </c>
      <c r="T190" s="46">
        <v>7.5410160473039856</v>
      </c>
      <c r="U190" s="46">
        <v>-0.17202878349356096</v>
      </c>
      <c r="V190" s="46">
        <v>0.21312090117907936</v>
      </c>
      <c r="W190" s="46">
        <v>0.75601858249692477</v>
      </c>
      <c r="X190" s="46">
        <v>9.757616340849836</v>
      </c>
      <c r="Y190" s="46">
        <v>-0.17202878349356096</v>
      </c>
      <c r="Z190" s="46">
        <v>0.21312090117907936</v>
      </c>
    </row>
    <row r="191" spans="1:26" x14ac:dyDescent="0.35">
      <c r="A191" s="44">
        <v>44378</v>
      </c>
      <c r="B191" s="20">
        <f t="shared" si="17"/>
        <v>44369</v>
      </c>
      <c r="C191" s="35">
        <v>48.75</v>
      </c>
      <c r="D191" s="36"/>
      <c r="E191" s="36"/>
      <c r="F191" s="36">
        <v>18.376000000000001</v>
      </c>
      <c r="G191" s="36">
        <v>25.3</v>
      </c>
      <c r="H191" s="42">
        <v>0</v>
      </c>
      <c r="I191" s="40">
        <f t="shared" si="18"/>
        <v>0.20001393361531997</v>
      </c>
      <c r="J191" s="40">
        <f t="shared" si="19"/>
        <v>0.20002043596913593</v>
      </c>
      <c r="K191" s="41">
        <f t="shared" si="16"/>
        <v>0.79999999895546214</v>
      </c>
      <c r="L191" s="23">
        <f t="shared" si="20"/>
        <v>1.5287671232876712</v>
      </c>
      <c r="M191" s="28">
        <f t="shared" si="21"/>
        <v>30</v>
      </c>
      <c r="N191" s="29" t="s">
        <v>9</v>
      </c>
      <c r="O191" s="30">
        <v>1</v>
      </c>
      <c r="P191" s="31">
        <v>0</v>
      </c>
      <c r="Q191" s="1">
        <v>1</v>
      </c>
      <c r="R191" s="46">
        <v>0.81889260182186163</v>
      </c>
      <c r="S191" s="46">
        <v>-6.7240000000000002</v>
      </c>
      <c r="T191" s="46">
        <v>7.5428926018218618</v>
      </c>
      <c r="U191" s="46">
        <v>-0.17220888691413896</v>
      </c>
      <c r="V191" s="46">
        <v>0.21336525179253732</v>
      </c>
      <c r="W191" s="46">
        <v>0.75723829586854441</v>
      </c>
      <c r="X191" s="46">
        <v>9.7728807166939671</v>
      </c>
      <c r="Y191" s="46">
        <v>-0.17220888691413896</v>
      </c>
      <c r="Z191" s="46">
        <v>0.21336525179253732</v>
      </c>
    </row>
    <row r="192" spans="1:26" x14ac:dyDescent="0.35">
      <c r="A192" s="44">
        <v>44379</v>
      </c>
      <c r="B192" s="20">
        <f t="shared" si="17"/>
        <v>44370</v>
      </c>
      <c r="C192" s="35">
        <v>48.75</v>
      </c>
      <c r="D192" s="36"/>
      <c r="E192" s="36"/>
      <c r="F192" s="36">
        <v>18.376000000000001</v>
      </c>
      <c r="G192" s="36">
        <v>25.3</v>
      </c>
      <c r="H192" s="42">
        <v>0</v>
      </c>
      <c r="I192" s="40">
        <f t="shared" si="18"/>
        <v>0.20001323693455397</v>
      </c>
      <c r="J192" s="40">
        <f t="shared" si="19"/>
        <v>0.20001941417067914</v>
      </c>
      <c r="K192" s="41">
        <f t="shared" si="16"/>
        <v>0.79999999905991592</v>
      </c>
      <c r="L192" s="23">
        <f t="shared" si="20"/>
        <v>1.5315068493150685</v>
      </c>
      <c r="M192" s="28">
        <f t="shared" si="21"/>
        <v>30</v>
      </c>
      <c r="N192" s="29" t="s">
        <v>9</v>
      </c>
      <c r="O192" s="30">
        <v>1</v>
      </c>
      <c r="P192" s="31">
        <v>0</v>
      </c>
      <c r="Q192" s="1">
        <v>1</v>
      </c>
      <c r="R192" s="46">
        <v>0.82076925425775293</v>
      </c>
      <c r="S192" s="46">
        <v>-6.7240000000000002</v>
      </c>
      <c r="T192" s="46">
        <v>7.5447692542577531</v>
      </c>
      <c r="U192" s="46">
        <v>-0.17238864951096855</v>
      </c>
      <c r="V192" s="46">
        <v>0.21360921489507526</v>
      </c>
      <c r="W192" s="46">
        <v>0.75845535433982791</v>
      </c>
      <c r="X192" s="46">
        <v>9.7881332741187403</v>
      </c>
      <c r="Y192" s="46">
        <v>-0.17238864951096855</v>
      </c>
      <c r="Z192" s="46">
        <v>0.21360921489507526</v>
      </c>
    </row>
    <row r="193" spans="1:26" x14ac:dyDescent="0.35">
      <c r="A193" s="44">
        <v>44380</v>
      </c>
      <c r="B193" s="20">
        <f t="shared" si="17"/>
        <v>44371</v>
      </c>
      <c r="C193" s="35">
        <v>48.75</v>
      </c>
      <c r="D193" s="36"/>
      <c r="E193" s="36"/>
      <c r="F193" s="36">
        <v>18.376000000000001</v>
      </c>
      <c r="G193" s="36">
        <v>25.3</v>
      </c>
      <c r="H193" s="42">
        <v>0</v>
      </c>
      <c r="I193" s="40">
        <f t="shared" si="18"/>
        <v>0.20001257508782627</v>
      </c>
      <c r="J193" s="40">
        <f t="shared" si="19"/>
        <v>0.2000184434621452</v>
      </c>
      <c r="K193" s="41">
        <f t="shared" si="16"/>
        <v>0.79999999915392439</v>
      </c>
      <c r="L193" s="23">
        <f t="shared" si="20"/>
        <v>1.5342465753424657</v>
      </c>
      <c r="M193" s="28">
        <f t="shared" si="21"/>
        <v>30</v>
      </c>
      <c r="N193" s="29" t="s">
        <v>9</v>
      </c>
      <c r="O193" s="30">
        <v>1</v>
      </c>
      <c r="P193" s="31">
        <v>0</v>
      </c>
      <c r="Q193" s="1">
        <v>1</v>
      </c>
      <c r="R193" s="46">
        <v>0.82264597804479855</v>
      </c>
      <c r="S193" s="46">
        <v>-6.7240000000000002</v>
      </c>
      <c r="T193" s="46">
        <v>7.5466459780447988</v>
      </c>
      <c r="U193" s="46">
        <v>-0.1725680698033267</v>
      </c>
      <c r="V193" s="46">
        <v>0.213852788311997</v>
      </c>
      <c r="W193" s="46">
        <v>0.75966983111126796</v>
      </c>
      <c r="X193" s="46">
        <v>9.8033738734844302</v>
      </c>
      <c r="Y193" s="46">
        <v>-0.1725680698033267</v>
      </c>
      <c r="Z193" s="46">
        <v>0.213852788311997</v>
      </c>
    </row>
    <row r="194" spans="1:26" x14ac:dyDescent="0.35">
      <c r="A194" s="44">
        <v>44381</v>
      </c>
      <c r="B194" s="20">
        <f t="shared" si="17"/>
        <v>44371</v>
      </c>
      <c r="C194" s="35">
        <v>48.75</v>
      </c>
      <c r="D194" s="36"/>
      <c r="E194" s="36"/>
      <c r="F194" s="36">
        <v>18.376000000000001</v>
      </c>
      <c r="G194" s="36">
        <v>25.3</v>
      </c>
      <c r="H194" s="42">
        <v>0</v>
      </c>
      <c r="I194" s="40">
        <f t="shared" si="18"/>
        <v>0.20001194633343497</v>
      </c>
      <c r="J194" s="40">
        <f t="shared" si="19"/>
        <v>0.20001752128903794</v>
      </c>
      <c r="K194" s="41">
        <f t="shared" si="16"/>
        <v>0.79999999923853193</v>
      </c>
      <c r="L194" s="23">
        <f t="shared" si="20"/>
        <v>1.5342465753424657</v>
      </c>
      <c r="M194" s="28">
        <f t="shared" si="21"/>
        <v>30</v>
      </c>
      <c r="N194" s="29" t="s">
        <v>9</v>
      </c>
      <c r="O194" s="30">
        <v>1</v>
      </c>
      <c r="P194" s="31">
        <v>0</v>
      </c>
      <c r="Q194" s="1">
        <v>1</v>
      </c>
      <c r="R194" s="46">
        <v>0.82263645914953187</v>
      </c>
      <c r="S194" s="46">
        <v>-6.7240000000000002</v>
      </c>
      <c r="T194" s="46">
        <v>7.5466364591495321</v>
      </c>
      <c r="U194" s="46">
        <v>-0.17256713812622587</v>
      </c>
      <c r="V194" s="46">
        <v>0.21385155389231306</v>
      </c>
      <c r="W194" s="46">
        <v>0.7596968493859555</v>
      </c>
      <c r="X194" s="46">
        <v>9.8033112676034175</v>
      </c>
      <c r="Y194" s="46">
        <v>-0.17256713812622587</v>
      </c>
      <c r="Z194" s="46">
        <v>0.21385155389231306</v>
      </c>
    </row>
    <row r="195" spans="1:26" x14ac:dyDescent="0.35">
      <c r="A195" s="44">
        <v>44382</v>
      </c>
      <c r="B195" s="20">
        <f t="shared" si="17"/>
        <v>44371</v>
      </c>
      <c r="C195" s="35">
        <v>48.75</v>
      </c>
      <c r="D195" s="36"/>
      <c r="E195" s="36"/>
      <c r="F195" s="36">
        <v>18.376000000000001</v>
      </c>
      <c r="G195" s="36">
        <v>25.3</v>
      </c>
      <c r="H195" s="42">
        <v>0</v>
      </c>
      <c r="I195" s="40">
        <f t="shared" si="18"/>
        <v>0.20001134901676323</v>
      </c>
      <c r="J195" s="40">
        <f t="shared" si="19"/>
        <v>0.20001664522458604</v>
      </c>
      <c r="K195" s="41">
        <f t="shared" si="16"/>
        <v>0.79999999931467869</v>
      </c>
      <c r="L195" s="23">
        <f t="shared" si="20"/>
        <v>1.5342465753424657</v>
      </c>
      <c r="M195" s="28">
        <f t="shared" si="21"/>
        <v>30</v>
      </c>
      <c r="N195" s="29" t="s">
        <v>9</v>
      </c>
      <c r="O195" s="30">
        <v>1</v>
      </c>
      <c r="P195" s="31">
        <v>0</v>
      </c>
      <c r="Q195" s="1">
        <v>1</v>
      </c>
      <c r="R195" s="46">
        <v>0.82262741625735991</v>
      </c>
      <c r="S195" s="46">
        <v>-6.7240000000000002</v>
      </c>
      <c r="T195" s="46">
        <v>7.5466274162573601</v>
      </c>
      <c r="U195" s="46">
        <v>-0.17256625303024928</v>
      </c>
      <c r="V195" s="46">
        <v>0.21385038119169927</v>
      </c>
      <c r="W195" s="46">
        <v>0.75972251688486647</v>
      </c>
      <c r="X195" s="46">
        <v>9.8032517917085631</v>
      </c>
      <c r="Y195" s="46">
        <v>-0.17256625303024928</v>
      </c>
      <c r="Z195" s="46">
        <v>0.21385038119169927</v>
      </c>
    </row>
    <row r="196" spans="1:26" x14ac:dyDescent="0.35">
      <c r="A196" s="44">
        <v>44383</v>
      </c>
      <c r="B196" s="20">
        <f t="shared" si="17"/>
        <v>44372</v>
      </c>
      <c r="C196" s="35">
        <v>48.75</v>
      </c>
      <c r="D196" s="36"/>
      <c r="E196" s="36"/>
      <c r="F196" s="36">
        <v>18.376000000000001</v>
      </c>
      <c r="G196" s="36">
        <v>25.3</v>
      </c>
      <c r="H196" s="42">
        <v>0</v>
      </c>
      <c r="I196" s="40">
        <f t="shared" si="18"/>
        <v>0.20001078156592508</v>
      </c>
      <c r="J196" s="40">
        <f t="shared" si="19"/>
        <v>0.20001581296335674</v>
      </c>
      <c r="K196" s="41">
        <f t="shared" si="16"/>
        <v>0.79999999938321087</v>
      </c>
      <c r="L196" s="23">
        <f t="shared" si="20"/>
        <v>1.536986301369863</v>
      </c>
      <c r="M196" s="28">
        <f t="shared" si="21"/>
        <v>30</v>
      </c>
      <c r="N196" s="29" t="s">
        <v>9</v>
      </c>
      <c r="O196" s="30">
        <v>1</v>
      </c>
      <c r="P196" s="31">
        <v>0</v>
      </c>
      <c r="Q196" s="1">
        <v>1</v>
      </c>
      <c r="R196" s="46">
        <v>0.82450508674986445</v>
      </c>
      <c r="S196" s="46">
        <v>-6.7240000000000002</v>
      </c>
      <c r="T196" s="46">
        <v>7.5485050867498646</v>
      </c>
      <c r="U196" s="46">
        <v>-0.17274542110951138</v>
      </c>
      <c r="V196" s="46">
        <v>0.21409368346334501</v>
      </c>
      <c r="W196" s="46">
        <v>0.76093193439058837</v>
      </c>
      <c r="X196" s="46">
        <v>9.818486335381472</v>
      </c>
      <c r="Y196" s="46">
        <v>-0.17274542110951138</v>
      </c>
      <c r="Z196" s="46">
        <v>0.21409368346334501</v>
      </c>
    </row>
    <row r="197" spans="1:26" x14ac:dyDescent="0.35">
      <c r="A197" s="44">
        <v>44384</v>
      </c>
      <c r="B197" s="20">
        <f t="shared" si="17"/>
        <v>44375</v>
      </c>
      <c r="C197" s="35">
        <v>48.75</v>
      </c>
      <c r="D197" s="36"/>
      <c r="E197" s="36"/>
      <c r="F197" s="36">
        <v>18.376000000000001</v>
      </c>
      <c r="G197" s="36">
        <v>25.3</v>
      </c>
      <c r="H197" s="42">
        <v>0</v>
      </c>
      <c r="I197" s="40">
        <f t="shared" si="18"/>
        <v>0.20001024248762883</v>
      </c>
      <c r="J197" s="40">
        <f t="shared" si="19"/>
        <v>0.20001502231518892</v>
      </c>
      <c r="K197" s="41">
        <f t="shared" si="16"/>
        <v>0.79999999944488975</v>
      </c>
      <c r="L197" s="23">
        <f t="shared" si="20"/>
        <v>1.5452054794520549</v>
      </c>
      <c r="M197" s="28">
        <f t="shared" si="21"/>
        <v>30</v>
      </c>
      <c r="N197" s="29" t="s">
        <v>9</v>
      </c>
      <c r="O197" s="30">
        <v>1</v>
      </c>
      <c r="P197" s="31">
        <v>0</v>
      </c>
      <c r="Q197" s="1">
        <v>1</v>
      </c>
      <c r="R197" s="46">
        <v>0.83015309711682761</v>
      </c>
      <c r="S197" s="46">
        <v>-6.7240000000000002</v>
      </c>
      <c r="T197" s="46">
        <v>7.5541530971168278</v>
      </c>
      <c r="U197" s="46">
        <v>-0.17328230285429216</v>
      </c>
      <c r="V197" s="46">
        <v>0.21482314756290305</v>
      </c>
      <c r="W197" s="46">
        <v>0.76450326975968719</v>
      </c>
      <c r="X197" s="46">
        <v>9.8642141881655174</v>
      </c>
      <c r="Y197" s="46">
        <v>-0.17328230285429216</v>
      </c>
      <c r="Z197" s="46">
        <v>0.21482314756290305</v>
      </c>
    </row>
    <row r="198" spans="1:26" x14ac:dyDescent="0.35">
      <c r="A198" s="44">
        <v>44385</v>
      </c>
      <c r="B198" s="20">
        <f t="shared" si="17"/>
        <v>44376</v>
      </c>
      <c r="C198" s="35">
        <v>48.75</v>
      </c>
      <c r="D198" s="36"/>
      <c r="E198" s="36"/>
      <c r="F198" s="36">
        <v>18.376000000000001</v>
      </c>
      <c r="G198" s="36">
        <v>25.3</v>
      </c>
      <c r="H198" s="42">
        <v>0</v>
      </c>
      <c r="I198" s="40">
        <f t="shared" si="18"/>
        <v>0.2000097303632474</v>
      </c>
      <c r="J198" s="40">
        <f t="shared" si="19"/>
        <v>0.20001427119942947</v>
      </c>
      <c r="K198" s="41">
        <f t="shared" si="16"/>
        <v>0.79999999950040079</v>
      </c>
      <c r="L198" s="23">
        <f t="shared" si="20"/>
        <v>1.547945205479452</v>
      </c>
      <c r="M198" s="28">
        <f t="shared" si="21"/>
        <v>30</v>
      </c>
      <c r="N198" s="29" t="s">
        <v>9</v>
      </c>
      <c r="O198" s="30">
        <v>1</v>
      </c>
      <c r="P198" s="31">
        <v>0</v>
      </c>
      <c r="Q198" s="1">
        <v>1</v>
      </c>
      <c r="R198" s="46">
        <v>0.83202982012440074</v>
      </c>
      <c r="S198" s="46">
        <v>-6.7240000000000002</v>
      </c>
      <c r="T198" s="46">
        <v>7.5560298201244009</v>
      </c>
      <c r="U198" s="46">
        <v>-0.17345999386125632</v>
      </c>
      <c r="V198" s="46">
        <v>0.21506474574458243</v>
      </c>
      <c r="W198" s="46">
        <v>0.76570582280538146</v>
      </c>
      <c r="X198" s="46">
        <v>9.8793931875098515</v>
      </c>
      <c r="Y198" s="46">
        <v>-0.17345999386125632</v>
      </c>
      <c r="Z198" s="46">
        <v>0.21506474574458243</v>
      </c>
    </row>
    <row r="199" spans="1:26" x14ac:dyDescent="0.35">
      <c r="A199" s="44">
        <v>44386</v>
      </c>
      <c r="B199" s="20">
        <f t="shared" si="17"/>
        <v>44377</v>
      </c>
      <c r="C199" s="35">
        <v>48.75</v>
      </c>
      <c r="D199" s="36"/>
      <c r="E199" s="36"/>
      <c r="F199" s="36">
        <v>18.376000000000001</v>
      </c>
      <c r="G199" s="36">
        <v>25.3</v>
      </c>
      <c r="H199" s="42">
        <v>0</v>
      </c>
      <c r="I199" s="40">
        <f t="shared" si="18"/>
        <v>0.20000924384508503</v>
      </c>
      <c r="J199" s="40">
        <f t="shared" si="19"/>
        <v>0.200013557639458</v>
      </c>
      <c r="K199" s="41">
        <f t="shared" si="16"/>
        <v>0.79999999955036072</v>
      </c>
      <c r="L199" s="23">
        <f t="shared" si="20"/>
        <v>1.5506849315068494</v>
      </c>
      <c r="M199" s="28">
        <f t="shared" si="21"/>
        <v>30</v>
      </c>
      <c r="N199" s="29" t="s">
        <v>9</v>
      </c>
      <c r="O199" s="30">
        <v>1</v>
      </c>
      <c r="P199" s="31">
        <v>0</v>
      </c>
      <c r="Q199" s="1">
        <v>1</v>
      </c>
      <c r="R199" s="46">
        <v>0.83390647890297132</v>
      </c>
      <c r="S199" s="46">
        <v>-6.7240000000000002</v>
      </c>
      <c r="T199" s="46">
        <v>7.5579064789029715</v>
      </c>
      <c r="U199" s="46">
        <v>-0.17363733625802508</v>
      </c>
      <c r="V199" s="46">
        <v>0.21530594456401367</v>
      </c>
      <c r="W199" s="46">
        <v>0.76690616753652463</v>
      </c>
      <c r="X199" s="46">
        <v>9.8945595563354232</v>
      </c>
      <c r="Y199" s="46">
        <v>-0.17363733625802508</v>
      </c>
      <c r="Z199" s="46">
        <v>0.21530594456401367</v>
      </c>
    </row>
    <row r="200" spans="1:26" x14ac:dyDescent="0.35">
      <c r="A200" s="44">
        <v>44387</v>
      </c>
      <c r="B200" s="20">
        <f t="shared" si="17"/>
        <v>44378</v>
      </c>
      <c r="C200" s="35">
        <v>48.75</v>
      </c>
      <c r="D200" s="36"/>
      <c r="E200" s="36"/>
      <c r="F200" s="36">
        <v>18.376000000000001</v>
      </c>
      <c r="G200" s="36">
        <v>25.3</v>
      </c>
      <c r="H200" s="42">
        <v>0</v>
      </c>
      <c r="I200" s="40">
        <f t="shared" si="18"/>
        <v>0.20000878165283079</v>
      </c>
      <c r="J200" s="40">
        <f t="shared" si="19"/>
        <v>0.20001287975748511</v>
      </c>
      <c r="K200" s="41">
        <f t="shared" si="16"/>
        <v>0.79999999959532464</v>
      </c>
      <c r="L200" s="23">
        <f t="shared" si="20"/>
        <v>1.5534246575342465</v>
      </c>
      <c r="M200" s="28">
        <f t="shared" si="21"/>
        <v>31</v>
      </c>
      <c r="N200" s="29" t="s">
        <v>9</v>
      </c>
      <c r="O200" s="30">
        <v>1</v>
      </c>
      <c r="P200" s="31">
        <v>0</v>
      </c>
      <c r="Q200" s="1">
        <v>1</v>
      </c>
      <c r="R200" s="46">
        <v>0.83578305434110867</v>
      </c>
      <c r="S200" s="46">
        <v>-6.7240000000000002</v>
      </c>
      <c r="T200" s="46">
        <v>7.5597830543411089</v>
      </c>
      <c r="U200" s="46">
        <v>-0.17381432936607893</v>
      </c>
      <c r="V200" s="46">
        <v>0.21554674289618722</v>
      </c>
      <c r="W200" s="46">
        <v>0.76810435656417364</v>
      </c>
      <c r="X200" s="46">
        <v>9.9097132066006282</v>
      </c>
      <c r="Y200" s="46">
        <v>-0.17381432936607893</v>
      </c>
      <c r="Z200" s="46">
        <v>0.21554674289618722</v>
      </c>
    </row>
    <row r="201" spans="1:26" x14ac:dyDescent="0.35">
      <c r="A201" s="44">
        <v>44388</v>
      </c>
      <c r="B201" s="20">
        <f t="shared" si="17"/>
        <v>44378</v>
      </c>
      <c r="C201" s="35">
        <v>48.75</v>
      </c>
      <c r="D201" s="36"/>
      <c r="E201" s="36"/>
      <c r="F201" s="36">
        <v>18.376000000000001</v>
      </c>
      <c r="G201" s="36">
        <v>25.3</v>
      </c>
      <c r="H201" s="42">
        <v>0</v>
      </c>
      <c r="I201" s="40">
        <f t="shared" si="18"/>
        <v>0.20000834257018923</v>
      </c>
      <c r="J201" s="40">
        <f t="shared" si="19"/>
        <v>0.20001223576961086</v>
      </c>
      <c r="K201" s="41">
        <f t="shared" si="16"/>
        <v>0.79999999963579216</v>
      </c>
      <c r="L201" s="23">
        <f t="shared" si="20"/>
        <v>1.5534246575342465</v>
      </c>
      <c r="M201" s="28">
        <f t="shared" si="21"/>
        <v>31</v>
      </c>
      <c r="N201" s="29" t="s">
        <v>9</v>
      </c>
      <c r="O201" s="30">
        <v>1</v>
      </c>
      <c r="P201" s="31">
        <v>0</v>
      </c>
      <c r="Q201" s="1">
        <v>1</v>
      </c>
      <c r="R201" s="46">
        <v>0.8357763348328664</v>
      </c>
      <c r="S201" s="46">
        <v>-6.7240000000000002</v>
      </c>
      <c r="T201" s="46">
        <v>7.5597763348328666</v>
      </c>
      <c r="U201" s="46">
        <v>-0.17381368033412972</v>
      </c>
      <c r="V201" s="46">
        <v>0.2155458813563991</v>
      </c>
      <c r="W201" s="46">
        <v>0.76812345308801644</v>
      </c>
      <c r="X201" s="46">
        <v>9.9096693013702968</v>
      </c>
      <c r="Y201" s="46">
        <v>-0.17381368033412972</v>
      </c>
      <c r="Z201" s="46">
        <v>0.2155458813563991</v>
      </c>
    </row>
    <row r="202" spans="1:26" x14ac:dyDescent="0.35">
      <c r="A202" s="44">
        <v>44389</v>
      </c>
      <c r="B202" s="20">
        <f t="shared" si="17"/>
        <v>44378</v>
      </c>
      <c r="C202" s="35">
        <v>48.75</v>
      </c>
      <c r="D202" s="36"/>
      <c r="E202" s="36"/>
      <c r="F202" s="36">
        <v>18.376000000000001</v>
      </c>
      <c r="G202" s="36">
        <v>25.3</v>
      </c>
      <c r="H202" s="42">
        <v>0</v>
      </c>
      <c r="I202" s="40">
        <f t="shared" si="18"/>
        <v>0.20000792544167978</v>
      </c>
      <c r="J202" s="40">
        <f t="shared" si="19"/>
        <v>0.20001162398113032</v>
      </c>
      <c r="K202" s="41">
        <f t="shared" si="16"/>
        <v>0.79999999967221291</v>
      </c>
      <c r="L202" s="23">
        <f t="shared" si="20"/>
        <v>1.5534246575342465</v>
      </c>
      <c r="M202" s="28">
        <f t="shared" si="21"/>
        <v>31</v>
      </c>
      <c r="N202" s="29" t="s">
        <v>9</v>
      </c>
      <c r="O202" s="30">
        <v>1</v>
      </c>
      <c r="P202" s="31">
        <v>0</v>
      </c>
      <c r="Q202" s="1">
        <v>1</v>
      </c>
      <c r="R202" s="46">
        <v>0.8357699513284107</v>
      </c>
      <c r="S202" s="46">
        <v>-6.7240000000000002</v>
      </c>
      <c r="T202" s="46">
        <v>7.5597699513284109</v>
      </c>
      <c r="U202" s="46">
        <v>-0.17381306375241168</v>
      </c>
      <c r="V202" s="46">
        <v>0.21554506289263761</v>
      </c>
      <c r="W202" s="46">
        <v>0.76814159485351563</v>
      </c>
      <c r="X202" s="46">
        <v>9.909627591250441</v>
      </c>
      <c r="Y202" s="46">
        <v>-0.17381306375241168</v>
      </c>
      <c r="Z202" s="46">
        <v>0.21554506289263761</v>
      </c>
    </row>
    <row r="203" spans="1:26" x14ac:dyDescent="0.35">
      <c r="A203" s="44">
        <v>44390</v>
      </c>
      <c r="B203" s="20">
        <f t="shared" si="17"/>
        <v>44379</v>
      </c>
      <c r="C203" s="35">
        <v>48.75</v>
      </c>
      <c r="D203" s="36"/>
      <c r="E203" s="36"/>
      <c r="F203" s="36">
        <v>18.376000000000001</v>
      </c>
      <c r="G203" s="36">
        <v>25.3</v>
      </c>
      <c r="H203" s="42">
        <v>0</v>
      </c>
      <c r="I203" s="40">
        <f t="shared" si="18"/>
        <v>0.2000075291695958</v>
      </c>
      <c r="J203" s="40">
        <f t="shared" si="19"/>
        <v>0.20001104278207379</v>
      </c>
      <c r="K203" s="41">
        <f t="shared" si="16"/>
        <v>0.79999999970499158</v>
      </c>
      <c r="L203" s="23">
        <f t="shared" si="20"/>
        <v>1.5561643835616439</v>
      </c>
      <c r="M203" s="28">
        <f t="shared" si="21"/>
        <v>31</v>
      </c>
      <c r="N203" s="29" t="s">
        <v>9</v>
      </c>
      <c r="O203" s="30">
        <v>1</v>
      </c>
      <c r="P203" s="31">
        <v>0</v>
      </c>
      <c r="Q203" s="1">
        <v>1</v>
      </c>
      <c r="R203" s="46">
        <v>0.83764706131588618</v>
      </c>
      <c r="S203" s="46">
        <v>-6.7240000000000002</v>
      </c>
      <c r="T203" s="46">
        <v>7.5616470613158864</v>
      </c>
      <c r="U203" s="46">
        <v>-0.17398977069107754</v>
      </c>
      <c r="V203" s="46">
        <v>0.21578554387139787</v>
      </c>
      <c r="W203" s="46">
        <v>0.76933587672022019</v>
      </c>
      <c r="X203" s="46">
        <v>9.9247726730828365</v>
      </c>
      <c r="Y203" s="46">
        <v>-0.17398977069107754</v>
      </c>
      <c r="Z203" s="46">
        <v>0.21578554387139787</v>
      </c>
    </row>
    <row r="204" spans="1:26" x14ac:dyDescent="0.35">
      <c r="A204" s="44">
        <v>44391</v>
      </c>
      <c r="B204" s="20">
        <f t="shared" si="17"/>
        <v>44382</v>
      </c>
      <c r="C204" s="35">
        <v>48.75</v>
      </c>
      <c r="D204" s="36"/>
      <c r="E204" s="36"/>
      <c r="F204" s="36">
        <v>18.376000000000001</v>
      </c>
      <c r="G204" s="36">
        <v>25.3</v>
      </c>
      <c r="H204" s="42">
        <v>0</v>
      </c>
      <c r="I204" s="40">
        <f t="shared" si="18"/>
        <v>0.20000715271111602</v>
      </c>
      <c r="J204" s="40">
        <f t="shared" si="19"/>
        <v>0.20001049064297011</v>
      </c>
      <c r="K204" s="41">
        <f t="shared" ref="K204:K267" si="22">80%+(K203-80%)*0.9</f>
        <v>0.79999999973449243</v>
      </c>
      <c r="L204" s="23">
        <f t="shared" si="20"/>
        <v>1.5643835616438355</v>
      </c>
      <c r="M204" s="28">
        <f t="shared" si="21"/>
        <v>31</v>
      </c>
      <c r="N204" s="29" t="s">
        <v>9</v>
      </c>
      <c r="O204" s="30">
        <v>1</v>
      </c>
      <c r="P204" s="31">
        <v>0</v>
      </c>
      <c r="Q204" s="1">
        <v>1</v>
      </c>
      <c r="R204" s="46">
        <v>0.84328817011794754</v>
      </c>
      <c r="S204" s="46">
        <v>-6.7240000000000002</v>
      </c>
      <c r="T204" s="46">
        <v>7.5672881701179477</v>
      </c>
      <c r="U204" s="46">
        <v>-0.17451879845419591</v>
      </c>
      <c r="V204" s="46">
        <v>0.21650591294011418</v>
      </c>
      <c r="W204" s="46">
        <v>0.77287652596440692</v>
      </c>
      <c r="X204" s="46">
        <v>9.9701990641627933</v>
      </c>
      <c r="Y204" s="46">
        <v>-0.17451879845419591</v>
      </c>
      <c r="Z204" s="46">
        <v>0.21650591294011418</v>
      </c>
    </row>
    <row r="205" spans="1:26" x14ac:dyDescent="0.35">
      <c r="A205" s="44">
        <v>44392</v>
      </c>
      <c r="B205" s="20">
        <f t="shared" si="17"/>
        <v>44383</v>
      </c>
      <c r="C205" s="35">
        <v>48.75</v>
      </c>
      <c r="D205" s="36"/>
      <c r="E205" s="36"/>
      <c r="F205" s="36">
        <v>18.376000000000001</v>
      </c>
      <c r="G205" s="36">
        <v>25.3</v>
      </c>
      <c r="H205" s="42">
        <v>0</v>
      </c>
      <c r="I205" s="40">
        <f t="shared" si="18"/>
        <v>0.20000679507556021</v>
      </c>
      <c r="J205" s="40">
        <f t="shared" si="19"/>
        <v>0.20000996611082161</v>
      </c>
      <c r="K205" s="41">
        <f t="shared" si="22"/>
        <v>0.79999999976104319</v>
      </c>
      <c r="L205" s="23">
        <f t="shared" si="20"/>
        <v>1.5671232876712329</v>
      </c>
      <c r="M205" s="28">
        <f t="shared" si="21"/>
        <v>31</v>
      </c>
      <c r="N205" s="29" t="s">
        <v>9</v>
      </c>
      <c r="O205" s="30">
        <v>1</v>
      </c>
      <c r="P205" s="31">
        <v>0</v>
      </c>
      <c r="Q205" s="1">
        <v>1</v>
      </c>
      <c r="R205" s="46">
        <v>0.84516407128596427</v>
      </c>
      <c r="S205" s="46">
        <v>-6.7240000000000002</v>
      </c>
      <c r="T205" s="46">
        <v>7.5691640712859645</v>
      </c>
      <c r="U205" s="46">
        <v>-0.17469403798986122</v>
      </c>
      <c r="V205" s="46">
        <v>0.21674469596515697</v>
      </c>
      <c r="W205" s="46">
        <v>0.77406464529216112</v>
      </c>
      <c r="X205" s="46">
        <v>9.9852879999135631</v>
      </c>
      <c r="Y205" s="46">
        <v>-0.17469403798986122</v>
      </c>
      <c r="Z205" s="46">
        <v>0.21674469596515697</v>
      </c>
    </row>
    <row r="206" spans="1:26" x14ac:dyDescent="0.35">
      <c r="A206" s="44">
        <v>44393</v>
      </c>
      <c r="B206" s="20">
        <f t="shared" si="17"/>
        <v>44384</v>
      </c>
      <c r="C206" s="35">
        <v>48.75</v>
      </c>
      <c r="D206" s="36"/>
      <c r="E206" s="36"/>
      <c r="F206" s="36">
        <v>18.376000000000001</v>
      </c>
      <c r="G206" s="36">
        <v>25.3</v>
      </c>
      <c r="H206" s="42">
        <v>0</v>
      </c>
      <c r="I206" s="40">
        <f t="shared" si="18"/>
        <v>0.20000645532178221</v>
      </c>
      <c r="J206" s="40">
        <f t="shared" si="19"/>
        <v>0.20000946780528053</v>
      </c>
      <c r="K206" s="41">
        <f t="shared" si="22"/>
        <v>0.79999999978493885</v>
      </c>
      <c r="L206" s="23">
        <f t="shared" si="20"/>
        <v>1.5698630136986302</v>
      </c>
      <c r="M206" s="28">
        <f t="shared" si="21"/>
        <v>31</v>
      </c>
      <c r="N206" s="29" t="s">
        <v>9</v>
      </c>
      <c r="O206" s="30">
        <v>1</v>
      </c>
      <c r="P206" s="31">
        <v>0</v>
      </c>
      <c r="Q206" s="1">
        <v>1</v>
      </c>
      <c r="R206" s="46">
        <v>0.84703979136907037</v>
      </c>
      <c r="S206" s="46">
        <v>-6.7240000000000002</v>
      </c>
      <c r="T206" s="46">
        <v>7.5710397913690706</v>
      </c>
      <c r="U206" s="46">
        <v>-0.17486892593249007</v>
      </c>
      <c r="V206" s="46">
        <v>0.21698307407429859</v>
      </c>
      <c r="W206" s="46">
        <v>0.77525087787714608</v>
      </c>
      <c r="X206" s="46">
        <v>10.000363804317502</v>
      </c>
      <c r="Y206" s="46">
        <v>-0.17486892593249007</v>
      </c>
      <c r="Z206" s="46">
        <v>0.21698307407429859</v>
      </c>
    </row>
    <row r="207" spans="1:26" x14ac:dyDescent="0.35">
      <c r="A207" s="44">
        <v>44394</v>
      </c>
      <c r="B207" s="20">
        <f t="shared" si="17"/>
        <v>44385</v>
      </c>
      <c r="C207" s="35">
        <v>48.75</v>
      </c>
      <c r="D207" s="36"/>
      <c r="E207" s="36"/>
      <c r="F207" s="36">
        <v>18.376000000000001</v>
      </c>
      <c r="G207" s="36">
        <v>25.3</v>
      </c>
      <c r="H207" s="42">
        <v>0</v>
      </c>
      <c r="I207" s="40">
        <f t="shared" si="18"/>
        <v>0.20000613255569311</v>
      </c>
      <c r="J207" s="40">
        <f t="shared" si="19"/>
        <v>0.20000899441501652</v>
      </c>
      <c r="K207" s="41">
        <f t="shared" si="22"/>
        <v>0.79999999980644498</v>
      </c>
      <c r="L207" s="23">
        <f t="shared" si="20"/>
        <v>1.5726027397260274</v>
      </c>
      <c r="M207" s="28">
        <f t="shared" si="21"/>
        <v>31</v>
      </c>
      <c r="N207" s="29" t="s">
        <v>9</v>
      </c>
      <c r="O207" s="30">
        <v>1</v>
      </c>
      <c r="P207" s="31">
        <v>0</v>
      </c>
      <c r="Q207" s="1">
        <v>1</v>
      </c>
      <c r="R207" s="46">
        <v>0.84891531655373953</v>
      </c>
      <c r="S207" s="46">
        <v>-6.7240000000000002</v>
      </c>
      <c r="T207" s="46">
        <v>7.5729153165537397</v>
      </c>
      <c r="U207" s="46">
        <v>-0.1750434621525894</v>
      </c>
      <c r="V207" s="46">
        <v>0.21722104686458849</v>
      </c>
      <c r="W207" s="46">
        <v>0.77643526171308963</v>
      </c>
      <c r="X207" s="46">
        <v>10.015426425344092</v>
      </c>
      <c r="Y207" s="46">
        <v>-0.1750434621525894</v>
      </c>
      <c r="Z207" s="46">
        <v>0.21722104686458849</v>
      </c>
    </row>
    <row r="208" spans="1:26" x14ac:dyDescent="0.35">
      <c r="A208" s="44">
        <v>44395</v>
      </c>
      <c r="B208" s="20">
        <f t="shared" si="17"/>
        <v>44385</v>
      </c>
      <c r="C208" s="35">
        <v>48.75</v>
      </c>
      <c r="D208" s="36"/>
      <c r="E208" s="36"/>
      <c r="F208" s="36">
        <v>18.376000000000001</v>
      </c>
      <c r="G208" s="36">
        <v>25.3</v>
      </c>
      <c r="H208" s="42">
        <v>0</v>
      </c>
      <c r="I208" s="40">
        <f t="shared" si="18"/>
        <v>0.20000582592790844</v>
      </c>
      <c r="J208" s="40">
        <f t="shared" si="19"/>
        <v>0.20000854469426568</v>
      </c>
      <c r="K208" s="41">
        <f t="shared" si="22"/>
        <v>0.7999999998258005</v>
      </c>
      <c r="L208" s="23">
        <f t="shared" si="20"/>
        <v>1.5726027397260274</v>
      </c>
      <c r="M208" s="28">
        <f t="shared" si="21"/>
        <v>31</v>
      </c>
      <c r="N208" s="29" t="s">
        <v>9</v>
      </c>
      <c r="O208" s="30">
        <v>1</v>
      </c>
      <c r="P208" s="31">
        <v>0</v>
      </c>
      <c r="Q208" s="1">
        <v>1</v>
      </c>
      <c r="R208" s="46">
        <v>0.84891057400964876</v>
      </c>
      <c r="S208" s="46">
        <v>-6.7240000000000002</v>
      </c>
      <c r="T208" s="46">
        <v>7.572910574009649</v>
      </c>
      <c r="U208" s="46">
        <v>-0.17504301003852488</v>
      </c>
      <c r="V208" s="46">
        <v>0.21722044559388984</v>
      </c>
      <c r="W208" s="46">
        <v>0.77644875604955632</v>
      </c>
      <c r="X208" s="46">
        <v>10.015395637283259</v>
      </c>
      <c r="Y208" s="46">
        <v>-0.17504301003852488</v>
      </c>
      <c r="Z208" s="46">
        <v>0.21722044559388984</v>
      </c>
    </row>
    <row r="209" spans="1:26" x14ac:dyDescent="0.35">
      <c r="A209" s="44">
        <v>44396</v>
      </c>
      <c r="B209" s="20">
        <f t="shared" si="17"/>
        <v>44385</v>
      </c>
      <c r="C209" s="35">
        <v>48.75</v>
      </c>
      <c r="D209" s="36"/>
      <c r="E209" s="36"/>
      <c r="F209" s="36">
        <v>18.376000000000001</v>
      </c>
      <c r="G209" s="36">
        <v>25.3</v>
      </c>
      <c r="H209" s="42">
        <v>0</v>
      </c>
      <c r="I209" s="40">
        <f t="shared" si="18"/>
        <v>0.20000553463151302</v>
      </c>
      <c r="J209" s="40">
        <f t="shared" si="19"/>
        <v>0.20000811745955241</v>
      </c>
      <c r="K209" s="41">
        <f t="shared" si="22"/>
        <v>0.79999999984322046</v>
      </c>
      <c r="L209" s="23">
        <f t="shared" si="20"/>
        <v>1.5726027397260274</v>
      </c>
      <c r="M209" s="28">
        <f t="shared" si="21"/>
        <v>31</v>
      </c>
      <c r="N209" s="29" t="s">
        <v>9</v>
      </c>
      <c r="O209" s="30">
        <v>1</v>
      </c>
      <c r="P209" s="31">
        <v>0</v>
      </c>
      <c r="Q209" s="1">
        <v>1</v>
      </c>
      <c r="R209" s="46">
        <v>0.84890606860656881</v>
      </c>
      <c r="S209" s="46">
        <v>-6.7240000000000002</v>
      </c>
      <c r="T209" s="46">
        <v>7.572906068606569</v>
      </c>
      <c r="U209" s="46">
        <v>-0.17504258052948424</v>
      </c>
      <c r="V209" s="46">
        <v>0.21721987438623067</v>
      </c>
      <c r="W209" s="46">
        <v>0.77646157570363861</v>
      </c>
      <c r="X209" s="46">
        <v>10.015366388547468</v>
      </c>
      <c r="Y209" s="46">
        <v>-0.17504258052948424</v>
      </c>
      <c r="Z209" s="46">
        <v>0.21721987438623067</v>
      </c>
    </row>
    <row r="210" spans="1:26" x14ac:dyDescent="0.35">
      <c r="A210" s="44">
        <v>44397</v>
      </c>
      <c r="B210" s="20">
        <f t="shared" si="17"/>
        <v>44386</v>
      </c>
      <c r="C210" s="35">
        <v>48.75</v>
      </c>
      <c r="D210" s="36"/>
      <c r="E210" s="36"/>
      <c r="F210" s="36">
        <v>18.376000000000001</v>
      </c>
      <c r="G210" s="36">
        <v>25.3</v>
      </c>
      <c r="H210" s="42">
        <v>0</v>
      </c>
      <c r="I210" s="40">
        <f t="shared" si="18"/>
        <v>0.20000525789993737</v>
      </c>
      <c r="J210" s="40">
        <f t="shared" si="19"/>
        <v>0.20000771158657479</v>
      </c>
      <c r="K210" s="41">
        <f t="shared" si="22"/>
        <v>0.79999999985889847</v>
      </c>
      <c r="L210" s="23">
        <f t="shared" si="20"/>
        <v>1.5753424657534247</v>
      </c>
      <c r="M210" s="28">
        <f t="shared" si="21"/>
        <v>31</v>
      </c>
      <c r="N210" s="29" t="s">
        <v>9</v>
      </c>
      <c r="O210" s="30">
        <v>1</v>
      </c>
      <c r="P210" s="31">
        <v>0</v>
      </c>
      <c r="Q210" s="1">
        <v>1</v>
      </c>
      <c r="R210" s="46">
        <v>0.85078183489365777</v>
      </c>
      <c r="S210" s="46">
        <v>-6.7240000000000002</v>
      </c>
      <c r="T210" s="46">
        <v>7.574781834893658</v>
      </c>
      <c r="U210" s="46">
        <v>-0.17521680934250955</v>
      </c>
      <c r="V210" s="46">
        <v>0.21745750026394098</v>
      </c>
      <c r="W210" s="46">
        <v>0.77764287315861713</v>
      </c>
      <c r="X210" s="46">
        <v>10.030418746739677</v>
      </c>
      <c r="Y210" s="46">
        <v>-0.17521680934250955</v>
      </c>
      <c r="Z210" s="46">
        <v>0.21745750026394098</v>
      </c>
    </row>
    <row r="211" spans="1:26" x14ac:dyDescent="0.35">
      <c r="A211" s="44">
        <v>44398</v>
      </c>
      <c r="B211" s="20">
        <f t="shared" si="17"/>
        <v>44389</v>
      </c>
      <c r="C211" s="35">
        <v>48.75</v>
      </c>
      <c r="D211" s="36"/>
      <c r="E211" s="36"/>
      <c r="F211" s="36">
        <v>18.376000000000001</v>
      </c>
      <c r="G211" s="36">
        <v>25.3</v>
      </c>
      <c r="H211" s="42">
        <v>0</v>
      </c>
      <c r="I211" s="40">
        <f t="shared" si="18"/>
        <v>0.20000499500494051</v>
      </c>
      <c r="J211" s="40">
        <f t="shared" si="19"/>
        <v>0.20000732600724605</v>
      </c>
      <c r="K211" s="41">
        <f t="shared" si="22"/>
        <v>0.79999999987300863</v>
      </c>
      <c r="L211" s="23">
        <f t="shared" si="20"/>
        <v>1.5835616438356164</v>
      </c>
      <c r="M211" s="28">
        <f t="shared" si="21"/>
        <v>31</v>
      </c>
      <c r="N211" s="29" t="s">
        <v>9</v>
      </c>
      <c r="O211" s="30">
        <v>1</v>
      </c>
      <c r="P211" s="31">
        <v>0</v>
      </c>
      <c r="Q211" s="1">
        <v>1</v>
      </c>
      <c r="R211" s="46">
        <v>0.85641521312963853</v>
      </c>
      <c r="S211" s="46">
        <v>-6.7240000000000002</v>
      </c>
      <c r="T211" s="46">
        <v>7.5804152131296387</v>
      </c>
      <c r="U211" s="46">
        <v>-0.17573808933891202</v>
      </c>
      <c r="V211" s="46">
        <v>0.21816887957960773</v>
      </c>
      <c r="W211" s="46">
        <v>0.78115501140360577</v>
      </c>
      <c r="X211" s="46">
        <v>10.075544176466465</v>
      </c>
      <c r="Y211" s="46">
        <v>-0.17573808933891202</v>
      </c>
      <c r="Z211" s="46">
        <v>0.21816887957960773</v>
      </c>
    </row>
    <row r="212" spans="1:26" x14ac:dyDescent="0.35">
      <c r="A212" s="44">
        <v>44399</v>
      </c>
      <c r="B212" s="20">
        <f t="shared" si="17"/>
        <v>44390</v>
      </c>
      <c r="C212" s="35">
        <v>48.75</v>
      </c>
      <c r="D212" s="36"/>
      <c r="E212" s="36"/>
      <c r="F212" s="36">
        <v>18.376000000000001</v>
      </c>
      <c r="G212" s="36">
        <v>25.3</v>
      </c>
      <c r="H212" s="42">
        <v>0</v>
      </c>
      <c r="I212" s="40">
        <f t="shared" si="18"/>
        <v>0.20000474525469347</v>
      </c>
      <c r="J212" s="40">
        <f t="shared" si="19"/>
        <v>0.20000695970688376</v>
      </c>
      <c r="K212" s="41">
        <f t="shared" si="22"/>
        <v>0.7999999998857078</v>
      </c>
      <c r="L212" s="23">
        <f t="shared" si="20"/>
        <v>1.5863013698630137</v>
      </c>
      <c r="M212" s="28">
        <f t="shared" si="21"/>
        <v>31</v>
      </c>
      <c r="N212" s="29" t="s">
        <v>9</v>
      </c>
      <c r="O212" s="30">
        <v>1</v>
      </c>
      <c r="P212" s="31">
        <v>0</v>
      </c>
      <c r="Q212" s="1">
        <v>1</v>
      </c>
      <c r="R212" s="46">
        <v>0.85828957731904332</v>
      </c>
      <c r="S212" s="46">
        <v>-6.7240000000000002</v>
      </c>
      <c r="T212" s="46">
        <v>7.5822895773190435</v>
      </c>
      <c r="U212" s="46">
        <v>-0.17591086708005965</v>
      </c>
      <c r="V212" s="46">
        <v>0.2184048224743261</v>
      </c>
      <c r="W212" s="46">
        <v>0.78233066443715404</v>
      </c>
      <c r="X212" s="46">
        <v>10.090540238733256</v>
      </c>
      <c r="Y212" s="46">
        <v>-0.17591086708005965</v>
      </c>
      <c r="Z212" s="46">
        <v>0.2184048224743261</v>
      </c>
    </row>
    <row r="213" spans="1:26" x14ac:dyDescent="0.35">
      <c r="A213" s="44">
        <v>44400</v>
      </c>
      <c r="B213" s="20">
        <f t="shared" si="17"/>
        <v>44391</v>
      </c>
      <c r="C213" s="35">
        <v>48.75</v>
      </c>
      <c r="D213" s="36"/>
      <c r="E213" s="36"/>
      <c r="F213" s="36">
        <v>18.376000000000001</v>
      </c>
      <c r="G213" s="36">
        <v>25.3</v>
      </c>
      <c r="H213" s="42">
        <v>0</v>
      </c>
      <c r="I213" s="40">
        <f t="shared" si="18"/>
        <v>0.20000450799195879</v>
      </c>
      <c r="J213" s="40">
        <f t="shared" si="19"/>
        <v>0.20000661172153958</v>
      </c>
      <c r="K213" s="41">
        <f t="shared" si="22"/>
        <v>0.79999999989713699</v>
      </c>
      <c r="L213" s="23">
        <f t="shared" si="20"/>
        <v>1.5890410958904109</v>
      </c>
      <c r="M213" s="28">
        <f t="shared" si="21"/>
        <v>31</v>
      </c>
      <c r="N213" s="29" t="s">
        <v>9</v>
      </c>
      <c r="O213" s="30">
        <v>1</v>
      </c>
      <c r="P213" s="31">
        <v>0</v>
      </c>
      <c r="Q213" s="1">
        <v>1</v>
      </c>
      <c r="R213" s="46">
        <v>0.86016367576761255</v>
      </c>
      <c r="S213" s="46">
        <v>-6.7240000000000002</v>
      </c>
      <c r="T213" s="46">
        <v>7.5841636757676127</v>
      </c>
      <c r="U213" s="46">
        <v>-0.176083293523743</v>
      </c>
      <c r="V213" s="46">
        <v>0.21864035922159786</v>
      </c>
      <c r="W213" s="46">
        <v>0.78350466355908122</v>
      </c>
      <c r="X213" s="46">
        <v>10.105522885860026</v>
      </c>
      <c r="Y213" s="46">
        <v>-0.176083293523743</v>
      </c>
      <c r="Z213" s="46">
        <v>0.21864035922159786</v>
      </c>
    </row>
    <row r="214" spans="1:26" x14ac:dyDescent="0.35">
      <c r="A214" s="44">
        <v>44401</v>
      </c>
      <c r="B214" s="20">
        <f t="shared" ref="B214:B277" si="23">WORKDAY(A214,-7)</f>
        <v>44392</v>
      </c>
      <c r="C214" s="35">
        <v>48.75</v>
      </c>
      <c r="D214" s="36"/>
      <c r="E214" s="36"/>
      <c r="F214" s="36">
        <v>18.376000000000001</v>
      </c>
      <c r="G214" s="36">
        <v>25.3</v>
      </c>
      <c r="H214" s="42">
        <v>0</v>
      </c>
      <c r="I214" s="40">
        <f t="shared" ref="I214:I277" si="24">20%+(I213-20%)*0.95</f>
        <v>0.20000428259236086</v>
      </c>
      <c r="J214" s="40">
        <f t="shared" ref="J214:J277" si="25">20%+(J213-20%)*0.95</f>
        <v>0.20000628113546259</v>
      </c>
      <c r="K214" s="41">
        <f t="shared" si="22"/>
        <v>0.79999999990742332</v>
      </c>
      <c r="L214" s="23">
        <f t="shared" ref="L214:L277" si="26">(B214-$B$3)/365</f>
        <v>1.5917808219178082</v>
      </c>
      <c r="M214" s="28">
        <f t="shared" ref="M214:M277" si="27">DAY(EOMONTH(B214,0))</f>
        <v>31</v>
      </c>
      <c r="N214" s="29" t="s">
        <v>9</v>
      </c>
      <c r="O214" s="30">
        <v>1</v>
      </c>
      <c r="P214" s="31">
        <v>0</v>
      </c>
      <c r="Q214" s="1">
        <v>1</v>
      </c>
      <c r="R214" s="46">
        <v>0.86203749843139654</v>
      </c>
      <c r="S214" s="46">
        <v>-6.7240000000000002</v>
      </c>
      <c r="T214" s="46">
        <v>7.5860374984313967</v>
      </c>
      <c r="U214" s="46">
        <v>-0.176255368913393</v>
      </c>
      <c r="V214" s="46">
        <v>0.21887548991209918</v>
      </c>
      <c r="W214" s="46">
        <v>0.78467703638880049</v>
      </c>
      <c r="X214" s="46">
        <v>10.120492090892013</v>
      </c>
      <c r="Y214" s="46">
        <v>-0.176255368913393</v>
      </c>
      <c r="Z214" s="46">
        <v>0.21887548991209918</v>
      </c>
    </row>
    <row r="215" spans="1:26" x14ac:dyDescent="0.35">
      <c r="A215" s="44">
        <v>44402</v>
      </c>
      <c r="B215" s="20">
        <f t="shared" si="23"/>
        <v>44392</v>
      </c>
      <c r="C215" s="35">
        <v>48.75</v>
      </c>
      <c r="D215" s="36"/>
      <c r="E215" s="36"/>
      <c r="F215" s="36">
        <v>18.376000000000001</v>
      </c>
      <c r="G215" s="36">
        <v>25.3</v>
      </c>
      <c r="H215" s="42">
        <v>0</v>
      </c>
      <c r="I215" s="40">
        <f t="shared" si="24"/>
        <v>0.20000406846274282</v>
      </c>
      <c r="J215" s="40">
        <f t="shared" si="25"/>
        <v>0.20000596707868945</v>
      </c>
      <c r="K215" s="41">
        <f t="shared" si="22"/>
        <v>0.79999999991668103</v>
      </c>
      <c r="L215" s="23">
        <f t="shared" si="26"/>
        <v>1.5917808219178082</v>
      </c>
      <c r="M215" s="28">
        <f t="shared" si="27"/>
        <v>31</v>
      </c>
      <c r="N215" s="29" t="s">
        <v>9</v>
      </c>
      <c r="O215" s="30">
        <v>1</v>
      </c>
      <c r="P215" s="31">
        <v>0</v>
      </c>
      <c r="Q215" s="1">
        <v>1</v>
      </c>
      <c r="R215" s="46">
        <v>0.86203415179032916</v>
      </c>
      <c r="S215" s="46">
        <v>-6.7240000000000002</v>
      </c>
      <c r="T215" s="46">
        <v>7.5860341517903294</v>
      </c>
      <c r="U215" s="46">
        <v>-0.17625505398428387</v>
      </c>
      <c r="V215" s="46">
        <v>0.21887507029980033</v>
      </c>
      <c r="W215" s="46">
        <v>0.78468656991500441</v>
      </c>
      <c r="X215" s="46">
        <v>10.120470502731123</v>
      </c>
      <c r="Y215" s="46">
        <v>-0.17625505398428387</v>
      </c>
      <c r="Z215" s="46">
        <v>0.21887507029980033</v>
      </c>
    </row>
    <row r="216" spans="1:26" x14ac:dyDescent="0.35">
      <c r="A216" s="44">
        <v>44403</v>
      </c>
      <c r="B216" s="20">
        <f t="shared" si="23"/>
        <v>44392</v>
      </c>
      <c r="C216" s="35">
        <v>48.75</v>
      </c>
      <c r="D216" s="36"/>
      <c r="E216" s="36"/>
      <c r="F216" s="36">
        <v>18.376000000000001</v>
      </c>
      <c r="G216" s="36">
        <v>25.3</v>
      </c>
      <c r="H216" s="42">
        <v>0</v>
      </c>
      <c r="I216" s="40">
        <f t="shared" si="24"/>
        <v>0.20000386503960568</v>
      </c>
      <c r="J216" s="40">
        <f t="shared" si="25"/>
        <v>0.20000566872475498</v>
      </c>
      <c r="K216" s="41">
        <f t="shared" si="22"/>
        <v>0.79999999992501292</v>
      </c>
      <c r="L216" s="23">
        <f t="shared" si="26"/>
        <v>1.5917808219178082</v>
      </c>
      <c r="M216" s="28">
        <f t="shared" si="27"/>
        <v>31</v>
      </c>
      <c r="N216" s="29" t="s">
        <v>9</v>
      </c>
      <c r="O216" s="30">
        <v>1</v>
      </c>
      <c r="P216" s="31">
        <v>0</v>
      </c>
      <c r="Q216" s="1">
        <v>1</v>
      </c>
      <c r="R216" s="46">
        <v>0.86203097248803928</v>
      </c>
      <c r="S216" s="46">
        <v>-6.7240000000000002</v>
      </c>
      <c r="T216" s="46">
        <v>7.5860309724880395</v>
      </c>
      <c r="U216" s="46">
        <v>-0.17625475480128786</v>
      </c>
      <c r="V216" s="46">
        <v>0.21887467166786626</v>
      </c>
      <c r="W216" s="46">
        <v>0.78469562677943216</v>
      </c>
      <c r="X216" s="46">
        <v>10.120449993938307</v>
      </c>
      <c r="Y216" s="46">
        <v>-0.17625475480128786</v>
      </c>
      <c r="Z216" s="46">
        <v>0.21887467166786626</v>
      </c>
    </row>
    <row r="217" spans="1:26" x14ac:dyDescent="0.35">
      <c r="A217" s="44">
        <v>44404</v>
      </c>
      <c r="B217" s="20">
        <f t="shared" si="23"/>
        <v>44393</v>
      </c>
      <c r="C217" s="35">
        <v>48.75</v>
      </c>
      <c r="D217" s="36"/>
      <c r="E217" s="36"/>
      <c r="F217" s="36">
        <v>18.376000000000001</v>
      </c>
      <c r="G217" s="36">
        <v>25.3</v>
      </c>
      <c r="H217" s="42">
        <v>0</v>
      </c>
      <c r="I217" s="40">
        <f t="shared" si="24"/>
        <v>0.2000036717876254</v>
      </c>
      <c r="J217" s="40">
        <f t="shared" si="25"/>
        <v>0.20000538528851722</v>
      </c>
      <c r="K217" s="41">
        <f t="shared" si="22"/>
        <v>0.79999999993251159</v>
      </c>
      <c r="L217" s="23">
        <f t="shared" si="26"/>
        <v>1.5945205479452054</v>
      </c>
      <c r="M217" s="28">
        <f t="shared" si="27"/>
        <v>31</v>
      </c>
      <c r="N217" s="29" t="s">
        <v>9</v>
      </c>
      <c r="O217" s="30">
        <v>1</v>
      </c>
      <c r="P217" s="31">
        <v>0</v>
      </c>
      <c r="Q217" s="1">
        <v>1</v>
      </c>
      <c r="R217" s="46">
        <v>0.86390482689915515</v>
      </c>
      <c r="S217" s="46">
        <v>-6.7240000000000002</v>
      </c>
      <c r="T217" s="46">
        <v>7.5879048268991554</v>
      </c>
      <c r="U217" s="46">
        <v>-0.17642651034108958</v>
      </c>
      <c r="V217" s="46">
        <v>0.21910943743636999</v>
      </c>
      <c r="W217" s="46">
        <v>0.78586549918779292</v>
      </c>
      <c r="X217" s="46">
        <v>10.135407814625907</v>
      </c>
      <c r="Y217" s="46">
        <v>-0.17642651034108958</v>
      </c>
      <c r="Z217" s="46">
        <v>0.21910943743636999</v>
      </c>
    </row>
    <row r="218" spans="1:26" x14ac:dyDescent="0.35">
      <c r="A218" s="44">
        <v>44405</v>
      </c>
      <c r="B218" s="20">
        <f t="shared" si="23"/>
        <v>44396</v>
      </c>
      <c r="C218" s="35">
        <v>48.75</v>
      </c>
      <c r="D218" s="36"/>
      <c r="E218" s="36"/>
      <c r="F218" s="36">
        <v>18.376000000000001</v>
      </c>
      <c r="G218" s="36">
        <v>25.3</v>
      </c>
      <c r="H218" s="42">
        <v>0</v>
      </c>
      <c r="I218" s="40">
        <f t="shared" si="24"/>
        <v>0.20000348819824412</v>
      </c>
      <c r="J218" s="40">
        <f t="shared" si="25"/>
        <v>0.20000511602409135</v>
      </c>
      <c r="K218" s="41">
        <f t="shared" si="22"/>
        <v>0.79999999993926041</v>
      </c>
      <c r="L218" s="23">
        <f t="shared" si="26"/>
        <v>1.6027397260273972</v>
      </c>
      <c r="M218" s="28">
        <f t="shared" si="27"/>
        <v>31</v>
      </c>
      <c r="N218" s="29" t="s">
        <v>9</v>
      </c>
      <c r="O218" s="30">
        <v>1</v>
      </c>
      <c r="P218" s="31">
        <v>0</v>
      </c>
      <c r="Q218" s="1">
        <v>1</v>
      </c>
      <c r="R218" s="46">
        <v>0.86952984538405076</v>
      </c>
      <c r="S218" s="46">
        <v>-6.7240000000000002</v>
      </c>
      <c r="T218" s="46">
        <v>7.593529845384051</v>
      </c>
      <c r="U218" s="46">
        <v>-0.17694016623005102</v>
      </c>
      <c r="V218" s="46">
        <v>0.21981195582371199</v>
      </c>
      <c r="W218" s="46">
        <v>0.78935077604834003</v>
      </c>
      <c r="X218" s="46">
        <v>10.180234049053459</v>
      </c>
      <c r="Y218" s="46">
        <v>-0.17694016623005102</v>
      </c>
      <c r="Z218" s="46">
        <v>0.21981195582371199</v>
      </c>
    </row>
    <row r="219" spans="1:26" x14ac:dyDescent="0.35">
      <c r="A219" s="44">
        <v>44406</v>
      </c>
      <c r="B219" s="20">
        <f t="shared" si="23"/>
        <v>44397</v>
      </c>
      <c r="C219" s="35">
        <v>48.75</v>
      </c>
      <c r="D219" s="36"/>
      <c r="E219" s="36"/>
      <c r="F219" s="36">
        <v>18.376000000000001</v>
      </c>
      <c r="G219" s="36">
        <v>25.3</v>
      </c>
      <c r="H219" s="42">
        <v>0</v>
      </c>
      <c r="I219" s="40">
        <f t="shared" si="24"/>
        <v>0.20000331378833192</v>
      </c>
      <c r="J219" s="40">
        <f t="shared" si="25"/>
        <v>0.20000486022288677</v>
      </c>
      <c r="K219" s="41">
        <f t="shared" si="22"/>
        <v>0.79999999994533433</v>
      </c>
      <c r="L219" s="23">
        <f t="shared" si="26"/>
        <v>1.6054794520547946</v>
      </c>
      <c r="M219" s="28">
        <f t="shared" si="27"/>
        <v>31</v>
      </c>
      <c r="N219" s="29" t="s">
        <v>9</v>
      </c>
      <c r="O219" s="30">
        <v>1</v>
      </c>
      <c r="P219" s="31">
        <v>0</v>
      </c>
      <c r="Q219" s="1">
        <v>1</v>
      </c>
      <c r="R219" s="46">
        <v>0.87140215321099213</v>
      </c>
      <c r="S219" s="46">
        <v>-6.7240000000000002</v>
      </c>
      <c r="T219" s="46">
        <v>7.5954021532109923</v>
      </c>
      <c r="U219" s="46">
        <v>-0.1771104913996934</v>
      </c>
      <c r="V219" s="46">
        <v>0.22004505945369091</v>
      </c>
      <c r="W219" s="46">
        <v>0.79051539132208171</v>
      </c>
      <c r="X219" s="46">
        <v>10.195135735430883</v>
      </c>
      <c r="Y219" s="46">
        <v>-0.1771104913996934</v>
      </c>
      <c r="Z219" s="46">
        <v>0.22004505945369091</v>
      </c>
    </row>
    <row r="220" spans="1:26" x14ac:dyDescent="0.35">
      <c r="A220" s="44">
        <v>44407</v>
      </c>
      <c r="B220" s="20">
        <f t="shared" si="23"/>
        <v>44398</v>
      </c>
      <c r="C220" s="35">
        <v>48.75</v>
      </c>
      <c r="D220" s="36"/>
      <c r="E220" s="36"/>
      <c r="F220" s="36">
        <v>18.376000000000001</v>
      </c>
      <c r="G220" s="36">
        <v>25.3</v>
      </c>
      <c r="H220" s="42">
        <v>0</v>
      </c>
      <c r="I220" s="40">
        <f t="shared" si="24"/>
        <v>0.20000314809891531</v>
      </c>
      <c r="J220" s="40">
        <f t="shared" si="25"/>
        <v>0.20000461721174242</v>
      </c>
      <c r="K220" s="41">
        <f t="shared" si="22"/>
        <v>0.79999999995080096</v>
      </c>
      <c r="L220" s="23">
        <f t="shared" si="26"/>
        <v>1.6082191780821917</v>
      </c>
      <c r="M220" s="28">
        <f t="shared" si="27"/>
        <v>31</v>
      </c>
      <c r="N220" s="29" t="s">
        <v>9</v>
      </c>
      <c r="O220" s="30">
        <v>1</v>
      </c>
      <c r="P220" s="31">
        <v>0</v>
      </c>
      <c r="Q220" s="1">
        <v>1</v>
      </c>
      <c r="R220" s="46">
        <v>0.87327413356713457</v>
      </c>
      <c r="S220" s="46">
        <v>-6.7240000000000002</v>
      </c>
      <c r="T220" s="46">
        <v>7.5972741335671348</v>
      </c>
      <c r="U220" s="46">
        <v>-0.17728046778490233</v>
      </c>
      <c r="V220" s="46">
        <v>0.22027775864943649</v>
      </c>
      <c r="W220" s="46">
        <v>0.7916785225212345</v>
      </c>
      <c r="X220" s="46">
        <v>10.210023873776779</v>
      </c>
      <c r="Y220" s="46">
        <v>-0.17728046778490233</v>
      </c>
      <c r="Z220" s="46">
        <v>0.22027775864943649</v>
      </c>
    </row>
    <row r="221" spans="1:26" x14ac:dyDescent="0.35">
      <c r="A221" s="44">
        <v>44408</v>
      </c>
      <c r="B221" s="20">
        <f t="shared" si="23"/>
        <v>44399</v>
      </c>
      <c r="C221" s="35">
        <v>48.75</v>
      </c>
      <c r="D221" s="36"/>
      <c r="E221" s="36"/>
      <c r="F221" s="36">
        <v>18.376000000000001</v>
      </c>
      <c r="G221" s="36">
        <v>25.3</v>
      </c>
      <c r="H221" s="42">
        <v>0</v>
      </c>
      <c r="I221" s="40">
        <f t="shared" si="24"/>
        <v>0.20000299069396954</v>
      </c>
      <c r="J221" s="40">
        <f t="shared" si="25"/>
        <v>0.20000438635115531</v>
      </c>
      <c r="K221" s="41">
        <f t="shared" si="22"/>
        <v>0.79999999995572091</v>
      </c>
      <c r="L221" s="23">
        <f t="shared" si="26"/>
        <v>1.6109589041095891</v>
      </c>
      <c r="M221" s="28">
        <f t="shared" si="27"/>
        <v>31</v>
      </c>
      <c r="N221" s="29" t="s">
        <v>9</v>
      </c>
      <c r="O221" s="30">
        <v>1</v>
      </c>
      <c r="P221" s="31">
        <v>0</v>
      </c>
      <c r="Q221" s="1">
        <v>1</v>
      </c>
      <c r="R221" s="46">
        <v>0.87514577909533564</v>
      </c>
      <c r="S221" s="46">
        <v>-6.7240000000000002</v>
      </c>
      <c r="T221" s="46">
        <v>7.5991457790953358</v>
      </c>
      <c r="U221" s="46">
        <v>-0.17745009587949295</v>
      </c>
      <c r="V221" s="46">
        <v>0.22051005383603184</v>
      </c>
      <c r="W221" s="46">
        <v>0.79284018990409211</v>
      </c>
      <c r="X221" s="46">
        <v>10.224898454526521</v>
      </c>
      <c r="Y221" s="46">
        <v>-0.17745009587949295</v>
      </c>
      <c r="Z221" s="46">
        <v>0.22051005383603184</v>
      </c>
    </row>
    <row r="222" spans="1:26" x14ac:dyDescent="0.35">
      <c r="A222" s="44">
        <v>44409</v>
      </c>
      <c r="B222" s="20">
        <f t="shared" si="23"/>
        <v>44399</v>
      </c>
      <c r="C222" s="35">
        <v>48.75</v>
      </c>
      <c r="D222" s="36"/>
      <c r="E222" s="36"/>
      <c r="F222" s="36">
        <v>18.376000000000001</v>
      </c>
      <c r="G222" s="36">
        <v>25.3</v>
      </c>
      <c r="H222" s="42">
        <v>0</v>
      </c>
      <c r="I222" s="40">
        <f t="shared" si="24"/>
        <v>0.20000284115927106</v>
      </c>
      <c r="J222" s="40">
        <f t="shared" si="25"/>
        <v>0.20000416703359755</v>
      </c>
      <c r="K222" s="41">
        <f t="shared" si="22"/>
        <v>0.79999999996014881</v>
      </c>
      <c r="L222" s="23">
        <f t="shared" si="26"/>
        <v>1.6109589041095891</v>
      </c>
      <c r="M222" s="28">
        <f t="shared" si="27"/>
        <v>31</v>
      </c>
      <c r="N222" s="29" t="s">
        <v>9</v>
      </c>
      <c r="O222" s="30">
        <v>1</v>
      </c>
      <c r="P222" s="31">
        <v>0</v>
      </c>
      <c r="Q222" s="1">
        <v>1</v>
      </c>
      <c r="R222" s="46">
        <v>0.87514341789902161</v>
      </c>
      <c r="S222" s="46">
        <v>-6.7240000000000002</v>
      </c>
      <c r="T222" s="46">
        <v>7.5991434178990218</v>
      </c>
      <c r="U222" s="46">
        <v>-0.17744987651727814</v>
      </c>
      <c r="V222" s="46">
        <v>0.22050976100911995</v>
      </c>
      <c r="W222" s="46">
        <v>0.79284692376604149</v>
      </c>
      <c r="X222" s="46">
        <v>10.224883318280407</v>
      </c>
      <c r="Y222" s="46">
        <v>-0.17744987651727814</v>
      </c>
      <c r="Z222" s="46">
        <v>0.22050976100911995</v>
      </c>
    </row>
    <row r="223" spans="1:26" x14ac:dyDescent="0.35">
      <c r="A223" s="44">
        <v>44410</v>
      </c>
      <c r="B223" s="20">
        <f t="shared" si="23"/>
        <v>44399</v>
      </c>
      <c r="C223" s="35">
        <v>48.75</v>
      </c>
      <c r="D223" s="36"/>
      <c r="E223" s="36"/>
      <c r="F223" s="36">
        <v>18.376000000000001</v>
      </c>
      <c r="G223" s="36">
        <v>25.3</v>
      </c>
      <c r="H223" s="42">
        <v>0</v>
      </c>
      <c r="I223" s="40">
        <f t="shared" si="24"/>
        <v>0.2000026991013075</v>
      </c>
      <c r="J223" s="40">
        <f t="shared" si="25"/>
        <v>0.20000395868191767</v>
      </c>
      <c r="K223" s="41">
        <f t="shared" si="22"/>
        <v>0.79999999996413396</v>
      </c>
      <c r="L223" s="23">
        <f t="shared" si="26"/>
        <v>1.6109589041095891</v>
      </c>
      <c r="M223" s="28">
        <f t="shared" si="27"/>
        <v>31</v>
      </c>
      <c r="N223" s="29" t="s">
        <v>9</v>
      </c>
      <c r="O223" s="30">
        <v>1</v>
      </c>
      <c r="P223" s="31">
        <v>0</v>
      </c>
      <c r="Q223" s="1">
        <v>1</v>
      </c>
      <c r="R223" s="46">
        <v>0.87514117476579401</v>
      </c>
      <c r="S223" s="46">
        <v>-6.7240000000000002</v>
      </c>
      <c r="T223" s="46">
        <v>7.5991411747657942</v>
      </c>
      <c r="U223" s="46">
        <v>-0.17744966812300653</v>
      </c>
      <c r="V223" s="46">
        <v>0.22050948282342758</v>
      </c>
      <c r="W223" s="46">
        <v>0.79285332094222161</v>
      </c>
      <c r="X223" s="46">
        <v>10.224868938830305</v>
      </c>
      <c r="Y223" s="46">
        <v>-0.17744966812300653</v>
      </c>
      <c r="Z223" s="46">
        <v>0.22050948282342758</v>
      </c>
    </row>
    <row r="224" spans="1:26" x14ac:dyDescent="0.35">
      <c r="A224" s="44">
        <v>44411</v>
      </c>
      <c r="B224" s="20">
        <f t="shared" si="23"/>
        <v>44400</v>
      </c>
      <c r="C224" s="35">
        <v>48.75</v>
      </c>
      <c r="D224" s="36"/>
      <c r="E224" s="36"/>
      <c r="F224" s="36">
        <v>18.376000000000001</v>
      </c>
      <c r="G224" s="36">
        <v>25.3</v>
      </c>
      <c r="H224" s="42">
        <v>0</v>
      </c>
      <c r="I224" s="40">
        <f t="shared" si="24"/>
        <v>0.20000256414624212</v>
      </c>
      <c r="J224" s="40">
        <f t="shared" si="25"/>
        <v>0.20000376074782178</v>
      </c>
      <c r="K224" s="41">
        <f t="shared" si="22"/>
        <v>0.79999999996772053</v>
      </c>
      <c r="L224" s="23">
        <f t="shared" si="26"/>
        <v>1.6136986301369862</v>
      </c>
      <c r="M224" s="28">
        <f t="shared" si="27"/>
        <v>31</v>
      </c>
      <c r="N224" s="29" t="s">
        <v>9</v>
      </c>
      <c r="O224" s="30">
        <v>1</v>
      </c>
      <c r="P224" s="31">
        <v>0</v>
      </c>
      <c r="Q224" s="1">
        <v>1</v>
      </c>
      <c r="R224" s="46">
        <v>0.87701270228244077</v>
      </c>
      <c r="S224" s="46">
        <v>-6.7240000000000002</v>
      </c>
      <c r="T224" s="46">
        <v>7.601012702282441</v>
      </c>
      <c r="U224" s="46">
        <v>-0.17761896998708071</v>
      </c>
      <c r="V224" s="46">
        <v>0.22074140306980639</v>
      </c>
      <c r="W224" s="46">
        <v>0.79401290745620534</v>
      </c>
      <c r="X224" s="46">
        <v>10.239731414324019</v>
      </c>
      <c r="Y224" s="46">
        <v>-0.17761896998708071</v>
      </c>
      <c r="Z224" s="46">
        <v>0.22074140306980639</v>
      </c>
    </row>
    <row r="225" spans="1:26" x14ac:dyDescent="0.35">
      <c r="A225" s="44">
        <v>44412</v>
      </c>
      <c r="B225" s="20">
        <f t="shared" si="23"/>
        <v>44403</v>
      </c>
      <c r="C225" s="35">
        <v>48.75</v>
      </c>
      <c r="D225" s="36"/>
      <c r="E225" s="36"/>
      <c r="F225" s="36">
        <v>18.376000000000001</v>
      </c>
      <c r="G225" s="36">
        <v>25.3</v>
      </c>
      <c r="H225" s="42">
        <v>0</v>
      </c>
      <c r="I225" s="40">
        <f t="shared" si="24"/>
        <v>0.20000243593893002</v>
      </c>
      <c r="J225" s="40">
        <f t="shared" si="25"/>
        <v>0.20000357271043068</v>
      </c>
      <c r="K225" s="41">
        <f t="shared" si="22"/>
        <v>0.79999999997094851</v>
      </c>
      <c r="L225" s="23">
        <f t="shared" si="26"/>
        <v>1.6219178082191781</v>
      </c>
      <c r="M225" s="28">
        <f t="shared" si="27"/>
        <v>31</v>
      </c>
      <c r="N225" s="29" t="s">
        <v>9</v>
      </c>
      <c r="O225" s="30">
        <v>1</v>
      </c>
      <c r="P225" s="31">
        <v>0</v>
      </c>
      <c r="Q225" s="1">
        <v>1</v>
      </c>
      <c r="R225" s="46">
        <v>0.8826288765100152</v>
      </c>
      <c r="S225" s="46">
        <v>-6.7240000000000002</v>
      </c>
      <c r="T225" s="46">
        <v>7.6066288765100154</v>
      </c>
      <c r="U225" s="46">
        <v>-0.17812513617877759</v>
      </c>
      <c r="V225" s="46">
        <v>0.22143520427092311</v>
      </c>
      <c r="W225" s="46">
        <v>0.79747259719812369</v>
      </c>
      <c r="X225" s="46">
        <v>10.284261078036156</v>
      </c>
      <c r="Y225" s="46">
        <v>-0.17812513617877759</v>
      </c>
      <c r="Z225" s="46">
        <v>0.22143520427092311</v>
      </c>
    </row>
    <row r="226" spans="1:26" x14ac:dyDescent="0.35">
      <c r="A226" s="44">
        <v>44413</v>
      </c>
      <c r="B226" s="20">
        <f t="shared" si="23"/>
        <v>44404</v>
      </c>
      <c r="C226" s="35">
        <v>48.75</v>
      </c>
      <c r="D226" s="36"/>
      <c r="E226" s="36"/>
      <c r="F226" s="36">
        <v>18.376000000000001</v>
      </c>
      <c r="G226" s="36">
        <v>25.3</v>
      </c>
      <c r="H226" s="42">
        <v>0</v>
      </c>
      <c r="I226" s="40">
        <f t="shared" si="24"/>
        <v>0.20000231414198352</v>
      </c>
      <c r="J226" s="40">
        <f t="shared" si="25"/>
        <v>0.20000339407490914</v>
      </c>
      <c r="K226" s="41">
        <f t="shared" si="22"/>
        <v>0.79999999997385363</v>
      </c>
      <c r="L226" s="23">
        <f t="shared" si="26"/>
        <v>1.6246575342465754</v>
      </c>
      <c r="M226" s="28">
        <f t="shared" si="27"/>
        <v>31</v>
      </c>
      <c r="N226" s="29" t="s">
        <v>9</v>
      </c>
      <c r="O226" s="30">
        <v>1</v>
      </c>
      <c r="P226" s="31">
        <v>0</v>
      </c>
      <c r="Q226" s="1">
        <v>1</v>
      </c>
      <c r="R226" s="46">
        <v>0.88449874806856599</v>
      </c>
      <c r="S226" s="46">
        <v>-6.7240000000000002</v>
      </c>
      <c r="T226" s="46">
        <v>7.6084987480685662</v>
      </c>
      <c r="U226" s="46">
        <v>-0.17829303115651277</v>
      </c>
      <c r="V226" s="46">
        <v>0.22166548703829028</v>
      </c>
      <c r="W226" s="46">
        <v>0.79862722066601932</v>
      </c>
      <c r="X226" s="46">
        <v>10.299067793767746</v>
      </c>
      <c r="Y226" s="46">
        <v>-0.17829303115651277</v>
      </c>
      <c r="Z226" s="46">
        <v>0.22166548703829028</v>
      </c>
    </row>
    <row r="227" spans="1:26" x14ac:dyDescent="0.35">
      <c r="A227" s="44">
        <v>44414</v>
      </c>
      <c r="B227" s="20">
        <f t="shared" si="23"/>
        <v>44405</v>
      </c>
      <c r="C227" s="35">
        <v>48.75</v>
      </c>
      <c r="D227" s="36"/>
      <c r="E227" s="36"/>
      <c r="F227" s="36">
        <v>18.376000000000001</v>
      </c>
      <c r="G227" s="36">
        <v>25.3</v>
      </c>
      <c r="H227" s="42">
        <v>0</v>
      </c>
      <c r="I227" s="40">
        <f t="shared" si="24"/>
        <v>0.20000219843488434</v>
      </c>
      <c r="J227" s="40">
        <f t="shared" si="25"/>
        <v>0.20000322437116369</v>
      </c>
      <c r="K227" s="41">
        <f t="shared" si="22"/>
        <v>0.79999999997646831</v>
      </c>
      <c r="L227" s="23">
        <f t="shared" si="26"/>
        <v>1.6273972602739726</v>
      </c>
      <c r="M227" s="28">
        <f t="shared" si="27"/>
        <v>31</v>
      </c>
      <c r="N227" s="29" t="s">
        <v>9</v>
      </c>
      <c r="O227" s="30">
        <v>1</v>
      </c>
      <c r="P227" s="31">
        <v>0</v>
      </c>
      <c r="Q227" s="1">
        <v>1</v>
      </c>
      <c r="R227" s="46">
        <v>0.8863682467812648</v>
      </c>
      <c r="S227" s="46">
        <v>-6.7240000000000002</v>
      </c>
      <c r="T227" s="46">
        <v>7.610368246781265</v>
      </c>
      <c r="U227" s="46">
        <v>-0.17846058134285575</v>
      </c>
      <c r="V227" s="46">
        <v>0.22189536906983731</v>
      </c>
      <c r="W227" s="46">
        <v>0.79978048516800804</v>
      </c>
      <c r="X227" s="46">
        <v>10.313860933052876</v>
      </c>
      <c r="Y227" s="46">
        <v>-0.17846058134285575</v>
      </c>
      <c r="Z227" s="46">
        <v>0.22189536906983731</v>
      </c>
    </row>
    <row r="228" spans="1:26" x14ac:dyDescent="0.35">
      <c r="A228" s="44">
        <v>44415</v>
      </c>
      <c r="B228" s="20">
        <f t="shared" si="23"/>
        <v>44406</v>
      </c>
      <c r="C228" s="35">
        <v>48.75</v>
      </c>
      <c r="D228" s="36"/>
      <c r="E228" s="36"/>
      <c r="F228" s="36">
        <v>18.376000000000001</v>
      </c>
      <c r="G228" s="36">
        <v>25.3</v>
      </c>
      <c r="H228" s="42">
        <v>0</v>
      </c>
      <c r="I228" s="40">
        <f t="shared" si="24"/>
        <v>0.20000208851314014</v>
      </c>
      <c r="J228" s="40">
        <f t="shared" si="25"/>
        <v>0.20000306315260552</v>
      </c>
      <c r="K228" s="41">
        <f t="shared" si="22"/>
        <v>0.79999999997882143</v>
      </c>
      <c r="L228" s="23">
        <f t="shared" si="26"/>
        <v>1.6301369863013699</v>
      </c>
      <c r="M228" s="28">
        <f t="shared" si="27"/>
        <v>31</v>
      </c>
      <c r="N228" s="29" t="s">
        <v>9</v>
      </c>
      <c r="O228" s="30">
        <v>1</v>
      </c>
      <c r="P228" s="31">
        <v>0</v>
      </c>
      <c r="Q228" s="1">
        <v>1</v>
      </c>
      <c r="R228" s="46">
        <v>0.88823736721042934</v>
      </c>
      <c r="S228" s="46">
        <v>-6.7240000000000002</v>
      </c>
      <c r="T228" s="46">
        <v>7.6122373672104295</v>
      </c>
      <c r="U228" s="46">
        <v>-0.17862778739699003</v>
      </c>
      <c r="V228" s="46">
        <v>0.22212485101414395</v>
      </c>
      <c r="W228" s="46">
        <v>0.80093240573292734</v>
      </c>
      <c r="X228" s="46">
        <v>10.328640498330509</v>
      </c>
      <c r="Y228" s="46">
        <v>-0.17862778739699003</v>
      </c>
      <c r="Z228" s="46">
        <v>0.22212485101414395</v>
      </c>
    </row>
    <row r="229" spans="1:26" x14ac:dyDescent="0.35">
      <c r="A229" s="44">
        <v>44416</v>
      </c>
      <c r="B229" s="20">
        <f t="shared" si="23"/>
        <v>44406</v>
      </c>
      <c r="C229" s="35">
        <v>48.75</v>
      </c>
      <c r="D229" s="36"/>
      <c r="E229" s="36"/>
      <c r="F229" s="36">
        <v>18.376000000000001</v>
      </c>
      <c r="G229" s="36">
        <v>25.3</v>
      </c>
      <c r="H229" s="42">
        <v>0</v>
      </c>
      <c r="I229" s="40">
        <f t="shared" si="24"/>
        <v>0.20000198408748313</v>
      </c>
      <c r="J229" s="40">
        <f t="shared" si="25"/>
        <v>0.20000290999497525</v>
      </c>
      <c r="K229" s="41">
        <f t="shared" si="22"/>
        <v>0.79999999998093929</v>
      </c>
      <c r="L229" s="23">
        <f t="shared" si="26"/>
        <v>1.6301369863013699</v>
      </c>
      <c r="M229" s="28">
        <f t="shared" si="27"/>
        <v>31</v>
      </c>
      <c r="N229" s="29" t="s">
        <v>9</v>
      </c>
      <c r="O229" s="30">
        <v>1</v>
      </c>
      <c r="P229" s="31">
        <v>0</v>
      </c>
      <c r="Q229" s="1">
        <v>1</v>
      </c>
      <c r="R229" s="46">
        <v>0.88823570156776199</v>
      </c>
      <c r="S229" s="46">
        <v>-6.7240000000000002</v>
      </c>
      <c r="T229" s="46">
        <v>7.6122357015677622</v>
      </c>
      <c r="U229" s="46">
        <v>-0.17862763460653003</v>
      </c>
      <c r="V229" s="46">
        <v>0.22212464667131571</v>
      </c>
      <c r="W229" s="46">
        <v>0.80093716112888247</v>
      </c>
      <c r="X229" s="46">
        <v>10.328629886476916</v>
      </c>
      <c r="Y229" s="46">
        <v>-0.17862763460653003</v>
      </c>
      <c r="Z229" s="46">
        <v>0.22212464667131571</v>
      </c>
    </row>
    <row r="230" spans="1:26" x14ac:dyDescent="0.35">
      <c r="A230" s="44">
        <v>44417</v>
      </c>
      <c r="B230" s="20">
        <f t="shared" si="23"/>
        <v>44406</v>
      </c>
      <c r="C230" s="35">
        <v>48.75</v>
      </c>
      <c r="D230" s="36"/>
      <c r="E230" s="36"/>
      <c r="F230" s="36">
        <v>18.376000000000001</v>
      </c>
      <c r="G230" s="36">
        <v>25.3</v>
      </c>
      <c r="H230" s="42">
        <v>0</v>
      </c>
      <c r="I230" s="40">
        <f t="shared" si="24"/>
        <v>0.20000188488310897</v>
      </c>
      <c r="J230" s="40">
        <f t="shared" si="25"/>
        <v>0.2000027644952265</v>
      </c>
      <c r="K230" s="41">
        <f t="shared" si="22"/>
        <v>0.79999999998284532</v>
      </c>
      <c r="L230" s="23">
        <f t="shared" si="26"/>
        <v>1.6301369863013699</v>
      </c>
      <c r="M230" s="28">
        <f t="shared" si="27"/>
        <v>31</v>
      </c>
      <c r="N230" s="29" t="s">
        <v>9</v>
      </c>
      <c r="O230" s="30">
        <v>1</v>
      </c>
      <c r="P230" s="31">
        <v>0</v>
      </c>
      <c r="Q230" s="1">
        <v>1</v>
      </c>
      <c r="R230" s="46">
        <v>0.88823411920882478</v>
      </c>
      <c r="S230" s="46">
        <v>-6.7240000000000002</v>
      </c>
      <c r="T230" s="46">
        <v>7.612234119208825</v>
      </c>
      <c r="U230" s="46">
        <v>-0.17862748945551385</v>
      </c>
      <c r="V230" s="46">
        <v>0.22212445254556001</v>
      </c>
      <c r="W230" s="46">
        <v>0.80094167876157119</v>
      </c>
      <c r="X230" s="46">
        <v>10.328619805204456</v>
      </c>
      <c r="Y230" s="46">
        <v>-0.17862748945551385</v>
      </c>
      <c r="Z230" s="46">
        <v>0.22212445254556001</v>
      </c>
    </row>
    <row r="231" spans="1:26" x14ac:dyDescent="0.35">
      <c r="A231" s="44">
        <v>44418</v>
      </c>
      <c r="B231" s="20">
        <f t="shared" si="23"/>
        <v>44407</v>
      </c>
      <c r="C231" s="35">
        <v>48.75</v>
      </c>
      <c r="D231" s="36"/>
      <c r="E231" s="36"/>
      <c r="F231" s="36">
        <v>18.376000000000001</v>
      </c>
      <c r="G231" s="36">
        <v>25.3</v>
      </c>
      <c r="H231" s="42">
        <v>0</v>
      </c>
      <c r="I231" s="40">
        <f t="shared" si="24"/>
        <v>0.20000179063895351</v>
      </c>
      <c r="J231" s="40">
        <f t="shared" si="25"/>
        <v>0.20000262627046517</v>
      </c>
      <c r="K231" s="41">
        <f t="shared" si="22"/>
        <v>0.79999999998456084</v>
      </c>
      <c r="L231" s="23">
        <f t="shared" si="26"/>
        <v>1.6328767123287671</v>
      </c>
      <c r="M231" s="28">
        <f t="shared" si="27"/>
        <v>31</v>
      </c>
      <c r="N231" s="29" t="s">
        <v>9</v>
      </c>
      <c r="O231" s="30">
        <v>1</v>
      </c>
      <c r="P231" s="31">
        <v>0</v>
      </c>
      <c r="Q231" s="1">
        <v>1</v>
      </c>
      <c r="R231" s="46">
        <v>0.89010301413070003</v>
      </c>
      <c r="S231" s="46">
        <v>-6.7240000000000002</v>
      </c>
      <c r="T231" s="46">
        <v>7.6141030141307002</v>
      </c>
      <c r="U231" s="46">
        <v>-0.17879436705799998</v>
      </c>
      <c r="V231" s="46">
        <v>0.22235355504004489</v>
      </c>
      <c r="W231" s="46">
        <v>0.80209182009988422</v>
      </c>
      <c r="X231" s="46">
        <v>10.343386823997097</v>
      </c>
      <c r="Y231" s="46">
        <v>-0.17879436705799998</v>
      </c>
      <c r="Z231" s="46">
        <v>0.22235355504004489</v>
      </c>
    </row>
    <row r="232" spans="1:26" x14ac:dyDescent="0.35">
      <c r="A232" s="44">
        <v>44419</v>
      </c>
      <c r="B232" s="20">
        <f t="shared" si="23"/>
        <v>44410</v>
      </c>
      <c r="C232" s="35">
        <v>48.75</v>
      </c>
      <c r="D232" s="36"/>
      <c r="E232" s="36"/>
      <c r="F232" s="36">
        <v>18.376000000000001</v>
      </c>
      <c r="G232" s="36">
        <v>25.3</v>
      </c>
      <c r="H232" s="42">
        <v>0</v>
      </c>
      <c r="I232" s="40">
        <f t="shared" si="24"/>
        <v>0.20000170110700582</v>
      </c>
      <c r="J232" s="40">
        <f t="shared" si="25"/>
        <v>0.20000249495694192</v>
      </c>
      <c r="K232" s="41">
        <f t="shared" si="22"/>
        <v>0.79999999998610472</v>
      </c>
      <c r="L232" s="23">
        <f t="shared" si="26"/>
        <v>1.6410958904109589</v>
      </c>
      <c r="M232" s="28">
        <f t="shared" si="27"/>
        <v>31</v>
      </c>
      <c r="N232" s="29" t="s">
        <v>9</v>
      </c>
      <c r="O232" s="30">
        <v>1</v>
      </c>
      <c r="P232" s="31">
        <v>0</v>
      </c>
      <c r="Q232" s="1">
        <v>1</v>
      </c>
      <c r="R232" s="46">
        <v>0.89570996501462297</v>
      </c>
      <c r="S232" s="46">
        <v>-6.7240000000000002</v>
      </c>
      <c r="T232" s="46">
        <v>7.6197099650146232</v>
      </c>
      <c r="U232" s="46">
        <v>-0.1792931840926193</v>
      </c>
      <c r="V232" s="46">
        <v>0.22303879173475613</v>
      </c>
      <c r="W232" s="46">
        <v>0.80552692839455087</v>
      </c>
      <c r="X232" s="46">
        <v>10.387623114689589</v>
      </c>
      <c r="Y232" s="46">
        <v>-0.1792931840926193</v>
      </c>
      <c r="Z232" s="46">
        <v>0.22303879173475613</v>
      </c>
    </row>
    <row r="233" spans="1:26" x14ac:dyDescent="0.35">
      <c r="A233" s="44">
        <v>44420</v>
      </c>
      <c r="B233" s="20">
        <f t="shared" si="23"/>
        <v>44411</v>
      </c>
      <c r="C233" s="35">
        <v>48.75</v>
      </c>
      <c r="D233" s="36"/>
      <c r="E233" s="36"/>
      <c r="F233" s="36">
        <v>18.376000000000001</v>
      </c>
      <c r="G233" s="36">
        <v>25.3</v>
      </c>
      <c r="H233" s="42">
        <v>0</v>
      </c>
      <c r="I233" s="40">
        <f t="shared" si="24"/>
        <v>0.20000161605165553</v>
      </c>
      <c r="J233" s="40">
        <f t="shared" si="25"/>
        <v>0.20000237020909481</v>
      </c>
      <c r="K233" s="41">
        <f t="shared" si="22"/>
        <v>0.79999999998749427</v>
      </c>
      <c r="L233" s="23">
        <f t="shared" si="26"/>
        <v>1.6438356164383561</v>
      </c>
      <c r="M233" s="28">
        <f t="shared" si="27"/>
        <v>31</v>
      </c>
      <c r="N233" s="29" t="s">
        <v>9</v>
      </c>
      <c r="O233" s="30">
        <v>1</v>
      </c>
      <c r="P233" s="31">
        <v>0</v>
      </c>
      <c r="Q233" s="1">
        <v>1</v>
      </c>
      <c r="R233" s="46">
        <v>0.89757711999780199</v>
      </c>
      <c r="S233" s="46">
        <v>-6.7240000000000002</v>
      </c>
      <c r="T233" s="46">
        <v>7.6215771199978022</v>
      </c>
      <c r="U233" s="46">
        <v>-0.17945867997599041</v>
      </c>
      <c r="V233" s="46">
        <v>0.22326628379613311</v>
      </c>
      <c r="W233" s="46">
        <v>0.80667233428845297</v>
      </c>
      <c r="X233" s="46">
        <v>10.402334892121143</v>
      </c>
      <c r="Y233" s="46">
        <v>-0.17945867997599041</v>
      </c>
      <c r="Z233" s="46">
        <v>0.22326628379613311</v>
      </c>
    </row>
    <row r="234" spans="1:26" x14ac:dyDescent="0.35">
      <c r="A234" s="44">
        <v>44421</v>
      </c>
      <c r="B234" s="20">
        <f t="shared" si="23"/>
        <v>44412</v>
      </c>
      <c r="C234" s="35">
        <v>48.75</v>
      </c>
      <c r="D234" s="36"/>
      <c r="E234" s="36"/>
      <c r="F234" s="36">
        <v>18.376000000000001</v>
      </c>
      <c r="G234" s="36">
        <v>25.3</v>
      </c>
      <c r="H234" s="42">
        <v>0</v>
      </c>
      <c r="I234" s="40">
        <f t="shared" si="24"/>
        <v>0.20000153524907277</v>
      </c>
      <c r="J234" s="40">
        <f t="shared" si="25"/>
        <v>0.20000225169864008</v>
      </c>
      <c r="K234" s="41">
        <f t="shared" si="22"/>
        <v>0.79999999998874483</v>
      </c>
      <c r="L234" s="23">
        <f t="shared" si="26"/>
        <v>1.6465753424657534</v>
      </c>
      <c r="M234" s="28">
        <f t="shared" si="27"/>
        <v>31</v>
      </c>
      <c r="N234" s="29" t="s">
        <v>9</v>
      </c>
      <c r="O234" s="30">
        <v>1</v>
      </c>
      <c r="P234" s="31">
        <v>0</v>
      </c>
      <c r="Q234" s="1">
        <v>1</v>
      </c>
      <c r="R234" s="46">
        <v>0.89944386845782809</v>
      </c>
      <c r="S234" s="46">
        <v>-6.7240000000000002</v>
      </c>
      <c r="T234" s="46">
        <v>7.6234438684578283</v>
      </c>
      <c r="U234" s="46">
        <v>-0.17962383602919493</v>
      </c>
      <c r="V234" s="46">
        <v>0.22349338013743847</v>
      </c>
      <c r="W234" s="46">
        <v>0.80781647454489036</v>
      </c>
      <c r="X234" s="46">
        <v>10.417033136626237</v>
      </c>
      <c r="Y234" s="46">
        <v>-0.17962383602919493</v>
      </c>
      <c r="Z234" s="46">
        <v>0.22349338013743847</v>
      </c>
    </row>
    <row r="235" spans="1:26" x14ac:dyDescent="0.35">
      <c r="A235" s="44">
        <v>44422</v>
      </c>
      <c r="B235" s="20">
        <f t="shared" si="23"/>
        <v>44413</v>
      </c>
      <c r="C235" s="35">
        <v>48.75</v>
      </c>
      <c r="D235" s="36"/>
      <c r="E235" s="36"/>
      <c r="F235" s="36">
        <v>18.376000000000001</v>
      </c>
      <c r="G235" s="36">
        <v>25.3</v>
      </c>
      <c r="H235" s="42">
        <v>0</v>
      </c>
      <c r="I235" s="40">
        <f t="shared" si="24"/>
        <v>0.20000145848661913</v>
      </c>
      <c r="J235" s="40">
        <f t="shared" si="25"/>
        <v>0.20000213911370807</v>
      </c>
      <c r="K235" s="41">
        <f t="shared" si="22"/>
        <v>0.79999999998987037</v>
      </c>
      <c r="L235" s="23">
        <f t="shared" si="26"/>
        <v>1.6493150684931508</v>
      </c>
      <c r="M235" s="28">
        <f t="shared" si="27"/>
        <v>31</v>
      </c>
      <c r="N235" s="29" t="s">
        <v>9</v>
      </c>
      <c r="O235" s="30">
        <v>1</v>
      </c>
      <c r="P235" s="31">
        <v>0</v>
      </c>
      <c r="Q235" s="1">
        <v>1</v>
      </c>
      <c r="R235" s="46">
        <v>0.90131020633254266</v>
      </c>
      <c r="S235" s="46">
        <v>-6.7240000000000002</v>
      </c>
      <c r="T235" s="46">
        <v>7.6253102063325429</v>
      </c>
      <c r="U235" s="46">
        <v>-0.17978865301780214</v>
      </c>
      <c r="V235" s="46">
        <v>0.22372008155367479</v>
      </c>
      <c r="W235" s="46">
        <v>0.80895936047425354</v>
      </c>
      <c r="X235" s="46">
        <v>10.431717858855134</v>
      </c>
      <c r="Y235" s="46">
        <v>-0.17978865301780214</v>
      </c>
      <c r="Z235" s="46">
        <v>0.22372008155367479</v>
      </c>
    </row>
    <row r="236" spans="1:26" x14ac:dyDescent="0.35">
      <c r="A236" s="44">
        <v>44423</v>
      </c>
      <c r="B236" s="20">
        <f t="shared" si="23"/>
        <v>44413</v>
      </c>
      <c r="C236" s="35">
        <v>48.75</v>
      </c>
      <c r="D236" s="36"/>
      <c r="E236" s="36"/>
      <c r="F236" s="36">
        <v>18.376000000000001</v>
      </c>
      <c r="G236" s="36">
        <v>25.3</v>
      </c>
      <c r="H236" s="42">
        <v>0</v>
      </c>
      <c r="I236" s="40">
        <f t="shared" si="24"/>
        <v>0.20000138556228816</v>
      </c>
      <c r="J236" s="40">
        <f t="shared" si="25"/>
        <v>0.20000203215802267</v>
      </c>
      <c r="K236" s="41">
        <f t="shared" si="22"/>
        <v>0.79999999999088334</v>
      </c>
      <c r="L236" s="23">
        <f t="shared" si="26"/>
        <v>1.6493150684931508</v>
      </c>
      <c r="M236" s="28">
        <f t="shared" si="27"/>
        <v>31</v>
      </c>
      <c r="N236" s="29" t="s">
        <v>9</v>
      </c>
      <c r="O236" s="30">
        <v>1</v>
      </c>
      <c r="P236" s="31">
        <v>0</v>
      </c>
      <c r="Q236" s="1">
        <v>1</v>
      </c>
      <c r="R236" s="46">
        <v>0.90130903154299169</v>
      </c>
      <c r="S236" s="46">
        <v>-6.7240000000000002</v>
      </c>
      <c r="T236" s="46">
        <v>7.6253090315429919</v>
      </c>
      <c r="U236" s="46">
        <v>-0.17978854659931789</v>
      </c>
      <c r="V236" s="46">
        <v>0.22371993896192577</v>
      </c>
      <c r="W236" s="46">
        <v>0.80896271804035813</v>
      </c>
      <c r="X236" s="46">
        <v>10.431710419477358</v>
      </c>
      <c r="Y236" s="46">
        <v>-0.17978854659931789</v>
      </c>
      <c r="Z236" s="46">
        <v>0.22371993896192577</v>
      </c>
    </row>
    <row r="237" spans="1:26" x14ac:dyDescent="0.35">
      <c r="A237" s="44">
        <v>44424</v>
      </c>
      <c r="B237" s="20">
        <f t="shared" si="23"/>
        <v>44413</v>
      </c>
      <c r="C237" s="35">
        <v>48.75</v>
      </c>
      <c r="D237" s="36"/>
      <c r="E237" s="36"/>
      <c r="F237" s="36">
        <v>18.376000000000001</v>
      </c>
      <c r="G237" s="36">
        <v>25.3</v>
      </c>
      <c r="H237" s="42">
        <v>0</v>
      </c>
      <c r="I237" s="40">
        <f t="shared" si="24"/>
        <v>0.20000131628417375</v>
      </c>
      <c r="J237" s="40">
        <f t="shared" si="25"/>
        <v>0.20000193055012155</v>
      </c>
      <c r="K237" s="41">
        <f t="shared" si="22"/>
        <v>0.79999999999179505</v>
      </c>
      <c r="L237" s="23">
        <f t="shared" si="26"/>
        <v>1.6493150684931508</v>
      </c>
      <c r="M237" s="28">
        <f t="shared" si="27"/>
        <v>31</v>
      </c>
      <c r="N237" s="29" t="s">
        <v>9</v>
      </c>
      <c r="O237" s="30">
        <v>1</v>
      </c>
      <c r="P237" s="31">
        <v>0</v>
      </c>
      <c r="Q237" s="1">
        <v>1</v>
      </c>
      <c r="R237" s="46">
        <v>0.90130791549368361</v>
      </c>
      <c r="S237" s="46">
        <v>-6.7240000000000002</v>
      </c>
      <c r="T237" s="46">
        <v>7.6253079154936838</v>
      </c>
      <c r="U237" s="46">
        <v>-0.17978844550170481</v>
      </c>
      <c r="V237" s="46">
        <v>0.22371980349972795</v>
      </c>
      <c r="W237" s="46">
        <v>0.80896590772818278</v>
      </c>
      <c r="X237" s="46">
        <v>10.431703352064654</v>
      </c>
      <c r="Y237" s="46">
        <v>-0.17978844550170481</v>
      </c>
      <c r="Z237" s="46">
        <v>0.22371980349972795</v>
      </c>
    </row>
    <row r="238" spans="1:26" x14ac:dyDescent="0.35">
      <c r="A238" s="44">
        <v>44425</v>
      </c>
      <c r="B238" s="20">
        <f t="shared" si="23"/>
        <v>44414</v>
      </c>
      <c r="C238" s="35">
        <v>48.75</v>
      </c>
      <c r="D238" s="36"/>
      <c r="E238" s="36"/>
      <c r="F238" s="36">
        <v>18.376000000000001</v>
      </c>
      <c r="G238" s="36">
        <v>25.3</v>
      </c>
      <c r="H238" s="42">
        <v>0</v>
      </c>
      <c r="I238" s="40">
        <f t="shared" si="24"/>
        <v>0.20000125046996506</v>
      </c>
      <c r="J238" s="40">
        <f t="shared" si="25"/>
        <v>0.20000183402261548</v>
      </c>
      <c r="K238" s="41">
        <f t="shared" si="22"/>
        <v>0.79999999999261551</v>
      </c>
      <c r="L238" s="23">
        <f t="shared" si="26"/>
        <v>1.6520547945205479</v>
      </c>
      <c r="M238" s="28">
        <f t="shared" si="27"/>
        <v>31</v>
      </c>
      <c r="N238" s="29" t="s">
        <v>9</v>
      </c>
      <c r="O238" s="30">
        <v>1</v>
      </c>
      <c r="P238" s="31">
        <v>0</v>
      </c>
      <c r="Q238" s="1">
        <v>1</v>
      </c>
      <c r="R238" s="46">
        <v>0.90317395036382386</v>
      </c>
      <c r="S238" s="46">
        <v>-6.7240000000000002</v>
      </c>
      <c r="T238" s="46">
        <v>7.6271739503638241</v>
      </c>
      <c r="U238" s="46">
        <v>-0.17995293465326989</v>
      </c>
      <c r="V238" s="46">
        <v>0.22394612473403205</v>
      </c>
      <c r="W238" s="46">
        <v>0.81010723251605732</v>
      </c>
      <c r="X238" s="46">
        <v>10.446375281413921</v>
      </c>
      <c r="Y238" s="46">
        <v>-0.17995293465326989</v>
      </c>
      <c r="Z238" s="46">
        <v>0.22394612473403205</v>
      </c>
    </row>
    <row r="239" spans="1:26" x14ac:dyDescent="0.35">
      <c r="A239" s="44">
        <v>44426</v>
      </c>
      <c r="B239" s="20">
        <f t="shared" si="23"/>
        <v>44417</v>
      </c>
      <c r="C239" s="35">
        <v>48.75</v>
      </c>
      <c r="D239" s="36"/>
      <c r="E239" s="36"/>
      <c r="F239" s="36">
        <v>18.376000000000001</v>
      </c>
      <c r="G239" s="36">
        <v>25.3</v>
      </c>
      <c r="H239" s="42">
        <v>0</v>
      </c>
      <c r="I239" s="40">
        <f t="shared" si="24"/>
        <v>0.20000118794646682</v>
      </c>
      <c r="J239" s="40">
        <f t="shared" si="25"/>
        <v>0.20000174232148471</v>
      </c>
      <c r="K239" s="41">
        <f t="shared" si="22"/>
        <v>0.79999999999335392</v>
      </c>
      <c r="L239" s="23">
        <f t="shared" si="26"/>
        <v>1.6602739726027398</v>
      </c>
      <c r="M239" s="28">
        <f t="shared" si="27"/>
        <v>31</v>
      </c>
      <c r="N239" s="29" t="s">
        <v>9</v>
      </c>
      <c r="O239" s="30">
        <v>1</v>
      </c>
      <c r="P239" s="31">
        <v>0</v>
      </c>
      <c r="Q239" s="1">
        <v>1</v>
      </c>
      <c r="R239" s="46">
        <v>0.90877137625081872</v>
      </c>
      <c r="S239" s="46">
        <v>-6.7240000000000002</v>
      </c>
      <c r="T239" s="46">
        <v>7.6327713762508189</v>
      </c>
      <c r="U239" s="46">
        <v>-0.1804445460244167</v>
      </c>
      <c r="V239" s="46">
        <v>0.22462295441025631</v>
      </c>
      <c r="W239" s="46">
        <v>0.81351857232342295</v>
      </c>
      <c r="X239" s="46">
        <v>10.490321770051001</v>
      </c>
      <c r="Y239" s="46">
        <v>-0.1804445460244167</v>
      </c>
      <c r="Z239" s="46">
        <v>0.22462295441025631</v>
      </c>
    </row>
    <row r="240" spans="1:26" x14ac:dyDescent="0.35">
      <c r="A240" s="44">
        <v>44427</v>
      </c>
      <c r="B240" s="20">
        <f t="shared" si="23"/>
        <v>44418</v>
      </c>
      <c r="C240" s="35">
        <v>48.75</v>
      </c>
      <c r="D240" s="36"/>
      <c r="E240" s="36"/>
      <c r="F240" s="36">
        <v>18.376000000000001</v>
      </c>
      <c r="G240" s="36">
        <v>25.3</v>
      </c>
      <c r="H240" s="42">
        <v>0</v>
      </c>
      <c r="I240" s="40">
        <f t="shared" si="24"/>
        <v>0.20000112854914348</v>
      </c>
      <c r="J240" s="40">
        <f t="shared" si="25"/>
        <v>0.20000165520541047</v>
      </c>
      <c r="K240" s="41">
        <f t="shared" si="22"/>
        <v>0.7999999999940185</v>
      </c>
      <c r="L240" s="23">
        <f t="shared" si="26"/>
        <v>1.6630136986301369</v>
      </c>
      <c r="M240" s="28">
        <f t="shared" si="27"/>
        <v>31</v>
      </c>
      <c r="N240" s="29" t="s">
        <v>9</v>
      </c>
      <c r="O240" s="30">
        <v>1</v>
      </c>
      <c r="P240" s="31">
        <v>0</v>
      </c>
      <c r="Q240" s="1">
        <v>1</v>
      </c>
      <c r="R240" s="46">
        <v>0.910635605683213</v>
      </c>
      <c r="S240" s="46">
        <v>-6.7240000000000002</v>
      </c>
      <c r="T240" s="46">
        <v>7.6346356056832132</v>
      </c>
      <c r="U240" s="46">
        <v>-0.18060767955002638</v>
      </c>
      <c r="V240" s="46">
        <v>0.22484769365483898</v>
      </c>
      <c r="W240" s="46">
        <v>0.81465534174644305</v>
      </c>
      <c r="X240" s="46">
        <v>10.504939071923332</v>
      </c>
      <c r="Y240" s="46">
        <v>-0.18060767955002638</v>
      </c>
      <c r="Z240" s="46">
        <v>0.22484769365483898</v>
      </c>
    </row>
    <row r="241" spans="1:26" x14ac:dyDescent="0.35">
      <c r="A241" s="44">
        <v>44428</v>
      </c>
      <c r="B241" s="20">
        <f t="shared" si="23"/>
        <v>44419</v>
      </c>
      <c r="C241" s="35">
        <v>48.75</v>
      </c>
      <c r="D241" s="36"/>
      <c r="E241" s="36"/>
      <c r="F241" s="36">
        <v>18.376000000000001</v>
      </c>
      <c r="G241" s="36">
        <v>25.3</v>
      </c>
      <c r="H241" s="42">
        <v>0</v>
      </c>
      <c r="I241" s="40">
        <f t="shared" si="24"/>
        <v>0.2000010721216863</v>
      </c>
      <c r="J241" s="40">
        <f t="shared" si="25"/>
        <v>0.20000157244513994</v>
      </c>
      <c r="K241" s="41">
        <f t="shared" si="22"/>
        <v>0.79999999999461668</v>
      </c>
      <c r="L241" s="23">
        <f t="shared" si="26"/>
        <v>1.6657534246575343</v>
      </c>
      <c r="M241" s="28">
        <f t="shared" si="27"/>
        <v>31</v>
      </c>
      <c r="N241" s="29" t="s">
        <v>9</v>
      </c>
      <c r="O241" s="30">
        <v>1</v>
      </c>
      <c r="P241" s="31">
        <v>0</v>
      </c>
      <c r="Q241" s="1">
        <v>1</v>
      </c>
      <c r="R241" s="46">
        <v>0.9124994033110454</v>
      </c>
      <c r="S241" s="46">
        <v>-6.7240000000000002</v>
      </c>
      <c r="T241" s="46">
        <v>7.6364994033110456</v>
      </c>
      <c r="U241" s="46">
        <v>-0.18077047882027264</v>
      </c>
      <c r="V241" s="46">
        <v>0.22507204304833459</v>
      </c>
      <c r="W241" s="46">
        <v>0.81579091625491107</v>
      </c>
      <c r="X241" s="46">
        <v>10.519542933482994</v>
      </c>
      <c r="Y241" s="46">
        <v>-0.18077047882027264</v>
      </c>
      <c r="Z241" s="46">
        <v>0.22507204304833459</v>
      </c>
    </row>
    <row r="242" spans="1:26" x14ac:dyDescent="0.35">
      <c r="A242" s="44">
        <v>44429</v>
      </c>
      <c r="B242" s="20">
        <f t="shared" si="23"/>
        <v>44420</v>
      </c>
      <c r="C242" s="35">
        <v>48.75</v>
      </c>
      <c r="D242" s="36"/>
      <c r="E242" s="36"/>
      <c r="F242" s="36">
        <v>18.376000000000001</v>
      </c>
      <c r="G242" s="36">
        <v>25.3</v>
      </c>
      <c r="H242" s="42">
        <v>0</v>
      </c>
      <c r="I242" s="40">
        <f t="shared" si="24"/>
        <v>0.20000101851560198</v>
      </c>
      <c r="J242" s="40">
        <f t="shared" si="25"/>
        <v>0.20000149382288296</v>
      </c>
      <c r="K242" s="41">
        <f t="shared" si="22"/>
        <v>0.79999999999515503</v>
      </c>
      <c r="L242" s="23">
        <f t="shared" si="26"/>
        <v>1.6684931506849314</v>
      </c>
      <c r="M242" s="28">
        <f t="shared" si="27"/>
        <v>31</v>
      </c>
      <c r="N242" s="29" t="s">
        <v>9</v>
      </c>
      <c r="O242" s="30">
        <v>1</v>
      </c>
      <c r="P242" s="31">
        <v>0</v>
      </c>
      <c r="Q242" s="1">
        <v>1</v>
      </c>
      <c r="R242" s="46">
        <v>0.9143627660619309</v>
      </c>
      <c r="S242" s="46">
        <v>-6.7240000000000002</v>
      </c>
      <c r="T242" s="46">
        <v>7.6383627660619311</v>
      </c>
      <c r="U242" s="46">
        <v>-0.1809329446662927</v>
      </c>
      <c r="V242" s="46">
        <v>0.2252960034786374</v>
      </c>
      <c r="W242" s="46">
        <v>0.81692530451812184</v>
      </c>
      <c r="X242" s="46">
        <v>10.534133370969123</v>
      </c>
      <c r="Y242" s="46">
        <v>-0.1809329446662927</v>
      </c>
      <c r="Z242" s="46">
        <v>0.2252960034786374</v>
      </c>
    </row>
    <row r="243" spans="1:26" x14ac:dyDescent="0.35">
      <c r="A243" s="44">
        <v>44430</v>
      </c>
      <c r="B243" s="20">
        <f t="shared" si="23"/>
        <v>44420</v>
      </c>
      <c r="C243" s="35">
        <v>48.75</v>
      </c>
      <c r="D243" s="36"/>
      <c r="E243" s="36"/>
      <c r="F243" s="36">
        <v>18.376000000000001</v>
      </c>
      <c r="G243" s="36">
        <v>25.3</v>
      </c>
      <c r="H243" s="42">
        <v>0</v>
      </c>
      <c r="I243" s="40">
        <f t="shared" si="24"/>
        <v>0.20000096758982189</v>
      </c>
      <c r="J243" s="40">
        <f t="shared" si="25"/>
        <v>0.2000014191317388</v>
      </c>
      <c r="K243" s="41">
        <f t="shared" si="22"/>
        <v>0.79999999999563953</v>
      </c>
      <c r="L243" s="23">
        <f t="shared" si="26"/>
        <v>1.6684931506849314</v>
      </c>
      <c r="M243" s="28">
        <f t="shared" si="27"/>
        <v>31</v>
      </c>
      <c r="N243" s="29" t="s">
        <v>9</v>
      </c>
      <c r="O243" s="30">
        <v>1</v>
      </c>
      <c r="P243" s="31">
        <v>0</v>
      </c>
      <c r="Q243" s="1">
        <v>1</v>
      </c>
      <c r="R243" s="46">
        <v>0.91436193760752538</v>
      </c>
      <c r="S243" s="46">
        <v>-6.7240000000000002</v>
      </c>
      <c r="T243" s="46">
        <v>7.6383619376075256</v>
      </c>
      <c r="U243" s="46">
        <v>-0.18093287054800677</v>
      </c>
      <c r="V243" s="46">
        <v>0.22529590398007007</v>
      </c>
      <c r="W243" s="46">
        <v>0.81692767469166605</v>
      </c>
      <c r="X243" s="46">
        <v>10.534128155957449</v>
      </c>
      <c r="Y243" s="46">
        <v>-0.18093287054800677</v>
      </c>
      <c r="Z243" s="46">
        <v>0.22529590398007007</v>
      </c>
    </row>
    <row r="244" spans="1:26" x14ac:dyDescent="0.35">
      <c r="A244" s="44">
        <v>44431</v>
      </c>
      <c r="B244" s="20">
        <f t="shared" si="23"/>
        <v>44420</v>
      </c>
      <c r="C244" s="35">
        <v>48.75</v>
      </c>
      <c r="D244" s="36"/>
      <c r="E244" s="36"/>
      <c r="F244" s="36">
        <v>18.376000000000001</v>
      </c>
      <c r="G244" s="36">
        <v>25.3</v>
      </c>
      <c r="H244" s="42">
        <v>0</v>
      </c>
      <c r="I244" s="40">
        <f t="shared" si="24"/>
        <v>0.20000091921033081</v>
      </c>
      <c r="J244" s="40">
        <f t="shared" si="25"/>
        <v>0.20000134817515186</v>
      </c>
      <c r="K244" s="41">
        <f t="shared" si="22"/>
        <v>0.79999999999607563</v>
      </c>
      <c r="L244" s="23">
        <f t="shared" si="26"/>
        <v>1.6684931506849314</v>
      </c>
      <c r="M244" s="28">
        <f t="shared" si="27"/>
        <v>31</v>
      </c>
      <c r="N244" s="29" t="s">
        <v>9</v>
      </c>
      <c r="O244" s="30">
        <v>1</v>
      </c>
      <c r="P244" s="31">
        <v>0</v>
      </c>
      <c r="Q244" s="1">
        <v>1</v>
      </c>
      <c r="R244" s="46">
        <v>0.91436115057621414</v>
      </c>
      <c r="S244" s="46">
        <v>-6.7240000000000002</v>
      </c>
      <c r="T244" s="46">
        <v>7.6383611505762143</v>
      </c>
      <c r="U244" s="46">
        <v>-0.18093280013561464</v>
      </c>
      <c r="V244" s="46">
        <v>0.22529580945641506</v>
      </c>
      <c r="W244" s="46">
        <v>0.81692992635762895</v>
      </c>
      <c r="X244" s="46">
        <v>10.534123201695882</v>
      </c>
      <c r="Y244" s="46">
        <v>-0.18093280013561464</v>
      </c>
      <c r="Z244" s="46">
        <v>0.22529580945641506</v>
      </c>
    </row>
    <row r="245" spans="1:26" x14ac:dyDescent="0.35">
      <c r="A245" s="44">
        <v>44432</v>
      </c>
      <c r="B245" s="20">
        <f t="shared" si="23"/>
        <v>44421</v>
      </c>
      <c r="C245" s="35">
        <v>48.75</v>
      </c>
      <c r="D245" s="36"/>
      <c r="E245" s="36"/>
      <c r="F245" s="36">
        <v>18.376000000000001</v>
      </c>
      <c r="G245" s="36">
        <v>25.3</v>
      </c>
      <c r="H245" s="42">
        <v>0</v>
      </c>
      <c r="I245" s="40">
        <f t="shared" si="24"/>
        <v>0.20000087324981428</v>
      </c>
      <c r="J245" s="40">
        <f t="shared" si="25"/>
        <v>0.20000128076639426</v>
      </c>
      <c r="K245" s="41">
        <f t="shared" si="22"/>
        <v>0.79999999999646809</v>
      </c>
      <c r="L245" s="23">
        <f t="shared" si="26"/>
        <v>1.6712328767123288</v>
      </c>
      <c r="M245" s="28">
        <f t="shared" si="27"/>
        <v>31</v>
      </c>
      <c r="N245" s="29" t="s">
        <v>9</v>
      </c>
      <c r="O245" s="30">
        <v>1</v>
      </c>
      <c r="P245" s="31">
        <v>0</v>
      </c>
      <c r="Q245" s="1">
        <v>1</v>
      </c>
      <c r="R245" s="46">
        <v>0.91622415414505376</v>
      </c>
      <c r="S245" s="46">
        <v>-6.7240000000000002</v>
      </c>
      <c r="T245" s="46">
        <v>7.640224154145054</v>
      </c>
      <c r="U245" s="46">
        <v>-0.18109494067442472</v>
      </c>
      <c r="V245" s="46">
        <v>0.2255193915436739</v>
      </c>
      <c r="W245" s="46">
        <v>0.81806291234480155</v>
      </c>
      <c r="X245" s="46">
        <v>10.54870073523206</v>
      </c>
      <c r="Y245" s="46">
        <v>-0.18109494067442472</v>
      </c>
      <c r="Z245" s="46">
        <v>0.2255193915436739</v>
      </c>
    </row>
    <row r="246" spans="1:26" x14ac:dyDescent="0.35">
      <c r="A246" s="44">
        <v>44433</v>
      </c>
      <c r="B246" s="20">
        <f t="shared" si="23"/>
        <v>44424</v>
      </c>
      <c r="C246" s="35">
        <v>48.75</v>
      </c>
      <c r="D246" s="36"/>
      <c r="E246" s="36"/>
      <c r="F246" s="36">
        <v>18.376000000000001</v>
      </c>
      <c r="G246" s="36">
        <v>25.3</v>
      </c>
      <c r="H246" s="42">
        <v>0</v>
      </c>
      <c r="I246" s="40">
        <f t="shared" si="24"/>
        <v>0.20000082958732357</v>
      </c>
      <c r="J246" s="40">
        <f t="shared" si="25"/>
        <v>0.20000121672807455</v>
      </c>
      <c r="K246" s="41">
        <f t="shared" si="22"/>
        <v>0.79999999999682125</v>
      </c>
      <c r="L246" s="23">
        <f t="shared" si="26"/>
        <v>1.6794520547945206</v>
      </c>
      <c r="M246" s="28">
        <f t="shared" si="27"/>
        <v>31</v>
      </c>
      <c r="N246" s="29" t="s">
        <v>9</v>
      </c>
      <c r="O246" s="30">
        <v>1</v>
      </c>
      <c r="P246" s="31">
        <v>0</v>
      </c>
      <c r="Q246" s="1">
        <v>1</v>
      </c>
      <c r="R246" s="46">
        <v>0.921811810830647</v>
      </c>
      <c r="S246" s="46">
        <v>-6.7240000000000002</v>
      </c>
      <c r="T246" s="46">
        <v>7.6458118108306472</v>
      </c>
      <c r="U246" s="46">
        <v>-0.18157949065805157</v>
      </c>
      <c r="V246" s="46">
        <v>0.22618797365908724</v>
      </c>
      <c r="W246" s="46">
        <v>0.82145115781392908</v>
      </c>
      <c r="X246" s="46">
        <v>10.592361226310087</v>
      </c>
      <c r="Y246" s="46">
        <v>-0.18157949065805157</v>
      </c>
      <c r="Z246" s="46">
        <v>0.22618797365908724</v>
      </c>
    </row>
    <row r="247" spans="1:26" x14ac:dyDescent="0.35">
      <c r="A247" s="44">
        <v>44434</v>
      </c>
      <c r="B247" s="20">
        <f t="shared" si="23"/>
        <v>44425</v>
      </c>
      <c r="C247" s="35">
        <v>48.75</v>
      </c>
      <c r="D247" s="36"/>
      <c r="E247" s="36"/>
      <c r="F247" s="36">
        <v>18.376000000000001</v>
      </c>
      <c r="G247" s="36">
        <v>25.3</v>
      </c>
      <c r="H247" s="42">
        <v>0</v>
      </c>
      <c r="I247" s="40">
        <f t="shared" si="24"/>
        <v>0.20000078810795741</v>
      </c>
      <c r="J247" s="40">
        <f t="shared" si="25"/>
        <v>0.20000115589167083</v>
      </c>
      <c r="K247" s="41">
        <f t="shared" si="22"/>
        <v>0.79999999999713911</v>
      </c>
      <c r="L247" s="23">
        <f t="shared" si="26"/>
        <v>1.6821917808219178</v>
      </c>
      <c r="M247" s="28">
        <f t="shared" si="27"/>
        <v>31</v>
      </c>
      <c r="N247" s="29" t="s">
        <v>9</v>
      </c>
      <c r="O247" s="30">
        <v>1</v>
      </c>
      <c r="P247" s="31">
        <v>0</v>
      </c>
      <c r="Q247" s="1">
        <v>1</v>
      </c>
      <c r="R247" s="46">
        <v>0.92367295702307928</v>
      </c>
      <c r="S247" s="46">
        <v>-6.7240000000000002</v>
      </c>
      <c r="T247" s="46">
        <v>7.6476729570230795</v>
      </c>
      <c r="U247" s="46">
        <v>-0.18174030207021877</v>
      </c>
      <c r="V247" s="46">
        <v>0.22641000291555677</v>
      </c>
      <c r="W247" s="46">
        <v>0.82257973444463195</v>
      </c>
      <c r="X247" s="46">
        <v>10.606884807886829</v>
      </c>
      <c r="Y247" s="46">
        <v>-0.18174030207021877</v>
      </c>
      <c r="Z247" s="46">
        <v>0.22641000291555677</v>
      </c>
    </row>
    <row r="248" spans="1:26" x14ac:dyDescent="0.35">
      <c r="A248" s="44">
        <v>44435</v>
      </c>
      <c r="B248" s="20">
        <f t="shared" si="23"/>
        <v>44426</v>
      </c>
      <c r="C248" s="35">
        <v>48.75</v>
      </c>
      <c r="D248" s="36"/>
      <c r="E248" s="36"/>
      <c r="F248" s="36">
        <v>18.376000000000001</v>
      </c>
      <c r="G248" s="36">
        <v>25.3</v>
      </c>
      <c r="H248" s="42">
        <v>0</v>
      </c>
      <c r="I248" s="40">
        <f t="shared" si="24"/>
        <v>0.20000074870255954</v>
      </c>
      <c r="J248" s="40">
        <f t="shared" si="25"/>
        <v>0.2000010980970873</v>
      </c>
      <c r="K248" s="41">
        <f t="shared" si="22"/>
        <v>0.79999999999742522</v>
      </c>
      <c r="L248" s="23">
        <f t="shared" si="26"/>
        <v>1.6849315068493151</v>
      </c>
      <c r="M248" s="28">
        <f t="shared" si="27"/>
        <v>31</v>
      </c>
      <c r="N248" s="29" t="s">
        <v>9</v>
      </c>
      <c r="O248" s="30">
        <v>1</v>
      </c>
      <c r="P248" s="31">
        <v>0</v>
      </c>
      <c r="Q248" s="1">
        <v>1</v>
      </c>
      <c r="R248" s="46">
        <v>0.92553365218316586</v>
      </c>
      <c r="S248" s="46">
        <v>-6.7240000000000002</v>
      </c>
      <c r="T248" s="46">
        <v>7.6495336521831661</v>
      </c>
      <c r="U248" s="46">
        <v>-0.18190078517027539</v>
      </c>
      <c r="V248" s="46">
        <v>0.22663164872125682</v>
      </c>
      <c r="W248" s="46">
        <v>0.82370717078946265</v>
      </c>
      <c r="X248" s="46">
        <v>10.621395074887136</v>
      </c>
      <c r="Y248" s="46">
        <v>-0.18190078517027539</v>
      </c>
      <c r="Z248" s="46">
        <v>0.22663164872125682</v>
      </c>
    </row>
    <row r="249" spans="1:26" x14ac:dyDescent="0.35">
      <c r="A249" s="44">
        <v>44436</v>
      </c>
      <c r="B249" s="20">
        <f t="shared" si="23"/>
        <v>44427</v>
      </c>
      <c r="C249" s="35">
        <v>48.75</v>
      </c>
      <c r="D249" s="36"/>
      <c r="E249" s="36"/>
      <c r="F249" s="36">
        <v>18.376000000000001</v>
      </c>
      <c r="G249" s="36">
        <v>25.3</v>
      </c>
      <c r="H249" s="42">
        <v>0</v>
      </c>
      <c r="I249" s="40">
        <f t="shared" si="24"/>
        <v>0.20000071126743157</v>
      </c>
      <c r="J249" s="40">
        <f t="shared" si="25"/>
        <v>0.20000104319223294</v>
      </c>
      <c r="K249" s="41">
        <f t="shared" si="22"/>
        <v>0.79999999999768268</v>
      </c>
      <c r="L249" s="23">
        <f t="shared" si="26"/>
        <v>1.6876712328767123</v>
      </c>
      <c r="M249" s="28">
        <f t="shared" si="27"/>
        <v>31</v>
      </c>
      <c r="N249" s="29" t="s">
        <v>9</v>
      </c>
      <c r="O249" s="30">
        <v>1</v>
      </c>
      <c r="P249" s="31">
        <v>0</v>
      </c>
      <c r="Q249" s="1">
        <v>1</v>
      </c>
      <c r="R249" s="46">
        <v>0.92739389395452143</v>
      </c>
      <c r="S249" s="46">
        <v>-6.7240000000000002</v>
      </c>
      <c r="T249" s="46">
        <v>7.6513938939545216</v>
      </c>
      <c r="U249" s="46">
        <v>-0.18206094082672672</v>
      </c>
      <c r="V249" s="46">
        <v>0.22685291201988833</v>
      </c>
      <c r="W249" s="46">
        <v>0.82483347362765358</v>
      </c>
      <c r="X249" s="46">
        <v>10.635892047274046</v>
      </c>
      <c r="Y249" s="46">
        <v>-0.18206094082672672</v>
      </c>
      <c r="Z249" s="46">
        <v>0.22685291201988833</v>
      </c>
    </row>
    <row r="250" spans="1:26" x14ac:dyDescent="0.35">
      <c r="A250" s="44">
        <v>44437</v>
      </c>
      <c r="B250" s="20">
        <f t="shared" si="23"/>
        <v>44427</v>
      </c>
      <c r="C250" s="35">
        <v>48.75</v>
      </c>
      <c r="D250" s="36"/>
      <c r="E250" s="36"/>
      <c r="F250" s="36">
        <v>18.376000000000001</v>
      </c>
      <c r="G250" s="36">
        <v>25.3</v>
      </c>
      <c r="H250" s="42">
        <v>0</v>
      </c>
      <c r="I250" s="40">
        <f t="shared" si="24"/>
        <v>0.20000067570405999</v>
      </c>
      <c r="J250" s="40">
        <f t="shared" si="25"/>
        <v>0.20000099103262128</v>
      </c>
      <c r="K250" s="41">
        <f t="shared" si="22"/>
        <v>0.79999999999791438</v>
      </c>
      <c r="L250" s="23">
        <f t="shared" si="26"/>
        <v>1.6876712328767123</v>
      </c>
      <c r="M250" s="28">
        <f t="shared" si="27"/>
        <v>31</v>
      </c>
      <c r="N250" s="29" t="s">
        <v>9</v>
      </c>
      <c r="O250" s="30">
        <v>1</v>
      </c>
      <c r="P250" s="31">
        <v>0</v>
      </c>
      <c r="Q250" s="1">
        <v>1</v>
      </c>
      <c r="R250" s="46">
        <v>0.92739330982486479</v>
      </c>
      <c r="S250" s="46">
        <v>-6.7240000000000002</v>
      </c>
      <c r="T250" s="46">
        <v>7.651393309824865</v>
      </c>
      <c r="U250" s="46">
        <v>-0.18206088920626423</v>
      </c>
      <c r="V250" s="46">
        <v>0.22685284259302546</v>
      </c>
      <c r="W250" s="46">
        <v>0.82483514647447831</v>
      </c>
      <c r="X250" s="46">
        <v>10.635888391758659</v>
      </c>
      <c r="Y250" s="46">
        <v>-0.18206088920626423</v>
      </c>
      <c r="Z250" s="46">
        <v>0.22685284259302546</v>
      </c>
    </row>
    <row r="251" spans="1:26" x14ac:dyDescent="0.35">
      <c r="A251" s="44">
        <v>44438</v>
      </c>
      <c r="B251" s="20">
        <f t="shared" si="23"/>
        <v>44427</v>
      </c>
      <c r="C251" s="35">
        <v>48.75</v>
      </c>
      <c r="D251" s="36"/>
      <c r="E251" s="36"/>
      <c r="F251" s="36">
        <v>18.376000000000001</v>
      </c>
      <c r="G251" s="36">
        <v>25.3</v>
      </c>
      <c r="H251" s="42">
        <v>0</v>
      </c>
      <c r="I251" s="40">
        <f t="shared" si="24"/>
        <v>0.200000641918857</v>
      </c>
      <c r="J251" s="40">
        <f t="shared" si="25"/>
        <v>0.20000094148099021</v>
      </c>
      <c r="K251" s="41">
        <f t="shared" si="22"/>
        <v>0.79999999999812299</v>
      </c>
      <c r="L251" s="23">
        <f t="shared" si="26"/>
        <v>1.6876712328767123</v>
      </c>
      <c r="M251" s="28">
        <f t="shared" si="27"/>
        <v>31</v>
      </c>
      <c r="N251" s="29" t="s">
        <v>9</v>
      </c>
      <c r="O251" s="30">
        <v>1</v>
      </c>
      <c r="P251" s="31">
        <v>0</v>
      </c>
      <c r="Q251" s="1">
        <v>1</v>
      </c>
      <c r="R251" s="46">
        <v>0.92739275490187012</v>
      </c>
      <c r="S251" s="46">
        <v>-6.7240000000000002</v>
      </c>
      <c r="T251" s="46">
        <v>7.6513927549018703</v>
      </c>
      <c r="U251" s="46">
        <v>-0.18206084016681401</v>
      </c>
      <c r="V251" s="46">
        <v>0.2268527766375027</v>
      </c>
      <c r="W251" s="46">
        <v>0.82483673568215499</v>
      </c>
      <c r="X251" s="46">
        <v>10.635884919023116</v>
      </c>
      <c r="Y251" s="46">
        <v>-0.18206084016681401</v>
      </c>
      <c r="Z251" s="46">
        <v>0.2268527766375027</v>
      </c>
    </row>
    <row r="252" spans="1:26" x14ac:dyDescent="0.35">
      <c r="A252" s="44">
        <v>44439</v>
      </c>
      <c r="B252" s="20">
        <f t="shared" si="23"/>
        <v>44428</v>
      </c>
      <c r="C252" s="35">
        <v>48.75</v>
      </c>
      <c r="D252" s="36"/>
      <c r="E252" s="36"/>
      <c r="F252" s="36">
        <v>18.376000000000001</v>
      </c>
      <c r="G252" s="36">
        <v>25.3</v>
      </c>
      <c r="H252" s="42">
        <v>0</v>
      </c>
      <c r="I252" s="40">
        <f t="shared" si="24"/>
        <v>0.20000060982291415</v>
      </c>
      <c r="J252" s="40">
        <f t="shared" si="25"/>
        <v>0.20000089440694069</v>
      </c>
      <c r="K252" s="41">
        <f t="shared" si="22"/>
        <v>0.79999999999831073</v>
      </c>
      <c r="L252" s="23">
        <f t="shared" si="26"/>
        <v>1.6904109589041096</v>
      </c>
      <c r="M252" s="28">
        <f t="shared" si="27"/>
        <v>31</v>
      </c>
      <c r="N252" s="29" t="s">
        <v>9</v>
      </c>
      <c r="O252" s="30">
        <v>1</v>
      </c>
      <c r="P252" s="31">
        <v>0</v>
      </c>
      <c r="Q252" s="1">
        <v>1</v>
      </c>
      <c r="R252" s="46">
        <v>0.92925259649194558</v>
      </c>
      <c r="S252" s="46">
        <v>-6.7240000000000002</v>
      </c>
      <c r="T252" s="46">
        <v>7.6532525964919458</v>
      </c>
      <c r="U252" s="46">
        <v>-0.18222067432171105</v>
      </c>
      <c r="V252" s="46">
        <v>0.22707366516287883</v>
      </c>
      <c r="W252" s="46">
        <v>0.82596175312375797</v>
      </c>
      <c r="X252" s="46">
        <v>10.650368969998075</v>
      </c>
      <c r="Y252" s="46">
        <v>-0.18222067432171105</v>
      </c>
      <c r="Z252" s="46">
        <v>0.22707366516287883</v>
      </c>
    </row>
    <row r="253" spans="1:26" x14ac:dyDescent="0.35">
      <c r="A253" s="44">
        <v>44440</v>
      </c>
      <c r="B253" s="20">
        <f t="shared" si="23"/>
        <v>44431</v>
      </c>
      <c r="C253" s="35">
        <v>48.75</v>
      </c>
      <c r="D253" s="36"/>
      <c r="E253" s="36"/>
      <c r="F253" s="36">
        <v>18.376000000000001</v>
      </c>
      <c r="G253" s="36">
        <v>25.3</v>
      </c>
      <c r="H253" s="42">
        <v>0</v>
      </c>
      <c r="I253" s="40">
        <f t="shared" si="24"/>
        <v>0.20000057933176843</v>
      </c>
      <c r="J253" s="40">
        <f t="shared" si="25"/>
        <v>0.20000084968659365</v>
      </c>
      <c r="K253" s="41">
        <f t="shared" si="22"/>
        <v>0.7999999999984797</v>
      </c>
      <c r="L253" s="23">
        <f t="shared" si="26"/>
        <v>1.6986301369863013</v>
      </c>
      <c r="M253" s="28">
        <f t="shared" si="27"/>
        <v>31</v>
      </c>
      <c r="N253" s="29" t="s">
        <v>9</v>
      </c>
      <c r="O253" s="30">
        <v>1</v>
      </c>
      <c r="P253" s="31">
        <v>0</v>
      </c>
      <c r="Q253" s="1">
        <v>1</v>
      </c>
      <c r="R253" s="46">
        <v>0.93483028291871584</v>
      </c>
      <c r="S253" s="46">
        <v>-6.7240000000000002</v>
      </c>
      <c r="T253" s="46">
        <v>7.658830282918716</v>
      </c>
      <c r="U253" s="46">
        <v>-0.18269830650484806</v>
      </c>
      <c r="V253" s="46">
        <v>0.22773415920690573</v>
      </c>
      <c r="W253" s="46">
        <v>0.82932747791546868</v>
      </c>
      <c r="X253" s="46">
        <v>10.693747404070987</v>
      </c>
      <c r="Y253" s="46">
        <v>-0.18269830650484806</v>
      </c>
      <c r="Z253" s="46">
        <v>0.22773415920690573</v>
      </c>
    </row>
    <row r="254" spans="1:26" x14ac:dyDescent="0.35">
      <c r="A254" s="44">
        <v>44441</v>
      </c>
      <c r="B254" s="20">
        <f t="shared" si="23"/>
        <v>44432</v>
      </c>
      <c r="C254" s="35">
        <v>48.75</v>
      </c>
      <c r="D254" s="36"/>
      <c r="E254" s="36"/>
      <c r="F254" s="36">
        <v>18.376000000000001</v>
      </c>
      <c r="G254" s="36">
        <v>25.3</v>
      </c>
      <c r="H254" s="42">
        <v>0</v>
      </c>
      <c r="I254" s="40">
        <f t="shared" si="24"/>
        <v>0.20000055036518</v>
      </c>
      <c r="J254" s="40">
        <f t="shared" si="25"/>
        <v>0.20000080720226396</v>
      </c>
      <c r="K254" s="41">
        <f t="shared" si="22"/>
        <v>0.79999999999863169</v>
      </c>
      <c r="L254" s="23">
        <f t="shared" si="26"/>
        <v>1.7013698630136986</v>
      </c>
      <c r="M254" s="28">
        <f t="shared" si="27"/>
        <v>31</v>
      </c>
      <c r="N254" s="29" t="s">
        <v>9</v>
      </c>
      <c r="O254" s="30">
        <v>1</v>
      </c>
      <c r="P254" s="31">
        <v>0</v>
      </c>
      <c r="Q254" s="1">
        <v>1</v>
      </c>
      <c r="R254" s="46">
        <v>0.93668822524442952</v>
      </c>
      <c r="S254" s="46">
        <v>-6.7240000000000002</v>
      </c>
      <c r="T254" s="46">
        <v>7.6606882252444297</v>
      </c>
      <c r="U254" s="46">
        <v>-0.18285683808420924</v>
      </c>
      <c r="V254" s="46">
        <v>0.22795352430808891</v>
      </c>
      <c r="W254" s="46">
        <v>0.83044820748234138</v>
      </c>
      <c r="X254" s="46">
        <v>10.708178216601167</v>
      </c>
      <c r="Y254" s="46">
        <v>-0.18285683808420924</v>
      </c>
      <c r="Z254" s="46">
        <v>0.22795352430808891</v>
      </c>
    </row>
    <row r="255" spans="1:26" x14ac:dyDescent="0.35">
      <c r="A255" s="44">
        <v>44442</v>
      </c>
      <c r="B255" s="20">
        <f t="shared" si="23"/>
        <v>44433</v>
      </c>
      <c r="C255" s="35">
        <v>48.75</v>
      </c>
      <c r="D255" s="36"/>
      <c r="E255" s="36"/>
      <c r="F255" s="36">
        <v>18.376000000000001</v>
      </c>
      <c r="G255" s="36">
        <v>25.3</v>
      </c>
      <c r="H255" s="42">
        <v>0</v>
      </c>
      <c r="I255" s="40">
        <f t="shared" si="24"/>
        <v>0.20000052284692099</v>
      </c>
      <c r="J255" s="40">
        <f t="shared" si="25"/>
        <v>0.20000076684215076</v>
      </c>
      <c r="K255" s="41">
        <f t="shared" si="22"/>
        <v>0.79999999999876859</v>
      </c>
      <c r="L255" s="23">
        <f t="shared" si="26"/>
        <v>1.704109589041096</v>
      </c>
      <c r="M255" s="28">
        <f t="shared" si="27"/>
        <v>31</v>
      </c>
      <c r="N255" s="29" t="s">
        <v>9</v>
      </c>
      <c r="O255" s="30">
        <v>1</v>
      </c>
      <c r="P255" s="31">
        <v>0</v>
      </c>
      <c r="Q255" s="1">
        <v>1</v>
      </c>
      <c r="R255" s="46">
        <v>0.93854570170078055</v>
      </c>
      <c r="S255" s="46">
        <v>-6.7240000000000002</v>
      </c>
      <c r="T255" s="46">
        <v>7.6625457017007808</v>
      </c>
      <c r="U255" s="46">
        <v>-0.18301504749423261</v>
      </c>
      <c r="V255" s="46">
        <v>0.22817251266739247</v>
      </c>
      <c r="W255" s="46">
        <v>0.83156783990252858</v>
      </c>
      <c r="X255" s="46">
        <v>10.722595862218574</v>
      </c>
      <c r="Y255" s="46">
        <v>-0.18301504749423261</v>
      </c>
      <c r="Z255" s="46">
        <v>0.22817251266739247</v>
      </c>
    </row>
    <row r="256" spans="1:26" x14ac:dyDescent="0.35">
      <c r="A256" s="44">
        <v>44443</v>
      </c>
      <c r="B256" s="20">
        <f t="shared" si="23"/>
        <v>44434</v>
      </c>
      <c r="C256" s="35">
        <v>48.75</v>
      </c>
      <c r="D256" s="36"/>
      <c r="E256" s="36"/>
      <c r="F256" s="36">
        <v>18.376000000000001</v>
      </c>
      <c r="G256" s="36">
        <v>25.3</v>
      </c>
      <c r="H256" s="42">
        <v>0</v>
      </c>
      <c r="I256" s="40">
        <f t="shared" si="24"/>
        <v>0.20000049670457495</v>
      </c>
      <c r="J256" s="40">
        <f t="shared" si="25"/>
        <v>0.20000072850004322</v>
      </c>
      <c r="K256" s="41">
        <f t="shared" si="22"/>
        <v>0.79999999999889171</v>
      </c>
      <c r="L256" s="23">
        <f t="shared" si="26"/>
        <v>1.7068493150684931</v>
      </c>
      <c r="M256" s="28">
        <f t="shared" si="27"/>
        <v>31</v>
      </c>
      <c r="N256" s="29" t="s">
        <v>9</v>
      </c>
      <c r="O256" s="30">
        <v>1</v>
      </c>
      <c r="P256" s="31">
        <v>0</v>
      </c>
      <c r="Q256" s="1">
        <v>1</v>
      </c>
      <c r="R256" s="46">
        <v>0.94040271045293444</v>
      </c>
      <c r="S256" s="46">
        <v>-6.7240000000000002</v>
      </c>
      <c r="T256" s="46">
        <v>7.6644027104529346</v>
      </c>
      <c r="U256" s="46">
        <v>-0.183172935621496</v>
      </c>
      <c r="V256" s="46">
        <v>0.22839112525882471</v>
      </c>
      <c r="W256" s="46">
        <v>0.83268638060639655</v>
      </c>
      <c r="X256" s="46">
        <v>10.73700036332262</v>
      </c>
      <c r="Y256" s="46">
        <v>-0.183172935621496</v>
      </c>
      <c r="Z256" s="46">
        <v>0.22839112525882471</v>
      </c>
    </row>
    <row r="257" spans="1:26" x14ac:dyDescent="0.35">
      <c r="A257" s="44">
        <v>44444</v>
      </c>
      <c r="B257" s="20">
        <f t="shared" si="23"/>
        <v>44434</v>
      </c>
      <c r="C257" s="35">
        <v>48.75</v>
      </c>
      <c r="D257" s="36"/>
      <c r="E257" s="36"/>
      <c r="F257" s="36">
        <v>18.376000000000001</v>
      </c>
      <c r="G257" s="36">
        <v>25.3</v>
      </c>
      <c r="H257" s="42">
        <v>0</v>
      </c>
      <c r="I257" s="40">
        <f t="shared" si="24"/>
        <v>0.20000047186934622</v>
      </c>
      <c r="J257" s="40">
        <f t="shared" si="25"/>
        <v>0.20000069207504106</v>
      </c>
      <c r="K257" s="41">
        <f t="shared" si="22"/>
        <v>0.79999999999900251</v>
      </c>
      <c r="L257" s="23">
        <f t="shared" si="26"/>
        <v>1.7068493150684931</v>
      </c>
      <c r="M257" s="28">
        <f t="shared" si="27"/>
        <v>31</v>
      </c>
      <c r="N257" s="29" t="s">
        <v>9</v>
      </c>
      <c r="O257" s="30">
        <v>1</v>
      </c>
      <c r="P257" s="31">
        <v>0</v>
      </c>
      <c r="Q257" s="1">
        <v>1</v>
      </c>
      <c r="R257" s="46">
        <v>0.9404022986553251</v>
      </c>
      <c r="S257" s="46">
        <v>-6.7240000000000002</v>
      </c>
      <c r="T257" s="46">
        <v>7.6644022986553253</v>
      </c>
      <c r="U257" s="46">
        <v>-0.18317289967078096</v>
      </c>
      <c r="V257" s="46">
        <v>0.22839107681624918</v>
      </c>
      <c r="W257" s="46">
        <v>0.83268756108048925</v>
      </c>
      <c r="X257" s="46">
        <v>10.736997801099363</v>
      </c>
      <c r="Y257" s="46">
        <v>-0.18317289967078096</v>
      </c>
      <c r="Z257" s="46">
        <v>0.22839107681624918</v>
      </c>
    </row>
    <row r="258" spans="1:26" x14ac:dyDescent="0.35">
      <c r="A258" s="44">
        <v>44445</v>
      </c>
      <c r="B258" s="20">
        <f t="shared" si="23"/>
        <v>44434</v>
      </c>
      <c r="C258" s="35">
        <v>48.75</v>
      </c>
      <c r="D258" s="36"/>
      <c r="E258" s="36"/>
      <c r="F258" s="36">
        <v>18.376000000000001</v>
      </c>
      <c r="G258" s="36">
        <v>25.3</v>
      </c>
      <c r="H258" s="42">
        <v>0</v>
      </c>
      <c r="I258" s="40">
        <f t="shared" si="24"/>
        <v>0.2000004482758789</v>
      </c>
      <c r="J258" s="40">
        <f t="shared" si="25"/>
        <v>0.20000065747128901</v>
      </c>
      <c r="K258" s="41">
        <f t="shared" si="22"/>
        <v>0.79999999999910232</v>
      </c>
      <c r="L258" s="23">
        <f t="shared" si="26"/>
        <v>1.7068493150684931</v>
      </c>
      <c r="M258" s="28">
        <f t="shared" si="27"/>
        <v>31</v>
      </c>
      <c r="N258" s="29" t="s">
        <v>9</v>
      </c>
      <c r="O258" s="30">
        <v>1</v>
      </c>
      <c r="P258" s="31">
        <v>0</v>
      </c>
      <c r="Q258" s="1">
        <v>1</v>
      </c>
      <c r="R258" s="46">
        <v>0.94040190744768282</v>
      </c>
      <c r="S258" s="46">
        <v>-6.7240000000000002</v>
      </c>
      <c r="T258" s="46">
        <v>7.664401907447683</v>
      </c>
      <c r="U258" s="46">
        <v>-0.18317286551760781</v>
      </c>
      <c r="V258" s="46">
        <v>0.2283910307958027</v>
      </c>
      <c r="W258" s="46">
        <v>0.83268868252808459</v>
      </c>
      <c r="X258" s="46">
        <v>10.736995366987406</v>
      </c>
      <c r="Y258" s="46">
        <v>-0.18317286551760781</v>
      </c>
      <c r="Z258" s="46">
        <v>0.2283910307958027</v>
      </c>
    </row>
    <row r="259" spans="1:26" x14ac:dyDescent="0.35">
      <c r="A259" s="44">
        <v>44446</v>
      </c>
      <c r="B259" s="20">
        <f t="shared" si="23"/>
        <v>44435</v>
      </c>
      <c r="C259" s="35">
        <v>48.75</v>
      </c>
      <c r="D259" s="36"/>
      <c r="E259" s="36"/>
      <c r="F259" s="36">
        <v>18.376000000000001</v>
      </c>
      <c r="G259" s="36">
        <v>25.3</v>
      </c>
      <c r="H259" s="42">
        <v>0</v>
      </c>
      <c r="I259" s="40">
        <f t="shared" si="24"/>
        <v>0.20000042586208497</v>
      </c>
      <c r="J259" s="40">
        <f t="shared" si="25"/>
        <v>0.20000062459772455</v>
      </c>
      <c r="K259" s="41">
        <f t="shared" si="22"/>
        <v>0.79999999999919214</v>
      </c>
      <c r="L259" s="23">
        <f t="shared" si="26"/>
        <v>1.7095890410958905</v>
      </c>
      <c r="M259" s="28">
        <f t="shared" si="27"/>
        <v>31</v>
      </c>
      <c r="N259" s="29" t="s">
        <v>9</v>
      </c>
      <c r="O259" s="30">
        <v>1</v>
      </c>
      <c r="P259" s="31">
        <v>0</v>
      </c>
      <c r="Q259" s="1">
        <v>1</v>
      </c>
      <c r="R259" s="46">
        <v>0.94225848585062977</v>
      </c>
      <c r="S259" s="46">
        <v>-6.7240000000000002</v>
      </c>
      <c r="T259" s="46">
        <v>7.66625848585063</v>
      </c>
      <c r="U259" s="46">
        <v>-0.18333043678119038</v>
      </c>
      <c r="V259" s="46">
        <v>0.22860927333014686</v>
      </c>
      <c r="W259" s="46">
        <v>0.83380602492149769</v>
      </c>
      <c r="X259" s="46">
        <v>10.751386993571497</v>
      </c>
      <c r="Y259" s="46">
        <v>-0.18333043678119038</v>
      </c>
      <c r="Z259" s="46">
        <v>0.22860927333014686</v>
      </c>
    </row>
    <row r="260" spans="1:26" x14ac:dyDescent="0.35">
      <c r="A260" s="44">
        <v>44447</v>
      </c>
      <c r="B260" s="20">
        <f t="shared" si="23"/>
        <v>44438</v>
      </c>
      <c r="C260" s="35">
        <v>48.75</v>
      </c>
      <c r="D260" s="36"/>
      <c r="E260" s="36"/>
      <c r="F260" s="36">
        <v>18.376000000000001</v>
      </c>
      <c r="G260" s="36">
        <v>25.3</v>
      </c>
      <c r="H260" s="42">
        <v>0</v>
      </c>
      <c r="I260" s="40">
        <f t="shared" si="24"/>
        <v>0.20000040456898072</v>
      </c>
      <c r="J260" s="40">
        <f t="shared" si="25"/>
        <v>0.20000059336783832</v>
      </c>
      <c r="K260" s="41">
        <f t="shared" si="22"/>
        <v>0.79999999999927296</v>
      </c>
      <c r="L260" s="23">
        <f t="shared" si="26"/>
        <v>1.7178082191780821</v>
      </c>
      <c r="M260" s="28">
        <f t="shared" si="27"/>
        <v>31</v>
      </c>
      <c r="N260" s="29" t="s">
        <v>9</v>
      </c>
      <c r="O260" s="30">
        <v>1</v>
      </c>
      <c r="P260" s="31">
        <v>0</v>
      </c>
      <c r="Q260" s="1">
        <v>1</v>
      </c>
      <c r="R260" s="46">
        <v>0.94782603384238051</v>
      </c>
      <c r="S260" s="46">
        <v>-6.7240000000000002</v>
      </c>
      <c r="T260" s="46">
        <v>7.6718260338423807</v>
      </c>
      <c r="U260" s="46">
        <v>-0.18380129307706169</v>
      </c>
      <c r="V260" s="46">
        <v>0.22926183751374324</v>
      </c>
      <c r="W260" s="46">
        <v>0.83714972943039045</v>
      </c>
      <c r="X260" s="46">
        <v>10.794487379446139</v>
      </c>
      <c r="Y260" s="46">
        <v>-0.18380129307706169</v>
      </c>
      <c r="Z260" s="46">
        <v>0.22926183751374324</v>
      </c>
    </row>
    <row r="261" spans="1:26" x14ac:dyDescent="0.35">
      <c r="A261" s="44">
        <v>44448</v>
      </c>
      <c r="B261" s="20">
        <f t="shared" si="23"/>
        <v>44439</v>
      </c>
      <c r="C261" s="35">
        <v>48.75</v>
      </c>
      <c r="D261" s="36"/>
      <c r="E261" s="36"/>
      <c r="F261" s="36">
        <v>18.376000000000001</v>
      </c>
      <c r="G261" s="36">
        <v>25.3</v>
      </c>
      <c r="H261" s="42">
        <v>0</v>
      </c>
      <c r="I261" s="40">
        <f t="shared" si="24"/>
        <v>0.20000038434053169</v>
      </c>
      <c r="J261" s="40">
        <f t="shared" si="25"/>
        <v>0.20000056369944641</v>
      </c>
      <c r="K261" s="41">
        <f t="shared" si="22"/>
        <v>0.79999999999934568</v>
      </c>
      <c r="L261" s="23">
        <f t="shared" si="26"/>
        <v>1.7205479452054795</v>
      </c>
      <c r="M261" s="28">
        <f t="shared" si="27"/>
        <v>31</v>
      </c>
      <c r="N261" s="29" t="s">
        <v>9</v>
      </c>
      <c r="O261" s="30">
        <v>1</v>
      </c>
      <c r="P261" s="31">
        <v>0</v>
      </c>
      <c r="Q261" s="1">
        <v>1</v>
      </c>
      <c r="R261" s="46">
        <v>0.94968067863498007</v>
      </c>
      <c r="S261" s="46">
        <v>-6.7240000000000002</v>
      </c>
      <c r="T261" s="46">
        <v>7.6736806786349803</v>
      </c>
      <c r="U261" s="46">
        <v>-0.18395758812861218</v>
      </c>
      <c r="V261" s="46">
        <v>0.22947858595956225</v>
      </c>
      <c r="W261" s="46">
        <v>0.83826288768158441</v>
      </c>
      <c r="X261" s="46">
        <v>10.808826502625049</v>
      </c>
      <c r="Y261" s="46">
        <v>-0.18395758812861218</v>
      </c>
      <c r="Z261" s="46">
        <v>0.22947858595956225</v>
      </c>
    </row>
    <row r="262" spans="1:26" x14ac:dyDescent="0.35">
      <c r="A262" s="44">
        <v>44449</v>
      </c>
      <c r="B262" s="20">
        <f t="shared" si="23"/>
        <v>44440</v>
      </c>
      <c r="C262" s="35">
        <v>48.75</v>
      </c>
      <c r="D262" s="36"/>
      <c r="E262" s="36"/>
      <c r="F262" s="36">
        <v>18.376000000000001</v>
      </c>
      <c r="G262" s="36">
        <v>25.3</v>
      </c>
      <c r="H262" s="42">
        <v>0</v>
      </c>
      <c r="I262" s="40">
        <f t="shared" si="24"/>
        <v>0.20000036512350511</v>
      </c>
      <c r="J262" s="40">
        <f t="shared" si="25"/>
        <v>0.20000053551447408</v>
      </c>
      <c r="K262" s="41">
        <f t="shared" si="22"/>
        <v>0.79999999999941107</v>
      </c>
      <c r="L262" s="23">
        <f t="shared" si="26"/>
        <v>1.7232876712328766</v>
      </c>
      <c r="M262" s="28">
        <f t="shared" si="27"/>
        <v>30</v>
      </c>
      <c r="N262" s="29" t="s">
        <v>9</v>
      </c>
      <c r="O262" s="30">
        <v>1</v>
      </c>
      <c r="P262" s="31">
        <v>0</v>
      </c>
      <c r="Q262" s="1">
        <v>1</v>
      </c>
      <c r="R262" s="46">
        <v>0.95153484593021354</v>
      </c>
      <c r="S262" s="46">
        <v>-6.7240000000000002</v>
      </c>
      <c r="T262" s="46">
        <v>7.6755348459302137</v>
      </c>
      <c r="U262" s="46">
        <v>-0.18411356723738259</v>
      </c>
      <c r="V262" s="46">
        <v>0.22969496452756488</v>
      </c>
      <c r="W262" s="46">
        <v>0.83937498370333319</v>
      </c>
      <c r="X262" s="46">
        <v>10.823152620670291</v>
      </c>
      <c r="Y262" s="46">
        <v>-0.18411356723738259</v>
      </c>
      <c r="Z262" s="46">
        <v>0.22969496452756488</v>
      </c>
    </row>
    <row r="263" spans="1:26" x14ac:dyDescent="0.35">
      <c r="A263" s="44">
        <v>44450</v>
      </c>
      <c r="B263" s="20">
        <f t="shared" si="23"/>
        <v>44441</v>
      </c>
      <c r="C263" s="35">
        <v>48.75</v>
      </c>
      <c r="D263" s="36"/>
      <c r="E263" s="36"/>
      <c r="F263" s="36">
        <v>18.376000000000001</v>
      </c>
      <c r="G263" s="36">
        <v>25.3</v>
      </c>
      <c r="H263" s="42">
        <v>0</v>
      </c>
      <c r="I263" s="40">
        <f t="shared" si="24"/>
        <v>0.20000034686732984</v>
      </c>
      <c r="J263" s="40">
        <f t="shared" si="25"/>
        <v>0.20000050873875039</v>
      </c>
      <c r="K263" s="41">
        <f t="shared" si="22"/>
        <v>0.79999999999947002</v>
      </c>
      <c r="L263" s="23">
        <f t="shared" si="26"/>
        <v>1.726027397260274</v>
      </c>
      <c r="M263" s="28">
        <f t="shared" si="27"/>
        <v>30</v>
      </c>
      <c r="N263" s="29" t="s">
        <v>9</v>
      </c>
      <c r="O263" s="30">
        <v>1</v>
      </c>
      <c r="P263" s="31">
        <v>0</v>
      </c>
      <c r="Q263" s="1">
        <v>1</v>
      </c>
      <c r="R263" s="46">
        <v>0.95338853427642611</v>
      </c>
      <c r="S263" s="46">
        <v>-6.7240000000000002</v>
      </c>
      <c r="T263" s="46">
        <v>7.6773885342764263</v>
      </c>
      <c r="U263" s="46">
        <v>-0.18426923129474868</v>
      </c>
      <c r="V263" s="46">
        <v>0.22991097420438714</v>
      </c>
      <c r="W263" s="46">
        <v>0.84048602195778144</v>
      </c>
      <c r="X263" s="46">
        <v>10.837465757499148</v>
      </c>
      <c r="Y263" s="46">
        <v>-0.18426923129474868</v>
      </c>
      <c r="Z263" s="46">
        <v>0.22991097420438714</v>
      </c>
    </row>
    <row r="264" spans="1:26" x14ac:dyDescent="0.35">
      <c r="A264" s="44">
        <v>44451</v>
      </c>
      <c r="B264" s="20">
        <f t="shared" si="23"/>
        <v>44441</v>
      </c>
      <c r="C264" s="35">
        <v>48.75</v>
      </c>
      <c r="D264" s="36"/>
      <c r="E264" s="36"/>
      <c r="F264" s="36">
        <v>18.376000000000001</v>
      </c>
      <c r="G264" s="36">
        <v>25.3</v>
      </c>
      <c r="H264" s="42">
        <v>0</v>
      </c>
      <c r="I264" s="40">
        <f t="shared" si="24"/>
        <v>0.20000032952396335</v>
      </c>
      <c r="J264" s="40">
        <f t="shared" si="25"/>
        <v>0.20000048330181286</v>
      </c>
      <c r="K264" s="41">
        <f t="shared" si="22"/>
        <v>0.79999999999952298</v>
      </c>
      <c r="L264" s="23">
        <f t="shared" si="26"/>
        <v>1.726027397260274</v>
      </c>
      <c r="M264" s="28">
        <f t="shared" si="27"/>
        <v>30</v>
      </c>
      <c r="N264" s="29" t="s">
        <v>9</v>
      </c>
      <c r="O264" s="30">
        <v>1</v>
      </c>
      <c r="P264" s="31">
        <v>0</v>
      </c>
      <c r="Q264" s="1">
        <v>1</v>
      </c>
      <c r="R264" s="46">
        <v>0.95338824401180489</v>
      </c>
      <c r="S264" s="46">
        <v>-6.7240000000000002</v>
      </c>
      <c r="T264" s="46">
        <v>7.6773882440118051</v>
      </c>
      <c r="U264" s="46">
        <v>-0.18426920625773227</v>
      </c>
      <c r="V264" s="46">
        <v>0.22991094040440485</v>
      </c>
      <c r="W264" s="46">
        <v>0.84048685483631658</v>
      </c>
      <c r="X264" s="46">
        <v>10.837463961683154</v>
      </c>
      <c r="Y264" s="46">
        <v>-0.18426920625773227</v>
      </c>
      <c r="Z264" s="46">
        <v>0.22991094040440485</v>
      </c>
    </row>
    <row r="265" spans="1:26" x14ac:dyDescent="0.35">
      <c r="A265" s="44">
        <v>44452</v>
      </c>
      <c r="B265" s="20">
        <f t="shared" si="23"/>
        <v>44441</v>
      </c>
      <c r="C265" s="35">
        <v>48.75</v>
      </c>
      <c r="D265" s="36"/>
      <c r="E265" s="36"/>
      <c r="F265" s="36">
        <v>18.376000000000001</v>
      </c>
      <c r="G265" s="36">
        <v>25.3</v>
      </c>
      <c r="H265" s="42">
        <v>0</v>
      </c>
      <c r="I265" s="40">
        <f t="shared" si="24"/>
        <v>0.20000031304776519</v>
      </c>
      <c r="J265" s="40">
        <f t="shared" si="25"/>
        <v>0.20000045913672221</v>
      </c>
      <c r="K265" s="41">
        <f t="shared" si="22"/>
        <v>0.79999999999957072</v>
      </c>
      <c r="L265" s="23">
        <f t="shared" si="26"/>
        <v>1.726027397260274</v>
      </c>
      <c r="M265" s="28">
        <f t="shared" si="27"/>
        <v>30</v>
      </c>
      <c r="N265" s="29" t="s">
        <v>9</v>
      </c>
      <c r="O265" s="30">
        <v>1</v>
      </c>
      <c r="P265" s="31">
        <v>0</v>
      </c>
      <c r="Q265" s="1">
        <v>1</v>
      </c>
      <c r="R265" s="46">
        <v>0.95338796826046668</v>
      </c>
      <c r="S265" s="46">
        <v>-6.7240000000000002</v>
      </c>
      <c r="T265" s="46">
        <v>7.6773879682604669</v>
      </c>
      <c r="U265" s="46">
        <v>-0.18426918247256149</v>
      </c>
      <c r="V265" s="46">
        <v>0.22991090829441382</v>
      </c>
      <c r="W265" s="46">
        <v>0.84048764606835002</v>
      </c>
      <c r="X265" s="46">
        <v>10.837462255657581</v>
      </c>
      <c r="Y265" s="46">
        <v>-0.18426918247256149</v>
      </c>
      <c r="Z265" s="46">
        <v>0.22991090829441382</v>
      </c>
    </row>
    <row r="266" spans="1:26" x14ac:dyDescent="0.35">
      <c r="A266" s="44">
        <v>44453</v>
      </c>
      <c r="B266" s="20">
        <f t="shared" si="23"/>
        <v>44442</v>
      </c>
      <c r="C266" s="35">
        <v>48.75</v>
      </c>
      <c r="D266" s="36"/>
      <c r="E266" s="36"/>
      <c r="F266" s="36">
        <v>18.376000000000001</v>
      </c>
      <c r="G266" s="36">
        <v>25.3</v>
      </c>
      <c r="H266" s="42">
        <v>0</v>
      </c>
      <c r="I266" s="40">
        <f t="shared" si="24"/>
        <v>0.20000029739537695</v>
      </c>
      <c r="J266" s="40">
        <f t="shared" si="25"/>
        <v>0.20000043617988611</v>
      </c>
      <c r="K266" s="41">
        <f t="shared" si="22"/>
        <v>0.79999999999961369</v>
      </c>
      <c r="L266" s="23">
        <f t="shared" si="26"/>
        <v>1.7287671232876711</v>
      </c>
      <c r="M266" s="28">
        <f t="shared" si="27"/>
        <v>30</v>
      </c>
      <c r="N266" s="29" t="s">
        <v>9</v>
      </c>
      <c r="O266" s="30">
        <v>1</v>
      </c>
      <c r="P266" s="31">
        <v>0</v>
      </c>
      <c r="Q266" s="1">
        <v>1</v>
      </c>
      <c r="R266" s="46">
        <v>0.95524120384319744</v>
      </c>
      <c r="S266" s="46">
        <v>-6.7240000000000002</v>
      </c>
      <c r="T266" s="46">
        <v>7.6792412038431976</v>
      </c>
      <c r="U266" s="46">
        <v>-0.18442453482913987</v>
      </c>
      <c r="V266" s="46">
        <v>0.23012655337075363</v>
      </c>
      <c r="W266" s="46">
        <v>0.84159755193998087</v>
      </c>
      <c r="X266" s="46">
        <v>10.851762608732781</v>
      </c>
      <c r="Y266" s="46">
        <v>-0.18442453482913987</v>
      </c>
      <c r="Z266" s="46">
        <v>0.23012655337075363</v>
      </c>
    </row>
    <row r="267" spans="1:26" x14ac:dyDescent="0.35">
      <c r="A267" s="44">
        <v>44454</v>
      </c>
      <c r="B267" s="20">
        <f t="shared" si="23"/>
        <v>44445</v>
      </c>
      <c r="C267" s="35">
        <v>48.75</v>
      </c>
      <c r="D267" s="36"/>
      <c r="E267" s="36"/>
      <c r="F267" s="36">
        <v>18.376000000000001</v>
      </c>
      <c r="G267" s="36">
        <v>25.3</v>
      </c>
      <c r="H267" s="42">
        <v>0</v>
      </c>
      <c r="I267" s="40">
        <f t="shared" si="24"/>
        <v>0.20000028252560809</v>
      </c>
      <c r="J267" s="40">
        <f t="shared" si="25"/>
        <v>0.2000004143708918</v>
      </c>
      <c r="K267" s="41">
        <f t="shared" si="22"/>
        <v>0.79999999999965232</v>
      </c>
      <c r="L267" s="23">
        <f t="shared" si="26"/>
        <v>1.736986301369863</v>
      </c>
      <c r="M267" s="28">
        <f t="shared" si="27"/>
        <v>30</v>
      </c>
      <c r="N267" s="29" t="s">
        <v>9</v>
      </c>
      <c r="O267" s="30">
        <v>1</v>
      </c>
      <c r="P267" s="31">
        <v>0</v>
      </c>
      <c r="Q267" s="1">
        <v>1</v>
      </c>
      <c r="R267" s="46">
        <v>0.96079847070697433</v>
      </c>
      <c r="S267" s="46">
        <v>-6.7240000000000002</v>
      </c>
      <c r="T267" s="46">
        <v>7.6847984707069745</v>
      </c>
      <c r="U267" s="46">
        <v>-0.18488875483002792</v>
      </c>
      <c r="V267" s="46">
        <v>0.23077134375300948</v>
      </c>
      <c r="W267" s="46">
        <v>0.84491968263746353</v>
      </c>
      <c r="X267" s="46">
        <v>10.894588976477953</v>
      </c>
      <c r="Y267" s="46">
        <v>-0.18488875483002792</v>
      </c>
      <c r="Z267" s="46">
        <v>0.23077134375300948</v>
      </c>
    </row>
    <row r="268" spans="1:26" x14ac:dyDescent="0.35">
      <c r="A268" s="44">
        <v>44455</v>
      </c>
      <c r="B268" s="20">
        <f t="shared" si="23"/>
        <v>44446</v>
      </c>
      <c r="C268" s="35">
        <v>48.75</v>
      </c>
      <c r="D268" s="36"/>
      <c r="E268" s="36"/>
      <c r="F268" s="36">
        <v>18.376000000000001</v>
      </c>
      <c r="G268" s="36">
        <v>25.3</v>
      </c>
      <c r="H268" s="42">
        <v>0</v>
      </c>
      <c r="I268" s="40">
        <f t="shared" si="24"/>
        <v>0.20000026839932769</v>
      </c>
      <c r="J268" s="40">
        <f t="shared" si="25"/>
        <v>0.2000003936523472</v>
      </c>
      <c r="K268" s="41">
        <f t="shared" ref="K268:K331" si="28">80%+(K267-80%)*0.9</f>
        <v>0.79999999999968707</v>
      </c>
      <c r="L268" s="23">
        <f t="shared" si="26"/>
        <v>1.7397260273972603</v>
      </c>
      <c r="M268" s="28">
        <f t="shared" si="27"/>
        <v>30</v>
      </c>
      <c r="N268" s="29" t="s">
        <v>9</v>
      </c>
      <c r="O268" s="30">
        <v>1</v>
      </c>
      <c r="P268" s="31">
        <v>0</v>
      </c>
      <c r="Q268" s="1">
        <v>1</v>
      </c>
      <c r="R268" s="46">
        <v>0.96264974407671922</v>
      </c>
      <c r="S268" s="46">
        <v>-6.7240000000000002</v>
      </c>
      <c r="T268" s="46">
        <v>7.6866497440767194</v>
      </c>
      <c r="U268" s="46">
        <v>-0.18504285699103881</v>
      </c>
      <c r="V268" s="46">
        <v>0.23098552379090109</v>
      </c>
      <c r="W268" s="46">
        <v>0.84602549515587711</v>
      </c>
      <c r="X268" s="46">
        <v>10.90883757127663</v>
      </c>
      <c r="Y268" s="46">
        <v>-0.18504285699103881</v>
      </c>
      <c r="Z268" s="46">
        <v>0.23098552379090109</v>
      </c>
    </row>
    <row r="269" spans="1:26" x14ac:dyDescent="0.35">
      <c r="A269" s="44">
        <v>44456</v>
      </c>
      <c r="B269" s="20">
        <f t="shared" si="23"/>
        <v>44447</v>
      </c>
      <c r="C269" s="35">
        <v>48.75</v>
      </c>
      <c r="D269" s="36"/>
      <c r="E269" s="36"/>
      <c r="F269" s="36">
        <v>18.376000000000001</v>
      </c>
      <c r="G269" s="36">
        <v>25.3</v>
      </c>
      <c r="H269" s="42">
        <v>0</v>
      </c>
      <c r="I269" s="40">
        <f t="shared" si="24"/>
        <v>0.2000002549793613</v>
      </c>
      <c r="J269" s="40">
        <f t="shared" si="25"/>
        <v>0.20000037396972983</v>
      </c>
      <c r="K269" s="41">
        <f t="shared" si="28"/>
        <v>0.79999999999971838</v>
      </c>
      <c r="L269" s="23">
        <f t="shared" si="26"/>
        <v>1.7424657534246575</v>
      </c>
      <c r="M269" s="28">
        <f t="shared" si="27"/>
        <v>30</v>
      </c>
      <c r="N269" s="29" t="s">
        <v>9</v>
      </c>
      <c r="O269" s="30">
        <v>1</v>
      </c>
      <c r="P269" s="31">
        <v>0</v>
      </c>
      <c r="Q269" s="1">
        <v>1</v>
      </c>
      <c r="R269" s="46">
        <v>0.96450053068884678</v>
      </c>
      <c r="S269" s="46">
        <v>-6.7240000000000002</v>
      </c>
      <c r="T269" s="46">
        <v>7.688500530688847</v>
      </c>
      <c r="U269" s="46">
        <v>-0.18519664944070804</v>
      </c>
      <c r="V269" s="46">
        <v>0.23119934086496532</v>
      </c>
      <c r="W269" s="46">
        <v>0.84713027445322753</v>
      </c>
      <c r="X269" s="46">
        <v>10.923073331367844</v>
      </c>
      <c r="Y269" s="46">
        <v>-0.18519664944070804</v>
      </c>
      <c r="Z269" s="46">
        <v>0.23119934086496532</v>
      </c>
    </row>
    <row r="270" spans="1:26" x14ac:dyDescent="0.35">
      <c r="A270" s="44">
        <v>44457</v>
      </c>
      <c r="B270" s="20">
        <f t="shared" si="23"/>
        <v>44448</v>
      </c>
      <c r="C270" s="35">
        <v>48.75</v>
      </c>
      <c r="D270" s="36"/>
      <c r="E270" s="36"/>
      <c r="F270" s="36">
        <v>18.376000000000001</v>
      </c>
      <c r="G270" s="36">
        <v>25.3</v>
      </c>
      <c r="H270" s="42">
        <v>0</v>
      </c>
      <c r="I270" s="40">
        <f t="shared" si="24"/>
        <v>0.20000024223039323</v>
      </c>
      <c r="J270" s="40">
        <f t="shared" si="25"/>
        <v>0.20000035527124335</v>
      </c>
      <c r="K270" s="41">
        <f t="shared" si="28"/>
        <v>0.79999999999974658</v>
      </c>
      <c r="L270" s="23">
        <f t="shared" si="26"/>
        <v>1.7452054794520548</v>
      </c>
      <c r="M270" s="28">
        <f t="shared" si="27"/>
        <v>30</v>
      </c>
      <c r="N270" s="29" t="s">
        <v>9</v>
      </c>
      <c r="O270" s="30">
        <v>1</v>
      </c>
      <c r="P270" s="31">
        <v>0</v>
      </c>
      <c r="Q270" s="1">
        <v>1</v>
      </c>
      <c r="R270" s="46">
        <v>0.96635082937636518</v>
      </c>
      <c r="S270" s="46">
        <v>-6.7240000000000002</v>
      </c>
      <c r="T270" s="46">
        <v>7.6903508293763654</v>
      </c>
      <c r="U270" s="46">
        <v>-0.18535013306626838</v>
      </c>
      <c r="V270" s="46">
        <v>0.23141279596247938</v>
      </c>
      <c r="W270" s="46">
        <v>0.84823402429158978</v>
      </c>
      <c r="X270" s="46">
        <v>10.937296281565791</v>
      </c>
      <c r="Y270" s="46">
        <v>-0.18535013306626838</v>
      </c>
      <c r="Z270" s="46">
        <v>0.23141279596247938</v>
      </c>
    </row>
    <row r="271" spans="1:26" x14ac:dyDescent="0.35">
      <c r="A271" s="44">
        <v>44458</v>
      </c>
      <c r="B271" s="20">
        <f t="shared" si="23"/>
        <v>44448</v>
      </c>
      <c r="C271" s="35">
        <v>48.75</v>
      </c>
      <c r="D271" s="36"/>
      <c r="E271" s="36"/>
      <c r="F271" s="36">
        <v>18.376000000000001</v>
      </c>
      <c r="G271" s="36">
        <v>25.3</v>
      </c>
      <c r="H271" s="42">
        <v>0</v>
      </c>
      <c r="I271" s="40">
        <f t="shared" si="24"/>
        <v>0.20000023011887358</v>
      </c>
      <c r="J271" s="40">
        <f t="shared" si="25"/>
        <v>0.20000033750768118</v>
      </c>
      <c r="K271" s="41">
        <f t="shared" si="28"/>
        <v>0.79999999999977189</v>
      </c>
      <c r="L271" s="23">
        <f t="shared" si="26"/>
        <v>1.7452054794520548</v>
      </c>
      <c r="M271" s="28">
        <f t="shared" si="27"/>
        <v>30</v>
      </c>
      <c r="N271" s="29" t="s">
        <v>9</v>
      </c>
      <c r="O271" s="30">
        <v>1</v>
      </c>
      <c r="P271" s="31">
        <v>0</v>
      </c>
      <c r="Q271" s="1">
        <v>1</v>
      </c>
      <c r="R271" s="46">
        <v>0.9663506248064202</v>
      </c>
      <c r="S271" s="46">
        <v>-6.7240000000000002</v>
      </c>
      <c r="T271" s="46">
        <v>7.6903506248064204</v>
      </c>
      <c r="U271" s="46">
        <v>-0.18535011563021639</v>
      </c>
      <c r="V271" s="46">
        <v>0.23141277237962973</v>
      </c>
      <c r="W271" s="46">
        <v>0.8482346118281483</v>
      </c>
      <c r="X271" s="46">
        <v>10.937295022977125</v>
      </c>
      <c r="Y271" s="46">
        <v>-0.18535011563021639</v>
      </c>
      <c r="Z271" s="46">
        <v>0.23141277237962973</v>
      </c>
    </row>
    <row r="272" spans="1:26" x14ac:dyDescent="0.35">
      <c r="A272" s="44">
        <v>44459</v>
      </c>
      <c r="B272" s="20">
        <f t="shared" si="23"/>
        <v>44448</v>
      </c>
      <c r="C272" s="35">
        <v>48.75</v>
      </c>
      <c r="D272" s="36"/>
      <c r="E272" s="36"/>
      <c r="F272" s="36">
        <v>18.376000000000001</v>
      </c>
      <c r="G272" s="36">
        <v>25.3</v>
      </c>
      <c r="H272" s="42">
        <v>0</v>
      </c>
      <c r="I272" s="40">
        <f t="shared" si="24"/>
        <v>0.20000021861292991</v>
      </c>
      <c r="J272" s="40">
        <f t="shared" si="25"/>
        <v>0.20000032063229711</v>
      </c>
      <c r="K272" s="41">
        <f t="shared" si="28"/>
        <v>0.79999999999979465</v>
      </c>
      <c r="L272" s="23">
        <f t="shared" si="26"/>
        <v>1.7452054794520548</v>
      </c>
      <c r="M272" s="28">
        <f t="shared" si="27"/>
        <v>30</v>
      </c>
      <c r="N272" s="29" t="s">
        <v>9</v>
      </c>
      <c r="O272" s="30">
        <v>1</v>
      </c>
      <c r="P272" s="31">
        <v>0</v>
      </c>
      <c r="Q272" s="1">
        <v>1</v>
      </c>
      <c r="R272" s="46">
        <v>0.96635043046498659</v>
      </c>
      <c r="S272" s="46">
        <v>-6.7240000000000002</v>
      </c>
      <c r="T272" s="46">
        <v>7.6903504304649868</v>
      </c>
      <c r="U272" s="46">
        <v>-0.18535009906595562</v>
      </c>
      <c r="V272" s="46">
        <v>0.23141274997592942</v>
      </c>
      <c r="W272" s="46">
        <v>0.84823516998590187</v>
      </c>
      <c r="X272" s="46">
        <v>10.937293827316951</v>
      </c>
      <c r="Y272" s="46">
        <v>-0.18535009906595562</v>
      </c>
      <c r="Z272" s="46">
        <v>0.23141274997592942</v>
      </c>
    </row>
    <row r="273" spans="1:26" x14ac:dyDescent="0.35">
      <c r="A273" s="44">
        <v>44460</v>
      </c>
      <c r="B273" s="20">
        <f t="shared" si="23"/>
        <v>44449</v>
      </c>
      <c r="C273" s="35">
        <v>48.75</v>
      </c>
      <c r="D273" s="36"/>
      <c r="E273" s="36"/>
      <c r="F273" s="36">
        <v>18.376000000000001</v>
      </c>
      <c r="G273" s="36">
        <v>25.3</v>
      </c>
      <c r="H273" s="42">
        <v>0</v>
      </c>
      <c r="I273" s="40">
        <f t="shared" si="24"/>
        <v>0.20000020768228341</v>
      </c>
      <c r="J273" s="40">
        <f t="shared" si="25"/>
        <v>0.20000030460068224</v>
      </c>
      <c r="K273" s="41">
        <f t="shared" si="28"/>
        <v>0.79999999999981519</v>
      </c>
      <c r="L273" s="23">
        <f t="shared" si="26"/>
        <v>1.747945205479452</v>
      </c>
      <c r="M273" s="28">
        <f t="shared" si="27"/>
        <v>30</v>
      </c>
      <c r="N273" s="29" t="s">
        <v>9</v>
      </c>
      <c r="O273" s="30">
        <v>1</v>
      </c>
      <c r="P273" s="31">
        <v>0</v>
      </c>
      <c r="Q273" s="1">
        <v>1</v>
      </c>
      <c r="R273" s="46">
        <v>0.96820025954844091</v>
      </c>
      <c r="S273" s="46">
        <v>-6.7240000000000002</v>
      </c>
      <c r="T273" s="46">
        <v>7.6922002595484411</v>
      </c>
      <c r="U273" s="46">
        <v>-0.18550327646636852</v>
      </c>
      <c r="V273" s="46">
        <v>0.23162584638847525</v>
      </c>
      <c r="W273" s="46">
        <v>0.84933783832048038</v>
      </c>
      <c r="X273" s="46">
        <v>10.951504114054346</v>
      </c>
      <c r="Y273" s="46">
        <v>-0.18550327646636852</v>
      </c>
      <c r="Z273" s="46">
        <v>0.23162584638847525</v>
      </c>
    </row>
    <row r="274" spans="1:26" x14ac:dyDescent="0.35">
      <c r="A274" s="44">
        <v>44461</v>
      </c>
      <c r="B274" s="20">
        <f t="shared" si="23"/>
        <v>44452</v>
      </c>
      <c r="C274" s="35">
        <v>48.75</v>
      </c>
      <c r="D274" s="36"/>
      <c r="E274" s="36"/>
      <c r="F274" s="36">
        <v>18.376000000000001</v>
      </c>
      <c r="G274" s="36">
        <v>25.3</v>
      </c>
      <c r="H274" s="42">
        <v>0</v>
      </c>
      <c r="I274" s="40">
        <f t="shared" si="24"/>
        <v>0.20000019729816923</v>
      </c>
      <c r="J274" s="40">
        <f t="shared" si="25"/>
        <v>0.20000028937064812</v>
      </c>
      <c r="K274" s="41">
        <f t="shared" si="28"/>
        <v>0.79999999999983373</v>
      </c>
      <c r="L274" s="23">
        <f t="shared" si="26"/>
        <v>1.7561643835616438</v>
      </c>
      <c r="M274" s="28">
        <f t="shared" si="27"/>
        <v>30</v>
      </c>
      <c r="N274" s="29" t="s">
        <v>9</v>
      </c>
      <c r="O274" s="30">
        <v>1</v>
      </c>
      <c r="P274" s="31">
        <v>0</v>
      </c>
      <c r="Q274" s="1">
        <v>1</v>
      </c>
      <c r="R274" s="46">
        <v>0.97374712271544261</v>
      </c>
      <c r="S274" s="46">
        <v>-6.7240000000000002</v>
      </c>
      <c r="T274" s="46">
        <v>7.6977471227154428</v>
      </c>
      <c r="U274" s="46">
        <v>-0.18596099703050589</v>
      </c>
      <c r="V274" s="46">
        <v>0.23226301630696519</v>
      </c>
      <c r="W274" s="46">
        <v>0.85263880152788363</v>
      </c>
      <c r="X274" s="46">
        <v>10.994060482650017</v>
      </c>
      <c r="Y274" s="46">
        <v>-0.18596099703050589</v>
      </c>
      <c r="Z274" s="46">
        <v>0.23226301630696519</v>
      </c>
    </row>
    <row r="275" spans="1:26" x14ac:dyDescent="0.35">
      <c r="A275" s="44">
        <v>44462</v>
      </c>
      <c r="B275" s="20">
        <f t="shared" si="23"/>
        <v>44453</v>
      </c>
      <c r="C275" s="35">
        <v>48.75</v>
      </c>
      <c r="D275" s="36"/>
      <c r="E275" s="36"/>
      <c r="F275" s="36">
        <v>18.376000000000001</v>
      </c>
      <c r="G275" s="36">
        <v>25.3</v>
      </c>
      <c r="H275" s="42">
        <v>0</v>
      </c>
      <c r="I275" s="40">
        <f t="shared" si="24"/>
        <v>0.20000018743326076</v>
      </c>
      <c r="J275" s="40">
        <f t="shared" si="25"/>
        <v>0.20000027490211572</v>
      </c>
      <c r="K275" s="41">
        <f t="shared" si="28"/>
        <v>0.79999999999985039</v>
      </c>
      <c r="L275" s="23">
        <f t="shared" si="26"/>
        <v>1.7589041095890412</v>
      </c>
      <c r="M275" s="28">
        <f t="shared" si="27"/>
        <v>30</v>
      </c>
      <c r="N275" s="29" t="s">
        <v>9</v>
      </c>
      <c r="O275" s="30">
        <v>1</v>
      </c>
      <c r="P275" s="31">
        <v>0</v>
      </c>
      <c r="Q275" s="1">
        <v>1</v>
      </c>
      <c r="R275" s="46">
        <v>0.97559496543186164</v>
      </c>
      <c r="S275" s="46">
        <v>-6.7240000000000002</v>
      </c>
      <c r="T275" s="46">
        <v>7.6995949654318618</v>
      </c>
      <c r="U275" s="46">
        <v>-0.18611294980074458</v>
      </c>
      <c r="V275" s="46">
        <v>0.23247467630320182</v>
      </c>
      <c r="W275" s="46">
        <v>0.85373745776996746</v>
      </c>
      <c r="X275" s="46">
        <v>11.008219758413828</v>
      </c>
      <c r="Y275" s="46">
        <v>-0.18611294980074458</v>
      </c>
      <c r="Z275" s="46">
        <v>0.23247467630320182</v>
      </c>
    </row>
    <row r="276" spans="1:26" x14ac:dyDescent="0.35">
      <c r="A276" s="44">
        <v>44463</v>
      </c>
      <c r="B276" s="20">
        <f t="shared" si="23"/>
        <v>44454</v>
      </c>
      <c r="C276" s="35">
        <v>48.75</v>
      </c>
      <c r="D276" s="36"/>
      <c r="E276" s="36"/>
      <c r="F276" s="36">
        <v>18.376000000000001</v>
      </c>
      <c r="G276" s="36">
        <v>25.3</v>
      </c>
      <c r="H276" s="42">
        <v>0</v>
      </c>
      <c r="I276" s="40">
        <f t="shared" si="24"/>
        <v>0.20000017806159773</v>
      </c>
      <c r="J276" s="40">
        <f t="shared" si="25"/>
        <v>0.20000026115700995</v>
      </c>
      <c r="K276" s="41">
        <f t="shared" si="28"/>
        <v>0.79999999999986537</v>
      </c>
      <c r="L276" s="23">
        <f t="shared" si="26"/>
        <v>1.7616438356164383</v>
      </c>
      <c r="M276" s="28">
        <f t="shared" si="27"/>
        <v>30</v>
      </c>
      <c r="N276" s="29" t="s">
        <v>9</v>
      </c>
      <c r="O276" s="30">
        <v>1</v>
      </c>
      <c r="P276" s="31">
        <v>0</v>
      </c>
      <c r="Q276" s="1">
        <v>1</v>
      </c>
      <c r="R276" s="46">
        <v>0.97744231389819092</v>
      </c>
      <c r="S276" s="46">
        <v>-6.7240000000000002</v>
      </c>
      <c r="T276" s="46">
        <v>7.7014423138981911</v>
      </c>
      <c r="U276" s="46">
        <v>-0.18626459904277373</v>
      </c>
      <c r="V276" s="46">
        <v>0.23268598022795026</v>
      </c>
      <c r="W276" s="46">
        <v>0.85483510552932551</v>
      </c>
      <c r="X276" s="46">
        <v>11.02236637475143</v>
      </c>
      <c r="Y276" s="46">
        <v>-0.18626459904277373</v>
      </c>
      <c r="Z276" s="46">
        <v>0.23268598022795026</v>
      </c>
    </row>
    <row r="277" spans="1:26" x14ac:dyDescent="0.35">
      <c r="A277" s="44">
        <v>44464</v>
      </c>
      <c r="B277" s="20">
        <f t="shared" si="23"/>
        <v>44455</v>
      </c>
      <c r="C277" s="35">
        <v>48.75</v>
      </c>
      <c r="D277" s="36"/>
      <c r="E277" s="36"/>
      <c r="F277" s="36">
        <v>18.376000000000001</v>
      </c>
      <c r="G277" s="36">
        <v>25.3</v>
      </c>
      <c r="H277" s="42">
        <v>0</v>
      </c>
      <c r="I277" s="40">
        <f t="shared" si="24"/>
        <v>0.20000016915851784</v>
      </c>
      <c r="J277" s="40">
        <f t="shared" si="25"/>
        <v>0.20000024809915945</v>
      </c>
      <c r="K277" s="41">
        <f t="shared" si="28"/>
        <v>0.79999999999987881</v>
      </c>
      <c r="L277" s="23">
        <f t="shared" si="26"/>
        <v>1.7643835616438357</v>
      </c>
      <c r="M277" s="28">
        <f t="shared" si="27"/>
        <v>30</v>
      </c>
      <c r="N277" s="29" t="s">
        <v>9</v>
      </c>
      <c r="O277" s="30">
        <v>1</v>
      </c>
      <c r="P277" s="31">
        <v>0</v>
      </c>
      <c r="Q277" s="1">
        <v>1</v>
      </c>
      <c r="R277" s="46">
        <v>0.97928916716167436</v>
      </c>
      <c r="S277" s="46">
        <v>-6.7240000000000002</v>
      </c>
      <c r="T277" s="46">
        <v>7.7032891671616746</v>
      </c>
      <c r="U277" s="46">
        <v>-0.18641594563371217</v>
      </c>
      <c r="V277" s="46">
        <v>0.23289692906099793</v>
      </c>
      <c r="W277" s="46">
        <v>0.85593174805671546</v>
      </c>
      <c r="X277" s="46">
        <v>11.036500356932393</v>
      </c>
      <c r="Y277" s="46">
        <v>-0.18641594563371217</v>
      </c>
      <c r="Z277" s="46">
        <v>0.23289692906099793</v>
      </c>
    </row>
    <row r="278" spans="1:26" x14ac:dyDescent="0.35">
      <c r="A278" s="44">
        <v>44465</v>
      </c>
      <c r="B278" s="20">
        <f t="shared" ref="B278:B341" si="29">WORKDAY(A278,-7)</f>
        <v>44455</v>
      </c>
      <c r="C278" s="35">
        <v>48.75</v>
      </c>
      <c r="D278" s="36"/>
      <c r="E278" s="36"/>
      <c r="F278" s="36">
        <v>18.376000000000001</v>
      </c>
      <c r="G278" s="36">
        <v>25.3</v>
      </c>
      <c r="H278" s="42">
        <v>0</v>
      </c>
      <c r="I278" s="40">
        <f t="shared" ref="I278:I341" si="30">20%+(I277-20%)*0.95</f>
        <v>0.20000016070059196</v>
      </c>
      <c r="J278" s="40">
        <f t="shared" ref="J278:J341" si="31">20%+(J277-20%)*0.95</f>
        <v>0.20000023569420147</v>
      </c>
      <c r="K278" s="41">
        <f t="shared" si="28"/>
        <v>0.79999999999989091</v>
      </c>
      <c r="L278" s="23">
        <f t="shared" ref="L278:L341" si="32">(B278-$B$3)/365</f>
        <v>1.7643835616438357</v>
      </c>
      <c r="M278" s="28">
        <f t="shared" ref="M278:M341" si="33">DAY(EOMONTH(B278,0))</f>
        <v>30</v>
      </c>
      <c r="N278" s="29" t="s">
        <v>9</v>
      </c>
      <c r="O278" s="30">
        <v>1</v>
      </c>
      <c r="P278" s="31">
        <v>0</v>
      </c>
      <c r="Q278" s="1">
        <v>1</v>
      </c>
      <c r="R278" s="46">
        <v>0.9792890230069915</v>
      </c>
      <c r="S278" s="46">
        <v>-6.7240000000000002</v>
      </c>
      <c r="T278" s="46">
        <v>7.7032890230069917</v>
      </c>
      <c r="U278" s="46">
        <v>-0.18641593349129637</v>
      </c>
      <c r="V278" s="46">
        <v>0.23289691260717477</v>
      </c>
      <c r="W278" s="46">
        <v>0.85593216245133641</v>
      </c>
      <c r="X278" s="46">
        <v>11.036499474900063</v>
      </c>
      <c r="Y278" s="46">
        <v>-0.18641593349129637</v>
      </c>
      <c r="Z278" s="46">
        <v>0.23289691260717477</v>
      </c>
    </row>
    <row r="279" spans="1:26" x14ac:dyDescent="0.35">
      <c r="A279" s="44">
        <v>44466</v>
      </c>
      <c r="B279" s="20">
        <f t="shared" si="29"/>
        <v>44455</v>
      </c>
      <c r="C279" s="35">
        <v>48.75</v>
      </c>
      <c r="D279" s="36"/>
      <c r="E279" s="36"/>
      <c r="F279" s="36">
        <v>18.376000000000001</v>
      </c>
      <c r="G279" s="36">
        <v>25.3</v>
      </c>
      <c r="H279" s="42">
        <v>0</v>
      </c>
      <c r="I279" s="40">
        <f t="shared" si="30"/>
        <v>0.20000015266556237</v>
      </c>
      <c r="J279" s="40">
        <f t="shared" si="31"/>
        <v>0.2000002239094914</v>
      </c>
      <c r="K279" s="41">
        <f t="shared" si="28"/>
        <v>0.79999999999990179</v>
      </c>
      <c r="L279" s="23">
        <f t="shared" si="32"/>
        <v>1.7643835616438357</v>
      </c>
      <c r="M279" s="28">
        <f t="shared" si="33"/>
        <v>30</v>
      </c>
      <c r="N279" s="29" t="s">
        <v>9</v>
      </c>
      <c r="O279" s="30">
        <v>1</v>
      </c>
      <c r="P279" s="31">
        <v>0</v>
      </c>
      <c r="Q279" s="1">
        <v>1</v>
      </c>
      <c r="R279" s="46">
        <v>0.97928888606006481</v>
      </c>
      <c r="S279" s="46">
        <v>-6.7240000000000002</v>
      </c>
      <c r="T279" s="46">
        <v>7.703288886060065</v>
      </c>
      <c r="U279" s="46">
        <v>-0.1864159219560057</v>
      </c>
      <c r="V279" s="46">
        <v>0.23289689697604352</v>
      </c>
      <c r="W279" s="46">
        <v>0.8559325561290565</v>
      </c>
      <c r="X279" s="46">
        <v>11.036498636973203</v>
      </c>
      <c r="Y279" s="46">
        <v>-0.1864159219560057</v>
      </c>
      <c r="Z279" s="46">
        <v>0.23289689697604352</v>
      </c>
    </row>
    <row r="280" spans="1:26" x14ac:dyDescent="0.35">
      <c r="A280" s="44">
        <v>44467</v>
      </c>
      <c r="B280" s="20">
        <f t="shared" si="29"/>
        <v>44456</v>
      </c>
      <c r="C280" s="35">
        <v>48.75</v>
      </c>
      <c r="D280" s="36"/>
      <c r="E280" s="36"/>
      <c r="F280" s="36">
        <v>18.376000000000001</v>
      </c>
      <c r="G280" s="36">
        <v>25.3</v>
      </c>
      <c r="H280" s="42">
        <v>0</v>
      </c>
      <c r="I280" s="40">
        <f t="shared" si="30"/>
        <v>0.20000014503228425</v>
      </c>
      <c r="J280" s="40">
        <f t="shared" si="31"/>
        <v>0.20000021271401683</v>
      </c>
      <c r="K280" s="41">
        <f t="shared" si="28"/>
        <v>0.79999999999991167</v>
      </c>
      <c r="L280" s="23">
        <f t="shared" si="32"/>
        <v>1.7671232876712328</v>
      </c>
      <c r="M280" s="28">
        <f t="shared" si="33"/>
        <v>30</v>
      </c>
      <c r="N280" s="29" t="s">
        <v>9</v>
      </c>
      <c r="O280" s="30">
        <v>1</v>
      </c>
      <c r="P280" s="31">
        <v>0</v>
      </c>
      <c r="Q280" s="1">
        <v>1</v>
      </c>
      <c r="R280" s="46">
        <v>0.98113525690737902</v>
      </c>
      <c r="S280" s="46">
        <v>-6.7240000000000002</v>
      </c>
      <c r="T280" s="46">
        <v>7.7051352569073792</v>
      </c>
      <c r="U280" s="46">
        <v>-0.18656696796403424</v>
      </c>
      <c r="V280" s="46">
        <v>0.23310749330392083</v>
      </c>
      <c r="W280" s="46">
        <v>0.85702815730614679</v>
      </c>
      <c r="X280" s="46">
        <v>11.050620095485392</v>
      </c>
      <c r="Y280" s="46">
        <v>-0.18656696796403424</v>
      </c>
      <c r="Z280" s="46">
        <v>0.23310749330392083</v>
      </c>
    </row>
    <row r="281" spans="1:26" x14ac:dyDescent="0.35">
      <c r="A281" s="44">
        <v>44468</v>
      </c>
      <c r="B281" s="20">
        <f t="shared" si="29"/>
        <v>44459</v>
      </c>
      <c r="C281" s="35">
        <v>48.75</v>
      </c>
      <c r="D281" s="36"/>
      <c r="E281" s="36"/>
      <c r="F281" s="36">
        <v>18.376000000000001</v>
      </c>
      <c r="G281" s="36">
        <v>25.3</v>
      </c>
      <c r="H281" s="42">
        <v>0</v>
      </c>
      <c r="I281" s="40">
        <f t="shared" si="30"/>
        <v>0.20000013778067005</v>
      </c>
      <c r="J281" s="40">
        <f t="shared" si="31"/>
        <v>0.20000020207831598</v>
      </c>
      <c r="K281" s="41">
        <f t="shared" si="28"/>
        <v>0.79999999999992055</v>
      </c>
      <c r="L281" s="23">
        <f t="shared" si="32"/>
        <v>1.7753424657534247</v>
      </c>
      <c r="M281" s="28">
        <f t="shared" si="33"/>
        <v>30</v>
      </c>
      <c r="N281" s="29" t="s">
        <v>9</v>
      </c>
      <c r="O281" s="30">
        <v>1</v>
      </c>
      <c r="P281" s="31">
        <v>0</v>
      </c>
      <c r="Q281" s="1">
        <v>1</v>
      </c>
      <c r="R281" s="46">
        <v>0.98667161002487624</v>
      </c>
      <c r="S281" s="46">
        <v>-6.7240000000000002</v>
      </c>
      <c r="T281" s="46">
        <v>7.7106716100248764</v>
      </c>
      <c r="U281" s="46">
        <v>-0.1870183229642314</v>
      </c>
      <c r="V281" s="46">
        <v>0.23373719301585283</v>
      </c>
      <c r="W281" s="46">
        <v>0.86030832899748466</v>
      </c>
      <c r="X281" s="46">
        <v>11.092910450704217</v>
      </c>
      <c r="Y281" s="46">
        <v>-0.1870183229642314</v>
      </c>
      <c r="Z281" s="46">
        <v>0.23373719301585283</v>
      </c>
    </row>
    <row r="282" spans="1:26" x14ac:dyDescent="0.35">
      <c r="A282" s="44">
        <v>44469</v>
      </c>
      <c r="B282" s="20">
        <f t="shared" si="29"/>
        <v>44460</v>
      </c>
      <c r="C282" s="35">
        <v>48.75</v>
      </c>
      <c r="D282" s="36"/>
      <c r="E282" s="36"/>
      <c r="F282" s="36">
        <v>18.376000000000001</v>
      </c>
      <c r="G282" s="36">
        <v>25.3</v>
      </c>
      <c r="H282" s="42">
        <v>0</v>
      </c>
      <c r="I282" s="40">
        <f t="shared" si="30"/>
        <v>0.20000013089163654</v>
      </c>
      <c r="J282" s="40">
        <f t="shared" si="31"/>
        <v>0.20000019197440019</v>
      </c>
      <c r="K282" s="41">
        <f t="shared" si="28"/>
        <v>0.79999999999992855</v>
      </c>
      <c r="L282" s="23">
        <f t="shared" si="32"/>
        <v>1.7780821917808218</v>
      </c>
      <c r="M282" s="28">
        <f t="shared" si="33"/>
        <v>30</v>
      </c>
      <c r="N282" s="29" t="s">
        <v>9</v>
      </c>
      <c r="O282" s="30">
        <v>1</v>
      </c>
      <c r="P282" s="31">
        <v>0</v>
      </c>
      <c r="Q282" s="1">
        <v>1</v>
      </c>
      <c r="R282" s="46">
        <v>0.9885159738628122</v>
      </c>
      <c r="S282" s="46">
        <v>-6.7240000000000002</v>
      </c>
      <c r="T282" s="46">
        <v>7.7125159738628124</v>
      </c>
      <c r="U282" s="46">
        <v>-0.18716816939078385</v>
      </c>
      <c r="V282" s="46">
        <v>0.23394638102955193</v>
      </c>
      <c r="W282" s="46">
        <v>0.8613999922398814</v>
      </c>
      <c r="X282" s="46">
        <v>11.106981642290901</v>
      </c>
      <c r="Y282" s="46">
        <v>-0.18716816939078385</v>
      </c>
      <c r="Z282" s="46">
        <v>0.23394638102955193</v>
      </c>
    </row>
    <row r="283" spans="1:26" x14ac:dyDescent="0.35">
      <c r="A283" s="44">
        <v>44470</v>
      </c>
      <c r="B283" s="20">
        <f t="shared" si="29"/>
        <v>44461</v>
      </c>
      <c r="C283" s="35">
        <v>48.75</v>
      </c>
      <c r="D283" s="36"/>
      <c r="E283" s="36"/>
      <c r="F283" s="36">
        <v>18.376000000000001</v>
      </c>
      <c r="G283" s="36">
        <v>25.3</v>
      </c>
      <c r="H283" s="42">
        <v>0</v>
      </c>
      <c r="I283" s="40">
        <f t="shared" si="30"/>
        <v>0.20000012434705472</v>
      </c>
      <c r="J283" s="40">
        <f t="shared" si="31"/>
        <v>0.20000018237568018</v>
      </c>
      <c r="K283" s="41">
        <f t="shared" si="28"/>
        <v>0.79999999999993565</v>
      </c>
      <c r="L283" s="23">
        <f t="shared" si="32"/>
        <v>1.7808219178082192</v>
      </c>
      <c r="M283" s="28">
        <f t="shared" si="33"/>
        <v>30</v>
      </c>
      <c r="N283" s="29" t="s">
        <v>9</v>
      </c>
      <c r="O283" s="30">
        <v>1</v>
      </c>
      <c r="P283" s="31">
        <v>0</v>
      </c>
      <c r="Q283" s="1">
        <v>1</v>
      </c>
      <c r="R283" s="46">
        <v>0.99035983729678989</v>
      </c>
      <c r="S283" s="46">
        <v>-6.7240000000000002</v>
      </c>
      <c r="T283" s="46">
        <v>7.7143598372967901</v>
      </c>
      <c r="U283" s="46">
        <v>-0.18731771838857403</v>
      </c>
      <c r="V283" s="46">
        <v>0.23415521979427578</v>
      </c>
      <c r="W283" s="46">
        <v>0.86249066862049906</v>
      </c>
      <c r="X283" s="46">
        <v>11.121040351942353</v>
      </c>
      <c r="Y283" s="46">
        <v>-0.18731771838857403</v>
      </c>
      <c r="Z283" s="46">
        <v>0.23415521979427578</v>
      </c>
    </row>
    <row r="284" spans="1:26" x14ac:dyDescent="0.35">
      <c r="A284" s="44">
        <v>44471</v>
      </c>
      <c r="B284" s="20">
        <f t="shared" si="29"/>
        <v>44462</v>
      </c>
      <c r="C284" s="35">
        <v>48.75</v>
      </c>
      <c r="D284" s="36"/>
      <c r="E284" s="36"/>
      <c r="F284" s="36">
        <v>18.376000000000001</v>
      </c>
      <c r="G284" s="36">
        <v>25.3</v>
      </c>
      <c r="H284" s="42">
        <v>0</v>
      </c>
      <c r="I284" s="40">
        <f t="shared" si="30"/>
        <v>0.20000011812970198</v>
      </c>
      <c r="J284" s="40">
        <f t="shared" si="31"/>
        <v>0.20000017325689617</v>
      </c>
      <c r="K284" s="41">
        <f t="shared" si="28"/>
        <v>0.79999999999994209</v>
      </c>
      <c r="L284" s="23">
        <f t="shared" si="32"/>
        <v>1.7835616438356163</v>
      </c>
      <c r="M284" s="28">
        <f t="shared" si="33"/>
        <v>30</v>
      </c>
      <c r="N284" s="29" t="s">
        <v>9</v>
      </c>
      <c r="O284" s="30">
        <v>1</v>
      </c>
      <c r="P284" s="31">
        <v>0</v>
      </c>
      <c r="Q284" s="1">
        <v>1</v>
      </c>
      <c r="R284" s="46">
        <v>0.99220319953779068</v>
      </c>
      <c r="S284" s="46">
        <v>-6.7240000000000002</v>
      </c>
      <c r="T284" s="46">
        <v>7.7162031995377909</v>
      </c>
      <c r="U284" s="46">
        <v>-0.1874669708206603</v>
      </c>
      <c r="V284" s="46">
        <v>0.23436371027692723</v>
      </c>
      <c r="W284" s="46">
        <v>0.8635803610301559</v>
      </c>
      <c r="X284" s="46">
        <v>11.135086605087487</v>
      </c>
      <c r="Y284" s="46">
        <v>-0.1874669708206603</v>
      </c>
      <c r="Z284" s="46">
        <v>0.23436371027692723</v>
      </c>
    </row>
    <row r="285" spans="1:26" x14ac:dyDescent="0.35">
      <c r="A285" s="44">
        <v>44472</v>
      </c>
      <c r="B285" s="20">
        <f t="shared" si="29"/>
        <v>44462</v>
      </c>
      <c r="C285" s="35">
        <v>48.75</v>
      </c>
      <c r="D285" s="36"/>
      <c r="E285" s="36"/>
      <c r="F285" s="36">
        <v>18.376000000000001</v>
      </c>
      <c r="G285" s="36">
        <v>25.3</v>
      </c>
      <c r="H285" s="42">
        <v>0</v>
      </c>
      <c r="I285" s="40">
        <f t="shared" si="30"/>
        <v>0.20000011222321687</v>
      </c>
      <c r="J285" s="40">
        <f t="shared" si="31"/>
        <v>0.20000016459405137</v>
      </c>
      <c r="K285" s="41">
        <f t="shared" si="28"/>
        <v>0.79999999999994786</v>
      </c>
      <c r="L285" s="23">
        <f t="shared" si="32"/>
        <v>1.7835616438356163</v>
      </c>
      <c r="M285" s="28">
        <f t="shared" si="33"/>
        <v>30</v>
      </c>
      <c r="N285" s="29" t="s">
        <v>9</v>
      </c>
      <c r="O285" s="30">
        <v>1</v>
      </c>
      <c r="P285" s="31">
        <v>0</v>
      </c>
      <c r="Q285" s="1">
        <v>1</v>
      </c>
      <c r="R285" s="46">
        <v>0.99220309796990769</v>
      </c>
      <c r="S285" s="46">
        <v>-6.7240000000000002</v>
      </c>
      <c r="T285" s="46">
        <v>7.7162030979699079</v>
      </c>
      <c r="U285" s="46">
        <v>-0.18746696236489088</v>
      </c>
      <c r="V285" s="46">
        <v>0.23436369879726035</v>
      </c>
      <c r="W285" s="46">
        <v>0.86358065326647271</v>
      </c>
      <c r="X285" s="46">
        <v>11.135085986982537</v>
      </c>
      <c r="Y285" s="46">
        <v>-0.18746696236489088</v>
      </c>
      <c r="Z285" s="46">
        <v>0.23436369879726035</v>
      </c>
    </row>
    <row r="286" spans="1:26" x14ac:dyDescent="0.35">
      <c r="A286" s="44">
        <v>44473</v>
      </c>
      <c r="B286" s="20">
        <f t="shared" si="29"/>
        <v>44462</v>
      </c>
      <c r="C286" s="35">
        <v>48.75</v>
      </c>
      <c r="D286" s="36"/>
      <c r="E286" s="36"/>
      <c r="F286" s="36">
        <v>18.376000000000001</v>
      </c>
      <c r="G286" s="36">
        <v>25.3</v>
      </c>
      <c r="H286" s="42">
        <v>0</v>
      </c>
      <c r="I286" s="40">
        <f t="shared" si="30"/>
        <v>0.20000010661205603</v>
      </c>
      <c r="J286" s="40">
        <f t="shared" si="31"/>
        <v>0.20000015636434881</v>
      </c>
      <c r="K286" s="41">
        <f t="shared" si="28"/>
        <v>0.79999999999995308</v>
      </c>
      <c r="L286" s="23">
        <f t="shared" si="32"/>
        <v>1.7835616438356163</v>
      </c>
      <c r="M286" s="28">
        <f t="shared" si="33"/>
        <v>30</v>
      </c>
      <c r="N286" s="29" t="s">
        <v>9</v>
      </c>
      <c r="O286" s="30">
        <v>1</v>
      </c>
      <c r="P286" s="31">
        <v>0</v>
      </c>
      <c r="Q286" s="1">
        <v>1</v>
      </c>
      <c r="R286" s="46">
        <v>0.99220300148041929</v>
      </c>
      <c r="S286" s="46">
        <v>-6.7240000000000002</v>
      </c>
      <c r="T286" s="46">
        <v>7.7162030014804195</v>
      </c>
      <c r="U286" s="46">
        <v>-0.18746695433191002</v>
      </c>
      <c r="V286" s="46">
        <v>0.23436368789159173</v>
      </c>
      <c r="W286" s="46">
        <v>0.86358093088852483</v>
      </c>
      <c r="X286" s="46">
        <v>11.135085399783451</v>
      </c>
      <c r="Y286" s="46">
        <v>-0.18746695433191002</v>
      </c>
      <c r="Z286" s="46">
        <v>0.23436368789159173</v>
      </c>
    </row>
    <row r="287" spans="1:26" x14ac:dyDescent="0.35">
      <c r="A287" s="44">
        <v>44474</v>
      </c>
      <c r="B287" s="20">
        <f t="shared" si="29"/>
        <v>44463</v>
      </c>
      <c r="C287" s="35">
        <v>48.75</v>
      </c>
      <c r="D287" s="36"/>
      <c r="E287" s="36"/>
      <c r="F287" s="36">
        <v>18.376000000000001</v>
      </c>
      <c r="G287" s="36">
        <v>25.3</v>
      </c>
      <c r="H287" s="42">
        <v>0</v>
      </c>
      <c r="I287" s="40">
        <f t="shared" si="30"/>
        <v>0.20000010128145324</v>
      </c>
      <c r="J287" s="40">
        <f t="shared" si="31"/>
        <v>0.20000014854613138</v>
      </c>
      <c r="K287" s="41">
        <f t="shared" si="28"/>
        <v>0.79999999999995774</v>
      </c>
      <c r="L287" s="23">
        <f t="shared" si="32"/>
        <v>1.7863013698630137</v>
      </c>
      <c r="M287" s="28">
        <f t="shared" si="33"/>
        <v>30</v>
      </c>
      <c r="N287" s="29" t="s">
        <v>9</v>
      </c>
      <c r="O287" s="30">
        <v>1</v>
      </c>
      <c r="P287" s="31">
        <v>0</v>
      </c>
      <c r="Q287" s="1">
        <v>1</v>
      </c>
      <c r="R287" s="46">
        <v>0.99404587142528911</v>
      </c>
      <c r="S287" s="46">
        <v>-6.7240000000000002</v>
      </c>
      <c r="T287" s="46">
        <v>7.7180458714252893</v>
      </c>
      <c r="U287" s="46">
        <v>-0.18761591188983376</v>
      </c>
      <c r="V287" s="46">
        <v>0.23457183217905309</v>
      </c>
      <c r="W287" s="46">
        <v>0.86466961443152868</v>
      </c>
      <c r="X287" s="46">
        <v>11.149119281544081</v>
      </c>
      <c r="Y287" s="46">
        <v>-0.18761591188983376</v>
      </c>
      <c r="Z287" s="46">
        <v>0.23457183217905309</v>
      </c>
    </row>
    <row r="288" spans="1:26" x14ac:dyDescent="0.35">
      <c r="A288" s="44">
        <v>44475</v>
      </c>
      <c r="B288" s="20">
        <f t="shared" si="29"/>
        <v>44466</v>
      </c>
      <c r="C288" s="35">
        <v>48.75</v>
      </c>
      <c r="D288" s="36"/>
      <c r="E288" s="36"/>
      <c r="F288" s="36">
        <v>18.376000000000001</v>
      </c>
      <c r="G288" s="36">
        <v>25.3</v>
      </c>
      <c r="H288" s="42">
        <v>0</v>
      </c>
      <c r="I288" s="40">
        <f t="shared" si="30"/>
        <v>0.20000009621738057</v>
      </c>
      <c r="J288" s="40">
        <f t="shared" si="31"/>
        <v>0.2000001411188248</v>
      </c>
      <c r="K288" s="41">
        <f t="shared" si="28"/>
        <v>0.79999999999996196</v>
      </c>
      <c r="L288" s="23">
        <f t="shared" si="32"/>
        <v>1.7945205479452055</v>
      </c>
      <c r="M288" s="28">
        <f t="shared" si="33"/>
        <v>30</v>
      </c>
      <c r="N288" s="29" t="s">
        <v>9</v>
      </c>
      <c r="O288" s="30">
        <v>1</v>
      </c>
      <c r="P288" s="31">
        <v>0</v>
      </c>
      <c r="Q288" s="1">
        <v>1</v>
      </c>
      <c r="R288" s="46">
        <v>0.99957162148247392</v>
      </c>
      <c r="S288" s="46">
        <v>-6.7240000000000002</v>
      </c>
      <c r="T288" s="46">
        <v>7.7235716214824741</v>
      </c>
      <c r="U288" s="46">
        <v>-0.18806103207356797</v>
      </c>
      <c r="V288" s="46">
        <v>0.23519420864825127</v>
      </c>
      <c r="W288" s="46">
        <v>0.86792934721435566</v>
      </c>
      <c r="X288" s="46">
        <v>11.191147561068883</v>
      </c>
      <c r="Y288" s="46">
        <v>-0.18806103207356797</v>
      </c>
      <c r="Z288" s="46">
        <v>0.23519420864825127</v>
      </c>
    </row>
    <row r="289" spans="1:26" x14ac:dyDescent="0.35">
      <c r="A289" s="44">
        <v>44476</v>
      </c>
      <c r="B289" s="20">
        <f t="shared" si="29"/>
        <v>44467</v>
      </c>
      <c r="C289" s="35">
        <v>48.75</v>
      </c>
      <c r="D289" s="36"/>
      <c r="E289" s="36"/>
      <c r="F289" s="36">
        <v>18.376000000000001</v>
      </c>
      <c r="G289" s="36">
        <v>25.3</v>
      </c>
      <c r="H289" s="42">
        <v>0</v>
      </c>
      <c r="I289" s="40">
        <f t="shared" si="30"/>
        <v>0.20000009140651154</v>
      </c>
      <c r="J289" s="40">
        <f t="shared" si="31"/>
        <v>0.20000013406288356</v>
      </c>
      <c r="K289" s="41">
        <f t="shared" si="28"/>
        <v>0.79999999999996574</v>
      </c>
      <c r="L289" s="23">
        <f t="shared" si="32"/>
        <v>1.7972602739726027</v>
      </c>
      <c r="M289" s="28">
        <f t="shared" si="33"/>
        <v>30</v>
      </c>
      <c r="N289" s="29" t="s">
        <v>9</v>
      </c>
      <c r="O289" s="30">
        <v>1</v>
      </c>
      <c r="P289" s="31">
        <v>0</v>
      </c>
      <c r="Q289" s="1">
        <v>1</v>
      </c>
      <c r="R289" s="46">
        <v>1.001412466604755</v>
      </c>
      <c r="S289" s="46">
        <v>-6.7240000000000002</v>
      </c>
      <c r="T289" s="46">
        <v>7.7254124666047552</v>
      </c>
      <c r="U289" s="46">
        <v>-0.18820881454287852</v>
      </c>
      <c r="V289" s="46">
        <v>0.23540097214642414</v>
      </c>
      <c r="W289" s="46">
        <v>0.86901416160043476</v>
      </c>
      <c r="X289" s="46">
        <v>11.205131912989042</v>
      </c>
      <c r="Y289" s="46">
        <v>-0.18820881454287852</v>
      </c>
      <c r="Z289" s="46">
        <v>0.23540097214642414</v>
      </c>
    </row>
    <row r="290" spans="1:26" x14ac:dyDescent="0.35">
      <c r="A290" s="44">
        <v>44477</v>
      </c>
      <c r="B290" s="20">
        <f t="shared" si="29"/>
        <v>44468</v>
      </c>
      <c r="C290" s="35">
        <v>48.75</v>
      </c>
      <c r="D290" s="36"/>
      <c r="E290" s="36"/>
      <c r="F290" s="36">
        <v>18.376000000000001</v>
      </c>
      <c r="G290" s="36">
        <v>25.3</v>
      </c>
      <c r="H290" s="42">
        <v>0</v>
      </c>
      <c r="I290" s="40">
        <f t="shared" si="30"/>
        <v>0.20000008683618598</v>
      </c>
      <c r="J290" s="40">
        <f t="shared" si="31"/>
        <v>0.20000012735973938</v>
      </c>
      <c r="K290" s="41">
        <f t="shared" si="28"/>
        <v>0.79999999999996918</v>
      </c>
      <c r="L290" s="23">
        <f t="shared" si="32"/>
        <v>1.8</v>
      </c>
      <c r="M290" s="28">
        <f t="shared" si="33"/>
        <v>30</v>
      </c>
      <c r="N290" s="29" t="s">
        <v>9</v>
      </c>
      <c r="O290" s="30">
        <v>1</v>
      </c>
      <c r="P290" s="31">
        <v>0</v>
      </c>
      <c r="Q290" s="1">
        <v>1</v>
      </c>
      <c r="R290" s="46">
        <v>1.0032528061997095</v>
      </c>
      <c r="S290" s="46">
        <v>-6.7240000000000002</v>
      </c>
      <c r="T290" s="46">
        <v>7.7272528061997097</v>
      </c>
      <c r="U290" s="46">
        <v>-0.1883563055761725</v>
      </c>
      <c r="V290" s="46">
        <v>0.23560739311642501</v>
      </c>
      <c r="W290" s="46">
        <v>0.8700980084702219</v>
      </c>
      <c r="X290" s="46">
        <v>11.219103960868143</v>
      </c>
      <c r="Y290" s="46">
        <v>-0.1883563055761725</v>
      </c>
      <c r="Z290" s="46">
        <v>0.23560739311642501</v>
      </c>
    </row>
    <row r="291" spans="1:26" x14ac:dyDescent="0.35">
      <c r="A291" s="44">
        <v>44478</v>
      </c>
      <c r="B291" s="20">
        <f t="shared" si="29"/>
        <v>44469</v>
      </c>
      <c r="C291" s="35">
        <v>48.75</v>
      </c>
      <c r="D291" s="36"/>
      <c r="E291" s="36"/>
      <c r="F291" s="36">
        <v>18.376000000000001</v>
      </c>
      <c r="G291" s="36">
        <v>25.3</v>
      </c>
      <c r="H291" s="42">
        <v>0</v>
      </c>
      <c r="I291" s="40">
        <f t="shared" si="30"/>
        <v>0.20000008249437667</v>
      </c>
      <c r="J291" s="40">
        <f t="shared" si="31"/>
        <v>0.20000012099175241</v>
      </c>
      <c r="K291" s="41">
        <f t="shared" si="28"/>
        <v>0.79999999999997229</v>
      </c>
      <c r="L291" s="23">
        <f t="shared" si="32"/>
        <v>1.8027397260273972</v>
      </c>
      <c r="M291" s="28">
        <f t="shared" si="33"/>
        <v>30</v>
      </c>
      <c r="N291" s="29" t="s">
        <v>9</v>
      </c>
      <c r="O291" s="30">
        <v>1</v>
      </c>
      <c r="P291" s="31">
        <v>0</v>
      </c>
      <c r="Q291" s="1">
        <v>1</v>
      </c>
      <c r="R291" s="46">
        <v>1.0050926396057083</v>
      </c>
      <c r="S291" s="46">
        <v>-6.7240000000000002</v>
      </c>
      <c r="T291" s="46">
        <v>7.7290926396057085</v>
      </c>
      <c r="U291" s="46">
        <v>-0.18850350601991495</v>
      </c>
      <c r="V291" s="46">
        <v>0.23581347250872142</v>
      </c>
      <c r="W291" s="46">
        <v>0.87118089043940827</v>
      </c>
      <c r="X291" s="46">
        <v>11.23306373007329</v>
      </c>
      <c r="Y291" s="46">
        <v>-0.18850350601991495</v>
      </c>
      <c r="Z291" s="46">
        <v>0.23581347250872142</v>
      </c>
    </row>
    <row r="292" spans="1:26" x14ac:dyDescent="0.35">
      <c r="A292" s="44">
        <v>44479</v>
      </c>
      <c r="B292" s="20">
        <f t="shared" si="29"/>
        <v>44469</v>
      </c>
      <c r="C292" s="35">
        <v>48.75</v>
      </c>
      <c r="D292" s="36"/>
      <c r="E292" s="36"/>
      <c r="F292" s="36">
        <v>18.376000000000001</v>
      </c>
      <c r="G292" s="36">
        <v>25.3</v>
      </c>
      <c r="H292" s="42">
        <v>0</v>
      </c>
      <c r="I292" s="40">
        <f t="shared" si="30"/>
        <v>0.20000007836965783</v>
      </c>
      <c r="J292" s="40">
        <f t="shared" si="31"/>
        <v>0.2000001149421648</v>
      </c>
      <c r="K292" s="41">
        <f t="shared" si="28"/>
        <v>0.79999999999997506</v>
      </c>
      <c r="L292" s="23">
        <f t="shared" si="32"/>
        <v>1.8027397260273972</v>
      </c>
      <c r="M292" s="28">
        <f t="shared" si="33"/>
        <v>30</v>
      </c>
      <c r="N292" s="29" t="s">
        <v>9</v>
      </c>
      <c r="O292" s="30">
        <v>1</v>
      </c>
      <c r="P292" s="31">
        <v>0</v>
      </c>
      <c r="Q292" s="1">
        <v>1</v>
      </c>
      <c r="R292" s="46">
        <v>1.0050925680529268</v>
      </c>
      <c r="S292" s="46">
        <v>-6.7240000000000002</v>
      </c>
      <c r="T292" s="46">
        <v>7.729092568052927</v>
      </c>
      <c r="U292" s="46">
        <v>-0.18850350013156342</v>
      </c>
      <c r="V292" s="46">
        <v>0.23581346449964222</v>
      </c>
      <c r="W292" s="46">
        <v>0.87118109649175601</v>
      </c>
      <c r="X292" s="46">
        <v>11.233063296939488</v>
      </c>
      <c r="Y292" s="46">
        <v>-0.18850350013156342</v>
      </c>
      <c r="Z292" s="46">
        <v>0.23581346449964222</v>
      </c>
    </row>
    <row r="293" spans="1:26" x14ac:dyDescent="0.35">
      <c r="A293" s="44">
        <v>44480</v>
      </c>
      <c r="B293" s="20">
        <f t="shared" si="29"/>
        <v>44469</v>
      </c>
      <c r="C293" s="35">
        <v>48.75</v>
      </c>
      <c r="D293" s="36"/>
      <c r="E293" s="36"/>
      <c r="F293" s="36">
        <v>18.376000000000001</v>
      </c>
      <c r="G293" s="36">
        <v>25.3</v>
      </c>
      <c r="H293" s="42">
        <v>0</v>
      </c>
      <c r="I293" s="40">
        <f t="shared" si="30"/>
        <v>0.20000007445117493</v>
      </c>
      <c r="J293" s="40">
        <f t="shared" si="31"/>
        <v>0.20000010919505656</v>
      </c>
      <c r="K293" s="41">
        <f t="shared" si="28"/>
        <v>0.79999999999997762</v>
      </c>
      <c r="L293" s="23">
        <f t="shared" si="32"/>
        <v>1.8027397260273972</v>
      </c>
      <c r="M293" s="28">
        <f t="shared" si="33"/>
        <v>30</v>
      </c>
      <c r="N293" s="29" t="s">
        <v>9</v>
      </c>
      <c r="O293" s="30">
        <v>1</v>
      </c>
      <c r="P293" s="31">
        <v>0</v>
      </c>
      <c r="Q293" s="1">
        <v>1</v>
      </c>
      <c r="R293" s="46">
        <v>1.0050925000777919</v>
      </c>
      <c r="S293" s="46">
        <v>-6.7240000000000002</v>
      </c>
      <c r="T293" s="46">
        <v>7.7290925000777921</v>
      </c>
      <c r="U293" s="46">
        <v>-0.18850349453762841</v>
      </c>
      <c r="V293" s="46">
        <v>0.23581345689101033</v>
      </c>
      <c r="W293" s="46">
        <v>0.87118129224395879</v>
      </c>
      <c r="X293" s="46">
        <v>11.233062885465436</v>
      </c>
      <c r="Y293" s="46">
        <v>-0.18850349453762841</v>
      </c>
      <c r="Z293" s="46">
        <v>0.23581345689101033</v>
      </c>
    </row>
    <row r="294" spans="1:26" x14ac:dyDescent="0.35">
      <c r="A294" s="44">
        <v>44481</v>
      </c>
      <c r="B294" s="20">
        <f t="shared" si="29"/>
        <v>44470</v>
      </c>
      <c r="C294" s="35">
        <v>48.75</v>
      </c>
      <c r="D294" s="36"/>
      <c r="E294" s="36"/>
      <c r="F294" s="36">
        <v>18.376000000000001</v>
      </c>
      <c r="G294" s="36">
        <v>25.3</v>
      </c>
      <c r="H294" s="42">
        <v>0</v>
      </c>
      <c r="I294" s="40">
        <f t="shared" si="30"/>
        <v>0.2000000707286162</v>
      </c>
      <c r="J294" s="40">
        <f t="shared" si="31"/>
        <v>0.20000010373530375</v>
      </c>
      <c r="K294" s="41">
        <f t="shared" si="28"/>
        <v>0.79999999999997984</v>
      </c>
      <c r="L294" s="23">
        <f t="shared" si="32"/>
        <v>1.8054794520547945</v>
      </c>
      <c r="M294" s="28">
        <f t="shared" si="33"/>
        <v>31</v>
      </c>
      <c r="N294" s="29" t="s">
        <v>9</v>
      </c>
      <c r="O294" s="30">
        <v>1</v>
      </c>
      <c r="P294" s="31">
        <v>0</v>
      </c>
      <c r="Q294" s="1">
        <v>1</v>
      </c>
      <c r="R294" s="46">
        <v>1.0069318334608948</v>
      </c>
      <c r="S294" s="46">
        <v>-6.7240000000000002</v>
      </c>
      <c r="T294" s="46">
        <v>7.730931833460895</v>
      </c>
      <c r="U294" s="46">
        <v>-0.18865040581432049</v>
      </c>
      <c r="V294" s="46">
        <v>0.23601919643649893</v>
      </c>
      <c r="W294" s="46">
        <v>0.87226319232043958</v>
      </c>
      <c r="X294" s="46">
        <v>11.247010443182404</v>
      </c>
      <c r="Y294" s="46">
        <v>-0.18865040581432049</v>
      </c>
      <c r="Z294" s="46">
        <v>0.23601919643649893</v>
      </c>
    </row>
    <row r="295" spans="1:26" x14ac:dyDescent="0.35">
      <c r="A295" s="44">
        <v>44482</v>
      </c>
      <c r="B295" s="20">
        <f t="shared" si="29"/>
        <v>44473</v>
      </c>
      <c r="C295" s="35">
        <v>48.75</v>
      </c>
      <c r="D295" s="36"/>
      <c r="E295" s="36"/>
      <c r="F295" s="36">
        <v>18.376000000000001</v>
      </c>
      <c r="G295" s="36">
        <v>25.3</v>
      </c>
      <c r="H295" s="42">
        <v>0</v>
      </c>
      <c r="I295" s="40">
        <f t="shared" si="30"/>
        <v>0.20000006719218538</v>
      </c>
      <c r="J295" s="40">
        <f t="shared" si="31"/>
        <v>0.20000009854853856</v>
      </c>
      <c r="K295" s="41">
        <f t="shared" si="28"/>
        <v>0.79999999999998184</v>
      </c>
      <c r="L295" s="23">
        <f t="shared" si="32"/>
        <v>1.8136986301369864</v>
      </c>
      <c r="M295" s="28">
        <f t="shared" si="33"/>
        <v>31</v>
      </c>
      <c r="N295" s="29" t="s">
        <v>9</v>
      </c>
      <c r="O295" s="30">
        <v>1</v>
      </c>
      <c r="P295" s="31">
        <v>0</v>
      </c>
      <c r="Q295" s="1">
        <v>1</v>
      </c>
      <c r="R295" s="46">
        <v>1.012446898652632</v>
      </c>
      <c r="S295" s="46">
        <v>-6.7240000000000002</v>
      </c>
      <c r="T295" s="46">
        <v>7.7364468986526322</v>
      </c>
      <c r="U295" s="46">
        <v>-0.18908941874034799</v>
      </c>
      <c r="V295" s="46">
        <v>0.23663439322091745</v>
      </c>
      <c r="W295" s="46">
        <v>0.87550282043722372</v>
      </c>
      <c r="X295" s="46">
        <v>11.288780526704718</v>
      </c>
      <c r="Y295" s="46">
        <v>-0.18908941874034799</v>
      </c>
      <c r="Z295" s="46">
        <v>0.23663439322091745</v>
      </c>
    </row>
    <row r="296" spans="1:26" x14ac:dyDescent="0.35">
      <c r="A296" s="44">
        <v>44483</v>
      </c>
      <c r="B296" s="20">
        <f t="shared" si="29"/>
        <v>44474</v>
      </c>
      <c r="C296" s="35">
        <v>48.75</v>
      </c>
      <c r="D296" s="36"/>
      <c r="E296" s="36"/>
      <c r="F296" s="36">
        <v>18.376000000000001</v>
      </c>
      <c r="G296" s="36">
        <v>25.3</v>
      </c>
      <c r="H296" s="42">
        <v>0</v>
      </c>
      <c r="I296" s="40">
        <f t="shared" si="30"/>
        <v>0.20000006383257612</v>
      </c>
      <c r="J296" s="40">
        <f t="shared" si="31"/>
        <v>0.20000009362111162</v>
      </c>
      <c r="K296" s="41">
        <f t="shared" si="28"/>
        <v>0.79999999999998361</v>
      </c>
      <c r="L296" s="23">
        <f t="shared" si="32"/>
        <v>1.8164383561643835</v>
      </c>
      <c r="M296" s="28">
        <f t="shared" si="33"/>
        <v>31</v>
      </c>
      <c r="N296" s="29" t="s">
        <v>9</v>
      </c>
      <c r="O296" s="30">
        <v>1</v>
      </c>
      <c r="P296" s="31">
        <v>0</v>
      </c>
      <c r="Q296" s="1">
        <v>1</v>
      </c>
      <c r="R296" s="46">
        <v>1.0142841917275476</v>
      </c>
      <c r="S296" s="46">
        <v>-6.7240000000000002</v>
      </c>
      <c r="T296" s="46">
        <v>7.7382841917275478</v>
      </c>
      <c r="U296" s="46">
        <v>-0.18923517884453139</v>
      </c>
      <c r="V296" s="46">
        <v>0.23683877889154542</v>
      </c>
      <c r="W296" s="46">
        <v>0.8765809159877499</v>
      </c>
      <c r="X296" s="46">
        <v>11.302679282217165</v>
      </c>
      <c r="Y296" s="46">
        <v>-0.18923517884453139</v>
      </c>
      <c r="Z296" s="46">
        <v>0.23683877889154542</v>
      </c>
    </row>
    <row r="297" spans="1:26" x14ac:dyDescent="0.35">
      <c r="A297" s="44">
        <v>44484</v>
      </c>
      <c r="B297" s="20">
        <f t="shared" si="29"/>
        <v>44475</v>
      </c>
      <c r="C297" s="35">
        <v>48.75</v>
      </c>
      <c r="D297" s="36"/>
      <c r="E297" s="36"/>
      <c r="F297" s="36">
        <v>18.376000000000001</v>
      </c>
      <c r="G297" s="36">
        <v>25.3</v>
      </c>
      <c r="H297" s="42">
        <v>0</v>
      </c>
      <c r="I297" s="40">
        <f t="shared" si="30"/>
        <v>0.20000006064094733</v>
      </c>
      <c r="J297" s="40">
        <f t="shared" si="31"/>
        <v>0.20000008894005605</v>
      </c>
      <c r="K297" s="41">
        <f t="shared" si="28"/>
        <v>0.79999999999998528</v>
      </c>
      <c r="L297" s="23">
        <f t="shared" si="32"/>
        <v>1.8191780821917809</v>
      </c>
      <c r="M297" s="28">
        <f t="shared" si="33"/>
        <v>31</v>
      </c>
      <c r="N297" s="29" t="s">
        <v>9</v>
      </c>
      <c r="O297" s="30">
        <v>1</v>
      </c>
      <c r="P297" s="31">
        <v>0</v>
      </c>
      <c r="Q297" s="1">
        <v>1</v>
      </c>
      <c r="R297" s="46">
        <v>1.0161209749599198</v>
      </c>
      <c r="S297" s="46">
        <v>-6.7240000000000002</v>
      </c>
      <c r="T297" s="46">
        <v>7.74012097495992</v>
      </c>
      <c r="U297" s="46">
        <v>-0.18938065338428312</v>
      </c>
      <c r="V297" s="46">
        <v>0.237042828632513</v>
      </c>
      <c r="W297" s="46">
        <v>0.87765806166223115</v>
      </c>
      <c r="X297" s="46">
        <v>11.316565910729448</v>
      </c>
      <c r="Y297" s="46">
        <v>-0.18938065338428312</v>
      </c>
      <c r="Z297" s="46">
        <v>0.237042828632513</v>
      </c>
    </row>
    <row r="298" spans="1:26" x14ac:dyDescent="0.35">
      <c r="A298" s="44">
        <v>44485</v>
      </c>
      <c r="B298" s="20">
        <f t="shared" si="29"/>
        <v>44476</v>
      </c>
      <c r="C298" s="35">
        <v>48.75</v>
      </c>
      <c r="D298" s="36"/>
      <c r="E298" s="36"/>
      <c r="F298" s="36">
        <v>18.376000000000001</v>
      </c>
      <c r="G298" s="36">
        <v>25.3</v>
      </c>
      <c r="H298" s="42">
        <v>0</v>
      </c>
      <c r="I298" s="40">
        <f t="shared" si="30"/>
        <v>0.20000005760889997</v>
      </c>
      <c r="J298" s="40">
        <f t="shared" si="31"/>
        <v>0.20000008449305326</v>
      </c>
      <c r="K298" s="41">
        <f t="shared" si="28"/>
        <v>0.79999999999998672</v>
      </c>
      <c r="L298" s="23">
        <f t="shared" si="32"/>
        <v>1.821917808219178</v>
      </c>
      <c r="M298" s="28">
        <f t="shared" si="33"/>
        <v>31</v>
      </c>
      <c r="N298" s="29" t="s">
        <v>9</v>
      </c>
      <c r="O298" s="30">
        <v>1</v>
      </c>
      <c r="P298" s="31">
        <v>0</v>
      </c>
      <c r="Q298" s="1">
        <v>1</v>
      </c>
      <c r="R298" s="46">
        <v>1.0179572477892371</v>
      </c>
      <c r="S298" s="46">
        <v>-6.7240000000000002</v>
      </c>
      <c r="T298" s="46">
        <v>7.7419572477892373</v>
      </c>
      <c r="U298" s="46">
        <v>-0.18952584318796878</v>
      </c>
      <c r="V298" s="46">
        <v>0.23724654337564416</v>
      </c>
      <c r="W298" s="46">
        <v>0.87873425987601606</v>
      </c>
      <c r="X298" s="46">
        <v>11.330440437403206</v>
      </c>
      <c r="Y298" s="46">
        <v>-0.18952584318796878</v>
      </c>
      <c r="Z298" s="46">
        <v>0.23724654337564416</v>
      </c>
    </row>
    <row r="299" spans="1:26" x14ac:dyDescent="0.35">
      <c r="A299" s="44">
        <v>44486</v>
      </c>
      <c r="B299" s="20">
        <f t="shared" si="29"/>
        <v>44476</v>
      </c>
      <c r="C299" s="35">
        <v>48.75</v>
      </c>
      <c r="D299" s="36"/>
      <c r="E299" s="36"/>
      <c r="F299" s="36">
        <v>18.376000000000001</v>
      </c>
      <c r="G299" s="36">
        <v>25.3</v>
      </c>
      <c r="H299" s="42">
        <v>0</v>
      </c>
      <c r="I299" s="40">
        <f t="shared" si="30"/>
        <v>0.20000005472845497</v>
      </c>
      <c r="J299" s="40">
        <f t="shared" si="31"/>
        <v>0.2000000802684006</v>
      </c>
      <c r="K299" s="41">
        <f t="shared" si="28"/>
        <v>0.79999999999998805</v>
      </c>
      <c r="L299" s="23">
        <f t="shared" si="32"/>
        <v>1.821917808219178</v>
      </c>
      <c r="M299" s="28">
        <f t="shared" si="33"/>
        <v>31</v>
      </c>
      <c r="N299" s="29" t="s">
        <v>9</v>
      </c>
      <c r="O299" s="30">
        <v>1</v>
      </c>
      <c r="P299" s="31">
        <v>0</v>
      </c>
      <c r="Q299" s="1">
        <v>1</v>
      </c>
      <c r="R299" s="46">
        <v>1.0179571973880766</v>
      </c>
      <c r="S299" s="46">
        <v>-6.7240000000000002</v>
      </c>
      <c r="T299" s="46">
        <v>7.7419571973880768</v>
      </c>
      <c r="U299" s="46">
        <v>-0.18952583908757684</v>
      </c>
      <c r="V299" s="46">
        <v>0.23724653778798893</v>
      </c>
      <c r="W299" s="46">
        <v>0.87873440514073986</v>
      </c>
      <c r="X299" s="46">
        <v>11.330440133904984</v>
      </c>
      <c r="Y299" s="46">
        <v>-0.18952583908757684</v>
      </c>
      <c r="Z299" s="46">
        <v>0.23724653778798893</v>
      </c>
    </row>
    <row r="300" spans="1:26" x14ac:dyDescent="0.35">
      <c r="A300" s="44">
        <v>44487</v>
      </c>
      <c r="B300" s="20">
        <f t="shared" si="29"/>
        <v>44476</v>
      </c>
      <c r="C300" s="35">
        <v>48.75</v>
      </c>
      <c r="D300" s="36"/>
      <c r="E300" s="36"/>
      <c r="F300" s="36">
        <v>18.376000000000001</v>
      </c>
      <c r="G300" s="36">
        <v>25.3</v>
      </c>
      <c r="H300" s="42">
        <v>0</v>
      </c>
      <c r="I300" s="40">
        <f t="shared" si="30"/>
        <v>0.20000005199203222</v>
      </c>
      <c r="J300" s="40">
        <f t="shared" si="31"/>
        <v>0.20000007625498056</v>
      </c>
      <c r="K300" s="41">
        <f t="shared" si="28"/>
        <v>0.79999999999998928</v>
      </c>
      <c r="L300" s="23">
        <f t="shared" si="32"/>
        <v>1.821917808219178</v>
      </c>
      <c r="M300" s="28">
        <f t="shared" si="33"/>
        <v>31</v>
      </c>
      <c r="N300" s="29" t="s">
        <v>9</v>
      </c>
      <c r="O300" s="30">
        <v>1</v>
      </c>
      <c r="P300" s="31">
        <v>0</v>
      </c>
      <c r="Q300" s="1">
        <v>1</v>
      </c>
      <c r="R300" s="46">
        <v>1.0179571495069712</v>
      </c>
      <c r="S300" s="46">
        <v>-6.7240000000000002</v>
      </c>
      <c r="T300" s="46">
        <v>7.7419571495069714</v>
      </c>
      <c r="U300" s="46">
        <v>-0.18952583519218266</v>
      </c>
      <c r="V300" s="46">
        <v>0.23724653247971908</v>
      </c>
      <c r="W300" s="46">
        <v>0.87873454314465149</v>
      </c>
      <c r="X300" s="46">
        <v>11.330439845578242</v>
      </c>
      <c r="Y300" s="46">
        <v>-0.18952583519218266</v>
      </c>
      <c r="Z300" s="46">
        <v>0.23724653247971908</v>
      </c>
    </row>
    <row r="301" spans="1:26" x14ac:dyDescent="0.35">
      <c r="A301" s="44">
        <v>44488</v>
      </c>
      <c r="B301" s="20">
        <f t="shared" si="29"/>
        <v>44477</v>
      </c>
      <c r="C301" s="35">
        <v>48.75</v>
      </c>
      <c r="D301" s="36"/>
      <c r="E301" s="36"/>
      <c r="F301" s="36">
        <v>18.376000000000001</v>
      </c>
      <c r="G301" s="36">
        <v>25.3</v>
      </c>
      <c r="H301" s="42">
        <v>0</v>
      </c>
      <c r="I301" s="40">
        <f t="shared" si="30"/>
        <v>0.2000000493924306</v>
      </c>
      <c r="J301" s="40">
        <f t="shared" si="31"/>
        <v>0.20000007244223153</v>
      </c>
      <c r="K301" s="41">
        <f t="shared" si="28"/>
        <v>0.79999999999999039</v>
      </c>
      <c r="L301" s="23">
        <f t="shared" si="32"/>
        <v>1.8246575342465754</v>
      </c>
      <c r="M301" s="28">
        <f t="shared" si="33"/>
        <v>31</v>
      </c>
      <c r="N301" s="29" t="s">
        <v>9</v>
      </c>
      <c r="O301" s="30">
        <v>1</v>
      </c>
      <c r="P301" s="31">
        <v>0</v>
      </c>
      <c r="Q301" s="1">
        <v>1</v>
      </c>
      <c r="R301" s="46">
        <v>1.0197929161853416</v>
      </c>
      <c r="S301" s="46">
        <v>-6.7240000000000002</v>
      </c>
      <c r="T301" s="46">
        <v>7.7437929161853418</v>
      </c>
      <c r="U301" s="46">
        <v>-0.18967074148836333</v>
      </c>
      <c r="V301" s="46">
        <v>0.23744991370031734</v>
      </c>
      <c r="W301" s="46">
        <v>0.87980978247318264</v>
      </c>
      <c r="X301" s="46">
        <v>11.344302324867398</v>
      </c>
      <c r="Y301" s="46">
        <v>-0.18967074148836333</v>
      </c>
      <c r="Z301" s="46">
        <v>0.23744991370031734</v>
      </c>
    </row>
    <row r="302" spans="1:26" x14ac:dyDescent="0.35">
      <c r="A302" s="44">
        <v>44489</v>
      </c>
      <c r="B302" s="20">
        <f t="shared" si="29"/>
        <v>44480</v>
      </c>
      <c r="C302" s="35">
        <v>48.75</v>
      </c>
      <c r="D302" s="36"/>
      <c r="E302" s="36"/>
      <c r="F302" s="36">
        <v>18.376000000000001</v>
      </c>
      <c r="G302" s="36">
        <v>25.3</v>
      </c>
      <c r="H302" s="42">
        <v>0</v>
      </c>
      <c r="I302" s="40">
        <f t="shared" si="30"/>
        <v>0.20000004692280907</v>
      </c>
      <c r="J302" s="40">
        <f t="shared" si="31"/>
        <v>0.20000006882011995</v>
      </c>
      <c r="K302" s="41">
        <f t="shared" si="28"/>
        <v>0.79999999999999138</v>
      </c>
      <c r="L302" s="23">
        <f t="shared" si="32"/>
        <v>1.832876712328767</v>
      </c>
      <c r="M302" s="28">
        <f t="shared" si="33"/>
        <v>31</v>
      </c>
      <c r="N302" s="29" t="s">
        <v>9</v>
      </c>
      <c r="O302" s="30">
        <v>1</v>
      </c>
      <c r="P302" s="31">
        <v>0</v>
      </c>
      <c r="Q302" s="1">
        <v>1</v>
      </c>
      <c r="R302" s="46">
        <v>1.0252972243041114</v>
      </c>
      <c r="S302" s="46">
        <v>-6.7240000000000002</v>
      </c>
      <c r="T302" s="46">
        <v>7.7492972243041116</v>
      </c>
      <c r="U302" s="46">
        <v>-0.19010377151523219</v>
      </c>
      <c r="V302" s="46">
        <v>0.2380580709086243</v>
      </c>
      <c r="W302" s="46">
        <v>0.88302962537280516</v>
      </c>
      <c r="X302" s="46">
        <v>11.385818027764056</v>
      </c>
      <c r="Y302" s="46">
        <v>-0.19010377151523219</v>
      </c>
      <c r="Z302" s="46">
        <v>0.2380580709086243</v>
      </c>
    </row>
    <row r="303" spans="1:26" x14ac:dyDescent="0.35">
      <c r="A303" s="44">
        <v>44490</v>
      </c>
      <c r="B303" s="20">
        <f t="shared" si="29"/>
        <v>44481</v>
      </c>
      <c r="C303" s="35">
        <v>48.75</v>
      </c>
      <c r="D303" s="36"/>
      <c r="E303" s="36"/>
      <c r="F303" s="36">
        <v>18.376000000000001</v>
      </c>
      <c r="G303" s="36">
        <v>25.3</v>
      </c>
      <c r="H303" s="42">
        <v>0</v>
      </c>
      <c r="I303" s="40">
        <f t="shared" si="30"/>
        <v>0.20000004457666862</v>
      </c>
      <c r="J303" s="40">
        <f t="shared" si="31"/>
        <v>0.20000006537911394</v>
      </c>
      <c r="K303" s="41">
        <f t="shared" si="28"/>
        <v>0.79999999999999227</v>
      </c>
      <c r="L303" s="23">
        <f t="shared" si="32"/>
        <v>1.8356164383561644</v>
      </c>
      <c r="M303" s="28">
        <f t="shared" si="33"/>
        <v>31</v>
      </c>
      <c r="N303" s="29" t="s">
        <v>9</v>
      </c>
      <c r="O303" s="30">
        <v>1</v>
      </c>
      <c r="P303" s="31">
        <v>0</v>
      </c>
      <c r="Q303" s="1">
        <v>1</v>
      </c>
      <c r="R303" s="46">
        <v>1.0271309371438395</v>
      </c>
      <c r="S303" s="46">
        <v>-6.7240000000000002</v>
      </c>
      <c r="T303" s="46">
        <v>7.7511309371438397</v>
      </c>
      <c r="U303" s="46">
        <v>-0.19024754996984103</v>
      </c>
      <c r="V303" s="46">
        <v>0.23826012454175946</v>
      </c>
      <c r="W303" s="46">
        <v>0.88410112152755338</v>
      </c>
      <c r="X303" s="46">
        <v>11.399632421412514</v>
      </c>
      <c r="Y303" s="46">
        <v>-0.19024754996984103</v>
      </c>
      <c r="Z303" s="46">
        <v>0.23826012454175946</v>
      </c>
    </row>
    <row r="304" spans="1:26" x14ac:dyDescent="0.35">
      <c r="A304" s="44">
        <v>44491</v>
      </c>
      <c r="B304" s="20">
        <f t="shared" si="29"/>
        <v>44482</v>
      </c>
      <c r="C304" s="35">
        <v>48.75</v>
      </c>
      <c r="D304" s="36"/>
      <c r="E304" s="36"/>
      <c r="F304" s="36">
        <v>18.376000000000001</v>
      </c>
      <c r="G304" s="36">
        <v>25.3</v>
      </c>
      <c r="H304" s="42">
        <v>0</v>
      </c>
      <c r="I304" s="40">
        <f t="shared" si="30"/>
        <v>0.20000004234783519</v>
      </c>
      <c r="J304" s="40">
        <f t="shared" si="31"/>
        <v>0.20000006211015825</v>
      </c>
      <c r="K304" s="41">
        <f t="shared" si="28"/>
        <v>0.79999999999999305</v>
      </c>
      <c r="L304" s="23">
        <f t="shared" si="32"/>
        <v>1.8383561643835618</v>
      </c>
      <c r="M304" s="28">
        <f t="shared" si="33"/>
        <v>31</v>
      </c>
      <c r="N304" s="29" t="s">
        <v>9</v>
      </c>
      <c r="O304" s="30">
        <v>1</v>
      </c>
      <c r="P304" s="31">
        <v>0</v>
      </c>
      <c r="Q304" s="1">
        <v>1</v>
      </c>
      <c r="R304" s="46">
        <v>1.0289641364725899</v>
      </c>
      <c r="S304" s="46">
        <v>-6.7240000000000002</v>
      </c>
      <c r="T304" s="46">
        <v>7.7529641364725901</v>
      </c>
      <c r="U304" s="46">
        <v>-0.19039104860188855</v>
      </c>
      <c r="V304" s="46">
        <v>0.2384618487087227</v>
      </c>
      <c r="W304" s="46">
        <v>0.8851716841694578</v>
      </c>
      <c r="X304" s="46">
        <v>11.413434863396247</v>
      </c>
      <c r="Y304" s="46">
        <v>-0.19039104860188855</v>
      </c>
      <c r="Z304" s="46">
        <v>0.2384618487087227</v>
      </c>
    </row>
    <row r="305" spans="1:26" x14ac:dyDescent="0.35">
      <c r="A305" s="44">
        <v>44492</v>
      </c>
      <c r="B305" s="20">
        <f t="shared" si="29"/>
        <v>44483</v>
      </c>
      <c r="C305" s="35">
        <v>48.75</v>
      </c>
      <c r="D305" s="36"/>
      <c r="E305" s="36"/>
      <c r="F305" s="36">
        <v>18.376000000000001</v>
      </c>
      <c r="G305" s="36">
        <v>25.3</v>
      </c>
      <c r="H305" s="42">
        <v>0</v>
      </c>
      <c r="I305" s="40">
        <f t="shared" si="30"/>
        <v>0.20000004023044343</v>
      </c>
      <c r="J305" s="40">
        <f t="shared" si="31"/>
        <v>0.20000005900465034</v>
      </c>
      <c r="K305" s="41">
        <f t="shared" si="28"/>
        <v>0.79999999999999372</v>
      </c>
      <c r="L305" s="23">
        <f t="shared" si="32"/>
        <v>1.8410958904109589</v>
      </c>
      <c r="M305" s="28">
        <f t="shared" si="33"/>
        <v>31</v>
      </c>
      <c r="N305" s="29" t="s">
        <v>9</v>
      </c>
      <c r="O305" s="30">
        <v>1</v>
      </c>
      <c r="P305" s="31">
        <v>0</v>
      </c>
      <c r="Q305" s="1">
        <v>1</v>
      </c>
      <c r="R305" s="46">
        <v>1.0307968218117782</v>
      </c>
      <c r="S305" s="46">
        <v>-6.7240000000000002</v>
      </c>
      <c r="T305" s="46">
        <v>7.7547968218117784</v>
      </c>
      <c r="U305" s="46">
        <v>-0.19053426822075875</v>
      </c>
      <c r="V305" s="46">
        <v>0.23866324432135891</v>
      </c>
      <c r="W305" s="46">
        <v>0.88624131554836882</v>
      </c>
      <c r="X305" s="46">
        <v>11.427225378580815</v>
      </c>
      <c r="Y305" s="46">
        <v>-0.19053426822075875</v>
      </c>
      <c r="Z305" s="46">
        <v>0.23866324432135891</v>
      </c>
    </row>
    <row r="306" spans="1:26" x14ac:dyDescent="0.35">
      <c r="A306" s="44">
        <v>44493</v>
      </c>
      <c r="B306" s="20">
        <f t="shared" si="29"/>
        <v>44483</v>
      </c>
      <c r="C306" s="35">
        <v>48.75</v>
      </c>
      <c r="D306" s="36"/>
      <c r="E306" s="36"/>
      <c r="F306" s="36">
        <v>18.376000000000001</v>
      </c>
      <c r="G306" s="36">
        <v>25.3</v>
      </c>
      <c r="H306" s="42">
        <v>0</v>
      </c>
      <c r="I306" s="40">
        <f t="shared" si="30"/>
        <v>0.20000003821892126</v>
      </c>
      <c r="J306" s="40">
        <f t="shared" si="31"/>
        <v>0.20000005605441784</v>
      </c>
      <c r="K306" s="41">
        <f t="shared" si="28"/>
        <v>0.79999999999999438</v>
      </c>
      <c r="L306" s="23">
        <f t="shared" si="32"/>
        <v>1.8410958904109589</v>
      </c>
      <c r="M306" s="28">
        <f t="shared" si="33"/>
        <v>31</v>
      </c>
      <c r="N306" s="29" t="s">
        <v>9</v>
      </c>
      <c r="O306" s="30">
        <v>1</v>
      </c>
      <c r="P306" s="31">
        <v>0</v>
      </c>
      <c r="Q306" s="1">
        <v>1</v>
      </c>
      <c r="R306" s="46">
        <v>1.0307967863141005</v>
      </c>
      <c r="S306" s="46">
        <v>-6.7240000000000002</v>
      </c>
      <c r="T306" s="46">
        <v>7.7547967863141007</v>
      </c>
      <c r="U306" s="46">
        <v>-0.19053426536545573</v>
      </c>
      <c r="V306" s="46">
        <v>0.2386632404231156</v>
      </c>
      <c r="W306" s="46">
        <v>0.88624141794348632</v>
      </c>
      <c r="X306" s="46">
        <v>11.427225165923124</v>
      </c>
      <c r="Y306" s="46">
        <v>-0.19053426536545573</v>
      </c>
      <c r="Z306" s="46">
        <v>0.2386632404231156</v>
      </c>
    </row>
    <row r="307" spans="1:26" x14ac:dyDescent="0.35">
      <c r="A307" s="44">
        <v>44494</v>
      </c>
      <c r="B307" s="20">
        <f t="shared" si="29"/>
        <v>44483</v>
      </c>
      <c r="C307" s="35">
        <v>48.75</v>
      </c>
      <c r="D307" s="36"/>
      <c r="E307" s="36"/>
      <c r="F307" s="36">
        <v>18.376000000000001</v>
      </c>
      <c r="G307" s="36">
        <v>25.3</v>
      </c>
      <c r="H307" s="42">
        <v>0</v>
      </c>
      <c r="I307" s="40">
        <f t="shared" si="30"/>
        <v>0.20000003630797519</v>
      </c>
      <c r="J307" s="40">
        <f t="shared" si="31"/>
        <v>0.20000005325169695</v>
      </c>
      <c r="K307" s="41">
        <f t="shared" si="28"/>
        <v>0.79999999999999494</v>
      </c>
      <c r="L307" s="23">
        <f t="shared" si="32"/>
        <v>1.8410958904109589</v>
      </c>
      <c r="M307" s="28">
        <f t="shared" si="33"/>
        <v>31</v>
      </c>
      <c r="N307" s="29" t="s">
        <v>9</v>
      </c>
      <c r="O307" s="30">
        <v>1</v>
      </c>
      <c r="P307" s="31">
        <v>0</v>
      </c>
      <c r="Q307" s="1">
        <v>1</v>
      </c>
      <c r="R307" s="46">
        <v>1.0307967525912964</v>
      </c>
      <c r="S307" s="46">
        <v>-6.7240000000000002</v>
      </c>
      <c r="T307" s="46">
        <v>7.7547967525912966</v>
      </c>
      <c r="U307" s="46">
        <v>-0.19053426265290879</v>
      </c>
      <c r="V307" s="46">
        <v>0.23866323671978507</v>
      </c>
      <c r="W307" s="46">
        <v>0.88624151521978245</v>
      </c>
      <c r="X307" s="46">
        <v>11.427224963900157</v>
      </c>
      <c r="Y307" s="46">
        <v>-0.19053426265290879</v>
      </c>
      <c r="Z307" s="46">
        <v>0.23866323671978507</v>
      </c>
    </row>
    <row r="308" spans="1:26" x14ac:dyDescent="0.35">
      <c r="A308" s="44">
        <v>44495</v>
      </c>
      <c r="B308" s="20">
        <f t="shared" si="29"/>
        <v>44484</v>
      </c>
      <c r="C308" s="35">
        <v>48.75</v>
      </c>
      <c r="D308" s="36"/>
      <c r="E308" s="36"/>
      <c r="F308" s="36">
        <v>18.376000000000001</v>
      </c>
      <c r="G308" s="36">
        <v>25.3</v>
      </c>
      <c r="H308" s="42">
        <v>0</v>
      </c>
      <c r="I308" s="40">
        <f t="shared" si="30"/>
        <v>0.20000003449257645</v>
      </c>
      <c r="J308" s="40">
        <f t="shared" si="31"/>
        <v>0.2000000505891121</v>
      </c>
      <c r="K308" s="41">
        <f t="shared" si="28"/>
        <v>0.79999999999999549</v>
      </c>
      <c r="L308" s="23">
        <f t="shared" si="32"/>
        <v>1.8438356164383563</v>
      </c>
      <c r="M308" s="28">
        <f t="shared" si="33"/>
        <v>31</v>
      </c>
      <c r="N308" s="29" t="s">
        <v>9</v>
      </c>
      <c r="O308" s="30">
        <v>1</v>
      </c>
      <c r="P308" s="31">
        <v>0</v>
      </c>
      <c r="Q308" s="1">
        <v>1</v>
      </c>
      <c r="R308" s="46">
        <v>1.0326289268545157</v>
      </c>
      <c r="S308" s="46">
        <v>-6.7240000000000002</v>
      </c>
      <c r="T308" s="46">
        <v>7.7566289268545159</v>
      </c>
      <c r="U308" s="46">
        <v>-0.19067720434578767</v>
      </c>
      <c r="V308" s="46">
        <v>0.23886430506811199</v>
      </c>
      <c r="W308" s="46">
        <v>0.88731020782946457</v>
      </c>
      <c r="X308" s="46">
        <v>11.441003597659771</v>
      </c>
      <c r="Y308" s="46">
        <v>-0.19067720434578767</v>
      </c>
      <c r="Z308" s="46">
        <v>0.23886430506811199</v>
      </c>
    </row>
    <row r="309" spans="1:26" x14ac:dyDescent="0.35">
      <c r="A309" s="44">
        <v>44496</v>
      </c>
      <c r="B309" s="20">
        <f t="shared" si="29"/>
        <v>44487</v>
      </c>
      <c r="C309" s="35">
        <v>48.75</v>
      </c>
      <c r="D309" s="36"/>
      <c r="E309" s="36"/>
      <c r="F309" s="36">
        <v>18.376000000000001</v>
      </c>
      <c r="G309" s="36">
        <v>25.3</v>
      </c>
      <c r="H309" s="42">
        <v>0</v>
      </c>
      <c r="I309" s="40">
        <f t="shared" si="30"/>
        <v>0.20000003276794762</v>
      </c>
      <c r="J309" s="40">
        <f t="shared" si="31"/>
        <v>0.20000004805965649</v>
      </c>
      <c r="K309" s="41">
        <f t="shared" si="28"/>
        <v>0.79999999999999594</v>
      </c>
      <c r="L309" s="23">
        <f t="shared" si="32"/>
        <v>1.8520547945205479</v>
      </c>
      <c r="M309" s="28">
        <f t="shared" si="33"/>
        <v>31</v>
      </c>
      <c r="N309" s="29" t="s">
        <v>9</v>
      </c>
      <c r="O309" s="30">
        <v>1</v>
      </c>
      <c r="P309" s="31">
        <v>0</v>
      </c>
      <c r="Q309" s="1">
        <v>1</v>
      </c>
      <c r="R309" s="46">
        <v>1.038122414061295</v>
      </c>
      <c r="S309" s="46">
        <v>-6.7240000000000002</v>
      </c>
      <c r="T309" s="46">
        <v>7.7621224140612952</v>
      </c>
      <c r="U309" s="46">
        <v>-0.19110437265555758</v>
      </c>
      <c r="V309" s="46">
        <v>0.23946555936303818</v>
      </c>
      <c r="W309" s="46">
        <v>0.89051057275396095</v>
      </c>
      <c r="X309" s="46">
        <v>11.482268667094241</v>
      </c>
      <c r="Y309" s="46">
        <v>-0.19110437265555758</v>
      </c>
      <c r="Z309" s="46">
        <v>0.23946555936303818</v>
      </c>
    </row>
    <row r="310" spans="1:26" x14ac:dyDescent="0.35">
      <c r="A310" s="44">
        <v>44497</v>
      </c>
      <c r="B310" s="20">
        <f t="shared" si="29"/>
        <v>44488</v>
      </c>
      <c r="C310" s="35">
        <v>48.75</v>
      </c>
      <c r="D310" s="36"/>
      <c r="E310" s="36"/>
      <c r="F310" s="36">
        <v>18.376000000000001</v>
      </c>
      <c r="G310" s="36">
        <v>25.3</v>
      </c>
      <c r="H310" s="42">
        <v>0</v>
      </c>
      <c r="I310" s="40">
        <f t="shared" si="30"/>
        <v>0.20000003112955023</v>
      </c>
      <c r="J310" s="40">
        <f t="shared" si="31"/>
        <v>0.20000004565667368</v>
      </c>
      <c r="K310" s="41">
        <f t="shared" si="28"/>
        <v>0.79999999999999638</v>
      </c>
      <c r="L310" s="23">
        <f t="shared" si="32"/>
        <v>1.8547945205479452</v>
      </c>
      <c r="M310" s="28">
        <f t="shared" si="33"/>
        <v>31</v>
      </c>
      <c r="N310" s="29" t="s">
        <v>9</v>
      </c>
      <c r="O310" s="30">
        <v>1</v>
      </c>
      <c r="P310" s="31">
        <v>0</v>
      </c>
      <c r="Q310" s="1">
        <v>1</v>
      </c>
      <c r="R310" s="46">
        <v>1.0399525226303474</v>
      </c>
      <c r="S310" s="46">
        <v>-6.7240000000000002</v>
      </c>
      <c r="T310" s="46">
        <v>7.7639525226303476</v>
      </c>
      <c r="U310" s="46">
        <v>-0.19124620925266653</v>
      </c>
      <c r="V310" s="46">
        <v>0.23966532577901309</v>
      </c>
      <c r="W310" s="46">
        <v>0.89157558090750422</v>
      </c>
      <c r="X310" s="46">
        <v>11.495999919664925</v>
      </c>
      <c r="Y310" s="46">
        <v>-0.19124620925266653</v>
      </c>
      <c r="Z310" s="46">
        <v>0.23966532577901309</v>
      </c>
    </row>
    <row r="311" spans="1:26" x14ac:dyDescent="0.35">
      <c r="A311" s="44">
        <v>44498</v>
      </c>
      <c r="B311" s="20">
        <f t="shared" si="29"/>
        <v>44489</v>
      </c>
      <c r="C311" s="35">
        <v>48.75</v>
      </c>
      <c r="D311" s="36"/>
      <c r="E311" s="36"/>
      <c r="F311" s="36">
        <v>18.376000000000001</v>
      </c>
      <c r="G311" s="36">
        <v>25.3</v>
      </c>
      <c r="H311" s="42">
        <v>0</v>
      </c>
      <c r="I311" s="40">
        <f t="shared" si="30"/>
        <v>0.20000002957307272</v>
      </c>
      <c r="J311" s="40">
        <f t="shared" si="31"/>
        <v>0.20000004337384</v>
      </c>
      <c r="K311" s="41">
        <f t="shared" si="28"/>
        <v>0.79999999999999671</v>
      </c>
      <c r="L311" s="23">
        <f t="shared" si="32"/>
        <v>1.8575342465753424</v>
      </c>
      <c r="M311" s="28">
        <f t="shared" si="33"/>
        <v>31</v>
      </c>
      <c r="N311" s="29" t="s">
        <v>9</v>
      </c>
      <c r="O311" s="30">
        <v>1</v>
      </c>
      <c r="P311" s="31">
        <v>0</v>
      </c>
      <c r="Q311" s="1">
        <v>1</v>
      </c>
      <c r="R311" s="46">
        <v>1.0417821145486261</v>
      </c>
      <c r="S311" s="46">
        <v>-6.7240000000000002</v>
      </c>
      <c r="T311" s="46">
        <v>7.7657821145486263</v>
      </c>
      <c r="U311" s="46">
        <v>-0.19138777163487064</v>
      </c>
      <c r="V311" s="46">
        <v>0.23986476904994083</v>
      </c>
      <c r="W311" s="46">
        <v>0.89263967091605789</v>
      </c>
      <c r="X311" s="46">
        <v>11.509719393626346</v>
      </c>
      <c r="Y311" s="46">
        <v>-0.19138777163487064</v>
      </c>
      <c r="Z311" s="46">
        <v>0.23986476904994083</v>
      </c>
    </row>
    <row r="312" spans="1:26" x14ac:dyDescent="0.35">
      <c r="A312" s="44">
        <v>44499</v>
      </c>
      <c r="B312" s="20">
        <f t="shared" si="29"/>
        <v>44490</v>
      </c>
      <c r="C312" s="35">
        <v>48.75</v>
      </c>
      <c r="D312" s="36"/>
      <c r="E312" s="36"/>
      <c r="F312" s="36">
        <v>18.376000000000001</v>
      </c>
      <c r="G312" s="36">
        <v>25.3</v>
      </c>
      <c r="H312" s="42">
        <v>0</v>
      </c>
      <c r="I312" s="40">
        <f t="shared" si="30"/>
        <v>0.20000002809441908</v>
      </c>
      <c r="J312" s="40">
        <f t="shared" si="31"/>
        <v>0.200000041205148</v>
      </c>
      <c r="K312" s="41">
        <f t="shared" si="28"/>
        <v>0.79999999999999705</v>
      </c>
      <c r="L312" s="23">
        <f t="shared" si="32"/>
        <v>1.8602739726027397</v>
      </c>
      <c r="M312" s="28">
        <f t="shared" si="33"/>
        <v>31</v>
      </c>
      <c r="N312" s="29" t="s">
        <v>9</v>
      </c>
      <c r="O312" s="30">
        <v>1</v>
      </c>
      <c r="P312" s="31">
        <v>0</v>
      </c>
      <c r="Q312" s="1">
        <v>1</v>
      </c>
      <c r="R312" s="46">
        <v>1.0436111894053397</v>
      </c>
      <c r="S312" s="46">
        <v>-6.7240000000000002</v>
      </c>
      <c r="T312" s="46">
        <v>7.7676111894053399</v>
      </c>
      <c r="U312" s="46">
        <v>-0.1915290605921813</v>
      </c>
      <c r="V312" s="46">
        <v>0.2400638900669623</v>
      </c>
      <c r="W312" s="46">
        <v>0.89370284490335483</v>
      </c>
      <c r="X312" s="46">
        <v>11.523427113493488</v>
      </c>
      <c r="Y312" s="46">
        <v>-0.1915290605921813</v>
      </c>
      <c r="Z312" s="46">
        <v>0.2400638900669623</v>
      </c>
    </row>
    <row r="313" spans="1:26" x14ac:dyDescent="0.35">
      <c r="A313" s="44">
        <v>44500</v>
      </c>
      <c r="B313" s="20">
        <f t="shared" si="29"/>
        <v>44490</v>
      </c>
      <c r="C313" s="35">
        <v>48.75</v>
      </c>
      <c r="D313" s="36"/>
      <c r="E313" s="36"/>
      <c r="F313" s="36">
        <v>18.376000000000001</v>
      </c>
      <c r="G313" s="36">
        <v>25.3</v>
      </c>
      <c r="H313" s="42">
        <v>0</v>
      </c>
      <c r="I313" s="40">
        <f t="shared" si="30"/>
        <v>0.20000002668969813</v>
      </c>
      <c r="J313" s="40">
        <f t="shared" si="31"/>
        <v>0.20000003914489059</v>
      </c>
      <c r="K313" s="41">
        <f t="shared" si="28"/>
        <v>0.79999999999999738</v>
      </c>
      <c r="L313" s="23">
        <f t="shared" si="32"/>
        <v>1.8602739726027397</v>
      </c>
      <c r="M313" s="28">
        <f t="shared" si="33"/>
        <v>31</v>
      </c>
      <c r="N313" s="29" t="s">
        <v>9</v>
      </c>
      <c r="O313" s="30">
        <v>1</v>
      </c>
      <c r="P313" s="31">
        <v>0</v>
      </c>
      <c r="Q313" s="1">
        <v>1</v>
      </c>
      <c r="R313" s="46">
        <v>1.0436111644072863</v>
      </c>
      <c r="S313" s="46">
        <v>-6.7240000000000002</v>
      </c>
      <c r="T313" s="46">
        <v>7.7676111644072865</v>
      </c>
      <c r="U313" s="46">
        <v>-0.19152905860391592</v>
      </c>
      <c r="V313" s="46">
        <v>0.24006388734738185</v>
      </c>
      <c r="W313" s="46">
        <v>0.89370291707120908</v>
      </c>
      <c r="X313" s="46">
        <v>11.523426964495568</v>
      </c>
      <c r="Y313" s="46">
        <v>-0.19152905860391592</v>
      </c>
      <c r="Z313" s="46">
        <v>0.24006388734738185</v>
      </c>
    </row>
    <row r="314" spans="1:26" x14ac:dyDescent="0.35">
      <c r="A314" s="44">
        <v>44501</v>
      </c>
      <c r="B314" s="20">
        <f t="shared" si="29"/>
        <v>44490</v>
      </c>
      <c r="C314" s="35">
        <v>48.75</v>
      </c>
      <c r="D314" s="36"/>
      <c r="E314" s="36"/>
      <c r="F314" s="36">
        <v>18.376000000000001</v>
      </c>
      <c r="G314" s="36">
        <v>25.3</v>
      </c>
      <c r="H314" s="42">
        <v>0</v>
      </c>
      <c r="I314" s="40">
        <f t="shared" si="30"/>
        <v>0.20000002535521322</v>
      </c>
      <c r="J314" s="40">
        <f t="shared" si="31"/>
        <v>0.20000003718764606</v>
      </c>
      <c r="K314" s="41">
        <f t="shared" si="28"/>
        <v>0.7999999999999976</v>
      </c>
      <c r="L314" s="23">
        <f t="shared" si="32"/>
        <v>1.8602739726027397</v>
      </c>
      <c r="M314" s="28">
        <f t="shared" si="33"/>
        <v>31</v>
      </c>
      <c r="N314" s="29" t="s">
        <v>9</v>
      </c>
      <c r="O314" s="30">
        <v>1</v>
      </c>
      <c r="P314" s="31">
        <v>0</v>
      </c>
      <c r="Q314" s="1">
        <v>1</v>
      </c>
      <c r="R314" s="46">
        <v>1.0436111406591273</v>
      </c>
      <c r="S314" s="46">
        <v>-6.7240000000000002</v>
      </c>
      <c r="T314" s="46">
        <v>7.7676111406591275</v>
      </c>
      <c r="U314" s="46">
        <v>-0.19152905671507151</v>
      </c>
      <c r="V314" s="46">
        <v>0.24006388476377741</v>
      </c>
      <c r="W314" s="46">
        <v>0.89370298562873984</v>
      </c>
      <c r="X314" s="46">
        <v>11.523426822948071</v>
      </c>
      <c r="Y314" s="46">
        <v>-0.19152905671507151</v>
      </c>
      <c r="Z314" s="46">
        <v>0.24006388476377741</v>
      </c>
    </row>
    <row r="315" spans="1:26" x14ac:dyDescent="0.35">
      <c r="A315" s="44">
        <v>44502</v>
      </c>
      <c r="B315" s="20">
        <f t="shared" si="29"/>
        <v>44491</v>
      </c>
      <c r="C315" s="35">
        <v>48.75</v>
      </c>
      <c r="D315" s="36"/>
      <c r="E315" s="36"/>
      <c r="F315" s="36">
        <v>18.376000000000001</v>
      </c>
      <c r="G315" s="36">
        <v>25.3</v>
      </c>
      <c r="H315" s="42">
        <v>0</v>
      </c>
      <c r="I315" s="40">
        <f t="shared" si="30"/>
        <v>0.20000002408745254</v>
      </c>
      <c r="J315" s="40">
        <f t="shared" si="31"/>
        <v>0.20000003532826374</v>
      </c>
      <c r="K315" s="41">
        <f t="shared" si="28"/>
        <v>0.79999999999999782</v>
      </c>
      <c r="L315" s="23">
        <f t="shared" si="32"/>
        <v>1.8630136986301369</v>
      </c>
      <c r="M315" s="28">
        <f t="shared" si="33"/>
        <v>31</v>
      </c>
      <c r="N315" s="29" t="s">
        <v>9</v>
      </c>
      <c r="O315" s="30">
        <v>1</v>
      </c>
      <c r="P315" s="31">
        <v>0</v>
      </c>
      <c r="Q315" s="1">
        <v>1</v>
      </c>
      <c r="R315" s="46">
        <v>1.0454397004345086</v>
      </c>
      <c r="S315" s="46">
        <v>-6.7240000000000002</v>
      </c>
      <c r="T315" s="46">
        <v>7.7694397004345088</v>
      </c>
      <c r="U315" s="46">
        <v>-0.19167007323007831</v>
      </c>
      <c r="V315" s="46">
        <v>0.24026268468094697</v>
      </c>
      <c r="W315" s="46">
        <v>0.89476523884807202</v>
      </c>
      <c r="X315" s="46">
        <v>11.537122827578804</v>
      </c>
      <c r="Y315" s="46">
        <v>-0.19167007323007831</v>
      </c>
      <c r="Z315" s="46">
        <v>0.24026268468094697</v>
      </c>
    </row>
    <row r="316" spans="1:26" x14ac:dyDescent="0.35">
      <c r="A316" s="44">
        <v>44503</v>
      </c>
      <c r="B316" s="20">
        <f t="shared" si="29"/>
        <v>44494</v>
      </c>
      <c r="C316" s="35">
        <v>48.75</v>
      </c>
      <c r="D316" s="36"/>
      <c r="E316" s="36"/>
      <c r="F316" s="36">
        <v>18.376000000000001</v>
      </c>
      <c r="G316" s="36">
        <v>25.3</v>
      </c>
      <c r="H316" s="42">
        <v>0</v>
      </c>
      <c r="I316" s="40">
        <f t="shared" si="30"/>
        <v>0.20000002288307991</v>
      </c>
      <c r="J316" s="40">
        <f t="shared" si="31"/>
        <v>0.20000003356185056</v>
      </c>
      <c r="K316" s="41">
        <f t="shared" si="28"/>
        <v>0.79999999999999805</v>
      </c>
      <c r="L316" s="23">
        <f t="shared" si="32"/>
        <v>1.8712328767123287</v>
      </c>
      <c r="M316" s="28">
        <f t="shared" si="33"/>
        <v>31</v>
      </c>
      <c r="N316" s="29" t="s">
        <v>9</v>
      </c>
      <c r="O316" s="30">
        <v>1</v>
      </c>
      <c r="P316" s="31">
        <v>0</v>
      </c>
      <c r="Q316" s="1">
        <v>1</v>
      </c>
      <c r="R316" s="46">
        <v>1.0509223103030383</v>
      </c>
      <c r="S316" s="46">
        <v>-6.7240000000000002</v>
      </c>
      <c r="T316" s="46">
        <v>7.7749223103030385</v>
      </c>
      <c r="U316" s="46">
        <v>-0.19209149787530186</v>
      </c>
      <c r="V316" s="46">
        <v>0.24085716931439405</v>
      </c>
      <c r="W316" s="46">
        <v>0.89794642269083935</v>
      </c>
      <c r="X316" s="46">
        <v>11.578140940356786</v>
      </c>
      <c r="Y316" s="46">
        <v>-0.19209149787530186</v>
      </c>
      <c r="Z316" s="46">
        <v>0.24085716931439405</v>
      </c>
    </row>
    <row r="317" spans="1:26" x14ac:dyDescent="0.35">
      <c r="A317" s="44">
        <v>44504</v>
      </c>
      <c r="B317" s="20">
        <f t="shared" si="29"/>
        <v>44495</v>
      </c>
      <c r="C317" s="35">
        <v>48.75</v>
      </c>
      <c r="D317" s="36"/>
      <c r="E317" s="36"/>
      <c r="F317" s="36">
        <v>18.376000000000001</v>
      </c>
      <c r="G317" s="36">
        <v>25.3</v>
      </c>
      <c r="H317" s="42">
        <v>0</v>
      </c>
      <c r="I317" s="40">
        <f t="shared" si="30"/>
        <v>0.20000002173892592</v>
      </c>
      <c r="J317" s="40">
        <f t="shared" si="31"/>
        <v>0.20000003188375803</v>
      </c>
      <c r="K317" s="41">
        <f t="shared" si="28"/>
        <v>0.79999999999999827</v>
      </c>
      <c r="L317" s="23">
        <f t="shared" si="32"/>
        <v>1.8739726027397261</v>
      </c>
      <c r="M317" s="28">
        <f t="shared" si="33"/>
        <v>31</v>
      </c>
      <c r="N317" s="29" t="s">
        <v>9</v>
      </c>
      <c r="O317" s="30">
        <v>1</v>
      </c>
      <c r="P317" s="31">
        <v>0</v>
      </c>
      <c r="Q317" s="1">
        <v>1</v>
      </c>
      <c r="R317" s="46">
        <v>1.052748793989613</v>
      </c>
      <c r="S317" s="46">
        <v>-6.7240000000000002</v>
      </c>
      <c r="T317" s="46">
        <v>7.7767487939896132</v>
      </c>
      <c r="U317" s="46">
        <v>-0.19223143146096472</v>
      </c>
      <c r="V317" s="46">
        <v>0.24105469232442656</v>
      </c>
      <c r="W317" s="46">
        <v>0.8990050479761672</v>
      </c>
      <c r="X317" s="46">
        <v>11.591790255512439</v>
      </c>
      <c r="Y317" s="46">
        <v>-0.19223143146096472</v>
      </c>
      <c r="Z317" s="46">
        <v>0.24105469232442656</v>
      </c>
    </row>
    <row r="318" spans="1:26" x14ac:dyDescent="0.35">
      <c r="A318" s="44">
        <v>44505</v>
      </c>
      <c r="B318" s="20">
        <f t="shared" si="29"/>
        <v>44496</v>
      </c>
      <c r="C318" s="35">
        <v>48.75</v>
      </c>
      <c r="D318" s="36"/>
      <c r="E318" s="36"/>
      <c r="F318" s="36">
        <v>18.376000000000001</v>
      </c>
      <c r="G318" s="36">
        <v>25.3</v>
      </c>
      <c r="H318" s="42">
        <v>0</v>
      </c>
      <c r="I318" s="40">
        <f t="shared" si="30"/>
        <v>0.20000002065197964</v>
      </c>
      <c r="J318" s="40">
        <f t="shared" si="31"/>
        <v>0.20000003028957014</v>
      </c>
      <c r="K318" s="41">
        <f t="shared" si="28"/>
        <v>0.79999999999999849</v>
      </c>
      <c r="L318" s="23">
        <f t="shared" si="32"/>
        <v>1.8767123287671232</v>
      </c>
      <c r="M318" s="28">
        <f t="shared" si="33"/>
        <v>31</v>
      </c>
      <c r="N318" s="29" t="s">
        <v>9</v>
      </c>
      <c r="O318" s="30">
        <v>1</v>
      </c>
      <c r="P318" s="31">
        <v>0</v>
      </c>
      <c r="Q318" s="1">
        <v>1</v>
      </c>
      <c r="R318" s="46">
        <v>1.0545747583269094</v>
      </c>
      <c r="S318" s="46">
        <v>-6.7240000000000002</v>
      </c>
      <c r="T318" s="46">
        <v>7.7785747583269096</v>
      </c>
      <c r="U318" s="46">
        <v>-0.19237109630340879</v>
      </c>
      <c r="V318" s="46">
        <v>0.24125189836458763</v>
      </c>
      <c r="W318" s="46">
        <v>0.90006276970548837</v>
      </c>
      <c r="X318" s="46">
        <v>11.605427962476474</v>
      </c>
      <c r="Y318" s="46">
        <v>-0.19237109630340879</v>
      </c>
      <c r="Z318" s="46">
        <v>0.24125189836458763</v>
      </c>
    </row>
    <row r="319" spans="1:26" x14ac:dyDescent="0.35">
      <c r="A319" s="44">
        <v>44506</v>
      </c>
      <c r="B319" s="20">
        <f t="shared" si="29"/>
        <v>44497</v>
      </c>
      <c r="C319" s="35">
        <v>48.75</v>
      </c>
      <c r="D319" s="36"/>
      <c r="E319" s="36"/>
      <c r="F319" s="36">
        <v>18.376000000000001</v>
      </c>
      <c r="G319" s="36">
        <v>25.3</v>
      </c>
      <c r="H319" s="42">
        <v>0</v>
      </c>
      <c r="I319" s="40">
        <f t="shared" si="30"/>
        <v>0.20000001961938066</v>
      </c>
      <c r="J319" s="40">
        <f t="shared" si="31"/>
        <v>0.20000002877509163</v>
      </c>
      <c r="K319" s="41">
        <f t="shared" si="28"/>
        <v>0.7999999999999986</v>
      </c>
      <c r="L319" s="23">
        <f t="shared" si="32"/>
        <v>1.8794520547945206</v>
      </c>
      <c r="M319" s="28">
        <f t="shared" si="33"/>
        <v>31</v>
      </c>
      <c r="N319" s="29" t="s">
        <v>9</v>
      </c>
      <c r="O319" s="30">
        <v>1</v>
      </c>
      <c r="P319" s="31">
        <v>0</v>
      </c>
      <c r="Q319" s="1">
        <v>1</v>
      </c>
      <c r="R319" s="46">
        <v>1.0564002029614308</v>
      </c>
      <c r="S319" s="46">
        <v>-6.7240000000000002</v>
      </c>
      <c r="T319" s="46">
        <v>7.780400202961431</v>
      </c>
      <c r="U319" s="46">
        <v>-0.19251049317321306</v>
      </c>
      <c r="V319" s="46">
        <v>0.24144878830501518</v>
      </c>
      <c r="W319" s="46">
        <v>0.9011195899060449</v>
      </c>
      <c r="X319" s="46">
        <v>11.619054085364505</v>
      </c>
      <c r="Y319" s="46">
        <v>-0.19251049317321306</v>
      </c>
      <c r="Z319" s="46">
        <v>0.24144878830501518</v>
      </c>
    </row>
    <row r="320" spans="1:26" x14ac:dyDescent="0.35">
      <c r="A320" s="44">
        <v>44507</v>
      </c>
      <c r="B320" s="20">
        <f t="shared" si="29"/>
        <v>44497</v>
      </c>
      <c r="C320" s="35">
        <v>48.75</v>
      </c>
      <c r="D320" s="36"/>
      <c r="E320" s="36"/>
      <c r="F320" s="36">
        <v>18.376000000000001</v>
      </c>
      <c r="G320" s="36">
        <v>25.3</v>
      </c>
      <c r="H320" s="42">
        <v>0</v>
      </c>
      <c r="I320" s="40">
        <f t="shared" si="30"/>
        <v>0.20000001863841163</v>
      </c>
      <c r="J320" s="40">
        <f t="shared" si="31"/>
        <v>0.20000002733633704</v>
      </c>
      <c r="K320" s="41">
        <f t="shared" si="28"/>
        <v>0.79999999999999871</v>
      </c>
      <c r="L320" s="23">
        <f t="shared" si="32"/>
        <v>1.8794520547945206</v>
      </c>
      <c r="M320" s="28">
        <f t="shared" si="33"/>
        <v>31</v>
      </c>
      <c r="N320" s="29" t="s">
        <v>9</v>
      </c>
      <c r="O320" s="30">
        <v>1</v>
      </c>
      <c r="P320" s="31">
        <v>0</v>
      </c>
      <c r="Q320" s="1">
        <v>1</v>
      </c>
      <c r="R320" s="46">
        <v>1.0564001853594789</v>
      </c>
      <c r="S320" s="46">
        <v>-6.7240000000000002</v>
      </c>
      <c r="T320" s="46">
        <v>7.7804001853594791</v>
      </c>
      <c r="U320" s="46">
        <v>-0.1925104917887368</v>
      </c>
      <c r="V320" s="46">
        <v>0.24144878640774584</v>
      </c>
      <c r="W320" s="46">
        <v>0.90111964076208029</v>
      </c>
      <c r="X320" s="46">
        <v>11.619053980974831</v>
      </c>
      <c r="Y320" s="46">
        <v>-0.1925104917887368</v>
      </c>
      <c r="Z320" s="46">
        <v>0.24144878640774584</v>
      </c>
    </row>
    <row r="321" spans="1:26" x14ac:dyDescent="0.35">
      <c r="A321" s="44">
        <v>44508</v>
      </c>
      <c r="B321" s="20">
        <f t="shared" si="29"/>
        <v>44497</v>
      </c>
      <c r="C321" s="35">
        <v>48.75</v>
      </c>
      <c r="D321" s="36"/>
      <c r="E321" s="36"/>
      <c r="F321" s="36">
        <v>18.376000000000001</v>
      </c>
      <c r="G321" s="36">
        <v>25.3</v>
      </c>
      <c r="H321" s="42">
        <v>0</v>
      </c>
      <c r="I321" s="40">
        <f t="shared" si="30"/>
        <v>0.20000001770649106</v>
      </c>
      <c r="J321" s="40">
        <f t="shared" si="31"/>
        <v>0.20000002596952018</v>
      </c>
      <c r="K321" s="41">
        <f t="shared" si="28"/>
        <v>0.79999999999999882</v>
      </c>
      <c r="L321" s="23">
        <f t="shared" si="32"/>
        <v>1.8794520547945206</v>
      </c>
      <c r="M321" s="28">
        <f t="shared" si="33"/>
        <v>31</v>
      </c>
      <c r="N321" s="29" t="s">
        <v>9</v>
      </c>
      <c r="O321" s="30">
        <v>1</v>
      </c>
      <c r="P321" s="31">
        <v>0</v>
      </c>
      <c r="Q321" s="1">
        <v>1</v>
      </c>
      <c r="R321" s="46">
        <v>1.056400168637623</v>
      </c>
      <c r="S321" s="46">
        <v>-6.7240000000000002</v>
      </c>
      <c r="T321" s="46">
        <v>7.7804001686376232</v>
      </c>
      <c r="U321" s="46">
        <v>-0.19251049047347271</v>
      </c>
      <c r="V321" s="46">
        <v>0.24144878460533939</v>
      </c>
      <c r="W321" s="46">
        <v>0.90111968907542561</v>
      </c>
      <c r="X321" s="46">
        <v>11.619053881805062</v>
      </c>
      <c r="Y321" s="46">
        <v>-0.19251049047347271</v>
      </c>
      <c r="Z321" s="46">
        <v>0.24144878460533939</v>
      </c>
    </row>
    <row r="322" spans="1:26" x14ac:dyDescent="0.35">
      <c r="A322" s="44">
        <v>44509</v>
      </c>
      <c r="B322" s="20">
        <f t="shared" si="29"/>
        <v>44498</v>
      </c>
      <c r="C322" s="35">
        <v>48.75</v>
      </c>
      <c r="D322" s="36"/>
      <c r="E322" s="36"/>
      <c r="F322" s="36">
        <v>18.376000000000001</v>
      </c>
      <c r="G322" s="36">
        <v>25.3</v>
      </c>
      <c r="H322" s="42">
        <v>0</v>
      </c>
      <c r="I322" s="40">
        <f t="shared" si="30"/>
        <v>0.2000000168211665</v>
      </c>
      <c r="J322" s="40">
        <f t="shared" si="31"/>
        <v>0.20000002467104416</v>
      </c>
      <c r="K322" s="41">
        <f t="shared" si="28"/>
        <v>0.79999999999999893</v>
      </c>
      <c r="L322" s="23">
        <f t="shared" si="32"/>
        <v>1.8821917808219177</v>
      </c>
      <c r="M322" s="28">
        <f t="shared" si="33"/>
        <v>31</v>
      </c>
      <c r="N322" s="29" t="s">
        <v>9</v>
      </c>
      <c r="O322" s="30">
        <v>1</v>
      </c>
      <c r="P322" s="31">
        <v>0</v>
      </c>
      <c r="Q322" s="1">
        <v>1</v>
      </c>
      <c r="R322" s="46">
        <v>1.058225094901319</v>
      </c>
      <c r="S322" s="46">
        <v>-6.7240000000000002</v>
      </c>
      <c r="T322" s="46">
        <v>7.7822250949013192</v>
      </c>
      <c r="U322" s="46">
        <v>-0.19264962027447471</v>
      </c>
      <c r="V322" s="46">
        <v>0.24164535949869706</v>
      </c>
      <c r="W322" s="46">
        <v>0.902175604928519</v>
      </c>
      <c r="X322" s="46">
        <v>11.632668454758738</v>
      </c>
      <c r="Y322" s="46">
        <v>-0.19264962027447471</v>
      </c>
      <c r="Z322" s="46">
        <v>0.24164535949869706</v>
      </c>
    </row>
    <row r="323" spans="1:26" x14ac:dyDescent="0.35">
      <c r="A323" s="44">
        <v>44510</v>
      </c>
      <c r="B323" s="20">
        <f t="shared" si="29"/>
        <v>44501</v>
      </c>
      <c r="C323" s="35">
        <v>48.75</v>
      </c>
      <c r="D323" s="36"/>
      <c r="E323" s="36"/>
      <c r="F323" s="36">
        <v>18.376000000000001</v>
      </c>
      <c r="G323" s="36">
        <v>25.3</v>
      </c>
      <c r="H323" s="42">
        <v>0</v>
      </c>
      <c r="I323" s="40">
        <f t="shared" si="30"/>
        <v>0.20000001598010816</v>
      </c>
      <c r="J323" s="40">
        <f t="shared" si="31"/>
        <v>0.20000002343749196</v>
      </c>
      <c r="K323" s="41">
        <f t="shared" si="28"/>
        <v>0.79999999999999905</v>
      </c>
      <c r="L323" s="23">
        <f t="shared" si="32"/>
        <v>1.8904109589041096</v>
      </c>
      <c r="M323" s="28">
        <f t="shared" si="33"/>
        <v>30</v>
      </c>
      <c r="N323" s="29" t="s">
        <v>9</v>
      </c>
      <c r="O323" s="30">
        <v>1</v>
      </c>
      <c r="P323" s="31">
        <v>0</v>
      </c>
      <c r="Q323" s="1">
        <v>1</v>
      </c>
      <c r="R323" s="46">
        <v>1.0636967776602848</v>
      </c>
      <c r="S323" s="46">
        <v>-6.7240000000000002</v>
      </c>
      <c r="T323" s="46">
        <v>7.787696777660285</v>
      </c>
      <c r="U323" s="46">
        <v>-0.19306541624033299</v>
      </c>
      <c r="V323" s="46">
        <v>0.24223320436767892</v>
      </c>
      <c r="W323" s="46">
        <v>0.90533789559747335</v>
      </c>
      <c r="X323" s="46">
        <v>11.673443216353123</v>
      </c>
      <c r="Y323" s="46">
        <v>-0.19306541624033299</v>
      </c>
      <c r="Z323" s="46">
        <v>0.24223320436767892</v>
      </c>
    </row>
    <row r="324" spans="1:26" x14ac:dyDescent="0.35">
      <c r="A324" s="44">
        <v>44511</v>
      </c>
      <c r="B324" s="20">
        <f t="shared" si="29"/>
        <v>44502</v>
      </c>
      <c r="C324" s="35">
        <v>48.75</v>
      </c>
      <c r="D324" s="36"/>
      <c r="E324" s="36"/>
      <c r="F324" s="36">
        <v>18.376000000000001</v>
      </c>
      <c r="G324" s="36">
        <v>25.3</v>
      </c>
      <c r="H324" s="42">
        <v>0</v>
      </c>
      <c r="I324" s="40">
        <f t="shared" si="30"/>
        <v>0.20000001518110275</v>
      </c>
      <c r="J324" s="40">
        <f t="shared" si="31"/>
        <v>0.20000002226561736</v>
      </c>
      <c r="K324" s="41">
        <f t="shared" si="28"/>
        <v>0.79999999999999916</v>
      </c>
      <c r="L324" s="23">
        <f t="shared" si="32"/>
        <v>1.893150684931507</v>
      </c>
      <c r="M324" s="28">
        <f t="shared" si="33"/>
        <v>30</v>
      </c>
      <c r="N324" s="29" t="s">
        <v>9</v>
      </c>
      <c r="O324" s="30">
        <v>1</v>
      </c>
      <c r="P324" s="31">
        <v>0</v>
      </c>
      <c r="Q324" s="1">
        <v>1</v>
      </c>
      <c r="R324" s="46">
        <v>1.0655196187349496</v>
      </c>
      <c r="S324" s="46">
        <v>-6.7240000000000002</v>
      </c>
      <c r="T324" s="46">
        <v>7.7895196187349498</v>
      </c>
      <c r="U324" s="46">
        <v>-0.19320348470851167</v>
      </c>
      <c r="V324" s="46">
        <v>0.24242852675687762</v>
      </c>
      <c r="W324" s="46">
        <v>0.90639023818057018</v>
      </c>
      <c r="X324" s="46">
        <v>11.687011778479656</v>
      </c>
      <c r="Y324" s="46">
        <v>-0.19320348470851167</v>
      </c>
      <c r="Z324" s="46">
        <v>0.24242852675687762</v>
      </c>
    </row>
    <row r="325" spans="1:26" x14ac:dyDescent="0.35">
      <c r="A325" s="44">
        <v>44512</v>
      </c>
      <c r="B325" s="20">
        <f t="shared" si="29"/>
        <v>44503</v>
      </c>
      <c r="C325" s="35">
        <v>48.75</v>
      </c>
      <c r="D325" s="36"/>
      <c r="E325" s="36"/>
      <c r="F325" s="36">
        <v>18.376000000000001</v>
      </c>
      <c r="G325" s="36">
        <v>25.3</v>
      </c>
      <c r="H325" s="42">
        <v>0</v>
      </c>
      <c r="I325" s="40">
        <f t="shared" si="30"/>
        <v>0.20000001442204762</v>
      </c>
      <c r="J325" s="40">
        <f t="shared" si="31"/>
        <v>0.2000000211523365</v>
      </c>
      <c r="K325" s="41">
        <f t="shared" si="28"/>
        <v>0.79999999999999927</v>
      </c>
      <c r="L325" s="23">
        <f t="shared" si="32"/>
        <v>1.8958904109589041</v>
      </c>
      <c r="M325" s="28">
        <f t="shared" si="33"/>
        <v>30</v>
      </c>
      <c r="N325" s="29" t="s">
        <v>9</v>
      </c>
      <c r="O325" s="30">
        <v>1</v>
      </c>
      <c r="P325" s="31">
        <v>0</v>
      </c>
      <c r="Q325" s="1">
        <v>1</v>
      </c>
      <c r="R325" s="46">
        <v>1.0673419381377549</v>
      </c>
      <c r="S325" s="46">
        <v>-6.7240000000000002</v>
      </c>
      <c r="T325" s="46">
        <v>7.7913419381377551</v>
      </c>
      <c r="U325" s="46">
        <v>-0.19334128976937778</v>
      </c>
      <c r="V325" s="46">
        <v>0.24262353820432919</v>
      </c>
      <c r="W325" s="46">
        <v>0.90744169117033902</v>
      </c>
      <c r="X325" s="46">
        <v>11.70056889995457</v>
      </c>
      <c r="Y325" s="46">
        <v>-0.19334128976937778</v>
      </c>
      <c r="Z325" s="46">
        <v>0.24262353820432919</v>
      </c>
    </row>
    <row r="326" spans="1:26" x14ac:dyDescent="0.35">
      <c r="A326" s="44">
        <v>44513</v>
      </c>
      <c r="B326" s="20">
        <f t="shared" si="29"/>
        <v>44504</v>
      </c>
      <c r="C326" s="35">
        <v>48.75</v>
      </c>
      <c r="D326" s="36"/>
      <c r="E326" s="36"/>
      <c r="F326" s="36">
        <v>18.376000000000001</v>
      </c>
      <c r="G326" s="36">
        <v>25.3</v>
      </c>
      <c r="H326" s="42">
        <v>0</v>
      </c>
      <c r="I326" s="40">
        <f t="shared" si="30"/>
        <v>0.20000001370094525</v>
      </c>
      <c r="J326" s="40">
        <f t="shared" si="31"/>
        <v>0.20000002009471968</v>
      </c>
      <c r="K326" s="41">
        <f t="shared" si="28"/>
        <v>0.79999999999999938</v>
      </c>
      <c r="L326" s="23">
        <f t="shared" si="32"/>
        <v>1.8986301369863015</v>
      </c>
      <c r="M326" s="28">
        <f t="shared" si="33"/>
        <v>30</v>
      </c>
      <c r="N326" s="29" t="s">
        <v>9</v>
      </c>
      <c r="O326" s="30">
        <v>1</v>
      </c>
      <c r="P326" s="31">
        <v>0</v>
      </c>
      <c r="Q326" s="1">
        <v>1</v>
      </c>
      <c r="R326" s="46">
        <v>1.069163735564528</v>
      </c>
      <c r="S326" s="46">
        <v>-6.7240000000000002</v>
      </c>
      <c r="T326" s="46">
        <v>7.7931637355645282</v>
      </c>
      <c r="U326" s="46">
        <v>-0.19347883217418971</v>
      </c>
      <c r="V326" s="46">
        <v>0.24281823955920329</v>
      </c>
      <c r="W326" s="46">
        <v>0.90849225650833387</v>
      </c>
      <c r="X326" s="46">
        <v>11.714114604465204</v>
      </c>
      <c r="Y326" s="46">
        <v>-0.19347883217418971</v>
      </c>
      <c r="Z326" s="46">
        <v>0.24281823955920329</v>
      </c>
    </row>
    <row r="327" spans="1:26" x14ac:dyDescent="0.35">
      <c r="A327" s="44">
        <v>44514</v>
      </c>
      <c r="B327" s="20">
        <f t="shared" si="29"/>
        <v>44504</v>
      </c>
      <c r="C327" s="35">
        <v>48.75</v>
      </c>
      <c r="D327" s="36"/>
      <c r="E327" s="36"/>
      <c r="F327" s="36">
        <v>18.376000000000001</v>
      </c>
      <c r="G327" s="36">
        <v>25.3</v>
      </c>
      <c r="H327" s="42">
        <v>0</v>
      </c>
      <c r="I327" s="40">
        <f t="shared" si="30"/>
        <v>0.20000001301589798</v>
      </c>
      <c r="J327" s="40">
        <f t="shared" si="31"/>
        <v>0.20000001908998369</v>
      </c>
      <c r="K327" s="41">
        <f t="shared" si="28"/>
        <v>0.79999999999999949</v>
      </c>
      <c r="L327" s="23">
        <f t="shared" si="32"/>
        <v>1.8986301369863015</v>
      </c>
      <c r="M327" s="28">
        <f t="shared" si="33"/>
        <v>30</v>
      </c>
      <c r="N327" s="29" t="s">
        <v>9</v>
      </c>
      <c r="O327" s="30">
        <v>1</v>
      </c>
      <c r="P327" s="31">
        <v>0</v>
      </c>
      <c r="Q327" s="1">
        <v>1</v>
      </c>
      <c r="R327" s="46">
        <v>1.0691637231718616</v>
      </c>
      <c r="S327" s="46">
        <v>-6.7240000000000002</v>
      </c>
      <c r="T327" s="46">
        <v>7.7931637231718618</v>
      </c>
      <c r="U327" s="46">
        <v>-0.19347883121014256</v>
      </c>
      <c r="V327" s="46">
        <v>0.24281823823561338</v>
      </c>
      <c r="W327" s="46">
        <v>0.90849229234240148</v>
      </c>
      <c r="X327" s="46">
        <v>11.714114531331637</v>
      </c>
      <c r="Y327" s="46">
        <v>-0.19347883121014256</v>
      </c>
      <c r="Z327" s="46">
        <v>0.24281823823561338</v>
      </c>
    </row>
    <row r="328" spans="1:26" x14ac:dyDescent="0.35">
      <c r="A328" s="44">
        <v>44515</v>
      </c>
      <c r="B328" s="20">
        <f t="shared" si="29"/>
        <v>44504</v>
      </c>
      <c r="C328" s="35">
        <v>48.75</v>
      </c>
      <c r="D328" s="36"/>
      <c r="E328" s="36"/>
      <c r="F328" s="36">
        <v>18.376000000000001</v>
      </c>
      <c r="G328" s="36">
        <v>25.3</v>
      </c>
      <c r="H328" s="42">
        <v>0</v>
      </c>
      <c r="I328" s="40">
        <f t="shared" si="30"/>
        <v>0.20000001236510309</v>
      </c>
      <c r="J328" s="40">
        <f t="shared" si="31"/>
        <v>0.20000001813548451</v>
      </c>
      <c r="K328" s="41">
        <f t="shared" si="28"/>
        <v>0.7999999999999996</v>
      </c>
      <c r="L328" s="23">
        <f t="shared" si="32"/>
        <v>1.8986301369863015</v>
      </c>
      <c r="M328" s="28">
        <f t="shared" si="33"/>
        <v>30</v>
      </c>
      <c r="N328" s="29" t="s">
        <v>9</v>
      </c>
      <c r="O328" s="30">
        <v>1</v>
      </c>
      <c r="P328" s="31">
        <v>0</v>
      </c>
      <c r="Q328" s="1">
        <v>1</v>
      </c>
      <c r="R328" s="46">
        <v>1.0691637113988151</v>
      </c>
      <c r="S328" s="46">
        <v>-6.7240000000000002</v>
      </c>
      <c r="T328" s="46">
        <v>7.7931637113988153</v>
      </c>
      <c r="U328" s="46">
        <v>-0.19347883029431703</v>
      </c>
      <c r="V328" s="46">
        <v>0.24281823697821692</v>
      </c>
      <c r="W328" s="46">
        <v>0.90849232638529898</v>
      </c>
      <c r="X328" s="46">
        <v>11.714114461852613</v>
      </c>
      <c r="Y328" s="46">
        <v>-0.19347883029431703</v>
      </c>
      <c r="Z328" s="46">
        <v>0.24281823697821692</v>
      </c>
    </row>
    <row r="329" spans="1:26" x14ac:dyDescent="0.35">
      <c r="A329" s="44">
        <v>44516</v>
      </c>
      <c r="B329" s="20">
        <f t="shared" si="29"/>
        <v>44505</v>
      </c>
      <c r="C329" s="35">
        <v>48.75</v>
      </c>
      <c r="D329" s="36"/>
      <c r="E329" s="36"/>
      <c r="F329" s="36">
        <v>18.376000000000001</v>
      </c>
      <c r="G329" s="36">
        <v>25.3</v>
      </c>
      <c r="H329" s="42">
        <v>0</v>
      </c>
      <c r="I329" s="40">
        <f t="shared" si="30"/>
        <v>0.20000001174684795</v>
      </c>
      <c r="J329" s="40">
        <f t="shared" si="31"/>
        <v>0.2000000172287103</v>
      </c>
      <c r="K329" s="41">
        <f t="shared" si="28"/>
        <v>0.7999999999999996</v>
      </c>
      <c r="L329" s="23">
        <f t="shared" si="32"/>
        <v>1.9013698630136986</v>
      </c>
      <c r="M329" s="28">
        <f t="shared" si="33"/>
        <v>30</v>
      </c>
      <c r="N329" s="29" t="s">
        <v>9</v>
      </c>
      <c r="O329" s="30">
        <v>1</v>
      </c>
      <c r="P329" s="31">
        <v>0</v>
      </c>
      <c r="Q329" s="1">
        <v>1</v>
      </c>
      <c r="R329" s="46">
        <v>1.0709849877336808</v>
      </c>
      <c r="S329" s="46">
        <v>-6.7240000000000002</v>
      </c>
      <c r="T329" s="46">
        <v>7.794984987733681</v>
      </c>
      <c r="U329" s="46">
        <v>-0.19361611088631939</v>
      </c>
      <c r="V329" s="46">
        <v>0.24301262921611785</v>
      </c>
      <c r="W329" s="46">
        <v>0.90954200260640994</v>
      </c>
      <c r="X329" s="46">
        <v>11.727648780098024</v>
      </c>
      <c r="Y329" s="46">
        <v>-0.19361611088631939</v>
      </c>
      <c r="Z329" s="46">
        <v>0.24301262921611785</v>
      </c>
    </row>
    <row r="330" spans="1:26" x14ac:dyDescent="0.35">
      <c r="A330" s="44">
        <v>44517</v>
      </c>
      <c r="B330" s="20">
        <f t="shared" si="29"/>
        <v>44508</v>
      </c>
      <c r="C330" s="35">
        <v>48.75</v>
      </c>
      <c r="D330" s="36"/>
      <c r="E330" s="36"/>
      <c r="F330" s="36">
        <v>18.376000000000001</v>
      </c>
      <c r="G330" s="36">
        <v>25.3</v>
      </c>
      <c r="H330" s="42">
        <v>0</v>
      </c>
      <c r="I330" s="40">
        <f t="shared" si="30"/>
        <v>0.20000001115950555</v>
      </c>
      <c r="J330" s="40">
        <f t="shared" si="31"/>
        <v>0.2000000163672748</v>
      </c>
      <c r="K330" s="41">
        <f t="shared" si="28"/>
        <v>0.7999999999999996</v>
      </c>
      <c r="L330" s="23">
        <f t="shared" si="32"/>
        <v>1.9095890410958904</v>
      </c>
      <c r="M330" s="28">
        <f t="shared" si="33"/>
        <v>30</v>
      </c>
      <c r="N330" s="29" t="s">
        <v>9</v>
      </c>
      <c r="O330" s="30">
        <v>1</v>
      </c>
      <c r="P330" s="31">
        <v>0</v>
      </c>
      <c r="Q330" s="1">
        <v>1</v>
      </c>
      <c r="R330" s="46">
        <v>1.0764456996536254</v>
      </c>
      <c r="S330" s="46">
        <v>-6.7240000000000002</v>
      </c>
      <c r="T330" s="46">
        <v>7.8004456996536256</v>
      </c>
      <c r="U330" s="46">
        <v>-0.19402639016228226</v>
      </c>
      <c r="V330" s="46">
        <v>0.24359396093224825</v>
      </c>
      <c r="W330" s="46">
        <v>0.91268568003310202</v>
      </c>
      <c r="X330" s="46">
        <v>11.76818372449576</v>
      </c>
      <c r="Y330" s="46">
        <v>-0.19402639016228226</v>
      </c>
      <c r="Z330" s="46">
        <v>0.24359396093224825</v>
      </c>
    </row>
    <row r="331" spans="1:26" x14ac:dyDescent="0.35">
      <c r="A331" s="44">
        <v>44518</v>
      </c>
      <c r="B331" s="20">
        <f t="shared" si="29"/>
        <v>44509</v>
      </c>
      <c r="C331" s="35">
        <v>48.75</v>
      </c>
      <c r="D331" s="36"/>
      <c r="E331" s="36"/>
      <c r="F331" s="36">
        <v>18.376000000000001</v>
      </c>
      <c r="G331" s="36">
        <v>25.3</v>
      </c>
      <c r="H331" s="42">
        <v>0</v>
      </c>
      <c r="I331" s="40">
        <f t="shared" si="30"/>
        <v>0.20000001060153028</v>
      </c>
      <c r="J331" s="40">
        <f t="shared" si="31"/>
        <v>0.20000001554891106</v>
      </c>
      <c r="K331" s="41">
        <f t="shared" si="28"/>
        <v>0.7999999999999996</v>
      </c>
      <c r="L331" s="23">
        <f t="shared" si="32"/>
        <v>1.9123287671232876</v>
      </c>
      <c r="M331" s="28">
        <f t="shared" si="33"/>
        <v>30</v>
      </c>
      <c r="N331" s="29" t="s">
        <v>9</v>
      </c>
      <c r="O331" s="30">
        <v>1</v>
      </c>
      <c r="P331" s="31">
        <v>0</v>
      </c>
      <c r="Q331" s="1">
        <v>1</v>
      </c>
      <c r="R331" s="46">
        <v>1.0782648828617454</v>
      </c>
      <c r="S331" s="46">
        <v>-6.7240000000000002</v>
      </c>
      <c r="T331" s="46">
        <v>7.8022648828617456</v>
      </c>
      <c r="U331" s="46">
        <v>-0.19416263046003954</v>
      </c>
      <c r="V331" s="46">
        <v>0.24378712445770118</v>
      </c>
      <c r="W331" s="46">
        <v>0.91373183603175001</v>
      </c>
      <c r="X331" s="46">
        <v>11.781672697361147</v>
      </c>
      <c r="Y331" s="46">
        <v>-0.19416263046003954</v>
      </c>
      <c r="Z331" s="46">
        <v>0.24378712445770118</v>
      </c>
    </row>
    <row r="332" spans="1:26" x14ac:dyDescent="0.35">
      <c r="A332" s="44">
        <v>44519</v>
      </c>
      <c r="B332" s="20">
        <f t="shared" si="29"/>
        <v>44510</v>
      </c>
      <c r="C332" s="35">
        <v>48.75</v>
      </c>
      <c r="D332" s="36"/>
      <c r="E332" s="36"/>
      <c r="F332" s="36">
        <v>18.376000000000001</v>
      </c>
      <c r="G332" s="36">
        <v>25.3</v>
      </c>
      <c r="H332" s="42">
        <v>0</v>
      </c>
      <c r="I332" s="40">
        <f t="shared" si="30"/>
        <v>0.20000001007145377</v>
      </c>
      <c r="J332" s="40">
        <f t="shared" si="31"/>
        <v>0.20000001477146551</v>
      </c>
      <c r="K332" s="41">
        <f t="shared" ref="K332:K376" si="34">80%+(K331-80%)*0.9</f>
        <v>0.7999999999999996</v>
      </c>
      <c r="L332" s="23">
        <f t="shared" si="32"/>
        <v>1.9150684931506849</v>
      </c>
      <c r="M332" s="28">
        <f t="shared" si="33"/>
        <v>30</v>
      </c>
      <c r="N332" s="29" t="s">
        <v>9</v>
      </c>
      <c r="O332" s="30">
        <v>1</v>
      </c>
      <c r="P332" s="31">
        <v>0</v>
      </c>
      <c r="Q332" s="1">
        <v>1</v>
      </c>
      <c r="R332" s="46">
        <v>1.0800835424016526</v>
      </c>
      <c r="S332" s="46">
        <v>-6.7240000000000002</v>
      </c>
      <c r="T332" s="46">
        <v>7.8040835424016528</v>
      </c>
      <c r="U332" s="46">
        <v>-0.1942986125519878</v>
      </c>
      <c r="V332" s="46">
        <v>0.24397998292317041</v>
      </c>
      <c r="W332" s="46">
        <v>0.91477711586898836</v>
      </c>
      <c r="X332" s="46">
        <v>11.795150394089818</v>
      </c>
      <c r="Y332" s="46">
        <v>-0.1942986125519878</v>
      </c>
      <c r="Z332" s="46">
        <v>0.24397998292317041</v>
      </c>
    </row>
    <row r="333" spans="1:26" x14ac:dyDescent="0.35">
      <c r="A333" s="44">
        <v>44520</v>
      </c>
      <c r="B333" s="20">
        <f t="shared" si="29"/>
        <v>44511</v>
      </c>
      <c r="C333" s="35">
        <v>48.75</v>
      </c>
      <c r="D333" s="36"/>
      <c r="E333" s="36"/>
      <c r="F333" s="36">
        <v>18.376000000000001</v>
      </c>
      <c r="G333" s="36">
        <v>25.3</v>
      </c>
      <c r="H333" s="42">
        <v>0</v>
      </c>
      <c r="I333" s="40">
        <f t="shared" si="30"/>
        <v>0.20000000956788108</v>
      </c>
      <c r="J333" s="40">
        <f t="shared" si="31"/>
        <v>0.20000001403289222</v>
      </c>
      <c r="K333" s="41">
        <f t="shared" si="34"/>
        <v>0.7999999999999996</v>
      </c>
      <c r="L333" s="23">
        <f t="shared" si="32"/>
        <v>1.9178082191780821</v>
      </c>
      <c r="M333" s="28">
        <f t="shared" si="33"/>
        <v>30</v>
      </c>
      <c r="N333" s="29" t="s">
        <v>9</v>
      </c>
      <c r="O333" s="30">
        <v>1</v>
      </c>
      <c r="P333" s="31">
        <v>0</v>
      </c>
      <c r="Q333" s="1">
        <v>1</v>
      </c>
      <c r="R333" s="46">
        <v>1.0819016780124304</v>
      </c>
      <c r="S333" s="46">
        <v>-6.7240000000000002</v>
      </c>
      <c r="T333" s="46">
        <v>7.8059016780124306</v>
      </c>
      <c r="U333" s="46">
        <v>-0.19443433717038264</v>
      </c>
      <c r="V333" s="46">
        <v>0.24417253715705958</v>
      </c>
      <c r="W333" s="46">
        <v>0.91582152143725115</v>
      </c>
      <c r="X333" s="46">
        <v>11.808616837933435</v>
      </c>
      <c r="Y333" s="46">
        <v>-0.19443433717038264</v>
      </c>
      <c r="Z333" s="46">
        <v>0.24417253715705958</v>
      </c>
    </row>
    <row r="334" spans="1:26" x14ac:dyDescent="0.35">
      <c r="A334" s="44">
        <v>44521</v>
      </c>
      <c r="B334" s="20">
        <f t="shared" si="29"/>
        <v>44511</v>
      </c>
      <c r="C334" s="35">
        <v>48.75</v>
      </c>
      <c r="D334" s="36"/>
      <c r="E334" s="36"/>
      <c r="F334" s="36">
        <v>18.376000000000001</v>
      </c>
      <c r="G334" s="36">
        <v>25.3</v>
      </c>
      <c r="H334" s="42">
        <v>0</v>
      </c>
      <c r="I334" s="40">
        <f t="shared" si="30"/>
        <v>0.20000000908948704</v>
      </c>
      <c r="J334" s="40">
        <f t="shared" si="31"/>
        <v>0.20000001333124762</v>
      </c>
      <c r="K334" s="41">
        <f t="shared" si="34"/>
        <v>0.7999999999999996</v>
      </c>
      <c r="L334" s="23">
        <f t="shared" si="32"/>
        <v>1.9178082191780821</v>
      </c>
      <c r="M334" s="28">
        <f t="shared" si="33"/>
        <v>30</v>
      </c>
      <c r="N334" s="29" t="s">
        <v>9</v>
      </c>
      <c r="O334" s="30">
        <v>1</v>
      </c>
      <c r="P334" s="31">
        <v>0</v>
      </c>
      <c r="Q334" s="1">
        <v>1</v>
      </c>
      <c r="R334" s="46">
        <v>1.0819016692883441</v>
      </c>
      <c r="S334" s="46">
        <v>-6.7240000000000002</v>
      </c>
      <c r="T334" s="46">
        <v>7.8059016692883443</v>
      </c>
      <c r="U334" s="46">
        <v>-0.1944343364991129</v>
      </c>
      <c r="V334" s="46">
        <v>0.24417253623370563</v>
      </c>
      <c r="W334" s="46">
        <v>0.91582154668275928</v>
      </c>
      <c r="X334" s="46">
        <v>11.808616786696602</v>
      </c>
      <c r="Y334" s="46">
        <v>-0.1944343364991129</v>
      </c>
      <c r="Z334" s="46">
        <v>0.24417253623370563</v>
      </c>
    </row>
    <row r="335" spans="1:26" x14ac:dyDescent="0.35">
      <c r="A335" s="44">
        <v>44522</v>
      </c>
      <c r="B335" s="20">
        <f t="shared" si="29"/>
        <v>44511</v>
      </c>
      <c r="C335" s="35">
        <v>48.75</v>
      </c>
      <c r="D335" s="36"/>
      <c r="E335" s="36"/>
      <c r="F335" s="36">
        <v>18.376000000000001</v>
      </c>
      <c r="G335" s="36">
        <v>25.3</v>
      </c>
      <c r="H335" s="42">
        <v>0</v>
      </c>
      <c r="I335" s="40">
        <f t="shared" si="30"/>
        <v>0.20000000863501269</v>
      </c>
      <c r="J335" s="40">
        <f t="shared" si="31"/>
        <v>0.20000001266468523</v>
      </c>
      <c r="K335" s="41">
        <f t="shared" si="34"/>
        <v>0.7999999999999996</v>
      </c>
      <c r="L335" s="23">
        <f t="shared" si="32"/>
        <v>1.9178082191780821</v>
      </c>
      <c r="M335" s="28">
        <f t="shared" si="33"/>
        <v>30</v>
      </c>
      <c r="N335" s="29" t="s">
        <v>9</v>
      </c>
      <c r="O335" s="30">
        <v>1</v>
      </c>
      <c r="P335" s="31">
        <v>0</v>
      </c>
      <c r="Q335" s="1">
        <v>1</v>
      </c>
      <c r="R335" s="46">
        <v>1.0819016610004653</v>
      </c>
      <c r="S335" s="46">
        <v>-6.7240000000000002</v>
      </c>
      <c r="T335" s="46">
        <v>7.8059016610004655</v>
      </c>
      <c r="U335" s="46">
        <v>-0.19443433586140146</v>
      </c>
      <c r="V335" s="46">
        <v>0.24417253535652059</v>
      </c>
      <c r="W335" s="46">
        <v>0.91582157066366054</v>
      </c>
      <c r="X335" s="46">
        <v>11.808616738022918</v>
      </c>
      <c r="Y335" s="46">
        <v>-0.19443433586140146</v>
      </c>
      <c r="Z335" s="46">
        <v>0.24417253535652059</v>
      </c>
    </row>
    <row r="336" spans="1:26" x14ac:dyDescent="0.35">
      <c r="A336" s="44">
        <v>44523</v>
      </c>
      <c r="B336" s="20">
        <f t="shared" si="29"/>
        <v>44512</v>
      </c>
      <c r="C336" s="35">
        <v>48.75</v>
      </c>
      <c r="D336" s="36"/>
      <c r="E336" s="36"/>
      <c r="F336" s="36">
        <v>18.376000000000001</v>
      </c>
      <c r="G336" s="36">
        <v>25.3</v>
      </c>
      <c r="H336" s="42">
        <v>0</v>
      </c>
      <c r="I336" s="40">
        <f t="shared" si="30"/>
        <v>0.20000000820326205</v>
      </c>
      <c r="J336" s="40">
        <f t="shared" si="31"/>
        <v>0.20000001203145096</v>
      </c>
      <c r="K336" s="41">
        <f t="shared" si="34"/>
        <v>0.7999999999999996</v>
      </c>
      <c r="L336" s="23">
        <f t="shared" si="32"/>
        <v>1.9205479452054794</v>
      </c>
      <c r="M336" s="28">
        <f t="shared" si="33"/>
        <v>30</v>
      </c>
      <c r="N336" s="29" t="s">
        <v>9</v>
      </c>
      <c r="O336" s="30">
        <v>1</v>
      </c>
      <c r="P336" s="31">
        <v>0</v>
      </c>
      <c r="Q336" s="1">
        <v>1</v>
      </c>
      <c r="R336" s="46">
        <v>1.0837192732591383</v>
      </c>
      <c r="S336" s="46">
        <v>-6.7240000000000002</v>
      </c>
      <c r="T336" s="46">
        <v>7.8077192732591385</v>
      </c>
      <c r="U336" s="46">
        <v>-0.19456980380173583</v>
      </c>
      <c r="V336" s="46">
        <v>0.24436478627456437</v>
      </c>
      <c r="W336" s="46">
        <v>0.91686510143012545</v>
      </c>
      <c r="X336" s="46">
        <v>11.822071957124864</v>
      </c>
      <c r="Y336" s="46">
        <v>-0.19456980380173583</v>
      </c>
      <c r="Z336" s="46">
        <v>0.24436478627456437</v>
      </c>
    </row>
    <row r="337" spans="1:26" x14ac:dyDescent="0.35">
      <c r="A337" s="44">
        <v>44524</v>
      </c>
      <c r="B337" s="20">
        <f t="shared" si="29"/>
        <v>44515</v>
      </c>
      <c r="C337" s="35">
        <v>48.75</v>
      </c>
      <c r="D337" s="36"/>
      <c r="E337" s="36"/>
      <c r="F337" s="36">
        <v>18.376000000000001</v>
      </c>
      <c r="G337" s="36">
        <v>25.3</v>
      </c>
      <c r="H337" s="42">
        <v>0</v>
      </c>
      <c r="I337" s="40">
        <f t="shared" si="30"/>
        <v>0.20000000779309896</v>
      </c>
      <c r="J337" s="40">
        <f t="shared" si="31"/>
        <v>0.20000001142987842</v>
      </c>
      <c r="K337" s="41">
        <f t="shared" si="34"/>
        <v>0.7999999999999996</v>
      </c>
      <c r="L337" s="23">
        <f t="shared" si="32"/>
        <v>1.9287671232876713</v>
      </c>
      <c r="M337" s="28">
        <f t="shared" si="33"/>
        <v>30</v>
      </c>
      <c r="N337" s="29" t="s">
        <v>9</v>
      </c>
      <c r="O337" s="30">
        <v>1</v>
      </c>
      <c r="P337" s="31">
        <v>0</v>
      </c>
      <c r="Q337" s="1">
        <v>1</v>
      </c>
      <c r="R337" s="46">
        <v>1.0891689761457624</v>
      </c>
      <c r="S337" s="46">
        <v>-6.7240000000000002</v>
      </c>
      <c r="T337" s="46">
        <v>7.8131689761457626</v>
      </c>
      <c r="U337" s="46">
        <v>-0.1949746754588175</v>
      </c>
      <c r="V337" s="46">
        <v>0.24493972824189222</v>
      </c>
      <c r="W337" s="46">
        <v>0.91999043831491922</v>
      </c>
      <c r="X337" s="46">
        <v>11.862370547277795</v>
      </c>
      <c r="Y337" s="46">
        <v>-0.1949746754588175</v>
      </c>
      <c r="Z337" s="46">
        <v>0.24493972824189222</v>
      </c>
    </row>
    <row r="338" spans="1:26" x14ac:dyDescent="0.35">
      <c r="A338" s="44">
        <v>44525</v>
      </c>
      <c r="B338" s="20">
        <f t="shared" si="29"/>
        <v>44516</v>
      </c>
      <c r="C338" s="35">
        <v>48.75</v>
      </c>
      <c r="D338" s="36"/>
      <c r="E338" s="36"/>
      <c r="F338" s="36">
        <v>18.376000000000001</v>
      </c>
      <c r="G338" s="36">
        <v>25.3</v>
      </c>
      <c r="H338" s="42">
        <v>0</v>
      </c>
      <c r="I338" s="40">
        <f t="shared" si="30"/>
        <v>0.20000000740344401</v>
      </c>
      <c r="J338" s="40">
        <f t="shared" si="31"/>
        <v>0.20000001085838451</v>
      </c>
      <c r="K338" s="41">
        <f t="shared" si="34"/>
        <v>0.7999999999999996</v>
      </c>
      <c r="L338" s="23">
        <f t="shared" si="32"/>
        <v>1.9315068493150684</v>
      </c>
      <c r="M338" s="28">
        <f t="shared" si="33"/>
        <v>30</v>
      </c>
      <c r="N338" s="29" t="s">
        <v>9</v>
      </c>
      <c r="O338" s="30">
        <v>1</v>
      </c>
      <c r="P338" s="31">
        <v>0</v>
      </c>
      <c r="Q338" s="1">
        <v>1</v>
      </c>
      <c r="R338" s="46">
        <v>1.0909844883957192</v>
      </c>
      <c r="S338" s="46">
        <v>-6.7240000000000002</v>
      </c>
      <c r="T338" s="46">
        <v>7.8149844883957194</v>
      </c>
      <c r="U338" s="46">
        <v>-0.19510912359889626</v>
      </c>
      <c r="V338" s="46">
        <v>0.24513077364108043</v>
      </c>
      <c r="W338" s="46">
        <v>0.92103050045107548</v>
      </c>
      <c r="X338" s="46">
        <v>11.875781073252972</v>
      </c>
      <c r="Y338" s="46">
        <v>-0.19510912359889626</v>
      </c>
      <c r="Z338" s="46">
        <v>0.24513077364108043</v>
      </c>
    </row>
    <row r="339" spans="1:26" x14ac:dyDescent="0.35">
      <c r="A339" s="44">
        <v>44526</v>
      </c>
      <c r="B339" s="20">
        <f t="shared" si="29"/>
        <v>44517</v>
      </c>
      <c r="C339" s="35">
        <v>48.75</v>
      </c>
      <c r="D339" s="36"/>
      <c r="E339" s="36"/>
      <c r="F339" s="36">
        <v>18.376000000000001</v>
      </c>
      <c r="G339" s="36">
        <v>25.3</v>
      </c>
      <c r="H339" s="42">
        <v>0</v>
      </c>
      <c r="I339" s="40">
        <f t="shared" si="30"/>
        <v>0.20000000703327181</v>
      </c>
      <c r="J339" s="40">
        <f t="shared" si="31"/>
        <v>0.20000001031546527</v>
      </c>
      <c r="K339" s="41">
        <f t="shared" si="34"/>
        <v>0.7999999999999996</v>
      </c>
      <c r="L339" s="23">
        <f t="shared" si="32"/>
        <v>1.9342465753424658</v>
      </c>
      <c r="M339" s="28">
        <f t="shared" si="33"/>
        <v>30</v>
      </c>
      <c r="N339" s="29" t="s">
        <v>9</v>
      </c>
      <c r="O339" s="30">
        <v>1</v>
      </c>
      <c r="P339" s="31">
        <v>0</v>
      </c>
      <c r="Q339" s="1">
        <v>1</v>
      </c>
      <c r="R339" s="46">
        <v>1.0927994752689525</v>
      </c>
      <c r="S339" s="46">
        <v>-6.7240000000000002</v>
      </c>
      <c r="T339" s="46">
        <v>7.8167994752689527</v>
      </c>
      <c r="U339" s="46">
        <v>-0.19524331860257246</v>
      </c>
      <c r="V339" s="46">
        <v>0.24532151971751132</v>
      </c>
      <c r="W339" s="46">
        <v>0.92206969942965644</v>
      </c>
      <c r="X339" s="46">
        <v>11.889180484514489</v>
      </c>
      <c r="Y339" s="46">
        <v>-0.19524331860257246</v>
      </c>
      <c r="Z339" s="46">
        <v>0.24532151971751132</v>
      </c>
    </row>
    <row r="340" spans="1:26" x14ac:dyDescent="0.35">
      <c r="A340" s="44">
        <v>44527</v>
      </c>
      <c r="B340" s="20">
        <f t="shared" si="29"/>
        <v>44518</v>
      </c>
      <c r="C340" s="35">
        <v>48.75</v>
      </c>
      <c r="D340" s="36"/>
      <c r="E340" s="36"/>
      <c r="F340" s="36">
        <v>18.376000000000001</v>
      </c>
      <c r="G340" s="36">
        <v>25.3</v>
      </c>
      <c r="H340" s="42">
        <v>0</v>
      </c>
      <c r="I340" s="40">
        <f t="shared" si="30"/>
        <v>0.20000000668160822</v>
      </c>
      <c r="J340" s="40">
        <f t="shared" si="31"/>
        <v>0.20000000979969201</v>
      </c>
      <c r="K340" s="41">
        <f t="shared" si="34"/>
        <v>0.7999999999999996</v>
      </c>
      <c r="L340" s="23">
        <f t="shared" si="32"/>
        <v>1.9369863013698629</v>
      </c>
      <c r="M340" s="28">
        <f t="shared" si="33"/>
        <v>30</v>
      </c>
      <c r="N340" s="29" t="s">
        <v>9</v>
      </c>
      <c r="O340" s="30">
        <v>1</v>
      </c>
      <c r="P340" s="31">
        <v>0</v>
      </c>
      <c r="Q340" s="1">
        <v>1</v>
      </c>
      <c r="R340" s="46">
        <v>1.0946139365430341</v>
      </c>
      <c r="S340" s="46">
        <v>-6.7240000000000002</v>
      </c>
      <c r="T340" s="46">
        <v>7.8186139365430343</v>
      </c>
      <c r="U340" s="46">
        <v>-0.19537726118340515</v>
      </c>
      <c r="V340" s="46">
        <v>0.24551196727914296</v>
      </c>
      <c r="W340" s="46">
        <v>0.92310803707694722</v>
      </c>
      <c r="X340" s="46">
        <v>11.902568803875353</v>
      </c>
      <c r="Y340" s="46">
        <v>-0.19537726118340515</v>
      </c>
      <c r="Z340" s="46">
        <v>0.24551196727914296</v>
      </c>
    </row>
    <row r="341" spans="1:26" x14ac:dyDescent="0.35">
      <c r="A341" s="44">
        <v>44528</v>
      </c>
      <c r="B341" s="20">
        <f t="shared" si="29"/>
        <v>44518</v>
      </c>
      <c r="C341" s="35">
        <v>48.75</v>
      </c>
      <c r="D341" s="36"/>
      <c r="E341" s="36"/>
      <c r="F341" s="36">
        <v>18.376000000000001</v>
      </c>
      <c r="G341" s="36">
        <v>25.3</v>
      </c>
      <c r="H341" s="42">
        <v>0</v>
      </c>
      <c r="I341" s="40">
        <f t="shared" si="30"/>
        <v>0.20000000634752782</v>
      </c>
      <c r="J341" s="40">
        <f t="shared" si="31"/>
        <v>0.2000000093097074</v>
      </c>
      <c r="K341" s="41">
        <f t="shared" si="34"/>
        <v>0.7999999999999996</v>
      </c>
      <c r="L341" s="23">
        <f t="shared" si="32"/>
        <v>1.9369863013698629</v>
      </c>
      <c r="M341" s="28">
        <f t="shared" si="33"/>
        <v>30</v>
      </c>
      <c r="N341" s="29" t="s">
        <v>9</v>
      </c>
      <c r="O341" s="30">
        <v>1</v>
      </c>
      <c r="P341" s="31">
        <v>0</v>
      </c>
      <c r="Q341" s="1">
        <v>1</v>
      </c>
      <c r="R341" s="46">
        <v>1.0946139304022076</v>
      </c>
      <c r="S341" s="46">
        <v>-6.7240000000000002</v>
      </c>
      <c r="T341" s="46">
        <v>7.8186139304022078</v>
      </c>
      <c r="U341" s="46">
        <v>-0.19537726071599673</v>
      </c>
      <c r="V341" s="46">
        <v>0.24551196663500319</v>
      </c>
      <c r="W341" s="46">
        <v>0.923108054860583</v>
      </c>
      <c r="X341" s="46">
        <v>11.902568767983325</v>
      </c>
      <c r="Y341" s="46">
        <v>-0.19537726071599673</v>
      </c>
      <c r="Z341" s="46">
        <v>0.24551196663500319</v>
      </c>
    </row>
    <row r="342" spans="1:26" x14ac:dyDescent="0.35">
      <c r="A342" s="44">
        <v>44529</v>
      </c>
      <c r="B342" s="20">
        <f t="shared" ref="B342:B376" si="35">WORKDAY(A342,-7)</f>
        <v>44518</v>
      </c>
      <c r="C342" s="35">
        <v>48.75</v>
      </c>
      <c r="D342" s="36"/>
      <c r="E342" s="36"/>
      <c r="F342" s="36">
        <v>18.376000000000001</v>
      </c>
      <c r="G342" s="36">
        <v>25.3</v>
      </c>
      <c r="H342" s="42">
        <v>0</v>
      </c>
      <c r="I342" s="40">
        <f t="shared" ref="I342:I376" si="36">20%+(I341-20%)*0.95</f>
        <v>0.20000000603015142</v>
      </c>
      <c r="J342" s="40">
        <f t="shared" ref="J342:J376" si="37">20%+(J341-20%)*0.95</f>
        <v>0.20000000884422203</v>
      </c>
      <c r="K342" s="41">
        <f t="shared" si="34"/>
        <v>0.7999999999999996</v>
      </c>
      <c r="L342" s="23">
        <f t="shared" ref="L342:L376" si="38">(B342-$B$3)/365</f>
        <v>1.9369863013698629</v>
      </c>
      <c r="M342" s="28">
        <f t="shared" ref="M342:M376" si="39">DAY(EOMONTH(B342,0))</f>
        <v>30</v>
      </c>
      <c r="N342" s="29" t="s">
        <v>9</v>
      </c>
      <c r="O342" s="30">
        <v>1</v>
      </c>
      <c r="P342" s="31">
        <v>0</v>
      </c>
      <c r="Q342" s="1">
        <v>1</v>
      </c>
      <c r="R342" s="46">
        <v>1.0946139245684154</v>
      </c>
      <c r="S342" s="46">
        <v>-6.7240000000000002</v>
      </c>
      <c r="T342" s="46">
        <v>7.8186139245684156</v>
      </c>
      <c r="U342" s="46">
        <v>-0.19537726027195762</v>
      </c>
      <c r="V342" s="46">
        <v>0.24551196602307832</v>
      </c>
      <c r="W342" s="46">
        <v>0.92310807175576959</v>
      </c>
      <c r="X342" s="46">
        <v>11.902568733885342</v>
      </c>
      <c r="Y342" s="46">
        <v>-0.19537726027195762</v>
      </c>
      <c r="Z342" s="46">
        <v>0.24551196602307832</v>
      </c>
    </row>
    <row r="343" spans="1:26" x14ac:dyDescent="0.35">
      <c r="A343" s="44">
        <v>44530</v>
      </c>
      <c r="B343" s="20">
        <f t="shared" si="35"/>
        <v>44519</v>
      </c>
      <c r="C343" s="35">
        <v>48.75</v>
      </c>
      <c r="D343" s="36"/>
      <c r="E343" s="36"/>
      <c r="F343" s="36">
        <v>18.376000000000001</v>
      </c>
      <c r="G343" s="36">
        <v>25.3</v>
      </c>
      <c r="H343" s="42">
        <v>0</v>
      </c>
      <c r="I343" s="40">
        <f t="shared" si="36"/>
        <v>0.20000000572864385</v>
      </c>
      <c r="J343" s="40">
        <f t="shared" si="37"/>
        <v>0.20000000840201093</v>
      </c>
      <c r="K343" s="41">
        <f t="shared" si="34"/>
        <v>0.7999999999999996</v>
      </c>
      <c r="L343" s="23">
        <f t="shared" si="38"/>
        <v>1.9397260273972603</v>
      </c>
      <c r="M343" s="28">
        <f t="shared" si="39"/>
        <v>30</v>
      </c>
      <c r="N343" s="29" t="s">
        <v>9</v>
      </c>
      <c r="O343" s="30">
        <v>1</v>
      </c>
      <c r="P343" s="31">
        <v>0</v>
      </c>
      <c r="Q343" s="1">
        <v>1</v>
      </c>
      <c r="R343" s="46">
        <v>1.096427860612037</v>
      </c>
      <c r="S343" s="46">
        <v>-6.7240000000000002</v>
      </c>
      <c r="T343" s="46">
        <v>7.8204278606120372</v>
      </c>
      <c r="U343" s="46">
        <v>-0.19551095118682546</v>
      </c>
      <c r="V343" s="46">
        <v>0.24570211593794802</v>
      </c>
      <c r="W343" s="46">
        <v>0.92414554819507655</v>
      </c>
      <c r="X343" s="46">
        <v>11.915945987552661</v>
      </c>
      <c r="Y343" s="46">
        <v>-0.19551095118682546</v>
      </c>
      <c r="Z343" s="46">
        <v>0.24570211593794802</v>
      </c>
    </row>
    <row r="344" spans="1:26" x14ac:dyDescent="0.35">
      <c r="A344" s="44">
        <v>44531</v>
      </c>
      <c r="B344" s="20">
        <f t="shared" si="35"/>
        <v>44522</v>
      </c>
      <c r="C344" s="35">
        <v>48.75</v>
      </c>
      <c r="D344" s="36"/>
      <c r="E344" s="36"/>
      <c r="F344" s="36">
        <v>18.376000000000001</v>
      </c>
      <c r="G344" s="36">
        <v>25.3</v>
      </c>
      <c r="H344" s="42">
        <v>0</v>
      </c>
      <c r="I344" s="40">
        <f t="shared" si="36"/>
        <v>0.20000000544221166</v>
      </c>
      <c r="J344" s="40">
        <f t="shared" si="37"/>
        <v>0.20000000798191039</v>
      </c>
      <c r="K344" s="41">
        <f t="shared" si="34"/>
        <v>0.7999999999999996</v>
      </c>
      <c r="L344" s="23">
        <f t="shared" si="38"/>
        <v>1.9479452054794522</v>
      </c>
      <c r="M344" s="28">
        <f t="shared" si="39"/>
        <v>30</v>
      </c>
      <c r="N344" s="29" t="s">
        <v>9</v>
      </c>
      <c r="O344" s="30">
        <v>1</v>
      </c>
      <c r="P344" s="31">
        <v>0</v>
      </c>
      <c r="Q344" s="1">
        <v>1</v>
      </c>
      <c r="R344" s="46">
        <v>1.1018665213788097</v>
      </c>
      <c r="S344" s="46">
        <v>-6.7240000000000002</v>
      </c>
      <c r="T344" s="46">
        <v>7.8258665213788099</v>
      </c>
      <c r="U344" s="46">
        <v>-0.19591052145775983</v>
      </c>
      <c r="V344" s="46">
        <v>0.2462707884356464</v>
      </c>
      <c r="W344" s="46">
        <v>0.92725281058065645</v>
      </c>
      <c r="X344" s="46">
        <v>11.956011616169127</v>
      </c>
      <c r="Y344" s="46">
        <v>-0.19591052145775983</v>
      </c>
      <c r="Z344" s="46">
        <v>0.2462707884356464</v>
      </c>
    </row>
    <row r="345" spans="1:26" x14ac:dyDescent="0.35">
      <c r="A345" s="44">
        <v>44532</v>
      </c>
      <c r="B345" s="20">
        <f t="shared" si="35"/>
        <v>44523</v>
      </c>
      <c r="C345" s="35">
        <v>48.75</v>
      </c>
      <c r="D345" s="36"/>
      <c r="E345" s="36"/>
      <c r="F345" s="36">
        <v>18.376000000000001</v>
      </c>
      <c r="G345" s="36">
        <v>25.3</v>
      </c>
      <c r="H345" s="42">
        <v>0</v>
      </c>
      <c r="I345" s="40">
        <f t="shared" si="36"/>
        <v>0.20000000517010108</v>
      </c>
      <c r="J345" s="40">
        <f t="shared" si="37"/>
        <v>0.20000000758281489</v>
      </c>
      <c r="K345" s="41">
        <f t="shared" si="34"/>
        <v>0.7999999999999996</v>
      </c>
      <c r="L345" s="23">
        <f t="shared" si="38"/>
        <v>1.9506849315068493</v>
      </c>
      <c r="M345" s="28">
        <f t="shared" si="39"/>
        <v>30</v>
      </c>
      <c r="N345" s="29" t="s">
        <v>9</v>
      </c>
      <c r="O345" s="30">
        <v>1</v>
      </c>
      <c r="P345" s="31">
        <v>0</v>
      </c>
      <c r="Q345" s="1">
        <v>1</v>
      </c>
      <c r="R345" s="46">
        <v>1.1036783514991981</v>
      </c>
      <c r="S345" s="46">
        <v>-6.7240000000000002</v>
      </c>
      <c r="T345" s="46">
        <v>7.8276783514991983</v>
      </c>
      <c r="U345" s="46">
        <v>-0.19604321253612017</v>
      </c>
      <c r="V345" s="46">
        <v>0.24645975544166057</v>
      </c>
      <c r="W345" s="46">
        <v>0.92828686867741705</v>
      </c>
      <c r="X345" s="46">
        <v>11.969344815870336</v>
      </c>
      <c r="Y345" s="46">
        <v>-0.19604321253612017</v>
      </c>
      <c r="Z345" s="46">
        <v>0.24645975544166057</v>
      </c>
    </row>
    <row r="346" spans="1:26" x14ac:dyDescent="0.35">
      <c r="A346" s="44">
        <v>44533</v>
      </c>
      <c r="B346" s="20">
        <f t="shared" si="35"/>
        <v>44524</v>
      </c>
      <c r="C346" s="35">
        <v>48.75</v>
      </c>
      <c r="D346" s="36"/>
      <c r="E346" s="36"/>
      <c r="F346" s="36">
        <v>18.376000000000001</v>
      </c>
      <c r="G346" s="36">
        <v>25.3</v>
      </c>
      <c r="H346" s="42">
        <v>0</v>
      </c>
      <c r="I346" s="40">
        <f t="shared" si="36"/>
        <v>0.20000000491159603</v>
      </c>
      <c r="J346" s="40">
        <f t="shared" si="37"/>
        <v>0.20000000720367414</v>
      </c>
      <c r="K346" s="41">
        <f t="shared" si="34"/>
        <v>0.7999999999999996</v>
      </c>
      <c r="L346" s="23">
        <f t="shared" si="38"/>
        <v>1.9534246575342467</v>
      </c>
      <c r="M346" s="28">
        <f t="shared" si="39"/>
        <v>30</v>
      </c>
      <c r="N346" s="29" t="s">
        <v>9</v>
      </c>
      <c r="O346" s="30">
        <v>1</v>
      </c>
      <c r="P346" s="31">
        <v>0</v>
      </c>
      <c r="Q346" s="1">
        <v>1</v>
      </c>
      <c r="R346" s="46">
        <v>1.1054896547919366</v>
      </c>
      <c r="S346" s="46">
        <v>-6.7240000000000002</v>
      </c>
      <c r="T346" s="46">
        <v>7.8294896547919368</v>
      </c>
      <c r="U346" s="46">
        <v>-0.19617565541810117</v>
      </c>
      <c r="V346" s="46">
        <v>0.24664842872019549</v>
      </c>
      <c r="W346" s="46">
        <v>0.92932007623277357</v>
      </c>
      <c r="X346" s="46">
        <v>11.982667059168897</v>
      </c>
      <c r="Y346" s="46">
        <v>-0.19617565541810117</v>
      </c>
      <c r="Z346" s="46">
        <v>0.24664842872019549</v>
      </c>
    </row>
    <row r="347" spans="1:26" x14ac:dyDescent="0.35">
      <c r="A347" s="44">
        <v>44534</v>
      </c>
      <c r="B347" s="20">
        <f t="shared" si="35"/>
        <v>44525</v>
      </c>
      <c r="C347" s="35">
        <v>48.75</v>
      </c>
      <c r="D347" s="36"/>
      <c r="E347" s="36"/>
      <c r="F347" s="36">
        <v>18.376000000000001</v>
      </c>
      <c r="G347" s="36">
        <v>25.3</v>
      </c>
      <c r="H347" s="42">
        <v>0</v>
      </c>
      <c r="I347" s="40">
        <f t="shared" si="36"/>
        <v>0.20000000466601622</v>
      </c>
      <c r="J347" s="40">
        <f t="shared" si="37"/>
        <v>0.20000000684349042</v>
      </c>
      <c r="K347" s="41">
        <f t="shared" si="34"/>
        <v>0.7999999999999996</v>
      </c>
      <c r="L347" s="23">
        <f t="shared" si="38"/>
        <v>1.9561643835616438</v>
      </c>
      <c r="M347" s="28">
        <f t="shared" si="39"/>
        <v>30</v>
      </c>
      <c r="N347" s="29" t="s">
        <v>9</v>
      </c>
      <c r="O347" s="30">
        <v>1</v>
      </c>
      <c r="P347" s="31">
        <v>0</v>
      </c>
      <c r="Q347" s="1">
        <v>1</v>
      </c>
      <c r="R347" s="46">
        <v>1.1073004310692962</v>
      </c>
      <c r="S347" s="46">
        <v>-6.7240000000000002</v>
      </c>
      <c r="T347" s="46">
        <v>7.8313004310692964</v>
      </c>
      <c r="U347" s="46">
        <v>-0.19630785079906027</v>
      </c>
      <c r="V347" s="46">
        <v>0.24683680905915012</v>
      </c>
      <c r="W347" s="46">
        <v>0.93035243502292508</v>
      </c>
      <c r="X347" s="46">
        <v>11.995978368418765</v>
      </c>
      <c r="Y347" s="46">
        <v>-0.19630785079906027</v>
      </c>
      <c r="Z347" s="46">
        <v>0.24683680905915012</v>
      </c>
    </row>
    <row r="348" spans="1:26" x14ac:dyDescent="0.35">
      <c r="A348" s="44">
        <v>44535</v>
      </c>
      <c r="B348" s="20">
        <f t="shared" si="35"/>
        <v>44525</v>
      </c>
      <c r="C348" s="35">
        <v>48.75</v>
      </c>
      <c r="D348" s="36"/>
      <c r="E348" s="36"/>
      <c r="F348" s="36">
        <v>18.376000000000001</v>
      </c>
      <c r="G348" s="36">
        <v>25.3</v>
      </c>
      <c r="H348" s="42">
        <v>0</v>
      </c>
      <c r="I348" s="40">
        <f t="shared" si="36"/>
        <v>0.2000000044327154</v>
      </c>
      <c r="J348" s="40">
        <f t="shared" si="37"/>
        <v>0.20000000650131591</v>
      </c>
      <c r="K348" s="41">
        <f t="shared" si="34"/>
        <v>0.7999999999999996</v>
      </c>
      <c r="L348" s="23">
        <f t="shared" si="38"/>
        <v>1.9561643835616438</v>
      </c>
      <c r="M348" s="28">
        <f t="shared" si="39"/>
        <v>30</v>
      </c>
      <c r="N348" s="29" t="s">
        <v>9</v>
      </c>
      <c r="O348" s="30">
        <v>1</v>
      </c>
      <c r="P348" s="31">
        <v>0</v>
      </c>
      <c r="Q348" s="1">
        <v>1</v>
      </c>
      <c r="R348" s="46">
        <v>1.1073004267472726</v>
      </c>
      <c r="S348" s="46">
        <v>-6.7240000000000002</v>
      </c>
      <c r="T348" s="46">
        <v>7.8313004267472728</v>
      </c>
      <c r="U348" s="46">
        <v>-0.1963078504736048</v>
      </c>
      <c r="V348" s="46">
        <v>0.24683680860979743</v>
      </c>
      <c r="W348" s="46">
        <v>0.93035244754703472</v>
      </c>
      <c r="X348" s="46">
        <v>11.995978343276221</v>
      </c>
      <c r="Y348" s="46">
        <v>-0.1963078504736048</v>
      </c>
      <c r="Z348" s="46">
        <v>0.24683680860979743</v>
      </c>
    </row>
    <row r="349" spans="1:26" x14ac:dyDescent="0.35">
      <c r="A349" s="44">
        <v>44536</v>
      </c>
      <c r="B349" s="20">
        <f t="shared" si="35"/>
        <v>44525</v>
      </c>
      <c r="C349" s="35">
        <v>48.75</v>
      </c>
      <c r="D349" s="36"/>
      <c r="E349" s="36"/>
      <c r="F349" s="36">
        <v>18.376000000000001</v>
      </c>
      <c r="G349" s="36">
        <v>25.3</v>
      </c>
      <c r="H349" s="42">
        <v>0</v>
      </c>
      <c r="I349" s="40">
        <f t="shared" si="36"/>
        <v>0.20000000421107963</v>
      </c>
      <c r="J349" s="40">
        <f t="shared" si="37"/>
        <v>0.20000000617625011</v>
      </c>
      <c r="K349" s="41">
        <f t="shared" si="34"/>
        <v>0.7999999999999996</v>
      </c>
      <c r="L349" s="23">
        <f t="shared" si="38"/>
        <v>1.9561643835616438</v>
      </c>
      <c r="M349" s="28">
        <f t="shared" si="39"/>
        <v>30</v>
      </c>
      <c r="N349" s="29" t="s">
        <v>9</v>
      </c>
      <c r="O349" s="30">
        <v>1</v>
      </c>
      <c r="P349" s="31">
        <v>0</v>
      </c>
      <c r="Q349" s="1">
        <v>1</v>
      </c>
      <c r="R349" s="46">
        <v>1.1073004226413463</v>
      </c>
      <c r="S349" s="46">
        <v>-6.7240000000000002</v>
      </c>
      <c r="T349" s="46">
        <v>7.8313004226413465</v>
      </c>
      <c r="U349" s="46">
        <v>-0.19630785016442093</v>
      </c>
      <c r="V349" s="46">
        <v>0.24683680818291429</v>
      </c>
      <c r="W349" s="46">
        <v>0.93035245944667067</v>
      </c>
      <c r="X349" s="46">
        <v>11.995978319390558</v>
      </c>
      <c r="Y349" s="46">
        <v>-0.19630785016442093</v>
      </c>
      <c r="Z349" s="46">
        <v>0.24683680818291429</v>
      </c>
    </row>
    <row r="350" spans="1:26" x14ac:dyDescent="0.35">
      <c r="A350" s="44">
        <v>44537</v>
      </c>
      <c r="B350" s="20">
        <f t="shared" si="35"/>
        <v>44526</v>
      </c>
      <c r="C350" s="35">
        <v>48.75</v>
      </c>
      <c r="D350" s="36"/>
      <c r="E350" s="36"/>
      <c r="F350" s="36">
        <v>18.376000000000001</v>
      </c>
      <c r="G350" s="36">
        <v>25.3</v>
      </c>
      <c r="H350" s="42">
        <v>0</v>
      </c>
      <c r="I350" s="40">
        <f t="shared" si="36"/>
        <v>0.20000000400052564</v>
      </c>
      <c r="J350" s="40">
        <f t="shared" si="37"/>
        <v>0.2000000058674376</v>
      </c>
      <c r="K350" s="41">
        <f t="shared" si="34"/>
        <v>0.7999999999999996</v>
      </c>
      <c r="L350" s="23">
        <f t="shared" si="38"/>
        <v>1.9589041095890412</v>
      </c>
      <c r="M350" s="28">
        <f t="shared" si="39"/>
        <v>30</v>
      </c>
      <c r="N350" s="29" t="s">
        <v>9</v>
      </c>
      <c r="O350" s="30">
        <v>1</v>
      </c>
      <c r="P350" s="31">
        <v>0</v>
      </c>
      <c r="Q350" s="1">
        <v>1</v>
      </c>
      <c r="R350" s="46">
        <v>1.109110672132827</v>
      </c>
      <c r="S350" s="46">
        <v>-6.7240000000000002</v>
      </c>
      <c r="T350" s="46">
        <v>7.8331106721328272</v>
      </c>
      <c r="U350" s="46">
        <v>-0.19643979876908271</v>
      </c>
      <c r="V350" s="46">
        <v>0.24702489641132805</v>
      </c>
      <c r="W350" s="46">
        <v>0.93138397004230222</v>
      </c>
      <c r="X350" s="46">
        <v>12.009278719324596</v>
      </c>
      <c r="Y350" s="46">
        <v>-0.19643979876908271</v>
      </c>
      <c r="Z350" s="46">
        <v>0.24702489641132805</v>
      </c>
    </row>
    <row r="351" spans="1:26" x14ac:dyDescent="0.35">
      <c r="A351" s="44">
        <v>44538</v>
      </c>
      <c r="B351" s="20">
        <f t="shared" si="35"/>
        <v>44529</v>
      </c>
      <c r="C351" s="35">
        <v>48.75</v>
      </c>
      <c r="D351" s="36"/>
      <c r="E351" s="36"/>
      <c r="F351" s="36">
        <v>18.376000000000001</v>
      </c>
      <c r="G351" s="36">
        <v>25.3</v>
      </c>
      <c r="H351" s="42">
        <v>0</v>
      </c>
      <c r="I351" s="40">
        <f t="shared" si="36"/>
        <v>0.20000000380049937</v>
      </c>
      <c r="J351" s="40">
        <f t="shared" si="37"/>
        <v>0.20000000557406572</v>
      </c>
      <c r="K351" s="41">
        <f t="shared" si="34"/>
        <v>0.7999999999999996</v>
      </c>
      <c r="L351" s="23">
        <f t="shared" si="38"/>
        <v>1.9671232876712328</v>
      </c>
      <c r="M351" s="28">
        <f t="shared" si="39"/>
        <v>30</v>
      </c>
      <c r="N351" s="29" t="s">
        <v>9</v>
      </c>
      <c r="O351" s="30">
        <v>1</v>
      </c>
      <c r="P351" s="31">
        <v>0</v>
      </c>
      <c r="Q351" s="1">
        <v>1</v>
      </c>
      <c r="R351" s="46">
        <v>1.1145382624334275</v>
      </c>
      <c r="S351" s="46">
        <v>-6.7240000000000002</v>
      </c>
      <c r="T351" s="46">
        <v>7.8385382624334277</v>
      </c>
      <c r="U351" s="46">
        <v>-0.19683417112960841</v>
      </c>
      <c r="V351" s="46">
        <v>0.2475874166787625</v>
      </c>
      <c r="W351" s="46">
        <v>0.93447341774901627</v>
      </c>
      <c r="X351" s="46">
        <v>12.04911470995277</v>
      </c>
      <c r="Y351" s="46">
        <v>-0.19683417112960841</v>
      </c>
      <c r="Z351" s="46">
        <v>0.2475874166787625</v>
      </c>
    </row>
    <row r="352" spans="1:26" x14ac:dyDescent="0.35">
      <c r="A352" s="44">
        <v>44539</v>
      </c>
      <c r="B352" s="20">
        <f t="shared" si="35"/>
        <v>44530</v>
      </c>
      <c r="C352" s="35">
        <v>48.75</v>
      </c>
      <c r="D352" s="36"/>
      <c r="E352" s="36"/>
      <c r="F352" s="36">
        <v>18.376000000000001</v>
      </c>
      <c r="G352" s="36">
        <v>25.3</v>
      </c>
      <c r="H352" s="42">
        <v>0</v>
      </c>
      <c r="I352" s="40">
        <f t="shared" si="36"/>
        <v>0.2000000036104744</v>
      </c>
      <c r="J352" s="40">
        <f t="shared" si="37"/>
        <v>0.20000000529536244</v>
      </c>
      <c r="K352" s="41">
        <f t="shared" si="34"/>
        <v>0.7999999999999996</v>
      </c>
      <c r="L352" s="23">
        <f t="shared" si="38"/>
        <v>1.9698630136986301</v>
      </c>
      <c r="M352" s="28">
        <f t="shared" si="39"/>
        <v>30</v>
      </c>
      <c r="N352" s="29" t="s">
        <v>9</v>
      </c>
      <c r="O352" s="30">
        <v>1</v>
      </c>
      <c r="P352" s="31">
        <v>0</v>
      </c>
      <c r="Q352" s="1">
        <v>1</v>
      </c>
      <c r="R352" s="46">
        <v>1.1163464009801292</v>
      </c>
      <c r="S352" s="46">
        <v>-6.7240000000000002</v>
      </c>
      <c r="T352" s="46">
        <v>7.8403464009801294</v>
      </c>
      <c r="U352" s="46">
        <v>-0.19696513934594045</v>
      </c>
      <c r="V352" s="46">
        <v>0.24777434403995213</v>
      </c>
      <c r="W352" s="46">
        <v>0.93550155907065258</v>
      </c>
      <c r="X352" s="46">
        <v>12.062371682155781</v>
      </c>
      <c r="Y352" s="46">
        <v>-0.19696513934594045</v>
      </c>
      <c r="Z352" s="46">
        <v>0.24777434403995213</v>
      </c>
    </row>
    <row r="353" spans="1:26" x14ac:dyDescent="0.35">
      <c r="A353" s="44">
        <v>44540</v>
      </c>
      <c r="B353" s="20">
        <f t="shared" si="35"/>
        <v>44531</v>
      </c>
      <c r="C353" s="35">
        <v>48.75</v>
      </c>
      <c r="D353" s="36"/>
      <c r="E353" s="36"/>
      <c r="F353" s="36">
        <v>18.376000000000001</v>
      </c>
      <c r="G353" s="36">
        <v>25.3</v>
      </c>
      <c r="H353" s="42">
        <v>0</v>
      </c>
      <c r="I353" s="40">
        <f t="shared" si="36"/>
        <v>0.2000000034299507</v>
      </c>
      <c r="J353" s="40">
        <f t="shared" si="37"/>
        <v>0.20000000503059431</v>
      </c>
      <c r="K353" s="41">
        <f t="shared" si="34"/>
        <v>0.7999999999999996</v>
      </c>
      <c r="L353" s="23">
        <f t="shared" si="38"/>
        <v>1.9726027397260273</v>
      </c>
      <c r="M353" s="28">
        <f t="shared" si="39"/>
        <v>31</v>
      </c>
      <c r="N353" s="29" t="s">
        <v>9</v>
      </c>
      <c r="O353" s="30">
        <v>1</v>
      </c>
      <c r="P353" s="31">
        <v>0</v>
      </c>
      <c r="Q353" s="1">
        <v>1</v>
      </c>
      <c r="R353" s="46">
        <v>1.118154011481522</v>
      </c>
      <c r="S353" s="46">
        <v>-6.7240000000000002</v>
      </c>
      <c r="T353" s="46">
        <v>7.8421540114815222</v>
      </c>
      <c r="U353" s="46">
        <v>-0.1970958641797112</v>
      </c>
      <c r="V353" s="46">
        <v>0.24796098313002765</v>
      </c>
      <c r="W353" s="46">
        <v>0.93652886213093856</v>
      </c>
      <c r="X353" s="46">
        <v>12.075617853141182</v>
      </c>
      <c r="Y353" s="46">
        <v>-0.1970958641797112</v>
      </c>
      <c r="Z353" s="46">
        <v>0.24796098313002765</v>
      </c>
    </row>
    <row r="354" spans="1:26" x14ac:dyDescent="0.35">
      <c r="A354" s="44">
        <v>44541</v>
      </c>
      <c r="B354" s="20">
        <f t="shared" si="35"/>
        <v>44532</v>
      </c>
      <c r="C354" s="35">
        <v>48.75</v>
      </c>
      <c r="D354" s="36"/>
      <c r="E354" s="36"/>
      <c r="F354" s="36">
        <v>18.376000000000001</v>
      </c>
      <c r="G354" s="36">
        <v>25.3</v>
      </c>
      <c r="H354" s="42">
        <v>0</v>
      </c>
      <c r="I354" s="40">
        <f t="shared" si="36"/>
        <v>0.20000000325845316</v>
      </c>
      <c r="J354" s="40">
        <f t="shared" si="37"/>
        <v>0.2000000047790646</v>
      </c>
      <c r="K354" s="41">
        <f t="shared" si="34"/>
        <v>0.7999999999999996</v>
      </c>
      <c r="L354" s="23">
        <f t="shared" si="38"/>
        <v>1.9753424657534246</v>
      </c>
      <c r="M354" s="28">
        <f t="shared" si="39"/>
        <v>31</v>
      </c>
      <c r="N354" s="29" t="s">
        <v>9</v>
      </c>
      <c r="O354" s="30">
        <v>1</v>
      </c>
      <c r="P354" s="31">
        <v>0</v>
      </c>
      <c r="Q354" s="1">
        <v>1</v>
      </c>
      <c r="R354" s="46">
        <v>1.1199610937814963</v>
      </c>
      <c r="S354" s="46">
        <v>-6.7240000000000002</v>
      </c>
      <c r="T354" s="46">
        <v>7.8439610937814965</v>
      </c>
      <c r="U354" s="46">
        <v>-0.19722634630846175</v>
      </c>
      <c r="V354" s="46">
        <v>0.24814733471733902</v>
      </c>
      <c r="W354" s="46">
        <v>0.93755532865279789</v>
      </c>
      <c r="X354" s="46">
        <v>12.088853244828101</v>
      </c>
      <c r="Y354" s="46">
        <v>-0.19722634630846175</v>
      </c>
      <c r="Z354" s="46">
        <v>0.24814733471733902</v>
      </c>
    </row>
    <row r="355" spans="1:26" x14ac:dyDescent="0.35">
      <c r="A355" s="44">
        <v>44542</v>
      </c>
      <c r="B355" s="20">
        <f t="shared" si="35"/>
        <v>44532</v>
      </c>
      <c r="C355" s="35">
        <v>48.75</v>
      </c>
      <c r="D355" s="36"/>
      <c r="E355" s="36"/>
      <c r="F355" s="36">
        <v>18.376000000000001</v>
      </c>
      <c r="G355" s="36">
        <v>25.3</v>
      </c>
      <c r="H355" s="42">
        <v>0</v>
      </c>
      <c r="I355" s="40">
        <f t="shared" si="36"/>
        <v>0.20000000309553051</v>
      </c>
      <c r="J355" s="40">
        <f t="shared" si="37"/>
        <v>0.20000000454011138</v>
      </c>
      <c r="K355" s="41">
        <f t="shared" si="34"/>
        <v>0.7999999999999996</v>
      </c>
      <c r="L355" s="23">
        <f t="shared" si="38"/>
        <v>1.9753424657534246</v>
      </c>
      <c r="M355" s="28">
        <f t="shared" si="39"/>
        <v>31</v>
      </c>
      <c r="N355" s="29" t="s">
        <v>9</v>
      </c>
      <c r="O355" s="30">
        <v>1</v>
      </c>
      <c r="P355" s="31">
        <v>0</v>
      </c>
      <c r="Q355" s="1">
        <v>1</v>
      </c>
      <c r="R355" s="46">
        <v>1.1199610907398938</v>
      </c>
      <c r="S355" s="46">
        <v>-6.7240000000000002</v>
      </c>
      <c r="T355" s="46">
        <v>7.843961090739894</v>
      </c>
      <c r="U355" s="46">
        <v>-0.19722634608185521</v>
      </c>
      <c r="V355" s="46">
        <v>0.24814733440387671</v>
      </c>
      <c r="W355" s="46">
        <v>0.93755533747276498</v>
      </c>
      <c r="X355" s="46">
        <v>12.088853227217982</v>
      </c>
      <c r="Y355" s="46">
        <v>-0.19722634608185521</v>
      </c>
      <c r="Z355" s="46">
        <v>0.24814733440387671</v>
      </c>
    </row>
    <row r="356" spans="1:26" x14ac:dyDescent="0.35">
      <c r="A356" s="44">
        <v>44543</v>
      </c>
      <c r="B356" s="20">
        <f t="shared" si="35"/>
        <v>44532</v>
      </c>
      <c r="C356" s="35">
        <v>48.75</v>
      </c>
      <c r="D356" s="36"/>
      <c r="E356" s="36"/>
      <c r="F356" s="36">
        <v>18.376000000000001</v>
      </c>
      <c r="G356" s="36">
        <v>25.3</v>
      </c>
      <c r="H356" s="42">
        <v>0</v>
      </c>
      <c r="I356" s="40">
        <f t="shared" si="36"/>
        <v>0.20000000294075398</v>
      </c>
      <c r="J356" s="40">
        <f t="shared" si="37"/>
        <v>0.2000000043131058</v>
      </c>
      <c r="K356" s="41">
        <f t="shared" si="34"/>
        <v>0.7999999999999996</v>
      </c>
      <c r="L356" s="23">
        <f t="shared" si="38"/>
        <v>1.9753424657534246</v>
      </c>
      <c r="M356" s="28">
        <f t="shared" si="39"/>
        <v>31</v>
      </c>
      <c r="N356" s="29" t="s">
        <v>9</v>
      </c>
      <c r="O356" s="30">
        <v>1</v>
      </c>
      <c r="P356" s="31">
        <v>0</v>
      </c>
      <c r="Q356" s="1">
        <v>1</v>
      </c>
      <c r="R356" s="46">
        <v>1.1199610878503741</v>
      </c>
      <c r="S356" s="46">
        <v>-6.7240000000000002</v>
      </c>
      <c r="T356" s="46">
        <v>7.8439610878503743</v>
      </c>
      <c r="U356" s="46">
        <v>-0.197226345866576</v>
      </c>
      <c r="V356" s="46">
        <v>0.24814733410608644</v>
      </c>
      <c r="W356" s="46">
        <v>0.93755534585264433</v>
      </c>
      <c r="X356" s="46">
        <v>12.088853210484418</v>
      </c>
      <c r="Y356" s="46">
        <v>-0.197226345866576</v>
      </c>
      <c r="Z356" s="46">
        <v>0.24814733410608644</v>
      </c>
    </row>
    <row r="357" spans="1:26" x14ac:dyDescent="0.35">
      <c r="A357" s="44">
        <v>44544</v>
      </c>
      <c r="B357" s="20">
        <f t="shared" si="35"/>
        <v>44533</v>
      </c>
      <c r="C357" s="35">
        <v>48.75</v>
      </c>
      <c r="D357" s="36"/>
      <c r="E357" s="36"/>
      <c r="F357" s="36">
        <v>18.376000000000001</v>
      </c>
      <c r="G357" s="36">
        <v>25.3</v>
      </c>
      <c r="H357" s="42">
        <v>0</v>
      </c>
      <c r="I357" s="40">
        <f t="shared" si="36"/>
        <v>0.2000000027937163</v>
      </c>
      <c r="J357" s="40">
        <f t="shared" si="37"/>
        <v>0.2000000040974505</v>
      </c>
      <c r="K357" s="41">
        <f t="shared" si="34"/>
        <v>0.7999999999999996</v>
      </c>
      <c r="L357" s="23">
        <f t="shared" si="38"/>
        <v>1.978082191780822</v>
      </c>
      <c r="M357" s="28">
        <f t="shared" si="39"/>
        <v>31</v>
      </c>
      <c r="N357" s="29" t="s">
        <v>9</v>
      </c>
      <c r="O357" s="30">
        <v>1</v>
      </c>
      <c r="P357" s="31">
        <v>0</v>
      </c>
      <c r="Q357" s="1">
        <v>1</v>
      </c>
      <c r="R357" s="46">
        <v>1.1217676420874909</v>
      </c>
      <c r="S357" s="46">
        <v>-6.7240000000000002</v>
      </c>
      <c r="T357" s="46">
        <v>7.8457676420874911</v>
      </c>
      <c r="U357" s="46">
        <v>-0.19735658598766495</v>
      </c>
      <c r="V357" s="46">
        <v>0.24833339898685872</v>
      </c>
      <c r="W357" s="46">
        <v>0.93858097671637541</v>
      </c>
      <c r="X357" s="46">
        <v>12.102077846425596</v>
      </c>
      <c r="Y357" s="46">
        <v>-0.19735658598766495</v>
      </c>
      <c r="Z357" s="46">
        <v>0.24833339898685872</v>
      </c>
    </row>
    <row r="358" spans="1:26" x14ac:dyDescent="0.35">
      <c r="A358" s="44">
        <v>44545</v>
      </c>
      <c r="B358" s="20">
        <f t="shared" si="35"/>
        <v>44536</v>
      </c>
      <c r="C358" s="35">
        <v>48.75</v>
      </c>
      <c r="D358" s="36"/>
      <c r="E358" s="36"/>
      <c r="F358" s="36">
        <v>18.376000000000001</v>
      </c>
      <c r="G358" s="36">
        <v>25.3</v>
      </c>
      <c r="H358" s="42">
        <v>0</v>
      </c>
      <c r="I358" s="40">
        <f t="shared" si="36"/>
        <v>0.20000000265403048</v>
      </c>
      <c r="J358" s="40">
        <f t="shared" si="37"/>
        <v>0.20000000389257797</v>
      </c>
      <c r="K358" s="41">
        <f t="shared" si="34"/>
        <v>0.7999999999999996</v>
      </c>
      <c r="L358" s="23">
        <f t="shared" si="38"/>
        <v>1.9863013698630136</v>
      </c>
      <c r="M358" s="28">
        <f t="shared" si="39"/>
        <v>31</v>
      </c>
      <c r="N358" s="29" t="s">
        <v>9</v>
      </c>
      <c r="O358" s="30">
        <v>1</v>
      </c>
      <c r="P358" s="31">
        <v>0</v>
      </c>
      <c r="Q358" s="1">
        <v>1</v>
      </c>
      <c r="R358" s="46">
        <v>1.1271841379940799</v>
      </c>
      <c r="S358" s="46">
        <v>-6.7240000000000002</v>
      </c>
      <c r="T358" s="46">
        <v>7.8511841379940801</v>
      </c>
      <c r="U358" s="46">
        <v>-0.19774586123761173</v>
      </c>
      <c r="V358" s="46">
        <v>0.2488898813093389</v>
      </c>
      <c r="W358" s="46">
        <v>0.94165286368798573</v>
      </c>
      <c r="X358" s="46">
        <v>12.141687454695992</v>
      </c>
      <c r="Y358" s="46">
        <v>-0.19774586123761173</v>
      </c>
      <c r="Z358" s="46">
        <v>0.2488898813093389</v>
      </c>
    </row>
    <row r="359" spans="1:26" x14ac:dyDescent="0.35">
      <c r="A359" s="44">
        <v>44546</v>
      </c>
      <c r="B359" s="20">
        <f t="shared" si="35"/>
        <v>44537</v>
      </c>
      <c r="C359" s="35">
        <v>48.75</v>
      </c>
      <c r="D359" s="36"/>
      <c r="E359" s="36"/>
      <c r="F359" s="36">
        <v>18.376000000000001</v>
      </c>
      <c r="G359" s="36">
        <v>25.3</v>
      </c>
      <c r="H359" s="42">
        <v>0</v>
      </c>
      <c r="I359" s="40">
        <f t="shared" si="36"/>
        <v>0.20000000252132896</v>
      </c>
      <c r="J359" s="40">
        <f t="shared" si="37"/>
        <v>0.20000000369794907</v>
      </c>
      <c r="K359" s="41">
        <f t="shared" si="34"/>
        <v>0.7999999999999996</v>
      </c>
      <c r="L359" s="23">
        <f t="shared" si="38"/>
        <v>1.989041095890411</v>
      </c>
      <c r="M359" s="28">
        <f t="shared" si="39"/>
        <v>31</v>
      </c>
      <c r="N359" s="29" t="s">
        <v>9</v>
      </c>
      <c r="O359" s="30">
        <v>1</v>
      </c>
      <c r="P359" s="31">
        <v>0</v>
      </c>
      <c r="Q359" s="1">
        <v>1</v>
      </c>
      <c r="R359" s="46">
        <v>1.1289885770937413</v>
      </c>
      <c r="S359" s="46">
        <v>-6.7240000000000002</v>
      </c>
      <c r="T359" s="46">
        <v>7.8529885770937415</v>
      </c>
      <c r="U359" s="46">
        <v>-0.19787513991779204</v>
      </c>
      <c r="V359" s="46">
        <v>0.2490748068117363</v>
      </c>
      <c r="W359" s="46">
        <v>0.94267517321829963</v>
      </c>
      <c r="X359" s="46">
        <v>12.154869276426849</v>
      </c>
      <c r="Y359" s="46">
        <v>-0.19787513991779204</v>
      </c>
      <c r="Z359" s="46">
        <v>0.2490748068117363</v>
      </c>
    </row>
    <row r="360" spans="1:26" x14ac:dyDescent="0.35">
      <c r="A360" s="44">
        <v>44547</v>
      </c>
      <c r="B360" s="20">
        <f t="shared" si="35"/>
        <v>44538</v>
      </c>
      <c r="C360" s="35">
        <v>48.75</v>
      </c>
      <c r="D360" s="36"/>
      <c r="E360" s="36"/>
      <c r="F360" s="36">
        <v>18.376000000000001</v>
      </c>
      <c r="G360" s="36">
        <v>25.3</v>
      </c>
      <c r="H360" s="42">
        <v>0</v>
      </c>
      <c r="I360" s="40">
        <f t="shared" si="36"/>
        <v>0.20000000239526253</v>
      </c>
      <c r="J360" s="40">
        <f t="shared" si="37"/>
        <v>0.20000000351305161</v>
      </c>
      <c r="K360" s="41">
        <f t="shared" si="34"/>
        <v>0.7999999999999996</v>
      </c>
      <c r="L360" s="23">
        <f t="shared" si="38"/>
        <v>1.9917808219178081</v>
      </c>
      <c r="M360" s="28">
        <f t="shared" si="39"/>
        <v>31</v>
      </c>
      <c r="N360" s="29" t="s">
        <v>9</v>
      </c>
      <c r="O360" s="30">
        <v>1</v>
      </c>
      <c r="P360" s="31">
        <v>0</v>
      </c>
      <c r="Q360" s="1">
        <v>1</v>
      </c>
      <c r="R360" s="46">
        <v>1.130792487143724</v>
      </c>
      <c r="S360" s="46">
        <v>-6.7240000000000002</v>
      </c>
      <c r="T360" s="46">
        <v>7.8547924871437242</v>
      </c>
      <c r="U360" s="46">
        <v>-0.19800417990626359</v>
      </c>
      <c r="V360" s="46">
        <v>0.24925944936385144</v>
      </c>
      <c r="W360" s="46">
        <v>0.94369665644540046</v>
      </c>
      <c r="X360" s="46">
        <v>12.168040449037447</v>
      </c>
      <c r="Y360" s="46">
        <v>-0.19800417990626359</v>
      </c>
      <c r="Z360" s="46">
        <v>0.24925944936385144</v>
      </c>
    </row>
    <row r="361" spans="1:26" x14ac:dyDescent="0.35">
      <c r="A361" s="44">
        <v>44548</v>
      </c>
      <c r="B361" s="20">
        <f t="shared" si="35"/>
        <v>44539</v>
      </c>
      <c r="C361" s="35">
        <v>48.75</v>
      </c>
      <c r="D361" s="36"/>
      <c r="E361" s="36"/>
      <c r="F361" s="36">
        <v>18.376000000000001</v>
      </c>
      <c r="G361" s="36">
        <v>25.3</v>
      </c>
      <c r="H361" s="42">
        <v>0</v>
      </c>
      <c r="I361" s="40">
        <f t="shared" si="36"/>
        <v>0.20000000227549941</v>
      </c>
      <c r="J361" s="40">
        <f t="shared" si="37"/>
        <v>0.20000000333739903</v>
      </c>
      <c r="K361" s="41">
        <f t="shared" si="34"/>
        <v>0.7999999999999996</v>
      </c>
      <c r="L361" s="23">
        <f t="shared" si="38"/>
        <v>1.9945205479452055</v>
      </c>
      <c r="M361" s="28">
        <f t="shared" si="39"/>
        <v>31</v>
      </c>
      <c r="N361" s="29" t="s">
        <v>9</v>
      </c>
      <c r="O361" s="30">
        <v>1</v>
      </c>
      <c r="P361" s="31">
        <v>0</v>
      </c>
      <c r="Q361" s="1">
        <v>1</v>
      </c>
      <c r="R361" s="46">
        <v>1.1325958680169403</v>
      </c>
      <c r="S361" s="46">
        <v>-6.7240000000000002</v>
      </c>
      <c r="T361" s="46">
        <v>7.8565958680169405</v>
      </c>
      <c r="U361" s="46">
        <v>-0.19813298186330386</v>
      </c>
      <c r="V361" s="46">
        <v>0.24944380971496444</v>
      </c>
      <c r="W361" s="46">
        <v>0.94471731505651491</v>
      </c>
      <c r="X361" s="46">
        <v>12.181200994007641</v>
      </c>
      <c r="Y361" s="46">
        <v>-0.19813298186330386</v>
      </c>
      <c r="Z361" s="46">
        <v>0.24944380971496444</v>
      </c>
    </row>
    <row r="362" spans="1:26" x14ac:dyDescent="0.35">
      <c r="A362" s="44">
        <v>44549</v>
      </c>
      <c r="B362" s="20">
        <f t="shared" si="35"/>
        <v>44539</v>
      </c>
      <c r="C362" s="35">
        <v>48.75</v>
      </c>
      <c r="D362" s="36"/>
      <c r="E362" s="36"/>
      <c r="F362" s="36">
        <v>18.376000000000001</v>
      </c>
      <c r="G362" s="36">
        <v>25.3</v>
      </c>
      <c r="H362" s="42">
        <v>0</v>
      </c>
      <c r="I362" s="40">
        <f t="shared" si="36"/>
        <v>0.20000000216172445</v>
      </c>
      <c r="J362" s="40">
        <f t="shared" si="37"/>
        <v>0.20000000317052907</v>
      </c>
      <c r="K362" s="41">
        <f t="shared" si="34"/>
        <v>0.7999999999999996</v>
      </c>
      <c r="L362" s="23">
        <f t="shared" si="38"/>
        <v>1.9945205479452055</v>
      </c>
      <c r="M362" s="28">
        <f t="shared" si="39"/>
        <v>31</v>
      </c>
      <c r="N362" s="29" t="s">
        <v>9</v>
      </c>
      <c r="O362" s="30">
        <v>1</v>
      </c>
      <c r="P362" s="31">
        <v>0</v>
      </c>
      <c r="Q362" s="1">
        <v>1</v>
      </c>
      <c r="R362" s="46">
        <v>1.1325958658766488</v>
      </c>
      <c r="S362" s="46">
        <v>-6.7240000000000002</v>
      </c>
      <c r="T362" s="46">
        <v>7.856595865876649</v>
      </c>
      <c r="U362" s="46">
        <v>-0.19813298170553387</v>
      </c>
      <c r="V362" s="46">
        <v>0.24944380949629036</v>
      </c>
      <c r="W362" s="46">
        <v>0.94471732126629226</v>
      </c>
      <c r="X362" s="46">
        <v>12.181200981670354</v>
      </c>
      <c r="Y362" s="46">
        <v>-0.19813298170553387</v>
      </c>
      <c r="Z362" s="46">
        <v>0.24944380949629036</v>
      </c>
    </row>
    <row r="363" spans="1:26" x14ac:dyDescent="0.35">
      <c r="A363" s="44">
        <v>44550</v>
      </c>
      <c r="B363" s="20">
        <f t="shared" si="35"/>
        <v>44539</v>
      </c>
      <c r="C363" s="35">
        <v>48.75</v>
      </c>
      <c r="D363" s="36"/>
      <c r="E363" s="36"/>
      <c r="F363" s="36">
        <v>18.376000000000001</v>
      </c>
      <c r="G363" s="36">
        <v>25.3</v>
      </c>
      <c r="H363" s="42">
        <v>0</v>
      </c>
      <c r="I363" s="40">
        <f t="shared" si="36"/>
        <v>0.20000000205363822</v>
      </c>
      <c r="J363" s="40">
        <f t="shared" si="37"/>
        <v>0.20000000301200263</v>
      </c>
      <c r="K363" s="41">
        <f t="shared" si="34"/>
        <v>0.7999999999999996</v>
      </c>
      <c r="L363" s="23">
        <f t="shared" si="38"/>
        <v>1.9945205479452055</v>
      </c>
      <c r="M363" s="28">
        <f t="shared" si="39"/>
        <v>31</v>
      </c>
      <c r="N363" s="29" t="s">
        <v>9</v>
      </c>
      <c r="O363" s="30">
        <v>1</v>
      </c>
      <c r="P363" s="31">
        <v>0</v>
      </c>
      <c r="Q363" s="1">
        <v>1</v>
      </c>
      <c r="R363" s="46">
        <v>1.1325958638433757</v>
      </c>
      <c r="S363" s="46">
        <v>-6.7240000000000002</v>
      </c>
      <c r="T363" s="46">
        <v>7.8565958638433759</v>
      </c>
      <c r="U363" s="46">
        <v>-0.19813298155563197</v>
      </c>
      <c r="V363" s="46">
        <v>0.24944380928856227</v>
      </c>
      <c r="W363" s="46">
        <v>0.94471732716808987</v>
      </c>
      <c r="X363" s="46">
        <v>12.181200969951554</v>
      </c>
      <c r="Y363" s="46">
        <v>-0.19813298155563197</v>
      </c>
      <c r="Z363" s="46">
        <v>0.24944380928856227</v>
      </c>
    </row>
    <row r="364" spans="1:26" x14ac:dyDescent="0.35">
      <c r="A364" s="44">
        <v>44551</v>
      </c>
      <c r="B364" s="20">
        <f t="shared" si="35"/>
        <v>44540</v>
      </c>
      <c r="C364" s="35">
        <v>48.75</v>
      </c>
      <c r="D364" s="36"/>
      <c r="E364" s="36"/>
      <c r="F364" s="36">
        <v>18.376000000000001</v>
      </c>
      <c r="G364" s="36">
        <v>25.3</v>
      </c>
      <c r="H364" s="42">
        <v>0</v>
      </c>
      <c r="I364" s="40">
        <f t="shared" si="36"/>
        <v>0.2000000019509563</v>
      </c>
      <c r="J364" s="40">
        <f t="shared" si="37"/>
        <v>0.20000000286140249</v>
      </c>
      <c r="K364" s="41">
        <f t="shared" si="34"/>
        <v>0.7999999999999996</v>
      </c>
      <c r="L364" s="23">
        <f t="shared" si="38"/>
        <v>1.9972602739726026</v>
      </c>
      <c r="M364" s="28">
        <f t="shared" si="39"/>
        <v>31</v>
      </c>
      <c r="N364" s="29" t="s">
        <v>9</v>
      </c>
      <c r="O364" s="30">
        <v>1</v>
      </c>
      <c r="P364" s="31">
        <v>0</v>
      </c>
      <c r="Q364" s="1">
        <v>1</v>
      </c>
      <c r="R364" s="46">
        <v>1.1343987156211046</v>
      </c>
      <c r="S364" s="46">
        <v>-6.7240000000000002</v>
      </c>
      <c r="T364" s="46">
        <v>7.8583987156211048</v>
      </c>
      <c r="U364" s="46">
        <v>-0.19826154615461208</v>
      </c>
      <c r="V364" s="46">
        <v>0.24962788820661314</v>
      </c>
      <c r="W364" s="46">
        <v>0.94573716225193061</v>
      </c>
      <c r="X364" s="46">
        <v>12.194350909888897</v>
      </c>
      <c r="Y364" s="46">
        <v>-0.19826154615461208</v>
      </c>
      <c r="Z364" s="46">
        <v>0.24962788820661314</v>
      </c>
    </row>
    <row r="365" spans="1:26" x14ac:dyDescent="0.35">
      <c r="A365" s="44">
        <v>44552</v>
      </c>
      <c r="B365" s="20">
        <f t="shared" si="35"/>
        <v>44543</v>
      </c>
      <c r="C365" s="35">
        <v>48.75</v>
      </c>
      <c r="D365" s="36"/>
      <c r="E365" s="36"/>
      <c r="F365" s="36">
        <v>18.376000000000001</v>
      </c>
      <c r="G365" s="36">
        <v>25.3</v>
      </c>
      <c r="H365" s="42">
        <v>0</v>
      </c>
      <c r="I365" s="40">
        <f t="shared" si="36"/>
        <v>0.20000000185340849</v>
      </c>
      <c r="J365" s="40">
        <f t="shared" si="37"/>
        <v>0.20000000271833238</v>
      </c>
      <c r="K365" s="41">
        <f t="shared" si="34"/>
        <v>0.7999999999999996</v>
      </c>
      <c r="L365" s="23">
        <f t="shared" si="38"/>
        <v>2.0054794520547947</v>
      </c>
      <c r="M365" s="28">
        <f t="shared" si="39"/>
        <v>31</v>
      </c>
      <c r="N365" s="29" t="s">
        <v>9</v>
      </c>
      <c r="O365" s="30">
        <v>1</v>
      </c>
      <c r="P365" s="31">
        <v>0</v>
      </c>
      <c r="Q365" s="1">
        <v>1</v>
      </c>
      <c r="R365" s="46">
        <v>1.1398040973382653</v>
      </c>
      <c r="S365" s="46">
        <v>-6.7240000000000002</v>
      </c>
      <c r="T365" s="46">
        <v>7.8638040973382655</v>
      </c>
      <c r="U365" s="46">
        <v>-0.19864582249806861</v>
      </c>
      <c r="V365" s="46">
        <v>0.25017844400075262</v>
      </c>
      <c r="W365" s="46">
        <v>0.94879173685449969</v>
      </c>
      <c r="X365" s="46">
        <v>12.233737324861275</v>
      </c>
      <c r="Y365" s="46">
        <v>-0.19864582249806861</v>
      </c>
      <c r="Z365" s="46">
        <v>0.25017844400075262</v>
      </c>
    </row>
    <row r="366" spans="1:26" x14ac:dyDescent="0.35">
      <c r="A366" s="44">
        <v>44553</v>
      </c>
      <c r="B366" s="20">
        <f t="shared" si="35"/>
        <v>44544</v>
      </c>
      <c r="C366" s="35">
        <v>48.75</v>
      </c>
      <c r="D366" s="36"/>
      <c r="E366" s="36"/>
      <c r="F366" s="36">
        <v>18.376000000000001</v>
      </c>
      <c r="G366" s="36">
        <v>25.3</v>
      </c>
      <c r="H366" s="42">
        <v>0</v>
      </c>
      <c r="I366" s="40">
        <f t="shared" si="36"/>
        <v>0.20000000176073807</v>
      </c>
      <c r="J366" s="40">
        <f t="shared" si="37"/>
        <v>0.20000000258241576</v>
      </c>
      <c r="K366" s="41">
        <f t="shared" si="34"/>
        <v>0.7999999999999996</v>
      </c>
      <c r="L366" s="23">
        <f t="shared" si="38"/>
        <v>2.0082191780821916</v>
      </c>
      <c r="M366" s="28">
        <f t="shared" si="39"/>
        <v>31</v>
      </c>
      <c r="N366" s="29" t="s">
        <v>9</v>
      </c>
      <c r="O366" s="30">
        <v>1</v>
      </c>
      <c r="P366" s="31">
        <v>0</v>
      </c>
      <c r="Q366" s="1">
        <v>1</v>
      </c>
      <c r="R366" s="46">
        <v>1.1416048305585704</v>
      </c>
      <c r="S366" s="46">
        <v>-6.7240000000000002</v>
      </c>
      <c r="T366" s="46">
        <v>7.8656048305585706</v>
      </c>
      <c r="U366" s="46">
        <v>-0.19877344411754672</v>
      </c>
      <c r="V366" s="46">
        <v>0.25036140449212568</v>
      </c>
      <c r="W366" s="46">
        <v>0.94980829746432038</v>
      </c>
      <c r="X366" s="46">
        <v>12.246845051627488</v>
      </c>
      <c r="Y366" s="46">
        <v>-0.19877344411754672</v>
      </c>
      <c r="Z366" s="46">
        <v>0.25036140449212568</v>
      </c>
    </row>
    <row r="367" spans="1:26" x14ac:dyDescent="0.35">
      <c r="A367" s="44">
        <v>44554</v>
      </c>
      <c r="B367" s="20">
        <f t="shared" si="35"/>
        <v>44545</v>
      </c>
      <c r="C367" s="35">
        <v>48.75</v>
      </c>
      <c r="D367" s="36"/>
      <c r="E367" s="36"/>
      <c r="F367" s="36">
        <v>18.376000000000001</v>
      </c>
      <c r="G367" s="36">
        <v>25.3</v>
      </c>
      <c r="H367" s="42">
        <v>0</v>
      </c>
      <c r="I367" s="40">
        <f t="shared" si="36"/>
        <v>0.20000000167270116</v>
      </c>
      <c r="J367" s="40">
        <f t="shared" si="37"/>
        <v>0.20000000245329497</v>
      </c>
      <c r="K367" s="41">
        <f t="shared" si="34"/>
        <v>0.7999999999999996</v>
      </c>
      <c r="L367" s="23">
        <f t="shared" si="38"/>
        <v>2.010958904109589</v>
      </c>
      <c r="M367" s="28">
        <f t="shared" si="39"/>
        <v>31</v>
      </c>
      <c r="N367" s="29" t="s">
        <v>9</v>
      </c>
      <c r="O367" s="30">
        <v>1</v>
      </c>
      <c r="P367" s="31">
        <v>0</v>
      </c>
      <c r="Q367" s="1">
        <v>1</v>
      </c>
      <c r="R367" s="46">
        <v>1.1434050339213204</v>
      </c>
      <c r="S367" s="46">
        <v>-6.7240000000000002</v>
      </c>
      <c r="T367" s="46">
        <v>7.8674050339213206</v>
      </c>
      <c r="U367" s="46">
        <v>-0.1989008316166353</v>
      </c>
      <c r="V367" s="46">
        <v>0.25054408722203869</v>
      </c>
      <c r="W367" s="46">
        <v>0.95082404345400695</v>
      </c>
      <c r="X367" s="46">
        <v>12.259942278321931</v>
      </c>
      <c r="Y367" s="46">
        <v>-0.1989008316166353</v>
      </c>
      <c r="Z367" s="46">
        <v>0.25054408722203869</v>
      </c>
    </row>
    <row r="368" spans="1:26" x14ac:dyDescent="0.35">
      <c r="A368" s="44">
        <v>44555</v>
      </c>
      <c r="B368" s="20">
        <f t="shared" si="35"/>
        <v>44546</v>
      </c>
      <c r="C368" s="35">
        <v>48.75</v>
      </c>
      <c r="D368" s="36"/>
      <c r="E368" s="36"/>
      <c r="F368" s="36">
        <v>18.376000000000001</v>
      </c>
      <c r="G368" s="36">
        <v>25.3</v>
      </c>
      <c r="H368" s="42">
        <v>0</v>
      </c>
      <c r="I368" s="40">
        <f t="shared" si="36"/>
        <v>0.20000000158906611</v>
      </c>
      <c r="J368" s="40">
        <f t="shared" si="37"/>
        <v>0.20000000233063023</v>
      </c>
      <c r="K368" s="41">
        <f t="shared" si="34"/>
        <v>0.7999999999999996</v>
      </c>
      <c r="L368" s="23">
        <f t="shared" si="38"/>
        <v>2.0136986301369864</v>
      </c>
      <c r="M368" s="28">
        <f t="shared" si="39"/>
        <v>31</v>
      </c>
      <c r="N368" s="29" t="s">
        <v>9</v>
      </c>
      <c r="O368" s="30">
        <v>1</v>
      </c>
      <c r="P368" s="31">
        <v>0</v>
      </c>
      <c r="Q368" s="1">
        <v>1</v>
      </c>
      <c r="R368" s="46">
        <v>1.1452047073262772</v>
      </c>
      <c r="S368" s="46">
        <v>-6.7240000000000002</v>
      </c>
      <c r="T368" s="46">
        <v>7.8692047073262774</v>
      </c>
      <c r="U368" s="46">
        <v>-0.19902798563880678</v>
      </c>
      <c r="V368" s="46">
        <v>0.25072649292121185</v>
      </c>
      <c r="W368" s="46">
        <v>0.95183897646905224</v>
      </c>
      <c r="X368" s="46">
        <v>12.273029025987727</v>
      </c>
      <c r="Y368" s="46">
        <v>-0.19902798563880678</v>
      </c>
      <c r="Z368" s="46">
        <v>0.25072649292121185</v>
      </c>
    </row>
    <row r="369" spans="1:26" x14ac:dyDescent="0.35">
      <c r="A369" s="44">
        <v>44556</v>
      </c>
      <c r="B369" s="20">
        <f t="shared" si="35"/>
        <v>44546</v>
      </c>
      <c r="C369" s="35">
        <v>48.75</v>
      </c>
      <c r="D369" s="36"/>
      <c r="E369" s="36"/>
      <c r="F369" s="36">
        <v>18.376000000000001</v>
      </c>
      <c r="G369" s="36">
        <v>25.3</v>
      </c>
      <c r="H369" s="42">
        <v>0</v>
      </c>
      <c r="I369" s="40">
        <f t="shared" si="36"/>
        <v>0.20000000150961281</v>
      </c>
      <c r="J369" s="40">
        <f t="shared" si="37"/>
        <v>0.20000000221409872</v>
      </c>
      <c r="K369" s="41">
        <f t="shared" si="34"/>
        <v>0.7999999999999996</v>
      </c>
      <c r="L369" s="23">
        <f t="shared" si="38"/>
        <v>2.0136986301369864</v>
      </c>
      <c r="M369" s="28">
        <f t="shared" si="39"/>
        <v>31</v>
      </c>
      <c r="N369" s="29" t="s">
        <v>9</v>
      </c>
      <c r="O369" s="30">
        <v>1</v>
      </c>
      <c r="P369" s="31">
        <v>0</v>
      </c>
      <c r="Q369" s="1">
        <v>1</v>
      </c>
      <c r="R369" s="46">
        <v>1.1452047058203654</v>
      </c>
      <c r="S369" s="46">
        <v>-6.7240000000000002</v>
      </c>
      <c r="T369" s="46">
        <v>7.8692047058203656</v>
      </c>
      <c r="U369" s="46">
        <v>-0.19902798552894446</v>
      </c>
      <c r="V369" s="46">
        <v>0.2507264927686802</v>
      </c>
      <c r="W369" s="46">
        <v>0.95183898084310081</v>
      </c>
      <c r="X369" s="46">
        <v>12.273029017346442</v>
      </c>
      <c r="Y369" s="46">
        <v>-0.19902798552894446</v>
      </c>
      <c r="Z369" s="46">
        <v>0.2507264927686802</v>
      </c>
    </row>
    <row r="370" spans="1:26" x14ac:dyDescent="0.35">
      <c r="A370" s="44">
        <v>44557</v>
      </c>
      <c r="B370" s="20">
        <f t="shared" si="35"/>
        <v>44546</v>
      </c>
      <c r="C370" s="35">
        <v>48.75</v>
      </c>
      <c r="D370" s="36"/>
      <c r="E370" s="36"/>
      <c r="F370" s="36">
        <v>18.376000000000001</v>
      </c>
      <c r="G370" s="36">
        <v>25.3</v>
      </c>
      <c r="H370" s="42">
        <v>0</v>
      </c>
      <c r="I370" s="40">
        <f t="shared" si="36"/>
        <v>0.20000000143413216</v>
      </c>
      <c r="J370" s="40">
        <f t="shared" si="37"/>
        <v>0.20000000210339378</v>
      </c>
      <c r="K370" s="41">
        <f t="shared" si="34"/>
        <v>0.7999999999999996</v>
      </c>
      <c r="L370" s="23">
        <f t="shared" si="38"/>
        <v>2.0136986301369864</v>
      </c>
      <c r="M370" s="28">
        <f t="shared" si="39"/>
        <v>31</v>
      </c>
      <c r="N370" s="29" t="s">
        <v>9</v>
      </c>
      <c r="O370" s="30">
        <v>1</v>
      </c>
      <c r="P370" s="31">
        <v>0</v>
      </c>
      <c r="Q370" s="1">
        <v>1</v>
      </c>
      <c r="R370" s="46">
        <v>1.1452047043897462</v>
      </c>
      <c r="S370" s="46">
        <v>-6.7240000000000002</v>
      </c>
      <c r="T370" s="46">
        <v>7.8692047043897464</v>
      </c>
      <c r="U370" s="46">
        <v>-0.19902798542457728</v>
      </c>
      <c r="V370" s="46">
        <v>0.25072649262376412</v>
      </c>
      <c r="W370" s="46">
        <v>0.95183898499840236</v>
      </c>
      <c r="X370" s="46">
        <v>12.27302900913809</v>
      </c>
      <c r="Y370" s="46">
        <v>-0.19902798542457728</v>
      </c>
      <c r="Z370" s="46">
        <v>0.25072649262376412</v>
      </c>
    </row>
    <row r="371" spans="1:26" x14ac:dyDescent="0.35">
      <c r="A371" s="44">
        <v>44558</v>
      </c>
      <c r="B371" s="20">
        <f t="shared" si="35"/>
        <v>44547</v>
      </c>
      <c r="C371" s="35">
        <v>48.75</v>
      </c>
      <c r="D371" s="36"/>
      <c r="E371" s="36"/>
      <c r="F371" s="36">
        <v>18.376000000000001</v>
      </c>
      <c r="G371" s="36">
        <v>25.3</v>
      </c>
      <c r="H371" s="42">
        <v>0</v>
      </c>
      <c r="I371" s="40">
        <f t="shared" si="36"/>
        <v>0.20000000136242554</v>
      </c>
      <c r="J371" s="40">
        <f t="shared" si="37"/>
        <v>0.2000000019982241</v>
      </c>
      <c r="K371" s="41">
        <f t="shared" si="34"/>
        <v>0.7999999999999996</v>
      </c>
      <c r="L371" s="23">
        <f t="shared" si="38"/>
        <v>2.0164383561643837</v>
      </c>
      <c r="M371" s="28">
        <f t="shared" si="39"/>
        <v>31</v>
      </c>
      <c r="N371" s="29" t="s">
        <v>9</v>
      </c>
      <c r="O371" s="30">
        <v>1</v>
      </c>
      <c r="P371" s="31">
        <v>0</v>
      </c>
      <c r="Q371" s="1">
        <v>1</v>
      </c>
      <c r="R371" s="46">
        <v>1.1470038478842071</v>
      </c>
      <c r="S371" s="46">
        <v>-6.7240000000000002</v>
      </c>
      <c r="T371" s="46">
        <v>7.8710038478842073</v>
      </c>
      <c r="U371" s="46">
        <v>-0.19915490662176533</v>
      </c>
      <c r="V371" s="46">
        <v>0.25090862203517378</v>
      </c>
      <c r="W371" s="46">
        <v>0.95285310626043807</v>
      </c>
      <c r="X371" s="46">
        <v>12.286105299600685</v>
      </c>
      <c r="Y371" s="46">
        <v>-0.19915490662176533</v>
      </c>
      <c r="Z371" s="46">
        <v>0.25090862203517378</v>
      </c>
    </row>
    <row r="372" spans="1:26" x14ac:dyDescent="0.35">
      <c r="A372" s="44">
        <v>44559</v>
      </c>
      <c r="B372" s="20">
        <f t="shared" si="35"/>
        <v>44550</v>
      </c>
      <c r="C372" s="35">
        <v>48.75</v>
      </c>
      <c r="D372" s="36"/>
      <c r="E372" s="36"/>
      <c r="F372" s="36">
        <v>18.376000000000001</v>
      </c>
      <c r="G372" s="36">
        <v>25.3</v>
      </c>
      <c r="H372" s="42">
        <v>0</v>
      </c>
      <c r="I372" s="40">
        <f t="shared" si="36"/>
        <v>0.20000000129430426</v>
      </c>
      <c r="J372" s="40">
        <f t="shared" si="37"/>
        <v>0.20000000189831291</v>
      </c>
      <c r="K372" s="41">
        <f t="shared" si="34"/>
        <v>0.7999999999999996</v>
      </c>
      <c r="L372" s="23">
        <f t="shared" si="38"/>
        <v>2.0246575342465754</v>
      </c>
      <c r="M372" s="28">
        <f t="shared" si="39"/>
        <v>31</v>
      </c>
      <c r="N372" s="29" t="s">
        <v>9</v>
      </c>
      <c r="O372" s="30">
        <v>1</v>
      </c>
      <c r="P372" s="31">
        <v>0</v>
      </c>
      <c r="Q372" s="1">
        <v>1</v>
      </c>
      <c r="R372" s="46">
        <v>1.1523980994913874</v>
      </c>
      <c r="S372" s="46">
        <v>-6.7240000000000002</v>
      </c>
      <c r="T372" s="46">
        <v>7.8763980994913876</v>
      </c>
      <c r="U372" s="46">
        <v>-0.1995342797457062</v>
      </c>
      <c r="V372" s="46">
        <v>0.25145335993304396</v>
      </c>
      <c r="W372" s="46">
        <v>0.95589061149024734</v>
      </c>
      <c r="X372" s="46">
        <v>12.325271645193459</v>
      </c>
      <c r="Y372" s="46">
        <v>-0.1995342797457062</v>
      </c>
      <c r="Z372" s="46">
        <v>0.25145335993304396</v>
      </c>
    </row>
    <row r="373" spans="1:26" x14ac:dyDescent="0.35">
      <c r="A373" s="44">
        <v>44560</v>
      </c>
      <c r="B373" s="20">
        <f t="shared" si="35"/>
        <v>44551</v>
      </c>
      <c r="C373" s="35">
        <v>48.75</v>
      </c>
      <c r="D373" s="36"/>
      <c r="E373" s="36"/>
      <c r="F373" s="36">
        <v>18.376000000000001</v>
      </c>
      <c r="G373" s="36">
        <v>25.3</v>
      </c>
      <c r="H373" s="42">
        <v>0</v>
      </c>
      <c r="I373" s="40">
        <f t="shared" si="36"/>
        <v>0.20000000122958905</v>
      </c>
      <c r="J373" s="40">
        <f t="shared" si="37"/>
        <v>0.20000000180339728</v>
      </c>
      <c r="K373" s="41">
        <f t="shared" si="34"/>
        <v>0.7999999999999996</v>
      </c>
      <c r="L373" s="23">
        <f t="shared" si="38"/>
        <v>2.0273972602739727</v>
      </c>
      <c r="M373" s="28">
        <f t="shared" si="39"/>
        <v>31</v>
      </c>
      <c r="N373" s="29" t="s">
        <v>9</v>
      </c>
      <c r="O373" s="30">
        <v>1</v>
      </c>
      <c r="P373" s="31">
        <v>0</v>
      </c>
      <c r="Q373" s="1">
        <v>1</v>
      </c>
      <c r="R373" s="46">
        <v>1.1541951217312221</v>
      </c>
      <c r="S373" s="46">
        <v>-6.7240000000000002</v>
      </c>
      <c r="T373" s="46">
        <v>7.8781951217312223</v>
      </c>
      <c r="U373" s="46">
        <v>-0.19966027595335531</v>
      </c>
      <c r="V373" s="46">
        <v>0.25163439134782717</v>
      </c>
      <c r="W373" s="46">
        <v>0.95690150412451269</v>
      </c>
      <c r="X373" s="46">
        <v>12.338306311294954</v>
      </c>
      <c r="Y373" s="46">
        <v>-0.19966027595335531</v>
      </c>
      <c r="Z373" s="46">
        <v>0.25163439134782717</v>
      </c>
    </row>
    <row r="374" spans="1:26" x14ac:dyDescent="0.35">
      <c r="A374" s="44">
        <v>44561</v>
      </c>
      <c r="B374" s="20">
        <f t="shared" si="35"/>
        <v>44552</v>
      </c>
      <c r="C374" s="35">
        <v>48.75</v>
      </c>
      <c r="D374" s="36"/>
      <c r="E374" s="36"/>
      <c r="F374" s="36">
        <v>18.376000000000001</v>
      </c>
      <c r="G374" s="36">
        <v>25.3</v>
      </c>
      <c r="H374" s="42">
        <v>0</v>
      </c>
      <c r="I374" s="40">
        <f t="shared" si="36"/>
        <v>0.20000000116810959</v>
      </c>
      <c r="J374" s="40">
        <f t="shared" si="37"/>
        <v>0.2000000017132274</v>
      </c>
      <c r="K374" s="41">
        <f t="shared" si="34"/>
        <v>0.7999999999999996</v>
      </c>
      <c r="L374" s="23">
        <f t="shared" si="38"/>
        <v>2.0301369863013701</v>
      </c>
      <c r="M374" s="28">
        <f t="shared" si="39"/>
        <v>31</v>
      </c>
      <c r="N374" s="29" t="s">
        <v>9</v>
      </c>
      <c r="O374" s="30">
        <v>1</v>
      </c>
      <c r="P374" s="31">
        <v>0</v>
      </c>
      <c r="Q374" s="1">
        <v>1</v>
      </c>
      <c r="R374" s="46">
        <v>1.1559916134877604</v>
      </c>
      <c r="S374" s="46">
        <v>-6.7240000000000002</v>
      </c>
      <c r="T374" s="46">
        <v>7.8799916134877606</v>
      </c>
      <c r="U374" s="46">
        <v>-0.19978604249578127</v>
      </c>
      <c r="V374" s="46">
        <v>0.25181515006157001</v>
      </c>
      <c r="W374" s="46">
        <v>0.9579115935473187</v>
      </c>
      <c r="X374" s="46">
        <v>12.351330623374855</v>
      </c>
      <c r="Y374" s="46">
        <v>-0.19978604249578127</v>
      </c>
      <c r="Z374" s="46">
        <v>0.25181515006157001</v>
      </c>
    </row>
    <row r="375" spans="1:26" x14ac:dyDescent="0.35">
      <c r="A375" s="44">
        <v>44562</v>
      </c>
      <c r="B375" s="20">
        <f t="shared" si="35"/>
        <v>44553</v>
      </c>
      <c r="C375" s="35">
        <v>48.75</v>
      </c>
      <c r="D375" s="36"/>
      <c r="E375" s="36"/>
      <c r="F375" s="36">
        <v>18.376000000000001</v>
      </c>
      <c r="G375" s="36">
        <v>25.3</v>
      </c>
      <c r="H375" s="42">
        <v>0</v>
      </c>
      <c r="I375" s="40">
        <f t="shared" si="36"/>
        <v>0.20000000110970412</v>
      </c>
      <c r="J375" s="40">
        <f t="shared" si="37"/>
        <v>0.20000000162756604</v>
      </c>
      <c r="K375" s="41">
        <f t="shared" si="34"/>
        <v>0.7999999999999996</v>
      </c>
      <c r="L375" s="23">
        <f t="shared" si="38"/>
        <v>2.032876712328767</v>
      </c>
      <c r="M375" s="28">
        <f t="shared" si="39"/>
        <v>31</v>
      </c>
      <c r="N375" s="29" t="s">
        <v>9</v>
      </c>
      <c r="O375" s="30">
        <v>1</v>
      </c>
      <c r="P375" s="31">
        <v>0</v>
      </c>
      <c r="Q375" s="1">
        <v>1</v>
      </c>
      <c r="R375" s="46">
        <v>1.1577875746857149</v>
      </c>
      <c r="S375" s="46">
        <v>-6.7240000000000002</v>
      </c>
      <c r="T375" s="46">
        <v>7.8817875746857151</v>
      </c>
      <c r="U375" s="46">
        <v>-0.1999115800001714</v>
      </c>
      <c r="V375" s="46">
        <v>0.25199563678690323</v>
      </c>
      <c r="W375" s="46">
        <v>0.95892088136566189</v>
      </c>
      <c r="X375" s="46">
        <v>12.36434460205129</v>
      </c>
      <c r="Y375" s="46">
        <v>-0.1999115800001714</v>
      </c>
      <c r="Z375" s="46">
        <v>0.25199563678690323</v>
      </c>
    </row>
    <row r="376" spans="1:26" x14ac:dyDescent="0.35">
      <c r="A376" s="44">
        <v>44563</v>
      </c>
      <c r="B376" s="20">
        <f t="shared" si="35"/>
        <v>44553</v>
      </c>
      <c r="C376" s="35">
        <v>48.75</v>
      </c>
      <c r="D376" s="36"/>
      <c r="E376" s="36"/>
      <c r="F376" s="36">
        <v>18.376000000000001</v>
      </c>
      <c r="G376" s="36">
        <v>25.3</v>
      </c>
      <c r="H376" s="42">
        <v>0</v>
      </c>
      <c r="I376" s="40">
        <f t="shared" si="36"/>
        <v>0.20000000105421892</v>
      </c>
      <c r="J376" s="40">
        <f t="shared" si="37"/>
        <v>0.20000000154618774</v>
      </c>
      <c r="K376" s="41">
        <f t="shared" si="34"/>
        <v>0.7999999999999996</v>
      </c>
      <c r="L376" s="23">
        <f t="shared" si="38"/>
        <v>2.032876712328767</v>
      </c>
      <c r="M376" s="28">
        <f t="shared" si="39"/>
        <v>31</v>
      </c>
      <c r="N376" s="29" t="s">
        <v>9</v>
      </c>
      <c r="O376" s="30">
        <v>1</v>
      </c>
      <c r="P376" s="31">
        <v>0</v>
      </c>
      <c r="Q376" s="1">
        <v>1</v>
      </c>
      <c r="R376" s="46">
        <v>1.1577875736262548</v>
      </c>
      <c r="S376" s="46">
        <v>-6.7240000000000002</v>
      </c>
      <c r="T376" s="46">
        <v>7.881787573626255</v>
      </c>
      <c r="U376" s="46">
        <v>-0.19991157992367284</v>
      </c>
      <c r="V376" s="46">
        <v>0.25199563668049857</v>
      </c>
      <c r="W376" s="46">
        <v>0.95892088444588486</v>
      </c>
      <c r="X376" s="46">
        <v>12.36434459599999</v>
      </c>
      <c r="Y376" s="46">
        <v>-0.19991157992367284</v>
      </c>
      <c r="Z376" s="46">
        <v>0.25199563668049857</v>
      </c>
    </row>
  </sheetData>
  <dataValidations count="1">
    <dataValidation type="list" allowBlank="1" showInputMessage="1" showErrorMessage="1" sqref="N10:N376" xr:uid="{361419DB-079D-4737-8C1B-9B2FA52B0A84}">
      <formula1>$I$5:$I$7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</vt:i4>
      </vt:variant>
    </vt:vector>
  </HeadingPairs>
  <TitlesOfParts>
    <vt:vector size="20" baseType="lpstr">
      <vt:lpstr>Legend</vt:lpstr>
      <vt:lpstr>Temp</vt:lpstr>
      <vt:lpstr>PowerOpt</vt:lpstr>
      <vt:lpstr>PFE</vt:lpstr>
      <vt:lpstr>PowerOpt-Collar</vt:lpstr>
      <vt:lpstr>CorporatePPA</vt:lpstr>
      <vt:lpstr>PFE_Python</vt:lpstr>
      <vt:lpstr>PowerOpt-EnhancedCollar</vt:lpstr>
      <vt:lpstr>AsianOpt</vt:lpstr>
      <vt:lpstr>AsianOpt-Collar</vt:lpstr>
      <vt:lpstr>AsianOpt-EnhancedCollar</vt:lpstr>
      <vt:lpstr>SparkSpread-Tolling</vt:lpstr>
      <vt:lpstr>SparkSpread-Daily</vt:lpstr>
      <vt:lpstr>PFE!b_Param</vt:lpstr>
      <vt:lpstr>PFE!IR0</vt:lpstr>
      <vt:lpstr>PFE!MeanRev</vt:lpstr>
      <vt:lpstr>PFE!Simulations</vt:lpstr>
      <vt:lpstr>PFE!SwapMTM</vt:lpstr>
      <vt:lpstr>PFE!SwapRate</vt:lpstr>
      <vt:lpstr>PFE!Volatility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daplet chris</dc:creator>
  <cp:lastModifiedBy>daplet chris</cp:lastModifiedBy>
  <dcterms:created xsi:type="dcterms:W3CDTF">2020-04-06T13:07:42Z</dcterms:created>
  <dcterms:modified xsi:type="dcterms:W3CDTF">2020-04-24T17:01:01Z</dcterms:modified>
</cp:coreProperties>
</file>