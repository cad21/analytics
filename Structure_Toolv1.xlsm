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ple\OneDrive\Documents\Quant Structuring Energy\Power Origination and structuring\"/>
    </mc:Choice>
  </mc:AlternateContent>
  <xr:revisionPtr revIDLastSave="0" documentId="13_ncr:1_{B7C6620A-F69B-4700-A483-BD4F8AC5FBEF}" xr6:coauthVersionLast="45" xr6:coauthVersionMax="45" xr10:uidLastSave="{00000000-0000-0000-0000-000000000000}"/>
  <bookViews>
    <workbookView xWindow="2450" yWindow="1580" windowWidth="15250" windowHeight="8260" tabRatio="761" firstSheet="5" activeTab="8" xr2:uid="{8A61660A-95C1-41AB-B46A-98E80B32A69E}"/>
  </bookViews>
  <sheets>
    <sheet name="Legend" sheetId="16" state="hidden" r:id="rId1"/>
    <sheet name="Temp" sheetId="15" r:id="rId2"/>
    <sheet name="PowerOpt" sheetId="7" r:id="rId3"/>
    <sheet name="PowerOpt-Collar" sheetId="10" r:id="rId4"/>
    <sheet name="PowerOpt-EnhancedCollar" sheetId="11" r:id="rId5"/>
    <sheet name="AsianOpt" sheetId="12" r:id="rId6"/>
    <sheet name="AsianOpt-Collar" sheetId="13" r:id="rId7"/>
    <sheet name="AsianOpt-EnhancedCollar" sheetId="14" r:id="rId8"/>
    <sheet name="SparkSpread-Tolling" sheetId="1" r:id="rId9"/>
    <sheet name="SparkSpread-Daily" sheetId="18" r:id="rId10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0" i="1" l="1"/>
  <c r="R4" i="1" s="1"/>
  <c r="R5" i="1"/>
  <c r="J3" i="1"/>
  <c r="B3" i="1"/>
  <c r="L13" i="1" s="1"/>
  <c r="I22" i="18"/>
  <c r="J22" i="18"/>
  <c r="J23" i="18" s="1"/>
  <c r="K22" i="18"/>
  <c r="L22" i="18"/>
  <c r="M22" i="18"/>
  <c r="I23" i="18"/>
  <c r="I24" i="18" s="1"/>
  <c r="I25" i="18" s="1"/>
  <c r="I26" i="18" s="1"/>
  <c r="I27" i="18" s="1"/>
  <c r="I28" i="18" s="1"/>
  <c r="K23" i="18"/>
  <c r="K24" i="18" s="1"/>
  <c r="K25" i="18" s="1"/>
  <c r="K26" i="18" s="1"/>
  <c r="L23" i="18"/>
  <c r="M23" i="18"/>
  <c r="J24" i="18"/>
  <c r="J25" i="18" s="1"/>
  <c r="J26" i="18" s="1"/>
  <c r="J27" i="18" s="1"/>
  <c r="J28" i="18" s="1"/>
  <c r="J29" i="18" s="1"/>
  <c r="J30" i="18" s="1"/>
  <c r="J31" i="18" s="1"/>
  <c r="J32" i="18" s="1"/>
  <c r="J33" i="18" s="1"/>
  <c r="J34" i="18" s="1"/>
  <c r="J35" i="18" s="1"/>
  <c r="J36" i="18" s="1"/>
  <c r="J37" i="18" s="1"/>
  <c r="J38" i="18" s="1"/>
  <c r="J39" i="18" s="1"/>
  <c r="L24" i="18"/>
  <c r="M24" i="18"/>
  <c r="L25" i="18"/>
  <c r="M25" i="18"/>
  <c r="L26" i="18"/>
  <c r="M26" i="18"/>
  <c r="K27" i="18"/>
  <c r="K28" i="18" s="1"/>
  <c r="K29" i="18" s="1"/>
  <c r="K30" i="18" s="1"/>
  <c r="K31" i="18" s="1"/>
  <c r="K32" i="18" s="1"/>
  <c r="K33" i="18" s="1"/>
  <c r="K34" i="18" s="1"/>
  <c r="L27" i="18"/>
  <c r="M27" i="18"/>
  <c r="L28" i="18"/>
  <c r="M28" i="18"/>
  <c r="I29" i="18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I65" i="18" s="1"/>
  <c r="I66" i="18" s="1"/>
  <c r="I67" i="18" s="1"/>
  <c r="I68" i="18" s="1"/>
  <c r="I69" i="18" s="1"/>
  <c r="I70" i="18" s="1"/>
  <c r="I71" i="18" s="1"/>
  <c r="I72" i="18" s="1"/>
  <c r="I73" i="18" s="1"/>
  <c r="I74" i="18" s="1"/>
  <c r="I75" i="18" s="1"/>
  <c r="I76" i="18" s="1"/>
  <c r="I77" i="18" s="1"/>
  <c r="I78" i="18" s="1"/>
  <c r="I79" i="18" s="1"/>
  <c r="I80" i="18" s="1"/>
  <c r="I81" i="18" s="1"/>
  <c r="I82" i="18" s="1"/>
  <c r="I83" i="18" s="1"/>
  <c r="I84" i="18" s="1"/>
  <c r="I85" i="18" s="1"/>
  <c r="I86" i="18" s="1"/>
  <c r="I87" i="18" s="1"/>
  <c r="I88" i="18" s="1"/>
  <c r="I89" i="18" s="1"/>
  <c r="I90" i="18" s="1"/>
  <c r="I91" i="18" s="1"/>
  <c r="I92" i="18" s="1"/>
  <c r="I93" i="18" s="1"/>
  <c r="I94" i="18" s="1"/>
  <c r="I95" i="18" s="1"/>
  <c r="I96" i="18" s="1"/>
  <c r="I97" i="18" s="1"/>
  <c r="I98" i="18" s="1"/>
  <c r="I99" i="18" s="1"/>
  <c r="I100" i="18" s="1"/>
  <c r="I101" i="18" s="1"/>
  <c r="I102" i="18" s="1"/>
  <c r="I103" i="18" s="1"/>
  <c r="I104" i="18" s="1"/>
  <c r="I105" i="18" s="1"/>
  <c r="I106" i="18" s="1"/>
  <c r="I107" i="18" s="1"/>
  <c r="I108" i="18" s="1"/>
  <c r="I109" i="18" s="1"/>
  <c r="I110" i="18" s="1"/>
  <c r="I111" i="18" s="1"/>
  <c r="I112" i="18" s="1"/>
  <c r="I113" i="18" s="1"/>
  <c r="I114" i="18" s="1"/>
  <c r="I115" i="18" s="1"/>
  <c r="I116" i="18" s="1"/>
  <c r="I117" i="18" s="1"/>
  <c r="I118" i="18" s="1"/>
  <c r="I119" i="18" s="1"/>
  <c r="I120" i="18" s="1"/>
  <c r="I121" i="18" s="1"/>
  <c r="I122" i="18" s="1"/>
  <c r="I123" i="18" s="1"/>
  <c r="I124" i="18" s="1"/>
  <c r="I125" i="18" s="1"/>
  <c r="I126" i="18" s="1"/>
  <c r="I127" i="18" s="1"/>
  <c r="I128" i="18" s="1"/>
  <c r="I129" i="18" s="1"/>
  <c r="I130" i="18" s="1"/>
  <c r="I131" i="18" s="1"/>
  <c r="I132" i="18" s="1"/>
  <c r="I133" i="18" s="1"/>
  <c r="I134" i="18" s="1"/>
  <c r="I135" i="18" s="1"/>
  <c r="I136" i="18" s="1"/>
  <c r="I137" i="18" s="1"/>
  <c r="I138" i="18" s="1"/>
  <c r="I139" i="18" s="1"/>
  <c r="I140" i="18" s="1"/>
  <c r="I141" i="18" s="1"/>
  <c r="I142" i="18" s="1"/>
  <c r="I143" i="18" s="1"/>
  <c r="I144" i="18" s="1"/>
  <c r="I145" i="18" s="1"/>
  <c r="I146" i="18" s="1"/>
  <c r="I147" i="18" s="1"/>
  <c r="I148" i="18" s="1"/>
  <c r="I149" i="18" s="1"/>
  <c r="I150" i="18" s="1"/>
  <c r="I151" i="18" s="1"/>
  <c r="I152" i="18" s="1"/>
  <c r="I153" i="18" s="1"/>
  <c r="I154" i="18" s="1"/>
  <c r="I155" i="18" s="1"/>
  <c r="I156" i="18" s="1"/>
  <c r="I157" i="18" s="1"/>
  <c r="I158" i="18" s="1"/>
  <c r="I159" i="18" s="1"/>
  <c r="I160" i="18" s="1"/>
  <c r="I161" i="18" s="1"/>
  <c r="I162" i="18" s="1"/>
  <c r="I163" i="18" s="1"/>
  <c r="I164" i="18" s="1"/>
  <c r="I165" i="18" s="1"/>
  <c r="I166" i="18" s="1"/>
  <c r="I167" i="18" s="1"/>
  <c r="I168" i="18" s="1"/>
  <c r="I169" i="18" s="1"/>
  <c r="I170" i="18" s="1"/>
  <c r="I171" i="18" s="1"/>
  <c r="I172" i="18" s="1"/>
  <c r="I173" i="18" s="1"/>
  <c r="I174" i="18" s="1"/>
  <c r="I175" i="18" s="1"/>
  <c r="I176" i="18" s="1"/>
  <c r="I177" i="18" s="1"/>
  <c r="I178" i="18" s="1"/>
  <c r="I179" i="18" s="1"/>
  <c r="I180" i="18" s="1"/>
  <c r="I181" i="18" s="1"/>
  <c r="I182" i="18" s="1"/>
  <c r="I183" i="18" s="1"/>
  <c r="I184" i="18" s="1"/>
  <c r="I185" i="18" s="1"/>
  <c r="I186" i="18" s="1"/>
  <c r="I187" i="18" s="1"/>
  <c r="I188" i="18" s="1"/>
  <c r="I189" i="18" s="1"/>
  <c r="I190" i="18" s="1"/>
  <c r="I191" i="18" s="1"/>
  <c r="I192" i="18" s="1"/>
  <c r="I193" i="18" s="1"/>
  <c r="I194" i="18" s="1"/>
  <c r="I195" i="18" s="1"/>
  <c r="I196" i="18" s="1"/>
  <c r="I197" i="18" s="1"/>
  <c r="I198" i="18" s="1"/>
  <c r="I199" i="18" s="1"/>
  <c r="I200" i="18" s="1"/>
  <c r="I201" i="18" s="1"/>
  <c r="I202" i="18" s="1"/>
  <c r="I203" i="18" s="1"/>
  <c r="I204" i="18" s="1"/>
  <c r="I205" i="18" s="1"/>
  <c r="I206" i="18" s="1"/>
  <c r="I207" i="18" s="1"/>
  <c r="I208" i="18" s="1"/>
  <c r="I209" i="18" s="1"/>
  <c r="I210" i="18" s="1"/>
  <c r="I211" i="18" s="1"/>
  <c r="I212" i="18" s="1"/>
  <c r="I213" i="18" s="1"/>
  <c r="I214" i="18" s="1"/>
  <c r="I215" i="18" s="1"/>
  <c r="I216" i="18" s="1"/>
  <c r="I217" i="18" s="1"/>
  <c r="I218" i="18" s="1"/>
  <c r="I219" i="18" s="1"/>
  <c r="I220" i="18" s="1"/>
  <c r="I221" i="18" s="1"/>
  <c r="I222" i="18" s="1"/>
  <c r="I223" i="18" s="1"/>
  <c r="I224" i="18" s="1"/>
  <c r="I225" i="18" s="1"/>
  <c r="I226" i="18" s="1"/>
  <c r="I227" i="18" s="1"/>
  <c r="I228" i="18" s="1"/>
  <c r="I229" i="18" s="1"/>
  <c r="I230" i="18" s="1"/>
  <c r="I231" i="18" s="1"/>
  <c r="I232" i="18" s="1"/>
  <c r="I233" i="18" s="1"/>
  <c r="I234" i="18" s="1"/>
  <c r="I235" i="18" s="1"/>
  <c r="I236" i="18" s="1"/>
  <c r="I237" i="18" s="1"/>
  <c r="I238" i="18" s="1"/>
  <c r="I239" i="18" s="1"/>
  <c r="I240" i="18" s="1"/>
  <c r="I241" i="18" s="1"/>
  <c r="I242" i="18" s="1"/>
  <c r="I243" i="18" s="1"/>
  <c r="I244" i="18" s="1"/>
  <c r="I245" i="18" s="1"/>
  <c r="I246" i="18" s="1"/>
  <c r="I247" i="18" s="1"/>
  <c r="I248" i="18" s="1"/>
  <c r="I249" i="18" s="1"/>
  <c r="I250" i="18" s="1"/>
  <c r="I251" i="18" s="1"/>
  <c r="I252" i="18" s="1"/>
  <c r="I253" i="18" s="1"/>
  <c r="I254" i="18" s="1"/>
  <c r="I255" i="18" s="1"/>
  <c r="I256" i="18" s="1"/>
  <c r="I257" i="18" s="1"/>
  <c r="I258" i="18" s="1"/>
  <c r="I259" i="18" s="1"/>
  <c r="I260" i="18" s="1"/>
  <c r="I261" i="18" s="1"/>
  <c r="I262" i="18" s="1"/>
  <c r="I263" i="18" s="1"/>
  <c r="I264" i="18" s="1"/>
  <c r="I265" i="18" s="1"/>
  <c r="I266" i="18" s="1"/>
  <c r="I267" i="18" s="1"/>
  <c r="I268" i="18" s="1"/>
  <c r="I269" i="18" s="1"/>
  <c r="I270" i="18" s="1"/>
  <c r="I271" i="18" s="1"/>
  <c r="I272" i="18" s="1"/>
  <c r="I273" i="18" s="1"/>
  <c r="I274" i="18" s="1"/>
  <c r="I275" i="18" s="1"/>
  <c r="I276" i="18" s="1"/>
  <c r="I277" i="18" s="1"/>
  <c r="I278" i="18" s="1"/>
  <c r="I279" i="18" s="1"/>
  <c r="I280" i="18" s="1"/>
  <c r="I281" i="18" s="1"/>
  <c r="I282" i="18" s="1"/>
  <c r="I283" i="18" s="1"/>
  <c r="I284" i="18" s="1"/>
  <c r="I285" i="18" s="1"/>
  <c r="I286" i="18" s="1"/>
  <c r="I287" i="18" s="1"/>
  <c r="I288" i="18" s="1"/>
  <c r="I289" i="18" s="1"/>
  <c r="I290" i="18" s="1"/>
  <c r="I291" i="18" s="1"/>
  <c r="I292" i="18" s="1"/>
  <c r="I293" i="18" s="1"/>
  <c r="I294" i="18" s="1"/>
  <c r="I295" i="18" s="1"/>
  <c r="I296" i="18" s="1"/>
  <c r="I297" i="18" s="1"/>
  <c r="I298" i="18" s="1"/>
  <c r="I299" i="18" s="1"/>
  <c r="I300" i="18" s="1"/>
  <c r="I301" i="18" s="1"/>
  <c r="I302" i="18" s="1"/>
  <c r="I303" i="18" s="1"/>
  <c r="I304" i="18" s="1"/>
  <c r="I305" i="18" s="1"/>
  <c r="I306" i="18" s="1"/>
  <c r="I307" i="18" s="1"/>
  <c r="I308" i="18" s="1"/>
  <c r="I309" i="18" s="1"/>
  <c r="I310" i="18" s="1"/>
  <c r="I311" i="18" s="1"/>
  <c r="I312" i="18" s="1"/>
  <c r="I313" i="18" s="1"/>
  <c r="I314" i="18" s="1"/>
  <c r="I315" i="18" s="1"/>
  <c r="I316" i="18" s="1"/>
  <c r="I317" i="18" s="1"/>
  <c r="I318" i="18" s="1"/>
  <c r="I319" i="18" s="1"/>
  <c r="I320" i="18" s="1"/>
  <c r="I321" i="18" s="1"/>
  <c r="I322" i="18" s="1"/>
  <c r="I323" i="18" s="1"/>
  <c r="I324" i="18" s="1"/>
  <c r="I325" i="18" s="1"/>
  <c r="I326" i="18" s="1"/>
  <c r="I327" i="18" s="1"/>
  <c r="I328" i="18" s="1"/>
  <c r="I329" i="18" s="1"/>
  <c r="I330" i="18" s="1"/>
  <c r="I331" i="18" s="1"/>
  <c r="I332" i="18" s="1"/>
  <c r="I333" i="18" s="1"/>
  <c r="I334" i="18" s="1"/>
  <c r="I335" i="18" s="1"/>
  <c r="I336" i="18" s="1"/>
  <c r="I337" i="18" s="1"/>
  <c r="I338" i="18" s="1"/>
  <c r="I339" i="18" s="1"/>
  <c r="I340" i="18" s="1"/>
  <c r="I341" i="18" s="1"/>
  <c r="I342" i="18" s="1"/>
  <c r="I343" i="18" s="1"/>
  <c r="I344" i="18" s="1"/>
  <c r="I345" i="18" s="1"/>
  <c r="I346" i="18" s="1"/>
  <c r="I347" i="18" s="1"/>
  <c r="I348" i="18" s="1"/>
  <c r="I349" i="18" s="1"/>
  <c r="I350" i="18" s="1"/>
  <c r="I351" i="18" s="1"/>
  <c r="I352" i="18" s="1"/>
  <c r="I353" i="18" s="1"/>
  <c r="I354" i="18" s="1"/>
  <c r="I355" i="18" s="1"/>
  <c r="I356" i="18" s="1"/>
  <c r="I357" i="18" s="1"/>
  <c r="I358" i="18" s="1"/>
  <c r="I359" i="18" s="1"/>
  <c r="I360" i="18" s="1"/>
  <c r="I361" i="18" s="1"/>
  <c r="I362" i="18" s="1"/>
  <c r="I363" i="18" s="1"/>
  <c r="I364" i="18" s="1"/>
  <c r="I365" i="18" s="1"/>
  <c r="I366" i="18" s="1"/>
  <c r="I367" i="18" s="1"/>
  <c r="I368" i="18" s="1"/>
  <c r="I369" i="18" s="1"/>
  <c r="I370" i="18" s="1"/>
  <c r="I371" i="18" s="1"/>
  <c r="I372" i="18" s="1"/>
  <c r="I373" i="18" s="1"/>
  <c r="I374" i="18" s="1"/>
  <c r="I375" i="18" s="1"/>
  <c r="I376" i="18" s="1"/>
  <c r="L29" i="18"/>
  <c r="M29" i="18"/>
  <c r="L30" i="18"/>
  <c r="M30" i="18"/>
  <c r="L31" i="18"/>
  <c r="M31" i="18"/>
  <c r="L32" i="18"/>
  <c r="M32" i="18"/>
  <c r="L33" i="18"/>
  <c r="M33" i="18"/>
  <c r="L34" i="18"/>
  <c r="M34" i="18"/>
  <c r="K35" i="18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L35" i="18"/>
  <c r="M35" i="18"/>
  <c r="L36" i="18"/>
  <c r="M36" i="18"/>
  <c r="L37" i="18"/>
  <c r="M37" i="18"/>
  <c r="L38" i="18"/>
  <c r="M38" i="18"/>
  <c r="L39" i="18"/>
  <c r="M39" i="18"/>
  <c r="J40" i="18"/>
  <c r="J41" i="18" s="1"/>
  <c r="J42" i="18" s="1"/>
  <c r="J43" i="18" s="1"/>
  <c r="J44" i="18" s="1"/>
  <c r="J45" i="18" s="1"/>
  <c r="J46" i="18" s="1"/>
  <c r="J47" i="18" s="1"/>
  <c r="J48" i="18" s="1"/>
  <c r="J49" i="18" s="1"/>
  <c r="J50" i="18" s="1"/>
  <c r="J51" i="18" s="1"/>
  <c r="J52" i="18" s="1"/>
  <c r="J53" i="18" s="1"/>
  <c r="J54" i="18" s="1"/>
  <c r="J55" i="18" s="1"/>
  <c r="J56" i="18" s="1"/>
  <c r="J57" i="18" s="1"/>
  <c r="J58" i="18" s="1"/>
  <c r="J59" i="18" s="1"/>
  <c r="J60" i="18" s="1"/>
  <c r="J61" i="18" s="1"/>
  <c r="J62" i="18" s="1"/>
  <c r="J63" i="18" s="1"/>
  <c r="J64" i="18" s="1"/>
  <c r="J65" i="18" s="1"/>
  <c r="J66" i="18" s="1"/>
  <c r="J67" i="18" s="1"/>
  <c r="J68" i="18" s="1"/>
  <c r="J69" i="18" s="1"/>
  <c r="J70" i="18" s="1"/>
  <c r="J71" i="18" s="1"/>
  <c r="J72" i="18" s="1"/>
  <c r="J73" i="18" s="1"/>
  <c r="J74" i="18" s="1"/>
  <c r="J75" i="18" s="1"/>
  <c r="J76" i="18" s="1"/>
  <c r="J77" i="18" s="1"/>
  <c r="J78" i="18" s="1"/>
  <c r="J79" i="18" s="1"/>
  <c r="J80" i="18" s="1"/>
  <c r="J81" i="18" s="1"/>
  <c r="J82" i="18" s="1"/>
  <c r="J83" i="18" s="1"/>
  <c r="J84" i="18" s="1"/>
  <c r="J85" i="18" s="1"/>
  <c r="J86" i="18" s="1"/>
  <c r="J87" i="18" s="1"/>
  <c r="J88" i="18" s="1"/>
  <c r="J89" i="18" s="1"/>
  <c r="J90" i="18" s="1"/>
  <c r="J91" i="18" s="1"/>
  <c r="J92" i="18" s="1"/>
  <c r="J93" i="18" s="1"/>
  <c r="J94" i="18" s="1"/>
  <c r="J95" i="18" s="1"/>
  <c r="J96" i="18" s="1"/>
  <c r="J97" i="18" s="1"/>
  <c r="J98" i="18" s="1"/>
  <c r="J99" i="18" s="1"/>
  <c r="J100" i="18" s="1"/>
  <c r="J101" i="18" s="1"/>
  <c r="J102" i="18" s="1"/>
  <c r="J103" i="18" s="1"/>
  <c r="J104" i="18" s="1"/>
  <c r="J105" i="18" s="1"/>
  <c r="J106" i="18" s="1"/>
  <c r="J107" i="18" s="1"/>
  <c r="J108" i="18" s="1"/>
  <c r="J109" i="18" s="1"/>
  <c r="J110" i="18" s="1"/>
  <c r="J111" i="18" s="1"/>
  <c r="J112" i="18" s="1"/>
  <c r="J113" i="18" s="1"/>
  <c r="J114" i="18" s="1"/>
  <c r="J115" i="18" s="1"/>
  <c r="J116" i="18" s="1"/>
  <c r="J117" i="18" s="1"/>
  <c r="J118" i="18" s="1"/>
  <c r="J119" i="18" s="1"/>
  <c r="J120" i="18" s="1"/>
  <c r="J121" i="18" s="1"/>
  <c r="J122" i="18" s="1"/>
  <c r="J123" i="18" s="1"/>
  <c r="J124" i="18" s="1"/>
  <c r="J125" i="18" s="1"/>
  <c r="J126" i="18" s="1"/>
  <c r="J127" i="18" s="1"/>
  <c r="J128" i="18" s="1"/>
  <c r="J129" i="18" s="1"/>
  <c r="J130" i="18" s="1"/>
  <c r="J131" i="18" s="1"/>
  <c r="J132" i="18" s="1"/>
  <c r="J133" i="18" s="1"/>
  <c r="J134" i="18" s="1"/>
  <c r="J135" i="18" s="1"/>
  <c r="J136" i="18" s="1"/>
  <c r="J137" i="18" s="1"/>
  <c r="J138" i="18" s="1"/>
  <c r="J139" i="18" s="1"/>
  <c r="J140" i="18" s="1"/>
  <c r="J141" i="18" s="1"/>
  <c r="J142" i="18" s="1"/>
  <c r="J143" i="18" s="1"/>
  <c r="J144" i="18" s="1"/>
  <c r="J145" i="18" s="1"/>
  <c r="J146" i="18" s="1"/>
  <c r="J147" i="18" s="1"/>
  <c r="J148" i="18" s="1"/>
  <c r="J149" i="18" s="1"/>
  <c r="J150" i="18" s="1"/>
  <c r="J151" i="18" s="1"/>
  <c r="J152" i="18" s="1"/>
  <c r="J153" i="18" s="1"/>
  <c r="J154" i="18" s="1"/>
  <c r="J155" i="18" s="1"/>
  <c r="J156" i="18" s="1"/>
  <c r="J157" i="18" s="1"/>
  <c r="J158" i="18" s="1"/>
  <c r="J159" i="18" s="1"/>
  <c r="J160" i="18" s="1"/>
  <c r="J161" i="18" s="1"/>
  <c r="J162" i="18" s="1"/>
  <c r="J163" i="18" s="1"/>
  <c r="J164" i="18" s="1"/>
  <c r="J165" i="18" s="1"/>
  <c r="J166" i="18" s="1"/>
  <c r="J167" i="18" s="1"/>
  <c r="J168" i="18" s="1"/>
  <c r="J169" i="18" s="1"/>
  <c r="J170" i="18" s="1"/>
  <c r="J171" i="18" s="1"/>
  <c r="J172" i="18" s="1"/>
  <c r="J173" i="18" s="1"/>
  <c r="J174" i="18" s="1"/>
  <c r="J175" i="18" s="1"/>
  <c r="J176" i="18" s="1"/>
  <c r="J177" i="18" s="1"/>
  <c r="J178" i="18" s="1"/>
  <c r="J179" i="18" s="1"/>
  <c r="J180" i="18" s="1"/>
  <c r="J181" i="18" s="1"/>
  <c r="J182" i="18" s="1"/>
  <c r="J183" i="18" s="1"/>
  <c r="J184" i="18" s="1"/>
  <c r="J185" i="18" s="1"/>
  <c r="J186" i="18" s="1"/>
  <c r="J187" i="18" s="1"/>
  <c r="J188" i="18" s="1"/>
  <c r="J189" i="18" s="1"/>
  <c r="J190" i="18" s="1"/>
  <c r="J191" i="18" s="1"/>
  <c r="J192" i="18" s="1"/>
  <c r="J193" i="18" s="1"/>
  <c r="J194" i="18" s="1"/>
  <c r="J195" i="18" s="1"/>
  <c r="J196" i="18" s="1"/>
  <c r="J197" i="18" s="1"/>
  <c r="J198" i="18" s="1"/>
  <c r="J199" i="18" s="1"/>
  <c r="J200" i="18" s="1"/>
  <c r="J201" i="18" s="1"/>
  <c r="J202" i="18" s="1"/>
  <c r="J203" i="18" s="1"/>
  <c r="J204" i="18" s="1"/>
  <c r="J205" i="18" s="1"/>
  <c r="J206" i="18" s="1"/>
  <c r="J207" i="18" s="1"/>
  <c r="J208" i="18" s="1"/>
  <c r="J209" i="18" s="1"/>
  <c r="J210" i="18" s="1"/>
  <c r="J211" i="18" s="1"/>
  <c r="J212" i="18" s="1"/>
  <c r="J213" i="18" s="1"/>
  <c r="J214" i="18" s="1"/>
  <c r="J215" i="18" s="1"/>
  <c r="J216" i="18" s="1"/>
  <c r="J217" i="18" s="1"/>
  <c r="J218" i="18" s="1"/>
  <c r="J219" i="18" s="1"/>
  <c r="J220" i="18" s="1"/>
  <c r="J221" i="18" s="1"/>
  <c r="J222" i="18" s="1"/>
  <c r="J223" i="18" s="1"/>
  <c r="J224" i="18" s="1"/>
  <c r="J225" i="18" s="1"/>
  <c r="J226" i="18" s="1"/>
  <c r="J227" i="18" s="1"/>
  <c r="J228" i="18" s="1"/>
  <c r="J229" i="18" s="1"/>
  <c r="J230" i="18" s="1"/>
  <c r="J231" i="18" s="1"/>
  <c r="J232" i="18" s="1"/>
  <c r="J233" i="18" s="1"/>
  <c r="J234" i="18" s="1"/>
  <c r="J235" i="18" s="1"/>
  <c r="J236" i="18" s="1"/>
  <c r="J237" i="18" s="1"/>
  <c r="J238" i="18" s="1"/>
  <c r="J239" i="18" s="1"/>
  <c r="J240" i="18" s="1"/>
  <c r="J241" i="18" s="1"/>
  <c r="J242" i="18" s="1"/>
  <c r="J243" i="18" s="1"/>
  <c r="J244" i="18" s="1"/>
  <c r="J245" i="18" s="1"/>
  <c r="J246" i="18" s="1"/>
  <c r="J247" i="18" s="1"/>
  <c r="J248" i="18" s="1"/>
  <c r="J249" i="18" s="1"/>
  <c r="J250" i="18" s="1"/>
  <c r="J251" i="18" s="1"/>
  <c r="J252" i="18" s="1"/>
  <c r="J253" i="18" s="1"/>
  <c r="J254" i="18" s="1"/>
  <c r="J255" i="18" s="1"/>
  <c r="J256" i="18" s="1"/>
  <c r="J257" i="18" s="1"/>
  <c r="J258" i="18" s="1"/>
  <c r="J259" i="18" s="1"/>
  <c r="J260" i="18" s="1"/>
  <c r="J261" i="18" s="1"/>
  <c r="J262" i="18" s="1"/>
  <c r="J263" i="18" s="1"/>
  <c r="J264" i="18" s="1"/>
  <c r="J265" i="18" s="1"/>
  <c r="J266" i="18" s="1"/>
  <c r="J267" i="18" s="1"/>
  <c r="J268" i="18" s="1"/>
  <c r="J269" i="18" s="1"/>
  <c r="J270" i="18" s="1"/>
  <c r="J271" i="18" s="1"/>
  <c r="J272" i="18" s="1"/>
  <c r="J273" i="18" s="1"/>
  <c r="J274" i="18" s="1"/>
  <c r="J275" i="18" s="1"/>
  <c r="J276" i="18" s="1"/>
  <c r="J277" i="18" s="1"/>
  <c r="J278" i="18" s="1"/>
  <c r="J279" i="18" s="1"/>
  <c r="J280" i="18" s="1"/>
  <c r="J281" i="18" s="1"/>
  <c r="J282" i="18" s="1"/>
  <c r="J283" i="18" s="1"/>
  <c r="J284" i="18" s="1"/>
  <c r="J285" i="18" s="1"/>
  <c r="J286" i="18" s="1"/>
  <c r="J287" i="18" s="1"/>
  <c r="J288" i="18" s="1"/>
  <c r="J289" i="18" s="1"/>
  <c r="J290" i="18" s="1"/>
  <c r="J291" i="18" s="1"/>
  <c r="J292" i="18" s="1"/>
  <c r="J293" i="18" s="1"/>
  <c r="J294" i="18" s="1"/>
  <c r="J295" i="18" s="1"/>
  <c r="J296" i="18" s="1"/>
  <c r="J297" i="18" s="1"/>
  <c r="J298" i="18" s="1"/>
  <c r="J299" i="18" s="1"/>
  <c r="J300" i="18" s="1"/>
  <c r="J301" i="18" s="1"/>
  <c r="J302" i="18" s="1"/>
  <c r="J303" i="18" s="1"/>
  <c r="J304" i="18" s="1"/>
  <c r="J305" i="18" s="1"/>
  <c r="J306" i="18" s="1"/>
  <c r="J307" i="18" s="1"/>
  <c r="J308" i="18" s="1"/>
  <c r="J309" i="18" s="1"/>
  <c r="J310" i="18" s="1"/>
  <c r="J311" i="18" s="1"/>
  <c r="J312" i="18" s="1"/>
  <c r="J313" i="18" s="1"/>
  <c r="J314" i="18" s="1"/>
  <c r="J315" i="18" s="1"/>
  <c r="J316" i="18" s="1"/>
  <c r="J317" i="18" s="1"/>
  <c r="J318" i="18" s="1"/>
  <c r="J319" i="18" s="1"/>
  <c r="J320" i="18" s="1"/>
  <c r="J321" i="18" s="1"/>
  <c r="J322" i="18" s="1"/>
  <c r="J323" i="18" s="1"/>
  <c r="J324" i="18" s="1"/>
  <c r="J325" i="18" s="1"/>
  <c r="J326" i="18" s="1"/>
  <c r="J327" i="18" s="1"/>
  <c r="J328" i="18" s="1"/>
  <c r="J329" i="18" s="1"/>
  <c r="J330" i="18" s="1"/>
  <c r="J331" i="18" s="1"/>
  <c r="J332" i="18" s="1"/>
  <c r="J333" i="18" s="1"/>
  <c r="J334" i="18" s="1"/>
  <c r="J335" i="18" s="1"/>
  <c r="J336" i="18" s="1"/>
  <c r="J337" i="18" s="1"/>
  <c r="J338" i="18" s="1"/>
  <c r="J339" i="18" s="1"/>
  <c r="J340" i="18" s="1"/>
  <c r="J341" i="18" s="1"/>
  <c r="J342" i="18" s="1"/>
  <c r="J343" i="18" s="1"/>
  <c r="J344" i="18" s="1"/>
  <c r="J345" i="18" s="1"/>
  <c r="J346" i="18" s="1"/>
  <c r="J347" i="18" s="1"/>
  <c r="J348" i="18" s="1"/>
  <c r="J349" i="18" s="1"/>
  <c r="J350" i="18" s="1"/>
  <c r="J351" i="18" s="1"/>
  <c r="J352" i="18" s="1"/>
  <c r="J353" i="18" s="1"/>
  <c r="J354" i="18" s="1"/>
  <c r="J355" i="18" s="1"/>
  <c r="J356" i="18" s="1"/>
  <c r="J357" i="18" s="1"/>
  <c r="J358" i="18" s="1"/>
  <c r="J359" i="18" s="1"/>
  <c r="J360" i="18" s="1"/>
  <c r="J361" i="18" s="1"/>
  <c r="J362" i="18" s="1"/>
  <c r="J363" i="18" s="1"/>
  <c r="J364" i="18" s="1"/>
  <c r="J365" i="18" s="1"/>
  <c r="J366" i="18" s="1"/>
  <c r="J367" i="18" s="1"/>
  <c r="J368" i="18" s="1"/>
  <c r="J369" i="18" s="1"/>
  <c r="J370" i="18" s="1"/>
  <c r="J371" i="18" s="1"/>
  <c r="J372" i="18" s="1"/>
  <c r="J373" i="18" s="1"/>
  <c r="J374" i="18" s="1"/>
  <c r="J375" i="18" s="1"/>
  <c r="J376" i="18" s="1"/>
  <c r="L40" i="18"/>
  <c r="M40" i="18"/>
  <c r="L41" i="18"/>
  <c r="M41" i="18"/>
  <c r="L42" i="18"/>
  <c r="M42" i="18"/>
  <c r="L43" i="18"/>
  <c r="M43" i="18"/>
  <c r="L44" i="18"/>
  <c r="M44" i="18"/>
  <c r="L45" i="18"/>
  <c r="M45" i="18"/>
  <c r="L46" i="18"/>
  <c r="M46" i="18"/>
  <c r="L47" i="18"/>
  <c r="M47" i="18"/>
  <c r="L48" i="18"/>
  <c r="M48" i="18"/>
  <c r="L49" i="18"/>
  <c r="M49" i="18"/>
  <c r="L50" i="18"/>
  <c r="M50" i="18"/>
  <c r="L51" i="18"/>
  <c r="M51" i="18"/>
  <c r="L52" i="18"/>
  <c r="M52" i="18"/>
  <c r="L53" i="18"/>
  <c r="M53" i="18"/>
  <c r="L54" i="18"/>
  <c r="M54" i="18"/>
  <c r="L55" i="18"/>
  <c r="M55" i="18"/>
  <c r="L56" i="18"/>
  <c r="M56" i="18"/>
  <c r="L57" i="18"/>
  <c r="M57" i="18"/>
  <c r="L58" i="18"/>
  <c r="M58" i="18"/>
  <c r="L59" i="18"/>
  <c r="M59" i="18"/>
  <c r="L60" i="18"/>
  <c r="M60" i="18"/>
  <c r="L61" i="18"/>
  <c r="M61" i="18"/>
  <c r="L62" i="18"/>
  <c r="M62" i="18"/>
  <c r="L63" i="18"/>
  <c r="M63" i="18"/>
  <c r="L64" i="18"/>
  <c r="M64" i="18"/>
  <c r="L65" i="18"/>
  <c r="M65" i="18"/>
  <c r="L66" i="18"/>
  <c r="M66" i="18"/>
  <c r="K67" i="18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K103" i="18" s="1"/>
  <c r="K104" i="18" s="1"/>
  <c r="K105" i="18" s="1"/>
  <c r="K106" i="18" s="1"/>
  <c r="K107" i="18" s="1"/>
  <c r="K108" i="18" s="1"/>
  <c r="K109" i="18" s="1"/>
  <c r="K110" i="18" s="1"/>
  <c r="K111" i="18" s="1"/>
  <c r="K112" i="18" s="1"/>
  <c r="K113" i="18" s="1"/>
  <c r="K114" i="18" s="1"/>
  <c r="K115" i="18" s="1"/>
  <c r="K116" i="18" s="1"/>
  <c r="K117" i="18" s="1"/>
  <c r="K118" i="18" s="1"/>
  <c r="K119" i="18" s="1"/>
  <c r="K120" i="18" s="1"/>
  <c r="K121" i="18" s="1"/>
  <c r="K122" i="18" s="1"/>
  <c r="K123" i="18" s="1"/>
  <c r="K124" i="18" s="1"/>
  <c r="K125" i="18" s="1"/>
  <c r="K126" i="18" s="1"/>
  <c r="K127" i="18" s="1"/>
  <c r="K128" i="18" s="1"/>
  <c r="K129" i="18" s="1"/>
  <c r="K130" i="18" s="1"/>
  <c r="K131" i="18" s="1"/>
  <c r="K132" i="18" s="1"/>
  <c r="K133" i="18" s="1"/>
  <c r="K134" i="18" s="1"/>
  <c r="K135" i="18" s="1"/>
  <c r="K136" i="18" s="1"/>
  <c r="K137" i="18" s="1"/>
  <c r="K138" i="18" s="1"/>
  <c r="K139" i="18" s="1"/>
  <c r="K140" i="18" s="1"/>
  <c r="K141" i="18" s="1"/>
  <c r="K142" i="18" s="1"/>
  <c r="K143" i="18" s="1"/>
  <c r="K144" i="18" s="1"/>
  <c r="K145" i="18" s="1"/>
  <c r="K146" i="18" s="1"/>
  <c r="K147" i="18" s="1"/>
  <c r="K148" i="18" s="1"/>
  <c r="K149" i="18" s="1"/>
  <c r="K150" i="18" s="1"/>
  <c r="K151" i="18" s="1"/>
  <c r="K152" i="18" s="1"/>
  <c r="K153" i="18" s="1"/>
  <c r="K154" i="18" s="1"/>
  <c r="K155" i="18" s="1"/>
  <c r="K156" i="18" s="1"/>
  <c r="K157" i="18" s="1"/>
  <c r="K158" i="18" s="1"/>
  <c r="K159" i="18" s="1"/>
  <c r="K160" i="18" s="1"/>
  <c r="K161" i="18" s="1"/>
  <c r="K162" i="18" s="1"/>
  <c r="K163" i="18" s="1"/>
  <c r="K164" i="18" s="1"/>
  <c r="K165" i="18" s="1"/>
  <c r="K166" i="18" s="1"/>
  <c r="K167" i="18" s="1"/>
  <c r="K168" i="18" s="1"/>
  <c r="K169" i="18" s="1"/>
  <c r="K170" i="18" s="1"/>
  <c r="K171" i="18" s="1"/>
  <c r="K172" i="18" s="1"/>
  <c r="K173" i="18" s="1"/>
  <c r="K174" i="18" s="1"/>
  <c r="K175" i="18" s="1"/>
  <c r="K176" i="18" s="1"/>
  <c r="K177" i="18" s="1"/>
  <c r="K178" i="18" s="1"/>
  <c r="K179" i="18" s="1"/>
  <c r="K180" i="18" s="1"/>
  <c r="K181" i="18" s="1"/>
  <c r="K182" i="18" s="1"/>
  <c r="K183" i="18" s="1"/>
  <c r="K184" i="18" s="1"/>
  <c r="K185" i="18" s="1"/>
  <c r="K186" i="18" s="1"/>
  <c r="K187" i="18" s="1"/>
  <c r="K188" i="18" s="1"/>
  <c r="K189" i="18" s="1"/>
  <c r="K190" i="18" s="1"/>
  <c r="K191" i="18" s="1"/>
  <c r="K192" i="18" s="1"/>
  <c r="K193" i="18" s="1"/>
  <c r="K194" i="18" s="1"/>
  <c r="K195" i="18" s="1"/>
  <c r="K196" i="18" s="1"/>
  <c r="K197" i="18" s="1"/>
  <c r="K198" i="18" s="1"/>
  <c r="K199" i="18" s="1"/>
  <c r="K200" i="18" s="1"/>
  <c r="K201" i="18" s="1"/>
  <c r="K202" i="18" s="1"/>
  <c r="K203" i="18" s="1"/>
  <c r="K204" i="18" s="1"/>
  <c r="K205" i="18" s="1"/>
  <c r="K206" i="18" s="1"/>
  <c r="K207" i="18" s="1"/>
  <c r="K208" i="18" s="1"/>
  <c r="K209" i="18" s="1"/>
  <c r="K210" i="18" s="1"/>
  <c r="K211" i="18" s="1"/>
  <c r="K212" i="18" s="1"/>
  <c r="K213" i="18" s="1"/>
  <c r="K214" i="18" s="1"/>
  <c r="K215" i="18" s="1"/>
  <c r="K216" i="18" s="1"/>
  <c r="K217" i="18" s="1"/>
  <c r="K218" i="18" s="1"/>
  <c r="K219" i="18" s="1"/>
  <c r="K220" i="18" s="1"/>
  <c r="K221" i="18" s="1"/>
  <c r="K222" i="18" s="1"/>
  <c r="K223" i="18" s="1"/>
  <c r="K224" i="18" s="1"/>
  <c r="K225" i="18" s="1"/>
  <c r="K226" i="18" s="1"/>
  <c r="K227" i="18" s="1"/>
  <c r="K228" i="18" s="1"/>
  <c r="K229" i="18" s="1"/>
  <c r="K230" i="18" s="1"/>
  <c r="K231" i="18" s="1"/>
  <c r="K232" i="18" s="1"/>
  <c r="K233" i="18" s="1"/>
  <c r="K234" i="18" s="1"/>
  <c r="K235" i="18" s="1"/>
  <c r="K236" i="18" s="1"/>
  <c r="K237" i="18" s="1"/>
  <c r="K238" i="18" s="1"/>
  <c r="K239" i="18" s="1"/>
  <c r="K240" i="18" s="1"/>
  <c r="K241" i="18" s="1"/>
  <c r="K242" i="18" s="1"/>
  <c r="K243" i="18" s="1"/>
  <c r="K244" i="18" s="1"/>
  <c r="K245" i="18" s="1"/>
  <c r="K246" i="18" s="1"/>
  <c r="K247" i="18" s="1"/>
  <c r="K248" i="18" s="1"/>
  <c r="K249" i="18" s="1"/>
  <c r="K250" i="18" s="1"/>
  <c r="K251" i="18" s="1"/>
  <c r="K252" i="18" s="1"/>
  <c r="K253" i="18" s="1"/>
  <c r="K254" i="18" s="1"/>
  <c r="K255" i="18" s="1"/>
  <c r="K256" i="18" s="1"/>
  <c r="K257" i="18" s="1"/>
  <c r="K258" i="18" s="1"/>
  <c r="K259" i="18" s="1"/>
  <c r="K260" i="18" s="1"/>
  <c r="K261" i="18" s="1"/>
  <c r="K262" i="18" s="1"/>
  <c r="K263" i="18" s="1"/>
  <c r="K264" i="18" s="1"/>
  <c r="K265" i="18" s="1"/>
  <c r="K266" i="18" s="1"/>
  <c r="K267" i="18" s="1"/>
  <c r="K268" i="18" s="1"/>
  <c r="K269" i="18" s="1"/>
  <c r="K270" i="18" s="1"/>
  <c r="K271" i="18" s="1"/>
  <c r="K272" i="18" s="1"/>
  <c r="K273" i="18" s="1"/>
  <c r="K274" i="18" s="1"/>
  <c r="K275" i="18" s="1"/>
  <c r="K276" i="18" s="1"/>
  <c r="K277" i="18" s="1"/>
  <c r="K278" i="18" s="1"/>
  <c r="K279" i="18" s="1"/>
  <c r="K280" i="18" s="1"/>
  <c r="K281" i="18" s="1"/>
  <c r="K282" i="18" s="1"/>
  <c r="K283" i="18" s="1"/>
  <c r="K284" i="18" s="1"/>
  <c r="K285" i="18" s="1"/>
  <c r="K286" i="18" s="1"/>
  <c r="K287" i="18" s="1"/>
  <c r="K288" i="18" s="1"/>
  <c r="K289" i="18" s="1"/>
  <c r="K290" i="18" s="1"/>
  <c r="K291" i="18" s="1"/>
  <c r="K292" i="18" s="1"/>
  <c r="K293" i="18" s="1"/>
  <c r="K294" i="18" s="1"/>
  <c r="K295" i="18" s="1"/>
  <c r="K296" i="18" s="1"/>
  <c r="K297" i="18" s="1"/>
  <c r="K298" i="18" s="1"/>
  <c r="K299" i="18" s="1"/>
  <c r="K300" i="18" s="1"/>
  <c r="K301" i="18" s="1"/>
  <c r="K302" i="18" s="1"/>
  <c r="K303" i="18" s="1"/>
  <c r="K304" i="18" s="1"/>
  <c r="K305" i="18" s="1"/>
  <c r="K306" i="18" s="1"/>
  <c r="K307" i="18" s="1"/>
  <c r="K308" i="18" s="1"/>
  <c r="K309" i="18" s="1"/>
  <c r="K310" i="18" s="1"/>
  <c r="K311" i="18" s="1"/>
  <c r="K312" i="18" s="1"/>
  <c r="K313" i="18" s="1"/>
  <c r="K314" i="18" s="1"/>
  <c r="K315" i="18" s="1"/>
  <c r="K316" i="18" s="1"/>
  <c r="K317" i="18" s="1"/>
  <c r="K318" i="18" s="1"/>
  <c r="K319" i="18" s="1"/>
  <c r="K320" i="18" s="1"/>
  <c r="K321" i="18" s="1"/>
  <c r="K322" i="18" s="1"/>
  <c r="K323" i="18" s="1"/>
  <c r="K324" i="18" s="1"/>
  <c r="K325" i="18" s="1"/>
  <c r="K326" i="18" s="1"/>
  <c r="K327" i="18" s="1"/>
  <c r="K328" i="18" s="1"/>
  <c r="K329" i="18" s="1"/>
  <c r="K330" i="18" s="1"/>
  <c r="K331" i="18" s="1"/>
  <c r="K332" i="18" s="1"/>
  <c r="K333" i="18" s="1"/>
  <c r="K334" i="18" s="1"/>
  <c r="K335" i="18" s="1"/>
  <c r="K336" i="18" s="1"/>
  <c r="K337" i="18" s="1"/>
  <c r="K338" i="18" s="1"/>
  <c r="K339" i="18" s="1"/>
  <c r="K340" i="18" s="1"/>
  <c r="K341" i="18" s="1"/>
  <c r="K342" i="18" s="1"/>
  <c r="K343" i="18" s="1"/>
  <c r="K344" i="18" s="1"/>
  <c r="K345" i="18" s="1"/>
  <c r="K346" i="18" s="1"/>
  <c r="K347" i="18" s="1"/>
  <c r="K348" i="18" s="1"/>
  <c r="K349" i="18" s="1"/>
  <c r="K350" i="18" s="1"/>
  <c r="K351" i="18" s="1"/>
  <c r="K352" i="18" s="1"/>
  <c r="K353" i="18" s="1"/>
  <c r="K354" i="18" s="1"/>
  <c r="K355" i="18" s="1"/>
  <c r="K356" i="18" s="1"/>
  <c r="K357" i="18" s="1"/>
  <c r="K358" i="18" s="1"/>
  <c r="K359" i="18" s="1"/>
  <c r="K360" i="18" s="1"/>
  <c r="K361" i="18" s="1"/>
  <c r="K362" i="18" s="1"/>
  <c r="K363" i="18" s="1"/>
  <c r="K364" i="18" s="1"/>
  <c r="K365" i="18" s="1"/>
  <c r="K366" i="18" s="1"/>
  <c r="K367" i="18" s="1"/>
  <c r="K368" i="18" s="1"/>
  <c r="K369" i="18" s="1"/>
  <c r="K370" i="18" s="1"/>
  <c r="K371" i="18" s="1"/>
  <c r="K372" i="18" s="1"/>
  <c r="K373" i="18" s="1"/>
  <c r="K374" i="18" s="1"/>
  <c r="K375" i="18" s="1"/>
  <c r="K376" i="18" s="1"/>
  <c r="L67" i="18"/>
  <c r="M67" i="18"/>
  <c r="L68" i="18"/>
  <c r="M68" i="18"/>
  <c r="L69" i="18"/>
  <c r="M69" i="18"/>
  <c r="L70" i="18"/>
  <c r="M70" i="18"/>
  <c r="L71" i="18"/>
  <c r="M71" i="18"/>
  <c r="L72" i="18"/>
  <c r="M72" i="18"/>
  <c r="L73" i="18"/>
  <c r="M73" i="18"/>
  <c r="L74" i="18"/>
  <c r="M74" i="18"/>
  <c r="L75" i="18"/>
  <c r="M75" i="18"/>
  <c r="L76" i="18"/>
  <c r="M76" i="18"/>
  <c r="L77" i="18"/>
  <c r="M77" i="18"/>
  <c r="L78" i="18"/>
  <c r="M78" i="18"/>
  <c r="L79" i="18"/>
  <c r="M79" i="18"/>
  <c r="L80" i="18"/>
  <c r="M80" i="18"/>
  <c r="L81" i="18"/>
  <c r="M81" i="18"/>
  <c r="L82" i="18"/>
  <c r="M82" i="18"/>
  <c r="L83" i="18"/>
  <c r="M83" i="18"/>
  <c r="L84" i="18"/>
  <c r="M84" i="18"/>
  <c r="L85" i="18"/>
  <c r="M85" i="18"/>
  <c r="L86" i="18"/>
  <c r="M86" i="18"/>
  <c r="L87" i="18"/>
  <c r="M87" i="18"/>
  <c r="L88" i="18"/>
  <c r="M88" i="18"/>
  <c r="L89" i="18"/>
  <c r="M89" i="18"/>
  <c r="L90" i="18"/>
  <c r="M90" i="18"/>
  <c r="L91" i="18"/>
  <c r="M91" i="18"/>
  <c r="L92" i="18"/>
  <c r="M92" i="18"/>
  <c r="L93" i="18"/>
  <c r="M93" i="18"/>
  <c r="L94" i="18"/>
  <c r="M94" i="18"/>
  <c r="L95" i="18"/>
  <c r="M95" i="18"/>
  <c r="L96" i="18"/>
  <c r="M96" i="18"/>
  <c r="L97" i="18"/>
  <c r="M97" i="18"/>
  <c r="L98" i="18"/>
  <c r="M98" i="18"/>
  <c r="L99" i="18"/>
  <c r="M99" i="18"/>
  <c r="L100" i="18"/>
  <c r="M100" i="18"/>
  <c r="L101" i="18"/>
  <c r="M101" i="18"/>
  <c r="L102" i="18"/>
  <c r="M102" i="18"/>
  <c r="L103" i="18"/>
  <c r="M103" i="18"/>
  <c r="L104" i="18"/>
  <c r="M104" i="18"/>
  <c r="L105" i="18"/>
  <c r="M105" i="18"/>
  <c r="L106" i="18"/>
  <c r="M106" i="18"/>
  <c r="L107" i="18"/>
  <c r="M107" i="18"/>
  <c r="L108" i="18"/>
  <c r="M108" i="18"/>
  <c r="L109" i="18"/>
  <c r="M109" i="18"/>
  <c r="L110" i="18"/>
  <c r="M110" i="18"/>
  <c r="L111" i="18"/>
  <c r="M111" i="18"/>
  <c r="L112" i="18"/>
  <c r="M112" i="18"/>
  <c r="L113" i="18"/>
  <c r="M113" i="18"/>
  <c r="L114" i="18"/>
  <c r="M114" i="18"/>
  <c r="L115" i="18"/>
  <c r="M115" i="18"/>
  <c r="L116" i="18"/>
  <c r="M116" i="18"/>
  <c r="L117" i="18"/>
  <c r="M117" i="18"/>
  <c r="L118" i="18"/>
  <c r="M118" i="18"/>
  <c r="L119" i="18"/>
  <c r="M119" i="18"/>
  <c r="L120" i="18"/>
  <c r="M120" i="18"/>
  <c r="L121" i="18"/>
  <c r="M121" i="18"/>
  <c r="L122" i="18"/>
  <c r="M122" i="18"/>
  <c r="L123" i="18"/>
  <c r="M123" i="18"/>
  <c r="L124" i="18"/>
  <c r="M124" i="18"/>
  <c r="L125" i="18"/>
  <c r="M125" i="18"/>
  <c r="L126" i="18"/>
  <c r="M126" i="18"/>
  <c r="L127" i="18"/>
  <c r="M127" i="18"/>
  <c r="L128" i="18"/>
  <c r="M128" i="18"/>
  <c r="L129" i="18"/>
  <c r="M129" i="18"/>
  <c r="L130" i="18"/>
  <c r="M130" i="18"/>
  <c r="L131" i="18"/>
  <c r="M131" i="18"/>
  <c r="L132" i="18"/>
  <c r="M132" i="18"/>
  <c r="L133" i="18"/>
  <c r="M133" i="18"/>
  <c r="L134" i="18"/>
  <c r="M134" i="18"/>
  <c r="L135" i="18"/>
  <c r="M135" i="18"/>
  <c r="L136" i="18"/>
  <c r="M136" i="18"/>
  <c r="L137" i="18"/>
  <c r="M137" i="18"/>
  <c r="L138" i="18"/>
  <c r="M138" i="18"/>
  <c r="L139" i="18"/>
  <c r="M139" i="18"/>
  <c r="L140" i="18"/>
  <c r="M140" i="18"/>
  <c r="L141" i="18"/>
  <c r="M141" i="18"/>
  <c r="L142" i="18"/>
  <c r="M142" i="18"/>
  <c r="L143" i="18"/>
  <c r="M143" i="18"/>
  <c r="L144" i="18"/>
  <c r="M144" i="18"/>
  <c r="L145" i="18"/>
  <c r="M145" i="18"/>
  <c r="L146" i="18"/>
  <c r="M146" i="18"/>
  <c r="L147" i="18"/>
  <c r="M147" i="18"/>
  <c r="L148" i="18"/>
  <c r="M148" i="18"/>
  <c r="L149" i="18"/>
  <c r="M149" i="18"/>
  <c r="L150" i="18"/>
  <c r="M150" i="18"/>
  <c r="L151" i="18"/>
  <c r="M151" i="18"/>
  <c r="L152" i="18"/>
  <c r="M152" i="18"/>
  <c r="L153" i="18"/>
  <c r="M153" i="18"/>
  <c r="L154" i="18"/>
  <c r="M154" i="18"/>
  <c r="L155" i="18"/>
  <c r="M155" i="18"/>
  <c r="L156" i="18"/>
  <c r="M156" i="18"/>
  <c r="L157" i="18"/>
  <c r="M157" i="18"/>
  <c r="L158" i="18"/>
  <c r="M158" i="18"/>
  <c r="L159" i="18"/>
  <c r="M159" i="18"/>
  <c r="L160" i="18"/>
  <c r="M160" i="18"/>
  <c r="L161" i="18"/>
  <c r="M161" i="18"/>
  <c r="L162" i="18"/>
  <c r="M162" i="18"/>
  <c r="L163" i="18"/>
  <c r="M163" i="18"/>
  <c r="L164" i="18"/>
  <c r="M164" i="18"/>
  <c r="L165" i="18"/>
  <c r="M165" i="18"/>
  <c r="L166" i="18"/>
  <c r="M166" i="18"/>
  <c r="L167" i="18"/>
  <c r="M167" i="18"/>
  <c r="L168" i="18"/>
  <c r="M168" i="18"/>
  <c r="L169" i="18"/>
  <c r="M169" i="18"/>
  <c r="L170" i="18"/>
  <c r="M170" i="18"/>
  <c r="L171" i="18"/>
  <c r="M171" i="18"/>
  <c r="L172" i="18"/>
  <c r="M172" i="18"/>
  <c r="L173" i="18"/>
  <c r="M173" i="18"/>
  <c r="L174" i="18"/>
  <c r="M174" i="18"/>
  <c r="L175" i="18"/>
  <c r="M175" i="18"/>
  <c r="L176" i="18"/>
  <c r="M176" i="18"/>
  <c r="L177" i="18"/>
  <c r="M177" i="18"/>
  <c r="L178" i="18"/>
  <c r="M178" i="18"/>
  <c r="L179" i="18"/>
  <c r="M179" i="18"/>
  <c r="L180" i="18"/>
  <c r="M180" i="18"/>
  <c r="L181" i="18"/>
  <c r="M181" i="18"/>
  <c r="L182" i="18"/>
  <c r="M182" i="18"/>
  <c r="L183" i="18"/>
  <c r="M183" i="18"/>
  <c r="L184" i="18"/>
  <c r="M184" i="18"/>
  <c r="L185" i="18"/>
  <c r="M185" i="18"/>
  <c r="L186" i="18"/>
  <c r="M186" i="18"/>
  <c r="L187" i="18"/>
  <c r="M187" i="18"/>
  <c r="L188" i="18"/>
  <c r="M188" i="18"/>
  <c r="L189" i="18"/>
  <c r="M189" i="18"/>
  <c r="L190" i="18"/>
  <c r="M190" i="18"/>
  <c r="L191" i="18"/>
  <c r="M191" i="18"/>
  <c r="L192" i="18"/>
  <c r="M192" i="18"/>
  <c r="L193" i="18"/>
  <c r="M193" i="18"/>
  <c r="L194" i="18"/>
  <c r="M194" i="18"/>
  <c r="L195" i="18"/>
  <c r="M195" i="18"/>
  <c r="L196" i="18"/>
  <c r="M196" i="18"/>
  <c r="L197" i="18"/>
  <c r="M197" i="18"/>
  <c r="L198" i="18"/>
  <c r="M198" i="18"/>
  <c r="L199" i="18"/>
  <c r="M199" i="18"/>
  <c r="L200" i="18"/>
  <c r="M200" i="18"/>
  <c r="L201" i="18"/>
  <c r="M201" i="18"/>
  <c r="L202" i="18"/>
  <c r="M202" i="18"/>
  <c r="L203" i="18"/>
  <c r="M203" i="18"/>
  <c r="L204" i="18"/>
  <c r="M204" i="18"/>
  <c r="L205" i="18"/>
  <c r="M205" i="18"/>
  <c r="L206" i="18"/>
  <c r="M206" i="18"/>
  <c r="L207" i="18"/>
  <c r="M207" i="18"/>
  <c r="L208" i="18"/>
  <c r="M208" i="18"/>
  <c r="L209" i="18"/>
  <c r="M209" i="18"/>
  <c r="L210" i="18"/>
  <c r="M210" i="18"/>
  <c r="L211" i="18"/>
  <c r="M211" i="18"/>
  <c r="L212" i="18"/>
  <c r="M212" i="18"/>
  <c r="L213" i="18"/>
  <c r="M213" i="18"/>
  <c r="L214" i="18"/>
  <c r="M214" i="18"/>
  <c r="L215" i="18"/>
  <c r="M215" i="18"/>
  <c r="L216" i="18"/>
  <c r="M216" i="18"/>
  <c r="L217" i="18"/>
  <c r="M217" i="18"/>
  <c r="L218" i="18"/>
  <c r="M218" i="18"/>
  <c r="L219" i="18"/>
  <c r="M219" i="18"/>
  <c r="L220" i="18"/>
  <c r="M220" i="18"/>
  <c r="L221" i="18"/>
  <c r="M221" i="18"/>
  <c r="L222" i="18"/>
  <c r="M222" i="18"/>
  <c r="L223" i="18"/>
  <c r="M223" i="18"/>
  <c r="L224" i="18"/>
  <c r="M224" i="18"/>
  <c r="L225" i="18"/>
  <c r="M225" i="18"/>
  <c r="L226" i="18"/>
  <c r="M226" i="18"/>
  <c r="L227" i="18"/>
  <c r="M227" i="18"/>
  <c r="L228" i="18"/>
  <c r="M228" i="18"/>
  <c r="L229" i="18"/>
  <c r="M229" i="18"/>
  <c r="L230" i="18"/>
  <c r="M230" i="18"/>
  <c r="L231" i="18"/>
  <c r="M231" i="18"/>
  <c r="L232" i="18"/>
  <c r="M232" i="18"/>
  <c r="L233" i="18"/>
  <c r="M233" i="18"/>
  <c r="L234" i="18"/>
  <c r="M234" i="18"/>
  <c r="L235" i="18"/>
  <c r="M235" i="18"/>
  <c r="L236" i="18"/>
  <c r="M236" i="18"/>
  <c r="L237" i="18"/>
  <c r="M237" i="18"/>
  <c r="L238" i="18"/>
  <c r="M238" i="18"/>
  <c r="L239" i="18"/>
  <c r="M239" i="18"/>
  <c r="L240" i="18"/>
  <c r="M240" i="18"/>
  <c r="L241" i="18"/>
  <c r="M241" i="18"/>
  <c r="L242" i="18"/>
  <c r="M242" i="18"/>
  <c r="L243" i="18"/>
  <c r="M243" i="18"/>
  <c r="L244" i="18"/>
  <c r="M244" i="18"/>
  <c r="L245" i="18"/>
  <c r="M245" i="18"/>
  <c r="L246" i="18"/>
  <c r="M246" i="18"/>
  <c r="L247" i="18"/>
  <c r="M247" i="18"/>
  <c r="L248" i="18"/>
  <c r="M248" i="18"/>
  <c r="L249" i="18"/>
  <c r="M249" i="18"/>
  <c r="L250" i="18"/>
  <c r="M250" i="18"/>
  <c r="L251" i="18"/>
  <c r="M251" i="18"/>
  <c r="L252" i="18"/>
  <c r="M252" i="18"/>
  <c r="L253" i="18"/>
  <c r="M253" i="18"/>
  <c r="L254" i="18"/>
  <c r="M254" i="18"/>
  <c r="L255" i="18"/>
  <c r="M255" i="18"/>
  <c r="L256" i="18"/>
  <c r="M256" i="18"/>
  <c r="L257" i="18"/>
  <c r="M257" i="18"/>
  <c r="L258" i="18"/>
  <c r="M258" i="18"/>
  <c r="L259" i="18"/>
  <c r="M259" i="18"/>
  <c r="L260" i="18"/>
  <c r="M260" i="18"/>
  <c r="L261" i="18"/>
  <c r="M261" i="18"/>
  <c r="L262" i="18"/>
  <c r="M262" i="18"/>
  <c r="L263" i="18"/>
  <c r="M263" i="18"/>
  <c r="L264" i="18"/>
  <c r="M264" i="18"/>
  <c r="L265" i="18"/>
  <c r="M265" i="18"/>
  <c r="L266" i="18"/>
  <c r="M266" i="18"/>
  <c r="L267" i="18"/>
  <c r="M267" i="18"/>
  <c r="L268" i="18"/>
  <c r="M268" i="18"/>
  <c r="L269" i="18"/>
  <c r="M269" i="18"/>
  <c r="L270" i="18"/>
  <c r="M270" i="18"/>
  <c r="L271" i="18"/>
  <c r="M271" i="18"/>
  <c r="L272" i="18"/>
  <c r="M272" i="18"/>
  <c r="L273" i="18"/>
  <c r="M273" i="18"/>
  <c r="L274" i="18"/>
  <c r="M274" i="18"/>
  <c r="L275" i="18"/>
  <c r="M275" i="18"/>
  <c r="L276" i="18"/>
  <c r="M276" i="18"/>
  <c r="L277" i="18"/>
  <c r="M277" i="18"/>
  <c r="L278" i="18"/>
  <c r="M278" i="18"/>
  <c r="L279" i="18"/>
  <c r="M279" i="18"/>
  <c r="L280" i="18"/>
  <c r="M280" i="18"/>
  <c r="L281" i="18"/>
  <c r="M281" i="18"/>
  <c r="L282" i="18"/>
  <c r="M282" i="18"/>
  <c r="L283" i="18"/>
  <c r="M283" i="18"/>
  <c r="L284" i="18"/>
  <c r="M284" i="18"/>
  <c r="L285" i="18"/>
  <c r="M285" i="18"/>
  <c r="L286" i="18"/>
  <c r="M286" i="18"/>
  <c r="L287" i="18"/>
  <c r="M287" i="18"/>
  <c r="L288" i="18"/>
  <c r="M288" i="18"/>
  <c r="L289" i="18"/>
  <c r="M289" i="18"/>
  <c r="L290" i="18"/>
  <c r="M290" i="18"/>
  <c r="L291" i="18"/>
  <c r="M291" i="18"/>
  <c r="L292" i="18"/>
  <c r="M292" i="18"/>
  <c r="L293" i="18"/>
  <c r="M293" i="18"/>
  <c r="L294" i="18"/>
  <c r="M294" i="18"/>
  <c r="L295" i="18"/>
  <c r="M295" i="18"/>
  <c r="L296" i="18"/>
  <c r="M296" i="18"/>
  <c r="L297" i="18"/>
  <c r="M297" i="18"/>
  <c r="L298" i="18"/>
  <c r="M298" i="18"/>
  <c r="L299" i="18"/>
  <c r="M299" i="18"/>
  <c r="L300" i="18"/>
  <c r="M300" i="18"/>
  <c r="L301" i="18"/>
  <c r="M301" i="18"/>
  <c r="L302" i="18"/>
  <c r="M302" i="18"/>
  <c r="L303" i="18"/>
  <c r="M303" i="18"/>
  <c r="L304" i="18"/>
  <c r="M304" i="18"/>
  <c r="L305" i="18"/>
  <c r="M305" i="18"/>
  <c r="L306" i="18"/>
  <c r="M306" i="18"/>
  <c r="L307" i="18"/>
  <c r="M307" i="18"/>
  <c r="L308" i="18"/>
  <c r="M308" i="18"/>
  <c r="L309" i="18"/>
  <c r="M309" i="18"/>
  <c r="L310" i="18"/>
  <c r="M310" i="18"/>
  <c r="L311" i="18"/>
  <c r="M311" i="18"/>
  <c r="L312" i="18"/>
  <c r="M312" i="18"/>
  <c r="L313" i="18"/>
  <c r="M313" i="18"/>
  <c r="L314" i="18"/>
  <c r="M314" i="18"/>
  <c r="L315" i="18"/>
  <c r="M315" i="18"/>
  <c r="L316" i="18"/>
  <c r="M316" i="18"/>
  <c r="L317" i="18"/>
  <c r="M317" i="18"/>
  <c r="L318" i="18"/>
  <c r="M318" i="18"/>
  <c r="L319" i="18"/>
  <c r="M319" i="18"/>
  <c r="L320" i="18"/>
  <c r="M320" i="18"/>
  <c r="L321" i="18"/>
  <c r="M321" i="18"/>
  <c r="L322" i="18"/>
  <c r="M322" i="18"/>
  <c r="L323" i="18"/>
  <c r="M323" i="18"/>
  <c r="L324" i="18"/>
  <c r="M324" i="18"/>
  <c r="L325" i="18"/>
  <c r="M325" i="18"/>
  <c r="L326" i="18"/>
  <c r="M326" i="18"/>
  <c r="L327" i="18"/>
  <c r="M327" i="18"/>
  <c r="L328" i="18"/>
  <c r="M328" i="18"/>
  <c r="L329" i="18"/>
  <c r="M329" i="18"/>
  <c r="L330" i="18"/>
  <c r="M330" i="18"/>
  <c r="L331" i="18"/>
  <c r="M331" i="18"/>
  <c r="L332" i="18"/>
  <c r="M332" i="18"/>
  <c r="L333" i="18"/>
  <c r="M333" i="18"/>
  <c r="L334" i="18"/>
  <c r="M334" i="18"/>
  <c r="L335" i="18"/>
  <c r="M335" i="18"/>
  <c r="L336" i="18"/>
  <c r="M336" i="18"/>
  <c r="L337" i="18"/>
  <c r="M337" i="18"/>
  <c r="L338" i="18"/>
  <c r="M338" i="18"/>
  <c r="L339" i="18"/>
  <c r="M339" i="18"/>
  <c r="L340" i="18"/>
  <c r="M340" i="18"/>
  <c r="L341" i="18"/>
  <c r="M341" i="18"/>
  <c r="L342" i="18"/>
  <c r="M342" i="18"/>
  <c r="L343" i="18"/>
  <c r="M343" i="18"/>
  <c r="L344" i="18"/>
  <c r="M344" i="18"/>
  <c r="L345" i="18"/>
  <c r="M345" i="18"/>
  <c r="L346" i="18"/>
  <c r="M346" i="18"/>
  <c r="L347" i="18"/>
  <c r="M347" i="18"/>
  <c r="L348" i="18"/>
  <c r="M348" i="18"/>
  <c r="L349" i="18"/>
  <c r="M349" i="18"/>
  <c r="L350" i="18"/>
  <c r="M350" i="18"/>
  <c r="L351" i="18"/>
  <c r="M351" i="18"/>
  <c r="L352" i="18"/>
  <c r="M352" i="18"/>
  <c r="L353" i="18"/>
  <c r="M353" i="18"/>
  <c r="L354" i="18"/>
  <c r="M354" i="18"/>
  <c r="L355" i="18"/>
  <c r="M355" i="18"/>
  <c r="L356" i="18"/>
  <c r="M356" i="18"/>
  <c r="L357" i="18"/>
  <c r="M357" i="18"/>
  <c r="L358" i="18"/>
  <c r="M358" i="18"/>
  <c r="L359" i="18"/>
  <c r="M359" i="18"/>
  <c r="L360" i="18"/>
  <c r="M360" i="18"/>
  <c r="L361" i="18"/>
  <c r="M361" i="18"/>
  <c r="L362" i="18"/>
  <c r="M362" i="18"/>
  <c r="L363" i="18"/>
  <c r="M363" i="18"/>
  <c r="L364" i="18"/>
  <c r="M364" i="18"/>
  <c r="L365" i="18"/>
  <c r="M365" i="18"/>
  <c r="L366" i="18"/>
  <c r="M366" i="18"/>
  <c r="L367" i="18"/>
  <c r="M367" i="18"/>
  <c r="L368" i="18"/>
  <c r="M368" i="18"/>
  <c r="L369" i="18"/>
  <c r="M369" i="18"/>
  <c r="L370" i="18"/>
  <c r="M370" i="18"/>
  <c r="L371" i="18"/>
  <c r="M371" i="18"/>
  <c r="L372" i="18"/>
  <c r="M372" i="18"/>
  <c r="L373" i="18"/>
  <c r="M373" i="18"/>
  <c r="L374" i="18"/>
  <c r="M374" i="18"/>
  <c r="L375" i="18"/>
  <c r="M375" i="18"/>
  <c r="L376" i="18"/>
  <c r="M376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21" i="18"/>
  <c r="L21" i="18" s="1"/>
  <c r="B11" i="18"/>
  <c r="L11" i="18" s="1"/>
  <c r="B10" i="18"/>
  <c r="M10" i="18" s="1"/>
  <c r="B12" i="18"/>
  <c r="B13" i="18"/>
  <c r="L13" i="18" s="1"/>
  <c r="B14" i="18"/>
  <c r="B15" i="18"/>
  <c r="B16" i="18"/>
  <c r="B17" i="18"/>
  <c r="L17" i="18" s="1"/>
  <c r="B18" i="18"/>
  <c r="B19" i="18"/>
  <c r="B20" i="18"/>
  <c r="M20" i="18"/>
  <c r="M19" i="18"/>
  <c r="L19" i="18"/>
  <c r="M18" i="18"/>
  <c r="M16" i="18"/>
  <c r="L15" i="18"/>
  <c r="M14" i="18"/>
  <c r="K12" i="18"/>
  <c r="K13" i="18" s="1"/>
  <c r="K14" i="18" s="1"/>
  <c r="K15" i="18" s="1"/>
  <c r="K16" i="18" s="1"/>
  <c r="K17" i="18" s="1"/>
  <c r="K18" i="18" s="1"/>
  <c r="K19" i="18" s="1"/>
  <c r="K20" i="18" s="1"/>
  <c r="K21" i="18" s="1"/>
  <c r="M12" i="18"/>
  <c r="K11" i="18"/>
  <c r="J11" i="18"/>
  <c r="J12" i="18" s="1"/>
  <c r="J13" i="18" s="1"/>
  <c r="J14" i="18" s="1"/>
  <c r="J15" i="18" s="1"/>
  <c r="J16" i="18" s="1"/>
  <c r="J17" i="18" s="1"/>
  <c r="J18" i="18" s="1"/>
  <c r="J19" i="18" s="1"/>
  <c r="J20" i="18" s="1"/>
  <c r="J21" i="18" s="1"/>
  <c r="I11" i="18"/>
  <c r="I12" i="18" s="1"/>
  <c r="I13" i="18" s="1"/>
  <c r="I14" i="18" s="1"/>
  <c r="I15" i="18" s="1"/>
  <c r="I16" i="18" s="1"/>
  <c r="I17" i="18" s="1"/>
  <c r="I18" i="18" s="1"/>
  <c r="I19" i="18" s="1"/>
  <c r="I20" i="18" s="1"/>
  <c r="I21" i="18" s="1"/>
  <c r="H11" i="14"/>
  <c r="H12" i="14"/>
  <c r="H13" i="14"/>
  <c r="H14" i="14"/>
  <c r="H15" i="14"/>
  <c r="H16" i="14"/>
  <c r="H17" i="14"/>
  <c r="H18" i="14"/>
  <c r="H19" i="14"/>
  <c r="H20" i="14"/>
  <c r="H21" i="14"/>
  <c r="H10" i="14"/>
  <c r="G11" i="13"/>
  <c r="G12" i="13"/>
  <c r="G13" i="13"/>
  <c r="G14" i="13"/>
  <c r="G15" i="13"/>
  <c r="G16" i="13"/>
  <c r="G17" i="13"/>
  <c r="G18" i="13"/>
  <c r="G19" i="13"/>
  <c r="G20" i="13"/>
  <c r="G21" i="13"/>
  <c r="G10" i="13"/>
  <c r="F11" i="12"/>
  <c r="F12" i="12"/>
  <c r="F13" i="12"/>
  <c r="F14" i="12"/>
  <c r="F15" i="12"/>
  <c r="F16" i="12"/>
  <c r="F17" i="12"/>
  <c r="F18" i="12"/>
  <c r="F19" i="12"/>
  <c r="F20" i="12"/>
  <c r="F21" i="12"/>
  <c r="F10" i="12"/>
  <c r="H11" i="11"/>
  <c r="H12" i="11"/>
  <c r="H13" i="11"/>
  <c r="H14" i="11"/>
  <c r="H15" i="11"/>
  <c r="H16" i="11"/>
  <c r="H17" i="11"/>
  <c r="H18" i="11"/>
  <c r="H19" i="11"/>
  <c r="H20" i="11"/>
  <c r="H21" i="11"/>
  <c r="H10" i="11"/>
  <c r="R6" i="1" l="1"/>
  <c r="L15" i="1"/>
  <c r="L14" i="1"/>
  <c r="L10" i="1"/>
  <c r="L12" i="1"/>
  <c r="L11" i="1"/>
  <c r="M17" i="18"/>
  <c r="M15" i="18"/>
  <c r="M13" i="18"/>
  <c r="M21" i="18"/>
  <c r="M11" i="18"/>
  <c r="L16" i="18"/>
  <c r="L18" i="18"/>
  <c r="L20" i="18"/>
  <c r="L10" i="18"/>
  <c r="L12" i="18"/>
  <c r="L14" i="18"/>
  <c r="G11" i="10"/>
  <c r="G12" i="10"/>
  <c r="G13" i="10"/>
  <c r="G14" i="10"/>
  <c r="G15" i="10"/>
  <c r="G16" i="10"/>
  <c r="G17" i="10"/>
  <c r="G18" i="10"/>
  <c r="G19" i="10"/>
  <c r="G20" i="10"/>
  <c r="G21" i="10"/>
  <c r="G10" i="10"/>
  <c r="F10" i="7"/>
  <c r="F11" i="7"/>
  <c r="F12" i="7"/>
  <c r="F13" i="7"/>
  <c r="F14" i="7"/>
  <c r="F15" i="7"/>
  <c r="F16" i="7"/>
  <c r="F17" i="7"/>
  <c r="F18" i="7"/>
  <c r="F19" i="7"/>
  <c r="F20" i="7"/>
  <c r="F21" i="7"/>
  <c r="B21" i="14" l="1"/>
  <c r="I21" i="14" s="1"/>
  <c r="B20" i="14"/>
  <c r="I20" i="14" s="1"/>
  <c r="I19" i="14"/>
  <c r="B19" i="14"/>
  <c r="B18" i="14"/>
  <c r="I18" i="14" s="1"/>
  <c r="B17" i="14"/>
  <c r="I17" i="14" s="1"/>
  <c r="B16" i="14"/>
  <c r="I16" i="14" s="1"/>
  <c r="I15" i="14"/>
  <c r="B15" i="14"/>
  <c r="B14" i="14"/>
  <c r="I14" i="14" s="1"/>
  <c r="G13" i="14"/>
  <c r="G14" i="14" s="1"/>
  <c r="G15" i="14" s="1"/>
  <c r="G16" i="14" s="1"/>
  <c r="G17" i="14" s="1"/>
  <c r="G18" i="14" s="1"/>
  <c r="G19" i="14" s="1"/>
  <c r="G20" i="14" s="1"/>
  <c r="G21" i="14" s="1"/>
  <c r="B13" i="14"/>
  <c r="I13" i="14" s="1"/>
  <c r="G12" i="14"/>
  <c r="B12" i="14"/>
  <c r="I12" i="14" s="1"/>
  <c r="I11" i="14"/>
  <c r="G11" i="14"/>
  <c r="B11" i="14"/>
  <c r="I10" i="14"/>
  <c r="B10" i="14"/>
  <c r="H21" i="13"/>
  <c r="B21" i="13"/>
  <c r="B20" i="13"/>
  <c r="H20" i="13" s="1"/>
  <c r="H19" i="13"/>
  <c r="B19" i="13"/>
  <c r="B18" i="13"/>
  <c r="H18" i="13" s="1"/>
  <c r="H17" i="13"/>
  <c r="B17" i="13"/>
  <c r="B16" i="13"/>
  <c r="H16" i="13" s="1"/>
  <c r="H15" i="13"/>
  <c r="B15" i="13"/>
  <c r="B14" i="13"/>
  <c r="H14" i="13" s="1"/>
  <c r="H13" i="13"/>
  <c r="B13" i="13"/>
  <c r="F12" i="13"/>
  <c r="F13" i="13" s="1"/>
  <c r="F14" i="13" s="1"/>
  <c r="F15" i="13" s="1"/>
  <c r="F16" i="13" s="1"/>
  <c r="F17" i="13" s="1"/>
  <c r="F18" i="13" s="1"/>
  <c r="F19" i="13" s="1"/>
  <c r="F20" i="13" s="1"/>
  <c r="F21" i="13" s="1"/>
  <c r="B12" i="13"/>
  <c r="H12" i="13" s="1"/>
  <c r="H11" i="13"/>
  <c r="F11" i="13"/>
  <c r="B11" i="13"/>
  <c r="B10" i="13"/>
  <c r="H10" i="13" s="1"/>
  <c r="B21" i="12"/>
  <c r="G21" i="12" s="1"/>
  <c r="B20" i="12"/>
  <c r="G20" i="12" s="1"/>
  <c r="B19" i="12"/>
  <c r="G19" i="12" s="1"/>
  <c r="B18" i="12"/>
  <c r="B17" i="12"/>
  <c r="G17" i="12" s="1"/>
  <c r="B16" i="12"/>
  <c r="G16" i="12" s="1"/>
  <c r="G15" i="12"/>
  <c r="B15" i="12"/>
  <c r="G14" i="12"/>
  <c r="B14" i="12"/>
  <c r="B13" i="12"/>
  <c r="G13" i="12" s="1"/>
  <c r="E12" i="12"/>
  <c r="E13" i="12" s="1"/>
  <c r="E14" i="12" s="1"/>
  <c r="E15" i="12" s="1"/>
  <c r="E16" i="12" s="1"/>
  <c r="E17" i="12" s="1"/>
  <c r="E18" i="12" s="1"/>
  <c r="E19" i="12" s="1"/>
  <c r="E20" i="12" s="1"/>
  <c r="E21" i="12" s="1"/>
  <c r="B12" i="12"/>
  <c r="G12" i="12" s="1"/>
  <c r="G11" i="12"/>
  <c r="E11" i="12"/>
  <c r="B11" i="12"/>
  <c r="G10" i="12"/>
  <c r="B10" i="12"/>
  <c r="G18" i="12" l="1"/>
  <c r="B21" i="11"/>
  <c r="I21" i="11" s="1"/>
  <c r="I20" i="11"/>
  <c r="B20" i="11"/>
  <c r="I19" i="11"/>
  <c r="B19" i="11"/>
  <c r="B18" i="11"/>
  <c r="I18" i="11" s="1"/>
  <c r="B17" i="11"/>
  <c r="I17" i="11" s="1"/>
  <c r="I16" i="11"/>
  <c r="B16" i="11"/>
  <c r="I15" i="11"/>
  <c r="B15" i="11"/>
  <c r="B14" i="11"/>
  <c r="I14" i="11" s="1"/>
  <c r="G13" i="11"/>
  <c r="G14" i="11" s="1"/>
  <c r="G15" i="11" s="1"/>
  <c r="G16" i="11" s="1"/>
  <c r="G17" i="11" s="1"/>
  <c r="G18" i="11" s="1"/>
  <c r="G19" i="11" s="1"/>
  <c r="G20" i="11" s="1"/>
  <c r="G21" i="11" s="1"/>
  <c r="B13" i="11"/>
  <c r="I13" i="11" s="1"/>
  <c r="I12" i="11"/>
  <c r="G12" i="11"/>
  <c r="B12" i="11"/>
  <c r="I11" i="11"/>
  <c r="G11" i="11"/>
  <c r="B11" i="11"/>
  <c r="B10" i="11"/>
  <c r="I10" i="11" s="1"/>
  <c r="B21" i="10"/>
  <c r="H21" i="10" s="1"/>
  <c r="B20" i="10"/>
  <c r="H20" i="10" s="1"/>
  <c r="H19" i="10"/>
  <c r="B19" i="10"/>
  <c r="B18" i="10"/>
  <c r="H18" i="10" s="1"/>
  <c r="B17" i="10"/>
  <c r="H17" i="10" s="1"/>
  <c r="B16" i="10"/>
  <c r="H16" i="10" s="1"/>
  <c r="H15" i="10"/>
  <c r="B15" i="10"/>
  <c r="B14" i="10"/>
  <c r="H14" i="10" s="1"/>
  <c r="F13" i="10"/>
  <c r="F14" i="10" s="1"/>
  <c r="F15" i="10" s="1"/>
  <c r="F16" i="10" s="1"/>
  <c r="F17" i="10" s="1"/>
  <c r="F18" i="10" s="1"/>
  <c r="F19" i="10" s="1"/>
  <c r="F20" i="10" s="1"/>
  <c r="F21" i="10" s="1"/>
  <c r="B13" i="10"/>
  <c r="H13" i="10" s="1"/>
  <c r="F12" i="10"/>
  <c r="B12" i="10"/>
  <c r="H12" i="10" s="1"/>
  <c r="H11" i="10"/>
  <c r="F11" i="10"/>
  <c r="B11" i="10"/>
  <c r="H10" i="10"/>
  <c r="B10" i="10"/>
  <c r="B21" i="7"/>
  <c r="G21" i="7" s="1"/>
  <c r="B20" i="7"/>
  <c r="G20" i="7" s="1"/>
  <c r="G19" i="7"/>
  <c r="B19" i="7"/>
  <c r="B18" i="7"/>
  <c r="G18" i="7" s="1"/>
  <c r="B17" i="7"/>
  <c r="B16" i="7"/>
  <c r="G16" i="7" s="1"/>
  <c r="B15" i="7"/>
  <c r="B14" i="7"/>
  <c r="G14" i="7" s="1"/>
  <c r="B13" i="7"/>
  <c r="B12" i="7"/>
  <c r="G12" i="7" s="1"/>
  <c r="E11" i="7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B11" i="7"/>
  <c r="B10" i="7"/>
  <c r="G10" i="7" s="1"/>
  <c r="G15" i="7" l="1"/>
  <c r="G11" i="7"/>
  <c r="G13" i="7"/>
  <c r="G17" i="7"/>
  <c r="M14" i="1" l="1"/>
  <c r="M13" i="1"/>
  <c r="M12" i="1"/>
  <c r="M11" i="1" l="1"/>
  <c r="M15" i="1"/>
</calcChain>
</file>

<file path=xl/sharedStrings.xml><?xml version="1.0" encoding="utf-8"?>
<sst xmlns="http://schemas.openxmlformats.org/spreadsheetml/2006/main" count="777" uniqueCount="79">
  <si>
    <t>Valuation date</t>
  </si>
  <si>
    <t>Gas burn efficiency:</t>
  </si>
  <si>
    <t>Tons of CO2 per MWh power produced:</t>
  </si>
  <si>
    <t>Hours Peak</t>
  </si>
  <si>
    <t>Peak</t>
  </si>
  <si>
    <t>Hours Off-Peak (OP)</t>
  </si>
  <si>
    <t>OP</t>
  </si>
  <si>
    <t>Month-Year</t>
  </si>
  <si>
    <t>Exercise Date</t>
  </si>
  <si>
    <t>Base</t>
  </si>
  <si>
    <t>VOL POWER</t>
  </si>
  <si>
    <t>VOL "GAS + CO2"</t>
  </si>
  <si>
    <t>Correlation POWER vs "GAS + CO2"</t>
  </si>
  <si>
    <t>T</t>
  </si>
  <si>
    <t>Base EU/MWh</t>
  </si>
  <si>
    <t>Peak EU/MWh</t>
  </si>
  <si>
    <t>OP EU/MWh</t>
  </si>
  <si>
    <t>GAS EU/MWh</t>
  </si>
  <si>
    <t>CO2 EU/ton</t>
  </si>
  <si>
    <t>Num_Days</t>
  </si>
  <si>
    <t>Peak_OffPeak</t>
  </si>
  <si>
    <t>Capacity_Factor</t>
  </si>
  <si>
    <t>Interest_rate</t>
  </si>
  <si>
    <t>CallPut</t>
  </si>
  <si>
    <t>Hours Baseload</t>
  </si>
  <si>
    <t>FV</t>
  </si>
  <si>
    <t>Intrinsic</t>
  </si>
  <si>
    <t>Extrinsic</t>
  </si>
  <si>
    <t>Delta Pwr</t>
  </si>
  <si>
    <t>Vega Pwr</t>
  </si>
  <si>
    <t>Gamma Pwr</t>
  </si>
  <si>
    <t>Strike</t>
  </si>
  <si>
    <t>Collar_Cost</t>
  </si>
  <si>
    <t>Enhanced_Collar_Cost</t>
  </si>
  <si>
    <t>Gamma_Gas</t>
  </si>
  <si>
    <t>Gamma_Pwr</t>
  </si>
  <si>
    <t>Vega_Gas</t>
  </si>
  <si>
    <t>Vega_Pwr</t>
  </si>
  <si>
    <t>Delta_Gas</t>
  </si>
  <si>
    <t>Delta_Pwr</t>
  </si>
  <si>
    <t>Simulation</t>
  </si>
  <si>
    <t>Stress(-10%)</t>
  </si>
  <si>
    <t>Stress(+10%)</t>
  </si>
  <si>
    <t>Stress(+5%)</t>
  </si>
  <si>
    <t>Stress(-15%)</t>
  </si>
  <si>
    <t>Stress(+15%)</t>
  </si>
  <si>
    <t>Stress Test</t>
  </si>
  <si>
    <t>Shift Type</t>
  </si>
  <si>
    <t>Vols</t>
  </si>
  <si>
    <t>Prices</t>
  </si>
  <si>
    <t>Component VaR</t>
  </si>
  <si>
    <t>Strike_1</t>
  </si>
  <si>
    <t>Strike_2</t>
  </si>
  <si>
    <t>CallPut_1</t>
  </si>
  <si>
    <t>CallPut_2</t>
  </si>
  <si>
    <t>FV_1</t>
  </si>
  <si>
    <t>FV_2</t>
  </si>
  <si>
    <t>Intrinsic_1</t>
  </si>
  <si>
    <t>Intrinsic_2</t>
  </si>
  <si>
    <t>Extrinsic_1</t>
  </si>
  <si>
    <t>Extrinsic_2</t>
  </si>
  <si>
    <t>Delta_1</t>
  </si>
  <si>
    <t>Delta_2</t>
  </si>
  <si>
    <t>Vega_1</t>
  </si>
  <si>
    <t>Vega_2</t>
  </si>
  <si>
    <t>Gamma_1</t>
  </si>
  <si>
    <t>Gamma_2</t>
  </si>
  <si>
    <t>Strike_3</t>
  </si>
  <si>
    <t>CallPut_3</t>
  </si>
  <si>
    <t>FV_3</t>
  </si>
  <si>
    <t>Intrinsic_3</t>
  </si>
  <si>
    <t>Extrinsic_3</t>
  </si>
  <si>
    <t>Delta_3</t>
  </si>
  <si>
    <t>Vega_3</t>
  </si>
  <si>
    <t>Gamma_3</t>
  </si>
  <si>
    <t>Day-Month-Year</t>
  </si>
  <si>
    <t>Summary</t>
  </si>
  <si>
    <t>Q2-21</t>
  </si>
  <si>
    <t>Sum-21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</si>
</sst>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%"/>
    <numFmt numFmtId="165" formatCode="0.000"/>
    <numFmt numFmtId="166" formatCode="_-* #,##0.00\ _€_-;\-* #,##0.00\ _€_-;_-* &quot;-&quot;??\ _€_-;_-@_-"/>
    <numFmt numFmtId="167" formatCode="#,##0_ ;[Red]\-#,##0\ "/>
    <numFmt numFmtId="168" formatCode="#,##0.000_ ;[Red]\-#,##0.000\ "/>
    <numFmt numFmtId="169" formatCode="#,##0.00_ ;[Red]\-#,##0.00\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2" fillId="3" borderId="1" xfId="0" applyFont="1" applyFill="1" applyBorder="1"/>
    <xf numFmtId="14" fontId="0" fillId="2" borderId="2" xfId="0" applyNumberFormat="1" applyFill="1" applyBorder="1"/>
    <xf numFmtId="0" fontId="3" fillId="3" borderId="3" xfId="0" applyFont="1" applyFill="1" applyBorder="1"/>
    <xf numFmtId="0" fontId="3" fillId="3" borderId="4" xfId="0" applyFont="1" applyFill="1" applyBorder="1"/>
    <xf numFmtId="9" fontId="4" fillId="2" borderId="5" xfId="0" applyNumberFormat="1" applyFont="1" applyFill="1" applyBorder="1"/>
    <xf numFmtId="0" fontId="3" fillId="3" borderId="6" xfId="0" applyFont="1" applyFill="1" applyBorder="1"/>
    <xf numFmtId="0" fontId="3" fillId="3" borderId="0" xfId="0" applyFont="1" applyFill="1"/>
    <xf numFmtId="0" fontId="4" fillId="2" borderId="7" xfId="0" applyFont="1" applyFill="1" applyBorder="1"/>
    <xf numFmtId="15" fontId="0" fillId="2" borderId="0" xfId="0" applyNumberFormat="1" applyFill="1"/>
    <xf numFmtId="9" fontId="4" fillId="2" borderId="7" xfId="0" applyNumberFormat="1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9" fontId="4" fillId="2" borderId="10" xfId="0" applyNumberFormat="1" applyFont="1" applyFill="1" applyBorder="1"/>
    <xf numFmtId="0" fontId="2" fillId="2" borderId="0" xfId="0" applyFont="1" applyFill="1"/>
    <xf numFmtId="0" fontId="5" fillId="2" borderId="0" xfId="0" applyFont="1" applyFill="1"/>
    <xf numFmtId="0" fontId="2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7" fontId="0" fillId="2" borderId="0" xfId="0" applyNumberFormat="1" applyFill="1" applyAlignment="1">
      <alignment horizontal="left"/>
    </xf>
    <xf numFmtId="15" fontId="0" fillId="2" borderId="0" xfId="0" applyNumberFormat="1" applyFill="1" applyAlignment="1">
      <alignment horizontal="left"/>
    </xf>
    <xf numFmtId="43" fontId="0" fillId="2" borderId="0" xfId="1" applyFont="1" applyFill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6" fontId="0" fillId="2" borderId="0" xfId="0" applyNumberFormat="1" applyFill="1"/>
    <xf numFmtId="2" fontId="0" fillId="2" borderId="0" xfId="0" applyNumberFormat="1" applyFill="1" applyAlignment="1">
      <alignment horizontal="left"/>
    </xf>
    <xf numFmtId="0" fontId="2" fillId="3" borderId="0" xfId="0" applyFont="1" applyFill="1" applyAlignment="1">
      <alignment vertical="center"/>
    </xf>
    <xf numFmtId="0" fontId="6" fillId="3" borderId="0" xfId="0" applyFont="1" applyFill="1" applyAlignment="1">
      <alignment horizontal="center"/>
    </xf>
    <xf numFmtId="167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9" fontId="0" fillId="2" borderId="0" xfId="2" applyFont="1" applyFill="1" applyAlignment="1">
      <alignment horizontal="center"/>
    </xf>
    <xf numFmtId="9" fontId="0" fillId="2" borderId="0" xfId="2" applyFont="1" applyFill="1"/>
    <xf numFmtId="169" fontId="0" fillId="2" borderId="0" xfId="0" applyNumberFormat="1" applyFill="1"/>
    <xf numFmtId="0" fontId="2" fillId="3" borderId="1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43" fontId="0" fillId="2" borderId="11" xfId="1" applyFont="1" applyFill="1" applyBorder="1" applyAlignment="1">
      <alignment horizontal="center"/>
    </xf>
    <xf numFmtId="43" fontId="0" fillId="2" borderId="0" xfId="1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vertical="center"/>
    </xf>
    <xf numFmtId="0" fontId="2" fillId="3" borderId="12" xfId="0" applyFont="1" applyFill="1" applyBorder="1" applyAlignment="1">
      <alignment vertical="center" wrapText="1"/>
    </xf>
    <xf numFmtId="164" fontId="0" fillId="2" borderId="0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0" fontId="0" fillId="2" borderId="0" xfId="0" applyFill="1" applyBorder="1"/>
    <xf numFmtId="14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DAB6B-AA17-4E14-9B1D-8304597A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2</xdr:col>
      <xdr:colOff>537882</xdr:colOff>
      <xdr:row>1</xdr:row>
      <xdr:rowOff>164354</xdr:rowOff>
    </xdr:from>
    <xdr:to>
      <xdr:col>3</xdr:col>
      <xdr:colOff>986118</xdr:colOff>
      <xdr:row>4</xdr:row>
      <xdr:rowOff>68170</xdr:rowOff>
    </xdr:to>
    <xdr:sp macro="[0]!delete_results_power" textlink="">
      <xdr:nvSpPr>
        <xdr:cNvPr id="4" name="Rounded Rectangle 1">
          <a:extLst>
            <a:ext uri="{FF2B5EF4-FFF2-40B4-BE49-F238E27FC236}">
              <a16:creationId xmlns:a16="http://schemas.microsoft.com/office/drawing/2014/main" id="{FBC47EB7-0423-4B28-AFA3-2168F45E4451}"/>
            </a:ext>
          </a:extLst>
        </xdr:cNvPr>
        <xdr:cNvSpPr/>
      </xdr:nvSpPr>
      <xdr:spPr>
        <a:xfrm>
          <a:off x="2554941" y="672354"/>
          <a:ext cx="1456765" cy="47905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  <xdr:twoCellAnchor>
    <xdr:from>
      <xdr:col>4</xdr:col>
      <xdr:colOff>219635</xdr:colOff>
      <xdr:row>1</xdr:row>
      <xdr:rowOff>167342</xdr:rowOff>
    </xdr:from>
    <xdr:to>
      <xdr:col>5</xdr:col>
      <xdr:colOff>667871</xdr:colOff>
      <xdr:row>4</xdr:row>
      <xdr:rowOff>71158</xdr:rowOff>
    </xdr:to>
    <xdr:sp macro="[0]!Value_Black" textlink="">
      <xdr:nvSpPr>
        <xdr:cNvPr id="5" name="Rounded Rectangle 1">
          <a:extLst>
            <a:ext uri="{FF2B5EF4-FFF2-40B4-BE49-F238E27FC236}">
              <a16:creationId xmlns:a16="http://schemas.microsoft.com/office/drawing/2014/main" id="{B0C627B6-69EA-42CE-87E1-A0A0B74044B6}"/>
            </a:ext>
          </a:extLst>
        </xdr:cNvPr>
        <xdr:cNvSpPr/>
      </xdr:nvSpPr>
      <xdr:spPr>
        <a:xfrm>
          <a:off x="4253753" y="675342"/>
          <a:ext cx="1456765" cy="47905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526143</xdr:colOff>
      <xdr:row>5</xdr:row>
      <xdr:rowOff>9072</xdr:rowOff>
    </xdr:from>
    <xdr:to>
      <xdr:col>3</xdr:col>
      <xdr:colOff>974379</xdr:colOff>
      <xdr:row>7</xdr:row>
      <xdr:rowOff>112459</xdr:rowOff>
    </xdr:to>
    <xdr:sp macro="[0]!delete_results_power" textlink="">
      <xdr:nvSpPr>
        <xdr:cNvPr id="6" name="Rounded Rectangle 1">
          <a:extLst>
            <a:ext uri="{FF2B5EF4-FFF2-40B4-BE49-F238E27FC236}">
              <a16:creationId xmlns:a16="http://schemas.microsoft.com/office/drawing/2014/main" id="{2C9D12E9-A751-4922-91FE-72F3E3378E33}"/>
            </a:ext>
          </a:extLst>
        </xdr:cNvPr>
        <xdr:cNvSpPr/>
      </xdr:nvSpPr>
      <xdr:spPr>
        <a:xfrm>
          <a:off x="2540000" y="1279072"/>
          <a:ext cx="1455165" cy="47531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Run</a:t>
          </a:r>
          <a:r>
            <a:rPr lang="en-GB" sz="1200" baseline="0"/>
            <a:t> Stress Test</a:t>
          </a:r>
          <a:endParaRPr lang="en-GB" sz="1200"/>
        </a:p>
      </xdr:txBody>
    </xdr:sp>
    <xdr:clientData/>
  </xdr:twoCellAnchor>
  <xdr:twoCellAnchor>
    <xdr:from>
      <xdr:col>4</xdr:col>
      <xdr:colOff>215904</xdr:colOff>
      <xdr:row>4</xdr:row>
      <xdr:rowOff>188689</xdr:rowOff>
    </xdr:from>
    <xdr:to>
      <xdr:col>5</xdr:col>
      <xdr:colOff>664140</xdr:colOff>
      <xdr:row>7</xdr:row>
      <xdr:rowOff>101576</xdr:rowOff>
    </xdr:to>
    <xdr:sp macro="[0]!delete_results_power" textlink="">
      <xdr:nvSpPr>
        <xdr:cNvPr id="7" name="Rounded Rectangle 1">
          <a:extLst>
            <a:ext uri="{FF2B5EF4-FFF2-40B4-BE49-F238E27FC236}">
              <a16:creationId xmlns:a16="http://schemas.microsoft.com/office/drawing/2014/main" id="{B97E0C6E-76A8-4BE2-82A2-83476DB2BF39}"/>
            </a:ext>
          </a:extLst>
        </xdr:cNvPr>
        <xdr:cNvSpPr/>
      </xdr:nvSpPr>
      <xdr:spPr>
        <a:xfrm>
          <a:off x="4243618" y="1268189"/>
          <a:ext cx="1455165" cy="47531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CVaR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C27175-ABA6-40E0-AB90-8FF744B03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11</xdr:col>
      <xdr:colOff>190500</xdr:colOff>
      <xdr:row>0</xdr:row>
      <xdr:rowOff>139700</xdr:rowOff>
    </xdr:from>
    <xdr:to>
      <xdr:col>19</xdr:col>
      <xdr:colOff>476250</xdr:colOff>
      <xdr:row>7</xdr:row>
      <xdr:rowOff>120650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E4EA1EA-9558-4475-B0B3-DCD6DBEBAA69}"/>
            </a:ext>
          </a:extLst>
        </xdr:cNvPr>
        <xdr:cNvSpPr txBox="1"/>
      </xdr:nvSpPr>
      <xdr:spPr>
        <a:xfrm>
          <a:off x="11499850" y="139700"/>
          <a:ext cx="8020050" cy="161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 Case:</a:t>
          </a:r>
        </a:p>
        <a:p>
          <a:r>
            <a:rPr lang="fr-FR" sz="900"/>
            <a:t>-Consumer: Long call (higher strike), Short put (lower strike)</a:t>
          </a:r>
        </a:p>
        <a:p>
          <a:r>
            <a:rPr lang="fr-FR" sz="900"/>
            <a:t>-Structure Seller: Short call (higher strike), Long put (lower strike)</a:t>
          </a:r>
        </a:p>
        <a:p>
          <a:r>
            <a:rPr lang="fr-FR" sz="900"/>
            <a:t>cost of hedges (Consumer) = -Long Call Prem + Short Put Prem </a:t>
          </a:r>
        </a:p>
        <a:p>
          <a:r>
            <a:rPr lang="fr-FR" sz="900"/>
            <a:t>cost of hedges (Seller) = +Short Call Prem - Long Put Prem </a:t>
          </a:r>
        </a:p>
        <a:p>
          <a:endParaRPr lang="fr-FR" sz="900"/>
        </a:p>
        <a:p>
          <a:r>
            <a:rPr lang="fr-FR" sz="900"/>
            <a:t>Producer Case</a:t>
          </a:r>
        </a:p>
        <a:p>
          <a:r>
            <a:rPr lang="fr-FR" sz="900"/>
            <a:t>-Producer: Long put (lower strike), Short call (higher strike),</a:t>
          </a:r>
        </a:p>
        <a:p>
          <a:r>
            <a:rPr lang="fr-FR" sz="900"/>
            <a:t>-Structure Seller: Short put (lower strike), Long call (higher strike)</a:t>
          </a:r>
        </a:p>
        <a:p>
          <a:r>
            <a:rPr lang="fr-FR" sz="900"/>
            <a:t>cost of hedges (Producer) = -Long Put Prem + Short Call Prem</a:t>
          </a:r>
        </a:p>
        <a:p>
          <a:r>
            <a:rPr lang="fr-FR" sz="900"/>
            <a:t>cost of hedges (Seller) = +Short Put Prem - Long Call Prem</a:t>
          </a:r>
        </a:p>
        <a:p>
          <a:endParaRPr lang="fr-FR" sz="1100"/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436691</xdr:colOff>
      <xdr:row>4</xdr:row>
      <xdr:rowOff>100089</xdr:rowOff>
    </xdr:to>
    <xdr:sp macro="[0]!Value_Black_Collar" textlink="">
      <xdr:nvSpPr>
        <xdr:cNvPr id="5" name="Rounded Rectangle 1">
          <a:extLst>
            <a:ext uri="{FF2B5EF4-FFF2-40B4-BE49-F238E27FC236}">
              <a16:creationId xmlns:a16="http://schemas.microsoft.com/office/drawing/2014/main" id="{A5F82A61-CA8D-42DF-BB2E-ABE394529F91}"/>
            </a:ext>
          </a:extLst>
        </xdr:cNvPr>
        <xdr:cNvSpPr/>
      </xdr:nvSpPr>
      <xdr:spPr>
        <a:xfrm>
          <a:off x="5080000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371928</xdr:colOff>
      <xdr:row>2</xdr:row>
      <xdr:rowOff>0</xdr:rowOff>
    </xdr:from>
    <xdr:to>
      <xdr:col>4</xdr:col>
      <xdr:colOff>808619</xdr:colOff>
      <xdr:row>4</xdr:row>
      <xdr:rowOff>100089</xdr:rowOff>
    </xdr:to>
    <xdr:sp macro="[0]!delete_results_power_collar" textlink="">
      <xdr:nvSpPr>
        <xdr:cNvPr id="6" name="Rounded Rectangle 1">
          <a:extLst>
            <a:ext uri="{FF2B5EF4-FFF2-40B4-BE49-F238E27FC236}">
              <a16:creationId xmlns:a16="http://schemas.microsoft.com/office/drawing/2014/main" id="{3EBC1982-F81D-4F64-819F-21BCB1BECBCE}"/>
            </a:ext>
          </a:extLst>
        </xdr:cNvPr>
        <xdr:cNvSpPr/>
      </xdr:nvSpPr>
      <xdr:spPr>
        <a:xfrm>
          <a:off x="3392714" y="698500"/>
          <a:ext cx="1443619" cy="4720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3387E9-583E-4FE5-BDF3-6507964B5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12</xdr:col>
      <xdr:colOff>138545</xdr:colOff>
      <xdr:row>0</xdr:row>
      <xdr:rowOff>0</xdr:rowOff>
    </xdr:from>
    <xdr:to>
      <xdr:col>22</xdr:col>
      <xdr:colOff>353868</xdr:colOff>
      <xdr:row>7</xdr:row>
      <xdr:rowOff>165100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389E074-664B-4F85-A9AF-B42ECF3B5F35}"/>
            </a:ext>
          </a:extLst>
        </xdr:cNvPr>
        <xdr:cNvSpPr txBox="1"/>
      </xdr:nvSpPr>
      <xdr:spPr>
        <a:xfrm>
          <a:off x="12660745" y="0"/>
          <a:ext cx="7981373" cy="179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</a:t>
          </a:r>
          <a:r>
            <a:rPr lang="fr-FR" sz="900" baseline="0"/>
            <a:t> Case:</a:t>
          </a:r>
        </a:p>
        <a:p>
          <a:r>
            <a:rPr lang="fr-FR" sz="900" baseline="0"/>
            <a:t>-Consumer: Long call (higher strike), Short put (lower strike), Long put (even lower strike)</a:t>
          </a:r>
        </a:p>
        <a:p>
          <a:r>
            <a:rPr lang="fr-FR" sz="900" baseline="0"/>
            <a:t>-Structure Seller: Short call (higher strike), Long put (lower strike), Short put (even lower strike)</a:t>
          </a:r>
        </a:p>
        <a:p>
          <a:r>
            <a:rPr lang="fr-FR" sz="900" baseline="0"/>
            <a:t>cost of hedges (Consumer) = -Long Call Prem + Short Put Prem - Long Put Prem</a:t>
          </a:r>
        </a:p>
        <a:p>
          <a:r>
            <a:rPr lang="fr-FR" sz="900" baseline="0"/>
            <a:t>cost of hedges (Seller) = +Short Call Prem - Long Put Prem + Short Put Prem</a:t>
          </a:r>
        </a:p>
        <a:p>
          <a:endParaRPr lang="fr-FR" sz="900" baseline="0"/>
        </a:p>
        <a:p>
          <a:endParaRPr lang="fr-FR" sz="900" baseline="0"/>
        </a:p>
        <a:p>
          <a:r>
            <a:rPr lang="fr-FR" sz="900" baseline="0"/>
            <a:t>Producer Case</a:t>
          </a: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-Producer: Long put (lower strike), Short call (higher strike), Long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-Structure Seller: Short put (lower strike), Long call (higher strike), Short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(Producer) = -Long Put Prem + Short Call Prem - Long Call Prem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(Seller) = +Short Put Prem - Long Call Prem + Short Call Prem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357316</xdr:colOff>
      <xdr:row>4</xdr:row>
      <xdr:rowOff>100089</xdr:rowOff>
    </xdr:to>
    <xdr:sp macro="[0]!Value_Black_Enhanced" textlink="">
      <xdr:nvSpPr>
        <xdr:cNvPr id="4" name="Rounded Rectangle 1">
          <a:extLst>
            <a:ext uri="{FF2B5EF4-FFF2-40B4-BE49-F238E27FC236}">
              <a16:creationId xmlns:a16="http://schemas.microsoft.com/office/drawing/2014/main" id="{059DFC21-5D46-4109-96AB-67649155EE6E}"/>
            </a:ext>
          </a:extLst>
        </xdr:cNvPr>
        <xdr:cNvSpPr/>
      </xdr:nvSpPr>
      <xdr:spPr>
        <a:xfrm>
          <a:off x="5191125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436691</xdr:colOff>
      <xdr:row>4</xdr:row>
      <xdr:rowOff>100089</xdr:rowOff>
    </xdr:to>
    <xdr:sp macro="[0]!delete_results_power_enhanced" textlink="">
      <xdr:nvSpPr>
        <xdr:cNvPr id="5" name="Rounded Rectangle 1">
          <a:extLst>
            <a:ext uri="{FF2B5EF4-FFF2-40B4-BE49-F238E27FC236}">
              <a16:creationId xmlns:a16="http://schemas.microsoft.com/office/drawing/2014/main" id="{121A1541-BE4F-4282-94EA-FB7832CF66B3}"/>
            </a:ext>
          </a:extLst>
        </xdr:cNvPr>
        <xdr:cNvSpPr/>
      </xdr:nvSpPr>
      <xdr:spPr>
        <a:xfrm>
          <a:off x="3048000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5DEAAE-1CEA-4FE8-9D2C-367E22BE6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Asian" textlink="">
      <xdr:nvSpPr>
        <xdr:cNvPr id="3" name="Rounded Rectangle 1">
          <a:extLst>
            <a:ext uri="{FF2B5EF4-FFF2-40B4-BE49-F238E27FC236}">
              <a16:creationId xmlns:a16="http://schemas.microsoft.com/office/drawing/2014/main" id="{84407CE3-EAF0-45DF-A8B1-D193C142952C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242449</xdr:colOff>
      <xdr:row>2</xdr:row>
      <xdr:rowOff>0</xdr:rowOff>
    </xdr:from>
    <xdr:to>
      <xdr:col>3</xdr:col>
      <xdr:colOff>690685</xdr:colOff>
      <xdr:row>4</xdr:row>
      <xdr:rowOff>100089</xdr:rowOff>
    </xdr:to>
    <xdr:sp macro="[0]!delete_results_asian" textlink="">
      <xdr:nvSpPr>
        <xdr:cNvPr id="4" name="Rounded Rectangle 1">
          <a:extLst>
            <a:ext uri="{FF2B5EF4-FFF2-40B4-BE49-F238E27FC236}">
              <a16:creationId xmlns:a16="http://schemas.microsoft.com/office/drawing/2014/main" id="{9B173B7C-64EF-4942-A018-83488734C767}"/>
            </a:ext>
          </a:extLst>
        </xdr:cNvPr>
        <xdr:cNvSpPr/>
      </xdr:nvSpPr>
      <xdr:spPr>
        <a:xfrm>
          <a:off x="225135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F1096A-67FF-4283-8707-F68A21145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11</xdr:col>
      <xdr:colOff>190500</xdr:colOff>
      <xdr:row>0</xdr:row>
      <xdr:rowOff>139700</xdr:rowOff>
    </xdr:from>
    <xdr:to>
      <xdr:col>19</xdr:col>
      <xdr:colOff>476250</xdr:colOff>
      <xdr:row>7</xdr:row>
      <xdr:rowOff>120650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1D6C682-E24C-4440-87DE-E6BF9BE8B681}"/>
            </a:ext>
          </a:extLst>
        </xdr:cNvPr>
        <xdr:cNvSpPr txBox="1"/>
      </xdr:nvSpPr>
      <xdr:spPr>
        <a:xfrm>
          <a:off x="11499850" y="139700"/>
          <a:ext cx="8020050" cy="161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 Case:</a:t>
          </a:r>
        </a:p>
        <a:p>
          <a:r>
            <a:rPr lang="fr-FR" sz="900"/>
            <a:t>-Consumer: Long call (higher strike), Short put (lower strike)</a:t>
          </a:r>
        </a:p>
        <a:p>
          <a:r>
            <a:rPr lang="fr-FR" sz="900"/>
            <a:t>-Structure Seller: Short call (higher strike), Long put (lower strike)</a:t>
          </a:r>
        </a:p>
        <a:p>
          <a:r>
            <a:rPr lang="fr-FR" sz="900"/>
            <a:t>cost of hedges (Consumer) = -Long Call Prem + Short Put Prem </a:t>
          </a:r>
        </a:p>
        <a:p>
          <a:r>
            <a:rPr lang="fr-FR" sz="900"/>
            <a:t>cost of hedges (Seller) = +Short Call Prem - Long Put Prem </a:t>
          </a:r>
        </a:p>
        <a:p>
          <a:endParaRPr lang="fr-FR" sz="900"/>
        </a:p>
        <a:p>
          <a:r>
            <a:rPr lang="fr-FR" sz="900"/>
            <a:t>Producer Case</a:t>
          </a:r>
        </a:p>
        <a:p>
          <a:r>
            <a:rPr lang="fr-FR" sz="900"/>
            <a:t>-Producer: Long put (lower strike), Short call (higher strike),</a:t>
          </a:r>
        </a:p>
        <a:p>
          <a:r>
            <a:rPr lang="fr-FR" sz="900"/>
            <a:t>-Structure Seller: Short put (lower strike), Long call (higher strike)</a:t>
          </a:r>
        </a:p>
        <a:p>
          <a:r>
            <a:rPr lang="fr-FR" sz="900"/>
            <a:t>cost of hedges (Producer) = -Long Put Prem + Short Call Prem</a:t>
          </a:r>
        </a:p>
        <a:p>
          <a:r>
            <a:rPr lang="fr-FR" sz="900"/>
            <a:t>cost of hedges (Seller) = +Short Put Prem - Long Call Prem</a:t>
          </a:r>
        </a:p>
        <a:p>
          <a:endParaRPr lang="fr-FR" sz="1100"/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448237</xdr:colOff>
      <xdr:row>4</xdr:row>
      <xdr:rowOff>100089</xdr:rowOff>
    </xdr:to>
    <xdr:sp macro="[0]!Value_Asian_collar" textlink="">
      <xdr:nvSpPr>
        <xdr:cNvPr id="4" name="Rounded Rectangle 1">
          <a:extLst>
            <a:ext uri="{FF2B5EF4-FFF2-40B4-BE49-F238E27FC236}">
              <a16:creationId xmlns:a16="http://schemas.microsoft.com/office/drawing/2014/main" id="{F6A57255-9345-4AF9-B304-01BEBE21612D}"/>
            </a:ext>
          </a:extLst>
        </xdr:cNvPr>
        <xdr:cNvSpPr/>
      </xdr:nvSpPr>
      <xdr:spPr>
        <a:xfrm>
          <a:off x="5022273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448237</xdr:colOff>
      <xdr:row>4</xdr:row>
      <xdr:rowOff>100089</xdr:rowOff>
    </xdr:to>
    <xdr:sp macro="[0]!delete_results_asian_collar" textlink="">
      <xdr:nvSpPr>
        <xdr:cNvPr id="5" name="Rounded Rectangle 1">
          <a:extLst>
            <a:ext uri="{FF2B5EF4-FFF2-40B4-BE49-F238E27FC236}">
              <a16:creationId xmlns:a16="http://schemas.microsoft.com/office/drawing/2014/main" id="{7D9125F7-70F8-45FC-9278-D813748B9E28}"/>
            </a:ext>
          </a:extLst>
        </xdr:cNvPr>
        <xdr:cNvSpPr/>
      </xdr:nvSpPr>
      <xdr:spPr>
        <a:xfrm>
          <a:off x="3013364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6BB4D8-CF37-40C2-A4F1-D39C951F5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12</xdr:col>
      <xdr:colOff>138545</xdr:colOff>
      <xdr:row>0</xdr:row>
      <xdr:rowOff>0</xdr:rowOff>
    </xdr:from>
    <xdr:to>
      <xdr:col>22</xdr:col>
      <xdr:colOff>353868</xdr:colOff>
      <xdr:row>7</xdr:row>
      <xdr:rowOff>165100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F46CA6C-95E3-4896-B434-F79057C99FC5}"/>
            </a:ext>
          </a:extLst>
        </xdr:cNvPr>
        <xdr:cNvSpPr txBox="1"/>
      </xdr:nvSpPr>
      <xdr:spPr>
        <a:xfrm>
          <a:off x="12660745" y="0"/>
          <a:ext cx="7981373" cy="179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</a:t>
          </a:r>
          <a:r>
            <a:rPr lang="fr-FR" sz="900" baseline="0"/>
            <a:t> Case:</a:t>
          </a:r>
        </a:p>
        <a:p>
          <a:r>
            <a:rPr lang="fr-FR" sz="900" baseline="0"/>
            <a:t>-Consumer: Long call (higher strike), Short put (lower strike), Long put (even lower strike)</a:t>
          </a:r>
        </a:p>
        <a:p>
          <a:r>
            <a:rPr lang="fr-FR" sz="900" baseline="0"/>
            <a:t>-Structure Seller: Short call (higher strike), Long put (lower strike), Short put (even lower strike)</a:t>
          </a:r>
        </a:p>
        <a:p>
          <a:r>
            <a:rPr lang="fr-FR" sz="900" baseline="0"/>
            <a:t>cost of hedges (Consumer) = -Long Call Prem + Short Put Prem - Long Put Prem</a:t>
          </a:r>
        </a:p>
        <a:p>
          <a:r>
            <a:rPr lang="fr-FR" sz="900" baseline="0"/>
            <a:t>cost of hedges (Seller) = +Short Call Prem - Long Put Prem + Short Put Prem</a:t>
          </a:r>
        </a:p>
        <a:p>
          <a:endParaRPr lang="fr-FR" sz="900" baseline="0"/>
        </a:p>
        <a:p>
          <a:endParaRPr lang="fr-FR" sz="900" baseline="0"/>
        </a:p>
        <a:p>
          <a:r>
            <a:rPr lang="fr-FR" sz="900" baseline="0"/>
            <a:t>Producer Case</a:t>
          </a: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-Producer: Long put (lower strike), Short call (higher strike), Long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-Structure Seller: Short put (lower strike), Long call (higher strike), Short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(Producer) = -Long Put Prem + Short Call Prem - Long Call Prem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(Seller) = +Short Put Prem - Long Call Prem + Short Call Prem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448236</xdr:colOff>
      <xdr:row>4</xdr:row>
      <xdr:rowOff>100089</xdr:rowOff>
    </xdr:to>
    <xdr:sp macro="[0]!Value_Asian_Enhanced" textlink="">
      <xdr:nvSpPr>
        <xdr:cNvPr id="4" name="Rounded Rectangle 1">
          <a:extLst>
            <a:ext uri="{FF2B5EF4-FFF2-40B4-BE49-F238E27FC236}">
              <a16:creationId xmlns:a16="http://schemas.microsoft.com/office/drawing/2014/main" id="{F4800B11-3DDC-4A4C-9509-97021FC883C6}"/>
            </a:ext>
          </a:extLst>
        </xdr:cNvPr>
        <xdr:cNvSpPr/>
      </xdr:nvSpPr>
      <xdr:spPr>
        <a:xfrm>
          <a:off x="6234545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332782</xdr:colOff>
      <xdr:row>4</xdr:row>
      <xdr:rowOff>100089</xdr:rowOff>
    </xdr:to>
    <xdr:sp macro="[0]!delete_results_asian_enhanced" textlink="">
      <xdr:nvSpPr>
        <xdr:cNvPr id="5" name="Rounded Rectangle 1">
          <a:extLst>
            <a:ext uri="{FF2B5EF4-FFF2-40B4-BE49-F238E27FC236}">
              <a16:creationId xmlns:a16="http://schemas.microsoft.com/office/drawing/2014/main" id="{AD834451-AFFF-4E96-81CF-348B4B3DD775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AC11D4-1FC3-48BC-B5AD-28D5210C4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CleanSparkSpread" textlink="">
      <xdr:nvSpPr>
        <xdr:cNvPr id="3" name="Rounded Rectangle 1">
          <a:extLst>
            <a:ext uri="{FF2B5EF4-FFF2-40B4-BE49-F238E27FC236}">
              <a16:creationId xmlns:a16="http://schemas.microsoft.com/office/drawing/2014/main" id="{657522F4-DBB6-4252-9DAD-EE188C6934D2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196267</xdr:colOff>
      <xdr:row>2</xdr:row>
      <xdr:rowOff>0</xdr:rowOff>
    </xdr:from>
    <xdr:to>
      <xdr:col>3</xdr:col>
      <xdr:colOff>644503</xdr:colOff>
      <xdr:row>4</xdr:row>
      <xdr:rowOff>100089</xdr:rowOff>
    </xdr:to>
    <xdr:sp macro="[0]!delete_results_css" textlink="">
      <xdr:nvSpPr>
        <xdr:cNvPr id="4" name="Rounded Rectangle 1">
          <a:extLst>
            <a:ext uri="{FF2B5EF4-FFF2-40B4-BE49-F238E27FC236}">
              <a16:creationId xmlns:a16="http://schemas.microsoft.com/office/drawing/2014/main" id="{C18886C0-8DFF-4AAF-B3F7-82E458CE7C72}"/>
            </a:ext>
          </a:extLst>
        </xdr:cNvPr>
        <xdr:cNvSpPr/>
      </xdr:nvSpPr>
      <xdr:spPr>
        <a:xfrm>
          <a:off x="2205176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DF7511-5B32-46B5-A773-DA5A1B021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CSS_daily" textlink="">
      <xdr:nvSpPr>
        <xdr:cNvPr id="3" name="Rounded Rectangle 1">
          <a:extLst>
            <a:ext uri="{FF2B5EF4-FFF2-40B4-BE49-F238E27FC236}">
              <a16:creationId xmlns:a16="http://schemas.microsoft.com/office/drawing/2014/main" id="{30410D0A-BF38-4B38-A3E6-4BF49E3698BE}"/>
            </a:ext>
          </a:extLst>
        </xdr:cNvPr>
        <xdr:cNvSpPr/>
      </xdr:nvSpPr>
      <xdr:spPr>
        <a:xfrm>
          <a:off x="4038600" y="698500"/>
          <a:ext cx="1457886" cy="4747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196267</xdr:colOff>
      <xdr:row>2</xdr:row>
      <xdr:rowOff>0</xdr:rowOff>
    </xdr:from>
    <xdr:to>
      <xdr:col>3</xdr:col>
      <xdr:colOff>644503</xdr:colOff>
      <xdr:row>4</xdr:row>
      <xdr:rowOff>100089</xdr:rowOff>
    </xdr:to>
    <xdr:sp macro="[0]!delete_results_css_daily" textlink="">
      <xdr:nvSpPr>
        <xdr:cNvPr id="4" name="Rounded Rectangle 1">
          <a:extLst>
            <a:ext uri="{FF2B5EF4-FFF2-40B4-BE49-F238E27FC236}">
              <a16:creationId xmlns:a16="http://schemas.microsoft.com/office/drawing/2014/main" id="{ADA7141D-8706-46BB-8BA4-124ED2F44AD5}"/>
            </a:ext>
          </a:extLst>
        </xdr:cNvPr>
        <xdr:cNvSpPr/>
      </xdr:nvSpPr>
      <xdr:spPr>
        <a:xfrm>
          <a:off x="2215567" y="698500"/>
          <a:ext cx="1457886" cy="4747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FA54-57E1-49D6-BB07-C11EED4EDE4A}">
  <sheetPr codeName="Sheet7"/>
  <dimension ref="A2:A4"/>
  <sheetViews>
    <sheetView workbookViewId="0">
      <selection activeCell="K1" sqref="K1"/>
    </sheetView>
  </sheetViews>
  <sheetFormatPr defaultRowHeight="14.5" x14ac:dyDescent="0.35"/>
  <sheetData>
    <row r="2" spans="1:1" x14ac:dyDescent="0.35">
      <c r="A2" t="s">
        <v>47</v>
      </c>
    </row>
    <row r="3" spans="1:1" x14ac:dyDescent="0.35">
      <c r="A3" t="s">
        <v>49</v>
      </c>
    </row>
    <row r="4" spans="1:1" x14ac:dyDescent="0.35">
      <c r="A4" t="s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B8654-8F76-4847-B89B-B4A9938B940A}">
  <sheetPr codeName="Sheet8"/>
  <dimension ref="A1"/>
  <sheetViews>
    <sheetView workbookViewId="0">
      <selection activeCell="C15" sqref="C15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FEE1-D280-410D-B847-5225EF8C29A8}">
  <sheetPr codeName="Sheet1"/>
  <dimension ref="A1:X23"/>
  <sheetViews>
    <sheetView zoomScale="55" zoomScaleNormal="55" workbookViewId="0">
      <selection activeCell="E36" sqref="E36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7.36328125" style="1" bestFit="1" customWidth="1"/>
    <col min="12" max="12" width="10.7265625" style="1" bestFit="1" customWidth="1"/>
    <col min="13" max="13" width="13.81640625" style="1" bestFit="1" customWidth="1"/>
    <col min="14" max="14" width="15.453125" style="1" bestFit="1" customWidth="1"/>
    <col min="15" max="17" width="13.26953125" style="1" customWidth="1"/>
    <col min="18" max="24" width="15.54296875" style="1" customWidth="1"/>
    <col min="25" max="16384" width="8.7265625" style="1"/>
  </cols>
  <sheetData>
    <row r="1" spans="1:24" ht="40" customHeight="1" x14ac:dyDescent="0.35"/>
    <row r="2" spans="1:24" ht="15" thickBot="1" x14ac:dyDescent="0.4"/>
    <row r="3" spans="1:24" ht="15" thickBot="1" x14ac:dyDescent="0.4">
      <c r="A3" s="2" t="s">
        <v>0</v>
      </c>
      <c r="B3" s="3">
        <v>43811</v>
      </c>
      <c r="G3" s="4"/>
      <c r="H3" s="5"/>
      <c r="I3" s="5"/>
      <c r="J3" s="6"/>
    </row>
    <row r="4" spans="1:24" ht="15" thickBot="1" x14ac:dyDescent="0.4">
      <c r="G4" s="7"/>
      <c r="H4" s="8"/>
      <c r="I4" s="8"/>
      <c r="J4" s="9"/>
    </row>
    <row r="5" spans="1:24" ht="15" thickBot="1" x14ac:dyDescent="0.4">
      <c r="A5" s="2" t="s">
        <v>46</v>
      </c>
      <c r="B5" s="3" t="s">
        <v>49</v>
      </c>
      <c r="G5" s="7" t="s">
        <v>24</v>
      </c>
      <c r="H5" s="8"/>
      <c r="I5" s="8" t="s">
        <v>9</v>
      </c>
      <c r="J5" s="11">
        <v>1</v>
      </c>
    </row>
    <row r="6" spans="1:24" x14ac:dyDescent="0.35">
      <c r="B6" s="10"/>
      <c r="G6" s="7" t="s">
        <v>3</v>
      </c>
      <c r="H6" s="8"/>
      <c r="I6" s="8" t="s">
        <v>4</v>
      </c>
      <c r="J6" s="11">
        <v>0.35</v>
      </c>
    </row>
    <row r="7" spans="1:24" ht="15" thickBot="1" x14ac:dyDescent="0.4">
      <c r="G7" s="12" t="s">
        <v>5</v>
      </c>
      <c r="H7" s="13"/>
      <c r="I7" s="13" t="s">
        <v>6</v>
      </c>
      <c r="J7" s="14">
        <v>0.65</v>
      </c>
    </row>
    <row r="8" spans="1:2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24" ht="14.5" customHeight="1" x14ac:dyDescent="0.35">
      <c r="A9" s="26" t="s">
        <v>7</v>
      </c>
      <c r="B9" s="26" t="s">
        <v>8</v>
      </c>
      <c r="C9" s="33" t="s">
        <v>14</v>
      </c>
      <c r="D9" s="37" t="s">
        <v>31</v>
      </c>
      <c r="E9" s="38" t="s">
        <v>10</v>
      </c>
      <c r="F9" s="17" t="s">
        <v>13</v>
      </c>
      <c r="G9" s="27" t="s">
        <v>19</v>
      </c>
      <c r="H9" s="27" t="s">
        <v>20</v>
      </c>
      <c r="I9" s="27" t="s">
        <v>21</v>
      </c>
      <c r="J9" s="27" t="s">
        <v>22</v>
      </c>
      <c r="K9" s="27" t="s">
        <v>23</v>
      </c>
      <c r="L9" s="27" t="s">
        <v>25</v>
      </c>
      <c r="M9" s="27" t="s">
        <v>26</v>
      </c>
      <c r="N9" s="27" t="s">
        <v>27</v>
      </c>
      <c r="O9" s="27" t="s">
        <v>28</v>
      </c>
      <c r="P9" s="27" t="s">
        <v>29</v>
      </c>
      <c r="Q9" s="27" t="s">
        <v>30</v>
      </c>
      <c r="R9" s="27" t="s">
        <v>44</v>
      </c>
      <c r="S9" s="27" t="s">
        <v>41</v>
      </c>
      <c r="T9" s="27" t="s">
        <v>43</v>
      </c>
      <c r="U9" s="27" t="s">
        <v>43</v>
      </c>
      <c r="V9" s="27" t="s">
        <v>42</v>
      </c>
      <c r="W9" s="27" t="s">
        <v>45</v>
      </c>
      <c r="X9" s="27" t="s">
        <v>50</v>
      </c>
    </row>
    <row r="10" spans="1:24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0">
        <v>0.35</v>
      </c>
      <c r="F10" s="23">
        <f>(B10-$B$3)/365</f>
        <v>3.0136986301369864E-2</v>
      </c>
      <c r="G10" s="28">
        <f t="shared" ref="G10:G21" si="0">DAY(EOMONTH(B10,0))</f>
        <v>31</v>
      </c>
      <c r="H10" s="29" t="s">
        <v>9</v>
      </c>
      <c r="I10" s="30">
        <v>1</v>
      </c>
      <c r="J10" s="31">
        <v>0</v>
      </c>
      <c r="K10" s="1">
        <v>1</v>
      </c>
      <c r="L10" s="32">
        <v>0.30659208897466961</v>
      </c>
      <c r="M10" s="32">
        <v>-2.2000000000000028</v>
      </c>
      <c r="N10" s="32">
        <v>2.5065920889746724</v>
      </c>
      <c r="O10" s="32"/>
      <c r="P10" s="32"/>
      <c r="Q10" s="32"/>
      <c r="R10" s="32"/>
    </row>
    <row r="11" spans="1:24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0">
        <f>20%+(E10-20%)*0.95</f>
        <v>0.34249999999999997</v>
      </c>
      <c r="F11" s="23">
        <f>(B11-$B$3)/365</f>
        <v>0.11506849315068493</v>
      </c>
      <c r="G11" s="28">
        <f t="shared" si="0"/>
        <v>31</v>
      </c>
      <c r="H11" s="29" t="s">
        <v>9</v>
      </c>
      <c r="I11" s="30">
        <v>1</v>
      </c>
      <c r="J11" s="31">
        <v>0</v>
      </c>
      <c r="K11" s="1">
        <v>1</v>
      </c>
      <c r="L11" s="32">
        <v>2.4981571281570432</v>
      </c>
      <c r="M11" s="32">
        <v>0.75</v>
      </c>
      <c r="N11" s="32">
        <v>1.7481571281570432</v>
      </c>
      <c r="O11" s="32"/>
      <c r="P11" s="32"/>
      <c r="Q11" s="32"/>
      <c r="R11" s="32"/>
    </row>
    <row r="12" spans="1:24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0">
        <f t="shared" ref="E12:E21" si="2">20%+(E11-20%)*0.95</f>
        <v>0.33537499999999998</v>
      </c>
      <c r="F12" s="23">
        <f t="shared" ref="F12:F21" si="3">(B12-$B$3)/365</f>
        <v>0.19178082191780821</v>
      </c>
      <c r="G12" s="28">
        <f t="shared" si="0"/>
        <v>29</v>
      </c>
      <c r="H12" s="29" t="s">
        <v>9</v>
      </c>
      <c r="I12" s="30">
        <v>1</v>
      </c>
      <c r="J12" s="31">
        <v>0</v>
      </c>
      <c r="K12" s="1">
        <v>1</v>
      </c>
      <c r="L12" s="32">
        <v>1.2874771742439801</v>
      </c>
      <c r="M12" s="32">
        <v>-3.1000000000000014</v>
      </c>
      <c r="N12" s="32">
        <v>4.3874771742439815</v>
      </c>
      <c r="O12" s="32"/>
      <c r="P12" s="32"/>
      <c r="Q12" s="32"/>
      <c r="R12" s="32"/>
    </row>
    <row r="13" spans="1:24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0">
        <f t="shared" si="2"/>
        <v>0.32860624999999999</v>
      </c>
      <c r="F13" s="23">
        <f t="shared" si="3"/>
        <v>0.27945205479452057</v>
      </c>
      <c r="G13" s="28">
        <f t="shared" si="0"/>
        <v>31</v>
      </c>
      <c r="H13" s="29" t="s">
        <v>9</v>
      </c>
      <c r="I13" s="30">
        <v>1</v>
      </c>
      <c r="J13" s="31">
        <v>0</v>
      </c>
      <c r="K13" s="1">
        <v>1</v>
      </c>
      <c r="L13" s="32">
        <v>1.0226367095337494</v>
      </c>
      <c r="M13" s="32">
        <v>-5.25</v>
      </c>
      <c r="N13" s="32">
        <v>6.2726367095337494</v>
      </c>
      <c r="O13" s="32"/>
      <c r="P13" s="32"/>
      <c r="Q13" s="32"/>
      <c r="R13" s="32"/>
    </row>
    <row r="14" spans="1:24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0">
        <f t="shared" si="2"/>
        <v>0.32217593749999995</v>
      </c>
      <c r="F14" s="23">
        <f t="shared" si="3"/>
        <v>0.36164383561643837</v>
      </c>
      <c r="G14" s="28">
        <f t="shared" si="0"/>
        <v>30</v>
      </c>
      <c r="H14" s="29" t="s">
        <v>9</v>
      </c>
      <c r="I14" s="30">
        <v>1</v>
      </c>
      <c r="J14" s="31">
        <v>0</v>
      </c>
      <c r="K14" s="1">
        <v>1</v>
      </c>
      <c r="L14" s="32">
        <v>1.2904818593643768</v>
      </c>
      <c r="M14" s="32">
        <v>-5.25</v>
      </c>
      <c r="N14" s="32">
        <v>6.5404818593643768</v>
      </c>
      <c r="O14" s="32"/>
      <c r="P14" s="32"/>
      <c r="Q14" s="32"/>
      <c r="R14" s="32"/>
    </row>
    <row r="15" spans="1:24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0">
        <f>20%+(E14-20%)*0.95</f>
        <v>0.31606714062499996</v>
      </c>
      <c r="F15" s="23">
        <f t="shared" si="3"/>
        <v>0.44109589041095892</v>
      </c>
      <c r="G15" s="28">
        <f t="shared" si="0"/>
        <v>31</v>
      </c>
      <c r="H15" s="29" t="s">
        <v>9</v>
      </c>
      <c r="I15" s="30">
        <v>1</v>
      </c>
      <c r="J15" s="31">
        <v>0</v>
      </c>
      <c r="K15" s="1">
        <v>1</v>
      </c>
      <c r="L15" s="32">
        <v>1.5151422182784557</v>
      </c>
      <c r="M15" s="32">
        <v>-5.25</v>
      </c>
      <c r="N15" s="32">
        <v>6.7651422182784557</v>
      </c>
      <c r="O15" s="32"/>
      <c r="P15" s="32"/>
      <c r="Q15" s="32"/>
      <c r="R15" s="32"/>
    </row>
    <row r="16" spans="1:24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0">
        <f t="shared" si="2"/>
        <v>0.31026378359374995</v>
      </c>
      <c r="F16" s="23">
        <f t="shared" si="3"/>
        <v>0.52876712328767128</v>
      </c>
      <c r="G16" s="28">
        <f t="shared" si="0"/>
        <v>30</v>
      </c>
      <c r="H16" s="29" t="s">
        <v>9</v>
      </c>
      <c r="I16" s="30">
        <v>1</v>
      </c>
      <c r="J16" s="31">
        <v>0</v>
      </c>
      <c r="K16" s="1">
        <v>1</v>
      </c>
      <c r="L16" s="32">
        <v>3.0781758184662245</v>
      </c>
      <c r="M16" s="32">
        <v>-1.8999999999999986</v>
      </c>
      <c r="N16" s="32">
        <v>4.978175818466223</v>
      </c>
      <c r="O16" s="32"/>
      <c r="P16" s="32"/>
      <c r="Q16" s="32"/>
      <c r="R16" s="32"/>
    </row>
    <row r="17" spans="1:18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0">
        <f t="shared" si="2"/>
        <v>0.30475059441406244</v>
      </c>
      <c r="F17" s="23">
        <f t="shared" si="3"/>
        <v>0.61369863013698633</v>
      </c>
      <c r="G17" s="28">
        <f t="shared" si="0"/>
        <v>31</v>
      </c>
      <c r="H17" s="29" t="s">
        <v>9</v>
      </c>
      <c r="I17" s="30">
        <v>1</v>
      </c>
      <c r="J17" s="31">
        <v>0</v>
      </c>
      <c r="K17" s="1">
        <v>1</v>
      </c>
      <c r="L17" s="32">
        <v>3.3033139746544222</v>
      </c>
      <c r="M17" s="32">
        <v>-1.8999999999999986</v>
      </c>
      <c r="N17" s="32">
        <v>5.2033139746544208</v>
      </c>
      <c r="O17" s="32"/>
      <c r="P17" s="32"/>
      <c r="Q17" s="32"/>
      <c r="R17" s="32"/>
    </row>
    <row r="18" spans="1:18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0">
        <f t="shared" si="2"/>
        <v>0.29951306469335931</v>
      </c>
      <c r="F18" s="23">
        <f t="shared" si="3"/>
        <v>0.69315068493150689</v>
      </c>
      <c r="G18" s="28">
        <f t="shared" si="0"/>
        <v>31</v>
      </c>
      <c r="H18" s="29" t="s">
        <v>9</v>
      </c>
      <c r="I18" s="30">
        <v>1</v>
      </c>
      <c r="J18" s="31">
        <v>0</v>
      </c>
      <c r="K18" s="1">
        <v>1</v>
      </c>
      <c r="L18" s="32">
        <v>3.4857001904894105</v>
      </c>
      <c r="M18" s="32">
        <v>-1.8999999999999986</v>
      </c>
      <c r="N18" s="32">
        <v>5.3857001904894091</v>
      </c>
      <c r="O18" s="32"/>
      <c r="P18" s="32"/>
      <c r="Q18" s="32"/>
      <c r="R18" s="32"/>
    </row>
    <row r="19" spans="1:18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0">
        <f t="shared" si="2"/>
        <v>0.29453741145869133</v>
      </c>
      <c r="F19" s="23">
        <f t="shared" si="3"/>
        <v>0.78082191780821919</v>
      </c>
      <c r="G19" s="28">
        <f t="shared" si="0"/>
        <v>30</v>
      </c>
      <c r="H19" s="29" t="s">
        <v>9</v>
      </c>
      <c r="I19" s="30">
        <v>1</v>
      </c>
      <c r="J19" s="31">
        <v>0</v>
      </c>
      <c r="K19" s="1">
        <v>1</v>
      </c>
      <c r="L19" s="32">
        <v>6.9546666185615855</v>
      </c>
      <c r="M19" s="32">
        <v>3.75</v>
      </c>
      <c r="N19" s="32">
        <v>3.2046666185615855</v>
      </c>
      <c r="O19" s="32"/>
      <c r="P19" s="32"/>
      <c r="Q19" s="32"/>
      <c r="R19" s="32"/>
    </row>
    <row r="20" spans="1:18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0">
        <f t="shared" si="2"/>
        <v>0.28981054088575675</v>
      </c>
      <c r="F20" s="23">
        <f t="shared" si="3"/>
        <v>0.86301369863013699</v>
      </c>
      <c r="G20" s="28">
        <f t="shared" si="0"/>
        <v>31</v>
      </c>
      <c r="H20" s="29" t="s">
        <v>9</v>
      </c>
      <c r="I20" s="30">
        <v>1</v>
      </c>
      <c r="J20" s="31">
        <v>0</v>
      </c>
      <c r="K20" s="1">
        <v>1</v>
      </c>
      <c r="L20" s="32">
        <v>7.1132877769238547</v>
      </c>
      <c r="M20" s="32">
        <v>3.75</v>
      </c>
      <c r="N20" s="32">
        <v>3.3632877769238547</v>
      </c>
      <c r="O20" s="32"/>
      <c r="P20" s="32"/>
      <c r="Q20" s="32"/>
      <c r="R20" s="32"/>
    </row>
    <row r="21" spans="1:18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0">
        <f t="shared" si="2"/>
        <v>0.28532001384146888</v>
      </c>
      <c r="F21" s="23">
        <f t="shared" si="3"/>
        <v>0.94246575342465755</v>
      </c>
      <c r="G21" s="28">
        <f t="shared" si="0"/>
        <v>30</v>
      </c>
      <c r="H21" s="29" t="s">
        <v>9</v>
      </c>
      <c r="I21" s="30">
        <v>1</v>
      </c>
      <c r="J21" s="31">
        <v>0</v>
      </c>
      <c r="K21" s="1">
        <v>1</v>
      </c>
      <c r="L21" s="32">
        <v>7.2509163417181135</v>
      </c>
      <c r="M21" s="32">
        <v>3.75</v>
      </c>
      <c r="N21" s="32">
        <v>3.5009163417181135</v>
      </c>
      <c r="O21" s="32"/>
      <c r="P21" s="32"/>
      <c r="Q21" s="32"/>
      <c r="R21" s="32"/>
    </row>
    <row r="22" spans="1:18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43"/>
      <c r="M22" s="24"/>
      <c r="N22" s="25"/>
    </row>
    <row r="23" spans="1:18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H10:H21" xr:uid="{B679867A-5CFA-45F9-A6A3-07FB84D4FCE6}">
      <formula1>$I$5:$I$7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1ED810-E2C7-4158-97CC-C0B210720DCA}">
          <x14:formula1>
            <xm:f>Legend!$A$2:$A$4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B4E-ED9D-4519-BE5B-AC28374DB39C}">
  <sheetPr codeName="Sheet2"/>
  <dimension ref="A1:AG23"/>
  <sheetViews>
    <sheetView zoomScale="70" zoomScaleNormal="70" workbookViewId="0">
      <selection activeCell="Q9" sqref="Q9"/>
    </sheetView>
  </sheetViews>
  <sheetFormatPr defaultRowHeight="14.5" x14ac:dyDescent="0.35"/>
  <cols>
    <col min="1" max="7" width="14.453125" style="1" customWidth="1"/>
    <col min="8" max="11" width="15.1796875" style="1" customWidth="1"/>
    <col min="12" max="12" width="7.36328125" style="1" bestFit="1" customWidth="1"/>
    <col min="13" max="13" width="7.36328125" style="1" customWidth="1"/>
    <col min="14" max="14" width="10.7265625" style="1" bestFit="1" customWidth="1"/>
    <col min="15" max="15" width="10.7265625" style="1" customWidth="1"/>
    <col min="16" max="16" width="18.54296875" style="1" bestFit="1" customWidth="1"/>
    <col min="17" max="17" width="18.08984375" style="1" bestFit="1" customWidth="1"/>
    <col min="18" max="18" width="19.1796875" style="1" bestFit="1" customWidth="1"/>
    <col min="19" max="19" width="18.7265625" style="1" bestFit="1" customWidth="1"/>
    <col min="20" max="20" width="14.90625" style="1" bestFit="1" customWidth="1"/>
    <col min="21" max="21" width="14.453125" style="1" bestFit="1" customWidth="1"/>
    <col min="22" max="22" width="13.7265625" style="1" bestFit="1" customWidth="1"/>
    <col min="23" max="23" width="13.26953125" style="1" customWidth="1"/>
    <col min="24" max="24" width="17.81640625" style="1" bestFit="1" customWidth="1"/>
    <col min="25" max="25" width="17.36328125" style="1" bestFit="1" customWidth="1"/>
    <col min="26" max="26" width="14.453125" style="1" customWidth="1"/>
    <col min="27" max="27" width="10.6328125" style="1" bestFit="1" customWidth="1"/>
    <col min="28" max="28" width="12.1796875" style="1" bestFit="1" customWidth="1"/>
    <col min="29" max="29" width="11.81640625" style="1" customWidth="1"/>
    <col min="30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v>43811</v>
      </c>
      <c r="H3" s="4"/>
      <c r="I3" s="5"/>
      <c r="J3" s="5"/>
      <c r="K3" s="6"/>
    </row>
    <row r="4" spans="1:33" x14ac:dyDescent="0.35">
      <c r="H4" s="7"/>
      <c r="I4" s="8"/>
      <c r="J4" s="8"/>
      <c r="K4" s="9"/>
    </row>
    <row r="5" spans="1:33" x14ac:dyDescent="0.35">
      <c r="H5" s="7" t="s">
        <v>24</v>
      </c>
      <c r="I5" s="8"/>
      <c r="J5" s="8" t="s">
        <v>9</v>
      </c>
      <c r="K5" s="11">
        <v>1</v>
      </c>
    </row>
    <row r="6" spans="1:33" x14ac:dyDescent="0.35">
      <c r="B6" s="10"/>
      <c r="H6" s="7" t="s">
        <v>3</v>
      </c>
      <c r="I6" s="8"/>
      <c r="J6" s="8" t="s">
        <v>4</v>
      </c>
      <c r="K6" s="11">
        <v>0.35</v>
      </c>
    </row>
    <row r="7" spans="1:33" ht="15" thickBot="1" x14ac:dyDescent="0.4">
      <c r="H7" s="12" t="s">
        <v>5</v>
      </c>
      <c r="I7" s="13"/>
      <c r="J7" s="13" t="s">
        <v>6</v>
      </c>
      <c r="K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33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8" t="s">
        <v>10</v>
      </c>
      <c r="G9" s="17" t="s">
        <v>13</v>
      </c>
      <c r="H9" s="27" t="s">
        <v>19</v>
      </c>
      <c r="I9" s="27" t="s">
        <v>20</v>
      </c>
      <c r="J9" s="27" t="s">
        <v>21</v>
      </c>
      <c r="K9" s="27" t="s">
        <v>22</v>
      </c>
      <c r="L9" s="27" t="s">
        <v>53</v>
      </c>
      <c r="M9" s="27" t="s">
        <v>54</v>
      </c>
      <c r="N9" s="27" t="s">
        <v>55</v>
      </c>
      <c r="O9" s="27" t="s">
        <v>56</v>
      </c>
      <c r="P9" s="27" t="s">
        <v>57</v>
      </c>
      <c r="Q9" s="27" t="s">
        <v>58</v>
      </c>
      <c r="R9" s="27" t="s">
        <v>59</v>
      </c>
      <c r="S9" s="27" t="s">
        <v>60</v>
      </c>
      <c r="T9" s="27" t="s">
        <v>61</v>
      </c>
      <c r="U9" s="27" t="s">
        <v>62</v>
      </c>
      <c r="V9" s="27" t="s">
        <v>63</v>
      </c>
      <c r="W9" s="27" t="s">
        <v>64</v>
      </c>
      <c r="X9" s="27" t="s">
        <v>65</v>
      </c>
      <c r="Y9" s="27" t="s">
        <v>66</v>
      </c>
      <c r="Z9" s="27" t="s">
        <v>32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0">
        <v>0.35</v>
      </c>
      <c r="G10" s="23">
        <f>(B10-$B$3)/365</f>
        <v>3.0136986301369864E-2</v>
      </c>
      <c r="H10" s="28">
        <f t="shared" ref="H10:H21" si="0">DAY(EOMONTH(B10,0))</f>
        <v>31</v>
      </c>
      <c r="I10" s="29" t="s">
        <v>9</v>
      </c>
      <c r="J10" s="30">
        <v>1</v>
      </c>
      <c r="K10" s="31">
        <v>0</v>
      </c>
      <c r="L10" s="1">
        <v>1</v>
      </c>
      <c r="M10" s="1">
        <v>-1</v>
      </c>
      <c r="N10" s="32">
        <v>0.30659208897466961</v>
      </c>
      <c r="O10" s="32">
        <v>0.16789259319931293</v>
      </c>
      <c r="P10" s="32">
        <v>-2.2000000000000028</v>
      </c>
      <c r="Q10" s="32">
        <v>2.7999999999999972</v>
      </c>
      <c r="R10" s="32">
        <v>2.5065920889746724</v>
      </c>
      <c r="S10" s="32">
        <v>-2.6321074068006842</v>
      </c>
      <c r="T10" s="32"/>
      <c r="U10" s="32"/>
      <c r="V10" s="32"/>
      <c r="W10" s="32"/>
      <c r="X10" s="32"/>
      <c r="Y10" s="32"/>
      <c r="Z10" s="32"/>
    </row>
    <row r="11" spans="1:33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0">
        <f>20%+(F10-20%)*0.95</f>
        <v>0.34249999999999997</v>
      </c>
      <c r="G11" s="23">
        <f t="shared" ref="G11:G21" si="2">(B11-$B$3)/365</f>
        <v>0.11506849315068493</v>
      </c>
      <c r="H11" s="28">
        <f t="shared" si="0"/>
        <v>31</v>
      </c>
      <c r="I11" s="29" t="s">
        <v>9</v>
      </c>
      <c r="J11" s="30">
        <v>1</v>
      </c>
      <c r="K11" s="31">
        <v>0</v>
      </c>
      <c r="L11" s="1">
        <v>1</v>
      </c>
      <c r="M11" s="1">
        <v>-1</v>
      </c>
      <c r="N11" s="32">
        <v>2.4981571281570432</v>
      </c>
      <c r="O11" s="32">
        <v>0.30457507903773351</v>
      </c>
      <c r="P11" s="32">
        <v>0.75</v>
      </c>
      <c r="Q11" s="32">
        <v>5.75</v>
      </c>
      <c r="R11" s="32">
        <v>1.7481571281570432</v>
      </c>
      <c r="S11" s="32">
        <v>-5.4454249209622665</v>
      </c>
      <c r="T11" s="32"/>
      <c r="U11" s="32"/>
      <c r="V11" s="32"/>
      <c r="W11" s="32"/>
      <c r="X11" s="32"/>
      <c r="Y11" s="32"/>
      <c r="Z11" s="32"/>
    </row>
    <row r="12" spans="1:33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0">
        <f t="shared" ref="F12:F21" si="3">20%+(F11-20%)*0.95</f>
        <v>0.33537499999999998</v>
      </c>
      <c r="G12" s="23">
        <f t="shared" si="2"/>
        <v>0.19178082191780821</v>
      </c>
      <c r="H12" s="28">
        <f t="shared" si="0"/>
        <v>29</v>
      </c>
      <c r="I12" s="29" t="s">
        <v>9</v>
      </c>
      <c r="J12" s="30">
        <v>1</v>
      </c>
      <c r="K12" s="31">
        <v>0</v>
      </c>
      <c r="L12" s="1">
        <v>1</v>
      </c>
      <c r="M12" s="1">
        <v>-1</v>
      </c>
      <c r="N12" s="32">
        <v>1.2874771742439801</v>
      </c>
      <c r="O12" s="32">
        <v>1.5656545160049546</v>
      </c>
      <c r="P12" s="32">
        <v>-3.1000000000000014</v>
      </c>
      <c r="Q12" s="32">
        <v>1.8999999999999986</v>
      </c>
      <c r="R12" s="32">
        <v>4.3874771742439815</v>
      </c>
      <c r="S12" s="32">
        <v>-0.33434548399504394</v>
      </c>
      <c r="T12" s="32"/>
      <c r="U12" s="32"/>
      <c r="V12" s="32"/>
      <c r="W12" s="32"/>
      <c r="X12" s="32"/>
      <c r="Y12" s="32"/>
      <c r="Z12" s="32"/>
    </row>
    <row r="13" spans="1:33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0">
        <f t="shared" si="3"/>
        <v>0.32860624999999999</v>
      </c>
      <c r="G13" s="23">
        <f t="shared" si="2"/>
        <v>0.27945205479452057</v>
      </c>
      <c r="H13" s="28">
        <f t="shared" si="0"/>
        <v>31</v>
      </c>
      <c r="I13" s="29" t="s">
        <v>9</v>
      </c>
      <c r="J13" s="30">
        <v>1</v>
      </c>
      <c r="K13" s="31">
        <v>0</v>
      </c>
      <c r="L13" s="1">
        <v>1</v>
      </c>
      <c r="M13" s="1">
        <v>-1</v>
      </c>
      <c r="N13" s="32">
        <v>1.0226367095337494</v>
      </c>
      <c r="O13" s="32">
        <v>2.8866999331369065</v>
      </c>
      <c r="P13" s="32">
        <v>-5.25</v>
      </c>
      <c r="Q13" s="32">
        <v>-0.25</v>
      </c>
      <c r="R13" s="32">
        <v>6.2726367095337494</v>
      </c>
      <c r="S13" s="32">
        <v>3.1366999331369065</v>
      </c>
      <c r="T13" s="32"/>
      <c r="U13" s="32"/>
      <c r="V13" s="32"/>
      <c r="W13" s="32"/>
      <c r="X13" s="32"/>
      <c r="Y13" s="32"/>
      <c r="Z13" s="32"/>
    </row>
    <row r="14" spans="1:33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0">
        <f t="shared" si="3"/>
        <v>0.32217593749999995</v>
      </c>
      <c r="G14" s="23">
        <f t="shared" si="2"/>
        <v>0.36164383561643837</v>
      </c>
      <c r="H14" s="28">
        <f t="shared" si="0"/>
        <v>30</v>
      </c>
      <c r="I14" s="29" t="s">
        <v>9</v>
      </c>
      <c r="J14" s="30">
        <v>1</v>
      </c>
      <c r="K14" s="31">
        <v>0</v>
      </c>
      <c r="L14" s="1">
        <v>1</v>
      </c>
      <c r="M14" s="1">
        <v>-1</v>
      </c>
      <c r="N14" s="32">
        <v>1.2904818593643768</v>
      </c>
      <c r="O14" s="32">
        <v>3.203875676036489</v>
      </c>
      <c r="P14" s="32">
        <v>-5.25</v>
      </c>
      <c r="Q14" s="32">
        <v>-0.25</v>
      </c>
      <c r="R14" s="32">
        <v>6.5404818593643768</v>
      </c>
      <c r="S14" s="32">
        <v>3.453875676036489</v>
      </c>
      <c r="T14" s="32"/>
      <c r="U14" s="32"/>
      <c r="V14" s="32"/>
      <c r="W14" s="32"/>
      <c r="X14" s="32"/>
      <c r="Y14" s="32"/>
      <c r="Z14" s="32"/>
    </row>
    <row r="15" spans="1:33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0">
        <f>20%+(F14-20%)*0.95</f>
        <v>0.31606714062499996</v>
      </c>
      <c r="G15" s="23">
        <f t="shared" si="2"/>
        <v>0.44109589041095892</v>
      </c>
      <c r="H15" s="28">
        <f t="shared" si="0"/>
        <v>31</v>
      </c>
      <c r="I15" s="29" t="s">
        <v>9</v>
      </c>
      <c r="J15" s="30">
        <v>1</v>
      </c>
      <c r="K15" s="31">
        <v>0</v>
      </c>
      <c r="L15" s="1">
        <v>1</v>
      </c>
      <c r="M15" s="1">
        <v>-1</v>
      </c>
      <c r="N15" s="32">
        <v>1.5151422182784557</v>
      </c>
      <c r="O15" s="32">
        <v>3.4596692118041048</v>
      </c>
      <c r="P15" s="32">
        <v>-5.25</v>
      </c>
      <c r="Q15" s="32">
        <v>-0.25</v>
      </c>
      <c r="R15" s="32">
        <v>6.7651422182784557</v>
      </c>
      <c r="S15" s="32">
        <v>3.7096692118041048</v>
      </c>
      <c r="T15" s="32"/>
      <c r="U15" s="32"/>
      <c r="V15" s="32"/>
      <c r="W15" s="32"/>
      <c r="X15" s="32"/>
      <c r="Y15" s="32"/>
      <c r="Z15" s="32"/>
    </row>
    <row r="16" spans="1:33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0">
        <f t="shared" si="3"/>
        <v>0.31026378359374995</v>
      </c>
      <c r="G16" s="23">
        <f t="shared" si="2"/>
        <v>0.52876712328767128</v>
      </c>
      <c r="H16" s="28">
        <f t="shared" si="0"/>
        <v>30</v>
      </c>
      <c r="I16" s="29" t="s">
        <v>9</v>
      </c>
      <c r="J16" s="30">
        <v>1</v>
      </c>
      <c r="K16" s="31">
        <v>0</v>
      </c>
      <c r="L16" s="1">
        <v>1</v>
      </c>
      <c r="M16" s="1">
        <v>-1</v>
      </c>
      <c r="N16" s="32">
        <v>3.0781758184662245</v>
      </c>
      <c r="O16" s="32">
        <v>2.3832778107217063</v>
      </c>
      <c r="P16" s="32">
        <v>-1.8999999999999986</v>
      </c>
      <c r="Q16" s="32">
        <v>3.1000000000000014</v>
      </c>
      <c r="R16" s="32">
        <v>4.978175818466223</v>
      </c>
      <c r="S16" s="32">
        <v>-0.71672218927829512</v>
      </c>
      <c r="T16" s="32"/>
      <c r="U16" s="32"/>
      <c r="V16" s="32"/>
      <c r="W16" s="32"/>
      <c r="X16" s="32"/>
      <c r="Y16" s="32"/>
      <c r="Z16" s="32"/>
    </row>
    <row r="17" spans="1:26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0">
        <f t="shared" si="3"/>
        <v>0.30475059441406244</v>
      </c>
      <c r="G17" s="23">
        <f t="shared" si="2"/>
        <v>0.61369863013698633</v>
      </c>
      <c r="H17" s="28">
        <f t="shared" si="0"/>
        <v>31</v>
      </c>
      <c r="I17" s="29" t="s">
        <v>9</v>
      </c>
      <c r="J17" s="30">
        <v>1</v>
      </c>
      <c r="K17" s="31">
        <v>0</v>
      </c>
      <c r="L17" s="1">
        <v>1</v>
      </c>
      <c r="M17" s="1">
        <v>-1</v>
      </c>
      <c r="N17" s="32">
        <v>3.3033139746544222</v>
      </c>
      <c r="O17" s="32">
        <v>2.5883532991878813</v>
      </c>
      <c r="P17" s="32">
        <v>-1.8999999999999986</v>
      </c>
      <c r="Q17" s="32">
        <v>3.1000000000000014</v>
      </c>
      <c r="R17" s="32">
        <v>5.2033139746544208</v>
      </c>
      <c r="S17" s="32">
        <v>-0.51164670081212016</v>
      </c>
      <c r="T17" s="32"/>
      <c r="U17" s="32"/>
      <c r="V17" s="32"/>
      <c r="W17" s="32"/>
      <c r="X17" s="32"/>
      <c r="Y17" s="32"/>
      <c r="Z17" s="32"/>
    </row>
    <row r="18" spans="1:26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0">
        <f t="shared" si="3"/>
        <v>0.29951306469335931</v>
      </c>
      <c r="G18" s="23">
        <f t="shared" si="2"/>
        <v>0.69315068493150689</v>
      </c>
      <c r="H18" s="28">
        <f t="shared" si="0"/>
        <v>31</v>
      </c>
      <c r="I18" s="29" t="s">
        <v>9</v>
      </c>
      <c r="J18" s="30">
        <v>1</v>
      </c>
      <c r="K18" s="31">
        <v>0</v>
      </c>
      <c r="L18" s="1">
        <v>1</v>
      </c>
      <c r="M18" s="1">
        <v>-1</v>
      </c>
      <c r="N18" s="32">
        <v>3.4857001904894105</v>
      </c>
      <c r="O18" s="32">
        <v>2.7550324037789373</v>
      </c>
      <c r="P18" s="32">
        <v>-1.8999999999999986</v>
      </c>
      <c r="Q18" s="32">
        <v>3.1000000000000014</v>
      </c>
      <c r="R18" s="32">
        <v>5.3857001904894091</v>
      </c>
      <c r="S18" s="32">
        <v>-0.3449675962210641</v>
      </c>
      <c r="T18" s="32"/>
      <c r="U18" s="32"/>
      <c r="V18" s="32"/>
      <c r="W18" s="32"/>
      <c r="X18" s="32"/>
      <c r="Y18" s="32"/>
      <c r="Z18" s="32"/>
    </row>
    <row r="19" spans="1:26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0">
        <f t="shared" si="3"/>
        <v>0.29453741145869133</v>
      </c>
      <c r="G19" s="23">
        <f t="shared" si="2"/>
        <v>0.78082191780821919</v>
      </c>
      <c r="H19" s="28">
        <f t="shared" si="0"/>
        <v>30</v>
      </c>
      <c r="I19" s="29" t="s">
        <v>9</v>
      </c>
      <c r="J19" s="30">
        <v>1</v>
      </c>
      <c r="K19" s="31">
        <v>0</v>
      </c>
      <c r="L19" s="1">
        <v>1</v>
      </c>
      <c r="M19" s="1">
        <v>-1</v>
      </c>
      <c r="N19" s="32">
        <v>6.9546666185615855</v>
      </c>
      <c r="O19" s="32">
        <v>1.4741341449103658</v>
      </c>
      <c r="P19" s="32">
        <v>3.75</v>
      </c>
      <c r="Q19" s="32">
        <v>8.75</v>
      </c>
      <c r="R19" s="32">
        <v>3.2046666185615855</v>
      </c>
      <c r="S19" s="32">
        <v>-7.2758658550896342</v>
      </c>
      <c r="T19" s="32"/>
      <c r="U19" s="32"/>
      <c r="V19" s="32"/>
      <c r="W19" s="32"/>
      <c r="X19" s="32"/>
      <c r="Y19" s="32"/>
      <c r="Z19" s="32"/>
    </row>
    <row r="20" spans="1:26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0">
        <f t="shared" si="3"/>
        <v>0.28981054088575675</v>
      </c>
      <c r="G20" s="23">
        <f t="shared" si="2"/>
        <v>0.86301369863013699</v>
      </c>
      <c r="H20" s="28">
        <f t="shared" si="0"/>
        <v>31</v>
      </c>
      <c r="I20" s="29" t="s">
        <v>9</v>
      </c>
      <c r="J20" s="30">
        <v>1</v>
      </c>
      <c r="K20" s="31">
        <v>0</v>
      </c>
      <c r="L20" s="1">
        <v>1</v>
      </c>
      <c r="M20" s="1">
        <v>-1</v>
      </c>
      <c r="N20" s="32">
        <v>7.1132877769238547</v>
      </c>
      <c r="O20" s="32">
        <v>1.5925385148809177</v>
      </c>
      <c r="P20" s="32">
        <v>3.75</v>
      </c>
      <c r="Q20" s="32">
        <v>8.75</v>
      </c>
      <c r="R20" s="32">
        <v>3.3632877769238547</v>
      </c>
      <c r="S20" s="32">
        <v>-7.1574614851190823</v>
      </c>
      <c r="T20" s="32"/>
      <c r="U20" s="32"/>
      <c r="V20" s="32"/>
      <c r="W20" s="32"/>
      <c r="X20" s="32"/>
      <c r="Y20" s="32"/>
      <c r="Z20" s="32"/>
    </row>
    <row r="21" spans="1:26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0">
        <f t="shared" si="3"/>
        <v>0.28532001384146888</v>
      </c>
      <c r="G21" s="23">
        <f t="shared" si="2"/>
        <v>0.94246575342465755</v>
      </c>
      <c r="H21" s="28">
        <f t="shared" si="0"/>
        <v>30</v>
      </c>
      <c r="I21" s="29" t="s">
        <v>9</v>
      </c>
      <c r="J21" s="30">
        <v>1</v>
      </c>
      <c r="K21" s="31">
        <v>0</v>
      </c>
      <c r="L21" s="1">
        <v>1</v>
      </c>
      <c r="M21" s="1">
        <v>-1</v>
      </c>
      <c r="N21" s="32">
        <v>7.2509163417181135</v>
      </c>
      <c r="O21" s="32">
        <v>1.6967311490158483</v>
      </c>
      <c r="P21" s="32">
        <v>3.75</v>
      </c>
      <c r="Q21" s="32">
        <v>8.75</v>
      </c>
      <c r="R21" s="32">
        <v>3.5009163417181135</v>
      </c>
      <c r="S21" s="32">
        <v>-7.0532688509841517</v>
      </c>
      <c r="T21" s="32"/>
      <c r="U21" s="32"/>
      <c r="V21" s="32"/>
      <c r="W21" s="32"/>
      <c r="X21" s="32"/>
      <c r="Y21" s="32"/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1"/>
      <c r="I22" s="22"/>
      <c r="J22" s="22"/>
      <c r="K22" s="22"/>
      <c r="L22" s="23"/>
      <c r="M22" s="23"/>
      <c r="N22" s="18"/>
      <c r="O22" s="18"/>
      <c r="P22" s="24"/>
      <c r="Q22" s="24"/>
      <c r="R22" s="25"/>
      <c r="S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</sheetData>
  <dataValidations count="1">
    <dataValidation type="list" allowBlank="1" showInputMessage="1" showErrorMessage="1" sqref="I10:I21" xr:uid="{0AD6AC8A-5067-4CEB-B2AF-9C5A720709D8}">
      <formula1>$J$5:$J$7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957C1-7AC1-49D5-BC5C-C423808A35C7}">
  <sheetPr codeName="Sheet3"/>
  <dimension ref="A1:AP23"/>
  <sheetViews>
    <sheetView zoomScale="55" zoomScaleNormal="55" workbookViewId="0">
      <selection activeCell="P10" sqref="P10"/>
    </sheetView>
  </sheetViews>
  <sheetFormatPr defaultRowHeight="14.5" x14ac:dyDescent="0.35"/>
  <cols>
    <col min="1" max="4" width="14.453125" style="1" customWidth="1"/>
    <col min="5" max="5" width="16.08984375" style="1" bestFit="1" customWidth="1"/>
    <col min="6" max="6" width="15.7265625" style="1" bestFit="1" customWidth="1"/>
    <col min="7" max="8" width="14.453125" style="1" customWidth="1"/>
    <col min="9" max="12" width="15.1796875" style="1" customWidth="1"/>
    <col min="13" max="13" width="7.36328125" style="1" bestFit="1" customWidth="1"/>
    <col min="14" max="15" width="7.36328125" style="1" customWidth="1"/>
    <col min="16" max="16" width="10.7265625" style="1" bestFit="1" customWidth="1"/>
    <col min="17" max="18" width="10.7265625" style="1" customWidth="1"/>
    <col min="19" max="19" width="13.81640625" style="1" bestFit="1" customWidth="1"/>
    <col min="20" max="21" width="13.81640625" style="1" customWidth="1"/>
    <col min="22" max="22" width="15.453125" style="1" bestFit="1" customWidth="1"/>
    <col min="23" max="24" width="15.453125" style="1" customWidth="1"/>
    <col min="25" max="33" width="13.26953125" style="1" customWidth="1"/>
    <col min="34" max="34" width="21.54296875" style="1" bestFit="1" customWidth="1"/>
    <col min="35" max="35" width="9.1796875" style="1" bestFit="1" customWidth="1"/>
    <col min="36" max="36" width="12.1796875" style="1" bestFit="1" customWidth="1"/>
    <col min="37" max="37" width="11.81640625" style="1" customWidth="1"/>
    <col min="38" max="16384" width="8.7265625" style="1"/>
  </cols>
  <sheetData>
    <row r="1" spans="1:42" ht="40" customHeight="1" x14ac:dyDescent="0.35"/>
    <row r="2" spans="1:42" ht="15" thickBot="1" x14ac:dyDescent="0.4"/>
    <row r="3" spans="1:42" ht="15" thickBot="1" x14ac:dyDescent="0.4">
      <c r="A3" s="2" t="s">
        <v>0</v>
      </c>
      <c r="B3" s="3">
        <v>43811</v>
      </c>
      <c r="I3" s="4"/>
      <c r="J3" s="5"/>
      <c r="K3" s="5"/>
      <c r="L3" s="6"/>
    </row>
    <row r="4" spans="1:42" x14ac:dyDescent="0.35">
      <c r="I4" s="7"/>
      <c r="J4" s="8"/>
      <c r="K4" s="8"/>
      <c r="L4" s="9"/>
    </row>
    <row r="5" spans="1:42" x14ac:dyDescent="0.35">
      <c r="I5" s="7" t="s">
        <v>24</v>
      </c>
      <c r="J5" s="8"/>
      <c r="K5" s="8" t="s">
        <v>9</v>
      </c>
      <c r="L5" s="11">
        <v>1</v>
      </c>
    </row>
    <row r="6" spans="1:42" x14ac:dyDescent="0.35">
      <c r="B6" s="10"/>
      <c r="I6" s="7" t="s">
        <v>3</v>
      </c>
      <c r="J6" s="8"/>
      <c r="K6" s="8" t="s">
        <v>4</v>
      </c>
      <c r="L6" s="11">
        <v>0.35</v>
      </c>
    </row>
    <row r="7" spans="1:42" ht="15" thickBot="1" x14ac:dyDescent="0.4">
      <c r="I7" s="12" t="s">
        <v>5</v>
      </c>
      <c r="J7" s="13"/>
      <c r="K7" s="13" t="s">
        <v>6</v>
      </c>
      <c r="L7" s="14">
        <v>0.65</v>
      </c>
    </row>
    <row r="8" spans="1:42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42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7" t="s">
        <v>67</v>
      </c>
      <c r="G9" s="38" t="s">
        <v>10</v>
      </c>
      <c r="H9" s="17" t="s">
        <v>13</v>
      </c>
      <c r="I9" s="27" t="s">
        <v>19</v>
      </c>
      <c r="J9" s="27" t="s">
        <v>20</v>
      </c>
      <c r="K9" s="27" t="s">
        <v>21</v>
      </c>
      <c r="L9" s="27" t="s">
        <v>22</v>
      </c>
      <c r="M9" s="27" t="s">
        <v>53</v>
      </c>
      <c r="N9" s="27" t="s">
        <v>54</v>
      </c>
      <c r="O9" s="27" t="s">
        <v>68</v>
      </c>
      <c r="P9" s="27" t="s">
        <v>55</v>
      </c>
      <c r="Q9" s="27" t="s">
        <v>56</v>
      </c>
      <c r="R9" s="27" t="s">
        <v>69</v>
      </c>
      <c r="S9" s="27" t="s">
        <v>57</v>
      </c>
      <c r="T9" s="27" t="s">
        <v>58</v>
      </c>
      <c r="U9" s="27" t="s">
        <v>70</v>
      </c>
      <c r="V9" s="27" t="s">
        <v>59</v>
      </c>
      <c r="W9" s="27" t="s">
        <v>60</v>
      </c>
      <c r="X9" s="27" t="s">
        <v>71</v>
      </c>
      <c r="Y9" s="27" t="s">
        <v>61</v>
      </c>
      <c r="Z9" s="27" t="s">
        <v>62</v>
      </c>
      <c r="AA9" s="27" t="s">
        <v>72</v>
      </c>
      <c r="AB9" s="27" t="s">
        <v>63</v>
      </c>
      <c r="AC9" s="27" t="s">
        <v>64</v>
      </c>
      <c r="AD9" s="27" t="s">
        <v>73</v>
      </c>
      <c r="AE9" s="27" t="s">
        <v>65</v>
      </c>
      <c r="AF9" s="27" t="s">
        <v>66</v>
      </c>
      <c r="AG9" s="27" t="s">
        <v>74</v>
      </c>
      <c r="AH9" s="27" t="s">
        <v>33</v>
      </c>
      <c r="AI9" s="27" t="s">
        <v>40</v>
      </c>
      <c r="AJ9" s="27" t="s">
        <v>44</v>
      </c>
      <c r="AK9" s="27" t="s">
        <v>41</v>
      </c>
      <c r="AL9" s="27" t="s">
        <v>43</v>
      </c>
      <c r="AM9" s="27" t="s">
        <v>43</v>
      </c>
      <c r="AN9" s="27" t="s">
        <v>42</v>
      </c>
      <c r="AO9" s="27" t="s">
        <v>45</v>
      </c>
      <c r="AP9" s="27" t="s">
        <v>50</v>
      </c>
    </row>
    <row r="10" spans="1:42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2">
        <v>35</v>
      </c>
      <c r="G10" s="40">
        <v>0.35</v>
      </c>
      <c r="H10" s="23">
        <f>(B10-$B$3)/365</f>
        <v>3.0136986301369864E-2</v>
      </c>
      <c r="I10" s="28">
        <f t="shared" ref="I10:I21" si="0">DAY(EOMONTH(B10,0))</f>
        <v>31</v>
      </c>
      <c r="J10" s="29" t="s">
        <v>9</v>
      </c>
      <c r="K10" s="30">
        <v>1</v>
      </c>
      <c r="L10" s="31">
        <v>0</v>
      </c>
      <c r="M10" s="1">
        <v>1</v>
      </c>
      <c r="N10" s="1">
        <v>-1</v>
      </c>
      <c r="O10" s="1">
        <v>-1</v>
      </c>
      <c r="P10" s="32">
        <v>0.30659208897466961</v>
      </c>
      <c r="Q10" s="32">
        <v>0.16789259319931293</v>
      </c>
      <c r="R10" s="32">
        <v>2.8666922948871604E-4</v>
      </c>
      <c r="S10" s="32">
        <v>-2.2000000000000028</v>
      </c>
      <c r="T10" s="32">
        <v>2.7999999999999972</v>
      </c>
      <c r="U10" s="32">
        <v>7.7999999999999972</v>
      </c>
      <c r="V10" s="32">
        <v>2.5065920889746724</v>
      </c>
      <c r="W10" s="32">
        <v>-7.6321074068006842</v>
      </c>
      <c r="X10" s="32">
        <v>-7.7997133307705084</v>
      </c>
      <c r="Y10" s="32"/>
      <c r="Z10" s="32"/>
      <c r="AA10" s="32"/>
      <c r="AB10" s="32"/>
      <c r="AC10" s="32"/>
      <c r="AD10" s="32"/>
      <c r="AE10" s="32"/>
    </row>
    <row r="11" spans="1:42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2">
        <v>35</v>
      </c>
      <c r="G11" s="40">
        <f>20%+(G10-20%)*0.95</f>
        <v>0.34249999999999997</v>
      </c>
      <c r="H11" s="23">
        <f t="shared" ref="H11:H21" si="2">(B11-$B$3)/365</f>
        <v>0.11506849315068493</v>
      </c>
      <c r="I11" s="28">
        <f t="shared" si="0"/>
        <v>31</v>
      </c>
      <c r="J11" s="29" t="s">
        <v>9</v>
      </c>
      <c r="K11" s="30">
        <v>1</v>
      </c>
      <c r="L11" s="31">
        <v>0</v>
      </c>
      <c r="M11" s="1">
        <v>1</v>
      </c>
      <c r="N11" s="1">
        <v>-1</v>
      </c>
      <c r="O11" s="1">
        <v>-1</v>
      </c>
      <c r="P11" s="32">
        <v>2.4981571281570432</v>
      </c>
      <c r="Q11" s="32">
        <v>0.30457507903773351</v>
      </c>
      <c r="R11" s="32">
        <v>1.6733620591898257E-2</v>
      </c>
      <c r="S11" s="32">
        <v>0.75</v>
      </c>
      <c r="T11" s="32">
        <v>5.75</v>
      </c>
      <c r="U11" s="32">
        <v>10.75</v>
      </c>
      <c r="V11" s="32">
        <v>1.7481571281570432</v>
      </c>
      <c r="W11" s="32">
        <v>-10.445424920962267</v>
      </c>
      <c r="X11" s="32">
        <v>-10.733266379408102</v>
      </c>
      <c r="Y11" s="32"/>
      <c r="Z11" s="32"/>
      <c r="AA11" s="32"/>
      <c r="AB11" s="32"/>
      <c r="AC11" s="32"/>
      <c r="AD11" s="32"/>
      <c r="AE11" s="32"/>
    </row>
    <row r="12" spans="1:42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2">
        <v>35</v>
      </c>
      <c r="G12" s="40">
        <f t="shared" ref="G12:G21" si="3">20%+(G11-20%)*0.95</f>
        <v>0.33537499999999998</v>
      </c>
      <c r="H12" s="23">
        <f t="shared" si="2"/>
        <v>0.19178082191780821</v>
      </c>
      <c r="I12" s="28">
        <f t="shared" si="0"/>
        <v>29</v>
      </c>
      <c r="J12" s="29" t="s">
        <v>9</v>
      </c>
      <c r="K12" s="30">
        <v>1</v>
      </c>
      <c r="L12" s="31">
        <v>0</v>
      </c>
      <c r="M12" s="1">
        <v>1</v>
      </c>
      <c r="N12" s="1">
        <v>-1</v>
      </c>
      <c r="O12" s="1">
        <v>-1</v>
      </c>
      <c r="P12" s="32">
        <v>1.2874771742439801</v>
      </c>
      <c r="Q12" s="32">
        <v>1.5656545160049546</v>
      </c>
      <c r="R12" s="32">
        <v>0.29905920700099209</v>
      </c>
      <c r="S12" s="32">
        <v>-3.1000000000000014</v>
      </c>
      <c r="T12" s="32">
        <v>1.8999999999999986</v>
      </c>
      <c r="U12" s="32">
        <v>6.8999999999999986</v>
      </c>
      <c r="V12" s="32">
        <v>4.3874771742439815</v>
      </c>
      <c r="W12" s="32">
        <v>-5.3343454839950439</v>
      </c>
      <c r="X12" s="32">
        <v>-6.6009407929990065</v>
      </c>
      <c r="Y12" s="32"/>
      <c r="Z12" s="32"/>
      <c r="AA12" s="32"/>
      <c r="AB12" s="32"/>
      <c r="AC12" s="32"/>
      <c r="AD12" s="32"/>
      <c r="AE12" s="32"/>
    </row>
    <row r="13" spans="1:42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2">
        <v>35</v>
      </c>
      <c r="G13" s="40">
        <f t="shared" si="3"/>
        <v>0.32860624999999999</v>
      </c>
      <c r="H13" s="23">
        <f t="shared" si="2"/>
        <v>0.27945205479452057</v>
      </c>
      <c r="I13" s="28">
        <f t="shared" si="0"/>
        <v>31</v>
      </c>
      <c r="J13" s="29" t="s">
        <v>9</v>
      </c>
      <c r="K13" s="30">
        <v>1</v>
      </c>
      <c r="L13" s="31">
        <v>0</v>
      </c>
      <c r="M13" s="1">
        <v>1</v>
      </c>
      <c r="N13" s="1">
        <v>-1</v>
      </c>
      <c r="O13" s="1">
        <v>-1</v>
      </c>
      <c r="P13" s="32">
        <v>1.0226367095337494</v>
      </c>
      <c r="Q13" s="32">
        <v>2.8866999331369065</v>
      </c>
      <c r="R13" s="32">
        <v>0.87382859607414076</v>
      </c>
      <c r="S13" s="32">
        <v>-5.25</v>
      </c>
      <c r="T13" s="32">
        <v>-0.25</v>
      </c>
      <c r="U13" s="32">
        <v>4.75</v>
      </c>
      <c r="V13" s="32">
        <v>6.2726367095337494</v>
      </c>
      <c r="W13" s="32">
        <v>-1.8633000668630935</v>
      </c>
      <c r="X13" s="32">
        <v>-3.8761714039258592</v>
      </c>
      <c r="Y13" s="32"/>
      <c r="Z13" s="32"/>
      <c r="AA13" s="32"/>
      <c r="AB13" s="32"/>
      <c r="AC13" s="32"/>
      <c r="AD13" s="32"/>
      <c r="AE13" s="32"/>
    </row>
    <row r="14" spans="1:42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2">
        <v>35</v>
      </c>
      <c r="G14" s="40">
        <f t="shared" si="3"/>
        <v>0.32217593749999995</v>
      </c>
      <c r="H14" s="23">
        <f t="shared" si="2"/>
        <v>0.36164383561643837</v>
      </c>
      <c r="I14" s="28">
        <f t="shared" si="0"/>
        <v>30</v>
      </c>
      <c r="J14" s="29" t="s">
        <v>9</v>
      </c>
      <c r="K14" s="30">
        <v>1</v>
      </c>
      <c r="L14" s="31">
        <v>0</v>
      </c>
      <c r="M14" s="1">
        <v>1</v>
      </c>
      <c r="N14" s="1">
        <v>-1</v>
      </c>
      <c r="O14" s="1">
        <v>-1</v>
      </c>
      <c r="P14" s="32">
        <v>1.2904818593643768</v>
      </c>
      <c r="Q14" s="32">
        <v>3.203875676036489</v>
      </c>
      <c r="R14" s="32">
        <v>1.1072350215530697</v>
      </c>
      <c r="S14" s="32">
        <v>-5.25</v>
      </c>
      <c r="T14" s="32">
        <v>-0.25</v>
      </c>
      <c r="U14" s="32">
        <v>4.75</v>
      </c>
      <c r="V14" s="32">
        <v>6.5404818593643768</v>
      </c>
      <c r="W14" s="32">
        <v>-1.546124323963511</v>
      </c>
      <c r="X14" s="32">
        <v>-3.6427649784469303</v>
      </c>
      <c r="Y14" s="32"/>
      <c r="Z14" s="32"/>
      <c r="AA14" s="32"/>
      <c r="AB14" s="32"/>
      <c r="AC14" s="32"/>
      <c r="AD14" s="32"/>
      <c r="AE14" s="32"/>
    </row>
    <row r="15" spans="1:42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2">
        <v>35</v>
      </c>
      <c r="G15" s="40">
        <f>20%+(G14-20%)*0.95</f>
        <v>0.31606714062499996</v>
      </c>
      <c r="H15" s="23">
        <f t="shared" si="2"/>
        <v>0.44109589041095892</v>
      </c>
      <c r="I15" s="28">
        <f t="shared" si="0"/>
        <v>31</v>
      </c>
      <c r="J15" s="29" t="s">
        <v>9</v>
      </c>
      <c r="K15" s="30">
        <v>1</v>
      </c>
      <c r="L15" s="31">
        <v>0</v>
      </c>
      <c r="M15" s="1">
        <v>1</v>
      </c>
      <c r="N15" s="1">
        <v>-1</v>
      </c>
      <c r="O15" s="1">
        <v>-1</v>
      </c>
      <c r="P15" s="32">
        <v>1.5151422182784557</v>
      </c>
      <c r="Q15" s="32">
        <v>3.4596692118041048</v>
      </c>
      <c r="R15" s="32">
        <v>1.3034128403136922</v>
      </c>
      <c r="S15" s="32">
        <v>-5.25</v>
      </c>
      <c r="T15" s="32">
        <v>-0.25</v>
      </c>
      <c r="U15" s="32">
        <v>4.75</v>
      </c>
      <c r="V15" s="32">
        <v>6.7651422182784557</v>
      </c>
      <c r="W15" s="32">
        <v>-1.2903307881958952</v>
      </c>
      <c r="X15" s="32">
        <v>-3.4465871596863078</v>
      </c>
      <c r="Y15" s="32"/>
      <c r="Z15" s="32"/>
      <c r="AA15" s="32"/>
      <c r="AB15" s="32"/>
      <c r="AC15" s="32"/>
      <c r="AD15" s="32"/>
      <c r="AE15" s="32"/>
    </row>
    <row r="16" spans="1:42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2">
        <v>35</v>
      </c>
      <c r="G16" s="40">
        <f t="shared" si="3"/>
        <v>0.31026378359374995</v>
      </c>
      <c r="H16" s="23">
        <f t="shared" si="2"/>
        <v>0.52876712328767128</v>
      </c>
      <c r="I16" s="28">
        <f t="shared" si="0"/>
        <v>30</v>
      </c>
      <c r="J16" s="29" t="s">
        <v>9</v>
      </c>
      <c r="K16" s="30">
        <v>1</v>
      </c>
      <c r="L16" s="31">
        <v>0</v>
      </c>
      <c r="M16" s="1">
        <v>1</v>
      </c>
      <c r="N16" s="1">
        <v>-1</v>
      </c>
      <c r="O16" s="1">
        <v>-1</v>
      </c>
      <c r="P16" s="32">
        <v>3.0781758184662245</v>
      </c>
      <c r="Q16" s="32">
        <v>2.3832778107217063</v>
      </c>
      <c r="R16" s="32">
        <v>0.84070111730627328</v>
      </c>
      <c r="S16" s="32">
        <v>-1.8999999999999986</v>
      </c>
      <c r="T16" s="32">
        <v>3.1000000000000014</v>
      </c>
      <c r="U16" s="32">
        <v>8.1000000000000014</v>
      </c>
      <c r="V16" s="32">
        <v>4.978175818466223</v>
      </c>
      <c r="W16" s="32">
        <v>-5.7167221892782951</v>
      </c>
      <c r="X16" s="32">
        <v>-7.2592988826937281</v>
      </c>
      <c r="Y16" s="32"/>
      <c r="Z16" s="32"/>
      <c r="AA16" s="32"/>
      <c r="AB16" s="32"/>
      <c r="AC16" s="32"/>
      <c r="AD16" s="32"/>
      <c r="AE16" s="32"/>
    </row>
    <row r="17" spans="1:31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2">
        <v>35</v>
      </c>
      <c r="G17" s="40">
        <f t="shared" si="3"/>
        <v>0.30475059441406244</v>
      </c>
      <c r="H17" s="23">
        <f t="shared" si="2"/>
        <v>0.61369863013698633</v>
      </c>
      <c r="I17" s="28">
        <f t="shared" si="0"/>
        <v>31</v>
      </c>
      <c r="J17" s="29" t="s">
        <v>9</v>
      </c>
      <c r="K17" s="30">
        <v>1</v>
      </c>
      <c r="L17" s="31">
        <v>0</v>
      </c>
      <c r="M17" s="1">
        <v>1</v>
      </c>
      <c r="N17" s="1">
        <v>-1</v>
      </c>
      <c r="O17" s="1">
        <v>-1</v>
      </c>
      <c r="P17" s="32">
        <v>3.3033139746544222</v>
      </c>
      <c r="Q17" s="32">
        <v>2.5883532991878813</v>
      </c>
      <c r="R17" s="32">
        <v>0.97581580806622537</v>
      </c>
      <c r="S17" s="32">
        <v>-1.8999999999999986</v>
      </c>
      <c r="T17" s="32">
        <v>3.1000000000000014</v>
      </c>
      <c r="U17" s="32">
        <v>8.1000000000000014</v>
      </c>
      <c r="V17" s="32">
        <v>5.2033139746544208</v>
      </c>
      <c r="W17" s="32">
        <v>-5.5116467008121202</v>
      </c>
      <c r="X17" s="32">
        <v>-7.1241841919337761</v>
      </c>
      <c r="Y17" s="32"/>
      <c r="Z17" s="32"/>
      <c r="AA17" s="32"/>
      <c r="AB17" s="32"/>
      <c r="AC17" s="32"/>
      <c r="AD17" s="32"/>
      <c r="AE17" s="32"/>
    </row>
    <row r="18" spans="1:31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2">
        <v>35</v>
      </c>
      <c r="G18" s="40">
        <f t="shared" si="3"/>
        <v>0.29951306469335931</v>
      </c>
      <c r="H18" s="23">
        <f t="shared" si="2"/>
        <v>0.69315068493150689</v>
      </c>
      <c r="I18" s="28">
        <f t="shared" si="0"/>
        <v>31</v>
      </c>
      <c r="J18" s="29" t="s">
        <v>9</v>
      </c>
      <c r="K18" s="30">
        <v>1</v>
      </c>
      <c r="L18" s="31">
        <v>0</v>
      </c>
      <c r="M18" s="1">
        <v>1</v>
      </c>
      <c r="N18" s="1">
        <v>-1</v>
      </c>
      <c r="O18" s="1">
        <v>-1</v>
      </c>
      <c r="P18" s="32">
        <v>3.4857001904894105</v>
      </c>
      <c r="Q18" s="32">
        <v>2.7550324037789373</v>
      </c>
      <c r="R18" s="32">
        <v>1.0893565523680246</v>
      </c>
      <c r="S18" s="32">
        <v>-1.8999999999999986</v>
      </c>
      <c r="T18" s="32">
        <v>3.1000000000000014</v>
      </c>
      <c r="U18" s="32">
        <v>8.1000000000000014</v>
      </c>
      <c r="V18" s="32">
        <v>5.3857001904894091</v>
      </c>
      <c r="W18" s="32">
        <v>-5.3449675962210641</v>
      </c>
      <c r="X18" s="32">
        <v>-7.0106434476319768</v>
      </c>
      <c r="Y18" s="32"/>
      <c r="Z18" s="32"/>
      <c r="AA18" s="32"/>
      <c r="AB18" s="32"/>
      <c r="AC18" s="32"/>
      <c r="AD18" s="32"/>
      <c r="AE18" s="32"/>
    </row>
    <row r="19" spans="1:31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2">
        <v>35</v>
      </c>
      <c r="G19" s="40">
        <f t="shared" si="3"/>
        <v>0.29453741145869133</v>
      </c>
      <c r="H19" s="23">
        <f t="shared" si="2"/>
        <v>0.78082191780821919</v>
      </c>
      <c r="I19" s="28">
        <f t="shared" si="0"/>
        <v>30</v>
      </c>
      <c r="J19" s="29" t="s">
        <v>9</v>
      </c>
      <c r="K19" s="30">
        <v>1</v>
      </c>
      <c r="L19" s="31">
        <v>0</v>
      </c>
      <c r="M19" s="1">
        <v>1</v>
      </c>
      <c r="N19" s="1">
        <v>-1</v>
      </c>
      <c r="O19" s="1">
        <v>-1</v>
      </c>
      <c r="P19" s="32">
        <v>6.9546666185615855</v>
      </c>
      <c r="Q19" s="32">
        <v>1.4741341449103658</v>
      </c>
      <c r="R19" s="32">
        <v>0.5150687372258882</v>
      </c>
      <c r="S19" s="32">
        <v>3.75</v>
      </c>
      <c r="T19" s="32">
        <v>8.75</v>
      </c>
      <c r="U19" s="32">
        <v>13.75</v>
      </c>
      <c r="V19" s="32">
        <v>3.2046666185615855</v>
      </c>
      <c r="W19" s="32">
        <v>-12.275865855089634</v>
      </c>
      <c r="X19" s="32">
        <v>-13.234931262774111</v>
      </c>
      <c r="Y19" s="32"/>
      <c r="Z19" s="32"/>
      <c r="AA19" s="32"/>
      <c r="AB19" s="32"/>
      <c r="AC19" s="32"/>
      <c r="AD19" s="32"/>
      <c r="AE19" s="32"/>
    </row>
    <row r="20" spans="1:31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2">
        <v>35</v>
      </c>
      <c r="G20" s="40">
        <f t="shared" si="3"/>
        <v>0.28981054088575675</v>
      </c>
      <c r="H20" s="23">
        <f t="shared" si="2"/>
        <v>0.86301369863013699</v>
      </c>
      <c r="I20" s="28">
        <f t="shared" si="0"/>
        <v>31</v>
      </c>
      <c r="J20" s="29" t="s">
        <v>9</v>
      </c>
      <c r="K20" s="30">
        <v>1</v>
      </c>
      <c r="L20" s="31">
        <v>0</v>
      </c>
      <c r="M20" s="1">
        <v>1</v>
      </c>
      <c r="N20" s="1">
        <v>-1</v>
      </c>
      <c r="O20" s="1">
        <v>-1</v>
      </c>
      <c r="P20" s="32">
        <v>7.1132877769238547</v>
      </c>
      <c r="Q20" s="32">
        <v>1.5925385148809177</v>
      </c>
      <c r="R20" s="32">
        <v>0.58197021734250143</v>
      </c>
      <c r="S20" s="32">
        <v>3.75</v>
      </c>
      <c r="T20" s="32">
        <v>8.75</v>
      </c>
      <c r="U20" s="32">
        <v>13.75</v>
      </c>
      <c r="V20" s="32">
        <v>3.3632877769238547</v>
      </c>
      <c r="W20" s="32">
        <v>-12.157461485119082</v>
      </c>
      <c r="X20" s="32">
        <v>-13.168029782657499</v>
      </c>
      <c r="Y20" s="32"/>
      <c r="Z20" s="32"/>
      <c r="AA20" s="32"/>
      <c r="AB20" s="32"/>
      <c r="AC20" s="32"/>
      <c r="AD20" s="32"/>
      <c r="AE20" s="32"/>
    </row>
    <row r="21" spans="1:31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2">
        <v>35</v>
      </c>
      <c r="G21" s="40">
        <f t="shared" si="3"/>
        <v>0.28532001384146888</v>
      </c>
      <c r="H21" s="23">
        <f t="shared" si="2"/>
        <v>0.94246575342465755</v>
      </c>
      <c r="I21" s="28">
        <f t="shared" si="0"/>
        <v>30</v>
      </c>
      <c r="J21" s="29" t="s">
        <v>9</v>
      </c>
      <c r="K21" s="30">
        <v>1</v>
      </c>
      <c r="L21" s="31">
        <v>0</v>
      </c>
      <c r="M21" s="1">
        <v>1</v>
      </c>
      <c r="N21" s="1">
        <v>-1</v>
      </c>
      <c r="O21" s="1">
        <v>-1</v>
      </c>
      <c r="P21" s="32">
        <v>7.2509163417181135</v>
      </c>
      <c r="Q21" s="32">
        <v>1.6967311490158483</v>
      </c>
      <c r="R21" s="32">
        <v>0.64265933120129048</v>
      </c>
      <c r="S21" s="32">
        <v>3.75</v>
      </c>
      <c r="T21" s="32">
        <v>8.75</v>
      </c>
      <c r="U21" s="32">
        <v>13.75</v>
      </c>
      <c r="V21" s="32">
        <v>3.5009163417181135</v>
      </c>
      <c r="W21" s="32">
        <v>-12.053268850984152</v>
      </c>
      <c r="X21" s="32">
        <v>-13.10734066879871</v>
      </c>
      <c r="Y21" s="32"/>
      <c r="Z21" s="32"/>
      <c r="AA21" s="32"/>
      <c r="AB21" s="32"/>
      <c r="AC21" s="32"/>
      <c r="AD21" s="32"/>
      <c r="AE21" s="32"/>
    </row>
    <row r="22" spans="1:31" x14ac:dyDescent="0.35">
      <c r="A22" s="19"/>
      <c r="B22" s="20"/>
      <c r="C22" s="21"/>
      <c r="D22" s="21"/>
      <c r="E22" s="21"/>
      <c r="F22" s="21"/>
      <c r="G22" s="21"/>
      <c r="H22" s="21"/>
      <c r="I22" s="21"/>
      <c r="J22" s="22"/>
      <c r="K22" s="22"/>
      <c r="L22" s="22"/>
      <c r="M22" s="23"/>
      <c r="N22" s="23"/>
      <c r="O22" s="23"/>
      <c r="P22" s="18"/>
      <c r="Q22" s="18"/>
      <c r="R22" s="18"/>
      <c r="S22" s="24"/>
      <c r="T22" s="24"/>
      <c r="U22" s="24"/>
      <c r="V22" s="25"/>
      <c r="W22" s="25"/>
      <c r="X22" s="25"/>
    </row>
    <row r="23" spans="1:31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</sheetData>
  <phoneticPr fontId="7" type="noConversion"/>
  <dataValidations count="1">
    <dataValidation type="list" allowBlank="1" showInputMessage="1" showErrorMessage="1" sqref="J10:J21" xr:uid="{E7FF0A8A-F283-4BC7-837D-53DF1FDC6633}">
      <formula1>$K$5:$K$7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FED91-9E3F-433B-AF00-267E3920B661}">
  <sheetPr codeName="Sheet10"/>
  <dimension ref="A1:X23"/>
  <sheetViews>
    <sheetView zoomScale="55" zoomScaleNormal="55" workbookViewId="0">
      <selection activeCell="F10" sqref="F10:F21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7.36328125" style="1" bestFit="1" customWidth="1"/>
    <col min="12" max="12" width="10.7265625" style="1" bestFit="1" customWidth="1"/>
    <col min="13" max="13" width="13.81640625" style="1" bestFit="1" customWidth="1"/>
    <col min="14" max="14" width="15.453125" style="1" bestFit="1" customWidth="1"/>
    <col min="15" max="18" width="13.26953125" style="1" customWidth="1"/>
    <col min="19" max="19" width="11.81640625" style="1" bestFit="1" customWidth="1"/>
    <col min="20" max="20" width="9.1796875" style="1" bestFit="1" customWidth="1"/>
    <col min="21" max="21" width="12.1796875" style="1" bestFit="1" customWidth="1"/>
    <col min="22" max="22" width="11.81640625" style="1" customWidth="1"/>
    <col min="23" max="16384" width="8.7265625" style="1"/>
  </cols>
  <sheetData>
    <row r="1" spans="1:24" ht="40" customHeight="1" x14ac:dyDescent="0.35"/>
    <row r="2" spans="1:24" ht="15" thickBot="1" x14ac:dyDescent="0.4"/>
    <row r="3" spans="1:24" ht="15" thickBot="1" x14ac:dyDescent="0.4">
      <c r="A3" s="2" t="s">
        <v>0</v>
      </c>
      <c r="B3" s="3">
        <v>43811</v>
      </c>
      <c r="G3" s="4"/>
      <c r="H3" s="5"/>
      <c r="I3" s="5"/>
      <c r="J3" s="6"/>
    </row>
    <row r="4" spans="1:24" x14ac:dyDescent="0.35">
      <c r="G4" s="7"/>
      <c r="H4" s="8"/>
      <c r="I4" s="8"/>
      <c r="J4" s="9"/>
    </row>
    <row r="5" spans="1:24" x14ac:dyDescent="0.35">
      <c r="G5" s="7" t="s">
        <v>24</v>
      </c>
      <c r="H5" s="8"/>
      <c r="I5" s="8" t="s">
        <v>9</v>
      </c>
      <c r="J5" s="11">
        <v>1</v>
      </c>
    </row>
    <row r="6" spans="1:24" x14ac:dyDescent="0.35">
      <c r="B6" s="10"/>
      <c r="G6" s="7" t="s">
        <v>3</v>
      </c>
      <c r="H6" s="8"/>
      <c r="I6" s="8" t="s">
        <v>4</v>
      </c>
      <c r="J6" s="11">
        <v>0.35</v>
      </c>
    </row>
    <row r="7" spans="1:24" ht="15" thickBot="1" x14ac:dyDescent="0.4">
      <c r="G7" s="12" t="s">
        <v>5</v>
      </c>
      <c r="H7" s="13"/>
      <c r="I7" s="13" t="s">
        <v>6</v>
      </c>
      <c r="J7" s="14">
        <v>0.65</v>
      </c>
    </row>
    <row r="8" spans="1:2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24" ht="14.5" customHeight="1" x14ac:dyDescent="0.35">
      <c r="A9" s="26" t="s">
        <v>7</v>
      </c>
      <c r="B9" s="26" t="s">
        <v>8</v>
      </c>
      <c r="C9" s="33" t="s">
        <v>14</v>
      </c>
      <c r="D9" s="37" t="s">
        <v>31</v>
      </c>
      <c r="E9" s="38" t="s">
        <v>10</v>
      </c>
      <c r="F9" s="17" t="s">
        <v>13</v>
      </c>
      <c r="G9" s="27" t="s">
        <v>19</v>
      </c>
      <c r="H9" s="27" t="s">
        <v>20</v>
      </c>
      <c r="I9" s="27" t="s">
        <v>21</v>
      </c>
      <c r="J9" s="27" t="s">
        <v>22</v>
      </c>
      <c r="K9" s="27" t="s">
        <v>23</v>
      </c>
      <c r="L9" s="27" t="s">
        <v>25</v>
      </c>
      <c r="M9" s="27" t="s">
        <v>26</v>
      </c>
      <c r="N9" s="27" t="s">
        <v>27</v>
      </c>
      <c r="O9" s="27" t="s">
        <v>28</v>
      </c>
      <c r="P9" s="27" t="s">
        <v>29</v>
      </c>
      <c r="Q9" s="27" t="s">
        <v>30</v>
      </c>
      <c r="R9" s="27" t="s">
        <v>44</v>
      </c>
      <c r="S9" s="27" t="s">
        <v>41</v>
      </c>
      <c r="T9" s="27" t="s">
        <v>43</v>
      </c>
      <c r="U9" s="27" t="s">
        <v>43</v>
      </c>
      <c r="V9" s="27" t="s">
        <v>42</v>
      </c>
      <c r="W9" s="27" t="s">
        <v>45</v>
      </c>
      <c r="X9" s="27" t="s">
        <v>50</v>
      </c>
    </row>
    <row r="10" spans="1:24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0">
        <v>0.35</v>
      </c>
      <c r="F10" s="23">
        <f>(B10-$B$3)/365</f>
        <v>3.0136986301369864E-2</v>
      </c>
      <c r="G10" s="28">
        <f t="shared" ref="G10:G21" si="0">DAY(EOMONTH(B10,0))</f>
        <v>31</v>
      </c>
      <c r="H10" s="29" t="s">
        <v>9</v>
      </c>
      <c r="I10" s="30">
        <v>1</v>
      </c>
      <c r="J10" s="31">
        <v>0</v>
      </c>
      <c r="K10" s="1">
        <v>1</v>
      </c>
      <c r="L10" s="32">
        <v>5.7329001814654834E-2</v>
      </c>
      <c r="M10" s="32">
        <v>-2.2000000000000028</v>
      </c>
      <c r="N10" s="32">
        <v>2.2573290018146577</v>
      </c>
      <c r="O10" s="32"/>
      <c r="P10" s="32"/>
      <c r="Q10" s="32"/>
    </row>
    <row r="11" spans="1:24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0">
        <f>20%+(E10-20%)*0.95</f>
        <v>0.34249999999999997</v>
      </c>
      <c r="F11" s="23">
        <f t="shared" ref="F11:F21" si="2">(B11-$B$3)/365</f>
        <v>0.11506849315068493</v>
      </c>
      <c r="G11" s="28">
        <f t="shared" si="0"/>
        <v>31</v>
      </c>
      <c r="H11" s="29" t="s">
        <v>9</v>
      </c>
      <c r="I11" s="30">
        <v>1</v>
      </c>
      <c r="J11" s="31">
        <v>0</v>
      </c>
      <c r="K11" s="1">
        <v>1</v>
      </c>
      <c r="L11" s="32">
        <v>1.6230423494048836</v>
      </c>
      <c r="M11" s="32">
        <v>0.75</v>
      </c>
      <c r="N11" s="32">
        <v>0.87304234940488357</v>
      </c>
      <c r="O11" s="32"/>
      <c r="P11" s="32"/>
      <c r="Q11" s="32"/>
    </row>
    <row r="12" spans="1:24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0">
        <f t="shared" ref="E12:E21" si="3">20%+(E11-20%)*0.95</f>
        <v>0.33537499999999998</v>
      </c>
      <c r="F12" s="23">
        <f t="shared" si="2"/>
        <v>0.19178082191780821</v>
      </c>
      <c r="G12" s="28">
        <f t="shared" si="0"/>
        <v>29</v>
      </c>
      <c r="H12" s="29" t="s">
        <v>9</v>
      </c>
      <c r="I12" s="30">
        <v>1</v>
      </c>
      <c r="J12" s="31">
        <v>0</v>
      </c>
      <c r="K12" s="1">
        <v>1</v>
      </c>
      <c r="L12" s="32">
        <v>0.42136837983376019</v>
      </c>
      <c r="M12" s="32">
        <v>-3.1000000000000014</v>
      </c>
      <c r="N12" s="32">
        <v>3.5213683798337616</v>
      </c>
      <c r="O12" s="32"/>
      <c r="P12" s="32"/>
      <c r="Q12" s="32"/>
    </row>
    <row r="13" spans="1:24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0">
        <f t="shared" si="3"/>
        <v>0.32860624999999999</v>
      </c>
      <c r="F13" s="23">
        <f t="shared" si="2"/>
        <v>0.27945205479452057</v>
      </c>
      <c r="G13" s="28">
        <f t="shared" si="0"/>
        <v>31</v>
      </c>
      <c r="H13" s="29" t="s">
        <v>9</v>
      </c>
      <c r="I13" s="30">
        <v>1</v>
      </c>
      <c r="J13" s="31">
        <v>0</v>
      </c>
      <c r="K13" s="1">
        <v>1</v>
      </c>
      <c r="L13" s="32">
        <v>0.22757480237186467</v>
      </c>
      <c r="M13" s="32">
        <v>-5.25</v>
      </c>
      <c r="N13" s="32">
        <v>5.4775748023718647</v>
      </c>
      <c r="O13" s="32"/>
      <c r="P13" s="32"/>
      <c r="Q13" s="32"/>
    </row>
    <row r="14" spans="1:24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0">
        <f t="shared" si="3"/>
        <v>0.32217593749999995</v>
      </c>
      <c r="F14" s="23">
        <f t="shared" si="2"/>
        <v>0.36164383561643837</v>
      </c>
      <c r="G14" s="28">
        <f t="shared" si="0"/>
        <v>30</v>
      </c>
      <c r="H14" s="29" t="s">
        <v>9</v>
      </c>
      <c r="I14" s="30">
        <v>1</v>
      </c>
      <c r="J14" s="31">
        <v>0</v>
      </c>
      <c r="K14" s="1">
        <v>1</v>
      </c>
      <c r="L14" s="32">
        <v>0.32584188983005902</v>
      </c>
      <c r="M14" s="32">
        <v>-5.25</v>
      </c>
      <c r="N14" s="32">
        <v>5.575841889830059</v>
      </c>
      <c r="O14" s="32"/>
      <c r="P14" s="32"/>
      <c r="Q14" s="32"/>
    </row>
    <row r="15" spans="1:24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0">
        <f>20%+(E14-20%)*0.95</f>
        <v>0.31606714062499996</v>
      </c>
      <c r="F15" s="23">
        <f t="shared" si="2"/>
        <v>0.44109589041095892</v>
      </c>
      <c r="G15" s="28">
        <f t="shared" si="0"/>
        <v>31</v>
      </c>
      <c r="H15" s="29" t="s">
        <v>9</v>
      </c>
      <c r="I15" s="30">
        <v>1</v>
      </c>
      <c r="J15" s="31">
        <v>0</v>
      </c>
      <c r="K15" s="1">
        <v>1</v>
      </c>
      <c r="L15" s="32">
        <v>0.41249689718847637</v>
      </c>
      <c r="M15" s="32">
        <v>-5.25</v>
      </c>
      <c r="N15" s="32">
        <v>5.6624968971884764</v>
      </c>
      <c r="O15" s="32"/>
      <c r="P15" s="32"/>
      <c r="Q15" s="32"/>
    </row>
    <row r="16" spans="1:24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0">
        <f t="shared" si="3"/>
        <v>0.31026378359374995</v>
      </c>
      <c r="F16" s="23">
        <f t="shared" si="2"/>
        <v>0.52876712328767128</v>
      </c>
      <c r="G16" s="28">
        <f t="shared" si="0"/>
        <v>30</v>
      </c>
      <c r="H16" s="29" t="s">
        <v>9</v>
      </c>
      <c r="I16" s="30">
        <v>1</v>
      </c>
      <c r="J16" s="31">
        <v>0</v>
      </c>
      <c r="K16" s="1">
        <v>1</v>
      </c>
      <c r="L16" s="32">
        <v>1.4440396159920823</v>
      </c>
      <c r="M16" s="32">
        <v>-1.8999999999999986</v>
      </c>
      <c r="N16" s="32">
        <v>3.3440396159920809</v>
      </c>
      <c r="O16" s="32"/>
      <c r="P16" s="32"/>
      <c r="Q16" s="32"/>
    </row>
    <row r="17" spans="1:17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0">
        <f t="shared" si="3"/>
        <v>0.30475059441406244</v>
      </c>
      <c r="F17" s="23">
        <f t="shared" si="2"/>
        <v>0.61369863013698633</v>
      </c>
      <c r="G17" s="28">
        <f t="shared" si="0"/>
        <v>31</v>
      </c>
      <c r="H17" s="29" t="s">
        <v>9</v>
      </c>
      <c r="I17" s="30">
        <v>1</v>
      </c>
      <c r="J17" s="31">
        <v>0</v>
      </c>
      <c r="K17" s="1">
        <v>1</v>
      </c>
      <c r="L17" s="32">
        <v>1.5616166109280982</v>
      </c>
      <c r="M17" s="32">
        <v>-1.8999999999999986</v>
      </c>
      <c r="N17" s="32">
        <v>3.4616166109280968</v>
      </c>
      <c r="O17" s="32"/>
      <c r="P17" s="32"/>
      <c r="Q17" s="32"/>
    </row>
    <row r="18" spans="1:17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0">
        <f t="shared" si="3"/>
        <v>0.29951306469335931</v>
      </c>
      <c r="F18" s="23">
        <f t="shared" si="2"/>
        <v>0.69315068493150689</v>
      </c>
      <c r="G18" s="28">
        <f t="shared" si="0"/>
        <v>31</v>
      </c>
      <c r="H18" s="29" t="s">
        <v>9</v>
      </c>
      <c r="I18" s="30">
        <v>1</v>
      </c>
      <c r="J18" s="31">
        <v>0</v>
      </c>
      <c r="K18" s="1">
        <v>1</v>
      </c>
      <c r="L18" s="32">
        <v>1.658135612258274</v>
      </c>
      <c r="M18" s="32">
        <v>-1.8999999999999986</v>
      </c>
      <c r="N18" s="32">
        <v>3.5581356122582726</v>
      </c>
      <c r="O18" s="32"/>
      <c r="P18" s="32"/>
      <c r="Q18" s="32"/>
    </row>
    <row r="19" spans="1:17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0">
        <f t="shared" si="3"/>
        <v>0.29453741145869133</v>
      </c>
      <c r="F19" s="23">
        <f t="shared" si="2"/>
        <v>0.78082191780821919</v>
      </c>
      <c r="G19" s="28">
        <f t="shared" si="0"/>
        <v>30</v>
      </c>
      <c r="H19" s="29" t="s">
        <v>9</v>
      </c>
      <c r="I19" s="30">
        <v>1</v>
      </c>
      <c r="J19" s="31">
        <v>0</v>
      </c>
      <c r="K19" s="1">
        <v>1</v>
      </c>
      <c r="L19" s="32">
        <v>4.9344235403491901</v>
      </c>
      <c r="M19" s="32">
        <v>3.75</v>
      </c>
      <c r="N19" s="32">
        <v>1.1844235403491901</v>
      </c>
      <c r="O19" s="32"/>
      <c r="P19" s="32"/>
      <c r="Q19" s="32"/>
    </row>
    <row r="20" spans="1:17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0">
        <f t="shared" si="3"/>
        <v>0.28981054088575675</v>
      </c>
      <c r="F20" s="23">
        <f t="shared" si="2"/>
        <v>0.86301369863013699</v>
      </c>
      <c r="G20" s="28">
        <f t="shared" si="0"/>
        <v>31</v>
      </c>
      <c r="H20" s="29" t="s">
        <v>9</v>
      </c>
      <c r="I20" s="30">
        <v>1</v>
      </c>
      <c r="J20" s="31">
        <v>0</v>
      </c>
      <c r="K20" s="1">
        <v>1</v>
      </c>
      <c r="L20" s="32">
        <v>5.0068095489748217</v>
      </c>
      <c r="M20" s="32">
        <v>3.75</v>
      </c>
      <c r="N20" s="32">
        <v>1.2568095489748217</v>
      </c>
      <c r="O20" s="32"/>
      <c r="P20" s="32"/>
      <c r="Q20" s="32"/>
    </row>
    <row r="21" spans="1:17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0">
        <f t="shared" si="3"/>
        <v>0.28532001384146888</v>
      </c>
      <c r="F21" s="23">
        <f t="shared" si="2"/>
        <v>0.94246575342465755</v>
      </c>
      <c r="G21" s="28">
        <f t="shared" si="0"/>
        <v>30</v>
      </c>
      <c r="H21" s="29" t="s">
        <v>9</v>
      </c>
      <c r="I21" s="30">
        <v>1</v>
      </c>
      <c r="J21" s="31">
        <v>0</v>
      </c>
      <c r="K21" s="1">
        <v>1</v>
      </c>
      <c r="L21" s="32">
        <v>5.0736811380351483</v>
      </c>
      <c r="M21" s="32">
        <v>3.75</v>
      </c>
      <c r="N21" s="32">
        <v>1.3236811380351483</v>
      </c>
      <c r="O21" s="32"/>
      <c r="P21" s="32"/>
      <c r="Q21" s="32"/>
    </row>
    <row r="22" spans="1:17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18"/>
      <c r="M22" s="24"/>
      <c r="N22" s="25"/>
    </row>
    <row r="23" spans="1:17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H10:H21" xr:uid="{A024C9A3-D795-4AF6-A570-4AA8237C4597}">
      <formula1>$I$5:$I$7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C1A46-0C88-40A0-BAF2-46E6A9A409A7}">
  <sheetPr codeName="Sheet11"/>
  <dimension ref="A1:AG23"/>
  <sheetViews>
    <sheetView zoomScale="55" zoomScaleNormal="55" workbookViewId="0">
      <selection activeCell="M12" sqref="M12"/>
    </sheetView>
  </sheetViews>
  <sheetFormatPr defaultRowHeight="14.5" x14ac:dyDescent="0.35"/>
  <cols>
    <col min="1" max="7" width="14.453125" style="1" customWidth="1"/>
    <col min="8" max="11" width="15.1796875" style="1" customWidth="1"/>
    <col min="12" max="12" width="7.36328125" style="1" bestFit="1" customWidth="1"/>
    <col min="13" max="13" width="7.36328125" style="1" customWidth="1"/>
    <col min="14" max="14" width="10.7265625" style="1" bestFit="1" customWidth="1"/>
    <col min="15" max="15" width="10.7265625" style="1" customWidth="1"/>
    <col min="16" max="16" width="18.54296875" style="1" bestFit="1" customWidth="1"/>
    <col min="17" max="17" width="18.08984375" style="1" bestFit="1" customWidth="1"/>
    <col min="18" max="18" width="19.1796875" style="1" bestFit="1" customWidth="1"/>
    <col min="19" max="19" width="18.7265625" style="1" bestFit="1" customWidth="1"/>
    <col min="20" max="20" width="14.90625" style="1" bestFit="1" customWidth="1"/>
    <col min="21" max="21" width="14.453125" style="1" bestFit="1" customWidth="1"/>
    <col min="22" max="22" width="13.7265625" style="1" bestFit="1" customWidth="1"/>
    <col min="23" max="23" width="13.26953125" style="1" customWidth="1"/>
    <col min="24" max="24" width="17.81640625" style="1" bestFit="1" customWidth="1"/>
    <col min="25" max="25" width="17.36328125" style="1" bestFit="1" customWidth="1"/>
    <col min="26" max="26" width="14.453125" style="1" customWidth="1"/>
    <col min="27" max="27" width="10.6328125" style="1" bestFit="1" customWidth="1"/>
    <col min="28" max="28" width="12.1796875" style="1" bestFit="1" customWidth="1"/>
    <col min="29" max="29" width="11.81640625" style="1" customWidth="1"/>
    <col min="30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v>43811</v>
      </c>
      <c r="H3" s="4"/>
      <c r="I3" s="5"/>
      <c r="J3" s="5"/>
      <c r="K3" s="6"/>
    </row>
    <row r="4" spans="1:33" x14ac:dyDescent="0.35">
      <c r="H4" s="7"/>
      <c r="I4" s="8"/>
      <c r="J4" s="8"/>
      <c r="K4" s="9"/>
    </row>
    <row r="5" spans="1:33" x14ac:dyDescent="0.35">
      <c r="H5" s="7" t="s">
        <v>24</v>
      </c>
      <c r="I5" s="8"/>
      <c r="J5" s="8" t="s">
        <v>9</v>
      </c>
      <c r="K5" s="11">
        <v>1</v>
      </c>
    </row>
    <row r="6" spans="1:33" x14ac:dyDescent="0.35">
      <c r="B6" s="10"/>
      <c r="H6" s="7" t="s">
        <v>3</v>
      </c>
      <c r="I6" s="8"/>
      <c r="J6" s="8" t="s">
        <v>4</v>
      </c>
      <c r="K6" s="11">
        <v>0.35</v>
      </c>
    </row>
    <row r="7" spans="1:33" ht="15" thickBot="1" x14ac:dyDescent="0.4">
      <c r="H7" s="12" t="s">
        <v>5</v>
      </c>
      <c r="I7" s="13"/>
      <c r="J7" s="13" t="s">
        <v>6</v>
      </c>
      <c r="K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33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8" t="s">
        <v>10</v>
      </c>
      <c r="G9" s="17" t="s">
        <v>13</v>
      </c>
      <c r="H9" s="27" t="s">
        <v>19</v>
      </c>
      <c r="I9" s="27" t="s">
        <v>20</v>
      </c>
      <c r="J9" s="27" t="s">
        <v>21</v>
      </c>
      <c r="K9" s="27" t="s">
        <v>22</v>
      </c>
      <c r="L9" s="27" t="s">
        <v>53</v>
      </c>
      <c r="M9" s="27" t="s">
        <v>54</v>
      </c>
      <c r="N9" s="27" t="s">
        <v>55</v>
      </c>
      <c r="O9" s="27" t="s">
        <v>56</v>
      </c>
      <c r="P9" s="27" t="s">
        <v>57</v>
      </c>
      <c r="Q9" s="27" t="s">
        <v>58</v>
      </c>
      <c r="R9" s="27" t="s">
        <v>59</v>
      </c>
      <c r="S9" s="27" t="s">
        <v>60</v>
      </c>
      <c r="T9" s="27" t="s">
        <v>61</v>
      </c>
      <c r="U9" s="27" t="s">
        <v>62</v>
      </c>
      <c r="V9" s="27" t="s">
        <v>63</v>
      </c>
      <c r="W9" s="27" t="s">
        <v>64</v>
      </c>
      <c r="X9" s="27" t="s">
        <v>65</v>
      </c>
      <c r="Y9" s="27" t="s">
        <v>66</v>
      </c>
      <c r="Z9" s="27" t="s">
        <v>32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0">
        <v>0.35</v>
      </c>
      <c r="G10" s="23">
        <f>(B10-$B$3)/365</f>
        <v>3.0136986301369864E-2</v>
      </c>
      <c r="H10" s="28">
        <f t="shared" ref="H10:H21" si="0">DAY(EOMONTH(B10,0))</f>
        <v>31</v>
      </c>
      <c r="I10" s="29" t="s">
        <v>9</v>
      </c>
      <c r="J10" s="30">
        <v>1</v>
      </c>
      <c r="K10" s="31">
        <v>0</v>
      </c>
      <c r="L10" s="1">
        <v>1</v>
      </c>
      <c r="M10" s="1">
        <v>-1</v>
      </c>
      <c r="N10" s="32">
        <v>5.7329001814654834E-2</v>
      </c>
      <c r="O10" s="32">
        <v>4.3902655814136438E-3</v>
      </c>
      <c r="P10" s="32">
        <v>-2.2000000000000028</v>
      </c>
      <c r="Q10" s="32">
        <v>2.7999999999999972</v>
      </c>
      <c r="R10" s="32">
        <v>2.2573290018146577</v>
      </c>
      <c r="S10" s="32">
        <v>-2.7956097344185835</v>
      </c>
      <c r="T10" s="32"/>
      <c r="U10" s="32"/>
      <c r="V10" s="32"/>
      <c r="W10" s="32"/>
      <c r="X10" s="32"/>
      <c r="Y10" s="32"/>
      <c r="Z10" s="32"/>
    </row>
    <row r="11" spans="1:33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0">
        <f>20%+(F10-20%)*0.95</f>
        <v>0.34249999999999997</v>
      </c>
      <c r="G11" s="23">
        <f t="shared" ref="G11:G21" si="2">(B11-$B$3)/365</f>
        <v>0.11506849315068493</v>
      </c>
      <c r="H11" s="28">
        <f t="shared" si="0"/>
        <v>31</v>
      </c>
      <c r="I11" s="29" t="s">
        <v>9</v>
      </c>
      <c r="J11" s="30">
        <v>1</v>
      </c>
      <c r="K11" s="31">
        <v>0</v>
      </c>
      <c r="L11" s="1">
        <v>1</v>
      </c>
      <c r="M11" s="1">
        <v>-1</v>
      </c>
      <c r="N11" s="32">
        <v>1.6230423494048836</v>
      </c>
      <c r="O11" s="32">
        <v>-2.2051447333048202E-2</v>
      </c>
      <c r="P11" s="32">
        <v>0.75</v>
      </c>
      <c r="Q11" s="32">
        <v>5.75</v>
      </c>
      <c r="R11" s="32">
        <v>0.87304234940488357</v>
      </c>
      <c r="S11" s="32">
        <v>-5.7720514473330482</v>
      </c>
      <c r="T11" s="32"/>
      <c r="U11" s="32"/>
      <c r="V11" s="32"/>
      <c r="W11" s="32"/>
      <c r="X11" s="32"/>
      <c r="Y11" s="32"/>
      <c r="Z11" s="32"/>
    </row>
    <row r="12" spans="1:33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0">
        <f t="shared" ref="F12:F21" si="3">20%+(F11-20%)*0.95</f>
        <v>0.33537499999999998</v>
      </c>
      <c r="G12" s="23">
        <f t="shared" si="2"/>
        <v>0.19178082191780821</v>
      </c>
      <c r="H12" s="28">
        <f t="shared" si="0"/>
        <v>29</v>
      </c>
      <c r="I12" s="29" t="s">
        <v>9</v>
      </c>
      <c r="J12" s="30">
        <v>1</v>
      </c>
      <c r="K12" s="31">
        <v>0</v>
      </c>
      <c r="L12" s="1">
        <v>1</v>
      </c>
      <c r="M12" s="1">
        <v>-1</v>
      </c>
      <c r="N12" s="32">
        <v>0.42136837983376019</v>
      </c>
      <c r="O12" s="32">
        <v>0.61423486081020684</v>
      </c>
      <c r="P12" s="32">
        <v>-3.1000000000000014</v>
      </c>
      <c r="Q12" s="32">
        <v>1.8999999999999986</v>
      </c>
      <c r="R12" s="32">
        <v>3.5213683798337616</v>
      </c>
      <c r="S12" s="32">
        <v>-1.2857651391897917</v>
      </c>
      <c r="T12" s="32"/>
      <c r="U12" s="32"/>
      <c r="V12" s="32"/>
      <c r="W12" s="32"/>
      <c r="X12" s="32"/>
      <c r="Y12" s="32"/>
      <c r="Z12" s="32"/>
    </row>
    <row r="13" spans="1:33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0">
        <f t="shared" si="3"/>
        <v>0.32860624999999999</v>
      </c>
      <c r="G13" s="23">
        <f t="shared" si="2"/>
        <v>0.27945205479452057</v>
      </c>
      <c r="H13" s="28">
        <f t="shared" si="0"/>
        <v>31</v>
      </c>
      <c r="I13" s="29" t="s">
        <v>9</v>
      </c>
      <c r="J13" s="30">
        <v>1</v>
      </c>
      <c r="K13" s="31">
        <v>0</v>
      </c>
      <c r="L13" s="1">
        <v>1</v>
      </c>
      <c r="M13" s="1">
        <v>-1</v>
      </c>
      <c r="N13" s="32">
        <v>0.22757480237186467</v>
      </c>
      <c r="O13" s="32">
        <v>1.7123136288191674</v>
      </c>
      <c r="P13" s="32">
        <v>-5.25</v>
      </c>
      <c r="Q13" s="32">
        <v>-0.25</v>
      </c>
      <c r="R13" s="32">
        <v>5.4775748023718647</v>
      </c>
      <c r="S13" s="32">
        <v>1.9623136288191674</v>
      </c>
      <c r="T13" s="32"/>
      <c r="U13" s="32"/>
      <c r="V13" s="32"/>
      <c r="W13" s="32"/>
      <c r="X13" s="32"/>
      <c r="Y13" s="32"/>
      <c r="Z13" s="32"/>
    </row>
    <row r="14" spans="1:33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0">
        <f t="shared" si="3"/>
        <v>0.32217593749999995</v>
      </c>
      <c r="G14" s="23">
        <f t="shared" si="2"/>
        <v>0.36164383561643837</v>
      </c>
      <c r="H14" s="28">
        <f t="shared" si="0"/>
        <v>30</v>
      </c>
      <c r="I14" s="29" t="s">
        <v>9</v>
      </c>
      <c r="J14" s="30">
        <v>1</v>
      </c>
      <c r="K14" s="31">
        <v>0</v>
      </c>
      <c r="L14" s="1">
        <v>1</v>
      </c>
      <c r="M14" s="1">
        <v>-1</v>
      </c>
      <c r="N14" s="32">
        <v>0.32584188983005902</v>
      </c>
      <c r="O14" s="32">
        <v>1.8891281152612152</v>
      </c>
      <c r="P14" s="32">
        <v>-5.25</v>
      </c>
      <c r="Q14" s="32">
        <v>-0.25</v>
      </c>
      <c r="R14" s="32">
        <v>5.575841889830059</v>
      </c>
      <c r="S14" s="32">
        <v>2.1391281152612152</v>
      </c>
      <c r="T14" s="32"/>
      <c r="U14" s="32"/>
      <c r="V14" s="32"/>
      <c r="W14" s="32"/>
      <c r="X14" s="32"/>
      <c r="Y14" s="32"/>
      <c r="Z14" s="32"/>
    </row>
    <row r="15" spans="1:33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0">
        <f>20%+(F14-20%)*0.95</f>
        <v>0.31606714062499996</v>
      </c>
      <c r="G15" s="23">
        <f t="shared" si="2"/>
        <v>0.44109589041095892</v>
      </c>
      <c r="H15" s="28">
        <f t="shared" si="0"/>
        <v>31</v>
      </c>
      <c r="I15" s="29" t="s">
        <v>9</v>
      </c>
      <c r="J15" s="30">
        <v>1</v>
      </c>
      <c r="K15" s="31">
        <v>0</v>
      </c>
      <c r="L15" s="1">
        <v>1</v>
      </c>
      <c r="M15" s="1">
        <v>-1</v>
      </c>
      <c r="N15" s="32">
        <v>0.41249689718847637</v>
      </c>
      <c r="O15" s="32">
        <v>2.0281944073519256</v>
      </c>
      <c r="P15" s="32">
        <v>-5.25</v>
      </c>
      <c r="Q15" s="32">
        <v>-0.25</v>
      </c>
      <c r="R15" s="32">
        <v>5.6624968971884764</v>
      </c>
      <c r="S15" s="32">
        <v>2.2781944073519256</v>
      </c>
      <c r="T15" s="32"/>
      <c r="U15" s="32"/>
      <c r="V15" s="32"/>
      <c r="W15" s="32"/>
      <c r="X15" s="32"/>
      <c r="Y15" s="32"/>
      <c r="Z15" s="32"/>
    </row>
    <row r="16" spans="1:33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0">
        <f t="shared" si="3"/>
        <v>0.31026378359374995</v>
      </c>
      <c r="G16" s="23">
        <f t="shared" si="2"/>
        <v>0.52876712328767128</v>
      </c>
      <c r="H16" s="28">
        <f t="shared" si="0"/>
        <v>30</v>
      </c>
      <c r="I16" s="29" t="s">
        <v>9</v>
      </c>
      <c r="J16" s="30">
        <v>1</v>
      </c>
      <c r="K16" s="31">
        <v>0</v>
      </c>
      <c r="L16" s="1">
        <v>1</v>
      </c>
      <c r="M16" s="1">
        <v>-1</v>
      </c>
      <c r="N16" s="32">
        <v>1.4440396159920823</v>
      </c>
      <c r="O16" s="32">
        <v>0.86475992699529769</v>
      </c>
      <c r="P16" s="32">
        <v>-1.8999999999999986</v>
      </c>
      <c r="Q16" s="32">
        <v>3.1000000000000014</v>
      </c>
      <c r="R16" s="32">
        <v>3.3440396159920809</v>
      </c>
      <c r="S16" s="32">
        <v>-2.2352400730047037</v>
      </c>
      <c r="T16" s="32"/>
      <c r="U16" s="32"/>
      <c r="V16" s="32"/>
      <c r="W16" s="32"/>
      <c r="X16" s="32"/>
      <c r="Y16" s="32"/>
      <c r="Z16" s="32"/>
    </row>
    <row r="17" spans="1:26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0">
        <f t="shared" si="3"/>
        <v>0.30475059441406244</v>
      </c>
      <c r="G17" s="23">
        <f t="shared" si="2"/>
        <v>0.61369863013698633</v>
      </c>
      <c r="H17" s="28">
        <f t="shared" si="0"/>
        <v>31</v>
      </c>
      <c r="I17" s="29" t="s">
        <v>9</v>
      </c>
      <c r="J17" s="30">
        <v>1</v>
      </c>
      <c r="K17" s="31">
        <v>0</v>
      </c>
      <c r="L17" s="1">
        <v>1</v>
      </c>
      <c r="M17" s="1">
        <v>-1</v>
      </c>
      <c r="N17" s="32">
        <v>1.5616166109280982</v>
      </c>
      <c r="O17" s="32">
        <v>0.95989052819748366</v>
      </c>
      <c r="P17" s="32">
        <v>-1.8999999999999986</v>
      </c>
      <c r="Q17" s="32">
        <v>3.1000000000000014</v>
      </c>
      <c r="R17" s="32">
        <v>3.4616166109280968</v>
      </c>
      <c r="S17" s="32">
        <v>-2.1401094718025178</v>
      </c>
      <c r="T17" s="32"/>
      <c r="U17" s="32"/>
      <c r="V17" s="32"/>
      <c r="W17" s="32"/>
      <c r="X17" s="32"/>
      <c r="Y17" s="32"/>
      <c r="Z17" s="32"/>
    </row>
    <row r="18" spans="1:26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0">
        <f t="shared" si="3"/>
        <v>0.29951306469335931</v>
      </c>
      <c r="G18" s="23">
        <f t="shared" si="2"/>
        <v>0.69315068493150689</v>
      </c>
      <c r="H18" s="28">
        <f t="shared" si="0"/>
        <v>31</v>
      </c>
      <c r="I18" s="29" t="s">
        <v>9</v>
      </c>
      <c r="J18" s="30">
        <v>1</v>
      </c>
      <c r="K18" s="31">
        <v>0</v>
      </c>
      <c r="L18" s="1">
        <v>1</v>
      </c>
      <c r="M18" s="1">
        <v>-1</v>
      </c>
      <c r="N18" s="32">
        <v>1.658135612258274</v>
      </c>
      <c r="O18" s="32">
        <v>1.038861117693493</v>
      </c>
      <c r="P18" s="32">
        <v>-1.8999999999999986</v>
      </c>
      <c r="Q18" s="32">
        <v>3.1000000000000014</v>
      </c>
      <c r="R18" s="32">
        <v>3.5581356122582726</v>
      </c>
      <c r="S18" s="32">
        <v>-2.0611388823065084</v>
      </c>
      <c r="T18" s="32"/>
      <c r="U18" s="32"/>
      <c r="V18" s="32"/>
      <c r="W18" s="32"/>
      <c r="X18" s="32"/>
      <c r="Y18" s="32"/>
      <c r="Z18" s="32"/>
    </row>
    <row r="19" spans="1:26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0">
        <f t="shared" si="3"/>
        <v>0.29453741145869133</v>
      </c>
      <c r="G19" s="23">
        <f t="shared" si="2"/>
        <v>0.78082191780821919</v>
      </c>
      <c r="H19" s="28">
        <f t="shared" si="0"/>
        <v>30</v>
      </c>
      <c r="I19" s="29" t="s">
        <v>9</v>
      </c>
      <c r="J19" s="30">
        <v>1</v>
      </c>
      <c r="K19" s="31">
        <v>0</v>
      </c>
      <c r="L19" s="1">
        <v>1</v>
      </c>
      <c r="M19" s="1">
        <v>-1</v>
      </c>
      <c r="N19" s="32">
        <v>4.9344235403491901</v>
      </c>
      <c r="O19" s="32">
        <v>6.9827590650938021E-2</v>
      </c>
      <c r="P19" s="32">
        <v>3.75</v>
      </c>
      <c r="Q19" s="32">
        <v>8.75</v>
      </c>
      <c r="R19" s="32">
        <v>1.1844235403491901</v>
      </c>
      <c r="S19" s="32">
        <v>-8.680172409349062</v>
      </c>
      <c r="T19" s="32"/>
      <c r="U19" s="32"/>
      <c r="V19" s="32"/>
      <c r="W19" s="32"/>
      <c r="X19" s="32"/>
      <c r="Y19" s="32"/>
      <c r="Z19" s="32"/>
    </row>
    <row r="20" spans="1:26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0">
        <f t="shared" si="3"/>
        <v>0.28981054088575675</v>
      </c>
      <c r="G20" s="23">
        <f t="shared" si="2"/>
        <v>0.86301369863013699</v>
      </c>
      <c r="H20" s="28">
        <f t="shared" si="0"/>
        <v>31</v>
      </c>
      <c r="I20" s="29" t="s">
        <v>9</v>
      </c>
      <c r="J20" s="30">
        <v>1</v>
      </c>
      <c r="K20" s="31">
        <v>0</v>
      </c>
      <c r="L20" s="1">
        <v>1</v>
      </c>
      <c r="M20" s="1">
        <v>-1</v>
      </c>
      <c r="N20" s="32">
        <v>5.0068095489748217</v>
      </c>
      <c r="O20" s="32">
        <v>9.5278325206741954E-2</v>
      </c>
      <c r="P20" s="32">
        <v>3.75</v>
      </c>
      <c r="Q20" s="32">
        <v>8.75</v>
      </c>
      <c r="R20" s="32">
        <v>1.2568095489748217</v>
      </c>
      <c r="S20" s="32">
        <v>-8.654721674793258</v>
      </c>
      <c r="T20" s="32"/>
      <c r="U20" s="32"/>
      <c r="V20" s="32"/>
      <c r="W20" s="32"/>
      <c r="X20" s="32"/>
      <c r="Y20" s="32"/>
      <c r="Z20" s="32"/>
    </row>
    <row r="21" spans="1:26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0">
        <f t="shared" si="3"/>
        <v>0.28532001384146888</v>
      </c>
      <c r="G21" s="23">
        <f t="shared" si="2"/>
        <v>0.94246575342465755</v>
      </c>
      <c r="H21" s="28">
        <f t="shared" si="0"/>
        <v>30</v>
      </c>
      <c r="I21" s="29" t="s">
        <v>9</v>
      </c>
      <c r="J21" s="30">
        <v>1</v>
      </c>
      <c r="K21" s="31">
        <v>0</v>
      </c>
      <c r="L21" s="1">
        <v>1</v>
      </c>
      <c r="M21" s="1">
        <v>-1</v>
      </c>
      <c r="N21" s="32">
        <v>5.0736811380351483</v>
      </c>
      <c r="O21" s="32">
        <v>0.12082194878772867</v>
      </c>
      <c r="P21" s="32">
        <v>3.75</v>
      </c>
      <c r="Q21" s="32">
        <v>8.75</v>
      </c>
      <c r="R21" s="32">
        <v>1.3236811380351483</v>
      </c>
      <c r="S21" s="32">
        <v>-8.6291780512122713</v>
      </c>
      <c r="T21" s="32"/>
      <c r="U21" s="32"/>
      <c r="V21" s="32"/>
      <c r="W21" s="32"/>
      <c r="X21" s="32"/>
      <c r="Y21" s="32"/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1"/>
      <c r="I22" s="22"/>
      <c r="J22" s="22"/>
      <c r="K22" s="22"/>
      <c r="L22" s="23"/>
      <c r="M22" s="23"/>
      <c r="N22" s="18"/>
      <c r="O22" s="18"/>
      <c r="P22" s="24"/>
      <c r="Q22" s="24"/>
      <c r="R22" s="25"/>
      <c r="S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</sheetData>
  <phoneticPr fontId="7" type="noConversion"/>
  <dataValidations count="1">
    <dataValidation type="list" allowBlank="1" showInputMessage="1" showErrorMessage="1" sqref="I10:I21" xr:uid="{46DC3ACC-1F1D-43C8-9AA1-FE8516F81021}">
      <formula1>$J$5:$J$7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4715-6A61-4E60-9E3E-714E9DCA645A}">
  <sheetPr codeName="Sheet12"/>
  <dimension ref="A1:AO23"/>
  <sheetViews>
    <sheetView zoomScale="55" zoomScaleNormal="55" workbookViewId="0">
      <selection activeCell="AE9" sqref="AE9:AG9"/>
    </sheetView>
  </sheetViews>
  <sheetFormatPr defaultRowHeight="14.5" x14ac:dyDescent="0.35"/>
  <cols>
    <col min="1" max="4" width="14.453125" style="1" customWidth="1"/>
    <col min="5" max="5" width="16.08984375" style="1" bestFit="1" customWidth="1"/>
    <col min="6" max="6" width="15.7265625" style="1" bestFit="1" customWidth="1"/>
    <col min="7" max="8" width="14.453125" style="1" customWidth="1"/>
    <col min="9" max="12" width="15.1796875" style="1" customWidth="1"/>
    <col min="13" max="13" width="7.36328125" style="1" bestFit="1" customWidth="1"/>
    <col min="14" max="15" width="7.36328125" style="1" customWidth="1"/>
    <col min="16" max="16" width="10.7265625" style="1" bestFit="1" customWidth="1"/>
    <col min="17" max="18" width="10.7265625" style="1" customWidth="1"/>
    <col min="19" max="19" width="13.81640625" style="1" bestFit="1" customWidth="1"/>
    <col min="20" max="21" width="13.81640625" style="1" customWidth="1"/>
    <col min="22" max="22" width="15.453125" style="1" bestFit="1" customWidth="1"/>
    <col min="23" max="24" width="15.453125" style="1" customWidth="1"/>
    <col min="25" max="33" width="13.26953125" style="1" customWidth="1"/>
    <col min="34" max="34" width="21.54296875" style="1" bestFit="1" customWidth="1"/>
    <col min="35" max="35" width="9.1796875" style="1" bestFit="1" customWidth="1"/>
    <col min="36" max="36" width="12.1796875" style="1" bestFit="1" customWidth="1"/>
    <col min="37" max="37" width="11.81640625" style="1" customWidth="1"/>
    <col min="38" max="16384" width="8.7265625" style="1"/>
  </cols>
  <sheetData>
    <row r="1" spans="1:41" ht="40" customHeight="1" x14ac:dyDescent="0.35"/>
    <row r="2" spans="1:41" ht="15" thickBot="1" x14ac:dyDescent="0.4"/>
    <row r="3" spans="1:41" ht="15" thickBot="1" x14ac:dyDescent="0.4">
      <c r="A3" s="2" t="s">
        <v>0</v>
      </c>
      <c r="B3" s="3">
        <v>43811</v>
      </c>
      <c r="I3" s="4"/>
      <c r="J3" s="5"/>
      <c r="K3" s="5"/>
      <c r="L3" s="6"/>
    </row>
    <row r="4" spans="1:41" x14ac:dyDescent="0.35">
      <c r="I4" s="7"/>
      <c r="J4" s="8"/>
      <c r="K4" s="8"/>
      <c r="L4" s="9"/>
    </row>
    <row r="5" spans="1:41" x14ac:dyDescent="0.35">
      <c r="I5" s="7" t="s">
        <v>24</v>
      </c>
      <c r="J5" s="8"/>
      <c r="K5" s="8" t="s">
        <v>9</v>
      </c>
      <c r="L5" s="11">
        <v>1</v>
      </c>
    </row>
    <row r="6" spans="1:41" x14ac:dyDescent="0.35">
      <c r="B6" s="10"/>
      <c r="I6" s="7" t="s">
        <v>3</v>
      </c>
      <c r="J6" s="8"/>
      <c r="K6" s="8" t="s">
        <v>4</v>
      </c>
      <c r="L6" s="11">
        <v>0.35</v>
      </c>
    </row>
    <row r="7" spans="1:41" ht="15" thickBot="1" x14ac:dyDescent="0.4">
      <c r="I7" s="12" t="s">
        <v>5</v>
      </c>
      <c r="J7" s="13"/>
      <c r="K7" s="13" t="s">
        <v>6</v>
      </c>
      <c r="L7" s="14">
        <v>0.65</v>
      </c>
    </row>
    <row r="8" spans="1:41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41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7" t="s">
        <v>67</v>
      </c>
      <c r="G9" s="38" t="s">
        <v>10</v>
      </c>
      <c r="H9" s="17" t="s">
        <v>13</v>
      </c>
      <c r="I9" s="27" t="s">
        <v>19</v>
      </c>
      <c r="J9" s="27" t="s">
        <v>20</v>
      </c>
      <c r="K9" s="27" t="s">
        <v>21</v>
      </c>
      <c r="L9" s="27" t="s">
        <v>22</v>
      </c>
      <c r="M9" s="27" t="s">
        <v>53</v>
      </c>
      <c r="N9" s="27" t="s">
        <v>54</v>
      </c>
      <c r="O9" s="27" t="s">
        <v>68</v>
      </c>
      <c r="P9" s="27" t="s">
        <v>55</v>
      </c>
      <c r="Q9" s="27" t="s">
        <v>56</v>
      </c>
      <c r="R9" s="27" t="s">
        <v>69</v>
      </c>
      <c r="S9" s="27" t="s">
        <v>57</v>
      </c>
      <c r="T9" s="27" t="s">
        <v>58</v>
      </c>
      <c r="U9" s="27" t="s">
        <v>70</v>
      </c>
      <c r="V9" s="27" t="s">
        <v>59</v>
      </c>
      <c r="W9" s="27" t="s">
        <v>60</v>
      </c>
      <c r="X9" s="27" t="s">
        <v>71</v>
      </c>
      <c r="Y9" s="27" t="s">
        <v>61</v>
      </c>
      <c r="Z9" s="27" t="s">
        <v>62</v>
      </c>
      <c r="AA9" s="27" t="s">
        <v>72</v>
      </c>
      <c r="AB9" s="27" t="s">
        <v>63</v>
      </c>
      <c r="AC9" s="27" t="s">
        <v>64</v>
      </c>
      <c r="AD9" s="27" t="s">
        <v>73</v>
      </c>
      <c r="AE9" s="27" t="s">
        <v>65</v>
      </c>
      <c r="AF9" s="27" t="s">
        <v>66</v>
      </c>
      <c r="AG9" s="27" t="s">
        <v>74</v>
      </c>
      <c r="AH9" s="27" t="s">
        <v>33</v>
      </c>
      <c r="AI9" s="27" t="s">
        <v>44</v>
      </c>
      <c r="AJ9" s="27" t="s">
        <v>41</v>
      </c>
      <c r="AK9" s="27" t="s">
        <v>43</v>
      </c>
      <c r="AL9" s="27" t="s">
        <v>43</v>
      </c>
      <c r="AM9" s="27" t="s">
        <v>42</v>
      </c>
      <c r="AN9" s="27" t="s">
        <v>45</v>
      </c>
      <c r="AO9" s="27" t="s">
        <v>50</v>
      </c>
    </row>
    <row r="10" spans="1:41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2">
        <v>35</v>
      </c>
      <c r="G10" s="40">
        <v>0.35</v>
      </c>
      <c r="H10" s="23">
        <f>(B10-$B$3)/365</f>
        <v>3.0136986301369864E-2</v>
      </c>
      <c r="I10" s="28">
        <f t="shared" ref="I10:I21" si="0">DAY(EOMONTH(B10,0))</f>
        <v>31</v>
      </c>
      <c r="J10" s="29" t="s">
        <v>9</v>
      </c>
      <c r="K10" s="30">
        <v>1</v>
      </c>
      <c r="L10" s="31">
        <v>0</v>
      </c>
      <c r="M10" s="1">
        <v>1</v>
      </c>
      <c r="N10" s="1">
        <v>-1</v>
      </c>
      <c r="O10" s="1">
        <v>-1</v>
      </c>
      <c r="P10" s="32">
        <v>5.7329001814654834E-2</v>
      </c>
      <c r="Q10" s="32">
        <v>4.3902655814136438E-3</v>
      </c>
      <c r="R10" s="32">
        <v>-1.315162619732746E-2</v>
      </c>
      <c r="S10" s="32">
        <v>-2.2000000000000028</v>
      </c>
      <c r="T10" s="32">
        <v>2.7999999999999972</v>
      </c>
      <c r="U10" s="32">
        <v>7.7999999999999972</v>
      </c>
      <c r="V10" s="32">
        <v>2.2573290018146577</v>
      </c>
      <c r="W10" s="32">
        <v>-7.7956097344185835</v>
      </c>
      <c r="X10" s="32">
        <v>-7.8131516261973246</v>
      </c>
      <c r="Y10" s="32"/>
      <c r="Z10" s="32"/>
      <c r="AA10" s="32"/>
      <c r="AB10" s="32"/>
      <c r="AC10" s="32"/>
      <c r="AD10" s="32"/>
      <c r="AE10" s="32"/>
    </row>
    <row r="11" spans="1:41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2">
        <v>35</v>
      </c>
      <c r="G11" s="40">
        <f>20%+(G10-20%)*0.95</f>
        <v>0.34249999999999997</v>
      </c>
      <c r="H11" s="23">
        <f t="shared" ref="H11:H21" si="2">(B11-$B$3)/365</f>
        <v>0.11506849315068493</v>
      </c>
      <c r="I11" s="28">
        <f t="shared" si="0"/>
        <v>31</v>
      </c>
      <c r="J11" s="29" t="s">
        <v>9</v>
      </c>
      <c r="K11" s="30">
        <v>1</v>
      </c>
      <c r="L11" s="31">
        <v>0</v>
      </c>
      <c r="M11" s="1">
        <v>1</v>
      </c>
      <c r="N11" s="1">
        <v>-1</v>
      </c>
      <c r="O11" s="1">
        <v>-1</v>
      </c>
      <c r="P11" s="32">
        <v>1.6230423494048836</v>
      </c>
      <c r="Q11" s="32">
        <v>-2.2051447333048202E-2</v>
      </c>
      <c r="R11" s="32">
        <v>-5.1346843090065875E-2</v>
      </c>
      <c r="S11" s="32">
        <v>0.75</v>
      </c>
      <c r="T11" s="32">
        <v>5.75</v>
      </c>
      <c r="U11" s="32">
        <v>10.75</v>
      </c>
      <c r="V11" s="32">
        <v>0.87304234940488357</v>
      </c>
      <c r="W11" s="32">
        <v>-10.772051447333048</v>
      </c>
      <c r="X11" s="32">
        <v>-10.801346843090066</v>
      </c>
      <c r="Y11" s="32"/>
      <c r="Z11" s="32"/>
      <c r="AA11" s="32"/>
      <c r="AB11" s="32"/>
      <c r="AC11" s="32"/>
      <c r="AD11" s="32"/>
      <c r="AE11" s="32"/>
    </row>
    <row r="12" spans="1:41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2">
        <v>35</v>
      </c>
      <c r="G12" s="40">
        <f t="shared" ref="G12:G21" si="3">20%+(G11-20%)*0.95</f>
        <v>0.33537499999999998</v>
      </c>
      <c r="H12" s="23">
        <f t="shared" si="2"/>
        <v>0.19178082191780821</v>
      </c>
      <c r="I12" s="28">
        <f t="shared" si="0"/>
        <v>29</v>
      </c>
      <c r="J12" s="29" t="s">
        <v>9</v>
      </c>
      <c r="K12" s="30">
        <v>1</v>
      </c>
      <c r="L12" s="31">
        <v>0</v>
      </c>
      <c r="M12" s="1">
        <v>1</v>
      </c>
      <c r="N12" s="1">
        <v>-1</v>
      </c>
      <c r="O12" s="1">
        <v>-1</v>
      </c>
      <c r="P12" s="32">
        <v>0.42136837983376019</v>
      </c>
      <c r="Q12" s="32">
        <v>0.61423486081020684</v>
      </c>
      <c r="R12" s="32">
        <v>-5.0352565548806183E-2</v>
      </c>
      <c r="S12" s="32">
        <v>-3.1000000000000014</v>
      </c>
      <c r="T12" s="32">
        <v>1.8999999999999986</v>
      </c>
      <c r="U12" s="32">
        <v>6.8999999999999986</v>
      </c>
      <c r="V12" s="32">
        <v>3.5213683798337616</v>
      </c>
      <c r="W12" s="32">
        <v>-6.2857651391897917</v>
      </c>
      <c r="X12" s="32">
        <v>-6.9503525655488048</v>
      </c>
      <c r="Y12" s="32"/>
      <c r="Z12" s="32"/>
      <c r="AA12" s="32"/>
      <c r="AB12" s="32"/>
      <c r="AC12" s="32"/>
      <c r="AD12" s="32"/>
      <c r="AE12" s="32"/>
    </row>
    <row r="13" spans="1:41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2">
        <v>35</v>
      </c>
      <c r="G13" s="40">
        <f t="shared" si="3"/>
        <v>0.32860624999999999</v>
      </c>
      <c r="H13" s="23">
        <f t="shared" si="2"/>
        <v>0.27945205479452057</v>
      </c>
      <c r="I13" s="28">
        <f t="shared" si="0"/>
        <v>31</v>
      </c>
      <c r="J13" s="29" t="s">
        <v>9</v>
      </c>
      <c r="K13" s="30">
        <v>1</v>
      </c>
      <c r="L13" s="31">
        <v>0</v>
      </c>
      <c r="M13" s="1">
        <v>1</v>
      </c>
      <c r="N13" s="1">
        <v>-1</v>
      </c>
      <c r="O13" s="1">
        <v>-1</v>
      </c>
      <c r="P13" s="32">
        <v>0.22757480237186467</v>
      </c>
      <c r="Q13" s="32">
        <v>1.7123136288191674</v>
      </c>
      <c r="R13" s="32">
        <v>0.10844618062191103</v>
      </c>
      <c r="S13" s="32">
        <v>-5.25</v>
      </c>
      <c r="T13" s="32">
        <v>-0.25</v>
      </c>
      <c r="U13" s="32">
        <v>4.75</v>
      </c>
      <c r="V13" s="32">
        <v>5.4775748023718647</v>
      </c>
      <c r="W13" s="32">
        <v>-3.0376863711808326</v>
      </c>
      <c r="X13" s="32">
        <v>-4.641553819378089</v>
      </c>
      <c r="Y13" s="32"/>
      <c r="Z13" s="32"/>
      <c r="AA13" s="32"/>
      <c r="AB13" s="32"/>
      <c r="AC13" s="32"/>
      <c r="AD13" s="32"/>
      <c r="AE13" s="32"/>
    </row>
    <row r="14" spans="1:41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2">
        <v>35</v>
      </c>
      <c r="G14" s="40">
        <f t="shared" si="3"/>
        <v>0.32217593749999995</v>
      </c>
      <c r="H14" s="23">
        <f t="shared" si="2"/>
        <v>0.36164383561643837</v>
      </c>
      <c r="I14" s="28">
        <f t="shared" si="0"/>
        <v>30</v>
      </c>
      <c r="J14" s="29" t="s">
        <v>9</v>
      </c>
      <c r="K14" s="30">
        <v>1</v>
      </c>
      <c r="L14" s="31">
        <v>0</v>
      </c>
      <c r="M14" s="1">
        <v>1</v>
      </c>
      <c r="N14" s="1">
        <v>-1</v>
      </c>
      <c r="O14" s="1">
        <v>-1</v>
      </c>
      <c r="P14" s="32">
        <v>0.32584188983005902</v>
      </c>
      <c r="Q14" s="32">
        <v>1.8891281152612152</v>
      </c>
      <c r="R14" s="32">
        <v>0.17880015286263529</v>
      </c>
      <c r="S14" s="32">
        <v>-5.25</v>
      </c>
      <c r="T14" s="32">
        <v>-0.25</v>
      </c>
      <c r="U14" s="32">
        <v>4.75</v>
      </c>
      <c r="V14" s="32">
        <v>5.575841889830059</v>
      </c>
      <c r="W14" s="32">
        <v>-2.8608718847387848</v>
      </c>
      <c r="X14" s="32">
        <v>-4.5711998471373647</v>
      </c>
      <c r="Y14" s="32"/>
      <c r="Z14" s="32"/>
      <c r="AA14" s="32"/>
      <c r="AB14" s="32"/>
      <c r="AC14" s="32"/>
      <c r="AD14" s="32"/>
      <c r="AE14" s="32"/>
    </row>
    <row r="15" spans="1:41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2">
        <v>35</v>
      </c>
      <c r="G15" s="40">
        <f>20%+(G14-20%)*0.95</f>
        <v>0.31606714062499996</v>
      </c>
      <c r="H15" s="23">
        <f t="shared" si="2"/>
        <v>0.44109589041095892</v>
      </c>
      <c r="I15" s="28">
        <f t="shared" si="0"/>
        <v>31</v>
      </c>
      <c r="J15" s="29" t="s">
        <v>9</v>
      </c>
      <c r="K15" s="30">
        <v>1</v>
      </c>
      <c r="L15" s="31">
        <v>0</v>
      </c>
      <c r="M15" s="1">
        <v>1</v>
      </c>
      <c r="N15" s="1">
        <v>-1</v>
      </c>
      <c r="O15" s="1">
        <v>-1</v>
      </c>
      <c r="P15" s="32">
        <v>0.41249689718847637</v>
      </c>
      <c r="Q15" s="32">
        <v>2.0281944073519256</v>
      </c>
      <c r="R15" s="32">
        <v>0.24214312212140499</v>
      </c>
      <c r="S15" s="32">
        <v>-5.25</v>
      </c>
      <c r="T15" s="32">
        <v>-0.25</v>
      </c>
      <c r="U15" s="32">
        <v>4.75</v>
      </c>
      <c r="V15" s="32">
        <v>5.6624968971884764</v>
      </c>
      <c r="W15" s="32">
        <v>-2.7218055926480744</v>
      </c>
      <c r="X15" s="32">
        <v>-4.507856877878595</v>
      </c>
      <c r="Y15" s="32"/>
      <c r="Z15" s="32"/>
      <c r="AA15" s="32"/>
      <c r="AB15" s="32"/>
      <c r="AC15" s="32"/>
      <c r="AD15" s="32"/>
      <c r="AE15" s="32"/>
    </row>
    <row r="16" spans="1:41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2">
        <v>35</v>
      </c>
      <c r="G16" s="40">
        <f t="shared" si="3"/>
        <v>0.31026378359374995</v>
      </c>
      <c r="H16" s="23">
        <f t="shared" si="2"/>
        <v>0.52876712328767128</v>
      </c>
      <c r="I16" s="28">
        <f t="shared" si="0"/>
        <v>30</v>
      </c>
      <c r="J16" s="29" t="s">
        <v>9</v>
      </c>
      <c r="K16" s="30">
        <v>1</v>
      </c>
      <c r="L16" s="31">
        <v>0</v>
      </c>
      <c r="M16" s="1">
        <v>1</v>
      </c>
      <c r="N16" s="1">
        <v>-1</v>
      </c>
      <c r="O16" s="1">
        <v>-1</v>
      </c>
      <c r="P16" s="32">
        <v>1.4440396159920823</v>
      </c>
      <c r="Q16" s="32">
        <v>0.86475992699529769</v>
      </c>
      <c r="R16" s="32">
        <v>-4.0075602279053157E-2</v>
      </c>
      <c r="S16" s="32">
        <v>-1.8999999999999986</v>
      </c>
      <c r="T16" s="32">
        <v>3.1000000000000014</v>
      </c>
      <c r="U16" s="32">
        <v>8.1000000000000014</v>
      </c>
      <c r="V16" s="32">
        <v>3.3440396159920809</v>
      </c>
      <c r="W16" s="32">
        <v>-7.2352400730047037</v>
      </c>
      <c r="X16" s="32">
        <v>-8.1400756022790546</v>
      </c>
      <c r="Y16" s="32"/>
      <c r="Z16" s="32"/>
      <c r="AA16" s="32"/>
      <c r="AB16" s="32"/>
      <c r="AC16" s="32"/>
      <c r="AD16" s="32"/>
      <c r="AE16" s="32"/>
    </row>
    <row r="17" spans="1:31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2">
        <v>35</v>
      </c>
      <c r="G17" s="40">
        <f t="shared" si="3"/>
        <v>0.30475059441406244</v>
      </c>
      <c r="H17" s="23">
        <f t="shared" si="2"/>
        <v>0.61369863013698633</v>
      </c>
      <c r="I17" s="28">
        <f t="shared" si="0"/>
        <v>31</v>
      </c>
      <c r="J17" s="29" t="s">
        <v>9</v>
      </c>
      <c r="K17" s="30">
        <v>1</v>
      </c>
      <c r="L17" s="31">
        <v>0</v>
      </c>
      <c r="M17" s="1">
        <v>1</v>
      </c>
      <c r="N17" s="1">
        <v>-1</v>
      </c>
      <c r="O17" s="1">
        <v>-1</v>
      </c>
      <c r="P17" s="32">
        <v>1.5616166109280982</v>
      </c>
      <c r="Q17" s="32">
        <v>0.95989052819748366</v>
      </c>
      <c r="R17" s="32">
        <v>-2.1235199204603816E-2</v>
      </c>
      <c r="S17" s="32">
        <v>-1.8999999999999986</v>
      </c>
      <c r="T17" s="32">
        <v>3.1000000000000014</v>
      </c>
      <c r="U17" s="32">
        <v>8.1000000000000014</v>
      </c>
      <c r="V17" s="32">
        <v>3.4616166109280968</v>
      </c>
      <c r="W17" s="32">
        <v>-7.1401094718025178</v>
      </c>
      <c r="X17" s="32">
        <v>-8.1212351992046052</v>
      </c>
      <c r="Y17" s="32"/>
      <c r="Z17" s="32"/>
      <c r="AA17" s="32"/>
      <c r="AB17" s="32"/>
      <c r="AC17" s="32"/>
      <c r="AD17" s="32"/>
      <c r="AE17" s="32"/>
    </row>
    <row r="18" spans="1:31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2">
        <v>35</v>
      </c>
      <c r="G18" s="40">
        <f t="shared" si="3"/>
        <v>0.29951306469335931</v>
      </c>
      <c r="H18" s="23">
        <f t="shared" si="2"/>
        <v>0.69315068493150689</v>
      </c>
      <c r="I18" s="28">
        <f t="shared" si="0"/>
        <v>31</v>
      </c>
      <c r="J18" s="29" t="s">
        <v>9</v>
      </c>
      <c r="K18" s="30">
        <v>1</v>
      </c>
      <c r="L18" s="31">
        <v>0</v>
      </c>
      <c r="M18" s="1">
        <v>1</v>
      </c>
      <c r="N18" s="1">
        <v>-1</v>
      </c>
      <c r="O18" s="1">
        <v>-1</v>
      </c>
      <c r="P18" s="32">
        <v>1.658135612258274</v>
      </c>
      <c r="Q18" s="32">
        <v>1.038861117693493</v>
      </c>
      <c r="R18" s="32">
        <v>-2.5412537741473784E-3</v>
      </c>
      <c r="S18" s="32">
        <v>-1.8999999999999986</v>
      </c>
      <c r="T18" s="32">
        <v>3.1000000000000014</v>
      </c>
      <c r="U18" s="32">
        <v>8.1000000000000014</v>
      </c>
      <c r="V18" s="32">
        <v>3.5581356122582726</v>
      </c>
      <c r="W18" s="32">
        <v>-7.0611388823065084</v>
      </c>
      <c r="X18" s="32">
        <v>-8.1025412537741488</v>
      </c>
      <c r="Y18" s="32"/>
      <c r="Z18" s="32"/>
      <c r="AA18" s="32"/>
      <c r="AB18" s="32"/>
      <c r="AC18" s="32"/>
      <c r="AD18" s="32"/>
      <c r="AE18" s="32"/>
    </row>
    <row r="19" spans="1:31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2">
        <v>35</v>
      </c>
      <c r="G19" s="40">
        <f t="shared" si="3"/>
        <v>0.29453741145869133</v>
      </c>
      <c r="H19" s="23">
        <f t="shared" si="2"/>
        <v>0.78082191780821919</v>
      </c>
      <c r="I19" s="28">
        <f t="shared" si="0"/>
        <v>30</v>
      </c>
      <c r="J19" s="29" t="s">
        <v>9</v>
      </c>
      <c r="K19" s="30">
        <v>1</v>
      </c>
      <c r="L19" s="31">
        <v>0</v>
      </c>
      <c r="M19" s="1">
        <v>1</v>
      </c>
      <c r="N19" s="1">
        <v>-1</v>
      </c>
      <c r="O19" s="1">
        <v>-1</v>
      </c>
      <c r="P19" s="32">
        <v>4.9344235403491901</v>
      </c>
      <c r="Q19" s="32">
        <v>6.9827590650938021E-2</v>
      </c>
      <c r="R19" s="32">
        <v>-0.23481614705019638</v>
      </c>
      <c r="S19" s="32">
        <v>3.75</v>
      </c>
      <c r="T19" s="32">
        <v>8.75</v>
      </c>
      <c r="U19" s="32">
        <v>13.75</v>
      </c>
      <c r="V19" s="32">
        <v>1.1844235403491901</v>
      </c>
      <c r="W19" s="32">
        <v>-13.680172409349062</v>
      </c>
      <c r="X19" s="32">
        <v>-13.984816147050196</v>
      </c>
      <c r="Y19" s="32"/>
      <c r="Z19" s="32"/>
      <c r="AA19" s="32"/>
      <c r="AB19" s="32"/>
      <c r="AC19" s="32"/>
      <c r="AD19" s="32"/>
      <c r="AE19" s="32"/>
    </row>
    <row r="20" spans="1:31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2">
        <v>35</v>
      </c>
      <c r="G20" s="40">
        <f t="shared" si="3"/>
        <v>0.28981054088575675</v>
      </c>
      <c r="H20" s="23">
        <f t="shared" si="2"/>
        <v>0.86301369863013699</v>
      </c>
      <c r="I20" s="28">
        <f t="shared" si="0"/>
        <v>31</v>
      </c>
      <c r="J20" s="29" t="s">
        <v>9</v>
      </c>
      <c r="K20" s="30">
        <v>1</v>
      </c>
      <c r="L20" s="31">
        <v>0</v>
      </c>
      <c r="M20" s="1">
        <v>1</v>
      </c>
      <c r="N20" s="1">
        <v>-1</v>
      </c>
      <c r="O20" s="1">
        <v>-1</v>
      </c>
      <c r="P20" s="32">
        <v>5.0068095489748217</v>
      </c>
      <c r="Q20" s="32">
        <v>9.5278325206741954E-2</v>
      </c>
      <c r="R20" s="32">
        <v>-0.2439037006482323</v>
      </c>
      <c r="S20" s="32">
        <v>3.75</v>
      </c>
      <c r="T20" s="32">
        <v>8.75</v>
      </c>
      <c r="U20" s="32">
        <v>13.75</v>
      </c>
      <c r="V20" s="32">
        <v>1.2568095489748217</v>
      </c>
      <c r="W20" s="32">
        <v>-13.654721674793258</v>
      </c>
      <c r="X20" s="32">
        <v>-13.993903700648232</v>
      </c>
      <c r="Y20" s="32"/>
      <c r="Z20" s="32"/>
      <c r="AA20" s="32"/>
      <c r="AB20" s="32"/>
      <c r="AC20" s="32"/>
      <c r="AD20" s="32"/>
      <c r="AE20" s="32"/>
    </row>
    <row r="21" spans="1:31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2">
        <v>35</v>
      </c>
      <c r="G21" s="40">
        <f t="shared" si="3"/>
        <v>0.28532001384146888</v>
      </c>
      <c r="H21" s="23">
        <f t="shared" si="2"/>
        <v>0.94246575342465755</v>
      </c>
      <c r="I21" s="28">
        <f t="shared" si="0"/>
        <v>30</v>
      </c>
      <c r="J21" s="29" t="s">
        <v>9</v>
      </c>
      <c r="K21" s="30">
        <v>1</v>
      </c>
      <c r="L21" s="31">
        <v>0</v>
      </c>
      <c r="M21" s="1">
        <v>1</v>
      </c>
      <c r="N21" s="1">
        <v>-1</v>
      </c>
      <c r="O21" s="1">
        <v>-1</v>
      </c>
      <c r="P21" s="32">
        <v>5.0736811380351483</v>
      </c>
      <c r="Q21" s="32">
        <v>0.12082194878772867</v>
      </c>
      <c r="R21" s="32">
        <v>-0.25047390073603282</v>
      </c>
      <c r="S21" s="32">
        <v>3.75</v>
      </c>
      <c r="T21" s="32">
        <v>8.75</v>
      </c>
      <c r="U21" s="32">
        <v>13.75</v>
      </c>
      <c r="V21" s="32">
        <v>1.3236811380351483</v>
      </c>
      <c r="W21" s="32">
        <v>-13.629178051212271</v>
      </c>
      <c r="X21" s="32">
        <v>-14.000473900736033</v>
      </c>
      <c r="Y21" s="32"/>
      <c r="Z21" s="32"/>
      <c r="AA21" s="32"/>
      <c r="AB21" s="32"/>
      <c r="AC21" s="32"/>
      <c r="AD21" s="32"/>
      <c r="AE21" s="32"/>
    </row>
    <row r="22" spans="1:31" x14ac:dyDescent="0.35">
      <c r="A22" s="19"/>
      <c r="B22" s="20"/>
      <c r="C22" s="21"/>
      <c r="D22" s="21"/>
      <c r="E22" s="21"/>
      <c r="F22" s="21"/>
      <c r="G22" s="21"/>
      <c r="H22" s="21"/>
      <c r="I22" s="21"/>
      <c r="J22" s="22"/>
      <c r="K22" s="22"/>
      <c r="L22" s="22"/>
      <c r="M22" s="23"/>
      <c r="N22" s="23"/>
      <c r="O22" s="23"/>
      <c r="P22" s="18"/>
      <c r="Q22" s="18"/>
      <c r="R22" s="18"/>
      <c r="S22" s="24"/>
      <c r="T22" s="24"/>
      <c r="U22" s="24"/>
      <c r="V22" s="25"/>
      <c r="W22" s="25"/>
      <c r="X22" s="25"/>
    </row>
    <row r="23" spans="1:31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</sheetData>
  <phoneticPr fontId="7" type="noConversion"/>
  <dataValidations count="1">
    <dataValidation type="list" allowBlank="1" showInputMessage="1" showErrorMessage="1" sqref="J10:J21" xr:uid="{01E61A51-BC31-4FD2-8C44-C7F015F763DC}">
      <formula1>$K$5:$K$7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D0D0A-0E33-434B-8A60-147191C2C185}">
  <sheetPr codeName="Sheet4"/>
  <dimension ref="A1:AG23"/>
  <sheetViews>
    <sheetView tabSelected="1" zoomScale="55" zoomScaleNormal="55" workbookViewId="0">
      <selection activeCell="M11" sqref="M11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30.81640625" style="1" bestFit="1" customWidth="1"/>
    <col min="12" max="12" width="6.453125" style="1" bestFit="1" customWidth="1"/>
    <col min="13" max="13" width="15.08984375" style="1" bestFit="1" customWidth="1"/>
    <col min="14" max="14" width="20.54296875" style="1" bestFit="1" customWidth="1"/>
    <col min="15" max="15" width="23.26953125" style="1" bestFit="1" customWidth="1"/>
    <col min="16" max="16" width="18.26953125" style="1" bestFit="1" customWidth="1"/>
    <col min="17" max="17" width="11" style="1" bestFit="1" customWidth="1"/>
    <col min="18" max="18" width="5.81640625" style="1" bestFit="1" customWidth="1"/>
    <col min="19" max="19" width="11.90625" style="1" bestFit="1" customWidth="1"/>
    <col min="20" max="20" width="12.6328125" style="1" bestFit="1" customWidth="1"/>
    <col min="21" max="21" width="13.7265625" style="1" bestFit="1" customWidth="1"/>
    <col min="22" max="22" width="14.1796875" style="1" bestFit="1" customWidth="1"/>
    <col min="23" max="23" width="13.7265625" style="1" bestFit="1" customWidth="1"/>
    <col min="24" max="24" width="14.1796875" style="1" bestFit="1" customWidth="1"/>
    <col min="25" max="25" width="16.7265625" style="1" bestFit="1" customWidth="1"/>
    <col min="26" max="26" width="17.1796875" style="1" bestFit="1" customWidth="1"/>
    <col min="27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f ca="1">TODAY()</f>
        <v>43935</v>
      </c>
      <c r="G3" s="4" t="s">
        <v>1</v>
      </c>
      <c r="H3" s="5"/>
      <c r="I3" s="5"/>
      <c r="J3" s="6">
        <f>1/1.9</f>
        <v>0.52631578947368418</v>
      </c>
      <c r="Q3" s="1" t="s">
        <v>76</v>
      </c>
    </row>
    <row r="4" spans="1:33" x14ac:dyDescent="0.35">
      <c r="G4" s="7" t="s">
        <v>2</v>
      </c>
      <c r="H4" s="8"/>
      <c r="I4" s="8"/>
      <c r="J4" s="9">
        <v>0.35099999999999998</v>
      </c>
      <c r="Q4" s="1" t="s">
        <v>77</v>
      </c>
      <c r="R4" s="1">
        <f>SUMPRODUCT(M10:M12,R10:R12)/SUM(M10:M12)</f>
        <v>4.3564579874756113</v>
      </c>
    </row>
    <row r="5" spans="1:33" x14ac:dyDescent="0.35">
      <c r="G5" s="7" t="s">
        <v>24</v>
      </c>
      <c r="H5" s="8"/>
      <c r="I5" s="8" t="s">
        <v>9</v>
      </c>
      <c r="J5" s="11">
        <v>1</v>
      </c>
      <c r="Q5" s="1" t="s">
        <v>77</v>
      </c>
      <c r="R5" s="1">
        <f>SUMPRODUCT(M13:M15,R13:R15)/SUM(M13:M15)</f>
        <v>5.2284145875456449</v>
      </c>
    </row>
    <row r="6" spans="1:33" x14ac:dyDescent="0.35">
      <c r="B6" s="10"/>
      <c r="G6" s="7" t="s">
        <v>3</v>
      </c>
      <c r="H6" s="8"/>
      <c r="I6" s="8" t="s">
        <v>4</v>
      </c>
      <c r="J6" s="11">
        <v>0.35</v>
      </c>
      <c r="Q6" s="1" t="s">
        <v>78</v>
      </c>
      <c r="R6" s="1">
        <f>SUMPRODUCT(M10:M15,R10:R15)/SUM(M10:M15)</f>
        <v>4.7947929269702776</v>
      </c>
    </row>
    <row r="7" spans="1:33" ht="15" thickBot="1" x14ac:dyDescent="0.4">
      <c r="G7" s="12" t="s">
        <v>5</v>
      </c>
      <c r="H7" s="13"/>
      <c r="I7" s="13" t="s">
        <v>6</v>
      </c>
      <c r="J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33" ht="14.5" customHeight="1" x14ac:dyDescent="0.35">
      <c r="A9" s="26" t="s">
        <v>7</v>
      </c>
      <c r="B9" s="26" t="s">
        <v>8</v>
      </c>
      <c r="C9" s="33" t="s">
        <v>14</v>
      </c>
      <c r="D9" s="34" t="s">
        <v>15</v>
      </c>
      <c r="E9" s="34" t="s">
        <v>16</v>
      </c>
      <c r="F9" s="34" t="s">
        <v>17</v>
      </c>
      <c r="G9" s="37" t="s">
        <v>18</v>
      </c>
      <c r="H9" s="37" t="s">
        <v>31</v>
      </c>
      <c r="I9" s="38" t="s">
        <v>10</v>
      </c>
      <c r="J9" s="34" t="s">
        <v>11</v>
      </c>
      <c r="K9" s="39" t="s">
        <v>12</v>
      </c>
      <c r="L9" s="17" t="s">
        <v>13</v>
      </c>
      <c r="M9" s="27" t="s">
        <v>19</v>
      </c>
      <c r="N9" s="27" t="s">
        <v>20</v>
      </c>
      <c r="O9" s="27" t="s">
        <v>21</v>
      </c>
      <c r="P9" s="27" t="s">
        <v>22</v>
      </c>
      <c r="Q9" s="27" t="s">
        <v>23</v>
      </c>
      <c r="R9" s="27" t="s">
        <v>25</v>
      </c>
      <c r="S9" s="27" t="s">
        <v>26</v>
      </c>
      <c r="T9" s="27" t="s">
        <v>27</v>
      </c>
      <c r="U9" s="27" t="s">
        <v>39</v>
      </c>
      <c r="V9" s="27" t="s">
        <v>38</v>
      </c>
      <c r="W9" s="27" t="s">
        <v>37</v>
      </c>
      <c r="X9" s="27" t="s">
        <v>36</v>
      </c>
      <c r="Y9" s="27" t="s">
        <v>35</v>
      </c>
      <c r="Z9" s="27" t="s">
        <v>34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19">
        <v>44287</v>
      </c>
      <c r="B10" s="20">
        <v>44281</v>
      </c>
      <c r="C10" s="35">
        <v>34.35</v>
      </c>
      <c r="D10" s="36">
        <v>53.75</v>
      </c>
      <c r="E10" s="36">
        <v>36.35</v>
      </c>
      <c r="F10" s="36">
        <v>12.22</v>
      </c>
      <c r="G10" s="36">
        <v>21.52</v>
      </c>
      <c r="H10" s="42">
        <v>3.58</v>
      </c>
      <c r="I10" s="40">
        <v>0.22</v>
      </c>
      <c r="J10" s="40">
        <v>0.4</v>
      </c>
      <c r="K10" s="41">
        <v>0.7</v>
      </c>
      <c r="L10" s="23">
        <f ca="1">(B10-$B$3)/365</f>
        <v>0.94794520547945205</v>
      </c>
      <c r="M10" s="28">
        <f>DAY(EOMONTH(B10,0))</f>
        <v>31</v>
      </c>
      <c r="N10" s="29" t="s">
        <v>9</v>
      </c>
      <c r="O10" s="30">
        <v>1</v>
      </c>
      <c r="P10" s="31">
        <v>0</v>
      </c>
      <c r="Q10" s="1">
        <v>-1</v>
      </c>
      <c r="R10" s="32">
        <v>4.1791864324740899</v>
      </c>
      <c r="S10" s="32">
        <v>-1.5200000000028524E-3</v>
      </c>
      <c r="T10" s="32">
        <v>4.1807064324740928</v>
      </c>
      <c r="U10" s="32"/>
      <c r="V10" s="32"/>
      <c r="W10" s="32"/>
      <c r="X10" s="32"/>
      <c r="Y10" s="32"/>
      <c r="Z10" s="32"/>
    </row>
    <row r="11" spans="1:33" x14ac:dyDescent="0.35">
      <c r="A11" s="19">
        <v>44317</v>
      </c>
      <c r="B11" s="20">
        <v>44313</v>
      </c>
      <c r="C11" s="35">
        <v>34.35</v>
      </c>
      <c r="D11" s="36">
        <v>57</v>
      </c>
      <c r="E11" s="36">
        <v>39.83</v>
      </c>
      <c r="F11" s="36">
        <v>12.22</v>
      </c>
      <c r="G11" s="36">
        <v>21.52</v>
      </c>
      <c r="H11" s="42">
        <v>3.58</v>
      </c>
      <c r="I11" s="40">
        <v>0.22</v>
      </c>
      <c r="J11" s="40">
        <v>0.4</v>
      </c>
      <c r="K11" s="41">
        <v>0.7</v>
      </c>
      <c r="L11" s="23">
        <f t="shared" ref="L11:L21" ca="1" si="0">(B11-$B$3)/365</f>
        <v>1.0356164383561643</v>
      </c>
      <c r="M11" s="28">
        <f t="shared" ref="M10:M21" si="1">DAY(EOMONTH(B11,0))</f>
        <v>30</v>
      </c>
      <c r="N11" s="29" t="s">
        <v>9</v>
      </c>
      <c r="O11" s="30">
        <v>1</v>
      </c>
      <c r="P11" s="31">
        <v>0</v>
      </c>
      <c r="Q11" s="1">
        <v>-1</v>
      </c>
      <c r="R11" s="32">
        <v>4.3665648112678053</v>
      </c>
      <c r="S11" s="32">
        <v>-1.5200000000028524E-3</v>
      </c>
      <c r="T11" s="32">
        <v>4.3680848112678081</v>
      </c>
      <c r="U11" s="32"/>
      <c r="V11" s="32"/>
      <c r="W11" s="32"/>
      <c r="X11" s="32"/>
      <c r="Y11" s="32"/>
      <c r="Z11" s="32"/>
    </row>
    <row r="12" spans="1:33" x14ac:dyDescent="0.35">
      <c r="A12" s="19">
        <v>44348</v>
      </c>
      <c r="B12" s="20">
        <v>44341</v>
      </c>
      <c r="C12" s="35">
        <v>34.35</v>
      </c>
      <c r="D12" s="36">
        <v>50.5</v>
      </c>
      <c r="E12" s="36">
        <v>37.159999999999997</v>
      </c>
      <c r="F12" s="36">
        <v>12.22</v>
      </c>
      <c r="G12" s="36">
        <v>21.52</v>
      </c>
      <c r="H12" s="42">
        <v>3.58</v>
      </c>
      <c r="I12" s="40">
        <v>0.22</v>
      </c>
      <c r="J12" s="40">
        <v>0.4</v>
      </c>
      <c r="K12" s="41">
        <v>0.7</v>
      </c>
      <c r="L12" s="23">
        <f t="shared" ca="1" si="0"/>
        <v>1.1123287671232878</v>
      </c>
      <c r="M12" s="28">
        <f t="shared" si="1"/>
        <v>31</v>
      </c>
      <c r="N12" s="29" t="s">
        <v>9</v>
      </c>
      <c r="O12" s="30">
        <v>1</v>
      </c>
      <c r="P12" s="31">
        <v>0</v>
      </c>
      <c r="Q12" s="1">
        <v>-1</v>
      </c>
      <c r="R12" s="32">
        <v>4.5239487452588829</v>
      </c>
      <c r="S12" s="32">
        <v>-1.5200000000028524E-3</v>
      </c>
      <c r="T12" s="32">
        <v>4.5254687452588858</v>
      </c>
      <c r="U12" s="32"/>
      <c r="V12" s="32"/>
      <c r="W12" s="32"/>
      <c r="X12" s="32"/>
      <c r="Y12" s="32"/>
      <c r="Z12" s="32"/>
    </row>
    <row r="13" spans="1:33" x14ac:dyDescent="0.35">
      <c r="A13" s="19">
        <v>44378</v>
      </c>
      <c r="B13" s="20">
        <v>44341</v>
      </c>
      <c r="C13" s="35">
        <v>35.380000000000003</v>
      </c>
      <c r="D13" s="36">
        <v>45.6</v>
      </c>
      <c r="E13" s="36">
        <v>36.36</v>
      </c>
      <c r="F13" s="36">
        <v>12.13</v>
      </c>
      <c r="G13" s="36">
        <v>21.52</v>
      </c>
      <c r="H13" s="42">
        <v>5.2</v>
      </c>
      <c r="I13" s="40">
        <v>0.22</v>
      </c>
      <c r="J13" s="40">
        <v>0.4</v>
      </c>
      <c r="K13" s="41">
        <v>0.7</v>
      </c>
      <c r="L13" s="23">
        <f t="shared" ca="1" si="0"/>
        <v>1.1123287671232878</v>
      </c>
      <c r="M13" s="28">
        <f t="shared" si="1"/>
        <v>31</v>
      </c>
      <c r="N13" s="29" t="s">
        <v>9</v>
      </c>
      <c r="O13" s="30">
        <v>1</v>
      </c>
      <c r="P13" s="31">
        <v>0</v>
      </c>
      <c r="Q13" s="1">
        <v>-1</v>
      </c>
      <c r="R13" s="32">
        <v>4.9441433309979672</v>
      </c>
      <c r="S13" s="32">
        <v>-0.42052000000000156</v>
      </c>
      <c r="T13" s="32">
        <v>5.3646633309979688</v>
      </c>
      <c r="U13" s="32"/>
      <c r="V13" s="32"/>
      <c r="W13" s="32"/>
      <c r="X13" s="32"/>
      <c r="Y13" s="32"/>
      <c r="Z13" s="32"/>
    </row>
    <row r="14" spans="1:33" x14ac:dyDescent="0.35">
      <c r="A14" s="19">
        <v>44409</v>
      </c>
      <c r="B14" s="20">
        <v>44404</v>
      </c>
      <c r="C14" s="35">
        <v>35.380000000000003</v>
      </c>
      <c r="D14" s="36">
        <v>45.6</v>
      </c>
      <c r="E14" s="36">
        <v>36.75</v>
      </c>
      <c r="F14" s="36">
        <v>12.13</v>
      </c>
      <c r="G14" s="36">
        <v>21.52</v>
      </c>
      <c r="H14" s="42">
        <v>5.2</v>
      </c>
      <c r="I14" s="40">
        <v>0.22</v>
      </c>
      <c r="J14" s="40">
        <v>0.4</v>
      </c>
      <c r="K14" s="41">
        <v>0.7</v>
      </c>
      <c r="L14" s="23">
        <f t="shared" ca="1" si="0"/>
        <v>1.284931506849315</v>
      </c>
      <c r="M14" s="28">
        <f t="shared" si="1"/>
        <v>31</v>
      </c>
      <c r="N14" s="29" t="s">
        <v>9</v>
      </c>
      <c r="O14" s="30">
        <v>1</v>
      </c>
      <c r="P14" s="31">
        <v>0</v>
      </c>
      <c r="Q14" s="1">
        <v>-1</v>
      </c>
      <c r="R14" s="32">
        <v>5.2940926047957451</v>
      </c>
      <c r="S14" s="32">
        <v>-0.42052000000000156</v>
      </c>
      <c r="T14" s="32">
        <v>5.7146126047957466</v>
      </c>
      <c r="U14" s="32"/>
      <c r="V14" s="32"/>
      <c r="W14" s="32"/>
      <c r="X14" s="32"/>
      <c r="Y14" s="32"/>
      <c r="Z14" s="32"/>
    </row>
    <row r="15" spans="1:33" x14ac:dyDescent="0.35">
      <c r="A15" s="19">
        <v>44440</v>
      </c>
      <c r="B15" s="20">
        <v>44433</v>
      </c>
      <c r="C15" s="35">
        <v>35.380000000000003</v>
      </c>
      <c r="D15" s="36">
        <v>45.6</v>
      </c>
      <c r="E15" s="36">
        <v>36.36</v>
      </c>
      <c r="F15" s="36">
        <v>12.13</v>
      </c>
      <c r="G15" s="36">
        <v>21.52</v>
      </c>
      <c r="H15" s="42">
        <v>5.2</v>
      </c>
      <c r="I15" s="40">
        <v>0.22</v>
      </c>
      <c r="J15" s="40">
        <v>0.4</v>
      </c>
      <c r="K15" s="41">
        <v>0.7</v>
      </c>
      <c r="L15" s="23">
        <f t="shared" ca="1" si="0"/>
        <v>1.3643835616438356</v>
      </c>
      <c r="M15" s="28">
        <f t="shared" si="1"/>
        <v>31</v>
      </c>
      <c r="N15" s="29" t="s">
        <v>9</v>
      </c>
      <c r="O15" s="30">
        <v>1</v>
      </c>
      <c r="P15" s="31">
        <v>0</v>
      </c>
      <c r="Q15" s="1">
        <v>-1</v>
      </c>
      <c r="R15" s="32">
        <v>5.4470078268432225</v>
      </c>
      <c r="S15" s="32">
        <v>-0.42052000000000156</v>
      </c>
      <c r="T15" s="32">
        <v>5.867527826843224</v>
      </c>
      <c r="U15" s="32"/>
      <c r="V15" s="32"/>
      <c r="W15" s="32"/>
      <c r="X15" s="32"/>
      <c r="Y15" s="32"/>
      <c r="Z15" s="32"/>
    </row>
    <row r="16" spans="1:33" x14ac:dyDescent="0.35">
      <c r="A16" s="19"/>
      <c r="B16" s="20"/>
      <c r="C16" s="35"/>
      <c r="D16" s="36"/>
      <c r="E16" s="36"/>
      <c r="F16" s="36"/>
      <c r="G16" s="36"/>
      <c r="H16" s="42"/>
      <c r="I16" s="40"/>
      <c r="J16" s="40"/>
      <c r="K16" s="41"/>
      <c r="L16" s="23"/>
      <c r="M16" s="28"/>
      <c r="N16" s="29"/>
      <c r="O16" s="30"/>
      <c r="P16" s="31"/>
      <c r="R16" s="32"/>
      <c r="S16" s="32"/>
      <c r="T16" s="32"/>
      <c r="U16" s="32"/>
      <c r="V16" s="32"/>
      <c r="W16" s="32"/>
      <c r="X16" s="32"/>
      <c r="Y16" s="32"/>
      <c r="Z16" s="32"/>
    </row>
    <row r="17" spans="1:26" x14ac:dyDescent="0.35">
      <c r="A17" s="19"/>
      <c r="B17" s="20"/>
      <c r="C17" s="35"/>
      <c r="D17" s="36"/>
      <c r="E17" s="36"/>
      <c r="F17" s="36"/>
      <c r="G17" s="36"/>
      <c r="H17" s="42"/>
      <c r="I17" s="40"/>
      <c r="J17" s="40"/>
      <c r="K17" s="41"/>
      <c r="L17" s="23"/>
      <c r="M17" s="28"/>
      <c r="N17" s="29"/>
      <c r="O17" s="30"/>
      <c r="P17" s="31"/>
      <c r="R17" s="32"/>
      <c r="S17" s="32"/>
      <c r="T17" s="32"/>
      <c r="U17" s="32"/>
      <c r="V17" s="32"/>
      <c r="W17" s="32"/>
      <c r="X17" s="32"/>
      <c r="Y17" s="32"/>
      <c r="Z17" s="32"/>
    </row>
    <row r="18" spans="1:26" x14ac:dyDescent="0.35">
      <c r="A18" s="19"/>
      <c r="B18" s="20"/>
      <c r="C18" s="35"/>
      <c r="D18" s="36"/>
      <c r="E18" s="36"/>
      <c r="F18" s="36"/>
      <c r="G18" s="36"/>
      <c r="H18" s="42"/>
      <c r="I18" s="40"/>
      <c r="J18" s="40"/>
      <c r="K18" s="41"/>
      <c r="L18" s="23"/>
      <c r="M18" s="28"/>
      <c r="N18" s="29"/>
      <c r="O18" s="30"/>
      <c r="P18" s="31"/>
      <c r="R18" s="32"/>
      <c r="S18" s="32"/>
      <c r="T18" s="32"/>
      <c r="U18" s="32"/>
      <c r="V18" s="32"/>
      <c r="W18" s="32"/>
      <c r="X18" s="32"/>
      <c r="Y18" s="32"/>
      <c r="Z18" s="32"/>
    </row>
    <row r="19" spans="1:26" x14ac:dyDescent="0.35">
      <c r="A19" s="19"/>
      <c r="B19" s="20"/>
      <c r="C19" s="35"/>
      <c r="D19" s="36"/>
      <c r="E19" s="36"/>
      <c r="F19" s="36"/>
      <c r="G19" s="36"/>
      <c r="H19" s="42"/>
      <c r="I19" s="40"/>
      <c r="J19" s="40"/>
      <c r="K19" s="41"/>
      <c r="L19" s="23"/>
      <c r="M19" s="28"/>
      <c r="N19" s="29"/>
      <c r="O19" s="30"/>
      <c r="P19" s="31"/>
      <c r="R19" s="32"/>
      <c r="S19" s="32"/>
      <c r="T19" s="32"/>
      <c r="U19" s="32"/>
      <c r="V19" s="32"/>
      <c r="W19" s="32"/>
      <c r="X19" s="32"/>
      <c r="Y19" s="32"/>
      <c r="Z19" s="32"/>
    </row>
    <row r="20" spans="1:26" x14ac:dyDescent="0.35">
      <c r="A20" s="19"/>
      <c r="B20" s="20"/>
      <c r="C20" s="35"/>
      <c r="D20" s="36"/>
      <c r="E20" s="36"/>
      <c r="F20" s="36"/>
      <c r="G20" s="36"/>
      <c r="H20" s="42"/>
      <c r="I20" s="40"/>
      <c r="J20" s="40"/>
      <c r="K20" s="41"/>
      <c r="L20" s="23"/>
      <c r="M20" s="28"/>
      <c r="N20" s="29"/>
      <c r="O20" s="30"/>
      <c r="P20" s="31"/>
      <c r="R20" s="32"/>
      <c r="S20" s="32"/>
      <c r="T20" s="32"/>
      <c r="U20" s="32"/>
      <c r="V20" s="32"/>
      <c r="W20" s="32"/>
      <c r="X20" s="32"/>
      <c r="Y20" s="32"/>
      <c r="Z20" s="32"/>
    </row>
    <row r="21" spans="1:26" x14ac:dyDescent="0.35">
      <c r="A21" s="19"/>
      <c r="B21" s="20"/>
      <c r="C21" s="35"/>
      <c r="D21" s="36"/>
      <c r="E21" s="36"/>
      <c r="F21" s="36"/>
      <c r="G21" s="36"/>
      <c r="H21" s="42"/>
      <c r="I21" s="40"/>
      <c r="J21" s="40"/>
      <c r="K21" s="41"/>
      <c r="L21" s="23"/>
      <c r="M21" s="28"/>
      <c r="N21" s="29"/>
      <c r="O21" s="30"/>
      <c r="P21" s="31"/>
      <c r="R21" s="32"/>
      <c r="S21" s="32"/>
      <c r="T21" s="32"/>
      <c r="U21" s="32"/>
      <c r="V21" s="32"/>
      <c r="W21" s="32"/>
      <c r="X21" s="32"/>
      <c r="Y21" s="32"/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18"/>
      <c r="M22" s="24"/>
      <c r="N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N10:N21" xr:uid="{B3206E77-3DCC-4FE9-9738-AE071B319A1F}">
      <formula1>$I$5:$I$7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C8AC8-8ECD-4C11-9F0E-341A50587358}">
  <sheetPr codeName="Sheet6"/>
  <dimension ref="A1:AG376"/>
  <sheetViews>
    <sheetView zoomScale="40" zoomScaleNormal="40" workbookViewId="0">
      <selection activeCell="E6" sqref="E6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30.81640625" style="1" bestFit="1" customWidth="1"/>
    <col min="12" max="12" width="6.453125" style="1" bestFit="1" customWidth="1"/>
    <col min="13" max="13" width="15.08984375" style="1" bestFit="1" customWidth="1"/>
    <col min="14" max="14" width="20.54296875" style="1" bestFit="1" customWidth="1"/>
    <col min="15" max="15" width="23.26953125" style="1" bestFit="1" customWidth="1"/>
    <col min="16" max="16" width="18.26953125" style="1" bestFit="1" customWidth="1"/>
    <col min="17" max="17" width="11" style="1" bestFit="1" customWidth="1"/>
    <col min="18" max="18" width="5.81640625" style="1" bestFit="1" customWidth="1"/>
    <col min="19" max="19" width="11.90625" style="1" bestFit="1" customWidth="1"/>
    <col min="20" max="20" width="12.6328125" style="1" bestFit="1" customWidth="1"/>
    <col min="21" max="21" width="13.7265625" style="1" bestFit="1" customWidth="1"/>
    <col min="22" max="22" width="14.1796875" style="1" bestFit="1" customWidth="1"/>
    <col min="23" max="23" width="13.7265625" style="1" bestFit="1" customWidth="1"/>
    <col min="24" max="24" width="14.1796875" style="1" bestFit="1" customWidth="1"/>
    <col min="25" max="25" width="16.7265625" style="1" bestFit="1" customWidth="1"/>
    <col min="26" max="26" width="17.1796875" style="1" bestFit="1" customWidth="1"/>
    <col min="27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v>43811</v>
      </c>
      <c r="G3" s="4" t="s">
        <v>1</v>
      </c>
      <c r="H3" s="5"/>
      <c r="I3" s="5"/>
      <c r="J3" s="6">
        <v>0.5</v>
      </c>
    </row>
    <row r="4" spans="1:33" x14ac:dyDescent="0.35">
      <c r="G4" s="7" t="s">
        <v>2</v>
      </c>
      <c r="H4" s="8"/>
      <c r="I4" s="8"/>
      <c r="J4" s="9">
        <v>0.37</v>
      </c>
    </row>
    <row r="5" spans="1:33" x14ac:dyDescent="0.35">
      <c r="G5" s="7" t="s">
        <v>24</v>
      </c>
      <c r="H5" s="8"/>
      <c r="I5" s="8" t="s">
        <v>9</v>
      </c>
      <c r="J5" s="11">
        <v>1</v>
      </c>
    </row>
    <row r="6" spans="1:33" x14ac:dyDescent="0.35">
      <c r="B6" s="10"/>
      <c r="G6" s="7" t="s">
        <v>3</v>
      </c>
      <c r="H6" s="8"/>
      <c r="I6" s="8" t="s">
        <v>4</v>
      </c>
      <c r="J6" s="11">
        <v>0.35</v>
      </c>
    </row>
    <row r="7" spans="1:33" ht="15" thickBot="1" x14ac:dyDescent="0.4">
      <c r="G7" s="12" t="s">
        <v>5</v>
      </c>
      <c r="H7" s="13"/>
      <c r="I7" s="13" t="s">
        <v>6</v>
      </c>
      <c r="J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33" ht="14.5" customHeight="1" x14ac:dyDescent="0.35">
      <c r="A9" s="26" t="s">
        <v>75</v>
      </c>
      <c r="B9" s="26" t="s">
        <v>8</v>
      </c>
      <c r="C9" s="33" t="s">
        <v>14</v>
      </c>
      <c r="D9" s="34" t="s">
        <v>15</v>
      </c>
      <c r="E9" s="34" t="s">
        <v>16</v>
      </c>
      <c r="F9" s="34" t="s">
        <v>17</v>
      </c>
      <c r="G9" s="37" t="s">
        <v>18</v>
      </c>
      <c r="H9" s="37" t="s">
        <v>31</v>
      </c>
      <c r="I9" s="38" t="s">
        <v>10</v>
      </c>
      <c r="J9" s="34" t="s">
        <v>11</v>
      </c>
      <c r="K9" s="39" t="s">
        <v>12</v>
      </c>
      <c r="L9" s="17" t="s">
        <v>13</v>
      </c>
      <c r="M9" s="27" t="s">
        <v>19</v>
      </c>
      <c r="N9" s="27" t="s">
        <v>20</v>
      </c>
      <c r="O9" s="27" t="s">
        <v>21</v>
      </c>
      <c r="P9" s="27" t="s">
        <v>22</v>
      </c>
      <c r="Q9" s="27" t="s">
        <v>23</v>
      </c>
      <c r="R9" s="27" t="s">
        <v>25</v>
      </c>
      <c r="S9" s="27" t="s">
        <v>26</v>
      </c>
      <c r="T9" s="27" t="s">
        <v>27</v>
      </c>
      <c r="U9" s="27" t="s">
        <v>39</v>
      </c>
      <c r="V9" s="27" t="s">
        <v>38</v>
      </c>
      <c r="W9" s="27" t="s">
        <v>37</v>
      </c>
      <c r="X9" s="27" t="s">
        <v>36</v>
      </c>
      <c r="Y9" s="27" t="s">
        <v>35</v>
      </c>
      <c r="Z9" s="27" t="s">
        <v>34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44">
        <v>43831</v>
      </c>
      <c r="B10" s="20">
        <f>WORKDAY(A10,-7)</f>
        <v>43822</v>
      </c>
      <c r="C10" s="35">
        <v>42.8</v>
      </c>
      <c r="D10" s="36">
        <v>53.75</v>
      </c>
      <c r="E10" s="36">
        <v>36.35</v>
      </c>
      <c r="F10" s="36">
        <v>15.585000000000001</v>
      </c>
      <c r="G10" s="36">
        <v>25.3</v>
      </c>
      <c r="H10" s="42">
        <v>0</v>
      </c>
      <c r="I10" s="40">
        <v>0.35</v>
      </c>
      <c r="J10" s="40">
        <v>0.42</v>
      </c>
      <c r="K10" s="41">
        <v>0.6</v>
      </c>
      <c r="L10" s="23">
        <f>(B10-$B$3)/365</f>
        <v>3.0136986301369864E-2</v>
      </c>
      <c r="M10" s="28">
        <f t="shared" ref="M10:M21" si="0">DAY(EOMONTH(B10,0))</f>
        <v>31</v>
      </c>
      <c r="N10" s="29" t="s">
        <v>9</v>
      </c>
      <c r="O10" s="30">
        <v>1</v>
      </c>
      <c r="P10" s="31">
        <v>0</v>
      </c>
      <c r="Q10" s="1">
        <v>1</v>
      </c>
      <c r="R10" s="32">
        <v>2.49897852155555</v>
      </c>
      <c r="S10" s="32">
        <v>2.2689999999999948</v>
      </c>
      <c r="T10" s="32">
        <v>0.2299785215555552</v>
      </c>
      <c r="U10" s="32"/>
      <c r="V10" s="32"/>
      <c r="W10" s="32"/>
      <c r="X10" s="32"/>
      <c r="Y10" s="32"/>
      <c r="Z10" s="32"/>
    </row>
    <row r="11" spans="1:33" x14ac:dyDescent="0.35">
      <c r="A11" s="44">
        <v>43832</v>
      </c>
      <c r="B11" s="20">
        <f>WORKDAY(A11,-7)</f>
        <v>43823</v>
      </c>
      <c r="C11" s="35">
        <v>45.75</v>
      </c>
      <c r="D11" s="36">
        <v>57</v>
      </c>
      <c r="E11" s="36">
        <v>39.83</v>
      </c>
      <c r="F11" s="36">
        <v>15.8</v>
      </c>
      <c r="G11" s="36">
        <v>25.3</v>
      </c>
      <c r="H11" s="42">
        <v>0</v>
      </c>
      <c r="I11" s="40">
        <f>20%+(I10-20%)*0.95</f>
        <v>0.34249999999999997</v>
      </c>
      <c r="J11" s="40">
        <f>20%+(J10-20%)*0.95</f>
        <v>0.40899999999999997</v>
      </c>
      <c r="K11" s="41">
        <f>80%+(K10-80%)*0.9</f>
        <v>0.62</v>
      </c>
      <c r="L11" s="23">
        <f t="shared" ref="L11:L21" si="1">(B11-$B$3)/365</f>
        <v>3.287671232876712E-2</v>
      </c>
      <c r="M11" s="28">
        <f t="shared" si="0"/>
        <v>31</v>
      </c>
      <c r="N11" s="29" t="s">
        <v>9</v>
      </c>
      <c r="O11" s="30">
        <v>1</v>
      </c>
      <c r="P11" s="31">
        <v>0</v>
      </c>
      <c r="Q11" s="1">
        <v>1</v>
      </c>
      <c r="R11" s="32">
        <v>4.8169028626571162</v>
      </c>
      <c r="S11" s="32">
        <v>4.7889999999999979</v>
      </c>
      <c r="T11" s="32">
        <v>2.7902862657118277E-2</v>
      </c>
      <c r="U11" s="32"/>
      <c r="V11" s="32"/>
      <c r="W11" s="32"/>
      <c r="X11" s="32"/>
      <c r="Y11" s="32"/>
      <c r="Z11" s="32"/>
    </row>
    <row r="12" spans="1:33" x14ac:dyDescent="0.35">
      <c r="A12" s="44">
        <v>43833</v>
      </c>
      <c r="B12" s="20">
        <f t="shared" ref="B11:B21" si="2">WORKDAY(A12,-7)</f>
        <v>43824</v>
      </c>
      <c r="C12" s="35">
        <v>41.9</v>
      </c>
      <c r="D12" s="36">
        <v>50.5</v>
      </c>
      <c r="E12" s="36">
        <v>37.159999999999997</v>
      </c>
      <c r="F12" s="36">
        <v>15.455</v>
      </c>
      <c r="G12" s="36">
        <v>25.3</v>
      </c>
      <c r="H12" s="42">
        <v>0</v>
      </c>
      <c r="I12" s="40">
        <f t="shared" ref="I12:J21" si="3">20%+(I11-20%)*0.95</f>
        <v>0.33537499999999998</v>
      </c>
      <c r="J12" s="40">
        <f t="shared" si="3"/>
        <v>0.39854999999999996</v>
      </c>
      <c r="K12" s="41">
        <f t="shared" ref="K12:K75" si="4">80%+(K11-80%)*0.9</f>
        <v>0.63800000000000001</v>
      </c>
      <c r="L12" s="23">
        <f t="shared" si="1"/>
        <v>3.5616438356164383E-2</v>
      </c>
      <c r="M12" s="28">
        <f t="shared" si="0"/>
        <v>31</v>
      </c>
      <c r="N12" s="29" t="s">
        <v>9</v>
      </c>
      <c r="O12" s="30">
        <v>1</v>
      </c>
      <c r="P12" s="31">
        <v>0</v>
      </c>
      <c r="Q12" s="1">
        <v>1</v>
      </c>
      <c r="R12" s="32">
        <v>1.9778122164951419</v>
      </c>
      <c r="S12" s="32">
        <v>1.6289999999999978</v>
      </c>
      <c r="T12" s="32">
        <v>0.34881221649514416</v>
      </c>
      <c r="U12" s="32"/>
      <c r="V12" s="32"/>
      <c r="W12" s="32"/>
      <c r="X12" s="32"/>
      <c r="Y12" s="32"/>
      <c r="Z12" s="32"/>
    </row>
    <row r="13" spans="1:33" x14ac:dyDescent="0.35">
      <c r="A13" s="44">
        <v>43834</v>
      </c>
      <c r="B13" s="20">
        <f t="shared" si="2"/>
        <v>43825</v>
      </c>
      <c r="C13" s="35">
        <v>39.75</v>
      </c>
      <c r="D13" s="36">
        <v>45.6</v>
      </c>
      <c r="E13" s="36">
        <v>36.36</v>
      </c>
      <c r="F13" s="36">
        <v>14.753</v>
      </c>
      <c r="G13" s="36">
        <v>25.3</v>
      </c>
      <c r="H13" s="42">
        <v>0</v>
      </c>
      <c r="I13" s="40">
        <f t="shared" si="3"/>
        <v>0.32860624999999999</v>
      </c>
      <c r="J13" s="40">
        <f t="shared" si="3"/>
        <v>0.38862249999999998</v>
      </c>
      <c r="K13" s="41">
        <f t="shared" si="4"/>
        <v>0.6542</v>
      </c>
      <c r="L13" s="23">
        <f t="shared" si="1"/>
        <v>3.8356164383561646E-2</v>
      </c>
      <c r="M13" s="28">
        <f t="shared" si="0"/>
        <v>31</v>
      </c>
      <c r="N13" s="29" t="s">
        <v>9</v>
      </c>
      <c r="O13" s="30">
        <v>1</v>
      </c>
      <c r="P13" s="31">
        <v>0</v>
      </c>
      <c r="Q13" s="1">
        <v>1</v>
      </c>
      <c r="R13" s="32">
        <v>1.4120438172144247</v>
      </c>
      <c r="S13" s="32">
        <v>0.88299999999999912</v>
      </c>
      <c r="T13" s="32">
        <v>0.52904381721442562</v>
      </c>
      <c r="U13" s="32"/>
      <c r="V13" s="32"/>
      <c r="W13" s="32"/>
      <c r="X13" s="32"/>
      <c r="Y13" s="32"/>
      <c r="Z13" s="32"/>
    </row>
    <row r="14" spans="1:33" x14ac:dyDescent="0.35">
      <c r="A14" s="44">
        <v>43835</v>
      </c>
      <c r="B14" s="20">
        <f t="shared" si="2"/>
        <v>43825</v>
      </c>
      <c r="C14" s="35">
        <v>39.75</v>
      </c>
      <c r="D14" s="36">
        <v>45.6</v>
      </c>
      <c r="E14" s="36">
        <v>36.75</v>
      </c>
      <c r="F14" s="36">
        <v>14.484999999999999</v>
      </c>
      <c r="G14" s="36">
        <v>25.3</v>
      </c>
      <c r="H14" s="42">
        <v>0</v>
      </c>
      <c r="I14" s="40">
        <f t="shared" si="3"/>
        <v>0.32217593749999995</v>
      </c>
      <c r="J14" s="40">
        <f t="shared" si="3"/>
        <v>0.379191375</v>
      </c>
      <c r="K14" s="41">
        <f t="shared" si="4"/>
        <v>0.66878000000000004</v>
      </c>
      <c r="L14" s="23">
        <f t="shared" si="1"/>
        <v>3.8356164383561646E-2</v>
      </c>
      <c r="M14" s="28">
        <f t="shared" si="0"/>
        <v>31</v>
      </c>
      <c r="N14" s="29" t="s">
        <v>9</v>
      </c>
      <c r="O14" s="30">
        <v>1</v>
      </c>
      <c r="P14" s="31">
        <v>0</v>
      </c>
      <c r="Q14" s="1">
        <v>1</v>
      </c>
      <c r="R14" s="32">
        <v>1.7495890795755571</v>
      </c>
      <c r="S14" s="32">
        <v>1.4190000000000005</v>
      </c>
      <c r="T14" s="32">
        <v>0.33058907957555661</v>
      </c>
      <c r="U14" s="32"/>
      <c r="V14" s="32"/>
      <c r="W14" s="32"/>
      <c r="X14" s="32"/>
      <c r="Y14" s="32"/>
      <c r="Z14" s="32"/>
    </row>
    <row r="15" spans="1:33" x14ac:dyDescent="0.35">
      <c r="A15" s="44">
        <v>43836</v>
      </c>
      <c r="B15" s="20">
        <f t="shared" si="2"/>
        <v>43825</v>
      </c>
      <c r="C15" s="35">
        <v>39.75</v>
      </c>
      <c r="D15" s="36">
        <v>45.6</v>
      </c>
      <c r="E15" s="36">
        <v>36.36</v>
      </c>
      <c r="F15" s="36">
        <v>14.353</v>
      </c>
      <c r="G15" s="36">
        <v>25.3</v>
      </c>
      <c r="H15" s="42">
        <v>0</v>
      </c>
      <c r="I15" s="40">
        <f>20%+(I14-20%)*0.95</f>
        <v>0.31606714062499996</v>
      </c>
      <c r="J15" s="40">
        <f t="shared" si="3"/>
        <v>0.37023180624999996</v>
      </c>
      <c r="K15" s="41">
        <f t="shared" si="4"/>
        <v>0.68190200000000001</v>
      </c>
      <c r="L15" s="23">
        <f t="shared" si="1"/>
        <v>3.8356164383561646E-2</v>
      </c>
      <c r="M15" s="28">
        <f t="shared" si="0"/>
        <v>31</v>
      </c>
      <c r="N15" s="29" t="s">
        <v>9</v>
      </c>
      <c r="O15" s="30">
        <v>1</v>
      </c>
      <c r="P15" s="31">
        <v>0</v>
      </c>
      <c r="Q15" s="1">
        <v>1</v>
      </c>
      <c r="R15" s="32">
        <v>1.9249551699812528</v>
      </c>
      <c r="S15" s="32">
        <v>1.6829999999999998</v>
      </c>
      <c r="T15" s="32">
        <v>0.24195516998125299</v>
      </c>
      <c r="U15" s="32"/>
      <c r="V15" s="32"/>
      <c r="W15" s="32"/>
      <c r="X15" s="32"/>
      <c r="Y15" s="32"/>
      <c r="Z15" s="32"/>
    </row>
    <row r="16" spans="1:33" x14ac:dyDescent="0.35">
      <c r="A16" s="44">
        <v>43837</v>
      </c>
      <c r="B16" s="20">
        <f t="shared" si="2"/>
        <v>43826</v>
      </c>
      <c r="C16" s="35">
        <v>43.1</v>
      </c>
      <c r="D16" s="36">
        <v>49.6</v>
      </c>
      <c r="E16" s="36">
        <v>39.270000000000003</v>
      </c>
      <c r="F16" s="36">
        <v>14.363</v>
      </c>
      <c r="G16" s="36">
        <v>25.3</v>
      </c>
      <c r="H16" s="42">
        <v>0</v>
      </c>
      <c r="I16" s="40">
        <f t="shared" si="3"/>
        <v>0.31026378359374995</v>
      </c>
      <c r="J16" s="40">
        <f t="shared" si="3"/>
        <v>0.36172021593749992</v>
      </c>
      <c r="K16" s="41">
        <f t="shared" si="4"/>
        <v>0.69371179999999999</v>
      </c>
      <c r="L16" s="23">
        <f t="shared" si="1"/>
        <v>4.1095890410958902E-2</v>
      </c>
      <c r="M16" s="28">
        <f t="shared" si="0"/>
        <v>31</v>
      </c>
      <c r="N16" s="29" t="s">
        <v>9</v>
      </c>
      <c r="O16" s="30">
        <v>1</v>
      </c>
      <c r="P16" s="31">
        <v>0</v>
      </c>
      <c r="Q16" s="1">
        <v>1</v>
      </c>
      <c r="R16" s="32">
        <v>5.020054529179383</v>
      </c>
      <c r="S16" s="32">
        <v>5.0130000000000017</v>
      </c>
      <c r="T16" s="32">
        <v>7.0545291793813192E-3</v>
      </c>
      <c r="U16" s="32"/>
      <c r="V16" s="32"/>
      <c r="W16" s="32"/>
      <c r="X16" s="32"/>
      <c r="Y16" s="32"/>
      <c r="Z16" s="32"/>
    </row>
    <row r="17" spans="1:26" x14ac:dyDescent="0.35">
      <c r="A17" s="44">
        <v>43838</v>
      </c>
      <c r="B17" s="20">
        <f t="shared" si="2"/>
        <v>43829</v>
      </c>
      <c r="C17" s="35">
        <v>43.1</v>
      </c>
      <c r="D17" s="36">
        <v>49.6</v>
      </c>
      <c r="E17" s="36">
        <v>39.770000000000003</v>
      </c>
      <c r="F17" s="36">
        <v>14.583</v>
      </c>
      <c r="G17" s="36">
        <v>25.3</v>
      </c>
      <c r="H17" s="42">
        <v>0</v>
      </c>
      <c r="I17" s="40">
        <f t="shared" si="3"/>
        <v>0.30475059441406244</v>
      </c>
      <c r="J17" s="40">
        <f t="shared" si="3"/>
        <v>0.35363420514062494</v>
      </c>
      <c r="K17" s="41">
        <f t="shared" si="4"/>
        <v>0.70434061999999997</v>
      </c>
      <c r="L17" s="23">
        <f t="shared" si="1"/>
        <v>4.9315068493150684E-2</v>
      </c>
      <c r="M17" s="28">
        <f t="shared" si="0"/>
        <v>31</v>
      </c>
      <c r="N17" s="29" t="s">
        <v>9</v>
      </c>
      <c r="O17" s="30">
        <v>1</v>
      </c>
      <c r="P17" s="31">
        <v>0</v>
      </c>
      <c r="Q17" s="1">
        <v>1</v>
      </c>
      <c r="R17" s="32">
        <v>4.5919911416336134</v>
      </c>
      <c r="S17" s="32">
        <v>4.5730000000000004</v>
      </c>
      <c r="T17" s="32">
        <v>1.899114163361304E-2</v>
      </c>
      <c r="U17" s="32"/>
      <c r="V17" s="32"/>
      <c r="W17" s="32"/>
      <c r="X17" s="32"/>
      <c r="Y17" s="32"/>
      <c r="Z17" s="32"/>
    </row>
    <row r="18" spans="1:26" x14ac:dyDescent="0.35">
      <c r="A18" s="44">
        <v>43839</v>
      </c>
      <c r="B18" s="20">
        <f t="shared" si="2"/>
        <v>43830</v>
      </c>
      <c r="C18" s="35">
        <v>43.1</v>
      </c>
      <c r="D18" s="36">
        <v>49.6</v>
      </c>
      <c r="E18" s="36">
        <v>39.340000000000003</v>
      </c>
      <c r="F18" s="36">
        <v>14.77</v>
      </c>
      <c r="G18" s="36">
        <v>25.3</v>
      </c>
      <c r="H18" s="42">
        <v>0</v>
      </c>
      <c r="I18" s="40">
        <f t="shared" si="3"/>
        <v>0.29951306469335931</v>
      </c>
      <c r="J18" s="40">
        <f t="shared" si="3"/>
        <v>0.3459524948835937</v>
      </c>
      <c r="K18" s="41">
        <f t="shared" si="4"/>
        <v>0.71390655800000002</v>
      </c>
      <c r="L18" s="23">
        <f t="shared" si="1"/>
        <v>5.2054794520547946E-2</v>
      </c>
      <c r="M18" s="28">
        <f t="shared" si="0"/>
        <v>31</v>
      </c>
      <c r="N18" s="29" t="s">
        <v>9</v>
      </c>
      <c r="O18" s="30">
        <v>1</v>
      </c>
      <c r="P18" s="31">
        <v>0</v>
      </c>
      <c r="Q18" s="1">
        <v>1</v>
      </c>
      <c r="R18" s="32">
        <v>4.2276477370670662</v>
      </c>
      <c r="S18" s="32">
        <v>4.1990000000000016</v>
      </c>
      <c r="T18" s="32">
        <v>2.8647737067064583E-2</v>
      </c>
      <c r="U18" s="32"/>
      <c r="V18" s="32"/>
      <c r="W18" s="32"/>
      <c r="X18" s="32"/>
      <c r="Y18" s="32"/>
      <c r="Z18" s="32"/>
    </row>
    <row r="19" spans="1:26" x14ac:dyDescent="0.35">
      <c r="A19" s="44">
        <v>43840</v>
      </c>
      <c r="B19" s="20">
        <f t="shared" si="2"/>
        <v>43831</v>
      </c>
      <c r="C19" s="35">
        <v>48.75</v>
      </c>
      <c r="D19" s="36">
        <v>60.65</v>
      </c>
      <c r="E19" s="36">
        <v>42.22</v>
      </c>
      <c r="F19" s="36">
        <v>16.026</v>
      </c>
      <c r="G19" s="36">
        <v>25.3</v>
      </c>
      <c r="H19" s="42">
        <v>0</v>
      </c>
      <c r="I19" s="40">
        <f t="shared" si="3"/>
        <v>0.29453741145869133</v>
      </c>
      <c r="J19" s="40">
        <f t="shared" si="3"/>
        <v>0.33865487013941398</v>
      </c>
      <c r="K19" s="41">
        <f t="shared" si="4"/>
        <v>0.72251590220000006</v>
      </c>
      <c r="L19" s="23">
        <f t="shared" si="1"/>
        <v>5.4794520547945202E-2</v>
      </c>
      <c r="M19" s="28">
        <f t="shared" si="0"/>
        <v>31</v>
      </c>
      <c r="N19" s="29" t="s">
        <v>9</v>
      </c>
      <c r="O19" s="30">
        <v>1</v>
      </c>
      <c r="P19" s="31">
        <v>0</v>
      </c>
      <c r="Q19" s="1">
        <v>1</v>
      </c>
      <c r="R19" s="32">
        <v>7.3380533781283006</v>
      </c>
      <c r="S19" s="32">
        <v>7.3369999999999997</v>
      </c>
      <c r="T19" s="32">
        <v>1.0533781283008636E-3</v>
      </c>
      <c r="U19" s="32"/>
      <c r="V19" s="32"/>
      <c r="W19" s="32"/>
      <c r="X19" s="32"/>
      <c r="Y19" s="32"/>
      <c r="Z19" s="32"/>
    </row>
    <row r="20" spans="1:26" x14ac:dyDescent="0.35">
      <c r="A20" s="44">
        <v>43841</v>
      </c>
      <c r="B20" s="20">
        <f t="shared" si="2"/>
        <v>43832</v>
      </c>
      <c r="C20" s="35">
        <v>48.75</v>
      </c>
      <c r="D20" s="36">
        <v>60.65</v>
      </c>
      <c r="E20" s="36">
        <v>42.34</v>
      </c>
      <c r="F20" s="36">
        <v>17.968</v>
      </c>
      <c r="G20" s="36">
        <v>25.3</v>
      </c>
      <c r="H20" s="42">
        <v>0</v>
      </c>
      <c r="I20" s="40">
        <f t="shared" si="3"/>
        <v>0.28981054088575675</v>
      </c>
      <c r="J20" s="40">
        <f t="shared" si="3"/>
        <v>0.33172212663244327</v>
      </c>
      <c r="K20" s="41">
        <f t="shared" si="4"/>
        <v>0.73026431198000008</v>
      </c>
      <c r="L20" s="23">
        <f t="shared" si="1"/>
        <v>5.7534246575342465E-2</v>
      </c>
      <c r="M20" s="28">
        <f t="shared" si="0"/>
        <v>31</v>
      </c>
      <c r="N20" s="29" t="s">
        <v>9</v>
      </c>
      <c r="O20" s="30">
        <v>1</v>
      </c>
      <c r="P20" s="31">
        <v>0</v>
      </c>
      <c r="Q20" s="1">
        <v>1</v>
      </c>
      <c r="R20" s="32">
        <v>3.5577086663416679</v>
      </c>
      <c r="S20" s="32">
        <v>3.4529999999999994</v>
      </c>
      <c r="T20" s="32">
        <v>0.10470866634166853</v>
      </c>
      <c r="U20" s="32"/>
      <c r="V20" s="32"/>
      <c r="W20" s="32"/>
      <c r="X20" s="32"/>
      <c r="Y20" s="32"/>
      <c r="Z20" s="32"/>
    </row>
    <row r="21" spans="1:26" x14ac:dyDescent="0.35">
      <c r="A21" s="44">
        <v>43842</v>
      </c>
      <c r="B21" s="20">
        <f>WORKDAY(A21,-7)</f>
        <v>43832</v>
      </c>
      <c r="C21" s="35">
        <v>48.75</v>
      </c>
      <c r="D21" s="36">
        <v>60.65</v>
      </c>
      <c r="E21" s="36">
        <v>41.73</v>
      </c>
      <c r="F21" s="36">
        <v>18.376000000000001</v>
      </c>
      <c r="G21" s="36">
        <v>25.3</v>
      </c>
      <c r="H21" s="42">
        <v>0</v>
      </c>
      <c r="I21" s="40">
        <f t="shared" si="3"/>
        <v>0.28532001384146888</v>
      </c>
      <c r="J21" s="40">
        <f t="shared" si="3"/>
        <v>0.32513602030082112</v>
      </c>
      <c r="K21" s="41">
        <f t="shared" si="4"/>
        <v>0.73723788078200003</v>
      </c>
      <c r="L21" s="23">
        <f t="shared" si="1"/>
        <v>5.7534246575342465E-2</v>
      </c>
      <c r="M21" s="28">
        <f t="shared" si="0"/>
        <v>31</v>
      </c>
      <c r="N21" s="29" t="s">
        <v>9</v>
      </c>
      <c r="O21" s="30">
        <v>1</v>
      </c>
      <c r="P21" s="31">
        <v>0</v>
      </c>
      <c r="Q21" s="1">
        <v>1</v>
      </c>
      <c r="R21" s="32">
        <v>2.8249505924322378</v>
      </c>
      <c r="S21" s="32">
        <v>2.6369999999999969</v>
      </c>
      <c r="T21" s="32">
        <v>0.18795059243224088</v>
      </c>
      <c r="U21" s="32"/>
      <c r="V21" s="32"/>
      <c r="W21" s="32"/>
      <c r="X21" s="32"/>
      <c r="Y21" s="32"/>
      <c r="Z21" s="32"/>
    </row>
    <row r="22" spans="1:26" x14ac:dyDescent="0.35">
      <c r="A22" s="44">
        <v>43843</v>
      </c>
      <c r="B22" s="20">
        <f t="shared" ref="B22:B85" si="5">WORKDAY(A22,-7)</f>
        <v>43832</v>
      </c>
      <c r="C22" s="35">
        <v>48.75</v>
      </c>
      <c r="D22" s="36">
        <v>60.65</v>
      </c>
      <c r="E22" s="36">
        <v>41.73</v>
      </c>
      <c r="F22" s="36">
        <v>18.376000000000001</v>
      </c>
      <c r="G22" s="36">
        <v>25.3</v>
      </c>
      <c r="H22" s="42">
        <v>0</v>
      </c>
      <c r="I22" s="40">
        <f t="shared" ref="I22:J22" si="6">20%+(I21-20%)*0.95</f>
        <v>0.28105401314939543</v>
      </c>
      <c r="J22" s="40">
        <f t="shared" si="6"/>
        <v>0.31887921928578006</v>
      </c>
      <c r="K22" s="41">
        <f t="shared" si="4"/>
        <v>0.74351409270379998</v>
      </c>
      <c r="L22" s="23">
        <f t="shared" ref="L22:L85" si="7">(B22-$B$3)/365</f>
        <v>5.7534246575342465E-2</v>
      </c>
      <c r="M22" s="28">
        <f t="shared" ref="M22:M85" si="8">DAY(EOMONTH(B22,0))</f>
        <v>31</v>
      </c>
      <c r="N22" s="29" t="s">
        <v>9</v>
      </c>
      <c r="O22" s="30">
        <v>1</v>
      </c>
      <c r="P22" s="31">
        <v>0</v>
      </c>
      <c r="Q22" s="1">
        <v>1</v>
      </c>
      <c r="R22" s="32">
        <v>2.8086283385872548</v>
      </c>
      <c r="S22" s="32">
        <v>2.6369999999999969</v>
      </c>
      <c r="T22" s="32">
        <v>0.1716283385872579</v>
      </c>
    </row>
    <row r="23" spans="1:26" x14ac:dyDescent="0.35">
      <c r="A23" s="44">
        <v>43844</v>
      </c>
      <c r="B23" s="20">
        <f t="shared" si="5"/>
        <v>43833</v>
      </c>
      <c r="C23" s="35">
        <v>48.75</v>
      </c>
      <c r="D23" s="36">
        <v>60.65</v>
      </c>
      <c r="E23" s="36">
        <v>41.73</v>
      </c>
      <c r="F23" s="36">
        <v>18.376000000000001</v>
      </c>
      <c r="G23" s="36">
        <v>25.3</v>
      </c>
      <c r="H23" s="42">
        <v>0</v>
      </c>
      <c r="I23" s="40">
        <f t="shared" ref="I23:J23" si="9">20%+(I22-20%)*0.95</f>
        <v>0.27700131249192567</v>
      </c>
      <c r="J23" s="40">
        <f t="shared" si="9"/>
        <v>0.31293525832149105</v>
      </c>
      <c r="K23" s="41">
        <f t="shared" si="4"/>
        <v>0.74916268343341996</v>
      </c>
      <c r="L23" s="23">
        <f t="shared" si="7"/>
        <v>6.0273972602739728E-2</v>
      </c>
      <c r="M23" s="28">
        <f t="shared" si="8"/>
        <v>31</v>
      </c>
      <c r="N23" s="29" t="s">
        <v>9</v>
      </c>
      <c r="O23" s="30">
        <v>1</v>
      </c>
      <c r="P23" s="31">
        <v>0</v>
      </c>
      <c r="Q23" s="1">
        <v>1</v>
      </c>
      <c r="R23" s="32">
        <v>2.8060686909569483</v>
      </c>
      <c r="S23" s="32">
        <v>2.6369999999999969</v>
      </c>
      <c r="T23" s="32">
        <v>0.16906869095695143</v>
      </c>
    </row>
    <row r="24" spans="1:26" x14ac:dyDescent="0.35">
      <c r="A24" s="44">
        <v>43845</v>
      </c>
      <c r="B24" s="20">
        <f t="shared" si="5"/>
        <v>43836</v>
      </c>
      <c r="C24" s="35">
        <v>48.75</v>
      </c>
      <c r="D24" s="36">
        <v>60.65</v>
      </c>
      <c r="E24" s="36">
        <v>41.73</v>
      </c>
      <c r="F24" s="36">
        <v>18.376000000000001</v>
      </c>
      <c r="G24" s="36">
        <v>25.3</v>
      </c>
      <c r="H24" s="42">
        <v>0</v>
      </c>
      <c r="I24" s="40">
        <f t="shared" ref="I24:J24" si="10">20%+(I23-20%)*0.95</f>
        <v>0.27315124686732939</v>
      </c>
      <c r="J24" s="40">
        <f t="shared" si="10"/>
        <v>0.30728849540541647</v>
      </c>
      <c r="K24" s="41">
        <f t="shared" si="4"/>
        <v>0.75424641509007795</v>
      </c>
      <c r="L24" s="23">
        <f t="shared" si="7"/>
        <v>6.8493150684931503E-2</v>
      </c>
      <c r="M24" s="28">
        <f t="shared" si="8"/>
        <v>31</v>
      </c>
      <c r="N24" s="29" t="s">
        <v>9</v>
      </c>
      <c r="O24" s="30">
        <v>1</v>
      </c>
      <c r="P24" s="31">
        <v>0</v>
      </c>
      <c r="Q24" s="1">
        <v>1</v>
      </c>
      <c r="R24" s="32">
        <v>2.8266693455482113</v>
      </c>
      <c r="S24" s="32">
        <v>2.6369999999999969</v>
      </c>
      <c r="T24" s="32">
        <v>0.18966934554821435</v>
      </c>
    </row>
    <row r="25" spans="1:26" x14ac:dyDescent="0.35">
      <c r="A25" s="44">
        <v>43846</v>
      </c>
      <c r="B25" s="20">
        <f t="shared" si="5"/>
        <v>43837</v>
      </c>
      <c r="C25" s="35">
        <v>48.75</v>
      </c>
      <c r="D25" s="36">
        <v>60.65</v>
      </c>
      <c r="E25" s="36">
        <v>41.73</v>
      </c>
      <c r="F25" s="36">
        <v>18.376000000000001</v>
      </c>
      <c r="G25" s="36">
        <v>25.3</v>
      </c>
      <c r="H25" s="42">
        <v>0</v>
      </c>
      <c r="I25" s="40">
        <f t="shared" ref="I25:J25" si="11">20%+(I24-20%)*0.95</f>
        <v>0.26949368452396294</v>
      </c>
      <c r="J25" s="40">
        <f t="shared" si="11"/>
        <v>0.30192407063514565</v>
      </c>
      <c r="K25" s="41">
        <f t="shared" si="4"/>
        <v>0.75882177358107017</v>
      </c>
      <c r="L25" s="23">
        <f t="shared" si="7"/>
        <v>7.1232876712328766E-2</v>
      </c>
      <c r="M25" s="28">
        <f t="shared" si="8"/>
        <v>31</v>
      </c>
      <c r="N25" s="29" t="s">
        <v>9</v>
      </c>
      <c r="O25" s="30">
        <v>1</v>
      </c>
      <c r="P25" s="31">
        <v>0</v>
      </c>
      <c r="Q25" s="1">
        <v>1</v>
      </c>
      <c r="R25" s="32">
        <v>2.8233033774782328</v>
      </c>
      <c r="S25" s="32">
        <v>2.6369999999999969</v>
      </c>
      <c r="T25" s="32">
        <v>0.18630337747823589</v>
      </c>
    </row>
    <row r="26" spans="1:26" x14ac:dyDescent="0.35">
      <c r="A26" s="44">
        <v>43847</v>
      </c>
      <c r="B26" s="20">
        <f t="shared" si="5"/>
        <v>43838</v>
      </c>
      <c r="C26" s="35">
        <v>48.75</v>
      </c>
      <c r="D26" s="36">
        <v>60.65</v>
      </c>
      <c r="E26" s="36">
        <v>41.73</v>
      </c>
      <c r="F26" s="36">
        <v>18.376000000000001</v>
      </c>
      <c r="G26" s="36">
        <v>25.3</v>
      </c>
      <c r="H26" s="42">
        <v>0</v>
      </c>
      <c r="I26" s="40">
        <f t="shared" ref="I26:J26" si="12">20%+(I25-20%)*0.95</f>
        <v>0.26601900029776482</v>
      </c>
      <c r="J26" s="40">
        <f t="shared" si="12"/>
        <v>0.29682786710338838</v>
      </c>
      <c r="K26" s="41">
        <f t="shared" si="4"/>
        <v>0.76293959622296315</v>
      </c>
      <c r="L26" s="23">
        <f t="shared" si="7"/>
        <v>7.3972602739726029E-2</v>
      </c>
      <c r="M26" s="28">
        <f t="shared" si="8"/>
        <v>31</v>
      </c>
      <c r="N26" s="29" t="s">
        <v>9</v>
      </c>
      <c r="O26" s="30">
        <v>1</v>
      </c>
      <c r="P26" s="31">
        <v>0</v>
      </c>
      <c r="Q26" s="1">
        <v>1</v>
      </c>
      <c r="R26" s="32">
        <v>2.8202391424437678</v>
      </c>
      <c r="S26" s="32">
        <v>2.6369999999999969</v>
      </c>
      <c r="T26" s="32">
        <v>0.18323914244377093</v>
      </c>
    </row>
    <row r="27" spans="1:26" x14ac:dyDescent="0.35">
      <c r="A27" s="44">
        <v>43848</v>
      </c>
      <c r="B27" s="20">
        <f t="shared" si="5"/>
        <v>43839</v>
      </c>
      <c r="C27" s="35">
        <v>48.75</v>
      </c>
      <c r="D27" s="36">
        <v>60.65</v>
      </c>
      <c r="E27" s="36">
        <v>41.73</v>
      </c>
      <c r="F27" s="36">
        <v>18.376000000000001</v>
      </c>
      <c r="G27" s="36">
        <v>25.3</v>
      </c>
      <c r="H27" s="42">
        <v>0</v>
      </c>
      <c r="I27" s="40">
        <f t="shared" ref="I27:J27" si="13">20%+(I26-20%)*0.95</f>
        <v>0.26271805028287659</v>
      </c>
      <c r="J27" s="40">
        <f t="shared" si="13"/>
        <v>0.29198647374821896</v>
      </c>
      <c r="K27" s="41">
        <f t="shared" si="4"/>
        <v>0.76664563660066687</v>
      </c>
      <c r="L27" s="23">
        <f t="shared" si="7"/>
        <v>7.6712328767123292E-2</v>
      </c>
      <c r="M27" s="28">
        <f t="shared" si="8"/>
        <v>31</v>
      </c>
      <c r="N27" s="29" t="s">
        <v>9</v>
      </c>
      <c r="O27" s="30">
        <v>1</v>
      </c>
      <c r="P27" s="31">
        <v>0</v>
      </c>
      <c r="Q27" s="1">
        <v>1</v>
      </c>
      <c r="R27" s="32">
        <v>2.8174695634387845</v>
      </c>
      <c r="S27" s="32">
        <v>2.6369999999999969</v>
      </c>
      <c r="T27" s="32">
        <v>0.18046956343878762</v>
      </c>
    </row>
    <row r="28" spans="1:26" x14ac:dyDescent="0.35">
      <c r="A28" s="44">
        <v>43849</v>
      </c>
      <c r="B28" s="20">
        <f t="shared" si="5"/>
        <v>43839</v>
      </c>
      <c r="C28" s="35">
        <v>48.75</v>
      </c>
      <c r="D28" s="36">
        <v>60.65</v>
      </c>
      <c r="E28" s="36">
        <v>41.73</v>
      </c>
      <c r="F28" s="36">
        <v>18.376000000000001</v>
      </c>
      <c r="G28" s="36">
        <v>25.3</v>
      </c>
      <c r="H28" s="42">
        <v>0</v>
      </c>
      <c r="I28" s="40">
        <f t="shared" ref="I28:J28" si="14">20%+(I27-20%)*0.95</f>
        <v>0.25958214776873278</v>
      </c>
      <c r="J28" s="40">
        <f t="shared" si="14"/>
        <v>0.28738715006080801</v>
      </c>
      <c r="K28" s="41">
        <f t="shared" si="4"/>
        <v>0.76998107294060014</v>
      </c>
      <c r="L28" s="23">
        <f t="shared" si="7"/>
        <v>7.6712328767123292E-2</v>
      </c>
      <c r="M28" s="28">
        <f t="shared" si="8"/>
        <v>31</v>
      </c>
      <c r="N28" s="29" t="s">
        <v>9</v>
      </c>
      <c r="O28" s="30">
        <v>1</v>
      </c>
      <c r="P28" s="31">
        <v>0</v>
      </c>
      <c r="Q28" s="1">
        <v>1</v>
      </c>
      <c r="R28" s="32">
        <v>2.8054902245060305</v>
      </c>
      <c r="S28" s="32">
        <v>2.6369999999999969</v>
      </c>
      <c r="T28" s="32">
        <v>0.16849022450603357</v>
      </c>
    </row>
    <row r="29" spans="1:26" x14ac:dyDescent="0.35">
      <c r="A29" s="44">
        <v>43850</v>
      </c>
      <c r="B29" s="20">
        <f t="shared" si="5"/>
        <v>43839</v>
      </c>
      <c r="C29" s="35">
        <v>48.75</v>
      </c>
      <c r="D29" s="36">
        <v>60.65</v>
      </c>
      <c r="E29" s="36">
        <v>41.73</v>
      </c>
      <c r="F29" s="36">
        <v>18.376000000000001</v>
      </c>
      <c r="G29" s="36">
        <v>25.3</v>
      </c>
      <c r="H29" s="42">
        <v>0</v>
      </c>
      <c r="I29" s="40">
        <f t="shared" ref="I29:J29" si="15">20%+(I28-20%)*0.95</f>
        <v>0.25660304038029613</v>
      </c>
      <c r="J29" s="40">
        <f t="shared" si="15"/>
        <v>0.2830177925577676</v>
      </c>
      <c r="K29" s="41">
        <f t="shared" si="4"/>
        <v>0.77298296564654012</v>
      </c>
      <c r="L29" s="23">
        <f t="shared" si="7"/>
        <v>7.6712328767123292E-2</v>
      </c>
      <c r="M29" s="28">
        <f t="shared" si="8"/>
        <v>31</v>
      </c>
      <c r="N29" s="29" t="s">
        <v>9</v>
      </c>
      <c r="O29" s="30">
        <v>1</v>
      </c>
      <c r="P29" s="31">
        <v>0</v>
      </c>
      <c r="Q29" s="1">
        <v>1</v>
      </c>
      <c r="R29" s="32">
        <v>2.794609699155437</v>
      </c>
      <c r="S29" s="32">
        <v>2.6369999999999969</v>
      </c>
      <c r="T29" s="32">
        <v>0.1576096991554401</v>
      </c>
    </row>
    <row r="30" spans="1:26" x14ac:dyDescent="0.35">
      <c r="A30" s="44">
        <v>43851</v>
      </c>
      <c r="B30" s="20">
        <f t="shared" si="5"/>
        <v>43840</v>
      </c>
      <c r="C30" s="35">
        <v>48.75</v>
      </c>
      <c r="D30" s="36">
        <v>60.65</v>
      </c>
      <c r="E30" s="36">
        <v>41.73</v>
      </c>
      <c r="F30" s="36">
        <v>18.376000000000001</v>
      </c>
      <c r="G30" s="36">
        <v>25.3</v>
      </c>
      <c r="H30" s="42">
        <v>0</v>
      </c>
      <c r="I30" s="40">
        <f t="shared" ref="I30:J30" si="16">20%+(I29-20%)*0.95</f>
        <v>0.25377288836128131</v>
      </c>
      <c r="J30" s="40">
        <f t="shared" si="16"/>
        <v>0.2788669029298792</v>
      </c>
      <c r="K30" s="41">
        <f t="shared" si="4"/>
        <v>0.77568466908188616</v>
      </c>
      <c r="L30" s="23">
        <f t="shared" si="7"/>
        <v>7.9452054794520555E-2</v>
      </c>
      <c r="M30" s="28">
        <f t="shared" si="8"/>
        <v>31</v>
      </c>
      <c r="N30" s="29" t="s">
        <v>9</v>
      </c>
      <c r="O30" s="30">
        <v>1</v>
      </c>
      <c r="P30" s="31">
        <v>0</v>
      </c>
      <c r="Q30" s="1">
        <v>1</v>
      </c>
      <c r="R30" s="32">
        <v>2.7933880186466737</v>
      </c>
      <c r="S30" s="32">
        <v>2.6369999999999969</v>
      </c>
      <c r="T30" s="32">
        <v>0.15638801864667684</v>
      </c>
    </row>
    <row r="31" spans="1:26" x14ac:dyDescent="0.35">
      <c r="A31" s="44">
        <v>43852</v>
      </c>
      <c r="B31" s="20">
        <f t="shared" si="5"/>
        <v>43843</v>
      </c>
      <c r="C31" s="35">
        <v>48.75</v>
      </c>
      <c r="D31" s="36">
        <v>60.65</v>
      </c>
      <c r="E31" s="36">
        <v>41.73</v>
      </c>
      <c r="F31" s="36">
        <v>18.376000000000001</v>
      </c>
      <c r="G31" s="36">
        <v>25.3</v>
      </c>
      <c r="H31" s="42">
        <v>0</v>
      </c>
      <c r="I31" s="40">
        <f t="shared" ref="I31:J31" si="17">20%+(I30-20%)*0.95</f>
        <v>0.25108424394321727</v>
      </c>
      <c r="J31" s="40">
        <f t="shared" si="17"/>
        <v>0.27492355778338523</v>
      </c>
      <c r="K31" s="41">
        <f t="shared" si="4"/>
        <v>0.77811620217369759</v>
      </c>
      <c r="L31" s="23">
        <f t="shared" si="7"/>
        <v>8.7671232876712329E-2</v>
      </c>
      <c r="M31" s="28">
        <f t="shared" si="8"/>
        <v>31</v>
      </c>
      <c r="N31" s="29" t="s">
        <v>9</v>
      </c>
      <c r="O31" s="30">
        <v>1</v>
      </c>
      <c r="P31" s="31">
        <v>0</v>
      </c>
      <c r="Q31" s="1">
        <v>1</v>
      </c>
      <c r="R31" s="32">
        <v>2.8091447800658926</v>
      </c>
      <c r="S31" s="32">
        <v>2.6369999999999969</v>
      </c>
      <c r="T31" s="32">
        <v>0.17214478006589573</v>
      </c>
    </row>
    <row r="32" spans="1:26" x14ac:dyDescent="0.35">
      <c r="A32" s="44">
        <v>43853</v>
      </c>
      <c r="B32" s="20">
        <f t="shared" si="5"/>
        <v>43844</v>
      </c>
      <c r="C32" s="35">
        <v>48.75</v>
      </c>
      <c r="D32" s="36">
        <v>60.65</v>
      </c>
      <c r="E32" s="36">
        <v>41.73</v>
      </c>
      <c r="F32" s="36">
        <v>18.376000000000001</v>
      </c>
      <c r="G32" s="36">
        <v>25.3</v>
      </c>
      <c r="H32" s="42">
        <v>0</v>
      </c>
      <c r="I32" s="40">
        <f t="shared" ref="I32:J32" si="18">20%+(I31-20%)*0.95</f>
        <v>0.2485300317460564</v>
      </c>
      <c r="J32" s="40">
        <f t="shared" si="18"/>
        <v>0.27117737989421598</v>
      </c>
      <c r="K32" s="41">
        <f t="shared" si="4"/>
        <v>0.78030458195632779</v>
      </c>
      <c r="L32" s="23">
        <f t="shared" si="7"/>
        <v>9.0410958904109592E-2</v>
      </c>
      <c r="M32" s="28">
        <f t="shared" si="8"/>
        <v>31</v>
      </c>
      <c r="N32" s="29" t="s">
        <v>9</v>
      </c>
      <c r="O32" s="30">
        <v>1</v>
      </c>
      <c r="P32" s="31">
        <v>0</v>
      </c>
      <c r="Q32" s="1">
        <v>1</v>
      </c>
      <c r="R32" s="32">
        <v>2.8076977475469604</v>
      </c>
      <c r="S32" s="32">
        <v>2.6369999999999969</v>
      </c>
      <c r="T32" s="32">
        <v>0.17069774754696354</v>
      </c>
    </row>
    <row r="33" spans="1:20" x14ac:dyDescent="0.35">
      <c r="A33" s="44">
        <v>43854</v>
      </c>
      <c r="B33" s="20">
        <f t="shared" si="5"/>
        <v>43845</v>
      </c>
      <c r="C33" s="35">
        <v>48.75</v>
      </c>
      <c r="D33" s="36">
        <v>60.65</v>
      </c>
      <c r="E33" s="36">
        <v>41.73</v>
      </c>
      <c r="F33" s="36">
        <v>18.376000000000001</v>
      </c>
      <c r="G33" s="36">
        <v>25.3</v>
      </c>
      <c r="H33" s="42">
        <v>0</v>
      </c>
      <c r="I33" s="40">
        <f t="shared" ref="I33:J33" si="19">20%+(I32-20%)*0.95</f>
        <v>0.24610353015875358</v>
      </c>
      <c r="J33" s="40">
        <f t="shared" si="19"/>
        <v>0.26761851089950517</v>
      </c>
      <c r="K33" s="41">
        <f t="shared" si="4"/>
        <v>0.78227412376069505</v>
      </c>
      <c r="L33" s="23">
        <f t="shared" si="7"/>
        <v>9.3150684931506855E-2</v>
      </c>
      <c r="M33" s="28">
        <f t="shared" si="8"/>
        <v>31</v>
      </c>
      <c r="N33" s="29" t="s">
        <v>9</v>
      </c>
      <c r="O33" s="30">
        <v>1</v>
      </c>
      <c r="P33" s="31">
        <v>0</v>
      </c>
      <c r="Q33" s="1">
        <v>1</v>
      </c>
      <c r="R33" s="32">
        <v>2.8064821222846135</v>
      </c>
      <c r="S33" s="32">
        <v>2.6369999999999969</v>
      </c>
      <c r="T33" s="32">
        <v>0.16948212228461657</v>
      </c>
    </row>
    <row r="34" spans="1:20" x14ac:dyDescent="0.35">
      <c r="A34" s="44">
        <v>43855</v>
      </c>
      <c r="B34" s="20">
        <f t="shared" si="5"/>
        <v>43846</v>
      </c>
      <c r="C34" s="35">
        <v>48.75</v>
      </c>
      <c r="D34" s="36">
        <v>60.65</v>
      </c>
      <c r="E34" s="36">
        <v>41.73</v>
      </c>
      <c r="F34" s="36">
        <v>18.376000000000001</v>
      </c>
      <c r="G34" s="36">
        <v>25.3</v>
      </c>
      <c r="H34" s="42">
        <v>0</v>
      </c>
      <c r="I34" s="40">
        <f t="shared" ref="I34:J34" si="20">20%+(I33-20%)*0.95</f>
        <v>0.2437983536508159</v>
      </c>
      <c r="J34" s="40">
        <f t="shared" si="20"/>
        <v>0.2642375853545299</v>
      </c>
      <c r="K34" s="41">
        <f t="shared" si="4"/>
        <v>0.78404671138462556</v>
      </c>
      <c r="L34" s="23">
        <f t="shared" si="7"/>
        <v>9.5890410958904104E-2</v>
      </c>
      <c r="M34" s="28">
        <f t="shared" si="8"/>
        <v>31</v>
      </c>
      <c r="N34" s="29" t="s">
        <v>9</v>
      </c>
      <c r="O34" s="30">
        <v>1</v>
      </c>
      <c r="P34" s="31">
        <v>0</v>
      </c>
      <c r="Q34" s="1">
        <v>1</v>
      </c>
      <c r="R34" s="32">
        <v>2.8054870621369901</v>
      </c>
      <c r="S34" s="32">
        <v>2.6369999999999969</v>
      </c>
      <c r="T34" s="32">
        <v>0.16848706213699316</v>
      </c>
    </row>
    <row r="35" spans="1:20" x14ac:dyDescent="0.35">
      <c r="A35" s="44">
        <v>43856</v>
      </c>
      <c r="B35" s="20">
        <f t="shared" si="5"/>
        <v>43846</v>
      </c>
      <c r="C35" s="35">
        <v>48.75</v>
      </c>
      <c r="D35" s="36">
        <v>60.65</v>
      </c>
      <c r="E35" s="36">
        <v>41.73</v>
      </c>
      <c r="F35" s="36">
        <v>18.376000000000001</v>
      </c>
      <c r="G35" s="36">
        <v>25.3</v>
      </c>
      <c r="H35" s="42">
        <v>0</v>
      </c>
      <c r="I35" s="40">
        <f t="shared" ref="I35:J35" si="21">20%+(I34-20%)*0.95</f>
        <v>0.24160843596827511</v>
      </c>
      <c r="J35" s="40">
        <f t="shared" si="21"/>
        <v>0.26102570608680342</v>
      </c>
      <c r="K35" s="41">
        <f t="shared" si="4"/>
        <v>0.78564204024616302</v>
      </c>
      <c r="L35" s="23">
        <f t="shared" si="7"/>
        <v>9.5890410958904104E-2</v>
      </c>
      <c r="M35" s="28">
        <f t="shared" si="8"/>
        <v>31</v>
      </c>
      <c r="N35" s="29" t="s">
        <v>9</v>
      </c>
      <c r="O35" s="30">
        <v>1</v>
      </c>
      <c r="P35" s="31">
        <v>0</v>
      </c>
      <c r="Q35" s="1">
        <v>1</v>
      </c>
      <c r="R35" s="32">
        <v>2.7973627997902355</v>
      </c>
      <c r="S35" s="32">
        <v>2.6369999999999969</v>
      </c>
      <c r="T35" s="32">
        <v>0.1603627997902386</v>
      </c>
    </row>
    <row r="36" spans="1:20" x14ac:dyDescent="0.35">
      <c r="A36" s="44">
        <v>43857</v>
      </c>
      <c r="B36" s="20">
        <f t="shared" si="5"/>
        <v>43846</v>
      </c>
      <c r="C36" s="35">
        <v>48.75</v>
      </c>
      <c r="D36" s="36">
        <v>60.65</v>
      </c>
      <c r="E36" s="36">
        <v>41.73</v>
      </c>
      <c r="F36" s="36">
        <v>18.376000000000001</v>
      </c>
      <c r="G36" s="36">
        <v>25.3</v>
      </c>
      <c r="H36" s="42">
        <v>0</v>
      </c>
      <c r="I36" s="40">
        <f t="shared" ref="I36:J36" si="22">20%+(I35-20%)*0.95</f>
        <v>0.23952801416986136</v>
      </c>
      <c r="J36" s="40">
        <f t="shared" si="22"/>
        <v>0.25797442078246324</v>
      </c>
      <c r="K36" s="41">
        <f t="shared" si="4"/>
        <v>0.7870778362215467</v>
      </c>
      <c r="L36" s="23">
        <f t="shared" si="7"/>
        <v>9.5890410958904104E-2</v>
      </c>
      <c r="M36" s="28">
        <f t="shared" si="8"/>
        <v>31</v>
      </c>
      <c r="N36" s="29" t="s">
        <v>9</v>
      </c>
      <c r="O36" s="30">
        <v>1</v>
      </c>
      <c r="P36" s="31">
        <v>0</v>
      </c>
      <c r="Q36" s="1">
        <v>1</v>
      </c>
      <c r="R36" s="32">
        <v>2.7898923961961444</v>
      </c>
      <c r="S36" s="32">
        <v>2.6369999999999969</v>
      </c>
      <c r="T36" s="32">
        <v>0.15289239619614747</v>
      </c>
    </row>
    <row r="37" spans="1:20" x14ac:dyDescent="0.35">
      <c r="A37" s="44">
        <v>43858</v>
      </c>
      <c r="B37" s="20">
        <f t="shared" si="5"/>
        <v>43847</v>
      </c>
      <c r="C37" s="35">
        <v>48.75</v>
      </c>
      <c r="D37" s="36">
        <v>60.65</v>
      </c>
      <c r="E37" s="36">
        <v>41.73</v>
      </c>
      <c r="F37" s="36">
        <v>18.376000000000001</v>
      </c>
      <c r="G37" s="36">
        <v>25.3</v>
      </c>
      <c r="H37" s="42">
        <v>0</v>
      </c>
      <c r="I37" s="40">
        <f t="shared" ref="I37:J37" si="23">20%+(I36-20%)*0.95</f>
        <v>0.2375516134613683</v>
      </c>
      <c r="J37" s="40">
        <f t="shared" si="23"/>
        <v>0.2550756997433401</v>
      </c>
      <c r="K37" s="41">
        <f t="shared" si="4"/>
        <v>0.78837005259939208</v>
      </c>
      <c r="L37" s="23">
        <f t="shared" si="7"/>
        <v>9.8630136986301367E-2</v>
      </c>
      <c r="M37" s="28">
        <f t="shared" si="8"/>
        <v>31</v>
      </c>
      <c r="N37" s="29" t="s">
        <v>9</v>
      </c>
      <c r="O37" s="30">
        <v>1</v>
      </c>
      <c r="P37" s="31">
        <v>0</v>
      </c>
      <c r="Q37" s="1">
        <v>1</v>
      </c>
      <c r="R37" s="32">
        <v>2.7898940363549158</v>
      </c>
      <c r="S37" s="32">
        <v>2.6369999999999969</v>
      </c>
      <c r="T37" s="32">
        <v>0.15289403635491894</v>
      </c>
    </row>
    <row r="38" spans="1:20" x14ac:dyDescent="0.35">
      <c r="A38" s="44">
        <v>43859</v>
      </c>
      <c r="B38" s="20">
        <f t="shared" si="5"/>
        <v>43850</v>
      </c>
      <c r="C38" s="35">
        <v>48.75</v>
      </c>
      <c r="D38" s="36">
        <v>60.65</v>
      </c>
      <c r="E38" s="36">
        <v>41.73</v>
      </c>
      <c r="F38" s="36">
        <v>18.376000000000001</v>
      </c>
      <c r="G38" s="36">
        <v>25.3</v>
      </c>
      <c r="H38" s="42">
        <v>0</v>
      </c>
      <c r="I38" s="40">
        <f t="shared" ref="I38:J38" si="24">20%+(I37-20%)*0.95</f>
        <v>0.23567403278829988</v>
      </c>
      <c r="J38" s="40">
        <f t="shared" si="24"/>
        <v>0.2523219147561731</v>
      </c>
      <c r="K38" s="41">
        <f t="shared" si="4"/>
        <v>0.78953304733945284</v>
      </c>
      <c r="L38" s="23">
        <f t="shared" si="7"/>
        <v>0.10684931506849316</v>
      </c>
      <c r="M38" s="28">
        <f t="shared" si="8"/>
        <v>31</v>
      </c>
      <c r="N38" s="29" t="s">
        <v>9</v>
      </c>
      <c r="O38" s="30">
        <v>1</v>
      </c>
      <c r="P38" s="31">
        <v>0</v>
      </c>
      <c r="Q38" s="1">
        <v>1</v>
      </c>
      <c r="R38" s="32">
        <v>2.8035092907705419</v>
      </c>
      <c r="S38" s="32">
        <v>2.6369999999999969</v>
      </c>
      <c r="T38" s="32">
        <v>0.16650929077054499</v>
      </c>
    </row>
    <row r="39" spans="1:20" x14ac:dyDescent="0.35">
      <c r="A39" s="44">
        <v>43860</v>
      </c>
      <c r="B39" s="20">
        <f t="shared" si="5"/>
        <v>43851</v>
      </c>
      <c r="C39" s="35">
        <v>48.75</v>
      </c>
      <c r="D39" s="36">
        <v>60.65</v>
      </c>
      <c r="E39" s="36">
        <v>41.73</v>
      </c>
      <c r="F39" s="36">
        <v>18.376000000000001</v>
      </c>
      <c r="G39" s="36">
        <v>25.3</v>
      </c>
      <c r="H39" s="42">
        <v>0</v>
      </c>
      <c r="I39" s="40">
        <f t="shared" ref="I39:J39" si="25">20%+(I38-20%)*0.95</f>
        <v>0.23389033114888488</v>
      </c>
      <c r="J39" s="40">
        <f t="shared" si="25"/>
        <v>0.24970581901836444</v>
      </c>
      <c r="K39" s="41">
        <f t="shared" si="4"/>
        <v>0.79057974260550756</v>
      </c>
      <c r="L39" s="23">
        <f t="shared" si="7"/>
        <v>0.1095890410958904</v>
      </c>
      <c r="M39" s="28">
        <f t="shared" si="8"/>
        <v>31</v>
      </c>
      <c r="N39" s="29" t="s">
        <v>9</v>
      </c>
      <c r="O39" s="30">
        <v>1</v>
      </c>
      <c r="P39" s="31">
        <v>0</v>
      </c>
      <c r="Q39" s="1">
        <v>1</v>
      </c>
      <c r="R39" s="32">
        <v>2.8034686547390777</v>
      </c>
      <c r="S39" s="32">
        <v>2.6369999999999969</v>
      </c>
      <c r="T39" s="32">
        <v>0.16646865473908079</v>
      </c>
    </row>
    <row r="40" spans="1:20" x14ac:dyDescent="0.35">
      <c r="A40" s="44">
        <v>43861</v>
      </c>
      <c r="B40" s="20">
        <f t="shared" si="5"/>
        <v>43852</v>
      </c>
      <c r="C40" s="35">
        <v>48.75</v>
      </c>
      <c r="D40" s="36">
        <v>60.65</v>
      </c>
      <c r="E40" s="36">
        <v>41.73</v>
      </c>
      <c r="F40" s="36">
        <v>18.376000000000001</v>
      </c>
      <c r="G40" s="36">
        <v>25.3</v>
      </c>
      <c r="H40" s="42">
        <v>0</v>
      </c>
      <c r="I40" s="40">
        <f t="shared" ref="I40:J40" si="26">20%+(I39-20%)*0.95</f>
        <v>0.23219581459144065</v>
      </c>
      <c r="J40" s="40">
        <f t="shared" si="26"/>
        <v>0.24722052806744621</v>
      </c>
      <c r="K40" s="41">
        <f t="shared" si="4"/>
        <v>0.7915217683449568</v>
      </c>
      <c r="L40" s="23">
        <f t="shared" si="7"/>
        <v>0.11232876712328767</v>
      </c>
      <c r="M40" s="28">
        <f t="shared" si="8"/>
        <v>31</v>
      </c>
      <c r="N40" s="29" t="s">
        <v>9</v>
      </c>
      <c r="O40" s="30">
        <v>1</v>
      </c>
      <c r="P40" s="31">
        <v>0</v>
      </c>
      <c r="Q40" s="1">
        <v>1</v>
      </c>
      <c r="R40" s="32">
        <v>2.8035924863685082</v>
      </c>
      <c r="S40" s="32">
        <v>2.6369999999999969</v>
      </c>
      <c r="T40" s="32">
        <v>0.16659248636851132</v>
      </c>
    </row>
    <row r="41" spans="1:20" x14ac:dyDescent="0.35">
      <c r="A41" s="44">
        <v>43862</v>
      </c>
      <c r="B41" s="20">
        <f t="shared" si="5"/>
        <v>43853</v>
      </c>
      <c r="C41" s="35">
        <v>48.75</v>
      </c>
      <c r="D41" s="36">
        <v>60.65</v>
      </c>
      <c r="E41" s="36">
        <v>41.73</v>
      </c>
      <c r="F41" s="36">
        <v>18.376000000000001</v>
      </c>
      <c r="G41" s="36">
        <v>25.3</v>
      </c>
      <c r="H41" s="42">
        <v>0</v>
      </c>
      <c r="I41" s="40">
        <f t="shared" ref="I41:J41" si="27">20%+(I40-20%)*0.95</f>
        <v>0.23058602386186861</v>
      </c>
      <c r="J41" s="40">
        <f t="shared" si="27"/>
        <v>0.24485950166407389</v>
      </c>
      <c r="K41" s="41">
        <f t="shared" si="4"/>
        <v>0.79236959151046116</v>
      </c>
      <c r="L41" s="23">
        <f t="shared" si="7"/>
        <v>0.11506849315068493</v>
      </c>
      <c r="M41" s="28">
        <f t="shared" si="8"/>
        <v>31</v>
      </c>
      <c r="N41" s="29" t="s">
        <v>9</v>
      </c>
      <c r="O41" s="30">
        <v>1</v>
      </c>
      <c r="P41" s="31">
        <v>0</v>
      </c>
      <c r="Q41" s="1">
        <v>1</v>
      </c>
      <c r="R41" s="32">
        <v>2.803873080805765</v>
      </c>
      <c r="S41" s="32">
        <v>2.6369999999999969</v>
      </c>
      <c r="T41" s="32">
        <v>0.16687308080576813</v>
      </c>
    </row>
    <row r="42" spans="1:20" x14ac:dyDescent="0.35">
      <c r="A42" s="44">
        <v>43863</v>
      </c>
      <c r="B42" s="20">
        <f t="shared" si="5"/>
        <v>43853</v>
      </c>
      <c r="C42" s="35">
        <v>48.75</v>
      </c>
      <c r="D42" s="36">
        <v>60.65</v>
      </c>
      <c r="E42" s="36">
        <v>41.73</v>
      </c>
      <c r="F42" s="36">
        <v>18.376000000000001</v>
      </c>
      <c r="G42" s="36">
        <v>25.3</v>
      </c>
      <c r="H42" s="42">
        <v>0</v>
      </c>
      <c r="I42" s="40">
        <f t="shared" ref="I42:J42" si="28">20%+(I41-20%)*0.95</f>
        <v>0.22905672266877516</v>
      </c>
      <c r="J42" s="40">
        <f t="shared" si="28"/>
        <v>0.24261652658087018</v>
      </c>
      <c r="K42" s="41">
        <f t="shared" si="4"/>
        <v>0.793132632359415</v>
      </c>
      <c r="L42" s="23">
        <f t="shared" si="7"/>
        <v>0.11506849315068493</v>
      </c>
      <c r="M42" s="28">
        <f t="shared" si="8"/>
        <v>31</v>
      </c>
      <c r="N42" s="29" t="s">
        <v>9</v>
      </c>
      <c r="O42" s="30">
        <v>1</v>
      </c>
      <c r="P42" s="31">
        <v>0</v>
      </c>
      <c r="Q42" s="1">
        <v>1</v>
      </c>
      <c r="R42" s="32">
        <v>2.798167379445573</v>
      </c>
      <c r="S42" s="32">
        <v>2.6369999999999969</v>
      </c>
      <c r="T42" s="32">
        <v>0.16116737944557613</v>
      </c>
    </row>
    <row r="43" spans="1:20" x14ac:dyDescent="0.35">
      <c r="A43" s="44">
        <v>43864</v>
      </c>
      <c r="B43" s="20">
        <f t="shared" si="5"/>
        <v>43853</v>
      </c>
      <c r="C43" s="35">
        <v>48.75</v>
      </c>
      <c r="D43" s="36">
        <v>60.65</v>
      </c>
      <c r="E43" s="36">
        <v>41.73</v>
      </c>
      <c r="F43" s="36">
        <v>18.376000000000001</v>
      </c>
      <c r="G43" s="36">
        <v>25.3</v>
      </c>
      <c r="H43" s="42">
        <v>0</v>
      </c>
      <c r="I43" s="40">
        <f t="shared" ref="I43:J43" si="29">20%+(I42-20%)*0.95</f>
        <v>0.22760388653533642</v>
      </c>
      <c r="J43" s="40">
        <f t="shared" si="29"/>
        <v>0.24048570025182667</v>
      </c>
      <c r="K43" s="41">
        <f t="shared" si="4"/>
        <v>0.79381936912347351</v>
      </c>
      <c r="L43" s="23">
        <f t="shared" si="7"/>
        <v>0.11506849315068493</v>
      </c>
      <c r="M43" s="28">
        <f t="shared" si="8"/>
        <v>31</v>
      </c>
      <c r="N43" s="29" t="s">
        <v>9</v>
      </c>
      <c r="O43" s="30">
        <v>1</v>
      </c>
      <c r="P43" s="31">
        <v>0</v>
      </c>
      <c r="Q43" s="1">
        <v>1</v>
      </c>
      <c r="R43" s="32">
        <v>2.7928696574666105</v>
      </c>
      <c r="S43" s="32">
        <v>2.6369999999999969</v>
      </c>
      <c r="T43" s="32">
        <v>0.15586965746661363</v>
      </c>
    </row>
    <row r="44" spans="1:20" x14ac:dyDescent="0.35">
      <c r="A44" s="44">
        <v>43865</v>
      </c>
      <c r="B44" s="20">
        <f t="shared" si="5"/>
        <v>43854</v>
      </c>
      <c r="C44" s="35">
        <v>48.75</v>
      </c>
      <c r="D44" s="36">
        <v>60.65</v>
      </c>
      <c r="E44" s="36">
        <v>41.73</v>
      </c>
      <c r="F44" s="36">
        <v>18.376000000000001</v>
      </c>
      <c r="G44" s="36">
        <v>25.3</v>
      </c>
      <c r="H44" s="42">
        <v>0</v>
      </c>
      <c r="I44" s="40">
        <f t="shared" ref="I44:J44" si="30">20%+(I43-20%)*0.95</f>
        <v>0.22622369220856958</v>
      </c>
      <c r="J44" s="40">
        <f t="shared" si="30"/>
        <v>0.23846141523923534</v>
      </c>
      <c r="K44" s="41">
        <f t="shared" si="4"/>
        <v>0.79443743221112617</v>
      </c>
      <c r="L44" s="23">
        <f t="shared" si="7"/>
        <v>0.11780821917808219</v>
      </c>
      <c r="M44" s="28">
        <f t="shared" si="8"/>
        <v>31</v>
      </c>
      <c r="N44" s="29" t="s">
        <v>9</v>
      </c>
      <c r="O44" s="30">
        <v>1</v>
      </c>
      <c r="P44" s="31">
        <v>0</v>
      </c>
      <c r="Q44" s="1">
        <v>1</v>
      </c>
      <c r="R44" s="32">
        <v>2.7938098789678136</v>
      </c>
      <c r="S44" s="32">
        <v>2.6369999999999969</v>
      </c>
      <c r="T44" s="32">
        <v>0.15680987896781673</v>
      </c>
    </row>
    <row r="45" spans="1:20" x14ac:dyDescent="0.35">
      <c r="A45" s="44">
        <v>43866</v>
      </c>
      <c r="B45" s="20">
        <f t="shared" si="5"/>
        <v>43857</v>
      </c>
      <c r="C45" s="35">
        <v>48.75</v>
      </c>
      <c r="D45" s="36">
        <v>60.65</v>
      </c>
      <c r="E45" s="36">
        <v>41.73</v>
      </c>
      <c r="F45" s="36">
        <v>18.376000000000001</v>
      </c>
      <c r="G45" s="36">
        <v>25.3</v>
      </c>
      <c r="H45" s="42">
        <v>0</v>
      </c>
      <c r="I45" s="40">
        <f t="shared" ref="I45:J45" si="31">20%+(I44-20%)*0.95</f>
        <v>0.2249125075981411</v>
      </c>
      <c r="J45" s="40">
        <f t="shared" si="31"/>
        <v>0.23653834447727357</v>
      </c>
      <c r="K45" s="41">
        <f t="shared" si="4"/>
        <v>0.79499368899001355</v>
      </c>
      <c r="L45" s="23">
        <f t="shared" si="7"/>
        <v>0.12602739726027398</v>
      </c>
      <c r="M45" s="28">
        <f t="shared" si="8"/>
        <v>31</v>
      </c>
      <c r="N45" s="29" t="s">
        <v>9</v>
      </c>
      <c r="O45" s="30">
        <v>1</v>
      </c>
      <c r="P45" s="31">
        <v>0</v>
      </c>
      <c r="Q45" s="1">
        <v>1</v>
      </c>
      <c r="R45" s="32">
        <v>2.806424138659267</v>
      </c>
      <c r="S45" s="32">
        <v>2.6369999999999969</v>
      </c>
      <c r="T45" s="32">
        <v>0.16942413865927008</v>
      </c>
    </row>
    <row r="46" spans="1:20" x14ac:dyDescent="0.35">
      <c r="A46" s="44">
        <v>43867</v>
      </c>
      <c r="B46" s="20">
        <f t="shared" si="5"/>
        <v>43858</v>
      </c>
      <c r="C46" s="35">
        <v>48.75</v>
      </c>
      <c r="D46" s="36">
        <v>60.65</v>
      </c>
      <c r="E46" s="36">
        <v>41.73</v>
      </c>
      <c r="F46" s="36">
        <v>18.376000000000001</v>
      </c>
      <c r="G46" s="36">
        <v>25.3</v>
      </c>
      <c r="H46" s="42">
        <v>0</v>
      </c>
      <c r="I46" s="40">
        <f t="shared" ref="I46:J46" si="32">20%+(I45-20%)*0.95</f>
        <v>0.22366688221823405</v>
      </c>
      <c r="J46" s="40">
        <f t="shared" si="32"/>
        <v>0.23471142725340988</v>
      </c>
      <c r="K46" s="41">
        <f t="shared" si="4"/>
        <v>0.79549432009101217</v>
      </c>
      <c r="L46" s="23">
        <f t="shared" si="7"/>
        <v>0.12876712328767123</v>
      </c>
      <c r="M46" s="28">
        <f t="shared" si="8"/>
        <v>31</v>
      </c>
      <c r="N46" s="29" t="s">
        <v>9</v>
      </c>
      <c r="O46" s="30">
        <v>1</v>
      </c>
      <c r="P46" s="31">
        <v>0</v>
      </c>
      <c r="Q46" s="1">
        <v>1</v>
      </c>
      <c r="R46" s="32">
        <v>2.8073878049745176</v>
      </c>
      <c r="S46" s="32">
        <v>2.6369999999999969</v>
      </c>
      <c r="T46" s="32">
        <v>0.17038780497452066</v>
      </c>
    </row>
    <row r="47" spans="1:20" x14ac:dyDescent="0.35">
      <c r="A47" s="44">
        <v>43868</v>
      </c>
      <c r="B47" s="20">
        <f t="shared" si="5"/>
        <v>43859</v>
      </c>
      <c r="C47" s="35">
        <v>48.75</v>
      </c>
      <c r="D47" s="36">
        <v>60.65</v>
      </c>
      <c r="E47" s="36">
        <v>41.73</v>
      </c>
      <c r="F47" s="36">
        <v>18.376000000000001</v>
      </c>
      <c r="G47" s="36">
        <v>25.3</v>
      </c>
      <c r="H47" s="42">
        <v>0</v>
      </c>
      <c r="I47" s="40">
        <f t="shared" ref="I47:J47" si="33">20%+(I46-20%)*0.95</f>
        <v>0.22248353810732235</v>
      </c>
      <c r="J47" s="40">
        <f t="shared" si="33"/>
        <v>0.23297585589073938</v>
      </c>
      <c r="K47" s="41">
        <f t="shared" si="4"/>
        <v>0.795944888081911</v>
      </c>
      <c r="L47" s="23">
        <f t="shared" si="7"/>
        <v>0.13150684931506848</v>
      </c>
      <c r="M47" s="28">
        <f t="shared" si="8"/>
        <v>31</v>
      </c>
      <c r="N47" s="29" t="s">
        <v>9</v>
      </c>
      <c r="O47" s="30">
        <v>1</v>
      </c>
      <c r="P47" s="31">
        <v>0</v>
      </c>
      <c r="Q47" s="1">
        <v>1</v>
      </c>
      <c r="R47" s="32">
        <v>2.8084705782391666</v>
      </c>
      <c r="S47" s="32">
        <v>2.6369999999999969</v>
      </c>
      <c r="T47" s="32">
        <v>0.17147057823916967</v>
      </c>
    </row>
    <row r="48" spans="1:20" x14ac:dyDescent="0.35">
      <c r="A48" s="44">
        <v>43869</v>
      </c>
      <c r="B48" s="20">
        <f t="shared" si="5"/>
        <v>43860</v>
      </c>
      <c r="C48" s="35">
        <v>48.75</v>
      </c>
      <c r="D48" s="36">
        <v>60.65</v>
      </c>
      <c r="E48" s="36">
        <v>41.73</v>
      </c>
      <c r="F48" s="36">
        <v>18.376000000000001</v>
      </c>
      <c r="G48" s="36">
        <v>25.3</v>
      </c>
      <c r="H48" s="42">
        <v>0</v>
      </c>
      <c r="I48" s="40">
        <f t="shared" ref="I48:J48" si="34">20%+(I47-20%)*0.95</f>
        <v>0.22135936120195623</v>
      </c>
      <c r="J48" s="40">
        <f t="shared" si="34"/>
        <v>0.23132706309620241</v>
      </c>
      <c r="K48" s="41">
        <f t="shared" si="4"/>
        <v>0.79635039927371987</v>
      </c>
      <c r="L48" s="23">
        <f t="shared" si="7"/>
        <v>0.13424657534246576</v>
      </c>
      <c r="M48" s="28">
        <f t="shared" si="8"/>
        <v>31</v>
      </c>
      <c r="N48" s="29" t="s">
        <v>9</v>
      </c>
      <c r="O48" s="30">
        <v>1</v>
      </c>
      <c r="P48" s="31">
        <v>0</v>
      </c>
      <c r="Q48" s="1">
        <v>1</v>
      </c>
      <c r="R48" s="32">
        <v>2.8096673918914234</v>
      </c>
      <c r="S48" s="32">
        <v>2.6369999999999969</v>
      </c>
      <c r="T48" s="32">
        <v>0.17266739189142655</v>
      </c>
    </row>
    <row r="49" spans="1:20" x14ac:dyDescent="0.35">
      <c r="A49" s="44">
        <v>43870</v>
      </c>
      <c r="B49" s="20">
        <f t="shared" si="5"/>
        <v>43860</v>
      </c>
      <c r="C49" s="35">
        <v>48.75</v>
      </c>
      <c r="D49" s="36">
        <v>60.65</v>
      </c>
      <c r="E49" s="36">
        <v>41.73</v>
      </c>
      <c r="F49" s="36">
        <v>18.376000000000001</v>
      </c>
      <c r="G49" s="36">
        <v>25.3</v>
      </c>
      <c r="H49" s="42">
        <v>0</v>
      </c>
      <c r="I49" s="40">
        <f t="shared" ref="I49:J49" si="35">20%+(I48-20%)*0.95</f>
        <v>0.22029139314185842</v>
      </c>
      <c r="J49" s="40">
        <f t="shared" si="35"/>
        <v>0.22976070994139228</v>
      </c>
      <c r="K49" s="41">
        <f t="shared" si="4"/>
        <v>0.79671535934634785</v>
      </c>
      <c r="L49" s="23">
        <f t="shared" si="7"/>
        <v>0.13424657534246576</v>
      </c>
      <c r="M49" s="28">
        <f t="shared" si="8"/>
        <v>31</v>
      </c>
      <c r="N49" s="29" t="s">
        <v>9</v>
      </c>
      <c r="O49" s="30">
        <v>1</v>
      </c>
      <c r="P49" s="31">
        <v>0</v>
      </c>
      <c r="Q49" s="1">
        <v>1</v>
      </c>
      <c r="R49" s="32">
        <v>2.8055495791155494</v>
      </c>
      <c r="S49" s="32">
        <v>2.6369999999999969</v>
      </c>
      <c r="T49" s="32">
        <v>0.16854957911555246</v>
      </c>
    </row>
    <row r="50" spans="1:20" x14ac:dyDescent="0.35">
      <c r="A50" s="44">
        <v>43871</v>
      </c>
      <c r="B50" s="20">
        <f t="shared" si="5"/>
        <v>43860</v>
      </c>
      <c r="C50" s="35">
        <v>48.75</v>
      </c>
      <c r="D50" s="36">
        <v>60.65</v>
      </c>
      <c r="E50" s="36">
        <v>41.73</v>
      </c>
      <c r="F50" s="36">
        <v>18.376000000000001</v>
      </c>
      <c r="G50" s="36">
        <v>25.3</v>
      </c>
      <c r="H50" s="42">
        <v>0</v>
      </c>
      <c r="I50" s="40">
        <f t="shared" ref="I50:J50" si="36">20%+(I49-20%)*0.95</f>
        <v>0.21927682348476549</v>
      </c>
      <c r="J50" s="40">
        <f t="shared" si="36"/>
        <v>0.22827267444432267</v>
      </c>
      <c r="K50" s="41">
        <f t="shared" si="4"/>
        <v>0.79704382341171309</v>
      </c>
      <c r="L50" s="23">
        <f t="shared" si="7"/>
        <v>0.13424657534246576</v>
      </c>
      <c r="M50" s="28">
        <f t="shared" si="8"/>
        <v>31</v>
      </c>
      <c r="N50" s="29" t="s">
        <v>9</v>
      </c>
      <c r="O50" s="30">
        <v>1</v>
      </c>
      <c r="P50" s="31">
        <v>0</v>
      </c>
      <c r="Q50" s="1">
        <v>1</v>
      </c>
      <c r="R50" s="32">
        <v>2.8016987271730329</v>
      </c>
      <c r="S50" s="32">
        <v>2.6369999999999969</v>
      </c>
      <c r="T50" s="32">
        <v>0.16469872717303602</v>
      </c>
    </row>
    <row r="51" spans="1:20" x14ac:dyDescent="0.35">
      <c r="A51" s="44">
        <v>43872</v>
      </c>
      <c r="B51" s="20">
        <f t="shared" si="5"/>
        <v>43861</v>
      </c>
      <c r="C51" s="35">
        <v>48.75</v>
      </c>
      <c r="D51" s="36">
        <v>60.65</v>
      </c>
      <c r="E51" s="36">
        <v>41.73</v>
      </c>
      <c r="F51" s="36">
        <v>18.376000000000001</v>
      </c>
      <c r="G51" s="36">
        <v>25.3</v>
      </c>
      <c r="H51" s="42">
        <v>0</v>
      </c>
      <c r="I51" s="40">
        <f t="shared" ref="I51:J51" si="37">20%+(I50-20%)*0.95</f>
        <v>0.2183129823105272</v>
      </c>
      <c r="J51" s="40">
        <f t="shared" si="37"/>
        <v>0.22685904072210653</v>
      </c>
      <c r="K51" s="41">
        <f t="shared" si="4"/>
        <v>0.79733944107054178</v>
      </c>
      <c r="L51" s="23">
        <f t="shared" si="7"/>
        <v>0.13698630136986301</v>
      </c>
      <c r="M51" s="28">
        <f t="shared" si="8"/>
        <v>31</v>
      </c>
      <c r="N51" s="29" t="s">
        <v>9</v>
      </c>
      <c r="O51" s="30">
        <v>1</v>
      </c>
      <c r="P51" s="31">
        <v>0</v>
      </c>
      <c r="Q51" s="1">
        <v>1</v>
      </c>
      <c r="R51" s="32">
        <v>2.8033518391994221</v>
      </c>
      <c r="S51" s="32">
        <v>2.6369999999999969</v>
      </c>
      <c r="T51" s="32">
        <v>0.1663518391994252</v>
      </c>
    </row>
    <row r="52" spans="1:20" x14ac:dyDescent="0.35">
      <c r="A52" s="44">
        <v>43873</v>
      </c>
      <c r="B52" s="20">
        <f t="shared" si="5"/>
        <v>43864</v>
      </c>
      <c r="C52" s="35">
        <v>48.75</v>
      </c>
      <c r="D52" s="36">
        <v>60.65</v>
      </c>
      <c r="E52" s="36">
        <v>41.73</v>
      </c>
      <c r="F52" s="36">
        <v>18.376000000000001</v>
      </c>
      <c r="G52" s="36">
        <v>25.3</v>
      </c>
      <c r="H52" s="42">
        <v>0</v>
      </c>
      <c r="I52" s="40">
        <f t="shared" ref="I52:J52" si="38">20%+(I51-20%)*0.95</f>
        <v>0.21739733319500085</v>
      </c>
      <c r="J52" s="40">
        <f t="shared" si="38"/>
        <v>0.2255160886860012</v>
      </c>
      <c r="K52" s="41">
        <f t="shared" si="4"/>
        <v>0.79760549696348759</v>
      </c>
      <c r="L52" s="23">
        <f t="shared" si="7"/>
        <v>0.14520547945205478</v>
      </c>
      <c r="M52" s="28">
        <f t="shared" si="8"/>
        <v>29</v>
      </c>
      <c r="N52" s="29" t="s">
        <v>9</v>
      </c>
      <c r="O52" s="30">
        <v>1</v>
      </c>
      <c r="P52" s="31">
        <v>0</v>
      </c>
      <c r="Q52" s="1">
        <v>1</v>
      </c>
      <c r="R52" s="32">
        <v>2.8155032286069712</v>
      </c>
      <c r="S52" s="32">
        <v>2.6369999999999969</v>
      </c>
      <c r="T52" s="32">
        <v>0.17850322860697432</v>
      </c>
    </row>
    <row r="53" spans="1:20" x14ac:dyDescent="0.35">
      <c r="A53" s="44">
        <v>43874</v>
      </c>
      <c r="B53" s="20">
        <f t="shared" si="5"/>
        <v>43865</v>
      </c>
      <c r="C53" s="35">
        <v>48.75</v>
      </c>
      <c r="D53" s="36">
        <v>60.65</v>
      </c>
      <c r="E53" s="36">
        <v>41.73</v>
      </c>
      <c r="F53" s="36">
        <v>18.376000000000001</v>
      </c>
      <c r="G53" s="36">
        <v>25.3</v>
      </c>
      <c r="H53" s="42">
        <v>0</v>
      </c>
      <c r="I53" s="40">
        <f t="shared" ref="I53:J53" si="39">20%+(I52-20%)*0.95</f>
        <v>0.21652746653525079</v>
      </c>
      <c r="J53" s="40">
        <f t="shared" si="39"/>
        <v>0.22424028425170114</v>
      </c>
      <c r="K53" s="41">
        <f t="shared" si="4"/>
        <v>0.79784494726713884</v>
      </c>
      <c r="L53" s="23">
        <f t="shared" si="7"/>
        <v>0.14794520547945206</v>
      </c>
      <c r="M53" s="28">
        <f t="shared" si="8"/>
        <v>29</v>
      </c>
      <c r="N53" s="29" t="s">
        <v>9</v>
      </c>
      <c r="O53" s="30">
        <v>1</v>
      </c>
      <c r="P53" s="31">
        <v>0</v>
      </c>
      <c r="Q53" s="1">
        <v>1</v>
      </c>
      <c r="R53" s="32">
        <v>2.817203479684224</v>
      </c>
      <c r="S53" s="32">
        <v>2.6369999999999969</v>
      </c>
      <c r="T53" s="32">
        <v>0.18020347968422712</v>
      </c>
    </row>
    <row r="54" spans="1:20" x14ac:dyDescent="0.35">
      <c r="A54" s="44">
        <v>43875</v>
      </c>
      <c r="B54" s="20">
        <f t="shared" si="5"/>
        <v>43866</v>
      </c>
      <c r="C54" s="35">
        <v>48.75</v>
      </c>
      <c r="D54" s="36">
        <v>60.65</v>
      </c>
      <c r="E54" s="36">
        <v>41.73</v>
      </c>
      <c r="F54" s="36">
        <v>18.376000000000001</v>
      </c>
      <c r="G54" s="36">
        <v>25.3</v>
      </c>
      <c r="H54" s="42">
        <v>0</v>
      </c>
      <c r="I54" s="40">
        <f t="shared" ref="I54:J54" si="40">20%+(I53-20%)*0.95</f>
        <v>0.21570109320848824</v>
      </c>
      <c r="J54" s="40">
        <f t="shared" si="40"/>
        <v>0.22302827003911607</v>
      </c>
      <c r="K54" s="41">
        <f t="shared" si="4"/>
        <v>0.7980604525404249</v>
      </c>
      <c r="L54" s="23">
        <f t="shared" si="7"/>
        <v>0.15068493150684931</v>
      </c>
      <c r="M54" s="28">
        <f t="shared" si="8"/>
        <v>29</v>
      </c>
      <c r="N54" s="29" t="s">
        <v>9</v>
      </c>
      <c r="O54" s="30">
        <v>1</v>
      </c>
      <c r="P54" s="31">
        <v>0</v>
      </c>
      <c r="Q54" s="1">
        <v>1</v>
      </c>
      <c r="R54" s="32">
        <v>2.8189926475157563</v>
      </c>
      <c r="S54" s="32">
        <v>2.6369999999999969</v>
      </c>
      <c r="T54" s="32">
        <v>0.18199264751575939</v>
      </c>
    </row>
    <row r="55" spans="1:20" x14ac:dyDescent="0.35">
      <c r="A55" s="44">
        <v>43876</v>
      </c>
      <c r="B55" s="20">
        <f t="shared" si="5"/>
        <v>43867</v>
      </c>
      <c r="C55" s="35">
        <v>48.75</v>
      </c>
      <c r="D55" s="36">
        <v>60.65</v>
      </c>
      <c r="E55" s="36">
        <v>41.73</v>
      </c>
      <c r="F55" s="36">
        <v>18.376000000000001</v>
      </c>
      <c r="G55" s="36">
        <v>25.3</v>
      </c>
      <c r="H55" s="42">
        <v>0</v>
      </c>
      <c r="I55" s="40">
        <f t="shared" ref="I55:J55" si="41">20%+(I54-20%)*0.95</f>
        <v>0.21491603854806382</v>
      </c>
      <c r="J55" s="40">
        <f t="shared" si="41"/>
        <v>0.22187685653716027</v>
      </c>
      <c r="K55" s="41">
        <f t="shared" si="4"/>
        <v>0.79825440728638242</v>
      </c>
      <c r="L55" s="23">
        <f t="shared" si="7"/>
        <v>0.15342465753424658</v>
      </c>
      <c r="M55" s="28">
        <f t="shared" si="8"/>
        <v>29</v>
      </c>
      <c r="N55" s="29" t="s">
        <v>9</v>
      </c>
      <c r="O55" s="30">
        <v>1</v>
      </c>
      <c r="P55" s="31">
        <v>0</v>
      </c>
      <c r="Q55" s="1">
        <v>1</v>
      </c>
      <c r="R55" s="32">
        <v>2.8208672586192591</v>
      </c>
      <c r="S55" s="32">
        <v>2.6369999999999969</v>
      </c>
      <c r="T55" s="32">
        <v>0.18386725861926223</v>
      </c>
    </row>
    <row r="56" spans="1:20" x14ac:dyDescent="0.35">
      <c r="A56" s="44">
        <v>43877</v>
      </c>
      <c r="B56" s="20">
        <f t="shared" si="5"/>
        <v>43867</v>
      </c>
      <c r="C56" s="35">
        <v>48.75</v>
      </c>
      <c r="D56" s="36">
        <v>60.65</v>
      </c>
      <c r="E56" s="36">
        <v>41.73</v>
      </c>
      <c r="F56" s="36">
        <v>18.376000000000001</v>
      </c>
      <c r="G56" s="36">
        <v>25.3</v>
      </c>
      <c r="H56" s="42">
        <v>0</v>
      </c>
      <c r="I56" s="40">
        <f t="shared" ref="I56:J56" si="42">20%+(I55-20%)*0.95</f>
        <v>0.21417023662066062</v>
      </c>
      <c r="J56" s="40">
        <f t="shared" si="42"/>
        <v>0.22078301371030226</v>
      </c>
      <c r="K56" s="41">
        <f t="shared" si="4"/>
        <v>0.7984289665577442</v>
      </c>
      <c r="L56" s="23">
        <f t="shared" si="7"/>
        <v>0.15342465753424658</v>
      </c>
      <c r="M56" s="28">
        <f t="shared" si="8"/>
        <v>29</v>
      </c>
      <c r="N56" s="29" t="s">
        <v>9</v>
      </c>
      <c r="O56" s="30">
        <v>1</v>
      </c>
      <c r="P56" s="31">
        <v>0</v>
      </c>
      <c r="Q56" s="1">
        <v>1</v>
      </c>
      <c r="R56" s="32">
        <v>2.8178420965043784</v>
      </c>
      <c r="S56" s="32">
        <v>2.6369999999999969</v>
      </c>
      <c r="T56" s="32">
        <v>0.18084209650438154</v>
      </c>
    </row>
    <row r="57" spans="1:20" x14ac:dyDescent="0.35">
      <c r="A57" s="44">
        <v>43878</v>
      </c>
      <c r="B57" s="20">
        <f t="shared" si="5"/>
        <v>43867</v>
      </c>
      <c r="C57" s="35">
        <v>48.75</v>
      </c>
      <c r="D57" s="36">
        <v>60.65</v>
      </c>
      <c r="E57" s="36">
        <v>41.73</v>
      </c>
      <c r="F57" s="36">
        <v>18.376000000000001</v>
      </c>
      <c r="G57" s="36">
        <v>25.3</v>
      </c>
      <c r="H57" s="42">
        <v>0</v>
      </c>
      <c r="I57" s="40">
        <f t="shared" ref="I57:J57" si="43">20%+(I56-20%)*0.95</f>
        <v>0.21346172478962758</v>
      </c>
      <c r="J57" s="40">
        <f t="shared" si="43"/>
        <v>0.21974386302478716</v>
      </c>
      <c r="K57" s="41">
        <f t="shared" si="4"/>
        <v>0.79858606990196979</v>
      </c>
      <c r="L57" s="23">
        <f t="shared" si="7"/>
        <v>0.15342465753424658</v>
      </c>
      <c r="M57" s="28">
        <f t="shared" si="8"/>
        <v>29</v>
      </c>
      <c r="N57" s="29" t="s">
        <v>9</v>
      </c>
      <c r="O57" s="30">
        <v>1</v>
      </c>
      <c r="P57" s="31">
        <v>0</v>
      </c>
      <c r="Q57" s="1">
        <v>1</v>
      </c>
      <c r="R57" s="32">
        <v>2.8149987094210616</v>
      </c>
      <c r="S57" s="32">
        <v>2.6369999999999969</v>
      </c>
      <c r="T57" s="32">
        <v>0.17799870942106466</v>
      </c>
    </row>
    <row r="58" spans="1:20" x14ac:dyDescent="0.35">
      <c r="A58" s="44">
        <v>43879</v>
      </c>
      <c r="B58" s="20">
        <f t="shared" si="5"/>
        <v>43868</v>
      </c>
      <c r="C58" s="35">
        <v>48.75</v>
      </c>
      <c r="D58" s="36">
        <v>60.65</v>
      </c>
      <c r="E58" s="36">
        <v>41.73</v>
      </c>
      <c r="F58" s="36">
        <v>18.376000000000001</v>
      </c>
      <c r="G58" s="36">
        <v>25.3</v>
      </c>
      <c r="H58" s="42">
        <v>0</v>
      </c>
      <c r="I58" s="40">
        <f t="shared" ref="I58:J58" si="44">20%+(I57-20%)*0.95</f>
        <v>0.21278863855014621</v>
      </c>
      <c r="J58" s="40">
        <f t="shared" si="44"/>
        <v>0.2187566698735478</v>
      </c>
      <c r="K58" s="41">
        <f t="shared" si="4"/>
        <v>0.79872746291177277</v>
      </c>
      <c r="L58" s="23">
        <f t="shared" si="7"/>
        <v>0.15616438356164383</v>
      </c>
      <c r="M58" s="28">
        <f t="shared" si="8"/>
        <v>29</v>
      </c>
      <c r="N58" s="29" t="s">
        <v>9</v>
      </c>
      <c r="O58" s="30">
        <v>1</v>
      </c>
      <c r="P58" s="31">
        <v>0</v>
      </c>
      <c r="Q58" s="1">
        <v>1</v>
      </c>
      <c r="R58" s="32">
        <v>2.817201346696379</v>
      </c>
      <c r="S58" s="32">
        <v>2.6369999999999969</v>
      </c>
      <c r="T58" s="32">
        <v>0.1802013466963821</v>
      </c>
    </row>
    <row r="59" spans="1:20" x14ac:dyDescent="0.35">
      <c r="A59" s="44">
        <v>43880</v>
      </c>
      <c r="B59" s="20">
        <f t="shared" si="5"/>
        <v>43871</v>
      </c>
      <c r="C59" s="35">
        <v>48.75</v>
      </c>
      <c r="D59" s="36">
        <v>60.65</v>
      </c>
      <c r="E59" s="36">
        <v>41.73</v>
      </c>
      <c r="F59" s="36">
        <v>18.376000000000001</v>
      </c>
      <c r="G59" s="36">
        <v>25.3</v>
      </c>
      <c r="H59" s="42">
        <v>0</v>
      </c>
      <c r="I59" s="40">
        <f t="shared" ref="I59:J59" si="45">20%+(I58-20%)*0.95</f>
        <v>0.21214920662263889</v>
      </c>
      <c r="J59" s="40">
        <f t="shared" si="45"/>
        <v>0.21781883637987043</v>
      </c>
      <c r="K59" s="41">
        <f t="shared" si="4"/>
        <v>0.79885471662059548</v>
      </c>
      <c r="L59" s="23">
        <f t="shared" si="7"/>
        <v>0.16438356164383561</v>
      </c>
      <c r="M59" s="28">
        <f t="shared" si="8"/>
        <v>29</v>
      </c>
      <c r="N59" s="29" t="s">
        <v>9</v>
      </c>
      <c r="O59" s="30">
        <v>1</v>
      </c>
      <c r="P59" s="31">
        <v>0</v>
      </c>
      <c r="Q59" s="1">
        <v>1</v>
      </c>
      <c r="R59" s="32">
        <v>2.8291561680462038</v>
      </c>
      <c r="S59" s="32">
        <v>2.6369999999999969</v>
      </c>
      <c r="T59" s="32">
        <v>0.19215616804620694</v>
      </c>
    </row>
    <row r="60" spans="1:20" x14ac:dyDescent="0.35">
      <c r="A60" s="44">
        <v>43881</v>
      </c>
      <c r="B60" s="20">
        <f t="shared" si="5"/>
        <v>43872</v>
      </c>
      <c r="C60" s="35">
        <v>48.75</v>
      </c>
      <c r="D60" s="36">
        <v>60.65</v>
      </c>
      <c r="E60" s="36">
        <v>41.73</v>
      </c>
      <c r="F60" s="36">
        <v>18.376000000000001</v>
      </c>
      <c r="G60" s="36">
        <v>25.3</v>
      </c>
      <c r="H60" s="42">
        <v>0</v>
      </c>
      <c r="I60" s="40">
        <f t="shared" ref="I60:J60" si="46">20%+(I59-20%)*0.95</f>
        <v>0.21154174629150696</v>
      </c>
      <c r="J60" s="40">
        <f t="shared" si="46"/>
        <v>0.21692789456087691</v>
      </c>
      <c r="K60" s="41">
        <f t="shared" si="4"/>
        <v>0.79896924495853594</v>
      </c>
      <c r="L60" s="23">
        <f t="shared" si="7"/>
        <v>0.16712328767123288</v>
      </c>
      <c r="M60" s="28">
        <f t="shared" si="8"/>
        <v>29</v>
      </c>
      <c r="N60" s="29" t="s">
        <v>9</v>
      </c>
      <c r="O60" s="30">
        <v>1</v>
      </c>
      <c r="P60" s="31">
        <v>0</v>
      </c>
      <c r="Q60" s="1">
        <v>1</v>
      </c>
      <c r="R60" s="32">
        <v>2.8314112389991521</v>
      </c>
      <c r="S60" s="32">
        <v>2.6369999999999969</v>
      </c>
      <c r="T60" s="32">
        <v>0.19441123899915524</v>
      </c>
    </row>
    <row r="61" spans="1:20" x14ac:dyDescent="0.35">
      <c r="A61" s="44">
        <v>43882</v>
      </c>
      <c r="B61" s="20">
        <f t="shared" si="5"/>
        <v>43873</v>
      </c>
      <c r="C61" s="35">
        <v>48.75</v>
      </c>
      <c r="D61" s="36">
        <v>60.65</v>
      </c>
      <c r="E61" s="36">
        <v>41.73</v>
      </c>
      <c r="F61" s="36">
        <v>18.376000000000001</v>
      </c>
      <c r="G61" s="36">
        <v>25.3</v>
      </c>
      <c r="H61" s="42">
        <v>0</v>
      </c>
      <c r="I61" s="40">
        <f t="shared" ref="I61:J61" si="47">20%+(I60-20%)*0.95</f>
        <v>0.21096465897693162</v>
      </c>
      <c r="J61" s="40">
        <f t="shared" si="47"/>
        <v>0.21608149983283306</v>
      </c>
      <c r="K61" s="41">
        <f t="shared" si="4"/>
        <v>0.7990723204626824</v>
      </c>
      <c r="L61" s="23">
        <f t="shared" si="7"/>
        <v>0.16986301369863013</v>
      </c>
      <c r="M61" s="28">
        <f t="shared" si="8"/>
        <v>29</v>
      </c>
      <c r="N61" s="29" t="s">
        <v>9</v>
      </c>
      <c r="O61" s="30">
        <v>1</v>
      </c>
      <c r="P61" s="31">
        <v>0</v>
      </c>
      <c r="Q61" s="1">
        <v>1</v>
      </c>
      <c r="R61" s="32">
        <v>2.8337339716820082</v>
      </c>
      <c r="S61" s="32">
        <v>2.6369999999999969</v>
      </c>
      <c r="T61" s="32">
        <v>0.19673397168201134</v>
      </c>
    </row>
    <row r="62" spans="1:20" x14ac:dyDescent="0.35">
      <c r="A62" s="44">
        <v>43883</v>
      </c>
      <c r="B62" s="20">
        <f t="shared" si="5"/>
        <v>43874</v>
      </c>
      <c r="C62" s="35">
        <v>48.75</v>
      </c>
      <c r="D62" s="36">
        <v>60.65</v>
      </c>
      <c r="E62" s="36">
        <v>41.73</v>
      </c>
      <c r="F62" s="36">
        <v>18.376000000000001</v>
      </c>
      <c r="G62" s="36">
        <v>25.3</v>
      </c>
      <c r="H62" s="42">
        <v>0</v>
      </c>
      <c r="I62" s="40">
        <f t="shared" ref="I62:J62" si="48">20%+(I61-20%)*0.95</f>
        <v>0.21041642602808502</v>
      </c>
      <c r="J62" s="40">
        <f t="shared" si="48"/>
        <v>0.21527742484119142</v>
      </c>
      <c r="K62" s="41">
        <f t="shared" si="4"/>
        <v>0.7991650884164142</v>
      </c>
      <c r="L62" s="23">
        <f t="shared" si="7"/>
        <v>0.17260273972602741</v>
      </c>
      <c r="M62" s="28">
        <f t="shared" si="8"/>
        <v>29</v>
      </c>
      <c r="N62" s="29" t="s">
        <v>9</v>
      </c>
      <c r="O62" s="30">
        <v>1</v>
      </c>
      <c r="P62" s="31">
        <v>0</v>
      </c>
      <c r="Q62" s="1">
        <v>1</v>
      </c>
      <c r="R62" s="32">
        <v>2.8361218213770769</v>
      </c>
      <c r="S62" s="32">
        <v>2.6369999999999969</v>
      </c>
      <c r="T62" s="32">
        <v>0.19912182137708001</v>
      </c>
    </row>
    <row r="63" spans="1:20" x14ac:dyDescent="0.35">
      <c r="A63" s="44">
        <v>43884</v>
      </c>
      <c r="B63" s="20">
        <f t="shared" si="5"/>
        <v>43874</v>
      </c>
      <c r="C63" s="35">
        <v>48.75</v>
      </c>
      <c r="D63" s="36">
        <v>60.65</v>
      </c>
      <c r="E63" s="36">
        <v>41.73</v>
      </c>
      <c r="F63" s="36">
        <v>18.376000000000001</v>
      </c>
      <c r="G63" s="36">
        <v>25.3</v>
      </c>
      <c r="H63" s="42">
        <v>0</v>
      </c>
      <c r="I63" s="40">
        <f t="shared" ref="I63:J63" si="49">20%+(I62-20%)*0.95</f>
        <v>0.20989560472668078</v>
      </c>
      <c r="J63" s="40">
        <f t="shared" si="49"/>
        <v>0.21451355359913185</v>
      </c>
      <c r="K63" s="41">
        <f t="shared" si="4"/>
        <v>0.7992485795747728</v>
      </c>
      <c r="L63" s="23">
        <f t="shared" si="7"/>
        <v>0.17260273972602741</v>
      </c>
      <c r="M63" s="28">
        <f t="shared" si="8"/>
        <v>29</v>
      </c>
      <c r="N63" s="29" t="s">
        <v>9</v>
      </c>
      <c r="O63" s="30">
        <v>1</v>
      </c>
      <c r="P63" s="31">
        <v>0</v>
      </c>
      <c r="Q63" s="1">
        <v>1</v>
      </c>
      <c r="R63" s="32">
        <v>2.8338771796254889</v>
      </c>
      <c r="S63" s="32">
        <v>2.6369999999999969</v>
      </c>
      <c r="T63" s="32">
        <v>0.196877179625492</v>
      </c>
    </row>
    <row r="64" spans="1:20" x14ac:dyDescent="0.35">
      <c r="A64" s="44">
        <v>43885</v>
      </c>
      <c r="B64" s="20">
        <f t="shared" si="5"/>
        <v>43874</v>
      </c>
      <c r="C64" s="35">
        <v>48.75</v>
      </c>
      <c r="D64" s="36">
        <v>60.65</v>
      </c>
      <c r="E64" s="36">
        <v>41.73</v>
      </c>
      <c r="F64" s="36">
        <v>18.376000000000001</v>
      </c>
      <c r="G64" s="36">
        <v>25.3</v>
      </c>
      <c r="H64" s="42">
        <v>0</v>
      </c>
      <c r="I64" s="40">
        <f t="shared" ref="I64:J64" si="50">20%+(I63-20%)*0.95</f>
        <v>0.20940082449034675</v>
      </c>
      <c r="J64" s="40">
        <f t="shared" si="50"/>
        <v>0.21378787591917525</v>
      </c>
      <c r="K64" s="41">
        <f t="shared" si="4"/>
        <v>0.79932372161729548</v>
      </c>
      <c r="L64" s="23">
        <f t="shared" si="7"/>
        <v>0.17260273972602741</v>
      </c>
      <c r="M64" s="28">
        <f t="shared" si="8"/>
        <v>29</v>
      </c>
      <c r="N64" s="29" t="s">
        <v>9</v>
      </c>
      <c r="O64" s="30">
        <v>1</v>
      </c>
      <c r="P64" s="31">
        <v>0</v>
      </c>
      <c r="Q64" s="1">
        <v>1</v>
      </c>
      <c r="R64" s="32">
        <v>2.8317600484226659</v>
      </c>
      <c r="S64" s="32">
        <v>2.6369999999999969</v>
      </c>
      <c r="T64" s="32">
        <v>0.19476004842266903</v>
      </c>
    </row>
    <row r="65" spans="1:20" x14ac:dyDescent="0.35">
      <c r="A65" s="44">
        <v>43886</v>
      </c>
      <c r="B65" s="20">
        <f t="shared" si="5"/>
        <v>43875</v>
      </c>
      <c r="C65" s="35">
        <v>48.75</v>
      </c>
      <c r="D65" s="36">
        <v>60.65</v>
      </c>
      <c r="E65" s="36">
        <v>41.73</v>
      </c>
      <c r="F65" s="36">
        <v>18.376000000000001</v>
      </c>
      <c r="G65" s="36">
        <v>25.3</v>
      </c>
      <c r="H65" s="42">
        <v>0</v>
      </c>
      <c r="I65" s="40">
        <f t="shared" ref="I65:J65" si="51">20%+(I64-20%)*0.95</f>
        <v>0.20893078326582942</v>
      </c>
      <c r="J65" s="40">
        <f t="shared" si="51"/>
        <v>0.2130984821232165</v>
      </c>
      <c r="K65" s="41">
        <f t="shared" si="4"/>
        <v>0.79939134945556589</v>
      </c>
      <c r="L65" s="23">
        <f t="shared" si="7"/>
        <v>0.17534246575342466</v>
      </c>
      <c r="M65" s="28">
        <f t="shared" si="8"/>
        <v>29</v>
      </c>
      <c r="N65" s="29" t="s">
        <v>9</v>
      </c>
      <c r="O65" s="30">
        <v>1</v>
      </c>
      <c r="P65" s="31">
        <v>0</v>
      </c>
      <c r="Q65" s="1">
        <v>1</v>
      </c>
      <c r="R65" s="32">
        <v>2.8343898845375293</v>
      </c>
      <c r="S65" s="32">
        <v>2.6369999999999969</v>
      </c>
      <c r="T65" s="32">
        <v>0.19738988453753237</v>
      </c>
    </row>
    <row r="66" spans="1:20" x14ac:dyDescent="0.35">
      <c r="A66" s="44">
        <v>43887</v>
      </c>
      <c r="B66" s="20">
        <f t="shared" si="5"/>
        <v>43878</v>
      </c>
      <c r="C66" s="35">
        <v>48.75</v>
      </c>
      <c r="D66" s="36">
        <v>60.65</v>
      </c>
      <c r="E66" s="36">
        <v>41.73</v>
      </c>
      <c r="F66" s="36">
        <v>18.376000000000001</v>
      </c>
      <c r="G66" s="36">
        <v>25.3</v>
      </c>
      <c r="H66" s="42">
        <v>0</v>
      </c>
      <c r="I66" s="40">
        <f t="shared" ref="I66:J66" si="52">20%+(I65-20%)*0.95</f>
        <v>0.20848424410253796</v>
      </c>
      <c r="J66" s="40">
        <f t="shared" si="52"/>
        <v>0.21244355801705567</v>
      </c>
      <c r="K66" s="41">
        <f t="shared" si="4"/>
        <v>0.79945221451000936</v>
      </c>
      <c r="L66" s="23">
        <f t="shared" si="7"/>
        <v>0.18356164383561643</v>
      </c>
      <c r="M66" s="28">
        <f t="shared" si="8"/>
        <v>29</v>
      </c>
      <c r="N66" s="29" t="s">
        <v>9</v>
      </c>
      <c r="O66" s="30">
        <v>1</v>
      </c>
      <c r="P66" s="31">
        <v>0</v>
      </c>
      <c r="Q66" s="1">
        <v>1</v>
      </c>
      <c r="R66" s="32">
        <v>2.8462768251857327</v>
      </c>
      <c r="S66" s="32">
        <v>2.6369999999999969</v>
      </c>
      <c r="T66" s="32">
        <v>0.20927682518573576</v>
      </c>
    </row>
    <row r="67" spans="1:20" x14ac:dyDescent="0.35">
      <c r="A67" s="44">
        <v>43888</v>
      </c>
      <c r="B67" s="20">
        <f t="shared" si="5"/>
        <v>43879</v>
      </c>
      <c r="C67" s="35">
        <v>48.75</v>
      </c>
      <c r="D67" s="36">
        <v>60.65</v>
      </c>
      <c r="E67" s="36">
        <v>41.73</v>
      </c>
      <c r="F67" s="36">
        <v>18.376000000000001</v>
      </c>
      <c r="G67" s="36">
        <v>25.3</v>
      </c>
      <c r="H67" s="42">
        <v>0</v>
      </c>
      <c r="I67" s="40">
        <f t="shared" ref="I67:J67" si="53">20%+(I66-20%)*0.95</f>
        <v>0.20806003189741107</v>
      </c>
      <c r="J67" s="40">
        <f t="shared" si="53"/>
        <v>0.21182138011620288</v>
      </c>
      <c r="K67" s="41">
        <f t="shared" si="4"/>
        <v>0.79950699305900841</v>
      </c>
      <c r="L67" s="23">
        <f t="shared" si="7"/>
        <v>0.18630136986301371</v>
      </c>
      <c r="M67" s="28">
        <f t="shared" si="8"/>
        <v>29</v>
      </c>
      <c r="N67" s="29" t="s">
        <v>9</v>
      </c>
      <c r="O67" s="30">
        <v>1</v>
      </c>
      <c r="P67" s="31">
        <v>0</v>
      </c>
      <c r="Q67" s="1">
        <v>1</v>
      </c>
      <c r="R67" s="32">
        <v>2.8489553389054763</v>
      </c>
      <c r="S67" s="32">
        <v>2.6369999999999969</v>
      </c>
      <c r="T67" s="32">
        <v>0.21195533890547935</v>
      </c>
    </row>
    <row r="68" spans="1:20" x14ac:dyDescent="0.35">
      <c r="A68" s="44">
        <v>43889</v>
      </c>
      <c r="B68" s="20">
        <f t="shared" si="5"/>
        <v>43880</v>
      </c>
      <c r="C68" s="35">
        <v>48.75</v>
      </c>
      <c r="D68" s="36">
        <v>60.65</v>
      </c>
      <c r="E68" s="36">
        <v>41.73</v>
      </c>
      <c r="F68" s="36">
        <v>18.376000000000001</v>
      </c>
      <c r="G68" s="36">
        <v>25.3</v>
      </c>
      <c r="H68" s="42">
        <v>0</v>
      </c>
      <c r="I68" s="40">
        <f t="shared" ref="I68:J68" si="54">20%+(I67-20%)*0.95</f>
        <v>0.20765703030254051</v>
      </c>
      <c r="J68" s="40">
        <f t="shared" si="54"/>
        <v>0.21123031111039275</v>
      </c>
      <c r="K68" s="41">
        <f t="shared" si="4"/>
        <v>0.79955629375310755</v>
      </c>
      <c r="L68" s="23">
        <f t="shared" si="7"/>
        <v>0.18904109589041096</v>
      </c>
      <c r="M68" s="28">
        <f t="shared" si="8"/>
        <v>29</v>
      </c>
      <c r="N68" s="29" t="s">
        <v>9</v>
      </c>
      <c r="O68" s="30">
        <v>1</v>
      </c>
      <c r="P68" s="31">
        <v>0</v>
      </c>
      <c r="Q68" s="1">
        <v>1</v>
      </c>
      <c r="R68" s="32">
        <v>2.8516855760056572</v>
      </c>
      <c r="S68" s="32">
        <v>2.6369999999999969</v>
      </c>
      <c r="T68" s="32">
        <v>0.21468557600566029</v>
      </c>
    </row>
    <row r="69" spans="1:20" x14ac:dyDescent="0.35">
      <c r="A69" s="44">
        <v>43890</v>
      </c>
      <c r="B69" s="20">
        <f t="shared" si="5"/>
        <v>43881</v>
      </c>
      <c r="C69" s="35">
        <v>48.75</v>
      </c>
      <c r="D69" s="36">
        <v>60.65</v>
      </c>
      <c r="E69" s="36">
        <v>41.73</v>
      </c>
      <c r="F69" s="36">
        <v>18.376000000000001</v>
      </c>
      <c r="G69" s="36">
        <v>25.3</v>
      </c>
      <c r="H69" s="42">
        <v>0</v>
      </c>
      <c r="I69" s="40">
        <f t="shared" ref="I69:J69" si="55">20%+(I68-20%)*0.95</f>
        <v>0.2072741787874135</v>
      </c>
      <c r="J69" s="40">
        <f t="shared" si="55"/>
        <v>0.21066879555487311</v>
      </c>
      <c r="K69" s="41">
        <f t="shared" si="4"/>
        <v>0.79960066437779675</v>
      </c>
      <c r="L69" s="23">
        <f t="shared" si="7"/>
        <v>0.19178082191780821</v>
      </c>
      <c r="M69" s="28">
        <f t="shared" si="8"/>
        <v>29</v>
      </c>
      <c r="N69" s="29" t="s">
        <v>9</v>
      </c>
      <c r="O69" s="30">
        <v>1</v>
      </c>
      <c r="P69" s="31">
        <v>0</v>
      </c>
      <c r="Q69" s="1">
        <v>1</v>
      </c>
      <c r="R69" s="32">
        <v>2.8544655706249884</v>
      </c>
      <c r="S69" s="32">
        <v>2.6369999999999969</v>
      </c>
      <c r="T69" s="32">
        <v>0.2174655706249915</v>
      </c>
    </row>
    <row r="70" spans="1:20" x14ac:dyDescent="0.35">
      <c r="A70" s="44">
        <v>43891</v>
      </c>
      <c r="B70" s="20">
        <f t="shared" si="5"/>
        <v>43881</v>
      </c>
      <c r="C70" s="35">
        <v>48.75</v>
      </c>
      <c r="D70" s="36">
        <v>60.65</v>
      </c>
      <c r="E70" s="36">
        <v>41.73</v>
      </c>
      <c r="F70" s="36">
        <v>18.376000000000001</v>
      </c>
      <c r="G70" s="36">
        <v>25.3</v>
      </c>
      <c r="H70" s="42">
        <v>0</v>
      </c>
      <c r="I70" s="40">
        <f t="shared" ref="I70:J70" si="56">20%+(I69-20%)*0.95</f>
        <v>0.20691046984804282</v>
      </c>
      <c r="J70" s="40">
        <f t="shared" si="56"/>
        <v>0.21013535577712947</v>
      </c>
      <c r="K70" s="41">
        <f t="shared" si="4"/>
        <v>0.79964059794001707</v>
      </c>
      <c r="L70" s="23">
        <f t="shared" si="7"/>
        <v>0.19178082191780821</v>
      </c>
      <c r="M70" s="28">
        <f t="shared" si="8"/>
        <v>29</v>
      </c>
      <c r="N70" s="29" t="s">
        <v>9</v>
      </c>
      <c r="O70" s="30">
        <v>1</v>
      </c>
      <c r="P70" s="31">
        <v>0</v>
      </c>
      <c r="Q70" s="1">
        <v>1</v>
      </c>
      <c r="R70" s="32">
        <v>2.8527928024310327</v>
      </c>
      <c r="S70" s="32">
        <v>2.6369999999999969</v>
      </c>
      <c r="T70" s="32">
        <v>0.21579280243103582</v>
      </c>
    </row>
    <row r="71" spans="1:20" x14ac:dyDescent="0.35">
      <c r="A71" s="44">
        <v>43892</v>
      </c>
      <c r="B71" s="20">
        <f t="shared" si="5"/>
        <v>43881</v>
      </c>
      <c r="C71" s="35">
        <v>48.75</v>
      </c>
      <c r="D71" s="36">
        <v>60.65</v>
      </c>
      <c r="E71" s="36">
        <v>41.73</v>
      </c>
      <c r="F71" s="36">
        <v>18.376000000000001</v>
      </c>
      <c r="G71" s="36">
        <v>25.3</v>
      </c>
      <c r="H71" s="42">
        <v>0</v>
      </c>
      <c r="I71" s="40">
        <f t="shared" ref="I71:J71" si="57">20%+(I70-20%)*0.95</f>
        <v>0.20656494635564068</v>
      </c>
      <c r="J71" s="40">
        <f t="shared" si="57"/>
        <v>0.209628587988273</v>
      </c>
      <c r="K71" s="41">
        <f t="shared" si="4"/>
        <v>0.79967653814601536</v>
      </c>
      <c r="L71" s="23">
        <f t="shared" si="7"/>
        <v>0.19178082191780821</v>
      </c>
      <c r="M71" s="28">
        <f t="shared" si="8"/>
        <v>29</v>
      </c>
      <c r="N71" s="29" t="s">
        <v>9</v>
      </c>
      <c r="O71" s="30">
        <v>1</v>
      </c>
      <c r="P71" s="31">
        <v>0</v>
      </c>
      <c r="Q71" s="1">
        <v>1</v>
      </c>
      <c r="R71" s="32">
        <v>2.8512113226765905</v>
      </c>
      <c r="S71" s="32">
        <v>2.6369999999999969</v>
      </c>
      <c r="T71" s="32">
        <v>0.2142113226765936</v>
      </c>
    </row>
    <row r="72" spans="1:20" x14ac:dyDescent="0.35">
      <c r="A72" s="44">
        <v>43893</v>
      </c>
      <c r="B72" s="20">
        <f t="shared" si="5"/>
        <v>43882</v>
      </c>
      <c r="C72" s="35">
        <v>48.75</v>
      </c>
      <c r="D72" s="36">
        <v>60.65</v>
      </c>
      <c r="E72" s="36">
        <v>41.73</v>
      </c>
      <c r="F72" s="36">
        <v>18.376000000000001</v>
      </c>
      <c r="G72" s="36">
        <v>25.3</v>
      </c>
      <c r="H72" s="42">
        <v>0</v>
      </c>
      <c r="I72" s="40">
        <f t="shared" ref="I72:J72" si="58">20%+(I71-20%)*0.95</f>
        <v>0.20623669903785866</v>
      </c>
      <c r="J72" s="40">
        <f t="shared" si="58"/>
        <v>0.20914715858885935</v>
      </c>
      <c r="K72" s="41">
        <f t="shared" si="4"/>
        <v>0.79970888433141385</v>
      </c>
      <c r="L72" s="23">
        <f t="shared" si="7"/>
        <v>0.19452054794520549</v>
      </c>
      <c r="M72" s="28">
        <f t="shared" si="8"/>
        <v>29</v>
      </c>
      <c r="N72" s="29" t="s">
        <v>9</v>
      </c>
      <c r="O72" s="30">
        <v>1</v>
      </c>
      <c r="P72" s="31">
        <v>0</v>
      </c>
      <c r="Q72" s="1">
        <v>1</v>
      </c>
      <c r="R72" s="32">
        <v>2.8541722610222422</v>
      </c>
      <c r="S72" s="32">
        <v>2.6369999999999969</v>
      </c>
      <c r="T72" s="32">
        <v>0.21717226102224529</v>
      </c>
    </row>
    <row r="73" spans="1:20" x14ac:dyDescent="0.35">
      <c r="A73" s="44">
        <v>43894</v>
      </c>
      <c r="B73" s="20">
        <f t="shared" si="5"/>
        <v>43885</v>
      </c>
      <c r="C73" s="35">
        <v>48.75</v>
      </c>
      <c r="D73" s="36">
        <v>60.65</v>
      </c>
      <c r="E73" s="36">
        <v>41.73</v>
      </c>
      <c r="F73" s="36">
        <v>18.376000000000001</v>
      </c>
      <c r="G73" s="36">
        <v>25.3</v>
      </c>
      <c r="H73" s="42">
        <v>0</v>
      </c>
      <c r="I73" s="40">
        <f t="shared" ref="I73:J73" si="59">20%+(I72-20%)*0.95</f>
        <v>0.20592486408596572</v>
      </c>
      <c r="J73" s="40">
        <f t="shared" si="59"/>
        <v>0.20868980065941639</v>
      </c>
      <c r="K73" s="41">
        <f t="shared" si="4"/>
        <v>0.79973799589827244</v>
      </c>
      <c r="L73" s="23">
        <f t="shared" si="7"/>
        <v>0.20273972602739726</v>
      </c>
      <c r="M73" s="28">
        <f t="shared" si="8"/>
        <v>29</v>
      </c>
      <c r="N73" s="29" t="s">
        <v>9</v>
      </c>
      <c r="O73" s="30">
        <v>1</v>
      </c>
      <c r="P73" s="31">
        <v>0</v>
      </c>
      <c r="Q73" s="1">
        <v>1</v>
      </c>
      <c r="R73" s="32">
        <v>2.8660460388311506</v>
      </c>
      <c r="S73" s="32">
        <v>2.6369999999999969</v>
      </c>
      <c r="T73" s="32">
        <v>0.22904603883115371</v>
      </c>
    </row>
    <row r="74" spans="1:20" x14ac:dyDescent="0.35">
      <c r="A74" s="44">
        <v>43895</v>
      </c>
      <c r="B74" s="20">
        <f t="shared" si="5"/>
        <v>43886</v>
      </c>
      <c r="C74" s="35">
        <v>48.75</v>
      </c>
      <c r="D74" s="36">
        <v>60.65</v>
      </c>
      <c r="E74" s="36">
        <v>41.73</v>
      </c>
      <c r="F74" s="36">
        <v>18.376000000000001</v>
      </c>
      <c r="G74" s="36">
        <v>25.3</v>
      </c>
      <c r="H74" s="42">
        <v>0</v>
      </c>
      <c r="I74" s="40">
        <f t="shared" ref="I74:J74" si="60">20%+(I73-20%)*0.95</f>
        <v>0.20562862088166745</v>
      </c>
      <c r="J74" s="40">
        <f t="shared" si="60"/>
        <v>0.20825531062644556</v>
      </c>
      <c r="K74" s="41">
        <f t="shared" si="4"/>
        <v>0.7997641963084452</v>
      </c>
      <c r="L74" s="23">
        <f t="shared" si="7"/>
        <v>0.20547945205479451</v>
      </c>
      <c r="M74" s="28">
        <f t="shared" si="8"/>
        <v>29</v>
      </c>
      <c r="N74" s="29" t="s">
        <v>9</v>
      </c>
      <c r="O74" s="30">
        <v>1</v>
      </c>
      <c r="P74" s="31">
        <v>0</v>
      </c>
      <c r="Q74" s="1">
        <v>1</v>
      </c>
      <c r="R74" s="32">
        <v>2.8690475246011644</v>
      </c>
      <c r="S74" s="32">
        <v>2.6369999999999969</v>
      </c>
      <c r="T74" s="32">
        <v>0.23204752460116751</v>
      </c>
    </row>
    <row r="75" spans="1:20" x14ac:dyDescent="0.35">
      <c r="A75" s="44">
        <v>43896</v>
      </c>
      <c r="B75" s="20">
        <f t="shared" si="5"/>
        <v>43887</v>
      </c>
      <c r="C75" s="35">
        <v>48.75</v>
      </c>
      <c r="D75" s="36">
        <v>60.65</v>
      </c>
      <c r="E75" s="36">
        <v>41.73</v>
      </c>
      <c r="F75" s="36">
        <v>18.376000000000001</v>
      </c>
      <c r="G75" s="36">
        <v>25.3</v>
      </c>
      <c r="H75" s="42">
        <v>0</v>
      </c>
      <c r="I75" s="40">
        <f t="shared" ref="I75:J75" si="61">20%+(I74-20%)*0.95</f>
        <v>0.20534718983758407</v>
      </c>
      <c r="J75" s="40">
        <f t="shared" si="61"/>
        <v>0.20784254509512329</v>
      </c>
      <c r="K75" s="41">
        <f t="shared" si="4"/>
        <v>0.7997877766776007</v>
      </c>
      <c r="L75" s="23">
        <f t="shared" si="7"/>
        <v>0.20821917808219179</v>
      </c>
      <c r="M75" s="28">
        <f t="shared" si="8"/>
        <v>29</v>
      </c>
      <c r="N75" s="29" t="s">
        <v>9</v>
      </c>
      <c r="O75" s="30">
        <v>1</v>
      </c>
      <c r="P75" s="31">
        <v>0</v>
      </c>
      <c r="Q75" s="1">
        <v>1</v>
      </c>
      <c r="R75" s="32">
        <v>2.8720882493823225</v>
      </c>
      <c r="S75" s="32">
        <v>2.6369999999999969</v>
      </c>
      <c r="T75" s="32">
        <v>0.23508824938232564</v>
      </c>
    </row>
    <row r="76" spans="1:20" x14ac:dyDescent="0.35">
      <c r="A76" s="44">
        <v>43897</v>
      </c>
      <c r="B76" s="20">
        <f t="shared" si="5"/>
        <v>43888</v>
      </c>
      <c r="C76" s="35">
        <v>48.75</v>
      </c>
      <c r="D76" s="36">
        <v>60.65</v>
      </c>
      <c r="E76" s="36">
        <v>41.73</v>
      </c>
      <c r="F76" s="36">
        <v>18.376000000000001</v>
      </c>
      <c r="G76" s="36">
        <v>25.3</v>
      </c>
      <c r="H76" s="42">
        <v>0</v>
      </c>
      <c r="I76" s="40">
        <f t="shared" ref="I76:J76" si="62">20%+(I75-20%)*0.95</f>
        <v>0.20507983034570487</v>
      </c>
      <c r="J76" s="40">
        <f t="shared" si="62"/>
        <v>0.20745041784036714</v>
      </c>
      <c r="K76" s="41">
        <f t="shared" ref="K76:K139" si="63">80%+(K75-80%)*0.9</f>
        <v>0.79980899900984059</v>
      </c>
      <c r="L76" s="23">
        <f t="shared" si="7"/>
        <v>0.21095890410958903</v>
      </c>
      <c r="M76" s="28">
        <f t="shared" si="8"/>
        <v>29</v>
      </c>
      <c r="N76" s="29" t="s">
        <v>9</v>
      </c>
      <c r="O76" s="30">
        <v>1</v>
      </c>
      <c r="P76" s="31">
        <v>0</v>
      </c>
      <c r="Q76" s="1">
        <v>1</v>
      </c>
      <c r="R76" s="32">
        <v>2.8751666492914225</v>
      </c>
      <c r="S76" s="32">
        <v>2.6369999999999969</v>
      </c>
      <c r="T76" s="32">
        <v>0.23816664929142561</v>
      </c>
    </row>
    <row r="77" spans="1:20" x14ac:dyDescent="0.35">
      <c r="A77" s="44">
        <v>43898</v>
      </c>
      <c r="B77" s="20">
        <f t="shared" si="5"/>
        <v>43888</v>
      </c>
      <c r="C77" s="35">
        <v>48.75</v>
      </c>
      <c r="D77" s="36">
        <v>60.65</v>
      </c>
      <c r="E77" s="36">
        <v>41.73</v>
      </c>
      <c r="F77" s="36">
        <v>18.376000000000001</v>
      </c>
      <c r="G77" s="36">
        <v>25.3</v>
      </c>
      <c r="H77" s="42">
        <v>0</v>
      </c>
      <c r="I77" s="40">
        <f t="shared" ref="I77:J77" si="64">20%+(I76-20%)*0.95</f>
        <v>0.20482583882841962</v>
      </c>
      <c r="J77" s="40">
        <f t="shared" si="64"/>
        <v>0.20707789694834877</v>
      </c>
      <c r="K77" s="41">
        <f t="shared" si="63"/>
        <v>0.79982809910885655</v>
      </c>
      <c r="L77" s="23">
        <f t="shared" si="7"/>
        <v>0.21095890410958903</v>
      </c>
      <c r="M77" s="28">
        <f t="shared" si="8"/>
        <v>29</v>
      </c>
      <c r="N77" s="29" t="s">
        <v>9</v>
      </c>
      <c r="O77" s="30">
        <v>1</v>
      </c>
      <c r="P77" s="31">
        <v>0</v>
      </c>
      <c r="Q77" s="1">
        <v>1</v>
      </c>
      <c r="R77" s="32">
        <v>2.8739191580100325</v>
      </c>
      <c r="S77" s="32">
        <v>2.6369999999999969</v>
      </c>
      <c r="T77" s="32">
        <v>0.2369191580100356</v>
      </c>
    </row>
    <row r="78" spans="1:20" x14ac:dyDescent="0.35">
      <c r="A78" s="44">
        <v>43899</v>
      </c>
      <c r="B78" s="20">
        <f t="shared" si="5"/>
        <v>43888</v>
      </c>
      <c r="C78" s="35">
        <v>48.75</v>
      </c>
      <c r="D78" s="36">
        <v>60.65</v>
      </c>
      <c r="E78" s="36">
        <v>41.73</v>
      </c>
      <c r="F78" s="36">
        <v>18.376000000000001</v>
      </c>
      <c r="G78" s="36">
        <v>25.3</v>
      </c>
      <c r="H78" s="42">
        <v>0</v>
      </c>
      <c r="I78" s="40">
        <f t="shared" ref="I78:J78" si="65">20%+(I77-20%)*0.95</f>
        <v>0.20458454688699865</v>
      </c>
      <c r="J78" s="40">
        <f t="shared" si="65"/>
        <v>0.20672400210093134</v>
      </c>
      <c r="K78" s="41">
        <f t="shared" si="63"/>
        <v>0.79984528919797093</v>
      </c>
      <c r="L78" s="23">
        <f t="shared" si="7"/>
        <v>0.21095890410958903</v>
      </c>
      <c r="M78" s="28">
        <f t="shared" si="8"/>
        <v>29</v>
      </c>
      <c r="N78" s="29" t="s">
        <v>9</v>
      </c>
      <c r="O78" s="30">
        <v>1</v>
      </c>
      <c r="P78" s="31">
        <v>0</v>
      </c>
      <c r="Q78" s="1">
        <v>1</v>
      </c>
      <c r="R78" s="32">
        <v>2.8727378674796853</v>
      </c>
      <c r="S78" s="32">
        <v>2.6369999999999969</v>
      </c>
      <c r="T78" s="32">
        <v>0.23573786747968839</v>
      </c>
    </row>
    <row r="79" spans="1:20" x14ac:dyDescent="0.35">
      <c r="A79" s="44">
        <v>43900</v>
      </c>
      <c r="B79" s="20">
        <f t="shared" si="5"/>
        <v>43889</v>
      </c>
      <c r="C79" s="35">
        <v>48.75</v>
      </c>
      <c r="D79" s="36">
        <v>60.65</v>
      </c>
      <c r="E79" s="36">
        <v>41.73</v>
      </c>
      <c r="F79" s="36">
        <v>18.376000000000001</v>
      </c>
      <c r="G79" s="36">
        <v>25.3</v>
      </c>
      <c r="H79" s="42">
        <v>0</v>
      </c>
      <c r="I79" s="40">
        <f t="shared" ref="I79:J79" si="66">20%+(I78-20%)*0.95</f>
        <v>0.20435531954264871</v>
      </c>
      <c r="J79" s="40">
        <f t="shared" si="66"/>
        <v>0.20638780199588477</v>
      </c>
      <c r="K79" s="41">
        <f t="shared" si="63"/>
        <v>0.79986076027817388</v>
      </c>
      <c r="L79" s="23">
        <f t="shared" si="7"/>
        <v>0.21369863013698631</v>
      </c>
      <c r="M79" s="28">
        <f t="shared" si="8"/>
        <v>29</v>
      </c>
      <c r="N79" s="29" t="s">
        <v>9</v>
      </c>
      <c r="O79" s="30">
        <v>1</v>
      </c>
      <c r="P79" s="31">
        <v>0</v>
      </c>
      <c r="Q79" s="1">
        <v>1</v>
      </c>
      <c r="R79" s="32">
        <v>2.8759520955523996</v>
      </c>
      <c r="S79" s="32">
        <v>2.6369999999999969</v>
      </c>
      <c r="T79" s="32">
        <v>0.23895209555240271</v>
      </c>
    </row>
    <row r="80" spans="1:20" x14ac:dyDescent="0.35">
      <c r="A80" s="44">
        <v>43901</v>
      </c>
      <c r="B80" s="20">
        <f t="shared" si="5"/>
        <v>43892</v>
      </c>
      <c r="C80" s="35">
        <v>48.75</v>
      </c>
      <c r="D80" s="36">
        <v>60.65</v>
      </c>
      <c r="E80" s="36">
        <v>41.73</v>
      </c>
      <c r="F80" s="36">
        <v>18.376000000000001</v>
      </c>
      <c r="G80" s="36">
        <v>25.3</v>
      </c>
      <c r="H80" s="42">
        <v>0</v>
      </c>
      <c r="I80" s="40">
        <f t="shared" ref="I80:J80" si="67">20%+(I79-20%)*0.95</f>
        <v>0.20413755356551627</v>
      </c>
      <c r="J80" s="40">
        <f t="shared" si="67"/>
        <v>0.20606841189609054</v>
      </c>
      <c r="K80" s="41">
        <f t="shared" si="63"/>
        <v>0.79987468425035646</v>
      </c>
      <c r="L80" s="23">
        <f t="shared" si="7"/>
        <v>0.22191780821917809</v>
      </c>
      <c r="M80" s="28">
        <f t="shared" si="8"/>
        <v>31</v>
      </c>
      <c r="N80" s="29" t="s">
        <v>9</v>
      </c>
      <c r="O80" s="30">
        <v>1</v>
      </c>
      <c r="P80" s="31">
        <v>0</v>
      </c>
      <c r="Q80" s="1">
        <v>1</v>
      </c>
      <c r="R80" s="32">
        <v>2.8878273864216268</v>
      </c>
      <c r="S80" s="32">
        <v>2.6369999999999969</v>
      </c>
      <c r="T80" s="32">
        <v>0.25082738642162994</v>
      </c>
    </row>
    <row r="81" spans="1:20" x14ac:dyDescent="0.35">
      <c r="A81" s="44">
        <v>43902</v>
      </c>
      <c r="B81" s="20">
        <f t="shared" si="5"/>
        <v>43893</v>
      </c>
      <c r="C81" s="35">
        <v>48.75</v>
      </c>
      <c r="D81" s="36">
        <v>60.65</v>
      </c>
      <c r="E81" s="36">
        <v>41.73</v>
      </c>
      <c r="F81" s="36">
        <v>18.376000000000001</v>
      </c>
      <c r="G81" s="36">
        <v>25.3</v>
      </c>
      <c r="H81" s="42">
        <v>0</v>
      </c>
      <c r="I81" s="40">
        <f t="shared" ref="I81:J81" si="68">20%+(I80-20%)*0.95</f>
        <v>0.20393067588724045</v>
      </c>
      <c r="J81" s="40">
        <f t="shared" si="68"/>
        <v>0.205764991301286</v>
      </c>
      <c r="K81" s="41">
        <f t="shared" si="63"/>
        <v>0.79988721582532085</v>
      </c>
      <c r="L81" s="23">
        <f t="shared" si="7"/>
        <v>0.22465753424657534</v>
      </c>
      <c r="M81" s="28">
        <f t="shared" si="8"/>
        <v>31</v>
      </c>
      <c r="N81" s="29" t="s">
        <v>9</v>
      </c>
      <c r="O81" s="30">
        <v>1</v>
      </c>
      <c r="P81" s="31">
        <v>0</v>
      </c>
      <c r="Q81" s="1">
        <v>1</v>
      </c>
      <c r="R81" s="32">
        <v>2.8910723453313238</v>
      </c>
      <c r="S81" s="32">
        <v>2.6369999999999969</v>
      </c>
      <c r="T81" s="32">
        <v>0.25407234533132694</v>
      </c>
    </row>
    <row r="82" spans="1:20" x14ac:dyDescent="0.35">
      <c r="A82" s="44">
        <v>43903</v>
      </c>
      <c r="B82" s="20">
        <f t="shared" si="5"/>
        <v>43894</v>
      </c>
      <c r="C82" s="35">
        <v>48.75</v>
      </c>
      <c r="D82" s="36">
        <v>60.65</v>
      </c>
      <c r="E82" s="36">
        <v>41.73</v>
      </c>
      <c r="F82" s="36">
        <v>18.376000000000001</v>
      </c>
      <c r="G82" s="36">
        <v>25.3</v>
      </c>
      <c r="H82" s="42">
        <v>0</v>
      </c>
      <c r="I82" s="40">
        <f t="shared" ref="I82:J82" si="69">20%+(I81-20%)*0.95</f>
        <v>0.20373414209287843</v>
      </c>
      <c r="J82" s="40">
        <f t="shared" si="69"/>
        <v>0.20547674173622171</v>
      </c>
      <c r="K82" s="41">
        <f t="shared" si="63"/>
        <v>0.7998984942427888</v>
      </c>
      <c r="L82" s="23">
        <f t="shared" si="7"/>
        <v>0.22739726027397261</v>
      </c>
      <c r="M82" s="28">
        <f t="shared" si="8"/>
        <v>31</v>
      </c>
      <c r="N82" s="29" t="s">
        <v>9</v>
      </c>
      <c r="O82" s="30">
        <v>1</v>
      </c>
      <c r="P82" s="31">
        <v>0</v>
      </c>
      <c r="Q82" s="1">
        <v>1</v>
      </c>
      <c r="R82" s="32">
        <v>2.8943465596648394</v>
      </c>
      <c r="S82" s="32">
        <v>2.6369999999999969</v>
      </c>
      <c r="T82" s="32">
        <v>0.25734655966484254</v>
      </c>
    </row>
    <row r="83" spans="1:20" x14ac:dyDescent="0.35">
      <c r="A83" s="44">
        <v>43904</v>
      </c>
      <c r="B83" s="20">
        <f t="shared" si="5"/>
        <v>43895</v>
      </c>
      <c r="C83" s="35">
        <v>48.75</v>
      </c>
      <c r="D83" s="36">
        <v>60.65</v>
      </c>
      <c r="E83" s="36">
        <v>41.73</v>
      </c>
      <c r="F83" s="36">
        <v>18.376000000000001</v>
      </c>
      <c r="G83" s="36">
        <v>25.3</v>
      </c>
      <c r="H83" s="42">
        <v>0</v>
      </c>
      <c r="I83" s="40">
        <f t="shared" ref="I83:J83" si="70">20%+(I82-20%)*0.95</f>
        <v>0.20354743498823452</v>
      </c>
      <c r="J83" s="40">
        <f t="shared" si="70"/>
        <v>0.20520290464941063</v>
      </c>
      <c r="K83" s="41">
        <f t="shared" si="63"/>
        <v>0.79990864481850998</v>
      </c>
      <c r="L83" s="23">
        <f t="shared" si="7"/>
        <v>0.23013698630136986</v>
      </c>
      <c r="M83" s="28">
        <f t="shared" si="8"/>
        <v>31</v>
      </c>
      <c r="N83" s="29" t="s">
        <v>9</v>
      </c>
      <c r="O83" s="30">
        <v>1</v>
      </c>
      <c r="P83" s="31">
        <v>0</v>
      </c>
      <c r="Q83" s="1">
        <v>1</v>
      </c>
      <c r="R83" s="32">
        <v>2.8976487733171794</v>
      </c>
      <c r="S83" s="32">
        <v>2.6369999999999969</v>
      </c>
      <c r="T83" s="32">
        <v>0.2606487733171825</v>
      </c>
    </row>
    <row r="84" spans="1:20" x14ac:dyDescent="0.35">
      <c r="A84" s="44">
        <v>43905</v>
      </c>
      <c r="B84" s="20">
        <f t="shared" si="5"/>
        <v>43895</v>
      </c>
      <c r="C84" s="35">
        <v>48.75</v>
      </c>
      <c r="D84" s="36">
        <v>60.65</v>
      </c>
      <c r="E84" s="36">
        <v>41.73</v>
      </c>
      <c r="F84" s="36">
        <v>18.376000000000001</v>
      </c>
      <c r="G84" s="36">
        <v>25.3</v>
      </c>
      <c r="H84" s="42">
        <v>0</v>
      </c>
      <c r="I84" s="40">
        <f t="shared" ref="I84:J84" si="71">20%+(I83-20%)*0.95</f>
        <v>0.20337006323882278</v>
      </c>
      <c r="J84" s="40">
        <f t="shared" si="71"/>
        <v>0.2049427594169401</v>
      </c>
      <c r="K84" s="41">
        <f t="shared" si="63"/>
        <v>0.79991778033665895</v>
      </c>
      <c r="L84" s="23">
        <f t="shared" si="7"/>
        <v>0.23013698630136986</v>
      </c>
      <c r="M84" s="28">
        <f t="shared" si="8"/>
        <v>31</v>
      </c>
      <c r="N84" s="29" t="s">
        <v>9</v>
      </c>
      <c r="O84" s="30">
        <v>1</v>
      </c>
      <c r="P84" s="31">
        <v>0</v>
      </c>
      <c r="Q84" s="1">
        <v>1</v>
      </c>
      <c r="R84" s="32">
        <v>2.8967198073189451</v>
      </c>
      <c r="S84" s="32">
        <v>2.6369999999999969</v>
      </c>
      <c r="T84" s="32">
        <v>0.25971980731894817</v>
      </c>
    </row>
    <row r="85" spans="1:20" x14ac:dyDescent="0.35">
      <c r="A85" s="44">
        <v>43906</v>
      </c>
      <c r="B85" s="20">
        <f t="shared" si="5"/>
        <v>43895</v>
      </c>
      <c r="C85" s="35">
        <v>48.75</v>
      </c>
      <c r="D85" s="36">
        <v>60.65</v>
      </c>
      <c r="E85" s="36">
        <v>41.73</v>
      </c>
      <c r="F85" s="36">
        <v>18.376000000000001</v>
      </c>
      <c r="G85" s="36">
        <v>25.3</v>
      </c>
      <c r="H85" s="42">
        <v>0</v>
      </c>
      <c r="I85" s="40">
        <f t="shared" ref="I85:J85" si="72">20%+(I84-20%)*0.95</f>
        <v>0.20320156007688164</v>
      </c>
      <c r="J85" s="40">
        <f t="shared" si="72"/>
        <v>0.2046956214460931</v>
      </c>
      <c r="K85" s="41">
        <f t="shared" si="63"/>
        <v>0.79992600230299304</v>
      </c>
      <c r="L85" s="23">
        <f t="shared" si="7"/>
        <v>0.23013698630136986</v>
      </c>
      <c r="M85" s="28">
        <f t="shared" si="8"/>
        <v>31</v>
      </c>
      <c r="N85" s="29" t="s">
        <v>9</v>
      </c>
      <c r="O85" s="30">
        <v>1</v>
      </c>
      <c r="P85" s="31">
        <v>0</v>
      </c>
      <c r="Q85" s="1">
        <v>1</v>
      </c>
      <c r="R85" s="32">
        <v>2.8958391998975372</v>
      </c>
      <c r="S85" s="32">
        <v>2.6369999999999969</v>
      </c>
      <c r="T85" s="32">
        <v>0.25883919989754034</v>
      </c>
    </row>
    <row r="86" spans="1:20" x14ac:dyDescent="0.35">
      <c r="A86" s="44">
        <v>43907</v>
      </c>
      <c r="B86" s="20">
        <f t="shared" ref="B86:B149" si="73">WORKDAY(A86,-7)</f>
        <v>43896</v>
      </c>
      <c r="C86" s="35">
        <v>48.75</v>
      </c>
      <c r="D86" s="36">
        <v>60.65</v>
      </c>
      <c r="E86" s="36">
        <v>41.73</v>
      </c>
      <c r="F86" s="36">
        <v>18.376000000000001</v>
      </c>
      <c r="G86" s="36">
        <v>25.3</v>
      </c>
      <c r="H86" s="42">
        <v>0</v>
      </c>
      <c r="I86" s="40">
        <f t="shared" ref="I86:J86" si="74">20%+(I85-20%)*0.95</f>
        <v>0.20304148207303757</v>
      </c>
      <c r="J86" s="40">
        <f t="shared" si="74"/>
        <v>0.20446084037378845</v>
      </c>
      <c r="K86" s="41">
        <f t="shared" si="63"/>
        <v>0.7999334020726937</v>
      </c>
      <c r="L86" s="23">
        <f t="shared" ref="L86:L149" si="75">(B86-$B$3)/365</f>
        <v>0.23287671232876711</v>
      </c>
      <c r="M86" s="28">
        <f t="shared" ref="M86:M149" si="76">DAY(EOMONTH(B86,0))</f>
        <v>31</v>
      </c>
      <c r="N86" s="29" t="s">
        <v>9</v>
      </c>
      <c r="O86" s="30">
        <v>1</v>
      </c>
      <c r="P86" s="31">
        <v>0</v>
      </c>
      <c r="Q86" s="1">
        <v>1</v>
      </c>
      <c r="R86" s="32">
        <v>2.8992430722882574</v>
      </c>
      <c r="S86" s="32">
        <v>2.6369999999999969</v>
      </c>
      <c r="T86" s="32">
        <v>0.26224307228826049</v>
      </c>
    </row>
    <row r="87" spans="1:20" x14ac:dyDescent="0.35">
      <c r="A87" s="44">
        <v>43908</v>
      </c>
      <c r="B87" s="20">
        <f t="shared" si="73"/>
        <v>43899</v>
      </c>
      <c r="C87" s="35">
        <v>48.75</v>
      </c>
      <c r="D87" s="36">
        <v>60.65</v>
      </c>
      <c r="E87" s="36">
        <v>41.73</v>
      </c>
      <c r="F87" s="36">
        <v>18.376000000000001</v>
      </c>
      <c r="G87" s="36">
        <v>25.3</v>
      </c>
      <c r="H87" s="42">
        <v>0</v>
      </c>
      <c r="I87" s="40">
        <f t="shared" ref="I87:J87" si="77">20%+(I86-20%)*0.95</f>
        <v>0.2028894079693857</v>
      </c>
      <c r="J87" s="40">
        <f t="shared" si="77"/>
        <v>0.20423779835509903</v>
      </c>
      <c r="K87" s="41">
        <f t="shared" si="63"/>
        <v>0.79994006186542432</v>
      </c>
      <c r="L87" s="23">
        <f t="shared" si="75"/>
        <v>0.24109589041095891</v>
      </c>
      <c r="M87" s="28">
        <f t="shared" si="76"/>
        <v>31</v>
      </c>
      <c r="N87" s="29" t="s">
        <v>9</v>
      </c>
      <c r="O87" s="30">
        <v>1</v>
      </c>
      <c r="P87" s="31">
        <v>0</v>
      </c>
      <c r="Q87" s="1">
        <v>1</v>
      </c>
      <c r="R87" s="32">
        <v>2.911113832438545</v>
      </c>
      <c r="S87" s="32">
        <v>2.6369999999999969</v>
      </c>
      <c r="T87" s="32">
        <v>0.27411383243854814</v>
      </c>
    </row>
    <row r="88" spans="1:20" x14ac:dyDescent="0.35">
      <c r="A88" s="44">
        <v>43909</v>
      </c>
      <c r="B88" s="20">
        <f t="shared" si="73"/>
        <v>43900</v>
      </c>
      <c r="C88" s="35">
        <v>48.75</v>
      </c>
      <c r="D88" s="36">
        <v>60.65</v>
      </c>
      <c r="E88" s="36">
        <v>41.73</v>
      </c>
      <c r="F88" s="36">
        <v>18.376000000000001</v>
      </c>
      <c r="G88" s="36">
        <v>25.3</v>
      </c>
      <c r="H88" s="42">
        <v>0</v>
      </c>
      <c r="I88" s="40">
        <f t="shared" ref="I88:J88" si="78">20%+(I87-20%)*0.95</f>
        <v>0.20274493757091641</v>
      </c>
      <c r="J88" s="40">
        <f t="shared" si="78"/>
        <v>0.20402590843734408</v>
      </c>
      <c r="K88" s="41">
        <f t="shared" si="63"/>
        <v>0.79994605567888188</v>
      </c>
      <c r="L88" s="23">
        <f t="shared" si="75"/>
        <v>0.24383561643835616</v>
      </c>
      <c r="M88" s="28">
        <f t="shared" si="76"/>
        <v>31</v>
      </c>
      <c r="N88" s="29" t="s">
        <v>9</v>
      </c>
      <c r="O88" s="30">
        <v>1</v>
      </c>
      <c r="P88" s="31">
        <v>0</v>
      </c>
      <c r="Q88" s="1">
        <v>1</v>
      </c>
      <c r="R88" s="32">
        <v>2.9145385199863867</v>
      </c>
      <c r="S88" s="32">
        <v>2.6369999999999969</v>
      </c>
      <c r="T88" s="32">
        <v>0.27753851998638979</v>
      </c>
    </row>
    <row r="89" spans="1:20" x14ac:dyDescent="0.35">
      <c r="A89" s="44">
        <v>43910</v>
      </c>
      <c r="B89" s="20">
        <f t="shared" si="73"/>
        <v>43901</v>
      </c>
      <c r="C89" s="35">
        <v>48.75</v>
      </c>
      <c r="D89" s="36">
        <v>60.65</v>
      </c>
      <c r="E89" s="36">
        <v>41.73</v>
      </c>
      <c r="F89" s="36">
        <v>18.376000000000001</v>
      </c>
      <c r="G89" s="36">
        <v>25.3</v>
      </c>
      <c r="H89" s="42">
        <v>0</v>
      </c>
      <c r="I89" s="40">
        <f t="shared" ref="I89:J89" si="79">20%+(I88-20%)*0.95</f>
        <v>0.20260769069237058</v>
      </c>
      <c r="J89" s="40">
        <f t="shared" si="79"/>
        <v>0.20382461301547689</v>
      </c>
      <c r="K89" s="41">
        <f t="shared" si="63"/>
        <v>0.79995145011099367</v>
      </c>
      <c r="L89" s="23">
        <f t="shared" si="75"/>
        <v>0.24657534246575341</v>
      </c>
      <c r="M89" s="28">
        <f t="shared" si="76"/>
        <v>31</v>
      </c>
      <c r="N89" s="29" t="s">
        <v>9</v>
      </c>
      <c r="O89" s="30">
        <v>1</v>
      </c>
      <c r="P89" s="31">
        <v>0</v>
      </c>
      <c r="Q89" s="1">
        <v>1</v>
      </c>
      <c r="R89" s="32">
        <v>2.9179844473789203</v>
      </c>
      <c r="S89" s="32">
        <v>2.6369999999999969</v>
      </c>
      <c r="T89" s="32">
        <v>0.28098444737892336</v>
      </c>
    </row>
    <row r="90" spans="1:20" x14ac:dyDescent="0.35">
      <c r="A90" s="44">
        <v>43911</v>
      </c>
      <c r="B90" s="20">
        <f t="shared" si="73"/>
        <v>43902</v>
      </c>
      <c r="C90" s="35">
        <v>48.75</v>
      </c>
      <c r="D90" s="36">
        <v>60.65</v>
      </c>
      <c r="E90" s="36">
        <v>41.73</v>
      </c>
      <c r="F90" s="36">
        <v>18.376000000000001</v>
      </c>
      <c r="G90" s="36">
        <v>25.3</v>
      </c>
      <c r="H90" s="42">
        <v>0</v>
      </c>
      <c r="I90" s="40">
        <f t="shared" ref="I90:J90" si="80">20%+(I89-20%)*0.95</f>
        <v>0.20247730615775206</v>
      </c>
      <c r="J90" s="40">
        <f t="shared" si="80"/>
        <v>0.20363338236470305</v>
      </c>
      <c r="K90" s="41">
        <f t="shared" si="63"/>
        <v>0.79995630509989435</v>
      </c>
      <c r="L90" s="23">
        <f t="shared" si="75"/>
        <v>0.24931506849315069</v>
      </c>
      <c r="M90" s="28">
        <f t="shared" si="76"/>
        <v>31</v>
      </c>
      <c r="N90" s="29" t="s">
        <v>9</v>
      </c>
      <c r="O90" s="30">
        <v>1</v>
      </c>
      <c r="P90" s="31">
        <v>0</v>
      </c>
      <c r="Q90" s="1">
        <v>1</v>
      </c>
      <c r="R90" s="32">
        <v>2.9214506084639638</v>
      </c>
      <c r="S90" s="32">
        <v>2.6369999999999969</v>
      </c>
      <c r="T90" s="32">
        <v>0.28445060846396686</v>
      </c>
    </row>
    <row r="91" spans="1:20" x14ac:dyDescent="0.35">
      <c r="A91" s="44">
        <v>43912</v>
      </c>
      <c r="B91" s="20">
        <f t="shared" si="73"/>
        <v>43902</v>
      </c>
      <c r="C91" s="35">
        <v>48.75</v>
      </c>
      <c r="D91" s="36">
        <v>60.65</v>
      </c>
      <c r="E91" s="36">
        <v>41.73</v>
      </c>
      <c r="F91" s="36">
        <v>18.376000000000001</v>
      </c>
      <c r="G91" s="36">
        <v>25.3</v>
      </c>
      <c r="H91" s="42">
        <v>0</v>
      </c>
      <c r="I91" s="40">
        <f t="shared" ref="I91:J91" si="81">20%+(I90-20%)*0.95</f>
        <v>0.20235344084986445</v>
      </c>
      <c r="J91" s="40">
        <f t="shared" si="81"/>
        <v>0.20345171324646791</v>
      </c>
      <c r="K91" s="41">
        <f t="shared" si="63"/>
        <v>0.79996067458990494</v>
      </c>
      <c r="L91" s="23">
        <f t="shared" si="75"/>
        <v>0.24931506849315069</v>
      </c>
      <c r="M91" s="28">
        <f t="shared" si="76"/>
        <v>31</v>
      </c>
      <c r="N91" s="29" t="s">
        <v>9</v>
      </c>
      <c r="O91" s="30">
        <v>1</v>
      </c>
      <c r="P91" s="31">
        <v>0</v>
      </c>
      <c r="Q91" s="1">
        <v>1</v>
      </c>
      <c r="R91" s="32">
        <v>2.9207606958375152</v>
      </c>
      <c r="S91" s="32">
        <v>2.6369999999999969</v>
      </c>
      <c r="T91" s="32">
        <v>0.28376069583751828</v>
      </c>
    </row>
    <row r="92" spans="1:20" x14ac:dyDescent="0.35">
      <c r="A92" s="44">
        <v>43913</v>
      </c>
      <c r="B92" s="20">
        <f t="shared" si="73"/>
        <v>43902</v>
      </c>
      <c r="C92" s="35">
        <v>48.75</v>
      </c>
      <c r="D92" s="36">
        <v>60.65</v>
      </c>
      <c r="E92" s="36">
        <v>41.73</v>
      </c>
      <c r="F92" s="36">
        <v>18.376000000000001</v>
      </c>
      <c r="G92" s="36">
        <v>25.3</v>
      </c>
      <c r="H92" s="42">
        <v>0</v>
      </c>
      <c r="I92" s="40">
        <f t="shared" ref="I92:J92" si="82">20%+(I91-20%)*0.95</f>
        <v>0.20223576880737124</v>
      </c>
      <c r="J92" s="40">
        <f t="shared" si="82"/>
        <v>0.20327912758414451</v>
      </c>
      <c r="K92" s="41">
        <f t="shared" si="63"/>
        <v>0.79996460713091444</v>
      </c>
      <c r="L92" s="23">
        <f t="shared" si="75"/>
        <v>0.24931506849315069</v>
      </c>
      <c r="M92" s="28">
        <f t="shared" si="76"/>
        <v>31</v>
      </c>
      <c r="N92" s="29" t="s">
        <v>9</v>
      </c>
      <c r="O92" s="30">
        <v>1</v>
      </c>
      <c r="P92" s="31">
        <v>0</v>
      </c>
      <c r="Q92" s="1">
        <v>1</v>
      </c>
      <c r="R92" s="32">
        <v>2.9201062305980514</v>
      </c>
      <c r="S92" s="32">
        <v>2.6369999999999969</v>
      </c>
      <c r="T92" s="32">
        <v>0.28310623059805451</v>
      </c>
    </row>
    <row r="93" spans="1:20" x14ac:dyDescent="0.35">
      <c r="A93" s="44">
        <v>43914</v>
      </c>
      <c r="B93" s="20">
        <f t="shared" si="73"/>
        <v>43903</v>
      </c>
      <c r="C93" s="35">
        <v>48.75</v>
      </c>
      <c r="D93" s="36">
        <v>60.65</v>
      </c>
      <c r="E93" s="36">
        <v>41.73</v>
      </c>
      <c r="F93" s="36">
        <v>18.376000000000001</v>
      </c>
      <c r="G93" s="36">
        <v>25.3</v>
      </c>
      <c r="H93" s="42">
        <v>0</v>
      </c>
      <c r="I93" s="40">
        <f t="shared" ref="I93:J93" si="83">20%+(I92-20%)*0.95</f>
        <v>0.20212398036700269</v>
      </c>
      <c r="J93" s="40">
        <f t="shared" si="83"/>
        <v>0.2031151712049373</v>
      </c>
      <c r="K93" s="41">
        <f t="shared" si="63"/>
        <v>0.79996814641782299</v>
      </c>
      <c r="L93" s="23">
        <f t="shared" si="75"/>
        <v>0.25205479452054796</v>
      </c>
      <c r="M93" s="28">
        <f t="shared" si="76"/>
        <v>31</v>
      </c>
      <c r="N93" s="29" t="s">
        <v>9</v>
      </c>
      <c r="O93" s="30">
        <v>1</v>
      </c>
      <c r="P93" s="31">
        <v>0</v>
      </c>
      <c r="Q93" s="1">
        <v>1</v>
      </c>
      <c r="R93" s="32">
        <v>2.9236478754996114</v>
      </c>
      <c r="S93" s="32">
        <v>2.6369999999999969</v>
      </c>
      <c r="T93" s="32">
        <v>0.28664787549961446</v>
      </c>
    </row>
    <row r="94" spans="1:20" x14ac:dyDescent="0.35">
      <c r="A94" s="44">
        <v>43915</v>
      </c>
      <c r="B94" s="20">
        <f t="shared" si="73"/>
        <v>43906</v>
      </c>
      <c r="C94" s="35">
        <v>48.75</v>
      </c>
      <c r="D94" s="36">
        <v>60.65</v>
      </c>
      <c r="E94" s="36">
        <v>41.73</v>
      </c>
      <c r="F94" s="36">
        <v>18.376000000000001</v>
      </c>
      <c r="G94" s="36">
        <v>25.3</v>
      </c>
      <c r="H94" s="42">
        <v>0</v>
      </c>
      <c r="I94" s="40">
        <f t="shared" ref="I94:J94" si="84">20%+(I93-20%)*0.95</f>
        <v>0.20201778134865256</v>
      </c>
      <c r="J94" s="40">
        <f t="shared" si="84"/>
        <v>0.20295941264469045</v>
      </c>
      <c r="K94" s="41">
        <f t="shared" si="63"/>
        <v>0.79997133177604074</v>
      </c>
      <c r="L94" s="23">
        <f t="shared" si="75"/>
        <v>0.26027397260273971</v>
      </c>
      <c r="M94" s="28">
        <f t="shared" si="76"/>
        <v>31</v>
      </c>
      <c r="N94" s="29" t="s">
        <v>9</v>
      </c>
      <c r="O94" s="30">
        <v>1</v>
      </c>
      <c r="P94" s="31">
        <v>0</v>
      </c>
      <c r="Q94" s="1">
        <v>1</v>
      </c>
      <c r="R94" s="32">
        <v>2.9354985705110224</v>
      </c>
      <c r="S94" s="32">
        <v>2.6369999999999969</v>
      </c>
      <c r="T94" s="32">
        <v>0.29849857051102546</v>
      </c>
    </row>
    <row r="95" spans="1:20" x14ac:dyDescent="0.35">
      <c r="A95" s="44">
        <v>43916</v>
      </c>
      <c r="B95" s="20">
        <f t="shared" si="73"/>
        <v>43907</v>
      </c>
      <c r="C95" s="35">
        <v>48.75</v>
      </c>
      <c r="D95" s="36">
        <v>60.65</v>
      </c>
      <c r="E95" s="36">
        <v>41.73</v>
      </c>
      <c r="F95" s="36">
        <v>18.376000000000001</v>
      </c>
      <c r="G95" s="36">
        <v>25.3</v>
      </c>
      <c r="H95" s="42">
        <v>0</v>
      </c>
      <c r="I95" s="40">
        <f t="shared" ref="I95:J95" si="85">20%+(I94-20%)*0.95</f>
        <v>0.20191689228121992</v>
      </c>
      <c r="J95" s="40">
        <f t="shared" si="85"/>
        <v>0.20281144201245593</v>
      </c>
      <c r="K95" s="41">
        <f t="shared" si="63"/>
        <v>0.79997419859843666</v>
      </c>
      <c r="L95" s="23">
        <f t="shared" si="75"/>
        <v>0.26301369863013696</v>
      </c>
      <c r="M95" s="28">
        <f t="shared" si="76"/>
        <v>31</v>
      </c>
      <c r="N95" s="29" t="s">
        <v>9</v>
      </c>
      <c r="O95" s="30">
        <v>1</v>
      </c>
      <c r="P95" s="31">
        <v>0</v>
      </c>
      <c r="Q95" s="1">
        <v>1</v>
      </c>
      <c r="R95" s="32">
        <v>2.9390519003419371</v>
      </c>
      <c r="S95" s="32">
        <v>2.6369999999999969</v>
      </c>
      <c r="T95" s="32">
        <v>0.30205190034194018</v>
      </c>
    </row>
    <row r="96" spans="1:20" x14ac:dyDescent="0.35">
      <c r="A96" s="44">
        <v>43917</v>
      </c>
      <c r="B96" s="20">
        <f t="shared" si="73"/>
        <v>43908</v>
      </c>
      <c r="C96" s="35">
        <v>48.75</v>
      </c>
      <c r="D96" s="36">
        <v>60.65</v>
      </c>
      <c r="E96" s="36">
        <v>41.73</v>
      </c>
      <c r="F96" s="36">
        <v>18.376000000000001</v>
      </c>
      <c r="G96" s="36">
        <v>25.3</v>
      </c>
      <c r="H96" s="42">
        <v>0</v>
      </c>
      <c r="I96" s="40">
        <f t="shared" ref="I96:J96" si="86">20%+(I95-20%)*0.95</f>
        <v>0.20182104766715891</v>
      </c>
      <c r="J96" s="40">
        <f t="shared" si="86"/>
        <v>0.20267086991183314</v>
      </c>
      <c r="K96" s="41">
        <f t="shared" si="63"/>
        <v>0.79997677873859296</v>
      </c>
      <c r="L96" s="23">
        <f t="shared" si="75"/>
        <v>0.26575342465753427</v>
      </c>
      <c r="M96" s="28">
        <f t="shared" si="76"/>
        <v>31</v>
      </c>
      <c r="N96" s="29" t="s">
        <v>9</v>
      </c>
      <c r="O96" s="30">
        <v>1</v>
      </c>
      <c r="P96" s="31">
        <v>0</v>
      </c>
      <c r="Q96" s="1">
        <v>1</v>
      </c>
      <c r="R96" s="32">
        <v>2.9426200714051944</v>
      </c>
      <c r="S96" s="32">
        <v>2.6369999999999969</v>
      </c>
      <c r="T96" s="32">
        <v>0.30562007140519754</v>
      </c>
    </row>
    <row r="97" spans="1:20" x14ac:dyDescent="0.35">
      <c r="A97" s="44">
        <v>43918</v>
      </c>
      <c r="B97" s="20">
        <f t="shared" si="73"/>
        <v>43909</v>
      </c>
      <c r="C97" s="35">
        <v>48.75</v>
      </c>
      <c r="D97" s="36">
        <v>60.65</v>
      </c>
      <c r="E97" s="36">
        <v>41.73</v>
      </c>
      <c r="F97" s="36">
        <v>18.376000000000001</v>
      </c>
      <c r="G97" s="36">
        <v>25.3</v>
      </c>
      <c r="H97" s="42">
        <v>0</v>
      </c>
      <c r="I97" s="40">
        <f t="shared" ref="I97:J97" si="87">20%+(I96-20%)*0.95</f>
        <v>0.20172999528380098</v>
      </c>
      <c r="J97" s="40">
        <f t="shared" si="87"/>
        <v>0.20253732641624148</v>
      </c>
      <c r="K97" s="41">
        <f t="shared" si="63"/>
        <v>0.79997910086473367</v>
      </c>
      <c r="L97" s="23">
        <f t="shared" si="75"/>
        <v>0.26849315068493151</v>
      </c>
      <c r="M97" s="28">
        <f t="shared" si="76"/>
        <v>31</v>
      </c>
      <c r="N97" s="29" t="s">
        <v>9</v>
      </c>
      <c r="O97" s="30">
        <v>1</v>
      </c>
      <c r="P97" s="31">
        <v>0</v>
      </c>
      <c r="Q97" s="1">
        <v>1</v>
      </c>
      <c r="R97" s="32">
        <v>2.9462022851373106</v>
      </c>
      <c r="S97" s="32">
        <v>2.6369999999999969</v>
      </c>
      <c r="T97" s="32">
        <v>0.30920228513731374</v>
      </c>
    </row>
    <row r="98" spans="1:20" x14ac:dyDescent="0.35">
      <c r="A98" s="44">
        <v>43919</v>
      </c>
      <c r="B98" s="20">
        <f t="shared" si="73"/>
        <v>43909</v>
      </c>
      <c r="C98" s="35">
        <v>48.75</v>
      </c>
      <c r="D98" s="36">
        <v>60.65</v>
      </c>
      <c r="E98" s="36">
        <v>41.73</v>
      </c>
      <c r="F98" s="36">
        <v>18.376000000000001</v>
      </c>
      <c r="G98" s="36">
        <v>25.3</v>
      </c>
      <c r="H98" s="42">
        <v>0</v>
      </c>
      <c r="I98" s="40">
        <f t="shared" ref="I98:J98" si="88">20%+(I97-20%)*0.95</f>
        <v>0.20164349551961092</v>
      </c>
      <c r="J98" s="40">
        <f t="shared" si="88"/>
        <v>0.2024104600954294</v>
      </c>
      <c r="K98" s="41">
        <f t="shared" si="63"/>
        <v>0.79998119077826035</v>
      </c>
      <c r="L98" s="23">
        <f t="shared" si="75"/>
        <v>0.26849315068493151</v>
      </c>
      <c r="M98" s="28">
        <f t="shared" si="76"/>
        <v>31</v>
      </c>
      <c r="N98" s="29" t="s">
        <v>9</v>
      </c>
      <c r="O98" s="30">
        <v>1</v>
      </c>
      <c r="P98" s="31">
        <v>0</v>
      </c>
      <c r="Q98" s="1">
        <v>1</v>
      </c>
      <c r="R98" s="32">
        <v>2.945691586699887</v>
      </c>
      <c r="S98" s="32">
        <v>2.6369999999999969</v>
      </c>
      <c r="T98" s="32">
        <v>0.30869158669989005</v>
      </c>
    </row>
    <row r="99" spans="1:20" x14ac:dyDescent="0.35">
      <c r="A99" s="44">
        <v>43920</v>
      </c>
      <c r="B99" s="20">
        <f t="shared" si="73"/>
        <v>43909</v>
      </c>
      <c r="C99" s="35">
        <v>48.75</v>
      </c>
      <c r="D99" s="36">
        <v>60.65</v>
      </c>
      <c r="E99" s="36">
        <v>41.73</v>
      </c>
      <c r="F99" s="36">
        <v>18.376000000000001</v>
      </c>
      <c r="G99" s="36">
        <v>25.3</v>
      </c>
      <c r="H99" s="42">
        <v>0</v>
      </c>
      <c r="I99" s="40">
        <f t="shared" ref="I99:J99" si="89">20%+(I98-20%)*0.95</f>
        <v>0.20156132074363037</v>
      </c>
      <c r="J99" s="40">
        <f t="shared" si="89"/>
        <v>0.20228993709065793</v>
      </c>
      <c r="K99" s="41">
        <f t="shared" si="63"/>
        <v>0.79998307170043437</v>
      </c>
      <c r="L99" s="23">
        <f t="shared" si="75"/>
        <v>0.26849315068493151</v>
      </c>
      <c r="M99" s="28">
        <f t="shared" si="76"/>
        <v>31</v>
      </c>
      <c r="N99" s="29" t="s">
        <v>9</v>
      </c>
      <c r="O99" s="30">
        <v>1</v>
      </c>
      <c r="P99" s="31">
        <v>0</v>
      </c>
      <c r="Q99" s="1">
        <v>1</v>
      </c>
      <c r="R99" s="32">
        <v>2.945206896365903</v>
      </c>
      <c r="S99" s="32">
        <v>2.6369999999999969</v>
      </c>
      <c r="T99" s="32">
        <v>0.30820689636590615</v>
      </c>
    </row>
    <row r="100" spans="1:20" x14ac:dyDescent="0.35">
      <c r="A100" s="44">
        <v>43921</v>
      </c>
      <c r="B100" s="20">
        <f t="shared" si="73"/>
        <v>43910</v>
      </c>
      <c r="C100" s="35">
        <v>48.75</v>
      </c>
      <c r="D100" s="36">
        <v>60.65</v>
      </c>
      <c r="E100" s="36">
        <v>41.73</v>
      </c>
      <c r="F100" s="36">
        <v>18.376000000000001</v>
      </c>
      <c r="G100" s="36">
        <v>25.3</v>
      </c>
      <c r="H100" s="42">
        <v>0</v>
      </c>
      <c r="I100" s="40">
        <f t="shared" ref="I100:J100" si="90">20%+(I99-20%)*0.95</f>
        <v>0.20148325470644884</v>
      </c>
      <c r="J100" s="40">
        <f t="shared" si="90"/>
        <v>0.20217544023612502</v>
      </c>
      <c r="K100" s="41">
        <f t="shared" si="63"/>
        <v>0.79998476453039091</v>
      </c>
      <c r="L100" s="23">
        <f t="shared" si="75"/>
        <v>0.27123287671232876</v>
      </c>
      <c r="M100" s="28">
        <f t="shared" si="76"/>
        <v>31</v>
      </c>
      <c r="N100" s="29" t="s">
        <v>9</v>
      </c>
      <c r="O100" s="30">
        <v>1</v>
      </c>
      <c r="P100" s="31">
        <v>0</v>
      </c>
      <c r="Q100" s="1">
        <v>1</v>
      </c>
      <c r="R100" s="32">
        <v>2.9488444908616032</v>
      </c>
      <c r="S100" s="32">
        <v>2.6369999999999969</v>
      </c>
      <c r="T100" s="32">
        <v>0.31184449086160626</v>
      </c>
    </row>
    <row r="101" spans="1:20" x14ac:dyDescent="0.35">
      <c r="A101" s="44">
        <v>43922</v>
      </c>
      <c r="B101" s="20">
        <f t="shared" si="73"/>
        <v>43913</v>
      </c>
      <c r="C101" s="35">
        <v>48.75</v>
      </c>
      <c r="D101" s="36">
        <v>60.65</v>
      </c>
      <c r="E101" s="36">
        <v>41.73</v>
      </c>
      <c r="F101" s="36">
        <v>18.376000000000001</v>
      </c>
      <c r="G101" s="36">
        <v>25.3</v>
      </c>
      <c r="H101" s="42">
        <v>0</v>
      </c>
      <c r="I101" s="40">
        <f t="shared" ref="I101:J101" si="91">20%+(I100-20%)*0.95</f>
        <v>0.20140909197112641</v>
      </c>
      <c r="J101" s="40">
        <f t="shared" si="91"/>
        <v>0.20206666822431876</v>
      </c>
      <c r="K101" s="41">
        <f t="shared" si="63"/>
        <v>0.79998628807735184</v>
      </c>
      <c r="L101" s="23">
        <f t="shared" si="75"/>
        <v>0.27945205479452057</v>
      </c>
      <c r="M101" s="28">
        <f t="shared" si="76"/>
        <v>31</v>
      </c>
      <c r="N101" s="29" t="s">
        <v>9</v>
      </c>
      <c r="O101" s="30">
        <v>1</v>
      </c>
      <c r="P101" s="31">
        <v>0</v>
      </c>
      <c r="Q101" s="1">
        <v>1</v>
      </c>
      <c r="R101" s="32">
        <v>2.960656514112479</v>
      </c>
      <c r="S101" s="32">
        <v>2.6369999999999969</v>
      </c>
      <c r="T101" s="32">
        <v>0.32365651411248209</v>
      </c>
    </row>
    <row r="102" spans="1:20" x14ac:dyDescent="0.35">
      <c r="A102" s="44">
        <v>43923</v>
      </c>
      <c r="B102" s="20">
        <f t="shared" si="73"/>
        <v>43914</v>
      </c>
      <c r="C102" s="35">
        <v>48.75</v>
      </c>
      <c r="D102" s="36">
        <v>60.65</v>
      </c>
      <c r="E102" s="36">
        <v>41.73</v>
      </c>
      <c r="F102" s="36">
        <v>18.376000000000001</v>
      </c>
      <c r="G102" s="36">
        <v>25.3</v>
      </c>
      <c r="H102" s="42">
        <v>0</v>
      </c>
      <c r="I102" s="40">
        <f t="shared" ref="I102:J102" si="92">20%+(I101-20%)*0.95</f>
        <v>0.2013386373725701</v>
      </c>
      <c r="J102" s="40">
        <f t="shared" si="92"/>
        <v>0.20196333481310283</v>
      </c>
      <c r="K102" s="41">
        <f t="shared" si="63"/>
        <v>0.79998765926961668</v>
      </c>
      <c r="L102" s="23">
        <f t="shared" si="75"/>
        <v>0.28219178082191781</v>
      </c>
      <c r="M102" s="28">
        <f t="shared" si="76"/>
        <v>31</v>
      </c>
      <c r="N102" s="29" t="s">
        <v>9</v>
      </c>
      <c r="O102" s="30">
        <v>1</v>
      </c>
      <c r="P102" s="31">
        <v>0</v>
      </c>
      <c r="Q102" s="1">
        <v>1</v>
      </c>
      <c r="R102" s="32">
        <v>2.9642978717441864</v>
      </c>
      <c r="S102" s="32">
        <v>2.6369999999999969</v>
      </c>
      <c r="T102" s="32">
        <v>0.32729787174418945</v>
      </c>
    </row>
    <row r="103" spans="1:20" x14ac:dyDescent="0.35">
      <c r="A103" s="44">
        <v>43924</v>
      </c>
      <c r="B103" s="20">
        <f t="shared" si="73"/>
        <v>43915</v>
      </c>
      <c r="C103" s="35">
        <v>48.75</v>
      </c>
      <c r="D103" s="36">
        <v>60.65</v>
      </c>
      <c r="E103" s="36">
        <v>41.73</v>
      </c>
      <c r="F103" s="36">
        <v>18.376000000000001</v>
      </c>
      <c r="G103" s="36">
        <v>25.3</v>
      </c>
      <c r="H103" s="42">
        <v>0</v>
      </c>
      <c r="I103" s="40">
        <f t="shared" ref="I103:J103" si="93">20%+(I102-20%)*0.95</f>
        <v>0.20127170550394161</v>
      </c>
      <c r="J103" s="40">
        <f t="shared" si="93"/>
        <v>0.2018651680724477</v>
      </c>
      <c r="K103" s="41">
        <f t="shared" si="63"/>
        <v>0.79998889334265499</v>
      </c>
      <c r="L103" s="23">
        <f t="shared" si="75"/>
        <v>0.28493150684931506</v>
      </c>
      <c r="M103" s="28">
        <f t="shared" si="76"/>
        <v>31</v>
      </c>
      <c r="N103" s="29" t="s">
        <v>9</v>
      </c>
      <c r="O103" s="30">
        <v>1</v>
      </c>
      <c r="P103" s="31">
        <v>0</v>
      </c>
      <c r="Q103" s="1">
        <v>1</v>
      </c>
      <c r="R103" s="32">
        <v>2.9679490165547477</v>
      </c>
      <c r="S103" s="32">
        <v>2.6369999999999969</v>
      </c>
      <c r="T103" s="32">
        <v>0.33094901655475084</v>
      </c>
    </row>
    <row r="104" spans="1:20" x14ac:dyDescent="0.35">
      <c r="A104" s="44">
        <v>43925</v>
      </c>
      <c r="B104" s="20">
        <f t="shared" si="73"/>
        <v>43916</v>
      </c>
      <c r="C104" s="35">
        <v>48.75</v>
      </c>
      <c r="D104" s="36">
        <v>60.65</v>
      </c>
      <c r="E104" s="36">
        <v>41.73</v>
      </c>
      <c r="F104" s="36">
        <v>18.376000000000001</v>
      </c>
      <c r="G104" s="36">
        <v>25.3</v>
      </c>
      <c r="H104" s="42">
        <v>0</v>
      </c>
      <c r="I104" s="40">
        <f t="shared" ref="I104:J104" si="94">20%+(I103-20%)*0.95</f>
        <v>0.20120812022874451</v>
      </c>
      <c r="J104" s="40">
        <f t="shared" si="94"/>
        <v>0.2017719096688253</v>
      </c>
      <c r="K104" s="41">
        <f t="shared" si="63"/>
        <v>0.79999000400838949</v>
      </c>
      <c r="L104" s="23">
        <f t="shared" si="75"/>
        <v>0.28767123287671231</v>
      </c>
      <c r="M104" s="28">
        <f t="shared" si="76"/>
        <v>31</v>
      </c>
      <c r="N104" s="29" t="s">
        <v>9</v>
      </c>
      <c r="O104" s="30">
        <v>1</v>
      </c>
      <c r="P104" s="31">
        <v>0</v>
      </c>
      <c r="Q104" s="1">
        <v>1</v>
      </c>
      <c r="R104" s="32">
        <v>2.9716093223725082</v>
      </c>
      <c r="S104" s="32">
        <v>2.6369999999999969</v>
      </c>
      <c r="T104" s="32">
        <v>0.33460932237251129</v>
      </c>
    </row>
    <row r="105" spans="1:20" x14ac:dyDescent="0.35">
      <c r="A105" s="44">
        <v>43926</v>
      </c>
      <c r="B105" s="20">
        <f t="shared" si="73"/>
        <v>43916</v>
      </c>
      <c r="C105" s="35">
        <v>48.75</v>
      </c>
      <c r="D105" s="36">
        <v>60.65</v>
      </c>
      <c r="E105" s="36">
        <v>41.73</v>
      </c>
      <c r="F105" s="36">
        <v>18.376000000000001</v>
      </c>
      <c r="G105" s="36">
        <v>25.3</v>
      </c>
      <c r="H105" s="42">
        <v>0</v>
      </c>
      <c r="I105" s="40">
        <f t="shared" ref="I105:J105" si="95">20%+(I104-20%)*0.95</f>
        <v>0.20114771421730729</v>
      </c>
      <c r="J105" s="40">
        <f t="shared" si="95"/>
        <v>0.20168331418538404</v>
      </c>
      <c r="K105" s="41">
        <f t="shared" si="63"/>
        <v>0.7999910036075506</v>
      </c>
      <c r="L105" s="23">
        <f t="shared" si="75"/>
        <v>0.28767123287671231</v>
      </c>
      <c r="M105" s="28">
        <f t="shared" si="76"/>
        <v>31</v>
      </c>
      <c r="N105" s="29" t="s">
        <v>9</v>
      </c>
      <c r="O105" s="30">
        <v>1</v>
      </c>
      <c r="P105" s="31">
        <v>0</v>
      </c>
      <c r="Q105" s="1">
        <v>1</v>
      </c>
      <c r="R105" s="32">
        <v>2.9712325983230841</v>
      </c>
      <c r="S105" s="32">
        <v>2.6369999999999969</v>
      </c>
      <c r="T105" s="32">
        <v>0.33423259832308716</v>
      </c>
    </row>
    <row r="106" spans="1:20" x14ac:dyDescent="0.35">
      <c r="A106" s="44">
        <v>43927</v>
      </c>
      <c r="B106" s="20">
        <f t="shared" si="73"/>
        <v>43916</v>
      </c>
      <c r="C106" s="35">
        <v>48.75</v>
      </c>
      <c r="D106" s="36">
        <v>60.65</v>
      </c>
      <c r="E106" s="36">
        <v>41.73</v>
      </c>
      <c r="F106" s="36">
        <v>18.376000000000001</v>
      </c>
      <c r="G106" s="36">
        <v>25.3</v>
      </c>
      <c r="H106" s="42">
        <v>0</v>
      </c>
      <c r="I106" s="40">
        <f t="shared" ref="I106:J106" si="96">20%+(I105-20%)*0.95</f>
        <v>0.20109032850644193</v>
      </c>
      <c r="J106" s="40">
        <f t="shared" si="96"/>
        <v>0.20159914847611485</v>
      </c>
      <c r="K106" s="41">
        <f t="shared" si="63"/>
        <v>0.79999190324679559</v>
      </c>
      <c r="L106" s="23">
        <f t="shared" si="75"/>
        <v>0.28767123287671231</v>
      </c>
      <c r="M106" s="28">
        <f t="shared" si="76"/>
        <v>31</v>
      </c>
      <c r="N106" s="29" t="s">
        <v>9</v>
      </c>
      <c r="O106" s="30">
        <v>1</v>
      </c>
      <c r="P106" s="31">
        <v>0</v>
      </c>
      <c r="Q106" s="1">
        <v>1</v>
      </c>
      <c r="R106" s="32">
        <v>2.9708749452420875</v>
      </c>
      <c r="S106" s="32">
        <v>2.6369999999999969</v>
      </c>
      <c r="T106" s="32">
        <v>0.3338749452420906</v>
      </c>
    </row>
    <row r="107" spans="1:20" x14ac:dyDescent="0.35">
      <c r="A107" s="44">
        <v>43928</v>
      </c>
      <c r="B107" s="20">
        <f t="shared" si="73"/>
        <v>43917</v>
      </c>
      <c r="C107" s="35">
        <v>48.75</v>
      </c>
      <c r="D107" s="36">
        <v>60.65</v>
      </c>
      <c r="E107" s="36">
        <v>41.73</v>
      </c>
      <c r="F107" s="36">
        <v>18.376000000000001</v>
      </c>
      <c r="G107" s="36">
        <v>25.3</v>
      </c>
      <c r="H107" s="42">
        <v>0</v>
      </c>
      <c r="I107" s="40">
        <f t="shared" ref="I107:J107" si="97">20%+(I106-20%)*0.95</f>
        <v>0.20103581208111984</v>
      </c>
      <c r="J107" s="40">
        <f t="shared" si="97"/>
        <v>0.20151919105230912</v>
      </c>
      <c r="K107" s="41">
        <f t="shared" si="63"/>
        <v>0.79999271292211604</v>
      </c>
      <c r="L107" s="23">
        <f t="shared" si="75"/>
        <v>0.29041095890410956</v>
      </c>
      <c r="M107" s="28">
        <f t="shared" si="76"/>
        <v>31</v>
      </c>
      <c r="N107" s="29" t="s">
        <v>9</v>
      </c>
      <c r="O107" s="30">
        <v>1</v>
      </c>
      <c r="P107" s="31">
        <v>0</v>
      </c>
      <c r="Q107" s="1">
        <v>1</v>
      </c>
      <c r="R107" s="32">
        <v>2.9745752327242059</v>
      </c>
      <c r="S107" s="32">
        <v>2.6369999999999969</v>
      </c>
      <c r="T107" s="32">
        <v>0.33757523272420897</v>
      </c>
    </row>
    <row r="108" spans="1:20" x14ac:dyDescent="0.35">
      <c r="A108" s="44">
        <v>43929</v>
      </c>
      <c r="B108" s="20">
        <f t="shared" si="73"/>
        <v>43920</v>
      </c>
      <c r="C108" s="35">
        <v>48.75</v>
      </c>
      <c r="D108" s="36">
        <v>60.65</v>
      </c>
      <c r="E108" s="36">
        <v>41.73</v>
      </c>
      <c r="F108" s="36">
        <v>18.376000000000001</v>
      </c>
      <c r="G108" s="36">
        <v>25.3</v>
      </c>
      <c r="H108" s="42">
        <v>0</v>
      </c>
      <c r="I108" s="40">
        <f t="shared" ref="I108:J108" si="98">20%+(I107-20%)*0.95</f>
        <v>0.20098402147706385</v>
      </c>
      <c r="J108" s="40">
        <f t="shared" si="98"/>
        <v>0.20144323149969365</v>
      </c>
      <c r="K108" s="41">
        <f t="shared" si="63"/>
        <v>0.79999344162990449</v>
      </c>
      <c r="L108" s="23">
        <f t="shared" si="75"/>
        <v>0.29863013698630136</v>
      </c>
      <c r="M108" s="28">
        <f t="shared" si="76"/>
        <v>31</v>
      </c>
      <c r="N108" s="29" t="s">
        <v>9</v>
      </c>
      <c r="O108" s="30">
        <v>1</v>
      </c>
      <c r="P108" s="31">
        <v>0</v>
      </c>
      <c r="Q108" s="1">
        <v>1</v>
      </c>
      <c r="R108" s="32">
        <v>2.9863303903339755</v>
      </c>
      <c r="S108" s="32">
        <v>2.6369999999999969</v>
      </c>
      <c r="T108" s="32">
        <v>0.34933039033397861</v>
      </c>
    </row>
    <row r="109" spans="1:20" x14ac:dyDescent="0.35">
      <c r="A109" s="44">
        <v>43930</v>
      </c>
      <c r="B109" s="20">
        <f t="shared" si="73"/>
        <v>43921</v>
      </c>
      <c r="C109" s="35">
        <v>48.75</v>
      </c>
      <c r="D109" s="36">
        <v>60.65</v>
      </c>
      <c r="E109" s="36">
        <v>41.73</v>
      </c>
      <c r="F109" s="36">
        <v>18.376000000000001</v>
      </c>
      <c r="G109" s="36">
        <v>25.3</v>
      </c>
      <c r="H109" s="42">
        <v>0</v>
      </c>
      <c r="I109" s="40">
        <f t="shared" ref="I109:J109" si="99">20%+(I108-20%)*0.95</f>
        <v>0.20093482040321065</v>
      </c>
      <c r="J109" s="40">
        <f t="shared" si="99"/>
        <v>0.20137106992470896</v>
      </c>
      <c r="K109" s="41">
        <f t="shared" si="63"/>
        <v>0.79999409746691408</v>
      </c>
      <c r="L109" s="23">
        <f t="shared" si="75"/>
        <v>0.30136986301369861</v>
      </c>
      <c r="M109" s="28">
        <f t="shared" si="76"/>
        <v>31</v>
      </c>
      <c r="N109" s="29" t="s">
        <v>9</v>
      </c>
      <c r="O109" s="30">
        <v>1</v>
      </c>
      <c r="P109" s="31">
        <v>0</v>
      </c>
      <c r="Q109" s="1">
        <v>1</v>
      </c>
      <c r="R109" s="32">
        <v>2.9900278581999444</v>
      </c>
      <c r="S109" s="32">
        <v>2.6369999999999969</v>
      </c>
      <c r="T109" s="32">
        <v>0.35302785819994753</v>
      </c>
    </row>
    <row r="110" spans="1:20" x14ac:dyDescent="0.35">
      <c r="A110" s="44">
        <v>43931</v>
      </c>
      <c r="B110" s="20">
        <f t="shared" si="73"/>
        <v>43922</v>
      </c>
      <c r="C110" s="35">
        <v>48.75</v>
      </c>
      <c r="D110" s="36">
        <v>60.65</v>
      </c>
      <c r="E110" s="36">
        <v>41.73</v>
      </c>
      <c r="F110" s="36">
        <v>18.376000000000001</v>
      </c>
      <c r="G110" s="36">
        <v>25.3</v>
      </c>
      <c r="H110" s="42">
        <v>0</v>
      </c>
      <c r="I110" s="40">
        <f t="shared" ref="I110:J110" si="100">20%+(I109-20%)*0.95</f>
        <v>0.20088807938305012</v>
      </c>
      <c r="J110" s="40">
        <f t="shared" si="100"/>
        <v>0.20130251642847352</v>
      </c>
      <c r="K110" s="41">
        <f t="shared" si="63"/>
        <v>0.79999468772022264</v>
      </c>
      <c r="L110" s="23">
        <f t="shared" si="75"/>
        <v>0.30410958904109592</v>
      </c>
      <c r="M110" s="28">
        <f t="shared" si="76"/>
        <v>30</v>
      </c>
      <c r="N110" s="29" t="s">
        <v>9</v>
      </c>
      <c r="O110" s="30">
        <v>1</v>
      </c>
      <c r="P110" s="31">
        <v>0</v>
      </c>
      <c r="Q110" s="1">
        <v>1</v>
      </c>
      <c r="R110" s="32">
        <v>2.9937311714233346</v>
      </c>
      <c r="S110" s="32">
        <v>2.6369999999999969</v>
      </c>
      <c r="T110" s="32">
        <v>0.35673117142333766</v>
      </c>
    </row>
    <row r="111" spans="1:20" x14ac:dyDescent="0.35">
      <c r="A111" s="44">
        <v>43932</v>
      </c>
      <c r="B111" s="20">
        <f t="shared" si="73"/>
        <v>43923</v>
      </c>
      <c r="C111" s="35">
        <v>48.75</v>
      </c>
      <c r="D111" s="36">
        <v>60.65</v>
      </c>
      <c r="E111" s="36">
        <v>41.73</v>
      </c>
      <c r="F111" s="36">
        <v>18.376000000000001</v>
      </c>
      <c r="G111" s="36">
        <v>25.3</v>
      </c>
      <c r="H111" s="42">
        <v>0</v>
      </c>
      <c r="I111" s="40">
        <f t="shared" ref="I111:J111" si="101">20%+(I110-20%)*0.95</f>
        <v>0.20084367541389761</v>
      </c>
      <c r="J111" s="40">
        <f t="shared" si="101"/>
        <v>0.20123739060704984</v>
      </c>
      <c r="K111" s="41">
        <f t="shared" si="63"/>
        <v>0.79999521894820036</v>
      </c>
      <c r="L111" s="23">
        <f t="shared" si="75"/>
        <v>0.30684931506849317</v>
      </c>
      <c r="M111" s="28">
        <f t="shared" si="76"/>
        <v>30</v>
      </c>
      <c r="N111" s="29" t="s">
        <v>9</v>
      </c>
      <c r="O111" s="30">
        <v>1</v>
      </c>
      <c r="P111" s="31">
        <v>0</v>
      </c>
      <c r="Q111" s="1">
        <v>1</v>
      </c>
      <c r="R111" s="32">
        <v>2.9974398454701117</v>
      </c>
      <c r="S111" s="32">
        <v>2.6369999999999969</v>
      </c>
      <c r="T111" s="32">
        <v>0.36043984547011476</v>
      </c>
    </row>
    <row r="112" spans="1:20" x14ac:dyDescent="0.35">
      <c r="A112" s="44">
        <v>43933</v>
      </c>
      <c r="B112" s="20">
        <f t="shared" si="73"/>
        <v>43923</v>
      </c>
      <c r="C112" s="35">
        <v>48.75</v>
      </c>
      <c r="D112" s="36">
        <v>60.65</v>
      </c>
      <c r="E112" s="36">
        <v>41.73</v>
      </c>
      <c r="F112" s="36">
        <v>18.376000000000001</v>
      </c>
      <c r="G112" s="36">
        <v>25.3</v>
      </c>
      <c r="H112" s="42">
        <v>0</v>
      </c>
      <c r="I112" s="40">
        <f t="shared" ref="I112:J112" si="102">20%+(I111-20%)*0.95</f>
        <v>0.20080149164320274</v>
      </c>
      <c r="J112" s="40">
        <f t="shared" si="102"/>
        <v>0.20117552107669734</v>
      </c>
      <c r="K112" s="41">
        <f t="shared" si="63"/>
        <v>0.79999569705338036</v>
      </c>
      <c r="L112" s="23">
        <f t="shared" si="75"/>
        <v>0.30684931506849317</v>
      </c>
      <c r="M112" s="28">
        <f t="shared" si="76"/>
        <v>30</v>
      </c>
      <c r="N112" s="29" t="s">
        <v>9</v>
      </c>
      <c r="O112" s="30">
        <v>1</v>
      </c>
      <c r="P112" s="31">
        <v>0</v>
      </c>
      <c r="Q112" s="1">
        <v>1</v>
      </c>
      <c r="R112" s="32">
        <v>2.9971629080308304</v>
      </c>
      <c r="S112" s="32">
        <v>2.6369999999999969</v>
      </c>
      <c r="T112" s="32">
        <v>0.36016290803083351</v>
      </c>
    </row>
    <row r="113" spans="1:20" x14ac:dyDescent="0.35">
      <c r="A113" s="44">
        <v>43934</v>
      </c>
      <c r="B113" s="20">
        <f t="shared" si="73"/>
        <v>43923</v>
      </c>
      <c r="C113" s="35">
        <v>48.75</v>
      </c>
      <c r="D113" s="36">
        <v>60.65</v>
      </c>
      <c r="E113" s="36">
        <v>41.73</v>
      </c>
      <c r="F113" s="36">
        <v>18.376000000000001</v>
      </c>
      <c r="G113" s="36">
        <v>25.3</v>
      </c>
      <c r="H113" s="42">
        <v>0</v>
      </c>
      <c r="I113" s="40">
        <f t="shared" ref="I113:J113" si="103">20%+(I112-20%)*0.95</f>
        <v>0.20076141706104261</v>
      </c>
      <c r="J113" s="40">
        <f t="shared" si="103"/>
        <v>0.20111674502286248</v>
      </c>
      <c r="K113" s="41">
        <f t="shared" si="63"/>
        <v>0.79999612734804237</v>
      </c>
      <c r="L113" s="23">
        <f t="shared" si="75"/>
        <v>0.30684931506849317</v>
      </c>
      <c r="M113" s="28">
        <f t="shared" si="76"/>
        <v>30</v>
      </c>
      <c r="N113" s="29" t="s">
        <v>9</v>
      </c>
      <c r="O113" s="30">
        <v>1</v>
      </c>
      <c r="P113" s="31">
        <v>0</v>
      </c>
      <c r="Q113" s="1">
        <v>1</v>
      </c>
      <c r="R113" s="32">
        <v>2.9968999337175291</v>
      </c>
      <c r="S113" s="32">
        <v>2.6369999999999969</v>
      </c>
      <c r="T113" s="32">
        <v>0.35989993371753215</v>
      </c>
    </row>
    <row r="114" spans="1:20" x14ac:dyDescent="0.35">
      <c r="A114" s="44">
        <v>43935</v>
      </c>
      <c r="B114" s="20">
        <f t="shared" si="73"/>
        <v>43924</v>
      </c>
      <c r="C114" s="35">
        <v>48.75</v>
      </c>
      <c r="D114" s="36">
        <v>60.65</v>
      </c>
      <c r="E114" s="36">
        <v>41.73</v>
      </c>
      <c r="F114" s="36">
        <v>18.376000000000001</v>
      </c>
      <c r="G114" s="36">
        <v>25.3</v>
      </c>
      <c r="H114" s="42">
        <v>0</v>
      </c>
      <c r="I114" s="40">
        <f t="shared" ref="I114:J114" si="104">20%+(I113-20%)*0.95</f>
        <v>0.20072334620799048</v>
      </c>
      <c r="J114" s="40">
        <f t="shared" si="104"/>
        <v>0.20106090777171937</v>
      </c>
      <c r="K114" s="41">
        <f t="shared" si="63"/>
        <v>0.79999651461323817</v>
      </c>
      <c r="L114" s="23">
        <f t="shared" si="75"/>
        <v>0.30958904109589042</v>
      </c>
      <c r="M114" s="28">
        <f t="shared" si="76"/>
        <v>30</v>
      </c>
      <c r="N114" s="29" t="s">
        <v>9</v>
      </c>
      <c r="O114" s="30">
        <v>1</v>
      </c>
      <c r="P114" s="31">
        <v>0</v>
      </c>
      <c r="Q114" s="1">
        <v>1</v>
      </c>
      <c r="R114" s="32">
        <v>3.0006368580636291</v>
      </c>
      <c r="S114" s="32">
        <v>2.6369999999999969</v>
      </c>
      <c r="T114" s="32">
        <v>0.36363685806363222</v>
      </c>
    </row>
    <row r="115" spans="1:20" x14ac:dyDescent="0.35">
      <c r="A115" s="44">
        <v>43936</v>
      </c>
      <c r="B115" s="20">
        <f t="shared" si="73"/>
        <v>43927</v>
      </c>
      <c r="C115" s="35">
        <v>48.75</v>
      </c>
      <c r="D115" s="36">
        <v>60.65</v>
      </c>
      <c r="E115" s="36">
        <v>41.73</v>
      </c>
      <c r="F115" s="36">
        <v>18.376000000000001</v>
      </c>
      <c r="G115" s="36">
        <v>25.3</v>
      </c>
      <c r="H115" s="42">
        <v>0</v>
      </c>
      <c r="I115" s="40">
        <f t="shared" ref="I115:J115" si="105">20%+(I114-20%)*0.95</f>
        <v>0.20068717889759097</v>
      </c>
      <c r="J115" s="40">
        <f t="shared" si="105"/>
        <v>0.2010078623831334</v>
      </c>
      <c r="K115" s="41">
        <f t="shared" si="63"/>
        <v>0.79999686315191432</v>
      </c>
      <c r="L115" s="23">
        <f t="shared" si="75"/>
        <v>0.31780821917808222</v>
      </c>
      <c r="M115" s="28">
        <f t="shared" si="76"/>
        <v>30</v>
      </c>
      <c r="N115" s="29" t="s">
        <v>9</v>
      </c>
      <c r="O115" s="30">
        <v>1</v>
      </c>
      <c r="P115" s="31">
        <v>0</v>
      </c>
      <c r="Q115" s="1">
        <v>1</v>
      </c>
      <c r="R115" s="32">
        <v>3.0123190761194678</v>
      </c>
      <c r="S115" s="32">
        <v>2.6369999999999969</v>
      </c>
      <c r="T115" s="32">
        <v>0.37531907611947091</v>
      </c>
    </row>
    <row r="116" spans="1:20" x14ac:dyDescent="0.35">
      <c r="A116" s="44">
        <v>43937</v>
      </c>
      <c r="B116" s="20">
        <f t="shared" si="73"/>
        <v>43928</v>
      </c>
      <c r="C116" s="35">
        <v>48.75</v>
      </c>
      <c r="D116" s="36">
        <v>60.65</v>
      </c>
      <c r="E116" s="36">
        <v>41.73</v>
      </c>
      <c r="F116" s="36">
        <v>18.376000000000001</v>
      </c>
      <c r="G116" s="36">
        <v>25.3</v>
      </c>
      <c r="H116" s="42">
        <v>0</v>
      </c>
      <c r="I116" s="40">
        <f t="shared" ref="I116:J116" si="106">20%+(I115-20%)*0.95</f>
        <v>0.20065281995271142</v>
      </c>
      <c r="J116" s="40">
        <f t="shared" si="106"/>
        <v>0.20095746926397673</v>
      </c>
      <c r="K116" s="41">
        <f t="shared" si="63"/>
        <v>0.79999717683672289</v>
      </c>
      <c r="L116" s="23">
        <f t="shared" si="75"/>
        <v>0.32054794520547947</v>
      </c>
      <c r="M116" s="28">
        <f t="shared" si="76"/>
        <v>30</v>
      </c>
      <c r="N116" s="29" t="s">
        <v>9</v>
      </c>
      <c r="O116" s="30">
        <v>1</v>
      </c>
      <c r="P116" s="31">
        <v>0</v>
      </c>
      <c r="Q116" s="1">
        <v>1</v>
      </c>
      <c r="R116" s="32">
        <v>3.0160478957906491</v>
      </c>
      <c r="S116" s="32">
        <v>2.6369999999999969</v>
      </c>
      <c r="T116" s="32">
        <v>0.37904789579065223</v>
      </c>
    </row>
    <row r="117" spans="1:20" x14ac:dyDescent="0.35">
      <c r="A117" s="44">
        <v>43938</v>
      </c>
      <c r="B117" s="20">
        <f t="shared" si="73"/>
        <v>43929</v>
      </c>
      <c r="C117" s="35">
        <v>48.75</v>
      </c>
      <c r="D117" s="36">
        <v>60.65</v>
      </c>
      <c r="E117" s="36">
        <v>41.73</v>
      </c>
      <c r="F117" s="36">
        <v>18.376000000000001</v>
      </c>
      <c r="G117" s="36">
        <v>25.3</v>
      </c>
      <c r="H117" s="42">
        <v>0</v>
      </c>
      <c r="I117" s="40">
        <f t="shared" ref="I117:J117" si="107">20%+(I116-20%)*0.95</f>
        <v>0.20062017895507586</v>
      </c>
      <c r="J117" s="40">
        <f t="shared" si="107"/>
        <v>0.20090959580077788</v>
      </c>
      <c r="K117" s="41">
        <f t="shared" si="63"/>
        <v>0.79999745915305065</v>
      </c>
      <c r="L117" s="23">
        <f t="shared" si="75"/>
        <v>0.32328767123287672</v>
      </c>
      <c r="M117" s="28">
        <f t="shared" si="76"/>
        <v>30</v>
      </c>
      <c r="N117" s="29" t="s">
        <v>9</v>
      </c>
      <c r="O117" s="30">
        <v>1</v>
      </c>
      <c r="P117" s="31">
        <v>0</v>
      </c>
      <c r="Q117" s="1">
        <v>1</v>
      </c>
      <c r="R117" s="32">
        <v>3.0197795274924744</v>
      </c>
      <c r="S117" s="32">
        <v>2.6369999999999969</v>
      </c>
      <c r="T117" s="32">
        <v>0.38277952749247746</v>
      </c>
    </row>
    <row r="118" spans="1:20" x14ac:dyDescent="0.35">
      <c r="A118" s="44">
        <v>43939</v>
      </c>
      <c r="B118" s="20">
        <f t="shared" si="73"/>
        <v>43930</v>
      </c>
      <c r="C118" s="35">
        <v>48.75</v>
      </c>
      <c r="D118" s="36">
        <v>60.65</v>
      </c>
      <c r="E118" s="36">
        <v>41.73</v>
      </c>
      <c r="F118" s="36">
        <v>18.376000000000001</v>
      </c>
      <c r="G118" s="36">
        <v>25.3</v>
      </c>
      <c r="H118" s="42">
        <v>0</v>
      </c>
      <c r="I118" s="40">
        <f t="shared" ref="I118:J118" si="108">20%+(I117-20%)*0.95</f>
        <v>0.20058917000732207</v>
      </c>
      <c r="J118" s="40">
        <f t="shared" si="108"/>
        <v>0.200864116010739</v>
      </c>
      <c r="K118" s="41">
        <f t="shared" si="63"/>
        <v>0.7999977132377456</v>
      </c>
      <c r="L118" s="23">
        <f t="shared" si="75"/>
        <v>0.32602739726027397</v>
      </c>
      <c r="M118" s="28">
        <f t="shared" si="76"/>
        <v>30</v>
      </c>
      <c r="N118" s="29" t="s">
        <v>9</v>
      </c>
      <c r="O118" s="30">
        <v>1</v>
      </c>
      <c r="P118" s="31">
        <v>0</v>
      </c>
      <c r="Q118" s="1">
        <v>1</v>
      </c>
      <c r="R118" s="32">
        <v>3.0235136013870374</v>
      </c>
      <c r="S118" s="32">
        <v>2.6369999999999969</v>
      </c>
      <c r="T118" s="32">
        <v>0.3865136013870405</v>
      </c>
    </row>
    <row r="119" spans="1:20" x14ac:dyDescent="0.35">
      <c r="A119" s="44">
        <v>43940</v>
      </c>
      <c r="B119" s="20">
        <f t="shared" si="73"/>
        <v>43930</v>
      </c>
      <c r="C119" s="35">
        <v>48.75</v>
      </c>
      <c r="D119" s="36">
        <v>60.65</v>
      </c>
      <c r="E119" s="36">
        <v>41.73</v>
      </c>
      <c r="F119" s="36">
        <v>18.376000000000001</v>
      </c>
      <c r="G119" s="36">
        <v>25.3</v>
      </c>
      <c r="H119" s="42">
        <v>0</v>
      </c>
      <c r="I119" s="40">
        <f t="shared" ref="I119:J119" si="109">20%+(I118-20%)*0.95</f>
        <v>0.20055971150695598</v>
      </c>
      <c r="J119" s="40">
        <f t="shared" si="109"/>
        <v>0.20082091021020204</v>
      </c>
      <c r="K119" s="41">
        <f t="shared" si="63"/>
        <v>0.799997941913971</v>
      </c>
      <c r="L119" s="23">
        <f t="shared" si="75"/>
        <v>0.32602739726027397</v>
      </c>
      <c r="M119" s="28">
        <f t="shared" si="76"/>
        <v>30</v>
      </c>
      <c r="N119" s="29" t="s">
        <v>9</v>
      </c>
      <c r="O119" s="30">
        <v>1</v>
      </c>
      <c r="P119" s="31">
        <v>0</v>
      </c>
      <c r="Q119" s="1">
        <v>1</v>
      </c>
      <c r="R119" s="32">
        <v>3.0233106904744247</v>
      </c>
      <c r="S119" s="32">
        <v>2.6369999999999969</v>
      </c>
      <c r="T119" s="32">
        <v>0.38631069047442779</v>
      </c>
    </row>
    <row r="120" spans="1:20" x14ac:dyDescent="0.35">
      <c r="A120" s="44">
        <v>43941</v>
      </c>
      <c r="B120" s="20">
        <f t="shared" si="73"/>
        <v>43930</v>
      </c>
      <c r="C120" s="35">
        <v>48.75</v>
      </c>
      <c r="D120" s="36">
        <v>60.65</v>
      </c>
      <c r="E120" s="36">
        <v>41.73</v>
      </c>
      <c r="F120" s="36">
        <v>18.376000000000001</v>
      </c>
      <c r="G120" s="36">
        <v>25.3</v>
      </c>
      <c r="H120" s="42">
        <v>0</v>
      </c>
      <c r="I120" s="40">
        <f t="shared" ref="I120:J120" si="110">20%+(I119-20%)*0.95</f>
        <v>0.20053172593160817</v>
      </c>
      <c r="J120" s="40">
        <f t="shared" si="110"/>
        <v>0.20077986469969195</v>
      </c>
      <c r="K120" s="41">
        <f t="shared" si="63"/>
        <v>0.79999814772257394</v>
      </c>
      <c r="L120" s="23">
        <f t="shared" si="75"/>
        <v>0.32602739726027397</v>
      </c>
      <c r="M120" s="28">
        <f t="shared" si="76"/>
        <v>30</v>
      </c>
      <c r="N120" s="29" t="s">
        <v>9</v>
      </c>
      <c r="O120" s="30">
        <v>1</v>
      </c>
      <c r="P120" s="31">
        <v>0</v>
      </c>
      <c r="Q120" s="1">
        <v>1</v>
      </c>
      <c r="R120" s="32">
        <v>3.0231179825744121</v>
      </c>
      <c r="S120" s="32">
        <v>2.6369999999999969</v>
      </c>
      <c r="T120" s="32">
        <v>0.38611798257441521</v>
      </c>
    </row>
    <row r="121" spans="1:20" x14ac:dyDescent="0.35">
      <c r="A121" s="44">
        <v>43942</v>
      </c>
      <c r="B121" s="20">
        <f t="shared" si="73"/>
        <v>43931</v>
      </c>
      <c r="C121" s="35">
        <v>48.75</v>
      </c>
      <c r="D121" s="36">
        <v>60.65</v>
      </c>
      <c r="E121" s="36">
        <v>41.73</v>
      </c>
      <c r="F121" s="36">
        <v>18.376000000000001</v>
      </c>
      <c r="G121" s="36">
        <v>25.3</v>
      </c>
      <c r="H121" s="42">
        <v>0</v>
      </c>
      <c r="I121" s="40">
        <f t="shared" ref="I121:J121" si="111">20%+(I120-20%)*0.95</f>
        <v>0.20050513963502775</v>
      </c>
      <c r="J121" s="40">
        <f t="shared" si="111"/>
        <v>0.20074087146470734</v>
      </c>
      <c r="K121" s="41">
        <f t="shared" si="63"/>
        <v>0.79999833295031653</v>
      </c>
      <c r="L121" s="23">
        <f t="shared" si="75"/>
        <v>0.32876712328767121</v>
      </c>
      <c r="M121" s="28">
        <f t="shared" si="76"/>
        <v>30</v>
      </c>
      <c r="N121" s="29" t="s">
        <v>9</v>
      </c>
      <c r="O121" s="30">
        <v>1</v>
      </c>
      <c r="P121" s="31">
        <v>0</v>
      </c>
      <c r="Q121" s="1">
        <v>1</v>
      </c>
      <c r="R121" s="32">
        <v>3.0268714310639595</v>
      </c>
      <c r="S121" s="32">
        <v>2.6369999999999969</v>
      </c>
      <c r="T121" s="32">
        <v>0.3898714310639626</v>
      </c>
    </row>
    <row r="122" spans="1:20" x14ac:dyDescent="0.35">
      <c r="A122" s="44">
        <v>43943</v>
      </c>
      <c r="B122" s="20">
        <f t="shared" si="73"/>
        <v>43934</v>
      </c>
      <c r="C122" s="35">
        <v>48.75</v>
      </c>
      <c r="D122" s="36">
        <v>60.65</v>
      </c>
      <c r="E122" s="36">
        <v>41.73</v>
      </c>
      <c r="F122" s="36">
        <v>18.376000000000001</v>
      </c>
      <c r="G122" s="36">
        <v>25.3</v>
      </c>
      <c r="H122" s="42">
        <v>0</v>
      </c>
      <c r="I122" s="40">
        <f t="shared" ref="I122:J122" si="112">20%+(I121-20%)*0.95</f>
        <v>0.20047988265327638</v>
      </c>
      <c r="J122" s="40">
        <f t="shared" si="112"/>
        <v>0.20070382789147198</v>
      </c>
      <c r="K122" s="41">
        <f t="shared" si="63"/>
        <v>0.79999849965528491</v>
      </c>
      <c r="L122" s="23">
        <f t="shared" si="75"/>
        <v>0.33698630136986302</v>
      </c>
      <c r="M122" s="28">
        <f t="shared" si="76"/>
        <v>30</v>
      </c>
      <c r="N122" s="29" t="s">
        <v>9</v>
      </c>
      <c r="O122" s="30">
        <v>1</v>
      </c>
      <c r="P122" s="31">
        <v>0</v>
      </c>
      <c r="Q122" s="1">
        <v>1</v>
      </c>
      <c r="R122" s="32">
        <v>3.0384674166647869</v>
      </c>
      <c r="S122" s="32">
        <v>2.6369999999999969</v>
      </c>
      <c r="T122" s="32">
        <v>0.40146741666479002</v>
      </c>
    </row>
    <row r="123" spans="1:20" x14ac:dyDescent="0.35">
      <c r="A123" s="44">
        <v>43944</v>
      </c>
      <c r="B123" s="20">
        <f t="shared" si="73"/>
        <v>43935</v>
      </c>
      <c r="C123" s="35">
        <v>48.75</v>
      </c>
      <c r="D123" s="36">
        <v>60.65</v>
      </c>
      <c r="E123" s="36">
        <v>41.73</v>
      </c>
      <c r="F123" s="36">
        <v>18.376000000000001</v>
      </c>
      <c r="G123" s="36">
        <v>25.3</v>
      </c>
      <c r="H123" s="42">
        <v>0</v>
      </c>
      <c r="I123" s="40">
        <f t="shared" ref="I123:J123" si="113">20%+(I122-20%)*0.95</f>
        <v>0.20045588852061255</v>
      </c>
      <c r="J123" s="40">
        <f t="shared" si="113"/>
        <v>0.20066863649689839</v>
      </c>
      <c r="K123" s="41">
        <f t="shared" si="63"/>
        <v>0.79999864968975642</v>
      </c>
      <c r="L123" s="23">
        <f t="shared" si="75"/>
        <v>0.33972602739726027</v>
      </c>
      <c r="M123" s="28">
        <f t="shared" si="76"/>
        <v>30</v>
      </c>
      <c r="N123" s="29" t="s">
        <v>9</v>
      </c>
      <c r="O123" s="30">
        <v>1</v>
      </c>
      <c r="P123" s="31">
        <v>0</v>
      </c>
      <c r="Q123" s="1">
        <v>1</v>
      </c>
      <c r="R123" s="32">
        <v>3.0422086421638284</v>
      </c>
      <c r="S123" s="32">
        <v>2.6369999999999969</v>
      </c>
      <c r="T123" s="32">
        <v>0.40520864216383146</v>
      </c>
    </row>
    <row r="124" spans="1:20" x14ac:dyDescent="0.35">
      <c r="A124" s="44">
        <v>43945</v>
      </c>
      <c r="B124" s="20">
        <f t="shared" si="73"/>
        <v>43936</v>
      </c>
      <c r="C124" s="35">
        <v>48.75</v>
      </c>
      <c r="D124" s="36">
        <v>60.65</v>
      </c>
      <c r="E124" s="36">
        <v>41.73</v>
      </c>
      <c r="F124" s="36">
        <v>18.376000000000001</v>
      </c>
      <c r="G124" s="36">
        <v>25.3</v>
      </c>
      <c r="H124" s="42">
        <v>0</v>
      </c>
      <c r="I124" s="40">
        <f t="shared" ref="I124:J124" si="114">20%+(I123-20%)*0.95</f>
        <v>0.20043309409458193</v>
      </c>
      <c r="J124" s="40">
        <f t="shared" si="114"/>
        <v>0.20063520467205348</v>
      </c>
      <c r="K124" s="41">
        <f t="shared" si="63"/>
        <v>0.79999878472078079</v>
      </c>
      <c r="L124" s="23">
        <f t="shared" si="75"/>
        <v>0.34246575342465752</v>
      </c>
      <c r="M124" s="28">
        <f t="shared" si="76"/>
        <v>30</v>
      </c>
      <c r="N124" s="29" t="s">
        <v>9</v>
      </c>
      <c r="O124" s="30">
        <v>1</v>
      </c>
      <c r="P124" s="31">
        <v>0</v>
      </c>
      <c r="Q124" s="1">
        <v>1</v>
      </c>
      <c r="R124" s="32">
        <v>3.0459503775237664</v>
      </c>
      <c r="S124" s="32">
        <v>2.6369999999999969</v>
      </c>
      <c r="T124" s="32">
        <v>0.4089503775237695</v>
      </c>
    </row>
    <row r="125" spans="1:20" x14ac:dyDescent="0.35">
      <c r="A125" s="44">
        <v>43946</v>
      </c>
      <c r="B125" s="20">
        <f t="shared" si="73"/>
        <v>43937</v>
      </c>
      <c r="C125" s="35">
        <v>48.75</v>
      </c>
      <c r="D125" s="36">
        <v>60.65</v>
      </c>
      <c r="E125" s="36">
        <v>41.73</v>
      </c>
      <c r="F125" s="36">
        <v>18.376000000000001</v>
      </c>
      <c r="G125" s="36">
        <v>25.3</v>
      </c>
      <c r="H125" s="42">
        <v>0</v>
      </c>
      <c r="I125" s="40">
        <f t="shared" ref="I125:J125" si="115">20%+(I124-20%)*0.95</f>
        <v>0.20041143938985284</v>
      </c>
      <c r="J125" s="40">
        <f t="shared" si="115"/>
        <v>0.2006034444384508</v>
      </c>
      <c r="K125" s="41">
        <f t="shared" si="63"/>
        <v>0.79999890624870273</v>
      </c>
      <c r="L125" s="23">
        <f t="shared" si="75"/>
        <v>0.34520547945205482</v>
      </c>
      <c r="M125" s="28">
        <f t="shared" si="76"/>
        <v>30</v>
      </c>
      <c r="N125" s="29" t="s">
        <v>9</v>
      </c>
      <c r="O125" s="30">
        <v>1</v>
      </c>
      <c r="P125" s="31">
        <v>0</v>
      </c>
      <c r="Q125" s="1">
        <v>1</v>
      </c>
      <c r="R125" s="32">
        <v>3.0496923444090456</v>
      </c>
      <c r="S125" s="32">
        <v>2.6369999999999969</v>
      </c>
      <c r="T125" s="32">
        <v>0.41269234440904867</v>
      </c>
    </row>
    <row r="126" spans="1:20" x14ac:dyDescent="0.35">
      <c r="A126" s="44">
        <v>43947</v>
      </c>
      <c r="B126" s="20">
        <f t="shared" si="73"/>
        <v>43937</v>
      </c>
      <c r="C126" s="35">
        <v>48.75</v>
      </c>
      <c r="D126" s="36">
        <v>60.65</v>
      </c>
      <c r="E126" s="36">
        <v>41.73</v>
      </c>
      <c r="F126" s="36">
        <v>18.376000000000001</v>
      </c>
      <c r="G126" s="36">
        <v>25.3</v>
      </c>
      <c r="H126" s="42">
        <v>0</v>
      </c>
      <c r="I126" s="40">
        <f t="shared" ref="I126:J126" si="116">20%+(I125-20%)*0.95</f>
        <v>0.20039086742036019</v>
      </c>
      <c r="J126" s="40">
        <f t="shared" si="116"/>
        <v>0.20057327221652826</v>
      </c>
      <c r="K126" s="41">
        <f t="shared" si="63"/>
        <v>0.79999901562383247</v>
      </c>
      <c r="L126" s="23">
        <f t="shared" si="75"/>
        <v>0.34520547945205482</v>
      </c>
      <c r="M126" s="28">
        <f t="shared" si="76"/>
        <v>30</v>
      </c>
      <c r="N126" s="29" t="s">
        <v>9</v>
      </c>
      <c r="O126" s="30">
        <v>1</v>
      </c>
      <c r="P126" s="31">
        <v>0</v>
      </c>
      <c r="Q126" s="1">
        <v>1</v>
      </c>
      <c r="R126" s="32">
        <v>3.0495441309031861</v>
      </c>
      <c r="S126" s="32">
        <v>2.6369999999999969</v>
      </c>
      <c r="T126" s="32">
        <v>0.4125441309031892</v>
      </c>
    </row>
    <row r="127" spans="1:20" x14ac:dyDescent="0.35">
      <c r="A127" s="44">
        <v>43948</v>
      </c>
      <c r="B127" s="20">
        <f t="shared" si="73"/>
        <v>43937</v>
      </c>
      <c r="C127" s="35">
        <v>48.75</v>
      </c>
      <c r="D127" s="36">
        <v>60.65</v>
      </c>
      <c r="E127" s="36">
        <v>41.73</v>
      </c>
      <c r="F127" s="36">
        <v>18.376000000000001</v>
      </c>
      <c r="G127" s="36">
        <v>25.3</v>
      </c>
      <c r="H127" s="42">
        <v>0</v>
      </c>
      <c r="I127" s="40">
        <f t="shared" ref="I127:J127" si="117">20%+(I126-20%)*0.95</f>
        <v>0.20037132404934219</v>
      </c>
      <c r="J127" s="40">
        <f t="shared" si="117"/>
        <v>0.20054460860570186</v>
      </c>
      <c r="K127" s="41">
        <f t="shared" si="63"/>
        <v>0.79999911406144919</v>
      </c>
      <c r="L127" s="23">
        <f t="shared" si="75"/>
        <v>0.34520547945205482</v>
      </c>
      <c r="M127" s="28">
        <f t="shared" si="76"/>
        <v>30</v>
      </c>
      <c r="N127" s="29" t="s">
        <v>9</v>
      </c>
      <c r="O127" s="30">
        <v>1</v>
      </c>
      <c r="P127" s="31">
        <v>0</v>
      </c>
      <c r="Q127" s="1">
        <v>1</v>
      </c>
      <c r="R127" s="32">
        <v>3.0494033564348371</v>
      </c>
      <c r="S127" s="32">
        <v>2.6369999999999969</v>
      </c>
      <c r="T127" s="32">
        <v>0.41240335643484016</v>
      </c>
    </row>
    <row r="128" spans="1:20" x14ac:dyDescent="0.35">
      <c r="A128" s="44">
        <v>43949</v>
      </c>
      <c r="B128" s="20">
        <f t="shared" si="73"/>
        <v>43938</v>
      </c>
      <c r="C128" s="35">
        <v>48.75</v>
      </c>
      <c r="D128" s="36">
        <v>60.65</v>
      </c>
      <c r="E128" s="36">
        <v>41.73</v>
      </c>
      <c r="F128" s="36">
        <v>18.376000000000001</v>
      </c>
      <c r="G128" s="36">
        <v>25.3</v>
      </c>
      <c r="H128" s="42">
        <v>0</v>
      </c>
      <c r="I128" s="40">
        <f t="shared" ref="I128:J128" si="118">20%+(I127-20%)*0.95</f>
        <v>0.20035275784687509</v>
      </c>
      <c r="J128" s="40">
        <f t="shared" si="118"/>
        <v>0.20051737817541676</v>
      </c>
      <c r="K128" s="41">
        <f t="shared" si="63"/>
        <v>0.79999920265530422</v>
      </c>
      <c r="L128" s="23">
        <f t="shared" si="75"/>
        <v>0.34794520547945207</v>
      </c>
      <c r="M128" s="28">
        <f t="shared" si="76"/>
        <v>30</v>
      </c>
      <c r="N128" s="29" t="s">
        <v>9</v>
      </c>
      <c r="O128" s="30">
        <v>1</v>
      </c>
      <c r="P128" s="31">
        <v>0</v>
      </c>
      <c r="Q128" s="1">
        <v>1</v>
      </c>
      <c r="R128" s="32">
        <v>3.0531580334552544</v>
      </c>
      <c r="S128" s="32">
        <v>2.6369999999999969</v>
      </c>
      <c r="T128" s="32">
        <v>0.41615803345525748</v>
      </c>
    </row>
    <row r="129" spans="1:20" x14ac:dyDescent="0.35">
      <c r="A129" s="44">
        <v>43950</v>
      </c>
      <c r="B129" s="20">
        <f t="shared" si="73"/>
        <v>43941</v>
      </c>
      <c r="C129" s="35">
        <v>48.75</v>
      </c>
      <c r="D129" s="36">
        <v>60.65</v>
      </c>
      <c r="E129" s="36">
        <v>41.73</v>
      </c>
      <c r="F129" s="36">
        <v>18.376000000000001</v>
      </c>
      <c r="G129" s="36">
        <v>25.3</v>
      </c>
      <c r="H129" s="42">
        <v>0</v>
      </c>
      <c r="I129" s="40">
        <f t="shared" ref="I129:J129" si="119">20%+(I128-20%)*0.95</f>
        <v>0.20033511995453135</v>
      </c>
      <c r="J129" s="40">
        <f t="shared" si="119"/>
        <v>0.20049150926664591</v>
      </c>
      <c r="K129" s="41">
        <f t="shared" si="63"/>
        <v>0.7999992823897738</v>
      </c>
      <c r="L129" s="23">
        <f t="shared" si="75"/>
        <v>0.35616438356164382</v>
      </c>
      <c r="M129" s="28">
        <f t="shared" si="76"/>
        <v>30</v>
      </c>
      <c r="N129" s="29" t="s">
        <v>9</v>
      </c>
      <c r="O129" s="30">
        <v>1</v>
      </c>
      <c r="P129" s="31">
        <v>0</v>
      </c>
      <c r="Q129" s="1">
        <v>1</v>
      </c>
      <c r="R129" s="32">
        <v>3.0646573512442359</v>
      </c>
      <c r="S129" s="32">
        <v>2.6369999999999969</v>
      </c>
      <c r="T129" s="32">
        <v>0.42765735124423898</v>
      </c>
    </row>
    <row r="130" spans="1:20" x14ac:dyDescent="0.35">
      <c r="A130" s="44">
        <v>43951</v>
      </c>
      <c r="B130" s="20">
        <f t="shared" si="73"/>
        <v>43942</v>
      </c>
      <c r="C130" s="35">
        <v>48.75</v>
      </c>
      <c r="D130" s="36">
        <v>60.65</v>
      </c>
      <c r="E130" s="36">
        <v>41.73</v>
      </c>
      <c r="F130" s="36">
        <v>18.376000000000001</v>
      </c>
      <c r="G130" s="36">
        <v>25.3</v>
      </c>
      <c r="H130" s="42">
        <v>0</v>
      </c>
      <c r="I130" s="40">
        <f t="shared" ref="I130:J130" si="120">20%+(I129-20%)*0.95</f>
        <v>0.20031836395680477</v>
      </c>
      <c r="J130" s="40">
        <f t="shared" si="120"/>
        <v>0.20046693380331362</v>
      </c>
      <c r="K130" s="41">
        <f t="shared" si="63"/>
        <v>0.79999935415079637</v>
      </c>
      <c r="L130" s="23">
        <f t="shared" si="75"/>
        <v>0.35890410958904112</v>
      </c>
      <c r="M130" s="28">
        <f t="shared" si="76"/>
        <v>30</v>
      </c>
      <c r="N130" s="29" t="s">
        <v>9</v>
      </c>
      <c r="O130" s="30">
        <v>1</v>
      </c>
      <c r="P130" s="31">
        <v>0</v>
      </c>
      <c r="Q130" s="1">
        <v>1</v>
      </c>
      <c r="R130" s="32">
        <v>3.0683966861940632</v>
      </c>
      <c r="S130" s="32">
        <v>2.6369999999999969</v>
      </c>
      <c r="T130" s="32">
        <v>0.43139668619406635</v>
      </c>
    </row>
    <row r="131" spans="1:20" x14ac:dyDescent="0.35">
      <c r="A131" s="44">
        <v>43952</v>
      </c>
      <c r="B131" s="20">
        <f t="shared" si="73"/>
        <v>43943</v>
      </c>
      <c r="C131" s="35">
        <v>48.75</v>
      </c>
      <c r="D131" s="36">
        <v>60.65</v>
      </c>
      <c r="E131" s="36">
        <v>41.73</v>
      </c>
      <c r="F131" s="36">
        <v>18.376000000000001</v>
      </c>
      <c r="G131" s="36">
        <v>25.3</v>
      </c>
      <c r="H131" s="42">
        <v>0</v>
      </c>
      <c r="I131" s="40">
        <f t="shared" ref="I131:J131" si="121">20%+(I130-20%)*0.95</f>
        <v>0.20030244575896453</v>
      </c>
      <c r="J131" s="40">
        <f t="shared" si="121"/>
        <v>0.20044358711314794</v>
      </c>
      <c r="K131" s="41">
        <f t="shared" si="63"/>
        <v>0.79999941873571678</v>
      </c>
      <c r="L131" s="23">
        <f t="shared" si="75"/>
        <v>0.36164383561643837</v>
      </c>
      <c r="M131" s="28">
        <f t="shared" si="76"/>
        <v>30</v>
      </c>
      <c r="N131" s="29" t="s">
        <v>9</v>
      </c>
      <c r="O131" s="30">
        <v>1</v>
      </c>
      <c r="P131" s="31">
        <v>0</v>
      </c>
      <c r="Q131" s="1">
        <v>1</v>
      </c>
      <c r="R131" s="32">
        <v>3.0721348087437264</v>
      </c>
      <c r="S131" s="32">
        <v>2.6369999999999969</v>
      </c>
      <c r="T131" s="32">
        <v>0.43513480874372945</v>
      </c>
    </row>
    <row r="132" spans="1:20" x14ac:dyDescent="0.35">
      <c r="A132" s="44">
        <v>43953</v>
      </c>
      <c r="B132" s="20">
        <f t="shared" si="73"/>
        <v>43944</v>
      </c>
      <c r="C132" s="35">
        <v>48.75</v>
      </c>
      <c r="D132" s="36">
        <v>60.65</v>
      </c>
      <c r="E132" s="36">
        <v>41.73</v>
      </c>
      <c r="F132" s="36">
        <v>18.376000000000001</v>
      </c>
      <c r="G132" s="36">
        <v>25.3</v>
      </c>
      <c r="H132" s="42">
        <v>0</v>
      </c>
      <c r="I132" s="40">
        <f t="shared" ref="I132:J132" si="122">20%+(I131-20%)*0.95</f>
        <v>0.2002873234710163</v>
      </c>
      <c r="J132" s="40">
        <f t="shared" si="122"/>
        <v>0.20042140775749054</v>
      </c>
      <c r="K132" s="41">
        <f t="shared" si="63"/>
        <v>0.79999947686214512</v>
      </c>
      <c r="L132" s="23">
        <f t="shared" si="75"/>
        <v>0.36438356164383562</v>
      </c>
      <c r="M132" s="28">
        <f t="shared" si="76"/>
        <v>30</v>
      </c>
      <c r="N132" s="29" t="s">
        <v>9</v>
      </c>
      <c r="O132" s="30">
        <v>1</v>
      </c>
      <c r="P132" s="31">
        <v>0</v>
      </c>
      <c r="Q132" s="1">
        <v>1</v>
      </c>
      <c r="R132" s="32">
        <v>3.0758715125419869</v>
      </c>
      <c r="S132" s="32">
        <v>2.6369999999999969</v>
      </c>
      <c r="T132" s="32">
        <v>0.43887151254198997</v>
      </c>
    </row>
    <row r="133" spans="1:20" x14ac:dyDescent="0.35">
      <c r="A133" s="44">
        <v>43954</v>
      </c>
      <c r="B133" s="20">
        <f t="shared" si="73"/>
        <v>43944</v>
      </c>
      <c r="C133" s="35">
        <v>48.75</v>
      </c>
      <c r="D133" s="36">
        <v>60.65</v>
      </c>
      <c r="E133" s="36">
        <v>41.73</v>
      </c>
      <c r="F133" s="36">
        <v>18.376000000000001</v>
      </c>
      <c r="G133" s="36">
        <v>25.3</v>
      </c>
      <c r="H133" s="42">
        <v>0</v>
      </c>
      <c r="I133" s="40">
        <f t="shared" ref="I133:J133" si="123">20%+(I132-20%)*0.95</f>
        <v>0.20027295729746547</v>
      </c>
      <c r="J133" s="40">
        <f t="shared" si="123"/>
        <v>0.20040033736961602</v>
      </c>
      <c r="K133" s="41">
        <f t="shared" si="63"/>
        <v>0.79999952917593065</v>
      </c>
      <c r="L133" s="23">
        <f t="shared" si="75"/>
        <v>0.36438356164383562</v>
      </c>
      <c r="M133" s="28">
        <f t="shared" si="76"/>
        <v>30</v>
      </c>
      <c r="N133" s="29" t="s">
        <v>9</v>
      </c>
      <c r="O133" s="30">
        <v>1</v>
      </c>
      <c r="P133" s="31">
        <v>0</v>
      </c>
      <c r="Q133" s="1">
        <v>1</v>
      </c>
      <c r="R133" s="32">
        <v>3.0757635600146784</v>
      </c>
      <c r="S133" s="32">
        <v>2.6369999999999969</v>
      </c>
      <c r="T133" s="32">
        <v>0.43876356001468153</v>
      </c>
    </row>
    <row r="134" spans="1:20" x14ac:dyDescent="0.35">
      <c r="A134" s="44">
        <v>43955</v>
      </c>
      <c r="B134" s="20">
        <f t="shared" si="73"/>
        <v>43944</v>
      </c>
      <c r="C134" s="35">
        <v>48.75</v>
      </c>
      <c r="D134" s="36">
        <v>60.65</v>
      </c>
      <c r="E134" s="36">
        <v>41.73</v>
      </c>
      <c r="F134" s="36">
        <v>18.376000000000001</v>
      </c>
      <c r="G134" s="36">
        <v>25.3</v>
      </c>
      <c r="H134" s="42">
        <v>0</v>
      </c>
      <c r="I134" s="40">
        <f t="shared" ref="I134:J134" si="124">20%+(I133-20%)*0.95</f>
        <v>0.20025930943259221</v>
      </c>
      <c r="J134" s="40">
        <f t="shared" si="124"/>
        <v>0.20038032050113522</v>
      </c>
      <c r="K134" s="41">
        <f t="shared" si="63"/>
        <v>0.79999957625833762</v>
      </c>
      <c r="L134" s="23">
        <f t="shared" si="75"/>
        <v>0.36438356164383562</v>
      </c>
      <c r="M134" s="28">
        <f t="shared" si="76"/>
        <v>30</v>
      </c>
      <c r="N134" s="29" t="s">
        <v>9</v>
      </c>
      <c r="O134" s="30">
        <v>1</v>
      </c>
      <c r="P134" s="31">
        <v>0</v>
      </c>
      <c r="Q134" s="1">
        <v>1</v>
      </c>
      <c r="R134" s="32">
        <v>3.0756610190916902</v>
      </c>
      <c r="S134" s="32">
        <v>2.6369999999999969</v>
      </c>
      <c r="T134" s="32">
        <v>0.4386610190916933</v>
      </c>
    </row>
    <row r="135" spans="1:20" x14ac:dyDescent="0.35">
      <c r="A135" s="44">
        <v>43956</v>
      </c>
      <c r="B135" s="20">
        <f t="shared" si="73"/>
        <v>43945</v>
      </c>
      <c r="C135" s="35">
        <v>48.75</v>
      </c>
      <c r="D135" s="36">
        <v>60.65</v>
      </c>
      <c r="E135" s="36">
        <v>41.73</v>
      </c>
      <c r="F135" s="36">
        <v>18.376000000000001</v>
      </c>
      <c r="G135" s="36">
        <v>25.3</v>
      </c>
      <c r="H135" s="42">
        <v>0</v>
      </c>
      <c r="I135" s="40">
        <f t="shared" ref="I135:J135" si="125">20%+(I134-20%)*0.95</f>
        <v>0.20024634396096261</v>
      </c>
      <c r="J135" s="40">
        <f t="shared" si="125"/>
        <v>0.20036130447607844</v>
      </c>
      <c r="K135" s="41">
        <f t="shared" si="63"/>
        <v>0.79999961863250391</v>
      </c>
      <c r="L135" s="23">
        <f t="shared" si="75"/>
        <v>0.36712328767123287</v>
      </c>
      <c r="M135" s="28">
        <f t="shared" si="76"/>
        <v>30</v>
      </c>
      <c r="N135" s="29" t="s">
        <v>9</v>
      </c>
      <c r="O135" s="30">
        <v>1</v>
      </c>
      <c r="P135" s="31">
        <v>0</v>
      </c>
      <c r="Q135" s="1">
        <v>1</v>
      </c>
      <c r="R135" s="32">
        <v>3.0794054685314833</v>
      </c>
      <c r="S135" s="32">
        <v>2.6369999999999969</v>
      </c>
      <c r="T135" s="32">
        <v>0.44240546853148643</v>
      </c>
    </row>
    <row r="136" spans="1:20" x14ac:dyDescent="0.35">
      <c r="A136" s="44">
        <v>43957</v>
      </c>
      <c r="B136" s="20">
        <f t="shared" si="73"/>
        <v>43948</v>
      </c>
      <c r="C136" s="35">
        <v>48.75</v>
      </c>
      <c r="D136" s="36">
        <v>60.65</v>
      </c>
      <c r="E136" s="36">
        <v>41.73</v>
      </c>
      <c r="F136" s="36">
        <v>18.376000000000001</v>
      </c>
      <c r="G136" s="36">
        <v>25.3</v>
      </c>
      <c r="H136" s="42">
        <v>0</v>
      </c>
      <c r="I136" s="40">
        <f t="shared" ref="I136:J136" si="126">20%+(I135-20%)*0.95</f>
        <v>0.20023402676291449</v>
      </c>
      <c r="J136" s="40">
        <f t="shared" si="126"/>
        <v>0.20034323925227451</v>
      </c>
      <c r="K136" s="41">
        <f t="shared" si="63"/>
        <v>0.79999965676925355</v>
      </c>
      <c r="L136" s="23">
        <f t="shared" si="75"/>
        <v>0.37534246575342467</v>
      </c>
      <c r="M136" s="28">
        <f t="shared" si="76"/>
        <v>30</v>
      </c>
      <c r="N136" s="29" t="s">
        <v>9</v>
      </c>
      <c r="O136" s="30">
        <v>1</v>
      </c>
      <c r="P136" s="31">
        <v>0</v>
      </c>
      <c r="Q136" s="1">
        <v>1</v>
      </c>
      <c r="R136" s="32">
        <v>3.0908003179334216</v>
      </c>
      <c r="S136" s="32">
        <v>2.6369999999999969</v>
      </c>
      <c r="T136" s="32">
        <v>0.45380031793342468</v>
      </c>
    </row>
    <row r="137" spans="1:20" x14ac:dyDescent="0.35">
      <c r="A137" s="44">
        <v>43958</v>
      </c>
      <c r="B137" s="20">
        <f t="shared" si="73"/>
        <v>43949</v>
      </c>
      <c r="C137" s="35">
        <v>48.75</v>
      </c>
      <c r="D137" s="36">
        <v>60.65</v>
      </c>
      <c r="E137" s="36">
        <v>41.73</v>
      </c>
      <c r="F137" s="36">
        <v>18.376000000000001</v>
      </c>
      <c r="G137" s="36">
        <v>25.3</v>
      </c>
      <c r="H137" s="42">
        <v>0</v>
      </c>
      <c r="I137" s="40">
        <f t="shared" ref="I137:J137" si="127">20%+(I136-20%)*0.95</f>
        <v>0.20022232542476875</v>
      </c>
      <c r="J137" s="40">
        <f t="shared" si="127"/>
        <v>0.20032607728966079</v>
      </c>
      <c r="K137" s="41">
        <f t="shared" si="63"/>
        <v>0.79999969109232816</v>
      </c>
      <c r="L137" s="23">
        <f t="shared" si="75"/>
        <v>0.37808219178082192</v>
      </c>
      <c r="M137" s="28">
        <f t="shared" si="76"/>
        <v>30</v>
      </c>
      <c r="N137" s="29" t="s">
        <v>9</v>
      </c>
      <c r="O137" s="30">
        <v>1</v>
      </c>
      <c r="P137" s="31">
        <v>0</v>
      </c>
      <c r="Q137" s="1">
        <v>1</v>
      </c>
      <c r="R137" s="32">
        <v>3.0945271331263058</v>
      </c>
      <c r="S137" s="32">
        <v>2.6369999999999969</v>
      </c>
      <c r="T137" s="32">
        <v>0.45752713312630888</v>
      </c>
    </row>
    <row r="138" spans="1:20" x14ac:dyDescent="0.35">
      <c r="A138" s="44">
        <v>43959</v>
      </c>
      <c r="B138" s="20">
        <f t="shared" si="73"/>
        <v>43950</v>
      </c>
      <c r="C138" s="35">
        <v>48.75</v>
      </c>
      <c r="D138" s="36">
        <v>60.65</v>
      </c>
      <c r="E138" s="36">
        <v>41.73</v>
      </c>
      <c r="F138" s="36">
        <v>18.376000000000001</v>
      </c>
      <c r="G138" s="36">
        <v>25.3</v>
      </c>
      <c r="H138" s="42">
        <v>0</v>
      </c>
      <c r="I138" s="40">
        <f t="shared" ref="I138:J138" si="128">20%+(I137-20%)*0.95</f>
        <v>0.20021120915353033</v>
      </c>
      <c r="J138" s="40">
        <f t="shared" si="128"/>
        <v>0.20030977342517775</v>
      </c>
      <c r="K138" s="41">
        <f t="shared" si="63"/>
        <v>0.79999972198309532</v>
      </c>
      <c r="L138" s="23">
        <f t="shared" si="75"/>
        <v>0.38082191780821917</v>
      </c>
      <c r="M138" s="28">
        <f t="shared" si="76"/>
        <v>30</v>
      </c>
      <c r="N138" s="29" t="s">
        <v>9</v>
      </c>
      <c r="O138" s="30">
        <v>1</v>
      </c>
      <c r="P138" s="31">
        <v>0</v>
      </c>
      <c r="Q138" s="1">
        <v>1</v>
      </c>
      <c r="R138" s="32">
        <v>3.0982514674726289</v>
      </c>
      <c r="S138" s="32">
        <v>2.6369999999999969</v>
      </c>
      <c r="T138" s="32">
        <v>0.46125146747263202</v>
      </c>
    </row>
    <row r="139" spans="1:20" x14ac:dyDescent="0.35">
      <c r="A139" s="44">
        <v>43960</v>
      </c>
      <c r="B139" s="20">
        <f t="shared" si="73"/>
        <v>43951</v>
      </c>
      <c r="C139" s="35">
        <v>48.75</v>
      </c>
      <c r="D139" s="36">
        <v>60.65</v>
      </c>
      <c r="E139" s="36">
        <v>41.73</v>
      </c>
      <c r="F139" s="36">
        <v>18.376000000000001</v>
      </c>
      <c r="G139" s="36">
        <v>25.3</v>
      </c>
      <c r="H139" s="42">
        <v>0</v>
      </c>
      <c r="I139" s="40">
        <f t="shared" ref="I139:J139" si="129">20%+(I138-20%)*0.95</f>
        <v>0.2002006486958538</v>
      </c>
      <c r="J139" s="40">
        <f t="shared" si="129"/>
        <v>0.20029428475391886</v>
      </c>
      <c r="K139" s="41">
        <f t="shared" si="63"/>
        <v>0.79999974978478583</v>
      </c>
      <c r="L139" s="23">
        <f t="shared" si="75"/>
        <v>0.38356164383561642</v>
      </c>
      <c r="M139" s="28">
        <f t="shared" si="76"/>
        <v>30</v>
      </c>
      <c r="N139" s="29" t="s">
        <v>9</v>
      </c>
      <c r="O139" s="30">
        <v>1</v>
      </c>
      <c r="P139" s="31">
        <v>0</v>
      </c>
      <c r="Q139" s="1">
        <v>1</v>
      </c>
      <c r="R139" s="32">
        <v>3.1019731705414699</v>
      </c>
      <c r="S139" s="32">
        <v>2.6369999999999969</v>
      </c>
      <c r="T139" s="32">
        <v>0.46497317054147302</v>
      </c>
    </row>
    <row r="140" spans="1:20" x14ac:dyDescent="0.35">
      <c r="A140" s="44">
        <v>43961</v>
      </c>
      <c r="B140" s="20">
        <f t="shared" si="73"/>
        <v>43951</v>
      </c>
      <c r="C140" s="35">
        <v>48.75</v>
      </c>
      <c r="D140" s="36">
        <v>60.65</v>
      </c>
      <c r="E140" s="36">
        <v>41.73</v>
      </c>
      <c r="F140" s="36">
        <v>18.376000000000001</v>
      </c>
      <c r="G140" s="36">
        <v>25.3</v>
      </c>
      <c r="H140" s="42">
        <v>0</v>
      </c>
      <c r="I140" s="40">
        <f t="shared" ref="I140:J140" si="130">20%+(I139-20%)*0.95</f>
        <v>0.20019061626106111</v>
      </c>
      <c r="J140" s="40">
        <f t="shared" si="130"/>
        <v>0.20027957051622292</v>
      </c>
      <c r="K140" s="41">
        <f t="shared" ref="K140:K203" si="131">80%+(K139-80%)*0.9</f>
        <v>0.79999977480630724</v>
      </c>
      <c r="L140" s="23">
        <f t="shared" si="75"/>
        <v>0.38356164383561642</v>
      </c>
      <c r="M140" s="28">
        <f t="shared" si="76"/>
        <v>30</v>
      </c>
      <c r="N140" s="29" t="s">
        <v>9</v>
      </c>
      <c r="O140" s="30">
        <v>1</v>
      </c>
      <c r="P140" s="31">
        <v>0</v>
      </c>
      <c r="Q140" s="1">
        <v>1</v>
      </c>
      <c r="R140" s="32">
        <v>3.1018947471483003</v>
      </c>
      <c r="S140" s="32">
        <v>2.6369999999999969</v>
      </c>
      <c r="T140" s="32">
        <v>0.46489474714830337</v>
      </c>
    </row>
    <row r="141" spans="1:20" x14ac:dyDescent="0.35">
      <c r="A141" s="44">
        <v>43962</v>
      </c>
      <c r="B141" s="20">
        <f t="shared" si="73"/>
        <v>43951</v>
      </c>
      <c r="C141" s="35">
        <v>48.75</v>
      </c>
      <c r="D141" s="36">
        <v>60.65</v>
      </c>
      <c r="E141" s="36">
        <v>41.73</v>
      </c>
      <c r="F141" s="36">
        <v>18.376000000000001</v>
      </c>
      <c r="G141" s="36">
        <v>25.3</v>
      </c>
      <c r="H141" s="42">
        <v>0</v>
      </c>
      <c r="I141" s="40">
        <f t="shared" ref="I141:J141" si="132">20%+(I140-20%)*0.95</f>
        <v>0.20018108544800806</v>
      </c>
      <c r="J141" s="40">
        <f t="shared" si="132"/>
        <v>0.20026559199041177</v>
      </c>
      <c r="K141" s="41">
        <f t="shared" si="131"/>
        <v>0.7999997973256765</v>
      </c>
      <c r="L141" s="23">
        <f t="shared" si="75"/>
        <v>0.38356164383561642</v>
      </c>
      <c r="M141" s="28">
        <f t="shared" si="76"/>
        <v>30</v>
      </c>
      <c r="N141" s="29" t="s">
        <v>9</v>
      </c>
      <c r="O141" s="30">
        <v>1</v>
      </c>
      <c r="P141" s="31">
        <v>0</v>
      </c>
      <c r="Q141" s="1">
        <v>1</v>
      </c>
      <c r="R141" s="32">
        <v>3.1018202518048525</v>
      </c>
      <c r="S141" s="32">
        <v>2.6369999999999969</v>
      </c>
      <c r="T141" s="32">
        <v>0.46482025180485564</v>
      </c>
    </row>
    <row r="142" spans="1:20" x14ac:dyDescent="0.35">
      <c r="A142" s="44">
        <v>43963</v>
      </c>
      <c r="B142" s="20">
        <f t="shared" si="73"/>
        <v>43952</v>
      </c>
      <c r="C142" s="35">
        <v>48.75</v>
      </c>
      <c r="D142" s="36">
        <v>60.65</v>
      </c>
      <c r="E142" s="36">
        <v>41.73</v>
      </c>
      <c r="F142" s="36">
        <v>18.376000000000001</v>
      </c>
      <c r="G142" s="36">
        <v>25.3</v>
      </c>
      <c r="H142" s="42">
        <v>0</v>
      </c>
      <c r="I142" s="40">
        <f t="shared" ref="I142:J142" si="133">20%+(I141-20%)*0.95</f>
        <v>0.20017203117560767</v>
      </c>
      <c r="J142" s="40">
        <f t="shared" si="133"/>
        <v>0.2002523123908912</v>
      </c>
      <c r="K142" s="41">
        <f t="shared" si="131"/>
        <v>0.7999998175931089</v>
      </c>
      <c r="L142" s="23">
        <f t="shared" si="75"/>
        <v>0.38630136986301372</v>
      </c>
      <c r="M142" s="28">
        <f t="shared" si="76"/>
        <v>31</v>
      </c>
      <c r="N142" s="29" t="s">
        <v>9</v>
      </c>
      <c r="O142" s="30">
        <v>1</v>
      </c>
      <c r="P142" s="31">
        <v>0</v>
      </c>
      <c r="Q142" s="1">
        <v>1</v>
      </c>
      <c r="R142" s="32">
        <v>3.1055460329620388</v>
      </c>
      <c r="S142" s="32">
        <v>2.6369999999999969</v>
      </c>
      <c r="T142" s="32">
        <v>0.46854603296204189</v>
      </c>
    </row>
    <row r="143" spans="1:20" x14ac:dyDescent="0.35">
      <c r="A143" s="44">
        <v>43964</v>
      </c>
      <c r="B143" s="20">
        <f t="shared" si="73"/>
        <v>43955</v>
      </c>
      <c r="C143" s="35">
        <v>48.75</v>
      </c>
      <c r="D143" s="36">
        <v>60.65</v>
      </c>
      <c r="E143" s="36">
        <v>41.73</v>
      </c>
      <c r="F143" s="36">
        <v>18.376000000000001</v>
      </c>
      <c r="G143" s="36">
        <v>25.3</v>
      </c>
      <c r="H143" s="42">
        <v>0</v>
      </c>
      <c r="I143" s="40">
        <f t="shared" ref="I143:J143" si="134">20%+(I142-20%)*0.95</f>
        <v>0.20016342961682729</v>
      </c>
      <c r="J143" s="40">
        <f t="shared" si="134"/>
        <v>0.20023969677134665</v>
      </c>
      <c r="K143" s="41">
        <f t="shared" si="131"/>
        <v>0.79999983583379797</v>
      </c>
      <c r="L143" s="23">
        <f t="shared" si="75"/>
        <v>0.39452054794520547</v>
      </c>
      <c r="M143" s="28">
        <f t="shared" si="76"/>
        <v>31</v>
      </c>
      <c r="N143" s="29" t="s">
        <v>9</v>
      </c>
      <c r="O143" s="30">
        <v>1</v>
      </c>
      <c r="P143" s="31">
        <v>0</v>
      </c>
      <c r="Q143" s="1">
        <v>1</v>
      </c>
      <c r="R143" s="32">
        <v>3.1168308963266327</v>
      </c>
      <c r="S143" s="32">
        <v>2.6369999999999969</v>
      </c>
      <c r="T143" s="32">
        <v>0.47983089632663578</v>
      </c>
    </row>
    <row r="144" spans="1:20" x14ac:dyDescent="0.35">
      <c r="A144" s="44">
        <v>43965</v>
      </c>
      <c r="B144" s="20">
        <f t="shared" si="73"/>
        <v>43956</v>
      </c>
      <c r="C144" s="35">
        <v>48.75</v>
      </c>
      <c r="D144" s="36">
        <v>60.65</v>
      </c>
      <c r="E144" s="36">
        <v>41.73</v>
      </c>
      <c r="F144" s="36">
        <v>18.376000000000001</v>
      </c>
      <c r="G144" s="36">
        <v>25.3</v>
      </c>
      <c r="H144" s="42">
        <v>0</v>
      </c>
      <c r="I144" s="40">
        <f t="shared" ref="I144:J144" si="135">20%+(I143-20%)*0.95</f>
        <v>0.20015525813598592</v>
      </c>
      <c r="J144" s="40">
        <f t="shared" si="135"/>
        <v>0.20022771193277933</v>
      </c>
      <c r="K144" s="41">
        <f t="shared" si="131"/>
        <v>0.79999985225041814</v>
      </c>
      <c r="L144" s="23">
        <f t="shared" si="75"/>
        <v>0.39726027397260272</v>
      </c>
      <c r="M144" s="28">
        <f t="shared" si="76"/>
        <v>31</v>
      </c>
      <c r="N144" s="29" t="s">
        <v>9</v>
      </c>
      <c r="O144" s="30">
        <v>1</v>
      </c>
      <c r="P144" s="31">
        <v>0</v>
      </c>
      <c r="Q144" s="1">
        <v>1</v>
      </c>
      <c r="R144" s="32">
        <v>3.1205374179839822</v>
      </c>
      <c r="S144" s="32">
        <v>2.6369999999999969</v>
      </c>
      <c r="T144" s="32">
        <v>0.48353741798398531</v>
      </c>
    </row>
    <row r="145" spans="1:20" x14ac:dyDescent="0.35">
      <c r="A145" s="44">
        <v>43966</v>
      </c>
      <c r="B145" s="20">
        <f t="shared" si="73"/>
        <v>43957</v>
      </c>
      <c r="C145" s="35">
        <v>48.75</v>
      </c>
      <c r="D145" s="36">
        <v>60.65</v>
      </c>
      <c r="E145" s="36">
        <v>41.73</v>
      </c>
      <c r="F145" s="36">
        <v>18.376000000000001</v>
      </c>
      <c r="G145" s="36">
        <v>25.3</v>
      </c>
      <c r="H145" s="42">
        <v>0</v>
      </c>
      <c r="I145" s="40">
        <f t="shared" ref="I145:J145" si="136">20%+(I144-20%)*0.95</f>
        <v>0.20014749522918662</v>
      </c>
      <c r="J145" s="40">
        <f t="shared" si="136"/>
        <v>0.20021632633614037</v>
      </c>
      <c r="K145" s="41">
        <f t="shared" si="131"/>
        <v>0.79999986702537629</v>
      </c>
      <c r="L145" s="23">
        <f t="shared" si="75"/>
        <v>0.4</v>
      </c>
      <c r="M145" s="28">
        <f t="shared" si="76"/>
        <v>31</v>
      </c>
      <c r="N145" s="29" t="s">
        <v>9</v>
      </c>
      <c r="O145" s="30">
        <v>1</v>
      </c>
      <c r="P145" s="31">
        <v>0</v>
      </c>
      <c r="Q145" s="1">
        <v>1</v>
      </c>
      <c r="R145" s="32">
        <v>3.1242405412454701</v>
      </c>
      <c r="S145" s="32">
        <v>2.6369999999999969</v>
      </c>
      <c r="T145" s="32">
        <v>0.48724054124547322</v>
      </c>
    </row>
    <row r="146" spans="1:20" x14ac:dyDescent="0.35">
      <c r="A146" s="44">
        <v>43967</v>
      </c>
      <c r="B146" s="20">
        <f t="shared" si="73"/>
        <v>43958</v>
      </c>
      <c r="C146" s="35">
        <v>48.75</v>
      </c>
      <c r="D146" s="36">
        <v>60.65</v>
      </c>
      <c r="E146" s="36">
        <v>41.73</v>
      </c>
      <c r="F146" s="36">
        <v>18.376000000000001</v>
      </c>
      <c r="G146" s="36">
        <v>25.3</v>
      </c>
      <c r="H146" s="42">
        <v>0</v>
      </c>
      <c r="I146" s="40">
        <f t="shared" ref="I146:J146" si="137">20%+(I145-20%)*0.95</f>
        <v>0.20014012046772728</v>
      </c>
      <c r="J146" s="40">
        <f t="shared" si="137"/>
        <v>0.20020551001933334</v>
      </c>
      <c r="K146" s="41">
        <f t="shared" si="131"/>
        <v>0.79999988032283864</v>
      </c>
      <c r="L146" s="23">
        <f t="shared" si="75"/>
        <v>0.40273972602739727</v>
      </c>
      <c r="M146" s="28">
        <f t="shared" si="76"/>
        <v>31</v>
      </c>
      <c r="N146" s="29" t="s">
        <v>9</v>
      </c>
      <c r="O146" s="30">
        <v>1</v>
      </c>
      <c r="P146" s="31">
        <v>0</v>
      </c>
      <c r="Q146" s="1">
        <v>1</v>
      </c>
      <c r="R146" s="32">
        <v>3.1279401586370383</v>
      </c>
      <c r="S146" s="32">
        <v>2.6369999999999969</v>
      </c>
      <c r="T146" s="32">
        <v>0.49094015863704143</v>
      </c>
    </row>
    <row r="147" spans="1:20" x14ac:dyDescent="0.35">
      <c r="A147" s="44">
        <v>43968</v>
      </c>
      <c r="B147" s="20">
        <f t="shared" si="73"/>
        <v>43958</v>
      </c>
      <c r="C147" s="35">
        <v>48.75</v>
      </c>
      <c r="D147" s="36">
        <v>60.65</v>
      </c>
      <c r="E147" s="36">
        <v>41.73</v>
      </c>
      <c r="F147" s="36">
        <v>18.376000000000001</v>
      </c>
      <c r="G147" s="36">
        <v>25.3</v>
      </c>
      <c r="H147" s="42">
        <v>0</v>
      </c>
      <c r="I147" s="40">
        <f t="shared" ref="I147:J147" si="138">20%+(I146-20%)*0.95</f>
        <v>0.20013311444434093</v>
      </c>
      <c r="J147" s="40">
        <f t="shared" si="138"/>
        <v>0.20019523451836668</v>
      </c>
      <c r="K147" s="41">
        <f t="shared" si="131"/>
        <v>0.79999989229055479</v>
      </c>
      <c r="L147" s="23">
        <f t="shared" si="75"/>
        <v>0.40273972602739727</v>
      </c>
      <c r="M147" s="28">
        <f t="shared" si="76"/>
        <v>31</v>
      </c>
      <c r="N147" s="29" t="s">
        <v>9</v>
      </c>
      <c r="O147" s="30">
        <v>1</v>
      </c>
      <c r="P147" s="31">
        <v>0</v>
      </c>
      <c r="Q147" s="1">
        <v>1</v>
      </c>
      <c r="R147" s="32">
        <v>3.1278833221663476</v>
      </c>
      <c r="S147" s="32">
        <v>2.6369999999999969</v>
      </c>
      <c r="T147" s="32">
        <v>0.49088332216635067</v>
      </c>
    </row>
    <row r="148" spans="1:20" x14ac:dyDescent="0.35">
      <c r="A148" s="44">
        <v>43969</v>
      </c>
      <c r="B148" s="20">
        <f t="shared" si="73"/>
        <v>43958</v>
      </c>
      <c r="C148" s="35">
        <v>48.75</v>
      </c>
      <c r="D148" s="36">
        <v>60.65</v>
      </c>
      <c r="E148" s="36">
        <v>41.73</v>
      </c>
      <c r="F148" s="36">
        <v>18.376000000000001</v>
      </c>
      <c r="G148" s="36">
        <v>25.3</v>
      </c>
      <c r="H148" s="42">
        <v>0</v>
      </c>
      <c r="I148" s="40">
        <f t="shared" ref="I148:J148" si="139">20%+(I147-20%)*0.95</f>
        <v>0.20012645872212387</v>
      </c>
      <c r="J148" s="40">
        <f t="shared" si="139"/>
        <v>0.20018547279244836</v>
      </c>
      <c r="K148" s="41">
        <f t="shared" si="131"/>
        <v>0.79999990306149926</v>
      </c>
      <c r="L148" s="23">
        <f t="shared" si="75"/>
        <v>0.40273972602739727</v>
      </c>
      <c r="M148" s="28">
        <f t="shared" si="76"/>
        <v>31</v>
      </c>
      <c r="N148" s="29" t="s">
        <v>9</v>
      </c>
      <c r="O148" s="30">
        <v>1</v>
      </c>
      <c r="P148" s="31">
        <v>0</v>
      </c>
      <c r="Q148" s="1">
        <v>1</v>
      </c>
      <c r="R148" s="32">
        <v>3.1278293309017826</v>
      </c>
      <c r="S148" s="32">
        <v>2.6369999999999969</v>
      </c>
      <c r="T148" s="32">
        <v>0.49082933090178571</v>
      </c>
    </row>
    <row r="149" spans="1:20" x14ac:dyDescent="0.35">
      <c r="A149" s="44">
        <v>43970</v>
      </c>
      <c r="B149" s="20">
        <f t="shared" si="73"/>
        <v>43959</v>
      </c>
      <c r="C149" s="35">
        <v>48.75</v>
      </c>
      <c r="D149" s="36">
        <v>60.65</v>
      </c>
      <c r="E149" s="36">
        <v>41.73</v>
      </c>
      <c r="F149" s="36">
        <v>18.376000000000001</v>
      </c>
      <c r="G149" s="36">
        <v>25.3</v>
      </c>
      <c r="H149" s="42">
        <v>0</v>
      </c>
      <c r="I149" s="40">
        <f t="shared" ref="I149:J149" si="140">20%+(I148-20%)*0.95</f>
        <v>0.20012013578601767</v>
      </c>
      <c r="J149" s="40">
        <f t="shared" si="140"/>
        <v>0.20017619915282595</v>
      </c>
      <c r="K149" s="41">
        <f t="shared" si="131"/>
        <v>0.79999991275534932</v>
      </c>
      <c r="L149" s="23">
        <f t="shared" si="75"/>
        <v>0.40547945205479452</v>
      </c>
      <c r="M149" s="28">
        <f t="shared" si="76"/>
        <v>31</v>
      </c>
      <c r="N149" s="29" t="s">
        <v>9</v>
      </c>
      <c r="O149" s="30">
        <v>1</v>
      </c>
      <c r="P149" s="31">
        <v>0</v>
      </c>
      <c r="Q149" s="1">
        <v>1</v>
      </c>
      <c r="R149" s="32">
        <v>3.1315303409256856</v>
      </c>
      <c r="S149" s="32">
        <v>2.6369999999999969</v>
      </c>
      <c r="T149" s="32">
        <v>0.49453034092568871</v>
      </c>
    </row>
    <row r="150" spans="1:20" x14ac:dyDescent="0.35">
      <c r="A150" s="44">
        <v>43971</v>
      </c>
      <c r="B150" s="20">
        <f t="shared" ref="B150:B213" si="141">WORKDAY(A150,-7)</f>
        <v>43962</v>
      </c>
      <c r="C150" s="35">
        <v>48.75</v>
      </c>
      <c r="D150" s="36">
        <v>60.65</v>
      </c>
      <c r="E150" s="36">
        <v>41.73</v>
      </c>
      <c r="F150" s="36">
        <v>18.376000000000001</v>
      </c>
      <c r="G150" s="36">
        <v>25.3</v>
      </c>
      <c r="H150" s="42">
        <v>0</v>
      </c>
      <c r="I150" s="40">
        <f t="shared" ref="I150:J150" si="142">20%+(I149-20%)*0.95</f>
        <v>0.20011412899671679</v>
      </c>
      <c r="J150" s="40">
        <f t="shared" si="142"/>
        <v>0.20016738919518465</v>
      </c>
      <c r="K150" s="41">
        <f t="shared" si="131"/>
        <v>0.79999992147981436</v>
      </c>
      <c r="L150" s="23">
        <f t="shared" ref="L150:L213" si="143">(B150-$B$3)/365</f>
        <v>0.41369863013698632</v>
      </c>
      <c r="M150" s="28">
        <f t="shared" ref="M150:M213" si="144">DAY(EOMONTH(B150,0))</f>
        <v>31</v>
      </c>
      <c r="N150" s="29" t="s">
        <v>9</v>
      </c>
      <c r="O150" s="30">
        <v>1</v>
      </c>
      <c r="P150" s="31">
        <v>0</v>
      </c>
      <c r="Q150" s="1">
        <v>1</v>
      </c>
      <c r="R150" s="32">
        <v>3.142701599226605</v>
      </c>
      <c r="S150" s="32">
        <v>2.6369999999999969</v>
      </c>
      <c r="T150" s="32">
        <v>0.50570159922660807</v>
      </c>
    </row>
    <row r="151" spans="1:20" x14ac:dyDescent="0.35">
      <c r="A151" s="44">
        <v>43972</v>
      </c>
      <c r="B151" s="20">
        <f t="shared" si="141"/>
        <v>43963</v>
      </c>
      <c r="C151" s="35">
        <v>48.75</v>
      </c>
      <c r="D151" s="36">
        <v>60.65</v>
      </c>
      <c r="E151" s="36">
        <v>41.73</v>
      </c>
      <c r="F151" s="36">
        <v>18.376000000000001</v>
      </c>
      <c r="G151" s="36">
        <v>25.3</v>
      </c>
      <c r="H151" s="42">
        <v>0</v>
      </c>
      <c r="I151" s="40">
        <f t="shared" ref="I151:J151" si="145">20%+(I150-20%)*0.95</f>
        <v>0.20010842254688097</v>
      </c>
      <c r="J151" s="40">
        <f t="shared" si="145"/>
        <v>0.20015901973542541</v>
      </c>
      <c r="K151" s="41">
        <f t="shared" si="131"/>
        <v>0.79999992933183295</v>
      </c>
      <c r="L151" s="23">
        <f t="shared" si="143"/>
        <v>0.41643835616438357</v>
      </c>
      <c r="M151" s="28">
        <f t="shared" si="144"/>
        <v>31</v>
      </c>
      <c r="N151" s="29" t="s">
        <v>9</v>
      </c>
      <c r="O151" s="30">
        <v>1</v>
      </c>
      <c r="P151" s="31">
        <v>0</v>
      </c>
      <c r="Q151" s="1">
        <v>1</v>
      </c>
      <c r="R151" s="32">
        <v>3.1463822516268252</v>
      </c>
      <c r="S151" s="32">
        <v>2.6369999999999969</v>
      </c>
      <c r="T151" s="32">
        <v>0.50938225162682826</v>
      </c>
    </row>
    <row r="152" spans="1:20" x14ac:dyDescent="0.35">
      <c r="A152" s="44">
        <v>43973</v>
      </c>
      <c r="B152" s="20">
        <f t="shared" si="141"/>
        <v>43964</v>
      </c>
      <c r="C152" s="35">
        <v>48.75</v>
      </c>
      <c r="D152" s="36">
        <v>60.65</v>
      </c>
      <c r="E152" s="36">
        <v>41.73</v>
      </c>
      <c r="F152" s="36">
        <v>18.376000000000001</v>
      </c>
      <c r="G152" s="36">
        <v>25.3</v>
      </c>
      <c r="H152" s="42">
        <v>0</v>
      </c>
      <c r="I152" s="40">
        <f t="shared" ref="I152:J152" si="146">20%+(I151-20%)*0.95</f>
        <v>0.20010300141953691</v>
      </c>
      <c r="J152" s="40">
        <f t="shared" si="146"/>
        <v>0.20015106874865413</v>
      </c>
      <c r="K152" s="41">
        <f t="shared" si="131"/>
        <v>0.79999993639864964</v>
      </c>
      <c r="L152" s="23">
        <f t="shared" si="143"/>
        <v>0.41917808219178082</v>
      </c>
      <c r="M152" s="28">
        <f t="shared" si="144"/>
        <v>31</v>
      </c>
      <c r="N152" s="29" t="s">
        <v>9</v>
      </c>
      <c r="O152" s="30">
        <v>1</v>
      </c>
      <c r="P152" s="31">
        <v>0</v>
      </c>
      <c r="Q152" s="1">
        <v>1</v>
      </c>
      <c r="R152" s="32">
        <v>3.1500588565154857</v>
      </c>
      <c r="S152" s="32">
        <v>2.6369999999999969</v>
      </c>
      <c r="T152" s="32">
        <v>0.51305885651548877</v>
      </c>
    </row>
    <row r="153" spans="1:20" x14ac:dyDescent="0.35">
      <c r="A153" s="44">
        <v>43974</v>
      </c>
      <c r="B153" s="20">
        <f t="shared" si="141"/>
        <v>43965</v>
      </c>
      <c r="C153" s="35">
        <v>48.75</v>
      </c>
      <c r="D153" s="36">
        <v>60.65</v>
      </c>
      <c r="E153" s="36">
        <v>41.73</v>
      </c>
      <c r="F153" s="36">
        <v>18.376000000000001</v>
      </c>
      <c r="G153" s="36">
        <v>25.3</v>
      </c>
      <c r="H153" s="42">
        <v>0</v>
      </c>
      <c r="I153" s="40">
        <f t="shared" ref="I153:J153" si="147">20%+(I152-20%)*0.95</f>
        <v>0.20009785134856006</v>
      </c>
      <c r="J153" s="40">
        <f t="shared" si="147"/>
        <v>0.20014351531122143</v>
      </c>
      <c r="K153" s="41">
        <f t="shared" si="131"/>
        <v>0.79999994275878472</v>
      </c>
      <c r="L153" s="23">
        <f t="shared" si="143"/>
        <v>0.42191780821917807</v>
      </c>
      <c r="M153" s="28">
        <f t="shared" si="144"/>
        <v>31</v>
      </c>
      <c r="N153" s="29" t="s">
        <v>9</v>
      </c>
      <c r="O153" s="30">
        <v>1</v>
      </c>
      <c r="P153" s="31">
        <v>0</v>
      </c>
      <c r="Q153" s="1">
        <v>1</v>
      </c>
      <c r="R153" s="32">
        <v>3.1537313390882673</v>
      </c>
      <c r="S153" s="32">
        <v>2.6369999999999969</v>
      </c>
      <c r="T153" s="32">
        <v>0.5167313390882704</v>
      </c>
    </row>
    <row r="154" spans="1:20" x14ac:dyDescent="0.35">
      <c r="A154" s="44">
        <v>43975</v>
      </c>
      <c r="B154" s="20">
        <f t="shared" si="141"/>
        <v>43965</v>
      </c>
      <c r="C154" s="35">
        <v>48.75</v>
      </c>
      <c r="D154" s="36">
        <v>60.65</v>
      </c>
      <c r="E154" s="36">
        <v>41.73</v>
      </c>
      <c r="F154" s="36">
        <v>18.376000000000001</v>
      </c>
      <c r="G154" s="36">
        <v>25.3</v>
      </c>
      <c r="H154" s="42">
        <v>0</v>
      </c>
      <c r="I154" s="40">
        <f t="shared" ref="I154:J154" si="148">20%+(I153-20%)*0.95</f>
        <v>0.20009295878113206</v>
      </c>
      <c r="J154" s="40">
        <f t="shared" si="148"/>
        <v>0.20013633954566035</v>
      </c>
      <c r="K154" s="41">
        <f t="shared" si="131"/>
        <v>0.79999994848290623</v>
      </c>
      <c r="L154" s="23">
        <f t="shared" si="143"/>
        <v>0.42191780821917807</v>
      </c>
      <c r="M154" s="28">
        <f t="shared" si="144"/>
        <v>31</v>
      </c>
      <c r="N154" s="29" t="s">
        <v>9</v>
      </c>
      <c r="O154" s="30">
        <v>1</v>
      </c>
      <c r="P154" s="31">
        <v>0</v>
      </c>
      <c r="Q154" s="1">
        <v>1</v>
      </c>
      <c r="R154" s="32">
        <v>3.1536902363126345</v>
      </c>
      <c r="S154" s="32">
        <v>2.6369999999999969</v>
      </c>
      <c r="T154" s="32">
        <v>0.51669023631263755</v>
      </c>
    </row>
    <row r="155" spans="1:20" x14ac:dyDescent="0.35">
      <c r="A155" s="44">
        <v>43976</v>
      </c>
      <c r="B155" s="20">
        <f t="shared" si="141"/>
        <v>43965</v>
      </c>
      <c r="C155" s="35">
        <v>48.75</v>
      </c>
      <c r="D155" s="36">
        <v>60.65</v>
      </c>
      <c r="E155" s="36">
        <v>41.73</v>
      </c>
      <c r="F155" s="36">
        <v>18.376000000000001</v>
      </c>
      <c r="G155" s="36">
        <v>25.3</v>
      </c>
      <c r="H155" s="42">
        <v>0</v>
      </c>
      <c r="I155" s="40">
        <f t="shared" ref="I155:J155" si="149">20%+(I154-20%)*0.95</f>
        <v>0.20008831084207546</v>
      </c>
      <c r="J155" s="40">
        <f t="shared" si="149"/>
        <v>0.20012952256837732</v>
      </c>
      <c r="K155" s="41">
        <f t="shared" si="131"/>
        <v>0.79999995363461562</v>
      </c>
      <c r="L155" s="23">
        <f t="shared" si="143"/>
        <v>0.42191780821917807</v>
      </c>
      <c r="M155" s="28">
        <f t="shared" si="144"/>
        <v>31</v>
      </c>
      <c r="N155" s="29" t="s">
        <v>9</v>
      </c>
      <c r="O155" s="30">
        <v>1</v>
      </c>
      <c r="P155" s="31">
        <v>0</v>
      </c>
      <c r="Q155" s="1">
        <v>1</v>
      </c>
      <c r="R155" s="32">
        <v>3.1536511903371363</v>
      </c>
      <c r="S155" s="32">
        <v>2.6369999999999969</v>
      </c>
      <c r="T155" s="32">
        <v>0.51665119033713935</v>
      </c>
    </row>
    <row r="156" spans="1:20" x14ac:dyDescent="0.35">
      <c r="A156" s="44">
        <v>43977</v>
      </c>
      <c r="B156" s="20">
        <f t="shared" si="141"/>
        <v>43966</v>
      </c>
      <c r="C156" s="35">
        <v>48.75</v>
      </c>
      <c r="D156" s="36">
        <v>60.65</v>
      </c>
      <c r="E156" s="36">
        <v>41.73</v>
      </c>
      <c r="F156" s="36">
        <v>18.376000000000001</v>
      </c>
      <c r="G156" s="36">
        <v>25.3</v>
      </c>
      <c r="H156" s="42">
        <v>0</v>
      </c>
      <c r="I156" s="40">
        <f t="shared" ref="I156:J156" si="150">20%+(I155-20%)*0.95</f>
        <v>0.20008389529997167</v>
      </c>
      <c r="J156" s="40">
        <f t="shared" si="150"/>
        <v>0.20012304643995846</v>
      </c>
      <c r="K156" s="41">
        <f t="shared" si="131"/>
        <v>0.79999995827115411</v>
      </c>
      <c r="L156" s="23">
        <f t="shared" si="143"/>
        <v>0.42465753424657532</v>
      </c>
      <c r="M156" s="28">
        <f t="shared" si="144"/>
        <v>31</v>
      </c>
      <c r="N156" s="29" t="s">
        <v>9</v>
      </c>
      <c r="O156" s="30">
        <v>1</v>
      </c>
      <c r="P156" s="31">
        <v>0</v>
      </c>
      <c r="Q156" s="1">
        <v>1</v>
      </c>
      <c r="R156" s="32">
        <v>3.1573231185688826</v>
      </c>
      <c r="S156" s="32">
        <v>2.6369999999999969</v>
      </c>
      <c r="T156" s="32">
        <v>0.52032311856888569</v>
      </c>
    </row>
    <row r="157" spans="1:20" x14ac:dyDescent="0.35">
      <c r="A157" s="44">
        <v>43978</v>
      </c>
      <c r="B157" s="20">
        <f t="shared" si="141"/>
        <v>43969</v>
      </c>
      <c r="C157" s="35">
        <v>48.75</v>
      </c>
      <c r="D157" s="36">
        <v>60.65</v>
      </c>
      <c r="E157" s="36">
        <v>41.73</v>
      </c>
      <c r="F157" s="36">
        <v>18.376000000000001</v>
      </c>
      <c r="G157" s="36">
        <v>25.3</v>
      </c>
      <c r="H157" s="42">
        <v>0</v>
      </c>
      <c r="I157" s="40">
        <f t="shared" ref="I157:J157" si="151">20%+(I156-20%)*0.95</f>
        <v>0.20007970053497309</v>
      </c>
      <c r="J157" s="40">
        <f t="shared" si="151"/>
        <v>0.20011689411796055</v>
      </c>
      <c r="K157" s="41">
        <f t="shared" si="131"/>
        <v>0.7999999624440387</v>
      </c>
      <c r="L157" s="23">
        <f t="shared" si="143"/>
        <v>0.43287671232876712</v>
      </c>
      <c r="M157" s="28">
        <f t="shared" si="144"/>
        <v>31</v>
      </c>
      <c r="N157" s="29" t="s">
        <v>9</v>
      </c>
      <c r="O157" s="30">
        <v>1</v>
      </c>
      <c r="P157" s="31">
        <v>0</v>
      </c>
      <c r="Q157" s="1">
        <v>1</v>
      </c>
      <c r="R157" s="32">
        <v>3.1683786855736429</v>
      </c>
      <c r="S157" s="32">
        <v>2.6369999999999969</v>
      </c>
      <c r="T157" s="32">
        <v>0.53137868557364598</v>
      </c>
    </row>
    <row r="158" spans="1:20" x14ac:dyDescent="0.35">
      <c r="A158" s="44">
        <v>43979</v>
      </c>
      <c r="B158" s="20">
        <f t="shared" si="141"/>
        <v>43970</v>
      </c>
      <c r="C158" s="35">
        <v>48.75</v>
      </c>
      <c r="D158" s="36">
        <v>60.65</v>
      </c>
      <c r="E158" s="36">
        <v>41.73</v>
      </c>
      <c r="F158" s="36">
        <v>18.376000000000001</v>
      </c>
      <c r="G158" s="36">
        <v>25.3</v>
      </c>
      <c r="H158" s="42">
        <v>0</v>
      </c>
      <c r="I158" s="40">
        <f t="shared" ref="I158:J158" si="152">20%+(I157-20%)*0.95</f>
        <v>0.20007571550822445</v>
      </c>
      <c r="J158" s="40">
        <f t="shared" si="152"/>
        <v>0.20011104941206251</v>
      </c>
      <c r="K158" s="41">
        <f t="shared" si="131"/>
        <v>0.79999996619963487</v>
      </c>
      <c r="L158" s="23">
        <f t="shared" si="143"/>
        <v>0.43561643835616437</v>
      </c>
      <c r="M158" s="28">
        <f t="shared" si="144"/>
        <v>31</v>
      </c>
      <c r="N158" s="29" t="s">
        <v>9</v>
      </c>
      <c r="O158" s="30">
        <v>1</v>
      </c>
      <c r="P158" s="31">
        <v>0</v>
      </c>
      <c r="Q158" s="1">
        <v>1</v>
      </c>
      <c r="R158" s="32">
        <v>3.1720295678106822</v>
      </c>
      <c r="S158" s="32">
        <v>2.6369999999999969</v>
      </c>
      <c r="T158" s="32">
        <v>0.53502956781068534</v>
      </c>
    </row>
    <row r="159" spans="1:20" x14ac:dyDescent="0.35">
      <c r="A159" s="44">
        <v>43980</v>
      </c>
      <c r="B159" s="20">
        <f t="shared" si="141"/>
        <v>43971</v>
      </c>
      <c r="C159" s="35">
        <v>48.75</v>
      </c>
      <c r="D159" s="36">
        <v>60.65</v>
      </c>
      <c r="E159" s="36">
        <v>41.73</v>
      </c>
      <c r="F159" s="36">
        <v>18.376000000000001</v>
      </c>
      <c r="G159" s="36">
        <v>25.3</v>
      </c>
      <c r="H159" s="42">
        <v>0</v>
      </c>
      <c r="I159" s="40">
        <f t="shared" ref="I159:J159" si="153">20%+(I158-20%)*0.95</f>
        <v>0.20007192973281324</v>
      </c>
      <c r="J159" s="40">
        <f t="shared" si="153"/>
        <v>0.20010549694145938</v>
      </c>
      <c r="K159" s="41">
        <f t="shared" si="131"/>
        <v>0.79999996957967134</v>
      </c>
      <c r="L159" s="23">
        <f t="shared" si="143"/>
        <v>0.43835616438356162</v>
      </c>
      <c r="M159" s="28">
        <f t="shared" si="144"/>
        <v>31</v>
      </c>
      <c r="N159" s="29" t="s">
        <v>9</v>
      </c>
      <c r="O159" s="30">
        <v>1</v>
      </c>
      <c r="P159" s="31">
        <v>0</v>
      </c>
      <c r="Q159" s="1">
        <v>1</v>
      </c>
      <c r="R159" s="32">
        <v>3.1756759568057333</v>
      </c>
      <c r="S159" s="32">
        <v>2.6369999999999969</v>
      </c>
      <c r="T159" s="32">
        <v>0.53867595680573643</v>
      </c>
    </row>
    <row r="160" spans="1:20" x14ac:dyDescent="0.35">
      <c r="A160" s="44">
        <v>43981</v>
      </c>
      <c r="B160" s="20">
        <f t="shared" si="141"/>
        <v>43972</v>
      </c>
      <c r="C160" s="35">
        <v>48.75</v>
      </c>
      <c r="D160" s="36">
        <v>60.65</v>
      </c>
      <c r="E160" s="36">
        <v>41.73</v>
      </c>
      <c r="F160" s="36">
        <v>18.376000000000001</v>
      </c>
      <c r="G160" s="36">
        <v>25.3</v>
      </c>
      <c r="H160" s="42">
        <v>0</v>
      </c>
      <c r="I160" s="40">
        <f t="shared" ref="I160:J160" si="154">20%+(I159-20%)*0.95</f>
        <v>0.20006833324617257</v>
      </c>
      <c r="J160" s="40">
        <f t="shared" si="154"/>
        <v>0.20010022209438641</v>
      </c>
      <c r="K160" s="41">
        <f t="shared" si="131"/>
        <v>0.79999997262170419</v>
      </c>
      <c r="L160" s="23">
        <f t="shared" si="143"/>
        <v>0.44109589041095892</v>
      </c>
      <c r="M160" s="28">
        <f t="shared" si="144"/>
        <v>31</v>
      </c>
      <c r="N160" s="29" t="s">
        <v>9</v>
      </c>
      <c r="O160" s="30">
        <v>1</v>
      </c>
      <c r="P160" s="31">
        <v>0</v>
      </c>
      <c r="Q160" s="1">
        <v>1</v>
      </c>
      <c r="R160" s="32">
        <v>3.1793178023754649</v>
      </c>
      <c r="S160" s="32">
        <v>2.6369999999999969</v>
      </c>
      <c r="T160" s="32">
        <v>0.54231780237546801</v>
      </c>
    </row>
    <row r="161" spans="1:20" x14ac:dyDescent="0.35">
      <c r="A161" s="44">
        <v>43982</v>
      </c>
      <c r="B161" s="20">
        <f t="shared" si="141"/>
        <v>43972</v>
      </c>
      <c r="C161" s="35">
        <v>48.75</v>
      </c>
      <c r="D161" s="36">
        <v>60.65</v>
      </c>
      <c r="E161" s="36">
        <v>41.73</v>
      </c>
      <c r="F161" s="36">
        <v>18.376000000000001</v>
      </c>
      <c r="G161" s="36">
        <v>25.3</v>
      </c>
      <c r="H161" s="42">
        <v>0</v>
      </c>
      <c r="I161" s="40">
        <f t="shared" ref="I161:J161" si="155">20%+(I160-20%)*0.95</f>
        <v>0.20006491658386394</v>
      </c>
      <c r="J161" s="40">
        <f t="shared" si="155"/>
        <v>0.20009521098966709</v>
      </c>
      <c r="K161" s="41">
        <f t="shared" si="131"/>
        <v>0.79999997535953382</v>
      </c>
      <c r="L161" s="23">
        <f t="shared" si="143"/>
        <v>0.44109589041095892</v>
      </c>
      <c r="M161" s="28">
        <f t="shared" si="144"/>
        <v>31</v>
      </c>
      <c r="N161" s="29" t="s">
        <v>9</v>
      </c>
      <c r="O161" s="30">
        <v>1</v>
      </c>
      <c r="P161" s="31">
        <v>0</v>
      </c>
      <c r="Q161" s="1">
        <v>1</v>
      </c>
      <c r="R161" s="32">
        <v>3.1792881360604497</v>
      </c>
      <c r="S161" s="32">
        <v>2.6369999999999969</v>
      </c>
      <c r="T161" s="32">
        <v>0.54228813606045279</v>
      </c>
    </row>
    <row r="162" spans="1:20" x14ac:dyDescent="0.35">
      <c r="A162" s="44">
        <v>43983</v>
      </c>
      <c r="B162" s="20">
        <f t="shared" si="141"/>
        <v>43972</v>
      </c>
      <c r="C162" s="35">
        <v>48.75</v>
      </c>
      <c r="D162" s="36">
        <v>60.65</v>
      </c>
      <c r="E162" s="36">
        <v>41.73</v>
      </c>
      <c r="F162" s="36">
        <v>18.376000000000001</v>
      </c>
      <c r="G162" s="36">
        <v>25.3</v>
      </c>
      <c r="H162" s="42">
        <v>0</v>
      </c>
      <c r="I162" s="40">
        <f t="shared" ref="I162:J162" si="156">20%+(I161-20%)*0.95</f>
        <v>0.20006167075467074</v>
      </c>
      <c r="J162" s="40">
        <f t="shared" si="156"/>
        <v>0.20009045044018375</v>
      </c>
      <c r="K162" s="41">
        <f t="shared" si="131"/>
        <v>0.79999997782358045</v>
      </c>
      <c r="L162" s="23">
        <f t="shared" si="143"/>
        <v>0.44109589041095892</v>
      </c>
      <c r="M162" s="28">
        <f t="shared" si="144"/>
        <v>31</v>
      </c>
      <c r="N162" s="29" t="s">
        <v>9</v>
      </c>
      <c r="O162" s="30">
        <v>1</v>
      </c>
      <c r="P162" s="31">
        <v>0</v>
      </c>
      <c r="Q162" s="1">
        <v>1</v>
      </c>
      <c r="R162" s="32">
        <v>3.1792599538763895</v>
      </c>
      <c r="S162" s="32">
        <v>2.6369999999999969</v>
      </c>
      <c r="T162" s="32">
        <v>0.54225995387639259</v>
      </c>
    </row>
    <row r="163" spans="1:20" x14ac:dyDescent="0.35">
      <c r="A163" s="44">
        <v>43984</v>
      </c>
      <c r="B163" s="20">
        <f t="shared" si="141"/>
        <v>43973</v>
      </c>
      <c r="C163" s="35">
        <v>48.75</v>
      </c>
      <c r="D163" s="36">
        <v>60.65</v>
      </c>
      <c r="E163" s="36">
        <v>41.73</v>
      </c>
      <c r="F163" s="36">
        <v>18.376000000000001</v>
      </c>
      <c r="G163" s="36">
        <v>25.3</v>
      </c>
      <c r="H163" s="42">
        <v>0</v>
      </c>
      <c r="I163" s="40">
        <f t="shared" ref="I163:J163" si="157">20%+(I162-20%)*0.95</f>
        <v>0.2000585872169372</v>
      </c>
      <c r="J163" s="40">
        <f t="shared" si="157"/>
        <v>0.20008592791817456</v>
      </c>
      <c r="K163" s="41">
        <f t="shared" si="131"/>
        <v>0.79999998004122241</v>
      </c>
      <c r="L163" s="23">
        <f t="shared" si="143"/>
        <v>0.44383561643835617</v>
      </c>
      <c r="M163" s="28">
        <f t="shared" si="144"/>
        <v>31</v>
      </c>
      <c r="N163" s="29" t="s">
        <v>9</v>
      </c>
      <c r="O163" s="30">
        <v>1</v>
      </c>
      <c r="P163" s="31">
        <v>0</v>
      </c>
      <c r="Q163" s="1">
        <v>1</v>
      </c>
      <c r="R163" s="32">
        <v>3.1828998498338095</v>
      </c>
      <c r="S163" s="32">
        <v>2.6369999999999969</v>
      </c>
      <c r="T163" s="32">
        <v>0.54589984983381257</v>
      </c>
    </row>
    <row r="164" spans="1:20" x14ac:dyDescent="0.35">
      <c r="A164" s="44">
        <v>43985</v>
      </c>
      <c r="B164" s="20">
        <f t="shared" si="141"/>
        <v>43976</v>
      </c>
      <c r="C164" s="35">
        <v>48.75</v>
      </c>
      <c r="D164" s="36">
        <v>60.65</v>
      </c>
      <c r="E164" s="36">
        <v>41.73</v>
      </c>
      <c r="F164" s="36">
        <v>18.376000000000001</v>
      </c>
      <c r="G164" s="36">
        <v>25.3</v>
      </c>
      <c r="H164" s="42">
        <v>0</v>
      </c>
      <c r="I164" s="40">
        <f t="shared" ref="I164:J164" si="158">20%+(I163-20%)*0.95</f>
        <v>0.20005565785609034</v>
      </c>
      <c r="J164" s="40">
        <f t="shared" si="158"/>
        <v>0.20008163152226582</v>
      </c>
      <c r="K164" s="41">
        <f t="shared" si="131"/>
        <v>0.79999998203710021</v>
      </c>
      <c r="L164" s="23">
        <f t="shared" si="143"/>
        <v>0.45205479452054792</v>
      </c>
      <c r="M164" s="28">
        <f t="shared" si="144"/>
        <v>31</v>
      </c>
      <c r="N164" s="29" t="s">
        <v>9</v>
      </c>
      <c r="O164" s="30">
        <v>1</v>
      </c>
      <c r="P164" s="31">
        <v>0</v>
      </c>
      <c r="Q164" s="1">
        <v>1</v>
      </c>
      <c r="R164" s="32">
        <v>3.1938388482128346</v>
      </c>
      <c r="S164" s="32">
        <v>2.6369999999999969</v>
      </c>
      <c r="T164" s="32">
        <v>0.55683884821283769</v>
      </c>
    </row>
    <row r="165" spans="1:20" x14ac:dyDescent="0.35">
      <c r="A165" s="44">
        <v>43986</v>
      </c>
      <c r="B165" s="20">
        <f t="shared" si="141"/>
        <v>43977</v>
      </c>
      <c r="C165" s="35">
        <v>48.75</v>
      </c>
      <c r="D165" s="36">
        <v>60.65</v>
      </c>
      <c r="E165" s="36">
        <v>41.73</v>
      </c>
      <c r="F165" s="36">
        <v>18.376000000000001</v>
      </c>
      <c r="G165" s="36">
        <v>25.3</v>
      </c>
      <c r="H165" s="42">
        <v>0</v>
      </c>
      <c r="I165" s="40">
        <f t="shared" ref="I165:J165" si="159">20%+(I164-20%)*0.95</f>
        <v>0.20005287496328583</v>
      </c>
      <c r="J165" s="40">
        <f t="shared" si="159"/>
        <v>0.20007754994615254</v>
      </c>
      <c r="K165" s="41">
        <f t="shared" si="131"/>
        <v>0.79999998383339022</v>
      </c>
      <c r="L165" s="23">
        <f t="shared" si="143"/>
        <v>0.45479452054794522</v>
      </c>
      <c r="M165" s="28">
        <f t="shared" si="144"/>
        <v>31</v>
      </c>
      <c r="N165" s="29" t="s">
        <v>9</v>
      </c>
      <c r="O165" s="30">
        <v>1</v>
      </c>
      <c r="P165" s="31">
        <v>0</v>
      </c>
      <c r="Q165" s="1">
        <v>1</v>
      </c>
      <c r="R165" s="32">
        <v>3.1974573237421993</v>
      </c>
      <c r="S165" s="32">
        <v>2.6369999999999969</v>
      </c>
      <c r="T165" s="32">
        <v>0.56045732374220236</v>
      </c>
    </row>
    <row r="166" spans="1:20" x14ac:dyDescent="0.35">
      <c r="A166" s="44">
        <v>43987</v>
      </c>
      <c r="B166" s="20">
        <f t="shared" si="141"/>
        <v>43978</v>
      </c>
      <c r="C166" s="35">
        <v>48.75</v>
      </c>
      <c r="D166" s="36">
        <v>60.65</v>
      </c>
      <c r="E166" s="36">
        <v>41.73</v>
      </c>
      <c r="F166" s="36">
        <v>18.376000000000001</v>
      </c>
      <c r="G166" s="36">
        <v>25.3</v>
      </c>
      <c r="H166" s="42">
        <v>0</v>
      </c>
      <c r="I166" s="40">
        <f t="shared" ref="I166:J166" si="160">20%+(I165-20%)*0.95</f>
        <v>0.20005023121512155</v>
      </c>
      <c r="J166" s="40">
        <f t="shared" si="160"/>
        <v>0.20007367244884491</v>
      </c>
      <c r="K166" s="41">
        <f t="shared" si="131"/>
        <v>0.79999998545005124</v>
      </c>
      <c r="L166" s="23">
        <f t="shared" si="143"/>
        <v>0.45753424657534247</v>
      </c>
      <c r="M166" s="28">
        <f t="shared" si="144"/>
        <v>31</v>
      </c>
      <c r="N166" s="29" t="s">
        <v>9</v>
      </c>
      <c r="O166" s="30">
        <v>1</v>
      </c>
      <c r="P166" s="31">
        <v>0</v>
      </c>
      <c r="Q166" s="1">
        <v>1</v>
      </c>
      <c r="R166" s="32">
        <v>3.2010710130424727</v>
      </c>
      <c r="S166" s="32">
        <v>2.6369999999999969</v>
      </c>
      <c r="T166" s="32">
        <v>0.56407101304247576</v>
      </c>
    </row>
    <row r="167" spans="1:20" x14ac:dyDescent="0.35">
      <c r="A167" s="44">
        <v>43988</v>
      </c>
      <c r="B167" s="20">
        <f t="shared" si="141"/>
        <v>43979</v>
      </c>
      <c r="C167" s="35">
        <v>48.75</v>
      </c>
      <c r="D167" s="36">
        <v>60.65</v>
      </c>
      <c r="E167" s="36">
        <v>41.73</v>
      </c>
      <c r="F167" s="36">
        <v>18.376000000000001</v>
      </c>
      <c r="G167" s="36">
        <v>25.3</v>
      </c>
      <c r="H167" s="42">
        <v>0</v>
      </c>
      <c r="I167" s="40">
        <f t="shared" ref="I167:J167" si="161">20%+(I166-20%)*0.95</f>
        <v>0.20004771965436546</v>
      </c>
      <c r="J167" s="40">
        <f t="shared" si="161"/>
        <v>0.20006998882640267</v>
      </c>
      <c r="K167" s="41">
        <f t="shared" si="131"/>
        <v>0.79999998690504615</v>
      </c>
      <c r="L167" s="23">
        <f t="shared" si="143"/>
        <v>0.46027397260273972</v>
      </c>
      <c r="M167" s="28">
        <f t="shared" si="144"/>
        <v>31</v>
      </c>
      <c r="N167" s="29" t="s">
        <v>9</v>
      </c>
      <c r="O167" s="30">
        <v>1</v>
      </c>
      <c r="P167" s="31">
        <v>0</v>
      </c>
      <c r="Q167" s="1">
        <v>1</v>
      </c>
      <c r="R167" s="32">
        <v>3.2046798843277031</v>
      </c>
      <c r="S167" s="32">
        <v>2.6369999999999969</v>
      </c>
      <c r="T167" s="32">
        <v>0.56767988432770622</v>
      </c>
    </row>
    <row r="168" spans="1:20" x14ac:dyDescent="0.35">
      <c r="A168" s="44">
        <v>43989</v>
      </c>
      <c r="B168" s="20">
        <f t="shared" si="141"/>
        <v>43979</v>
      </c>
      <c r="C168" s="35">
        <v>48.75</v>
      </c>
      <c r="D168" s="36">
        <v>60.65</v>
      </c>
      <c r="E168" s="36">
        <v>41.73</v>
      </c>
      <c r="F168" s="36">
        <v>18.376000000000001</v>
      </c>
      <c r="G168" s="36">
        <v>25.3</v>
      </c>
      <c r="H168" s="42">
        <v>0</v>
      </c>
      <c r="I168" s="40">
        <f t="shared" ref="I168:J168" si="162">20%+(I167-20%)*0.95</f>
        <v>0.2000453336716472</v>
      </c>
      <c r="J168" s="40">
        <f t="shared" si="162"/>
        <v>0.20006648938508254</v>
      </c>
      <c r="K168" s="41">
        <f t="shared" si="131"/>
        <v>0.79999998821454155</v>
      </c>
      <c r="L168" s="23">
        <f t="shared" si="143"/>
        <v>0.46027397260273972</v>
      </c>
      <c r="M168" s="28">
        <f t="shared" si="144"/>
        <v>31</v>
      </c>
      <c r="N168" s="29" t="s">
        <v>9</v>
      </c>
      <c r="O168" s="30">
        <v>1</v>
      </c>
      <c r="P168" s="31">
        <v>0</v>
      </c>
      <c r="Q168" s="1">
        <v>1</v>
      </c>
      <c r="R168" s="32">
        <v>3.2046585105149106</v>
      </c>
      <c r="S168" s="32">
        <v>2.6369999999999969</v>
      </c>
      <c r="T168" s="32">
        <v>0.56765851051491367</v>
      </c>
    </row>
    <row r="169" spans="1:20" x14ac:dyDescent="0.35">
      <c r="A169" s="44">
        <v>43990</v>
      </c>
      <c r="B169" s="20">
        <f t="shared" si="141"/>
        <v>43979</v>
      </c>
      <c r="C169" s="35">
        <v>48.75</v>
      </c>
      <c r="D169" s="36">
        <v>60.65</v>
      </c>
      <c r="E169" s="36">
        <v>41.73</v>
      </c>
      <c r="F169" s="36">
        <v>18.376000000000001</v>
      </c>
      <c r="G169" s="36">
        <v>25.3</v>
      </c>
      <c r="H169" s="42">
        <v>0</v>
      </c>
      <c r="I169" s="40">
        <f t="shared" ref="I169:J169" si="163">20%+(I168-20%)*0.95</f>
        <v>0.20004306698806484</v>
      </c>
      <c r="J169" s="40">
        <f t="shared" si="163"/>
        <v>0.2000631649158284</v>
      </c>
      <c r="K169" s="41">
        <f t="shared" si="131"/>
        <v>0.79999998939308736</v>
      </c>
      <c r="L169" s="23">
        <f t="shared" si="143"/>
        <v>0.46027397260273972</v>
      </c>
      <c r="M169" s="28">
        <f t="shared" si="144"/>
        <v>31</v>
      </c>
      <c r="N169" s="29" t="s">
        <v>9</v>
      </c>
      <c r="O169" s="30">
        <v>1</v>
      </c>
      <c r="P169" s="31">
        <v>0</v>
      </c>
      <c r="Q169" s="1">
        <v>1</v>
      </c>
      <c r="R169" s="32">
        <v>3.2046382057924561</v>
      </c>
      <c r="S169" s="32">
        <v>2.6369999999999969</v>
      </c>
      <c r="T169" s="32">
        <v>0.56763820579245916</v>
      </c>
    </row>
    <row r="170" spans="1:20" x14ac:dyDescent="0.35">
      <c r="A170" s="44">
        <v>43991</v>
      </c>
      <c r="B170" s="20">
        <f t="shared" si="141"/>
        <v>43980</v>
      </c>
      <c r="C170" s="35">
        <v>48.75</v>
      </c>
      <c r="D170" s="36">
        <v>60.65</v>
      </c>
      <c r="E170" s="36">
        <v>41.73</v>
      </c>
      <c r="F170" s="36">
        <v>18.376000000000001</v>
      </c>
      <c r="G170" s="36">
        <v>25.3</v>
      </c>
      <c r="H170" s="42">
        <v>0</v>
      </c>
      <c r="I170" s="40">
        <f t="shared" ref="I170:J170" si="164">20%+(I169-20%)*0.95</f>
        <v>0.20004091363866161</v>
      </c>
      <c r="J170" s="40">
        <f t="shared" si="164"/>
        <v>0.20006000667003698</v>
      </c>
      <c r="K170" s="41">
        <f t="shared" si="131"/>
        <v>0.79999999045377868</v>
      </c>
      <c r="L170" s="23">
        <f t="shared" si="143"/>
        <v>0.46301369863013697</v>
      </c>
      <c r="M170" s="28">
        <f t="shared" si="144"/>
        <v>31</v>
      </c>
      <c r="N170" s="29" t="s">
        <v>9</v>
      </c>
      <c r="O170" s="30">
        <v>1</v>
      </c>
      <c r="P170" s="31">
        <v>0</v>
      </c>
      <c r="Q170" s="1">
        <v>1</v>
      </c>
      <c r="R170" s="32">
        <v>3.2082441418842791</v>
      </c>
      <c r="S170" s="32">
        <v>2.6369999999999969</v>
      </c>
      <c r="T170" s="32">
        <v>0.57124414188428219</v>
      </c>
    </row>
    <row r="171" spans="1:20" x14ac:dyDescent="0.35">
      <c r="A171" s="44">
        <v>43992</v>
      </c>
      <c r="B171" s="20">
        <f t="shared" si="141"/>
        <v>43983</v>
      </c>
      <c r="C171" s="35">
        <v>48.75</v>
      </c>
      <c r="D171" s="36">
        <v>60.65</v>
      </c>
      <c r="E171" s="36">
        <v>41.73</v>
      </c>
      <c r="F171" s="36">
        <v>18.376000000000001</v>
      </c>
      <c r="G171" s="36">
        <v>25.3</v>
      </c>
      <c r="H171" s="42">
        <v>0</v>
      </c>
      <c r="I171" s="40">
        <f t="shared" ref="I171:J171" si="165">20%+(I170-20%)*0.95</f>
        <v>0.20003886795672854</v>
      </c>
      <c r="J171" s="40">
        <f t="shared" si="165"/>
        <v>0.20005700633653514</v>
      </c>
      <c r="K171" s="41">
        <f t="shared" si="131"/>
        <v>0.79999999140840083</v>
      </c>
      <c r="L171" s="23">
        <f t="shared" si="143"/>
        <v>0.47123287671232877</v>
      </c>
      <c r="M171" s="28">
        <f t="shared" si="144"/>
        <v>30</v>
      </c>
      <c r="N171" s="29" t="s">
        <v>9</v>
      </c>
      <c r="O171" s="30">
        <v>1</v>
      </c>
      <c r="P171" s="31">
        <v>0</v>
      </c>
      <c r="Q171" s="1">
        <v>1</v>
      </c>
      <c r="R171" s="32">
        <v>3.219066628996778</v>
      </c>
      <c r="S171" s="32">
        <v>2.6369999999999969</v>
      </c>
      <c r="T171" s="32">
        <v>0.58206662899678108</v>
      </c>
    </row>
    <row r="172" spans="1:20" x14ac:dyDescent="0.35">
      <c r="A172" s="44">
        <v>43993</v>
      </c>
      <c r="B172" s="20">
        <f t="shared" si="141"/>
        <v>43984</v>
      </c>
      <c r="C172" s="35">
        <v>48.75</v>
      </c>
      <c r="D172" s="36">
        <v>60.65</v>
      </c>
      <c r="E172" s="36">
        <v>41.73</v>
      </c>
      <c r="F172" s="36">
        <v>18.376000000000001</v>
      </c>
      <c r="G172" s="36">
        <v>25.3</v>
      </c>
      <c r="H172" s="42">
        <v>0</v>
      </c>
      <c r="I172" s="40">
        <f t="shared" ref="I172:J172" si="166">20%+(I171-20%)*0.95</f>
        <v>0.2000369245588921</v>
      </c>
      <c r="J172" s="40">
        <f t="shared" si="166"/>
        <v>0.20005415601970838</v>
      </c>
      <c r="K172" s="41">
        <f t="shared" si="131"/>
        <v>0.7999999922675608</v>
      </c>
      <c r="L172" s="23">
        <f t="shared" si="143"/>
        <v>0.47397260273972602</v>
      </c>
      <c r="M172" s="28">
        <f t="shared" si="144"/>
        <v>30</v>
      </c>
      <c r="N172" s="29" t="s">
        <v>9</v>
      </c>
      <c r="O172" s="30">
        <v>1</v>
      </c>
      <c r="P172" s="31">
        <v>0</v>
      </c>
      <c r="Q172" s="1">
        <v>1</v>
      </c>
      <c r="R172" s="32">
        <v>3.2226510075619004</v>
      </c>
      <c r="S172" s="32">
        <v>2.6369999999999969</v>
      </c>
      <c r="T172" s="32">
        <v>0.58565100756190347</v>
      </c>
    </row>
    <row r="173" spans="1:20" x14ac:dyDescent="0.35">
      <c r="A173" s="44">
        <v>43994</v>
      </c>
      <c r="B173" s="20">
        <f t="shared" si="141"/>
        <v>43985</v>
      </c>
      <c r="C173" s="35">
        <v>48.75</v>
      </c>
      <c r="D173" s="36">
        <v>60.65</v>
      </c>
      <c r="E173" s="36">
        <v>41.73</v>
      </c>
      <c r="F173" s="36">
        <v>18.376000000000001</v>
      </c>
      <c r="G173" s="36">
        <v>25.3</v>
      </c>
      <c r="H173" s="42">
        <v>0</v>
      </c>
      <c r="I173" s="40">
        <f t="shared" ref="I173:J173" si="167">20%+(I172-20%)*0.95</f>
        <v>0.2000350783309475</v>
      </c>
      <c r="J173" s="40">
        <f t="shared" si="167"/>
        <v>0.20005144821872298</v>
      </c>
      <c r="K173" s="41">
        <f t="shared" si="131"/>
        <v>0.79999999304080471</v>
      </c>
      <c r="L173" s="23">
        <f t="shared" si="143"/>
        <v>0.47671232876712327</v>
      </c>
      <c r="M173" s="28">
        <f t="shared" si="144"/>
        <v>30</v>
      </c>
      <c r="N173" s="29" t="s">
        <v>9</v>
      </c>
      <c r="O173" s="30">
        <v>1</v>
      </c>
      <c r="P173" s="31">
        <v>0</v>
      </c>
      <c r="Q173" s="1">
        <v>1</v>
      </c>
      <c r="R173" s="32">
        <v>3.2262304206582826</v>
      </c>
      <c r="S173" s="32">
        <v>2.6369999999999969</v>
      </c>
      <c r="T173" s="32">
        <v>0.58923042065828568</v>
      </c>
    </row>
    <row r="174" spans="1:20" x14ac:dyDescent="0.35">
      <c r="A174" s="44">
        <v>43995</v>
      </c>
      <c r="B174" s="20">
        <f t="shared" si="141"/>
        <v>43986</v>
      </c>
      <c r="C174" s="35">
        <v>48.75</v>
      </c>
      <c r="D174" s="36">
        <v>60.65</v>
      </c>
      <c r="E174" s="36">
        <v>41.73</v>
      </c>
      <c r="F174" s="36">
        <v>18.376000000000001</v>
      </c>
      <c r="G174" s="36">
        <v>25.3</v>
      </c>
      <c r="H174" s="42">
        <v>0</v>
      </c>
      <c r="I174" s="40">
        <f t="shared" ref="I174:J174" si="168">20%+(I173-20%)*0.95</f>
        <v>0.20003332441440011</v>
      </c>
      <c r="J174" s="40">
        <f t="shared" si="168"/>
        <v>0.20004887580778682</v>
      </c>
      <c r="K174" s="41">
        <f t="shared" si="131"/>
        <v>0.79999999373672426</v>
      </c>
      <c r="L174" s="23">
        <f t="shared" si="143"/>
        <v>0.47945205479452052</v>
      </c>
      <c r="M174" s="28">
        <f t="shared" si="144"/>
        <v>30</v>
      </c>
      <c r="N174" s="29" t="s">
        <v>9</v>
      </c>
      <c r="O174" s="30">
        <v>1</v>
      </c>
      <c r="P174" s="31">
        <v>0</v>
      </c>
      <c r="Q174" s="1">
        <v>1</v>
      </c>
      <c r="R174" s="32">
        <v>3.2298048501321617</v>
      </c>
      <c r="S174" s="32">
        <v>2.6369999999999969</v>
      </c>
      <c r="T174" s="32">
        <v>0.59280485013216477</v>
      </c>
    </row>
    <row r="175" spans="1:20" x14ac:dyDescent="0.35">
      <c r="A175" s="44">
        <v>43996</v>
      </c>
      <c r="B175" s="20">
        <f t="shared" si="141"/>
        <v>43986</v>
      </c>
      <c r="C175" s="35">
        <v>48.75</v>
      </c>
      <c r="D175" s="36">
        <v>60.65</v>
      </c>
      <c r="E175" s="36">
        <v>41.73</v>
      </c>
      <c r="F175" s="36">
        <v>18.376000000000001</v>
      </c>
      <c r="G175" s="36">
        <v>25.3</v>
      </c>
      <c r="H175" s="42">
        <v>0</v>
      </c>
      <c r="I175" s="40">
        <f t="shared" ref="I175:J175" si="169">20%+(I174-20%)*0.95</f>
        <v>0.2000316581936801</v>
      </c>
      <c r="J175" s="40">
        <f t="shared" si="169"/>
        <v>0.2000464320173975</v>
      </c>
      <c r="K175" s="41">
        <f t="shared" si="131"/>
        <v>0.7999999943630518</v>
      </c>
      <c r="L175" s="23">
        <f t="shared" si="143"/>
        <v>0.47945205479452052</v>
      </c>
      <c r="M175" s="28">
        <f t="shared" si="144"/>
        <v>30</v>
      </c>
      <c r="N175" s="29" t="s">
        <v>9</v>
      </c>
      <c r="O175" s="30">
        <v>1</v>
      </c>
      <c r="P175" s="31">
        <v>0</v>
      </c>
      <c r="Q175" s="1">
        <v>1</v>
      </c>
      <c r="R175" s="32">
        <v>3.2297894758129644</v>
      </c>
      <c r="S175" s="32">
        <v>2.6369999999999969</v>
      </c>
      <c r="T175" s="32">
        <v>0.59278947581296748</v>
      </c>
    </row>
    <row r="176" spans="1:20" x14ac:dyDescent="0.35">
      <c r="A176" s="44">
        <v>43997</v>
      </c>
      <c r="B176" s="20">
        <f t="shared" si="141"/>
        <v>43986</v>
      </c>
      <c r="C176" s="35">
        <v>48.75</v>
      </c>
      <c r="D176" s="36">
        <v>60.65</v>
      </c>
      <c r="E176" s="36">
        <v>41.73</v>
      </c>
      <c r="F176" s="36">
        <v>18.376000000000001</v>
      </c>
      <c r="G176" s="36">
        <v>25.3</v>
      </c>
      <c r="H176" s="42">
        <v>0</v>
      </c>
      <c r="I176" s="40">
        <f t="shared" ref="I176:J176" si="170">20%+(I175-20%)*0.95</f>
        <v>0.20003007528399611</v>
      </c>
      <c r="J176" s="40">
        <f t="shared" si="170"/>
        <v>0.20004411041652762</v>
      </c>
      <c r="K176" s="41">
        <f t="shared" si="131"/>
        <v>0.79999999492674667</v>
      </c>
      <c r="L176" s="23">
        <f t="shared" si="143"/>
        <v>0.47945205479452052</v>
      </c>
      <c r="M176" s="28">
        <f t="shared" si="144"/>
        <v>30</v>
      </c>
      <c r="N176" s="29" t="s">
        <v>9</v>
      </c>
      <c r="O176" s="30">
        <v>1</v>
      </c>
      <c r="P176" s="31">
        <v>0</v>
      </c>
      <c r="Q176" s="1">
        <v>1</v>
      </c>
      <c r="R176" s="32">
        <v>3.2297748704055422</v>
      </c>
      <c r="S176" s="32">
        <v>2.6369999999999969</v>
      </c>
      <c r="T176" s="32">
        <v>0.59277487040554533</v>
      </c>
    </row>
    <row r="177" spans="1:20" x14ac:dyDescent="0.35">
      <c r="A177" s="44">
        <v>43998</v>
      </c>
      <c r="B177" s="20">
        <f t="shared" si="141"/>
        <v>43987</v>
      </c>
      <c r="C177" s="35">
        <v>48.75</v>
      </c>
      <c r="D177" s="36">
        <v>60.65</v>
      </c>
      <c r="E177" s="36">
        <v>41.73</v>
      </c>
      <c r="F177" s="36">
        <v>18.376000000000001</v>
      </c>
      <c r="G177" s="36">
        <v>25.3</v>
      </c>
      <c r="H177" s="42">
        <v>0</v>
      </c>
      <c r="I177" s="40">
        <f t="shared" ref="I177:J177" si="171">20%+(I176-20%)*0.95</f>
        <v>0.20002857151979631</v>
      </c>
      <c r="J177" s="40">
        <f t="shared" si="171"/>
        <v>0.20004190489570123</v>
      </c>
      <c r="K177" s="41">
        <f t="shared" si="131"/>
        <v>0.79999999543407196</v>
      </c>
      <c r="L177" s="23">
        <f t="shared" si="143"/>
        <v>0.48219178082191783</v>
      </c>
      <c r="M177" s="28">
        <f t="shared" si="144"/>
        <v>30</v>
      </c>
      <c r="N177" s="29" t="s">
        <v>9</v>
      </c>
      <c r="O177" s="30">
        <v>1</v>
      </c>
      <c r="P177" s="31">
        <v>0</v>
      </c>
      <c r="Q177" s="1">
        <v>1</v>
      </c>
      <c r="R177" s="32">
        <v>3.233345681624165</v>
      </c>
      <c r="S177" s="32">
        <v>2.6369999999999969</v>
      </c>
      <c r="T177" s="32">
        <v>0.59634568162416812</v>
      </c>
    </row>
    <row r="178" spans="1:20" x14ac:dyDescent="0.35">
      <c r="A178" s="44">
        <v>43999</v>
      </c>
      <c r="B178" s="20">
        <f t="shared" si="141"/>
        <v>43990</v>
      </c>
      <c r="C178" s="35">
        <v>48.75</v>
      </c>
      <c r="D178" s="36">
        <v>60.65</v>
      </c>
      <c r="E178" s="36">
        <v>41.73</v>
      </c>
      <c r="F178" s="36">
        <v>18.376000000000001</v>
      </c>
      <c r="G178" s="36">
        <v>25.3</v>
      </c>
      <c r="H178" s="42">
        <v>0</v>
      </c>
      <c r="I178" s="40">
        <f t="shared" ref="I178:J178" si="172">20%+(I177-20%)*0.95</f>
        <v>0.2000271429438065</v>
      </c>
      <c r="J178" s="40">
        <f t="shared" si="172"/>
        <v>0.20003980965091617</v>
      </c>
      <c r="K178" s="41">
        <f t="shared" si="131"/>
        <v>0.79999999589066473</v>
      </c>
      <c r="L178" s="23">
        <f t="shared" si="143"/>
        <v>0.49041095890410957</v>
      </c>
      <c r="M178" s="28">
        <f t="shared" si="144"/>
        <v>30</v>
      </c>
      <c r="N178" s="29" t="s">
        <v>9</v>
      </c>
      <c r="O178" s="30">
        <v>1</v>
      </c>
      <c r="P178" s="31">
        <v>0</v>
      </c>
      <c r="Q178" s="1">
        <v>1</v>
      </c>
      <c r="R178" s="32">
        <v>3.2440524242730646</v>
      </c>
      <c r="S178" s="32">
        <v>2.6369999999999969</v>
      </c>
      <c r="T178" s="32">
        <v>0.60705242427306771</v>
      </c>
    </row>
    <row r="179" spans="1:20" x14ac:dyDescent="0.35">
      <c r="A179" s="44">
        <v>44000</v>
      </c>
      <c r="B179" s="20">
        <f t="shared" si="141"/>
        <v>43991</v>
      </c>
      <c r="C179" s="35">
        <v>48.75</v>
      </c>
      <c r="D179" s="36">
        <v>60.65</v>
      </c>
      <c r="E179" s="36">
        <v>41.73</v>
      </c>
      <c r="F179" s="36">
        <v>18.376000000000001</v>
      </c>
      <c r="G179" s="36">
        <v>25.3</v>
      </c>
      <c r="H179" s="42">
        <v>0</v>
      </c>
      <c r="I179" s="40">
        <f t="shared" ref="I179:J179" si="173">20%+(I178-20%)*0.95</f>
        <v>0.20002578579661617</v>
      </c>
      <c r="J179" s="40">
        <f t="shared" si="173"/>
        <v>0.20003781916837035</v>
      </c>
      <c r="K179" s="41">
        <f t="shared" si="131"/>
        <v>0.79999999630159824</v>
      </c>
      <c r="L179" s="23">
        <f t="shared" si="143"/>
        <v>0.49315068493150682</v>
      </c>
      <c r="M179" s="28">
        <f t="shared" si="144"/>
        <v>30</v>
      </c>
      <c r="N179" s="29" t="s">
        <v>9</v>
      </c>
      <c r="O179" s="30">
        <v>1</v>
      </c>
      <c r="P179" s="31">
        <v>0</v>
      </c>
      <c r="Q179" s="1">
        <v>1</v>
      </c>
      <c r="R179" s="32">
        <v>3.247601717924411</v>
      </c>
      <c r="S179" s="32">
        <v>2.6369999999999969</v>
      </c>
      <c r="T179" s="32">
        <v>0.61060171792441409</v>
      </c>
    </row>
    <row r="180" spans="1:20" x14ac:dyDescent="0.35">
      <c r="A180" s="44">
        <v>44001</v>
      </c>
      <c r="B180" s="20">
        <f t="shared" si="141"/>
        <v>43992</v>
      </c>
      <c r="C180" s="35">
        <v>48.75</v>
      </c>
      <c r="D180" s="36">
        <v>60.65</v>
      </c>
      <c r="E180" s="36">
        <v>41.73</v>
      </c>
      <c r="F180" s="36">
        <v>18.376000000000001</v>
      </c>
      <c r="G180" s="36">
        <v>25.3</v>
      </c>
      <c r="H180" s="42">
        <v>0</v>
      </c>
      <c r="I180" s="40">
        <f t="shared" ref="I180:J180" si="174">20%+(I179-20%)*0.95</f>
        <v>0.20002449650678536</v>
      </c>
      <c r="J180" s="40">
        <f t="shared" si="174"/>
        <v>0.20003592820995184</v>
      </c>
      <c r="K180" s="41">
        <f t="shared" si="131"/>
        <v>0.7999999966714384</v>
      </c>
      <c r="L180" s="23">
        <f t="shared" si="143"/>
        <v>0.49589041095890413</v>
      </c>
      <c r="M180" s="28">
        <f t="shared" si="144"/>
        <v>30</v>
      </c>
      <c r="N180" s="29" t="s">
        <v>9</v>
      </c>
      <c r="O180" s="30">
        <v>1</v>
      </c>
      <c r="P180" s="31">
        <v>0</v>
      </c>
      <c r="Q180" s="1">
        <v>1</v>
      </c>
      <c r="R180" s="32">
        <v>3.2511459508614919</v>
      </c>
      <c r="S180" s="32">
        <v>2.6369999999999969</v>
      </c>
      <c r="T180" s="32">
        <v>0.61414595086149504</v>
      </c>
    </row>
    <row r="181" spans="1:20" x14ac:dyDescent="0.35">
      <c r="A181" s="44">
        <v>44002</v>
      </c>
      <c r="B181" s="20">
        <f t="shared" si="141"/>
        <v>43993</v>
      </c>
      <c r="C181" s="35">
        <v>48.75</v>
      </c>
      <c r="D181" s="36">
        <v>60.65</v>
      </c>
      <c r="E181" s="36">
        <v>41.73</v>
      </c>
      <c r="F181" s="36">
        <v>18.376000000000001</v>
      </c>
      <c r="G181" s="36">
        <v>25.3</v>
      </c>
      <c r="H181" s="42">
        <v>0</v>
      </c>
      <c r="I181" s="40">
        <f t="shared" ref="I181:J181" si="175">20%+(I180-20%)*0.95</f>
        <v>0.2000232716814461</v>
      </c>
      <c r="J181" s="40">
        <f t="shared" si="175"/>
        <v>0.20003413179945426</v>
      </c>
      <c r="K181" s="41">
        <f t="shared" si="131"/>
        <v>0.79999999700429458</v>
      </c>
      <c r="L181" s="23">
        <f t="shared" si="143"/>
        <v>0.49863013698630138</v>
      </c>
      <c r="M181" s="28">
        <f t="shared" si="144"/>
        <v>30</v>
      </c>
      <c r="N181" s="29" t="s">
        <v>9</v>
      </c>
      <c r="O181" s="30">
        <v>1</v>
      </c>
      <c r="P181" s="31">
        <v>0</v>
      </c>
      <c r="Q181" s="1">
        <v>1</v>
      </c>
      <c r="R181" s="32">
        <v>3.2546851149444791</v>
      </c>
      <c r="S181" s="32">
        <v>2.6369999999999969</v>
      </c>
      <c r="T181" s="32">
        <v>0.61768511494448219</v>
      </c>
    </row>
    <row r="182" spans="1:20" x14ac:dyDescent="0.35">
      <c r="A182" s="44">
        <v>44003</v>
      </c>
      <c r="B182" s="20">
        <f t="shared" si="141"/>
        <v>43993</v>
      </c>
      <c r="C182" s="35">
        <v>48.75</v>
      </c>
      <c r="D182" s="36">
        <v>60.65</v>
      </c>
      <c r="E182" s="36">
        <v>41.73</v>
      </c>
      <c r="F182" s="36">
        <v>18.376000000000001</v>
      </c>
      <c r="G182" s="36">
        <v>25.3</v>
      </c>
      <c r="H182" s="42">
        <v>0</v>
      </c>
      <c r="I182" s="40">
        <f t="shared" ref="I182:J182" si="176">20%+(I181-20%)*0.95</f>
        <v>0.20002210809737378</v>
      </c>
      <c r="J182" s="40">
        <f t="shared" si="176"/>
        <v>0.20003242520948156</v>
      </c>
      <c r="K182" s="41">
        <f t="shared" si="131"/>
        <v>0.79999999730386517</v>
      </c>
      <c r="L182" s="23">
        <f t="shared" si="143"/>
        <v>0.49863013698630138</v>
      </c>
      <c r="M182" s="28">
        <f t="shared" si="144"/>
        <v>30</v>
      </c>
      <c r="N182" s="29" t="s">
        <v>9</v>
      </c>
      <c r="O182" s="30">
        <v>1</v>
      </c>
      <c r="P182" s="31">
        <v>0</v>
      </c>
      <c r="Q182" s="1">
        <v>1</v>
      </c>
      <c r="R182" s="32">
        <v>3.2546740724442671</v>
      </c>
      <c r="S182" s="32">
        <v>2.6369999999999969</v>
      </c>
      <c r="T182" s="32">
        <v>0.61767407244427019</v>
      </c>
    </row>
    <row r="183" spans="1:20" x14ac:dyDescent="0.35">
      <c r="A183" s="44">
        <v>44004</v>
      </c>
      <c r="B183" s="20">
        <f t="shared" si="141"/>
        <v>43993</v>
      </c>
      <c r="C183" s="35">
        <v>48.75</v>
      </c>
      <c r="D183" s="36">
        <v>60.65</v>
      </c>
      <c r="E183" s="36">
        <v>41.73</v>
      </c>
      <c r="F183" s="36">
        <v>18.376000000000001</v>
      </c>
      <c r="G183" s="36">
        <v>25.3</v>
      </c>
      <c r="H183" s="42">
        <v>0</v>
      </c>
      <c r="I183" s="40">
        <f t="shared" ref="I183:J183" si="177">20%+(I182-20%)*0.95</f>
        <v>0.20002100269250508</v>
      </c>
      <c r="J183" s="40">
        <f t="shared" si="177"/>
        <v>0.20003080394900749</v>
      </c>
      <c r="K183" s="41">
        <f t="shared" si="131"/>
        <v>0.79999999757347862</v>
      </c>
      <c r="L183" s="23">
        <f t="shared" si="143"/>
        <v>0.49863013698630138</v>
      </c>
      <c r="M183" s="28">
        <f t="shared" si="144"/>
        <v>30</v>
      </c>
      <c r="N183" s="29" t="s">
        <v>9</v>
      </c>
      <c r="O183" s="30">
        <v>1</v>
      </c>
      <c r="P183" s="31">
        <v>0</v>
      </c>
      <c r="Q183" s="1">
        <v>1</v>
      </c>
      <c r="R183" s="32">
        <v>3.2546635821649446</v>
      </c>
      <c r="S183" s="32">
        <v>2.6369999999999969</v>
      </c>
      <c r="T183" s="32">
        <v>0.61766358216494766</v>
      </c>
    </row>
    <row r="184" spans="1:20" x14ac:dyDescent="0.35">
      <c r="A184" s="44">
        <v>44005</v>
      </c>
      <c r="B184" s="20">
        <f t="shared" si="141"/>
        <v>43994</v>
      </c>
      <c r="C184" s="35">
        <v>48.75</v>
      </c>
      <c r="D184" s="36">
        <v>60.65</v>
      </c>
      <c r="E184" s="36">
        <v>41.73</v>
      </c>
      <c r="F184" s="36">
        <v>18.376000000000001</v>
      </c>
      <c r="G184" s="36">
        <v>25.3</v>
      </c>
      <c r="H184" s="42">
        <v>0</v>
      </c>
      <c r="I184" s="40">
        <f t="shared" ref="I184:J184" si="178">20%+(I183-20%)*0.95</f>
        <v>0.20001995255787983</v>
      </c>
      <c r="J184" s="40">
        <f t="shared" si="178"/>
        <v>0.20002926375155711</v>
      </c>
      <c r="K184" s="41">
        <f t="shared" si="131"/>
        <v>0.79999999781613074</v>
      </c>
      <c r="L184" s="23">
        <f t="shared" si="143"/>
        <v>0.50136986301369868</v>
      </c>
      <c r="M184" s="28">
        <f t="shared" si="144"/>
        <v>30</v>
      </c>
      <c r="N184" s="29" t="s">
        <v>9</v>
      </c>
      <c r="O184" s="30">
        <v>1</v>
      </c>
      <c r="P184" s="31">
        <v>0</v>
      </c>
      <c r="Q184" s="1">
        <v>1</v>
      </c>
      <c r="R184" s="32">
        <v>3.2581986671017802</v>
      </c>
      <c r="S184" s="32">
        <v>2.6369999999999969</v>
      </c>
      <c r="T184" s="32">
        <v>0.62119866710178329</v>
      </c>
    </row>
    <row r="185" spans="1:20" x14ac:dyDescent="0.35">
      <c r="A185" s="44">
        <v>44006</v>
      </c>
      <c r="B185" s="20">
        <f t="shared" si="141"/>
        <v>43997</v>
      </c>
      <c r="C185" s="35">
        <v>48.75</v>
      </c>
      <c r="D185" s="36">
        <v>60.65</v>
      </c>
      <c r="E185" s="36">
        <v>41.73</v>
      </c>
      <c r="F185" s="36">
        <v>18.376000000000001</v>
      </c>
      <c r="G185" s="36">
        <v>25.3</v>
      </c>
      <c r="H185" s="42">
        <v>0</v>
      </c>
      <c r="I185" s="40">
        <f t="shared" ref="I185:J185" si="179">20%+(I184-20%)*0.95</f>
        <v>0.20001895492998584</v>
      </c>
      <c r="J185" s="40">
        <f t="shared" si="179"/>
        <v>0.20002780056397926</v>
      </c>
      <c r="K185" s="41">
        <f t="shared" si="131"/>
        <v>0.79999999803451771</v>
      </c>
      <c r="L185" s="23">
        <f t="shared" si="143"/>
        <v>0.50958904109589043</v>
      </c>
      <c r="M185" s="28">
        <f t="shared" si="144"/>
        <v>30</v>
      </c>
      <c r="N185" s="29" t="s">
        <v>9</v>
      </c>
      <c r="O185" s="30">
        <v>1</v>
      </c>
      <c r="P185" s="31">
        <v>0</v>
      </c>
      <c r="Q185" s="1">
        <v>1</v>
      </c>
      <c r="R185" s="32">
        <v>3.2687909604838481</v>
      </c>
      <c r="S185" s="32">
        <v>2.6369999999999969</v>
      </c>
      <c r="T185" s="32">
        <v>0.63179096048385119</v>
      </c>
    </row>
    <row r="186" spans="1:20" x14ac:dyDescent="0.35">
      <c r="A186" s="44">
        <v>44007</v>
      </c>
      <c r="B186" s="20">
        <f t="shared" si="141"/>
        <v>43998</v>
      </c>
      <c r="C186" s="35">
        <v>48.75</v>
      </c>
      <c r="D186" s="36">
        <v>60.65</v>
      </c>
      <c r="E186" s="36">
        <v>41.73</v>
      </c>
      <c r="F186" s="36">
        <v>18.376000000000001</v>
      </c>
      <c r="G186" s="36">
        <v>25.3</v>
      </c>
      <c r="H186" s="42">
        <v>0</v>
      </c>
      <c r="I186" s="40">
        <f t="shared" ref="I186:J186" si="180">20%+(I185-20%)*0.95</f>
        <v>0.20001800718348656</v>
      </c>
      <c r="J186" s="40">
        <f t="shared" si="180"/>
        <v>0.2000264105357803</v>
      </c>
      <c r="K186" s="41">
        <f t="shared" si="131"/>
        <v>0.79999999823106593</v>
      </c>
      <c r="L186" s="23">
        <f t="shared" si="143"/>
        <v>0.51232876712328768</v>
      </c>
      <c r="M186" s="28">
        <f t="shared" si="144"/>
        <v>30</v>
      </c>
      <c r="N186" s="29" t="s">
        <v>9</v>
      </c>
      <c r="O186" s="30">
        <v>1</v>
      </c>
      <c r="P186" s="31">
        <v>0</v>
      </c>
      <c r="Q186" s="1">
        <v>1</v>
      </c>
      <c r="R186" s="32">
        <v>3.272304698029842</v>
      </c>
      <c r="S186" s="32">
        <v>2.6369999999999969</v>
      </c>
      <c r="T186" s="32">
        <v>0.63530469802984513</v>
      </c>
    </row>
    <row r="187" spans="1:20" x14ac:dyDescent="0.35">
      <c r="A187" s="44">
        <v>44008</v>
      </c>
      <c r="B187" s="20">
        <f t="shared" si="141"/>
        <v>43999</v>
      </c>
      <c r="C187" s="35">
        <v>48.75</v>
      </c>
      <c r="D187" s="36">
        <v>60.65</v>
      </c>
      <c r="E187" s="36">
        <v>41.73</v>
      </c>
      <c r="F187" s="36">
        <v>18.376000000000001</v>
      </c>
      <c r="G187" s="36">
        <v>25.3</v>
      </c>
      <c r="H187" s="42">
        <v>0</v>
      </c>
      <c r="I187" s="40">
        <f t="shared" ref="I187:J187" si="181">20%+(I186-20%)*0.95</f>
        <v>0.20001710682431223</v>
      </c>
      <c r="J187" s="40">
        <f t="shared" si="181"/>
        <v>0.20002509000899127</v>
      </c>
      <c r="K187" s="41">
        <f t="shared" si="131"/>
        <v>0.79999999840795932</v>
      </c>
      <c r="L187" s="23">
        <f t="shared" si="143"/>
        <v>0.51506849315068493</v>
      </c>
      <c r="M187" s="28">
        <f t="shared" si="144"/>
        <v>30</v>
      </c>
      <c r="N187" s="29" t="s">
        <v>9</v>
      </c>
      <c r="O187" s="30">
        <v>1</v>
      </c>
      <c r="P187" s="31">
        <v>0</v>
      </c>
      <c r="Q187" s="1">
        <v>1</v>
      </c>
      <c r="R187" s="32">
        <v>3.2758133410842589</v>
      </c>
      <c r="S187" s="32">
        <v>2.6369999999999969</v>
      </c>
      <c r="T187" s="32">
        <v>0.63881334108426202</v>
      </c>
    </row>
    <row r="188" spans="1:20" x14ac:dyDescent="0.35">
      <c r="A188" s="44">
        <v>44009</v>
      </c>
      <c r="B188" s="20">
        <f t="shared" si="141"/>
        <v>44000</v>
      </c>
      <c r="C188" s="35">
        <v>48.75</v>
      </c>
      <c r="D188" s="36">
        <v>60.65</v>
      </c>
      <c r="E188" s="36">
        <v>41.73</v>
      </c>
      <c r="F188" s="36">
        <v>18.376000000000001</v>
      </c>
      <c r="G188" s="36">
        <v>25.3</v>
      </c>
      <c r="H188" s="42">
        <v>0</v>
      </c>
      <c r="I188" s="40">
        <f t="shared" ref="I188:J188" si="182">20%+(I187-20%)*0.95</f>
        <v>0.20001625148309662</v>
      </c>
      <c r="J188" s="40">
        <f t="shared" si="182"/>
        <v>0.20002383550854169</v>
      </c>
      <c r="K188" s="41">
        <f t="shared" si="131"/>
        <v>0.79999999856716342</v>
      </c>
      <c r="L188" s="23">
        <f t="shared" si="143"/>
        <v>0.51780821917808217</v>
      </c>
      <c r="M188" s="28">
        <f t="shared" si="144"/>
        <v>30</v>
      </c>
      <c r="N188" s="29" t="s">
        <v>9</v>
      </c>
      <c r="O188" s="30">
        <v>1</v>
      </c>
      <c r="P188" s="31">
        <v>0</v>
      </c>
      <c r="Q188" s="1">
        <v>1</v>
      </c>
      <c r="R188" s="32">
        <v>3.2793168887929696</v>
      </c>
      <c r="S188" s="32">
        <v>2.6369999999999969</v>
      </c>
      <c r="T188" s="32">
        <v>0.64231688879297266</v>
      </c>
    </row>
    <row r="189" spans="1:20" x14ac:dyDescent="0.35">
      <c r="A189" s="44">
        <v>44010</v>
      </c>
      <c r="B189" s="20">
        <f t="shared" si="141"/>
        <v>44000</v>
      </c>
      <c r="C189" s="35">
        <v>48.75</v>
      </c>
      <c r="D189" s="36">
        <v>60.65</v>
      </c>
      <c r="E189" s="36">
        <v>41.73</v>
      </c>
      <c r="F189" s="36">
        <v>18.376000000000001</v>
      </c>
      <c r="G189" s="36">
        <v>25.3</v>
      </c>
      <c r="H189" s="42">
        <v>0</v>
      </c>
      <c r="I189" s="40">
        <f t="shared" ref="I189:J189" si="183">20%+(I188-20%)*0.95</f>
        <v>0.2000154389089418</v>
      </c>
      <c r="J189" s="40">
        <f t="shared" si="183"/>
        <v>0.2000226437331146</v>
      </c>
      <c r="K189" s="41">
        <f t="shared" si="131"/>
        <v>0.79999999871044714</v>
      </c>
      <c r="L189" s="23">
        <f t="shared" si="143"/>
        <v>0.51780821917808217</v>
      </c>
      <c r="M189" s="28">
        <f t="shared" si="144"/>
        <v>30</v>
      </c>
      <c r="N189" s="29" t="s">
        <v>9</v>
      </c>
      <c r="O189" s="30">
        <v>1</v>
      </c>
      <c r="P189" s="31">
        <v>0</v>
      </c>
      <c r="Q189" s="1">
        <v>1</v>
      </c>
      <c r="R189" s="32">
        <v>3.279308968304548</v>
      </c>
      <c r="S189" s="32">
        <v>2.6369999999999969</v>
      </c>
      <c r="T189" s="32">
        <v>0.64230896830455109</v>
      </c>
    </row>
    <row r="190" spans="1:20" x14ac:dyDescent="0.35">
      <c r="A190" s="44">
        <v>44011</v>
      </c>
      <c r="B190" s="20">
        <f t="shared" si="141"/>
        <v>44000</v>
      </c>
      <c r="C190" s="35">
        <v>48.75</v>
      </c>
      <c r="D190" s="36">
        <v>60.65</v>
      </c>
      <c r="E190" s="36">
        <v>41.73</v>
      </c>
      <c r="F190" s="36">
        <v>18.376000000000001</v>
      </c>
      <c r="G190" s="36">
        <v>25.3</v>
      </c>
      <c r="H190" s="42">
        <v>0</v>
      </c>
      <c r="I190" s="40">
        <f t="shared" ref="I190:J190" si="184">20%+(I189-20%)*0.95</f>
        <v>0.20001466696349471</v>
      </c>
      <c r="J190" s="40">
        <f t="shared" si="184"/>
        <v>0.20002151154645886</v>
      </c>
      <c r="K190" s="41">
        <f t="shared" si="131"/>
        <v>0.79999999883940243</v>
      </c>
      <c r="L190" s="23">
        <f t="shared" si="143"/>
        <v>0.51780821917808217</v>
      </c>
      <c r="M190" s="28">
        <f t="shared" si="144"/>
        <v>30</v>
      </c>
      <c r="N190" s="29" t="s">
        <v>9</v>
      </c>
      <c r="O190" s="30">
        <v>1</v>
      </c>
      <c r="P190" s="31">
        <v>0</v>
      </c>
      <c r="Q190" s="1">
        <v>1</v>
      </c>
      <c r="R190" s="32">
        <v>3.279301443887455</v>
      </c>
      <c r="S190" s="32">
        <v>2.6369999999999969</v>
      </c>
      <c r="T190" s="32">
        <v>0.64230144388745813</v>
      </c>
    </row>
    <row r="191" spans="1:20" x14ac:dyDescent="0.35">
      <c r="A191" s="44">
        <v>44012</v>
      </c>
      <c r="B191" s="20">
        <f t="shared" si="141"/>
        <v>44001</v>
      </c>
      <c r="C191" s="35">
        <v>48.75</v>
      </c>
      <c r="D191" s="36">
        <v>60.65</v>
      </c>
      <c r="E191" s="36">
        <v>41.73</v>
      </c>
      <c r="F191" s="36">
        <v>18.376000000000001</v>
      </c>
      <c r="G191" s="36">
        <v>25.3</v>
      </c>
      <c r="H191" s="42">
        <v>0</v>
      </c>
      <c r="I191" s="40">
        <f t="shared" ref="I191:J191" si="185">20%+(I190-20%)*0.95</f>
        <v>0.20001393361531997</v>
      </c>
      <c r="J191" s="40">
        <f t="shared" si="185"/>
        <v>0.20002043596913593</v>
      </c>
      <c r="K191" s="41">
        <f t="shared" si="131"/>
        <v>0.79999999895546214</v>
      </c>
      <c r="L191" s="23">
        <f t="shared" si="143"/>
        <v>0.52054794520547942</v>
      </c>
      <c r="M191" s="28">
        <f t="shared" si="144"/>
        <v>30</v>
      </c>
      <c r="N191" s="29" t="s">
        <v>9</v>
      </c>
      <c r="O191" s="30">
        <v>1</v>
      </c>
      <c r="P191" s="31">
        <v>0</v>
      </c>
      <c r="Q191" s="1">
        <v>1</v>
      </c>
      <c r="R191" s="32">
        <v>3.2828006138372814</v>
      </c>
      <c r="S191" s="32">
        <v>2.6369999999999969</v>
      </c>
      <c r="T191" s="32">
        <v>0.64580061383728449</v>
      </c>
    </row>
    <row r="192" spans="1:20" x14ac:dyDescent="0.35">
      <c r="A192" s="44">
        <v>44013</v>
      </c>
      <c r="B192" s="20">
        <f t="shared" si="141"/>
        <v>44004</v>
      </c>
      <c r="C192" s="35">
        <v>48.75</v>
      </c>
      <c r="D192" s="36">
        <v>60.65</v>
      </c>
      <c r="E192" s="36">
        <v>41.73</v>
      </c>
      <c r="F192" s="36">
        <v>18.376000000000001</v>
      </c>
      <c r="G192" s="36">
        <v>25.3</v>
      </c>
      <c r="H192" s="42">
        <v>0</v>
      </c>
      <c r="I192" s="40">
        <f t="shared" ref="I192:J192" si="186">20%+(I191-20%)*0.95</f>
        <v>0.20001323693455397</v>
      </c>
      <c r="J192" s="40">
        <f t="shared" si="186"/>
        <v>0.20001941417067914</v>
      </c>
      <c r="K192" s="41">
        <f t="shared" si="131"/>
        <v>0.79999999905991592</v>
      </c>
      <c r="L192" s="23">
        <f t="shared" si="143"/>
        <v>0.52876712328767128</v>
      </c>
      <c r="M192" s="28">
        <f t="shared" si="144"/>
        <v>30</v>
      </c>
      <c r="N192" s="29" t="s">
        <v>9</v>
      </c>
      <c r="O192" s="30">
        <v>1</v>
      </c>
      <c r="P192" s="31">
        <v>0</v>
      </c>
      <c r="Q192" s="1">
        <v>1</v>
      </c>
      <c r="R192" s="32">
        <v>3.2932801383713937</v>
      </c>
      <c r="S192" s="32">
        <v>2.6369999999999969</v>
      </c>
      <c r="T192" s="32">
        <v>0.65628013837139676</v>
      </c>
    </row>
    <row r="193" spans="1:20" x14ac:dyDescent="0.35">
      <c r="A193" s="44">
        <v>44014</v>
      </c>
      <c r="B193" s="20">
        <f t="shared" si="141"/>
        <v>44005</v>
      </c>
      <c r="C193" s="35">
        <v>48.75</v>
      </c>
      <c r="D193" s="36">
        <v>60.65</v>
      </c>
      <c r="E193" s="36">
        <v>41.73</v>
      </c>
      <c r="F193" s="36">
        <v>18.376000000000001</v>
      </c>
      <c r="G193" s="36">
        <v>25.3</v>
      </c>
      <c r="H193" s="42">
        <v>0</v>
      </c>
      <c r="I193" s="40">
        <f t="shared" ref="I193:J193" si="187">20%+(I192-20%)*0.95</f>
        <v>0.20001257508782627</v>
      </c>
      <c r="J193" s="40">
        <f t="shared" si="187"/>
        <v>0.2000184434621452</v>
      </c>
      <c r="K193" s="41">
        <f t="shared" si="131"/>
        <v>0.79999999915392439</v>
      </c>
      <c r="L193" s="23">
        <f t="shared" si="143"/>
        <v>0.53150684931506853</v>
      </c>
      <c r="M193" s="28">
        <f t="shared" si="144"/>
        <v>30</v>
      </c>
      <c r="N193" s="29" t="s">
        <v>9</v>
      </c>
      <c r="O193" s="30">
        <v>1</v>
      </c>
      <c r="P193" s="31">
        <v>0</v>
      </c>
      <c r="Q193" s="1">
        <v>1</v>
      </c>
      <c r="R193" s="32">
        <v>3.2967582252884426</v>
      </c>
      <c r="S193" s="32">
        <v>2.6369999999999969</v>
      </c>
      <c r="T193" s="32">
        <v>0.65975822528844574</v>
      </c>
    </row>
    <row r="194" spans="1:20" x14ac:dyDescent="0.35">
      <c r="A194" s="44">
        <v>44015</v>
      </c>
      <c r="B194" s="20">
        <f t="shared" si="141"/>
        <v>44006</v>
      </c>
      <c r="C194" s="35">
        <v>48.75</v>
      </c>
      <c r="D194" s="36">
        <v>60.65</v>
      </c>
      <c r="E194" s="36">
        <v>41.73</v>
      </c>
      <c r="F194" s="36">
        <v>18.376000000000001</v>
      </c>
      <c r="G194" s="36">
        <v>25.3</v>
      </c>
      <c r="H194" s="42">
        <v>0</v>
      </c>
      <c r="I194" s="40">
        <f t="shared" ref="I194:J194" si="188">20%+(I193-20%)*0.95</f>
        <v>0.20001194633343497</v>
      </c>
      <c r="J194" s="40">
        <f t="shared" si="188"/>
        <v>0.20001752128903794</v>
      </c>
      <c r="K194" s="41">
        <f t="shared" si="131"/>
        <v>0.79999999923853193</v>
      </c>
      <c r="L194" s="23">
        <f t="shared" si="143"/>
        <v>0.53424657534246578</v>
      </c>
      <c r="M194" s="28">
        <f t="shared" si="144"/>
        <v>30</v>
      </c>
      <c r="N194" s="29" t="s">
        <v>9</v>
      </c>
      <c r="O194" s="30">
        <v>1</v>
      </c>
      <c r="P194" s="31">
        <v>0</v>
      </c>
      <c r="Q194" s="1">
        <v>1</v>
      </c>
      <c r="R194" s="32">
        <v>3.3002312284629483</v>
      </c>
      <c r="S194" s="32">
        <v>2.6369999999999969</v>
      </c>
      <c r="T194" s="32">
        <v>0.66323122846295135</v>
      </c>
    </row>
    <row r="195" spans="1:20" x14ac:dyDescent="0.35">
      <c r="A195" s="44">
        <v>44016</v>
      </c>
      <c r="B195" s="20">
        <f t="shared" si="141"/>
        <v>44007</v>
      </c>
      <c r="C195" s="35">
        <v>48.75</v>
      </c>
      <c r="D195" s="36">
        <v>60.65</v>
      </c>
      <c r="E195" s="36">
        <v>41.73</v>
      </c>
      <c r="F195" s="36">
        <v>18.376000000000001</v>
      </c>
      <c r="G195" s="36">
        <v>25.3</v>
      </c>
      <c r="H195" s="42">
        <v>0</v>
      </c>
      <c r="I195" s="40">
        <f t="shared" ref="I195:J195" si="189">20%+(I194-20%)*0.95</f>
        <v>0.20001134901676323</v>
      </c>
      <c r="J195" s="40">
        <f t="shared" si="189"/>
        <v>0.20001664522458604</v>
      </c>
      <c r="K195" s="41">
        <f t="shared" si="131"/>
        <v>0.79999999931467869</v>
      </c>
      <c r="L195" s="23">
        <f t="shared" si="143"/>
        <v>0.53698630136986303</v>
      </c>
      <c r="M195" s="28">
        <f t="shared" si="144"/>
        <v>30</v>
      </c>
      <c r="N195" s="29" t="s">
        <v>9</v>
      </c>
      <c r="O195" s="30">
        <v>1</v>
      </c>
      <c r="P195" s="31">
        <v>0</v>
      </c>
      <c r="Q195" s="1">
        <v>1</v>
      </c>
      <c r="R195" s="32">
        <v>3.3036991522818724</v>
      </c>
      <c r="S195" s="32">
        <v>2.6369999999999969</v>
      </c>
      <c r="T195" s="32">
        <v>0.66669915228187548</v>
      </c>
    </row>
    <row r="196" spans="1:20" x14ac:dyDescent="0.35">
      <c r="A196" s="44">
        <v>44017</v>
      </c>
      <c r="B196" s="20">
        <f t="shared" si="141"/>
        <v>44007</v>
      </c>
      <c r="C196" s="35">
        <v>48.75</v>
      </c>
      <c r="D196" s="36">
        <v>60.65</v>
      </c>
      <c r="E196" s="36">
        <v>41.73</v>
      </c>
      <c r="F196" s="36">
        <v>18.376000000000001</v>
      </c>
      <c r="G196" s="36">
        <v>25.3</v>
      </c>
      <c r="H196" s="42">
        <v>0</v>
      </c>
      <c r="I196" s="40">
        <f t="shared" ref="I196:J196" si="190">20%+(I195-20%)*0.95</f>
        <v>0.20001078156592508</v>
      </c>
      <c r="J196" s="40">
        <f t="shared" si="190"/>
        <v>0.20001581296335674</v>
      </c>
      <c r="K196" s="41">
        <f t="shared" si="131"/>
        <v>0.79999999938321087</v>
      </c>
      <c r="L196" s="23">
        <f t="shared" si="143"/>
        <v>0.53698630136986303</v>
      </c>
      <c r="M196" s="28">
        <f t="shared" si="144"/>
        <v>30</v>
      </c>
      <c r="N196" s="29" t="s">
        <v>9</v>
      </c>
      <c r="O196" s="30">
        <v>1</v>
      </c>
      <c r="P196" s="31">
        <v>0</v>
      </c>
      <c r="Q196" s="1">
        <v>1</v>
      </c>
      <c r="R196" s="32">
        <v>3.30369347815693</v>
      </c>
      <c r="S196" s="32">
        <v>2.6369999999999969</v>
      </c>
      <c r="T196" s="32">
        <v>0.66669347815693314</v>
      </c>
    </row>
    <row r="197" spans="1:20" x14ac:dyDescent="0.35">
      <c r="A197" s="44">
        <v>44018</v>
      </c>
      <c r="B197" s="20">
        <f t="shared" si="141"/>
        <v>44007</v>
      </c>
      <c r="C197" s="35">
        <v>48.75</v>
      </c>
      <c r="D197" s="36">
        <v>60.65</v>
      </c>
      <c r="E197" s="36">
        <v>41.73</v>
      </c>
      <c r="F197" s="36">
        <v>18.376000000000001</v>
      </c>
      <c r="G197" s="36">
        <v>25.3</v>
      </c>
      <c r="H197" s="42">
        <v>0</v>
      </c>
      <c r="I197" s="40">
        <f t="shared" ref="I197:J197" si="191">20%+(I196-20%)*0.95</f>
        <v>0.20001024248762883</v>
      </c>
      <c r="J197" s="40">
        <f t="shared" si="191"/>
        <v>0.20001502231518892</v>
      </c>
      <c r="K197" s="41">
        <f t="shared" si="131"/>
        <v>0.79999999944488975</v>
      </c>
      <c r="L197" s="23">
        <f t="shared" si="143"/>
        <v>0.53698630136986303</v>
      </c>
      <c r="M197" s="28">
        <f t="shared" si="144"/>
        <v>30</v>
      </c>
      <c r="N197" s="29" t="s">
        <v>9</v>
      </c>
      <c r="O197" s="30">
        <v>1</v>
      </c>
      <c r="P197" s="31">
        <v>0</v>
      </c>
      <c r="Q197" s="1">
        <v>1</v>
      </c>
      <c r="R197" s="32">
        <v>3.3036880877611807</v>
      </c>
      <c r="S197" s="32">
        <v>2.6369999999999969</v>
      </c>
      <c r="T197" s="32">
        <v>0.66668808776118382</v>
      </c>
    </row>
    <row r="198" spans="1:20" x14ac:dyDescent="0.35">
      <c r="A198" s="44">
        <v>44019</v>
      </c>
      <c r="B198" s="20">
        <f t="shared" si="141"/>
        <v>44008</v>
      </c>
      <c r="C198" s="35">
        <v>48.75</v>
      </c>
      <c r="D198" s="36">
        <v>60.65</v>
      </c>
      <c r="E198" s="36">
        <v>41.73</v>
      </c>
      <c r="F198" s="36">
        <v>18.376000000000001</v>
      </c>
      <c r="G198" s="36">
        <v>25.3</v>
      </c>
      <c r="H198" s="42">
        <v>0</v>
      </c>
      <c r="I198" s="40">
        <f t="shared" ref="I198:J198" si="192">20%+(I197-20%)*0.95</f>
        <v>0.2000097303632474</v>
      </c>
      <c r="J198" s="40">
        <f t="shared" si="192"/>
        <v>0.20001427119942947</v>
      </c>
      <c r="K198" s="41">
        <f t="shared" si="131"/>
        <v>0.79999999950040079</v>
      </c>
      <c r="L198" s="23">
        <f t="shared" si="143"/>
        <v>0.53972602739726028</v>
      </c>
      <c r="M198" s="28">
        <f t="shared" si="144"/>
        <v>30</v>
      </c>
      <c r="N198" s="29" t="s">
        <v>9</v>
      </c>
      <c r="O198" s="30">
        <v>1</v>
      </c>
      <c r="P198" s="31">
        <v>0</v>
      </c>
      <c r="Q198" s="1">
        <v>1</v>
      </c>
      <c r="R198" s="32">
        <v>3.3071514530665667</v>
      </c>
      <c r="S198" s="32">
        <v>2.6369999999999969</v>
      </c>
      <c r="T198" s="32">
        <v>0.67015145306656976</v>
      </c>
    </row>
    <row r="199" spans="1:20" x14ac:dyDescent="0.35">
      <c r="A199" s="44">
        <v>44020</v>
      </c>
      <c r="B199" s="20">
        <f t="shared" si="141"/>
        <v>44011</v>
      </c>
      <c r="C199" s="35">
        <v>48.75</v>
      </c>
      <c r="D199" s="36">
        <v>60.65</v>
      </c>
      <c r="E199" s="36">
        <v>41.73</v>
      </c>
      <c r="F199" s="36">
        <v>18.376000000000001</v>
      </c>
      <c r="G199" s="36">
        <v>25.3</v>
      </c>
      <c r="H199" s="42">
        <v>0</v>
      </c>
      <c r="I199" s="40">
        <f t="shared" ref="I199:J199" si="193">20%+(I198-20%)*0.95</f>
        <v>0.20000924384508503</v>
      </c>
      <c r="J199" s="40">
        <f t="shared" si="193"/>
        <v>0.200013557639458</v>
      </c>
      <c r="K199" s="41">
        <f t="shared" si="131"/>
        <v>0.79999999955036072</v>
      </c>
      <c r="L199" s="23">
        <f t="shared" si="143"/>
        <v>0.54794520547945202</v>
      </c>
      <c r="M199" s="28">
        <f t="shared" si="144"/>
        <v>30</v>
      </c>
      <c r="N199" s="29" t="s">
        <v>9</v>
      </c>
      <c r="O199" s="30">
        <v>1</v>
      </c>
      <c r="P199" s="31">
        <v>0</v>
      </c>
      <c r="Q199" s="1">
        <v>1</v>
      </c>
      <c r="R199" s="32">
        <v>3.3175201626140023</v>
      </c>
      <c r="S199" s="32">
        <v>2.6369999999999969</v>
      </c>
      <c r="T199" s="32">
        <v>0.68052016261400539</v>
      </c>
    </row>
    <row r="200" spans="1:20" x14ac:dyDescent="0.35">
      <c r="A200" s="44">
        <v>44021</v>
      </c>
      <c r="B200" s="20">
        <f t="shared" si="141"/>
        <v>44012</v>
      </c>
      <c r="C200" s="35">
        <v>48.75</v>
      </c>
      <c r="D200" s="36">
        <v>60.65</v>
      </c>
      <c r="E200" s="36">
        <v>41.73</v>
      </c>
      <c r="F200" s="36">
        <v>18.376000000000001</v>
      </c>
      <c r="G200" s="36">
        <v>25.3</v>
      </c>
      <c r="H200" s="42">
        <v>0</v>
      </c>
      <c r="I200" s="40">
        <f t="shared" ref="I200:J200" si="194">20%+(I199-20%)*0.95</f>
        <v>0.20000878165283079</v>
      </c>
      <c r="J200" s="40">
        <f t="shared" si="194"/>
        <v>0.20001287975748511</v>
      </c>
      <c r="K200" s="41">
        <f t="shared" si="131"/>
        <v>0.79999999959532464</v>
      </c>
      <c r="L200" s="23">
        <f t="shared" si="143"/>
        <v>0.55068493150684927</v>
      </c>
      <c r="M200" s="28">
        <f t="shared" si="144"/>
        <v>30</v>
      </c>
      <c r="N200" s="29" t="s">
        <v>9</v>
      </c>
      <c r="O200" s="30">
        <v>1</v>
      </c>
      <c r="P200" s="31">
        <v>0</v>
      </c>
      <c r="Q200" s="1">
        <v>1</v>
      </c>
      <c r="R200" s="32">
        <v>3.3209627759347953</v>
      </c>
      <c r="S200" s="32">
        <v>2.6369999999999969</v>
      </c>
      <c r="T200" s="32">
        <v>0.68396277593479837</v>
      </c>
    </row>
    <row r="201" spans="1:20" x14ac:dyDescent="0.35">
      <c r="A201" s="44">
        <v>44022</v>
      </c>
      <c r="B201" s="20">
        <f t="shared" si="141"/>
        <v>44013</v>
      </c>
      <c r="C201" s="35">
        <v>48.75</v>
      </c>
      <c r="D201" s="36">
        <v>60.65</v>
      </c>
      <c r="E201" s="36">
        <v>41.73</v>
      </c>
      <c r="F201" s="36">
        <v>18.376000000000001</v>
      </c>
      <c r="G201" s="36">
        <v>25.3</v>
      </c>
      <c r="H201" s="42">
        <v>0</v>
      </c>
      <c r="I201" s="40">
        <f t="shared" ref="I201:J201" si="195">20%+(I200-20%)*0.95</f>
        <v>0.20000834257018923</v>
      </c>
      <c r="J201" s="40">
        <f t="shared" si="195"/>
        <v>0.20001223576961086</v>
      </c>
      <c r="K201" s="41">
        <f t="shared" si="131"/>
        <v>0.79999999963579216</v>
      </c>
      <c r="L201" s="23">
        <f t="shared" si="143"/>
        <v>0.55342465753424652</v>
      </c>
      <c r="M201" s="28">
        <f t="shared" si="144"/>
        <v>31</v>
      </c>
      <c r="N201" s="29" t="s">
        <v>9</v>
      </c>
      <c r="O201" s="30">
        <v>1</v>
      </c>
      <c r="P201" s="31">
        <v>0</v>
      </c>
      <c r="Q201" s="1">
        <v>1</v>
      </c>
      <c r="R201" s="32">
        <v>3.3244003481191839</v>
      </c>
      <c r="S201" s="32">
        <v>2.6369999999999969</v>
      </c>
      <c r="T201" s="32">
        <v>0.68740034811918704</v>
      </c>
    </row>
    <row r="202" spans="1:20" x14ac:dyDescent="0.35">
      <c r="A202" s="44">
        <v>44023</v>
      </c>
      <c r="B202" s="20">
        <f t="shared" si="141"/>
        <v>44014</v>
      </c>
      <c r="C202" s="35">
        <v>48.75</v>
      </c>
      <c r="D202" s="36">
        <v>60.65</v>
      </c>
      <c r="E202" s="36">
        <v>41.73</v>
      </c>
      <c r="F202" s="36">
        <v>18.376000000000001</v>
      </c>
      <c r="G202" s="36">
        <v>25.3</v>
      </c>
      <c r="H202" s="42">
        <v>0</v>
      </c>
      <c r="I202" s="40">
        <f t="shared" ref="I202:J202" si="196">20%+(I201-20%)*0.95</f>
        <v>0.20000792544167978</v>
      </c>
      <c r="J202" s="40">
        <f t="shared" si="196"/>
        <v>0.20001162398113032</v>
      </c>
      <c r="K202" s="41">
        <f t="shared" si="131"/>
        <v>0.79999999967221291</v>
      </c>
      <c r="L202" s="23">
        <f t="shared" si="143"/>
        <v>0.55616438356164388</v>
      </c>
      <c r="M202" s="28">
        <f t="shared" si="144"/>
        <v>31</v>
      </c>
      <c r="N202" s="29" t="s">
        <v>9</v>
      </c>
      <c r="O202" s="30">
        <v>1</v>
      </c>
      <c r="P202" s="31">
        <v>0</v>
      </c>
      <c r="Q202" s="1">
        <v>1</v>
      </c>
      <c r="R202" s="32">
        <v>3.3278328872709153</v>
      </c>
      <c r="S202" s="32">
        <v>2.6369999999999969</v>
      </c>
      <c r="T202" s="32">
        <v>0.69083288727091841</v>
      </c>
    </row>
    <row r="203" spans="1:20" x14ac:dyDescent="0.35">
      <c r="A203" s="44">
        <v>44024</v>
      </c>
      <c r="B203" s="20">
        <f t="shared" si="141"/>
        <v>44014</v>
      </c>
      <c r="C203" s="35">
        <v>48.75</v>
      </c>
      <c r="D203" s="36">
        <v>60.65</v>
      </c>
      <c r="E203" s="36">
        <v>41.73</v>
      </c>
      <c r="F203" s="36">
        <v>18.376000000000001</v>
      </c>
      <c r="G203" s="36">
        <v>25.3</v>
      </c>
      <c r="H203" s="42">
        <v>0</v>
      </c>
      <c r="I203" s="40">
        <f t="shared" ref="I203:J203" si="197">20%+(I202-20%)*0.95</f>
        <v>0.2000075291695958</v>
      </c>
      <c r="J203" s="40">
        <f t="shared" si="197"/>
        <v>0.20001104278207379</v>
      </c>
      <c r="K203" s="41">
        <f t="shared" si="131"/>
        <v>0.79999999970499158</v>
      </c>
      <c r="L203" s="23">
        <f t="shared" si="143"/>
        <v>0.55616438356164388</v>
      </c>
      <c r="M203" s="28">
        <f t="shared" si="144"/>
        <v>31</v>
      </c>
      <c r="N203" s="29" t="s">
        <v>9</v>
      </c>
      <c r="O203" s="30">
        <v>1</v>
      </c>
      <c r="P203" s="31">
        <v>0</v>
      </c>
      <c r="Q203" s="1">
        <v>1</v>
      </c>
      <c r="R203" s="32">
        <v>3.3278288270262237</v>
      </c>
      <c r="S203" s="32">
        <v>2.6369999999999969</v>
      </c>
      <c r="T203" s="32">
        <v>0.69082882702622683</v>
      </c>
    </row>
    <row r="204" spans="1:20" x14ac:dyDescent="0.35">
      <c r="A204" s="44">
        <v>44025</v>
      </c>
      <c r="B204" s="20">
        <f t="shared" si="141"/>
        <v>44014</v>
      </c>
      <c r="C204" s="35">
        <v>48.75</v>
      </c>
      <c r="D204" s="36">
        <v>60.65</v>
      </c>
      <c r="E204" s="36">
        <v>41.73</v>
      </c>
      <c r="F204" s="36">
        <v>18.376000000000001</v>
      </c>
      <c r="G204" s="36">
        <v>25.3</v>
      </c>
      <c r="H204" s="42">
        <v>0</v>
      </c>
      <c r="I204" s="40">
        <f t="shared" ref="I204:J204" si="198">20%+(I203-20%)*0.95</f>
        <v>0.20000715271111602</v>
      </c>
      <c r="J204" s="40">
        <f t="shared" si="198"/>
        <v>0.20001049064297011</v>
      </c>
      <c r="K204" s="41">
        <f t="shared" ref="K204:K267" si="199">80%+(K203-80%)*0.9</f>
        <v>0.79999999973449243</v>
      </c>
      <c r="L204" s="23">
        <f t="shared" si="143"/>
        <v>0.55616438356164388</v>
      </c>
      <c r="M204" s="28">
        <f t="shared" si="144"/>
        <v>31</v>
      </c>
      <c r="N204" s="29" t="s">
        <v>9</v>
      </c>
      <c r="O204" s="30">
        <v>1</v>
      </c>
      <c r="P204" s="31">
        <v>0</v>
      </c>
      <c r="Q204" s="1">
        <v>1</v>
      </c>
      <c r="R204" s="32">
        <v>3.3278249698049791</v>
      </c>
      <c r="S204" s="32">
        <v>2.6369999999999969</v>
      </c>
      <c r="T204" s="32">
        <v>0.6908249698049822</v>
      </c>
    </row>
    <row r="205" spans="1:20" x14ac:dyDescent="0.35">
      <c r="A205" s="44">
        <v>44026</v>
      </c>
      <c r="B205" s="20">
        <f t="shared" si="141"/>
        <v>44015</v>
      </c>
      <c r="C205" s="35">
        <v>48.75</v>
      </c>
      <c r="D205" s="36">
        <v>60.65</v>
      </c>
      <c r="E205" s="36">
        <v>41.73</v>
      </c>
      <c r="F205" s="36">
        <v>18.376000000000001</v>
      </c>
      <c r="G205" s="36">
        <v>25.3</v>
      </c>
      <c r="H205" s="42">
        <v>0</v>
      </c>
      <c r="I205" s="40">
        <f t="shared" ref="I205:J205" si="200">20%+(I204-20%)*0.95</f>
        <v>0.20000679507556021</v>
      </c>
      <c r="J205" s="40">
        <f t="shared" si="200"/>
        <v>0.20000996611082161</v>
      </c>
      <c r="K205" s="41">
        <f t="shared" si="199"/>
        <v>0.79999999976104319</v>
      </c>
      <c r="L205" s="23">
        <f t="shared" si="143"/>
        <v>0.55890410958904113</v>
      </c>
      <c r="M205" s="28">
        <f t="shared" si="144"/>
        <v>31</v>
      </c>
      <c r="N205" s="29" t="s">
        <v>9</v>
      </c>
      <c r="O205" s="30">
        <v>1</v>
      </c>
      <c r="P205" s="31">
        <v>0</v>
      </c>
      <c r="Q205" s="1">
        <v>1</v>
      </c>
      <c r="R205" s="32">
        <v>3.3312528547486906</v>
      </c>
      <c r="S205" s="32">
        <v>2.6369999999999969</v>
      </c>
      <c r="T205" s="32">
        <v>0.69425285474869369</v>
      </c>
    </row>
    <row r="206" spans="1:20" x14ac:dyDescent="0.35">
      <c r="A206" s="44">
        <v>44027</v>
      </c>
      <c r="B206" s="20">
        <f t="shared" si="141"/>
        <v>44018</v>
      </c>
      <c r="C206" s="35">
        <v>48.75</v>
      </c>
      <c r="D206" s="36">
        <v>60.65</v>
      </c>
      <c r="E206" s="36">
        <v>41.73</v>
      </c>
      <c r="F206" s="36">
        <v>18.376000000000001</v>
      </c>
      <c r="G206" s="36">
        <v>25.3</v>
      </c>
      <c r="H206" s="42">
        <v>0</v>
      </c>
      <c r="I206" s="40">
        <f t="shared" ref="I206:J206" si="201">20%+(I205-20%)*0.95</f>
        <v>0.20000645532178221</v>
      </c>
      <c r="J206" s="40">
        <f t="shared" si="201"/>
        <v>0.20000946780528053</v>
      </c>
      <c r="K206" s="41">
        <f t="shared" si="199"/>
        <v>0.79999999978493885</v>
      </c>
      <c r="L206" s="23">
        <f t="shared" si="143"/>
        <v>0.56712328767123288</v>
      </c>
      <c r="M206" s="28">
        <f t="shared" si="144"/>
        <v>31</v>
      </c>
      <c r="N206" s="29" t="s">
        <v>9</v>
      </c>
      <c r="O206" s="30">
        <v>1</v>
      </c>
      <c r="P206" s="31">
        <v>0</v>
      </c>
      <c r="Q206" s="1">
        <v>1</v>
      </c>
      <c r="R206" s="32">
        <v>3.3415128902511384</v>
      </c>
      <c r="S206" s="32">
        <v>2.6369999999999969</v>
      </c>
      <c r="T206" s="32">
        <v>0.7045128902511415</v>
      </c>
    </row>
    <row r="207" spans="1:20" x14ac:dyDescent="0.35">
      <c r="A207" s="44">
        <v>44028</v>
      </c>
      <c r="B207" s="20">
        <f t="shared" si="141"/>
        <v>44019</v>
      </c>
      <c r="C207" s="35">
        <v>48.75</v>
      </c>
      <c r="D207" s="36">
        <v>60.65</v>
      </c>
      <c r="E207" s="36">
        <v>41.73</v>
      </c>
      <c r="F207" s="36">
        <v>18.376000000000001</v>
      </c>
      <c r="G207" s="36">
        <v>25.3</v>
      </c>
      <c r="H207" s="42">
        <v>0</v>
      </c>
      <c r="I207" s="40">
        <f t="shared" ref="I207:J207" si="202">20%+(I206-20%)*0.95</f>
        <v>0.20000613255569311</v>
      </c>
      <c r="J207" s="40">
        <f t="shared" si="202"/>
        <v>0.20000899441501652</v>
      </c>
      <c r="K207" s="41">
        <f t="shared" si="199"/>
        <v>0.79999999980644498</v>
      </c>
      <c r="L207" s="23">
        <f t="shared" si="143"/>
        <v>0.56986301369863013</v>
      </c>
      <c r="M207" s="28">
        <f t="shared" si="144"/>
        <v>31</v>
      </c>
      <c r="N207" s="29" t="s">
        <v>9</v>
      </c>
      <c r="O207" s="30">
        <v>1</v>
      </c>
      <c r="P207" s="31">
        <v>0</v>
      </c>
      <c r="Q207" s="1">
        <v>1</v>
      </c>
      <c r="R207" s="32">
        <v>3.3449204001259289</v>
      </c>
      <c r="S207" s="32">
        <v>2.6369999999999969</v>
      </c>
      <c r="T207" s="32">
        <v>0.70792040012593205</v>
      </c>
    </row>
    <row r="208" spans="1:20" x14ac:dyDescent="0.35">
      <c r="A208" s="44">
        <v>44029</v>
      </c>
      <c r="B208" s="20">
        <f t="shared" si="141"/>
        <v>44020</v>
      </c>
      <c r="C208" s="35">
        <v>48.75</v>
      </c>
      <c r="D208" s="36">
        <v>60.65</v>
      </c>
      <c r="E208" s="36">
        <v>41.73</v>
      </c>
      <c r="F208" s="36">
        <v>18.376000000000001</v>
      </c>
      <c r="G208" s="36">
        <v>25.3</v>
      </c>
      <c r="H208" s="42">
        <v>0</v>
      </c>
      <c r="I208" s="40">
        <f t="shared" ref="I208:J208" si="203">20%+(I207-20%)*0.95</f>
        <v>0.20000582592790844</v>
      </c>
      <c r="J208" s="40">
        <f t="shared" si="203"/>
        <v>0.20000854469426568</v>
      </c>
      <c r="K208" s="41">
        <f t="shared" si="199"/>
        <v>0.7999999998258005</v>
      </c>
      <c r="L208" s="23">
        <f t="shared" si="143"/>
        <v>0.57260273972602738</v>
      </c>
      <c r="M208" s="28">
        <f t="shared" si="144"/>
        <v>31</v>
      </c>
      <c r="N208" s="29" t="s">
        <v>9</v>
      </c>
      <c r="O208" s="30">
        <v>1</v>
      </c>
      <c r="P208" s="31">
        <v>0</v>
      </c>
      <c r="Q208" s="1">
        <v>1</v>
      </c>
      <c r="R208" s="32">
        <v>3.3483229339013434</v>
      </c>
      <c r="S208" s="32">
        <v>2.6369999999999969</v>
      </c>
      <c r="T208" s="32">
        <v>0.71132293390134649</v>
      </c>
    </row>
    <row r="209" spans="1:20" x14ac:dyDescent="0.35">
      <c r="A209" s="44">
        <v>44030</v>
      </c>
      <c r="B209" s="20">
        <f t="shared" si="141"/>
        <v>44021</v>
      </c>
      <c r="C209" s="35">
        <v>48.75</v>
      </c>
      <c r="D209" s="36">
        <v>60.65</v>
      </c>
      <c r="E209" s="36">
        <v>41.73</v>
      </c>
      <c r="F209" s="36">
        <v>18.376000000000001</v>
      </c>
      <c r="G209" s="36">
        <v>25.3</v>
      </c>
      <c r="H209" s="42">
        <v>0</v>
      </c>
      <c r="I209" s="40">
        <f t="shared" ref="I209:J209" si="204">20%+(I208-20%)*0.95</f>
        <v>0.20000553463151302</v>
      </c>
      <c r="J209" s="40">
        <f t="shared" si="204"/>
        <v>0.20000811745955241</v>
      </c>
      <c r="K209" s="41">
        <f t="shared" si="199"/>
        <v>0.79999999984322046</v>
      </c>
      <c r="L209" s="23">
        <f t="shared" si="143"/>
        <v>0.57534246575342463</v>
      </c>
      <c r="M209" s="28">
        <f t="shared" si="144"/>
        <v>31</v>
      </c>
      <c r="N209" s="29" t="s">
        <v>9</v>
      </c>
      <c r="O209" s="30">
        <v>1</v>
      </c>
      <c r="P209" s="31">
        <v>0</v>
      </c>
      <c r="Q209" s="1">
        <v>1</v>
      </c>
      <c r="R209" s="32">
        <v>3.3517205022670709</v>
      </c>
      <c r="S209" s="32">
        <v>2.6369999999999969</v>
      </c>
      <c r="T209" s="32">
        <v>0.71472050226707395</v>
      </c>
    </row>
    <row r="210" spans="1:20" x14ac:dyDescent="0.35">
      <c r="A210" s="44">
        <v>44031</v>
      </c>
      <c r="B210" s="20">
        <f t="shared" si="141"/>
        <v>44021</v>
      </c>
      <c r="C210" s="35">
        <v>48.75</v>
      </c>
      <c r="D210" s="36">
        <v>60.65</v>
      </c>
      <c r="E210" s="36">
        <v>41.73</v>
      </c>
      <c r="F210" s="36">
        <v>18.376000000000001</v>
      </c>
      <c r="G210" s="36">
        <v>25.3</v>
      </c>
      <c r="H210" s="42">
        <v>0</v>
      </c>
      <c r="I210" s="40">
        <f t="shared" ref="I210:J210" si="205">20%+(I209-20%)*0.95</f>
        <v>0.20000525789993737</v>
      </c>
      <c r="J210" s="40">
        <f t="shared" si="205"/>
        <v>0.20000771158657479</v>
      </c>
      <c r="K210" s="41">
        <f t="shared" si="199"/>
        <v>0.79999999985889847</v>
      </c>
      <c r="L210" s="23">
        <f t="shared" si="143"/>
        <v>0.57534246575342463</v>
      </c>
      <c r="M210" s="28">
        <f t="shared" si="144"/>
        <v>31</v>
      </c>
      <c r="N210" s="29" t="s">
        <v>9</v>
      </c>
      <c r="O210" s="30">
        <v>1</v>
      </c>
      <c r="P210" s="31">
        <v>0</v>
      </c>
      <c r="Q210" s="1">
        <v>1</v>
      </c>
      <c r="R210" s="32">
        <v>3.3517175999077935</v>
      </c>
      <c r="S210" s="32">
        <v>2.6369999999999969</v>
      </c>
      <c r="T210" s="32">
        <v>0.7147175999077966</v>
      </c>
    </row>
    <row r="211" spans="1:20" x14ac:dyDescent="0.35">
      <c r="A211" s="44">
        <v>44032</v>
      </c>
      <c r="B211" s="20">
        <f t="shared" si="141"/>
        <v>44021</v>
      </c>
      <c r="C211" s="35">
        <v>48.75</v>
      </c>
      <c r="D211" s="36">
        <v>60.65</v>
      </c>
      <c r="E211" s="36">
        <v>41.73</v>
      </c>
      <c r="F211" s="36">
        <v>18.376000000000001</v>
      </c>
      <c r="G211" s="36">
        <v>25.3</v>
      </c>
      <c r="H211" s="42">
        <v>0</v>
      </c>
      <c r="I211" s="40">
        <f t="shared" ref="I211:J211" si="206">20%+(I210-20%)*0.95</f>
        <v>0.20000499500494051</v>
      </c>
      <c r="J211" s="40">
        <f t="shared" si="206"/>
        <v>0.20000732600724605</v>
      </c>
      <c r="K211" s="41">
        <f t="shared" si="199"/>
        <v>0.79999999987300863</v>
      </c>
      <c r="L211" s="23">
        <f t="shared" si="143"/>
        <v>0.57534246575342463</v>
      </c>
      <c r="M211" s="28">
        <f t="shared" si="144"/>
        <v>31</v>
      </c>
      <c r="N211" s="29" t="s">
        <v>9</v>
      </c>
      <c r="O211" s="30">
        <v>1</v>
      </c>
      <c r="P211" s="31">
        <v>0</v>
      </c>
      <c r="Q211" s="1">
        <v>1</v>
      </c>
      <c r="R211" s="32">
        <v>3.3517148426719743</v>
      </c>
      <c r="S211" s="32">
        <v>2.6369999999999969</v>
      </c>
      <c r="T211" s="32">
        <v>0.71471484267197738</v>
      </c>
    </row>
    <row r="212" spans="1:20" x14ac:dyDescent="0.35">
      <c r="A212" s="44">
        <v>44033</v>
      </c>
      <c r="B212" s="20">
        <f t="shared" si="141"/>
        <v>44022</v>
      </c>
      <c r="C212" s="35">
        <v>48.75</v>
      </c>
      <c r="D212" s="36">
        <v>60.65</v>
      </c>
      <c r="E212" s="36">
        <v>41.73</v>
      </c>
      <c r="F212" s="36">
        <v>18.376000000000001</v>
      </c>
      <c r="G212" s="36">
        <v>25.3</v>
      </c>
      <c r="H212" s="42">
        <v>0</v>
      </c>
      <c r="I212" s="40">
        <f t="shared" ref="I212:J212" si="207">20%+(I211-20%)*0.95</f>
        <v>0.20000474525469347</v>
      </c>
      <c r="J212" s="40">
        <f t="shared" si="207"/>
        <v>0.20000695970688376</v>
      </c>
      <c r="K212" s="41">
        <f t="shared" si="199"/>
        <v>0.7999999998857078</v>
      </c>
      <c r="L212" s="23">
        <f t="shared" si="143"/>
        <v>0.57808219178082187</v>
      </c>
      <c r="M212" s="28">
        <f t="shared" si="144"/>
        <v>31</v>
      </c>
      <c r="N212" s="29" t="s">
        <v>9</v>
      </c>
      <c r="O212" s="30">
        <v>1</v>
      </c>
      <c r="P212" s="31">
        <v>0</v>
      </c>
      <c r="Q212" s="1">
        <v>1</v>
      </c>
      <c r="R212" s="32">
        <v>3.3551077220749619</v>
      </c>
      <c r="S212" s="32">
        <v>2.6369999999999969</v>
      </c>
      <c r="T212" s="32">
        <v>0.71810772207496498</v>
      </c>
    </row>
    <row r="213" spans="1:20" x14ac:dyDescent="0.35">
      <c r="A213" s="44">
        <v>44034</v>
      </c>
      <c r="B213" s="20">
        <f t="shared" si="141"/>
        <v>44025</v>
      </c>
      <c r="C213" s="35">
        <v>48.75</v>
      </c>
      <c r="D213" s="36">
        <v>60.65</v>
      </c>
      <c r="E213" s="36">
        <v>41.73</v>
      </c>
      <c r="F213" s="36">
        <v>18.376000000000001</v>
      </c>
      <c r="G213" s="36">
        <v>25.3</v>
      </c>
      <c r="H213" s="42">
        <v>0</v>
      </c>
      <c r="I213" s="40">
        <f t="shared" ref="I213:J213" si="208">20%+(I212-20%)*0.95</f>
        <v>0.20000450799195879</v>
      </c>
      <c r="J213" s="40">
        <f t="shared" si="208"/>
        <v>0.20000661172153958</v>
      </c>
      <c r="K213" s="41">
        <f t="shared" si="199"/>
        <v>0.79999999989713699</v>
      </c>
      <c r="L213" s="23">
        <f t="shared" si="143"/>
        <v>0.58630136986301373</v>
      </c>
      <c r="M213" s="28">
        <f t="shared" si="144"/>
        <v>31</v>
      </c>
      <c r="N213" s="29" t="s">
        <v>9</v>
      </c>
      <c r="O213" s="30">
        <v>1</v>
      </c>
      <c r="P213" s="31">
        <v>0</v>
      </c>
      <c r="Q213" s="1">
        <v>1</v>
      </c>
      <c r="R213" s="32">
        <v>3.3652613454298503</v>
      </c>
      <c r="S213" s="32">
        <v>2.6369999999999969</v>
      </c>
      <c r="T213" s="32">
        <v>0.72826134542985344</v>
      </c>
    </row>
    <row r="214" spans="1:20" x14ac:dyDescent="0.35">
      <c r="A214" s="44">
        <v>44035</v>
      </c>
      <c r="B214" s="20">
        <f t="shared" ref="B214:B277" si="209">WORKDAY(A214,-7)</f>
        <v>44026</v>
      </c>
      <c r="C214" s="35">
        <v>48.75</v>
      </c>
      <c r="D214" s="36">
        <v>60.65</v>
      </c>
      <c r="E214" s="36">
        <v>41.73</v>
      </c>
      <c r="F214" s="36">
        <v>18.376000000000001</v>
      </c>
      <c r="G214" s="36">
        <v>25.3</v>
      </c>
      <c r="H214" s="42">
        <v>0</v>
      </c>
      <c r="I214" s="40">
        <f t="shared" ref="I214:J214" si="210">20%+(I213-20%)*0.95</f>
        <v>0.20000428259236086</v>
      </c>
      <c r="J214" s="40">
        <f t="shared" si="210"/>
        <v>0.20000628113546259</v>
      </c>
      <c r="K214" s="41">
        <f t="shared" si="199"/>
        <v>0.79999999990742332</v>
      </c>
      <c r="L214" s="23">
        <f t="shared" ref="L214:L277" si="211">(B214-$B$3)/365</f>
        <v>0.58904109589041098</v>
      </c>
      <c r="M214" s="28">
        <f t="shared" ref="M214:M277" si="212">DAY(EOMONTH(B214,0))</f>
        <v>31</v>
      </c>
      <c r="N214" s="29" t="s">
        <v>9</v>
      </c>
      <c r="O214" s="30">
        <v>1</v>
      </c>
      <c r="P214" s="31">
        <v>0</v>
      </c>
      <c r="Q214" s="1">
        <v>1</v>
      </c>
      <c r="R214" s="32">
        <v>3.3686342568780532</v>
      </c>
      <c r="S214" s="32">
        <v>2.6369999999999969</v>
      </c>
      <c r="T214" s="32">
        <v>0.73163425687805628</v>
      </c>
    </row>
    <row r="215" spans="1:20" x14ac:dyDescent="0.35">
      <c r="A215" s="44">
        <v>44036</v>
      </c>
      <c r="B215" s="20">
        <f t="shared" si="209"/>
        <v>44027</v>
      </c>
      <c r="C215" s="35">
        <v>48.75</v>
      </c>
      <c r="D215" s="36">
        <v>60.65</v>
      </c>
      <c r="E215" s="36">
        <v>41.73</v>
      </c>
      <c r="F215" s="36">
        <v>18.376000000000001</v>
      </c>
      <c r="G215" s="36">
        <v>25.3</v>
      </c>
      <c r="H215" s="42">
        <v>0</v>
      </c>
      <c r="I215" s="40">
        <f t="shared" ref="I215:J215" si="213">20%+(I214-20%)*0.95</f>
        <v>0.20000406846274282</v>
      </c>
      <c r="J215" s="40">
        <f t="shared" si="213"/>
        <v>0.20000596707868945</v>
      </c>
      <c r="K215" s="41">
        <f t="shared" si="199"/>
        <v>0.79999999991668103</v>
      </c>
      <c r="L215" s="23">
        <f t="shared" si="211"/>
        <v>0.59178082191780823</v>
      </c>
      <c r="M215" s="28">
        <f t="shared" si="212"/>
        <v>31</v>
      </c>
      <c r="N215" s="29" t="s">
        <v>9</v>
      </c>
      <c r="O215" s="30">
        <v>1</v>
      </c>
      <c r="P215" s="31">
        <v>0</v>
      </c>
      <c r="Q215" s="1">
        <v>1</v>
      </c>
      <c r="R215" s="32">
        <v>3.3720022727142549</v>
      </c>
      <c r="S215" s="32">
        <v>2.6369999999999969</v>
      </c>
      <c r="T215" s="32">
        <v>0.735002272714258</v>
      </c>
    </row>
    <row r="216" spans="1:20" x14ac:dyDescent="0.35">
      <c r="A216" s="44">
        <v>44037</v>
      </c>
      <c r="B216" s="20">
        <f t="shared" si="209"/>
        <v>44028</v>
      </c>
      <c r="C216" s="35">
        <v>48.75</v>
      </c>
      <c r="D216" s="36">
        <v>60.65</v>
      </c>
      <c r="E216" s="36">
        <v>41.73</v>
      </c>
      <c r="F216" s="36">
        <v>18.376000000000001</v>
      </c>
      <c r="G216" s="36">
        <v>25.3</v>
      </c>
      <c r="H216" s="42">
        <v>0</v>
      </c>
      <c r="I216" s="40">
        <f t="shared" ref="I216:J216" si="214">20%+(I215-20%)*0.95</f>
        <v>0.20000386503960568</v>
      </c>
      <c r="J216" s="40">
        <f t="shared" si="214"/>
        <v>0.20000566872475498</v>
      </c>
      <c r="K216" s="41">
        <f t="shared" si="199"/>
        <v>0.79999999992501292</v>
      </c>
      <c r="L216" s="23">
        <f t="shared" si="211"/>
        <v>0.59452054794520548</v>
      </c>
      <c r="M216" s="28">
        <f t="shared" si="212"/>
        <v>31</v>
      </c>
      <c r="N216" s="29" t="s">
        <v>9</v>
      </c>
      <c r="O216" s="30">
        <v>1</v>
      </c>
      <c r="P216" s="31">
        <v>0</v>
      </c>
      <c r="Q216" s="1">
        <v>1</v>
      </c>
      <c r="R216" s="32">
        <v>3.3753654053788793</v>
      </c>
      <c r="S216" s="32">
        <v>2.6369999999999969</v>
      </c>
      <c r="T216" s="32">
        <v>0.7383654053788824</v>
      </c>
    </row>
    <row r="217" spans="1:20" x14ac:dyDescent="0.35">
      <c r="A217" s="44">
        <v>44038</v>
      </c>
      <c r="B217" s="20">
        <f t="shared" si="209"/>
        <v>44028</v>
      </c>
      <c r="C217" s="35">
        <v>48.75</v>
      </c>
      <c r="D217" s="36">
        <v>60.65</v>
      </c>
      <c r="E217" s="36">
        <v>41.73</v>
      </c>
      <c r="F217" s="36">
        <v>18.376000000000001</v>
      </c>
      <c r="G217" s="36">
        <v>25.3</v>
      </c>
      <c r="H217" s="42">
        <v>0</v>
      </c>
      <c r="I217" s="40">
        <f t="shared" ref="I217:J217" si="215">20%+(I216-20%)*0.95</f>
        <v>0.2000036717876254</v>
      </c>
      <c r="J217" s="40">
        <f t="shared" si="215"/>
        <v>0.20000538528851722</v>
      </c>
      <c r="K217" s="41">
        <f t="shared" si="199"/>
        <v>0.79999999993251159</v>
      </c>
      <c r="L217" s="23">
        <f t="shared" si="211"/>
        <v>0.59452054794520548</v>
      </c>
      <c r="M217" s="28">
        <f t="shared" si="212"/>
        <v>31</v>
      </c>
      <c r="N217" s="29" t="s">
        <v>9</v>
      </c>
      <c r="O217" s="30">
        <v>1</v>
      </c>
      <c r="P217" s="31">
        <v>0</v>
      </c>
      <c r="Q217" s="1">
        <v>1</v>
      </c>
      <c r="R217" s="32">
        <v>3.3753633327054118</v>
      </c>
      <c r="S217" s="32">
        <v>2.6369999999999969</v>
      </c>
      <c r="T217" s="32">
        <v>0.73836333270541488</v>
      </c>
    </row>
    <row r="218" spans="1:20" x14ac:dyDescent="0.35">
      <c r="A218" s="44">
        <v>44039</v>
      </c>
      <c r="B218" s="20">
        <f t="shared" si="209"/>
        <v>44028</v>
      </c>
      <c r="C218" s="35">
        <v>48.75</v>
      </c>
      <c r="D218" s="36">
        <v>60.65</v>
      </c>
      <c r="E218" s="36">
        <v>41.73</v>
      </c>
      <c r="F218" s="36">
        <v>18.376000000000001</v>
      </c>
      <c r="G218" s="36">
        <v>25.3</v>
      </c>
      <c r="H218" s="42">
        <v>0</v>
      </c>
      <c r="I218" s="40">
        <f t="shared" ref="I218:J218" si="216">20%+(I217-20%)*0.95</f>
        <v>0.20000348819824412</v>
      </c>
      <c r="J218" s="40">
        <f t="shared" si="216"/>
        <v>0.20000511602409135</v>
      </c>
      <c r="K218" s="41">
        <f t="shared" si="199"/>
        <v>0.79999999993926041</v>
      </c>
      <c r="L218" s="23">
        <f t="shared" si="211"/>
        <v>0.59452054794520548</v>
      </c>
      <c r="M218" s="28">
        <f t="shared" si="212"/>
        <v>31</v>
      </c>
      <c r="N218" s="29" t="s">
        <v>9</v>
      </c>
      <c r="O218" s="30">
        <v>1</v>
      </c>
      <c r="P218" s="31">
        <v>0</v>
      </c>
      <c r="Q218" s="1">
        <v>1</v>
      </c>
      <c r="R218" s="32">
        <v>3.3753613636683042</v>
      </c>
      <c r="S218" s="32">
        <v>2.6369999999999969</v>
      </c>
      <c r="T218" s="32">
        <v>0.73836136366830729</v>
      </c>
    </row>
    <row r="219" spans="1:20" x14ac:dyDescent="0.35">
      <c r="A219" s="44">
        <v>44040</v>
      </c>
      <c r="B219" s="20">
        <f t="shared" si="209"/>
        <v>44029</v>
      </c>
      <c r="C219" s="35">
        <v>48.75</v>
      </c>
      <c r="D219" s="36">
        <v>60.65</v>
      </c>
      <c r="E219" s="36">
        <v>41.73</v>
      </c>
      <c r="F219" s="36">
        <v>18.376000000000001</v>
      </c>
      <c r="G219" s="36">
        <v>25.3</v>
      </c>
      <c r="H219" s="42">
        <v>0</v>
      </c>
      <c r="I219" s="40">
        <f t="shared" ref="I219:J219" si="217">20%+(I218-20%)*0.95</f>
        <v>0.20000331378833192</v>
      </c>
      <c r="J219" s="40">
        <f t="shared" si="217"/>
        <v>0.20000486022288677</v>
      </c>
      <c r="K219" s="41">
        <f t="shared" si="199"/>
        <v>0.79999999994533433</v>
      </c>
      <c r="L219" s="23">
        <f t="shared" si="211"/>
        <v>0.59726027397260273</v>
      </c>
      <c r="M219" s="28">
        <f t="shared" si="212"/>
        <v>31</v>
      </c>
      <c r="N219" s="29" t="s">
        <v>9</v>
      </c>
      <c r="O219" s="30">
        <v>1</v>
      </c>
      <c r="P219" s="31">
        <v>0</v>
      </c>
      <c r="Q219" s="1">
        <v>1</v>
      </c>
      <c r="R219" s="32">
        <v>3.3787198158805509</v>
      </c>
      <c r="S219" s="32">
        <v>2.6369999999999969</v>
      </c>
      <c r="T219" s="32">
        <v>0.74171981588055402</v>
      </c>
    </row>
    <row r="220" spans="1:20" x14ac:dyDescent="0.35">
      <c r="A220" s="44">
        <v>44041</v>
      </c>
      <c r="B220" s="20">
        <f t="shared" si="209"/>
        <v>44032</v>
      </c>
      <c r="C220" s="35">
        <v>48.75</v>
      </c>
      <c r="D220" s="36">
        <v>60.65</v>
      </c>
      <c r="E220" s="36">
        <v>41.73</v>
      </c>
      <c r="F220" s="36">
        <v>18.376000000000001</v>
      </c>
      <c r="G220" s="36">
        <v>25.3</v>
      </c>
      <c r="H220" s="42">
        <v>0</v>
      </c>
      <c r="I220" s="40">
        <f t="shared" ref="I220:J220" si="218">20%+(I219-20%)*0.95</f>
        <v>0.20000314809891531</v>
      </c>
      <c r="J220" s="40">
        <f t="shared" si="218"/>
        <v>0.20000461721174242</v>
      </c>
      <c r="K220" s="41">
        <f t="shared" si="199"/>
        <v>0.79999999995080096</v>
      </c>
      <c r="L220" s="23">
        <f t="shared" si="211"/>
        <v>0.60547945205479448</v>
      </c>
      <c r="M220" s="28">
        <f t="shared" si="212"/>
        <v>31</v>
      </c>
      <c r="N220" s="29" t="s">
        <v>9</v>
      </c>
      <c r="O220" s="30">
        <v>1</v>
      </c>
      <c r="P220" s="31">
        <v>0</v>
      </c>
      <c r="Q220" s="1">
        <v>1</v>
      </c>
      <c r="R220" s="32">
        <v>3.3887693597294088</v>
      </c>
      <c r="S220" s="32">
        <v>2.6369999999999969</v>
      </c>
      <c r="T220" s="32">
        <v>0.75176935972941195</v>
      </c>
    </row>
    <row r="221" spans="1:20" x14ac:dyDescent="0.35">
      <c r="A221" s="44">
        <v>44042</v>
      </c>
      <c r="B221" s="20">
        <f t="shared" si="209"/>
        <v>44033</v>
      </c>
      <c r="C221" s="35">
        <v>48.75</v>
      </c>
      <c r="D221" s="36">
        <v>60.65</v>
      </c>
      <c r="E221" s="36">
        <v>41.73</v>
      </c>
      <c r="F221" s="36">
        <v>18.376000000000001</v>
      </c>
      <c r="G221" s="36">
        <v>25.3</v>
      </c>
      <c r="H221" s="42">
        <v>0</v>
      </c>
      <c r="I221" s="40">
        <f t="shared" ref="I221:J221" si="219">20%+(I220-20%)*0.95</f>
        <v>0.20000299069396954</v>
      </c>
      <c r="J221" s="40">
        <f t="shared" si="219"/>
        <v>0.20000438635115531</v>
      </c>
      <c r="K221" s="41">
        <f t="shared" si="199"/>
        <v>0.79999999995572091</v>
      </c>
      <c r="L221" s="23">
        <f t="shared" si="211"/>
        <v>0.60821917808219184</v>
      </c>
      <c r="M221" s="28">
        <f t="shared" si="212"/>
        <v>31</v>
      </c>
      <c r="N221" s="29" t="s">
        <v>9</v>
      </c>
      <c r="O221" s="30">
        <v>1</v>
      </c>
      <c r="P221" s="31">
        <v>0</v>
      </c>
      <c r="Q221" s="1">
        <v>1</v>
      </c>
      <c r="R221" s="32">
        <v>3.3921082695823515</v>
      </c>
      <c r="S221" s="32">
        <v>2.6369999999999969</v>
      </c>
      <c r="T221" s="32">
        <v>0.75510826958235455</v>
      </c>
    </row>
    <row r="222" spans="1:20" x14ac:dyDescent="0.35">
      <c r="A222" s="44">
        <v>44043</v>
      </c>
      <c r="B222" s="20">
        <f t="shared" si="209"/>
        <v>44034</v>
      </c>
      <c r="C222" s="35">
        <v>48.75</v>
      </c>
      <c r="D222" s="36">
        <v>60.65</v>
      </c>
      <c r="E222" s="36">
        <v>41.73</v>
      </c>
      <c r="F222" s="36">
        <v>18.376000000000001</v>
      </c>
      <c r="G222" s="36">
        <v>25.3</v>
      </c>
      <c r="H222" s="42">
        <v>0</v>
      </c>
      <c r="I222" s="40">
        <f t="shared" ref="I222:J222" si="220">20%+(I221-20%)*0.95</f>
        <v>0.20000284115927106</v>
      </c>
      <c r="J222" s="40">
        <f t="shared" si="220"/>
        <v>0.20000416703359755</v>
      </c>
      <c r="K222" s="41">
        <f t="shared" si="199"/>
        <v>0.79999999996014881</v>
      </c>
      <c r="L222" s="23">
        <f t="shared" si="211"/>
        <v>0.61095890410958908</v>
      </c>
      <c r="M222" s="28">
        <f t="shared" si="212"/>
        <v>31</v>
      </c>
      <c r="N222" s="29" t="s">
        <v>9</v>
      </c>
      <c r="O222" s="30">
        <v>1</v>
      </c>
      <c r="P222" s="31">
        <v>0</v>
      </c>
      <c r="Q222" s="1">
        <v>1</v>
      </c>
      <c r="R222" s="32">
        <v>3.3954423746148592</v>
      </c>
      <c r="S222" s="32">
        <v>2.6369999999999969</v>
      </c>
      <c r="T222" s="32">
        <v>0.7584423746148623</v>
      </c>
    </row>
    <row r="223" spans="1:20" x14ac:dyDescent="0.35">
      <c r="A223" s="44">
        <v>44044</v>
      </c>
      <c r="B223" s="20">
        <f t="shared" si="209"/>
        <v>44035</v>
      </c>
      <c r="C223" s="35">
        <v>48.75</v>
      </c>
      <c r="D223" s="36">
        <v>60.65</v>
      </c>
      <c r="E223" s="36">
        <v>41.73</v>
      </c>
      <c r="F223" s="36">
        <v>18.376000000000001</v>
      </c>
      <c r="G223" s="36">
        <v>25.3</v>
      </c>
      <c r="H223" s="42">
        <v>0</v>
      </c>
      <c r="I223" s="40">
        <f t="shared" ref="I223:J223" si="221">20%+(I222-20%)*0.95</f>
        <v>0.2000026991013075</v>
      </c>
      <c r="J223" s="40">
        <f t="shared" si="221"/>
        <v>0.20000395868191767</v>
      </c>
      <c r="K223" s="41">
        <f t="shared" si="199"/>
        <v>0.79999999996413396</v>
      </c>
      <c r="L223" s="23">
        <f t="shared" si="211"/>
        <v>0.61369863013698633</v>
      </c>
      <c r="M223" s="28">
        <f t="shared" si="212"/>
        <v>31</v>
      </c>
      <c r="N223" s="29" t="s">
        <v>9</v>
      </c>
      <c r="O223" s="30">
        <v>1</v>
      </c>
      <c r="P223" s="31">
        <v>0</v>
      </c>
      <c r="Q223" s="1">
        <v>1</v>
      </c>
      <c r="R223" s="32">
        <v>3.3987716884039401</v>
      </c>
      <c r="S223" s="32">
        <v>2.6369999999999969</v>
      </c>
      <c r="T223" s="32">
        <v>0.76177168840394316</v>
      </c>
    </row>
    <row r="224" spans="1:20" x14ac:dyDescent="0.35">
      <c r="A224" s="44">
        <v>44045</v>
      </c>
      <c r="B224" s="20">
        <f t="shared" si="209"/>
        <v>44035</v>
      </c>
      <c r="C224" s="35">
        <v>48.75</v>
      </c>
      <c r="D224" s="36">
        <v>60.65</v>
      </c>
      <c r="E224" s="36">
        <v>41.73</v>
      </c>
      <c r="F224" s="36">
        <v>18.376000000000001</v>
      </c>
      <c r="G224" s="36">
        <v>25.3</v>
      </c>
      <c r="H224" s="42">
        <v>0</v>
      </c>
      <c r="I224" s="40">
        <f t="shared" ref="I224:J224" si="222">20%+(I223-20%)*0.95</f>
        <v>0.20000256414624212</v>
      </c>
      <c r="J224" s="40">
        <f t="shared" si="222"/>
        <v>0.20000376074782178</v>
      </c>
      <c r="K224" s="41">
        <f t="shared" si="199"/>
        <v>0.79999999996772053</v>
      </c>
      <c r="L224" s="23">
        <f t="shared" si="211"/>
        <v>0.61369863013698633</v>
      </c>
      <c r="M224" s="28">
        <f t="shared" si="212"/>
        <v>31</v>
      </c>
      <c r="N224" s="29" t="s">
        <v>9</v>
      </c>
      <c r="O224" s="30">
        <v>1</v>
      </c>
      <c r="P224" s="31">
        <v>0</v>
      </c>
      <c r="Q224" s="1">
        <v>1</v>
      </c>
      <c r="R224" s="32">
        <v>3.3987702095584282</v>
      </c>
      <c r="S224" s="32">
        <v>2.6369999999999969</v>
      </c>
      <c r="T224" s="32">
        <v>0.76177020955843133</v>
      </c>
    </row>
    <row r="225" spans="1:20" x14ac:dyDescent="0.35">
      <c r="A225" s="44">
        <v>44046</v>
      </c>
      <c r="B225" s="20">
        <f t="shared" si="209"/>
        <v>44035</v>
      </c>
      <c r="C225" s="35">
        <v>48.75</v>
      </c>
      <c r="D225" s="36">
        <v>60.65</v>
      </c>
      <c r="E225" s="36">
        <v>41.73</v>
      </c>
      <c r="F225" s="36">
        <v>18.376000000000001</v>
      </c>
      <c r="G225" s="36">
        <v>25.3</v>
      </c>
      <c r="H225" s="42">
        <v>0</v>
      </c>
      <c r="I225" s="40">
        <f t="shared" ref="I225:J225" si="223">20%+(I224-20%)*0.95</f>
        <v>0.20000243593893002</v>
      </c>
      <c r="J225" s="40">
        <f t="shared" si="223"/>
        <v>0.20000357271043068</v>
      </c>
      <c r="K225" s="41">
        <f t="shared" si="199"/>
        <v>0.79999999997094851</v>
      </c>
      <c r="L225" s="23">
        <f t="shared" si="211"/>
        <v>0.61369863013698633</v>
      </c>
      <c r="M225" s="28">
        <f t="shared" si="212"/>
        <v>31</v>
      </c>
      <c r="N225" s="29" t="s">
        <v>9</v>
      </c>
      <c r="O225" s="30">
        <v>1</v>
      </c>
      <c r="P225" s="31">
        <v>0</v>
      </c>
      <c r="Q225" s="1">
        <v>1</v>
      </c>
      <c r="R225" s="32">
        <v>3.3987688046564983</v>
      </c>
      <c r="S225" s="32">
        <v>2.6369999999999969</v>
      </c>
      <c r="T225" s="32">
        <v>0.76176880465650143</v>
      </c>
    </row>
    <row r="226" spans="1:20" x14ac:dyDescent="0.35">
      <c r="A226" s="44">
        <v>44047</v>
      </c>
      <c r="B226" s="20">
        <f t="shared" si="209"/>
        <v>44036</v>
      </c>
      <c r="C226" s="35">
        <v>48.75</v>
      </c>
      <c r="D226" s="36">
        <v>60.65</v>
      </c>
      <c r="E226" s="36">
        <v>41.73</v>
      </c>
      <c r="F226" s="36">
        <v>18.376000000000001</v>
      </c>
      <c r="G226" s="36">
        <v>25.3</v>
      </c>
      <c r="H226" s="42">
        <v>0</v>
      </c>
      <c r="I226" s="40">
        <f t="shared" ref="I226:J226" si="224">20%+(I225-20%)*0.95</f>
        <v>0.20000231414198352</v>
      </c>
      <c r="J226" s="40">
        <f t="shared" si="224"/>
        <v>0.20000339407490914</v>
      </c>
      <c r="K226" s="41">
        <f t="shared" si="199"/>
        <v>0.79999999997385363</v>
      </c>
      <c r="L226" s="23">
        <f t="shared" si="211"/>
        <v>0.61643835616438358</v>
      </c>
      <c r="M226" s="28">
        <f t="shared" si="212"/>
        <v>31</v>
      </c>
      <c r="N226" s="29" t="s">
        <v>9</v>
      </c>
      <c r="O226" s="30">
        <v>1</v>
      </c>
      <c r="P226" s="31">
        <v>0</v>
      </c>
      <c r="Q226" s="1">
        <v>1</v>
      </c>
      <c r="R226" s="32">
        <v>3.4020934768609408</v>
      </c>
      <c r="S226" s="32">
        <v>2.6369999999999969</v>
      </c>
      <c r="T226" s="32">
        <v>0.76509347686094387</v>
      </c>
    </row>
    <row r="227" spans="1:20" x14ac:dyDescent="0.35">
      <c r="A227" s="44">
        <v>44048</v>
      </c>
      <c r="B227" s="20">
        <f t="shared" si="209"/>
        <v>44039</v>
      </c>
      <c r="C227" s="35">
        <v>48.75</v>
      </c>
      <c r="D227" s="36">
        <v>60.65</v>
      </c>
      <c r="E227" s="36">
        <v>41.73</v>
      </c>
      <c r="F227" s="36">
        <v>18.376000000000001</v>
      </c>
      <c r="G227" s="36">
        <v>25.3</v>
      </c>
      <c r="H227" s="42">
        <v>0</v>
      </c>
      <c r="I227" s="40">
        <f t="shared" ref="I227:J227" si="225">20%+(I226-20%)*0.95</f>
        <v>0.20000219843488434</v>
      </c>
      <c r="J227" s="40">
        <f t="shared" si="225"/>
        <v>0.20000322437116369</v>
      </c>
      <c r="K227" s="41">
        <f t="shared" si="199"/>
        <v>0.79999999997646831</v>
      </c>
      <c r="L227" s="23">
        <f t="shared" si="211"/>
        <v>0.62465753424657533</v>
      </c>
      <c r="M227" s="28">
        <f t="shared" si="212"/>
        <v>31</v>
      </c>
      <c r="N227" s="29" t="s">
        <v>9</v>
      </c>
      <c r="O227" s="30">
        <v>1</v>
      </c>
      <c r="P227" s="31">
        <v>0</v>
      </c>
      <c r="Q227" s="1">
        <v>1</v>
      </c>
      <c r="R227" s="32">
        <v>3.4120413067725366</v>
      </c>
      <c r="S227" s="32">
        <v>2.6369999999999969</v>
      </c>
      <c r="T227" s="32">
        <v>0.77504130677253968</v>
      </c>
    </row>
    <row r="228" spans="1:20" x14ac:dyDescent="0.35">
      <c r="A228" s="44">
        <v>44049</v>
      </c>
      <c r="B228" s="20">
        <f t="shared" si="209"/>
        <v>44040</v>
      </c>
      <c r="C228" s="35">
        <v>48.75</v>
      </c>
      <c r="D228" s="36">
        <v>60.65</v>
      </c>
      <c r="E228" s="36">
        <v>41.73</v>
      </c>
      <c r="F228" s="36">
        <v>18.376000000000001</v>
      </c>
      <c r="G228" s="36">
        <v>25.3</v>
      </c>
      <c r="H228" s="42">
        <v>0</v>
      </c>
      <c r="I228" s="40">
        <f t="shared" ref="I228:J228" si="226">20%+(I227-20%)*0.95</f>
        <v>0.20000208851314014</v>
      </c>
      <c r="J228" s="40">
        <f t="shared" si="226"/>
        <v>0.20000306315260552</v>
      </c>
      <c r="K228" s="41">
        <f t="shared" si="199"/>
        <v>0.79999999997882143</v>
      </c>
      <c r="L228" s="23">
        <f t="shared" si="211"/>
        <v>0.62739726027397258</v>
      </c>
      <c r="M228" s="28">
        <f t="shared" si="212"/>
        <v>31</v>
      </c>
      <c r="N228" s="29" t="s">
        <v>9</v>
      </c>
      <c r="O228" s="30">
        <v>1</v>
      </c>
      <c r="P228" s="31">
        <v>0</v>
      </c>
      <c r="Q228" s="1">
        <v>1</v>
      </c>
      <c r="R228" s="32">
        <v>3.4153468719892004</v>
      </c>
      <c r="S228" s="32">
        <v>2.6369999999999969</v>
      </c>
      <c r="T228" s="32">
        <v>0.77834687198920349</v>
      </c>
    </row>
    <row r="229" spans="1:20" x14ac:dyDescent="0.35">
      <c r="A229" s="44">
        <v>44050</v>
      </c>
      <c r="B229" s="20">
        <f t="shared" si="209"/>
        <v>44041</v>
      </c>
      <c r="C229" s="35">
        <v>48.75</v>
      </c>
      <c r="D229" s="36">
        <v>60.65</v>
      </c>
      <c r="E229" s="36">
        <v>41.73</v>
      </c>
      <c r="F229" s="36">
        <v>18.376000000000001</v>
      </c>
      <c r="G229" s="36">
        <v>25.3</v>
      </c>
      <c r="H229" s="42">
        <v>0</v>
      </c>
      <c r="I229" s="40">
        <f t="shared" ref="I229:J229" si="227">20%+(I228-20%)*0.95</f>
        <v>0.20000198408748313</v>
      </c>
      <c r="J229" s="40">
        <f t="shared" si="227"/>
        <v>0.20000290999497525</v>
      </c>
      <c r="K229" s="41">
        <f t="shared" si="199"/>
        <v>0.79999999998093929</v>
      </c>
      <c r="L229" s="23">
        <f t="shared" si="211"/>
        <v>0.63013698630136983</v>
      </c>
      <c r="M229" s="28">
        <f t="shared" si="212"/>
        <v>31</v>
      </c>
      <c r="N229" s="29" t="s">
        <v>9</v>
      </c>
      <c r="O229" s="30">
        <v>1</v>
      </c>
      <c r="P229" s="31">
        <v>0</v>
      </c>
      <c r="Q229" s="1">
        <v>1</v>
      </c>
      <c r="R229" s="32">
        <v>3.4186477297046522</v>
      </c>
      <c r="S229" s="32">
        <v>2.6369999999999969</v>
      </c>
      <c r="T229" s="32">
        <v>0.78164772970465535</v>
      </c>
    </row>
    <row r="230" spans="1:20" x14ac:dyDescent="0.35">
      <c r="A230" s="44">
        <v>44051</v>
      </c>
      <c r="B230" s="20">
        <f t="shared" si="209"/>
        <v>44042</v>
      </c>
      <c r="C230" s="35">
        <v>48.75</v>
      </c>
      <c r="D230" s="36">
        <v>60.65</v>
      </c>
      <c r="E230" s="36">
        <v>41.73</v>
      </c>
      <c r="F230" s="36">
        <v>18.376000000000001</v>
      </c>
      <c r="G230" s="36">
        <v>25.3</v>
      </c>
      <c r="H230" s="42">
        <v>0</v>
      </c>
      <c r="I230" s="40">
        <f t="shared" ref="I230:J230" si="228">20%+(I229-20%)*0.95</f>
        <v>0.20000188488310897</v>
      </c>
      <c r="J230" s="40">
        <f t="shared" si="228"/>
        <v>0.2000027644952265</v>
      </c>
      <c r="K230" s="41">
        <f t="shared" si="199"/>
        <v>0.79999999998284532</v>
      </c>
      <c r="L230" s="23">
        <f t="shared" si="211"/>
        <v>0.63287671232876708</v>
      </c>
      <c r="M230" s="28">
        <f t="shared" si="212"/>
        <v>31</v>
      </c>
      <c r="N230" s="29" t="s">
        <v>9</v>
      </c>
      <c r="O230" s="30">
        <v>1</v>
      </c>
      <c r="P230" s="31">
        <v>0</v>
      </c>
      <c r="Q230" s="1">
        <v>1</v>
      </c>
      <c r="R230" s="32">
        <v>3.4219438941832436</v>
      </c>
      <c r="S230" s="32">
        <v>2.6369999999999969</v>
      </c>
      <c r="T230" s="32">
        <v>0.78494389418324673</v>
      </c>
    </row>
    <row r="231" spans="1:20" x14ac:dyDescent="0.35">
      <c r="A231" s="44">
        <v>44052</v>
      </c>
      <c r="B231" s="20">
        <f t="shared" si="209"/>
        <v>44042</v>
      </c>
      <c r="C231" s="35">
        <v>48.75</v>
      </c>
      <c r="D231" s="36">
        <v>60.65</v>
      </c>
      <c r="E231" s="36">
        <v>41.73</v>
      </c>
      <c r="F231" s="36">
        <v>18.376000000000001</v>
      </c>
      <c r="G231" s="36">
        <v>25.3</v>
      </c>
      <c r="H231" s="42">
        <v>0</v>
      </c>
      <c r="I231" s="40">
        <f t="shared" ref="I231:J231" si="229">20%+(I230-20%)*0.95</f>
        <v>0.20000179063895351</v>
      </c>
      <c r="J231" s="40">
        <f t="shared" si="229"/>
        <v>0.20000262627046517</v>
      </c>
      <c r="K231" s="41">
        <f t="shared" si="199"/>
        <v>0.79999999998456084</v>
      </c>
      <c r="L231" s="23">
        <f t="shared" si="211"/>
        <v>0.63287671232876708</v>
      </c>
      <c r="M231" s="28">
        <f t="shared" si="212"/>
        <v>31</v>
      </c>
      <c r="N231" s="29" t="s">
        <v>9</v>
      </c>
      <c r="O231" s="30">
        <v>1</v>
      </c>
      <c r="P231" s="31">
        <v>0</v>
      </c>
      <c r="Q231" s="1">
        <v>1</v>
      </c>
      <c r="R231" s="32">
        <v>3.4219428399051921</v>
      </c>
      <c r="S231" s="32">
        <v>2.6369999999999969</v>
      </c>
      <c r="T231" s="32">
        <v>0.7849428399051952</v>
      </c>
    </row>
    <row r="232" spans="1:20" x14ac:dyDescent="0.35">
      <c r="A232" s="44">
        <v>44053</v>
      </c>
      <c r="B232" s="20">
        <f t="shared" si="209"/>
        <v>44042</v>
      </c>
      <c r="C232" s="35">
        <v>48.75</v>
      </c>
      <c r="D232" s="36">
        <v>60.65</v>
      </c>
      <c r="E232" s="36">
        <v>41.73</v>
      </c>
      <c r="F232" s="36">
        <v>18.376000000000001</v>
      </c>
      <c r="G232" s="36">
        <v>25.3</v>
      </c>
      <c r="H232" s="42">
        <v>0</v>
      </c>
      <c r="I232" s="40">
        <f t="shared" ref="I232:J232" si="230">20%+(I231-20%)*0.95</f>
        <v>0.20000170110700582</v>
      </c>
      <c r="J232" s="40">
        <f t="shared" si="230"/>
        <v>0.20000249495694192</v>
      </c>
      <c r="K232" s="41">
        <f t="shared" si="199"/>
        <v>0.79999999998610472</v>
      </c>
      <c r="L232" s="23">
        <f t="shared" si="211"/>
        <v>0.63287671232876708</v>
      </c>
      <c r="M232" s="28">
        <f t="shared" si="212"/>
        <v>31</v>
      </c>
      <c r="N232" s="29" t="s">
        <v>9</v>
      </c>
      <c r="O232" s="30">
        <v>1</v>
      </c>
      <c r="P232" s="31">
        <v>0</v>
      </c>
      <c r="Q232" s="1">
        <v>1</v>
      </c>
      <c r="R232" s="32">
        <v>3.4219418383416809</v>
      </c>
      <c r="S232" s="32">
        <v>2.6369999999999969</v>
      </c>
      <c r="T232" s="32">
        <v>0.78494183834168396</v>
      </c>
    </row>
    <row r="233" spans="1:20" x14ac:dyDescent="0.35">
      <c r="A233" s="44">
        <v>44054</v>
      </c>
      <c r="B233" s="20">
        <f t="shared" si="209"/>
        <v>44043</v>
      </c>
      <c r="C233" s="35">
        <v>48.75</v>
      </c>
      <c r="D233" s="36">
        <v>60.65</v>
      </c>
      <c r="E233" s="36">
        <v>41.73</v>
      </c>
      <c r="F233" s="36">
        <v>18.376000000000001</v>
      </c>
      <c r="G233" s="36">
        <v>25.3</v>
      </c>
      <c r="H233" s="42">
        <v>0</v>
      </c>
      <c r="I233" s="40">
        <f t="shared" ref="I233:J233" si="231">20%+(I232-20%)*0.95</f>
        <v>0.20000161605165553</v>
      </c>
      <c r="J233" s="40">
        <f t="shared" si="231"/>
        <v>0.20000237020909481</v>
      </c>
      <c r="K233" s="41">
        <f t="shared" si="199"/>
        <v>0.79999999998749427</v>
      </c>
      <c r="L233" s="23">
        <f t="shared" si="211"/>
        <v>0.63561643835616444</v>
      </c>
      <c r="M233" s="28">
        <f t="shared" si="212"/>
        <v>31</v>
      </c>
      <c r="N233" s="29" t="s">
        <v>9</v>
      </c>
      <c r="O233" s="30">
        <v>1</v>
      </c>
      <c r="P233" s="31">
        <v>0</v>
      </c>
      <c r="Q233" s="1">
        <v>1</v>
      </c>
      <c r="R233" s="32">
        <v>3.425233421065137</v>
      </c>
      <c r="S233" s="32">
        <v>2.6369999999999969</v>
      </c>
      <c r="T233" s="32">
        <v>0.78823342106514005</v>
      </c>
    </row>
    <row r="234" spans="1:20" x14ac:dyDescent="0.35">
      <c r="A234" s="44">
        <v>44055</v>
      </c>
      <c r="B234" s="20">
        <f t="shared" si="209"/>
        <v>44046</v>
      </c>
      <c r="C234" s="35">
        <v>48.75</v>
      </c>
      <c r="D234" s="36">
        <v>60.65</v>
      </c>
      <c r="E234" s="36">
        <v>41.73</v>
      </c>
      <c r="F234" s="36">
        <v>18.376000000000001</v>
      </c>
      <c r="G234" s="36">
        <v>25.3</v>
      </c>
      <c r="H234" s="42">
        <v>0</v>
      </c>
      <c r="I234" s="40">
        <f t="shared" ref="I234:J234" si="232">20%+(I233-20%)*0.95</f>
        <v>0.20000153524907277</v>
      </c>
      <c r="J234" s="40">
        <f t="shared" si="232"/>
        <v>0.20000225169864008</v>
      </c>
      <c r="K234" s="41">
        <f t="shared" si="199"/>
        <v>0.79999999998874483</v>
      </c>
      <c r="L234" s="23">
        <f t="shared" si="211"/>
        <v>0.64383561643835618</v>
      </c>
      <c r="M234" s="28">
        <f t="shared" si="212"/>
        <v>31</v>
      </c>
      <c r="N234" s="29" t="s">
        <v>9</v>
      </c>
      <c r="O234" s="30">
        <v>1</v>
      </c>
      <c r="P234" s="31">
        <v>0</v>
      </c>
      <c r="Q234" s="1">
        <v>1</v>
      </c>
      <c r="R234" s="32">
        <v>3.4350819073032639</v>
      </c>
      <c r="S234" s="32">
        <v>2.6369999999999969</v>
      </c>
      <c r="T234" s="32">
        <v>0.798081907303267</v>
      </c>
    </row>
    <row r="235" spans="1:20" x14ac:dyDescent="0.35">
      <c r="A235" s="44">
        <v>44056</v>
      </c>
      <c r="B235" s="20">
        <f t="shared" si="209"/>
        <v>44047</v>
      </c>
      <c r="C235" s="35">
        <v>48.75</v>
      </c>
      <c r="D235" s="36">
        <v>60.65</v>
      </c>
      <c r="E235" s="36">
        <v>41.73</v>
      </c>
      <c r="F235" s="36">
        <v>18.376000000000001</v>
      </c>
      <c r="G235" s="36">
        <v>25.3</v>
      </c>
      <c r="H235" s="42">
        <v>0</v>
      </c>
      <c r="I235" s="40">
        <f t="shared" ref="I235:J235" si="233">20%+(I234-20%)*0.95</f>
        <v>0.20000145848661913</v>
      </c>
      <c r="J235" s="40">
        <f t="shared" si="233"/>
        <v>0.20000213911370807</v>
      </c>
      <c r="K235" s="41">
        <f t="shared" si="199"/>
        <v>0.79999999998987037</v>
      </c>
      <c r="L235" s="23">
        <f t="shared" si="211"/>
        <v>0.64657534246575343</v>
      </c>
      <c r="M235" s="28">
        <f t="shared" si="212"/>
        <v>31</v>
      </c>
      <c r="N235" s="29" t="s">
        <v>9</v>
      </c>
      <c r="O235" s="30">
        <v>1</v>
      </c>
      <c r="P235" s="31">
        <v>0</v>
      </c>
      <c r="Q235" s="1">
        <v>1</v>
      </c>
      <c r="R235" s="32">
        <v>3.4383548217653868</v>
      </c>
      <c r="S235" s="32">
        <v>2.6369999999999969</v>
      </c>
      <c r="T235" s="32">
        <v>0.80135482176538986</v>
      </c>
    </row>
    <row r="236" spans="1:20" x14ac:dyDescent="0.35">
      <c r="A236" s="44">
        <v>44057</v>
      </c>
      <c r="B236" s="20">
        <f t="shared" si="209"/>
        <v>44048</v>
      </c>
      <c r="C236" s="35">
        <v>48.75</v>
      </c>
      <c r="D236" s="36">
        <v>60.65</v>
      </c>
      <c r="E236" s="36">
        <v>41.73</v>
      </c>
      <c r="F236" s="36">
        <v>18.376000000000001</v>
      </c>
      <c r="G236" s="36">
        <v>25.3</v>
      </c>
      <c r="H236" s="42">
        <v>0</v>
      </c>
      <c r="I236" s="40">
        <f t="shared" ref="I236:J236" si="234">20%+(I235-20%)*0.95</f>
        <v>0.20000138556228816</v>
      </c>
      <c r="J236" s="40">
        <f t="shared" si="234"/>
        <v>0.20000203215802267</v>
      </c>
      <c r="K236" s="41">
        <f t="shared" si="199"/>
        <v>0.79999999999088334</v>
      </c>
      <c r="L236" s="23">
        <f t="shared" si="211"/>
        <v>0.64931506849315068</v>
      </c>
      <c r="M236" s="28">
        <f t="shared" si="212"/>
        <v>31</v>
      </c>
      <c r="N236" s="29" t="s">
        <v>9</v>
      </c>
      <c r="O236" s="30">
        <v>1</v>
      </c>
      <c r="P236" s="31">
        <v>0</v>
      </c>
      <c r="Q236" s="1">
        <v>1</v>
      </c>
      <c r="R236" s="32">
        <v>3.4416231298159161</v>
      </c>
      <c r="S236" s="32">
        <v>2.6369999999999969</v>
      </c>
      <c r="T236" s="32">
        <v>0.80462312981591921</v>
      </c>
    </row>
    <row r="237" spans="1:20" x14ac:dyDescent="0.35">
      <c r="A237" s="44">
        <v>44058</v>
      </c>
      <c r="B237" s="20">
        <f t="shared" si="209"/>
        <v>44049</v>
      </c>
      <c r="C237" s="35">
        <v>48.75</v>
      </c>
      <c r="D237" s="36">
        <v>60.65</v>
      </c>
      <c r="E237" s="36">
        <v>41.73</v>
      </c>
      <c r="F237" s="36">
        <v>18.376000000000001</v>
      </c>
      <c r="G237" s="36">
        <v>25.3</v>
      </c>
      <c r="H237" s="42">
        <v>0</v>
      </c>
      <c r="I237" s="40">
        <f t="shared" ref="I237:J237" si="235">20%+(I236-20%)*0.95</f>
        <v>0.20000131628417375</v>
      </c>
      <c r="J237" s="40">
        <f t="shared" si="235"/>
        <v>0.20000193055012155</v>
      </c>
      <c r="K237" s="41">
        <f t="shared" si="199"/>
        <v>0.79999999999179505</v>
      </c>
      <c r="L237" s="23">
        <f t="shared" si="211"/>
        <v>0.65205479452054793</v>
      </c>
      <c r="M237" s="28">
        <f t="shared" si="212"/>
        <v>31</v>
      </c>
      <c r="N237" s="29" t="s">
        <v>9</v>
      </c>
      <c r="O237" s="30">
        <v>1</v>
      </c>
      <c r="P237" s="31">
        <v>0</v>
      </c>
      <c r="Q237" s="1">
        <v>1</v>
      </c>
      <c r="R237" s="32">
        <v>3.4448868460795623</v>
      </c>
      <c r="S237" s="32">
        <v>2.6369999999999969</v>
      </c>
      <c r="T237" s="32">
        <v>0.8078868460795654</v>
      </c>
    </row>
    <row r="238" spans="1:20" x14ac:dyDescent="0.35">
      <c r="A238" s="44">
        <v>44059</v>
      </c>
      <c r="B238" s="20">
        <f t="shared" si="209"/>
        <v>44049</v>
      </c>
      <c r="C238" s="35">
        <v>48.75</v>
      </c>
      <c r="D238" s="36">
        <v>60.65</v>
      </c>
      <c r="E238" s="36">
        <v>41.73</v>
      </c>
      <c r="F238" s="36">
        <v>18.376000000000001</v>
      </c>
      <c r="G238" s="36">
        <v>25.3</v>
      </c>
      <c r="H238" s="42">
        <v>0</v>
      </c>
      <c r="I238" s="40">
        <f t="shared" ref="I238:J238" si="236">20%+(I237-20%)*0.95</f>
        <v>0.20000125046996506</v>
      </c>
      <c r="J238" s="40">
        <f t="shared" si="236"/>
        <v>0.20000183402261548</v>
      </c>
      <c r="K238" s="41">
        <f t="shared" si="199"/>
        <v>0.79999999999261551</v>
      </c>
      <c r="L238" s="23">
        <f t="shared" si="211"/>
        <v>0.65205479452054793</v>
      </c>
      <c r="M238" s="28">
        <f t="shared" si="212"/>
        <v>31</v>
      </c>
      <c r="N238" s="29" t="s">
        <v>9</v>
      </c>
      <c r="O238" s="30">
        <v>1</v>
      </c>
      <c r="P238" s="31">
        <v>0</v>
      </c>
      <c r="Q238" s="1">
        <v>1</v>
      </c>
      <c r="R238" s="32">
        <v>3.44488609505634</v>
      </c>
      <c r="S238" s="32">
        <v>2.6369999999999969</v>
      </c>
      <c r="T238" s="32">
        <v>0.80788609505634312</v>
      </c>
    </row>
    <row r="239" spans="1:20" x14ac:dyDescent="0.35">
      <c r="A239" s="44">
        <v>44060</v>
      </c>
      <c r="B239" s="20">
        <f t="shared" si="209"/>
        <v>44049</v>
      </c>
      <c r="C239" s="35">
        <v>48.75</v>
      </c>
      <c r="D239" s="36">
        <v>60.65</v>
      </c>
      <c r="E239" s="36">
        <v>41.73</v>
      </c>
      <c r="F239" s="36">
        <v>18.376000000000001</v>
      </c>
      <c r="G239" s="36">
        <v>25.3</v>
      </c>
      <c r="H239" s="42">
        <v>0</v>
      </c>
      <c r="I239" s="40">
        <f t="shared" ref="I239:J239" si="237">20%+(I238-20%)*0.95</f>
        <v>0.20000118794646682</v>
      </c>
      <c r="J239" s="40">
        <f t="shared" si="237"/>
        <v>0.20000174232148471</v>
      </c>
      <c r="K239" s="41">
        <f t="shared" si="199"/>
        <v>0.79999999999335392</v>
      </c>
      <c r="L239" s="23">
        <f t="shared" si="211"/>
        <v>0.65205479452054793</v>
      </c>
      <c r="M239" s="28">
        <f t="shared" si="212"/>
        <v>31</v>
      </c>
      <c r="N239" s="29" t="s">
        <v>9</v>
      </c>
      <c r="O239" s="30">
        <v>1</v>
      </c>
      <c r="P239" s="31">
        <v>0</v>
      </c>
      <c r="Q239" s="1">
        <v>1</v>
      </c>
      <c r="R239" s="32">
        <v>3.4448853815845979</v>
      </c>
      <c r="S239" s="32">
        <v>2.6369999999999969</v>
      </c>
      <c r="T239" s="32">
        <v>0.80788538158460099</v>
      </c>
    </row>
    <row r="240" spans="1:20" x14ac:dyDescent="0.35">
      <c r="A240" s="44">
        <v>44061</v>
      </c>
      <c r="B240" s="20">
        <f t="shared" si="209"/>
        <v>44050</v>
      </c>
      <c r="C240" s="35">
        <v>48.75</v>
      </c>
      <c r="D240" s="36">
        <v>60.65</v>
      </c>
      <c r="E240" s="36">
        <v>41.73</v>
      </c>
      <c r="F240" s="36">
        <v>18.376000000000001</v>
      </c>
      <c r="G240" s="36">
        <v>25.3</v>
      </c>
      <c r="H240" s="42">
        <v>0</v>
      </c>
      <c r="I240" s="40">
        <f t="shared" ref="I240:J240" si="238">20%+(I239-20%)*0.95</f>
        <v>0.20000112854914348</v>
      </c>
      <c r="J240" s="40">
        <f t="shared" si="238"/>
        <v>0.20000165520541047</v>
      </c>
      <c r="K240" s="41">
        <f t="shared" si="199"/>
        <v>0.7999999999940185</v>
      </c>
      <c r="L240" s="23">
        <f t="shared" si="211"/>
        <v>0.65479452054794518</v>
      </c>
      <c r="M240" s="28">
        <f t="shared" si="212"/>
        <v>31</v>
      </c>
      <c r="N240" s="29" t="s">
        <v>9</v>
      </c>
      <c r="O240" s="30">
        <v>1</v>
      </c>
      <c r="P240" s="31">
        <v>0</v>
      </c>
      <c r="Q240" s="1">
        <v>1</v>
      </c>
      <c r="R240" s="32">
        <v>3.4481445900679546</v>
      </c>
      <c r="S240" s="32">
        <v>2.6369999999999969</v>
      </c>
      <c r="T240" s="32">
        <v>0.81114459006795769</v>
      </c>
    </row>
    <row r="241" spans="1:20" x14ac:dyDescent="0.35">
      <c r="A241" s="44">
        <v>44062</v>
      </c>
      <c r="B241" s="20">
        <f t="shared" si="209"/>
        <v>44053</v>
      </c>
      <c r="C241" s="35">
        <v>48.75</v>
      </c>
      <c r="D241" s="36">
        <v>60.65</v>
      </c>
      <c r="E241" s="36">
        <v>41.73</v>
      </c>
      <c r="F241" s="36">
        <v>18.376000000000001</v>
      </c>
      <c r="G241" s="36">
        <v>25.3</v>
      </c>
      <c r="H241" s="42">
        <v>0</v>
      </c>
      <c r="I241" s="40">
        <f t="shared" ref="I241:J241" si="239">20%+(I240-20%)*0.95</f>
        <v>0.2000010721216863</v>
      </c>
      <c r="J241" s="40">
        <f t="shared" si="239"/>
        <v>0.20000157244513994</v>
      </c>
      <c r="K241" s="41">
        <f t="shared" si="199"/>
        <v>0.79999999999461668</v>
      </c>
      <c r="L241" s="23">
        <f t="shared" si="211"/>
        <v>0.66301369863013704</v>
      </c>
      <c r="M241" s="28">
        <f t="shared" si="212"/>
        <v>31</v>
      </c>
      <c r="N241" s="29" t="s">
        <v>9</v>
      </c>
      <c r="O241" s="30">
        <v>1</v>
      </c>
      <c r="P241" s="31">
        <v>0</v>
      </c>
      <c r="Q241" s="1">
        <v>1</v>
      </c>
      <c r="R241" s="32">
        <v>3.4578960867285602</v>
      </c>
      <c r="S241" s="32">
        <v>2.6369999999999969</v>
      </c>
      <c r="T241" s="32">
        <v>0.82089608672856329</v>
      </c>
    </row>
    <row r="242" spans="1:20" x14ac:dyDescent="0.35">
      <c r="A242" s="44">
        <v>44063</v>
      </c>
      <c r="B242" s="20">
        <f t="shared" si="209"/>
        <v>44054</v>
      </c>
      <c r="C242" s="35">
        <v>48.75</v>
      </c>
      <c r="D242" s="36">
        <v>60.65</v>
      </c>
      <c r="E242" s="36">
        <v>41.73</v>
      </c>
      <c r="F242" s="36">
        <v>18.376000000000001</v>
      </c>
      <c r="G242" s="36">
        <v>25.3</v>
      </c>
      <c r="H242" s="42">
        <v>0</v>
      </c>
      <c r="I242" s="40">
        <f t="shared" ref="I242:J242" si="240">20%+(I241-20%)*0.95</f>
        <v>0.20000101851560198</v>
      </c>
      <c r="J242" s="40">
        <f t="shared" si="240"/>
        <v>0.20000149382288296</v>
      </c>
      <c r="K242" s="41">
        <f t="shared" si="199"/>
        <v>0.79999999999515503</v>
      </c>
      <c r="L242" s="23">
        <f t="shared" si="211"/>
        <v>0.66575342465753429</v>
      </c>
      <c r="M242" s="28">
        <f t="shared" si="212"/>
        <v>31</v>
      </c>
      <c r="N242" s="29" t="s">
        <v>9</v>
      </c>
      <c r="O242" s="30">
        <v>1</v>
      </c>
      <c r="P242" s="31">
        <v>0</v>
      </c>
      <c r="Q242" s="1">
        <v>1</v>
      </c>
      <c r="R242" s="32">
        <v>3.4611370643366044</v>
      </c>
      <c r="S242" s="32">
        <v>2.6369999999999969</v>
      </c>
      <c r="T242" s="32">
        <v>0.82413706433660749</v>
      </c>
    </row>
    <row r="243" spans="1:20" x14ac:dyDescent="0.35">
      <c r="A243" s="44">
        <v>44064</v>
      </c>
      <c r="B243" s="20">
        <f t="shared" si="209"/>
        <v>44055</v>
      </c>
      <c r="C243" s="35">
        <v>48.75</v>
      </c>
      <c r="D243" s="36">
        <v>60.65</v>
      </c>
      <c r="E243" s="36">
        <v>41.73</v>
      </c>
      <c r="F243" s="36">
        <v>18.376000000000001</v>
      </c>
      <c r="G243" s="36">
        <v>25.3</v>
      </c>
      <c r="H243" s="42">
        <v>0</v>
      </c>
      <c r="I243" s="40">
        <f t="shared" ref="I243:J243" si="241">20%+(I242-20%)*0.95</f>
        <v>0.20000096758982189</v>
      </c>
      <c r="J243" s="40">
        <f t="shared" si="241"/>
        <v>0.2000014191317388</v>
      </c>
      <c r="K243" s="41">
        <f t="shared" si="199"/>
        <v>0.79999999999563953</v>
      </c>
      <c r="L243" s="23">
        <f t="shared" si="211"/>
        <v>0.66849315068493154</v>
      </c>
      <c r="M243" s="28">
        <f t="shared" si="212"/>
        <v>31</v>
      </c>
      <c r="N243" s="29" t="s">
        <v>9</v>
      </c>
      <c r="O243" s="30">
        <v>1</v>
      </c>
      <c r="P243" s="31">
        <v>0</v>
      </c>
      <c r="Q243" s="1">
        <v>1</v>
      </c>
      <c r="R243" s="32">
        <v>3.464373538391655</v>
      </c>
      <c r="S243" s="32">
        <v>2.6369999999999969</v>
      </c>
      <c r="T243" s="32">
        <v>0.82737353839165806</v>
      </c>
    </row>
    <row r="244" spans="1:20" x14ac:dyDescent="0.35">
      <c r="A244" s="44">
        <v>44065</v>
      </c>
      <c r="B244" s="20">
        <f t="shared" si="209"/>
        <v>44056</v>
      </c>
      <c r="C244" s="35">
        <v>48.75</v>
      </c>
      <c r="D244" s="36">
        <v>60.65</v>
      </c>
      <c r="E244" s="36">
        <v>41.73</v>
      </c>
      <c r="F244" s="36">
        <v>18.376000000000001</v>
      </c>
      <c r="G244" s="36">
        <v>25.3</v>
      </c>
      <c r="H244" s="42">
        <v>0</v>
      </c>
      <c r="I244" s="40">
        <f t="shared" ref="I244:J244" si="242">20%+(I243-20%)*0.95</f>
        <v>0.20000091921033081</v>
      </c>
      <c r="J244" s="40">
        <f t="shared" si="242"/>
        <v>0.20000134817515186</v>
      </c>
      <c r="K244" s="41">
        <f t="shared" si="199"/>
        <v>0.79999999999607563</v>
      </c>
      <c r="L244" s="23">
        <f t="shared" si="211"/>
        <v>0.67123287671232879</v>
      </c>
      <c r="M244" s="28">
        <f t="shared" si="212"/>
        <v>31</v>
      </c>
      <c r="N244" s="29" t="s">
        <v>9</v>
      </c>
      <c r="O244" s="30">
        <v>1</v>
      </c>
      <c r="P244" s="31">
        <v>0</v>
      </c>
      <c r="Q244" s="1">
        <v>1</v>
      </c>
      <c r="R244" s="32">
        <v>3.4676055236423551</v>
      </c>
      <c r="S244" s="32">
        <v>2.6369999999999969</v>
      </c>
      <c r="T244" s="32">
        <v>0.83060552364235818</v>
      </c>
    </row>
    <row r="245" spans="1:20" x14ac:dyDescent="0.35">
      <c r="A245" s="44">
        <v>44066</v>
      </c>
      <c r="B245" s="20">
        <f t="shared" si="209"/>
        <v>44056</v>
      </c>
      <c r="C245" s="35">
        <v>48.75</v>
      </c>
      <c r="D245" s="36">
        <v>60.65</v>
      </c>
      <c r="E245" s="36">
        <v>41.73</v>
      </c>
      <c r="F245" s="36">
        <v>18.376000000000001</v>
      </c>
      <c r="G245" s="36">
        <v>25.3</v>
      </c>
      <c r="H245" s="42">
        <v>0</v>
      </c>
      <c r="I245" s="40">
        <f t="shared" ref="I245:J245" si="243">20%+(I244-20%)*0.95</f>
        <v>0.20000087324981428</v>
      </c>
      <c r="J245" s="40">
        <f t="shared" si="243"/>
        <v>0.20000128076639426</v>
      </c>
      <c r="K245" s="41">
        <f t="shared" si="199"/>
        <v>0.79999999999646809</v>
      </c>
      <c r="L245" s="23">
        <f t="shared" si="211"/>
        <v>0.67123287671232879</v>
      </c>
      <c r="M245" s="28">
        <f t="shared" si="212"/>
        <v>31</v>
      </c>
      <c r="N245" s="29" t="s">
        <v>9</v>
      </c>
      <c r="O245" s="30">
        <v>1</v>
      </c>
      <c r="P245" s="31">
        <v>0</v>
      </c>
      <c r="Q245" s="1">
        <v>1</v>
      </c>
      <c r="R245" s="32">
        <v>3.467604989028338</v>
      </c>
      <c r="S245" s="32">
        <v>2.6369999999999969</v>
      </c>
      <c r="T245" s="32">
        <v>0.83060498902834112</v>
      </c>
    </row>
    <row r="246" spans="1:20" x14ac:dyDescent="0.35">
      <c r="A246" s="44">
        <v>44067</v>
      </c>
      <c r="B246" s="20">
        <f t="shared" si="209"/>
        <v>44056</v>
      </c>
      <c r="C246" s="35">
        <v>48.75</v>
      </c>
      <c r="D246" s="36">
        <v>60.65</v>
      </c>
      <c r="E246" s="36">
        <v>41.73</v>
      </c>
      <c r="F246" s="36">
        <v>18.376000000000001</v>
      </c>
      <c r="G246" s="36">
        <v>25.3</v>
      </c>
      <c r="H246" s="42">
        <v>0</v>
      </c>
      <c r="I246" s="40">
        <f t="shared" ref="I246:J246" si="244">20%+(I245-20%)*0.95</f>
        <v>0.20000082958732357</v>
      </c>
      <c r="J246" s="40">
        <f t="shared" si="244"/>
        <v>0.20000121672807455</v>
      </c>
      <c r="K246" s="41">
        <f t="shared" si="199"/>
        <v>0.79999999999682125</v>
      </c>
      <c r="L246" s="23">
        <f t="shared" si="211"/>
        <v>0.67123287671232879</v>
      </c>
      <c r="M246" s="28">
        <f t="shared" si="212"/>
        <v>31</v>
      </c>
      <c r="N246" s="29" t="s">
        <v>9</v>
      </c>
      <c r="O246" s="30">
        <v>1</v>
      </c>
      <c r="P246" s="31">
        <v>0</v>
      </c>
      <c r="Q246" s="1">
        <v>1</v>
      </c>
      <c r="R246" s="32">
        <v>3.4676044811451732</v>
      </c>
      <c r="S246" s="32">
        <v>2.6369999999999969</v>
      </c>
      <c r="T246" s="32">
        <v>0.83060448114517627</v>
      </c>
    </row>
    <row r="247" spans="1:20" x14ac:dyDescent="0.35">
      <c r="A247" s="44">
        <v>44068</v>
      </c>
      <c r="B247" s="20">
        <f t="shared" si="209"/>
        <v>44057</v>
      </c>
      <c r="C247" s="35">
        <v>48.75</v>
      </c>
      <c r="D247" s="36">
        <v>60.65</v>
      </c>
      <c r="E247" s="36">
        <v>41.73</v>
      </c>
      <c r="F247" s="36">
        <v>18.376000000000001</v>
      </c>
      <c r="G247" s="36">
        <v>25.3</v>
      </c>
      <c r="H247" s="42">
        <v>0</v>
      </c>
      <c r="I247" s="40">
        <f t="shared" ref="I247:J247" si="245">20%+(I246-20%)*0.95</f>
        <v>0.20000078810795741</v>
      </c>
      <c r="J247" s="40">
        <f t="shared" si="245"/>
        <v>0.20000115589167083</v>
      </c>
      <c r="K247" s="41">
        <f t="shared" si="199"/>
        <v>0.79999999999713911</v>
      </c>
      <c r="L247" s="23">
        <f t="shared" si="211"/>
        <v>0.67397260273972603</v>
      </c>
      <c r="M247" s="28">
        <f t="shared" si="212"/>
        <v>31</v>
      </c>
      <c r="N247" s="29" t="s">
        <v>9</v>
      </c>
      <c r="O247" s="30">
        <v>1</v>
      </c>
      <c r="P247" s="31">
        <v>0</v>
      </c>
      <c r="Q247" s="1">
        <v>1</v>
      </c>
      <c r="R247" s="32">
        <v>3.4708320418081584</v>
      </c>
      <c r="S247" s="32">
        <v>2.6369999999999969</v>
      </c>
      <c r="T247" s="32">
        <v>0.83383204180816151</v>
      </c>
    </row>
    <row r="248" spans="1:20" x14ac:dyDescent="0.35">
      <c r="A248" s="44">
        <v>44069</v>
      </c>
      <c r="B248" s="20">
        <f t="shared" si="209"/>
        <v>44060</v>
      </c>
      <c r="C248" s="35">
        <v>48.75</v>
      </c>
      <c r="D248" s="36">
        <v>60.65</v>
      </c>
      <c r="E248" s="36">
        <v>41.73</v>
      </c>
      <c r="F248" s="36">
        <v>18.376000000000001</v>
      </c>
      <c r="G248" s="36">
        <v>25.3</v>
      </c>
      <c r="H248" s="42">
        <v>0</v>
      </c>
      <c r="I248" s="40">
        <f t="shared" ref="I248:J248" si="246">20%+(I247-20%)*0.95</f>
        <v>0.20000074870255954</v>
      </c>
      <c r="J248" s="40">
        <f t="shared" si="246"/>
        <v>0.2000010980970873</v>
      </c>
      <c r="K248" s="41">
        <f t="shared" si="199"/>
        <v>0.79999999999742522</v>
      </c>
      <c r="L248" s="23">
        <f t="shared" si="211"/>
        <v>0.68219178082191778</v>
      </c>
      <c r="M248" s="28">
        <f t="shared" si="212"/>
        <v>31</v>
      </c>
      <c r="N248" s="29" t="s">
        <v>9</v>
      </c>
      <c r="O248" s="30">
        <v>1</v>
      </c>
      <c r="P248" s="31">
        <v>0</v>
      </c>
      <c r="Q248" s="1">
        <v>1</v>
      </c>
      <c r="R248" s="32">
        <v>3.4804888715971032</v>
      </c>
      <c r="S248" s="32">
        <v>2.6369999999999969</v>
      </c>
      <c r="T248" s="32">
        <v>0.84348887159710628</v>
      </c>
    </row>
    <row r="249" spans="1:20" x14ac:dyDescent="0.35">
      <c r="A249" s="44">
        <v>44070</v>
      </c>
      <c r="B249" s="20">
        <f t="shared" si="209"/>
        <v>44061</v>
      </c>
      <c r="C249" s="35">
        <v>48.75</v>
      </c>
      <c r="D249" s="36">
        <v>60.65</v>
      </c>
      <c r="E249" s="36">
        <v>41.73</v>
      </c>
      <c r="F249" s="36">
        <v>18.376000000000001</v>
      </c>
      <c r="G249" s="36">
        <v>25.3</v>
      </c>
      <c r="H249" s="42">
        <v>0</v>
      </c>
      <c r="I249" s="40">
        <f t="shared" ref="I249:J249" si="247">20%+(I248-20%)*0.95</f>
        <v>0.20000071126743157</v>
      </c>
      <c r="J249" s="40">
        <f t="shared" si="247"/>
        <v>0.20000104319223294</v>
      </c>
      <c r="K249" s="41">
        <f t="shared" si="199"/>
        <v>0.79999999999768268</v>
      </c>
      <c r="L249" s="23">
        <f t="shared" si="211"/>
        <v>0.68493150684931503</v>
      </c>
      <c r="M249" s="28">
        <f t="shared" si="212"/>
        <v>31</v>
      </c>
      <c r="N249" s="29" t="s">
        <v>9</v>
      </c>
      <c r="O249" s="30">
        <v>1</v>
      </c>
      <c r="P249" s="31">
        <v>0</v>
      </c>
      <c r="Q249" s="1">
        <v>1</v>
      </c>
      <c r="R249" s="32">
        <v>3.4836986340345319</v>
      </c>
      <c r="S249" s="32">
        <v>2.6369999999999969</v>
      </c>
      <c r="T249" s="32">
        <v>0.84669863403453505</v>
      </c>
    </row>
    <row r="250" spans="1:20" x14ac:dyDescent="0.35">
      <c r="A250" s="44">
        <v>44071</v>
      </c>
      <c r="B250" s="20">
        <f t="shared" si="209"/>
        <v>44062</v>
      </c>
      <c r="C250" s="35">
        <v>48.75</v>
      </c>
      <c r="D250" s="36">
        <v>60.65</v>
      </c>
      <c r="E250" s="36">
        <v>41.73</v>
      </c>
      <c r="F250" s="36">
        <v>18.376000000000001</v>
      </c>
      <c r="G250" s="36">
        <v>25.3</v>
      </c>
      <c r="H250" s="42">
        <v>0</v>
      </c>
      <c r="I250" s="40">
        <f t="shared" ref="I250:J250" si="248">20%+(I249-20%)*0.95</f>
        <v>0.20000067570405999</v>
      </c>
      <c r="J250" s="40">
        <f t="shared" si="248"/>
        <v>0.20000099103262128</v>
      </c>
      <c r="K250" s="41">
        <f t="shared" si="199"/>
        <v>0.79999999999791438</v>
      </c>
      <c r="L250" s="23">
        <f t="shared" si="211"/>
        <v>0.68767123287671228</v>
      </c>
      <c r="M250" s="28">
        <f t="shared" si="212"/>
        <v>31</v>
      </c>
      <c r="N250" s="29" t="s">
        <v>9</v>
      </c>
      <c r="O250" s="30">
        <v>1</v>
      </c>
      <c r="P250" s="31">
        <v>0</v>
      </c>
      <c r="Q250" s="1">
        <v>1</v>
      </c>
      <c r="R250" s="32">
        <v>3.4869039961043313</v>
      </c>
      <c r="S250" s="32">
        <v>2.6369999999999969</v>
      </c>
      <c r="T250" s="32">
        <v>0.84990399610433442</v>
      </c>
    </row>
    <row r="251" spans="1:20" x14ac:dyDescent="0.35">
      <c r="A251" s="44">
        <v>44072</v>
      </c>
      <c r="B251" s="20">
        <f t="shared" si="209"/>
        <v>44063</v>
      </c>
      <c r="C251" s="35">
        <v>48.75</v>
      </c>
      <c r="D251" s="36">
        <v>60.65</v>
      </c>
      <c r="E251" s="36">
        <v>41.73</v>
      </c>
      <c r="F251" s="36">
        <v>18.376000000000001</v>
      </c>
      <c r="G251" s="36">
        <v>25.3</v>
      </c>
      <c r="H251" s="42">
        <v>0</v>
      </c>
      <c r="I251" s="40">
        <f t="shared" ref="I251:J251" si="249">20%+(I250-20%)*0.95</f>
        <v>0.200000641918857</v>
      </c>
      <c r="J251" s="40">
        <f t="shared" si="249"/>
        <v>0.20000094148099021</v>
      </c>
      <c r="K251" s="41">
        <f t="shared" si="199"/>
        <v>0.79999999999812299</v>
      </c>
      <c r="L251" s="23">
        <f t="shared" si="211"/>
        <v>0.69041095890410964</v>
      </c>
      <c r="M251" s="28">
        <f t="shared" si="212"/>
        <v>31</v>
      </c>
      <c r="N251" s="29" t="s">
        <v>9</v>
      </c>
      <c r="O251" s="30">
        <v>1</v>
      </c>
      <c r="P251" s="31">
        <v>0</v>
      </c>
      <c r="Q251" s="1">
        <v>1</v>
      </c>
      <c r="R251" s="32">
        <v>3.4901049725096911</v>
      </c>
      <c r="S251" s="32">
        <v>2.6369999999999969</v>
      </c>
      <c r="T251" s="32">
        <v>0.85310497250969419</v>
      </c>
    </row>
    <row r="252" spans="1:20" x14ac:dyDescent="0.35">
      <c r="A252" s="44">
        <v>44073</v>
      </c>
      <c r="B252" s="20">
        <f t="shared" si="209"/>
        <v>44063</v>
      </c>
      <c r="C252" s="35">
        <v>48.75</v>
      </c>
      <c r="D252" s="36">
        <v>60.65</v>
      </c>
      <c r="E252" s="36">
        <v>41.73</v>
      </c>
      <c r="F252" s="36">
        <v>18.376000000000001</v>
      </c>
      <c r="G252" s="36">
        <v>25.3</v>
      </c>
      <c r="H252" s="42">
        <v>0</v>
      </c>
      <c r="I252" s="40">
        <f t="shared" ref="I252:J252" si="250">20%+(I251-20%)*0.95</f>
        <v>0.20000060982291415</v>
      </c>
      <c r="J252" s="40">
        <f t="shared" si="250"/>
        <v>0.20000089440694069</v>
      </c>
      <c r="K252" s="41">
        <f t="shared" si="199"/>
        <v>0.79999999999831073</v>
      </c>
      <c r="L252" s="23">
        <f t="shared" si="211"/>
        <v>0.69041095890410964</v>
      </c>
      <c r="M252" s="28">
        <f t="shared" si="212"/>
        <v>31</v>
      </c>
      <c r="N252" s="29" t="s">
        <v>9</v>
      </c>
      <c r="O252" s="30">
        <v>1</v>
      </c>
      <c r="P252" s="31">
        <v>0</v>
      </c>
      <c r="Q252" s="1">
        <v>1</v>
      </c>
      <c r="R252" s="32">
        <v>3.4901045922005025</v>
      </c>
      <c r="S252" s="32">
        <v>2.6369999999999969</v>
      </c>
      <c r="T252" s="32">
        <v>0.85310459220050561</v>
      </c>
    </row>
    <row r="253" spans="1:20" x14ac:dyDescent="0.35">
      <c r="A253" s="44">
        <v>44074</v>
      </c>
      <c r="B253" s="20">
        <f t="shared" si="209"/>
        <v>44063</v>
      </c>
      <c r="C253" s="35">
        <v>48.75</v>
      </c>
      <c r="D253" s="36">
        <v>60.65</v>
      </c>
      <c r="E253" s="36">
        <v>41.73</v>
      </c>
      <c r="F253" s="36">
        <v>18.376000000000001</v>
      </c>
      <c r="G253" s="36">
        <v>25.3</v>
      </c>
      <c r="H253" s="42">
        <v>0</v>
      </c>
      <c r="I253" s="40">
        <f t="shared" ref="I253:J253" si="251">20%+(I252-20%)*0.95</f>
        <v>0.20000057933176843</v>
      </c>
      <c r="J253" s="40">
        <f t="shared" si="251"/>
        <v>0.20000084968659365</v>
      </c>
      <c r="K253" s="41">
        <f t="shared" si="199"/>
        <v>0.7999999999984797</v>
      </c>
      <c r="L253" s="23">
        <f t="shared" si="211"/>
        <v>0.69041095890410964</v>
      </c>
      <c r="M253" s="28">
        <f t="shared" si="212"/>
        <v>31</v>
      </c>
      <c r="N253" s="29" t="s">
        <v>9</v>
      </c>
      <c r="O253" s="30">
        <v>1</v>
      </c>
      <c r="P253" s="31">
        <v>0</v>
      </c>
      <c r="Q253" s="1">
        <v>1</v>
      </c>
      <c r="R253" s="32">
        <v>3.4901042309068302</v>
      </c>
      <c r="S253" s="32">
        <v>2.6369999999999969</v>
      </c>
      <c r="T253" s="32">
        <v>0.85310423090683329</v>
      </c>
    </row>
    <row r="254" spans="1:20" x14ac:dyDescent="0.35">
      <c r="A254" s="44">
        <v>44075</v>
      </c>
      <c r="B254" s="20">
        <f t="shared" si="209"/>
        <v>44064</v>
      </c>
      <c r="C254" s="35">
        <v>48.75</v>
      </c>
      <c r="D254" s="36">
        <v>60.65</v>
      </c>
      <c r="E254" s="36">
        <v>41.73</v>
      </c>
      <c r="F254" s="36">
        <v>18.376000000000001</v>
      </c>
      <c r="G254" s="36">
        <v>25.3</v>
      </c>
      <c r="H254" s="42">
        <v>0</v>
      </c>
      <c r="I254" s="40">
        <f t="shared" ref="I254:J254" si="252">20%+(I253-20%)*0.95</f>
        <v>0.20000055036518</v>
      </c>
      <c r="J254" s="40">
        <f t="shared" si="252"/>
        <v>0.20000080720226396</v>
      </c>
      <c r="K254" s="41">
        <f t="shared" si="199"/>
        <v>0.79999999999863169</v>
      </c>
      <c r="L254" s="23">
        <f t="shared" si="211"/>
        <v>0.69315068493150689</v>
      </c>
      <c r="M254" s="28">
        <f t="shared" si="212"/>
        <v>31</v>
      </c>
      <c r="N254" s="29" t="s">
        <v>9</v>
      </c>
      <c r="O254" s="30">
        <v>1</v>
      </c>
      <c r="P254" s="31">
        <v>0</v>
      </c>
      <c r="Q254" s="1">
        <v>1</v>
      </c>
      <c r="R254" s="32">
        <v>3.4933008715869036</v>
      </c>
      <c r="S254" s="32">
        <v>2.6369999999999969</v>
      </c>
      <c r="T254" s="32">
        <v>0.85630087158690671</v>
      </c>
    </row>
    <row r="255" spans="1:20" x14ac:dyDescent="0.35">
      <c r="A255" s="44">
        <v>44076</v>
      </c>
      <c r="B255" s="20">
        <f t="shared" si="209"/>
        <v>44067</v>
      </c>
      <c r="C255" s="35">
        <v>48.75</v>
      </c>
      <c r="D255" s="36">
        <v>60.65</v>
      </c>
      <c r="E255" s="36">
        <v>41.73</v>
      </c>
      <c r="F255" s="36">
        <v>18.376000000000001</v>
      </c>
      <c r="G255" s="36">
        <v>25.3</v>
      </c>
      <c r="H255" s="42">
        <v>0</v>
      </c>
      <c r="I255" s="40">
        <f t="shared" ref="I255:J255" si="253">20%+(I254-20%)*0.95</f>
        <v>0.20000052284692099</v>
      </c>
      <c r="J255" s="40">
        <f t="shared" si="253"/>
        <v>0.20000076684215076</v>
      </c>
      <c r="K255" s="41">
        <f t="shared" si="199"/>
        <v>0.79999999999876859</v>
      </c>
      <c r="L255" s="23">
        <f t="shared" si="211"/>
        <v>0.70136986301369864</v>
      </c>
      <c r="M255" s="28">
        <f t="shared" si="212"/>
        <v>31</v>
      </c>
      <c r="N255" s="29" t="s">
        <v>9</v>
      </c>
      <c r="O255" s="30">
        <v>1</v>
      </c>
      <c r="P255" s="31">
        <v>0</v>
      </c>
      <c r="Q255" s="1">
        <v>1</v>
      </c>
      <c r="R255" s="32">
        <v>3.5028653148986386</v>
      </c>
      <c r="S255" s="32">
        <v>2.6369999999999969</v>
      </c>
      <c r="T255" s="32">
        <v>0.86586531489864171</v>
      </c>
    </row>
    <row r="256" spans="1:20" x14ac:dyDescent="0.35">
      <c r="A256" s="44">
        <v>44077</v>
      </c>
      <c r="B256" s="20">
        <f t="shared" si="209"/>
        <v>44068</v>
      </c>
      <c r="C256" s="35">
        <v>48.75</v>
      </c>
      <c r="D256" s="36">
        <v>60.65</v>
      </c>
      <c r="E256" s="36">
        <v>41.73</v>
      </c>
      <c r="F256" s="36">
        <v>18.376000000000001</v>
      </c>
      <c r="G256" s="36">
        <v>25.3</v>
      </c>
      <c r="H256" s="42">
        <v>0</v>
      </c>
      <c r="I256" s="40">
        <f t="shared" ref="I256:J256" si="254">20%+(I255-20%)*0.95</f>
        <v>0.20000049670457495</v>
      </c>
      <c r="J256" s="40">
        <f t="shared" si="254"/>
        <v>0.20000072850004322</v>
      </c>
      <c r="K256" s="41">
        <f t="shared" si="199"/>
        <v>0.79999999999889171</v>
      </c>
      <c r="L256" s="23">
        <f t="shared" si="211"/>
        <v>0.70410958904109588</v>
      </c>
      <c r="M256" s="28">
        <f t="shared" si="212"/>
        <v>31</v>
      </c>
      <c r="N256" s="29" t="s">
        <v>9</v>
      </c>
      <c r="O256" s="30">
        <v>1</v>
      </c>
      <c r="P256" s="31">
        <v>0</v>
      </c>
      <c r="Q256" s="1">
        <v>1</v>
      </c>
      <c r="R256" s="32">
        <v>3.5060445828469042</v>
      </c>
      <c r="S256" s="32">
        <v>2.6369999999999969</v>
      </c>
      <c r="T256" s="32">
        <v>0.86904458284690733</v>
      </c>
    </row>
    <row r="257" spans="1:20" x14ac:dyDescent="0.35">
      <c r="A257" s="44">
        <v>44078</v>
      </c>
      <c r="B257" s="20">
        <f t="shared" si="209"/>
        <v>44069</v>
      </c>
      <c r="C257" s="35">
        <v>48.75</v>
      </c>
      <c r="D257" s="36">
        <v>60.65</v>
      </c>
      <c r="E257" s="36">
        <v>41.73</v>
      </c>
      <c r="F257" s="36">
        <v>18.376000000000001</v>
      </c>
      <c r="G257" s="36">
        <v>25.3</v>
      </c>
      <c r="H257" s="42">
        <v>0</v>
      </c>
      <c r="I257" s="40">
        <f t="shared" ref="I257:J257" si="255">20%+(I256-20%)*0.95</f>
        <v>0.20000047186934622</v>
      </c>
      <c r="J257" s="40">
        <f t="shared" si="255"/>
        <v>0.20000069207504106</v>
      </c>
      <c r="K257" s="41">
        <f t="shared" si="199"/>
        <v>0.79999999999900251</v>
      </c>
      <c r="L257" s="23">
        <f t="shared" si="211"/>
        <v>0.70684931506849313</v>
      </c>
      <c r="M257" s="28">
        <f t="shared" si="212"/>
        <v>31</v>
      </c>
      <c r="N257" s="29" t="s">
        <v>9</v>
      </c>
      <c r="O257" s="30">
        <v>1</v>
      </c>
      <c r="P257" s="31">
        <v>0</v>
      </c>
      <c r="Q257" s="1">
        <v>1</v>
      </c>
      <c r="R257" s="32">
        <v>3.5092195529103485</v>
      </c>
      <c r="S257" s="32">
        <v>2.6369999999999969</v>
      </c>
      <c r="T257" s="32">
        <v>0.87221955291035158</v>
      </c>
    </row>
    <row r="258" spans="1:20" x14ac:dyDescent="0.35">
      <c r="A258" s="44">
        <v>44079</v>
      </c>
      <c r="B258" s="20">
        <f t="shared" si="209"/>
        <v>44070</v>
      </c>
      <c r="C258" s="35">
        <v>48.75</v>
      </c>
      <c r="D258" s="36">
        <v>60.65</v>
      </c>
      <c r="E258" s="36">
        <v>41.73</v>
      </c>
      <c r="F258" s="36">
        <v>18.376000000000001</v>
      </c>
      <c r="G258" s="36">
        <v>25.3</v>
      </c>
      <c r="H258" s="42">
        <v>0</v>
      </c>
      <c r="I258" s="40">
        <f t="shared" ref="I258:J258" si="256">20%+(I257-20%)*0.95</f>
        <v>0.2000004482758789</v>
      </c>
      <c r="J258" s="40">
        <f t="shared" si="256"/>
        <v>0.20000065747128901</v>
      </c>
      <c r="K258" s="41">
        <f t="shared" si="199"/>
        <v>0.79999999999910232</v>
      </c>
      <c r="L258" s="23">
        <f t="shared" si="211"/>
        <v>0.70958904109589038</v>
      </c>
      <c r="M258" s="28">
        <f t="shared" si="212"/>
        <v>31</v>
      </c>
      <c r="N258" s="29" t="s">
        <v>9</v>
      </c>
      <c r="O258" s="30">
        <v>1</v>
      </c>
      <c r="P258" s="31">
        <v>0</v>
      </c>
      <c r="Q258" s="1">
        <v>1</v>
      </c>
      <c r="R258" s="32">
        <v>3.5123902396266224</v>
      </c>
      <c r="S258" s="32">
        <v>2.6369999999999969</v>
      </c>
      <c r="T258" s="32">
        <v>0.87539023962662554</v>
      </c>
    </row>
    <row r="259" spans="1:20" x14ac:dyDescent="0.35">
      <c r="A259" s="44">
        <v>44080</v>
      </c>
      <c r="B259" s="20">
        <f t="shared" si="209"/>
        <v>44070</v>
      </c>
      <c r="C259" s="35">
        <v>48.75</v>
      </c>
      <c r="D259" s="36">
        <v>60.65</v>
      </c>
      <c r="E259" s="36">
        <v>41.73</v>
      </c>
      <c r="F259" s="36">
        <v>18.376000000000001</v>
      </c>
      <c r="G259" s="36">
        <v>25.3</v>
      </c>
      <c r="H259" s="42">
        <v>0</v>
      </c>
      <c r="I259" s="40">
        <f t="shared" ref="I259:J259" si="257">20%+(I258-20%)*0.95</f>
        <v>0.20000042586208497</v>
      </c>
      <c r="J259" s="40">
        <f t="shared" si="257"/>
        <v>0.20000062459772455</v>
      </c>
      <c r="K259" s="41">
        <f t="shared" si="199"/>
        <v>0.79999999999919214</v>
      </c>
      <c r="L259" s="23">
        <f t="shared" si="211"/>
        <v>0.70958904109589038</v>
      </c>
      <c r="M259" s="28">
        <f t="shared" si="212"/>
        <v>31</v>
      </c>
      <c r="N259" s="29" t="s">
        <v>9</v>
      </c>
      <c r="O259" s="30">
        <v>1</v>
      </c>
      <c r="P259" s="31">
        <v>0</v>
      </c>
      <c r="Q259" s="1">
        <v>1</v>
      </c>
      <c r="R259" s="32">
        <v>3.5123899692546665</v>
      </c>
      <c r="S259" s="32">
        <v>2.6369999999999969</v>
      </c>
      <c r="T259" s="32">
        <v>0.87538996925466961</v>
      </c>
    </row>
    <row r="260" spans="1:20" x14ac:dyDescent="0.35">
      <c r="A260" s="44">
        <v>44081</v>
      </c>
      <c r="B260" s="20">
        <f t="shared" si="209"/>
        <v>44070</v>
      </c>
      <c r="C260" s="35">
        <v>48.75</v>
      </c>
      <c r="D260" s="36">
        <v>60.65</v>
      </c>
      <c r="E260" s="36">
        <v>41.73</v>
      </c>
      <c r="F260" s="36">
        <v>18.376000000000001</v>
      </c>
      <c r="G260" s="36">
        <v>25.3</v>
      </c>
      <c r="H260" s="42">
        <v>0</v>
      </c>
      <c r="I260" s="40">
        <f t="shared" ref="I260:J260" si="258">20%+(I259-20%)*0.95</f>
        <v>0.20000040456898072</v>
      </c>
      <c r="J260" s="40">
        <f t="shared" si="258"/>
        <v>0.20000059336783832</v>
      </c>
      <c r="K260" s="41">
        <f t="shared" si="199"/>
        <v>0.79999999999927296</v>
      </c>
      <c r="L260" s="23">
        <f t="shared" si="211"/>
        <v>0.70958904109589038</v>
      </c>
      <c r="M260" s="28">
        <f t="shared" si="212"/>
        <v>31</v>
      </c>
      <c r="N260" s="29" t="s">
        <v>9</v>
      </c>
      <c r="O260" s="30">
        <v>1</v>
      </c>
      <c r="P260" s="31">
        <v>0</v>
      </c>
      <c r="Q260" s="1">
        <v>1</v>
      </c>
      <c r="R260" s="32">
        <v>3.5123897124013403</v>
      </c>
      <c r="S260" s="32">
        <v>2.6369999999999969</v>
      </c>
      <c r="T260" s="32">
        <v>0.87538971240134344</v>
      </c>
    </row>
    <row r="261" spans="1:20" x14ac:dyDescent="0.35">
      <c r="A261" s="44">
        <v>44082</v>
      </c>
      <c r="B261" s="20">
        <f t="shared" si="209"/>
        <v>44071</v>
      </c>
      <c r="C261" s="35">
        <v>48.75</v>
      </c>
      <c r="D261" s="36">
        <v>60.65</v>
      </c>
      <c r="E261" s="36">
        <v>41.73</v>
      </c>
      <c r="F261" s="36">
        <v>18.376000000000001</v>
      </c>
      <c r="G261" s="36">
        <v>25.3</v>
      </c>
      <c r="H261" s="42">
        <v>0</v>
      </c>
      <c r="I261" s="40">
        <f t="shared" ref="I261:J261" si="259">20%+(I260-20%)*0.95</f>
        <v>0.20000038434053169</v>
      </c>
      <c r="J261" s="40">
        <f t="shared" si="259"/>
        <v>0.20000056369944641</v>
      </c>
      <c r="K261" s="41">
        <f t="shared" si="199"/>
        <v>0.79999999999934568</v>
      </c>
      <c r="L261" s="23">
        <f t="shared" si="211"/>
        <v>0.71232876712328763</v>
      </c>
      <c r="M261" s="28">
        <f t="shared" si="212"/>
        <v>31</v>
      </c>
      <c r="N261" s="29" t="s">
        <v>9</v>
      </c>
      <c r="O261" s="30">
        <v>1</v>
      </c>
      <c r="P261" s="31">
        <v>0</v>
      </c>
      <c r="Q261" s="1">
        <v>1</v>
      </c>
      <c r="R261" s="32">
        <v>3.5155561553825549</v>
      </c>
      <c r="S261" s="32">
        <v>2.6369999999999969</v>
      </c>
      <c r="T261" s="32">
        <v>0.87855615538255805</v>
      </c>
    </row>
    <row r="262" spans="1:20" x14ac:dyDescent="0.35">
      <c r="A262" s="44">
        <v>44083</v>
      </c>
      <c r="B262" s="20">
        <f t="shared" si="209"/>
        <v>44074</v>
      </c>
      <c r="C262" s="35">
        <v>48.75</v>
      </c>
      <c r="D262" s="36">
        <v>60.65</v>
      </c>
      <c r="E262" s="36">
        <v>41.73</v>
      </c>
      <c r="F262" s="36">
        <v>18.376000000000001</v>
      </c>
      <c r="G262" s="36">
        <v>25.3</v>
      </c>
      <c r="H262" s="42">
        <v>0</v>
      </c>
      <c r="I262" s="40">
        <f t="shared" ref="I262:J262" si="260">20%+(I261-20%)*0.95</f>
        <v>0.20000036512350511</v>
      </c>
      <c r="J262" s="40">
        <f t="shared" si="260"/>
        <v>0.20000053551447408</v>
      </c>
      <c r="K262" s="41">
        <f t="shared" si="199"/>
        <v>0.79999999999941107</v>
      </c>
      <c r="L262" s="23">
        <f t="shared" si="211"/>
        <v>0.72054794520547949</v>
      </c>
      <c r="M262" s="28">
        <f t="shared" si="212"/>
        <v>31</v>
      </c>
      <c r="N262" s="29" t="s">
        <v>9</v>
      </c>
      <c r="O262" s="30">
        <v>1</v>
      </c>
      <c r="P262" s="31">
        <v>0</v>
      </c>
      <c r="Q262" s="1">
        <v>1</v>
      </c>
      <c r="R262" s="32">
        <v>3.5250304426477967</v>
      </c>
      <c r="S262" s="32">
        <v>2.6369999999999969</v>
      </c>
      <c r="T262" s="32">
        <v>0.88803044264779984</v>
      </c>
    </row>
    <row r="263" spans="1:20" x14ac:dyDescent="0.35">
      <c r="A263" s="44">
        <v>44084</v>
      </c>
      <c r="B263" s="20">
        <f t="shared" si="209"/>
        <v>44075</v>
      </c>
      <c r="C263" s="35">
        <v>48.75</v>
      </c>
      <c r="D263" s="36">
        <v>60.65</v>
      </c>
      <c r="E263" s="36">
        <v>41.73</v>
      </c>
      <c r="F263" s="36">
        <v>18.376000000000001</v>
      </c>
      <c r="G263" s="36">
        <v>25.3</v>
      </c>
      <c r="H263" s="42">
        <v>0</v>
      </c>
      <c r="I263" s="40">
        <f t="shared" ref="I263:J263" si="261">20%+(I262-20%)*0.95</f>
        <v>0.20000034686732984</v>
      </c>
      <c r="J263" s="40">
        <f t="shared" si="261"/>
        <v>0.20000050873875039</v>
      </c>
      <c r="K263" s="41">
        <f t="shared" si="199"/>
        <v>0.79999999999947002</v>
      </c>
      <c r="L263" s="23">
        <f t="shared" si="211"/>
        <v>0.72328767123287674</v>
      </c>
      <c r="M263" s="28">
        <f t="shared" si="212"/>
        <v>30</v>
      </c>
      <c r="N263" s="29" t="s">
        <v>9</v>
      </c>
      <c r="O263" s="30">
        <v>1</v>
      </c>
      <c r="P263" s="31">
        <v>0</v>
      </c>
      <c r="Q263" s="1">
        <v>1</v>
      </c>
      <c r="R263" s="32">
        <v>3.5281799295464609</v>
      </c>
      <c r="S263" s="32">
        <v>2.6369999999999969</v>
      </c>
      <c r="T263" s="32">
        <v>0.89117992954646397</v>
      </c>
    </row>
    <row r="264" spans="1:20" x14ac:dyDescent="0.35">
      <c r="A264" s="44">
        <v>44085</v>
      </c>
      <c r="B264" s="20">
        <f t="shared" si="209"/>
        <v>44076</v>
      </c>
      <c r="C264" s="35">
        <v>48.75</v>
      </c>
      <c r="D264" s="36">
        <v>60.65</v>
      </c>
      <c r="E264" s="36">
        <v>41.73</v>
      </c>
      <c r="F264" s="36">
        <v>18.376000000000001</v>
      </c>
      <c r="G264" s="36">
        <v>25.3</v>
      </c>
      <c r="H264" s="42">
        <v>0</v>
      </c>
      <c r="I264" s="40">
        <f t="shared" ref="I264:J264" si="262">20%+(I263-20%)*0.95</f>
        <v>0.20000032952396335</v>
      </c>
      <c r="J264" s="40">
        <f t="shared" si="262"/>
        <v>0.20000048330181286</v>
      </c>
      <c r="K264" s="41">
        <f t="shared" si="199"/>
        <v>0.79999999999952298</v>
      </c>
      <c r="L264" s="23">
        <f t="shared" si="211"/>
        <v>0.72602739726027399</v>
      </c>
      <c r="M264" s="28">
        <f t="shared" si="212"/>
        <v>30</v>
      </c>
      <c r="N264" s="29" t="s">
        <v>9</v>
      </c>
      <c r="O264" s="30">
        <v>1</v>
      </c>
      <c r="P264" s="31">
        <v>0</v>
      </c>
      <c r="Q264" s="1">
        <v>1</v>
      </c>
      <c r="R264" s="32">
        <v>3.5313252196153364</v>
      </c>
      <c r="S264" s="32">
        <v>2.6369999999999969</v>
      </c>
      <c r="T264" s="32">
        <v>0.89432521961533951</v>
      </c>
    </row>
    <row r="265" spans="1:20" x14ac:dyDescent="0.35">
      <c r="A265" s="44">
        <v>44086</v>
      </c>
      <c r="B265" s="20">
        <f t="shared" si="209"/>
        <v>44077</v>
      </c>
      <c r="C265" s="35">
        <v>48.75</v>
      </c>
      <c r="D265" s="36">
        <v>60.65</v>
      </c>
      <c r="E265" s="36">
        <v>41.73</v>
      </c>
      <c r="F265" s="36">
        <v>18.376000000000001</v>
      </c>
      <c r="G265" s="36">
        <v>25.3</v>
      </c>
      <c r="H265" s="42">
        <v>0</v>
      </c>
      <c r="I265" s="40">
        <f t="shared" ref="I265:J265" si="263">20%+(I264-20%)*0.95</f>
        <v>0.20000031304776519</v>
      </c>
      <c r="J265" s="40">
        <f t="shared" si="263"/>
        <v>0.20000045913672221</v>
      </c>
      <c r="K265" s="41">
        <f t="shared" si="199"/>
        <v>0.79999999999957072</v>
      </c>
      <c r="L265" s="23">
        <f t="shared" si="211"/>
        <v>0.72876712328767124</v>
      </c>
      <c r="M265" s="28">
        <f t="shared" si="212"/>
        <v>30</v>
      </c>
      <c r="N265" s="29" t="s">
        <v>9</v>
      </c>
      <c r="O265" s="30">
        <v>1</v>
      </c>
      <c r="P265" s="31">
        <v>0</v>
      </c>
      <c r="Q265" s="1">
        <v>1</v>
      </c>
      <c r="R265" s="32">
        <v>3.5344663271427237</v>
      </c>
      <c r="S265" s="32">
        <v>2.6369999999999969</v>
      </c>
      <c r="T265" s="32">
        <v>0.89746632714272678</v>
      </c>
    </row>
    <row r="266" spans="1:20" x14ac:dyDescent="0.35">
      <c r="A266" s="44">
        <v>44087</v>
      </c>
      <c r="B266" s="20">
        <f t="shared" si="209"/>
        <v>44077</v>
      </c>
      <c r="C266" s="35">
        <v>48.75</v>
      </c>
      <c r="D266" s="36">
        <v>60.65</v>
      </c>
      <c r="E266" s="36">
        <v>41.73</v>
      </c>
      <c r="F266" s="36">
        <v>18.376000000000001</v>
      </c>
      <c r="G266" s="36">
        <v>25.3</v>
      </c>
      <c r="H266" s="42">
        <v>0</v>
      </c>
      <c r="I266" s="40">
        <f t="shared" ref="I266:J266" si="264">20%+(I265-20%)*0.95</f>
        <v>0.20000029739537695</v>
      </c>
      <c r="J266" s="40">
        <f t="shared" si="264"/>
        <v>0.20000043617988611</v>
      </c>
      <c r="K266" s="41">
        <f t="shared" si="199"/>
        <v>0.79999999999961369</v>
      </c>
      <c r="L266" s="23">
        <f t="shared" si="211"/>
        <v>0.72876712328767124</v>
      </c>
      <c r="M266" s="28">
        <f t="shared" si="212"/>
        <v>30</v>
      </c>
      <c r="N266" s="29" t="s">
        <v>9</v>
      </c>
      <c r="O266" s="30">
        <v>1</v>
      </c>
      <c r="P266" s="31">
        <v>0</v>
      </c>
      <c r="Q266" s="1">
        <v>1</v>
      </c>
      <c r="R266" s="32">
        <v>3.5344661350407307</v>
      </c>
      <c r="S266" s="32">
        <v>2.6369999999999969</v>
      </c>
      <c r="T266" s="32">
        <v>0.8974661350407338</v>
      </c>
    </row>
    <row r="267" spans="1:20" x14ac:dyDescent="0.35">
      <c r="A267" s="44">
        <v>44088</v>
      </c>
      <c r="B267" s="20">
        <f t="shared" si="209"/>
        <v>44077</v>
      </c>
      <c r="C267" s="35">
        <v>48.75</v>
      </c>
      <c r="D267" s="36">
        <v>60.65</v>
      </c>
      <c r="E267" s="36">
        <v>41.73</v>
      </c>
      <c r="F267" s="36">
        <v>18.376000000000001</v>
      </c>
      <c r="G267" s="36">
        <v>25.3</v>
      </c>
      <c r="H267" s="42">
        <v>0</v>
      </c>
      <c r="I267" s="40">
        <f t="shared" ref="I267:J267" si="265">20%+(I266-20%)*0.95</f>
        <v>0.20000028252560809</v>
      </c>
      <c r="J267" s="40">
        <f t="shared" si="265"/>
        <v>0.2000004143708918</v>
      </c>
      <c r="K267" s="41">
        <f t="shared" si="199"/>
        <v>0.79999999999965232</v>
      </c>
      <c r="L267" s="23">
        <f t="shared" si="211"/>
        <v>0.72876712328767124</v>
      </c>
      <c r="M267" s="28">
        <f t="shared" si="212"/>
        <v>30</v>
      </c>
      <c r="N267" s="29" t="s">
        <v>9</v>
      </c>
      <c r="O267" s="30">
        <v>1</v>
      </c>
      <c r="P267" s="31">
        <v>0</v>
      </c>
      <c r="Q267" s="1">
        <v>1</v>
      </c>
      <c r="R267" s="32">
        <v>3.5344659525438544</v>
      </c>
      <c r="S267" s="32">
        <v>2.6369999999999969</v>
      </c>
      <c r="T267" s="32">
        <v>0.89746595254385753</v>
      </c>
    </row>
    <row r="268" spans="1:20" x14ac:dyDescent="0.35">
      <c r="A268" s="44">
        <v>44089</v>
      </c>
      <c r="B268" s="20">
        <f t="shared" si="209"/>
        <v>44078</v>
      </c>
      <c r="C268" s="35">
        <v>48.75</v>
      </c>
      <c r="D268" s="36">
        <v>60.65</v>
      </c>
      <c r="E268" s="36">
        <v>41.73</v>
      </c>
      <c r="F268" s="36">
        <v>18.376000000000001</v>
      </c>
      <c r="G268" s="36">
        <v>25.3</v>
      </c>
      <c r="H268" s="42">
        <v>0</v>
      </c>
      <c r="I268" s="40">
        <f t="shared" ref="I268:J268" si="266">20%+(I267-20%)*0.95</f>
        <v>0.20000026839932769</v>
      </c>
      <c r="J268" s="40">
        <f t="shared" si="266"/>
        <v>0.2000003936523472</v>
      </c>
      <c r="K268" s="41">
        <f t="shared" ref="K268:K331" si="267">80%+(K267-80%)*0.9</f>
        <v>0.79999999999968707</v>
      </c>
      <c r="L268" s="23">
        <f t="shared" si="211"/>
        <v>0.73150684931506849</v>
      </c>
      <c r="M268" s="28">
        <f t="shared" si="212"/>
        <v>30</v>
      </c>
      <c r="N268" s="29" t="s">
        <v>9</v>
      </c>
      <c r="O268" s="30">
        <v>1</v>
      </c>
      <c r="P268" s="31">
        <v>0</v>
      </c>
      <c r="Q268" s="1">
        <v>1</v>
      </c>
      <c r="R268" s="32">
        <v>3.5376029096439652</v>
      </c>
      <c r="S268" s="32">
        <v>2.6369999999999969</v>
      </c>
      <c r="T268" s="32">
        <v>0.90060290964396827</v>
      </c>
    </row>
    <row r="269" spans="1:20" x14ac:dyDescent="0.35">
      <c r="A269" s="44">
        <v>44090</v>
      </c>
      <c r="B269" s="20">
        <f t="shared" si="209"/>
        <v>44081</v>
      </c>
      <c r="C269" s="35">
        <v>48.75</v>
      </c>
      <c r="D269" s="36">
        <v>60.65</v>
      </c>
      <c r="E269" s="36">
        <v>41.73</v>
      </c>
      <c r="F269" s="36">
        <v>18.376000000000001</v>
      </c>
      <c r="G269" s="36">
        <v>25.3</v>
      </c>
      <c r="H269" s="42">
        <v>0</v>
      </c>
      <c r="I269" s="40">
        <f t="shared" ref="I269:J269" si="268">20%+(I268-20%)*0.95</f>
        <v>0.2000002549793613</v>
      </c>
      <c r="J269" s="40">
        <f t="shared" si="268"/>
        <v>0.20000037396972983</v>
      </c>
      <c r="K269" s="41">
        <f t="shared" si="267"/>
        <v>0.79999999999971838</v>
      </c>
      <c r="L269" s="23">
        <f t="shared" si="211"/>
        <v>0.73972602739726023</v>
      </c>
      <c r="M269" s="28">
        <f t="shared" si="212"/>
        <v>30</v>
      </c>
      <c r="N269" s="29" t="s">
        <v>9</v>
      </c>
      <c r="O269" s="30">
        <v>1</v>
      </c>
      <c r="P269" s="31">
        <v>0</v>
      </c>
      <c r="Q269" s="1">
        <v>1</v>
      </c>
      <c r="R269" s="32">
        <v>3.5469892161541381</v>
      </c>
      <c r="S269" s="32">
        <v>2.6369999999999969</v>
      </c>
      <c r="T269" s="32">
        <v>0.90998921615414119</v>
      </c>
    </row>
    <row r="270" spans="1:20" x14ac:dyDescent="0.35">
      <c r="A270" s="44">
        <v>44091</v>
      </c>
      <c r="B270" s="20">
        <f t="shared" si="209"/>
        <v>44082</v>
      </c>
      <c r="C270" s="35">
        <v>48.75</v>
      </c>
      <c r="D270" s="36">
        <v>60.65</v>
      </c>
      <c r="E270" s="36">
        <v>41.73</v>
      </c>
      <c r="F270" s="36">
        <v>18.376000000000001</v>
      </c>
      <c r="G270" s="36">
        <v>25.3</v>
      </c>
      <c r="H270" s="42">
        <v>0</v>
      </c>
      <c r="I270" s="40">
        <f t="shared" ref="I270:J270" si="269">20%+(I269-20%)*0.95</f>
        <v>0.20000024223039323</v>
      </c>
      <c r="J270" s="40">
        <f t="shared" si="269"/>
        <v>0.20000035527124335</v>
      </c>
      <c r="K270" s="41">
        <f t="shared" si="267"/>
        <v>0.79999999999974658</v>
      </c>
      <c r="L270" s="23">
        <f t="shared" si="211"/>
        <v>0.74246575342465748</v>
      </c>
      <c r="M270" s="28">
        <f t="shared" si="212"/>
        <v>30</v>
      </c>
      <c r="N270" s="29" t="s">
        <v>9</v>
      </c>
      <c r="O270" s="30">
        <v>1</v>
      </c>
      <c r="P270" s="31">
        <v>0</v>
      </c>
      <c r="Q270" s="1">
        <v>1</v>
      </c>
      <c r="R270" s="32">
        <v>3.5501096238345689</v>
      </c>
      <c r="S270" s="32">
        <v>2.6369999999999969</v>
      </c>
      <c r="T270" s="32">
        <v>0.91310962383457195</v>
      </c>
    </row>
    <row r="271" spans="1:20" x14ac:dyDescent="0.35">
      <c r="A271" s="44">
        <v>44092</v>
      </c>
      <c r="B271" s="20">
        <f t="shared" si="209"/>
        <v>44083</v>
      </c>
      <c r="C271" s="35">
        <v>48.75</v>
      </c>
      <c r="D271" s="36">
        <v>60.65</v>
      </c>
      <c r="E271" s="36">
        <v>41.73</v>
      </c>
      <c r="F271" s="36">
        <v>18.376000000000001</v>
      </c>
      <c r="G271" s="36">
        <v>25.3</v>
      </c>
      <c r="H271" s="42">
        <v>0</v>
      </c>
      <c r="I271" s="40">
        <f t="shared" ref="I271:J271" si="270">20%+(I270-20%)*0.95</f>
        <v>0.20000023011887358</v>
      </c>
      <c r="J271" s="40">
        <f t="shared" si="270"/>
        <v>0.20000033750768118</v>
      </c>
      <c r="K271" s="41">
        <f t="shared" si="267"/>
        <v>0.79999999999977189</v>
      </c>
      <c r="L271" s="23">
        <f t="shared" si="211"/>
        <v>0.74520547945205484</v>
      </c>
      <c r="M271" s="28">
        <f t="shared" si="212"/>
        <v>30</v>
      </c>
      <c r="N271" s="29" t="s">
        <v>9</v>
      </c>
      <c r="O271" s="30">
        <v>1</v>
      </c>
      <c r="P271" s="31">
        <v>0</v>
      </c>
      <c r="Q271" s="1">
        <v>1</v>
      </c>
      <c r="R271" s="32">
        <v>3.5532259338108361</v>
      </c>
      <c r="S271" s="32">
        <v>2.6369999999999969</v>
      </c>
      <c r="T271" s="32">
        <v>0.91622593381083917</v>
      </c>
    </row>
    <row r="272" spans="1:20" x14ac:dyDescent="0.35">
      <c r="A272" s="44">
        <v>44093</v>
      </c>
      <c r="B272" s="20">
        <f t="shared" si="209"/>
        <v>44084</v>
      </c>
      <c r="C272" s="35">
        <v>48.75</v>
      </c>
      <c r="D272" s="36">
        <v>60.65</v>
      </c>
      <c r="E272" s="36">
        <v>41.73</v>
      </c>
      <c r="F272" s="36">
        <v>18.376000000000001</v>
      </c>
      <c r="G272" s="36">
        <v>25.3</v>
      </c>
      <c r="H272" s="42">
        <v>0</v>
      </c>
      <c r="I272" s="40">
        <f t="shared" ref="I272:J272" si="271">20%+(I271-20%)*0.95</f>
        <v>0.20000021861292991</v>
      </c>
      <c r="J272" s="40">
        <f t="shared" si="271"/>
        <v>0.20000032063229711</v>
      </c>
      <c r="K272" s="41">
        <f t="shared" si="267"/>
        <v>0.79999999999979465</v>
      </c>
      <c r="L272" s="23">
        <f t="shared" si="211"/>
        <v>0.74794520547945209</v>
      </c>
      <c r="M272" s="28">
        <f t="shared" si="212"/>
        <v>30</v>
      </c>
      <c r="N272" s="29" t="s">
        <v>9</v>
      </c>
      <c r="O272" s="30">
        <v>1</v>
      </c>
      <c r="P272" s="31">
        <v>0</v>
      </c>
      <c r="Q272" s="1">
        <v>1</v>
      </c>
      <c r="R272" s="32">
        <v>3.5563381600648611</v>
      </c>
      <c r="S272" s="32">
        <v>2.6369999999999969</v>
      </c>
      <c r="T272" s="32">
        <v>0.91933816006486424</v>
      </c>
    </row>
    <row r="273" spans="1:20" x14ac:dyDescent="0.35">
      <c r="A273" s="44">
        <v>44094</v>
      </c>
      <c r="B273" s="20">
        <f t="shared" si="209"/>
        <v>44084</v>
      </c>
      <c r="C273" s="35">
        <v>48.75</v>
      </c>
      <c r="D273" s="36">
        <v>60.65</v>
      </c>
      <c r="E273" s="36">
        <v>41.73</v>
      </c>
      <c r="F273" s="36">
        <v>18.376000000000001</v>
      </c>
      <c r="G273" s="36">
        <v>25.3</v>
      </c>
      <c r="H273" s="42">
        <v>0</v>
      </c>
      <c r="I273" s="40">
        <f t="shared" ref="I273:J273" si="272">20%+(I272-20%)*0.95</f>
        <v>0.20000020768228341</v>
      </c>
      <c r="J273" s="40">
        <f t="shared" si="272"/>
        <v>0.20000030460068224</v>
      </c>
      <c r="K273" s="41">
        <f t="shared" si="267"/>
        <v>0.79999999999981519</v>
      </c>
      <c r="L273" s="23">
        <f t="shared" si="211"/>
        <v>0.74794520547945209</v>
      </c>
      <c r="M273" s="28">
        <f t="shared" si="212"/>
        <v>30</v>
      </c>
      <c r="N273" s="29" t="s">
        <v>9</v>
      </c>
      <c r="O273" s="30">
        <v>1</v>
      </c>
      <c r="P273" s="31">
        <v>0</v>
      </c>
      <c r="Q273" s="1">
        <v>1</v>
      </c>
      <c r="R273" s="32">
        <v>3.5563380236495519</v>
      </c>
      <c r="S273" s="32">
        <v>2.6369999999999969</v>
      </c>
      <c r="T273" s="32">
        <v>0.91933802364955497</v>
      </c>
    </row>
    <row r="274" spans="1:20" x14ac:dyDescent="0.35">
      <c r="A274" s="44">
        <v>44095</v>
      </c>
      <c r="B274" s="20">
        <f t="shared" si="209"/>
        <v>44084</v>
      </c>
      <c r="C274" s="35">
        <v>48.75</v>
      </c>
      <c r="D274" s="36">
        <v>60.65</v>
      </c>
      <c r="E274" s="36">
        <v>41.73</v>
      </c>
      <c r="F274" s="36">
        <v>18.376000000000001</v>
      </c>
      <c r="G274" s="36">
        <v>25.3</v>
      </c>
      <c r="H274" s="42">
        <v>0</v>
      </c>
      <c r="I274" s="40">
        <f t="shared" ref="I274:J274" si="273">20%+(I273-20%)*0.95</f>
        <v>0.20000019729816923</v>
      </c>
      <c r="J274" s="40">
        <f t="shared" si="273"/>
        <v>0.20000028937064812</v>
      </c>
      <c r="K274" s="41">
        <f t="shared" si="267"/>
        <v>0.79999999999983373</v>
      </c>
      <c r="L274" s="23">
        <f t="shared" si="211"/>
        <v>0.74794520547945209</v>
      </c>
      <c r="M274" s="28">
        <f t="shared" si="212"/>
        <v>30</v>
      </c>
      <c r="N274" s="29" t="s">
        <v>9</v>
      </c>
      <c r="O274" s="30">
        <v>1</v>
      </c>
      <c r="P274" s="31">
        <v>0</v>
      </c>
      <c r="Q274" s="1">
        <v>1</v>
      </c>
      <c r="R274" s="32">
        <v>3.5563378940550194</v>
      </c>
      <c r="S274" s="32">
        <v>2.6369999999999969</v>
      </c>
      <c r="T274" s="32">
        <v>0.91933789405502253</v>
      </c>
    </row>
    <row r="275" spans="1:20" x14ac:dyDescent="0.35">
      <c r="A275" s="44">
        <v>44096</v>
      </c>
      <c r="B275" s="20">
        <f t="shared" si="209"/>
        <v>44085</v>
      </c>
      <c r="C275" s="35">
        <v>48.75</v>
      </c>
      <c r="D275" s="36">
        <v>60.65</v>
      </c>
      <c r="E275" s="36">
        <v>41.73</v>
      </c>
      <c r="F275" s="36">
        <v>18.376000000000001</v>
      </c>
      <c r="G275" s="36">
        <v>25.3</v>
      </c>
      <c r="H275" s="42">
        <v>0</v>
      </c>
      <c r="I275" s="40">
        <f t="shared" ref="I275:J275" si="274">20%+(I274-20%)*0.95</f>
        <v>0.20000018743326076</v>
      </c>
      <c r="J275" s="40">
        <f t="shared" si="274"/>
        <v>0.20000027490211572</v>
      </c>
      <c r="K275" s="41">
        <f t="shared" si="267"/>
        <v>0.79999999999985039</v>
      </c>
      <c r="L275" s="23">
        <f t="shared" si="211"/>
        <v>0.75068493150684934</v>
      </c>
      <c r="M275" s="28">
        <f t="shared" si="212"/>
        <v>30</v>
      </c>
      <c r="N275" s="29" t="s">
        <v>9</v>
      </c>
      <c r="O275" s="30">
        <v>1</v>
      </c>
      <c r="P275" s="31">
        <v>0</v>
      </c>
      <c r="Q275" s="1">
        <v>1</v>
      </c>
      <c r="R275" s="32">
        <v>3.5594460632282114</v>
      </c>
      <c r="S275" s="32">
        <v>2.6369999999999969</v>
      </c>
      <c r="T275" s="32">
        <v>0.92244606322821454</v>
      </c>
    </row>
    <row r="276" spans="1:20" x14ac:dyDescent="0.35">
      <c r="A276" s="44">
        <v>44097</v>
      </c>
      <c r="B276" s="20">
        <f t="shared" si="209"/>
        <v>44088</v>
      </c>
      <c r="C276" s="35">
        <v>48.75</v>
      </c>
      <c r="D276" s="36">
        <v>60.65</v>
      </c>
      <c r="E276" s="36">
        <v>41.73</v>
      </c>
      <c r="F276" s="36">
        <v>18.376000000000001</v>
      </c>
      <c r="G276" s="36">
        <v>25.3</v>
      </c>
      <c r="H276" s="42">
        <v>0</v>
      </c>
      <c r="I276" s="40">
        <f t="shared" ref="I276:J276" si="275">20%+(I275-20%)*0.95</f>
        <v>0.20000017806159773</v>
      </c>
      <c r="J276" s="40">
        <f t="shared" si="275"/>
        <v>0.20000026115700995</v>
      </c>
      <c r="K276" s="41">
        <f t="shared" si="267"/>
        <v>0.79999999999986537</v>
      </c>
      <c r="L276" s="23">
        <f t="shared" si="211"/>
        <v>0.75890410958904109</v>
      </c>
      <c r="M276" s="28">
        <f t="shared" si="212"/>
        <v>30</v>
      </c>
      <c r="N276" s="29" t="s">
        <v>9</v>
      </c>
      <c r="O276" s="30">
        <v>1</v>
      </c>
      <c r="P276" s="31">
        <v>0</v>
      </c>
      <c r="Q276" s="1">
        <v>1</v>
      </c>
      <c r="R276" s="32">
        <v>3.5687465058304362</v>
      </c>
      <c r="S276" s="32">
        <v>2.6369999999999969</v>
      </c>
      <c r="T276" s="32">
        <v>0.93174650583043928</v>
      </c>
    </row>
    <row r="277" spans="1:20" x14ac:dyDescent="0.35">
      <c r="A277" s="44">
        <v>44098</v>
      </c>
      <c r="B277" s="20">
        <f t="shared" si="209"/>
        <v>44089</v>
      </c>
      <c r="C277" s="35">
        <v>48.75</v>
      </c>
      <c r="D277" s="36">
        <v>60.65</v>
      </c>
      <c r="E277" s="36">
        <v>41.73</v>
      </c>
      <c r="F277" s="36">
        <v>18.376000000000001</v>
      </c>
      <c r="G277" s="36">
        <v>25.3</v>
      </c>
      <c r="H277" s="42">
        <v>0</v>
      </c>
      <c r="I277" s="40">
        <f t="shared" ref="I277:J277" si="276">20%+(I276-20%)*0.95</f>
        <v>0.20000016915851784</v>
      </c>
      <c r="J277" s="40">
        <f t="shared" si="276"/>
        <v>0.20000024809915945</v>
      </c>
      <c r="K277" s="41">
        <f t="shared" si="267"/>
        <v>0.79999999999987881</v>
      </c>
      <c r="L277" s="23">
        <f t="shared" si="211"/>
        <v>0.76164383561643834</v>
      </c>
      <c r="M277" s="28">
        <f t="shared" si="212"/>
        <v>30</v>
      </c>
      <c r="N277" s="29" t="s">
        <v>9</v>
      </c>
      <c r="O277" s="30">
        <v>1</v>
      </c>
      <c r="P277" s="31">
        <v>0</v>
      </c>
      <c r="Q277" s="1">
        <v>1</v>
      </c>
      <c r="R277" s="32">
        <v>3.5718385215260184</v>
      </c>
      <c r="S277" s="32">
        <v>2.6369999999999969</v>
      </c>
      <c r="T277" s="32">
        <v>0.93483852152602154</v>
      </c>
    </row>
    <row r="278" spans="1:20" x14ac:dyDescent="0.35">
      <c r="A278" s="44">
        <v>44099</v>
      </c>
      <c r="B278" s="20">
        <f t="shared" ref="B278:B341" si="277">WORKDAY(A278,-7)</f>
        <v>44090</v>
      </c>
      <c r="C278" s="35">
        <v>48.75</v>
      </c>
      <c r="D278" s="36">
        <v>60.65</v>
      </c>
      <c r="E278" s="36">
        <v>41.73</v>
      </c>
      <c r="F278" s="36">
        <v>18.376000000000001</v>
      </c>
      <c r="G278" s="36">
        <v>25.3</v>
      </c>
      <c r="H278" s="42">
        <v>0</v>
      </c>
      <c r="I278" s="40">
        <f t="shared" ref="I278:J278" si="278">20%+(I277-20%)*0.95</f>
        <v>0.20000016070059196</v>
      </c>
      <c r="J278" s="40">
        <f t="shared" si="278"/>
        <v>0.20000023569420147</v>
      </c>
      <c r="K278" s="41">
        <f t="shared" si="267"/>
        <v>0.79999999999989091</v>
      </c>
      <c r="L278" s="23">
        <f t="shared" ref="L278:L341" si="279">(B278-$B$3)/365</f>
        <v>0.76438356164383559</v>
      </c>
      <c r="M278" s="28">
        <f t="shared" ref="M278:M341" si="280">DAY(EOMONTH(B278,0))</f>
        <v>30</v>
      </c>
      <c r="N278" s="29" t="s">
        <v>9</v>
      </c>
      <c r="O278" s="30">
        <v>1</v>
      </c>
      <c r="P278" s="31">
        <v>0</v>
      </c>
      <c r="Q278" s="1">
        <v>1</v>
      </c>
      <c r="R278" s="32">
        <v>3.5749265363761538</v>
      </c>
      <c r="S278" s="32">
        <v>2.6369999999999969</v>
      </c>
      <c r="T278" s="32">
        <v>0.93792653637615686</v>
      </c>
    </row>
    <row r="279" spans="1:20" x14ac:dyDescent="0.35">
      <c r="A279" s="44">
        <v>44100</v>
      </c>
      <c r="B279" s="20">
        <f t="shared" si="277"/>
        <v>44091</v>
      </c>
      <c r="C279" s="35">
        <v>48.75</v>
      </c>
      <c r="D279" s="36">
        <v>60.65</v>
      </c>
      <c r="E279" s="36">
        <v>41.73</v>
      </c>
      <c r="F279" s="36">
        <v>18.376000000000001</v>
      </c>
      <c r="G279" s="36">
        <v>25.3</v>
      </c>
      <c r="H279" s="42">
        <v>0</v>
      </c>
      <c r="I279" s="40">
        <f t="shared" ref="I279:J279" si="281">20%+(I278-20%)*0.95</f>
        <v>0.20000015266556237</v>
      </c>
      <c r="J279" s="40">
        <f t="shared" si="281"/>
        <v>0.2000002239094914</v>
      </c>
      <c r="K279" s="41">
        <f t="shared" si="267"/>
        <v>0.79999999999990179</v>
      </c>
      <c r="L279" s="23">
        <f t="shared" si="279"/>
        <v>0.76712328767123283</v>
      </c>
      <c r="M279" s="28">
        <f t="shared" si="280"/>
        <v>30</v>
      </c>
      <c r="N279" s="29" t="s">
        <v>9</v>
      </c>
      <c r="O279" s="30">
        <v>1</v>
      </c>
      <c r="P279" s="31">
        <v>0</v>
      </c>
      <c r="Q279" s="1">
        <v>1</v>
      </c>
      <c r="R279" s="32">
        <v>3.5780105640188715</v>
      </c>
      <c r="S279" s="32">
        <v>2.6369999999999969</v>
      </c>
      <c r="T279" s="32">
        <v>0.94101056401887462</v>
      </c>
    </row>
    <row r="280" spans="1:20" x14ac:dyDescent="0.35">
      <c r="A280" s="44">
        <v>44101</v>
      </c>
      <c r="B280" s="20">
        <f t="shared" si="277"/>
        <v>44091</v>
      </c>
      <c r="C280" s="35">
        <v>48.75</v>
      </c>
      <c r="D280" s="36">
        <v>60.65</v>
      </c>
      <c r="E280" s="36">
        <v>41.73</v>
      </c>
      <c r="F280" s="36">
        <v>18.376000000000001</v>
      </c>
      <c r="G280" s="36">
        <v>25.3</v>
      </c>
      <c r="H280" s="42">
        <v>0</v>
      </c>
      <c r="I280" s="40">
        <f t="shared" ref="I280:J280" si="282">20%+(I279-20%)*0.95</f>
        <v>0.20000014503228425</v>
      </c>
      <c r="J280" s="40">
        <f t="shared" si="282"/>
        <v>0.20000021271401683</v>
      </c>
      <c r="K280" s="41">
        <f t="shared" si="267"/>
        <v>0.79999999999991167</v>
      </c>
      <c r="L280" s="23">
        <f t="shared" si="279"/>
        <v>0.76712328767123283</v>
      </c>
      <c r="M280" s="28">
        <f t="shared" si="280"/>
        <v>30</v>
      </c>
      <c r="N280" s="29" t="s">
        <v>9</v>
      </c>
      <c r="O280" s="30">
        <v>1</v>
      </c>
      <c r="P280" s="31">
        <v>0</v>
      </c>
      <c r="Q280" s="1">
        <v>1</v>
      </c>
      <c r="R280" s="32">
        <v>3.5780104671978741</v>
      </c>
      <c r="S280" s="32">
        <v>2.6369999999999969</v>
      </c>
      <c r="T280" s="32">
        <v>0.94101046719787718</v>
      </c>
    </row>
    <row r="281" spans="1:20" x14ac:dyDescent="0.35">
      <c r="A281" s="44">
        <v>44102</v>
      </c>
      <c r="B281" s="20">
        <f t="shared" si="277"/>
        <v>44091</v>
      </c>
      <c r="C281" s="35">
        <v>48.75</v>
      </c>
      <c r="D281" s="36">
        <v>60.65</v>
      </c>
      <c r="E281" s="36">
        <v>41.73</v>
      </c>
      <c r="F281" s="36">
        <v>18.376000000000001</v>
      </c>
      <c r="G281" s="36">
        <v>25.3</v>
      </c>
      <c r="H281" s="42">
        <v>0</v>
      </c>
      <c r="I281" s="40">
        <f t="shared" ref="I281:J281" si="283">20%+(I280-20%)*0.95</f>
        <v>0.20000013778067005</v>
      </c>
      <c r="J281" s="40">
        <f t="shared" si="283"/>
        <v>0.20000020207831598</v>
      </c>
      <c r="K281" s="41">
        <f t="shared" si="267"/>
        <v>0.79999999999992055</v>
      </c>
      <c r="L281" s="23">
        <f t="shared" si="279"/>
        <v>0.76712328767123283</v>
      </c>
      <c r="M281" s="28">
        <f t="shared" si="280"/>
        <v>30</v>
      </c>
      <c r="N281" s="29" t="s">
        <v>9</v>
      </c>
      <c r="O281" s="30">
        <v>1</v>
      </c>
      <c r="P281" s="31">
        <v>0</v>
      </c>
      <c r="Q281" s="1">
        <v>1</v>
      </c>
      <c r="R281" s="32">
        <v>3.5780103752179286</v>
      </c>
      <c r="S281" s="32">
        <v>2.6369999999999969</v>
      </c>
      <c r="T281" s="32">
        <v>0.94101037521793174</v>
      </c>
    </row>
    <row r="282" spans="1:20" x14ac:dyDescent="0.35">
      <c r="A282" s="44">
        <v>44103</v>
      </c>
      <c r="B282" s="20">
        <f t="shared" si="277"/>
        <v>44092</v>
      </c>
      <c r="C282" s="35">
        <v>48.75</v>
      </c>
      <c r="D282" s="36">
        <v>60.65</v>
      </c>
      <c r="E282" s="36">
        <v>41.73</v>
      </c>
      <c r="F282" s="36">
        <v>18.376000000000001</v>
      </c>
      <c r="G282" s="36">
        <v>25.3</v>
      </c>
      <c r="H282" s="42">
        <v>0</v>
      </c>
      <c r="I282" s="40">
        <f t="shared" ref="I282:J282" si="284">20%+(I281-20%)*0.95</f>
        <v>0.20000013089163654</v>
      </c>
      <c r="J282" s="40">
        <f t="shared" si="284"/>
        <v>0.20000019197440019</v>
      </c>
      <c r="K282" s="41">
        <f t="shared" si="267"/>
        <v>0.79999999999992855</v>
      </c>
      <c r="L282" s="23">
        <f t="shared" si="279"/>
        <v>0.76986301369863008</v>
      </c>
      <c r="M282" s="28">
        <f t="shared" si="280"/>
        <v>30</v>
      </c>
      <c r="N282" s="29" t="s">
        <v>9</v>
      </c>
      <c r="O282" s="30">
        <v>1</v>
      </c>
      <c r="P282" s="31">
        <v>0</v>
      </c>
      <c r="Q282" s="1">
        <v>1</v>
      </c>
      <c r="R282" s="32">
        <v>3.5810904382713531</v>
      </c>
      <c r="S282" s="32">
        <v>2.6369999999999969</v>
      </c>
      <c r="T282" s="32">
        <v>0.94409043827135619</v>
      </c>
    </row>
    <row r="283" spans="1:20" x14ac:dyDescent="0.35">
      <c r="A283" s="44">
        <v>44104</v>
      </c>
      <c r="B283" s="20">
        <f t="shared" si="277"/>
        <v>44095</v>
      </c>
      <c r="C283" s="35">
        <v>48.75</v>
      </c>
      <c r="D283" s="36">
        <v>60.65</v>
      </c>
      <c r="E283" s="36">
        <v>41.73</v>
      </c>
      <c r="F283" s="36">
        <v>18.376000000000001</v>
      </c>
      <c r="G283" s="36">
        <v>25.3</v>
      </c>
      <c r="H283" s="42">
        <v>0</v>
      </c>
      <c r="I283" s="40">
        <f t="shared" ref="I283:J283" si="285">20%+(I282-20%)*0.95</f>
        <v>0.20000012434705472</v>
      </c>
      <c r="J283" s="40">
        <f t="shared" si="285"/>
        <v>0.20000018237568018</v>
      </c>
      <c r="K283" s="41">
        <f t="shared" si="267"/>
        <v>0.79999999999993565</v>
      </c>
      <c r="L283" s="23">
        <f t="shared" si="279"/>
        <v>0.77808219178082194</v>
      </c>
      <c r="M283" s="28">
        <f t="shared" si="280"/>
        <v>30</v>
      </c>
      <c r="N283" s="29" t="s">
        <v>9</v>
      </c>
      <c r="O283" s="30">
        <v>1</v>
      </c>
      <c r="P283" s="31">
        <v>0</v>
      </c>
      <c r="Q283" s="1">
        <v>1</v>
      </c>
      <c r="R283" s="32">
        <v>3.5903070734710631</v>
      </c>
      <c r="S283" s="32">
        <v>2.6369999999999969</v>
      </c>
      <c r="T283" s="32">
        <v>0.95330707347106625</v>
      </c>
    </row>
    <row r="284" spans="1:20" x14ac:dyDescent="0.35">
      <c r="A284" s="44">
        <v>44105</v>
      </c>
      <c r="B284" s="20">
        <f t="shared" si="277"/>
        <v>44096</v>
      </c>
      <c r="C284" s="35">
        <v>48.75</v>
      </c>
      <c r="D284" s="36">
        <v>60.65</v>
      </c>
      <c r="E284" s="36">
        <v>41.73</v>
      </c>
      <c r="F284" s="36">
        <v>18.376000000000001</v>
      </c>
      <c r="G284" s="36">
        <v>25.3</v>
      </c>
      <c r="H284" s="42">
        <v>0</v>
      </c>
      <c r="I284" s="40">
        <f t="shared" ref="I284:J284" si="286">20%+(I283-20%)*0.95</f>
        <v>0.20000011812970198</v>
      </c>
      <c r="J284" s="40">
        <f t="shared" si="286"/>
        <v>0.20000017325689617</v>
      </c>
      <c r="K284" s="41">
        <f t="shared" si="267"/>
        <v>0.79999999999994209</v>
      </c>
      <c r="L284" s="23">
        <f t="shared" si="279"/>
        <v>0.78082191780821919</v>
      </c>
      <c r="M284" s="28">
        <f t="shared" si="280"/>
        <v>30</v>
      </c>
      <c r="N284" s="29" t="s">
        <v>9</v>
      </c>
      <c r="O284" s="30">
        <v>1</v>
      </c>
      <c r="P284" s="31">
        <v>0</v>
      </c>
      <c r="Q284" s="1">
        <v>1</v>
      </c>
      <c r="R284" s="32">
        <v>3.5933713678364896</v>
      </c>
      <c r="S284" s="32">
        <v>2.6369999999999969</v>
      </c>
      <c r="T284" s="32">
        <v>0.95637136783649268</v>
      </c>
    </row>
    <row r="285" spans="1:20" x14ac:dyDescent="0.35">
      <c r="A285" s="44">
        <v>44106</v>
      </c>
      <c r="B285" s="20">
        <f t="shared" si="277"/>
        <v>44097</v>
      </c>
      <c r="C285" s="35">
        <v>48.75</v>
      </c>
      <c r="D285" s="36">
        <v>60.65</v>
      </c>
      <c r="E285" s="36">
        <v>41.73</v>
      </c>
      <c r="F285" s="36">
        <v>18.376000000000001</v>
      </c>
      <c r="G285" s="36">
        <v>25.3</v>
      </c>
      <c r="H285" s="42">
        <v>0</v>
      </c>
      <c r="I285" s="40">
        <f t="shared" ref="I285:J285" si="287">20%+(I284-20%)*0.95</f>
        <v>0.20000011222321687</v>
      </c>
      <c r="J285" s="40">
        <f t="shared" si="287"/>
        <v>0.20000016459405137</v>
      </c>
      <c r="K285" s="41">
        <f t="shared" si="267"/>
        <v>0.79999999999994786</v>
      </c>
      <c r="L285" s="23">
        <f t="shared" si="279"/>
        <v>0.78356164383561644</v>
      </c>
      <c r="M285" s="28">
        <f t="shared" si="280"/>
        <v>30</v>
      </c>
      <c r="N285" s="29" t="s">
        <v>9</v>
      </c>
      <c r="O285" s="30">
        <v>1</v>
      </c>
      <c r="P285" s="31">
        <v>0</v>
      </c>
      <c r="Q285" s="1">
        <v>1</v>
      </c>
      <c r="R285" s="32">
        <v>3.5964317557309862</v>
      </c>
      <c r="S285" s="32">
        <v>2.6369999999999969</v>
      </c>
      <c r="T285" s="32">
        <v>0.95943175573098927</v>
      </c>
    </row>
    <row r="286" spans="1:20" x14ac:dyDescent="0.35">
      <c r="A286" s="44">
        <v>44107</v>
      </c>
      <c r="B286" s="20">
        <f t="shared" si="277"/>
        <v>44098</v>
      </c>
      <c r="C286" s="35">
        <v>48.75</v>
      </c>
      <c r="D286" s="36">
        <v>60.65</v>
      </c>
      <c r="E286" s="36">
        <v>41.73</v>
      </c>
      <c r="F286" s="36">
        <v>18.376000000000001</v>
      </c>
      <c r="G286" s="36">
        <v>25.3</v>
      </c>
      <c r="H286" s="42">
        <v>0</v>
      </c>
      <c r="I286" s="40">
        <f t="shared" ref="I286:J286" si="288">20%+(I285-20%)*0.95</f>
        <v>0.20000010661205603</v>
      </c>
      <c r="J286" s="40">
        <f t="shared" si="288"/>
        <v>0.20000015636434881</v>
      </c>
      <c r="K286" s="41">
        <f t="shared" si="267"/>
        <v>0.79999999999995308</v>
      </c>
      <c r="L286" s="23">
        <f t="shared" si="279"/>
        <v>0.78630136986301369</v>
      </c>
      <c r="M286" s="28">
        <f t="shared" si="280"/>
        <v>30</v>
      </c>
      <c r="N286" s="29" t="s">
        <v>9</v>
      </c>
      <c r="O286" s="30">
        <v>1</v>
      </c>
      <c r="P286" s="31">
        <v>0</v>
      </c>
      <c r="Q286" s="1">
        <v>1</v>
      </c>
      <c r="R286" s="32">
        <v>3.5994882504253596</v>
      </c>
      <c r="S286" s="32">
        <v>2.6369999999999969</v>
      </c>
      <c r="T286" s="32">
        <v>0.96248825042536268</v>
      </c>
    </row>
    <row r="287" spans="1:20" x14ac:dyDescent="0.35">
      <c r="A287" s="44">
        <v>44108</v>
      </c>
      <c r="B287" s="20">
        <f t="shared" si="277"/>
        <v>44098</v>
      </c>
      <c r="C287" s="35">
        <v>48.75</v>
      </c>
      <c r="D287" s="36">
        <v>60.65</v>
      </c>
      <c r="E287" s="36">
        <v>41.73</v>
      </c>
      <c r="F287" s="36">
        <v>18.376000000000001</v>
      </c>
      <c r="G287" s="36">
        <v>25.3</v>
      </c>
      <c r="H287" s="42">
        <v>0</v>
      </c>
      <c r="I287" s="40">
        <f t="shared" ref="I287:J287" si="289">20%+(I286-20%)*0.95</f>
        <v>0.20000010128145324</v>
      </c>
      <c r="J287" s="40">
        <f t="shared" si="289"/>
        <v>0.20000014854613138</v>
      </c>
      <c r="K287" s="41">
        <f t="shared" si="267"/>
        <v>0.79999999999995774</v>
      </c>
      <c r="L287" s="23">
        <f t="shared" si="279"/>
        <v>0.78630136986301369</v>
      </c>
      <c r="M287" s="28">
        <f t="shared" si="280"/>
        <v>30</v>
      </c>
      <c r="N287" s="29" t="s">
        <v>9</v>
      </c>
      <c r="O287" s="30">
        <v>1</v>
      </c>
      <c r="P287" s="31">
        <v>0</v>
      </c>
      <c r="Q287" s="1">
        <v>1</v>
      </c>
      <c r="R287" s="32">
        <v>3.5994881817399822</v>
      </c>
      <c r="S287" s="32">
        <v>2.6369999999999969</v>
      </c>
      <c r="T287" s="32">
        <v>0.96248818173998529</v>
      </c>
    </row>
    <row r="288" spans="1:20" x14ac:dyDescent="0.35">
      <c r="A288" s="44">
        <v>44109</v>
      </c>
      <c r="B288" s="20">
        <f t="shared" si="277"/>
        <v>44098</v>
      </c>
      <c r="C288" s="35">
        <v>48.75</v>
      </c>
      <c r="D288" s="36">
        <v>60.65</v>
      </c>
      <c r="E288" s="36">
        <v>41.73</v>
      </c>
      <c r="F288" s="36">
        <v>18.376000000000001</v>
      </c>
      <c r="G288" s="36">
        <v>25.3</v>
      </c>
      <c r="H288" s="42">
        <v>0</v>
      </c>
      <c r="I288" s="40">
        <f t="shared" ref="I288:J288" si="290">20%+(I287-20%)*0.95</f>
        <v>0.20000009621738057</v>
      </c>
      <c r="J288" s="40">
        <f t="shared" si="290"/>
        <v>0.2000001411188248</v>
      </c>
      <c r="K288" s="41">
        <f t="shared" si="267"/>
        <v>0.79999999999996196</v>
      </c>
      <c r="L288" s="23">
        <f t="shared" si="279"/>
        <v>0.78630136986301369</v>
      </c>
      <c r="M288" s="28">
        <f t="shared" si="280"/>
        <v>30</v>
      </c>
      <c r="N288" s="29" t="s">
        <v>9</v>
      </c>
      <c r="O288" s="30">
        <v>1</v>
      </c>
      <c r="P288" s="31">
        <v>0</v>
      </c>
      <c r="Q288" s="1">
        <v>1</v>
      </c>
      <c r="R288" s="32">
        <v>3.5994881164888817</v>
      </c>
      <c r="S288" s="32">
        <v>2.6369999999999969</v>
      </c>
      <c r="T288" s="32">
        <v>0.96248811648888477</v>
      </c>
    </row>
    <row r="289" spans="1:20" x14ac:dyDescent="0.35">
      <c r="A289" s="44">
        <v>44110</v>
      </c>
      <c r="B289" s="20">
        <f t="shared" si="277"/>
        <v>44099</v>
      </c>
      <c r="C289" s="35">
        <v>48.75</v>
      </c>
      <c r="D289" s="36">
        <v>60.65</v>
      </c>
      <c r="E289" s="36">
        <v>41.73</v>
      </c>
      <c r="F289" s="36">
        <v>18.376000000000001</v>
      </c>
      <c r="G289" s="36">
        <v>25.3</v>
      </c>
      <c r="H289" s="42">
        <v>0</v>
      </c>
      <c r="I289" s="40">
        <f t="shared" ref="I289:J289" si="291">20%+(I288-20%)*0.95</f>
        <v>0.20000009140651154</v>
      </c>
      <c r="J289" s="40">
        <f t="shared" si="291"/>
        <v>0.20000013406288356</v>
      </c>
      <c r="K289" s="41">
        <f t="shared" si="267"/>
        <v>0.79999999999996574</v>
      </c>
      <c r="L289" s="23">
        <f t="shared" si="279"/>
        <v>0.78904109589041094</v>
      </c>
      <c r="M289" s="28">
        <f t="shared" si="280"/>
        <v>30</v>
      </c>
      <c r="N289" s="29" t="s">
        <v>9</v>
      </c>
      <c r="O289" s="30">
        <v>1</v>
      </c>
      <c r="P289" s="31">
        <v>0</v>
      </c>
      <c r="Q289" s="1">
        <v>1</v>
      </c>
      <c r="R289" s="32">
        <v>3.6025407376157759</v>
      </c>
      <c r="S289" s="32">
        <v>2.6369999999999969</v>
      </c>
      <c r="T289" s="32">
        <v>0.96554073761577897</v>
      </c>
    </row>
    <row r="290" spans="1:20" x14ac:dyDescent="0.35">
      <c r="A290" s="44">
        <v>44111</v>
      </c>
      <c r="B290" s="20">
        <f t="shared" si="277"/>
        <v>44102</v>
      </c>
      <c r="C290" s="35">
        <v>48.75</v>
      </c>
      <c r="D290" s="36">
        <v>60.65</v>
      </c>
      <c r="E290" s="36">
        <v>41.73</v>
      </c>
      <c r="F290" s="36">
        <v>18.376000000000001</v>
      </c>
      <c r="G290" s="36">
        <v>25.3</v>
      </c>
      <c r="H290" s="42">
        <v>0</v>
      </c>
      <c r="I290" s="40">
        <f t="shared" ref="I290:J290" si="292">20%+(I289-20%)*0.95</f>
        <v>0.20000008683618598</v>
      </c>
      <c r="J290" s="40">
        <f t="shared" si="292"/>
        <v>0.20000012735973938</v>
      </c>
      <c r="K290" s="41">
        <f t="shared" si="267"/>
        <v>0.79999999999996918</v>
      </c>
      <c r="L290" s="23">
        <f t="shared" si="279"/>
        <v>0.79726027397260268</v>
      </c>
      <c r="M290" s="28">
        <f t="shared" si="280"/>
        <v>30</v>
      </c>
      <c r="N290" s="29" t="s">
        <v>9</v>
      </c>
      <c r="O290" s="30">
        <v>1</v>
      </c>
      <c r="P290" s="31">
        <v>0</v>
      </c>
      <c r="Q290" s="1">
        <v>1</v>
      </c>
      <c r="R290" s="32">
        <v>3.6116755607336124</v>
      </c>
      <c r="S290" s="32">
        <v>2.6369999999999969</v>
      </c>
      <c r="T290" s="32">
        <v>0.9746755607336155</v>
      </c>
    </row>
    <row r="291" spans="1:20" x14ac:dyDescent="0.35">
      <c r="A291" s="44">
        <v>44112</v>
      </c>
      <c r="B291" s="20">
        <f t="shared" si="277"/>
        <v>44103</v>
      </c>
      <c r="C291" s="35">
        <v>48.75</v>
      </c>
      <c r="D291" s="36">
        <v>60.65</v>
      </c>
      <c r="E291" s="36">
        <v>41.73</v>
      </c>
      <c r="F291" s="36">
        <v>18.376000000000001</v>
      </c>
      <c r="G291" s="36">
        <v>25.3</v>
      </c>
      <c r="H291" s="42">
        <v>0</v>
      </c>
      <c r="I291" s="40">
        <f t="shared" ref="I291:J291" si="293">20%+(I290-20%)*0.95</f>
        <v>0.20000008249437667</v>
      </c>
      <c r="J291" s="40">
        <f t="shared" si="293"/>
        <v>0.20000012099175241</v>
      </c>
      <c r="K291" s="41">
        <f t="shared" si="267"/>
        <v>0.79999999999997229</v>
      </c>
      <c r="L291" s="23">
        <f t="shared" si="279"/>
        <v>0.8</v>
      </c>
      <c r="M291" s="28">
        <f t="shared" si="280"/>
        <v>30</v>
      </c>
      <c r="N291" s="29" t="s">
        <v>9</v>
      </c>
      <c r="O291" s="30">
        <v>1</v>
      </c>
      <c r="P291" s="31">
        <v>0</v>
      </c>
      <c r="Q291" s="1">
        <v>1</v>
      </c>
      <c r="R291" s="32">
        <v>3.6147127866023041</v>
      </c>
      <c r="S291" s="32">
        <v>2.6369999999999969</v>
      </c>
      <c r="T291" s="32">
        <v>0.9777127866023072</v>
      </c>
    </row>
    <row r="292" spans="1:20" x14ac:dyDescent="0.35">
      <c r="A292" s="44">
        <v>44113</v>
      </c>
      <c r="B292" s="20">
        <f t="shared" si="277"/>
        <v>44104</v>
      </c>
      <c r="C292" s="35">
        <v>48.75</v>
      </c>
      <c r="D292" s="36">
        <v>60.65</v>
      </c>
      <c r="E292" s="36">
        <v>41.73</v>
      </c>
      <c r="F292" s="36">
        <v>18.376000000000001</v>
      </c>
      <c r="G292" s="36">
        <v>25.3</v>
      </c>
      <c r="H292" s="42">
        <v>0</v>
      </c>
      <c r="I292" s="40">
        <f t="shared" ref="I292:J292" si="294">20%+(I291-20%)*0.95</f>
        <v>0.20000007836965783</v>
      </c>
      <c r="J292" s="40">
        <f t="shared" si="294"/>
        <v>0.2000001149421648</v>
      </c>
      <c r="K292" s="41">
        <f t="shared" si="267"/>
        <v>0.79999999999997506</v>
      </c>
      <c r="L292" s="23">
        <f t="shared" si="279"/>
        <v>0.80273972602739729</v>
      </c>
      <c r="M292" s="28">
        <f t="shared" si="280"/>
        <v>30</v>
      </c>
      <c r="N292" s="29" t="s">
        <v>9</v>
      </c>
      <c r="O292" s="30">
        <v>1</v>
      </c>
      <c r="P292" s="31">
        <v>0</v>
      </c>
      <c r="Q292" s="1">
        <v>1</v>
      </c>
      <c r="R292" s="32">
        <v>3.6177461977605958</v>
      </c>
      <c r="S292" s="32">
        <v>2.6369999999999969</v>
      </c>
      <c r="T292" s="32">
        <v>0.9807461977605989</v>
      </c>
    </row>
    <row r="293" spans="1:20" x14ac:dyDescent="0.35">
      <c r="A293" s="44">
        <v>44114</v>
      </c>
      <c r="B293" s="20">
        <f t="shared" si="277"/>
        <v>44105</v>
      </c>
      <c r="C293" s="35">
        <v>48.75</v>
      </c>
      <c r="D293" s="36">
        <v>60.65</v>
      </c>
      <c r="E293" s="36">
        <v>41.73</v>
      </c>
      <c r="F293" s="36">
        <v>18.376000000000001</v>
      </c>
      <c r="G293" s="36">
        <v>25.3</v>
      </c>
      <c r="H293" s="42">
        <v>0</v>
      </c>
      <c r="I293" s="40">
        <f t="shared" ref="I293:J293" si="295">20%+(I292-20%)*0.95</f>
        <v>0.20000007445117493</v>
      </c>
      <c r="J293" s="40">
        <f t="shared" si="295"/>
        <v>0.20000010919505656</v>
      </c>
      <c r="K293" s="41">
        <f t="shared" si="267"/>
        <v>0.79999999999997762</v>
      </c>
      <c r="L293" s="23">
        <f t="shared" si="279"/>
        <v>0.80547945205479454</v>
      </c>
      <c r="M293" s="28">
        <f t="shared" si="280"/>
        <v>31</v>
      </c>
      <c r="N293" s="29" t="s">
        <v>9</v>
      </c>
      <c r="O293" s="30">
        <v>1</v>
      </c>
      <c r="P293" s="31">
        <v>0</v>
      </c>
      <c r="Q293" s="1">
        <v>1</v>
      </c>
      <c r="R293" s="32">
        <v>3.6207758070992995</v>
      </c>
      <c r="S293" s="32">
        <v>2.6369999999999969</v>
      </c>
      <c r="T293" s="32">
        <v>0.98377580709930257</v>
      </c>
    </row>
    <row r="294" spans="1:20" x14ac:dyDescent="0.35">
      <c r="A294" s="44">
        <v>44115</v>
      </c>
      <c r="B294" s="20">
        <f t="shared" si="277"/>
        <v>44105</v>
      </c>
      <c r="C294" s="35">
        <v>48.75</v>
      </c>
      <c r="D294" s="36">
        <v>60.65</v>
      </c>
      <c r="E294" s="36">
        <v>41.73</v>
      </c>
      <c r="F294" s="36">
        <v>18.376000000000001</v>
      </c>
      <c r="G294" s="36">
        <v>25.3</v>
      </c>
      <c r="H294" s="42">
        <v>0</v>
      </c>
      <c r="I294" s="40">
        <f t="shared" ref="I294:J294" si="296">20%+(I293-20%)*0.95</f>
        <v>0.2000000707286162</v>
      </c>
      <c r="J294" s="40">
        <f t="shared" si="296"/>
        <v>0.20000010373530375</v>
      </c>
      <c r="K294" s="41">
        <f t="shared" si="267"/>
        <v>0.79999999999997984</v>
      </c>
      <c r="L294" s="23">
        <f t="shared" si="279"/>
        <v>0.80547945205479454</v>
      </c>
      <c r="M294" s="28">
        <f t="shared" si="280"/>
        <v>31</v>
      </c>
      <c r="N294" s="29" t="s">
        <v>9</v>
      </c>
      <c r="O294" s="30">
        <v>1</v>
      </c>
      <c r="P294" s="31">
        <v>0</v>
      </c>
      <c r="Q294" s="1">
        <v>1</v>
      </c>
      <c r="R294" s="32">
        <v>3.6207757583959044</v>
      </c>
      <c r="S294" s="32">
        <v>2.6369999999999969</v>
      </c>
      <c r="T294" s="32">
        <v>0.98377575839590747</v>
      </c>
    </row>
    <row r="295" spans="1:20" x14ac:dyDescent="0.35">
      <c r="A295" s="44">
        <v>44116</v>
      </c>
      <c r="B295" s="20">
        <f t="shared" si="277"/>
        <v>44105</v>
      </c>
      <c r="C295" s="35">
        <v>48.75</v>
      </c>
      <c r="D295" s="36">
        <v>60.65</v>
      </c>
      <c r="E295" s="36">
        <v>41.73</v>
      </c>
      <c r="F295" s="36">
        <v>18.376000000000001</v>
      </c>
      <c r="G295" s="36">
        <v>25.3</v>
      </c>
      <c r="H295" s="42">
        <v>0</v>
      </c>
      <c r="I295" s="40">
        <f t="shared" ref="I295:J295" si="297">20%+(I294-20%)*0.95</f>
        <v>0.20000006719218538</v>
      </c>
      <c r="J295" s="40">
        <f t="shared" si="297"/>
        <v>0.20000009854853856</v>
      </c>
      <c r="K295" s="41">
        <f t="shared" si="267"/>
        <v>0.79999999999998184</v>
      </c>
      <c r="L295" s="23">
        <f t="shared" si="279"/>
        <v>0.80547945205479454</v>
      </c>
      <c r="M295" s="28">
        <f t="shared" si="280"/>
        <v>31</v>
      </c>
      <c r="N295" s="29" t="s">
        <v>9</v>
      </c>
      <c r="O295" s="30">
        <v>1</v>
      </c>
      <c r="P295" s="31">
        <v>0</v>
      </c>
      <c r="Q295" s="1">
        <v>1</v>
      </c>
      <c r="R295" s="32">
        <v>3.6207757121276849</v>
      </c>
      <c r="S295" s="32">
        <v>2.6369999999999969</v>
      </c>
      <c r="T295" s="32">
        <v>0.983775712127688</v>
      </c>
    </row>
    <row r="296" spans="1:20" x14ac:dyDescent="0.35">
      <c r="A296" s="44">
        <v>44117</v>
      </c>
      <c r="B296" s="20">
        <f t="shared" si="277"/>
        <v>44106</v>
      </c>
      <c r="C296" s="35">
        <v>48.75</v>
      </c>
      <c r="D296" s="36">
        <v>60.65</v>
      </c>
      <c r="E296" s="36">
        <v>41.73</v>
      </c>
      <c r="F296" s="36">
        <v>18.376000000000001</v>
      </c>
      <c r="G296" s="36">
        <v>25.3</v>
      </c>
      <c r="H296" s="42">
        <v>0</v>
      </c>
      <c r="I296" s="40">
        <f t="shared" ref="I296:J296" si="298">20%+(I295-20%)*0.95</f>
        <v>0.20000006383257612</v>
      </c>
      <c r="J296" s="40">
        <f t="shared" si="298"/>
        <v>0.20000009362111162</v>
      </c>
      <c r="K296" s="41">
        <f t="shared" si="267"/>
        <v>0.79999999999998361</v>
      </c>
      <c r="L296" s="23">
        <f t="shared" si="279"/>
        <v>0.80821917808219179</v>
      </c>
      <c r="M296" s="28">
        <f t="shared" si="280"/>
        <v>31</v>
      </c>
      <c r="N296" s="29" t="s">
        <v>9</v>
      </c>
      <c r="O296" s="30">
        <v>1</v>
      </c>
      <c r="P296" s="31">
        <v>0</v>
      </c>
      <c r="Q296" s="1">
        <v>1</v>
      </c>
      <c r="R296" s="32">
        <v>3.6238015370375507</v>
      </c>
      <c r="S296" s="32">
        <v>2.6369999999999969</v>
      </c>
      <c r="T296" s="32">
        <v>0.9868015370375538</v>
      </c>
    </row>
    <row r="297" spans="1:20" x14ac:dyDescent="0.35">
      <c r="A297" s="44">
        <v>44118</v>
      </c>
      <c r="B297" s="20">
        <f t="shared" si="277"/>
        <v>44109</v>
      </c>
      <c r="C297" s="35">
        <v>48.75</v>
      </c>
      <c r="D297" s="36">
        <v>60.65</v>
      </c>
      <c r="E297" s="36">
        <v>41.73</v>
      </c>
      <c r="F297" s="36">
        <v>18.376000000000001</v>
      </c>
      <c r="G297" s="36">
        <v>25.3</v>
      </c>
      <c r="H297" s="42">
        <v>0</v>
      </c>
      <c r="I297" s="40">
        <f t="shared" ref="I297:J297" si="299">20%+(I296-20%)*0.95</f>
        <v>0.20000006064094733</v>
      </c>
      <c r="J297" s="40">
        <f t="shared" si="299"/>
        <v>0.20000008894005605</v>
      </c>
      <c r="K297" s="41">
        <f t="shared" si="267"/>
        <v>0.79999999999998528</v>
      </c>
      <c r="L297" s="23">
        <f t="shared" si="279"/>
        <v>0.81643835616438354</v>
      </c>
      <c r="M297" s="28">
        <f t="shared" si="280"/>
        <v>31</v>
      </c>
      <c r="N297" s="29" t="s">
        <v>9</v>
      </c>
      <c r="O297" s="30">
        <v>1</v>
      </c>
      <c r="P297" s="31">
        <v>0</v>
      </c>
      <c r="Q297" s="1">
        <v>1</v>
      </c>
      <c r="R297" s="32">
        <v>3.6328564821514071</v>
      </c>
      <c r="S297" s="32">
        <v>2.6369999999999969</v>
      </c>
      <c r="T297" s="32">
        <v>0.99585648215141021</v>
      </c>
    </row>
    <row r="298" spans="1:20" x14ac:dyDescent="0.35">
      <c r="A298" s="44">
        <v>44119</v>
      </c>
      <c r="B298" s="20">
        <f t="shared" si="277"/>
        <v>44110</v>
      </c>
      <c r="C298" s="35">
        <v>48.75</v>
      </c>
      <c r="D298" s="36">
        <v>60.65</v>
      </c>
      <c r="E298" s="36">
        <v>41.73</v>
      </c>
      <c r="F298" s="36">
        <v>18.376000000000001</v>
      </c>
      <c r="G298" s="36">
        <v>25.3</v>
      </c>
      <c r="H298" s="42">
        <v>0</v>
      </c>
      <c r="I298" s="40">
        <f t="shared" ref="I298:J298" si="300">20%+(I297-20%)*0.95</f>
        <v>0.20000005760889997</v>
      </c>
      <c r="J298" s="40">
        <f t="shared" si="300"/>
        <v>0.20000008449305326</v>
      </c>
      <c r="K298" s="41">
        <f t="shared" si="267"/>
        <v>0.79999999999998672</v>
      </c>
      <c r="L298" s="23">
        <f t="shared" si="279"/>
        <v>0.81917808219178079</v>
      </c>
      <c r="M298" s="28">
        <f t="shared" si="280"/>
        <v>31</v>
      </c>
      <c r="N298" s="29" t="s">
        <v>9</v>
      </c>
      <c r="O298" s="30">
        <v>1</v>
      </c>
      <c r="P298" s="31">
        <v>0</v>
      </c>
      <c r="Q298" s="1">
        <v>1</v>
      </c>
      <c r="R298" s="32">
        <v>3.6358672738305771</v>
      </c>
      <c r="S298" s="32">
        <v>2.6369999999999969</v>
      </c>
      <c r="T298" s="32">
        <v>0.99886727383058016</v>
      </c>
    </row>
    <row r="299" spans="1:20" x14ac:dyDescent="0.35">
      <c r="A299" s="44">
        <v>44120</v>
      </c>
      <c r="B299" s="20">
        <f t="shared" si="277"/>
        <v>44111</v>
      </c>
      <c r="C299" s="35">
        <v>48.75</v>
      </c>
      <c r="D299" s="36">
        <v>60.65</v>
      </c>
      <c r="E299" s="36">
        <v>41.73</v>
      </c>
      <c r="F299" s="36">
        <v>18.376000000000001</v>
      </c>
      <c r="G299" s="36">
        <v>25.3</v>
      </c>
      <c r="H299" s="42">
        <v>0</v>
      </c>
      <c r="I299" s="40">
        <f t="shared" ref="I299:J299" si="301">20%+(I298-20%)*0.95</f>
        <v>0.20000005472845497</v>
      </c>
      <c r="J299" s="40">
        <f t="shared" si="301"/>
        <v>0.2000000802684006</v>
      </c>
      <c r="K299" s="41">
        <f t="shared" si="267"/>
        <v>0.79999999999998805</v>
      </c>
      <c r="L299" s="23">
        <f t="shared" si="279"/>
        <v>0.82191780821917804</v>
      </c>
      <c r="M299" s="28">
        <f t="shared" si="280"/>
        <v>31</v>
      </c>
      <c r="N299" s="29" t="s">
        <v>9</v>
      </c>
      <c r="O299" s="30">
        <v>1</v>
      </c>
      <c r="P299" s="31">
        <v>0</v>
      </c>
      <c r="Q299" s="1">
        <v>1</v>
      </c>
      <c r="R299" s="32">
        <v>3.6388743398800578</v>
      </c>
      <c r="S299" s="32">
        <v>2.6369999999999969</v>
      </c>
      <c r="T299" s="32">
        <v>1.0018743398800609</v>
      </c>
    </row>
    <row r="300" spans="1:20" x14ac:dyDescent="0.35">
      <c r="A300" s="44">
        <v>44121</v>
      </c>
      <c r="B300" s="20">
        <f t="shared" si="277"/>
        <v>44112</v>
      </c>
      <c r="C300" s="35">
        <v>48.75</v>
      </c>
      <c r="D300" s="36">
        <v>60.65</v>
      </c>
      <c r="E300" s="36">
        <v>41.73</v>
      </c>
      <c r="F300" s="36">
        <v>18.376000000000001</v>
      </c>
      <c r="G300" s="36">
        <v>25.3</v>
      </c>
      <c r="H300" s="42">
        <v>0</v>
      </c>
      <c r="I300" s="40">
        <f t="shared" ref="I300:J300" si="302">20%+(I299-20%)*0.95</f>
        <v>0.20000005199203222</v>
      </c>
      <c r="J300" s="40">
        <f t="shared" si="302"/>
        <v>0.20000007625498056</v>
      </c>
      <c r="K300" s="41">
        <f t="shared" si="267"/>
        <v>0.79999999999998928</v>
      </c>
      <c r="L300" s="23">
        <f t="shared" si="279"/>
        <v>0.8246575342465754</v>
      </c>
      <c r="M300" s="28">
        <f t="shared" si="280"/>
        <v>31</v>
      </c>
      <c r="N300" s="29" t="s">
        <v>9</v>
      </c>
      <c r="O300" s="30">
        <v>1</v>
      </c>
      <c r="P300" s="31">
        <v>0</v>
      </c>
      <c r="Q300" s="1">
        <v>1</v>
      </c>
      <c r="R300" s="32">
        <v>3.641877692805263</v>
      </c>
      <c r="S300" s="32">
        <v>2.6369999999999969</v>
      </c>
      <c r="T300" s="32">
        <v>1.0048776928052661</v>
      </c>
    </row>
    <row r="301" spans="1:20" x14ac:dyDescent="0.35">
      <c r="A301" s="44">
        <v>44122</v>
      </c>
      <c r="B301" s="20">
        <f t="shared" si="277"/>
        <v>44112</v>
      </c>
      <c r="C301" s="35">
        <v>48.75</v>
      </c>
      <c r="D301" s="36">
        <v>60.65</v>
      </c>
      <c r="E301" s="36">
        <v>41.73</v>
      </c>
      <c r="F301" s="36">
        <v>18.376000000000001</v>
      </c>
      <c r="G301" s="36">
        <v>25.3</v>
      </c>
      <c r="H301" s="42">
        <v>0</v>
      </c>
      <c r="I301" s="40">
        <f t="shared" ref="I301:J301" si="303">20%+(I300-20%)*0.95</f>
        <v>0.2000000493924306</v>
      </c>
      <c r="J301" s="40">
        <f t="shared" si="303"/>
        <v>0.20000007244223153</v>
      </c>
      <c r="K301" s="41">
        <f t="shared" si="267"/>
        <v>0.79999999999999039</v>
      </c>
      <c r="L301" s="23">
        <f t="shared" si="279"/>
        <v>0.8246575342465754</v>
      </c>
      <c r="M301" s="28">
        <f t="shared" si="280"/>
        <v>31</v>
      </c>
      <c r="N301" s="29" t="s">
        <v>9</v>
      </c>
      <c r="O301" s="30">
        <v>1</v>
      </c>
      <c r="P301" s="31">
        <v>0</v>
      </c>
      <c r="Q301" s="1">
        <v>1</v>
      </c>
      <c r="R301" s="32">
        <v>3.6418776582856971</v>
      </c>
      <c r="S301" s="32">
        <v>2.6369999999999969</v>
      </c>
      <c r="T301" s="32">
        <v>1.0048776582857002</v>
      </c>
    </row>
    <row r="302" spans="1:20" x14ac:dyDescent="0.35">
      <c r="A302" s="44">
        <v>44123</v>
      </c>
      <c r="B302" s="20">
        <f t="shared" si="277"/>
        <v>44112</v>
      </c>
      <c r="C302" s="35">
        <v>48.75</v>
      </c>
      <c r="D302" s="36">
        <v>60.65</v>
      </c>
      <c r="E302" s="36">
        <v>41.73</v>
      </c>
      <c r="F302" s="36">
        <v>18.376000000000001</v>
      </c>
      <c r="G302" s="36">
        <v>25.3</v>
      </c>
      <c r="H302" s="42">
        <v>0</v>
      </c>
      <c r="I302" s="40">
        <f t="shared" ref="I302:J302" si="304">20%+(I301-20%)*0.95</f>
        <v>0.20000004692280907</v>
      </c>
      <c r="J302" s="40">
        <f t="shared" si="304"/>
        <v>0.20000006882011995</v>
      </c>
      <c r="K302" s="41">
        <f t="shared" si="267"/>
        <v>0.79999999999999138</v>
      </c>
      <c r="L302" s="23">
        <f t="shared" si="279"/>
        <v>0.8246575342465754</v>
      </c>
      <c r="M302" s="28">
        <f t="shared" si="280"/>
        <v>31</v>
      </c>
      <c r="N302" s="29" t="s">
        <v>9</v>
      </c>
      <c r="O302" s="30">
        <v>1</v>
      </c>
      <c r="P302" s="31">
        <v>0</v>
      </c>
      <c r="Q302" s="1">
        <v>1</v>
      </c>
      <c r="R302" s="32">
        <v>3.6418776254921035</v>
      </c>
      <c r="S302" s="32">
        <v>2.6369999999999969</v>
      </c>
      <c r="T302" s="32">
        <v>1.0048776254921066</v>
      </c>
    </row>
    <row r="303" spans="1:20" x14ac:dyDescent="0.35">
      <c r="A303" s="44">
        <v>44124</v>
      </c>
      <c r="B303" s="20">
        <f t="shared" si="277"/>
        <v>44113</v>
      </c>
      <c r="C303" s="35">
        <v>48.75</v>
      </c>
      <c r="D303" s="36">
        <v>60.65</v>
      </c>
      <c r="E303" s="36">
        <v>41.73</v>
      </c>
      <c r="F303" s="36">
        <v>18.376000000000001</v>
      </c>
      <c r="G303" s="36">
        <v>25.3</v>
      </c>
      <c r="H303" s="42">
        <v>0</v>
      </c>
      <c r="I303" s="40">
        <f t="shared" ref="I303:J303" si="305">20%+(I302-20%)*0.95</f>
        <v>0.20000004457666862</v>
      </c>
      <c r="J303" s="40">
        <f t="shared" si="305"/>
        <v>0.20000006537911394</v>
      </c>
      <c r="K303" s="41">
        <f t="shared" si="267"/>
        <v>0.79999999999999227</v>
      </c>
      <c r="L303" s="23">
        <f t="shared" si="279"/>
        <v>0.82739726027397265</v>
      </c>
      <c r="M303" s="28">
        <f t="shared" si="280"/>
        <v>31</v>
      </c>
      <c r="N303" s="29" t="s">
        <v>9</v>
      </c>
      <c r="O303" s="30">
        <v>1</v>
      </c>
      <c r="P303" s="31">
        <v>0</v>
      </c>
      <c r="Q303" s="1">
        <v>1</v>
      </c>
      <c r="R303" s="32">
        <v>3.6448772809755567</v>
      </c>
      <c r="S303" s="32">
        <v>2.6369999999999969</v>
      </c>
      <c r="T303" s="32">
        <v>1.0078772809755598</v>
      </c>
    </row>
    <row r="304" spans="1:20" x14ac:dyDescent="0.35">
      <c r="A304" s="44">
        <v>44125</v>
      </c>
      <c r="B304" s="20">
        <f t="shared" si="277"/>
        <v>44116</v>
      </c>
      <c r="C304" s="35">
        <v>48.75</v>
      </c>
      <c r="D304" s="36">
        <v>60.65</v>
      </c>
      <c r="E304" s="36">
        <v>41.73</v>
      </c>
      <c r="F304" s="36">
        <v>18.376000000000001</v>
      </c>
      <c r="G304" s="36">
        <v>25.3</v>
      </c>
      <c r="H304" s="42">
        <v>0</v>
      </c>
      <c r="I304" s="40">
        <f t="shared" ref="I304:J304" si="306">20%+(I303-20%)*0.95</f>
        <v>0.20000004234783519</v>
      </c>
      <c r="J304" s="40">
        <f t="shared" si="306"/>
        <v>0.20000006211015825</v>
      </c>
      <c r="K304" s="41">
        <f t="shared" si="267"/>
        <v>0.79999999999999305</v>
      </c>
      <c r="L304" s="23">
        <f t="shared" si="279"/>
        <v>0.83561643835616439</v>
      </c>
      <c r="M304" s="28">
        <f t="shared" si="280"/>
        <v>31</v>
      </c>
      <c r="N304" s="29" t="s">
        <v>9</v>
      </c>
      <c r="O304" s="30">
        <v>1</v>
      </c>
      <c r="P304" s="31">
        <v>0</v>
      </c>
      <c r="Q304" s="1">
        <v>1</v>
      </c>
      <c r="R304" s="32">
        <v>3.653854221442522</v>
      </c>
      <c r="S304" s="32">
        <v>2.6369999999999969</v>
      </c>
      <c r="T304" s="32">
        <v>1.0168542214425251</v>
      </c>
    </row>
    <row r="305" spans="1:20" x14ac:dyDescent="0.35">
      <c r="A305" s="44">
        <v>44126</v>
      </c>
      <c r="B305" s="20">
        <f t="shared" si="277"/>
        <v>44117</v>
      </c>
      <c r="C305" s="35">
        <v>48.75</v>
      </c>
      <c r="D305" s="36">
        <v>60.65</v>
      </c>
      <c r="E305" s="36">
        <v>41.73</v>
      </c>
      <c r="F305" s="36">
        <v>18.376000000000001</v>
      </c>
      <c r="G305" s="36">
        <v>25.3</v>
      </c>
      <c r="H305" s="42">
        <v>0</v>
      </c>
      <c r="I305" s="40">
        <f t="shared" ref="I305:J305" si="307">20%+(I304-20%)*0.95</f>
        <v>0.20000004023044343</v>
      </c>
      <c r="J305" s="40">
        <f t="shared" si="307"/>
        <v>0.20000005900465034</v>
      </c>
      <c r="K305" s="41">
        <f t="shared" si="267"/>
        <v>0.79999999999999372</v>
      </c>
      <c r="L305" s="23">
        <f t="shared" si="279"/>
        <v>0.83835616438356164</v>
      </c>
      <c r="M305" s="28">
        <f t="shared" si="280"/>
        <v>31</v>
      </c>
      <c r="N305" s="29" t="s">
        <v>9</v>
      </c>
      <c r="O305" s="30">
        <v>1</v>
      </c>
      <c r="P305" s="31">
        <v>0</v>
      </c>
      <c r="Q305" s="1">
        <v>1</v>
      </c>
      <c r="R305" s="32">
        <v>3.6568391943986995</v>
      </c>
      <c r="S305" s="32">
        <v>2.6369999999999969</v>
      </c>
      <c r="T305" s="32">
        <v>1.0198391943987026</v>
      </c>
    </row>
    <row r="306" spans="1:20" x14ac:dyDescent="0.35">
      <c r="A306" s="44">
        <v>44127</v>
      </c>
      <c r="B306" s="20">
        <f t="shared" si="277"/>
        <v>44118</v>
      </c>
      <c r="C306" s="35">
        <v>48.75</v>
      </c>
      <c r="D306" s="36">
        <v>60.65</v>
      </c>
      <c r="E306" s="36">
        <v>41.73</v>
      </c>
      <c r="F306" s="36">
        <v>18.376000000000001</v>
      </c>
      <c r="G306" s="36">
        <v>25.3</v>
      </c>
      <c r="H306" s="42">
        <v>0</v>
      </c>
      <c r="I306" s="40">
        <f t="shared" ref="I306:J306" si="308">20%+(I305-20%)*0.95</f>
        <v>0.20000003821892126</v>
      </c>
      <c r="J306" s="40">
        <f t="shared" si="308"/>
        <v>0.20000005605441784</v>
      </c>
      <c r="K306" s="41">
        <f t="shared" si="267"/>
        <v>0.79999999999999438</v>
      </c>
      <c r="L306" s="23">
        <f t="shared" si="279"/>
        <v>0.84109589041095889</v>
      </c>
      <c r="M306" s="28">
        <f t="shared" si="280"/>
        <v>31</v>
      </c>
      <c r="N306" s="29" t="s">
        <v>9</v>
      </c>
      <c r="O306" s="30">
        <v>1</v>
      </c>
      <c r="P306" s="31">
        <v>0</v>
      </c>
      <c r="Q306" s="1">
        <v>1</v>
      </c>
      <c r="R306" s="32">
        <v>3.6598205281062022</v>
      </c>
      <c r="S306" s="32">
        <v>2.6369999999999969</v>
      </c>
      <c r="T306" s="32">
        <v>1.0228205281062053</v>
      </c>
    </row>
    <row r="307" spans="1:20" x14ac:dyDescent="0.35">
      <c r="A307" s="44">
        <v>44128</v>
      </c>
      <c r="B307" s="20">
        <f t="shared" si="277"/>
        <v>44119</v>
      </c>
      <c r="C307" s="35">
        <v>48.75</v>
      </c>
      <c r="D307" s="36">
        <v>60.65</v>
      </c>
      <c r="E307" s="36">
        <v>41.73</v>
      </c>
      <c r="F307" s="36">
        <v>18.376000000000001</v>
      </c>
      <c r="G307" s="36">
        <v>25.3</v>
      </c>
      <c r="H307" s="42">
        <v>0</v>
      </c>
      <c r="I307" s="40">
        <f t="shared" ref="I307:J307" si="309">20%+(I306-20%)*0.95</f>
        <v>0.20000003630797519</v>
      </c>
      <c r="J307" s="40">
        <f t="shared" si="309"/>
        <v>0.20000005325169695</v>
      </c>
      <c r="K307" s="41">
        <f t="shared" si="267"/>
        <v>0.79999999999999494</v>
      </c>
      <c r="L307" s="23">
        <f t="shared" si="279"/>
        <v>0.84383561643835614</v>
      </c>
      <c r="M307" s="28">
        <f t="shared" si="280"/>
        <v>31</v>
      </c>
      <c r="N307" s="29" t="s">
        <v>9</v>
      </c>
      <c r="O307" s="30">
        <v>1</v>
      </c>
      <c r="P307" s="31">
        <v>0</v>
      </c>
      <c r="Q307" s="1">
        <v>1</v>
      </c>
      <c r="R307" s="32">
        <v>3.6627982346852477</v>
      </c>
      <c r="S307" s="32">
        <v>2.6369999999999969</v>
      </c>
      <c r="T307" s="32">
        <v>1.0257982346852508</v>
      </c>
    </row>
    <row r="308" spans="1:20" x14ac:dyDescent="0.35">
      <c r="A308" s="44">
        <v>44129</v>
      </c>
      <c r="B308" s="20">
        <f t="shared" si="277"/>
        <v>44119</v>
      </c>
      <c r="C308" s="35">
        <v>48.75</v>
      </c>
      <c r="D308" s="36">
        <v>60.65</v>
      </c>
      <c r="E308" s="36">
        <v>41.73</v>
      </c>
      <c r="F308" s="36">
        <v>18.376000000000001</v>
      </c>
      <c r="G308" s="36">
        <v>25.3</v>
      </c>
      <c r="H308" s="42">
        <v>0</v>
      </c>
      <c r="I308" s="40">
        <f t="shared" ref="I308:J308" si="310">20%+(I307-20%)*0.95</f>
        <v>0.20000003449257645</v>
      </c>
      <c r="J308" s="40">
        <f t="shared" si="310"/>
        <v>0.2000000505891121</v>
      </c>
      <c r="K308" s="41">
        <f t="shared" si="267"/>
        <v>0.79999999999999549</v>
      </c>
      <c r="L308" s="23">
        <f t="shared" si="279"/>
        <v>0.84383561643835614</v>
      </c>
      <c r="M308" s="28">
        <f t="shared" si="280"/>
        <v>31</v>
      </c>
      <c r="N308" s="29" t="s">
        <v>9</v>
      </c>
      <c r="O308" s="30">
        <v>1</v>
      </c>
      <c r="P308" s="31">
        <v>0</v>
      </c>
      <c r="Q308" s="1">
        <v>1</v>
      </c>
      <c r="R308" s="32">
        <v>3.6627982102288286</v>
      </c>
      <c r="S308" s="32">
        <v>2.6369999999999969</v>
      </c>
      <c r="T308" s="32">
        <v>1.0257982102288317</v>
      </c>
    </row>
    <row r="309" spans="1:20" x14ac:dyDescent="0.35">
      <c r="A309" s="44">
        <v>44130</v>
      </c>
      <c r="B309" s="20">
        <f t="shared" si="277"/>
        <v>44119</v>
      </c>
      <c r="C309" s="35">
        <v>48.75</v>
      </c>
      <c r="D309" s="36">
        <v>60.65</v>
      </c>
      <c r="E309" s="36">
        <v>41.73</v>
      </c>
      <c r="F309" s="36">
        <v>18.376000000000001</v>
      </c>
      <c r="G309" s="36">
        <v>25.3</v>
      </c>
      <c r="H309" s="42">
        <v>0</v>
      </c>
      <c r="I309" s="40">
        <f t="shared" ref="I309:J309" si="311">20%+(I308-20%)*0.95</f>
        <v>0.20000003276794762</v>
      </c>
      <c r="J309" s="40">
        <f t="shared" si="311"/>
        <v>0.20000004805965649</v>
      </c>
      <c r="K309" s="41">
        <f t="shared" si="267"/>
        <v>0.79999999999999594</v>
      </c>
      <c r="L309" s="23">
        <f t="shared" si="279"/>
        <v>0.84383561643835614</v>
      </c>
      <c r="M309" s="28">
        <f t="shared" si="280"/>
        <v>31</v>
      </c>
      <c r="N309" s="29" t="s">
        <v>9</v>
      </c>
      <c r="O309" s="30">
        <v>1</v>
      </c>
      <c r="P309" s="31">
        <v>0</v>
      </c>
      <c r="Q309" s="1">
        <v>1</v>
      </c>
      <c r="R309" s="32">
        <v>3.6627981869952322</v>
      </c>
      <c r="S309" s="32">
        <v>2.6369999999999969</v>
      </c>
      <c r="T309" s="32">
        <v>1.0257981869952353</v>
      </c>
    </row>
    <row r="310" spans="1:20" x14ac:dyDescent="0.35">
      <c r="A310" s="44">
        <v>44131</v>
      </c>
      <c r="B310" s="20">
        <f t="shared" si="277"/>
        <v>44120</v>
      </c>
      <c r="C310" s="35">
        <v>48.75</v>
      </c>
      <c r="D310" s="36">
        <v>60.65</v>
      </c>
      <c r="E310" s="36">
        <v>41.73</v>
      </c>
      <c r="F310" s="36">
        <v>18.376000000000001</v>
      </c>
      <c r="G310" s="36">
        <v>25.3</v>
      </c>
      <c r="H310" s="42">
        <v>0</v>
      </c>
      <c r="I310" s="40">
        <f t="shared" ref="I310:J310" si="312">20%+(I309-20%)*0.95</f>
        <v>0.20000003112955023</v>
      </c>
      <c r="J310" s="40">
        <f t="shared" si="312"/>
        <v>0.20000004565667368</v>
      </c>
      <c r="K310" s="41">
        <f t="shared" si="267"/>
        <v>0.79999999999999638</v>
      </c>
      <c r="L310" s="23">
        <f t="shared" si="279"/>
        <v>0.84657534246575339</v>
      </c>
      <c r="M310" s="28">
        <f t="shared" si="280"/>
        <v>31</v>
      </c>
      <c r="N310" s="29" t="s">
        <v>9</v>
      </c>
      <c r="O310" s="30">
        <v>1</v>
      </c>
      <c r="P310" s="31">
        <v>0</v>
      </c>
      <c r="Q310" s="1">
        <v>1</v>
      </c>
      <c r="R310" s="32">
        <v>3.6657722808037931</v>
      </c>
      <c r="S310" s="32">
        <v>2.6369999999999969</v>
      </c>
      <c r="T310" s="32">
        <v>1.0287722808037962</v>
      </c>
    </row>
    <row r="311" spans="1:20" x14ac:dyDescent="0.35">
      <c r="A311" s="44">
        <v>44132</v>
      </c>
      <c r="B311" s="20">
        <f t="shared" si="277"/>
        <v>44123</v>
      </c>
      <c r="C311" s="35">
        <v>48.75</v>
      </c>
      <c r="D311" s="36">
        <v>60.65</v>
      </c>
      <c r="E311" s="36">
        <v>41.73</v>
      </c>
      <c r="F311" s="36">
        <v>18.376000000000001</v>
      </c>
      <c r="G311" s="36">
        <v>25.3</v>
      </c>
      <c r="H311" s="42">
        <v>0</v>
      </c>
      <c r="I311" s="40">
        <f t="shared" ref="I311:J311" si="313">20%+(I310-20%)*0.95</f>
        <v>0.20000002957307272</v>
      </c>
      <c r="J311" s="40">
        <f t="shared" si="313"/>
        <v>0.20000004337384</v>
      </c>
      <c r="K311" s="41">
        <f t="shared" si="267"/>
        <v>0.79999999999999671</v>
      </c>
      <c r="L311" s="23">
        <f t="shared" si="279"/>
        <v>0.85479452054794525</v>
      </c>
      <c r="M311" s="28">
        <f t="shared" si="280"/>
        <v>31</v>
      </c>
      <c r="N311" s="29" t="s">
        <v>9</v>
      </c>
      <c r="O311" s="30">
        <v>1</v>
      </c>
      <c r="P311" s="31">
        <v>0</v>
      </c>
      <c r="Q311" s="1">
        <v>1</v>
      </c>
      <c r="R311" s="32">
        <v>3.674673030205696</v>
      </c>
      <c r="S311" s="32">
        <v>2.6369999999999969</v>
      </c>
      <c r="T311" s="32">
        <v>1.0376730302056991</v>
      </c>
    </row>
    <row r="312" spans="1:20" x14ac:dyDescent="0.35">
      <c r="A312" s="44">
        <v>44133</v>
      </c>
      <c r="B312" s="20">
        <f t="shared" si="277"/>
        <v>44124</v>
      </c>
      <c r="C312" s="35">
        <v>48.75</v>
      </c>
      <c r="D312" s="36">
        <v>60.65</v>
      </c>
      <c r="E312" s="36">
        <v>41.73</v>
      </c>
      <c r="F312" s="36">
        <v>18.376000000000001</v>
      </c>
      <c r="G312" s="36">
        <v>25.3</v>
      </c>
      <c r="H312" s="42">
        <v>0</v>
      </c>
      <c r="I312" s="40">
        <f t="shared" ref="I312:J312" si="314">20%+(I311-20%)*0.95</f>
        <v>0.20000002809441908</v>
      </c>
      <c r="J312" s="40">
        <f t="shared" si="314"/>
        <v>0.200000041205148</v>
      </c>
      <c r="K312" s="41">
        <f t="shared" si="267"/>
        <v>0.79999999999999705</v>
      </c>
      <c r="L312" s="23">
        <f t="shared" si="279"/>
        <v>0.8575342465753425</v>
      </c>
      <c r="M312" s="28">
        <f t="shared" si="280"/>
        <v>31</v>
      </c>
      <c r="N312" s="29" t="s">
        <v>9</v>
      </c>
      <c r="O312" s="30">
        <v>1</v>
      </c>
      <c r="P312" s="31">
        <v>0</v>
      </c>
      <c r="Q312" s="1">
        <v>1</v>
      </c>
      <c r="R312" s="32">
        <v>3.6776327810316971</v>
      </c>
      <c r="S312" s="32">
        <v>2.6369999999999969</v>
      </c>
      <c r="T312" s="32">
        <v>1.0406327810317002</v>
      </c>
    </row>
    <row r="313" spans="1:20" x14ac:dyDescent="0.35">
      <c r="A313" s="44">
        <v>44134</v>
      </c>
      <c r="B313" s="20">
        <f t="shared" si="277"/>
        <v>44125</v>
      </c>
      <c r="C313" s="35">
        <v>48.75</v>
      </c>
      <c r="D313" s="36">
        <v>60.65</v>
      </c>
      <c r="E313" s="36">
        <v>41.73</v>
      </c>
      <c r="F313" s="36">
        <v>18.376000000000001</v>
      </c>
      <c r="G313" s="36">
        <v>25.3</v>
      </c>
      <c r="H313" s="42">
        <v>0</v>
      </c>
      <c r="I313" s="40">
        <f t="shared" ref="I313:J313" si="315">20%+(I312-20%)*0.95</f>
        <v>0.20000002668969813</v>
      </c>
      <c r="J313" s="40">
        <f t="shared" si="315"/>
        <v>0.20000003914489059</v>
      </c>
      <c r="K313" s="41">
        <f t="shared" si="267"/>
        <v>0.79999999999999738</v>
      </c>
      <c r="L313" s="23">
        <f t="shared" si="279"/>
        <v>0.86027397260273974</v>
      </c>
      <c r="M313" s="28">
        <f t="shared" si="280"/>
        <v>31</v>
      </c>
      <c r="N313" s="29" t="s">
        <v>9</v>
      </c>
      <c r="O313" s="30">
        <v>1</v>
      </c>
      <c r="P313" s="31">
        <v>0</v>
      </c>
      <c r="Q313" s="1">
        <v>1</v>
      </c>
      <c r="R313" s="32">
        <v>3.6805889763036674</v>
      </c>
      <c r="S313" s="32">
        <v>2.6369999999999969</v>
      </c>
      <c r="T313" s="32">
        <v>1.0435889763036705</v>
      </c>
    </row>
    <row r="314" spans="1:20" x14ac:dyDescent="0.35">
      <c r="A314" s="44">
        <v>44135</v>
      </c>
      <c r="B314" s="20">
        <f t="shared" si="277"/>
        <v>44126</v>
      </c>
      <c r="C314" s="35">
        <v>48.75</v>
      </c>
      <c r="D314" s="36">
        <v>60.65</v>
      </c>
      <c r="E314" s="36">
        <v>41.73</v>
      </c>
      <c r="F314" s="36">
        <v>18.376000000000001</v>
      </c>
      <c r="G314" s="36">
        <v>25.3</v>
      </c>
      <c r="H314" s="42">
        <v>0</v>
      </c>
      <c r="I314" s="40">
        <f t="shared" ref="I314:J314" si="316">20%+(I313-20%)*0.95</f>
        <v>0.20000002535521322</v>
      </c>
      <c r="J314" s="40">
        <f t="shared" si="316"/>
        <v>0.20000003718764606</v>
      </c>
      <c r="K314" s="41">
        <f t="shared" si="267"/>
        <v>0.7999999999999976</v>
      </c>
      <c r="L314" s="23">
        <f t="shared" si="279"/>
        <v>0.86301369863013699</v>
      </c>
      <c r="M314" s="28">
        <f t="shared" si="280"/>
        <v>31</v>
      </c>
      <c r="N314" s="29" t="s">
        <v>9</v>
      </c>
      <c r="O314" s="30">
        <v>1</v>
      </c>
      <c r="P314" s="31">
        <v>0</v>
      </c>
      <c r="Q314" s="1">
        <v>1</v>
      </c>
      <c r="R314" s="32">
        <v>3.683541627760583</v>
      </c>
      <c r="S314" s="32">
        <v>2.6369999999999969</v>
      </c>
      <c r="T314" s="32">
        <v>1.0465416277605861</v>
      </c>
    </row>
    <row r="315" spans="1:20" x14ac:dyDescent="0.35">
      <c r="A315" s="44">
        <v>44136</v>
      </c>
      <c r="B315" s="20">
        <f t="shared" si="277"/>
        <v>44126</v>
      </c>
      <c r="C315" s="35">
        <v>48.75</v>
      </c>
      <c r="D315" s="36">
        <v>60.65</v>
      </c>
      <c r="E315" s="36">
        <v>41.73</v>
      </c>
      <c r="F315" s="36">
        <v>18.376000000000001</v>
      </c>
      <c r="G315" s="36">
        <v>25.3</v>
      </c>
      <c r="H315" s="42">
        <v>0</v>
      </c>
      <c r="I315" s="40">
        <f t="shared" ref="I315:J315" si="317">20%+(I314-20%)*0.95</f>
        <v>0.20000002408745254</v>
      </c>
      <c r="J315" s="40">
        <f t="shared" si="317"/>
        <v>0.20000003532826374</v>
      </c>
      <c r="K315" s="41">
        <f t="shared" si="267"/>
        <v>0.79999999999999782</v>
      </c>
      <c r="L315" s="23">
        <f t="shared" si="279"/>
        <v>0.86301369863013699</v>
      </c>
      <c r="M315" s="28">
        <f t="shared" si="280"/>
        <v>31</v>
      </c>
      <c r="N315" s="29" t="s">
        <v>9</v>
      </c>
      <c r="O315" s="30">
        <v>1</v>
      </c>
      <c r="P315" s="31">
        <v>0</v>
      </c>
      <c r="Q315" s="1">
        <v>1</v>
      </c>
      <c r="R315" s="32">
        <v>3.6835416104404608</v>
      </c>
      <c r="S315" s="32">
        <v>2.6369999999999969</v>
      </c>
      <c r="T315" s="32">
        <v>1.0465416104404639</v>
      </c>
    </row>
    <row r="316" spans="1:20" x14ac:dyDescent="0.35">
      <c r="A316" s="44">
        <v>44137</v>
      </c>
      <c r="B316" s="20">
        <f t="shared" si="277"/>
        <v>44126</v>
      </c>
      <c r="C316" s="35">
        <v>48.75</v>
      </c>
      <c r="D316" s="36">
        <v>60.65</v>
      </c>
      <c r="E316" s="36">
        <v>41.73</v>
      </c>
      <c r="F316" s="36">
        <v>18.376000000000001</v>
      </c>
      <c r="G316" s="36">
        <v>25.3</v>
      </c>
      <c r="H316" s="42">
        <v>0</v>
      </c>
      <c r="I316" s="40">
        <f t="shared" ref="I316:J316" si="318">20%+(I315-20%)*0.95</f>
        <v>0.20000002288307991</v>
      </c>
      <c r="J316" s="40">
        <f t="shared" si="318"/>
        <v>0.20000003356185056</v>
      </c>
      <c r="K316" s="41">
        <f t="shared" si="267"/>
        <v>0.79999999999999805</v>
      </c>
      <c r="L316" s="23">
        <f t="shared" si="279"/>
        <v>0.86301369863013699</v>
      </c>
      <c r="M316" s="28">
        <f t="shared" si="280"/>
        <v>31</v>
      </c>
      <c r="N316" s="29" t="s">
        <v>9</v>
      </c>
      <c r="O316" s="30">
        <v>1</v>
      </c>
      <c r="P316" s="31">
        <v>0</v>
      </c>
      <c r="Q316" s="1">
        <v>1</v>
      </c>
      <c r="R316" s="32">
        <v>3.6835415939863445</v>
      </c>
      <c r="S316" s="32">
        <v>2.6369999999999969</v>
      </c>
      <c r="T316" s="32">
        <v>1.0465415939863476</v>
      </c>
    </row>
    <row r="317" spans="1:20" x14ac:dyDescent="0.35">
      <c r="A317" s="44">
        <v>44138</v>
      </c>
      <c r="B317" s="20">
        <f t="shared" si="277"/>
        <v>44127</v>
      </c>
      <c r="C317" s="35">
        <v>48.75</v>
      </c>
      <c r="D317" s="36">
        <v>60.65</v>
      </c>
      <c r="E317" s="36">
        <v>41.73</v>
      </c>
      <c r="F317" s="36">
        <v>18.376000000000001</v>
      </c>
      <c r="G317" s="36">
        <v>25.3</v>
      </c>
      <c r="H317" s="42">
        <v>0</v>
      </c>
      <c r="I317" s="40">
        <f t="shared" ref="I317:J317" si="319">20%+(I316-20%)*0.95</f>
        <v>0.20000002173892592</v>
      </c>
      <c r="J317" s="40">
        <f t="shared" si="319"/>
        <v>0.20000003188375803</v>
      </c>
      <c r="K317" s="41">
        <f t="shared" si="267"/>
        <v>0.79999999999999827</v>
      </c>
      <c r="L317" s="23">
        <f t="shared" si="279"/>
        <v>0.86575342465753424</v>
      </c>
      <c r="M317" s="28">
        <f t="shared" si="280"/>
        <v>31</v>
      </c>
      <c r="N317" s="29" t="s">
        <v>9</v>
      </c>
      <c r="O317" s="30">
        <v>1</v>
      </c>
      <c r="P317" s="31">
        <v>0</v>
      </c>
      <c r="Q317" s="1">
        <v>1</v>
      </c>
      <c r="R317" s="32">
        <v>3.6864907149385751</v>
      </c>
      <c r="S317" s="32">
        <v>2.6369999999999969</v>
      </c>
      <c r="T317" s="32">
        <v>1.0494907149385782</v>
      </c>
    </row>
    <row r="318" spans="1:20" x14ac:dyDescent="0.35">
      <c r="A318" s="44">
        <v>44139</v>
      </c>
      <c r="B318" s="20">
        <f t="shared" si="277"/>
        <v>44130</v>
      </c>
      <c r="C318" s="35">
        <v>48.75</v>
      </c>
      <c r="D318" s="36">
        <v>60.65</v>
      </c>
      <c r="E318" s="36">
        <v>41.73</v>
      </c>
      <c r="F318" s="36">
        <v>18.376000000000001</v>
      </c>
      <c r="G318" s="36">
        <v>25.3</v>
      </c>
      <c r="H318" s="42">
        <v>0</v>
      </c>
      <c r="I318" s="40">
        <f t="shared" ref="I318:J318" si="320">20%+(I317-20%)*0.95</f>
        <v>0.20000002065197964</v>
      </c>
      <c r="J318" s="40">
        <f t="shared" si="320"/>
        <v>0.20000003028957014</v>
      </c>
      <c r="K318" s="41">
        <f t="shared" si="267"/>
        <v>0.79999999999999849</v>
      </c>
      <c r="L318" s="23">
        <f t="shared" si="279"/>
        <v>0.87397260273972599</v>
      </c>
      <c r="M318" s="28">
        <f t="shared" si="280"/>
        <v>31</v>
      </c>
      <c r="N318" s="29" t="s">
        <v>9</v>
      </c>
      <c r="O318" s="30">
        <v>1</v>
      </c>
      <c r="P318" s="31">
        <v>0</v>
      </c>
      <c r="Q318" s="1">
        <v>1</v>
      </c>
      <c r="R318" s="32">
        <v>3.6953170283321342</v>
      </c>
      <c r="S318" s="32">
        <v>2.6369999999999969</v>
      </c>
      <c r="T318" s="32">
        <v>1.0583170283321373</v>
      </c>
    </row>
    <row r="319" spans="1:20" x14ac:dyDescent="0.35">
      <c r="A319" s="44">
        <v>44140</v>
      </c>
      <c r="B319" s="20">
        <f t="shared" si="277"/>
        <v>44131</v>
      </c>
      <c r="C319" s="35">
        <v>48.75</v>
      </c>
      <c r="D319" s="36">
        <v>60.65</v>
      </c>
      <c r="E319" s="36">
        <v>41.73</v>
      </c>
      <c r="F319" s="36">
        <v>18.376000000000001</v>
      </c>
      <c r="G319" s="36">
        <v>25.3</v>
      </c>
      <c r="H319" s="42">
        <v>0</v>
      </c>
      <c r="I319" s="40">
        <f t="shared" ref="I319:J319" si="321">20%+(I318-20%)*0.95</f>
        <v>0.20000001961938066</v>
      </c>
      <c r="J319" s="40">
        <f t="shared" si="321"/>
        <v>0.20000002877509163</v>
      </c>
      <c r="K319" s="41">
        <f t="shared" si="267"/>
        <v>0.7999999999999986</v>
      </c>
      <c r="L319" s="23">
        <f t="shared" si="279"/>
        <v>0.87671232876712324</v>
      </c>
      <c r="M319" s="28">
        <f t="shared" si="280"/>
        <v>31</v>
      </c>
      <c r="N319" s="29" t="s">
        <v>9</v>
      </c>
      <c r="O319" s="30">
        <v>1</v>
      </c>
      <c r="P319" s="31">
        <v>0</v>
      </c>
      <c r="Q319" s="1">
        <v>1</v>
      </c>
      <c r="R319" s="32">
        <v>3.6982521349152897</v>
      </c>
      <c r="S319" s="32">
        <v>2.6369999999999969</v>
      </c>
      <c r="T319" s="32">
        <v>1.0612521349152928</v>
      </c>
    </row>
    <row r="320" spans="1:20" x14ac:dyDescent="0.35">
      <c r="A320" s="44">
        <v>44141</v>
      </c>
      <c r="B320" s="20">
        <f t="shared" si="277"/>
        <v>44132</v>
      </c>
      <c r="C320" s="35">
        <v>48.75</v>
      </c>
      <c r="D320" s="36">
        <v>60.65</v>
      </c>
      <c r="E320" s="36">
        <v>41.73</v>
      </c>
      <c r="F320" s="36">
        <v>18.376000000000001</v>
      </c>
      <c r="G320" s="36">
        <v>25.3</v>
      </c>
      <c r="H320" s="42">
        <v>0</v>
      </c>
      <c r="I320" s="40">
        <f t="shared" ref="I320:J320" si="322">20%+(I319-20%)*0.95</f>
        <v>0.20000001863841163</v>
      </c>
      <c r="J320" s="40">
        <f t="shared" si="322"/>
        <v>0.20000002733633704</v>
      </c>
      <c r="K320" s="41">
        <f t="shared" si="267"/>
        <v>0.79999999999999871</v>
      </c>
      <c r="L320" s="23">
        <f t="shared" si="279"/>
        <v>0.8794520547945206</v>
      </c>
      <c r="M320" s="28">
        <f t="shared" si="280"/>
        <v>31</v>
      </c>
      <c r="N320" s="29" t="s">
        <v>9</v>
      </c>
      <c r="O320" s="30">
        <v>1</v>
      </c>
      <c r="P320" s="31">
        <v>0</v>
      </c>
      <c r="Q320" s="1">
        <v>1</v>
      </c>
      <c r="R320" s="32">
        <v>3.7011837669894518</v>
      </c>
      <c r="S320" s="32">
        <v>2.6369999999999969</v>
      </c>
      <c r="T320" s="32">
        <v>1.0641837669894549</v>
      </c>
    </row>
    <row r="321" spans="1:20" x14ac:dyDescent="0.35">
      <c r="A321" s="44">
        <v>44142</v>
      </c>
      <c r="B321" s="20">
        <f t="shared" si="277"/>
        <v>44133</v>
      </c>
      <c r="C321" s="35">
        <v>48.75</v>
      </c>
      <c r="D321" s="36">
        <v>60.65</v>
      </c>
      <c r="E321" s="36">
        <v>41.73</v>
      </c>
      <c r="F321" s="36">
        <v>18.376000000000001</v>
      </c>
      <c r="G321" s="36">
        <v>25.3</v>
      </c>
      <c r="H321" s="42">
        <v>0</v>
      </c>
      <c r="I321" s="40">
        <f t="shared" ref="I321:J321" si="323">20%+(I320-20%)*0.95</f>
        <v>0.20000001770649106</v>
      </c>
      <c r="J321" s="40">
        <f t="shared" si="323"/>
        <v>0.20000002596952018</v>
      </c>
      <c r="K321" s="41">
        <f t="shared" si="267"/>
        <v>0.79999999999999882</v>
      </c>
      <c r="L321" s="23">
        <f t="shared" si="279"/>
        <v>0.88219178082191785</v>
      </c>
      <c r="M321" s="28">
        <f t="shared" si="280"/>
        <v>31</v>
      </c>
      <c r="N321" s="29" t="s">
        <v>9</v>
      </c>
      <c r="O321" s="30">
        <v>1</v>
      </c>
      <c r="P321" s="31">
        <v>0</v>
      </c>
      <c r="Q321" s="1">
        <v>1</v>
      </c>
      <c r="R321" s="32">
        <v>3.7041119359191512</v>
      </c>
      <c r="S321" s="32">
        <v>2.6369999999999969</v>
      </c>
      <c r="T321" s="32">
        <v>1.0671119359191543</v>
      </c>
    </row>
    <row r="322" spans="1:20" x14ac:dyDescent="0.35">
      <c r="A322" s="44">
        <v>44143</v>
      </c>
      <c r="B322" s="20">
        <f t="shared" si="277"/>
        <v>44133</v>
      </c>
      <c r="C322" s="35">
        <v>48.75</v>
      </c>
      <c r="D322" s="36">
        <v>60.65</v>
      </c>
      <c r="E322" s="36">
        <v>41.73</v>
      </c>
      <c r="F322" s="36">
        <v>18.376000000000001</v>
      </c>
      <c r="G322" s="36">
        <v>25.3</v>
      </c>
      <c r="H322" s="42">
        <v>0</v>
      </c>
      <c r="I322" s="40">
        <f t="shared" ref="I322:J322" si="324">20%+(I321-20%)*0.95</f>
        <v>0.2000000168211665</v>
      </c>
      <c r="J322" s="40">
        <f t="shared" si="324"/>
        <v>0.20000002467104416</v>
      </c>
      <c r="K322" s="41">
        <f t="shared" si="267"/>
        <v>0.79999999999999893</v>
      </c>
      <c r="L322" s="23">
        <f t="shared" si="279"/>
        <v>0.88219178082191785</v>
      </c>
      <c r="M322" s="28">
        <f t="shared" si="280"/>
        <v>31</v>
      </c>
      <c r="N322" s="29" t="s">
        <v>9</v>
      </c>
      <c r="O322" s="30">
        <v>1</v>
      </c>
      <c r="P322" s="31">
        <v>0</v>
      </c>
      <c r="Q322" s="1">
        <v>1</v>
      </c>
      <c r="R322" s="32">
        <v>3.7041119236575071</v>
      </c>
      <c r="S322" s="32">
        <v>2.6369999999999969</v>
      </c>
      <c r="T322" s="32">
        <v>1.0671119236575102</v>
      </c>
    </row>
    <row r="323" spans="1:20" x14ac:dyDescent="0.35">
      <c r="A323" s="44">
        <v>44144</v>
      </c>
      <c r="B323" s="20">
        <f t="shared" si="277"/>
        <v>44133</v>
      </c>
      <c r="C323" s="35">
        <v>48.75</v>
      </c>
      <c r="D323" s="36">
        <v>60.65</v>
      </c>
      <c r="E323" s="36">
        <v>41.73</v>
      </c>
      <c r="F323" s="36">
        <v>18.376000000000001</v>
      </c>
      <c r="G323" s="36">
        <v>25.3</v>
      </c>
      <c r="H323" s="42">
        <v>0</v>
      </c>
      <c r="I323" s="40">
        <f t="shared" ref="I323:J323" si="325">20%+(I322-20%)*0.95</f>
        <v>0.20000001598010816</v>
      </c>
      <c r="J323" s="40">
        <f t="shared" si="325"/>
        <v>0.20000002343749196</v>
      </c>
      <c r="K323" s="41">
        <f t="shared" si="267"/>
        <v>0.79999999999999905</v>
      </c>
      <c r="L323" s="23">
        <f t="shared" si="279"/>
        <v>0.88219178082191785</v>
      </c>
      <c r="M323" s="28">
        <f t="shared" si="280"/>
        <v>31</v>
      </c>
      <c r="N323" s="29" t="s">
        <v>9</v>
      </c>
      <c r="O323" s="30">
        <v>1</v>
      </c>
      <c r="P323" s="31">
        <v>0</v>
      </c>
      <c r="Q323" s="1">
        <v>1</v>
      </c>
      <c r="R323" s="32">
        <v>3.7041119120089476</v>
      </c>
      <c r="S323" s="32">
        <v>2.6369999999999969</v>
      </c>
      <c r="T323" s="32">
        <v>1.0671119120089507</v>
      </c>
    </row>
    <row r="324" spans="1:20" x14ac:dyDescent="0.35">
      <c r="A324" s="44">
        <v>44145</v>
      </c>
      <c r="B324" s="20">
        <f t="shared" si="277"/>
        <v>44134</v>
      </c>
      <c r="C324" s="35">
        <v>48.75</v>
      </c>
      <c r="D324" s="36">
        <v>60.65</v>
      </c>
      <c r="E324" s="36">
        <v>41.73</v>
      </c>
      <c r="F324" s="36">
        <v>18.376000000000001</v>
      </c>
      <c r="G324" s="36">
        <v>25.3</v>
      </c>
      <c r="H324" s="42">
        <v>0</v>
      </c>
      <c r="I324" s="40">
        <f t="shared" ref="I324:J324" si="326">20%+(I323-20%)*0.95</f>
        <v>0.20000001518110275</v>
      </c>
      <c r="J324" s="40">
        <f t="shared" si="326"/>
        <v>0.20000002226561736</v>
      </c>
      <c r="K324" s="41">
        <f t="shared" si="267"/>
        <v>0.79999999999999916</v>
      </c>
      <c r="L324" s="23">
        <f t="shared" si="279"/>
        <v>0.8849315068493151</v>
      </c>
      <c r="M324" s="28">
        <f t="shared" si="280"/>
        <v>31</v>
      </c>
      <c r="N324" s="29" t="s">
        <v>9</v>
      </c>
      <c r="O324" s="30">
        <v>1</v>
      </c>
      <c r="P324" s="31">
        <v>0</v>
      </c>
      <c r="Q324" s="1">
        <v>1</v>
      </c>
      <c r="R324" s="32">
        <v>3.7070366302576616</v>
      </c>
      <c r="S324" s="32">
        <v>2.6369999999999969</v>
      </c>
      <c r="T324" s="32">
        <v>1.0700366302576647</v>
      </c>
    </row>
    <row r="325" spans="1:20" x14ac:dyDescent="0.35">
      <c r="A325" s="44">
        <v>44146</v>
      </c>
      <c r="B325" s="20">
        <f t="shared" si="277"/>
        <v>44137</v>
      </c>
      <c r="C325" s="35">
        <v>48.75</v>
      </c>
      <c r="D325" s="36">
        <v>60.65</v>
      </c>
      <c r="E325" s="36">
        <v>41.73</v>
      </c>
      <c r="F325" s="36">
        <v>18.376000000000001</v>
      </c>
      <c r="G325" s="36">
        <v>25.3</v>
      </c>
      <c r="H325" s="42">
        <v>0</v>
      </c>
      <c r="I325" s="40">
        <f t="shared" ref="I325:J325" si="327">20%+(I324-20%)*0.95</f>
        <v>0.20000001442204762</v>
      </c>
      <c r="J325" s="40">
        <f t="shared" si="327"/>
        <v>0.2000000211523365</v>
      </c>
      <c r="K325" s="41">
        <f t="shared" si="267"/>
        <v>0.79999999999999927</v>
      </c>
      <c r="L325" s="23">
        <f t="shared" si="279"/>
        <v>0.89315068493150684</v>
      </c>
      <c r="M325" s="28">
        <f t="shared" si="280"/>
        <v>30</v>
      </c>
      <c r="N325" s="29" t="s">
        <v>9</v>
      </c>
      <c r="O325" s="30">
        <v>1</v>
      </c>
      <c r="P325" s="31">
        <v>0</v>
      </c>
      <c r="Q325" s="1">
        <v>1</v>
      </c>
      <c r="R325" s="32">
        <v>3.7157902056383598</v>
      </c>
      <c r="S325" s="32">
        <v>2.6369999999999969</v>
      </c>
      <c r="T325" s="32">
        <v>1.0787902056383629</v>
      </c>
    </row>
    <row r="326" spans="1:20" x14ac:dyDescent="0.35">
      <c r="A326" s="44">
        <v>44147</v>
      </c>
      <c r="B326" s="20">
        <f t="shared" si="277"/>
        <v>44138</v>
      </c>
      <c r="C326" s="35">
        <v>48.75</v>
      </c>
      <c r="D326" s="36">
        <v>60.65</v>
      </c>
      <c r="E326" s="36">
        <v>41.73</v>
      </c>
      <c r="F326" s="36">
        <v>18.376000000000001</v>
      </c>
      <c r="G326" s="36">
        <v>25.3</v>
      </c>
      <c r="H326" s="42">
        <v>0</v>
      </c>
      <c r="I326" s="40">
        <f t="shared" ref="I326:J326" si="328">20%+(I325-20%)*0.95</f>
        <v>0.20000001370094525</v>
      </c>
      <c r="J326" s="40">
        <f t="shared" si="328"/>
        <v>0.20000002009471968</v>
      </c>
      <c r="K326" s="41">
        <f t="shared" si="267"/>
        <v>0.79999999999999938</v>
      </c>
      <c r="L326" s="23">
        <f t="shared" si="279"/>
        <v>0.89589041095890409</v>
      </c>
      <c r="M326" s="28">
        <f t="shared" si="280"/>
        <v>30</v>
      </c>
      <c r="N326" s="29" t="s">
        <v>9</v>
      </c>
      <c r="O326" s="30">
        <v>1</v>
      </c>
      <c r="P326" s="31">
        <v>0</v>
      </c>
      <c r="Q326" s="1">
        <v>1</v>
      </c>
      <c r="R326" s="32">
        <v>3.71870122747087</v>
      </c>
      <c r="S326" s="32">
        <v>2.6369999999999969</v>
      </c>
      <c r="T326" s="32">
        <v>1.0817012274708731</v>
      </c>
    </row>
    <row r="327" spans="1:20" x14ac:dyDescent="0.35">
      <c r="A327" s="44">
        <v>44148</v>
      </c>
      <c r="B327" s="20">
        <f t="shared" si="277"/>
        <v>44139</v>
      </c>
      <c r="C327" s="35">
        <v>48.75</v>
      </c>
      <c r="D327" s="36">
        <v>60.65</v>
      </c>
      <c r="E327" s="36">
        <v>41.73</v>
      </c>
      <c r="F327" s="36">
        <v>18.376000000000001</v>
      </c>
      <c r="G327" s="36">
        <v>25.3</v>
      </c>
      <c r="H327" s="42">
        <v>0</v>
      </c>
      <c r="I327" s="40">
        <f t="shared" ref="I327:J327" si="329">20%+(I326-20%)*0.95</f>
        <v>0.20000001301589798</v>
      </c>
      <c r="J327" s="40">
        <f t="shared" si="329"/>
        <v>0.20000001908998369</v>
      </c>
      <c r="K327" s="41">
        <f t="shared" si="267"/>
        <v>0.79999999999999949</v>
      </c>
      <c r="L327" s="23">
        <f t="shared" si="279"/>
        <v>0.89863013698630134</v>
      </c>
      <c r="M327" s="28">
        <f t="shared" si="280"/>
        <v>30</v>
      </c>
      <c r="N327" s="29" t="s">
        <v>9</v>
      </c>
      <c r="O327" s="30">
        <v>1</v>
      </c>
      <c r="P327" s="31">
        <v>0</v>
      </c>
      <c r="Q327" s="1">
        <v>1</v>
      </c>
      <c r="R327" s="32">
        <v>3.7216088532430938</v>
      </c>
      <c r="S327" s="32">
        <v>2.6369999999999969</v>
      </c>
      <c r="T327" s="32">
        <v>1.0846088532430969</v>
      </c>
    </row>
    <row r="328" spans="1:20" x14ac:dyDescent="0.35">
      <c r="A328" s="44">
        <v>44149</v>
      </c>
      <c r="B328" s="20">
        <f t="shared" si="277"/>
        <v>44140</v>
      </c>
      <c r="C328" s="35">
        <v>48.75</v>
      </c>
      <c r="D328" s="36">
        <v>60.65</v>
      </c>
      <c r="E328" s="36">
        <v>41.73</v>
      </c>
      <c r="F328" s="36">
        <v>18.376000000000001</v>
      </c>
      <c r="G328" s="36">
        <v>25.3</v>
      </c>
      <c r="H328" s="42">
        <v>0</v>
      </c>
      <c r="I328" s="40">
        <f t="shared" ref="I328:J328" si="330">20%+(I327-20%)*0.95</f>
        <v>0.20000001236510309</v>
      </c>
      <c r="J328" s="40">
        <f t="shared" si="330"/>
        <v>0.20000001813548451</v>
      </c>
      <c r="K328" s="41">
        <f t="shared" si="267"/>
        <v>0.7999999999999996</v>
      </c>
      <c r="L328" s="23">
        <f t="shared" si="279"/>
        <v>0.90136986301369859</v>
      </c>
      <c r="M328" s="28">
        <f t="shared" si="280"/>
        <v>30</v>
      </c>
      <c r="N328" s="29" t="s">
        <v>9</v>
      </c>
      <c r="O328" s="30">
        <v>1</v>
      </c>
      <c r="P328" s="31">
        <v>0</v>
      </c>
      <c r="Q328" s="1">
        <v>1</v>
      </c>
      <c r="R328" s="32">
        <v>3.7245130939536786</v>
      </c>
      <c r="S328" s="32">
        <v>2.6369999999999969</v>
      </c>
      <c r="T328" s="32">
        <v>1.0875130939536817</v>
      </c>
    </row>
    <row r="329" spans="1:20" x14ac:dyDescent="0.35">
      <c r="A329" s="44">
        <v>44150</v>
      </c>
      <c r="B329" s="20">
        <f t="shared" si="277"/>
        <v>44140</v>
      </c>
      <c r="C329" s="35">
        <v>48.75</v>
      </c>
      <c r="D329" s="36">
        <v>60.65</v>
      </c>
      <c r="E329" s="36">
        <v>41.73</v>
      </c>
      <c r="F329" s="36">
        <v>18.376000000000001</v>
      </c>
      <c r="G329" s="36">
        <v>25.3</v>
      </c>
      <c r="H329" s="42">
        <v>0</v>
      </c>
      <c r="I329" s="40">
        <f t="shared" ref="I329:J329" si="331">20%+(I328-20%)*0.95</f>
        <v>0.20000001174684795</v>
      </c>
      <c r="J329" s="40">
        <f t="shared" si="331"/>
        <v>0.2000000172287103</v>
      </c>
      <c r="K329" s="41">
        <f t="shared" si="267"/>
        <v>0.7999999999999996</v>
      </c>
      <c r="L329" s="23">
        <f t="shared" si="279"/>
        <v>0.90136986301369859</v>
      </c>
      <c r="M329" s="28">
        <f t="shared" si="280"/>
        <v>30</v>
      </c>
      <c r="N329" s="29" t="s">
        <v>9</v>
      </c>
      <c r="O329" s="30">
        <v>1</v>
      </c>
      <c r="P329" s="31">
        <v>0</v>
      </c>
      <c r="Q329" s="1">
        <v>1</v>
      </c>
      <c r="R329" s="32">
        <v>3.7245130852762074</v>
      </c>
      <c r="S329" s="32">
        <v>2.6369999999999969</v>
      </c>
      <c r="T329" s="32">
        <v>1.0875130852762105</v>
      </c>
    </row>
    <row r="330" spans="1:20" x14ac:dyDescent="0.35">
      <c r="A330" s="44">
        <v>44151</v>
      </c>
      <c r="B330" s="20">
        <f t="shared" si="277"/>
        <v>44140</v>
      </c>
      <c r="C330" s="35">
        <v>48.75</v>
      </c>
      <c r="D330" s="36">
        <v>60.65</v>
      </c>
      <c r="E330" s="36">
        <v>41.73</v>
      </c>
      <c r="F330" s="36">
        <v>18.376000000000001</v>
      </c>
      <c r="G330" s="36">
        <v>25.3</v>
      </c>
      <c r="H330" s="42">
        <v>0</v>
      </c>
      <c r="I330" s="40">
        <f t="shared" ref="I330:J330" si="332">20%+(I329-20%)*0.95</f>
        <v>0.20000001115950555</v>
      </c>
      <c r="J330" s="40">
        <f t="shared" si="332"/>
        <v>0.2000000163672748</v>
      </c>
      <c r="K330" s="41">
        <f t="shared" si="267"/>
        <v>0.7999999999999996</v>
      </c>
      <c r="L330" s="23">
        <f t="shared" si="279"/>
        <v>0.90136986301369859</v>
      </c>
      <c r="M330" s="28">
        <f t="shared" si="280"/>
        <v>30</v>
      </c>
      <c r="N330" s="29" t="s">
        <v>9</v>
      </c>
      <c r="O330" s="30">
        <v>1</v>
      </c>
      <c r="P330" s="31">
        <v>0</v>
      </c>
      <c r="Q330" s="1">
        <v>1</v>
      </c>
      <c r="R330" s="32">
        <v>3.7245130770326007</v>
      </c>
      <c r="S330" s="32">
        <v>2.6369999999999969</v>
      </c>
      <c r="T330" s="32">
        <v>1.0875130770326038</v>
      </c>
    </row>
    <row r="331" spans="1:20" x14ac:dyDescent="0.35">
      <c r="A331" s="44">
        <v>44152</v>
      </c>
      <c r="B331" s="20">
        <f t="shared" si="277"/>
        <v>44141</v>
      </c>
      <c r="C331" s="35">
        <v>48.75</v>
      </c>
      <c r="D331" s="36">
        <v>60.65</v>
      </c>
      <c r="E331" s="36">
        <v>41.73</v>
      </c>
      <c r="F331" s="36">
        <v>18.376000000000001</v>
      </c>
      <c r="G331" s="36">
        <v>25.3</v>
      </c>
      <c r="H331" s="42">
        <v>0</v>
      </c>
      <c r="I331" s="40">
        <f t="shared" ref="I331:J331" si="333">20%+(I330-20%)*0.95</f>
        <v>0.20000001060153028</v>
      </c>
      <c r="J331" s="40">
        <f t="shared" si="333"/>
        <v>0.20000001554891106</v>
      </c>
      <c r="K331" s="41">
        <f t="shared" si="267"/>
        <v>0.7999999999999996</v>
      </c>
      <c r="L331" s="23">
        <f t="shared" si="279"/>
        <v>0.90410958904109584</v>
      </c>
      <c r="M331" s="28">
        <f t="shared" si="280"/>
        <v>30</v>
      </c>
      <c r="N331" s="29" t="s">
        <v>9</v>
      </c>
      <c r="O331" s="30">
        <v>1</v>
      </c>
      <c r="P331" s="31">
        <v>0</v>
      </c>
      <c r="Q331" s="1">
        <v>1</v>
      </c>
      <c r="R331" s="32">
        <v>3.7274139444446632</v>
      </c>
      <c r="S331" s="32">
        <v>2.6369999999999969</v>
      </c>
      <c r="T331" s="32">
        <v>1.0904139444446663</v>
      </c>
    </row>
    <row r="332" spans="1:20" x14ac:dyDescent="0.35">
      <c r="A332" s="44">
        <v>44153</v>
      </c>
      <c r="B332" s="20">
        <f t="shared" si="277"/>
        <v>44144</v>
      </c>
      <c r="C332" s="35">
        <v>48.75</v>
      </c>
      <c r="D332" s="36">
        <v>60.65</v>
      </c>
      <c r="E332" s="36">
        <v>41.73</v>
      </c>
      <c r="F332" s="36">
        <v>18.376000000000001</v>
      </c>
      <c r="G332" s="36">
        <v>25.3</v>
      </c>
      <c r="H332" s="42">
        <v>0</v>
      </c>
      <c r="I332" s="40">
        <f t="shared" ref="I332:J332" si="334">20%+(I331-20%)*0.95</f>
        <v>0.20000001007145377</v>
      </c>
      <c r="J332" s="40">
        <f t="shared" si="334"/>
        <v>0.20000001477146551</v>
      </c>
      <c r="K332" s="41">
        <f t="shared" ref="K332:K376" si="335">80%+(K331-80%)*0.9</f>
        <v>0.7999999999999996</v>
      </c>
      <c r="L332" s="23">
        <f t="shared" si="279"/>
        <v>0.9123287671232877</v>
      </c>
      <c r="M332" s="28">
        <f t="shared" si="280"/>
        <v>30</v>
      </c>
      <c r="N332" s="29" t="s">
        <v>9</v>
      </c>
      <c r="O332" s="30">
        <v>1</v>
      </c>
      <c r="P332" s="31">
        <v>0</v>
      </c>
      <c r="Q332" s="1">
        <v>1</v>
      </c>
      <c r="R332" s="32">
        <v>3.7360964243555301</v>
      </c>
      <c r="S332" s="32">
        <v>2.6369999999999969</v>
      </c>
      <c r="T332" s="32">
        <v>1.0990964243555332</v>
      </c>
    </row>
    <row r="333" spans="1:20" x14ac:dyDescent="0.35">
      <c r="A333" s="44">
        <v>44154</v>
      </c>
      <c r="B333" s="20">
        <f t="shared" si="277"/>
        <v>44145</v>
      </c>
      <c r="C333" s="35">
        <v>48.75</v>
      </c>
      <c r="D333" s="36">
        <v>60.65</v>
      </c>
      <c r="E333" s="36">
        <v>41.73</v>
      </c>
      <c r="F333" s="36">
        <v>18.376000000000001</v>
      </c>
      <c r="G333" s="36">
        <v>25.3</v>
      </c>
      <c r="H333" s="42">
        <v>0</v>
      </c>
      <c r="I333" s="40">
        <f t="shared" ref="I333:J333" si="336">20%+(I332-20%)*0.95</f>
        <v>0.20000000956788108</v>
      </c>
      <c r="J333" s="40">
        <f t="shared" si="336"/>
        <v>0.20000001403289222</v>
      </c>
      <c r="K333" s="41">
        <f t="shared" si="335"/>
        <v>0.7999999999999996</v>
      </c>
      <c r="L333" s="23">
        <f t="shared" si="279"/>
        <v>0.91506849315068495</v>
      </c>
      <c r="M333" s="28">
        <f t="shared" si="280"/>
        <v>30</v>
      </c>
      <c r="N333" s="29" t="s">
        <v>9</v>
      </c>
      <c r="O333" s="30">
        <v>1</v>
      </c>
      <c r="P333" s="31">
        <v>0</v>
      </c>
      <c r="Q333" s="1">
        <v>1</v>
      </c>
      <c r="R333" s="32">
        <v>3.7389839029433247</v>
      </c>
      <c r="S333" s="32">
        <v>2.6369999999999969</v>
      </c>
      <c r="T333" s="32">
        <v>1.1019839029433278</v>
      </c>
    </row>
    <row r="334" spans="1:20" x14ac:dyDescent="0.35">
      <c r="A334" s="44">
        <v>44155</v>
      </c>
      <c r="B334" s="20">
        <f t="shared" si="277"/>
        <v>44146</v>
      </c>
      <c r="C334" s="35">
        <v>48.75</v>
      </c>
      <c r="D334" s="36">
        <v>60.65</v>
      </c>
      <c r="E334" s="36">
        <v>41.73</v>
      </c>
      <c r="F334" s="36">
        <v>18.376000000000001</v>
      </c>
      <c r="G334" s="36">
        <v>25.3</v>
      </c>
      <c r="H334" s="42">
        <v>0</v>
      </c>
      <c r="I334" s="40">
        <f t="shared" ref="I334:J334" si="337">20%+(I333-20%)*0.95</f>
        <v>0.20000000908948704</v>
      </c>
      <c r="J334" s="40">
        <f t="shared" si="337"/>
        <v>0.20000001333124762</v>
      </c>
      <c r="K334" s="41">
        <f t="shared" si="335"/>
        <v>0.7999999999999996</v>
      </c>
      <c r="L334" s="23">
        <f t="shared" si="279"/>
        <v>0.9178082191780822</v>
      </c>
      <c r="M334" s="28">
        <f t="shared" si="280"/>
        <v>30</v>
      </c>
      <c r="N334" s="29" t="s">
        <v>9</v>
      </c>
      <c r="O334" s="30">
        <v>1</v>
      </c>
      <c r="P334" s="31">
        <v>0</v>
      </c>
      <c r="Q334" s="1">
        <v>1</v>
      </c>
      <c r="R334" s="32">
        <v>3.7418680613876418</v>
      </c>
      <c r="S334" s="32">
        <v>2.6369999999999969</v>
      </c>
      <c r="T334" s="32">
        <v>1.1048680613876449</v>
      </c>
    </row>
    <row r="335" spans="1:20" x14ac:dyDescent="0.35">
      <c r="A335" s="44">
        <v>44156</v>
      </c>
      <c r="B335" s="20">
        <f t="shared" si="277"/>
        <v>44147</v>
      </c>
      <c r="C335" s="35">
        <v>48.75</v>
      </c>
      <c r="D335" s="36">
        <v>60.65</v>
      </c>
      <c r="E335" s="36">
        <v>41.73</v>
      </c>
      <c r="F335" s="36">
        <v>18.376000000000001</v>
      </c>
      <c r="G335" s="36">
        <v>25.3</v>
      </c>
      <c r="H335" s="42">
        <v>0</v>
      </c>
      <c r="I335" s="40">
        <f t="shared" ref="I335:J335" si="338">20%+(I334-20%)*0.95</f>
        <v>0.20000000863501269</v>
      </c>
      <c r="J335" s="40">
        <f t="shared" si="338"/>
        <v>0.20000001266468523</v>
      </c>
      <c r="K335" s="41">
        <f t="shared" si="335"/>
        <v>0.7999999999999996</v>
      </c>
      <c r="L335" s="23">
        <f t="shared" si="279"/>
        <v>0.92054794520547945</v>
      </c>
      <c r="M335" s="28">
        <f t="shared" si="280"/>
        <v>30</v>
      </c>
      <c r="N335" s="29" t="s">
        <v>9</v>
      </c>
      <c r="O335" s="30">
        <v>1</v>
      </c>
      <c r="P335" s="31">
        <v>0</v>
      </c>
      <c r="Q335" s="1">
        <v>1</v>
      </c>
      <c r="R335" s="32">
        <v>3.7447489103311575</v>
      </c>
      <c r="S335" s="32">
        <v>2.6369999999999969</v>
      </c>
      <c r="T335" s="32">
        <v>1.1077489103311606</v>
      </c>
    </row>
    <row r="336" spans="1:20" x14ac:dyDescent="0.35">
      <c r="A336" s="44">
        <v>44157</v>
      </c>
      <c r="B336" s="20">
        <f t="shared" si="277"/>
        <v>44147</v>
      </c>
      <c r="C336" s="35">
        <v>48.75</v>
      </c>
      <c r="D336" s="36">
        <v>60.65</v>
      </c>
      <c r="E336" s="36">
        <v>41.73</v>
      </c>
      <c r="F336" s="36">
        <v>18.376000000000001</v>
      </c>
      <c r="G336" s="36">
        <v>25.3</v>
      </c>
      <c r="H336" s="42">
        <v>0</v>
      </c>
      <c r="I336" s="40">
        <f t="shared" ref="I336:J336" si="339">20%+(I335-20%)*0.95</f>
        <v>0.20000000820326205</v>
      </c>
      <c r="J336" s="40">
        <f t="shared" si="339"/>
        <v>0.20000001203145096</v>
      </c>
      <c r="K336" s="41">
        <f t="shared" si="335"/>
        <v>0.7999999999999996</v>
      </c>
      <c r="L336" s="23">
        <f t="shared" si="279"/>
        <v>0.92054794520547945</v>
      </c>
      <c r="M336" s="28">
        <f t="shared" si="280"/>
        <v>30</v>
      </c>
      <c r="N336" s="29" t="s">
        <v>9</v>
      </c>
      <c r="O336" s="30">
        <v>1</v>
      </c>
      <c r="P336" s="31">
        <v>0</v>
      </c>
      <c r="Q336" s="1">
        <v>1</v>
      </c>
      <c r="R336" s="32">
        <v>3.7447489041922211</v>
      </c>
      <c r="S336" s="32">
        <v>2.6369999999999969</v>
      </c>
      <c r="T336" s="32">
        <v>1.1077489041922242</v>
      </c>
    </row>
    <row r="337" spans="1:20" x14ac:dyDescent="0.35">
      <c r="A337" s="44">
        <v>44158</v>
      </c>
      <c r="B337" s="20">
        <f t="shared" si="277"/>
        <v>44147</v>
      </c>
      <c r="C337" s="35">
        <v>48.75</v>
      </c>
      <c r="D337" s="36">
        <v>60.65</v>
      </c>
      <c r="E337" s="36">
        <v>41.73</v>
      </c>
      <c r="F337" s="36">
        <v>18.376000000000001</v>
      </c>
      <c r="G337" s="36">
        <v>25.3</v>
      </c>
      <c r="H337" s="42">
        <v>0</v>
      </c>
      <c r="I337" s="40">
        <f t="shared" ref="I337:J337" si="340">20%+(I336-20%)*0.95</f>
        <v>0.20000000779309896</v>
      </c>
      <c r="J337" s="40">
        <f t="shared" si="340"/>
        <v>0.20000001142987842</v>
      </c>
      <c r="K337" s="41">
        <f t="shared" si="335"/>
        <v>0.7999999999999996</v>
      </c>
      <c r="L337" s="23">
        <f t="shared" si="279"/>
        <v>0.92054794520547945</v>
      </c>
      <c r="M337" s="28">
        <f t="shared" si="280"/>
        <v>30</v>
      </c>
      <c r="N337" s="29" t="s">
        <v>9</v>
      </c>
      <c r="O337" s="30">
        <v>1</v>
      </c>
      <c r="P337" s="31">
        <v>0</v>
      </c>
      <c r="Q337" s="1">
        <v>1</v>
      </c>
      <c r="R337" s="32">
        <v>3.7447488983602355</v>
      </c>
      <c r="S337" s="32">
        <v>2.6369999999999969</v>
      </c>
      <c r="T337" s="32">
        <v>1.1077488983602386</v>
      </c>
    </row>
    <row r="338" spans="1:20" x14ac:dyDescent="0.35">
      <c r="A338" s="44">
        <v>44159</v>
      </c>
      <c r="B338" s="20">
        <f t="shared" si="277"/>
        <v>44148</v>
      </c>
      <c r="C338" s="35">
        <v>48.75</v>
      </c>
      <c r="D338" s="36">
        <v>60.65</v>
      </c>
      <c r="E338" s="36">
        <v>41.73</v>
      </c>
      <c r="F338" s="36">
        <v>18.376000000000001</v>
      </c>
      <c r="G338" s="36">
        <v>25.3</v>
      </c>
      <c r="H338" s="42">
        <v>0</v>
      </c>
      <c r="I338" s="40">
        <f t="shared" ref="I338:J338" si="341">20%+(I337-20%)*0.95</f>
        <v>0.20000000740344401</v>
      </c>
      <c r="J338" s="40">
        <f t="shared" si="341"/>
        <v>0.20000001085838451</v>
      </c>
      <c r="K338" s="41">
        <f t="shared" si="335"/>
        <v>0.7999999999999996</v>
      </c>
      <c r="L338" s="23">
        <f t="shared" si="279"/>
        <v>0.92328767123287669</v>
      </c>
      <c r="M338" s="28">
        <f t="shared" si="280"/>
        <v>30</v>
      </c>
      <c r="N338" s="29" t="s">
        <v>9</v>
      </c>
      <c r="O338" s="30">
        <v>1</v>
      </c>
      <c r="P338" s="31">
        <v>0</v>
      </c>
      <c r="Q338" s="1">
        <v>1</v>
      </c>
      <c r="R338" s="32">
        <v>3.7476264489734241</v>
      </c>
      <c r="S338" s="32">
        <v>2.6369999999999969</v>
      </c>
      <c r="T338" s="32">
        <v>1.1106264489734272</v>
      </c>
    </row>
    <row r="339" spans="1:20" x14ac:dyDescent="0.35">
      <c r="A339" s="44">
        <v>44160</v>
      </c>
      <c r="B339" s="20">
        <f t="shared" si="277"/>
        <v>44151</v>
      </c>
      <c r="C339" s="35">
        <v>48.75</v>
      </c>
      <c r="D339" s="36">
        <v>60.65</v>
      </c>
      <c r="E339" s="36">
        <v>41.73</v>
      </c>
      <c r="F339" s="36">
        <v>18.376000000000001</v>
      </c>
      <c r="G339" s="36">
        <v>25.3</v>
      </c>
      <c r="H339" s="42">
        <v>0</v>
      </c>
      <c r="I339" s="40">
        <f t="shared" ref="I339:J339" si="342">20%+(I338-20%)*0.95</f>
        <v>0.20000000703327181</v>
      </c>
      <c r="J339" s="40">
        <f t="shared" si="342"/>
        <v>0.20000001031546527</v>
      </c>
      <c r="K339" s="41">
        <f t="shared" si="335"/>
        <v>0.7999999999999996</v>
      </c>
      <c r="L339" s="23">
        <f t="shared" si="279"/>
        <v>0.93150684931506844</v>
      </c>
      <c r="M339" s="28">
        <f t="shared" si="280"/>
        <v>30</v>
      </c>
      <c r="N339" s="29" t="s">
        <v>9</v>
      </c>
      <c r="O339" s="30">
        <v>1</v>
      </c>
      <c r="P339" s="31">
        <v>0</v>
      </c>
      <c r="Q339" s="1">
        <v>1</v>
      </c>
      <c r="R339" s="32">
        <v>3.7562394222061073</v>
      </c>
      <c r="S339" s="32">
        <v>2.6369999999999969</v>
      </c>
      <c r="T339" s="32">
        <v>1.1192394222061104</v>
      </c>
    </row>
    <row r="340" spans="1:20" x14ac:dyDescent="0.35">
      <c r="A340" s="44">
        <v>44161</v>
      </c>
      <c r="B340" s="20">
        <f t="shared" si="277"/>
        <v>44152</v>
      </c>
      <c r="C340" s="35">
        <v>48.75</v>
      </c>
      <c r="D340" s="36">
        <v>60.65</v>
      </c>
      <c r="E340" s="36">
        <v>41.73</v>
      </c>
      <c r="F340" s="36">
        <v>18.376000000000001</v>
      </c>
      <c r="G340" s="36">
        <v>25.3</v>
      </c>
      <c r="H340" s="42">
        <v>0</v>
      </c>
      <c r="I340" s="40">
        <f t="shared" ref="I340:J340" si="343">20%+(I339-20%)*0.95</f>
        <v>0.20000000668160822</v>
      </c>
      <c r="J340" s="40">
        <f t="shared" si="343"/>
        <v>0.20000000979969201</v>
      </c>
      <c r="K340" s="41">
        <f t="shared" si="335"/>
        <v>0.7999999999999996</v>
      </c>
      <c r="L340" s="23">
        <f t="shared" si="279"/>
        <v>0.9342465753424658</v>
      </c>
      <c r="M340" s="28">
        <f t="shared" si="280"/>
        <v>30</v>
      </c>
      <c r="N340" s="29" t="s">
        <v>9</v>
      </c>
      <c r="O340" s="30">
        <v>1</v>
      </c>
      <c r="P340" s="31">
        <v>0</v>
      </c>
      <c r="Q340" s="1">
        <v>1</v>
      </c>
      <c r="R340" s="32">
        <v>3.7591038815440569</v>
      </c>
      <c r="S340" s="32">
        <v>2.6369999999999969</v>
      </c>
      <c r="T340" s="32">
        <v>1.12210388154406</v>
      </c>
    </row>
    <row r="341" spans="1:20" x14ac:dyDescent="0.35">
      <c r="A341" s="44">
        <v>44162</v>
      </c>
      <c r="B341" s="20">
        <f t="shared" si="277"/>
        <v>44153</v>
      </c>
      <c r="C341" s="35">
        <v>48.75</v>
      </c>
      <c r="D341" s="36">
        <v>60.65</v>
      </c>
      <c r="E341" s="36">
        <v>41.73</v>
      </c>
      <c r="F341" s="36">
        <v>18.376000000000001</v>
      </c>
      <c r="G341" s="36">
        <v>25.3</v>
      </c>
      <c r="H341" s="42">
        <v>0</v>
      </c>
      <c r="I341" s="40">
        <f t="shared" ref="I341:J341" si="344">20%+(I340-20%)*0.95</f>
        <v>0.20000000634752782</v>
      </c>
      <c r="J341" s="40">
        <f t="shared" si="344"/>
        <v>0.2000000093097074</v>
      </c>
      <c r="K341" s="41">
        <f t="shared" si="335"/>
        <v>0.7999999999999996</v>
      </c>
      <c r="L341" s="23">
        <f t="shared" si="279"/>
        <v>0.93698630136986305</v>
      </c>
      <c r="M341" s="28">
        <f t="shared" si="280"/>
        <v>30</v>
      </c>
      <c r="N341" s="29" t="s">
        <v>9</v>
      </c>
      <c r="O341" s="30">
        <v>1</v>
      </c>
      <c r="P341" s="31">
        <v>0</v>
      </c>
      <c r="Q341" s="1">
        <v>1</v>
      </c>
      <c r="R341" s="32">
        <v>3.7619650941952756</v>
      </c>
      <c r="S341" s="32">
        <v>2.6369999999999969</v>
      </c>
      <c r="T341" s="32">
        <v>1.1249650941952787</v>
      </c>
    </row>
    <row r="342" spans="1:20" x14ac:dyDescent="0.35">
      <c r="A342" s="44">
        <v>44163</v>
      </c>
      <c r="B342" s="20">
        <f t="shared" ref="B342:B376" si="345">WORKDAY(A342,-7)</f>
        <v>44154</v>
      </c>
      <c r="C342" s="35">
        <v>48.75</v>
      </c>
      <c r="D342" s="36">
        <v>60.65</v>
      </c>
      <c r="E342" s="36">
        <v>41.73</v>
      </c>
      <c r="F342" s="36">
        <v>18.376000000000001</v>
      </c>
      <c r="G342" s="36">
        <v>25.3</v>
      </c>
      <c r="H342" s="42">
        <v>0</v>
      </c>
      <c r="I342" s="40">
        <f t="shared" ref="I342:J342" si="346">20%+(I341-20%)*0.95</f>
        <v>0.20000000603015142</v>
      </c>
      <c r="J342" s="40">
        <f t="shared" si="346"/>
        <v>0.20000000884422203</v>
      </c>
      <c r="K342" s="41">
        <f t="shared" si="335"/>
        <v>0.7999999999999996</v>
      </c>
      <c r="L342" s="23">
        <f t="shared" ref="L342:L376" si="347">(B342-$B$3)/365</f>
        <v>0.9397260273972603</v>
      </c>
      <c r="M342" s="28">
        <f t="shared" ref="M342:M376" si="348">DAY(EOMONTH(B342,0))</f>
        <v>30</v>
      </c>
      <c r="N342" s="29" t="s">
        <v>9</v>
      </c>
      <c r="O342" s="30">
        <v>1</v>
      </c>
      <c r="P342" s="31">
        <v>0</v>
      </c>
      <c r="Q342" s="1">
        <v>1</v>
      </c>
      <c r="R342" s="32">
        <v>3.7648230704571617</v>
      </c>
      <c r="S342" s="32">
        <v>2.6369999999999969</v>
      </c>
      <c r="T342" s="32">
        <v>1.1278230704571648</v>
      </c>
    </row>
    <row r="343" spans="1:20" x14ac:dyDescent="0.35">
      <c r="A343" s="44">
        <v>44164</v>
      </c>
      <c r="B343" s="20">
        <f t="shared" si="345"/>
        <v>44154</v>
      </c>
      <c r="C343" s="35">
        <v>48.75</v>
      </c>
      <c r="D343" s="36">
        <v>60.65</v>
      </c>
      <c r="E343" s="36">
        <v>41.73</v>
      </c>
      <c r="F343" s="36">
        <v>18.376000000000001</v>
      </c>
      <c r="G343" s="36">
        <v>25.3</v>
      </c>
      <c r="H343" s="42">
        <v>0</v>
      </c>
      <c r="I343" s="40">
        <f t="shared" ref="I343:J343" si="349">20%+(I342-20%)*0.95</f>
        <v>0.20000000572864385</v>
      </c>
      <c r="J343" s="40">
        <f t="shared" si="349"/>
        <v>0.20000000840201093</v>
      </c>
      <c r="K343" s="41">
        <f t="shared" si="335"/>
        <v>0.7999999999999996</v>
      </c>
      <c r="L343" s="23">
        <f t="shared" si="347"/>
        <v>0.9397260273972603</v>
      </c>
      <c r="M343" s="28">
        <f t="shared" si="348"/>
        <v>30</v>
      </c>
      <c r="N343" s="29" t="s">
        <v>9</v>
      </c>
      <c r="O343" s="30">
        <v>1</v>
      </c>
      <c r="P343" s="31">
        <v>0</v>
      </c>
      <c r="Q343" s="1">
        <v>1</v>
      </c>
      <c r="R343" s="32">
        <v>3.7648230661155182</v>
      </c>
      <c r="S343" s="32">
        <v>2.6369999999999969</v>
      </c>
      <c r="T343" s="32">
        <v>1.1278230661155213</v>
      </c>
    </row>
    <row r="344" spans="1:20" x14ac:dyDescent="0.35">
      <c r="A344" s="44">
        <v>44165</v>
      </c>
      <c r="B344" s="20">
        <f t="shared" si="345"/>
        <v>44154</v>
      </c>
      <c r="C344" s="35">
        <v>48.75</v>
      </c>
      <c r="D344" s="36">
        <v>60.65</v>
      </c>
      <c r="E344" s="36">
        <v>41.73</v>
      </c>
      <c r="F344" s="36">
        <v>18.376000000000001</v>
      </c>
      <c r="G344" s="36">
        <v>25.3</v>
      </c>
      <c r="H344" s="42">
        <v>0</v>
      </c>
      <c r="I344" s="40">
        <f t="shared" ref="I344:J344" si="350">20%+(I343-20%)*0.95</f>
        <v>0.20000000544221166</v>
      </c>
      <c r="J344" s="40">
        <f t="shared" si="350"/>
        <v>0.20000000798191039</v>
      </c>
      <c r="K344" s="41">
        <f t="shared" si="335"/>
        <v>0.7999999999999996</v>
      </c>
      <c r="L344" s="23">
        <f t="shared" si="347"/>
        <v>0.9397260273972603</v>
      </c>
      <c r="M344" s="28">
        <f t="shared" si="348"/>
        <v>30</v>
      </c>
      <c r="N344" s="29" t="s">
        <v>9</v>
      </c>
      <c r="O344" s="30">
        <v>1</v>
      </c>
      <c r="P344" s="31">
        <v>0</v>
      </c>
      <c r="Q344" s="1">
        <v>1</v>
      </c>
      <c r="R344" s="32">
        <v>3.7648230619909491</v>
      </c>
      <c r="S344" s="32">
        <v>2.6369999999999969</v>
      </c>
      <c r="T344" s="32">
        <v>1.1278230619909522</v>
      </c>
    </row>
    <row r="345" spans="1:20" x14ac:dyDescent="0.35">
      <c r="A345" s="44">
        <v>44166</v>
      </c>
      <c r="B345" s="20">
        <f t="shared" si="345"/>
        <v>44155</v>
      </c>
      <c r="C345" s="35">
        <v>48.75</v>
      </c>
      <c r="D345" s="36">
        <v>60.65</v>
      </c>
      <c r="E345" s="36">
        <v>41.73</v>
      </c>
      <c r="F345" s="36">
        <v>18.376000000000001</v>
      </c>
      <c r="G345" s="36">
        <v>25.3</v>
      </c>
      <c r="H345" s="42">
        <v>0</v>
      </c>
      <c r="I345" s="40">
        <f t="shared" ref="I345:J345" si="351">20%+(I344-20%)*0.95</f>
        <v>0.20000000517010108</v>
      </c>
      <c r="J345" s="40">
        <f t="shared" si="351"/>
        <v>0.20000000758281489</v>
      </c>
      <c r="K345" s="41">
        <f t="shared" si="335"/>
        <v>0.7999999999999996</v>
      </c>
      <c r="L345" s="23">
        <f t="shared" si="347"/>
        <v>0.94246575342465755</v>
      </c>
      <c r="M345" s="28">
        <f t="shared" si="348"/>
        <v>30</v>
      </c>
      <c r="N345" s="29" t="s">
        <v>9</v>
      </c>
      <c r="O345" s="30">
        <v>1</v>
      </c>
      <c r="P345" s="31">
        <v>0</v>
      </c>
      <c r="Q345" s="1">
        <v>1</v>
      </c>
      <c r="R345" s="32">
        <v>3.7676778125214803</v>
      </c>
      <c r="S345" s="32">
        <v>2.6369999999999969</v>
      </c>
      <c r="T345" s="32">
        <v>1.1306778125214834</v>
      </c>
    </row>
    <row r="346" spans="1:20" x14ac:dyDescent="0.35">
      <c r="A346" s="44">
        <v>44167</v>
      </c>
      <c r="B346" s="20">
        <f t="shared" si="345"/>
        <v>44158</v>
      </c>
      <c r="C346" s="35">
        <v>48.75</v>
      </c>
      <c r="D346" s="36">
        <v>60.65</v>
      </c>
      <c r="E346" s="36">
        <v>41.73</v>
      </c>
      <c r="F346" s="36">
        <v>18.376000000000001</v>
      </c>
      <c r="G346" s="36">
        <v>25.3</v>
      </c>
      <c r="H346" s="42">
        <v>0</v>
      </c>
      <c r="I346" s="40">
        <f t="shared" ref="I346:J346" si="352">20%+(I345-20%)*0.95</f>
        <v>0.20000000491159603</v>
      </c>
      <c r="J346" s="40">
        <f t="shared" si="352"/>
        <v>0.20000000720367414</v>
      </c>
      <c r="K346" s="41">
        <f t="shared" si="335"/>
        <v>0.7999999999999996</v>
      </c>
      <c r="L346" s="23">
        <f t="shared" si="347"/>
        <v>0.9506849315068493</v>
      </c>
      <c r="M346" s="28">
        <f t="shared" si="348"/>
        <v>30</v>
      </c>
      <c r="N346" s="29" t="s">
        <v>9</v>
      </c>
      <c r="O346" s="30">
        <v>1</v>
      </c>
      <c r="P346" s="31">
        <v>0</v>
      </c>
      <c r="Q346" s="1">
        <v>1</v>
      </c>
      <c r="R346" s="32">
        <v>3.7762228158699003</v>
      </c>
      <c r="S346" s="32">
        <v>2.6369999999999969</v>
      </c>
      <c r="T346" s="32">
        <v>1.1392228158699034</v>
      </c>
    </row>
    <row r="347" spans="1:20" x14ac:dyDescent="0.35">
      <c r="A347" s="44">
        <v>44168</v>
      </c>
      <c r="B347" s="20">
        <f t="shared" si="345"/>
        <v>44159</v>
      </c>
      <c r="C347" s="35">
        <v>48.75</v>
      </c>
      <c r="D347" s="36">
        <v>60.65</v>
      </c>
      <c r="E347" s="36">
        <v>41.73</v>
      </c>
      <c r="F347" s="36">
        <v>18.376000000000001</v>
      </c>
      <c r="G347" s="36">
        <v>25.3</v>
      </c>
      <c r="H347" s="42">
        <v>0</v>
      </c>
      <c r="I347" s="40">
        <f t="shared" ref="I347:J347" si="353">20%+(I346-20%)*0.95</f>
        <v>0.20000000466601622</v>
      </c>
      <c r="J347" s="40">
        <f t="shared" si="353"/>
        <v>0.20000000684349042</v>
      </c>
      <c r="K347" s="41">
        <f t="shared" si="335"/>
        <v>0.7999999999999996</v>
      </c>
      <c r="L347" s="23">
        <f t="shared" si="347"/>
        <v>0.95342465753424654</v>
      </c>
      <c r="M347" s="28">
        <f t="shared" si="348"/>
        <v>30</v>
      </c>
      <c r="N347" s="29" t="s">
        <v>9</v>
      </c>
      <c r="O347" s="30">
        <v>1</v>
      </c>
      <c r="P347" s="31">
        <v>0</v>
      </c>
      <c r="Q347" s="1">
        <v>1</v>
      </c>
      <c r="R347" s="32">
        <v>3.7790647629596741</v>
      </c>
      <c r="S347" s="32">
        <v>2.6369999999999969</v>
      </c>
      <c r="T347" s="32">
        <v>1.1420647629596772</v>
      </c>
    </row>
    <row r="348" spans="1:20" x14ac:dyDescent="0.35">
      <c r="A348" s="44">
        <v>44169</v>
      </c>
      <c r="B348" s="20">
        <f t="shared" si="345"/>
        <v>44160</v>
      </c>
      <c r="C348" s="35">
        <v>48.75</v>
      </c>
      <c r="D348" s="36">
        <v>60.65</v>
      </c>
      <c r="E348" s="36">
        <v>41.73</v>
      </c>
      <c r="F348" s="36">
        <v>18.376000000000001</v>
      </c>
      <c r="G348" s="36">
        <v>25.3</v>
      </c>
      <c r="H348" s="42">
        <v>0</v>
      </c>
      <c r="I348" s="40">
        <f t="shared" ref="I348:J348" si="354">20%+(I347-20%)*0.95</f>
        <v>0.2000000044327154</v>
      </c>
      <c r="J348" s="40">
        <f t="shared" si="354"/>
        <v>0.20000000650131591</v>
      </c>
      <c r="K348" s="41">
        <f t="shared" si="335"/>
        <v>0.7999999999999996</v>
      </c>
      <c r="L348" s="23">
        <f t="shared" si="347"/>
        <v>0.95616438356164379</v>
      </c>
      <c r="M348" s="28">
        <f t="shared" si="348"/>
        <v>30</v>
      </c>
      <c r="N348" s="29" t="s">
        <v>9</v>
      </c>
      <c r="O348" s="30">
        <v>1</v>
      </c>
      <c r="P348" s="31">
        <v>0</v>
      </c>
      <c r="Q348" s="1">
        <v>1</v>
      </c>
      <c r="R348" s="32">
        <v>3.7819035344358021</v>
      </c>
      <c r="S348" s="32">
        <v>2.6369999999999969</v>
      </c>
      <c r="T348" s="32">
        <v>1.1449035344358052</v>
      </c>
    </row>
    <row r="349" spans="1:20" x14ac:dyDescent="0.35">
      <c r="A349" s="44">
        <v>44170</v>
      </c>
      <c r="B349" s="20">
        <f t="shared" si="345"/>
        <v>44161</v>
      </c>
      <c r="C349" s="35">
        <v>48.75</v>
      </c>
      <c r="D349" s="36">
        <v>60.65</v>
      </c>
      <c r="E349" s="36">
        <v>41.73</v>
      </c>
      <c r="F349" s="36">
        <v>18.376000000000001</v>
      </c>
      <c r="G349" s="36">
        <v>25.3</v>
      </c>
      <c r="H349" s="42">
        <v>0</v>
      </c>
      <c r="I349" s="40">
        <f t="shared" ref="I349:J349" si="355">20%+(I348-20%)*0.95</f>
        <v>0.20000000421107963</v>
      </c>
      <c r="J349" s="40">
        <f t="shared" si="355"/>
        <v>0.20000000617625011</v>
      </c>
      <c r="K349" s="41">
        <f t="shared" si="335"/>
        <v>0.7999999999999996</v>
      </c>
      <c r="L349" s="23">
        <f t="shared" si="347"/>
        <v>0.95890410958904104</v>
      </c>
      <c r="M349" s="28">
        <f t="shared" si="348"/>
        <v>30</v>
      </c>
      <c r="N349" s="29" t="s">
        <v>9</v>
      </c>
      <c r="O349" s="30">
        <v>1</v>
      </c>
      <c r="P349" s="31">
        <v>0</v>
      </c>
      <c r="Q349" s="1">
        <v>1</v>
      </c>
      <c r="R349" s="32">
        <v>3.7847391402615536</v>
      </c>
      <c r="S349" s="32">
        <v>2.6369999999999969</v>
      </c>
      <c r="T349" s="32">
        <v>1.1477391402615567</v>
      </c>
    </row>
    <row r="350" spans="1:20" x14ac:dyDescent="0.35">
      <c r="A350" s="44">
        <v>44171</v>
      </c>
      <c r="B350" s="20">
        <f t="shared" si="345"/>
        <v>44161</v>
      </c>
      <c r="C350" s="35">
        <v>48.75</v>
      </c>
      <c r="D350" s="36">
        <v>60.65</v>
      </c>
      <c r="E350" s="36">
        <v>41.73</v>
      </c>
      <c r="F350" s="36">
        <v>18.376000000000001</v>
      </c>
      <c r="G350" s="36">
        <v>25.3</v>
      </c>
      <c r="H350" s="42">
        <v>0</v>
      </c>
      <c r="I350" s="40">
        <f t="shared" ref="I350:J350" si="356">20%+(I349-20%)*0.95</f>
        <v>0.20000000400052564</v>
      </c>
      <c r="J350" s="40">
        <f t="shared" si="356"/>
        <v>0.2000000058674376</v>
      </c>
      <c r="K350" s="41">
        <f t="shared" si="335"/>
        <v>0.7999999999999996</v>
      </c>
      <c r="L350" s="23">
        <f t="shared" si="347"/>
        <v>0.95890410958904104</v>
      </c>
      <c r="M350" s="28">
        <f t="shared" si="348"/>
        <v>30</v>
      </c>
      <c r="N350" s="29" t="s">
        <v>9</v>
      </c>
      <c r="O350" s="30">
        <v>1</v>
      </c>
      <c r="P350" s="31">
        <v>0</v>
      </c>
      <c r="Q350" s="1">
        <v>1</v>
      </c>
      <c r="R350" s="32">
        <v>3.7847391371919379</v>
      </c>
      <c r="S350" s="32">
        <v>2.6369999999999969</v>
      </c>
      <c r="T350" s="32">
        <v>1.147739137191941</v>
      </c>
    </row>
    <row r="351" spans="1:20" x14ac:dyDescent="0.35">
      <c r="A351" s="44">
        <v>44172</v>
      </c>
      <c r="B351" s="20">
        <f t="shared" si="345"/>
        <v>44161</v>
      </c>
      <c r="C351" s="35">
        <v>48.75</v>
      </c>
      <c r="D351" s="36">
        <v>60.65</v>
      </c>
      <c r="E351" s="36">
        <v>41.73</v>
      </c>
      <c r="F351" s="36">
        <v>18.376000000000001</v>
      </c>
      <c r="G351" s="36">
        <v>25.3</v>
      </c>
      <c r="H351" s="42">
        <v>0</v>
      </c>
      <c r="I351" s="40">
        <f t="shared" ref="I351:J351" si="357">20%+(I350-20%)*0.95</f>
        <v>0.20000000380049937</v>
      </c>
      <c r="J351" s="40">
        <f t="shared" si="357"/>
        <v>0.20000000557406572</v>
      </c>
      <c r="K351" s="41">
        <f t="shared" si="335"/>
        <v>0.7999999999999996</v>
      </c>
      <c r="L351" s="23">
        <f t="shared" si="347"/>
        <v>0.95890410958904104</v>
      </c>
      <c r="M351" s="28">
        <f t="shared" si="348"/>
        <v>30</v>
      </c>
      <c r="N351" s="29" t="s">
        <v>9</v>
      </c>
      <c r="O351" s="30">
        <v>1</v>
      </c>
      <c r="P351" s="31">
        <v>0</v>
      </c>
      <c r="Q351" s="1">
        <v>1</v>
      </c>
      <c r="R351" s="32">
        <v>3.7847391342757959</v>
      </c>
      <c r="S351" s="32">
        <v>2.6369999999999969</v>
      </c>
      <c r="T351" s="32">
        <v>1.147739134275799</v>
      </c>
    </row>
    <row r="352" spans="1:20" x14ac:dyDescent="0.35">
      <c r="A352" s="44">
        <v>44173</v>
      </c>
      <c r="B352" s="20">
        <f t="shared" si="345"/>
        <v>44162</v>
      </c>
      <c r="C352" s="35">
        <v>48.75</v>
      </c>
      <c r="D352" s="36">
        <v>60.65</v>
      </c>
      <c r="E352" s="36">
        <v>41.73</v>
      </c>
      <c r="F352" s="36">
        <v>18.376000000000001</v>
      </c>
      <c r="G352" s="36">
        <v>25.3</v>
      </c>
      <c r="H352" s="42">
        <v>0</v>
      </c>
      <c r="I352" s="40">
        <f t="shared" ref="I352:J352" si="358">20%+(I351-20%)*0.95</f>
        <v>0.2000000036104744</v>
      </c>
      <c r="J352" s="40">
        <f t="shared" si="358"/>
        <v>0.20000000529536244</v>
      </c>
      <c r="K352" s="41">
        <f t="shared" si="335"/>
        <v>0.7999999999999996</v>
      </c>
      <c r="L352" s="23">
        <f t="shared" si="347"/>
        <v>0.9616438356164384</v>
      </c>
      <c r="M352" s="28">
        <f t="shared" si="348"/>
        <v>30</v>
      </c>
      <c r="N352" s="29" t="s">
        <v>9</v>
      </c>
      <c r="O352" s="30">
        <v>1</v>
      </c>
      <c r="P352" s="31">
        <v>0</v>
      </c>
      <c r="Q352" s="1">
        <v>1</v>
      </c>
      <c r="R352" s="32">
        <v>3.787571584657055</v>
      </c>
      <c r="S352" s="32">
        <v>2.6369999999999969</v>
      </c>
      <c r="T352" s="32">
        <v>1.1505715846570581</v>
      </c>
    </row>
    <row r="353" spans="1:20" x14ac:dyDescent="0.35">
      <c r="A353" s="44">
        <v>44174</v>
      </c>
      <c r="B353" s="20">
        <f t="shared" si="345"/>
        <v>44165</v>
      </c>
      <c r="C353" s="35">
        <v>48.75</v>
      </c>
      <c r="D353" s="36">
        <v>60.65</v>
      </c>
      <c r="E353" s="36">
        <v>41.73</v>
      </c>
      <c r="F353" s="36">
        <v>18.376000000000001</v>
      </c>
      <c r="G353" s="36">
        <v>25.3</v>
      </c>
      <c r="H353" s="42">
        <v>0</v>
      </c>
      <c r="I353" s="40">
        <f t="shared" ref="I353:J353" si="359">20%+(I352-20%)*0.95</f>
        <v>0.2000000034299507</v>
      </c>
      <c r="J353" s="40">
        <f t="shared" si="359"/>
        <v>0.20000000503059431</v>
      </c>
      <c r="K353" s="41">
        <f t="shared" si="335"/>
        <v>0.7999999999999996</v>
      </c>
      <c r="L353" s="23">
        <f t="shared" si="347"/>
        <v>0.96986301369863015</v>
      </c>
      <c r="M353" s="28">
        <f t="shared" si="348"/>
        <v>30</v>
      </c>
      <c r="N353" s="29" t="s">
        <v>9</v>
      </c>
      <c r="O353" s="30">
        <v>1</v>
      </c>
      <c r="P353" s="31">
        <v>0</v>
      </c>
      <c r="Q353" s="1">
        <v>1</v>
      </c>
      <c r="R353" s="32">
        <v>3.7960501046934425</v>
      </c>
      <c r="S353" s="32">
        <v>2.6369999999999969</v>
      </c>
      <c r="T353" s="32">
        <v>1.1590501046934456</v>
      </c>
    </row>
    <row r="354" spans="1:20" x14ac:dyDescent="0.35">
      <c r="A354" s="44">
        <v>44175</v>
      </c>
      <c r="B354" s="20">
        <f t="shared" si="345"/>
        <v>44166</v>
      </c>
      <c r="C354" s="35">
        <v>48.75</v>
      </c>
      <c r="D354" s="36">
        <v>60.65</v>
      </c>
      <c r="E354" s="36">
        <v>41.73</v>
      </c>
      <c r="F354" s="36">
        <v>18.376000000000001</v>
      </c>
      <c r="G354" s="36">
        <v>25.3</v>
      </c>
      <c r="H354" s="42">
        <v>0</v>
      </c>
      <c r="I354" s="40">
        <f t="shared" ref="I354:J354" si="360">20%+(I353-20%)*0.95</f>
        <v>0.20000000325845316</v>
      </c>
      <c r="J354" s="40">
        <f t="shared" si="360"/>
        <v>0.2000000047790646</v>
      </c>
      <c r="K354" s="41">
        <f t="shared" si="335"/>
        <v>0.7999999999999996</v>
      </c>
      <c r="L354" s="23">
        <f t="shared" si="347"/>
        <v>0.9726027397260274</v>
      </c>
      <c r="M354" s="28">
        <f t="shared" si="348"/>
        <v>31</v>
      </c>
      <c r="N354" s="29" t="s">
        <v>9</v>
      </c>
      <c r="O354" s="30">
        <v>1</v>
      </c>
      <c r="P354" s="31">
        <v>0</v>
      </c>
      <c r="Q354" s="1">
        <v>1</v>
      </c>
      <c r="R354" s="32">
        <v>3.7988700300866931</v>
      </c>
      <c r="S354" s="32">
        <v>2.6369999999999969</v>
      </c>
      <c r="T354" s="32">
        <v>1.1618700300866962</v>
      </c>
    </row>
    <row r="355" spans="1:20" x14ac:dyDescent="0.35">
      <c r="A355" s="44">
        <v>44176</v>
      </c>
      <c r="B355" s="20">
        <f t="shared" si="345"/>
        <v>44167</v>
      </c>
      <c r="C355" s="35">
        <v>48.75</v>
      </c>
      <c r="D355" s="36">
        <v>60.65</v>
      </c>
      <c r="E355" s="36">
        <v>41.73</v>
      </c>
      <c r="F355" s="36">
        <v>18.376000000000001</v>
      </c>
      <c r="G355" s="36">
        <v>25.3</v>
      </c>
      <c r="H355" s="42">
        <v>0</v>
      </c>
      <c r="I355" s="40">
        <f t="shared" ref="I355:J355" si="361">20%+(I354-20%)*0.95</f>
        <v>0.20000000309553051</v>
      </c>
      <c r="J355" s="40">
        <f t="shared" si="361"/>
        <v>0.20000000454011138</v>
      </c>
      <c r="K355" s="41">
        <f t="shared" si="335"/>
        <v>0.7999999999999996</v>
      </c>
      <c r="L355" s="23">
        <f t="shared" si="347"/>
        <v>0.97534246575342465</v>
      </c>
      <c r="M355" s="28">
        <f t="shared" si="348"/>
        <v>31</v>
      </c>
      <c r="N355" s="29" t="s">
        <v>9</v>
      </c>
      <c r="O355" s="30">
        <v>1</v>
      </c>
      <c r="P355" s="31">
        <v>0</v>
      </c>
      <c r="Q355" s="1">
        <v>1</v>
      </c>
      <c r="R355" s="32">
        <v>3.8016868486345494</v>
      </c>
      <c r="S355" s="32">
        <v>2.6369999999999969</v>
      </c>
      <c r="T355" s="32">
        <v>1.1646868486345525</v>
      </c>
    </row>
    <row r="356" spans="1:20" x14ac:dyDescent="0.35">
      <c r="A356" s="44">
        <v>44177</v>
      </c>
      <c r="B356" s="20">
        <f t="shared" si="345"/>
        <v>44168</v>
      </c>
      <c r="C356" s="35">
        <v>48.75</v>
      </c>
      <c r="D356" s="36">
        <v>60.65</v>
      </c>
      <c r="E356" s="36">
        <v>41.73</v>
      </c>
      <c r="F356" s="36">
        <v>18.376000000000001</v>
      </c>
      <c r="G356" s="36">
        <v>25.3</v>
      </c>
      <c r="H356" s="42">
        <v>0</v>
      </c>
      <c r="I356" s="40">
        <f t="shared" ref="I356:J356" si="362">20%+(I355-20%)*0.95</f>
        <v>0.20000000294075398</v>
      </c>
      <c r="J356" s="40">
        <f t="shared" si="362"/>
        <v>0.2000000043131058</v>
      </c>
      <c r="K356" s="41">
        <f t="shared" si="335"/>
        <v>0.7999999999999996</v>
      </c>
      <c r="L356" s="23">
        <f t="shared" si="347"/>
        <v>0.9780821917808219</v>
      </c>
      <c r="M356" s="28">
        <f t="shared" si="348"/>
        <v>31</v>
      </c>
      <c r="N356" s="29" t="s">
        <v>9</v>
      </c>
      <c r="O356" s="30">
        <v>1</v>
      </c>
      <c r="P356" s="31">
        <v>0</v>
      </c>
      <c r="Q356" s="1">
        <v>1</v>
      </c>
      <c r="R356" s="32">
        <v>3.8045005699775629</v>
      </c>
      <c r="S356" s="32">
        <v>2.6369999999999969</v>
      </c>
      <c r="T356" s="32">
        <v>1.167500569977566</v>
      </c>
    </row>
    <row r="357" spans="1:20" x14ac:dyDescent="0.35">
      <c r="A357" s="44">
        <v>44178</v>
      </c>
      <c r="B357" s="20">
        <f t="shared" si="345"/>
        <v>44168</v>
      </c>
      <c r="C357" s="35">
        <v>48.75</v>
      </c>
      <c r="D357" s="36">
        <v>60.65</v>
      </c>
      <c r="E357" s="36">
        <v>41.73</v>
      </c>
      <c r="F357" s="36">
        <v>18.376000000000001</v>
      </c>
      <c r="G357" s="36">
        <v>25.3</v>
      </c>
      <c r="H357" s="42">
        <v>0</v>
      </c>
      <c r="I357" s="40">
        <f t="shared" ref="I357:J357" si="363">20%+(I356-20%)*0.95</f>
        <v>0.2000000027937163</v>
      </c>
      <c r="J357" s="40">
        <f t="shared" si="363"/>
        <v>0.2000000040974505</v>
      </c>
      <c r="K357" s="41">
        <f t="shared" si="335"/>
        <v>0.7999999999999996</v>
      </c>
      <c r="L357" s="23">
        <f t="shared" si="347"/>
        <v>0.9780821917808219</v>
      </c>
      <c r="M357" s="28">
        <f t="shared" si="348"/>
        <v>31</v>
      </c>
      <c r="N357" s="29" t="s">
        <v>9</v>
      </c>
      <c r="O357" s="30">
        <v>1</v>
      </c>
      <c r="P357" s="31">
        <v>0</v>
      </c>
      <c r="Q357" s="1">
        <v>1</v>
      </c>
      <c r="R357" s="32">
        <v>3.8045005678079242</v>
      </c>
      <c r="S357" s="32">
        <v>2.6369999999999969</v>
      </c>
      <c r="T357" s="32">
        <v>1.1675005678079273</v>
      </c>
    </row>
    <row r="358" spans="1:20" x14ac:dyDescent="0.35">
      <c r="A358" s="44">
        <v>44179</v>
      </c>
      <c r="B358" s="20">
        <f t="shared" si="345"/>
        <v>44168</v>
      </c>
      <c r="C358" s="35">
        <v>48.75</v>
      </c>
      <c r="D358" s="36">
        <v>60.65</v>
      </c>
      <c r="E358" s="36">
        <v>41.73</v>
      </c>
      <c r="F358" s="36">
        <v>18.376000000000001</v>
      </c>
      <c r="G358" s="36">
        <v>25.3</v>
      </c>
      <c r="H358" s="42">
        <v>0</v>
      </c>
      <c r="I358" s="40">
        <f t="shared" ref="I358:J358" si="364">20%+(I357-20%)*0.95</f>
        <v>0.20000000265403048</v>
      </c>
      <c r="J358" s="40">
        <f t="shared" si="364"/>
        <v>0.20000000389257797</v>
      </c>
      <c r="K358" s="41">
        <f t="shared" si="335"/>
        <v>0.7999999999999996</v>
      </c>
      <c r="L358" s="23">
        <f t="shared" si="347"/>
        <v>0.9780821917808219</v>
      </c>
      <c r="M358" s="28">
        <f t="shared" si="348"/>
        <v>31</v>
      </c>
      <c r="N358" s="29" t="s">
        <v>9</v>
      </c>
      <c r="O358" s="30">
        <v>1</v>
      </c>
      <c r="P358" s="31">
        <v>0</v>
      </c>
      <c r="Q358" s="1">
        <v>1</v>
      </c>
      <c r="R358" s="32">
        <v>3.8045005657467605</v>
      </c>
      <c r="S358" s="32">
        <v>2.6369999999999969</v>
      </c>
      <c r="T358" s="32">
        <v>1.1675005657467636</v>
      </c>
    </row>
    <row r="359" spans="1:20" x14ac:dyDescent="0.35">
      <c r="A359" s="44">
        <v>44180</v>
      </c>
      <c r="B359" s="20">
        <f t="shared" si="345"/>
        <v>44169</v>
      </c>
      <c r="C359" s="35">
        <v>48.75</v>
      </c>
      <c r="D359" s="36">
        <v>60.65</v>
      </c>
      <c r="E359" s="36">
        <v>41.73</v>
      </c>
      <c r="F359" s="36">
        <v>18.376000000000001</v>
      </c>
      <c r="G359" s="36">
        <v>25.3</v>
      </c>
      <c r="H359" s="42">
        <v>0</v>
      </c>
      <c r="I359" s="40">
        <f t="shared" ref="I359:J359" si="365">20%+(I358-20%)*0.95</f>
        <v>0.20000000252132896</v>
      </c>
      <c r="J359" s="40">
        <f t="shared" si="365"/>
        <v>0.20000000369794907</v>
      </c>
      <c r="K359" s="41">
        <f t="shared" si="335"/>
        <v>0.7999999999999996</v>
      </c>
      <c r="L359" s="23">
        <f t="shared" si="347"/>
        <v>0.98082191780821915</v>
      </c>
      <c r="M359" s="28">
        <f t="shared" si="348"/>
        <v>31</v>
      </c>
      <c r="N359" s="29" t="s">
        <v>9</v>
      </c>
      <c r="O359" s="30">
        <v>1</v>
      </c>
      <c r="P359" s="31">
        <v>0</v>
      </c>
      <c r="Q359" s="1">
        <v>1</v>
      </c>
      <c r="R359" s="32">
        <v>3.8073111996849853</v>
      </c>
      <c r="S359" s="32">
        <v>2.6369999999999969</v>
      </c>
      <c r="T359" s="32">
        <v>1.1703111996849884</v>
      </c>
    </row>
    <row r="360" spans="1:20" x14ac:dyDescent="0.35">
      <c r="A360" s="44">
        <v>44181</v>
      </c>
      <c r="B360" s="20">
        <f t="shared" si="345"/>
        <v>44172</v>
      </c>
      <c r="C360" s="35">
        <v>48.75</v>
      </c>
      <c r="D360" s="36">
        <v>60.65</v>
      </c>
      <c r="E360" s="36">
        <v>41.73</v>
      </c>
      <c r="F360" s="36">
        <v>18.376000000000001</v>
      </c>
      <c r="G360" s="36">
        <v>25.3</v>
      </c>
      <c r="H360" s="42">
        <v>0</v>
      </c>
      <c r="I360" s="40">
        <f t="shared" ref="I360:J360" si="366">20%+(I359-20%)*0.95</f>
        <v>0.20000000239526253</v>
      </c>
      <c r="J360" s="40">
        <f t="shared" si="366"/>
        <v>0.20000000351305161</v>
      </c>
      <c r="K360" s="41">
        <f t="shared" si="335"/>
        <v>0.7999999999999996</v>
      </c>
      <c r="L360" s="23">
        <f t="shared" si="347"/>
        <v>0.989041095890411</v>
      </c>
      <c r="M360" s="28">
        <f t="shared" si="348"/>
        <v>31</v>
      </c>
      <c r="N360" s="29" t="s">
        <v>9</v>
      </c>
      <c r="O360" s="30">
        <v>1</v>
      </c>
      <c r="P360" s="31">
        <v>0</v>
      </c>
      <c r="Q360" s="1">
        <v>1</v>
      </c>
      <c r="R360" s="32">
        <v>3.8157246745357654</v>
      </c>
      <c r="S360" s="32">
        <v>2.6369999999999969</v>
      </c>
      <c r="T360" s="32">
        <v>1.1787246745357685</v>
      </c>
    </row>
    <row r="361" spans="1:20" x14ac:dyDescent="0.35">
      <c r="A361" s="44">
        <v>44182</v>
      </c>
      <c r="B361" s="20">
        <f t="shared" si="345"/>
        <v>44173</v>
      </c>
      <c r="C361" s="35">
        <v>48.75</v>
      </c>
      <c r="D361" s="36">
        <v>60.65</v>
      </c>
      <c r="E361" s="36">
        <v>41.73</v>
      </c>
      <c r="F361" s="36">
        <v>18.376000000000001</v>
      </c>
      <c r="G361" s="36">
        <v>25.3</v>
      </c>
      <c r="H361" s="42">
        <v>0</v>
      </c>
      <c r="I361" s="40">
        <f t="shared" ref="I361:J361" si="367">20%+(I360-20%)*0.95</f>
        <v>0.20000000227549941</v>
      </c>
      <c r="J361" s="40">
        <f t="shared" si="367"/>
        <v>0.20000000333739903</v>
      </c>
      <c r="K361" s="41">
        <f t="shared" si="335"/>
        <v>0.7999999999999996</v>
      </c>
      <c r="L361" s="23">
        <f t="shared" si="347"/>
        <v>0.99178082191780825</v>
      </c>
      <c r="M361" s="28">
        <f t="shared" si="348"/>
        <v>31</v>
      </c>
      <c r="N361" s="29" t="s">
        <v>9</v>
      </c>
      <c r="O361" s="30">
        <v>1</v>
      </c>
      <c r="P361" s="31">
        <v>0</v>
      </c>
      <c r="Q361" s="1">
        <v>1</v>
      </c>
      <c r="R361" s="32">
        <v>3.8185230528897272</v>
      </c>
      <c r="S361" s="32">
        <v>2.6369999999999969</v>
      </c>
      <c r="T361" s="32">
        <v>1.1815230528897303</v>
      </c>
    </row>
    <row r="362" spans="1:20" x14ac:dyDescent="0.35">
      <c r="A362" s="44">
        <v>44183</v>
      </c>
      <c r="B362" s="20">
        <f t="shared" si="345"/>
        <v>44174</v>
      </c>
      <c r="C362" s="35">
        <v>48.75</v>
      </c>
      <c r="D362" s="36">
        <v>60.65</v>
      </c>
      <c r="E362" s="36">
        <v>41.73</v>
      </c>
      <c r="F362" s="36">
        <v>18.376000000000001</v>
      </c>
      <c r="G362" s="36">
        <v>25.3</v>
      </c>
      <c r="H362" s="42">
        <v>0</v>
      </c>
      <c r="I362" s="40">
        <f t="shared" ref="I362:J362" si="368">20%+(I361-20%)*0.95</f>
        <v>0.20000000216172445</v>
      </c>
      <c r="J362" s="40">
        <f t="shared" si="368"/>
        <v>0.20000000317052907</v>
      </c>
      <c r="K362" s="41">
        <f t="shared" si="335"/>
        <v>0.7999999999999996</v>
      </c>
      <c r="L362" s="23">
        <f t="shared" si="347"/>
        <v>0.9945205479452055</v>
      </c>
      <c r="M362" s="28">
        <f t="shared" si="348"/>
        <v>31</v>
      </c>
      <c r="N362" s="29" t="s">
        <v>9</v>
      </c>
      <c r="O362" s="30">
        <v>1</v>
      </c>
      <c r="P362" s="31">
        <v>0</v>
      </c>
      <c r="Q362" s="1">
        <v>1</v>
      </c>
      <c r="R362" s="32">
        <v>3.8213183909415669</v>
      </c>
      <c r="S362" s="32">
        <v>2.6369999999999969</v>
      </c>
      <c r="T362" s="32">
        <v>1.18431839094157</v>
      </c>
    </row>
    <row r="363" spans="1:20" x14ac:dyDescent="0.35">
      <c r="A363" s="44">
        <v>44184</v>
      </c>
      <c r="B363" s="20">
        <f t="shared" si="345"/>
        <v>44175</v>
      </c>
      <c r="C363" s="35">
        <v>48.75</v>
      </c>
      <c r="D363" s="36">
        <v>60.65</v>
      </c>
      <c r="E363" s="36">
        <v>41.73</v>
      </c>
      <c r="F363" s="36">
        <v>18.376000000000001</v>
      </c>
      <c r="G363" s="36">
        <v>25.3</v>
      </c>
      <c r="H363" s="42">
        <v>0</v>
      </c>
      <c r="I363" s="40">
        <f t="shared" ref="I363:J363" si="369">20%+(I362-20%)*0.95</f>
        <v>0.20000000205363822</v>
      </c>
      <c r="J363" s="40">
        <f t="shared" si="369"/>
        <v>0.20000000301200263</v>
      </c>
      <c r="K363" s="41">
        <f t="shared" si="335"/>
        <v>0.7999999999999996</v>
      </c>
      <c r="L363" s="23">
        <f t="shared" si="347"/>
        <v>0.99726027397260275</v>
      </c>
      <c r="M363" s="28">
        <f t="shared" si="348"/>
        <v>31</v>
      </c>
      <c r="N363" s="29" t="s">
        <v>9</v>
      </c>
      <c r="O363" s="30">
        <v>1</v>
      </c>
      <c r="P363" s="31">
        <v>0</v>
      </c>
      <c r="Q363" s="1">
        <v>1</v>
      </c>
      <c r="R363" s="32">
        <v>3.8241106980205117</v>
      </c>
      <c r="S363" s="32">
        <v>2.6369999999999969</v>
      </c>
      <c r="T363" s="32">
        <v>1.1871106980205148</v>
      </c>
    </row>
    <row r="364" spans="1:20" x14ac:dyDescent="0.35">
      <c r="A364" s="44">
        <v>44185</v>
      </c>
      <c r="B364" s="20">
        <f t="shared" si="345"/>
        <v>44175</v>
      </c>
      <c r="C364" s="35">
        <v>48.75</v>
      </c>
      <c r="D364" s="36">
        <v>60.65</v>
      </c>
      <c r="E364" s="36">
        <v>41.73</v>
      </c>
      <c r="F364" s="36">
        <v>18.376000000000001</v>
      </c>
      <c r="G364" s="36">
        <v>25.3</v>
      </c>
      <c r="H364" s="42">
        <v>0</v>
      </c>
      <c r="I364" s="40">
        <f t="shared" ref="I364:J364" si="370">20%+(I363-20%)*0.95</f>
        <v>0.2000000019509563</v>
      </c>
      <c r="J364" s="40">
        <f t="shared" si="370"/>
        <v>0.20000000286140249</v>
      </c>
      <c r="K364" s="41">
        <f t="shared" si="335"/>
        <v>0.7999999999999996</v>
      </c>
      <c r="L364" s="23">
        <f t="shared" si="347"/>
        <v>0.99726027397260275</v>
      </c>
      <c r="M364" s="28">
        <f t="shared" si="348"/>
        <v>31</v>
      </c>
      <c r="N364" s="29" t="s">
        <v>9</v>
      </c>
      <c r="O364" s="30">
        <v>1</v>
      </c>
      <c r="P364" s="31">
        <v>0</v>
      </c>
      <c r="Q364" s="1">
        <v>1</v>
      </c>
      <c r="R364" s="32">
        <v>3.824110696487395</v>
      </c>
      <c r="S364" s="32">
        <v>2.6369999999999969</v>
      </c>
      <c r="T364" s="32">
        <v>1.1871106964873981</v>
      </c>
    </row>
    <row r="365" spans="1:20" x14ac:dyDescent="0.35">
      <c r="A365" s="44">
        <v>44186</v>
      </c>
      <c r="B365" s="20">
        <f t="shared" si="345"/>
        <v>44175</v>
      </c>
      <c r="C365" s="35">
        <v>48.75</v>
      </c>
      <c r="D365" s="36">
        <v>60.65</v>
      </c>
      <c r="E365" s="36">
        <v>41.73</v>
      </c>
      <c r="F365" s="36">
        <v>18.376000000000001</v>
      </c>
      <c r="G365" s="36">
        <v>25.3</v>
      </c>
      <c r="H365" s="42">
        <v>0</v>
      </c>
      <c r="I365" s="40">
        <f t="shared" ref="I365:J365" si="371">20%+(I364-20%)*0.95</f>
        <v>0.20000000185340849</v>
      </c>
      <c r="J365" s="40">
        <f t="shared" si="371"/>
        <v>0.20000000271833238</v>
      </c>
      <c r="K365" s="41">
        <f t="shared" si="335"/>
        <v>0.7999999999999996</v>
      </c>
      <c r="L365" s="23">
        <f t="shared" si="347"/>
        <v>0.99726027397260275</v>
      </c>
      <c r="M365" s="28">
        <f t="shared" si="348"/>
        <v>31</v>
      </c>
      <c r="N365" s="29" t="s">
        <v>9</v>
      </c>
      <c r="O365" s="30">
        <v>1</v>
      </c>
      <c r="P365" s="31">
        <v>0</v>
      </c>
      <c r="Q365" s="1">
        <v>1</v>
      </c>
      <c r="R365" s="32">
        <v>3.8241106950309565</v>
      </c>
      <c r="S365" s="32">
        <v>2.6369999999999969</v>
      </c>
      <c r="T365" s="32">
        <v>1.1871106950309596</v>
      </c>
    </row>
    <row r="366" spans="1:20" x14ac:dyDescent="0.35">
      <c r="A366" s="44">
        <v>44187</v>
      </c>
      <c r="B366" s="20">
        <f t="shared" si="345"/>
        <v>44176</v>
      </c>
      <c r="C366" s="35">
        <v>48.75</v>
      </c>
      <c r="D366" s="36">
        <v>60.65</v>
      </c>
      <c r="E366" s="36">
        <v>41.73</v>
      </c>
      <c r="F366" s="36">
        <v>18.376000000000001</v>
      </c>
      <c r="G366" s="36">
        <v>25.3</v>
      </c>
      <c r="H366" s="42">
        <v>0</v>
      </c>
      <c r="I366" s="40">
        <f t="shared" ref="I366:J366" si="372">20%+(I365-20%)*0.95</f>
        <v>0.20000000176073807</v>
      </c>
      <c r="J366" s="40">
        <f t="shared" si="372"/>
        <v>0.20000000258241576</v>
      </c>
      <c r="K366" s="41">
        <f t="shared" si="335"/>
        <v>0.7999999999999996</v>
      </c>
      <c r="L366" s="23">
        <f t="shared" si="347"/>
        <v>1</v>
      </c>
      <c r="M366" s="28">
        <f t="shared" si="348"/>
        <v>31</v>
      </c>
      <c r="N366" s="29" t="s">
        <v>9</v>
      </c>
      <c r="O366" s="30">
        <v>1</v>
      </c>
      <c r="P366" s="31">
        <v>0</v>
      </c>
      <c r="Q366" s="1">
        <v>1</v>
      </c>
      <c r="R366" s="32">
        <v>3.8268999805674007</v>
      </c>
      <c r="S366" s="32">
        <v>2.6369999999999969</v>
      </c>
      <c r="T366" s="32">
        <v>1.1898999805674038</v>
      </c>
    </row>
    <row r="367" spans="1:20" x14ac:dyDescent="0.35">
      <c r="A367" s="44">
        <v>44188</v>
      </c>
      <c r="B367" s="20">
        <f t="shared" si="345"/>
        <v>44179</v>
      </c>
      <c r="C367" s="35">
        <v>48.75</v>
      </c>
      <c r="D367" s="36">
        <v>60.65</v>
      </c>
      <c r="E367" s="36">
        <v>41.73</v>
      </c>
      <c r="F367" s="36">
        <v>18.376000000000001</v>
      </c>
      <c r="G367" s="36">
        <v>25.3</v>
      </c>
      <c r="H367" s="42">
        <v>0</v>
      </c>
      <c r="I367" s="40">
        <f t="shared" ref="I367:J367" si="373">20%+(I366-20%)*0.95</f>
        <v>0.20000000167270116</v>
      </c>
      <c r="J367" s="40">
        <f t="shared" si="373"/>
        <v>0.20000000245329497</v>
      </c>
      <c r="K367" s="41">
        <f t="shared" si="335"/>
        <v>0.7999999999999996</v>
      </c>
      <c r="L367" s="23">
        <f t="shared" si="347"/>
        <v>1.0082191780821919</v>
      </c>
      <c r="M367" s="28">
        <f t="shared" si="348"/>
        <v>31</v>
      </c>
      <c r="N367" s="29" t="s">
        <v>9</v>
      </c>
      <c r="O367" s="30">
        <v>1</v>
      </c>
      <c r="P367" s="31">
        <v>0</v>
      </c>
      <c r="Q367" s="1">
        <v>1</v>
      </c>
      <c r="R367" s="32">
        <v>3.8352498016719174</v>
      </c>
      <c r="S367" s="32">
        <v>2.6369999999999969</v>
      </c>
      <c r="T367" s="32">
        <v>1.1982498016719205</v>
      </c>
    </row>
    <row r="368" spans="1:20" x14ac:dyDescent="0.35">
      <c r="A368" s="44">
        <v>44189</v>
      </c>
      <c r="B368" s="20">
        <f t="shared" si="345"/>
        <v>44180</v>
      </c>
      <c r="C368" s="35">
        <v>48.75</v>
      </c>
      <c r="D368" s="36">
        <v>60.65</v>
      </c>
      <c r="E368" s="36">
        <v>41.73</v>
      </c>
      <c r="F368" s="36">
        <v>18.376000000000001</v>
      </c>
      <c r="G368" s="36">
        <v>25.3</v>
      </c>
      <c r="H368" s="42">
        <v>0</v>
      </c>
      <c r="I368" s="40">
        <f t="shared" ref="I368:J368" si="374">20%+(I367-20%)*0.95</f>
        <v>0.20000000158906611</v>
      </c>
      <c r="J368" s="40">
        <f t="shared" si="374"/>
        <v>0.20000000233063023</v>
      </c>
      <c r="K368" s="41">
        <f t="shared" si="335"/>
        <v>0.7999999999999996</v>
      </c>
      <c r="L368" s="23">
        <f t="shared" si="347"/>
        <v>1.010958904109589</v>
      </c>
      <c r="M368" s="28">
        <f t="shared" si="348"/>
        <v>31</v>
      </c>
      <c r="N368" s="29" t="s">
        <v>9</v>
      </c>
      <c r="O368" s="30">
        <v>1</v>
      </c>
      <c r="P368" s="31">
        <v>0</v>
      </c>
      <c r="Q368" s="1">
        <v>1</v>
      </c>
      <c r="R368" s="32">
        <v>3.838027092308252</v>
      </c>
      <c r="S368" s="32">
        <v>2.6369999999999969</v>
      </c>
      <c r="T368" s="32">
        <v>1.2010270923082551</v>
      </c>
    </row>
    <row r="369" spans="1:20" x14ac:dyDescent="0.35">
      <c r="A369" s="44">
        <v>44190</v>
      </c>
      <c r="B369" s="20">
        <f t="shared" si="345"/>
        <v>44181</v>
      </c>
      <c r="C369" s="35">
        <v>48.75</v>
      </c>
      <c r="D369" s="36">
        <v>60.65</v>
      </c>
      <c r="E369" s="36">
        <v>41.73</v>
      </c>
      <c r="F369" s="36">
        <v>18.376000000000001</v>
      </c>
      <c r="G369" s="36">
        <v>25.3</v>
      </c>
      <c r="H369" s="42">
        <v>0</v>
      </c>
      <c r="I369" s="40">
        <f t="shared" ref="I369:J369" si="375">20%+(I368-20%)*0.95</f>
        <v>0.20000000150961281</v>
      </c>
      <c r="J369" s="40">
        <f t="shared" si="375"/>
        <v>0.20000000221409872</v>
      </c>
      <c r="K369" s="41">
        <f t="shared" si="335"/>
        <v>0.7999999999999996</v>
      </c>
      <c r="L369" s="23">
        <f t="shared" si="347"/>
        <v>1.0136986301369864</v>
      </c>
      <c r="M369" s="28">
        <f t="shared" si="348"/>
        <v>31</v>
      </c>
      <c r="N369" s="29" t="s">
        <v>9</v>
      </c>
      <c r="O369" s="30">
        <v>1</v>
      </c>
      <c r="P369" s="31">
        <v>0</v>
      </c>
      <c r="Q369" s="1">
        <v>1</v>
      </c>
      <c r="R369" s="32">
        <v>3.8408014070404128</v>
      </c>
      <c r="S369" s="32">
        <v>2.6369999999999969</v>
      </c>
      <c r="T369" s="32">
        <v>1.2038014070404159</v>
      </c>
    </row>
    <row r="370" spans="1:20" x14ac:dyDescent="0.35">
      <c r="A370" s="44">
        <v>44191</v>
      </c>
      <c r="B370" s="20">
        <f t="shared" si="345"/>
        <v>44182</v>
      </c>
      <c r="C370" s="35">
        <v>48.75</v>
      </c>
      <c r="D370" s="36">
        <v>60.65</v>
      </c>
      <c r="E370" s="36">
        <v>41.73</v>
      </c>
      <c r="F370" s="36">
        <v>18.376000000000001</v>
      </c>
      <c r="G370" s="36">
        <v>25.3</v>
      </c>
      <c r="H370" s="42">
        <v>0</v>
      </c>
      <c r="I370" s="40">
        <f t="shared" ref="I370:J370" si="376">20%+(I369-20%)*0.95</f>
        <v>0.20000000143413216</v>
      </c>
      <c r="J370" s="40">
        <f t="shared" si="376"/>
        <v>0.20000000210339378</v>
      </c>
      <c r="K370" s="41">
        <f t="shared" si="335"/>
        <v>0.7999999999999996</v>
      </c>
      <c r="L370" s="23">
        <f t="shared" si="347"/>
        <v>1.0164383561643835</v>
      </c>
      <c r="M370" s="28">
        <f t="shared" si="348"/>
        <v>31</v>
      </c>
      <c r="N370" s="29" t="s">
        <v>9</v>
      </c>
      <c r="O370" s="30">
        <v>1</v>
      </c>
      <c r="P370" s="31">
        <v>0</v>
      </c>
      <c r="Q370" s="1">
        <v>1</v>
      </c>
      <c r="R370" s="32">
        <v>3.8435727548976182</v>
      </c>
      <c r="S370" s="32">
        <v>2.6369999999999969</v>
      </c>
      <c r="T370" s="32">
        <v>1.2065727548976213</v>
      </c>
    </row>
    <row r="371" spans="1:20" x14ac:dyDescent="0.35">
      <c r="A371" s="44">
        <v>44192</v>
      </c>
      <c r="B371" s="20">
        <f t="shared" si="345"/>
        <v>44182</v>
      </c>
      <c r="C371" s="35">
        <v>48.75</v>
      </c>
      <c r="D371" s="36">
        <v>60.65</v>
      </c>
      <c r="E371" s="36">
        <v>41.73</v>
      </c>
      <c r="F371" s="36">
        <v>18.376000000000001</v>
      </c>
      <c r="G371" s="36">
        <v>25.3</v>
      </c>
      <c r="H371" s="42">
        <v>0</v>
      </c>
      <c r="I371" s="40">
        <f t="shared" ref="I371:J371" si="377">20%+(I370-20%)*0.95</f>
        <v>0.20000000136242554</v>
      </c>
      <c r="J371" s="40">
        <f t="shared" si="377"/>
        <v>0.2000000019982241</v>
      </c>
      <c r="K371" s="41">
        <f t="shared" si="335"/>
        <v>0.7999999999999996</v>
      </c>
      <c r="L371" s="23">
        <f t="shared" si="347"/>
        <v>1.0164383561643835</v>
      </c>
      <c r="M371" s="28">
        <f t="shared" si="348"/>
        <v>31</v>
      </c>
      <c r="N371" s="29" t="s">
        <v>9</v>
      </c>
      <c r="O371" s="30">
        <v>1</v>
      </c>
      <c r="P371" s="31">
        <v>0</v>
      </c>
      <c r="Q371" s="1">
        <v>1</v>
      </c>
      <c r="R371" s="32">
        <v>3.8435727538145876</v>
      </c>
      <c r="S371" s="32">
        <v>2.6369999999999969</v>
      </c>
      <c r="T371" s="32">
        <v>1.2065727538145907</v>
      </c>
    </row>
    <row r="372" spans="1:20" x14ac:dyDescent="0.35">
      <c r="A372" s="44">
        <v>44193</v>
      </c>
      <c r="B372" s="20">
        <f t="shared" si="345"/>
        <v>44182</v>
      </c>
      <c r="C372" s="35">
        <v>48.75</v>
      </c>
      <c r="D372" s="36">
        <v>60.65</v>
      </c>
      <c r="E372" s="36">
        <v>41.73</v>
      </c>
      <c r="F372" s="36">
        <v>18.376000000000001</v>
      </c>
      <c r="G372" s="36">
        <v>25.3</v>
      </c>
      <c r="H372" s="42">
        <v>0</v>
      </c>
      <c r="I372" s="40">
        <f t="shared" ref="I372:J372" si="378">20%+(I371-20%)*0.95</f>
        <v>0.20000000129430426</v>
      </c>
      <c r="J372" s="40">
        <f t="shared" si="378"/>
        <v>0.20000000189831291</v>
      </c>
      <c r="K372" s="41">
        <f t="shared" si="335"/>
        <v>0.7999999999999996</v>
      </c>
      <c r="L372" s="23">
        <f t="shared" si="347"/>
        <v>1.0164383561643835</v>
      </c>
      <c r="M372" s="28">
        <f t="shared" si="348"/>
        <v>31</v>
      </c>
      <c r="N372" s="29" t="s">
        <v>9</v>
      </c>
      <c r="O372" s="30">
        <v>1</v>
      </c>
      <c r="P372" s="31">
        <v>0</v>
      </c>
      <c r="Q372" s="1">
        <v>1</v>
      </c>
      <c r="R372" s="32">
        <v>3.8435727527857111</v>
      </c>
      <c r="S372" s="32">
        <v>2.6369999999999969</v>
      </c>
      <c r="T372" s="32">
        <v>1.2065727527857142</v>
      </c>
    </row>
    <row r="373" spans="1:20" x14ac:dyDescent="0.35">
      <c r="A373" s="44">
        <v>44194</v>
      </c>
      <c r="B373" s="20">
        <f t="shared" si="345"/>
        <v>44183</v>
      </c>
      <c r="C373" s="35">
        <v>48.75</v>
      </c>
      <c r="D373" s="36">
        <v>60.65</v>
      </c>
      <c r="E373" s="36">
        <v>41.73</v>
      </c>
      <c r="F373" s="36">
        <v>18.376000000000001</v>
      </c>
      <c r="G373" s="36">
        <v>25.3</v>
      </c>
      <c r="H373" s="42">
        <v>0</v>
      </c>
      <c r="I373" s="40">
        <f t="shared" ref="I373:J373" si="379">20%+(I372-20%)*0.95</f>
        <v>0.20000000122958905</v>
      </c>
      <c r="J373" s="40">
        <f t="shared" si="379"/>
        <v>0.20000000180339728</v>
      </c>
      <c r="K373" s="41">
        <f t="shared" si="335"/>
        <v>0.7999999999999996</v>
      </c>
      <c r="L373" s="23">
        <f t="shared" si="347"/>
        <v>1.0191780821917809</v>
      </c>
      <c r="M373" s="28">
        <f t="shared" si="348"/>
        <v>31</v>
      </c>
      <c r="N373" s="29" t="s">
        <v>9</v>
      </c>
      <c r="O373" s="30">
        <v>1</v>
      </c>
      <c r="P373" s="31">
        <v>0</v>
      </c>
      <c r="Q373" s="1">
        <v>1</v>
      </c>
      <c r="R373" s="32">
        <v>3.8463411428575256</v>
      </c>
      <c r="S373" s="32">
        <v>2.6369999999999969</v>
      </c>
      <c r="T373" s="32">
        <v>1.2093411428575287</v>
      </c>
    </row>
    <row r="374" spans="1:20" x14ac:dyDescent="0.35">
      <c r="A374" s="44">
        <v>44195</v>
      </c>
      <c r="B374" s="20">
        <f t="shared" si="345"/>
        <v>44186</v>
      </c>
      <c r="C374" s="35">
        <v>48.75</v>
      </c>
      <c r="D374" s="36">
        <v>60.65</v>
      </c>
      <c r="E374" s="36">
        <v>41.73</v>
      </c>
      <c r="F374" s="36">
        <v>18.376000000000001</v>
      </c>
      <c r="G374" s="36">
        <v>25.3</v>
      </c>
      <c r="H374" s="42">
        <v>0</v>
      </c>
      <c r="I374" s="40">
        <f t="shared" ref="I374:J374" si="380">20%+(I373-20%)*0.95</f>
        <v>0.20000000116810959</v>
      </c>
      <c r="J374" s="40">
        <f t="shared" si="380"/>
        <v>0.2000000017132274</v>
      </c>
      <c r="K374" s="41">
        <f t="shared" si="335"/>
        <v>0.7999999999999996</v>
      </c>
      <c r="L374" s="23">
        <f t="shared" si="347"/>
        <v>1.0273972602739727</v>
      </c>
      <c r="M374" s="28">
        <f t="shared" si="348"/>
        <v>31</v>
      </c>
      <c r="N374" s="29" t="s">
        <v>9</v>
      </c>
      <c r="O374" s="30">
        <v>1</v>
      </c>
      <c r="P374" s="31">
        <v>0</v>
      </c>
      <c r="Q374" s="1">
        <v>1</v>
      </c>
      <c r="R374" s="32">
        <v>3.8546286566971695</v>
      </c>
      <c r="S374" s="32">
        <v>2.6369999999999969</v>
      </c>
      <c r="T374" s="32">
        <v>1.2176286566971726</v>
      </c>
    </row>
    <row r="375" spans="1:20" x14ac:dyDescent="0.35">
      <c r="A375" s="44">
        <v>44196</v>
      </c>
      <c r="B375" s="20">
        <f t="shared" si="345"/>
        <v>44187</v>
      </c>
      <c r="C375" s="35">
        <v>48.75</v>
      </c>
      <c r="D375" s="36">
        <v>60.65</v>
      </c>
      <c r="E375" s="36">
        <v>41.73</v>
      </c>
      <c r="F375" s="36">
        <v>18.376000000000001</v>
      </c>
      <c r="G375" s="36">
        <v>25.3</v>
      </c>
      <c r="H375" s="42">
        <v>0</v>
      </c>
      <c r="I375" s="40">
        <f t="shared" ref="I375:J375" si="381">20%+(I374-20%)*0.95</f>
        <v>0.20000000110970412</v>
      </c>
      <c r="J375" s="40">
        <f t="shared" si="381"/>
        <v>0.20000000162756604</v>
      </c>
      <c r="K375" s="41">
        <f t="shared" si="335"/>
        <v>0.7999999999999996</v>
      </c>
      <c r="L375" s="23">
        <f t="shared" si="347"/>
        <v>1.0301369863013699</v>
      </c>
      <c r="M375" s="28">
        <f t="shared" si="348"/>
        <v>31</v>
      </c>
      <c r="N375" s="29" t="s">
        <v>9</v>
      </c>
      <c r="O375" s="30">
        <v>1</v>
      </c>
      <c r="P375" s="31">
        <v>0</v>
      </c>
      <c r="Q375" s="1">
        <v>1</v>
      </c>
      <c r="R375" s="32">
        <v>3.8573853041571766</v>
      </c>
      <c r="S375" s="32">
        <v>2.6369999999999969</v>
      </c>
      <c r="T375" s="32">
        <v>1.2203853041571797</v>
      </c>
    </row>
    <row r="376" spans="1:20" x14ac:dyDescent="0.35">
      <c r="A376" s="44">
        <v>44197</v>
      </c>
      <c r="B376" s="20">
        <f t="shared" si="345"/>
        <v>44188</v>
      </c>
      <c r="C376" s="35">
        <v>48.75</v>
      </c>
      <c r="D376" s="36">
        <v>60.65</v>
      </c>
      <c r="E376" s="36">
        <v>41.73</v>
      </c>
      <c r="F376" s="36">
        <v>18.376000000000001</v>
      </c>
      <c r="G376" s="36">
        <v>25.3</v>
      </c>
      <c r="H376" s="42">
        <v>0</v>
      </c>
      <c r="I376" s="40">
        <f t="shared" ref="I376:J376" si="382">20%+(I375-20%)*0.95</f>
        <v>0.20000000105421892</v>
      </c>
      <c r="J376" s="40">
        <f t="shared" si="382"/>
        <v>0.20000000154618774</v>
      </c>
      <c r="K376" s="41">
        <f t="shared" si="335"/>
        <v>0.7999999999999996</v>
      </c>
      <c r="L376" s="23">
        <f t="shared" si="347"/>
        <v>1.0328767123287672</v>
      </c>
      <c r="M376" s="28">
        <f t="shared" si="348"/>
        <v>31</v>
      </c>
      <c r="N376" s="29" t="s">
        <v>9</v>
      </c>
      <c r="O376" s="30">
        <v>1</v>
      </c>
      <c r="P376" s="31">
        <v>0</v>
      </c>
      <c r="Q376" s="1">
        <v>1</v>
      </c>
      <c r="R376" s="32">
        <v>3.8601390380443732</v>
      </c>
      <c r="S376" s="32">
        <v>2.6369999999999969</v>
      </c>
      <c r="T376" s="32">
        <v>1.2231390380443763</v>
      </c>
    </row>
  </sheetData>
  <dataValidations count="1">
    <dataValidation type="list" allowBlank="1" showInputMessage="1" showErrorMessage="1" sqref="N10:N376" xr:uid="{361419DB-079D-4737-8C1B-9B2FA52B0A84}">
      <formula1>$I$5:$I$7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Legend</vt:lpstr>
      <vt:lpstr>Temp</vt:lpstr>
      <vt:lpstr>PowerOpt</vt:lpstr>
      <vt:lpstr>PowerOpt-Collar</vt:lpstr>
      <vt:lpstr>PowerOpt-EnhancedCollar</vt:lpstr>
      <vt:lpstr>AsianOpt</vt:lpstr>
      <vt:lpstr>AsianOpt-Collar</vt:lpstr>
      <vt:lpstr>AsianOpt-EnhancedCollar</vt:lpstr>
      <vt:lpstr>SparkSpread-Tolling</vt:lpstr>
      <vt:lpstr>SparkSpread-Daily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daplet chris</dc:creator>
  <cp:lastModifiedBy>daplet chris</cp:lastModifiedBy>
  <dcterms:created xsi:type="dcterms:W3CDTF">2020-04-06T13:07:42Z</dcterms:created>
  <dcterms:modified xsi:type="dcterms:W3CDTF">2020-04-14T12:46:35Z</dcterms:modified>
</cp:coreProperties>
</file>